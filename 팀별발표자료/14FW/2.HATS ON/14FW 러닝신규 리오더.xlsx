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80" yWindow="45" windowWidth="13875" windowHeight="11940" activeTab="6"/>
  </bookViews>
  <sheets>
    <sheet name="DB" sheetId="1" r:id="rId1"/>
    <sheet name="P" sheetId="3" r:id="rId2"/>
    <sheet name="DB2" sheetId="2" r:id="rId3"/>
    <sheet name="P (2)" sheetId="6" r:id="rId4"/>
    <sheet name="CODE" sheetId="5" r:id="rId5"/>
    <sheet name="P (3)" sheetId="7" r:id="rId6"/>
    <sheet name="P (4)" sheetId="8" r:id="rId7"/>
  </sheets>
  <definedNames>
    <definedName name="_xlnm._FilterDatabase" localSheetId="4" hidden="1">CODE!$A$3:$G$158</definedName>
    <definedName name="_xlnm._FilterDatabase" localSheetId="0" hidden="1">DB!$A$2:$J$1699</definedName>
    <definedName name="_xlnm._FilterDatabase" localSheetId="2" hidden="1">'DB2'!$A$1:$Y$795</definedName>
    <definedName name="_xlnm.Print_Titles" localSheetId="6">'P (4)'!$6:$6</definedName>
  </definedNames>
  <calcPr calcId="144525" calcMode="manual"/>
  <pivotCaches>
    <pivotCache cacheId="161" r:id="rId8"/>
    <pivotCache cacheId="175" r:id="rId9"/>
  </pivotCaches>
</workbook>
</file>

<file path=xl/calcChain.xml><?xml version="1.0" encoding="utf-8"?>
<calcChain xmlns="http://schemas.openxmlformats.org/spreadsheetml/2006/main">
  <c r="A820" i="2" l="1"/>
  <c r="B820" i="2"/>
  <c r="E820" i="2"/>
  <c r="F820" i="2" s="1"/>
  <c r="G820" i="2"/>
  <c r="I820" i="2"/>
  <c r="J820" i="2" s="1"/>
  <c r="K820" i="2"/>
  <c r="M820" i="2"/>
  <c r="N820" i="2"/>
  <c r="L820" i="2" s="1"/>
  <c r="O820" i="2"/>
  <c r="P820" i="2"/>
  <c r="Q820" i="2"/>
  <c r="C820" i="2" s="1"/>
  <c r="A821" i="2"/>
  <c r="B821" i="2"/>
  <c r="C821" i="2" s="1"/>
  <c r="K821" i="2"/>
  <c r="M821" i="2"/>
  <c r="N821" i="2"/>
  <c r="L821" i="2" s="1"/>
  <c r="P821" i="2"/>
  <c r="Q821" i="2"/>
  <c r="A822" i="2"/>
  <c r="B822" i="2"/>
  <c r="E822" i="2"/>
  <c r="F822" i="2" s="1"/>
  <c r="G822" i="2"/>
  <c r="I822" i="2"/>
  <c r="J822" i="2" s="1"/>
  <c r="K822" i="2"/>
  <c r="M822" i="2"/>
  <c r="N822" i="2"/>
  <c r="L822" i="2" s="1"/>
  <c r="O822" i="2"/>
  <c r="P822" i="2"/>
  <c r="Q822" i="2"/>
  <c r="C822" i="2" s="1"/>
  <c r="A823" i="2"/>
  <c r="B823" i="2"/>
  <c r="C823" i="2" s="1"/>
  <c r="K823" i="2"/>
  <c r="M823" i="2"/>
  <c r="N823" i="2"/>
  <c r="L823" i="2" s="1"/>
  <c r="P823" i="2"/>
  <c r="Q823" i="2"/>
  <c r="A824" i="2"/>
  <c r="B824" i="2"/>
  <c r="E824" i="2"/>
  <c r="F824" i="2" s="1"/>
  <c r="G824" i="2"/>
  <c r="I824" i="2"/>
  <c r="J824" i="2" s="1"/>
  <c r="K824" i="2"/>
  <c r="M824" i="2"/>
  <c r="N824" i="2"/>
  <c r="L824" i="2" s="1"/>
  <c r="O824" i="2"/>
  <c r="P824" i="2"/>
  <c r="Q824" i="2"/>
  <c r="C824" i="2" s="1"/>
  <c r="A825" i="2"/>
  <c r="B825" i="2"/>
  <c r="C825" i="2" s="1"/>
  <c r="K825" i="2"/>
  <c r="M825" i="2"/>
  <c r="N825" i="2"/>
  <c r="L825" i="2" s="1"/>
  <c r="P825" i="2"/>
  <c r="Q825" i="2"/>
  <c r="A826" i="2"/>
  <c r="B826" i="2"/>
  <c r="E826" i="2"/>
  <c r="F826" i="2" s="1"/>
  <c r="G826" i="2"/>
  <c r="I826" i="2"/>
  <c r="J826" i="2" s="1"/>
  <c r="K826" i="2"/>
  <c r="M826" i="2"/>
  <c r="N826" i="2"/>
  <c r="L826" i="2" s="1"/>
  <c r="O826" i="2"/>
  <c r="P826" i="2"/>
  <c r="Q826" i="2"/>
  <c r="C826" i="2" s="1"/>
  <c r="A827" i="2"/>
  <c r="B827" i="2"/>
  <c r="C827" i="2" s="1"/>
  <c r="D827" i="2" s="1"/>
  <c r="K827" i="2"/>
  <c r="M827" i="2"/>
  <c r="N827" i="2"/>
  <c r="O827" i="2" s="1"/>
  <c r="P827" i="2"/>
  <c r="Q827" i="2"/>
  <c r="A828" i="2"/>
  <c r="B828" i="2"/>
  <c r="C828" i="2"/>
  <c r="D828" i="2" s="1"/>
  <c r="G828" i="2"/>
  <c r="H828" i="2" s="1"/>
  <c r="I828" i="2"/>
  <c r="K828" i="2"/>
  <c r="M828" i="2"/>
  <c r="N828" i="2"/>
  <c r="L828" i="2" s="1"/>
  <c r="O828" i="2"/>
  <c r="P828" i="2"/>
  <c r="Q828" i="2"/>
  <c r="E828" i="2" s="1"/>
  <c r="A829" i="2"/>
  <c r="B829" i="2"/>
  <c r="C829" i="2" s="1"/>
  <c r="D829" i="2" s="1"/>
  <c r="K829" i="2"/>
  <c r="M829" i="2"/>
  <c r="N829" i="2"/>
  <c r="L829" i="2" s="1"/>
  <c r="P829" i="2"/>
  <c r="Q829" i="2"/>
  <c r="A830" i="2"/>
  <c r="B830" i="2"/>
  <c r="C830" i="2"/>
  <c r="D830" i="2" s="1"/>
  <c r="G830" i="2"/>
  <c r="H830" i="2" s="1"/>
  <c r="I830" i="2"/>
  <c r="K830" i="2"/>
  <c r="M830" i="2"/>
  <c r="N830" i="2"/>
  <c r="L830" i="2" s="1"/>
  <c r="O830" i="2"/>
  <c r="P830" i="2"/>
  <c r="Q830" i="2"/>
  <c r="E830" i="2" s="1"/>
  <c r="A831" i="2"/>
  <c r="B831" i="2"/>
  <c r="C831" i="2" s="1"/>
  <c r="D831" i="2" s="1"/>
  <c r="K831" i="2"/>
  <c r="M831" i="2"/>
  <c r="N831" i="2"/>
  <c r="O831" i="2" s="1"/>
  <c r="P831" i="2"/>
  <c r="Q831" i="2"/>
  <c r="E209" i="5"/>
  <c r="D209" i="5"/>
  <c r="E208" i="5"/>
  <c r="D208" i="5"/>
  <c r="E207" i="5"/>
  <c r="D207" i="5"/>
  <c r="E206" i="5"/>
  <c r="D206" i="5"/>
  <c r="E205" i="5"/>
  <c r="D205" i="5"/>
  <c r="E204" i="5"/>
  <c r="D204" i="5"/>
  <c r="E203" i="5"/>
  <c r="D203" i="5"/>
  <c r="E202" i="5"/>
  <c r="D202" i="5"/>
  <c r="E201" i="5"/>
  <c r="D201" i="5"/>
  <c r="E200" i="5"/>
  <c r="D200" i="5"/>
  <c r="E199" i="5"/>
  <c r="D199" i="5"/>
  <c r="E198" i="5"/>
  <c r="D198" i="5"/>
  <c r="E197" i="5"/>
  <c r="D197" i="5"/>
  <c r="E196" i="5"/>
  <c r="D196" i="5"/>
  <c r="E195" i="5"/>
  <c r="D195" i="5"/>
  <c r="E194" i="5"/>
  <c r="D194" i="5"/>
  <c r="E193" i="5"/>
  <c r="D193" i="5"/>
  <c r="E192" i="5"/>
  <c r="D192" i="5"/>
  <c r="E191" i="5"/>
  <c r="D191" i="5"/>
  <c r="E190" i="5"/>
  <c r="D190" i="5"/>
  <c r="E189" i="5"/>
  <c r="D189" i="5"/>
  <c r="E188" i="5"/>
  <c r="D188" i="5"/>
  <c r="E187" i="5"/>
  <c r="D187" i="5"/>
  <c r="E186" i="5"/>
  <c r="D186" i="5"/>
  <c r="E185" i="5"/>
  <c r="D185" i="5"/>
  <c r="E184" i="5"/>
  <c r="D184" i="5"/>
  <c r="E182" i="5"/>
  <c r="D182" i="5"/>
  <c r="E181" i="5"/>
  <c r="D181" i="5"/>
  <c r="E180" i="5"/>
  <c r="D180" i="5"/>
  <c r="E179" i="5"/>
  <c r="D179" i="5"/>
  <c r="E178" i="5"/>
  <c r="D178" i="5"/>
  <c r="E176" i="5"/>
  <c r="D176" i="5"/>
  <c r="E175" i="5"/>
  <c r="D175" i="5"/>
  <c r="E173" i="5"/>
  <c r="D173" i="5"/>
  <c r="E172" i="5"/>
  <c r="D172" i="5"/>
  <c r="E171" i="5"/>
  <c r="D171" i="5"/>
  <c r="E169" i="5"/>
  <c r="D169" i="5"/>
  <c r="E167" i="5"/>
  <c r="D167" i="5"/>
  <c r="E166" i="5"/>
  <c r="D166" i="5"/>
  <c r="E165" i="5"/>
  <c r="D165" i="5"/>
  <c r="E163" i="5"/>
  <c r="D163" i="5"/>
  <c r="E160" i="5"/>
  <c r="D160" i="5"/>
  <c r="E159" i="5"/>
  <c r="D159" i="5"/>
  <c r="E157" i="5"/>
  <c r="D157" i="5"/>
  <c r="E156" i="5"/>
  <c r="D156" i="5"/>
  <c r="E153" i="5"/>
  <c r="D153" i="5"/>
  <c r="E152" i="5"/>
  <c r="D152" i="5"/>
  <c r="E149" i="5"/>
  <c r="D149" i="5"/>
  <c r="E146" i="5"/>
  <c r="D146" i="5"/>
  <c r="E145" i="5"/>
  <c r="D145" i="5"/>
  <c r="E143" i="5"/>
  <c r="D143" i="5"/>
  <c r="E142" i="5"/>
  <c r="D142" i="5"/>
  <c r="E141" i="5"/>
  <c r="D141" i="5"/>
  <c r="E140" i="5"/>
  <c r="D140" i="5"/>
  <c r="E139" i="5"/>
  <c r="D139" i="5"/>
  <c r="E138" i="5"/>
  <c r="D138" i="5"/>
  <c r="E137" i="5"/>
  <c r="D137" i="5"/>
  <c r="E133" i="5"/>
  <c r="D133" i="5"/>
  <c r="E132" i="5"/>
  <c r="D132" i="5"/>
  <c r="E131" i="5"/>
  <c r="D131" i="5"/>
  <c r="E130" i="5"/>
  <c r="D130" i="5"/>
  <c r="E129" i="5"/>
  <c r="D129" i="5"/>
  <c r="E128" i="5"/>
  <c r="D128" i="5"/>
  <c r="E127" i="5"/>
  <c r="D127" i="5"/>
  <c r="E126" i="5"/>
  <c r="D126" i="5"/>
  <c r="E125" i="5"/>
  <c r="D125" i="5"/>
  <c r="E124" i="5"/>
  <c r="D124" i="5"/>
  <c r="E123" i="5"/>
  <c r="D123" i="5"/>
  <c r="E121" i="5"/>
  <c r="D121" i="5"/>
  <c r="E120" i="5"/>
  <c r="D120" i="5"/>
  <c r="E115" i="5"/>
  <c r="D115" i="5"/>
  <c r="AF114" i="5"/>
  <c r="E114" i="5"/>
  <c r="D114" i="5"/>
  <c r="AF113" i="5"/>
  <c r="E113" i="5"/>
  <c r="D113" i="5"/>
  <c r="AF112" i="5"/>
  <c r="E112" i="5"/>
  <c r="D112" i="5"/>
  <c r="AF111" i="5"/>
  <c r="AF110" i="5"/>
  <c r="AF109" i="5"/>
  <c r="AF108" i="5"/>
  <c r="E108" i="5"/>
  <c r="D108" i="5"/>
  <c r="AF107" i="5"/>
  <c r="E107" i="5"/>
  <c r="D107" i="5"/>
  <c r="AF106" i="5"/>
  <c r="E106" i="5"/>
  <c r="D106" i="5"/>
  <c r="AF105" i="5"/>
  <c r="E105" i="5"/>
  <c r="D105" i="5"/>
  <c r="E104" i="5"/>
  <c r="D104" i="5"/>
  <c r="AF102" i="5"/>
  <c r="E102" i="5"/>
  <c r="D102" i="5"/>
  <c r="E101" i="5"/>
  <c r="D101" i="5"/>
  <c r="E100" i="5"/>
  <c r="D100" i="5"/>
  <c r="E99" i="5"/>
  <c r="D99" i="5"/>
  <c r="AF98" i="5"/>
  <c r="E98" i="5"/>
  <c r="D98" i="5"/>
  <c r="AF97" i="5"/>
  <c r="E97" i="5"/>
  <c r="D97" i="5"/>
  <c r="AF96" i="5"/>
  <c r="E96" i="5"/>
  <c r="D96" i="5"/>
  <c r="AF95" i="5"/>
  <c r="E95" i="5"/>
  <c r="D95" i="5"/>
  <c r="AF94" i="5"/>
  <c r="E94" i="5"/>
  <c r="D94" i="5"/>
  <c r="AF93" i="5"/>
  <c r="E93" i="5"/>
  <c r="D93" i="5"/>
  <c r="AF92" i="5"/>
  <c r="E92" i="5"/>
  <c r="D92" i="5"/>
  <c r="AF91" i="5"/>
  <c r="E91" i="5"/>
  <c r="D91" i="5"/>
  <c r="AF90" i="5"/>
  <c r="E90" i="5"/>
  <c r="D90" i="5"/>
  <c r="AF89" i="5"/>
  <c r="E89" i="5"/>
  <c r="D89" i="5"/>
  <c r="AF88" i="5"/>
  <c r="E88" i="5"/>
  <c r="D88" i="5"/>
  <c r="AF87" i="5"/>
  <c r="E87" i="5"/>
  <c r="D87" i="5"/>
  <c r="AF86" i="5"/>
  <c r="E86" i="5"/>
  <c r="D86" i="5"/>
  <c r="AF85" i="5"/>
  <c r="E85" i="5"/>
  <c r="D85" i="5"/>
  <c r="AF84" i="5"/>
  <c r="E84" i="5"/>
  <c r="D84" i="5"/>
  <c r="AF83" i="5"/>
  <c r="E83" i="5"/>
  <c r="D83" i="5"/>
  <c r="AF82" i="5"/>
  <c r="E82" i="5"/>
  <c r="D82" i="5"/>
  <c r="AF81" i="5"/>
  <c r="E81" i="5"/>
  <c r="D81" i="5"/>
  <c r="AF80" i="5"/>
  <c r="E80" i="5"/>
  <c r="D80" i="5"/>
  <c r="AF79" i="5"/>
  <c r="E79" i="5"/>
  <c r="D79" i="5"/>
  <c r="AF78" i="5"/>
  <c r="E78" i="5"/>
  <c r="D78" i="5"/>
  <c r="AF77" i="5"/>
  <c r="E77" i="5"/>
  <c r="D77" i="5"/>
  <c r="AF76" i="5"/>
  <c r="E76" i="5"/>
  <c r="D76" i="5"/>
  <c r="AF75" i="5"/>
  <c r="E75" i="5"/>
  <c r="D75" i="5"/>
  <c r="AF74" i="5"/>
  <c r="E74" i="5"/>
  <c r="D74" i="5"/>
  <c r="AF73" i="5"/>
  <c r="E73" i="5"/>
  <c r="D73" i="5"/>
  <c r="AF72" i="5"/>
  <c r="E72" i="5"/>
  <c r="D72" i="5"/>
  <c r="AF71" i="5"/>
  <c r="E71" i="5"/>
  <c r="D71" i="5"/>
  <c r="AF70" i="5"/>
  <c r="E70" i="5"/>
  <c r="D70" i="5"/>
  <c r="AF69" i="5"/>
  <c r="E69" i="5"/>
  <c r="D69" i="5"/>
  <c r="AF68" i="5"/>
  <c r="E68" i="5"/>
  <c r="D68" i="5"/>
  <c r="AF67" i="5"/>
  <c r="E67" i="5"/>
  <c r="D67" i="5"/>
  <c r="AF66" i="5"/>
  <c r="E66" i="5"/>
  <c r="D66" i="5"/>
  <c r="AF65" i="5"/>
  <c r="E65" i="5"/>
  <c r="D65" i="5"/>
  <c r="AF64" i="5"/>
  <c r="E64" i="5"/>
  <c r="D64" i="5"/>
  <c r="AF63" i="5"/>
  <c r="E63" i="5"/>
  <c r="D63" i="5"/>
  <c r="AF62" i="5"/>
  <c r="E62" i="5"/>
  <c r="D62" i="5"/>
  <c r="AF61" i="5"/>
  <c r="E61" i="5"/>
  <c r="D61" i="5"/>
  <c r="AF60" i="5"/>
  <c r="E60" i="5"/>
  <c r="D60" i="5"/>
  <c r="AF59" i="5"/>
  <c r="E59" i="5"/>
  <c r="D59" i="5"/>
  <c r="AF58" i="5"/>
  <c r="E58" i="5"/>
  <c r="D58" i="5"/>
  <c r="AF57" i="5"/>
  <c r="E57" i="5"/>
  <c r="D57" i="5"/>
  <c r="AF56" i="5"/>
  <c r="E56" i="5"/>
  <c r="D56" i="5"/>
  <c r="AF55" i="5"/>
  <c r="E55" i="5"/>
  <c r="D55" i="5"/>
  <c r="AF54" i="5"/>
  <c r="E54" i="5"/>
  <c r="D54" i="5"/>
  <c r="AF53" i="5"/>
  <c r="E53" i="5"/>
  <c r="D53" i="5"/>
  <c r="AF52" i="5"/>
  <c r="E52" i="5"/>
  <c r="D52" i="5"/>
  <c r="AF51" i="5"/>
  <c r="E51" i="5"/>
  <c r="AF50" i="5"/>
  <c r="M50" i="5"/>
  <c r="E50" i="5"/>
  <c r="AF49" i="5"/>
  <c r="M49" i="5"/>
  <c r="E49" i="5"/>
  <c r="AF48" i="5"/>
  <c r="M48" i="5"/>
  <c r="E48" i="5"/>
  <c r="AF47" i="5"/>
  <c r="M47" i="5"/>
  <c r="E47" i="5"/>
  <c r="AF46" i="5"/>
  <c r="M46" i="5"/>
  <c r="E46" i="5"/>
  <c r="AF45" i="5"/>
  <c r="M45" i="5"/>
  <c r="E45" i="5"/>
  <c r="AF44" i="5"/>
  <c r="M44" i="5"/>
  <c r="E44" i="5"/>
  <c r="AF43" i="5"/>
  <c r="M43" i="5"/>
  <c r="E43" i="5"/>
  <c r="AF42" i="5"/>
  <c r="M42" i="5"/>
  <c r="E42" i="5"/>
  <c r="AF41" i="5"/>
  <c r="M41" i="5"/>
  <c r="E41" i="5"/>
  <c r="AF40" i="5"/>
  <c r="M40" i="5"/>
  <c r="E40" i="5"/>
  <c r="AF39" i="5"/>
  <c r="M39" i="5"/>
  <c r="E39" i="5"/>
  <c r="AF38" i="5"/>
  <c r="M38" i="5"/>
  <c r="E38" i="5"/>
  <c r="AL37" i="5"/>
  <c r="AF37" i="5"/>
  <c r="M37" i="5"/>
  <c r="E37" i="5"/>
  <c r="AL36" i="5"/>
  <c r="AF36" i="5"/>
  <c r="M36" i="5"/>
  <c r="E36" i="5"/>
  <c r="AL35" i="5"/>
  <c r="AF35" i="5"/>
  <c r="M35" i="5"/>
  <c r="E35" i="5"/>
  <c r="AL34" i="5"/>
  <c r="AF34" i="5"/>
  <c r="M34" i="5"/>
  <c r="E34" i="5"/>
  <c r="AF33" i="5"/>
  <c r="M33" i="5"/>
  <c r="E33" i="5"/>
  <c r="AL32" i="5"/>
  <c r="AF32" i="5"/>
  <c r="M32" i="5"/>
  <c r="E32" i="5"/>
  <c r="AL31" i="5"/>
  <c r="AF31" i="5"/>
  <c r="M31" i="5"/>
  <c r="E31" i="5"/>
  <c r="AL30" i="5"/>
  <c r="AF30" i="5"/>
  <c r="M30" i="5"/>
  <c r="E30" i="5"/>
  <c r="AL29" i="5"/>
  <c r="AF29" i="5"/>
  <c r="M29" i="5"/>
  <c r="E29" i="5"/>
  <c r="AL28" i="5"/>
  <c r="AF28" i="5"/>
  <c r="M28" i="5"/>
  <c r="E28" i="5"/>
  <c r="AL27" i="5"/>
  <c r="AF27" i="5"/>
  <c r="M27" i="5"/>
  <c r="E27" i="5"/>
  <c r="AL26" i="5"/>
  <c r="AF26" i="5"/>
  <c r="M26" i="5"/>
  <c r="E26" i="5"/>
  <c r="AL25" i="5"/>
  <c r="AF25" i="5"/>
  <c r="M25" i="5"/>
  <c r="E25" i="5"/>
  <c r="AF24" i="5"/>
  <c r="M24" i="5"/>
  <c r="E24" i="5"/>
  <c r="AL23" i="5"/>
  <c r="AF23" i="5"/>
  <c r="M23" i="5"/>
  <c r="E23" i="5"/>
  <c r="AX22" i="5"/>
  <c r="AL22" i="5"/>
  <c r="AF22" i="5"/>
  <c r="M22" i="5"/>
  <c r="E22" i="5"/>
  <c r="AX21" i="5"/>
  <c r="AL21" i="5"/>
  <c r="AF21" i="5"/>
  <c r="M21" i="5"/>
  <c r="E21" i="5"/>
  <c r="AX20" i="5"/>
  <c r="AL20" i="5"/>
  <c r="AF20" i="5"/>
  <c r="M20" i="5"/>
  <c r="E20" i="5"/>
  <c r="AX19" i="5"/>
  <c r="AL19" i="5"/>
  <c r="AF19" i="5"/>
  <c r="M19" i="5"/>
  <c r="E19" i="5"/>
  <c r="AX18" i="5"/>
  <c r="AL18" i="5"/>
  <c r="AF18" i="5"/>
  <c r="M18" i="5"/>
  <c r="E18" i="5"/>
  <c r="AX17" i="5"/>
  <c r="AL17" i="5"/>
  <c r="AF17" i="5"/>
  <c r="M17" i="5"/>
  <c r="E17" i="5"/>
  <c r="AX16" i="5"/>
  <c r="AL16" i="5"/>
  <c r="AF16" i="5"/>
  <c r="M16" i="5"/>
  <c r="E16" i="5"/>
  <c r="AX15" i="5"/>
  <c r="AL15" i="5"/>
  <c r="AF15" i="5"/>
  <c r="M15" i="5"/>
  <c r="E15" i="5"/>
  <c r="AX14" i="5"/>
  <c r="AF14" i="5"/>
  <c r="M14" i="5"/>
  <c r="E14" i="5"/>
  <c r="AX13" i="5"/>
  <c r="AL13" i="5"/>
  <c r="AF13" i="5"/>
  <c r="Y13" i="5"/>
  <c r="T13" i="5"/>
  <c r="M13" i="5"/>
  <c r="E13" i="5"/>
  <c r="AX12" i="5"/>
  <c r="AL12" i="5"/>
  <c r="AF12" i="5"/>
  <c r="Y12" i="5"/>
  <c r="T12" i="5"/>
  <c r="M12" i="5"/>
  <c r="E12" i="5"/>
  <c r="AX11" i="5"/>
  <c r="AL11" i="5"/>
  <c r="AF11" i="5"/>
  <c r="Y11" i="5"/>
  <c r="T11" i="5"/>
  <c r="M11" i="5"/>
  <c r="E11" i="5"/>
  <c r="D11" i="5"/>
  <c r="AX10" i="5"/>
  <c r="AL10" i="5"/>
  <c r="AF10" i="5"/>
  <c r="Y10" i="5"/>
  <c r="T10" i="5"/>
  <c r="M10" i="5"/>
  <c r="E10" i="5"/>
  <c r="D10" i="5"/>
  <c r="AX9" i="5"/>
  <c r="AT9" i="5"/>
  <c r="AL9" i="5"/>
  <c r="AF9" i="5"/>
  <c r="Y9" i="5"/>
  <c r="T9" i="5"/>
  <c r="M9" i="5"/>
  <c r="E9" i="5"/>
  <c r="AX8" i="5"/>
  <c r="AT8" i="5"/>
  <c r="AL8" i="5"/>
  <c r="AF8" i="5"/>
  <c r="Y8" i="5"/>
  <c r="T8" i="5"/>
  <c r="M8" i="5"/>
  <c r="E8" i="5"/>
  <c r="D8" i="5"/>
  <c r="AX7" i="5"/>
  <c r="AT7" i="5"/>
  <c r="AL7" i="5"/>
  <c r="AF7" i="5"/>
  <c r="Y7" i="5"/>
  <c r="T7" i="5"/>
  <c r="M7" i="5"/>
  <c r="E7" i="5"/>
  <c r="D7" i="5"/>
  <c r="AX6" i="5"/>
  <c r="AT6" i="5"/>
  <c r="AP6" i="5"/>
  <c r="AL6" i="5"/>
  <c r="AF6" i="5"/>
  <c r="Y6" i="5"/>
  <c r="T6" i="5"/>
  <c r="M6" i="5"/>
  <c r="E6" i="5"/>
  <c r="D6" i="5"/>
  <c r="AX5" i="5"/>
  <c r="AT5" i="5"/>
  <c r="AP5" i="5"/>
  <c r="AF5" i="5"/>
  <c r="Y5" i="5"/>
  <c r="T5" i="5"/>
  <c r="M5" i="5"/>
  <c r="E5" i="5"/>
  <c r="D5" i="5"/>
  <c r="AX4" i="5"/>
  <c r="AT4" i="5"/>
  <c r="AP4" i="5"/>
  <c r="AL4" i="5"/>
  <c r="AF4" i="5"/>
  <c r="Y4" i="5"/>
  <c r="T4" i="5"/>
  <c r="M4" i="5"/>
  <c r="E4" i="5"/>
  <c r="D4" i="5"/>
  <c r="L831" i="2" l="1"/>
  <c r="L827" i="2"/>
  <c r="I831" i="2"/>
  <c r="G831" i="2"/>
  <c r="H831" i="2" s="1"/>
  <c r="E831" i="2"/>
  <c r="O829" i="2"/>
  <c r="I829" i="2"/>
  <c r="G829" i="2"/>
  <c r="H829" i="2" s="1"/>
  <c r="E829" i="2"/>
  <c r="I827" i="2"/>
  <c r="G827" i="2"/>
  <c r="H827" i="2" s="1"/>
  <c r="E827" i="2"/>
  <c r="O825" i="2"/>
  <c r="I825" i="2"/>
  <c r="J825" i="2" s="1"/>
  <c r="G825" i="2"/>
  <c r="E825" i="2"/>
  <c r="F825" i="2" s="1"/>
  <c r="O823" i="2"/>
  <c r="I823" i="2"/>
  <c r="J823" i="2" s="1"/>
  <c r="G823" i="2"/>
  <c r="E823" i="2"/>
  <c r="F823" i="2" s="1"/>
  <c r="O821" i="2"/>
  <c r="I821" i="2"/>
  <c r="J821" i="2" s="1"/>
  <c r="G821" i="2"/>
  <c r="E821" i="2"/>
  <c r="F821" i="2" s="1"/>
  <c r="A796" i="2" l="1"/>
  <c r="B796" i="2"/>
  <c r="C796" i="2" s="1"/>
  <c r="D796" i="2" s="1"/>
  <c r="K796" i="2"/>
  <c r="M796" i="2"/>
  <c r="N796" i="2"/>
  <c r="P796" i="2"/>
  <c r="Q796" i="2"/>
  <c r="A797" i="2"/>
  <c r="B797" i="2"/>
  <c r="C797" i="2" s="1"/>
  <c r="D797" i="2" s="1"/>
  <c r="K797" i="2"/>
  <c r="M797" i="2"/>
  <c r="N797" i="2"/>
  <c r="L797" i="2" s="1"/>
  <c r="P797" i="2"/>
  <c r="Q797" i="2"/>
  <c r="A798" i="2"/>
  <c r="B798" i="2"/>
  <c r="C798" i="2" s="1"/>
  <c r="D798" i="2" s="1"/>
  <c r="K798" i="2"/>
  <c r="M798" i="2"/>
  <c r="N798" i="2"/>
  <c r="P798" i="2"/>
  <c r="Q798" i="2"/>
  <c r="A799" i="2"/>
  <c r="B799" i="2"/>
  <c r="C799" i="2" s="1"/>
  <c r="D799" i="2" s="1"/>
  <c r="K799" i="2"/>
  <c r="M799" i="2"/>
  <c r="N799" i="2"/>
  <c r="L799" i="2" s="1"/>
  <c r="P799" i="2"/>
  <c r="Q799" i="2"/>
  <c r="A800" i="2"/>
  <c r="B800" i="2"/>
  <c r="C800" i="2" s="1"/>
  <c r="D800" i="2" s="1"/>
  <c r="K800" i="2"/>
  <c r="M800" i="2"/>
  <c r="N800" i="2"/>
  <c r="P800" i="2"/>
  <c r="Q800" i="2"/>
  <c r="A801" i="2"/>
  <c r="B801" i="2"/>
  <c r="C801" i="2" s="1"/>
  <c r="D801" i="2" s="1"/>
  <c r="K801" i="2"/>
  <c r="M801" i="2"/>
  <c r="N801" i="2"/>
  <c r="L801" i="2" s="1"/>
  <c r="P801" i="2"/>
  <c r="Q801" i="2"/>
  <c r="A802" i="2"/>
  <c r="B802" i="2"/>
  <c r="C802" i="2" s="1"/>
  <c r="D802" i="2" s="1"/>
  <c r="K802" i="2"/>
  <c r="M802" i="2"/>
  <c r="N802" i="2"/>
  <c r="P802" i="2"/>
  <c r="Q802" i="2"/>
  <c r="A803" i="2"/>
  <c r="B803" i="2"/>
  <c r="C803" i="2" s="1"/>
  <c r="D803" i="2" s="1"/>
  <c r="K803" i="2"/>
  <c r="M803" i="2"/>
  <c r="N803" i="2"/>
  <c r="L803" i="2" s="1"/>
  <c r="P803" i="2"/>
  <c r="Q803" i="2"/>
  <c r="A804" i="2"/>
  <c r="B804" i="2"/>
  <c r="C804" i="2" s="1"/>
  <c r="K804" i="2"/>
  <c r="M804" i="2"/>
  <c r="N804" i="2"/>
  <c r="P804" i="2"/>
  <c r="Q804" i="2"/>
  <c r="A805" i="2"/>
  <c r="B805" i="2"/>
  <c r="K805" i="2"/>
  <c r="M805" i="2"/>
  <c r="N805" i="2"/>
  <c r="L805" i="2" s="1"/>
  <c r="P805" i="2"/>
  <c r="Q805" i="2"/>
  <c r="A806" i="2"/>
  <c r="B806" i="2"/>
  <c r="C806" i="2" s="1"/>
  <c r="K806" i="2"/>
  <c r="M806" i="2"/>
  <c r="N806" i="2"/>
  <c r="P806" i="2"/>
  <c r="Q806" i="2"/>
  <c r="A807" i="2"/>
  <c r="B807" i="2"/>
  <c r="C807" i="2" s="1"/>
  <c r="D807" i="2" s="1"/>
  <c r="K807" i="2"/>
  <c r="M807" i="2"/>
  <c r="N807" i="2"/>
  <c r="L807" i="2" s="1"/>
  <c r="P807" i="2"/>
  <c r="Q807" i="2"/>
  <c r="A808" i="2"/>
  <c r="B808" i="2"/>
  <c r="C808" i="2" s="1"/>
  <c r="D808" i="2" s="1"/>
  <c r="K808" i="2"/>
  <c r="M808" i="2"/>
  <c r="N808" i="2"/>
  <c r="P808" i="2"/>
  <c r="Q808" i="2"/>
  <c r="A809" i="2"/>
  <c r="B809" i="2"/>
  <c r="C809" i="2" s="1"/>
  <c r="D809" i="2" s="1"/>
  <c r="K809" i="2"/>
  <c r="M809" i="2"/>
  <c r="N809" i="2"/>
  <c r="L809" i="2" s="1"/>
  <c r="P809" i="2"/>
  <c r="Q809" i="2"/>
  <c r="A810" i="2"/>
  <c r="B810" i="2"/>
  <c r="C810" i="2" s="1"/>
  <c r="K810" i="2"/>
  <c r="M810" i="2"/>
  <c r="N810" i="2"/>
  <c r="P810" i="2"/>
  <c r="Q810" i="2"/>
  <c r="A811" i="2"/>
  <c r="B811" i="2"/>
  <c r="K811" i="2"/>
  <c r="M811" i="2"/>
  <c r="N811" i="2"/>
  <c r="L811" i="2" s="1"/>
  <c r="P811" i="2"/>
  <c r="Q811" i="2"/>
  <c r="A812" i="2"/>
  <c r="B812" i="2"/>
  <c r="K812" i="2"/>
  <c r="M812" i="2"/>
  <c r="N812" i="2"/>
  <c r="P812" i="2"/>
  <c r="Q812" i="2"/>
  <c r="A813" i="2"/>
  <c r="B813" i="2"/>
  <c r="K813" i="2"/>
  <c r="M813" i="2"/>
  <c r="N813" i="2"/>
  <c r="O813" i="2" s="1"/>
  <c r="P813" i="2"/>
  <c r="Q813" i="2"/>
  <c r="A814" i="2"/>
  <c r="B814" i="2"/>
  <c r="C814" i="2" s="1"/>
  <c r="K814" i="2"/>
  <c r="M814" i="2"/>
  <c r="N814" i="2"/>
  <c r="L814" i="2" s="1"/>
  <c r="P814" i="2"/>
  <c r="Q814" i="2"/>
  <c r="A815" i="2"/>
  <c r="B815" i="2"/>
  <c r="K815" i="2"/>
  <c r="M815" i="2"/>
  <c r="N815" i="2"/>
  <c r="O815" i="2" s="1"/>
  <c r="P815" i="2"/>
  <c r="Q815" i="2"/>
  <c r="A816" i="2"/>
  <c r="B816" i="2"/>
  <c r="C816" i="2" s="1"/>
  <c r="K816" i="2"/>
  <c r="M816" i="2"/>
  <c r="N816" i="2"/>
  <c r="L816" i="2" s="1"/>
  <c r="P816" i="2"/>
  <c r="Q816" i="2"/>
  <c r="A817" i="2"/>
  <c r="B817" i="2"/>
  <c r="K817" i="2"/>
  <c r="M817" i="2"/>
  <c r="N817" i="2"/>
  <c r="O817" i="2" s="1"/>
  <c r="P817" i="2"/>
  <c r="Q817" i="2"/>
  <c r="A818" i="2"/>
  <c r="B818" i="2"/>
  <c r="C818" i="2" s="1"/>
  <c r="K818" i="2"/>
  <c r="M818" i="2"/>
  <c r="N818" i="2"/>
  <c r="L818" i="2" s="1"/>
  <c r="P818" i="2"/>
  <c r="Q818" i="2"/>
  <c r="A819" i="2"/>
  <c r="B819" i="2"/>
  <c r="K819" i="2"/>
  <c r="M819" i="2"/>
  <c r="N819" i="2"/>
  <c r="O819" i="2" s="1"/>
  <c r="P819" i="2"/>
  <c r="Q819" i="2"/>
  <c r="C819" i="2" l="1"/>
  <c r="C817" i="2"/>
  <c r="C815" i="2"/>
  <c r="C813" i="2"/>
  <c r="C811" i="2"/>
  <c r="C805" i="2"/>
  <c r="O812" i="2"/>
  <c r="O810" i="2"/>
  <c r="O808" i="2"/>
  <c r="O806" i="2"/>
  <c r="O804" i="2"/>
  <c r="O802" i="2"/>
  <c r="O800" i="2"/>
  <c r="O798" i="2"/>
  <c r="O796" i="2"/>
  <c r="L819" i="2"/>
  <c r="O818" i="2"/>
  <c r="I818" i="2"/>
  <c r="J818" i="2" s="1"/>
  <c r="G818" i="2"/>
  <c r="E818" i="2"/>
  <c r="F818" i="2" s="1"/>
  <c r="L817" i="2"/>
  <c r="O816" i="2"/>
  <c r="I816" i="2"/>
  <c r="J816" i="2" s="1"/>
  <c r="G816" i="2"/>
  <c r="E816" i="2"/>
  <c r="F816" i="2" s="1"/>
  <c r="L815" i="2"/>
  <c r="O814" i="2"/>
  <c r="I814" i="2"/>
  <c r="J814" i="2" s="1"/>
  <c r="G814" i="2"/>
  <c r="E814" i="2"/>
  <c r="F814" i="2" s="1"/>
  <c r="L813" i="2"/>
  <c r="L812" i="2"/>
  <c r="C812" i="2"/>
  <c r="I819" i="2"/>
  <c r="J819" i="2" s="1"/>
  <c r="G819" i="2"/>
  <c r="E819" i="2"/>
  <c r="F819" i="2" s="1"/>
  <c r="I817" i="2"/>
  <c r="J817" i="2" s="1"/>
  <c r="G817" i="2"/>
  <c r="E817" i="2"/>
  <c r="F817" i="2" s="1"/>
  <c r="I815" i="2"/>
  <c r="J815" i="2" s="1"/>
  <c r="G815" i="2"/>
  <c r="E815" i="2"/>
  <c r="F815" i="2" s="1"/>
  <c r="I813" i="2"/>
  <c r="J813" i="2" s="1"/>
  <c r="G813" i="2"/>
  <c r="E813" i="2"/>
  <c r="F813" i="2" s="1"/>
  <c r="O811" i="2"/>
  <c r="I811" i="2"/>
  <c r="J811" i="2" s="1"/>
  <c r="G811" i="2"/>
  <c r="E811" i="2"/>
  <c r="F811" i="2" s="1"/>
  <c r="L810" i="2"/>
  <c r="O809" i="2"/>
  <c r="I809" i="2"/>
  <c r="G809" i="2"/>
  <c r="H809" i="2" s="1"/>
  <c r="E809" i="2"/>
  <c r="L808" i="2"/>
  <c r="O807" i="2"/>
  <c r="I807" i="2"/>
  <c r="G807" i="2"/>
  <c r="H807" i="2" s="1"/>
  <c r="E807" i="2"/>
  <c r="L806" i="2"/>
  <c r="O805" i="2"/>
  <c r="I805" i="2"/>
  <c r="J805" i="2" s="1"/>
  <c r="G805" i="2"/>
  <c r="E805" i="2"/>
  <c r="F805" i="2" s="1"/>
  <c r="L804" i="2"/>
  <c r="O803" i="2"/>
  <c r="I803" i="2"/>
  <c r="G803" i="2"/>
  <c r="H803" i="2" s="1"/>
  <c r="E803" i="2"/>
  <c r="L802" i="2"/>
  <c r="O801" i="2"/>
  <c r="I801" i="2"/>
  <c r="G801" i="2"/>
  <c r="H801" i="2" s="1"/>
  <c r="E801" i="2"/>
  <c r="L800" i="2"/>
  <c r="O799" i="2"/>
  <c r="I799" i="2"/>
  <c r="G799" i="2"/>
  <c r="H799" i="2" s="1"/>
  <c r="E799" i="2"/>
  <c r="L798" i="2"/>
  <c r="O797" i="2"/>
  <c r="I797" i="2"/>
  <c r="G797" i="2"/>
  <c r="H797" i="2" s="1"/>
  <c r="E797" i="2"/>
  <c r="L796" i="2"/>
  <c r="I812" i="2"/>
  <c r="J812" i="2" s="1"/>
  <c r="G812" i="2"/>
  <c r="E812" i="2"/>
  <c r="F812" i="2" s="1"/>
  <c r="I810" i="2"/>
  <c r="J810" i="2" s="1"/>
  <c r="G810" i="2"/>
  <c r="E810" i="2"/>
  <c r="F810" i="2" s="1"/>
  <c r="I808" i="2"/>
  <c r="G808" i="2"/>
  <c r="H808" i="2" s="1"/>
  <c r="E808" i="2"/>
  <c r="I806" i="2"/>
  <c r="J806" i="2" s="1"/>
  <c r="G806" i="2"/>
  <c r="E806" i="2"/>
  <c r="F806" i="2" s="1"/>
  <c r="I804" i="2"/>
  <c r="J804" i="2" s="1"/>
  <c r="G804" i="2"/>
  <c r="E804" i="2"/>
  <c r="F804" i="2" s="1"/>
  <c r="I802" i="2"/>
  <c r="G802" i="2"/>
  <c r="H802" i="2" s="1"/>
  <c r="E802" i="2"/>
  <c r="I800" i="2"/>
  <c r="G800" i="2"/>
  <c r="H800" i="2" s="1"/>
  <c r="E800" i="2"/>
  <c r="I798" i="2"/>
  <c r="G798" i="2"/>
  <c r="H798" i="2" s="1"/>
  <c r="E798" i="2"/>
  <c r="I796" i="2"/>
  <c r="G796" i="2"/>
  <c r="H796" i="2" s="1"/>
  <c r="E796" i="2"/>
  <c r="A765" i="2" l="1"/>
  <c r="B765" i="2"/>
  <c r="C765" i="2" s="1"/>
  <c r="D765" i="2" s="1"/>
  <c r="K765" i="2"/>
  <c r="M765" i="2"/>
  <c r="N765" i="2"/>
  <c r="P765" i="2"/>
  <c r="Q765" i="2"/>
  <c r="A766" i="2"/>
  <c r="B766" i="2"/>
  <c r="C766" i="2"/>
  <c r="D766" i="2" s="1"/>
  <c r="G766" i="2"/>
  <c r="H766" i="2" s="1"/>
  <c r="I766" i="2"/>
  <c r="K766" i="2"/>
  <c r="M766" i="2"/>
  <c r="N766" i="2"/>
  <c r="L766" i="2" s="1"/>
  <c r="O766" i="2"/>
  <c r="P766" i="2"/>
  <c r="Q766" i="2"/>
  <c r="E766" i="2" s="1"/>
  <c r="A767" i="2"/>
  <c r="B767" i="2"/>
  <c r="C767" i="2" s="1"/>
  <c r="D767" i="2" s="1"/>
  <c r="K767" i="2"/>
  <c r="M767" i="2"/>
  <c r="N767" i="2"/>
  <c r="P767" i="2"/>
  <c r="Q767" i="2"/>
  <c r="A768" i="2"/>
  <c r="B768" i="2"/>
  <c r="C768" i="2"/>
  <c r="D768" i="2" s="1"/>
  <c r="G768" i="2"/>
  <c r="H768" i="2" s="1"/>
  <c r="I768" i="2"/>
  <c r="K768" i="2"/>
  <c r="M768" i="2"/>
  <c r="N768" i="2"/>
  <c r="L768" i="2" s="1"/>
  <c r="O768" i="2"/>
  <c r="P768" i="2"/>
  <c r="Q768" i="2"/>
  <c r="E768" i="2" s="1"/>
  <c r="A769" i="2"/>
  <c r="B769" i="2"/>
  <c r="C769" i="2" s="1"/>
  <c r="D769" i="2" s="1"/>
  <c r="K769" i="2"/>
  <c r="M769" i="2"/>
  <c r="N769" i="2"/>
  <c r="P769" i="2"/>
  <c r="Q769" i="2"/>
  <c r="A770" i="2"/>
  <c r="B770" i="2"/>
  <c r="C770" i="2"/>
  <c r="D770" i="2" s="1"/>
  <c r="G770" i="2"/>
  <c r="H770" i="2" s="1"/>
  <c r="I770" i="2"/>
  <c r="K770" i="2"/>
  <c r="M770" i="2"/>
  <c r="N770" i="2"/>
  <c r="L770" i="2" s="1"/>
  <c r="O770" i="2"/>
  <c r="P770" i="2"/>
  <c r="Q770" i="2"/>
  <c r="E770" i="2" s="1"/>
  <c r="A771" i="2"/>
  <c r="B771" i="2"/>
  <c r="C771" i="2" s="1"/>
  <c r="D771" i="2" s="1"/>
  <c r="K771" i="2"/>
  <c r="M771" i="2"/>
  <c r="N771" i="2"/>
  <c r="P771" i="2"/>
  <c r="Q771" i="2"/>
  <c r="A772" i="2"/>
  <c r="B772" i="2"/>
  <c r="E772" i="2"/>
  <c r="F772" i="2" s="1"/>
  <c r="G772" i="2"/>
  <c r="I772" i="2"/>
  <c r="J772" i="2" s="1"/>
  <c r="K772" i="2"/>
  <c r="M772" i="2"/>
  <c r="N772" i="2"/>
  <c r="L772" i="2" s="1"/>
  <c r="O772" i="2"/>
  <c r="P772" i="2"/>
  <c r="Q772" i="2"/>
  <c r="C772" i="2" s="1"/>
  <c r="A773" i="2"/>
  <c r="B773" i="2"/>
  <c r="C773" i="2" s="1"/>
  <c r="K773" i="2"/>
  <c r="M773" i="2"/>
  <c r="N773" i="2"/>
  <c r="P773" i="2"/>
  <c r="Q773" i="2"/>
  <c r="A774" i="2"/>
  <c r="B774" i="2"/>
  <c r="E774" i="2"/>
  <c r="F774" i="2" s="1"/>
  <c r="G774" i="2"/>
  <c r="I774" i="2"/>
  <c r="J774" i="2" s="1"/>
  <c r="K774" i="2"/>
  <c r="M774" i="2"/>
  <c r="N774" i="2"/>
  <c r="L774" i="2" s="1"/>
  <c r="O774" i="2"/>
  <c r="P774" i="2"/>
  <c r="Q774" i="2"/>
  <c r="C774" i="2" s="1"/>
  <c r="A775" i="2"/>
  <c r="B775" i="2"/>
  <c r="C775" i="2" s="1"/>
  <c r="D775" i="2" s="1"/>
  <c r="K775" i="2"/>
  <c r="M775" i="2"/>
  <c r="N775" i="2"/>
  <c r="P775" i="2"/>
  <c r="Q775" i="2"/>
  <c r="A776" i="2"/>
  <c r="B776" i="2"/>
  <c r="C776" i="2" s="1"/>
  <c r="D776" i="2" s="1"/>
  <c r="G776" i="2"/>
  <c r="H776" i="2" s="1"/>
  <c r="K776" i="2"/>
  <c r="M776" i="2"/>
  <c r="N776" i="2"/>
  <c r="L776" i="2" s="1"/>
  <c r="P776" i="2"/>
  <c r="Q776" i="2"/>
  <c r="A777" i="2"/>
  <c r="B777" i="2"/>
  <c r="K777" i="2"/>
  <c r="M777" i="2"/>
  <c r="N777" i="2"/>
  <c r="O777" i="2" s="1"/>
  <c r="P777" i="2"/>
  <c r="Q777" i="2"/>
  <c r="A778" i="2"/>
  <c r="B778" i="2"/>
  <c r="E778" i="2" s="1"/>
  <c r="F778" i="2" s="1"/>
  <c r="K778" i="2"/>
  <c r="M778" i="2"/>
  <c r="N778" i="2"/>
  <c r="L778" i="2" s="1"/>
  <c r="P778" i="2"/>
  <c r="Q778" i="2"/>
  <c r="A779" i="2"/>
  <c r="B779" i="2"/>
  <c r="K779" i="2"/>
  <c r="M779" i="2"/>
  <c r="N779" i="2"/>
  <c r="P779" i="2"/>
  <c r="Q779" i="2"/>
  <c r="A780" i="2"/>
  <c r="B780" i="2"/>
  <c r="E780" i="2" s="1"/>
  <c r="F780" i="2" s="1"/>
  <c r="K780" i="2"/>
  <c r="M780" i="2"/>
  <c r="N780" i="2"/>
  <c r="L780" i="2" s="1"/>
  <c r="P780" i="2"/>
  <c r="Q780" i="2"/>
  <c r="A781" i="2"/>
  <c r="B781" i="2"/>
  <c r="K781" i="2"/>
  <c r="M781" i="2"/>
  <c r="N781" i="2"/>
  <c r="P781" i="2"/>
  <c r="Q781" i="2"/>
  <c r="A782" i="2"/>
  <c r="B782" i="2"/>
  <c r="K782" i="2"/>
  <c r="M782" i="2"/>
  <c r="N782" i="2"/>
  <c r="P782" i="2"/>
  <c r="Q782" i="2"/>
  <c r="A783" i="2"/>
  <c r="B783" i="2"/>
  <c r="E783" i="2" s="1"/>
  <c r="F783" i="2" s="1"/>
  <c r="G783" i="2"/>
  <c r="K783" i="2"/>
  <c r="M783" i="2"/>
  <c r="N783" i="2"/>
  <c r="L783" i="2" s="1"/>
  <c r="P783" i="2"/>
  <c r="Q783" i="2"/>
  <c r="A784" i="2"/>
  <c r="B784" i="2"/>
  <c r="K784" i="2"/>
  <c r="M784" i="2"/>
  <c r="N784" i="2"/>
  <c r="P784" i="2"/>
  <c r="Q784" i="2"/>
  <c r="A785" i="2"/>
  <c r="B785" i="2"/>
  <c r="E785" i="2" s="1"/>
  <c r="F785" i="2" s="1"/>
  <c r="G785" i="2"/>
  <c r="K785" i="2"/>
  <c r="M785" i="2"/>
  <c r="N785" i="2"/>
  <c r="L785" i="2" s="1"/>
  <c r="P785" i="2"/>
  <c r="Q785" i="2"/>
  <c r="A786" i="2"/>
  <c r="B786" i="2"/>
  <c r="K786" i="2"/>
  <c r="M786" i="2"/>
  <c r="N786" i="2"/>
  <c r="P786" i="2"/>
  <c r="Q786" i="2"/>
  <c r="A787" i="2"/>
  <c r="B787" i="2"/>
  <c r="E787" i="2" s="1"/>
  <c r="F787" i="2" s="1"/>
  <c r="G787" i="2"/>
  <c r="K787" i="2"/>
  <c r="M787" i="2"/>
  <c r="N787" i="2"/>
  <c r="L787" i="2" s="1"/>
  <c r="P787" i="2"/>
  <c r="Q787" i="2"/>
  <c r="A788" i="2"/>
  <c r="B788" i="2"/>
  <c r="K788" i="2"/>
  <c r="M788" i="2"/>
  <c r="N788" i="2"/>
  <c r="P788" i="2"/>
  <c r="Q788" i="2"/>
  <c r="A789" i="2"/>
  <c r="B789" i="2"/>
  <c r="E789" i="2" s="1"/>
  <c r="F789" i="2" s="1"/>
  <c r="G789" i="2"/>
  <c r="K789" i="2"/>
  <c r="M789" i="2"/>
  <c r="N789" i="2"/>
  <c r="L789" i="2" s="1"/>
  <c r="P789" i="2"/>
  <c r="Q789" i="2"/>
  <c r="C789" i="2" s="1"/>
  <c r="A790" i="2"/>
  <c r="B790" i="2"/>
  <c r="K790" i="2"/>
  <c r="M790" i="2"/>
  <c r="N790" i="2"/>
  <c r="P790" i="2"/>
  <c r="Q790" i="2"/>
  <c r="A791" i="2"/>
  <c r="B791" i="2"/>
  <c r="E791" i="2" s="1"/>
  <c r="F791" i="2" s="1"/>
  <c r="G791" i="2"/>
  <c r="K791" i="2"/>
  <c r="M791" i="2"/>
  <c r="N791" i="2"/>
  <c r="L791" i="2" s="1"/>
  <c r="P791" i="2"/>
  <c r="Q791" i="2"/>
  <c r="A792" i="2"/>
  <c r="B792" i="2"/>
  <c r="K792" i="2"/>
  <c r="M792" i="2"/>
  <c r="N792" i="2"/>
  <c r="P792" i="2"/>
  <c r="Q792" i="2"/>
  <c r="A793" i="2"/>
  <c r="B793" i="2"/>
  <c r="E793" i="2" s="1"/>
  <c r="F793" i="2" s="1"/>
  <c r="K793" i="2"/>
  <c r="M793" i="2"/>
  <c r="N793" i="2"/>
  <c r="L793" i="2" s="1"/>
  <c r="P793" i="2"/>
  <c r="Q793" i="2"/>
  <c r="A794" i="2"/>
  <c r="B794" i="2"/>
  <c r="K794" i="2"/>
  <c r="M794" i="2"/>
  <c r="N794" i="2"/>
  <c r="P794" i="2"/>
  <c r="Q794" i="2"/>
  <c r="A795" i="2"/>
  <c r="B795" i="2"/>
  <c r="E795" i="2" s="1"/>
  <c r="F795" i="2" s="1"/>
  <c r="K795" i="2"/>
  <c r="M795" i="2"/>
  <c r="N795" i="2"/>
  <c r="L795" i="2" s="1"/>
  <c r="P795" i="2"/>
  <c r="Q795" i="2"/>
  <c r="O789" i="2" l="1"/>
  <c r="I789" i="2"/>
  <c r="J789" i="2" s="1"/>
  <c r="C788" i="2"/>
  <c r="C787" i="2"/>
  <c r="O787" i="2"/>
  <c r="I787" i="2"/>
  <c r="J787" i="2" s="1"/>
  <c r="C786" i="2"/>
  <c r="C785" i="2"/>
  <c r="O785" i="2"/>
  <c r="I785" i="2"/>
  <c r="J785" i="2" s="1"/>
  <c r="C784" i="2"/>
  <c r="C783" i="2"/>
  <c r="O783" i="2"/>
  <c r="I783" i="2"/>
  <c r="J783" i="2" s="1"/>
  <c r="C782" i="2"/>
  <c r="G780" i="2"/>
  <c r="O781" i="2"/>
  <c r="G795" i="2"/>
  <c r="G793" i="2"/>
  <c r="C795" i="2"/>
  <c r="O795" i="2"/>
  <c r="I795" i="2"/>
  <c r="J795" i="2" s="1"/>
  <c r="C794" i="2"/>
  <c r="C793" i="2"/>
  <c r="O793" i="2"/>
  <c r="I793" i="2"/>
  <c r="J793" i="2" s="1"/>
  <c r="C792" i="2"/>
  <c r="C791" i="2"/>
  <c r="O791" i="2"/>
  <c r="I791" i="2"/>
  <c r="J791" i="2" s="1"/>
  <c r="C790" i="2"/>
  <c r="O779" i="2"/>
  <c r="G778" i="2"/>
  <c r="O775" i="2"/>
  <c r="O794" i="2"/>
  <c r="O792" i="2"/>
  <c r="O790" i="2"/>
  <c r="O788" i="2"/>
  <c r="O786" i="2"/>
  <c r="O784" i="2"/>
  <c r="O782" i="2"/>
  <c r="C780" i="2"/>
  <c r="O780" i="2"/>
  <c r="I780" i="2"/>
  <c r="J780" i="2" s="1"/>
  <c r="C778" i="2"/>
  <c r="O778" i="2"/>
  <c r="I778" i="2"/>
  <c r="J778" i="2" s="1"/>
  <c r="E776" i="2"/>
  <c r="O776" i="2"/>
  <c r="I776" i="2"/>
  <c r="O773" i="2"/>
  <c r="O771" i="2"/>
  <c r="O769" i="2"/>
  <c r="O767" i="2"/>
  <c r="O765" i="2"/>
  <c r="L794" i="2"/>
  <c r="L790" i="2"/>
  <c r="L786" i="2"/>
  <c r="L784" i="2"/>
  <c r="L782" i="2"/>
  <c r="L781" i="2"/>
  <c r="C781" i="2"/>
  <c r="E781" i="2"/>
  <c r="F781" i="2" s="1"/>
  <c r="G781" i="2"/>
  <c r="I781" i="2"/>
  <c r="J781" i="2" s="1"/>
  <c r="L779" i="2"/>
  <c r="C779" i="2"/>
  <c r="D779" i="2" s="1"/>
  <c r="E779" i="2"/>
  <c r="G779" i="2"/>
  <c r="H779" i="2" s="1"/>
  <c r="I779" i="2"/>
  <c r="L777" i="2"/>
  <c r="C777" i="2"/>
  <c r="E777" i="2"/>
  <c r="F777" i="2" s="1"/>
  <c r="G777" i="2"/>
  <c r="I777" i="2"/>
  <c r="J777" i="2" s="1"/>
  <c r="L775" i="2"/>
  <c r="L792" i="2"/>
  <c r="L788" i="2"/>
  <c r="I794" i="2"/>
  <c r="J794" i="2" s="1"/>
  <c r="G794" i="2"/>
  <c r="E794" i="2"/>
  <c r="F794" i="2" s="1"/>
  <c r="I792" i="2"/>
  <c r="J792" i="2" s="1"/>
  <c r="G792" i="2"/>
  <c r="E792" i="2"/>
  <c r="F792" i="2" s="1"/>
  <c r="I790" i="2"/>
  <c r="J790" i="2" s="1"/>
  <c r="G790" i="2"/>
  <c r="E790" i="2"/>
  <c r="F790" i="2" s="1"/>
  <c r="I788" i="2"/>
  <c r="J788" i="2" s="1"/>
  <c r="G788" i="2"/>
  <c r="E788" i="2"/>
  <c r="F788" i="2" s="1"/>
  <c r="I786" i="2"/>
  <c r="J786" i="2" s="1"/>
  <c r="G786" i="2"/>
  <c r="E786" i="2"/>
  <c r="F786" i="2" s="1"/>
  <c r="I784" i="2"/>
  <c r="J784" i="2" s="1"/>
  <c r="G784" i="2"/>
  <c r="E784" i="2"/>
  <c r="F784" i="2" s="1"/>
  <c r="I782" i="2"/>
  <c r="J782" i="2" s="1"/>
  <c r="G782" i="2"/>
  <c r="E782" i="2"/>
  <c r="F782" i="2" s="1"/>
  <c r="L773" i="2"/>
  <c r="L771" i="2"/>
  <c r="L769" i="2"/>
  <c r="L767" i="2"/>
  <c r="L765" i="2"/>
  <c r="I775" i="2"/>
  <c r="G775" i="2"/>
  <c r="H775" i="2" s="1"/>
  <c r="E775" i="2"/>
  <c r="I773" i="2"/>
  <c r="J773" i="2" s="1"/>
  <c r="G773" i="2"/>
  <c r="E773" i="2"/>
  <c r="F773" i="2" s="1"/>
  <c r="I771" i="2"/>
  <c r="G771" i="2"/>
  <c r="H771" i="2" s="1"/>
  <c r="E771" i="2"/>
  <c r="I769" i="2"/>
  <c r="G769" i="2"/>
  <c r="H769" i="2" s="1"/>
  <c r="E769" i="2"/>
  <c r="I767" i="2"/>
  <c r="G767" i="2"/>
  <c r="H767" i="2" s="1"/>
  <c r="E767" i="2"/>
  <c r="I765" i="2"/>
  <c r="G765" i="2"/>
  <c r="H765" i="2" s="1"/>
  <c r="E765" i="2"/>
  <c r="A650" i="2" l="1"/>
  <c r="B650" i="2"/>
  <c r="C650" i="2" s="1"/>
  <c r="D650" i="2" s="1"/>
  <c r="K650" i="2"/>
  <c r="M650" i="2"/>
  <c r="N650" i="2"/>
  <c r="P650" i="2"/>
  <c r="Q650" i="2"/>
  <c r="A651" i="2"/>
  <c r="B651" i="2"/>
  <c r="E651" i="2"/>
  <c r="F651" i="2" s="1"/>
  <c r="G651" i="2"/>
  <c r="I651" i="2"/>
  <c r="J651" i="2" s="1"/>
  <c r="K651" i="2"/>
  <c r="M651" i="2"/>
  <c r="N651" i="2"/>
  <c r="L651" i="2" s="1"/>
  <c r="O651" i="2"/>
  <c r="P651" i="2"/>
  <c r="Q651" i="2"/>
  <c r="C651" i="2" s="1"/>
  <c r="A652" i="2"/>
  <c r="B652" i="2"/>
  <c r="C652" i="2" s="1"/>
  <c r="K652" i="2"/>
  <c r="M652" i="2"/>
  <c r="N652" i="2"/>
  <c r="P652" i="2"/>
  <c r="Q652" i="2"/>
  <c r="A653" i="2"/>
  <c r="B653" i="2"/>
  <c r="E653" i="2"/>
  <c r="F653" i="2" s="1"/>
  <c r="G653" i="2"/>
  <c r="I653" i="2"/>
  <c r="J653" i="2" s="1"/>
  <c r="K653" i="2"/>
  <c r="M653" i="2"/>
  <c r="N653" i="2"/>
  <c r="L653" i="2" s="1"/>
  <c r="O653" i="2"/>
  <c r="P653" i="2"/>
  <c r="Q653" i="2"/>
  <c r="C653" i="2" s="1"/>
  <c r="A654" i="2"/>
  <c r="B654" i="2"/>
  <c r="C654" i="2" s="1"/>
  <c r="K654" i="2"/>
  <c r="M654" i="2"/>
  <c r="N654" i="2"/>
  <c r="P654" i="2"/>
  <c r="Q654" i="2"/>
  <c r="A655" i="2"/>
  <c r="B655" i="2"/>
  <c r="E655" i="2"/>
  <c r="F655" i="2" s="1"/>
  <c r="G655" i="2"/>
  <c r="I655" i="2"/>
  <c r="J655" i="2" s="1"/>
  <c r="K655" i="2"/>
  <c r="M655" i="2"/>
  <c r="N655" i="2"/>
  <c r="L655" i="2" s="1"/>
  <c r="O655" i="2"/>
  <c r="P655" i="2"/>
  <c r="Q655" i="2"/>
  <c r="C655" i="2" s="1"/>
  <c r="A656" i="2"/>
  <c r="B656" i="2"/>
  <c r="C656" i="2" s="1"/>
  <c r="K656" i="2"/>
  <c r="M656" i="2"/>
  <c r="N656" i="2"/>
  <c r="P656" i="2"/>
  <c r="Q656" i="2"/>
  <c r="A657" i="2"/>
  <c r="B657" i="2"/>
  <c r="E657" i="2"/>
  <c r="F657" i="2" s="1"/>
  <c r="G657" i="2"/>
  <c r="I657" i="2"/>
  <c r="J657" i="2" s="1"/>
  <c r="K657" i="2"/>
  <c r="M657" i="2"/>
  <c r="N657" i="2"/>
  <c r="L657" i="2" s="1"/>
  <c r="O657" i="2"/>
  <c r="P657" i="2"/>
  <c r="Q657" i="2"/>
  <c r="C657" i="2" s="1"/>
  <c r="A658" i="2"/>
  <c r="B658" i="2"/>
  <c r="C658" i="2" s="1"/>
  <c r="K658" i="2"/>
  <c r="M658" i="2"/>
  <c r="N658" i="2"/>
  <c r="P658" i="2"/>
  <c r="Q658" i="2"/>
  <c r="A659" i="2"/>
  <c r="B659" i="2"/>
  <c r="E659" i="2"/>
  <c r="F659" i="2" s="1"/>
  <c r="G659" i="2"/>
  <c r="I659" i="2"/>
  <c r="J659" i="2" s="1"/>
  <c r="K659" i="2"/>
  <c r="M659" i="2"/>
  <c r="N659" i="2"/>
  <c r="L659" i="2" s="1"/>
  <c r="O659" i="2"/>
  <c r="P659" i="2"/>
  <c r="Q659" i="2"/>
  <c r="C659" i="2" s="1"/>
  <c r="A660" i="2"/>
  <c r="B660" i="2"/>
  <c r="K660" i="2"/>
  <c r="M660" i="2"/>
  <c r="N660" i="2"/>
  <c r="P660" i="2"/>
  <c r="Q660" i="2"/>
  <c r="A661" i="2"/>
  <c r="B661" i="2"/>
  <c r="E661" i="2"/>
  <c r="F661" i="2" s="1"/>
  <c r="G661" i="2"/>
  <c r="I661" i="2"/>
  <c r="J661" i="2" s="1"/>
  <c r="K661" i="2"/>
  <c r="M661" i="2"/>
  <c r="N661" i="2"/>
  <c r="L661" i="2" s="1"/>
  <c r="O661" i="2"/>
  <c r="P661" i="2"/>
  <c r="Q661" i="2"/>
  <c r="C661" i="2" s="1"/>
  <c r="A662" i="2"/>
  <c r="B662" i="2"/>
  <c r="K662" i="2"/>
  <c r="M662" i="2"/>
  <c r="N662" i="2"/>
  <c r="P662" i="2"/>
  <c r="Q662" i="2"/>
  <c r="A663" i="2"/>
  <c r="B663" i="2"/>
  <c r="E663" i="2"/>
  <c r="F663" i="2" s="1"/>
  <c r="G663" i="2"/>
  <c r="I663" i="2"/>
  <c r="J663" i="2" s="1"/>
  <c r="K663" i="2"/>
  <c r="M663" i="2"/>
  <c r="N663" i="2"/>
  <c r="L663" i="2" s="1"/>
  <c r="O663" i="2"/>
  <c r="P663" i="2"/>
  <c r="Q663" i="2"/>
  <c r="C663" i="2" s="1"/>
  <c r="A664" i="2"/>
  <c r="B664" i="2"/>
  <c r="K664" i="2"/>
  <c r="M664" i="2"/>
  <c r="N664" i="2"/>
  <c r="P664" i="2"/>
  <c r="Q664" i="2"/>
  <c r="A665" i="2"/>
  <c r="B665" i="2"/>
  <c r="E665" i="2"/>
  <c r="F665" i="2" s="1"/>
  <c r="G665" i="2"/>
  <c r="I665" i="2"/>
  <c r="J665" i="2" s="1"/>
  <c r="K665" i="2"/>
  <c r="M665" i="2"/>
  <c r="N665" i="2"/>
  <c r="L665" i="2" s="1"/>
  <c r="O665" i="2"/>
  <c r="P665" i="2"/>
  <c r="Q665" i="2"/>
  <c r="C665" i="2" s="1"/>
  <c r="A666" i="2"/>
  <c r="B666" i="2"/>
  <c r="K666" i="2"/>
  <c r="M666" i="2"/>
  <c r="N666" i="2"/>
  <c r="P666" i="2"/>
  <c r="Q666" i="2"/>
  <c r="A667" i="2"/>
  <c r="B667" i="2"/>
  <c r="K667" i="2"/>
  <c r="M667" i="2"/>
  <c r="N667" i="2"/>
  <c r="O667" i="2" s="1"/>
  <c r="P667" i="2"/>
  <c r="Q667" i="2"/>
  <c r="A668" i="2"/>
  <c r="B668" i="2"/>
  <c r="E668" i="2" s="1"/>
  <c r="F668" i="2" s="1"/>
  <c r="K668" i="2"/>
  <c r="M668" i="2"/>
  <c r="N668" i="2"/>
  <c r="L668" i="2" s="1"/>
  <c r="P668" i="2"/>
  <c r="Q668" i="2"/>
  <c r="A669" i="2"/>
  <c r="B669" i="2"/>
  <c r="C669" i="2" s="1"/>
  <c r="D669" i="2" s="1"/>
  <c r="K669" i="2"/>
  <c r="M669" i="2"/>
  <c r="N669" i="2"/>
  <c r="P669" i="2"/>
  <c r="Q669" i="2"/>
  <c r="A670" i="2"/>
  <c r="B670" i="2"/>
  <c r="C670" i="2" s="1"/>
  <c r="D670" i="2" s="1"/>
  <c r="K670" i="2"/>
  <c r="M670" i="2"/>
  <c r="N670" i="2"/>
  <c r="L670" i="2" s="1"/>
  <c r="P670" i="2"/>
  <c r="Q670" i="2"/>
  <c r="A671" i="2"/>
  <c r="B671" i="2"/>
  <c r="K671" i="2"/>
  <c r="M671" i="2"/>
  <c r="N671" i="2"/>
  <c r="P671" i="2"/>
  <c r="Q671" i="2"/>
  <c r="A672" i="2"/>
  <c r="B672" i="2"/>
  <c r="E672" i="2" s="1"/>
  <c r="F672" i="2" s="1"/>
  <c r="K672" i="2"/>
  <c r="M672" i="2"/>
  <c r="N672" i="2"/>
  <c r="L672" i="2" s="1"/>
  <c r="P672" i="2"/>
  <c r="Q672" i="2"/>
  <c r="A673" i="2"/>
  <c r="B673" i="2"/>
  <c r="K673" i="2"/>
  <c r="M673" i="2"/>
  <c r="N673" i="2"/>
  <c r="P673" i="2"/>
  <c r="Q673" i="2"/>
  <c r="A674" i="2"/>
  <c r="B674" i="2"/>
  <c r="E674" i="2" s="1"/>
  <c r="F674" i="2" s="1"/>
  <c r="K674" i="2"/>
  <c r="M674" i="2"/>
  <c r="N674" i="2"/>
  <c r="L674" i="2" s="1"/>
  <c r="P674" i="2"/>
  <c r="Q674" i="2"/>
  <c r="A675" i="2"/>
  <c r="B675" i="2"/>
  <c r="K675" i="2"/>
  <c r="M675" i="2"/>
  <c r="N675" i="2"/>
  <c r="P675" i="2"/>
  <c r="Q675" i="2"/>
  <c r="A676" i="2"/>
  <c r="B676" i="2"/>
  <c r="E676" i="2" s="1"/>
  <c r="F676" i="2" s="1"/>
  <c r="K676" i="2"/>
  <c r="M676" i="2"/>
  <c r="N676" i="2"/>
  <c r="L676" i="2" s="1"/>
  <c r="P676" i="2"/>
  <c r="Q676" i="2"/>
  <c r="A677" i="2"/>
  <c r="B677" i="2"/>
  <c r="K677" i="2"/>
  <c r="M677" i="2"/>
  <c r="N677" i="2"/>
  <c r="P677" i="2"/>
  <c r="Q677" i="2"/>
  <c r="A678" i="2"/>
  <c r="B678" i="2"/>
  <c r="E678" i="2" s="1"/>
  <c r="F678" i="2" s="1"/>
  <c r="K678" i="2"/>
  <c r="M678" i="2"/>
  <c r="N678" i="2"/>
  <c r="L678" i="2" s="1"/>
  <c r="P678" i="2"/>
  <c r="Q678" i="2"/>
  <c r="A679" i="2"/>
  <c r="B679" i="2"/>
  <c r="C679" i="2" s="1"/>
  <c r="D679" i="2" s="1"/>
  <c r="K679" i="2"/>
  <c r="M679" i="2"/>
  <c r="N679" i="2"/>
  <c r="P679" i="2"/>
  <c r="Q679" i="2"/>
  <c r="A680" i="2"/>
  <c r="B680" i="2"/>
  <c r="C680" i="2" s="1"/>
  <c r="D680" i="2" s="1"/>
  <c r="K680" i="2"/>
  <c r="M680" i="2"/>
  <c r="N680" i="2"/>
  <c r="L680" i="2" s="1"/>
  <c r="P680" i="2"/>
  <c r="Q680" i="2"/>
  <c r="A681" i="2"/>
  <c r="B681" i="2"/>
  <c r="K681" i="2"/>
  <c r="M681" i="2"/>
  <c r="N681" i="2"/>
  <c r="P681" i="2"/>
  <c r="Q681" i="2"/>
  <c r="A682" i="2"/>
  <c r="B682" i="2"/>
  <c r="E682" i="2" s="1"/>
  <c r="F682" i="2" s="1"/>
  <c r="G682" i="2"/>
  <c r="K682" i="2"/>
  <c r="M682" i="2"/>
  <c r="N682" i="2"/>
  <c r="L682" i="2" s="1"/>
  <c r="P682" i="2"/>
  <c r="Q682" i="2"/>
  <c r="A683" i="2"/>
  <c r="B683" i="2"/>
  <c r="K683" i="2"/>
  <c r="M683" i="2"/>
  <c r="N683" i="2"/>
  <c r="P683" i="2"/>
  <c r="Q683" i="2"/>
  <c r="A684" i="2"/>
  <c r="B684" i="2"/>
  <c r="E684" i="2" s="1"/>
  <c r="F684" i="2" s="1"/>
  <c r="K684" i="2"/>
  <c r="M684" i="2"/>
  <c r="N684" i="2"/>
  <c r="L684" i="2" s="1"/>
  <c r="P684" i="2"/>
  <c r="Q684" i="2"/>
  <c r="A685" i="2"/>
  <c r="B685" i="2"/>
  <c r="K685" i="2"/>
  <c r="M685" i="2"/>
  <c r="N685" i="2"/>
  <c r="P685" i="2"/>
  <c r="Q685" i="2"/>
  <c r="A686" i="2"/>
  <c r="B686" i="2"/>
  <c r="E686" i="2" s="1"/>
  <c r="F686" i="2" s="1"/>
  <c r="K686" i="2"/>
  <c r="M686" i="2"/>
  <c r="N686" i="2"/>
  <c r="L686" i="2" s="1"/>
  <c r="P686" i="2"/>
  <c r="Q686" i="2"/>
  <c r="A687" i="2"/>
  <c r="B687" i="2"/>
  <c r="K687" i="2"/>
  <c r="M687" i="2"/>
  <c r="N687" i="2"/>
  <c r="P687" i="2"/>
  <c r="Q687" i="2"/>
  <c r="A688" i="2"/>
  <c r="B688" i="2"/>
  <c r="E688" i="2" s="1"/>
  <c r="F688" i="2" s="1"/>
  <c r="K688" i="2"/>
  <c r="M688" i="2"/>
  <c r="N688" i="2"/>
  <c r="L688" i="2" s="1"/>
  <c r="P688" i="2"/>
  <c r="Q688" i="2"/>
  <c r="A689" i="2"/>
  <c r="B689" i="2"/>
  <c r="K689" i="2"/>
  <c r="M689" i="2"/>
  <c r="N689" i="2"/>
  <c r="P689" i="2"/>
  <c r="Q689" i="2"/>
  <c r="A690" i="2"/>
  <c r="B690" i="2"/>
  <c r="E690" i="2" s="1"/>
  <c r="F690" i="2" s="1"/>
  <c r="K690" i="2"/>
  <c r="M690" i="2"/>
  <c r="N690" i="2"/>
  <c r="L690" i="2" s="1"/>
  <c r="P690" i="2"/>
  <c r="Q690" i="2"/>
  <c r="A691" i="2"/>
  <c r="B691" i="2"/>
  <c r="K691" i="2"/>
  <c r="M691" i="2"/>
  <c r="N691" i="2"/>
  <c r="P691" i="2"/>
  <c r="Q691" i="2"/>
  <c r="A692" i="2"/>
  <c r="B692" i="2"/>
  <c r="E692" i="2" s="1"/>
  <c r="F692" i="2" s="1"/>
  <c r="K692" i="2"/>
  <c r="M692" i="2"/>
  <c r="N692" i="2"/>
  <c r="L692" i="2" s="1"/>
  <c r="P692" i="2"/>
  <c r="Q692" i="2"/>
  <c r="A693" i="2"/>
  <c r="B693" i="2"/>
  <c r="K693" i="2"/>
  <c r="M693" i="2"/>
  <c r="N693" i="2"/>
  <c r="P693" i="2"/>
  <c r="Q693" i="2"/>
  <c r="A694" i="2"/>
  <c r="B694" i="2"/>
  <c r="E694" i="2" s="1"/>
  <c r="F694" i="2" s="1"/>
  <c r="G694" i="2"/>
  <c r="K694" i="2"/>
  <c r="M694" i="2"/>
  <c r="N694" i="2"/>
  <c r="L694" i="2" s="1"/>
  <c r="P694" i="2"/>
  <c r="Q694" i="2"/>
  <c r="A695" i="2"/>
  <c r="B695" i="2"/>
  <c r="K695" i="2"/>
  <c r="M695" i="2"/>
  <c r="N695" i="2"/>
  <c r="P695" i="2"/>
  <c r="Q695" i="2"/>
  <c r="A696" i="2"/>
  <c r="B696" i="2"/>
  <c r="C696" i="2" s="1"/>
  <c r="D696" i="2" s="1"/>
  <c r="K696" i="2"/>
  <c r="M696" i="2"/>
  <c r="N696" i="2"/>
  <c r="P696" i="2"/>
  <c r="Q696" i="2"/>
  <c r="E696" i="2" s="1"/>
  <c r="A697" i="2"/>
  <c r="B697" i="2"/>
  <c r="C697" i="2" s="1"/>
  <c r="D697" i="2" s="1"/>
  <c r="K697" i="2"/>
  <c r="M697" i="2"/>
  <c r="N697" i="2"/>
  <c r="L697" i="2" s="1"/>
  <c r="P697" i="2"/>
  <c r="Q697" i="2"/>
  <c r="A698" i="2"/>
  <c r="B698" i="2"/>
  <c r="K698" i="2"/>
  <c r="M698" i="2"/>
  <c r="N698" i="2"/>
  <c r="P698" i="2"/>
  <c r="Q698" i="2"/>
  <c r="A699" i="2"/>
  <c r="B699" i="2"/>
  <c r="E699" i="2" s="1"/>
  <c r="F699" i="2" s="1"/>
  <c r="K699" i="2"/>
  <c r="M699" i="2"/>
  <c r="N699" i="2"/>
  <c r="L699" i="2" s="1"/>
  <c r="P699" i="2"/>
  <c r="Q699" i="2"/>
  <c r="A700" i="2"/>
  <c r="B700" i="2"/>
  <c r="K700" i="2"/>
  <c r="M700" i="2"/>
  <c r="N700" i="2"/>
  <c r="P700" i="2"/>
  <c r="Q700" i="2"/>
  <c r="A701" i="2"/>
  <c r="B701" i="2"/>
  <c r="E701" i="2" s="1"/>
  <c r="F701" i="2" s="1"/>
  <c r="G701" i="2"/>
  <c r="K701" i="2"/>
  <c r="M701" i="2"/>
  <c r="N701" i="2"/>
  <c r="L701" i="2" s="1"/>
  <c r="P701" i="2"/>
  <c r="Q701" i="2"/>
  <c r="A702" i="2"/>
  <c r="B702" i="2"/>
  <c r="K702" i="2"/>
  <c r="M702" i="2"/>
  <c r="N702" i="2"/>
  <c r="P702" i="2"/>
  <c r="Q702" i="2"/>
  <c r="A703" i="2"/>
  <c r="B703" i="2"/>
  <c r="E703" i="2" s="1"/>
  <c r="F703" i="2" s="1"/>
  <c r="K703" i="2"/>
  <c r="M703" i="2"/>
  <c r="N703" i="2"/>
  <c r="L703" i="2" s="1"/>
  <c r="P703" i="2"/>
  <c r="Q703" i="2"/>
  <c r="A704" i="2"/>
  <c r="B704" i="2"/>
  <c r="K704" i="2"/>
  <c r="M704" i="2"/>
  <c r="N704" i="2"/>
  <c r="P704" i="2"/>
  <c r="Q704" i="2"/>
  <c r="A705" i="2"/>
  <c r="B705" i="2"/>
  <c r="E705" i="2" s="1"/>
  <c r="F705" i="2" s="1"/>
  <c r="G705" i="2"/>
  <c r="K705" i="2"/>
  <c r="M705" i="2"/>
  <c r="N705" i="2"/>
  <c r="L705" i="2" s="1"/>
  <c r="P705" i="2"/>
  <c r="Q705" i="2"/>
  <c r="A706" i="2"/>
  <c r="B706" i="2"/>
  <c r="K706" i="2"/>
  <c r="M706" i="2"/>
  <c r="N706" i="2"/>
  <c r="P706" i="2"/>
  <c r="Q706" i="2"/>
  <c r="A707" i="2"/>
  <c r="B707" i="2"/>
  <c r="E707" i="2" s="1"/>
  <c r="F707" i="2" s="1"/>
  <c r="K707" i="2"/>
  <c r="M707" i="2"/>
  <c r="N707" i="2"/>
  <c r="L707" i="2" s="1"/>
  <c r="P707" i="2"/>
  <c r="Q707" i="2"/>
  <c r="A708" i="2"/>
  <c r="B708" i="2"/>
  <c r="K708" i="2"/>
  <c r="M708" i="2"/>
  <c r="N708" i="2"/>
  <c r="P708" i="2"/>
  <c r="Q708" i="2"/>
  <c r="A709" i="2"/>
  <c r="B709" i="2"/>
  <c r="E709" i="2" s="1"/>
  <c r="F709" i="2" s="1"/>
  <c r="G709" i="2"/>
  <c r="K709" i="2"/>
  <c r="M709" i="2"/>
  <c r="N709" i="2"/>
  <c r="L709" i="2" s="1"/>
  <c r="P709" i="2"/>
  <c r="Q709" i="2"/>
  <c r="A710" i="2"/>
  <c r="B710" i="2"/>
  <c r="K710" i="2"/>
  <c r="M710" i="2"/>
  <c r="N710" i="2"/>
  <c r="P710" i="2"/>
  <c r="Q710" i="2"/>
  <c r="A711" i="2"/>
  <c r="B711" i="2"/>
  <c r="E711" i="2" s="1"/>
  <c r="F711" i="2" s="1"/>
  <c r="K711" i="2"/>
  <c r="M711" i="2"/>
  <c r="N711" i="2"/>
  <c r="L711" i="2" s="1"/>
  <c r="P711" i="2"/>
  <c r="Q711" i="2"/>
  <c r="A712" i="2"/>
  <c r="B712" i="2"/>
  <c r="K712" i="2"/>
  <c r="M712" i="2"/>
  <c r="N712" i="2"/>
  <c r="P712" i="2"/>
  <c r="Q712" i="2"/>
  <c r="A713" i="2"/>
  <c r="B713" i="2"/>
  <c r="E713" i="2" s="1"/>
  <c r="F713" i="2" s="1"/>
  <c r="G713" i="2"/>
  <c r="K713" i="2"/>
  <c r="M713" i="2"/>
  <c r="N713" i="2"/>
  <c r="L713" i="2" s="1"/>
  <c r="P713" i="2"/>
  <c r="Q713" i="2"/>
  <c r="C713" i="2" s="1"/>
  <c r="A714" i="2"/>
  <c r="B714" i="2"/>
  <c r="K714" i="2"/>
  <c r="M714" i="2"/>
  <c r="N714" i="2"/>
  <c r="P714" i="2"/>
  <c r="Q714" i="2"/>
  <c r="A715" i="2"/>
  <c r="B715" i="2"/>
  <c r="E715" i="2" s="1"/>
  <c r="F715" i="2" s="1"/>
  <c r="K715" i="2"/>
  <c r="M715" i="2"/>
  <c r="N715" i="2"/>
  <c r="L715" i="2" s="1"/>
  <c r="P715" i="2"/>
  <c r="Q715" i="2"/>
  <c r="A716" i="2"/>
  <c r="B716" i="2"/>
  <c r="K716" i="2"/>
  <c r="M716" i="2"/>
  <c r="N716" i="2"/>
  <c r="P716" i="2"/>
  <c r="Q716" i="2"/>
  <c r="A717" i="2"/>
  <c r="B717" i="2"/>
  <c r="E717" i="2" s="1"/>
  <c r="F717" i="2" s="1"/>
  <c r="K717" i="2"/>
  <c r="M717" i="2"/>
  <c r="N717" i="2"/>
  <c r="L717" i="2" s="1"/>
  <c r="P717" i="2"/>
  <c r="Q717" i="2"/>
  <c r="A718" i="2"/>
  <c r="B718" i="2"/>
  <c r="K718" i="2"/>
  <c r="M718" i="2"/>
  <c r="N718" i="2"/>
  <c r="P718" i="2"/>
  <c r="Q718" i="2"/>
  <c r="A719" i="2"/>
  <c r="B719" i="2"/>
  <c r="E719" i="2" s="1"/>
  <c r="F719" i="2" s="1"/>
  <c r="K719" i="2"/>
  <c r="M719" i="2"/>
  <c r="N719" i="2"/>
  <c r="L719" i="2" s="1"/>
  <c r="P719" i="2"/>
  <c r="Q719" i="2"/>
  <c r="A720" i="2"/>
  <c r="B720" i="2"/>
  <c r="K720" i="2"/>
  <c r="M720" i="2"/>
  <c r="N720" i="2"/>
  <c r="P720" i="2"/>
  <c r="Q720" i="2"/>
  <c r="A721" i="2"/>
  <c r="B721" i="2"/>
  <c r="E721" i="2" s="1"/>
  <c r="F721" i="2" s="1"/>
  <c r="K721" i="2"/>
  <c r="M721" i="2"/>
  <c r="N721" i="2"/>
  <c r="L721" i="2" s="1"/>
  <c r="P721" i="2"/>
  <c r="Q721" i="2"/>
  <c r="A722" i="2"/>
  <c r="B722" i="2"/>
  <c r="K722" i="2"/>
  <c r="M722" i="2"/>
  <c r="N722" i="2"/>
  <c r="P722" i="2"/>
  <c r="Q722" i="2"/>
  <c r="A723" i="2"/>
  <c r="B723" i="2"/>
  <c r="E723" i="2" s="1"/>
  <c r="F723" i="2" s="1"/>
  <c r="G723" i="2"/>
  <c r="K723" i="2"/>
  <c r="M723" i="2"/>
  <c r="N723" i="2"/>
  <c r="L723" i="2" s="1"/>
  <c r="P723" i="2"/>
  <c r="Q723" i="2"/>
  <c r="A724" i="2"/>
  <c r="B724" i="2"/>
  <c r="K724" i="2"/>
  <c r="M724" i="2"/>
  <c r="N724" i="2"/>
  <c r="L724" i="2" s="1"/>
  <c r="P724" i="2"/>
  <c r="Q724" i="2"/>
  <c r="A725" i="2"/>
  <c r="B725" i="2"/>
  <c r="E725" i="2" s="1"/>
  <c r="F725" i="2" s="1"/>
  <c r="K725" i="2"/>
  <c r="M725" i="2"/>
  <c r="N725" i="2"/>
  <c r="L725" i="2" s="1"/>
  <c r="P725" i="2"/>
  <c r="Q725" i="2"/>
  <c r="A726" i="2"/>
  <c r="B726" i="2"/>
  <c r="C726" i="2" s="1"/>
  <c r="D726" i="2" s="1"/>
  <c r="K726" i="2"/>
  <c r="M726" i="2"/>
  <c r="N726" i="2"/>
  <c r="L726" i="2" s="1"/>
  <c r="P726" i="2"/>
  <c r="Q726" i="2"/>
  <c r="A727" i="2"/>
  <c r="B727" i="2"/>
  <c r="C727" i="2" s="1"/>
  <c r="D727" i="2" s="1"/>
  <c r="K727" i="2"/>
  <c r="M727" i="2"/>
  <c r="N727" i="2"/>
  <c r="L727" i="2" s="1"/>
  <c r="P727" i="2"/>
  <c r="Q727" i="2"/>
  <c r="A728" i="2"/>
  <c r="B728" i="2"/>
  <c r="C728" i="2" s="1"/>
  <c r="D728" i="2" s="1"/>
  <c r="K728" i="2"/>
  <c r="M728" i="2"/>
  <c r="N728" i="2"/>
  <c r="L728" i="2" s="1"/>
  <c r="P728" i="2"/>
  <c r="Q728" i="2"/>
  <c r="A729" i="2"/>
  <c r="B729" i="2"/>
  <c r="C729" i="2" s="1"/>
  <c r="D729" i="2" s="1"/>
  <c r="K729" i="2"/>
  <c r="M729" i="2"/>
  <c r="N729" i="2"/>
  <c r="L729" i="2" s="1"/>
  <c r="P729" i="2"/>
  <c r="Q729" i="2"/>
  <c r="A730" i="2"/>
  <c r="B730" i="2"/>
  <c r="C730" i="2" s="1"/>
  <c r="D730" i="2" s="1"/>
  <c r="K730" i="2"/>
  <c r="M730" i="2"/>
  <c r="N730" i="2"/>
  <c r="L730" i="2" s="1"/>
  <c r="P730" i="2"/>
  <c r="Q730" i="2"/>
  <c r="A731" i="2"/>
  <c r="B731" i="2"/>
  <c r="E731" i="2" s="1"/>
  <c r="F731" i="2" s="1"/>
  <c r="K731" i="2"/>
  <c r="M731" i="2"/>
  <c r="N731" i="2"/>
  <c r="L731" i="2" s="1"/>
  <c r="P731" i="2"/>
  <c r="Q731" i="2"/>
  <c r="A732" i="2"/>
  <c r="B732" i="2"/>
  <c r="K732" i="2"/>
  <c r="M732" i="2"/>
  <c r="N732" i="2"/>
  <c r="L732" i="2" s="1"/>
  <c r="P732" i="2"/>
  <c r="Q732" i="2"/>
  <c r="A733" i="2"/>
  <c r="B733" i="2"/>
  <c r="E733" i="2" s="1"/>
  <c r="F733" i="2" s="1"/>
  <c r="K733" i="2"/>
  <c r="M733" i="2"/>
  <c r="N733" i="2"/>
  <c r="L733" i="2" s="1"/>
  <c r="P733" i="2"/>
  <c r="Q733" i="2"/>
  <c r="A734" i="2"/>
  <c r="B734" i="2"/>
  <c r="K734" i="2"/>
  <c r="M734" i="2"/>
  <c r="N734" i="2"/>
  <c r="L734" i="2" s="1"/>
  <c r="P734" i="2"/>
  <c r="Q734" i="2"/>
  <c r="A735" i="2"/>
  <c r="B735" i="2"/>
  <c r="E735" i="2" s="1"/>
  <c r="F735" i="2" s="1"/>
  <c r="G735" i="2"/>
  <c r="K735" i="2"/>
  <c r="M735" i="2"/>
  <c r="N735" i="2"/>
  <c r="L735" i="2" s="1"/>
  <c r="P735" i="2"/>
  <c r="Q735" i="2"/>
  <c r="A736" i="2"/>
  <c r="B736" i="2"/>
  <c r="K736" i="2"/>
  <c r="M736" i="2"/>
  <c r="N736" i="2"/>
  <c r="L736" i="2" s="1"/>
  <c r="P736" i="2"/>
  <c r="Q736" i="2"/>
  <c r="A737" i="2"/>
  <c r="B737" i="2"/>
  <c r="E737" i="2" s="1"/>
  <c r="F737" i="2" s="1"/>
  <c r="K737" i="2"/>
  <c r="M737" i="2"/>
  <c r="N737" i="2"/>
  <c r="L737" i="2" s="1"/>
  <c r="P737" i="2"/>
  <c r="Q737" i="2"/>
  <c r="A738" i="2"/>
  <c r="B738" i="2"/>
  <c r="K738" i="2"/>
  <c r="M738" i="2"/>
  <c r="N738" i="2"/>
  <c r="L738" i="2" s="1"/>
  <c r="P738" i="2"/>
  <c r="Q738" i="2"/>
  <c r="A739" i="2"/>
  <c r="B739" i="2"/>
  <c r="E739" i="2" s="1"/>
  <c r="F739" i="2" s="1"/>
  <c r="K739" i="2"/>
  <c r="M739" i="2"/>
  <c r="N739" i="2"/>
  <c r="L739" i="2" s="1"/>
  <c r="P739" i="2"/>
  <c r="Q739" i="2"/>
  <c r="A740" i="2"/>
  <c r="B740" i="2"/>
  <c r="K740" i="2"/>
  <c r="M740" i="2"/>
  <c r="N740" i="2"/>
  <c r="P740" i="2"/>
  <c r="Q740" i="2"/>
  <c r="A741" i="2"/>
  <c r="B741" i="2"/>
  <c r="E741" i="2" s="1"/>
  <c r="F741" i="2" s="1"/>
  <c r="K741" i="2"/>
  <c r="M741" i="2"/>
  <c r="N741" i="2"/>
  <c r="L741" i="2" s="1"/>
  <c r="P741" i="2"/>
  <c r="Q741" i="2"/>
  <c r="A742" i="2"/>
  <c r="B742" i="2"/>
  <c r="K742" i="2"/>
  <c r="M742" i="2"/>
  <c r="N742" i="2"/>
  <c r="P742" i="2"/>
  <c r="Q742" i="2"/>
  <c r="A743" i="2"/>
  <c r="B743" i="2"/>
  <c r="E743" i="2" s="1"/>
  <c r="F743" i="2" s="1"/>
  <c r="G743" i="2"/>
  <c r="K743" i="2"/>
  <c r="M743" i="2"/>
  <c r="N743" i="2"/>
  <c r="L743" i="2" s="1"/>
  <c r="P743" i="2"/>
  <c r="Q743" i="2"/>
  <c r="C743" i="2" s="1"/>
  <c r="A744" i="2"/>
  <c r="B744" i="2"/>
  <c r="K744" i="2"/>
  <c r="M744" i="2"/>
  <c r="N744" i="2"/>
  <c r="P744" i="2"/>
  <c r="Q744" i="2"/>
  <c r="A745" i="2"/>
  <c r="B745" i="2"/>
  <c r="E745" i="2" s="1"/>
  <c r="F745" i="2" s="1"/>
  <c r="K745" i="2"/>
  <c r="M745" i="2"/>
  <c r="N745" i="2"/>
  <c r="L745" i="2" s="1"/>
  <c r="P745" i="2"/>
  <c r="Q745" i="2"/>
  <c r="A746" i="2"/>
  <c r="B746" i="2"/>
  <c r="K746" i="2"/>
  <c r="M746" i="2"/>
  <c r="N746" i="2"/>
  <c r="P746" i="2"/>
  <c r="Q746" i="2"/>
  <c r="A747" i="2"/>
  <c r="B747" i="2"/>
  <c r="C747" i="2" s="1"/>
  <c r="D747" i="2" s="1"/>
  <c r="K747" i="2"/>
  <c r="M747" i="2"/>
  <c r="N747" i="2"/>
  <c r="L747" i="2" s="1"/>
  <c r="P747" i="2"/>
  <c r="Q747" i="2"/>
  <c r="A748" i="2"/>
  <c r="B748" i="2"/>
  <c r="K748" i="2"/>
  <c r="M748" i="2"/>
  <c r="N748" i="2"/>
  <c r="P748" i="2"/>
  <c r="Q748" i="2"/>
  <c r="A749" i="2"/>
  <c r="B749" i="2"/>
  <c r="E749" i="2" s="1"/>
  <c r="F749" i="2" s="1"/>
  <c r="G749" i="2"/>
  <c r="K749" i="2"/>
  <c r="M749" i="2"/>
  <c r="N749" i="2"/>
  <c r="L749" i="2" s="1"/>
  <c r="P749" i="2"/>
  <c r="Q749" i="2"/>
  <c r="C749" i="2" s="1"/>
  <c r="A750" i="2"/>
  <c r="B750" i="2"/>
  <c r="K750" i="2"/>
  <c r="M750" i="2"/>
  <c r="N750" i="2"/>
  <c r="P750" i="2"/>
  <c r="Q750" i="2"/>
  <c r="A751" i="2"/>
  <c r="B751" i="2"/>
  <c r="K751" i="2"/>
  <c r="M751" i="2"/>
  <c r="N751" i="2"/>
  <c r="P751" i="2"/>
  <c r="Q751" i="2"/>
  <c r="A752" i="2"/>
  <c r="B752" i="2"/>
  <c r="E752" i="2" s="1"/>
  <c r="F752" i="2" s="1"/>
  <c r="G752" i="2"/>
  <c r="K752" i="2"/>
  <c r="M752" i="2"/>
  <c r="N752" i="2"/>
  <c r="L752" i="2" s="1"/>
  <c r="P752" i="2"/>
  <c r="Q752" i="2"/>
  <c r="A753" i="2"/>
  <c r="B753" i="2"/>
  <c r="K753" i="2"/>
  <c r="M753" i="2"/>
  <c r="N753" i="2"/>
  <c r="P753" i="2"/>
  <c r="Q753" i="2"/>
  <c r="A754" i="2"/>
  <c r="B754" i="2"/>
  <c r="E754" i="2" s="1"/>
  <c r="F754" i="2" s="1"/>
  <c r="K754" i="2"/>
  <c r="M754" i="2"/>
  <c r="N754" i="2"/>
  <c r="L754" i="2" s="1"/>
  <c r="P754" i="2"/>
  <c r="Q754" i="2"/>
  <c r="A755" i="2"/>
  <c r="B755" i="2"/>
  <c r="K755" i="2"/>
  <c r="M755" i="2"/>
  <c r="N755" i="2"/>
  <c r="P755" i="2"/>
  <c r="Q755" i="2"/>
  <c r="A756" i="2"/>
  <c r="B756" i="2"/>
  <c r="E756" i="2" s="1"/>
  <c r="F756" i="2" s="1"/>
  <c r="K756" i="2"/>
  <c r="M756" i="2"/>
  <c r="N756" i="2"/>
  <c r="L756" i="2" s="1"/>
  <c r="P756" i="2"/>
  <c r="Q756" i="2"/>
  <c r="A757" i="2"/>
  <c r="B757" i="2"/>
  <c r="K757" i="2"/>
  <c r="M757" i="2"/>
  <c r="N757" i="2"/>
  <c r="P757" i="2"/>
  <c r="Q757" i="2"/>
  <c r="A758" i="2"/>
  <c r="B758" i="2"/>
  <c r="E758" i="2" s="1"/>
  <c r="F758" i="2" s="1"/>
  <c r="K758" i="2"/>
  <c r="M758" i="2"/>
  <c r="N758" i="2"/>
  <c r="L758" i="2" s="1"/>
  <c r="P758" i="2"/>
  <c r="Q758" i="2"/>
  <c r="A759" i="2"/>
  <c r="B759" i="2"/>
  <c r="K759" i="2"/>
  <c r="M759" i="2"/>
  <c r="N759" i="2"/>
  <c r="P759" i="2"/>
  <c r="Q759" i="2"/>
  <c r="A760" i="2"/>
  <c r="B760" i="2"/>
  <c r="E760" i="2" s="1"/>
  <c r="F760" i="2" s="1"/>
  <c r="K760" i="2"/>
  <c r="M760" i="2"/>
  <c r="N760" i="2"/>
  <c r="L760" i="2" s="1"/>
  <c r="P760" i="2"/>
  <c r="Q760" i="2"/>
  <c r="A761" i="2"/>
  <c r="B761" i="2"/>
  <c r="K761" i="2"/>
  <c r="M761" i="2"/>
  <c r="N761" i="2"/>
  <c r="P761" i="2"/>
  <c r="Q761" i="2"/>
  <c r="A762" i="2"/>
  <c r="B762" i="2"/>
  <c r="E762" i="2" s="1"/>
  <c r="F762" i="2" s="1"/>
  <c r="K762" i="2"/>
  <c r="M762" i="2"/>
  <c r="N762" i="2"/>
  <c r="L762" i="2" s="1"/>
  <c r="P762" i="2"/>
  <c r="Q762" i="2"/>
  <c r="A763" i="2"/>
  <c r="B763" i="2"/>
  <c r="K763" i="2"/>
  <c r="M763" i="2"/>
  <c r="N763" i="2"/>
  <c r="P763" i="2"/>
  <c r="Q763" i="2"/>
  <c r="A764" i="2"/>
  <c r="B764" i="2"/>
  <c r="C764" i="2" s="1"/>
  <c r="D764" i="2" s="1"/>
  <c r="K764" i="2"/>
  <c r="M764" i="2"/>
  <c r="N764" i="2"/>
  <c r="L764" i="2" s="1"/>
  <c r="P764" i="2"/>
  <c r="Q764" i="2"/>
  <c r="C754" i="2" l="1"/>
  <c r="G754" i="2"/>
  <c r="O754" i="2"/>
  <c r="I754" i="2"/>
  <c r="J754" i="2" s="1"/>
  <c r="C753" i="2"/>
  <c r="C752" i="2"/>
  <c r="O752" i="2"/>
  <c r="I752" i="2"/>
  <c r="J752" i="2" s="1"/>
  <c r="C751" i="2"/>
  <c r="O749" i="2"/>
  <c r="I749" i="2"/>
  <c r="J749" i="2" s="1"/>
  <c r="E747" i="2"/>
  <c r="G739" i="2"/>
  <c r="G731" i="2"/>
  <c r="G715" i="2"/>
  <c r="G711" i="2"/>
  <c r="G707" i="2"/>
  <c r="G703" i="2"/>
  <c r="G699" i="2"/>
  <c r="G696" i="2"/>
  <c r="H696" i="2" s="1"/>
  <c r="G690" i="2"/>
  <c r="G674" i="2"/>
  <c r="O716" i="2"/>
  <c r="O675" i="2"/>
  <c r="G758" i="2"/>
  <c r="G745" i="2"/>
  <c r="G741" i="2"/>
  <c r="G737" i="2"/>
  <c r="G733" i="2"/>
  <c r="G727" i="2"/>
  <c r="H727" i="2" s="1"/>
  <c r="O720" i="2"/>
  <c r="G719" i="2"/>
  <c r="I713" i="2"/>
  <c r="J713" i="2" s="1"/>
  <c r="C712" i="2"/>
  <c r="C711" i="2"/>
  <c r="O711" i="2"/>
  <c r="I711" i="2"/>
  <c r="J711" i="2" s="1"/>
  <c r="C710" i="2"/>
  <c r="C709" i="2"/>
  <c r="O709" i="2"/>
  <c r="I709" i="2"/>
  <c r="J709" i="2" s="1"/>
  <c r="C708" i="2"/>
  <c r="C707" i="2"/>
  <c r="O707" i="2"/>
  <c r="I707" i="2"/>
  <c r="J707" i="2" s="1"/>
  <c r="C706" i="2"/>
  <c r="C705" i="2"/>
  <c r="O705" i="2"/>
  <c r="I705" i="2"/>
  <c r="J705" i="2" s="1"/>
  <c r="C704" i="2"/>
  <c r="C703" i="2"/>
  <c r="O703" i="2"/>
  <c r="I703" i="2"/>
  <c r="J703" i="2" s="1"/>
  <c r="C702" i="2"/>
  <c r="C701" i="2"/>
  <c r="O701" i="2"/>
  <c r="I701" i="2"/>
  <c r="J701" i="2" s="1"/>
  <c r="C700" i="2"/>
  <c r="C699" i="2"/>
  <c r="O699" i="2"/>
  <c r="I699" i="2"/>
  <c r="J699" i="2" s="1"/>
  <c r="C698" i="2"/>
  <c r="E697" i="2"/>
  <c r="O697" i="2"/>
  <c r="G697" i="2"/>
  <c r="H697" i="2" s="1"/>
  <c r="I696" i="2"/>
  <c r="C694" i="2"/>
  <c r="O694" i="2"/>
  <c r="I694" i="2"/>
  <c r="J694" i="2" s="1"/>
  <c r="G686" i="2"/>
  <c r="O679" i="2"/>
  <c r="G678" i="2"/>
  <c r="O671" i="2"/>
  <c r="G670" i="2"/>
  <c r="H670" i="2" s="1"/>
  <c r="G762" i="2"/>
  <c r="E764" i="2"/>
  <c r="G764" i="2"/>
  <c r="H764" i="2" s="1"/>
  <c r="O764" i="2"/>
  <c r="I764" i="2"/>
  <c r="C763" i="2"/>
  <c r="C762" i="2"/>
  <c r="O762" i="2"/>
  <c r="I762" i="2"/>
  <c r="J762" i="2" s="1"/>
  <c r="C761" i="2"/>
  <c r="G756" i="2"/>
  <c r="G747" i="2"/>
  <c r="H747" i="2" s="1"/>
  <c r="O743" i="2"/>
  <c r="I743" i="2"/>
  <c r="J743" i="2" s="1"/>
  <c r="C741" i="2"/>
  <c r="O741" i="2"/>
  <c r="I741" i="2"/>
  <c r="J741" i="2" s="1"/>
  <c r="C740" i="2"/>
  <c r="C739" i="2"/>
  <c r="O739" i="2"/>
  <c r="I739" i="2"/>
  <c r="J739" i="2" s="1"/>
  <c r="C738" i="2"/>
  <c r="C737" i="2"/>
  <c r="O737" i="2"/>
  <c r="I737" i="2"/>
  <c r="J737" i="2" s="1"/>
  <c r="C736" i="2"/>
  <c r="C735" i="2"/>
  <c r="O735" i="2"/>
  <c r="I735" i="2"/>
  <c r="J735" i="2" s="1"/>
  <c r="C734" i="2"/>
  <c r="C733" i="2"/>
  <c r="O733" i="2"/>
  <c r="I733" i="2"/>
  <c r="J733" i="2" s="1"/>
  <c r="C732" i="2"/>
  <c r="C731" i="2"/>
  <c r="O731" i="2"/>
  <c r="I731" i="2"/>
  <c r="J731" i="2" s="1"/>
  <c r="E729" i="2"/>
  <c r="O729" i="2"/>
  <c r="G729" i="2"/>
  <c r="H729" i="2" s="1"/>
  <c r="G725" i="2"/>
  <c r="O722" i="2"/>
  <c r="G721" i="2"/>
  <c r="O718" i="2"/>
  <c r="G717" i="2"/>
  <c r="O714" i="2"/>
  <c r="G692" i="2"/>
  <c r="G688" i="2"/>
  <c r="G684" i="2"/>
  <c r="O681" i="2"/>
  <c r="G680" i="2"/>
  <c r="H680" i="2" s="1"/>
  <c r="O677" i="2"/>
  <c r="G676" i="2"/>
  <c r="O673" i="2"/>
  <c r="G672" i="2"/>
  <c r="O669" i="2"/>
  <c r="G668" i="2"/>
  <c r="I729" i="2"/>
  <c r="E727" i="2"/>
  <c r="O727" i="2"/>
  <c r="I727" i="2"/>
  <c r="C725" i="2"/>
  <c r="O725" i="2"/>
  <c r="I725" i="2"/>
  <c r="J725" i="2" s="1"/>
  <c r="C724" i="2"/>
  <c r="C723" i="2"/>
  <c r="O723" i="2"/>
  <c r="I723" i="2"/>
  <c r="J723" i="2" s="1"/>
  <c r="C721" i="2"/>
  <c r="O721" i="2"/>
  <c r="I721" i="2"/>
  <c r="J721" i="2" s="1"/>
  <c r="C719" i="2"/>
  <c r="O719" i="2"/>
  <c r="I719" i="2"/>
  <c r="J719" i="2" s="1"/>
  <c r="C717" i="2"/>
  <c r="O717" i="2"/>
  <c r="I717" i="2"/>
  <c r="J717" i="2" s="1"/>
  <c r="C715" i="2"/>
  <c r="O715" i="2"/>
  <c r="I715" i="2"/>
  <c r="J715" i="2" s="1"/>
  <c r="O713" i="2"/>
  <c r="C760" i="2"/>
  <c r="G760" i="2"/>
  <c r="O760" i="2"/>
  <c r="I760" i="2"/>
  <c r="J760" i="2" s="1"/>
  <c r="C759" i="2"/>
  <c r="C758" i="2"/>
  <c r="O758" i="2"/>
  <c r="I758" i="2"/>
  <c r="J758" i="2" s="1"/>
  <c r="C757" i="2"/>
  <c r="C756" i="2"/>
  <c r="O756" i="2"/>
  <c r="I756" i="2"/>
  <c r="J756" i="2" s="1"/>
  <c r="C755" i="2"/>
  <c r="O753" i="2"/>
  <c r="O751" i="2"/>
  <c r="O747" i="2"/>
  <c r="I747" i="2"/>
  <c r="C745" i="2"/>
  <c r="O745" i="2"/>
  <c r="I745" i="2"/>
  <c r="J745" i="2" s="1"/>
  <c r="I697" i="2"/>
  <c r="C692" i="2"/>
  <c r="O692" i="2"/>
  <c r="I692" i="2"/>
  <c r="J692" i="2" s="1"/>
  <c r="C690" i="2"/>
  <c r="O690" i="2"/>
  <c r="I690" i="2"/>
  <c r="J690" i="2" s="1"/>
  <c r="C688" i="2"/>
  <c r="O688" i="2"/>
  <c r="I688" i="2"/>
  <c r="J688" i="2" s="1"/>
  <c r="C687" i="2"/>
  <c r="C686" i="2"/>
  <c r="O686" i="2"/>
  <c r="I686" i="2"/>
  <c r="J686" i="2" s="1"/>
  <c r="C685" i="2"/>
  <c r="C684" i="2"/>
  <c r="O684" i="2"/>
  <c r="I684" i="2"/>
  <c r="J684" i="2" s="1"/>
  <c r="C683" i="2"/>
  <c r="C682" i="2"/>
  <c r="O682" i="2"/>
  <c r="I682" i="2"/>
  <c r="J682" i="2" s="1"/>
  <c r="C681" i="2"/>
  <c r="E680" i="2"/>
  <c r="O680" i="2"/>
  <c r="I680" i="2"/>
  <c r="C678" i="2"/>
  <c r="O678" i="2"/>
  <c r="I678" i="2"/>
  <c r="J678" i="2" s="1"/>
  <c r="C677" i="2"/>
  <c r="C676" i="2"/>
  <c r="O676" i="2"/>
  <c r="I676" i="2"/>
  <c r="J676" i="2" s="1"/>
  <c r="C675" i="2"/>
  <c r="C674" i="2"/>
  <c r="O674" i="2"/>
  <c r="I674" i="2"/>
  <c r="J674" i="2" s="1"/>
  <c r="C673" i="2"/>
  <c r="C672" i="2"/>
  <c r="O672" i="2"/>
  <c r="I672" i="2"/>
  <c r="J672" i="2" s="1"/>
  <c r="C671" i="2"/>
  <c r="E670" i="2"/>
  <c r="O670" i="2"/>
  <c r="I670" i="2"/>
  <c r="C668" i="2"/>
  <c r="O668" i="2"/>
  <c r="I668" i="2"/>
  <c r="J668" i="2" s="1"/>
  <c r="C667" i="2"/>
  <c r="O712" i="2"/>
  <c r="O710" i="2"/>
  <c r="O708" i="2"/>
  <c r="O706" i="2"/>
  <c r="O704" i="2"/>
  <c r="O702" i="2"/>
  <c r="O700" i="2"/>
  <c r="O698" i="2"/>
  <c r="O696" i="2"/>
  <c r="O695" i="2"/>
  <c r="O693" i="2"/>
  <c r="O691" i="2"/>
  <c r="O689" i="2"/>
  <c r="O687" i="2"/>
  <c r="O685" i="2"/>
  <c r="O683" i="2"/>
  <c r="O763" i="2"/>
  <c r="O761" i="2"/>
  <c r="O759" i="2"/>
  <c r="O757" i="2"/>
  <c r="O755" i="2"/>
  <c r="O750" i="2"/>
  <c r="O748" i="2"/>
  <c r="O746" i="2"/>
  <c r="O744" i="2"/>
  <c r="O742" i="2"/>
  <c r="O740" i="2"/>
  <c r="O666" i="2"/>
  <c r="O664" i="2"/>
  <c r="O662" i="2"/>
  <c r="O660" i="2"/>
  <c r="O658" i="2"/>
  <c r="O656" i="2"/>
  <c r="O654" i="2"/>
  <c r="O652" i="2"/>
  <c r="O650" i="2"/>
  <c r="L763" i="2"/>
  <c r="L759" i="2"/>
  <c r="L757" i="2"/>
  <c r="L751" i="2"/>
  <c r="L750" i="2"/>
  <c r="C750" i="2"/>
  <c r="E750" i="2"/>
  <c r="F750" i="2" s="1"/>
  <c r="G750" i="2"/>
  <c r="I750" i="2"/>
  <c r="J750" i="2" s="1"/>
  <c r="L748" i="2"/>
  <c r="C748" i="2"/>
  <c r="E748" i="2"/>
  <c r="F748" i="2" s="1"/>
  <c r="G748" i="2"/>
  <c r="I748" i="2"/>
  <c r="J748" i="2" s="1"/>
  <c r="L746" i="2"/>
  <c r="C746" i="2"/>
  <c r="D746" i="2" s="1"/>
  <c r="E746" i="2"/>
  <c r="G746" i="2"/>
  <c r="H746" i="2" s="1"/>
  <c r="I746" i="2"/>
  <c r="L744" i="2"/>
  <c r="C744" i="2"/>
  <c r="E744" i="2"/>
  <c r="F744" i="2" s="1"/>
  <c r="G744" i="2"/>
  <c r="I744" i="2"/>
  <c r="J744" i="2" s="1"/>
  <c r="L742" i="2"/>
  <c r="C742" i="2"/>
  <c r="E742" i="2"/>
  <c r="F742" i="2" s="1"/>
  <c r="G742" i="2"/>
  <c r="I742" i="2"/>
  <c r="J742" i="2" s="1"/>
  <c r="L740" i="2"/>
  <c r="L761" i="2"/>
  <c r="L755" i="2"/>
  <c r="L753" i="2"/>
  <c r="I763" i="2"/>
  <c r="J763" i="2" s="1"/>
  <c r="G763" i="2"/>
  <c r="E763" i="2"/>
  <c r="F763" i="2" s="1"/>
  <c r="I761" i="2"/>
  <c r="J761" i="2" s="1"/>
  <c r="G761" i="2"/>
  <c r="E761" i="2"/>
  <c r="F761" i="2" s="1"/>
  <c r="I759" i="2"/>
  <c r="J759" i="2" s="1"/>
  <c r="G759" i="2"/>
  <c r="E759" i="2"/>
  <c r="F759" i="2" s="1"/>
  <c r="I757" i="2"/>
  <c r="J757" i="2" s="1"/>
  <c r="G757" i="2"/>
  <c r="E757" i="2"/>
  <c r="F757" i="2" s="1"/>
  <c r="I755" i="2"/>
  <c r="J755" i="2" s="1"/>
  <c r="G755" i="2"/>
  <c r="E755" i="2"/>
  <c r="F755" i="2" s="1"/>
  <c r="I753" i="2"/>
  <c r="J753" i="2" s="1"/>
  <c r="G753" i="2"/>
  <c r="E753" i="2"/>
  <c r="F753" i="2" s="1"/>
  <c r="I751" i="2"/>
  <c r="J751" i="2" s="1"/>
  <c r="G751" i="2"/>
  <c r="E751" i="2"/>
  <c r="F751" i="2" s="1"/>
  <c r="I740" i="2"/>
  <c r="J740" i="2" s="1"/>
  <c r="G740" i="2"/>
  <c r="E740" i="2"/>
  <c r="F740" i="2" s="1"/>
  <c r="O738" i="2"/>
  <c r="I738" i="2"/>
  <c r="J738" i="2" s="1"/>
  <c r="G738" i="2"/>
  <c r="E738" i="2"/>
  <c r="F738" i="2" s="1"/>
  <c r="O736" i="2"/>
  <c r="I736" i="2"/>
  <c r="J736" i="2" s="1"/>
  <c r="G736" i="2"/>
  <c r="E736" i="2"/>
  <c r="F736" i="2" s="1"/>
  <c r="O734" i="2"/>
  <c r="I734" i="2"/>
  <c r="J734" i="2" s="1"/>
  <c r="G734" i="2"/>
  <c r="E734" i="2"/>
  <c r="F734" i="2" s="1"/>
  <c r="O732" i="2"/>
  <c r="I732" i="2"/>
  <c r="J732" i="2" s="1"/>
  <c r="G732" i="2"/>
  <c r="E732" i="2"/>
  <c r="F732" i="2" s="1"/>
  <c r="O730" i="2"/>
  <c r="I730" i="2"/>
  <c r="G730" i="2"/>
  <c r="H730" i="2" s="1"/>
  <c r="E730" i="2"/>
  <c r="O728" i="2"/>
  <c r="I728" i="2"/>
  <c r="G728" i="2"/>
  <c r="H728" i="2" s="1"/>
  <c r="E728" i="2"/>
  <c r="O726" i="2"/>
  <c r="I726" i="2"/>
  <c r="G726" i="2"/>
  <c r="H726" i="2" s="1"/>
  <c r="E726" i="2"/>
  <c r="O724" i="2"/>
  <c r="I724" i="2"/>
  <c r="J724" i="2" s="1"/>
  <c r="G724" i="2"/>
  <c r="E724" i="2"/>
  <c r="F724" i="2" s="1"/>
  <c r="L722" i="2"/>
  <c r="C722" i="2"/>
  <c r="E722" i="2"/>
  <c r="F722" i="2" s="1"/>
  <c r="G722" i="2"/>
  <c r="I722" i="2"/>
  <c r="J722" i="2" s="1"/>
  <c r="L720" i="2"/>
  <c r="C720" i="2"/>
  <c r="E720" i="2"/>
  <c r="F720" i="2" s="1"/>
  <c r="G720" i="2"/>
  <c r="I720" i="2"/>
  <c r="J720" i="2" s="1"/>
  <c r="L718" i="2"/>
  <c r="C718" i="2"/>
  <c r="E718" i="2"/>
  <c r="F718" i="2" s="1"/>
  <c r="G718" i="2"/>
  <c r="I718" i="2"/>
  <c r="J718" i="2" s="1"/>
  <c r="L716" i="2"/>
  <c r="C716" i="2"/>
  <c r="D716" i="2" s="1"/>
  <c r="E716" i="2"/>
  <c r="G716" i="2"/>
  <c r="H716" i="2" s="1"/>
  <c r="I716" i="2"/>
  <c r="L714" i="2"/>
  <c r="C714" i="2"/>
  <c r="E714" i="2"/>
  <c r="F714" i="2" s="1"/>
  <c r="G714" i="2"/>
  <c r="I714" i="2"/>
  <c r="J714" i="2" s="1"/>
  <c r="L712" i="2"/>
  <c r="L710" i="2"/>
  <c r="L708" i="2"/>
  <c r="L706" i="2"/>
  <c r="L704" i="2"/>
  <c r="L702" i="2"/>
  <c r="L700" i="2"/>
  <c r="L698" i="2"/>
  <c r="L696" i="2"/>
  <c r="L695" i="2"/>
  <c r="C695" i="2"/>
  <c r="E695" i="2"/>
  <c r="F695" i="2" s="1"/>
  <c r="G695" i="2"/>
  <c r="I695" i="2"/>
  <c r="J695" i="2" s="1"/>
  <c r="L693" i="2"/>
  <c r="C693" i="2"/>
  <c r="E693" i="2"/>
  <c r="F693" i="2" s="1"/>
  <c r="G693" i="2"/>
  <c r="I693" i="2"/>
  <c r="J693" i="2" s="1"/>
  <c r="L691" i="2"/>
  <c r="C691" i="2"/>
  <c r="E691" i="2"/>
  <c r="F691" i="2" s="1"/>
  <c r="G691" i="2"/>
  <c r="I691" i="2"/>
  <c r="J691" i="2" s="1"/>
  <c r="L689" i="2"/>
  <c r="C689" i="2"/>
  <c r="E689" i="2"/>
  <c r="F689" i="2" s="1"/>
  <c r="G689" i="2"/>
  <c r="I689" i="2"/>
  <c r="J689" i="2" s="1"/>
  <c r="L687" i="2"/>
  <c r="I712" i="2"/>
  <c r="J712" i="2" s="1"/>
  <c r="G712" i="2"/>
  <c r="E712" i="2"/>
  <c r="F712" i="2" s="1"/>
  <c r="I710" i="2"/>
  <c r="J710" i="2" s="1"/>
  <c r="G710" i="2"/>
  <c r="E710" i="2"/>
  <c r="F710" i="2" s="1"/>
  <c r="I708" i="2"/>
  <c r="J708" i="2" s="1"/>
  <c r="G708" i="2"/>
  <c r="E708" i="2"/>
  <c r="F708" i="2" s="1"/>
  <c r="I706" i="2"/>
  <c r="J706" i="2" s="1"/>
  <c r="G706" i="2"/>
  <c r="E706" i="2"/>
  <c r="F706" i="2" s="1"/>
  <c r="I704" i="2"/>
  <c r="J704" i="2" s="1"/>
  <c r="G704" i="2"/>
  <c r="E704" i="2"/>
  <c r="F704" i="2" s="1"/>
  <c r="I702" i="2"/>
  <c r="J702" i="2" s="1"/>
  <c r="G702" i="2"/>
  <c r="E702" i="2"/>
  <c r="F702" i="2" s="1"/>
  <c r="I700" i="2"/>
  <c r="J700" i="2" s="1"/>
  <c r="G700" i="2"/>
  <c r="E700" i="2"/>
  <c r="F700" i="2" s="1"/>
  <c r="I698" i="2"/>
  <c r="J698" i="2" s="1"/>
  <c r="G698" i="2"/>
  <c r="E698" i="2"/>
  <c r="F698" i="2" s="1"/>
  <c r="L685" i="2"/>
  <c r="L683" i="2"/>
  <c r="L681" i="2"/>
  <c r="L679" i="2"/>
  <c r="L677" i="2"/>
  <c r="L675" i="2"/>
  <c r="L673" i="2"/>
  <c r="L671" i="2"/>
  <c r="L669" i="2"/>
  <c r="L667" i="2"/>
  <c r="L666" i="2"/>
  <c r="C666" i="2"/>
  <c r="E666" i="2"/>
  <c r="F666" i="2" s="1"/>
  <c r="G666" i="2"/>
  <c r="I666" i="2"/>
  <c r="J666" i="2" s="1"/>
  <c r="L664" i="2"/>
  <c r="C664" i="2"/>
  <c r="E664" i="2"/>
  <c r="F664" i="2" s="1"/>
  <c r="G664" i="2"/>
  <c r="I664" i="2"/>
  <c r="J664" i="2" s="1"/>
  <c r="L662" i="2"/>
  <c r="C662" i="2"/>
  <c r="E662" i="2"/>
  <c r="F662" i="2" s="1"/>
  <c r="G662" i="2"/>
  <c r="I662" i="2"/>
  <c r="J662" i="2" s="1"/>
  <c r="L660" i="2"/>
  <c r="C660" i="2"/>
  <c r="E660" i="2"/>
  <c r="F660" i="2" s="1"/>
  <c r="G660" i="2"/>
  <c r="I660" i="2"/>
  <c r="J660" i="2" s="1"/>
  <c r="I687" i="2"/>
  <c r="J687" i="2" s="1"/>
  <c r="G687" i="2"/>
  <c r="E687" i="2"/>
  <c r="F687" i="2" s="1"/>
  <c r="I685" i="2"/>
  <c r="J685" i="2" s="1"/>
  <c r="G685" i="2"/>
  <c r="E685" i="2"/>
  <c r="F685" i="2" s="1"/>
  <c r="I683" i="2"/>
  <c r="J683" i="2" s="1"/>
  <c r="G683" i="2"/>
  <c r="E683" i="2"/>
  <c r="F683" i="2" s="1"/>
  <c r="I681" i="2"/>
  <c r="J681" i="2" s="1"/>
  <c r="G681" i="2"/>
  <c r="E681" i="2"/>
  <c r="F681" i="2" s="1"/>
  <c r="I679" i="2"/>
  <c r="G679" i="2"/>
  <c r="H679" i="2" s="1"/>
  <c r="E679" i="2"/>
  <c r="I677" i="2"/>
  <c r="J677" i="2" s="1"/>
  <c r="G677" i="2"/>
  <c r="E677" i="2"/>
  <c r="F677" i="2" s="1"/>
  <c r="I675" i="2"/>
  <c r="J675" i="2" s="1"/>
  <c r="G675" i="2"/>
  <c r="E675" i="2"/>
  <c r="F675" i="2" s="1"/>
  <c r="I673" i="2"/>
  <c r="J673" i="2" s="1"/>
  <c r="G673" i="2"/>
  <c r="E673" i="2"/>
  <c r="F673" i="2" s="1"/>
  <c r="I671" i="2"/>
  <c r="J671" i="2" s="1"/>
  <c r="G671" i="2"/>
  <c r="E671" i="2"/>
  <c r="F671" i="2" s="1"/>
  <c r="I669" i="2"/>
  <c r="G669" i="2"/>
  <c r="H669" i="2" s="1"/>
  <c r="E669" i="2"/>
  <c r="I667" i="2"/>
  <c r="J667" i="2" s="1"/>
  <c r="G667" i="2"/>
  <c r="E667" i="2"/>
  <c r="F667" i="2" s="1"/>
  <c r="L658" i="2"/>
  <c r="L656" i="2"/>
  <c r="L654" i="2"/>
  <c r="L652" i="2"/>
  <c r="L650" i="2"/>
  <c r="I658" i="2"/>
  <c r="J658" i="2" s="1"/>
  <c r="G658" i="2"/>
  <c r="E658" i="2"/>
  <c r="F658" i="2" s="1"/>
  <c r="I656" i="2"/>
  <c r="J656" i="2" s="1"/>
  <c r="G656" i="2"/>
  <c r="E656" i="2"/>
  <c r="F656" i="2" s="1"/>
  <c r="I654" i="2"/>
  <c r="J654" i="2" s="1"/>
  <c r="G654" i="2"/>
  <c r="E654" i="2"/>
  <c r="F654" i="2" s="1"/>
  <c r="I652" i="2"/>
  <c r="J652" i="2" s="1"/>
  <c r="G652" i="2"/>
  <c r="E652" i="2"/>
  <c r="F652" i="2" s="1"/>
  <c r="I650" i="2"/>
  <c r="G650" i="2"/>
  <c r="H650" i="2" s="1"/>
  <c r="E650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2" i="2"/>
  <c r="L2" i="8"/>
  <c r="A598" i="2"/>
  <c r="B598" i="2"/>
  <c r="K598" i="2"/>
  <c r="M598" i="2"/>
  <c r="N598" i="2"/>
  <c r="Q598" i="2"/>
  <c r="A599" i="2"/>
  <c r="B599" i="2"/>
  <c r="K599" i="2"/>
  <c r="M599" i="2"/>
  <c r="N599" i="2"/>
  <c r="Q599" i="2"/>
  <c r="A600" i="2"/>
  <c r="B600" i="2"/>
  <c r="K600" i="2"/>
  <c r="M600" i="2"/>
  <c r="N600" i="2"/>
  <c r="Q600" i="2"/>
  <c r="A601" i="2"/>
  <c r="B601" i="2"/>
  <c r="K601" i="2"/>
  <c r="M601" i="2"/>
  <c r="N601" i="2"/>
  <c r="Q601" i="2"/>
  <c r="A602" i="2"/>
  <c r="B602" i="2"/>
  <c r="C602" i="2" s="1"/>
  <c r="K602" i="2"/>
  <c r="M602" i="2"/>
  <c r="N602" i="2"/>
  <c r="Q602" i="2"/>
  <c r="A603" i="2"/>
  <c r="B603" i="2"/>
  <c r="K603" i="2"/>
  <c r="M603" i="2"/>
  <c r="N603" i="2"/>
  <c r="Q603" i="2"/>
  <c r="A604" i="2"/>
  <c r="B604" i="2"/>
  <c r="K604" i="2"/>
  <c r="M604" i="2"/>
  <c r="N604" i="2"/>
  <c r="Q604" i="2"/>
  <c r="A605" i="2"/>
  <c r="B605" i="2"/>
  <c r="K605" i="2"/>
  <c r="M605" i="2"/>
  <c r="N605" i="2"/>
  <c r="Q605" i="2"/>
  <c r="A606" i="2"/>
  <c r="B606" i="2"/>
  <c r="K606" i="2"/>
  <c r="M606" i="2"/>
  <c r="N606" i="2"/>
  <c r="Q606" i="2"/>
  <c r="A607" i="2"/>
  <c r="B607" i="2"/>
  <c r="K607" i="2"/>
  <c r="M607" i="2"/>
  <c r="N607" i="2"/>
  <c r="Q607" i="2"/>
  <c r="A608" i="2"/>
  <c r="B608" i="2"/>
  <c r="K608" i="2"/>
  <c r="M608" i="2"/>
  <c r="N608" i="2"/>
  <c r="Q608" i="2"/>
  <c r="A609" i="2"/>
  <c r="B609" i="2"/>
  <c r="K609" i="2"/>
  <c r="M609" i="2"/>
  <c r="N609" i="2"/>
  <c r="Q609" i="2"/>
  <c r="A610" i="2"/>
  <c r="B610" i="2"/>
  <c r="K610" i="2"/>
  <c r="M610" i="2"/>
  <c r="N610" i="2"/>
  <c r="Q610" i="2"/>
  <c r="A611" i="2"/>
  <c r="B611" i="2"/>
  <c r="K611" i="2"/>
  <c r="M611" i="2"/>
  <c r="N611" i="2"/>
  <c r="Q611" i="2"/>
  <c r="A612" i="2"/>
  <c r="B612" i="2"/>
  <c r="K612" i="2"/>
  <c r="M612" i="2"/>
  <c r="N612" i="2"/>
  <c r="Q612" i="2"/>
  <c r="A613" i="2"/>
  <c r="B613" i="2"/>
  <c r="K613" i="2"/>
  <c r="M613" i="2"/>
  <c r="N613" i="2"/>
  <c r="Q613" i="2"/>
  <c r="A614" i="2"/>
  <c r="B614" i="2"/>
  <c r="K614" i="2"/>
  <c r="M614" i="2"/>
  <c r="N614" i="2"/>
  <c r="Q614" i="2"/>
  <c r="A615" i="2"/>
  <c r="B615" i="2"/>
  <c r="C615" i="2" s="1"/>
  <c r="K615" i="2"/>
  <c r="M615" i="2"/>
  <c r="N615" i="2"/>
  <c r="L615" i="2" s="1"/>
  <c r="Q615" i="2"/>
  <c r="A616" i="2"/>
  <c r="B616" i="2"/>
  <c r="C616" i="2" s="1"/>
  <c r="K616" i="2"/>
  <c r="M616" i="2"/>
  <c r="N616" i="2"/>
  <c r="Q616" i="2"/>
  <c r="A617" i="2"/>
  <c r="B617" i="2"/>
  <c r="K617" i="2"/>
  <c r="M617" i="2"/>
  <c r="N617" i="2"/>
  <c r="Q617" i="2"/>
  <c r="A618" i="2"/>
  <c r="B618" i="2"/>
  <c r="K618" i="2"/>
  <c r="M618" i="2"/>
  <c r="N618" i="2"/>
  <c r="Q618" i="2"/>
  <c r="A619" i="2"/>
  <c r="B619" i="2"/>
  <c r="K619" i="2"/>
  <c r="M619" i="2"/>
  <c r="N619" i="2"/>
  <c r="Q619" i="2"/>
  <c r="A620" i="2"/>
  <c r="B620" i="2"/>
  <c r="K620" i="2"/>
  <c r="M620" i="2"/>
  <c r="N620" i="2"/>
  <c r="Q620" i="2"/>
  <c r="A621" i="2"/>
  <c r="B621" i="2"/>
  <c r="K621" i="2"/>
  <c r="M621" i="2"/>
  <c r="N621" i="2"/>
  <c r="Q621" i="2"/>
  <c r="A622" i="2"/>
  <c r="B622" i="2"/>
  <c r="K622" i="2"/>
  <c r="M622" i="2"/>
  <c r="N622" i="2"/>
  <c r="Q622" i="2"/>
  <c r="A623" i="2"/>
  <c r="B623" i="2"/>
  <c r="K623" i="2"/>
  <c r="M623" i="2"/>
  <c r="N623" i="2"/>
  <c r="Q623" i="2"/>
  <c r="A624" i="2"/>
  <c r="B624" i="2"/>
  <c r="E624" i="2" s="1"/>
  <c r="F624" i="2" s="1"/>
  <c r="K624" i="2"/>
  <c r="M624" i="2"/>
  <c r="N624" i="2"/>
  <c r="L624" i="2" s="1"/>
  <c r="Q624" i="2"/>
  <c r="A625" i="2"/>
  <c r="B625" i="2"/>
  <c r="K625" i="2"/>
  <c r="M625" i="2"/>
  <c r="N625" i="2"/>
  <c r="L625" i="2" s="1"/>
  <c r="Q625" i="2"/>
  <c r="A626" i="2"/>
  <c r="B626" i="2"/>
  <c r="C626" i="2" s="1"/>
  <c r="K626" i="2"/>
  <c r="M626" i="2"/>
  <c r="N626" i="2"/>
  <c r="L626" i="2" s="1"/>
  <c r="Q626" i="2"/>
  <c r="A627" i="2"/>
  <c r="B627" i="2"/>
  <c r="C627" i="2" s="1"/>
  <c r="K627" i="2"/>
  <c r="M627" i="2"/>
  <c r="N627" i="2"/>
  <c r="L627" i="2" s="1"/>
  <c r="Q627" i="2"/>
  <c r="A628" i="2"/>
  <c r="B628" i="2"/>
  <c r="C628" i="2" s="1"/>
  <c r="K628" i="2"/>
  <c r="M628" i="2"/>
  <c r="N628" i="2"/>
  <c r="L628" i="2" s="1"/>
  <c r="Q628" i="2"/>
  <c r="A629" i="2"/>
  <c r="B629" i="2"/>
  <c r="C629" i="2" s="1"/>
  <c r="K629" i="2"/>
  <c r="M629" i="2"/>
  <c r="N629" i="2"/>
  <c r="L629" i="2" s="1"/>
  <c r="Q629" i="2"/>
  <c r="A630" i="2"/>
  <c r="B630" i="2"/>
  <c r="C630" i="2" s="1"/>
  <c r="K630" i="2"/>
  <c r="M630" i="2"/>
  <c r="N630" i="2"/>
  <c r="L630" i="2" s="1"/>
  <c r="Q630" i="2"/>
  <c r="A631" i="2"/>
  <c r="B631" i="2"/>
  <c r="C631" i="2" s="1"/>
  <c r="K631" i="2"/>
  <c r="M631" i="2"/>
  <c r="N631" i="2"/>
  <c r="Q631" i="2"/>
  <c r="A632" i="2"/>
  <c r="B632" i="2"/>
  <c r="C632" i="2" s="1"/>
  <c r="K632" i="2"/>
  <c r="M632" i="2"/>
  <c r="N632" i="2"/>
  <c r="L632" i="2" s="1"/>
  <c r="Q632" i="2"/>
  <c r="A633" i="2"/>
  <c r="B633" i="2"/>
  <c r="C633" i="2" s="1"/>
  <c r="K633" i="2"/>
  <c r="M633" i="2"/>
  <c r="N633" i="2"/>
  <c r="L633" i="2" s="1"/>
  <c r="Q633" i="2"/>
  <c r="A634" i="2"/>
  <c r="B634" i="2"/>
  <c r="C634" i="2" s="1"/>
  <c r="K634" i="2"/>
  <c r="M634" i="2"/>
  <c r="N634" i="2"/>
  <c r="Q634" i="2"/>
  <c r="A635" i="2"/>
  <c r="B635" i="2"/>
  <c r="C635" i="2" s="1"/>
  <c r="K635" i="2"/>
  <c r="M635" i="2"/>
  <c r="N635" i="2"/>
  <c r="L635" i="2" s="1"/>
  <c r="Q635" i="2"/>
  <c r="A636" i="2"/>
  <c r="B636" i="2"/>
  <c r="C636" i="2" s="1"/>
  <c r="K636" i="2"/>
  <c r="M636" i="2"/>
  <c r="N636" i="2"/>
  <c r="Q636" i="2"/>
  <c r="A637" i="2"/>
  <c r="B637" i="2"/>
  <c r="K637" i="2"/>
  <c r="M637" i="2"/>
  <c r="N637" i="2"/>
  <c r="L637" i="2" s="1"/>
  <c r="Q637" i="2"/>
  <c r="A638" i="2"/>
  <c r="B638" i="2"/>
  <c r="C638" i="2" s="1"/>
  <c r="K638" i="2"/>
  <c r="M638" i="2"/>
  <c r="N638" i="2"/>
  <c r="Q638" i="2"/>
  <c r="A639" i="2"/>
  <c r="B639" i="2"/>
  <c r="K639" i="2"/>
  <c r="M639" i="2"/>
  <c r="N639" i="2"/>
  <c r="L639" i="2" s="1"/>
  <c r="Q639" i="2"/>
  <c r="A640" i="2"/>
  <c r="B640" i="2"/>
  <c r="K640" i="2"/>
  <c r="M640" i="2"/>
  <c r="N640" i="2"/>
  <c r="Q640" i="2"/>
  <c r="A641" i="2"/>
  <c r="B641" i="2"/>
  <c r="K641" i="2"/>
  <c r="M641" i="2"/>
  <c r="N641" i="2"/>
  <c r="Q641" i="2"/>
  <c r="A642" i="2"/>
  <c r="B642" i="2"/>
  <c r="K642" i="2"/>
  <c r="M642" i="2"/>
  <c r="N642" i="2"/>
  <c r="Q642" i="2"/>
  <c r="A643" i="2"/>
  <c r="B643" i="2"/>
  <c r="K643" i="2"/>
  <c r="M643" i="2"/>
  <c r="N643" i="2"/>
  <c r="Q643" i="2"/>
  <c r="A644" i="2"/>
  <c r="B644" i="2"/>
  <c r="K644" i="2"/>
  <c r="M644" i="2"/>
  <c r="N644" i="2"/>
  <c r="Q644" i="2"/>
  <c r="A645" i="2"/>
  <c r="B645" i="2"/>
  <c r="K645" i="2"/>
  <c r="M645" i="2"/>
  <c r="N645" i="2"/>
  <c r="Q645" i="2"/>
  <c r="A646" i="2"/>
  <c r="B646" i="2"/>
  <c r="K646" i="2"/>
  <c r="M646" i="2"/>
  <c r="N646" i="2"/>
  <c r="Q646" i="2"/>
  <c r="A647" i="2"/>
  <c r="B647" i="2"/>
  <c r="K647" i="2"/>
  <c r="M647" i="2"/>
  <c r="N647" i="2"/>
  <c r="Q647" i="2"/>
  <c r="A648" i="2"/>
  <c r="B648" i="2"/>
  <c r="K648" i="2"/>
  <c r="M648" i="2"/>
  <c r="N648" i="2"/>
  <c r="Q648" i="2"/>
  <c r="A649" i="2"/>
  <c r="B649" i="2"/>
  <c r="K649" i="2"/>
  <c r="M649" i="2"/>
  <c r="N649" i="2"/>
  <c r="Q649" i="2"/>
  <c r="C639" i="2" l="1"/>
  <c r="C637" i="2"/>
  <c r="C625" i="2"/>
  <c r="I624" i="2"/>
  <c r="J624" i="2" s="1"/>
  <c r="O646" i="2"/>
  <c r="O645" i="2"/>
  <c r="O644" i="2"/>
  <c r="O643" i="2"/>
  <c r="O642" i="2"/>
  <c r="O641" i="2"/>
  <c r="O640" i="2"/>
  <c r="O638" i="2"/>
  <c r="O636" i="2"/>
  <c r="O634" i="2"/>
  <c r="O631" i="2"/>
  <c r="O624" i="2"/>
  <c r="G624" i="2"/>
  <c r="O623" i="2"/>
  <c r="O622" i="2"/>
  <c r="O621" i="2"/>
  <c r="O620" i="2"/>
  <c r="O619" i="2"/>
  <c r="O618" i="2"/>
  <c r="O617" i="2"/>
  <c r="O616" i="2"/>
  <c r="O614" i="2"/>
  <c r="O613" i="2"/>
  <c r="O612" i="2"/>
  <c r="O611" i="2"/>
  <c r="O610" i="2"/>
  <c r="O609" i="2"/>
  <c r="O608" i="2"/>
  <c r="O607" i="2"/>
  <c r="O606" i="2"/>
  <c r="O605" i="2"/>
  <c r="O604" i="2"/>
  <c r="O603" i="2"/>
  <c r="O602" i="2"/>
  <c r="O601" i="2"/>
  <c r="O600" i="2"/>
  <c r="O599" i="2"/>
  <c r="O598" i="2"/>
  <c r="C601" i="2"/>
  <c r="C600" i="2"/>
  <c r="C599" i="2"/>
  <c r="C598" i="2"/>
  <c r="O649" i="2"/>
  <c r="O648" i="2"/>
  <c r="O647" i="2"/>
  <c r="C649" i="2"/>
  <c r="E649" i="2"/>
  <c r="G649" i="2"/>
  <c r="I649" i="2"/>
  <c r="L647" i="2"/>
  <c r="C647" i="2"/>
  <c r="E647" i="2"/>
  <c r="G647" i="2"/>
  <c r="I647" i="2"/>
  <c r="L645" i="2"/>
  <c r="C645" i="2"/>
  <c r="E645" i="2"/>
  <c r="F645" i="2" s="1"/>
  <c r="G645" i="2"/>
  <c r="I645" i="2"/>
  <c r="J645" i="2" s="1"/>
  <c r="L643" i="2"/>
  <c r="C643" i="2"/>
  <c r="E643" i="2"/>
  <c r="F643" i="2" s="1"/>
  <c r="G643" i="2"/>
  <c r="I643" i="2"/>
  <c r="J643" i="2" s="1"/>
  <c r="L641" i="2"/>
  <c r="C641" i="2"/>
  <c r="E641" i="2"/>
  <c r="G641" i="2"/>
  <c r="I641" i="2"/>
  <c r="C640" i="2"/>
  <c r="L649" i="2"/>
  <c r="L648" i="2"/>
  <c r="C648" i="2"/>
  <c r="E648" i="2"/>
  <c r="F648" i="2" s="1"/>
  <c r="G648" i="2"/>
  <c r="I648" i="2"/>
  <c r="J648" i="2" s="1"/>
  <c r="L646" i="2"/>
  <c r="C646" i="2"/>
  <c r="E646" i="2"/>
  <c r="F646" i="2" s="1"/>
  <c r="G646" i="2"/>
  <c r="I646" i="2"/>
  <c r="J646" i="2" s="1"/>
  <c r="L644" i="2"/>
  <c r="C644" i="2"/>
  <c r="E644" i="2"/>
  <c r="F644" i="2" s="1"/>
  <c r="G644" i="2"/>
  <c r="I644" i="2"/>
  <c r="J644" i="2" s="1"/>
  <c r="L642" i="2"/>
  <c r="C642" i="2"/>
  <c r="E642" i="2"/>
  <c r="F642" i="2" s="1"/>
  <c r="G642" i="2"/>
  <c r="I642" i="2"/>
  <c r="J642" i="2" s="1"/>
  <c r="L640" i="2"/>
  <c r="L638" i="2"/>
  <c r="L636" i="2"/>
  <c r="L634" i="2"/>
  <c r="L631" i="2"/>
  <c r="I640" i="2"/>
  <c r="J640" i="2" s="1"/>
  <c r="G640" i="2"/>
  <c r="E640" i="2"/>
  <c r="F640" i="2" s="1"/>
  <c r="O639" i="2"/>
  <c r="I639" i="2"/>
  <c r="J639" i="2" s="1"/>
  <c r="G639" i="2"/>
  <c r="E639" i="2"/>
  <c r="F639" i="2" s="1"/>
  <c r="I638" i="2"/>
  <c r="J638" i="2" s="1"/>
  <c r="G638" i="2"/>
  <c r="E638" i="2"/>
  <c r="F638" i="2" s="1"/>
  <c r="O637" i="2"/>
  <c r="I637" i="2"/>
  <c r="J637" i="2" s="1"/>
  <c r="G637" i="2"/>
  <c r="E637" i="2"/>
  <c r="F637" i="2" s="1"/>
  <c r="I636" i="2"/>
  <c r="J636" i="2" s="1"/>
  <c r="G636" i="2"/>
  <c r="E636" i="2"/>
  <c r="F636" i="2" s="1"/>
  <c r="O635" i="2"/>
  <c r="I635" i="2"/>
  <c r="J635" i="2" s="1"/>
  <c r="G635" i="2"/>
  <c r="E635" i="2"/>
  <c r="F635" i="2" s="1"/>
  <c r="I634" i="2"/>
  <c r="J634" i="2" s="1"/>
  <c r="G634" i="2"/>
  <c r="E634" i="2"/>
  <c r="F634" i="2" s="1"/>
  <c r="O633" i="2"/>
  <c r="I633" i="2"/>
  <c r="J633" i="2" s="1"/>
  <c r="G633" i="2"/>
  <c r="E633" i="2"/>
  <c r="F633" i="2" s="1"/>
  <c r="O632" i="2"/>
  <c r="I632" i="2"/>
  <c r="J632" i="2" s="1"/>
  <c r="G632" i="2"/>
  <c r="E632" i="2"/>
  <c r="F632" i="2" s="1"/>
  <c r="I631" i="2"/>
  <c r="J631" i="2" s="1"/>
  <c r="G631" i="2"/>
  <c r="E631" i="2"/>
  <c r="F631" i="2" s="1"/>
  <c r="O630" i="2"/>
  <c r="I630" i="2"/>
  <c r="J630" i="2" s="1"/>
  <c r="G630" i="2"/>
  <c r="E630" i="2"/>
  <c r="F630" i="2" s="1"/>
  <c r="O629" i="2"/>
  <c r="I629" i="2"/>
  <c r="J629" i="2" s="1"/>
  <c r="G629" i="2"/>
  <c r="E629" i="2"/>
  <c r="F629" i="2" s="1"/>
  <c r="O628" i="2"/>
  <c r="I628" i="2"/>
  <c r="J628" i="2" s="1"/>
  <c r="G628" i="2"/>
  <c r="E628" i="2"/>
  <c r="F628" i="2" s="1"/>
  <c r="O627" i="2"/>
  <c r="I627" i="2"/>
  <c r="J627" i="2" s="1"/>
  <c r="G627" i="2"/>
  <c r="E627" i="2"/>
  <c r="F627" i="2" s="1"/>
  <c r="O626" i="2"/>
  <c r="I626" i="2"/>
  <c r="J626" i="2" s="1"/>
  <c r="G626" i="2"/>
  <c r="E626" i="2"/>
  <c r="F626" i="2" s="1"/>
  <c r="O625" i="2"/>
  <c r="I625" i="2"/>
  <c r="J625" i="2" s="1"/>
  <c r="G625" i="2"/>
  <c r="E625" i="2"/>
  <c r="F625" i="2" s="1"/>
  <c r="C624" i="2"/>
  <c r="L622" i="2"/>
  <c r="C622" i="2"/>
  <c r="E622" i="2"/>
  <c r="F622" i="2" s="1"/>
  <c r="G622" i="2"/>
  <c r="I622" i="2"/>
  <c r="J622" i="2" s="1"/>
  <c r="L620" i="2"/>
  <c r="C620" i="2"/>
  <c r="E620" i="2"/>
  <c r="F620" i="2" s="1"/>
  <c r="G620" i="2"/>
  <c r="I620" i="2"/>
  <c r="J620" i="2" s="1"/>
  <c r="L618" i="2"/>
  <c r="C618" i="2"/>
  <c r="E618" i="2"/>
  <c r="F618" i="2" s="1"/>
  <c r="G618" i="2"/>
  <c r="I618" i="2"/>
  <c r="J618" i="2" s="1"/>
  <c r="L616" i="2"/>
  <c r="L623" i="2"/>
  <c r="C623" i="2"/>
  <c r="E623" i="2"/>
  <c r="F623" i="2" s="1"/>
  <c r="G623" i="2"/>
  <c r="I623" i="2"/>
  <c r="J623" i="2" s="1"/>
  <c r="L621" i="2"/>
  <c r="C621" i="2"/>
  <c r="E621" i="2"/>
  <c r="F621" i="2" s="1"/>
  <c r="G621" i="2"/>
  <c r="I621" i="2"/>
  <c r="J621" i="2" s="1"/>
  <c r="L619" i="2"/>
  <c r="C619" i="2"/>
  <c r="E619" i="2"/>
  <c r="F619" i="2" s="1"/>
  <c r="G619" i="2"/>
  <c r="I619" i="2"/>
  <c r="J619" i="2" s="1"/>
  <c r="L617" i="2"/>
  <c r="C617" i="2"/>
  <c r="E617" i="2"/>
  <c r="F617" i="2" s="1"/>
  <c r="G617" i="2"/>
  <c r="I617" i="2"/>
  <c r="J617" i="2" s="1"/>
  <c r="I616" i="2"/>
  <c r="J616" i="2" s="1"/>
  <c r="G616" i="2"/>
  <c r="E616" i="2"/>
  <c r="F616" i="2" s="1"/>
  <c r="O615" i="2"/>
  <c r="I615" i="2"/>
  <c r="J615" i="2" s="1"/>
  <c r="G615" i="2"/>
  <c r="E615" i="2"/>
  <c r="F615" i="2" s="1"/>
  <c r="L614" i="2"/>
  <c r="C614" i="2"/>
  <c r="E614" i="2"/>
  <c r="F614" i="2" s="1"/>
  <c r="G614" i="2"/>
  <c r="I614" i="2"/>
  <c r="J614" i="2" s="1"/>
  <c r="L612" i="2"/>
  <c r="C612" i="2"/>
  <c r="E612" i="2"/>
  <c r="F612" i="2" s="1"/>
  <c r="G612" i="2"/>
  <c r="I612" i="2"/>
  <c r="J612" i="2" s="1"/>
  <c r="L610" i="2"/>
  <c r="C610" i="2"/>
  <c r="E610" i="2"/>
  <c r="F610" i="2" s="1"/>
  <c r="G610" i="2"/>
  <c r="I610" i="2"/>
  <c r="J610" i="2" s="1"/>
  <c r="L608" i="2"/>
  <c r="C608" i="2"/>
  <c r="E608" i="2"/>
  <c r="F608" i="2" s="1"/>
  <c r="G608" i="2"/>
  <c r="I608" i="2"/>
  <c r="J608" i="2" s="1"/>
  <c r="L606" i="2"/>
  <c r="C606" i="2"/>
  <c r="E606" i="2"/>
  <c r="F606" i="2" s="1"/>
  <c r="G606" i="2"/>
  <c r="I606" i="2"/>
  <c r="J606" i="2" s="1"/>
  <c r="L604" i="2"/>
  <c r="C604" i="2"/>
  <c r="E604" i="2"/>
  <c r="F604" i="2" s="1"/>
  <c r="G604" i="2"/>
  <c r="I604" i="2"/>
  <c r="J604" i="2" s="1"/>
  <c r="L602" i="2"/>
  <c r="L613" i="2"/>
  <c r="C613" i="2"/>
  <c r="E613" i="2"/>
  <c r="F613" i="2" s="1"/>
  <c r="G613" i="2"/>
  <c r="I613" i="2"/>
  <c r="J613" i="2" s="1"/>
  <c r="L611" i="2"/>
  <c r="C611" i="2"/>
  <c r="E611" i="2"/>
  <c r="F611" i="2" s="1"/>
  <c r="G611" i="2"/>
  <c r="I611" i="2"/>
  <c r="J611" i="2" s="1"/>
  <c r="L609" i="2"/>
  <c r="C609" i="2"/>
  <c r="E609" i="2"/>
  <c r="F609" i="2" s="1"/>
  <c r="G609" i="2"/>
  <c r="I609" i="2"/>
  <c r="J609" i="2" s="1"/>
  <c r="L607" i="2"/>
  <c r="C607" i="2"/>
  <c r="E607" i="2"/>
  <c r="F607" i="2" s="1"/>
  <c r="G607" i="2"/>
  <c r="I607" i="2"/>
  <c r="J607" i="2" s="1"/>
  <c r="L605" i="2"/>
  <c r="C605" i="2"/>
  <c r="E605" i="2"/>
  <c r="F605" i="2" s="1"/>
  <c r="G605" i="2"/>
  <c r="I605" i="2"/>
  <c r="J605" i="2" s="1"/>
  <c r="L603" i="2"/>
  <c r="C603" i="2"/>
  <c r="E603" i="2"/>
  <c r="F603" i="2" s="1"/>
  <c r="G603" i="2"/>
  <c r="I603" i="2"/>
  <c r="J603" i="2" s="1"/>
  <c r="L601" i="2"/>
  <c r="L600" i="2"/>
  <c r="L599" i="2"/>
  <c r="L598" i="2"/>
  <c r="I602" i="2"/>
  <c r="J602" i="2" s="1"/>
  <c r="G602" i="2"/>
  <c r="E602" i="2"/>
  <c r="F602" i="2" s="1"/>
  <c r="I601" i="2"/>
  <c r="J601" i="2" s="1"/>
  <c r="G601" i="2"/>
  <c r="E601" i="2"/>
  <c r="F601" i="2" s="1"/>
  <c r="I600" i="2"/>
  <c r="J600" i="2" s="1"/>
  <c r="G600" i="2"/>
  <c r="E600" i="2"/>
  <c r="F600" i="2" s="1"/>
  <c r="I599" i="2"/>
  <c r="J599" i="2" s="1"/>
  <c r="G599" i="2"/>
  <c r="E599" i="2"/>
  <c r="F599" i="2" s="1"/>
  <c r="I598" i="2"/>
  <c r="J598" i="2" s="1"/>
  <c r="G598" i="2"/>
  <c r="E598" i="2"/>
  <c r="F598" i="2" s="1"/>
  <c r="N2" i="7"/>
  <c r="B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2" i="2"/>
  <c r="P2" i="6"/>
  <c r="B597" i="2" l="1"/>
  <c r="K597" i="2"/>
  <c r="M597" i="2"/>
  <c r="N597" i="2"/>
  <c r="L597" i="2" s="1"/>
  <c r="Q597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2" i="2"/>
  <c r="B562" i="2"/>
  <c r="K562" i="2"/>
  <c r="N562" i="2"/>
  <c r="L562" i="2" s="1"/>
  <c r="Q562" i="2"/>
  <c r="B563" i="2"/>
  <c r="K563" i="2"/>
  <c r="N563" i="2"/>
  <c r="L563" i="2" s="1"/>
  <c r="Q563" i="2"/>
  <c r="K564" i="2"/>
  <c r="N564" i="2"/>
  <c r="L564" i="2" s="1"/>
  <c r="Q564" i="2"/>
  <c r="C564" i="2" s="1"/>
  <c r="K565" i="2"/>
  <c r="N565" i="2"/>
  <c r="L565" i="2" s="1"/>
  <c r="Q565" i="2"/>
  <c r="K566" i="2"/>
  <c r="N566" i="2"/>
  <c r="L566" i="2" s="1"/>
  <c r="Q566" i="2"/>
  <c r="C566" i="2" s="1"/>
  <c r="K567" i="2"/>
  <c r="N567" i="2"/>
  <c r="L567" i="2" s="1"/>
  <c r="Q567" i="2"/>
  <c r="C567" i="2" s="1"/>
  <c r="K568" i="2"/>
  <c r="N568" i="2"/>
  <c r="O568" i="2" s="1"/>
  <c r="Q568" i="2"/>
  <c r="C568" i="2" s="1"/>
  <c r="K569" i="2"/>
  <c r="N569" i="2"/>
  <c r="L569" i="2" s="1"/>
  <c r="Q569" i="2"/>
  <c r="C569" i="2" s="1"/>
  <c r="K570" i="2"/>
  <c r="N570" i="2"/>
  <c r="O570" i="2" s="1"/>
  <c r="Q570" i="2"/>
  <c r="C570" i="2" s="1"/>
  <c r="K571" i="2"/>
  <c r="N571" i="2"/>
  <c r="L571" i="2" s="1"/>
  <c r="Q571" i="2"/>
  <c r="C571" i="2" s="1"/>
  <c r="K572" i="2"/>
  <c r="N572" i="2"/>
  <c r="O572" i="2" s="1"/>
  <c r="Q572" i="2"/>
  <c r="C572" i="2" s="1"/>
  <c r="K573" i="2"/>
  <c r="N573" i="2"/>
  <c r="L573" i="2" s="1"/>
  <c r="Q573" i="2"/>
  <c r="C573" i="2" s="1"/>
  <c r="K574" i="2"/>
  <c r="N574" i="2"/>
  <c r="O574" i="2" s="1"/>
  <c r="Q574" i="2"/>
  <c r="C574" i="2" s="1"/>
  <c r="K575" i="2"/>
  <c r="N575" i="2"/>
  <c r="L575" i="2" s="1"/>
  <c r="Q575" i="2"/>
  <c r="C575" i="2" s="1"/>
  <c r="K576" i="2"/>
  <c r="N576" i="2"/>
  <c r="O576" i="2" s="1"/>
  <c r="Q576" i="2"/>
  <c r="C576" i="2" s="1"/>
  <c r="K577" i="2"/>
  <c r="N577" i="2"/>
  <c r="L577" i="2" s="1"/>
  <c r="Q577" i="2"/>
  <c r="C577" i="2" s="1"/>
  <c r="K578" i="2"/>
  <c r="N578" i="2"/>
  <c r="Q578" i="2"/>
  <c r="C578" i="2" s="1"/>
  <c r="K579" i="2"/>
  <c r="N579" i="2"/>
  <c r="L579" i="2" s="1"/>
  <c r="Q579" i="2"/>
  <c r="C579" i="2" s="1"/>
  <c r="B580" i="2"/>
  <c r="K580" i="2"/>
  <c r="N580" i="2"/>
  <c r="O580" i="2" s="1"/>
  <c r="Q580" i="2"/>
  <c r="B581" i="2"/>
  <c r="K581" i="2"/>
  <c r="N581" i="2"/>
  <c r="L581" i="2" s="1"/>
  <c r="Q581" i="2"/>
  <c r="B582" i="2"/>
  <c r="K582" i="2"/>
  <c r="N582" i="2"/>
  <c r="O582" i="2" s="1"/>
  <c r="Q582" i="2"/>
  <c r="B583" i="2"/>
  <c r="K583" i="2"/>
  <c r="N583" i="2"/>
  <c r="L583" i="2" s="1"/>
  <c r="Q583" i="2"/>
  <c r="B584" i="2"/>
  <c r="K584" i="2"/>
  <c r="N584" i="2"/>
  <c r="O584" i="2" s="1"/>
  <c r="Q584" i="2"/>
  <c r="B585" i="2"/>
  <c r="K585" i="2"/>
  <c r="N585" i="2"/>
  <c r="L585" i="2" s="1"/>
  <c r="Q585" i="2"/>
  <c r="B586" i="2"/>
  <c r="K586" i="2"/>
  <c r="N586" i="2"/>
  <c r="O586" i="2" s="1"/>
  <c r="Q586" i="2"/>
  <c r="B587" i="2"/>
  <c r="K587" i="2"/>
  <c r="N587" i="2"/>
  <c r="L587" i="2" s="1"/>
  <c r="Q587" i="2"/>
  <c r="B588" i="2"/>
  <c r="C588" i="2" s="1"/>
  <c r="K588" i="2"/>
  <c r="N588" i="2"/>
  <c r="O588" i="2" s="1"/>
  <c r="Q588" i="2"/>
  <c r="B589" i="2"/>
  <c r="K589" i="2"/>
  <c r="N589" i="2"/>
  <c r="L589" i="2" s="1"/>
  <c r="Q589" i="2"/>
  <c r="B590" i="2"/>
  <c r="C590" i="2" s="1"/>
  <c r="K590" i="2"/>
  <c r="N590" i="2"/>
  <c r="O590" i="2" s="1"/>
  <c r="Q590" i="2"/>
  <c r="B591" i="2"/>
  <c r="K591" i="2"/>
  <c r="N591" i="2"/>
  <c r="L591" i="2" s="1"/>
  <c r="Q591" i="2"/>
  <c r="B592" i="2"/>
  <c r="C592" i="2" s="1"/>
  <c r="K592" i="2"/>
  <c r="N592" i="2"/>
  <c r="O592" i="2" s="1"/>
  <c r="Q592" i="2"/>
  <c r="B593" i="2"/>
  <c r="K593" i="2"/>
  <c r="N593" i="2"/>
  <c r="L593" i="2" s="1"/>
  <c r="Q593" i="2"/>
  <c r="B594" i="2"/>
  <c r="C594" i="2" s="1"/>
  <c r="K594" i="2"/>
  <c r="N594" i="2"/>
  <c r="O594" i="2" s="1"/>
  <c r="Q594" i="2"/>
  <c r="B595" i="2"/>
  <c r="C595" i="2" s="1"/>
  <c r="K595" i="2"/>
  <c r="N595" i="2"/>
  <c r="L595" i="2" s="1"/>
  <c r="Q595" i="2"/>
  <c r="B596" i="2"/>
  <c r="C596" i="2" s="1"/>
  <c r="K596" i="2"/>
  <c r="N596" i="2"/>
  <c r="O596" i="2" s="1"/>
  <c r="Q596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2" i="2"/>
  <c r="F1" i="1"/>
  <c r="G1" i="1"/>
  <c r="I1" i="1"/>
  <c r="J1" i="1"/>
  <c r="H1" i="1"/>
  <c r="O578" i="2" l="1"/>
  <c r="C586" i="2"/>
  <c r="C584" i="2"/>
  <c r="C582" i="2"/>
  <c r="C581" i="2"/>
  <c r="C580" i="2"/>
  <c r="C562" i="2"/>
  <c r="C597" i="2"/>
  <c r="C593" i="2"/>
  <c r="C591" i="2"/>
  <c r="C589" i="2"/>
  <c r="C587" i="2"/>
  <c r="C585" i="2"/>
  <c r="C583" i="2"/>
  <c r="C565" i="2"/>
  <c r="C563" i="2"/>
  <c r="O597" i="2"/>
  <c r="I597" i="2"/>
  <c r="J597" i="2" s="1"/>
  <c r="G597" i="2"/>
  <c r="E597" i="2"/>
  <c r="F597" i="2" s="1"/>
  <c r="L596" i="2"/>
  <c r="L594" i="2"/>
  <c r="L592" i="2"/>
  <c r="L590" i="2"/>
  <c r="L588" i="2"/>
  <c r="L586" i="2"/>
  <c r="L584" i="2"/>
  <c r="L582" i="2"/>
  <c r="L580" i="2"/>
  <c r="L578" i="2"/>
  <c r="L576" i="2"/>
  <c r="L574" i="2"/>
  <c r="L572" i="2"/>
  <c r="L570" i="2"/>
  <c r="L568" i="2"/>
  <c r="I596" i="2"/>
  <c r="J596" i="2" s="1"/>
  <c r="G596" i="2"/>
  <c r="E596" i="2"/>
  <c r="F596" i="2" s="1"/>
  <c r="O595" i="2"/>
  <c r="I595" i="2"/>
  <c r="G595" i="2"/>
  <c r="E595" i="2"/>
  <c r="I594" i="2"/>
  <c r="J594" i="2" s="1"/>
  <c r="G594" i="2"/>
  <c r="E594" i="2"/>
  <c r="F594" i="2" s="1"/>
  <c r="O593" i="2"/>
  <c r="I593" i="2"/>
  <c r="G593" i="2"/>
  <c r="E593" i="2"/>
  <c r="I592" i="2"/>
  <c r="G592" i="2"/>
  <c r="E592" i="2"/>
  <c r="O591" i="2"/>
  <c r="I591" i="2"/>
  <c r="J591" i="2" s="1"/>
  <c r="G591" i="2"/>
  <c r="E591" i="2"/>
  <c r="F591" i="2" s="1"/>
  <c r="I590" i="2"/>
  <c r="J590" i="2" s="1"/>
  <c r="G590" i="2"/>
  <c r="E590" i="2"/>
  <c r="F590" i="2" s="1"/>
  <c r="O589" i="2"/>
  <c r="I589" i="2"/>
  <c r="G589" i="2"/>
  <c r="E589" i="2"/>
  <c r="I588" i="2"/>
  <c r="J588" i="2" s="1"/>
  <c r="G588" i="2"/>
  <c r="E588" i="2"/>
  <c r="F588" i="2" s="1"/>
  <c r="O587" i="2"/>
  <c r="I587" i="2"/>
  <c r="J587" i="2" s="1"/>
  <c r="G587" i="2"/>
  <c r="E587" i="2"/>
  <c r="F587" i="2" s="1"/>
  <c r="I586" i="2"/>
  <c r="G586" i="2"/>
  <c r="E586" i="2"/>
  <c r="O585" i="2"/>
  <c r="I585" i="2"/>
  <c r="J585" i="2" s="1"/>
  <c r="G585" i="2"/>
  <c r="E585" i="2"/>
  <c r="F585" i="2" s="1"/>
  <c r="I584" i="2"/>
  <c r="J584" i="2" s="1"/>
  <c r="G584" i="2"/>
  <c r="E584" i="2"/>
  <c r="F584" i="2" s="1"/>
  <c r="O583" i="2"/>
  <c r="I583" i="2"/>
  <c r="J583" i="2" s="1"/>
  <c r="G583" i="2"/>
  <c r="E583" i="2"/>
  <c r="F583" i="2" s="1"/>
  <c r="I582" i="2"/>
  <c r="J582" i="2" s="1"/>
  <c r="G582" i="2"/>
  <c r="E582" i="2"/>
  <c r="F582" i="2" s="1"/>
  <c r="O581" i="2"/>
  <c r="I581" i="2"/>
  <c r="G581" i="2"/>
  <c r="E581" i="2"/>
  <c r="I580" i="2"/>
  <c r="G580" i="2"/>
  <c r="E580" i="2"/>
  <c r="O579" i="2"/>
  <c r="I579" i="2"/>
  <c r="G579" i="2"/>
  <c r="E579" i="2"/>
  <c r="I578" i="2"/>
  <c r="G578" i="2"/>
  <c r="E578" i="2"/>
  <c r="O577" i="2"/>
  <c r="I577" i="2"/>
  <c r="G577" i="2"/>
  <c r="E577" i="2"/>
  <c r="I576" i="2"/>
  <c r="G576" i="2"/>
  <c r="E576" i="2"/>
  <c r="O575" i="2"/>
  <c r="I575" i="2"/>
  <c r="G575" i="2"/>
  <c r="E575" i="2"/>
  <c r="I574" i="2"/>
  <c r="G574" i="2"/>
  <c r="E574" i="2"/>
  <c r="O573" i="2"/>
  <c r="I573" i="2"/>
  <c r="G573" i="2"/>
  <c r="E573" i="2"/>
  <c r="I572" i="2"/>
  <c r="G572" i="2"/>
  <c r="E572" i="2"/>
  <c r="O571" i="2"/>
  <c r="I571" i="2"/>
  <c r="G571" i="2"/>
  <c r="E571" i="2"/>
  <c r="I570" i="2"/>
  <c r="G570" i="2"/>
  <c r="E570" i="2"/>
  <c r="O569" i="2"/>
  <c r="I569" i="2"/>
  <c r="G569" i="2"/>
  <c r="E569" i="2"/>
  <c r="I568" i="2"/>
  <c r="G568" i="2"/>
  <c r="E568" i="2"/>
  <c r="O567" i="2"/>
  <c r="I567" i="2"/>
  <c r="G567" i="2"/>
  <c r="E567" i="2"/>
  <c r="O566" i="2"/>
  <c r="I566" i="2"/>
  <c r="G566" i="2"/>
  <c r="E566" i="2"/>
  <c r="O565" i="2"/>
  <c r="I565" i="2"/>
  <c r="G565" i="2"/>
  <c r="E565" i="2"/>
  <c r="O564" i="2"/>
  <c r="I564" i="2"/>
  <c r="G564" i="2"/>
  <c r="E564" i="2"/>
  <c r="O563" i="2"/>
  <c r="I563" i="2"/>
  <c r="G563" i="2"/>
  <c r="E563" i="2"/>
  <c r="O562" i="2"/>
  <c r="I562" i="2"/>
  <c r="J562" i="2" s="1"/>
  <c r="G562" i="2"/>
  <c r="E562" i="2"/>
  <c r="F562" i="2" s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2" i="2"/>
  <c r="B3" i="1"/>
  <c r="E561" i="2" l="1"/>
  <c r="F561" i="2" s="1"/>
  <c r="C561" i="2"/>
  <c r="I561" i="2"/>
  <c r="J561" i="2" s="1"/>
  <c r="G561" i="2"/>
  <c r="E559" i="2"/>
  <c r="F559" i="2" s="1"/>
  <c r="C559" i="2"/>
  <c r="I559" i="2"/>
  <c r="J559" i="2" s="1"/>
  <c r="G559" i="2"/>
  <c r="E557" i="2"/>
  <c r="F557" i="2" s="1"/>
  <c r="C557" i="2"/>
  <c r="I557" i="2"/>
  <c r="J557" i="2" s="1"/>
  <c r="G557" i="2"/>
  <c r="E555" i="2"/>
  <c r="F555" i="2" s="1"/>
  <c r="C555" i="2"/>
  <c r="I555" i="2"/>
  <c r="J555" i="2" s="1"/>
  <c r="G555" i="2"/>
  <c r="E553" i="2"/>
  <c r="F553" i="2" s="1"/>
  <c r="C553" i="2"/>
  <c r="I553" i="2"/>
  <c r="J553" i="2" s="1"/>
  <c r="G553" i="2"/>
  <c r="E551" i="2"/>
  <c r="F551" i="2" s="1"/>
  <c r="C551" i="2"/>
  <c r="I551" i="2"/>
  <c r="J551" i="2" s="1"/>
  <c r="G551" i="2"/>
  <c r="E549" i="2"/>
  <c r="F549" i="2" s="1"/>
  <c r="C549" i="2"/>
  <c r="I549" i="2"/>
  <c r="J549" i="2" s="1"/>
  <c r="G549" i="2"/>
  <c r="E547" i="2"/>
  <c r="F547" i="2" s="1"/>
  <c r="C547" i="2"/>
  <c r="I547" i="2"/>
  <c r="J547" i="2" s="1"/>
  <c r="G547" i="2"/>
  <c r="E545" i="2"/>
  <c r="F545" i="2" s="1"/>
  <c r="C545" i="2"/>
  <c r="I545" i="2"/>
  <c r="J545" i="2" s="1"/>
  <c r="G545" i="2"/>
  <c r="E543" i="2"/>
  <c r="F543" i="2" s="1"/>
  <c r="C543" i="2"/>
  <c r="I543" i="2"/>
  <c r="J543" i="2" s="1"/>
  <c r="G543" i="2"/>
  <c r="E541" i="2"/>
  <c r="F541" i="2" s="1"/>
  <c r="C541" i="2"/>
  <c r="I541" i="2"/>
  <c r="J541" i="2" s="1"/>
  <c r="G541" i="2"/>
  <c r="E539" i="2"/>
  <c r="F539" i="2" s="1"/>
  <c r="C539" i="2"/>
  <c r="I539" i="2"/>
  <c r="J539" i="2" s="1"/>
  <c r="G539" i="2"/>
  <c r="E537" i="2"/>
  <c r="F537" i="2" s="1"/>
  <c r="C537" i="2"/>
  <c r="I537" i="2"/>
  <c r="J537" i="2" s="1"/>
  <c r="G537" i="2"/>
  <c r="E535" i="2"/>
  <c r="F535" i="2" s="1"/>
  <c r="C535" i="2"/>
  <c r="I535" i="2"/>
  <c r="J535" i="2" s="1"/>
  <c r="G535" i="2"/>
  <c r="E533" i="2"/>
  <c r="F533" i="2" s="1"/>
  <c r="C533" i="2"/>
  <c r="I533" i="2"/>
  <c r="J533" i="2" s="1"/>
  <c r="G533" i="2"/>
  <c r="E531" i="2"/>
  <c r="F531" i="2" s="1"/>
  <c r="C531" i="2"/>
  <c r="I531" i="2"/>
  <c r="J531" i="2" s="1"/>
  <c r="G531" i="2"/>
  <c r="E529" i="2"/>
  <c r="F529" i="2" s="1"/>
  <c r="C529" i="2"/>
  <c r="I529" i="2"/>
  <c r="J529" i="2" s="1"/>
  <c r="G529" i="2"/>
  <c r="E527" i="2"/>
  <c r="F527" i="2" s="1"/>
  <c r="C527" i="2"/>
  <c r="I527" i="2"/>
  <c r="J527" i="2" s="1"/>
  <c r="G527" i="2"/>
  <c r="E525" i="2"/>
  <c r="F525" i="2" s="1"/>
  <c r="C525" i="2"/>
  <c r="I525" i="2"/>
  <c r="J525" i="2" s="1"/>
  <c r="G525" i="2"/>
  <c r="E523" i="2"/>
  <c r="F523" i="2" s="1"/>
  <c r="C523" i="2"/>
  <c r="I523" i="2"/>
  <c r="J523" i="2" s="1"/>
  <c r="G523" i="2"/>
  <c r="E521" i="2"/>
  <c r="F521" i="2" s="1"/>
  <c r="C521" i="2"/>
  <c r="I521" i="2"/>
  <c r="J521" i="2" s="1"/>
  <c r="G521" i="2"/>
  <c r="E519" i="2"/>
  <c r="F519" i="2" s="1"/>
  <c r="C519" i="2"/>
  <c r="I519" i="2"/>
  <c r="J519" i="2" s="1"/>
  <c r="G519" i="2"/>
  <c r="E517" i="2"/>
  <c r="F517" i="2" s="1"/>
  <c r="C517" i="2"/>
  <c r="I517" i="2"/>
  <c r="J517" i="2" s="1"/>
  <c r="G517" i="2"/>
  <c r="E515" i="2"/>
  <c r="F515" i="2" s="1"/>
  <c r="C515" i="2"/>
  <c r="I515" i="2"/>
  <c r="J515" i="2" s="1"/>
  <c r="G515" i="2"/>
  <c r="E2" i="2"/>
  <c r="C2" i="2"/>
  <c r="I2" i="2"/>
  <c r="G2" i="2"/>
  <c r="E560" i="2"/>
  <c r="F560" i="2" s="1"/>
  <c r="C560" i="2"/>
  <c r="I560" i="2"/>
  <c r="J560" i="2" s="1"/>
  <c r="G560" i="2"/>
  <c r="E558" i="2"/>
  <c r="F558" i="2" s="1"/>
  <c r="C558" i="2"/>
  <c r="I558" i="2"/>
  <c r="J558" i="2" s="1"/>
  <c r="G558" i="2"/>
  <c r="E556" i="2"/>
  <c r="F556" i="2" s="1"/>
  <c r="C556" i="2"/>
  <c r="I556" i="2"/>
  <c r="J556" i="2" s="1"/>
  <c r="G556" i="2"/>
  <c r="E554" i="2"/>
  <c r="F554" i="2" s="1"/>
  <c r="C554" i="2"/>
  <c r="I554" i="2"/>
  <c r="J554" i="2" s="1"/>
  <c r="G554" i="2"/>
  <c r="E552" i="2"/>
  <c r="F552" i="2" s="1"/>
  <c r="C552" i="2"/>
  <c r="I552" i="2"/>
  <c r="J552" i="2" s="1"/>
  <c r="G552" i="2"/>
  <c r="E550" i="2"/>
  <c r="F550" i="2" s="1"/>
  <c r="C550" i="2"/>
  <c r="I550" i="2"/>
  <c r="J550" i="2" s="1"/>
  <c r="G550" i="2"/>
  <c r="E548" i="2"/>
  <c r="F548" i="2" s="1"/>
  <c r="C548" i="2"/>
  <c r="I548" i="2"/>
  <c r="J548" i="2" s="1"/>
  <c r="G548" i="2"/>
  <c r="E546" i="2"/>
  <c r="F546" i="2" s="1"/>
  <c r="C546" i="2"/>
  <c r="I546" i="2"/>
  <c r="J546" i="2" s="1"/>
  <c r="G546" i="2"/>
  <c r="E544" i="2"/>
  <c r="F544" i="2" s="1"/>
  <c r="C544" i="2"/>
  <c r="I544" i="2"/>
  <c r="J544" i="2" s="1"/>
  <c r="G544" i="2"/>
  <c r="E542" i="2"/>
  <c r="F542" i="2" s="1"/>
  <c r="C542" i="2"/>
  <c r="I542" i="2"/>
  <c r="J542" i="2" s="1"/>
  <c r="G542" i="2"/>
  <c r="E540" i="2"/>
  <c r="F540" i="2" s="1"/>
  <c r="C540" i="2"/>
  <c r="I540" i="2"/>
  <c r="J540" i="2" s="1"/>
  <c r="G540" i="2"/>
  <c r="E538" i="2"/>
  <c r="F538" i="2" s="1"/>
  <c r="C538" i="2"/>
  <c r="I538" i="2"/>
  <c r="J538" i="2" s="1"/>
  <c r="G538" i="2"/>
  <c r="E536" i="2"/>
  <c r="F536" i="2" s="1"/>
  <c r="C536" i="2"/>
  <c r="I536" i="2"/>
  <c r="J536" i="2" s="1"/>
  <c r="G536" i="2"/>
  <c r="E534" i="2"/>
  <c r="F534" i="2" s="1"/>
  <c r="C534" i="2"/>
  <c r="I534" i="2"/>
  <c r="J534" i="2" s="1"/>
  <c r="G534" i="2"/>
  <c r="E532" i="2"/>
  <c r="F532" i="2" s="1"/>
  <c r="C532" i="2"/>
  <c r="I532" i="2"/>
  <c r="J532" i="2" s="1"/>
  <c r="G532" i="2"/>
  <c r="E530" i="2"/>
  <c r="F530" i="2" s="1"/>
  <c r="C530" i="2"/>
  <c r="I530" i="2"/>
  <c r="J530" i="2" s="1"/>
  <c r="G530" i="2"/>
  <c r="E528" i="2"/>
  <c r="F528" i="2" s="1"/>
  <c r="C528" i="2"/>
  <c r="I528" i="2"/>
  <c r="J528" i="2" s="1"/>
  <c r="G528" i="2"/>
  <c r="E526" i="2"/>
  <c r="F526" i="2" s="1"/>
  <c r="C526" i="2"/>
  <c r="I526" i="2"/>
  <c r="J526" i="2" s="1"/>
  <c r="G526" i="2"/>
  <c r="E524" i="2"/>
  <c r="F524" i="2" s="1"/>
  <c r="C524" i="2"/>
  <c r="I524" i="2"/>
  <c r="J524" i="2" s="1"/>
  <c r="G524" i="2"/>
  <c r="E522" i="2"/>
  <c r="F522" i="2" s="1"/>
  <c r="C522" i="2"/>
  <c r="I522" i="2"/>
  <c r="J522" i="2" s="1"/>
  <c r="G522" i="2"/>
  <c r="E520" i="2"/>
  <c r="F520" i="2" s="1"/>
  <c r="C520" i="2"/>
  <c r="I520" i="2"/>
  <c r="J520" i="2" s="1"/>
  <c r="G520" i="2"/>
  <c r="E518" i="2"/>
  <c r="F518" i="2" s="1"/>
  <c r="C518" i="2"/>
  <c r="I518" i="2"/>
  <c r="J518" i="2" s="1"/>
  <c r="G518" i="2"/>
  <c r="E516" i="2"/>
  <c r="F516" i="2" s="1"/>
  <c r="C516" i="2"/>
  <c r="I516" i="2"/>
  <c r="J516" i="2" s="1"/>
  <c r="G516" i="2"/>
  <c r="E513" i="2"/>
  <c r="F513" i="2" s="1"/>
  <c r="C513" i="2"/>
  <c r="I513" i="2"/>
  <c r="J513" i="2" s="1"/>
  <c r="G513" i="2"/>
  <c r="E511" i="2"/>
  <c r="F511" i="2" s="1"/>
  <c r="C511" i="2"/>
  <c r="I511" i="2"/>
  <c r="J511" i="2" s="1"/>
  <c r="G511" i="2"/>
  <c r="E509" i="2"/>
  <c r="F509" i="2" s="1"/>
  <c r="C509" i="2"/>
  <c r="I509" i="2"/>
  <c r="J509" i="2" s="1"/>
  <c r="G509" i="2"/>
  <c r="E507" i="2"/>
  <c r="F507" i="2" s="1"/>
  <c r="C507" i="2"/>
  <c r="I507" i="2"/>
  <c r="J507" i="2" s="1"/>
  <c r="G507" i="2"/>
  <c r="E505" i="2"/>
  <c r="F505" i="2" s="1"/>
  <c r="C505" i="2"/>
  <c r="I505" i="2"/>
  <c r="J505" i="2" s="1"/>
  <c r="G505" i="2"/>
  <c r="E503" i="2"/>
  <c r="F503" i="2" s="1"/>
  <c r="C503" i="2"/>
  <c r="I503" i="2"/>
  <c r="J503" i="2" s="1"/>
  <c r="G503" i="2"/>
  <c r="E501" i="2"/>
  <c r="F501" i="2" s="1"/>
  <c r="C501" i="2"/>
  <c r="I501" i="2"/>
  <c r="J501" i="2" s="1"/>
  <c r="G501" i="2"/>
  <c r="E499" i="2"/>
  <c r="F499" i="2" s="1"/>
  <c r="C499" i="2"/>
  <c r="I499" i="2"/>
  <c r="J499" i="2" s="1"/>
  <c r="G499" i="2"/>
  <c r="E497" i="2"/>
  <c r="F497" i="2" s="1"/>
  <c r="C497" i="2"/>
  <c r="I497" i="2"/>
  <c r="J497" i="2" s="1"/>
  <c r="G497" i="2"/>
  <c r="E495" i="2"/>
  <c r="F495" i="2" s="1"/>
  <c r="C495" i="2"/>
  <c r="I495" i="2"/>
  <c r="J495" i="2" s="1"/>
  <c r="G495" i="2"/>
  <c r="E493" i="2"/>
  <c r="F493" i="2" s="1"/>
  <c r="C493" i="2"/>
  <c r="I493" i="2"/>
  <c r="J493" i="2" s="1"/>
  <c r="G493" i="2"/>
  <c r="E491" i="2"/>
  <c r="F491" i="2" s="1"/>
  <c r="C491" i="2"/>
  <c r="I491" i="2"/>
  <c r="J491" i="2" s="1"/>
  <c r="G491" i="2"/>
  <c r="E489" i="2"/>
  <c r="F489" i="2" s="1"/>
  <c r="C489" i="2"/>
  <c r="I489" i="2"/>
  <c r="J489" i="2" s="1"/>
  <c r="G489" i="2"/>
  <c r="E487" i="2"/>
  <c r="F487" i="2" s="1"/>
  <c r="C487" i="2"/>
  <c r="I487" i="2"/>
  <c r="J487" i="2" s="1"/>
  <c r="G487" i="2"/>
  <c r="E485" i="2"/>
  <c r="F485" i="2" s="1"/>
  <c r="C485" i="2"/>
  <c r="I485" i="2"/>
  <c r="J485" i="2" s="1"/>
  <c r="G485" i="2"/>
  <c r="E483" i="2"/>
  <c r="F483" i="2" s="1"/>
  <c r="C483" i="2"/>
  <c r="I483" i="2"/>
  <c r="J483" i="2" s="1"/>
  <c r="G483" i="2"/>
  <c r="E481" i="2"/>
  <c r="F481" i="2" s="1"/>
  <c r="C481" i="2"/>
  <c r="I481" i="2"/>
  <c r="J481" i="2" s="1"/>
  <c r="G481" i="2"/>
  <c r="E479" i="2"/>
  <c r="F479" i="2" s="1"/>
  <c r="C479" i="2"/>
  <c r="I479" i="2"/>
  <c r="J479" i="2" s="1"/>
  <c r="G479" i="2"/>
  <c r="E477" i="2"/>
  <c r="F477" i="2" s="1"/>
  <c r="C477" i="2"/>
  <c r="I477" i="2"/>
  <c r="J477" i="2" s="1"/>
  <c r="G477" i="2"/>
  <c r="E475" i="2"/>
  <c r="F475" i="2" s="1"/>
  <c r="C475" i="2"/>
  <c r="I475" i="2"/>
  <c r="J475" i="2" s="1"/>
  <c r="G475" i="2"/>
  <c r="E473" i="2"/>
  <c r="F473" i="2" s="1"/>
  <c r="C473" i="2"/>
  <c r="I473" i="2"/>
  <c r="J473" i="2" s="1"/>
  <c r="G473" i="2"/>
  <c r="E471" i="2"/>
  <c r="F471" i="2" s="1"/>
  <c r="C471" i="2"/>
  <c r="I471" i="2"/>
  <c r="J471" i="2" s="1"/>
  <c r="G471" i="2"/>
  <c r="E469" i="2"/>
  <c r="F469" i="2" s="1"/>
  <c r="C469" i="2"/>
  <c r="I469" i="2"/>
  <c r="J469" i="2" s="1"/>
  <c r="G469" i="2"/>
  <c r="E467" i="2"/>
  <c r="F467" i="2" s="1"/>
  <c r="C467" i="2"/>
  <c r="I467" i="2"/>
  <c r="J467" i="2" s="1"/>
  <c r="G467" i="2"/>
  <c r="E465" i="2"/>
  <c r="F465" i="2" s="1"/>
  <c r="C465" i="2"/>
  <c r="I465" i="2"/>
  <c r="J465" i="2" s="1"/>
  <c r="G465" i="2"/>
  <c r="E463" i="2"/>
  <c r="F463" i="2" s="1"/>
  <c r="C463" i="2"/>
  <c r="I463" i="2"/>
  <c r="J463" i="2" s="1"/>
  <c r="G463" i="2"/>
  <c r="E461" i="2"/>
  <c r="F461" i="2" s="1"/>
  <c r="C461" i="2"/>
  <c r="I461" i="2"/>
  <c r="J461" i="2" s="1"/>
  <c r="G461" i="2"/>
  <c r="E459" i="2"/>
  <c r="F459" i="2" s="1"/>
  <c r="C459" i="2"/>
  <c r="I459" i="2"/>
  <c r="J459" i="2" s="1"/>
  <c r="G459" i="2"/>
  <c r="E457" i="2"/>
  <c r="F457" i="2" s="1"/>
  <c r="C457" i="2"/>
  <c r="I457" i="2"/>
  <c r="J457" i="2" s="1"/>
  <c r="G457" i="2"/>
  <c r="E455" i="2"/>
  <c r="F455" i="2" s="1"/>
  <c r="C455" i="2"/>
  <c r="I455" i="2"/>
  <c r="J455" i="2" s="1"/>
  <c r="G455" i="2"/>
  <c r="E453" i="2"/>
  <c r="F453" i="2" s="1"/>
  <c r="C453" i="2"/>
  <c r="I453" i="2"/>
  <c r="J453" i="2" s="1"/>
  <c r="G453" i="2"/>
  <c r="E451" i="2"/>
  <c r="F451" i="2" s="1"/>
  <c r="C451" i="2"/>
  <c r="I451" i="2"/>
  <c r="J451" i="2" s="1"/>
  <c r="G451" i="2"/>
  <c r="E449" i="2"/>
  <c r="F449" i="2" s="1"/>
  <c r="C449" i="2"/>
  <c r="I449" i="2"/>
  <c r="J449" i="2" s="1"/>
  <c r="G449" i="2"/>
  <c r="E447" i="2"/>
  <c r="C447" i="2"/>
  <c r="I447" i="2"/>
  <c r="G447" i="2"/>
  <c r="E445" i="2"/>
  <c r="F445" i="2" s="1"/>
  <c r="C445" i="2"/>
  <c r="I445" i="2"/>
  <c r="J445" i="2" s="1"/>
  <c r="G445" i="2"/>
  <c r="E443" i="2"/>
  <c r="F443" i="2" s="1"/>
  <c r="C443" i="2"/>
  <c r="I443" i="2"/>
  <c r="J443" i="2" s="1"/>
  <c r="G443" i="2"/>
  <c r="E441" i="2"/>
  <c r="F441" i="2" s="1"/>
  <c r="C441" i="2"/>
  <c r="I441" i="2"/>
  <c r="J441" i="2" s="1"/>
  <c r="G441" i="2"/>
  <c r="E439" i="2"/>
  <c r="F439" i="2" s="1"/>
  <c r="C439" i="2"/>
  <c r="I439" i="2"/>
  <c r="J439" i="2" s="1"/>
  <c r="G439" i="2"/>
  <c r="E437" i="2"/>
  <c r="F437" i="2" s="1"/>
  <c r="C437" i="2"/>
  <c r="I437" i="2"/>
  <c r="J437" i="2" s="1"/>
  <c r="G437" i="2"/>
  <c r="E435" i="2"/>
  <c r="F435" i="2" s="1"/>
  <c r="C435" i="2"/>
  <c r="I435" i="2"/>
  <c r="J435" i="2" s="1"/>
  <c r="G435" i="2"/>
  <c r="E433" i="2"/>
  <c r="F433" i="2" s="1"/>
  <c r="C433" i="2"/>
  <c r="I433" i="2"/>
  <c r="J433" i="2" s="1"/>
  <c r="G433" i="2"/>
  <c r="E431" i="2"/>
  <c r="F431" i="2" s="1"/>
  <c r="C431" i="2"/>
  <c r="I431" i="2"/>
  <c r="J431" i="2" s="1"/>
  <c r="G431" i="2"/>
  <c r="E429" i="2"/>
  <c r="F429" i="2" s="1"/>
  <c r="C429" i="2"/>
  <c r="I429" i="2"/>
  <c r="J429" i="2" s="1"/>
  <c r="G429" i="2"/>
  <c r="E427" i="2"/>
  <c r="F427" i="2" s="1"/>
  <c r="C427" i="2"/>
  <c r="I427" i="2"/>
  <c r="J427" i="2" s="1"/>
  <c r="G427" i="2"/>
  <c r="E425" i="2"/>
  <c r="F425" i="2" s="1"/>
  <c r="C425" i="2"/>
  <c r="I425" i="2"/>
  <c r="J425" i="2" s="1"/>
  <c r="G425" i="2"/>
  <c r="E423" i="2"/>
  <c r="F423" i="2" s="1"/>
  <c r="C423" i="2"/>
  <c r="I423" i="2"/>
  <c r="J423" i="2" s="1"/>
  <c r="G423" i="2"/>
  <c r="E421" i="2"/>
  <c r="F421" i="2" s="1"/>
  <c r="C421" i="2"/>
  <c r="I421" i="2"/>
  <c r="J421" i="2" s="1"/>
  <c r="G421" i="2"/>
  <c r="E419" i="2"/>
  <c r="F419" i="2" s="1"/>
  <c r="C419" i="2"/>
  <c r="I419" i="2"/>
  <c r="J419" i="2" s="1"/>
  <c r="G419" i="2"/>
  <c r="E417" i="2"/>
  <c r="F417" i="2" s="1"/>
  <c r="C417" i="2"/>
  <c r="I417" i="2"/>
  <c r="J417" i="2" s="1"/>
  <c r="G417" i="2"/>
  <c r="E415" i="2"/>
  <c r="F415" i="2" s="1"/>
  <c r="C415" i="2"/>
  <c r="I415" i="2"/>
  <c r="J415" i="2" s="1"/>
  <c r="G415" i="2"/>
  <c r="E413" i="2"/>
  <c r="F413" i="2" s="1"/>
  <c r="C413" i="2"/>
  <c r="I413" i="2"/>
  <c r="J413" i="2" s="1"/>
  <c r="G413" i="2"/>
  <c r="E411" i="2"/>
  <c r="F411" i="2" s="1"/>
  <c r="C411" i="2"/>
  <c r="I411" i="2"/>
  <c r="J411" i="2" s="1"/>
  <c r="G411" i="2"/>
  <c r="E409" i="2"/>
  <c r="F409" i="2" s="1"/>
  <c r="C409" i="2"/>
  <c r="I409" i="2"/>
  <c r="J409" i="2" s="1"/>
  <c r="G409" i="2"/>
  <c r="E407" i="2"/>
  <c r="F407" i="2" s="1"/>
  <c r="C407" i="2"/>
  <c r="I407" i="2"/>
  <c r="J407" i="2" s="1"/>
  <c r="G407" i="2"/>
  <c r="E405" i="2"/>
  <c r="F405" i="2" s="1"/>
  <c r="C405" i="2"/>
  <c r="I405" i="2"/>
  <c r="J405" i="2" s="1"/>
  <c r="G405" i="2"/>
  <c r="E403" i="2"/>
  <c r="F403" i="2" s="1"/>
  <c r="C403" i="2"/>
  <c r="I403" i="2"/>
  <c r="J403" i="2" s="1"/>
  <c r="G403" i="2"/>
  <c r="E401" i="2"/>
  <c r="F401" i="2" s="1"/>
  <c r="C401" i="2"/>
  <c r="I401" i="2"/>
  <c r="J401" i="2" s="1"/>
  <c r="G401" i="2"/>
  <c r="E399" i="2"/>
  <c r="F399" i="2" s="1"/>
  <c r="C399" i="2"/>
  <c r="I399" i="2"/>
  <c r="J399" i="2" s="1"/>
  <c r="G399" i="2"/>
  <c r="E397" i="2"/>
  <c r="F397" i="2" s="1"/>
  <c r="C397" i="2"/>
  <c r="I397" i="2"/>
  <c r="J397" i="2" s="1"/>
  <c r="G397" i="2"/>
  <c r="E395" i="2"/>
  <c r="F395" i="2" s="1"/>
  <c r="C395" i="2"/>
  <c r="I395" i="2"/>
  <c r="J395" i="2" s="1"/>
  <c r="G395" i="2"/>
  <c r="E393" i="2"/>
  <c r="F393" i="2" s="1"/>
  <c r="C393" i="2"/>
  <c r="I393" i="2"/>
  <c r="J393" i="2" s="1"/>
  <c r="G393" i="2"/>
  <c r="E391" i="2"/>
  <c r="F391" i="2" s="1"/>
  <c r="C391" i="2"/>
  <c r="I391" i="2"/>
  <c r="J391" i="2" s="1"/>
  <c r="G391" i="2"/>
  <c r="E389" i="2"/>
  <c r="F389" i="2" s="1"/>
  <c r="C389" i="2"/>
  <c r="I389" i="2"/>
  <c r="J389" i="2" s="1"/>
  <c r="G389" i="2"/>
  <c r="E387" i="2"/>
  <c r="F387" i="2" s="1"/>
  <c r="C387" i="2"/>
  <c r="I387" i="2"/>
  <c r="J387" i="2" s="1"/>
  <c r="G387" i="2"/>
  <c r="E385" i="2"/>
  <c r="F385" i="2" s="1"/>
  <c r="C385" i="2"/>
  <c r="I385" i="2"/>
  <c r="J385" i="2" s="1"/>
  <c r="G385" i="2"/>
  <c r="E383" i="2"/>
  <c r="F383" i="2" s="1"/>
  <c r="C383" i="2"/>
  <c r="I383" i="2"/>
  <c r="J383" i="2" s="1"/>
  <c r="G383" i="2"/>
  <c r="E381" i="2"/>
  <c r="F381" i="2" s="1"/>
  <c r="C381" i="2"/>
  <c r="I381" i="2"/>
  <c r="J381" i="2" s="1"/>
  <c r="G381" i="2"/>
  <c r="E379" i="2"/>
  <c r="F379" i="2" s="1"/>
  <c r="C379" i="2"/>
  <c r="I379" i="2"/>
  <c r="J379" i="2" s="1"/>
  <c r="G379" i="2"/>
  <c r="E377" i="2"/>
  <c r="F377" i="2" s="1"/>
  <c r="C377" i="2"/>
  <c r="I377" i="2"/>
  <c r="J377" i="2" s="1"/>
  <c r="G377" i="2"/>
  <c r="E375" i="2"/>
  <c r="F375" i="2" s="1"/>
  <c r="C375" i="2"/>
  <c r="I375" i="2"/>
  <c r="J375" i="2" s="1"/>
  <c r="G375" i="2"/>
  <c r="E373" i="2"/>
  <c r="F373" i="2" s="1"/>
  <c r="C373" i="2"/>
  <c r="I373" i="2"/>
  <c r="J373" i="2" s="1"/>
  <c r="G373" i="2"/>
  <c r="E371" i="2"/>
  <c r="F371" i="2" s="1"/>
  <c r="C371" i="2"/>
  <c r="I371" i="2"/>
  <c r="J371" i="2" s="1"/>
  <c r="G371" i="2"/>
  <c r="E369" i="2"/>
  <c r="F369" i="2" s="1"/>
  <c r="C369" i="2"/>
  <c r="I369" i="2"/>
  <c r="J369" i="2" s="1"/>
  <c r="G369" i="2"/>
  <c r="E367" i="2"/>
  <c r="F367" i="2" s="1"/>
  <c r="C367" i="2"/>
  <c r="I367" i="2"/>
  <c r="J367" i="2" s="1"/>
  <c r="G367" i="2"/>
  <c r="E365" i="2"/>
  <c r="F365" i="2" s="1"/>
  <c r="C365" i="2"/>
  <c r="I365" i="2"/>
  <c r="J365" i="2" s="1"/>
  <c r="G365" i="2"/>
  <c r="E363" i="2"/>
  <c r="F363" i="2" s="1"/>
  <c r="C363" i="2"/>
  <c r="I363" i="2"/>
  <c r="J363" i="2" s="1"/>
  <c r="G363" i="2"/>
  <c r="E361" i="2"/>
  <c r="F361" i="2" s="1"/>
  <c r="C361" i="2"/>
  <c r="I361" i="2"/>
  <c r="J361" i="2" s="1"/>
  <c r="G361" i="2"/>
  <c r="E359" i="2"/>
  <c r="F359" i="2" s="1"/>
  <c r="C359" i="2"/>
  <c r="I359" i="2"/>
  <c r="J359" i="2" s="1"/>
  <c r="G359" i="2"/>
  <c r="E357" i="2"/>
  <c r="F357" i="2" s="1"/>
  <c r="C357" i="2"/>
  <c r="I357" i="2"/>
  <c r="J357" i="2" s="1"/>
  <c r="G357" i="2"/>
  <c r="E355" i="2"/>
  <c r="F355" i="2" s="1"/>
  <c r="C355" i="2"/>
  <c r="I355" i="2"/>
  <c r="J355" i="2" s="1"/>
  <c r="G355" i="2"/>
  <c r="E353" i="2"/>
  <c r="F353" i="2" s="1"/>
  <c r="C353" i="2"/>
  <c r="I353" i="2"/>
  <c r="J353" i="2" s="1"/>
  <c r="G353" i="2"/>
  <c r="E351" i="2"/>
  <c r="F351" i="2" s="1"/>
  <c r="C351" i="2"/>
  <c r="I351" i="2"/>
  <c r="J351" i="2" s="1"/>
  <c r="G351" i="2"/>
  <c r="E349" i="2"/>
  <c r="F349" i="2" s="1"/>
  <c r="C349" i="2"/>
  <c r="I349" i="2"/>
  <c r="J349" i="2" s="1"/>
  <c r="G349" i="2"/>
  <c r="E347" i="2"/>
  <c r="F347" i="2" s="1"/>
  <c r="C347" i="2"/>
  <c r="I347" i="2"/>
  <c r="J347" i="2" s="1"/>
  <c r="G347" i="2"/>
  <c r="E345" i="2"/>
  <c r="C345" i="2"/>
  <c r="I345" i="2"/>
  <c r="G345" i="2"/>
  <c r="E343" i="2"/>
  <c r="F343" i="2" s="1"/>
  <c r="C343" i="2"/>
  <c r="I343" i="2"/>
  <c r="J343" i="2" s="1"/>
  <c r="G343" i="2"/>
  <c r="E341" i="2"/>
  <c r="F341" i="2" s="1"/>
  <c r="C341" i="2"/>
  <c r="I341" i="2"/>
  <c r="J341" i="2" s="1"/>
  <c r="G341" i="2"/>
  <c r="E339" i="2"/>
  <c r="F339" i="2" s="1"/>
  <c r="C339" i="2"/>
  <c r="I339" i="2"/>
  <c r="J339" i="2" s="1"/>
  <c r="G339" i="2"/>
  <c r="E337" i="2"/>
  <c r="F337" i="2" s="1"/>
  <c r="C337" i="2"/>
  <c r="I337" i="2"/>
  <c r="J337" i="2" s="1"/>
  <c r="G337" i="2"/>
  <c r="E335" i="2"/>
  <c r="F335" i="2" s="1"/>
  <c r="C335" i="2"/>
  <c r="I335" i="2"/>
  <c r="J335" i="2" s="1"/>
  <c r="G335" i="2"/>
  <c r="E333" i="2"/>
  <c r="F333" i="2" s="1"/>
  <c r="C333" i="2"/>
  <c r="I333" i="2"/>
  <c r="J333" i="2" s="1"/>
  <c r="G333" i="2"/>
  <c r="E331" i="2"/>
  <c r="F331" i="2" s="1"/>
  <c r="C331" i="2"/>
  <c r="I331" i="2"/>
  <c r="J331" i="2" s="1"/>
  <c r="G331" i="2"/>
  <c r="E329" i="2"/>
  <c r="F329" i="2" s="1"/>
  <c r="C329" i="2"/>
  <c r="I329" i="2"/>
  <c r="J329" i="2" s="1"/>
  <c r="G329" i="2"/>
  <c r="E327" i="2"/>
  <c r="F327" i="2" s="1"/>
  <c r="C327" i="2"/>
  <c r="I327" i="2"/>
  <c r="J327" i="2" s="1"/>
  <c r="G327" i="2"/>
  <c r="E325" i="2"/>
  <c r="F325" i="2" s="1"/>
  <c r="C325" i="2"/>
  <c r="I325" i="2"/>
  <c r="J325" i="2" s="1"/>
  <c r="G325" i="2"/>
  <c r="E323" i="2"/>
  <c r="F323" i="2" s="1"/>
  <c r="C323" i="2"/>
  <c r="I323" i="2"/>
  <c r="J323" i="2" s="1"/>
  <c r="G323" i="2"/>
  <c r="E321" i="2"/>
  <c r="F321" i="2" s="1"/>
  <c r="C321" i="2"/>
  <c r="I321" i="2"/>
  <c r="J321" i="2" s="1"/>
  <c r="G321" i="2"/>
  <c r="E319" i="2"/>
  <c r="F319" i="2" s="1"/>
  <c r="C319" i="2"/>
  <c r="I319" i="2"/>
  <c r="J319" i="2" s="1"/>
  <c r="G319" i="2"/>
  <c r="E317" i="2"/>
  <c r="F317" i="2" s="1"/>
  <c r="C317" i="2"/>
  <c r="I317" i="2"/>
  <c r="J317" i="2" s="1"/>
  <c r="G317" i="2"/>
  <c r="E315" i="2"/>
  <c r="F315" i="2" s="1"/>
  <c r="C315" i="2"/>
  <c r="I315" i="2"/>
  <c r="J315" i="2" s="1"/>
  <c r="G315" i="2"/>
  <c r="E313" i="2"/>
  <c r="F313" i="2" s="1"/>
  <c r="C313" i="2"/>
  <c r="I313" i="2"/>
  <c r="J313" i="2" s="1"/>
  <c r="G313" i="2"/>
  <c r="E311" i="2"/>
  <c r="F311" i="2" s="1"/>
  <c r="C311" i="2"/>
  <c r="I311" i="2"/>
  <c r="J311" i="2" s="1"/>
  <c r="G311" i="2"/>
  <c r="E309" i="2"/>
  <c r="F309" i="2" s="1"/>
  <c r="C309" i="2"/>
  <c r="I309" i="2"/>
  <c r="J309" i="2" s="1"/>
  <c r="G309" i="2"/>
  <c r="E307" i="2"/>
  <c r="F307" i="2" s="1"/>
  <c r="C307" i="2"/>
  <c r="I307" i="2"/>
  <c r="J307" i="2" s="1"/>
  <c r="G307" i="2"/>
  <c r="E305" i="2"/>
  <c r="F305" i="2" s="1"/>
  <c r="C305" i="2"/>
  <c r="I305" i="2"/>
  <c r="J305" i="2" s="1"/>
  <c r="G305" i="2"/>
  <c r="E303" i="2"/>
  <c r="F303" i="2" s="1"/>
  <c r="C303" i="2"/>
  <c r="I303" i="2"/>
  <c r="J303" i="2" s="1"/>
  <c r="G303" i="2"/>
  <c r="E301" i="2"/>
  <c r="F301" i="2" s="1"/>
  <c r="C301" i="2"/>
  <c r="I301" i="2"/>
  <c r="J301" i="2" s="1"/>
  <c r="G301" i="2"/>
  <c r="E299" i="2"/>
  <c r="F299" i="2" s="1"/>
  <c r="C299" i="2"/>
  <c r="I299" i="2"/>
  <c r="J299" i="2" s="1"/>
  <c r="G299" i="2"/>
  <c r="E297" i="2"/>
  <c r="F297" i="2" s="1"/>
  <c r="C297" i="2"/>
  <c r="I297" i="2"/>
  <c r="J297" i="2" s="1"/>
  <c r="G297" i="2"/>
  <c r="E295" i="2"/>
  <c r="F295" i="2" s="1"/>
  <c r="C295" i="2"/>
  <c r="I295" i="2"/>
  <c r="J295" i="2" s="1"/>
  <c r="G295" i="2"/>
  <c r="E293" i="2"/>
  <c r="F293" i="2" s="1"/>
  <c r="C293" i="2"/>
  <c r="I293" i="2"/>
  <c r="J293" i="2" s="1"/>
  <c r="G293" i="2"/>
  <c r="E291" i="2"/>
  <c r="F291" i="2" s="1"/>
  <c r="C291" i="2"/>
  <c r="I291" i="2"/>
  <c r="J291" i="2" s="1"/>
  <c r="G291" i="2"/>
  <c r="E289" i="2"/>
  <c r="F289" i="2" s="1"/>
  <c r="C289" i="2"/>
  <c r="I289" i="2"/>
  <c r="J289" i="2" s="1"/>
  <c r="G289" i="2"/>
  <c r="E287" i="2"/>
  <c r="F287" i="2" s="1"/>
  <c r="C287" i="2"/>
  <c r="I287" i="2"/>
  <c r="J287" i="2" s="1"/>
  <c r="G287" i="2"/>
  <c r="E285" i="2"/>
  <c r="F285" i="2" s="1"/>
  <c r="C285" i="2"/>
  <c r="I285" i="2"/>
  <c r="J285" i="2" s="1"/>
  <c r="G285" i="2"/>
  <c r="E283" i="2"/>
  <c r="F283" i="2" s="1"/>
  <c r="C283" i="2"/>
  <c r="I283" i="2"/>
  <c r="J283" i="2" s="1"/>
  <c r="G283" i="2"/>
  <c r="E281" i="2"/>
  <c r="F281" i="2" s="1"/>
  <c r="C281" i="2"/>
  <c r="I281" i="2"/>
  <c r="J281" i="2" s="1"/>
  <c r="G281" i="2"/>
  <c r="E279" i="2"/>
  <c r="F279" i="2" s="1"/>
  <c r="C279" i="2"/>
  <c r="I279" i="2"/>
  <c r="J279" i="2" s="1"/>
  <c r="G279" i="2"/>
  <c r="E277" i="2"/>
  <c r="F277" i="2" s="1"/>
  <c r="C277" i="2"/>
  <c r="I277" i="2"/>
  <c r="J277" i="2" s="1"/>
  <c r="G277" i="2"/>
  <c r="E275" i="2"/>
  <c r="F275" i="2" s="1"/>
  <c r="C275" i="2"/>
  <c r="I275" i="2"/>
  <c r="J275" i="2" s="1"/>
  <c r="G275" i="2"/>
  <c r="E273" i="2"/>
  <c r="F273" i="2" s="1"/>
  <c r="C273" i="2"/>
  <c r="I273" i="2"/>
  <c r="J273" i="2" s="1"/>
  <c r="G273" i="2"/>
  <c r="E271" i="2"/>
  <c r="F271" i="2" s="1"/>
  <c r="C271" i="2"/>
  <c r="I271" i="2"/>
  <c r="J271" i="2" s="1"/>
  <c r="G271" i="2"/>
  <c r="E269" i="2"/>
  <c r="F269" i="2" s="1"/>
  <c r="C269" i="2"/>
  <c r="I269" i="2"/>
  <c r="J269" i="2" s="1"/>
  <c r="G269" i="2"/>
  <c r="E267" i="2"/>
  <c r="F267" i="2" s="1"/>
  <c r="C267" i="2"/>
  <c r="I267" i="2"/>
  <c r="J267" i="2" s="1"/>
  <c r="G267" i="2"/>
  <c r="E265" i="2"/>
  <c r="F265" i="2" s="1"/>
  <c r="C265" i="2"/>
  <c r="I265" i="2"/>
  <c r="J265" i="2" s="1"/>
  <c r="G265" i="2"/>
  <c r="E263" i="2"/>
  <c r="F263" i="2" s="1"/>
  <c r="C263" i="2"/>
  <c r="I263" i="2"/>
  <c r="J263" i="2" s="1"/>
  <c r="G263" i="2"/>
  <c r="E261" i="2"/>
  <c r="F261" i="2" s="1"/>
  <c r="C261" i="2"/>
  <c r="I261" i="2"/>
  <c r="J261" i="2" s="1"/>
  <c r="G261" i="2"/>
  <c r="E259" i="2"/>
  <c r="F259" i="2" s="1"/>
  <c r="C259" i="2"/>
  <c r="I259" i="2"/>
  <c r="J259" i="2" s="1"/>
  <c r="G259" i="2"/>
  <c r="E257" i="2"/>
  <c r="F257" i="2" s="1"/>
  <c r="C257" i="2"/>
  <c r="I257" i="2"/>
  <c r="J257" i="2" s="1"/>
  <c r="G257" i="2"/>
  <c r="E255" i="2"/>
  <c r="F255" i="2" s="1"/>
  <c r="C255" i="2"/>
  <c r="I255" i="2"/>
  <c r="J255" i="2" s="1"/>
  <c r="G255" i="2"/>
  <c r="E253" i="2"/>
  <c r="F253" i="2" s="1"/>
  <c r="C253" i="2"/>
  <c r="I253" i="2"/>
  <c r="J253" i="2" s="1"/>
  <c r="G253" i="2"/>
  <c r="E251" i="2"/>
  <c r="F251" i="2" s="1"/>
  <c r="C251" i="2"/>
  <c r="I251" i="2"/>
  <c r="J251" i="2" s="1"/>
  <c r="G251" i="2"/>
  <c r="E249" i="2"/>
  <c r="F249" i="2" s="1"/>
  <c r="C249" i="2"/>
  <c r="I249" i="2"/>
  <c r="J249" i="2" s="1"/>
  <c r="G249" i="2"/>
  <c r="E247" i="2"/>
  <c r="F247" i="2" s="1"/>
  <c r="C247" i="2"/>
  <c r="I247" i="2"/>
  <c r="J247" i="2" s="1"/>
  <c r="G247" i="2"/>
  <c r="E245" i="2"/>
  <c r="F245" i="2" s="1"/>
  <c r="C245" i="2"/>
  <c r="I245" i="2"/>
  <c r="J245" i="2" s="1"/>
  <c r="G245" i="2"/>
  <c r="E243" i="2"/>
  <c r="F243" i="2" s="1"/>
  <c r="C243" i="2"/>
  <c r="I243" i="2"/>
  <c r="J243" i="2" s="1"/>
  <c r="G243" i="2"/>
  <c r="E241" i="2"/>
  <c r="F241" i="2" s="1"/>
  <c r="C241" i="2"/>
  <c r="I241" i="2"/>
  <c r="J241" i="2" s="1"/>
  <c r="G241" i="2"/>
  <c r="E239" i="2"/>
  <c r="F239" i="2" s="1"/>
  <c r="C239" i="2"/>
  <c r="I239" i="2"/>
  <c r="J239" i="2" s="1"/>
  <c r="G239" i="2"/>
  <c r="E237" i="2"/>
  <c r="F237" i="2" s="1"/>
  <c r="C237" i="2"/>
  <c r="I237" i="2"/>
  <c r="J237" i="2" s="1"/>
  <c r="G237" i="2"/>
  <c r="E235" i="2"/>
  <c r="F235" i="2" s="1"/>
  <c r="C235" i="2"/>
  <c r="I235" i="2"/>
  <c r="J235" i="2" s="1"/>
  <c r="G235" i="2"/>
  <c r="E233" i="2"/>
  <c r="F233" i="2" s="1"/>
  <c r="C233" i="2"/>
  <c r="I233" i="2"/>
  <c r="J233" i="2" s="1"/>
  <c r="G233" i="2"/>
  <c r="E231" i="2"/>
  <c r="F231" i="2" s="1"/>
  <c r="C231" i="2"/>
  <c r="I231" i="2"/>
  <c r="J231" i="2" s="1"/>
  <c r="G231" i="2"/>
  <c r="E229" i="2"/>
  <c r="F229" i="2" s="1"/>
  <c r="C229" i="2"/>
  <c r="I229" i="2"/>
  <c r="J229" i="2" s="1"/>
  <c r="G229" i="2"/>
  <c r="E227" i="2"/>
  <c r="F227" i="2" s="1"/>
  <c r="C227" i="2"/>
  <c r="I227" i="2"/>
  <c r="J227" i="2" s="1"/>
  <c r="G227" i="2"/>
  <c r="E225" i="2"/>
  <c r="F225" i="2" s="1"/>
  <c r="C225" i="2"/>
  <c r="I225" i="2"/>
  <c r="J225" i="2" s="1"/>
  <c r="G225" i="2"/>
  <c r="E223" i="2"/>
  <c r="F223" i="2" s="1"/>
  <c r="C223" i="2"/>
  <c r="I223" i="2"/>
  <c r="J223" i="2" s="1"/>
  <c r="G223" i="2"/>
  <c r="E221" i="2"/>
  <c r="F221" i="2" s="1"/>
  <c r="C221" i="2"/>
  <c r="I221" i="2"/>
  <c r="J221" i="2" s="1"/>
  <c r="G221" i="2"/>
  <c r="E219" i="2"/>
  <c r="F219" i="2" s="1"/>
  <c r="C219" i="2"/>
  <c r="I219" i="2"/>
  <c r="J219" i="2" s="1"/>
  <c r="G219" i="2"/>
  <c r="E217" i="2"/>
  <c r="F217" i="2" s="1"/>
  <c r="C217" i="2"/>
  <c r="I217" i="2"/>
  <c r="J217" i="2" s="1"/>
  <c r="G217" i="2"/>
  <c r="E215" i="2"/>
  <c r="F215" i="2" s="1"/>
  <c r="C215" i="2"/>
  <c r="I215" i="2"/>
  <c r="J215" i="2" s="1"/>
  <c r="G215" i="2"/>
  <c r="E213" i="2"/>
  <c r="F213" i="2" s="1"/>
  <c r="C213" i="2"/>
  <c r="I213" i="2"/>
  <c r="J213" i="2" s="1"/>
  <c r="G213" i="2"/>
  <c r="E211" i="2"/>
  <c r="F211" i="2" s="1"/>
  <c r="C211" i="2"/>
  <c r="I211" i="2"/>
  <c r="J211" i="2" s="1"/>
  <c r="G211" i="2"/>
  <c r="E209" i="2"/>
  <c r="F209" i="2" s="1"/>
  <c r="C209" i="2"/>
  <c r="I209" i="2"/>
  <c r="J209" i="2" s="1"/>
  <c r="G209" i="2"/>
  <c r="E207" i="2"/>
  <c r="F207" i="2" s="1"/>
  <c r="C207" i="2"/>
  <c r="I207" i="2"/>
  <c r="J207" i="2" s="1"/>
  <c r="G207" i="2"/>
  <c r="E205" i="2"/>
  <c r="F205" i="2" s="1"/>
  <c r="C205" i="2"/>
  <c r="I205" i="2"/>
  <c r="J205" i="2" s="1"/>
  <c r="G205" i="2"/>
  <c r="E203" i="2"/>
  <c r="F203" i="2" s="1"/>
  <c r="C203" i="2"/>
  <c r="I203" i="2"/>
  <c r="J203" i="2" s="1"/>
  <c r="G203" i="2"/>
  <c r="E201" i="2"/>
  <c r="F201" i="2" s="1"/>
  <c r="C201" i="2"/>
  <c r="I201" i="2"/>
  <c r="J201" i="2" s="1"/>
  <c r="G201" i="2"/>
  <c r="E199" i="2"/>
  <c r="F199" i="2" s="1"/>
  <c r="C199" i="2"/>
  <c r="I199" i="2"/>
  <c r="J199" i="2" s="1"/>
  <c r="G199" i="2"/>
  <c r="E197" i="2"/>
  <c r="F197" i="2" s="1"/>
  <c r="C197" i="2"/>
  <c r="I197" i="2"/>
  <c r="J197" i="2" s="1"/>
  <c r="G197" i="2"/>
  <c r="E195" i="2"/>
  <c r="F195" i="2" s="1"/>
  <c r="C195" i="2"/>
  <c r="I195" i="2"/>
  <c r="J195" i="2" s="1"/>
  <c r="G195" i="2"/>
  <c r="E193" i="2"/>
  <c r="F193" i="2" s="1"/>
  <c r="C193" i="2"/>
  <c r="I193" i="2"/>
  <c r="J193" i="2" s="1"/>
  <c r="G193" i="2"/>
  <c r="E191" i="2"/>
  <c r="F191" i="2" s="1"/>
  <c r="C191" i="2"/>
  <c r="I191" i="2"/>
  <c r="J191" i="2" s="1"/>
  <c r="G191" i="2"/>
  <c r="E189" i="2"/>
  <c r="F189" i="2" s="1"/>
  <c r="C189" i="2"/>
  <c r="I189" i="2"/>
  <c r="J189" i="2" s="1"/>
  <c r="G189" i="2"/>
  <c r="E187" i="2"/>
  <c r="F187" i="2" s="1"/>
  <c r="C187" i="2"/>
  <c r="I187" i="2"/>
  <c r="J187" i="2" s="1"/>
  <c r="G187" i="2"/>
  <c r="E185" i="2"/>
  <c r="F185" i="2" s="1"/>
  <c r="C185" i="2"/>
  <c r="I185" i="2"/>
  <c r="J185" i="2" s="1"/>
  <c r="G185" i="2"/>
  <c r="E183" i="2"/>
  <c r="F183" i="2" s="1"/>
  <c r="C183" i="2"/>
  <c r="I183" i="2"/>
  <c r="J183" i="2" s="1"/>
  <c r="G183" i="2"/>
  <c r="E181" i="2"/>
  <c r="F181" i="2" s="1"/>
  <c r="C181" i="2"/>
  <c r="I181" i="2"/>
  <c r="J181" i="2" s="1"/>
  <c r="G181" i="2"/>
  <c r="E179" i="2"/>
  <c r="F179" i="2" s="1"/>
  <c r="C179" i="2"/>
  <c r="I179" i="2"/>
  <c r="J179" i="2" s="1"/>
  <c r="G179" i="2"/>
  <c r="E177" i="2"/>
  <c r="F177" i="2" s="1"/>
  <c r="C177" i="2"/>
  <c r="I177" i="2"/>
  <c r="J177" i="2" s="1"/>
  <c r="G177" i="2"/>
  <c r="E175" i="2"/>
  <c r="F175" i="2" s="1"/>
  <c r="C175" i="2"/>
  <c r="I175" i="2"/>
  <c r="J175" i="2" s="1"/>
  <c r="G175" i="2"/>
  <c r="E173" i="2"/>
  <c r="F173" i="2" s="1"/>
  <c r="C173" i="2"/>
  <c r="I173" i="2"/>
  <c r="J173" i="2" s="1"/>
  <c r="G173" i="2"/>
  <c r="E171" i="2"/>
  <c r="F171" i="2" s="1"/>
  <c r="C171" i="2"/>
  <c r="I171" i="2"/>
  <c r="J171" i="2" s="1"/>
  <c r="G171" i="2"/>
  <c r="E169" i="2"/>
  <c r="F169" i="2" s="1"/>
  <c r="C169" i="2"/>
  <c r="I169" i="2"/>
  <c r="J169" i="2" s="1"/>
  <c r="G169" i="2"/>
  <c r="E167" i="2"/>
  <c r="F167" i="2" s="1"/>
  <c r="C167" i="2"/>
  <c r="I167" i="2"/>
  <c r="J167" i="2" s="1"/>
  <c r="G167" i="2"/>
  <c r="E165" i="2"/>
  <c r="F165" i="2" s="1"/>
  <c r="C165" i="2"/>
  <c r="I165" i="2"/>
  <c r="J165" i="2" s="1"/>
  <c r="G165" i="2"/>
  <c r="E163" i="2"/>
  <c r="F163" i="2" s="1"/>
  <c r="C163" i="2"/>
  <c r="I163" i="2"/>
  <c r="J163" i="2" s="1"/>
  <c r="G163" i="2"/>
  <c r="E161" i="2"/>
  <c r="F161" i="2" s="1"/>
  <c r="C161" i="2"/>
  <c r="I161" i="2"/>
  <c r="J161" i="2" s="1"/>
  <c r="G161" i="2"/>
  <c r="E159" i="2"/>
  <c r="F159" i="2" s="1"/>
  <c r="C159" i="2"/>
  <c r="I159" i="2"/>
  <c r="J159" i="2" s="1"/>
  <c r="G159" i="2"/>
  <c r="E157" i="2"/>
  <c r="F157" i="2" s="1"/>
  <c r="C157" i="2"/>
  <c r="I157" i="2"/>
  <c r="J157" i="2" s="1"/>
  <c r="G157" i="2"/>
  <c r="E155" i="2"/>
  <c r="F155" i="2" s="1"/>
  <c r="C155" i="2"/>
  <c r="I155" i="2"/>
  <c r="J155" i="2" s="1"/>
  <c r="G155" i="2"/>
  <c r="E153" i="2"/>
  <c r="F153" i="2" s="1"/>
  <c r="C153" i="2"/>
  <c r="I153" i="2"/>
  <c r="J153" i="2" s="1"/>
  <c r="G153" i="2"/>
  <c r="E151" i="2"/>
  <c r="F151" i="2" s="1"/>
  <c r="C151" i="2"/>
  <c r="I151" i="2"/>
  <c r="J151" i="2" s="1"/>
  <c r="G151" i="2"/>
  <c r="E149" i="2"/>
  <c r="F149" i="2" s="1"/>
  <c r="C149" i="2"/>
  <c r="I149" i="2"/>
  <c r="J149" i="2" s="1"/>
  <c r="G149" i="2"/>
  <c r="E147" i="2"/>
  <c r="F147" i="2" s="1"/>
  <c r="C147" i="2"/>
  <c r="I147" i="2"/>
  <c r="J147" i="2" s="1"/>
  <c r="G147" i="2"/>
  <c r="E145" i="2"/>
  <c r="F145" i="2" s="1"/>
  <c r="C145" i="2"/>
  <c r="I145" i="2"/>
  <c r="J145" i="2" s="1"/>
  <c r="G145" i="2"/>
  <c r="E143" i="2"/>
  <c r="F143" i="2" s="1"/>
  <c r="C143" i="2"/>
  <c r="I143" i="2"/>
  <c r="J143" i="2" s="1"/>
  <c r="G143" i="2"/>
  <c r="E141" i="2"/>
  <c r="F141" i="2" s="1"/>
  <c r="C141" i="2"/>
  <c r="I141" i="2"/>
  <c r="J141" i="2" s="1"/>
  <c r="G141" i="2"/>
  <c r="E139" i="2"/>
  <c r="F139" i="2" s="1"/>
  <c r="C139" i="2"/>
  <c r="I139" i="2"/>
  <c r="J139" i="2" s="1"/>
  <c r="G139" i="2"/>
  <c r="E137" i="2"/>
  <c r="F137" i="2" s="1"/>
  <c r="C137" i="2"/>
  <c r="I137" i="2"/>
  <c r="J137" i="2" s="1"/>
  <c r="G137" i="2"/>
  <c r="E135" i="2"/>
  <c r="F135" i="2" s="1"/>
  <c r="C135" i="2"/>
  <c r="I135" i="2"/>
  <c r="J135" i="2" s="1"/>
  <c r="G135" i="2"/>
  <c r="E133" i="2"/>
  <c r="F133" i="2" s="1"/>
  <c r="C133" i="2"/>
  <c r="I133" i="2"/>
  <c r="J133" i="2" s="1"/>
  <c r="G133" i="2"/>
  <c r="E131" i="2"/>
  <c r="F131" i="2" s="1"/>
  <c r="C131" i="2"/>
  <c r="I131" i="2"/>
  <c r="J131" i="2" s="1"/>
  <c r="G131" i="2"/>
  <c r="E129" i="2"/>
  <c r="F129" i="2" s="1"/>
  <c r="C129" i="2"/>
  <c r="I129" i="2"/>
  <c r="J129" i="2" s="1"/>
  <c r="G129" i="2"/>
  <c r="E127" i="2"/>
  <c r="F127" i="2" s="1"/>
  <c r="C127" i="2"/>
  <c r="I127" i="2"/>
  <c r="J127" i="2" s="1"/>
  <c r="G127" i="2"/>
  <c r="E125" i="2"/>
  <c r="F125" i="2" s="1"/>
  <c r="C125" i="2"/>
  <c r="I125" i="2"/>
  <c r="J125" i="2" s="1"/>
  <c r="G125" i="2"/>
  <c r="E123" i="2"/>
  <c r="F123" i="2" s="1"/>
  <c r="C123" i="2"/>
  <c r="I123" i="2"/>
  <c r="J123" i="2" s="1"/>
  <c r="G123" i="2"/>
  <c r="E121" i="2"/>
  <c r="F121" i="2" s="1"/>
  <c r="C121" i="2"/>
  <c r="I121" i="2"/>
  <c r="J121" i="2" s="1"/>
  <c r="G121" i="2"/>
  <c r="E119" i="2"/>
  <c r="F119" i="2" s="1"/>
  <c r="C119" i="2"/>
  <c r="I119" i="2"/>
  <c r="J119" i="2" s="1"/>
  <c r="G119" i="2"/>
  <c r="E117" i="2"/>
  <c r="F117" i="2" s="1"/>
  <c r="C117" i="2"/>
  <c r="I117" i="2"/>
  <c r="J117" i="2" s="1"/>
  <c r="G117" i="2"/>
  <c r="E115" i="2"/>
  <c r="F115" i="2" s="1"/>
  <c r="C115" i="2"/>
  <c r="I115" i="2"/>
  <c r="J115" i="2" s="1"/>
  <c r="G115" i="2"/>
  <c r="E113" i="2"/>
  <c r="F113" i="2" s="1"/>
  <c r="C113" i="2"/>
  <c r="I113" i="2"/>
  <c r="J113" i="2" s="1"/>
  <c r="G113" i="2"/>
  <c r="E111" i="2"/>
  <c r="F111" i="2" s="1"/>
  <c r="C111" i="2"/>
  <c r="I111" i="2"/>
  <c r="J111" i="2" s="1"/>
  <c r="G111" i="2"/>
  <c r="E109" i="2"/>
  <c r="F109" i="2" s="1"/>
  <c r="C109" i="2"/>
  <c r="I109" i="2"/>
  <c r="J109" i="2" s="1"/>
  <c r="G109" i="2"/>
  <c r="E107" i="2"/>
  <c r="F107" i="2" s="1"/>
  <c r="C107" i="2"/>
  <c r="I107" i="2"/>
  <c r="J107" i="2" s="1"/>
  <c r="G107" i="2"/>
  <c r="E105" i="2"/>
  <c r="F105" i="2" s="1"/>
  <c r="C105" i="2"/>
  <c r="I105" i="2"/>
  <c r="J105" i="2" s="1"/>
  <c r="G105" i="2"/>
  <c r="E103" i="2"/>
  <c r="F103" i="2" s="1"/>
  <c r="C103" i="2"/>
  <c r="I103" i="2"/>
  <c r="J103" i="2" s="1"/>
  <c r="G103" i="2"/>
  <c r="E101" i="2"/>
  <c r="F101" i="2" s="1"/>
  <c r="C101" i="2"/>
  <c r="I101" i="2"/>
  <c r="J101" i="2" s="1"/>
  <c r="G101" i="2"/>
  <c r="E99" i="2"/>
  <c r="F99" i="2" s="1"/>
  <c r="C99" i="2"/>
  <c r="I99" i="2"/>
  <c r="J99" i="2" s="1"/>
  <c r="G99" i="2"/>
  <c r="E97" i="2"/>
  <c r="F97" i="2" s="1"/>
  <c r="C97" i="2"/>
  <c r="I97" i="2"/>
  <c r="J97" i="2" s="1"/>
  <c r="G97" i="2"/>
  <c r="E95" i="2"/>
  <c r="F95" i="2" s="1"/>
  <c r="C95" i="2"/>
  <c r="I95" i="2"/>
  <c r="J95" i="2" s="1"/>
  <c r="G95" i="2"/>
  <c r="E93" i="2"/>
  <c r="F93" i="2" s="1"/>
  <c r="C93" i="2"/>
  <c r="I93" i="2"/>
  <c r="J93" i="2" s="1"/>
  <c r="G93" i="2"/>
  <c r="E91" i="2"/>
  <c r="F91" i="2" s="1"/>
  <c r="C91" i="2"/>
  <c r="I91" i="2"/>
  <c r="J91" i="2" s="1"/>
  <c r="G91" i="2"/>
  <c r="E89" i="2"/>
  <c r="F89" i="2" s="1"/>
  <c r="C89" i="2"/>
  <c r="I89" i="2"/>
  <c r="J89" i="2" s="1"/>
  <c r="G89" i="2"/>
  <c r="E87" i="2"/>
  <c r="F87" i="2" s="1"/>
  <c r="C87" i="2"/>
  <c r="I87" i="2"/>
  <c r="J87" i="2" s="1"/>
  <c r="G87" i="2"/>
  <c r="E85" i="2"/>
  <c r="F85" i="2" s="1"/>
  <c r="C85" i="2"/>
  <c r="I85" i="2"/>
  <c r="J85" i="2" s="1"/>
  <c r="G85" i="2"/>
  <c r="E83" i="2"/>
  <c r="F83" i="2" s="1"/>
  <c r="C83" i="2"/>
  <c r="I83" i="2"/>
  <c r="J83" i="2" s="1"/>
  <c r="G83" i="2"/>
  <c r="E81" i="2"/>
  <c r="F81" i="2" s="1"/>
  <c r="C81" i="2"/>
  <c r="I81" i="2"/>
  <c r="J81" i="2" s="1"/>
  <c r="G81" i="2"/>
  <c r="E79" i="2"/>
  <c r="F79" i="2" s="1"/>
  <c r="C79" i="2"/>
  <c r="I79" i="2"/>
  <c r="J79" i="2" s="1"/>
  <c r="G79" i="2"/>
  <c r="E77" i="2"/>
  <c r="F77" i="2" s="1"/>
  <c r="C77" i="2"/>
  <c r="I77" i="2"/>
  <c r="J77" i="2" s="1"/>
  <c r="G77" i="2"/>
  <c r="E75" i="2"/>
  <c r="F75" i="2" s="1"/>
  <c r="C75" i="2"/>
  <c r="I75" i="2"/>
  <c r="J75" i="2" s="1"/>
  <c r="G75" i="2"/>
  <c r="E73" i="2"/>
  <c r="F73" i="2" s="1"/>
  <c r="C73" i="2"/>
  <c r="I73" i="2"/>
  <c r="J73" i="2" s="1"/>
  <c r="G73" i="2"/>
  <c r="E71" i="2"/>
  <c r="F71" i="2" s="1"/>
  <c r="C71" i="2"/>
  <c r="I71" i="2"/>
  <c r="J71" i="2" s="1"/>
  <c r="G71" i="2"/>
  <c r="E69" i="2"/>
  <c r="F69" i="2" s="1"/>
  <c r="C69" i="2"/>
  <c r="I69" i="2"/>
  <c r="J69" i="2" s="1"/>
  <c r="G69" i="2"/>
  <c r="E67" i="2"/>
  <c r="F67" i="2" s="1"/>
  <c r="C67" i="2"/>
  <c r="I67" i="2"/>
  <c r="J67" i="2" s="1"/>
  <c r="G67" i="2"/>
  <c r="E65" i="2"/>
  <c r="F65" i="2" s="1"/>
  <c r="C65" i="2"/>
  <c r="I65" i="2"/>
  <c r="J65" i="2" s="1"/>
  <c r="G65" i="2"/>
  <c r="E63" i="2"/>
  <c r="F63" i="2" s="1"/>
  <c r="C63" i="2"/>
  <c r="I63" i="2"/>
  <c r="J63" i="2" s="1"/>
  <c r="G63" i="2"/>
  <c r="E61" i="2"/>
  <c r="F61" i="2" s="1"/>
  <c r="C61" i="2"/>
  <c r="I61" i="2"/>
  <c r="J61" i="2" s="1"/>
  <c r="G61" i="2"/>
  <c r="E59" i="2"/>
  <c r="F59" i="2" s="1"/>
  <c r="C59" i="2"/>
  <c r="I59" i="2"/>
  <c r="J59" i="2" s="1"/>
  <c r="G59" i="2"/>
  <c r="E57" i="2"/>
  <c r="F57" i="2" s="1"/>
  <c r="C57" i="2"/>
  <c r="I57" i="2"/>
  <c r="J57" i="2" s="1"/>
  <c r="G57" i="2"/>
  <c r="E55" i="2"/>
  <c r="F55" i="2" s="1"/>
  <c r="C55" i="2"/>
  <c r="I55" i="2"/>
  <c r="J55" i="2" s="1"/>
  <c r="G55" i="2"/>
  <c r="E53" i="2"/>
  <c r="F53" i="2" s="1"/>
  <c r="C53" i="2"/>
  <c r="I53" i="2"/>
  <c r="J53" i="2" s="1"/>
  <c r="G53" i="2"/>
  <c r="E51" i="2"/>
  <c r="F51" i="2" s="1"/>
  <c r="C51" i="2"/>
  <c r="I51" i="2"/>
  <c r="J51" i="2" s="1"/>
  <c r="G51" i="2"/>
  <c r="E49" i="2"/>
  <c r="F49" i="2" s="1"/>
  <c r="C49" i="2"/>
  <c r="I49" i="2"/>
  <c r="J49" i="2" s="1"/>
  <c r="G49" i="2"/>
  <c r="E47" i="2"/>
  <c r="F47" i="2" s="1"/>
  <c r="C47" i="2"/>
  <c r="I47" i="2"/>
  <c r="J47" i="2" s="1"/>
  <c r="G47" i="2"/>
  <c r="E45" i="2"/>
  <c r="F45" i="2" s="1"/>
  <c r="C45" i="2"/>
  <c r="I45" i="2"/>
  <c r="J45" i="2" s="1"/>
  <c r="G45" i="2"/>
  <c r="E43" i="2"/>
  <c r="F43" i="2" s="1"/>
  <c r="C43" i="2"/>
  <c r="I43" i="2"/>
  <c r="J43" i="2" s="1"/>
  <c r="G43" i="2"/>
  <c r="E41" i="2"/>
  <c r="F41" i="2" s="1"/>
  <c r="C41" i="2"/>
  <c r="I41" i="2"/>
  <c r="J41" i="2" s="1"/>
  <c r="G41" i="2"/>
  <c r="E39" i="2"/>
  <c r="F39" i="2" s="1"/>
  <c r="C39" i="2"/>
  <c r="I39" i="2"/>
  <c r="J39" i="2" s="1"/>
  <c r="G39" i="2"/>
  <c r="E37" i="2"/>
  <c r="F37" i="2" s="1"/>
  <c r="C37" i="2"/>
  <c r="I37" i="2"/>
  <c r="J37" i="2" s="1"/>
  <c r="G37" i="2"/>
  <c r="E35" i="2"/>
  <c r="F35" i="2" s="1"/>
  <c r="C35" i="2"/>
  <c r="I35" i="2"/>
  <c r="J35" i="2" s="1"/>
  <c r="G35" i="2"/>
  <c r="E33" i="2"/>
  <c r="F33" i="2" s="1"/>
  <c r="C33" i="2"/>
  <c r="I33" i="2"/>
  <c r="J33" i="2" s="1"/>
  <c r="G33" i="2"/>
  <c r="E31" i="2"/>
  <c r="F31" i="2" s="1"/>
  <c r="C31" i="2"/>
  <c r="I31" i="2"/>
  <c r="J31" i="2" s="1"/>
  <c r="G31" i="2"/>
  <c r="E29" i="2"/>
  <c r="F29" i="2" s="1"/>
  <c r="C29" i="2"/>
  <c r="I29" i="2"/>
  <c r="J29" i="2" s="1"/>
  <c r="G29" i="2"/>
  <c r="E27" i="2"/>
  <c r="F27" i="2" s="1"/>
  <c r="C27" i="2"/>
  <c r="I27" i="2"/>
  <c r="J27" i="2" s="1"/>
  <c r="G27" i="2"/>
  <c r="E25" i="2"/>
  <c r="F25" i="2" s="1"/>
  <c r="C25" i="2"/>
  <c r="I25" i="2"/>
  <c r="J25" i="2" s="1"/>
  <c r="G25" i="2"/>
  <c r="E23" i="2"/>
  <c r="F23" i="2" s="1"/>
  <c r="C23" i="2"/>
  <c r="I23" i="2"/>
  <c r="J23" i="2" s="1"/>
  <c r="G23" i="2"/>
  <c r="E21" i="2"/>
  <c r="F21" i="2" s="1"/>
  <c r="C21" i="2"/>
  <c r="I21" i="2"/>
  <c r="J21" i="2" s="1"/>
  <c r="G21" i="2"/>
  <c r="E19" i="2"/>
  <c r="F19" i="2" s="1"/>
  <c r="C19" i="2"/>
  <c r="I19" i="2"/>
  <c r="J19" i="2" s="1"/>
  <c r="G19" i="2"/>
  <c r="E17" i="2"/>
  <c r="F17" i="2" s="1"/>
  <c r="C17" i="2"/>
  <c r="I17" i="2"/>
  <c r="J17" i="2" s="1"/>
  <c r="G17" i="2"/>
  <c r="E15" i="2"/>
  <c r="F15" i="2" s="1"/>
  <c r="C15" i="2"/>
  <c r="I15" i="2"/>
  <c r="J15" i="2" s="1"/>
  <c r="G15" i="2"/>
  <c r="E13" i="2"/>
  <c r="F13" i="2" s="1"/>
  <c r="C13" i="2"/>
  <c r="I13" i="2"/>
  <c r="J13" i="2" s="1"/>
  <c r="G13" i="2"/>
  <c r="E11" i="2"/>
  <c r="F11" i="2" s="1"/>
  <c r="C11" i="2"/>
  <c r="I11" i="2"/>
  <c r="J11" i="2" s="1"/>
  <c r="G11" i="2"/>
  <c r="E9" i="2"/>
  <c r="F9" i="2" s="1"/>
  <c r="C9" i="2"/>
  <c r="I9" i="2"/>
  <c r="J9" i="2" s="1"/>
  <c r="G9" i="2"/>
  <c r="E7" i="2"/>
  <c r="F7" i="2" s="1"/>
  <c r="C7" i="2"/>
  <c r="I7" i="2"/>
  <c r="J7" i="2" s="1"/>
  <c r="G7" i="2"/>
  <c r="E5" i="2"/>
  <c r="F5" i="2" s="1"/>
  <c r="C5" i="2"/>
  <c r="I5" i="2"/>
  <c r="J5" i="2" s="1"/>
  <c r="G5" i="2"/>
  <c r="E3" i="2"/>
  <c r="F3" i="2" s="1"/>
  <c r="C3" i="2"/>
  <c r="I3" i="2"/>
  <c r="J3" i="2" s="1"/>
  <c r="G3" i="2"/>
  <c r="E514" i="2"/>
  <c r="F514" i="2" s="1"/>
  <c r="C514" i="2"/>
  <c r="I514" i="2"/>
  <c r="J514" i="2" s="1"/>
  <c r="G514" i="2"/>
  <c r="E512" i="2"/>
  <c r="F512" i="2" s="1"/>
  <c r="C512" i="2"/>
  <c r="I512" i="2"/>
  <c r="J512" i="2" s="1"/>
  <c r="G512" i="2"/>
  <c r="E510" i="2"/>
  <c r="F510" i="2" s="1"/>
  <c r="C510" i="2"/>
  <c r="I510" i="2"/>
  <c r="J510" i="2" s="1"/>
  <c r="G510" i="2"/>
  <c r="E508" i="2"/>
  <c r="F508" i="2" s="1"/>
  <c r="C508" i="2"/>
  <c r="I508" i="2"/>
  <c r="J508" i="2" s="1"/>
  <c r="G508" i="2"/>
  <c r="E506" i="2"/>
  <c r="F506" i="2" s="1"/>
  <c r="C506" i="2"/>
  <c r="I506" i="2"/>
  <c r="J506" i="2" s="1"/>
  <c r="G506" i="2"/>
  <c r="E504" i="2"/>
  <c r="F504" i="2" s="1"/>
  <c r="C504" i="2"/>
  <c r="I504" i="2"/>
  <c r="J504" i="2" s="1"/>
  <c r="G504" i="2"/>
  <c r="E502" i="2"/>
  <c r="F502" i="2" s="1"/>
  <c r="C502" i="2"/>
  <c r="I502" i="2"/>
  <c r="J502" i="2" s="1"/>
  <c r="G502" i="2"/>
  <c r="E500" i="2"/>
  <c r="F500" i="2" s="1"/>
  <c r="C500" i="2"/>
  <c r="I500" i="2"/>
  <c r="J500" i="2" s="1"/>
  <c r="G500" i="2"/>
  <c r="E498" i="2"/>
  <c r="F498" i="2" s="1"/>
  <c r="C498" i="2"/>
  <c r="I498" i="2"/>
  <c r="J498" i="2" s="1"/>
  <c r="G498" i="2"/>
  <c r="E496" i="2"/>
  <c r="F496" i="2" s="1"/>
  <c r="C496" i="2"/>
  <c r="I496" i="2"/>
  <c r="J496" i="2" s="1"/>
  <c r="G496" i="2"/>
  <c r="E494" i="2"/>
  <c r="F494" i="2" s="1"/>
  <c r="C494" i="2"/>
  <c r="I494" i="2"/>
  <c r="J494" i="2" s="1"/>
  <c r="G494" i="2"/>
  <c r="E492" i="2"/>
  <c r="F492" i="2" s="1"/>
  <c r="C492" i="2"/>
  <c r="I492" i="2"/>
  <c r="J492" i="2" s="1"/>
  <c r="G492" i="2"/>
  <c r="E490" i="2"/>
  <c r="F490" i="2" s="1"/>
  <c r="C490" i="2"/>
  <c r="I490" i="2"/>
  <c r="J490" i="2" s="1"/>
  <c r="G490" i="2"/>
  <c r="E488" i="2"/>
  <c r="F488" i="2" s="1"/>
  <c r="C488" i="2"/>
  <c r="I488" i="2"/>
  <c r="J488" i="2" s="1"/>
  <c r="G488" i="2"/>
  <c r="E486" i="2"/>
  <c r="F486" i="2" s="1"/>
  <c r="C486" i="2"/>
  <c r="I486" i="2"/>
  <c r="J486" i="2" s="1"/>
  <c r="G486" i="2"/>
  <c r="E484" i="2"/>
  <c r="F484" i="2" s="1"/>
  <c r="C484" i="2"/>
  <c r="I484" i="2"/>
  <c r="J484" i="2" s="1"/>
  <c r="G484" i="2"/>
  <c r="E482" i="2"/>
  <c r="F482" i="2" s="1"/>
  <c r="C482" i="2"/>
  <c r="I482" i="2"/>
  <c r="J482" i="2" s="1"/>
  <c r="G482" i="2"/>
  <c r="E480" i="2"/>
  <c r="F480" i="2" s="1"/>
  <c r="C480" i="2"/>
  <c r="I480" i="2"/>
  <c r="J480" i="2" s="1"/>
  <c r="G480" i="2"/>
  <c r="E478" i="2"/>
  <c r="F478" i="2" s="1"/>
  <c r="C478" i="2"/>
  <c r="I478" i="2"/>
  <c r="J478" i="2" s="1"/>
  <c r="G478" i="2"/>
  <c r="E476" i="2"/>
  <c r="F476" i="2" s="1"/>
  <c r="C476" i="2"/>
  <c r="I476" i="2"/>
  <c r="J476" i="2" s="1"/>
  <c r="G476" i="2"/>
  <c r="E474" i="2"/>
  <c r="F474" i="2" s="1"/>
  <c r="C474" i="2"/>
  <c r="I474" i="2"/>
  <c r="J474" i="2" s="1"/>
  <c r="G474" i="2"/>
  <c r="E472" i="2"/>
  <c r="F472" i="2" s="1"/>
  <c r="C472" i="2"/>
  <c r="I472" i="2"/>
  <c r="J472" i="2" s="1"/>
  <c r="G472" i="2"/>
  <c r="E470" i="2"/>
  <c r="F470" i="2" s="1"/>
  <c r="C470" i="2"/>
  <c r="I470" i="2"/>
  <c r="J470" i="2" s="1"/>
  <c r="G470" i="2"/>
  <c r="E468" i="2"/>
  <c r="F468" i="2" s="1"/>
  <c r="C468" i="2"/>
  <c r="I468" i="2"/>
  <c r="J468" i="2" s="1"/>
  <c r="G468" i="2"/>
  <c r="E466" i="2"/>
  <c r="F466" i="2" s="1"/>
  <c r="C466" i="2"/>
  <c r="I466" i="2"/>
  <c r="J466" i="2" s="1"/>
  <c r="G466" i="2"/>
  <c r="E464" i="2"/>
  <c r="F464" i="2" s="1"/>
  <c r="C464" i="2"/>
  <c r="I464" i="2"/>
  <c r="J464" i="2" s="1"/>
  <c r="G464" i="2"/>
  <c r="E462" i="2"/>
  <c r="F462" i="2" s="1"/>
  <c r="C462" i="2"/>
  <c r="I462" i="2"/>
  <c r="J462" i="2" s="1"/>
  <c r="G462" i="2"/>
  <c r="E460" i="2"/>
  <c r="F460" i="2" s="1"/>
  <c r="C460" i="2"/>
  <c r="I460" i="2"/>
  <c r="J460" i="2" s="1"/>
  <c r="G460" i="2"/>
  <c r="E458" i="2"/>
  <c r="F458" i="2" s="1"/>
  <c r="C458" i="2"/>
  <c r="I458" i="2"/>
  <c r="J458" i="2" s="1"/>
  <c r="G458" i="2"/>
  <c r="E456" i="2"/>
  <c r="F456" i="2" s="1"/>
  <c r="C456" i="2"/>
  <c r="I456" i="2"/>
  <c r="J456" i="2" s="1"/>
  <c r="G456" i="2"/>
  <c r="E454" i="2"/>
  <c r="F454" i="2" s="1"/>
  <c r="C454" i="2"/>
  <c r="I454" i="2"/>
  <c r="J454" i="2" s="1"/>
  <c r="G454" i="2"/>
  <c r="E452" i="2"/>
  <c r="F452" i="2" s="1"/>
  <c r="C452" i="2"/>
  <c r="I452" i="2"/>
  <c r="J452" i="2" s="1"/>
  <c r="G452" i="2"/>
  <c r="E450" i="2"/>
  <c r="C450" i="2"/>
  <c r="I450" i="2"/>
  <c r="G450" i="2"/>
  <c r="E448" i="2"/>
  <c r="C448" i="2"/>
  <c r="I448" i="2"/>
  <c r="G448" i="2"/>
  <c r="E446" i="2"/>
  <c r="F446" i="2" s="1"/>
  <c r="C446" i="2"/>
  <c r="I446" i="2"/>
  <c r="J446" i="2" s="1"/>
  <c r="G446" i="2"/>
  <c r="E444" i="2"/>
  <c r="F444" i="2" s="1"/>
  <c r="C444" i="2"/>
  <c r="I444" i="2"/>
  <c r="J444" i="2" s="1"/>
  <c r="G444" i="2"/>
  <c r="E442" i="2"/>
  <c r="F442" i="2" s="1"/>
  <c r="C442" i="2"/>
  <c r="I442" i="2"/>
  <c r="J442" i="2" s="1"/>
  <c r="G442" i="2"/>
  <c r="E440" i="2"/>
  <c r="F440" i="2" s="1"/>
  <c r="C440" i="2"/>
  <c r="I440" i="2"/>
  <c r="J440" i="2" s="1"/>
  <c r="G440" i="2"/>
  <c r="E438" i="2"/>
  <c r="F438" i="2" s="1"/>
  <c r="C438" i="2"/>
  <c r="I438" i="2"/>
  <c r="J438" i="2" s="1"/>
  <c r="G438" i="2"/>
  <c r="E436" i="2"/>
  <c r="F436" i="2" s="1"/>
  <c r="C436" i="2"/>
  <c r="I436" i="2"/>
  <c r="J436" i="2" s="1"/>
  <c r="G436" i="2"/>
  <c r="E434" i="2"/>
  <c r="F434" i="2" s="1"/>
  <c r="C434" i="2"/>
  <c r="I434" i="2"/>
  <c r="J434" i="2" s="1"/>
  <c r="G434" i="2"/>
  <c r="E432" i="2"/>
  <c r="F432" i="2" s="1"/>
  <c r="C432" i="2"/>
  <c r="I432" i="2"/>
  <c r="J432" i="2" s="1"/>
  <c r="G432" i="2"/>
  <c r="E430" i="2"/>
  <c r="F430" i="2" s="1"/>
  <c r="C430" i="2"/>
  <c r="I430" i="2"/>
  <c r="J430" i="2" s="1"/>
  <c r="G430" i="2"/>
  <c r="E428" i="2"/>
  <c r="F428" i="2" s="1"/>
  <c r="C428" i="2"/>
  <c r="I428" i="2"/>
  <c r="J428" i="2" s="1"/>
  <c r="G428" i="2"/>
  <c r="E426" i="2"/>
  <c r="F426" i="2" s="1"/>
  <c r="C426" i="2"/>
  <c r="I426" i="2"/>
  <c r="J426" i="2" s="1"/>
  <c r="G426" i="2"/>
  <c r="E424" i="2"/>
  <c r="F424" i="2" s="1"/>
  <c r="C424" i="2"/>
  <c r="I424" i="2"/>
  <c r="J424" i="2" s="1"/>
  <c r="G424" i="2"/>
  <c r="E422" i="2"/>
  <c r="F422" i="2" s="1"/>
  <c r="C422" i="2"/>
  <c r="I422" i="2"/>
  <c r="J422" i="2" s="1"/>
  <c r="G422" i="2"/>
  <c r="E420" i="2"/>
  <c r="F420" i="2" s="1"/>
  <c r="C420" i="2"/>
  <c r="I420" i="2"/>
  <c r="J420" i="2" s="1"/>
  <c r="G420" i="2"/>
  <c r="E418" i="2"/>
  <c r="F418" i="2" s="1"/>
  <c r="C418" i="2"/>
  <c r="I418" i="2"/>
  <c r="J418" i="2" s="1"/>
  <c r="G418" i="2"/>
  <c r="E416" i="2"/>
  <c r="F416" i="2" s="1"/>
  <c r="C416" i="2"/>
  <c r="I416" i="2"/>
  <c r="J416" i="2" s="1"/>
  <c r="G416" i="2"/>
  <c r="E414" i="2"/>
  <c r="F414" i="2" s="1"/>
  <c r="C414" i="2"/>
  <c r="I414" i="2"/>
  <c r="J414" i="2" s="1"/>
  <c r="G414" i="2"/>
  <c r="E412" i="2"/>
  <c r="F412" i="2" s="1"/>
  <c r="C412" i="2"/>
  <c r="I412" i="2"/>
  <c r="J412" i="2" s="1"/>
  <c r="G412" i="2"/>
  <c r="E410" i="2"/>
  <c r="F410" i="2" s="1"/>
  <c r="C410" i="2"/>
  <c r="I410" i="2"/>
  <c r="J410" i="2" s="1"/>
  <c r="G410" i="2"/>
  <c r="E408" i="2"/>
  <c r="F408" i="2" s="1"/>
  <c r="C408" i="2"/>
  <c r="I408" i="2"/>
  <c r="J408" i="2" s="1"/>
  <c r="G408" i="2"/>
  <c r="E406" i="2"/>
  <c r="F406" i="2" s="1"/>
  <c r="C406" i="2"/>
  <c r="I406" i="2"/>
  <c r="J406" i="2" s="1"/>
  <c r="G406" i="2"/>
  <c r="E404" i="2"/>
  <c r="F404" i="2" s="1"/>
  <c r="C404" i="2"/>
  <c r="I404" i="2"/>
  <c r="J404" i="2" s="1"/>
  <c r="G404" i="2"/>
  <c r="E402" i="2"/>
  <c r="F402" i="2" s="1"/>
  <c r="C402" i="2"/>
  <c r="I402" i="2"/>
  <c r="J402" i="2" s="1"/>
  <c r="G402" i="2"/>
  <c r="E400" i="2"/>
  <c r="F400" i="2" s="1"/>
  <c r="C400" i="2"/>
  <c r="I400" i="2"/>
  <c r="J400" i="2" s="1"/>
  <c r="G400" i="2"/>
  <c r="E398" i="2"/>
  <c r="F398" i="2" s="1"/>
  <c r="C398" i="2"/>
  <c r="I398" i="2"/>
  <c r="J398" i="2" s="1"/>
  <c r="G398" i="2"/>
  <c r="E396" i="2"/>
  <c r="F396" i="2" s="1"/>
  <c r="C396" i="2"/>
  <c r="I396" i="2"/>
  <c r="J396" i="2" s="1"/>
  <c r="G396" i="2"/>
  <c r="E394" i="2"/>
  <c r="F394" i="2" s="1"/>
  <c r="C394" i="2"/>
  <c r="I394" i="2"/>
  <c r="J394" i="2" s="1"/>
  <c r="G394" i="2"/>
  <c r="E392" i="2"/>
  <c r="F392" i="2" s="1"/>
  <c r="C392" i="2"/>
  <c r="I392" i="2"/>
  <c r="J392" i="2" s="1"/>
  <c r="G392" i="2"/>
  <c r="E390" i="2"/>
  <c r="F390" i="2" s="1"/>
  <c r="C390" i="2"/>
  <c r="I390" i="2"/>
  <c r="J390" i="2" s="1"/>
  <c r="G390" i="2"/>
  <c r="E388" i="2"/>
  <c r="F388" i="2" s="1"/>
  <c r="C388" i="2"/>
  <c r="I388" i="2"/>
  <c r="J388" i="2" s="1"/>
  <c r="G388" i="2"/>
  <c r="E386" i="2"/>
  <c r="F386" i="2" s="1"/>
  <c r="C386" i="2"/>
  <c r="I386" i="2"/>
  <c r="J386" i="2" s="1"/>
  <c r="G386" i="2"/>
  <c r="E384" i="2"/>
  <c r="F384" i="2" s="1"/>
  <c r="C384" i="2"/>
  <c r="I384" i="2"/>
  <c r="J384" i="2" s="1"/>
  <c r="G384" i="2"/>
  <c r="E382" i="2"/>
  <c r="F382" i="2" s="1"/>
  <c r="C382" i="2"/>
  <c r="I382" i="2"/>
  <c r="J382" i="2" s="1"/>
  <c r="G382" i="2"/>
  <c r="E380" i="2"/>
  <c r="F380" i="2" s="1"/>
  <c r="C380" i="2"/>
  <c r="I380" i="2"/>
  <c r="J380" i="2" s="1"/>
  <c r="G380" i="2"/>
  <c r="E378" i="2"/>
  <c r="F378" i="2" s="1"/>
  <c r="C378" i="2"/>
  <c r="I378" i="2"/>
  <c r="J378" i="2" s="1"/>
  <c r="G378" i="2"/>
  <c r="E376" i="2"/>
  <c r="F376" i="2" s="1"/>
  <c r="C376" i="2"/>
  <c r="I376" i="2"/>
  <c r="J376" i="2" s="1"/>
  <c r="G376" i="2"/>
  <c r="E374" i="2"/>
  <c r="F374" i="2" s="1"/>
  <c r="C374" i="2"/>
  <c r="I374" i="2"/>
  <c r="J374" i="2" s="1"/>
  <c r="G374" i="2"/>
  <c r="E372" i="2"/>
  <c r="F372" i="2" s="1"/>
  <c r="C372" i="2"/>
  <c r="I372" i="2"/>
  <c r="J372" i="2" s="1"/>
  <c r="G372" i="2"/>
  <c r="E370" i="2"/>
  <c r="F370" i="2" s="1"/>
  <c r="C370" i="2"/>
  <c r="I370" i="2"/>
  <c r="J370" i="2" s="1"/>
  <c r="G370" i="2"/>
  <c r="E368" i="2"/>
  <c r="F368" i="2" s="1"/>
  <c r="C368" i="2"/>
  <c r="I368" i="2"/>
  <c r="J368" i="2" s="1"/>
  <c r="G368" i="2"/>
  <c r="E366" i="2"/>
  <c r="F366" i="2" s="1"/>
  <c r="C366" i="2"/>
  <c r="I366" i="2"/>
  <c r="J366" i="2" s="1"/>
  <c r="G366" i="2"/>
  <c r="E364" i="2"/>
  <c r="F364" i="2" s="1"/>
  <c r="C364" i="2"/>
  <c r="I364" i="2"/>
  <c r="J364" i="2" s="1"/>
  <c r="G364" i="2"/>
  <c r="E362" i="2"/>
  <c r="F362" i="2" s="1"/>
  <c r="C362" i="2"/>
  <c r="I362" i="2"/>
  <c r="J362" i="2" s="1"/>
  <c r="G362" i="2"/>
  <c r="E360" i="2"/>
  <c r="F360" i="2" s="1"/>
  <c r="C360" i="2"/>
  <c r="I360" i="2"/>
  <c r="J360" i="2" s="1"/>
  <c r="G360" i="2"/>
  <c r="E358" i="2"/>
  <c r="F358" i="2" s="1"/>
  <c r="C358" i="2"/>
  <c r="I358" i="2"/>
  <c r="J358" i="2" s="1"/>
  <c r="G358" i="2"/>
  <c r="E356" i="2"/>
  <c r="F356" i="2" s="1"/>
  <c r="C356" i="2"/>
  <c r="I356" i="2"/>
  <c r="J356" i="2" s="1"/>
  <c r="G356" i="2"/>
  <c r="E354" i="2"/>
  <c r="F354" i="2" s="1"/>
  <c r="C354" i="2"/>
  <c r="I354" i="2"/>
  <c r="J354" i="2" s="1"/>
  <c r="G354" i="2"/>
  <c r="E352" i="2"/>
  <c r="F352" i="2" s="1"/>
  <c r="C352" i="2"/>
  <c r="I352" i="2"/>
  <c r="J352" i="2" s="1"/>
  <c r="G352" i="2"/>
  <c r="E350" i="2"/>
  <c r="F350" i="2" s="1"/>
  <c r="C350" i="2"/>
  <c r="I350" i="2"/>
  <c r="J350" i="2" s="1"/>
  <c r="G350" i="2"/>
  <c r="E348" i="2"/>
  <c r="F348" i="2" s="1"/>
  <c r="C348" i="2"/>
  <c r="I348" i="2"/>
  <c r="J348" i="2" s="1"/>
  <c r="G348" i="2"/>
  <c r="E346" i="2"/>
  <c r="C346" i="2"/>
  <c r="I346" i="2"/>
  <c r="G346" i="2"/>
  <c r="E344" i="2"/>
  <c r="C344" i="2"/>
  <c r="I344" i="2"/>
  <c r="G344" i="2"/>
  <c r="E342" i="2"/>
  <c r="F342" i="2" s="1"/>
  <c r="C342" i="2"/>
  <c r="I342" i="2"/>
  <c r="J342" i="2" s="1"/>
  <c r="G342" i="2"/>
  <c r="E340" i="2"/>
  <c r="F340" i="2" s="1"/>
  <c r="C340" i="2"/>
  <c r="I340" i="2"/>
  <c r="J340" i="2" s="1"/>
  <c r="G340" i="2"/>
  <c r="E338" i="2"/>
  <c r="F338" i="2" s="1"/>
  <c r="C338" i="2"/>
  <c r="I338" i="2"/>
  <c r="J338" i="2" s="1"/>
  <c r="G338" i="2"/>
  <c r="E336" i="2"/>
  <c r="F336" i="2" s="1"/>
  <c r="C336" i="2"/>
  <c r="I336" i="2"/>
  <c r="J336" i="2" s="1"/>
  <c r="G336" i="2"/>
  <c r="E334" i="2"/>
  <c r="F334" i="2" s="1"/>
  <c r="C334" i="2"/>
  <c r="I334" i="2"/>
  <c r="J334" i="2" s="1"/>
  <c r="G334" i="2"/>
  <c r="E332" i="2"/>
  <c r="F332" i="2" s="1"/>
  <c r="C332" i="2"/>
  <c r="I332" i="2"/>
  <c r="J332" i="2" s="1"/>
  <c r="G332" i="2"/>
  <c r="E330" i="2"/>
  <c r="F330" i="2" s="1"/>
  <c r="C330" i="2"/>
  <c r="I330" i="2"/>
  <c r="J330" i="2" s="1"/>
  <c r="G330" i="2"/>
  <c r="E328" i="2"/>
  <c r="F328" i="2" s="1"/>
  <c r="C328" i="2"/>
  <c r="I328" i="2"/>
  <c r="J328" i="2" s="1"/>
  <c r="G328" i="2"/>
  <c r="E326" i="2"/>
  <c r="F326" i="2" s="1"/>
  <c r="C326" i="2"/>
  <c r="I326" i="2"/>
  <c r="J326" i="2" s="1"/>
  <c r="G326" i="2"/>
  <c r="E324" i="2"/>
  <c r="F324" i="2" s="1"/>
  <c r="C324" i="2"/>
  <c r="I324" i="2"/>
  <c r="J324" i="2" s="1"/>
  <c r="G324" i="2"/>
  <c r="E322" i="2"/>
  <c r="F322" i="2" s="1"/>
  <c r="C322" i="2"/>
  <c r="I322" i="2"/>
  <c r="J322" i="2" s="1"/>
  <c r="G322" i="2"/>
  <c r="E320" i="2"/>
  <c r="F320" i="2" s="1"/>
  <c r="C320" i="2"/>
  <c r="I320" i="2"/>
  <c r="J320" i="2" s="1"/>
  <c r="G320" i="2"/>
  <c r="E318" i="2"/>
  <c r="F318" i="2" s="1"/>
  <c r="C318" i="2"/>
  <c r="I318" i="2"/>
  <c r="J318" i="2" s="1"/>
  <c r="G318" i="2"/>
  <c r="E316" i="2"/>
  <c r="F316" i="2" s="1"/>
  <c r="C316" i="2"/>
  <c r="I316" i="2"/>
  <c r="J316" i="2" s="1"/>
  <c r="G316" i="2"/>
  <c r="E314" i="2"/>
  <c r="F314" i="2" s="1"/>
  <c r="C314" i="2"/>
  <c r="I314" i="2"/>
  <c r="J314" i="2" s="1"/>
  <c r="G314" i="2"/>
  <c r="J312" i="2"/>
  <c r="E312" i="2"/>
  <c r="F312" i="2" s="1"/>
  <c r="C312" i="2"/>
  <c r="I312" i="2"/>
  <c r="G312" i="2"/>
  <c r="E310" i="2"/>
  <c r="F310" i="2" s="1"/>
  <c r="C310" i="2"/>
  <c r="I310" i="2"/>
  <c r="J310" i="2" s="1"/>
  <c r="G310" i="2"/>
  <c r="E308" i="2"/>
  <c r="F308" i="2" s="1"/>
  <c r="C308" i="2"/>
  <c r="I308" i="2"/>
  <c r="J308" i="2" s="1"/>
  <c r="G308" i="2"/>
  <c r="E306" i="2"/>
  <c r="F306" i="2" s="1"/>
  <c r="C306" i="2"/>
  <c r="I306" i="2"/>
  <c r="J306" i="2" s="1"/>
  <c r="G306" i="2"/>
  <c r="E304" i="2"/>
  <c r="F304" i="2" s="1"/>
  <c r="C304" i="2"/>
  <c r="I304" i="2"/>
  <c r="J304" i="2" s="1"/>
  <c r="G304" i="2"/>
  <c r="E302" i="2"/>
  <c r="F302" i="2" s="1"/>
  <c r="C302" i="2"/>
  <c r="I302" i="2"/>
  <c r="J302" i="2" s="1"/>
  <c r="G302" i="2"/>
  <c r="E300" i="2"/>
  <c r="F300" i="2" s="1"/>
  <c r="C300" i="2"/>
  <c r="I300" i="2"/>
  <c r="J300" i="2" s="1"/>
  <c r="G300" i="2"/>
  <c r="E298" i="2"/>
  <c r="F298" i="2" s="1"/>
  <c r="C298" i="2"/>
  <c r="I298" i="2"/>
  <c r="J298" i="2" s="1"/>
  <c r="G298" i="2"/>
  <c r="E296" i="2"/>
  <c r="F296" i="2" s="1"/>
  <c r="C296" i="2"/>
  <c r="I296" i="2"/>
  <c r="J296" i="2" s="1"/>
  <c r="G296" i="2"/>
  <c r="E294" i="2"/>
  <c r="F294" i="2" s="1"/>
  <c r="C294" i="2"/>
  <c r="I294" i="2"/>
  <c r="J294" i="2" s="1"/>
  <c r="G294" i="2"/>
  <c r="E292" i="2"/>
  <c r="F292" i="2" s="1"/>
  <c r="C292" i="2"/>
  <c r="I292" i="2"/>
  <c r="J292" i="2" s="1"/>
  <c r="G292" i="2"/>
  <c r="E290" i="2"/>
  <c r="F290" i="2" s="1"/>
  <c r="C290" i="2"/>
  <c r="I290" i="2"/>
  <c r="J290" i="2" s="1"/>
  <c r="G290" i="2"/>
  <c r="E288" i="2"/>
  <c r="F288" i="2" s="1"/>
  <c r="C288" i="2"/>
  <c r="I288" i="2"/>
  <c r="J288" i="2" s="1"/>
  <c r="G288" i="2"/>
  <c r="E286" i="2"/>
  <c r="F286" i="2" s="1"/>
  <c r="C286" i="2"/>
  <c r="I286" i="2"/>
  <c r="J286" i="2" s="1"/>
  <c r="G286" i="2"/>
  <c r="E284" i="2"/>
  <c r="F284" i="2" s="1"/>
  <c r="C284" i="2"/>
  <c r="I284" i="2"/>
  <c r="J284" i="2" s="1"/>
  <c r="G284" i="2"/>
  <c r="E282" i="2"/>
  <c r="F282" i="2" s="1"/>
  <c r="C282" i="2"/>
  <c r="I282" i="2"/>
  <c r="J282" i="2" s="1"/>
  <c r="G282" i="2"/>
  <c r="E280" i="2"/>
  <c r="F280" i="2" s="1"/>
  <c r="C280" i="2"/>
  <c r="I280" i="2"/>
  <c r="J280" i="2" s="1"/>
  <c r="G280" i="2"/>
  <c r="E278" i="2"/>
  <c r="F278" i="2" s="1"/>
  <c r="C278" i="2"/>
  <c r="I278" i="2"/>
  <c r="J278" i="2" s="1"/>
  <c r="G278" i="2"/>
  <c r="E276" i="2"/>
  <c r="F276" i="2" s="1"/>
  <c r="C276" i="2"/>
  <c r="I276" i="2"/>
  <c r="J276" i="2" s="1"/>
  <c r="G276" i="2"/>
  <c r="E274" i="2"/>
  <c r="F274" i="2" s="1"/>
  <c r="C274" i="2"/>
  <c r="I274" i="2"/>
  <c r="J274" i="2" s="1"/>
  <c r="G274" i="2"/>
  <c r="E272" i="2"/>
  <c r="F272" i="2" s="1"/>
  <c r="C272" i="2"/>
  <c r="I272" i="2"/>
  <c r="J272" i="2" s="1"/>
  <c r="G272" i="2"/>
  <c r="E270" i="2"/>
  <c r="F270" i="2" s="1"/>
  <c r="C270" i="2"/>
  <c r="I270" i="2"/>
  <c r="J270" i="2" s="1"/>
  <c r="G270" i="2"/>
  <c r="E268" i="2"/>
  <c r="F268" i="2" s="1"/>
  <c r="C268" i="2"/>
  <c r="I268" i="2"/>
  <c r="J268" i="2" s="1"/>
  <c r="G268" i="2"/>
  <c r="E266" i="2"/>
  <c r="F266" i="2" s="1"/>
  <c r="C266" i="2"/>
  <c r="I266" i="2"/>
  <c r="J266" i="2" s="1"/>
  <c r="G266" i="2"/>
  <c r="E264" i="2"/>
  <c r="F264" i="2" s="1"/>
  <c r="C264" i="2"/>
  <c r="I264" i="2"/>
  <c r="J264" i="2" s="1"/>
  <c r="G264" i="2"/>
  <c r="E262" i="2"/>
  <c r="F262" i="2" s="1"/>
  <c r="C262" i="2"/>
  <c r="I262" i="2"/>
  <c r="J262" i="2" s="1"/>
  <c r="G262" i="2"/>
  <c r="E260" i="2"/>
  <c r="F260" i="2" s="1"/>
  <c r="C260" i="2"/>
  <c r="I260" i="2"/>
  <c r="J260" i="2" s="1"/>
  <c r="G260" i="2"/>
  <c r="E258" i="2"/>
  <c r="F258" i="2" s="1"/>
  <c r="C258" i="2"/>
  <c r="I258" i="2"/>
  <c r="J258" i="2" s="1"/>
  <c r="G258" i="2"/>
  <c r="E256" i="2"/>
  <c r="F256" i="2" s="1"/>
  <c r="C256" i="2"/>
  <c r="I256" i="2"/>
  <c r="J256" i="2" s="1"/>
  <c r="G256" i="2"/>
  <c r="E254" i="2"/>
  <c r="F254" i="2" s="1"/>
  <c r="C254" i="2"/>
  <c r="I254" i="2"/>
  <c r="J254" i="2" s="1"/>
  <c r="G254" i="2"/>
  <c r="E252" i="2"/>
  <c r="F252" i="2" s="1"/>
  <c r="C252" i="2"/>
  <c r="I252" i="2"/>
  <c r="J252" i="2" s="1"/>
  <c r="G252" i="2"/>
  <c r="E250" i="2"/>
  <c r="F250" i="2" s="1"/>
  <c r="C250" i="2"/>
  <c r="I250" i="2"/>
  <c r="J250" i="2" s="1"/>
  <c r="G250" i="2"/>
  <c r="E248" i="2"/>
  <c r="F248" i="2" s="1"/>
  <c r="C248" i="2"/>
  <c r="I248" i="2"/>
  <c r="J248" i="2" s="1"/>
  <c r="G248" i="2"/>
  <c r="E246" i="2"/>
  <c r="F246" i="2" s="1"/>
  <c r="C246" i="2"/>
  <c r="I246" i="2"/>
  <c r="J246" i="2" s="1"/>
  <c r="G246" i="2"/>
  <c r="E244" i="2"/>
  <c r="F244" i="2" s="1"/>
  <c r="C244" i="2"/>
  <c r="I244" i="2"/>
  <c r="J244" i="2" s="1"/>
  <c r="G244" i="2"/>
  <c r="E242" i="2"/>
  <c r="F242" i="2" s="1"/>
  <c r="C242" i="2"/>
  <c r="I242" i="2"/>
  <c r="J242" i="2" s="1"/>
  <c r="G242" i="2"/>
  <c r="E240" i="2"/>
  <c r="F240" i="2" s="1"/>
  <c r="C240" i="2"/>
  <c r="I240" i="2"/>
  <c r="J240" i="2" s="1"/>
  <c r="G240" i="2"/>
  <c r="E238" i="2"/>
  <c r="F238" i="2" s="1"/>
  <c r="C238" i="2"/>
  <c r="I238" i="2"/>
  <c r="J238" i="2" s="1"/>
  <c r="G238" i="2"/>
  <c r="E236" i="2"/>
  <c r="F236" i="2" s="1"/>
  <c r="C236" i="2"/>
  <c r="I236" i="2"/>
  <c r="J236" i="2" s="1"/>
  <c r="G236" i="2"/>
  <c r="E234" i="2"/>
  <c r="F234" i="2" s="1"/>
  <c r="C234" i="2"/>
  <c r="I234" i="2"/>
  <c r="J234" i="2" s="1"/>
  <c r="G234" i="2"/>
  <c r="E232" i="2"/>
  <c r="F232" i="2" s="1"/>
  <c r="C232" i="2"/>
  <c r="I232" i="2"/>
  <c r="J232" i="2" s="1"/>
  <c r="G232" i="2"/>
  <c r="E230" i="2"/>
  <c r="F230" i="2" s="1"/>
  <c r="C230" i="2"/>
  <c r="I230" i="2"/>
  <c r="J230" i="2" s="1"/>
  <c r="G230" i="2"/>
  <c r="E228" i="2"/>
  <c r="F228" i="2" s="1"/>
  <c r="C228" i="2"/>
  <c r="I228" i="2"/>
  <c r="J228" i="2" s="1"/>
  <c r="G228" i="2"/>
  <c r="E226" i="2"/>
  <c r="F226" i="2" s="1"/>
  <c r="C226" i="2"/>
  <c r="I226" i="2"/>
  <c r="J226" i="2" s="1"/>
  <c r="G226" i="2"/>
  <c r="E224" i="2"/>
  <c r="F224" i="2" s="1"/>
  <c r="C224" i="2"/>
  <c r="I224" i="2"/>
  <c r="J224" i="2" s="1"/>
  <c r="G224" i="2"/>
  <c r="E222" i="2"/>
  <c r="F222" i="2" s="1"/>
  <c r="C222" i="2"/>
  <c r="I222" i="2"/>
  <c r="J222" i="2" s="1"/>
  <c r="G222" i="2"/>
  <c r="E220" i="2"/>
  <c r="F220" i="2" s="1"/>
  <c r="C220" i="2"/>
  <c r="I220" i="2"/>
  <c r="J220" i="2" s="1"/>
  <c r="G220" i="2"/>
  <c r="E218" i="2"/>
  <c r="F218" i="2" s="1"/>
  <c r="C218" i="2"/>
  <c r="I218" i="2"/>
  <c r="J218" i="2" s="1"/>
  <c r="G218" i="2"/>
  <c r="E216" i="2"/>
  <c r="F216" i="2" s="1"/>
  <c r="C216" i="2"/>
  <c r="I216" i="2"/>
  <c r="J216" i="2" s="1"/>
  <c r="G216" i="2"/>
  <c r="E214" i="2"/>
  <c r="F214" i="2" s="1"/>
  <c r="C214" i="2"/>
  <c r="I214" i="2"/>
  <c r="J214" i="2" s="1"/>
  <c r="G214" i="2"/>
  <c r="E212" i="2"/>
  <c r="F212" i="2" s="1"/>
  <c r="C212" i="2"/>
  <c r="I212" i="2"/>
  <c r="J212" i="2" s="1"/>
  <c r="G212" i="2"/>
  <c r="E210" i="2"/>
  <c r="F210" i="2" s="1"/>
  <c r="C210" i="2"/>
  <c r="I210" i="2"/>
  <c r="J210" i="2" s="1"/>
  <c r="G210" i="2"/>
  <c r="E208" i="2"/>
  <c r="F208" i="2" s="1"/>
  <c r="C208" i="2"/>
  <c r="I208" i="2"/>
  <c r="J208" i="2" s="1"/>
  <c r="G208" i="2"/>
  <c r="E206" i="2"/>
  <c r="F206" i="2" s="1"/>
  <c r="C206" i="2"/>
  <c r="I206" i="2"/>
  <c r="J206" i="2" s="1"/>
  <c r="G206" i="2"/>
  <c r="E204" i="2"/>
  <c r="F204" i="2" s="1"/>
  <c r="C204" i="2"/>
  <c r="I204" i="2"/>
  <c r="J204" i="2" s="1"/>
  <c r="G204" i="2"/>
  <c r="E202" i="2"/>
  <c r="F202" i="2" s="1"/>
  <c r="C202" i="2"/>
  <c r="I202" i="2"/>
  <c r="J202" i="2" s="1"/>
  <c r="G202" i="2"/>
  <c r="E200" i="2"/>
  <c r="F200" i="2" s="1"/>
  <c r="C200" i="2"/>
  <c r="I200" i="2"/>
  <c r="J200" i="2" s="1"/>
  <c r="G200" i="2"/>
  <c r="E198" i="2"/>
  <c r="F198" i="2" s="1"/>
  <c r="C198" i="2"/>
  <c r="I198" i="2"/>
  <c r="J198" i="2" s="1"/>
  <c r="G198" i="2"/>
  <c r="E196" i="2"/>
  <c r="F196" i="2" s="1"/>
  <c r="C196" i="2"/>
  <c r="I196" i="2"/>
  <c r="J196" i="2" s="1"/>
  <c r="G196" i="2"/>
  <c r="E194" i="2"/>
  <c r="F194" i="2" s="1"/>
  <c r="C194" i="2"/>
  <c r="I194" i="2"/>
  <c r="J194" i="2" s="1"/>
  <c r="G194" i="2"/>
  <c r="E192" i="2"/>
  <c r="F192" i="2" s="1"/>
  <c r="C192" i="2"/>
  <c r="I192" i="2"/>
  <c r="J192" i="2" s="1"/>
  <c r="G192" i="2"/>
  <c r="E190" i="2"/>
  <c r="F190" i="2" s="1"/>
  <c r="C190" i="2"/>
  <c r="I190" i="2"/>
  <c r="J190" i="2" s="1"/>
  <c r="G190" i="2"/>
  <c r="E188" i="2"/>
  <c r="F188" i="2" s="1"/>
  <c r="C188" i="2"/>
  <c r="I188" i="2"/>
  <c r="J188" i="2" s="1"/>
  <c r="G188" i="2"/>
  <c r="E186" i="2"/>
  <c r="F186" i="2" s="1"/>
  <c r="C186" i="2"/>
  <c r="I186" i="2"/>
  <c r="J186" i="2" s="1"/>
  <c r="G186" i="2"/>
  <c r="E184" i="2"/>
  <c r="F184" i="2" s="1"/>
  <c r="C184" i="2"/>
  <c r="I184" i="2"/>
  <c r="J184" i="2" s="1"/>
  <c r="G184" i="2"/>
  <c r="E182" i="2"/>
  <c r="F182" i="2" s="1"/>
  <c r="C182" i="2"/>
  <c r="I182" i="2"/>
  <c r="J182" i="2" s="1"/>
  <c r="G182" i="2"/>
  <c r="E180" i="2"/>
  <c r="F180" i="2" s="1"/>
  <c r="C180" i="2"/>
  <c r="I180" i="2"/>
  <c r="J180" i="2" s="1"/>
  <c r="G180" i="2"/>
  <c r="E178" i="2"/>
  <c r="F178" i="2" s="1"/>
  <c r="C178" i="2"/>
  <c r="I178" i="2"/>
  <c r="J178" i="2" s="1"/>
  <c r="G178" i="2"/>
  <c r="E176" i="2"/>
  <c r="F176" i="2" s="1"/>
  <c r="C176" i="2"/>
  <c r="I176" i="2"/>
  <c r="J176" i="2" s="1"/>
  <c r="G176" i="2"/>
  <c r="E174" i="2"/>
  <c r="F174" i="2" s="1"/>
  <c r="C174" i="2"/>
  <c r="I174" i="2"/>
  <c r="J174" i="2" s="1"/>
  <c r="G174" i="2"/>
  <c r="E172" i="2"/>
  <c r="F172" i="2" s="1"/>
  <c r="C172" i="2"/>
  <c r="I172" i="2"/>
  <c r="J172" i="2" s="1"/>
  <c r="G172" i="2"/>
  <c r="E170" i="2"/>
  <c r="F170" i="2" s="1"/>
  <c r="C170" i="2"/>
  <c r="I170" i="2"/>
  <c r="J170" i="2" s="1"/>
  <c r="G170" i="2"/>
  <c r="E168" i="2"/>
  <c r="F168" i="2" s="1"/>
  <c r="C168" i="2"/>
  <c r="I168" i="2"/>
  <c r="J168" i="2" s="1"/>
  <c r="G168" i="2"/>
  <c r="E166" i="2"/>
  <c r="F166" i="2" s="1"/>
  <c r="C166" i="2"/>
  <c r="I166" i="2"/>
  <c r="J166" i="2" s="1"/>
  <c r="G166" i="2"/>
  <c r="E164" i="2"/>
  <c r="F164" i="2" s="1"/>
  <c r="C164" i="2"/>
  <c r="I164" i="2"/>
  <c r="J164" i="2" s="1"/>
  <c r="G164" i="2"/>
  <c r="E162" i="2"/>
  <c r="F162" i="2" s="1"/>
  <c r="C162" i="2"/>
  <c r="I162" i="2"/>
  <c r="J162" i="2" s="1"/>
  <c r="G162" i="2"/>
  <c r="E160" i="2"/>
  <c r="F160" i="2" s="1"/>
  <c r="C160" i="2"/>
  <c r="I160" i="2"/>
  <c r="J160" i="2" s="1"/>
  <c r="G160" i="2"/>
  <c r="E158" i="2"/>
  <c r="F158" i="2" s="1"/>
  <c r="C158" i="2"/>
  <c r="I158" i="2"/>
  <c r="J158" i="2" s="1"/>
  <c r="G158" i="2"/>
  <c r="E156" i="2"/>
  <c r="F156" i="2" s="1"/>
  <c r="C156" i="2"/>
  <c r="I156" i="2"/>
  <c r="J156" i="2" s="1"/>
  <c r="G156" i="2"/>
  <c r="E154" i="2"/>
  <c r="F154" i="2" s="1"/>
  <c r="C154" i="2"/>
  <c r="I154" i="2"/>
  <c r="J154" i="2" s="1"/>
  <c r="G154" i="2"/>
  <c r="E152" i="2"/>
  <c r="F152" i="2" s="1"/>
  <c r="C152" i="2"/>
  <c r="I152" i="2"/>
  <c r="J152" i="2" s="1"/>
  <c r="G152" i="2"/>
  <c r="E150" i="2"/>
  <c r="F150" i="2" s="1"/>
  <c r="C150" i="2"/>
  <c r="I150" i="2"/>
  <c r="J150" i="2" s="1"/>
  <c r="G150" i="2"/>
  <c r="E148" i="2"/>
  <c r="F148" i="2" s="1"/>
  <c r="C148" i="2"/>
  <c r="I148" i="2"/>
  <c r="J148" i="2" s="1"/>
  <c r="G148" i="2"/>
  <c r="E146" i="2"/>
  <c r="F146" i="2" s="1"/>
  <c r="C146" i="2"/>
  <c r="I146" i="2"/>
  <c r="J146" i="2" s="1"/>
  <c r="G146" i="2"/>
  <c r="E144" i="2"/>
  <c r="F144" i="2" s="1"/>
  <c r="C144" i="2"/>
  <c r="I144" i="2"/>
  <c r="J144" i="2" s="1"/>
  <c r="G144" i="2"/>
  <c r="E142" i="2"/>
  <c r="F142" i="2" s="1"/>
  <c r="C142" i="2"/>
  <c r="I142" i="2"/>
  <c r="J142" i="2" s="1"/>
  <c r="G142" i="2"/>
  <c r="E140" i="2"/>
  <c r="F140" i="2" s="1"/>
  <c r="C140" i="2"/>
  <c r="I140" i="2"/>
  <c r="J140" i="2" s="1"/>
  <c r="G140" i="2"/>
  <c r="E138" i="2"/>
  <c r="F138" i="2" s="1"/>
  <c r="C138" i="2"/>
  <c r="I138" i="2"/>
  <c r="J138" i="2" s="1"/>
  <c r="G138" i="2"/>
  <c r="E136" i="2"/>
  <c r="F136" i="2" s="1"/>
  <c r="C136" i="2"/>
  <c r="I136" i="2"/>
  <c r="J136" i="2" s="1"/>
  <c r="G136" i="2"/>
  <c r="E134" i="2"/>
  <c r="F134" i="2" s="1"/>
  <c r="C134" i="2"/>
  <c r="I134" i="2"/>
  <c r="J134" i="2" s="1"/>
  <c r="G134" i="2"/>
  <c r="E132" i="2"/>
  <c r="F132" i="2" s="1"/>
  <c r="C132" i="2"/>
  <c r="I132" i="2"/>
  <c r="J132" i="2" s="1"/>
  <c r="G132" i="2"/>
  <c r="E130" i="2"/>
  <c r="F130" i="2" s="1"/>
  <c r="C130" i="2"/>
  <c r="I130" i="2"/>
  <c r="J130" i="2" s="1"/>
  <c r="G130" i="2"/>
  <c r="E128" i="2"/>
  <c r="F128" i="2" s="1"/>
  <c r="C128" i="2"/>
  <c r="I128" i="2"/>
  <c r="J128" i="2" s="1"/>
  <c r="G128" i="2"/>
  <c r="E126" i="2"/>
  <c r="F126" i="2" s="1"/>
  <c r="C126" i="2"/>
  <c r="I126" i="2"/>
  <c r="J126" i="2" s="1"/>
  <c r="G126" i="2"/>
  <c r="E124" i="2"/>
  <c r="F124" i="2" s="1"/>
  <c r="C124" i="2"/>
  <c r="I124" i="2"/>
  <c r="J124" i="2" s="1"/>
  <c r="G124" i="2"/>
  <c r="E122" i="2"/>
  <c r="F122" i="2" s="1"/>
  <c r="C122" i="2"/>
  <c r="I122" i="2"/>
  <c r="J122" i="2" s="1"/>
  <c r="G122" i="2"/>
  <c r="E120" i="2"/>
  <c r="F120" i="2" s="1"/>
  <c r="C120" i="2"/>
  <c r="I120" i="2"/>
  <c r="J120" i="2" s="1"/>
  <c r="G120" i="2"/>
  <c r="E118" i="2"/>
  <c r="F118" i="2" s="1"/>
  <c r="C118" i="2"/>
  <c r="I118" i="2"/>
  <c r="J118" i="2" s="1"/>
  <c r="G118" i="2"/>
  <c r="E116" i="2"/>
  <c r="F116" i="2" s="1"/>
  <c r="C116" i="2"/>
  <c r="I116" i="2"/>
  <c r="J116" i="2" s="1"/>
  <c r="G116" i="2"/>
  <c r="E114" i="2"/>
  <c r="F114" i="2" s="1"/>
  <c r="C114" i="2"/>
  <c r="I114" i="2"/>
  <c r="J114" i="2" s="1"/>
  <c r="G114" i="2"/>
  <c r="E112" i="2"/>
  <c r="F112" i="2" s="1"/>
  <c r="C112" i="2"/>
  <c r="I112" i="2"/>
  <c r="J112" i="2" s="1"/>
  <c r="G112" i="2"/>
  <c r="E110" i="2"/>
  <c r="F110" i="2" s="1"/>
  <c r="C110" i="2"/>
  <c r="I110" i="2"/>
  <c r="J110" i="2" s="1"/>
  <c r="G110" i="2"/>
  <c r="E108" i="2"/>
  <c r="F108" i="2" s="1"/>
  <c r="C108" i="2"/>
  <c r="I108" i="2"/>
  <c r="J108" i="2" s="1"/>
  <c r="G108" i="2"/>
  <c r="E106" i="2"/>
  <c r="F106" i="2" s="1"/>
  <c r="C106" i="2"/>
  <c r="I106" i="2"/>
  <c r="J106" i="2" s="1"/>
  <c r="G106" i="2"/>
  <c r="E104" i="2"/>
  <c r="F104" i="2" s="1"/>
  <c r="C104" i="2"/>
  <c r="I104" i="2"/>
  <c r="J104" i="2" s="1"/>
  <c r="G104" i="2"/>
  <c r="E102" i="2"/>
  <c r="F102" i="2" s="1"/>
  <c r="C102" i="2"/>
  <c r="I102" i="2"/>
  <c r="J102" i="2" s="1"/>
  <c r="G102" i="2"/>
  <c r="E100" i="2"/>
  <c r="F100" i="2" s="1"/>
  <c r="C100" i="2"/>
  <c r="I100" i="2"/>
  <c r="J100" i="2" s="1"/>
  <c r="G100" i="2"/>
  <c r="E98" i="2"/>
  <c r="F98" i="2" s="1"/>
  <c r="C98" i="2"/>
  <c r="I98" i="2"/>
  <c r="J98" i="2" s="1"/>
  <c r="G98" i="2"/>
  <c r="E96" i="2"/>
  <c r="F96" i="2" s="1"/>
  <c r="C96" i="2"/>
  <c r="I96" i="2"/>
  <c r="J96" i="2" s="1"/>
  <c r="G96" i="2"/>
  <c r="E94" i="2"/>
  <c r="F94" i="2" s="1"/>
  <c r="C94" i="2"/>
  <c r="I94" i="2"/>
  <c r="J94" i="2" s="1"/>
  <c r="G94" i="2"/>
  <c r="E92" i="2"/>
  <c r="F92" i="2" s="1"/>
  <c r="C92" i="2"/>
  <c r="I92" i="2"/>
  <c r="J92" i="2" s="1"/>
  <c r="G92" i="2"/>
  <c r="E90" i="2"/>
  <c r="F90" i="2" s="1"/>
  <c r="C90" i="2"/>
  <c r="I90" i="2"/>
  <c r="J90" i="2" s="1"/>
  <c r="G90" i="2"/>
  <c r="E88" i="2"/>
  <c r="F88" i="2" s="1"/>
  <c r="C88" i="2"/>
  <c r="I88" i="2"/>
  <c r="J88" i="2" s="1"/>
  <c r="G88" i="2"/>
  <c r="E86" i="2"/>
  <c r="F86" i="2" s="1"/>
  <c r="C86" i="2"/>
  <c r="I86" i="2"/>
  <c r="J86" i="2" s="1"/>
  <c r="G86" i="2"/>
  <c r="E84" i="2"/>
  <c r="F84" i="2" s="1"/>
  <c r="C84" i="2"/>
  <c r="I84" i="2"/>
  <c r="J84" i="2" s="1"/>
  <c r="G84" i="2"/>
  <c r="E82" i="2"/>
  <c r="F82" i="2" s="1"/>
  <c r="C82" i="2"/>
  <c r="I82" i="2"/>
  <c r="J82" i="2" s="1"/>
  <c r="G82" i="2"/>
  <c r="E80" i="2"/>
  <c r="F80" i="2" s="1"/>
  <c r="C80" i="2"/>
  <c r="I80" i="2"/>
  <c r="J80" i="2" s="1"/>
  <c r="G80" i="2"/>
  <c r="E78" i="2"/>
  <c r="F78" i="2" s="1"/>
  <c r="C78" i="2"/>
  <c r="I78" i="2"/>
  <c r="J78" i="2" s="1"/>
  <c r="G78" i="2"/>
  <c r="E76" i="2"/>
  <c r="F76" i="2" s="1"/>
  <c r="C76" i="2"/>
  <c r="I76" i="2"/>
  <c r="J76" i="2" s="1"/>
  <c r="G76" i="2"/>
  <c r="E74" i="2"/>
  <c r="F74" i="2" s="1"/>
  <c r="C74" i="2"/>
  <c r="I74" i="2"/>
  <c r="J74" i="2" s="1"/>
  <c r="G74" i="2"/>
  <c r="E72" i="2"/>
  <c r="F72" i="2" s="1"/>
  <c r="C72" i="2"/>
  <c r="I72" i="2"/>
  <c r="J72" i="2" s="1"/>
  <c r="G72" i="2"/>
  <c r="E70" i="2"/>
  <c r="F70" i="2" s="1"/>
  <c r="C70" i="2"/>
  <c r="I70" i="2"/>
  <c r="J70" i="2" s="1"/>
  <c r="G70" i="2"/>
  <c r="E68" i="2"/>
  <c r="F68" i="2" s="1"/>
  <c r="C68" i="2"/>
  <c r="I68" i="2"/>
  <c r="J68" i="2" s="1"/>
  <c r="G68" i="2"/>
  <c r="E66" i="2"/>
  <c r="C66" i="2"/>
  <c r="I66" i="2"/>
  <c r="G66" i="2"/>
  <c r="E64" i="2"/>
  <c r="F64" i="2" s="1"/>
  <c r="C64" i="2"/>
  <c r="I64" i="2"/>
  <c r="J64" i="2" s="1"/>
  <c r="G64" i="2"/>
  <c r="E62" i="2"/>
  <c r="F62" i="2" s="1"/>
  <c r="C62" i="2"/>
  <c r="I62" i="2"/>
  <c r="J62" i="2" s="1"/>
  <c r="G62" i="2"/>
  <c r="E60" i="2"/>
  <c r="F60" i="2" s="1"/>
  <c r="C60" i="2"/>
  <c r="I60" i="2"/>
  <c r="J60" i="2" s="1"/>
  <c r="G60" i="2"/>
  <c r="E58" i="2"/>
  <c r="F58" i="2" s="1"/>
  <c r="C58" i="2"/>
  <c r="I58" i="2"/>
  <c r="J58" i="2" s="1"/>
  <c r="G58" i="2"/>
  <c r="E56" i="2"/>
  <c r="F56" i="2" s="1"/>
  <c r="C56" i="2"/>
  <c r="I56" i="2"/>
  <c r="J56" i="2" s="1"/>
  <c r="G56" i="2"/>
  <c r="E54" i="2"/>
  <c r="F54" i="2" s="1"/>
  <c r="C54" i="2"/>
  <c r="I54" i="2"/>
  <c r="J54" i="2" s="1"/>
  <c r="G54" i="2"/>
  <c r="E52" i="2"/>
  <c r="F52" i="2" s="1"/>
  <c r="C52" i="2"/>
  <c r="I52" i="2"/>
  <c r="J52" i="2" s="1"/>
  <c r="G52" i="2"/>
  <c r="E50" i="2"/>
  <c r="F50" i="2" s="1"/>
  <c r="C50" i="2"/>
  <c r="I50" i="2"/>
  <c r="J50" i="2" s="1"/>
  <c r="G50" i="2"/>
  <c r="E48" i="2"/>
  <c r="F48" i="2" s="1"/>
  <c r="C48" i="2"/>
  <c r="I48" i="2"/>
  <c r="J48" i="2" s="1"/>
  <c r="G48" i="2"/>
  <c r="E46" i="2"/>
  <c r="F46" i="2" s="1"/>
  <c r="C46" i="2"/>
  <c r="I46" i="2"/>
  <c r="J46" i="2" s="1"/>
  <c r="G46" i="2"/>
  <c r="E44" i="2"/>
  <c r="F44" i="2" s="1"/>
  <c r="C44" i="2"/>
  <c r="I44" i="2"/>
  <c r="J44" i="2" s="1"/>
  <c r="G44" i="2"/>
  <c r="E42" i="2"/>
  <c r="F42" i="2" s="1"/>
  <c r="C42" i="2"/>
  <c r="I42" i="2"/>
  <c r="J42" i="2" s="1"/>
  <c r="G42" i="2"/>
  <c r="E40" i="2"/>
  <c r="F40" i="2" s="1"/>
  <c r="C40" i="2"/>
  <c r="I40" i="2"/>
  <c r="J40" i="2" s="1"/>
  <c r="G40" i="2"/>
  <c r="E38" i="2"/>
  <c r="F38" i="2" s="1"/>
  <c r="C38" i="2"/>
  <c r="I38" i="2"/>
  <c r="J38" i="2" s="1"/>
  <c r="G38" i="2"/>
  <c r="E36" i="2"/>
  <c r="F36" i="2" s="1"/>
  <c r="C36" i="2"/>
  <c r="I36" i="2"/>
  <c r="J36" i="2" s="1"/>
  <c r="G36" i="2"/>
  <c r="E34" i="2"/>
  <c r="F34" i="2" s="1"/>
  <c r="C34" i="2"/>
  <c r="I34" i="2"/>
  <c r="J34" i="2" s="1"/>
  <c r="G34" i="2"/>
  <c r="E32" i="2"/>
  <c r="F32" i="2" s="1"/>
  <c r="C32" i="2"/>
  <c r="I32" i="2"/>
  <c r="J32" i="2" s="1"/>
  <c r="G32" i="2"/>
  <c r="E30" i="2"/>
  <c r="F30" i="2" s="1"/>
  <c r="C30" i="2"/>
  <c r="I30" i="2"/>
  <c r="J30" i="2" s="1"/>
  <c r="G30" i="2"/>
  <c r="E28" i="2"/>
  <c r="F28" i="2" s="1"/>
  <c r="C28" i="2"/>
  <c r="I28" i="2"/>
  <c r="J28" i="2" s="1"/>
  <c r="G28" i="2"/>
  <c r="E26" i="2"/>
  <c r="F26" i="2" s="1"/>
  <c r="C26" i="2"/>
  <c r="I26" i="2"/>
  <c r="J26" i="2" s="1"/>
  <c r="G26" i="2"/>
  <c r="E24" i="2"/>
  <c r="F24" i="2" s="1"/>
  <c r="C24" i="2"/>
  <c r="I24" i="2"/>
  <c r="J24" i="2" s="1"/>
  <c r="G24" i="2"/>
  <c r="E22" i="2"/>
  <c r="F22" i="2" s="1"/>
  <c r="C22" i="2"/>
  <c r="I22" i="2"/>
  <c r="J22" i="2" s="1"/>
  <c r="G22" i="2"/>
  <c r="E20" i="2"/>
  <c r="F20" i="2" s="1"/>
  <c r="C20" i="2"/>
  <c r="I20" i="2"/>
  <c r="J20" i="2" s="1"/>
  <c r="G20" i="2"/>
  <c r="E18" i="2"/>
  <c r="F18" i="2" s="1"/>
  <c r="C18" i="2"/>
  <c r="I18" i="2"/>
  <c r="J18" i="2" s="1"/>
  <c r="G18" i="2"/>
  <c r="E16" i="2"/>
  <c r="F16" i="2" s="1"/>
  <c r="C16" i="2"/>
  <c r="I16" i="2"/>
  <c r="J16" i="2" s="1"/>
  <c r="G16" i="2"/>
  <c r="E14" i="2"/>
  <c r="F14" i="2" s="1"/>
  <c r="C14" i="2"/>
  <c r="I14" i="2"/>
  <c r="J14" i="2" s="1"/>
  <c r="G14" i="2"/>
  <c r="E12" i="2"/>
  <c r="F12" i="2" s="1"/>
  <c r="C12" i="2"/>
  <c r="I12" i="2"/>
  <c r="J12" i="2" s="1"/>
  <c r="G12" i="2"/>
  <c r="E10" i="2"/>
  <c r="F10" i="2" s="1"/>
  <c r="C10" i="2"/>
  <c r="I10" i="2"/>
  <c r="J10" i="2" s="1"/>
  <c r="G10" i="2"/>
  <c r="E8" i="2"/>
  <c r="F8" i="2" s="1"/>
  <c r="C8" i="2"/>
  <c r="I8" i="2"/>
  <c r="J8" i="2" s="1"/>
  <c r="G8" i="2"/>
  <c r="E6" i="2"/>
  <c r="F6" i="2" s="1"/>
  <c r="C6" i="2"/>
  <c r="I6" i="2"/>
  <c r="J6" i="2" s="1"/>
  <c r="G6" i="2"/>
  <c r="E4" i="2"/>
  <c r="F4" i="2" s="1"/>
  <c r="C4" i="2"/>
  <c r="I4" i="2"/>
  <c r="J4" i="2" s="1"/>
  <c r="G4" i="2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L2" i="2"/>
  <c r="O2" i="2"/>
  <c r="L561" i="2"/>
  <c r="O561" i="2"/>
  <c r="L559" i="2"/>
  <c r="O559" i="2"/>
  <c r="L557" i="2"/>
  <c r="O557" i="2"/>
  <c r="L555" i="2"/>
  <c r="O555" i="2"/>
  <c r="L553" i="2"/>
  <c r="O553" i="2"/>
  <c r="L551" i="2"/>
  <c r="O551" i="2"/>
  <c r="L549" i="2"/>
  <c r="O549" i="2"/>
  <c r="L547" i="2"/>
  <c r="O547" i="2"/>
  <c r="L545" i="2"/>
  <c r="O545" i="2"/>
  <c r="L543" i="2"/>
  <c r="O543" i="2"/>
  <c r="L541" i="2"/>
  <c r="O541" i="2"/>
  <c r="L539" i="2"/>
  <c r="O539" i="2"/>
  <c r="L537" i="2"/>
  <c r="O537" i="2"/>
  <c r="L535" i="2"/>
  <c r="O535" i="2"/>
  <c r="L533" i="2"/>
  <c r="O533" i="2"/>
  <c r="L531" i="2"/>
  <c r="O531" i="2"/>
  <c r="L529" i="2"/>
  <c r="O529" i="2"/>
  <c r="L527" i="2"/>
  <c r="O527" i="2"/>
  <c r="L525" i="2"/>
  <c r="O525" i="2"/>
  <c r="L523" i="2"/>
  <c r="O523" i="2"/>
  <c r="L521" i="2"/>
  <c r="O521" i="2"/>
  <c r="L519" i="2"/>
  <c r="O519" i="2"/>
  <c r="L517" i="2"/>
  <c r="O517" i="2"/>
  <c r="L515" i="2"/>
  <c r="O515" i="2"/>
  <c r="L560" i="2"/>
  <c r="O560" i="2"/>
  <c r="L558" i="2"/>
  <c r="O558" i="2"/>
  <c r="L556" i="2"/>
  <c r="O556" i="2"/>
  <c r="L554" i="2"/>
  <c r="O554" i="2"/>
  <c r="L552" i="2"/>
  <c r="O552" i="2"/>
  <c r="L550" i="2"/>
  <c r="O550" i="2"/>
  <c r="L548" i="2"/>
  <c r="O548" i="2"/>
  <c r="L546" i="2"/>
  <c r="O546" i="2"/>
  <c r="L544" i="2"/>
  <c r="O544" i="2"/>
  <c r="L542" i="2"/>
  <c r="O542" i="2"/>
  <c r="L540" i="2"/>
  <c r="O540" i="2"/>
  <c r="L538" i="2"/>
  <c r="O538" i="2"/>
  <c r="L536" i="2"/>
  <c r="O536" i="2"/>
  <c r="L534" i="2"/>
  <c r="O534" i="2"/>
  <c r="L532" i="2"/>
  <c r="O532" i="2"/>
  <c r="L530" i="2"/>
  <c r="O530" i="2"/>
  <c r="L528" i="2"/>
  <c r="O528" i="2"/>
  <c r="L526" i="2"/>
  <c r="O526" i="2"/>
  <c r="L524" i="2"/>
  <c r="O524" i="2"/>
  <c r="L522" i="2"/>
  <c r="O522" i="2"/>
  <c r="L520" i="2"/>
  <c r="O520" i="2"/>
  <c r="L518" i="2"/>
  <c r="O518" i="2"/>
  <c r="L516" i="2"/>
  <c r="O516" i="2"/>
  <c r="L514" i="2"/>
  <c r="O514" i="2"/>
  <c r="L512" i="2"/>
  <c r="O512" i="2"/>
  <c r="L510" i="2"/>
  <c r="O510" i="2"/>
  <c r="L508" i="2"/>
  <c r="O508" i="2"/>
  <c r="L506" i="2"/>
  <c r="O506" i="2"/>
  <c r="L504" i="2"/>
  <c r="O504" i="2"/>
  <c r="L502" i="2"/>
  <c r="O502" i="2"/>
  <c r="L500" i="2"/>
  <c r="O500" i="2"/>
  <c r="L498" i="2"/>
  <c r="O498" i="2"/>
  <c r="L496" i="2"/>
  <c r="O496" i="2"/>
  <c r="L494" i="2"/>
  <c r="O494" i="2"/>
  <c r="L492" i="2"/>
  <c r="O492" i="2"/>
  <c r="L490" i="2"/>
  <c r="O490" i="2"/>
  <c r="L488" i="2"/>
  <c r="O488" i="2"/>
  <c r="L486" i="2"/>
  <c r="O486" i="2"/>
  <c r="L484" i="2"/>
  <c r="O484" i="2"/>
  <c r="L482" i="2"/>
  <c r="O482" i="2"/>
  <c r="L480" i="2"/>
  <c r="O480" i="2"/>
  <c r="L478" i="2"/>
  <c r="O478" i="2"/>
  <c r="L476" i="2"/>
  <c r="O476" i="2"/>
  <c r="L474" i="2"/>
  <c r="O474" i="2"/>
  <c r="L472" i="2"/>
  <c r="O472" i="2"/>
  <c r="L470" i="2"/>
  <c r="O470" i="2"/>
  <c r="L468" i="2"/>
  <c r="O468" i="2"/>
  <c r="L466" i="2"/>
  <c r="O466" i="2"/>
  <c r="L464" i="2"/>
  <c r="O464" i="2"/>
  <c r="L462" i="2"/>
  <c r="O462" i="2"/>
  <c r="L460" i="2"/>
  <c r="O460" i="2"/>
  <c r="L458" i="2"/>
  <c r="O458" i="2"/>
  <c r="L456" i="2"/>
  <c r="O456" i="2"/>
  <c r="L454" i="2"/>
  <c r="O454" i="2"/>
  <c r="L452" i="2"/>
  <c r="O452" i="2"/>
  <c r="L450" i="2"/>
  <c r="O450" i="2"/>
  <c r="L448" i="2"/>
  <c r="O448" i="2"/>
  <c r="L446" i="2"/>
  <c r="O446" i="2"/>
  <c r="L444" i="2"/>
  <c r="O444" i="2"/>
  <c r="L442" i="2"/>
  <c r="O442" i="2"/>
  <c r="L440" i="2"/>
  <c r="O440" i="2"/>
  <c r="L438" i="2"/>
  <c r="O438" i="2"/>
  <c r="L436" i="2"/>
  <c r="O436" i="2"/>
  <c r="L434" i="2"/>
  <c r="O434" i="2"/>
  <c r="L432" i="2"/>
  <c r="O432" i="2"/>
  <c r="L430" i="2"/>
  <c r="O430" i="2"/>
  <c r="L428" i="2"/>
  <c r="O428" i="2"/>
  <c r="L426" i="2"/>
  <c r="O426" i="2"/>
  <c r="L424" i="2"/>
  <c r="O424" i="2"/>
  <c r="L422" i="2"/>
  <c r="O422" i="2"/>
  <c r="L420" i="2"/>
  <c r="O420" i="2"/>
  <c r="L418" i="2"/>
  <c r="O418" i="2"/>
  <c r="L416" i="2"/>
  <c r="O416" i="2"/>
  <c r="L414" i="2"/>
  <c r="O414" i="2"/>
  <c r="L412" i="2"/>
  <c r="O412" i="2"/>
  <c r="L410" i="2"/>
  <c r="O410" i="2"/>
  <c r="L408" i="2"/>
  <c r="O408" i="2"/>
  <c r="L406" i="2"/>
  <c r="O406" i="2"/>
  <c r="L404" i="2"/>
  <c r="O404" i="2"/>
  <c r="L402" i="2"/>
  <c r="O402" i="2"/>
  <c r="L400" i="2"/>
  <c r="O400" i="2"/>
  <c r="L398" i="2"/>
  <c r="O398" i="2"/>
  <c r="L396" i="2"/>
  <c r="O396" i="2"/>
  <c r="L394" i="2"/>
  <c r="O394" i="2"/>
  <c r="L392" i="2"/>
  <c r="O392" i="2"/>
  <c r="L390" i="2"/>
  <c r="O390" i="2"/>
  <c r="L388" i="2"/>
  <c r="O388" i="2"/>
  <c r="L386" i="2"/>
  <c r="O386" i="2"/>
  <c r="L384" i="2"/>
  <c r="O384" i="2"/>
  <c r="L382" i="2"/>
  <c r="O382" i="2"/>
  <c r="L380" i="2"/>
  <c r="O380" i="2"/>
  <c r="L378" i="2"/>
  <c r="O378" i="2"/>
  <c r="L376" i="2"/>
  <c r="O376" i="2"/>
  <c r="L374" i="2"/>
  <c r="O374" i="2"/>
  <c r="L372" i="2"/>
  <c r="O372" i="2"/>
  <c r="L370" i="2"/>
  <c r="O370" i="2"/>
  <c r="L368" i="2"/>
  <c r="O368" i="2"/>
  <c r="L366" i="2"/>
  <c r="O366" i="2"/>
  <c r="L364" i="2"/>
  <c r="O364" i="2"/>
  <c r="L362" i="2"/>
  <c r="O362" i="2"/>
  <c r="L360" i="2"/>
  <c r="O360" i="2"/>
  <c r="L358" i="2"/>
  <c r="O358" i="2"/>
  <c r="L356" i="2"/>
  <c r="O356" i="2"/>
  <c r="L354" i="2"/>
  <c r="O354" i="2"/>
  <c r="L352" i="2"/>
  <c r="O352" i="2"/>
  <c r="L350" i="2"/>
  <c r="O350" i="2"/>
  <c r="L348" i="2"/>
  <c r="O348" i="2"/>
  <c r="L346" i="2"/>
  <c r="O346" i="2"/>
  <c r="L344" i="2"/>
  <c r="O344" i="2"/>
  <c r="L342" i="2"/>
  <c r="O342" i="2"/>
  <c r="L340" i="2"/>
  <c r="O340" i="2"/>
  <c r="L338" i="2"/>
  <c r="O338" i="2"/>
  <c r="L336" i="2"/>
  <c r="O336" i="2"/>
  <c r="L334" i="2"/>
  <c r="O334" i="2"/>
  <c r="L332" i="2"/>
  <c r="O332" i="2"/>
  <c r="L330" i="2"/>
  <c r="O330" i="2"/>
  <c r="L328" i="2"/>
  <c r="O328" i="2"/>
  <c r="L326" i="2"/>
  <c r="O326" i="2"/>
  <c r="L324" i="2"/>
  <c r="O324" i="2"/>
  <c r="L322" i="2"/>
  <c r="O322" i="2"/>
  <c r="L320" i="2"/>
  <c r="O320" i="2"/>
  <c r="L318" i="2"/>
  <c r="O318" i="2"/>
  <c r="L316" i="2"/>
  <c r="O316" i="2"/>
  <c r="L314" i="2"/>
  <c r="O314" i="2"/>
  <c r="L312" i="2"/>
  <c r="O312" i="2"/>
  <c r="L310" i="2"/>
  <c r="O310" i="2"/>
  <c r="L308" i="2"/>
  <c r="O308" i="2"/>
  <c r="L306" i="2"/>
  <c r="O306" i="2"/>
  <c r="L304" i="2"/>
  <c r="O304" i="2"/>
  <c r="L302" i="2"/>
  <c r="O302" i="2"/>
  <c r="L300" i="2"/>
  <c r="O300" i="2"/>
  <c r="L298" i="2"/>
  <c r="O298" i="2"/>
  <c r="L296" i="2"/>
  <c r="O296" i="2"/>
  <c r="L294" i="2"/>
  <c r="O294" i="2"/>
  <c r="L292" i="2"/>
  <c r="O292" i="2"/>
  <c r="L290" i="2"/>
  <c r="O290" i="2"/>
  <c r="L288" i="2"/>
  <c r="O288" i="2"/>
  <c r="L286" i="2"/>
  <c r="O286" i="2"/>
  <c r="L284" i="2"/>
  <c r="O284" i="2"/>
  <c r="L282" i="2"/>
  <c r="O282" i="2"/>
  <c r="L280" i="2"/>
  <c r="O280" i="2"/>
  <c r="L278" i="2"/>
  <c r="O278" i="2"/>
  <c r="L276" i="2"/>
  <c r="O276" i="2"/>
  <c r="L274" i="2"/>
  <c r="O274" i="2"/>
  <c r="L272" i="2"/>
  <c r="O272" i="2"/>
  <c r="L270" i="2"/>
  <c r="O270" i="2"/>
  <c r="L268" i="2"/>
  <c r="O268" i="2"/>
  <c r="L266" i="2"/>
  <c r="O266" i="2"/>
  <c r="L264" i="2"/>
  <c r="O264" i="2"/>
  <c r="L262" i="2"/>
  <c r="O262" i="2"/>
  <c r="L260" i="2"/>
  <c r="O260" i="2"/>
  <c r="L258" i="2"/>
  <c r="O258" i="2"/>
  <c r="L256" i="2"/>
  <c r="O256" i="2"/>
  <c r="L254" i="2"/>
  <c r="O254" i="2"/>
  <c r="L252" i="2"/>
  <c r="O252" i="2"/>
  <c r="L250" i="2"/>
  <c r="O250" i="2"/>
  <c r="L248" i="2"/>
  <c r="O248" i="2"/>
  <c r="L246" i="2"/>
  <c r="O246" i="2"/>
  <c r="L244" i="2"/>
  <c r="O244" i="2"/>
  <c r="L242" i="2"/>
  <c r="O242" i="2"/>
  <c r="L240" i="2"/>
  <c r="O240" i="2"/>
  <c r="L238" i="2"/>
  <c r="O238" i="2"/>
  <c r="L236" i="2"/>
  <c r="O236" i="2"/>
  <c r="L234" i="2"/>
  <c r="O234" i="2"/>
  <c r="L232" i="2"/>
  <c r="O232" i="2"/>
  <c r="L230" i="2"/>
  <c r="O230" i="2"/>
  <c r="L228" i="2"/>
  <c r="O228" i="2"/>
  <c r="L226" i="2"/>
  <c r="O226" i="2"/>
  <c r="L224" i="2"/>
  <c r="O224" i="2"/>
  <c r="L222" i="2"/>
  <c r="O222" i="2"/>
  <c r="L220" i="2"/>
  <c r="O220" i="2"/>
  <c r="L218" i="2"/>
  <c r="O218" i="2"/>
  <c r="L216" i="2"/>
  <c r="O216" i="2"/>
  <c r="L214" i="2"/>
  <c r="O214" i="2"/>
  <c r="L212" i="2"/>
  <c r="O212" i="2"/>
  <c r="L210" i="2"/>
  <c r="O210" i="2"/>
  <c r="L208" i="2"/>
  <c r="O208" i="2"/>
  <c r="L206" i="2"/>
  <c r="O206" i="2"/>
  <c r="L204" i="2"/>
  <c r="O204" i="2"/>
  <c r="L202" i="2"/>
  <c r="O202" i="2"/>
  <c r="L200" i="2"/>
  <c r="O200" i="2"/>
  <c r="L198" i="2"/>
  <c r="O198" i="2"/>
  <c r="L196" i="2"/>
  <c r="O196" i="2"/>
  <c r="L194" i="2"/>
  <c r="O194" i="2"/>
  <c r="L192" i="2"/>
  <c r="O192" i="2"/>
  <c r="L190" i="2"/>
  <c r="O190" i="2"/>
  <c r="L188" i="2"/>
  <c r="O188" i="2"/>
  <c r="L186" i="2"/>
  <c r="O186" i="2"/>
  <c r="L184" i="2"/>
  <c r="O184" i="2"/>
  <c r="L182" i="2"/>
  <c r="O182" i="2"/>
  <c r="L513" i="2"/>
  <c r="O513" i="2"/>
  <c r="L511" i="2"/>
  <c r="O511" i="2"/>
  <c r="L509" i="2"/>
  <c r="O509" i="2"/>
  <c r="L507" i="2"/>
  <c r="O507" i="2"/>
  <c r="L505" i="2"/>
  <c r="O505" i="2"/>
  <c r="L503" i="2"/>
  <c r="O503" i="2"/>
  <c r="L501" i="2"/>
  <c r="O501" i="2"/>
  <c r="L499" i="2"/>
  <c r="O499" i="2"/>
  <c r="L497" i="2"/>
  <c r="O497" i="2"/>
  <c r="L495" i="2"/>
  <c r="O495" i="2"/>
  <c r="L493" i="2"/>
  <c r="O493" i="2"/>
  <c r="L491" i="2"/>
  <c r="O491" i="2"/>
  <c r="L489" i="2"/>
  <c r="O489" i="2"/>
  <c r="L487" i="2"/>
  <c r="O487" i="2"/>
  <c r="L485" i="2"/>
  <c r="O485" i="2"/>
  <c r="L483" i="2"/>
  <c r="O483" i="2"/>
  <c r="L481" i="2"/>
  <c r="O481" i="2"/>
  <c r="L479" i="2"/>
  <c r="O479" i="2"/>
  <c r="L477" i="2"/>
  <c r="O477" i="2"/>
  <c r="L475" i="2"/>
  <c r="O475" i="2"/>
  <c r="L473" i="2"/>
  <c r="O473" i="2"/>
  <c r="L471" i="2"/>
  <c r="O471" i="2"/>
  <c r="L469" i="2"/>
  <c r="O469" i="2"/>
  <c r="L467" i="2"/>
  <c r="O467" i="2"/>
  <c r="L465" i="2"/>
  <c r="O465" i="2"/>
  <c r="L463" i="2"/>
  <c r="O463" i="2"/>
  <c r="L461" i="2"/>
  <c r="O461" i="2"/>
  <c r="L459" i="2"/>
  <c r="O459" i="2"/>
  <c r="L457" i="2"/>
  <c r="O457" i="2"/>
  <c r="L455" i="2"/>
  <c r="O455" i="2"/>
  <c r="L453" i="2"/>
  <c r="O453" i="2"/>
  <c r="L451" i="2"/>
  <c r="O451" i="2"/>
  <c r="L449" i="2"/>
  <c r="O449" i="2"/>
  <c r="L447" i="2"/>
  <c r="O447" i="2"/>
  <c r="L445" i="2"/>
  <c r="O445" i="2"/>
  <c r="L443" i="2"/>
  <c r="O443" i="2"/>
  <c r="L441" i="2"/>
  <c r="O441" i="2"/>
  <c r="L439" i="2"/>
  <c r="O439" i="2"/>
  <c r="L437" i="2"/>
  <c r="O437" i="2"/>
  <c r="L435" i="2"/>
  <c r="O435" i="2"/>
  <c r="L433" i="2"/>
  <c r="O433" i="2"/>
  <c r="L431" i="2"/>
  <c r="O431" i="2"/>
  <c r="L429" i="2"/>
  <c r="O429" i="2"/>
  <c r="L427" i="2"/>
  <c r="O427" i="2"/>
  <c r="L425" i="2"/>
  <c r="O425" i="2"/>
  <c r="L423" i="2"/>
  <c r="O423" i="2"/>
  <c r="L421" i="2"/>
  <c r="O421" i="2"/>
  <c r="L419" i="2"/>
  <c r="O419" i="2"/>
  <c r="L417" i="2"/>
  <c r="O417" i="2"/>
  <c r="L415" i="2"/>
  <c r="O415" i="2"/>
  <c r="L413" i="2"/>
  <c r="O413" i="2"/>
  <c r="L411" i="2"/>
  <c r="O411" i="2"/>
  <c r="L409" i="2"/>
  <c r="O409" i="2"/>
  <c r="L407" i="2"/>
  <c r="O407" i="2"/>
  <c r="L405" i="2"/>
  <c r="O405" i="2"/>
  <c r="L403" i="2"/>
  <c r="O403" i="2"/>
  <c r="L401" i="2"/>
  <c r="O401" i="2"/>
  <c r="L399" i="2"/>
  <c r="O399" i="2"/>
  <c r="L397" i="2"/>
  <c r="O397" i="2"/>
  <c r="L395" i="2"/>
  <c r="O395" i="2"/>
  <c r="L393" i="2"/>
  <c r="O393" i="2"/>
  <c r="L391" i="2"/>
  <c r="O391" i="2"/>
  <c r="L389" i="2"/>
  <c r="O389" i="2"/>
  <c r="L387" i="2"/>
  <c r="O387" i="2"/>
  <c r="L385" i="2"/>
  <c r="O385" i="2"/>
  <c r="L383" i="2"/>
  <c r="O383" i="2"/>
  <c r="L381" i="2"/>
  <c r="O381" i="2"/>
  <c r="L379" i="2"/>
  <c r="O379" i="2"/>
  <c r="L377" i="2"/>
  <c r="O377" i="2"/>
  <c r="L375" i="2"/>
  <c r="O375" i="2"/>
  <c r="L373" i="2"/>
  <c r="O373" i="2"/>
  <c r="L371" i="2"/>
  <c r="O371" i="2"/>
  <c r="L369" i="2"/>
  <c r="O369" i="2"/>
  <c r="L367" i="2"/>
  <c r="O367" i="2"/>
  <c r="L365" i="2"/>
  <c r="O365" i="2"/>
  <c r="L363" i="2"/>
  <c r="O363" i="2"/>
  <c r="L361" i="2"/>
  <c r="O361" i="2"/>
  <c r="L359" i="2"/>
  <c r="O359" i="2"/>
  <c r="L357" i="2"/>
  <c r="O357" i="2"/>
  <c r="L355" i="2"/>
  <c r="O355" i="2"/>
  <c r="L353" i="2"/>
  <c r="O353" i="2"/>
  <c r="L351" i="2"/>
  <c r="O351" i="2"/>
  <c r="L349" i="2"/>
  <c r="O349" i="2"/>
  <c r="L347" i="2"/>
  <c r="O347" i="2"/>
  <c r="L345" i="2"/>
  <c r="O345" i="2"/>
  <c r="L343" i="2"/>
  <c r="O343" i="2"/>
  <c r="L341" i="2"/>
  <c r="O341" i="2"/>
  <c r="L339" i="2"/>
  <c r="O339" i="2"/>
  <c r="L337" i="2"/>
  <c r="O337" i="2"/>
  <c r="L335" i="2"/>
  <c r="O335" i="2"/>
  <c r="L333" i="2"/>
  <c r="O333" i="2"/>
  <c r="L331" i="2"/>
  <c r="O331" i="2"/>
  <c r="L329" i="2"/>
  <c r="O329" i="2"/>
  <c r="L327" i="2"/>
  <c r="O327" i="2"/>
  <c r="L325" i="2"/>
  <c r="O325" i="2"/>
  <c r="L323" i="2"/>
  <c r="O323" i="2"/>
  <c r="L321" i="2"/>
  <c r="O321" i="2"/>
  <c r="L319" i="2"/>
  <c r="O319" i="2"/>
  <c r="L317" i="2"/>
  <c r="O317" i="2"/>
  <c r="L315" i="2"/>
  <c r="O315" i="2"/>
  <c r="L313" i="2"/>
  <c r="O313" i="2"/>
  <c r="L311" i="2"/>
  <c r="O311" i="2"/>
  <c r="L309" i="2"/>
  <c r="O309" i="2"/>
  <c r="L307" i="2"/>
  <c r="O307" i="2"/>
  <c r="L305" i="2"/>
  <c r="O305" i="2"/>
  <c r="L303" i="2"/>
  <c r="O303" i="2"/>
  <c r="L301" i="2"/>
  <c r="O301" i="2"/>
  <c r="L299" i="2"/>
  <c r="O299" i="2"/>
  <c r="L297" i="2"/>
  <c r="O297" i="2"/>
  <c r="L295" i="2"/>
  <c r="O295" i="2"/>
  <c r="L293" i="2"/>
  <c r="O293" i="2"/>
  <c r="L291" i="2"/>
  <c r="O291" i="2"/>
  <c r="L289" i="2"/>
  <c r="O289" i="2"/>
  <c r="L287" i="2"/>
  <c r="O287" i="2"/>
  <c r="L285" i="2"/>
  <c r="O285" i="2"/>
  <c r="L283" i="2"/>
  <c r="O283" i="2"/>
  <c r="L281" i="2"/>
  <c r="O281" i="2"/>
  <c r="L279" i="2"/>
  <c r="O279" i="2"/>
  <c r="L277" i="2"/>
  <c r="O277" i="2"/>
  <c r="L275" i="2"/>
  <c r="O275" i="2"/>
  <c r="L273" i="2"/>
  <c r="O273" i="2"/>
  <c r="L271" i="2"/>
  <c r="O271" i="2"/>
  <c r="L269" i="2"/>
  <c r="O269" i="2"/>
  <c r="L267" i="2"/>
  <c r="O267" i="2"/>
  <c r="L265" i="2"/>
  <c r="O265" i="2"/>
  <c r="L263" i="2"/>
  <c r="O263" i="2"/>
  <c r="L261" i="2"/>
  <c r="O261" i="2"/>
  <c r="L259" i="2"/>
  <c r="O259" i="2"/>
  <c r="L257" i="2"/>
  <c r="O257" i="2"/>
  <c r="L255" i="2"/>
  <c r="O255" i="2"/>
  <c r="L253" i="2"/>
  <c r="O253" i="2"/>
  <c r="L251" i="2"/>
  <c r="O251" i="2"/>
  <c r="L249" i="2"/>
  <c r="O249" i="2"/>
  <c r="L247" i="2"/>
  <c r="O247" i="2"/>
  <c r="L245" i="2"/>
  <c r="O245" i="2"/>
  <c r="L243" i="2"/>
  <c r="O243" i="2"/>
  <c r="L241" i="2"/>
  <c r="O241" i="2"/>
  <c r="L239" i="2"/>
  <c r="O239" i="2"/>
  <c r="L237" i="2"/>
  <c r="O237" i="2"/>
  <c r="L235" i="2"/>
  <c r="O235" i="2"/>
  <c r="L233" i="2"/>
  <c r="O233" i="2"/>
  <c r="L231" i="2"/>
  <c r="O231" i="2"/>
  <c r="L229" i="2"/>
  <c r="O229" i="2"/>
  <c r="L227" i="2"/>
  <c r="O227" i="2"/>
  <c r="L225" i="2"/>
  <c r="O225" i="2"/>
  <c r="L223" i="2"/>
  <c r="O223" i="2"/>
  <c r="L221" i="2"/>
  <c r="O221" i="2"/>
  <c r="L219" i="2"/>
  <c r="O219" i="2"/>
  <c r="L217" i="2"/>
  <c r="O217" i="2"/>
  <c r="L215" i="2"/>
  <c r="O215" i="2"/>
  <c r="L213" i="2"/>
  <c r="O213" i="2"/>
  <c r="L211" i="2"/>
  <c r="O211" i="2"/>
  <c r="L209" i="2"/>
  <c r="O209" i="2"/>
  <c r="L207" i="2"/>
  <c r="O207" i="2"/>
  <c r="L205" i="2"/>
  <c r="O205" i="2"/>
  <c r="L203" i="2"/>
  <c r="O203" i="2"/>
  <c r="L201" i="2"/>
  <c r="O201" i="2"/>
  <c r="L199" i="2"/>
  <c r="O199" i="2"/>
  <c r="L197" i="2"/>
  <c r="O197" i="2"/>
  <c r="L195" i="2"/>
  <c r="O195" i="2"/>
  <c r="L193" i="2"/>
  <c r="O193" i="2"/>
  <c r="L191" i="2"/>
  <c r="O191" i="2"/>
  <c r="L189" i="2"/>
  <c r="O189" i="2"/>
  <c r="L187" i="2"/>
  <c r="O187" i="2"/>
  <c r="L185" i="2"/>
  <c r="O185" i="2"/>
  <c r="L183" i="2"/>
  <c r="O183" i="2"/>
  <c r="L181" i="2"/>
  <c r="O181" i="2"/>
  <c r="L179" i="2"/>
  <c r="O179" i="2"/>
  <c r="L177" i="2"/>
  <c r="O177" i="2"/>
  <c r="L175" i="2"/>
  <c r="O175" i="2"/>
  <c r="L173" i="2"/>
  <c r="O173" i="2"/>
  <c r="L171" i="2"/>
  <c r="O171" i="2"/>
  <c r="L169" i="2"/>
  <c r="O169" i="2"/>
  <c r="L167" i="2"/>
  <c r="O167" i="2"/>
  <c r="L165" i="2"/>
  <c r="O165" i="2"/>
  <c r="L163" i="2"/>
  <c r="O163" i="2"/>
  <c r="L161" i="2"/>
  <c r="O161" i="2"/>
  <c r="L159" i="2"/>
  <c r="O159" i="2"/>
  <c r="L157" i="2"/>
  <c r="O157" i="2"/>
  <c r="L155" i="2"/>
  <c r="O155" i="2"/>
  <c r="L153" i="2"/>
  <c r="O153" i="2"/>
  <c r="L151" i="2"/>
  <c r="O151" i="2"/>
  <c r="L149" i="2"/>
  <c r="O149" i="2"/>
  <c r="L147" i="2"/>
  <c r="O147" i="2"/>
  <c r="L145" i="2"/>
  <c r="O145" i="2"/>
  <c r="L143" i="2"/>
  <c r="O143" i="2"/>
  <c r="L141" i="2"/>
  <c r="O141" i="2"/>
  <c r="L139" i="2"/>
  <c r="O139" i="2"/>
  <c r="L137" i="2"/>
  <c r="O137" i="2"/>
  <c r="L135" i="2"/>
  <c r="O135" i="2"/>
  <c r="L133" i="2"/>
  <c r="O133" i="2"/>
  <c r="L131" i="2"/>
  <c r="O131" i="2"/>
  <c r="L129" i="2"/>
  <c r="O129" i="2"/>
  <c r="L127" i="2"/>
  <c r="O127" i="2"/>
  <c r="L125" i="2"/>
  <c r="O125" i="2"/>
  <c r="L123" i="2"/>
  <c r="O123" i="2"/>
  <c r="L121" i="2"/>
  <c r="O121" i="2"/>
  <c r="L119" i="2"/>
  <c r="O119" i="2"/>
  <c r="L117" i="2"/>
  <c r="O117" i="2"/>
  <c r="L115" i="2"/>
  <c r="O115" i="2"/>
  <c r="L113" i="2"/>
  <c r="O113" i="2"/>
  <c r="L111" i="2"/>
  <c r="O111" i="2"/>
  <c r="L109" i="2"/>
  <c r="O109" i="2"/>
  <c r="L107" i="2"/>
  <c r="O107" i="2"/>
  <c r="L105" i="2"/>
  <c r="O105" i="2"/>
  <c r="L103" i="2"/>
  <c r="O103" i="2"/>
  <c r="L101" i="2"/>
  <c r="O101" i="2"/>
  <c r="L99" i="2"/>
  <c r="O99" i="2"/>
  <c r="L97" i="2"/>
  <c r="O97" i="2"/>
  <c r="L95" i="2"/>
  <c r="O95" i="2"/>
  <c r="L93" i="2"/>
  <c r="O93" i="2"/>
  <c r="L91" i="2"/>
  <c r="O91" i="2"/>
  <c r="L89" i="2"/>
  <c r="O89" i="2"/>
  <c r="L87" i="2"/>
  <c r="O87" i="2"/>
  <c r="L85" i="2"/>
  <c r="O85" i="2"/>
  <c r="L83" i="2"/>
  <c r="O83" i="2"/>
  <c r="L81" i="2"/>
  <c r="O81" i="2"/>
  <c r="L79" i="2"/>
  <c r="O79" i="2"/>
  <c r="L77" i="2"/>
  <c r="O77" i="2"/>
  <c r="L75" i="2"/>
  <c r="O75" i="2"/>
  <c r="L73" i="2"/>
  <c r="O73" i="2"/>
  <c r="L71" i="2"/>
  <c r="O71" i="2"/>
  <c r="L69" i="2"/>
  <c r="O69" i="2"/>
  <c r="L67" i="2"/>
  <c r="O67" i="2"/>
  <c r="L65" i="2"/>
  <c r="O65" i="2"/>
  <c r="L63" i="2"/>
  <c r="O63" i="2"/>
  <c r="L61" i="2"/>
  <c r="O61" i="2"/>
  <c r="L59" i="2"/>
  <c r="O59" i="2"/>
  <c r="L57" i="2"/>
  <c r="O57" i="2"/>
  <c r="L55" i="2"/>
  <c r="O55" i="2"/>
  <c r="L53" i="2"/>
  <c r="O53" i="2"/>
  <c r="L51" i="2"/>
  <c r="O51" i="2"/>
  <c r="L49" i="2"/>
  <c r="O49" i="2"/>
  <c r="L47" i="2"/>
  <c r="O47" i="2"/>
  <c r="L45" i="2"/>
  <c r="O45" i="2"/>
  <c r="L43" i="2"/>
  <c r="O43" i="2"/>
  <c r="L41" i="2"/>
  <c r="O41" i="2"/>
  <c r="L39" i="2"/>
  <c r="O39" i="2"/>
  <c r="L37" i="2"/>
  <c r="O37" i="2"/>
  <c r="L35" i="2"/>
  <c r="O35" i="2"/>
  <c r="L33" i="2"/>
  <c r="O33" i="2"/>
  <c r="L31" i="2"/>
  <c r="O31" i="2"/>
  <c r="L29" i="2"/>
  <c r="O29" i="2"/>
  <c r="L27" i="2"/>
  <c r="O27" i="2"/>
  <c r="L25" i="2"/>
  <c r="O25" i="2"/>
  <c r="L23" i="2"/>
  <c r="O23" i="2"/>
  <c r="L21" i="2"/>
  <c r="O21" i="2"/>
  <c r="L19" i="2"/>
  <c r="O19" i="2"/>
  <c r="L17" i="2"/>
  <c r="O17" i="2"/>
  <c r="L15" i="2"/>
  <c r="O15" i="2"/>
  <c r="L13" i="2"/>
  <c r="O13" i="2"/>
  <c r="L11" i="2"/>
  <c r="O11" i="2"/>
  <c r="L9" i="2"/>
  <c r="O9" i="2"/>
  <c r="L7" i="2"/>
  <c r="O7" i="2"/>
  <c r="L5" i="2"/>
  <c r="O5" i="2"/>
  <c r="L3" i="2"/>
  <c r="O3" i="2"/>
  <c r="L180" i="2"/>
  <c r="O180" i="2"/>
  <c r="L178" i="2"/>
  <c r="O178" i="2"/>
  <c r="L176" i="2"/>
  <c r="O176" i="2"/>
  <c r="L174" i="2"/>
  <c r="O174" i="2"/>
  <c r="L172" i="2"/>
  <c r="O172" i="2"/>
  <c r="L170" i="2"/>
  <c r="O170" i="2"/>
  <c r="L168" i="2"/>
  <c r="O168" i="2"/>
  <c r="L166" i="2"/>
  <c r="O166" i="2"/>
  <c r="L164" i="2"/>
  <c r="O164" i="2"/>
  <c r="L162" i="2"/>
  <c r="O162" i="2"/>
  <c r="L160" i="2"/>
  <c r="O160" i="2"/>
  <c r="L158" i="2"/>
  <c r="O158" i="2"/>
  <c r="L156" i="2"/>
  <c r="O156" i="2"/>
  <c r="L154" i="2"/>
  <c r="O154" i="2"/>
  <c r="L152" i="2"/>
  <c r="O152" i="2"/>
  <c r="L150" i="2"/>
  <c r="O150" i="2"/>
  <c r="L148" i="2"/>
  <c r="O148" i="2"/>
  <c r="L146" i="2"/>
  <c r="O146" i="2"/>
  <c r="L144" i="2"/>
  <c r="O144" i="2"/>
  <c r="L142" i="2"/>
  <c r="O142" i="2"/>
  <c r="L140" i="2"/>
  <c r="O140" i="2"/>
  <c r="L138" i="2"/>
  <c r="O138" i="2"/>
  <c r="L136" i="2"/>
  <c r="O136" i="2"/>
  <c r="L134" i="2"/>
  <c r="O134" i="2"/>
  <c r="L132" i="2"/>
  <c r="O132" i="2"/>
  <c r="L130" i="2"/>
  <c r="O130" i="2"/>
  <c r="L128" i="2"/>
  <c r="O128" i="2"/>
  <c r="L126" i="2"/>
  <c r="O126" i="2"/>
  <c r="L124" i="2"/>
  <c r="O124" i="2"/>
  <c r="L122" i="2"/>
  <c r="O122" i="2"/>
  <c r="L120" i="2"/>
  <c r="O120" i="2"/>
  <c r="L118" i="2"/>
  <c r="O118" i="2"/>
  <c r="L116" i="2"/>
  <c r="O116" i="2"/>
  <c r="L114" i="2"/>
  <c r="O114" i="2"/>
  <c r="L112" i="2"/>
  <c r="O112" i="2"/>
  <c r="L110" i="2"/>
  <c r="O110" i="2"/>
  <c r="L108" i="2"/>
  <c r="O108" i="2"/>
  <c r="L106" i="2"/>
  <c r="O106" i="2"/>
  <c r="L104" i="2"/>
  <c r="O104" i="2"/>
  <c r="L102" i="2"/>
  <c r="O102" i="2"/>
  <c r="L100" i="2"/>
  <c r="O100" i="2"/>
  <c r="L98" i="2"/>
  <c r="O98" i="2"/>
  <c r="L96" i="2"/>
  <c r="O96" i="2"/>
  <c r="L94" i="2"/>
  <c r="O94" i="2"/>
  <c r="L92" i="2"/>
  <c r="O92" i="2"/>
  <c r="L90" i="2"/>
  <c r="O90" i="2"/>
  <c r="L88" i="2"/>
  <c r="O88" i="2"/>
  <c r="L86" i="2"/>
  <c r="O86" i="2"/>
  <c r="L84" i="2"/>
  <c r="O84" i="2"/>
  <c r="L82" i="2"/>
  <c r="O82" i="2"/>
  <c r="L80" i="2"/>
  <c r="O80" i="2"/>
  <c r="L78" i="2"/>
  <c r="O78" i="2"/>
  <c r="L76" i="2"/>
  <c r="O76" i="2"/>
  <c r="L74" i="2"/>
  <c r="O74" i="2"/>
  <c r="L72" i="2"/>
  <c r="O72" i="2"/>
  <c r="L70" i="2"/>
  <c r="O70" i="2"/>
  <c r="L68" i="2"/>
  <c r="O68" i="2"/>
  <c r="L66" i="2"/>
  <c r="O66" i="2"/>
  <c r="L64" i="2"/>
  <c r="O64" i="2"/>
  <c r="L62" i="2"/>
  <c r="O62" i="2"/>
  <c r="L60" i="2"/>
  <c r="O60" i="2"/>
  <c r="L58" i="2"/>
  <c r="O58" i="2"/>
  <c r="L56" i="2"/>
  <c r="O56" i="2"/>
  <c r="L54" i="2"/>
  <c r="O54" i="2"/>
  <c r="L52" i="2"/>
  <c r="O52" i="2"/>
  <c r="L50" i="2"/>
  <c r="O50" i="2"/>
  <c r="L48" i="2"/>
  <c r="O48" i="2"/>
  <c r="L46" i="2"/>
  <c r="O46" i="2"/>
  <c r="L44" i="2"/>
  <c r="O44" i="2"/>
  <c r="L42" i="2"/>
  <c r="O42" i="2"/>
  <c r="L40" i="2"/>
  <c r="O40" i="2"/>
  <c r="L38" i="2"/>
  <c r="O38" i="2"/>
  <c r="L36" i="2"/>
  <c r="O36" i="2"/>
  <c r="L34" i="2"/>
  <c r="O34" i="2"/>
  <c r="L32" i="2"/>
  <c r="O32" i="2"/>
  <c r="L30" i="2"/>
  <c r="O30" i="2"/>
  <c r="L28" i="2"/>
  <c r="O28" i="2"/>
  <c r="L26" i="2"/>
  <c r="O26" i="2"/>
  <c r="L24" i="2"/>
  <c r="O24" i="2"/>
  <c r="L22" i="2"/>
  <c r="O22" i="2"/>
  <c r="L20" i="2"/>
  <c r="O20" i="2"/>
  <c r="L18" i="2"/>
  <c r="O18" i="2"/>
  <c r="L16" i="2"/>
  <c r="O16" i="2"/>
  <c r="L14" i="2"/>
  <c r="O14" i="2"/>
  <c r="L12" i="2"/>
  <c r="O12" i="2"/>
  <c r="L10" i="2"/>
  <c r="O10" i="2"/>
  <c r="L8" i="2"/>
  <c r="O8" i="2"/>
  <c r="L6" i="2"/>
  <c r="O6" i="2"/>
  <c r="L4" i="2"/>
  <c r="O4" i="2"/>
  <c r="H561" i="2"/>
  <c r="H559" i="2"/>
  <c r="H557" i="2"/>
  <c r="H555" i="2"/>
  <c r="H553" i="2"/>
  <c r="H551" i="2"/>
  <c r="H549" i="2"/>
  <c r="H547" i="2"/>
  <c r="H545" i="2"/>
  <c r="H543" i="2"/>
  <c r="H541" i="2"/>
  <c r="H539" i="2"/>
  <c r="H537" i="2"/>
  <c r="H535" i="2"/>
  <c r="H533" i="2"/>
  <c r="H531" i="2"/>
  <c r="H529" i="2"/>
  <c r="H527" i="2"/>
  <c r="H525" i="2"/>
  <c r="H523" i="2"/>
  <c r="H521" i="2"/>
  <c r="H519" i="2"/>
  <c r="H560" i="2"/>
  <c r="H558" i="2"/>
  <c r="H556" i="2"/>
  <c r="H554" i="2"/>
  <c r="H552" i="2"/>
  <c r="H550" i="2"/>
  <c r="H548" i="2"/>
  <c r="H546" i="2"/>
  <c r="H544" i="2"/>
  <c r="H542" i="2"/>
  <c r="H540" i="2"/>
  <c r="H538" i="2"/>
  <c r="H536" i="2"/>
  <c r="H534" i="2"/>
  <c r="H532" i="2"/>
  <c r="H530" i="2"/>
  <c r="H528" i="2"/>
  <c r="H526" i="2"/>
  <c r="H524" i="2"/>
  <c r="H522" i="2"/>
  <c r="H520" i="2"/>
  <c r="H518" i="2"/>
  <c r="H516" i="2"/>
  <c r="H514" i="2"/>
  <c r="H512" i="2"/>
  <c r="H510" i="2"/>
  <c r="H508" i="2"/>
  <c r="H506" i="2"/>
  <c r="H504" i="2"/>
  <c r="H502" i="2"/>
  <c r="H500" i="2"/>
  <c r="H498" i="2"/>
  <c r="H496" i="2"/>
  <c r="H494" i="2"/>
  <c r="H492" i="2"/>
  <c r="H490" i="2"/>
  <c r="H488" i="2"/>
  <c r="H486" i="2"/>
  <c r="H484" i="2"/>
  <c r="H482" i="2"/>
  <c r="H480" i="2"/>
  <c r="H478" i="2"/>
  <c r="H476" i="2"/>
  <c r="H474" i="2"/>
  <c r="H472" i="2"/>
  <c r="H470" i="2"/>
  <c r="H468" i="2"/>
  <c r="H466" i="2"/>
  <c r="H464" i="2"/>
  <c r="H462" i="2"/>
  <c r="H460" i="2"/>
  <c r="H458" i="2"/>
  <c r="H456" i="2"/>
  <c r="H454" i="2"/>
  <c r="H452" i="2"/>
  <c r="H450" i="2"/>
  <c r="H448" i="2"/>
  <c r="H446" i="2"/>
  <c r="H444" i="2"/>
  <c r="H442" i="2"/>
  <c r="H440" i="2"/>
  <c r="H438" i="2"/>
  <c r="H436" i="2"/>
  <c r="H434" i="2"/>
  <c r="H432" i="2"/>
  <c r="H430" i="2"/>
  <c r="H428" i="2"/>
  <c r="H426" i="2"/>
  <c r="H424" i="2"/>
  <c r="H422" i="2"/>
  <c r="H420" i="2"/>
  <c r="H418" i="2"/>
  <c r="H416" i="2"/>
  <c r="H414" i="2"/>
  <c r="H412" i="2"/>
  <c r="H410" i="2"/>
  <c r="H408" i="2"/>
  <c r="H406" i="2"/>
  <c r="H404" i="2"/>
  <c r="H517" i="2"/>
  <c r="H515" i="2"/>
  <c r="H513" i="2"/>
  <c r="H511" i="2"/>
  <c r="H509" i="2"/>
  <c r="H507" i="2"/>
  <c r="H505" i="2"/>
  <c r="H503" i="2"/>
  <c r="H501" i="2"/>
  <c r="H499" i="2"/>
  <c r="H497" i="2"/>
  <c r="H495" i="2"/>
  <c r="H493" i="2"/>
  <c r="H491" i="2"/>
  <c r="H489" i="2"/>
  <c r="H487" i="2"/>
  <c r="H485" i="2"/>
  <c r="H483" i="2"/>
  <c r="H481" i="2"/>
  <c r="H479" i="2"/>
  <c r="H477" i="2"/>
  <c r="H475" i="2"/>
  <c r="H473" i="2"/>
  <c r="H471" i="2"/>
  <c r="H469" i="2"/>
  <c r="H467" i="2"/>
  <c r="H465" i="2"/>
  <c r="H463" i="2"/>
  <c r="H461" i="2"/>
  <c r="H459" i="2"/>
  <c r="H457" i="2"/>
  <c r="H455" i="2"/>
  <c r="H453" i="2"/>
  <c r="H451" i="2"/>
  <c r="H449" i="2"/>
  <c r="H447" i="2"/>
  <c r="H445" i="2"/>
  <c r="H443" i="2"/>
  <c r="H441" i="2"/>
  <c r="H439" i="2"/>
  <c r="H437" i="2"/>
  <c r="H435" i="2"/>
  <c r="H433" i="2"/>
  <c r="H431" i="2"/>
  <c r="H429" i="2"/>
  <c r="H427" i="2"/>
  <c r="H425" i="2"/>
  <c r="H423" i="2"/>
  <c r="H421" i="2"/>
  <c r="H419" i="2"/>
  <c r="H417" i="2"/>
  <c r="H415" i="2"/>
  <c r="H413" i="2"/>
  <c r="H411" i="2"/>
  <c r="H409" i="2"/>
  <c r="H407" i="2"/>
  <c r="H405" i="2"/>
  <c r="H403" i="2"/>
  <c r="H401" i="2"/>
  <c r="H399" i="2"/>
  <c r="H397" i="2"/>
  <c r="H395" i="2"/>
  <c r="H393" i="2"/>
  <c r="H391" i="2"/>
  <c r="H389" i="2"/>
  <c r="H387" i="2"/>
  <c r="H385" i="2"/>
  <c r="H383" i="2"/>
  <c r="H381" i="2"/>
  <c r="H379" i="2"/>
  <c r="H377" i="2"/>
  <c r="H375" i="2"/>
  <c r="H373" i="2"/>
  <c r="H371" i="2"/>
  <c r="H369" i="2"/>
  <c r="H367" i="2"/>
  <c r="H365" i="2"/>
  <c r="H363" i="2"/>
  <c r="H361" i="2"/>
  <c r="H359" i="2"/>
  <c r="H357" i="2"/>
  <c r="H355" i="2"/>
  <c r="H353" i="2"/>
  <c r="H351" i="2"/>
  <c r="H349" i="2"/>
  <c r="H347" i="2"/>
  <c r="H345" i="2"/>
  <c r="H343" i="2"/>
  <c r="H341" i="2"/>
  <c r="H339" i="2"/>
  <c r="H337" i="2"/>
  <c r="H335" i="2"/>
  <c r="H333" i="2"/>
  <c r="H331" i="2"/>
  <c r="H329" i="2"/>
  <c r="H327" i="2"/>
  <c r="H325" i="2"/>
  <c r="H323" i="2"/>
  <c r="H321" i="2"/>
  <c r="H319" i="2"/>
  <c r="H317" i="2"/>
  <c r="H315" i="2"/>
  <c r="H313" i="2"/>
  <c r="H311" i="2"/>
  <c r="H309" i="2"/>
  <c r="H307" i="2"/>
  <c r="H305" i="2"/>
  <c r="H303" i="2"/>
  <c r="H301" i="2"/>
  <c r="H299" i="2"/>
  <c r="H297" i="2"/>
  <c r="H295" i="2"/>
  <c r="H293" i="2"/>
  <c r="H291" i="2"/>
  <c r="H289" i="2"/>
  <c r="H287" i="2"/>
  <c r="H285" i="2"/>
  <c r="H283" i="2"/>
  <c r="H281" i="2"/>
  <c r="H279" i="2"/>
  <c r="H277" i="2"/>
  <c r="H275" i="2"/>
  <c r="H273" i="2"/>
  <c r="H271" i="2"/>
  <c r="H269" i="2"/>
  <c r="H267" i="2"/>
  <c r="H265" i="2"/>
  <c r="H263" i="2"/>
  <c r="H261" i="2"/>
  <c r="H259" i="2"/>
  <c r="H257" i="2"/>
  <c r="H255" i="2"/>
  <c r="H253" i="2"/>
  <c r="H251" i="2"/>
  <c r="H249" i="2"/>
  <c r="H247" i="2"/>
  <c r="H245" i="2"/>
  <c r="H243" i="2"/>
  <c r="H241" i="2"/>
  <c r="H239" i="2"/>
  <c r="H237" i="2"/>
  <c r="H235" i="2"/>
  <c r="H233" i="2"/>
  <c r="H231" i="2"/>
  <c r="H229" i="2"/>
  <c r="H227" i="2"/>
  <c r="H225" i="2"/>
  <c r="H223" i="2"/>
  <c r="H221" i="2"/>
  <c r="H219" i="2"/>
  <c r="H217" i="2"/>
  <c r="H215" i="2"/>
  <c r="H213" i="2"/>
  <c r="H211" i="2"/>
  <c r="H209" i="2"/>
  <c r="H207" i="2"/>
  <c r="H205" i="2"/>
  <c r="H203" i="2"/>
  <c r="H201" i="2"/>
  <c r="H199" i="2"/>
  <c r="H197" i="2"/>
  <c r="H195" i="2"/>
  <c r="H193" i="2"/>
  <c r="H191" i="2"/>
  <c r="H189" i="2"/>
  <c r="H187" i="2"/>
  <c r="H185" i="2"/>
  <c r="H183" i="2"/>
  <c r="H181" i="2"/>
  <c r="H179" i="2"/>
  <c r="H177" i="2"/>
  <c r="H175" i="2"/>
  <c r="H173" i="2"/>
  <c r="H171" i="2"/>
  <c r="H169" i="2"/>
  <c r="H167" i="2"/>
  <c r="H165" i="2"/>
  <c r="H163" i="2"/>
  <c r="H161" i="2"/>
  <c r="H159" i="2"/>
  <c r="H157" i="2"/>
  <c r="H155" i="2"/>
  <c r="H153" i="2"/>
  <c r="H151" i="2"/>
  <c r="H149" i="2"/>
  <c r="H147" i="2"/>
  <c r="H145" i="2"/>
  <c r="H143" i="2"/>
  <c r="H141" i="2"/>
  <c r="H139" i="2"/>
  <c r="H137" i="2"/>
  <c r="H135" i="2"/>
  <c r="H133" i="2"/>
  <c r="H131" i="2"/>
  <c r="H129" i="2"/>
  <c r="H127" i="2"/>
  <c r="H125" i="2"/>
  <c r="H123" i="2"/>
  <c r="H121" i="2"/>
  <c r="H119" i="2"/>
  <c r="H117" i="2"/>
  <c r="H115" i="2"/>
  <c r="H113" i="2"/>
  <c r="H111" i="2"/>
  <c r="H109" i="2"/>
  <c r="H107" i="2"/>
  <c r="H105" i="2"/>
  <c r="H103" i="2"/>
  <c r="H101" i="2"/>
  <c r="H99" i="2"/>
  <c r="H97" i="2"/>
  <c r="H95" i="2"/>
  <c r="H93" i="2"/>
  <c r="H91" i="2"/>
  <c r="H89" i="2"/>
  <c r="H87" i="2"/>
  <c r="H85" i="2"/>
  <c r="H83" i="2"/>
  <c r="H81" i="2"/>
  <c r="H79" i="2"/>
  <c r="H77" i="2"/>
  <c r="H75" i="2"/>
  <c r="H73" i="2"/>
  <c r="H71" i="2"/>
  <c r="H69" i="2"/>
  <c r="H67" i="2"/>
  <c r="H61" i="2"/>
  <c r="H59" i="2"/>
  <c r="H57" i="2"/>
  <c r="H55" i="2"/>
  <c r="H53" i="2"/>
  <c r="H51" i="2"/>
  <c r="H49" i="2"/>
  <c r="H47" i="2"/>
  <c r="H45" i="2"/>
  <c r="H43" i="2"/>
  <c r="H41" i="2"/>
  <c r="H39" i="2"/>
  <c r="H37" i="2"/>
  <c r="H35" i="2"/>
  <c r="H33" i="2"/>
  <c r="H31" i="2"/>
  <c r="H29" i="2"/>
  <c r="H27" i="2"/>
  <c r="H25" i="2"/>
  <c r="H23" i="2"/>
  <c r="H21" i="2"/>
  <c r="H19" i="2"/>
  <c r="H17" i="2"/>
  <c r="H15" i="2"/>
  <c r="H13" i="2"/>
  <c r="H11" i="2"/>
  <c r="H9" i="2"/>
  <c r="H7" i="2"/>
  <c r="H5" i="2"/>
  <c r="H3" i="2"/>
  <c r="H402" i="2"/>
  <c r="H400" i="2"/>
  <c r="H398" i="2"/>
  <c r="H396" i="2"/>
  <c r="H394" i="2"/>
  <c r="H392" i="2"/>
  <c r="H390" i="2"/>
  <c r="H388" i="2"/>
  <c r="H386" i="2"/>
  <c r="H384" i="2"/>
  <c r="H382" i="2"/>
  <c r="H380" i="2"/>
  <c r="H378" i="2"/>
  <c r="H376" i="2"/>
  <c r="H374" i="2"/>
  <c r="H372" i="2"/>
  <c r="H370" i="2"/>
  <c r="H368" i="2"/>
  <c r="H366" i="2"/>
  <c r="H364" i="2"/>
  <c r="H362" i="2"/>
  <c r="H360" i="2"/>
  <c r="H358" i="2"/>
  <c r="H356" i="2"/>
  <c r="H354" i="2"/>
  <c r="H352" i="2"/>
  <c r="H350" i="2"/>
  <c r="H348" i="2"/>
  <c r="H346" i="2"/>
  <c r="H344" i="2"/>
  <c r="H342" i="2"/>
  <c r="H340" i="2"/>
  <c r="H338" i="2"/>
  <c r="H336" i="2"/>
  <c r="H334" i="2"/>
  <c r="H332" i="2"/>
  <c r="H330" i="2"/>
  <c r="H328" i="2"/>
  <c r="H326" i="2"/>
  <c r="H324" i="2"/>
  <c r="H322" i="2"/>
  <c r="H320" i="2"/>
  <c r="H318" i="2"/>
  <c r="H316" i="2"/>
  <c r="H314" i="2"/>
  <c r="H312" i="2"/>
  <c r="H310" i="2"/>
  <c r="H308" i="2"/>
  <c r="H306" i="2"/>
  <c r="H304" i="2"/>
  <c r="H302" i="2"/>
  <c r="H300" i="2"/>
  <c r="H298" i="2"/>
  <c r="H296" i="2"/>
  <c r="H294" i="2"/>
  <c r="H292" i="2"/>
  <c r="H290" i="2"/>
  <c r="H288" i="2"/>
  <c r="H286" i="2"/>
  <c r="H284" i="2"/>
  <c r="H282" i="2"/>
  <c r="H280" i="2"/>
  <c r="H278" i="2"/>
  <c r="H276" i="2"/>
  <c r="H274" i="2"/>
  <c r="H272" i="2"/>
  <c r="H270" i="2"/>
  <c r="H268" i="2"/>
  <c r="H266" i="2"/>
  <c r="H264" i="2"/>
  <c r="H262" i="2"/>
  <c r="H260" i="2"/>
  <c r="H258" i="2"/>
  <c r="H256" i="2"/>
  <c r="H254" i="2"/>
  <c r="H252" i="2"/>
  <c r="H250" i="2"/>
  <c r="H248" i="2"/>
  <c r="H246" i="2"/>
  <c r="H244" i="2"/>
  <c r="H242" i="2"/>
  <c r="H240" i="2"/>
  <c r="H238" i="2"/>
  <c r="H236" i="2"/>
  <c r="H234" i="2"/>
  <c r="H232" i="2"/>
  <c r="H230" i="2"/>
  <c r="H228" i="2"/>
  <c r="H226" i="2"/>
  <c r="H224" i="2"/>
  <c r="H222" i="2"/>
  <c r="H220" i="2"/>
  <c r="H218" i="2"/>
  <c r="H216" i="2"/>
  <c r="H214" i="2"/>
  <c r="H212" i="2"/>
  <c r="H210" i="2"/>
  <c r="H208" i="2"/>
  <c r="H206" i="2"/>
  <c r="H204" i="2"/>
  <c r="H202" i="2"/>
  <c r="H200" i="2"/>
  <c r="H198" i="2"/>
  <c r="H196" i="2"/>
  <c r="H194" i="2"/>
  <c r="H192" i="2"/>
  <c r="H190" i="2"/>
  <c r="H188" i="2"/>
  <c r="H186" i="2"/>
  <c r="H184" i="2"/>
  <c r="H182" i="2"/>
  <c r="H180" i="2"/>
  <c r="H178" i="2"/>
  <c r="H176" i="2"/>
  <c r="H174" i="2"/>
  <c r="H172" i="2"/>
  <c r="H170" i="2"/>
  <c r="H168" i="2"/>
  <c r="H166" i="2"/>
  <c r="H164" i="2"/>
  <c r="H162" i="2"/>
  <c r="H160" i="2"/>
  <c r="H158" i="2"/>
  <c r="H156" i="2"/>
  <c r="H154" i="2"/>
  <c r="H152" i="2"/>
  <c r="H150" i="2"/>
  <c r="H148" i="2"/>
  <c r="H146" i="2"/>
  <c r="H144" i="2"/>
  <c r="H142" i="2"/>
  <c r="H140" i="2"/>
  <c r="H138" i="2"/>
  <c r="H136" i="2"/>
  <c r="H134" i="2"/>
  <c r="H132" i="2"/>
  <c r="H130" i="2"/>
  <c r="H128" i="2"/>
  <c r="H126" i="2"/>
  <c r="H124" i="2"/>
  <c r="H122" i="2"/>
  <c r="H120" i="2"/>
  <c r="H118" i="2"/>
  <c r="H116" i="2"/>
  <c r="H114" i="2"/>
  <c r="H112" i="2"/>
  <c r="H110" i="2"/>
  <c r="H108" i="2"/>
  <c r="H106" i="2"/>
  <c r="H104" i="2"/>
  <c r="H102" i="2"/>
  <c r="H100" i="2"/>
  <c r="H98" i="2"/>
  <c r="H96" i="2"/>
  <c r="H94" i="2"/>
  <c r="H92" i="2"/>
  <c r="H90" i="2"/>
  <c r="H88" i="2"/>
  <c r="H86" i="2"/>
  <c r="H84" i="2"/>
  <c r="H82" i="2"/>
  <c r="H80" i="2"/>
  <c r="H78" i="2"/>
  <c r="H76" i="2"/>
  <c r="H74" i="2"/>
  <c r="H72" i="2"/>
  <c r="H70" i="2"/>
  <c r="H68" i="2"/>
  <c r="H62" i="2"/>
  <c r="H60" i="2"/>
  <c r="H58" i="2"/>
  <c r="H56" i="2"/>
  <c r="H54" i="2"/>
  <c r="H52" i="2"/>
  <c r="H50" i="2"/>
  <c r="H48" i="2"/>
  <c r="H46" i="2"/>
  <c r="H44" i="2"/>
  <c r="H42" i="2"/>
  <c r="H40" i="2"/>
  <c r="H38" i="2"/>
  <c r="H36" i="2"/>
  <c r="H34" i="2"/>
  <c r="H32" i="2"/>
  <c r="H30" i="2"/>
  <c r="H28" i="2"/>
  <c r="H26" i="2"/>
  <c r="H24" i="2"/>
  <c r="H22" i="2"/>
  <c r="H20" i="2"/>
  <c r="H18" i="2"/>
  <c r="H16" i="2"/>
  <c r="H14" i="2"/>
  <c r="H12" i="2"/>
  <c r="H10" i="2"/>
  <c r="H8" i="2"/>
  <c r="H6" i="2"/>
  <c r="H4" i="2"/>
  <c r="H824" i="2" l="1"/>
  <c r="H820" i="2"/>
  <c r="H822" i="2"/>
  <c r="H826" i="2"/>
  <c r="H821" i="2"/>
  <c r="H823" i="2"/>
  <c r="H825" i="2"/>
  <c r="D826" i="2"/>
  <c r="D824" i="2"/>
  <c r="D822" i="2"/>
  <c r="D820" i="2"/>
  <c r="D825" i="2"/>
  <c r="D823" i="2"/>
  <c r="D821" i="2"/>
  <c r="J830" i="2"/>
  <c r="J828" i="2"/>
  <c r="J827" i="2"/>
  <c r="J829" i="2"/>
  <c r="J831" i="2"/>
  <c r="F830" i="2"/>
  <c r="F828" i="2"/>
  <c r="F829" i="2"/>
  <c r="F831" i="2"/>
  <c r="F827" i="2"/>
  <c r="H804" i="2"/>
  <c r="H805" i="2"/>
  <c r="H819" i="2"/>
  <c r="H810" i="2"/>
  <c r="H813" i="2"/>
  <c r="H814" i="2"/>
  <c r="H812" i="2"/>
  <c r="H815" i="2"/>
  <c r="H816" i="2"/>
  <c r="H806" i="2"/>
  <c r="H811" i="2"/>
  <c r="H817" i="2"/>
  <c r="H818" i="2"/>
  <c r="D816" i="2"/>
  <c r="D817" i="2"/>
  <c r="D813" i="2"/>
  <c r="D806" i="2"/>
  <c r="D811" i="2"/>
  <c r="D818" i="2"/>
  <c r="D814" i="2"/>
  <c r="D819" i="2"/>
  <c r="D815" i="2"/>
  <c r="D810" i="2"/>
  <c r="D804" i="2"/>
  <c r="D805" i="2"/>
  <c r="D812" i="2"/>
  <c r="J807" i="2"/>
  <c r="J796" i="2"/>
  <c r="J800" i="2"/>
  <c r="J797" i="2"/>
  <c r="J801" i="2"/>
  <c r="J809" i="2"/>
  <c r="J798" i="2"/>
  <c r="J802" i="2"/>
  <c r="J799" i="2"/>
  <c r="J803" i="2"/>
  <c r="J808" i="2"/>
  <c r="F798" i="2"/>
  <c r="F802" i="2"/>
  <c r="F799" i="2"/>
  <c r="F803" i="2"/>
  <c r="F808" i="2"/>
  <c r="F807" i="2"/>
  <c r="F796" i="2"/>
  <c r="F800" i="2"/>
  <c r="F797" i="2"/>
  <c r="F801" i="2"/>
  <c r="F809" i="2"/>
  <c r="H793" i="2"/>
  <c r="H787" i="2"/>
  <c r="H795" i="2"/>
  <c r="H783" i="2"/>
  <c r="H780" i="2"/>
  <c r="H774" i="2"/>
  <c r="H789" i="2"/>
  <c r="H785" i="2"/>
  <c r="H791" i="2"/>
  <c r="H778" i="2"/>
  <c r="H772" i="2"/>
  <c r="H784" i="2"/>
  <c r="H792" i="2"/>
  <c r="H782" i="2"/>
  <c r="H790" i="2"/>
  <c r="H777" i="2"/>
  <c r="H781" i="2"/>
  <c r="H773" i="2"/>
  <c r="H788" i="2"/>
  <c r="H786" i="2"/>
  <c r="H794" i="2"/>
  <c r="D795" i="2"/>
  <c r="D793" i="2"/>
  <c r="D791" i="2"/>
  <c r="D789" i="2"/>
  <c r="D787" i="2"/>
  <c r="D785" i="2"/>
  <c r="D783" i="2"/>
  <c r="D778" i="2"/>
  <c r="D774" i="2"/>
  <c r="D772" i="2"/>
  <c r="D794" i="2"/>
  <c r="D792" i="2"/>
  <c r="D790" i="2"/>
  <c r="D788" i="2"/>
  <c r="D786" i="2"/>
  <c r="D784" i="2"/>
  <c r="D782" i="2"/>
  <c r="D780" i="2"/>
  <c r="D773" i="2"/>
  <c r="D777" i="2"/>
  <c r="D781" i="2"/>
  <c r="J776" i="2"/>
  <c r="J770" i="2"/>
  <c r="J768" i="2"/>
  <c r="J766" i="2"/>
  <c r="J769" i="2"/>
  <c r="J767" i="2"/>
  <c r="J771" i="2"/>
  <c r="J779" i="2"/>
  <c r="J775" i="2"/>
  <c r="J765" i="2"/>
  <c r="F776" i="2"/>
  <c r="F770" i="2"/>
  <c r="F768" i="2"/>
  <c r="F766" i="2"/>
  <c r="F765" i="2"/>
  <c r="F775" i="2"/>
  <c r="F769" i="2"/>
  <c r="F767" i="2"/>
  <c r="F771" i="2"/>
  <c r="F779" i="2"/>
  <c r="H762" i="2"/>
  <c r="H752" i="2"/>
  <c r="H760" i="2"/>
  <c r="H756" i="2"/>
  <c r="H745" i="2"/>
  <c r="H741" i="2"/>
  <c r="H737" i="2"/>
  <c r="H733" i="2"/>
  <c r="H725" i="2"/>
  <c r="H719" i="2"/>
  <c r="H715" i="2"/>
  <c r="H709" i="2"/>
  <c r="H705" i="2"/>
  <c r="H701" i="2"/>
  <c r="H686" i="2"/>
  <c r="H682" i="2"/>
  <c r="H676" i="2"/>
  <c r="H672" i="2"/>
  <c r="H692" i="2"/>
  <c r="H688" i="2"/>
  <c r="H665" i="2"/>
  <c r="H661" i="2"/>
  <c r="H657" i="2"/>
  <c r="H653" i="2"/>
  <c r="H754" i="2"/>
  <c r="H758" i="2"/>
  <c r="H749" i="2"/>
  <c r="H743" i="2"/>
  <c r="H739" i="2"/>
  <c r="H735" i="2"/>
  <c r="H731" i="2"/>
  <c r="H723" i="2"/>
  <c r="H721" i="2"/>
  <c r="H717" i="2"/>
  <c r="H713" i="2"/>
  <c r="H711" i="2"/>
  <c r="H707" i="2"/>
  <c r="H703" i="2"/>
  <c r="H699" i="2"/>
  <c r="H684" i="2"/>
  <c r="H678" i="2"/>
  <c r="H674" i="2"/>
  <c r="H668" i="2"/>
  <c r="H694" i="2"/>
  <c r="H690" i="2"/>
  <c r="H663" i="2"/>
  <c r="H659" i="2"/>
  <c r="H655" i="2"/>
  <c r="H651" i="2"/>
  <c r="H652" i="2"/>
  <c r="H673" i="2"/>
  <c r="H681" i="2"/>
  <c r="H662" i="2"/>
  <c r="H666" i="2"/>
  <c r="H698" i="2"/>
  <c r="H706" i="2"/>
  <c r="H689" i="2"/>
  <c r="H693" i="2"/>
  <c r="H720" i="2"/>
  <c r="H724" i="2"/>
  <c r="H734" i="2"/>
  <c r="H738" i="2"/>
  <c r="H751" i="2"/>
  <c r="H759" i="2"/>
  <c r="H744" i="2"/>
  <c r="H750" i="2"/>
  <c r="H654" i="2"/>
  <c r="H667" i="2"/>
  <c r="H675" i="2"/>
  <c r="H687" i="2"/>
  <c r="H704" i="2"/>
  <c r="H712" i="2"/>
  <c r="H757" i="2"/>
  <c r="H742" i="2"/>
  <c r="H748" i="2"/>
  <c r="H656" i="2"/>
  <c r="H677" i="2"/>
  <c r="H685" i="2"/>
  <c r="H702" i="2"/>
  <c r="H710" i="2"/>
  <c r="H732" i="2"/>
  <c r="H736" i="2"/>
  <c r="H740" i="2"/>
  <c r="H755" i="2"/>
  <c r="H763" i="2"/>
  <c r="H658" i="2"/>
  <c r="H671" i="2"/>
  <c r="H683" i="2"/>
  <c r="H660" i="2"/>
  <c r="H664" i="2"/>
  <c r="H700" i="2"/>
  <c r="H708" i="2"/>
  <c r="H691" i="2"/>
  <c r="H695" i="2"/>
  <c r="H714" i="2"/>
  <c r="H718" i="2"/>
  <c r="H722" i="2"/>
  <c r="H753" i="2"/>
  <c r="H761" i="2"/>
  <c r="H647" i="2"/>
  <c r="D712" i="2"/>
  <c r="D740" i="2"/>
  <c r="D762" i="2"/>
  <c r="D760" i="2"/>
  <c r="D758" i="2"/>
  <c r="D756" i="2"/>
  <c r="D754" i="2"/>
  <c r="D743" i="2"/>
  <c r="D752" i="2"/>
  <c r="D738" i="2"/>
  <c r="D736" i="2"/>
  <c r="D734" i="2"/>
  <c r="D732" i="2"/>
  <c r="D725" i="2"/>
  <c r="D723" i="2"/>
  <c r="D719" i="2"/>
  <c r="D715" i="2"/>
  <c r="D713" i="2"/>
  <c r="D710" i="2"/>
  <c r="D708" i="2"/>
  <c r="D706" i="2"/>
  <c r="D704" i="2"/>
  <c r="D702" i="2"/>
  <c r="D700" i="2"/>
  <c r="D698" i="2"/>
  <c r="D692" i="2"/>
  <c r="D688" i="2"/>
  <c r="D665" i="2"/>
  <c r="D661" i="2"/>
  <c r="D686" i="2"/>
  <c r="D684" i="2"/>
  <c r="D682" i="2"/>
  <c r="D678" i="2"/>
  <c r="D676" i="2"/>
  <c r="D674" i="2"/>
  <c r="D672" i="2"/>
  <c r="D668" i="2"/>
  <c r="D659" i="2"/>
  <c r="D657" i="2"/>
  <c r="D655" i="2"/>
  <c r="D653" i="2"/>
  <c r="D651" i="2"/>
  <c r="D763" i="2"/>
  <c r="D761" i="2"/>
  <c r="D759" i="2"/>
  <c r="D757" i="2"/>
  <c r="D755" i="2"/>
  <c r="D749" i="2"/>
  <c r="D745" i="2"/>
  <c r="D741" i="2"/>
  <c r="D753" i="2"/>
  <c r="D751" i="2"/>
  <c r="D739" i="2"/>
  <c r="D737" i="2"/>
  <c r="D735" i="2"/>
  <c r="D733" i="2"/>
  <c r="D731" i="2"/>
  <c r="D724" i="2"/>
  <c r="D721" i="2"/>
  <c r="D717" i="2"/>
  <c r="D711" i="2"/>
  <c r="D709" i="2"/>
  <c r="D707" i="2"/>
  <c r="D705" i="2"/>
  <c r="D703" i="2"/>
  <c r="D701" i="2"/>
  <c r="D699" i="2"/>
  <c r="D694" i="2"/>
  <c r="D690" i="2"/>
  <c r="D663" i="2"/>
  <c r="D687" i="2"/>
  <c r="D685" i="2"/>
  <c r="D683" i="2"/>
  <c r="D681" i="2"/>
  <c r="D677" i="2"/>
  <c r="D675" i="2"/>
  <c r="D673" i="2"/>
  <c r="D671" i="2"/>
  <c r="D667" i="2"/>
  <c r="D658" i="2"/>
  <c r="D656" i="2"/>
  <c r="D654" i="2"/>
  <c r="D652" i="2"/>
  <c r="D660" i="2"/>
  <c r="D664" i="2"/>
  <c r="D691" i="2"/>
  <c r="D695" i="2"/>
  <c r="D714" i="2"/>
  <c r="D718" i="2"/>
  <c r="D722" i="2"/>
  <c r="D662" i="2"/>
  <c r="D666" i="2"/>
  <c r="D689" i="2"/>
  <c r="D693" i="2"/>
  <c r="D720" i="2"/>
  <c r="D744" i="2"/>
  <c r="D750" i="2"/>
  <c r="D742" i="2"/>
  <c r="D748" i="2"/>
  <c r="D647" i="2"/>
  <c r="J586" i="2"/>
  <c r="J696" i="2"/>
  <c r="J764" i="2"/>
  <c r="J747" i="2"/>
  <c r="J697" i="2"/>
  <c r="J729" i="2"/>
  <c r="J727" i="2"/>
  <c r="J680" i="2"/>
  <c r="J670" i="2"/>
  <c r="J746" i="2"/>
  <c r="J669" i="2"/>
  <c r="J726" i="2"/>
  <c r="J728" i="2"/>
  <c r="J730" i="2"/>
  <c r="J650" i="2"/>
  <c r="J679" i="2"/>
  <c r="J716" i="2"/>
  <c r="J641" i="2"/>
  <c r="J649" i="2"/>
  <c r="F747" i="2"/>
  <c r="F729" i="2"/>
  <c r="F727" i="2"/>
  <c r="F696" i="2"/>
  <c r="F680" i="2"/>
  <c r="F670" i="2"/>
  <c r="F764" i="2"/>
  <c r="F697" i="2"/>
  <c r="F650" i="2"/>
  <c r="F679" i="2"/>
  <c r="F716" i="2"/>
  <c r="F746" i="2"/>
  <c r="F669" i="2"/>
  <c r="F726" i="2"/>
  <c r="F728" i="2"/>
  <c r="F730" i="2"/>
  <c r="F641" i="2"/>
  <c r="F649" i="2"/>
  <c r="H624" i="2"/>
  <c r="H599" i="2"/>
  <c r="H603" i="2"/>
  <c r="H607" i="2"/>
  <c r="H611" i="2"/>
  <c r="H606" i="2"/>
  <c r="H610" i="2"/>
  <c r="H614" i="2"/>
  <c r="H617" i="2"/>
  <c r="H621" i="2"/>
  <c r="H620" i="2"/>
  <c r="H632" i="2"/>
  <c r="H634" i="2"/>
  <c r="H638" i="2"/>
  <c r="H600" i="2"/>
  <c r="H605" i="2"/>
  <c r="H609" i="2"/>
  <c r="H613" i="2"/>
  <c r="H604" i="2"/>
  <c r="H608" i="2"/>
  <c r="H612" i="2"/>
  <c r="H615" i="2"/>
  <c r="H619" i="2"/>
  <c r="H623" i="2"/>
  <c r="H618" i="2"/>
  <c r="H622" i="2"/>
  <c r="H626" i="2"/>
  <c r="H628" i="2"/>
  <c r="H630" i="2"/>
  <c r="H635" i="2"/>
  <c r="H639" i="2"/>
  <c r="H642" i="2"/>
  <c r="H646" i="2"/>
  <c r="H601" i="2"/>
  <c r="H633" i="2"/>
  <c r="H637" i="2"/>
  <c r="H644" i="2"/>
  <c r="H648" i="2"/>
  <c r="H643" i="2"/>
  <c r="H598" i="2"/>
  <c r="H602" i="2"/>
  <c r="H616" i="2"/>
  <c r="H625" i="2"/>
  <c r="H627" i="2"/>
  <c r="H629" i="2"/>
  <c r="H631" i="2"/>
  <c r="H636" i="2"/>
  <c r="H640" i="2"/>
  <c r="H641" i="2"/>
  <c r="H645" i="2"/>
  <c r="H649" i="2"/>
  <c r="D638" i="2"/>
  <c r="D636" i="2"/>
  <c r="D634" i="2"/>
  <c r="D632" i="2"/>
  <c r="D630" i="2"/>
  <c r="D628" i="2"/>
  <c r="D626" i="2"/>
  <c r="D616" i="2"/>
  <c r="D602" i="2"/>
  <c r="D600" i="2"/>
  <c r="D598" i="2"/>
  <c r="D639" i="2"/>
  <c r="D637" i="2"/>
  <c r="D635" i="2"/>
  <c r="D633" i="2"/>
  <c r="D631" i="2"/>
  <c r="D629" i="2"/>
  <c r="D627" i="2"/>
  <c r="D625" i="2"/>
  <c r="D615" i="2"/>
  <c r="D601" i="2"/>
  <c r="D599" i="2"/>
  <c r="D644" i="2"/>
  <c r="D648" i="2"/>
  <c r="D643" i="2"/>
  <c r="D624" i="2"/>
  <c r="D640" i="2"/>
  <c r="D641" i="2"/>
  <c r="D645" i="2"/>
  <c r="D649" i="2"/>
  <c r="D603" i="2"/>
  <c r="D607" i="2"/>
  <c r="D611" i="2"/>
  <c r="D606" i="2"/>
  <c r="D610" i="2"/>
  <c r="D614" i="2"/>
  <c r="D617" i="2"/>
  <c r="D621" i="2"/>
  <c r="D620" i="2"/>
  <c r="D605" i="2"/>
  <c r="D609" i="2"/>
  <c r="D613" i="2"/>
  <c r="D604" i="2"/>
  <c r="D608" i="2"/>
  <c r="D612" i="2"/>
  <c r="D619" i="2"/>
  <c r="D623" i="2"/>
  <c r="D618" i="2"/>
  <c r="D622" i="2"/>
  <c r="D642" i="2"/>
  <c r="D646" i="2"/>
  <c r="J647" i="2"/>
  <c r="F647" i="2"/>
  <c r="F586" i="2"/>
  <c r="J589" i="2"/>
  <c r="F589" i="2"/>
  <c r="D345" i="2"/>
  <c r="H570" i="2"/>
  <c r="D578" i="2"/>
  <c r="H578" i="2"/>
  <c r="H575" i="2"/>
  <c r="H571" i="2"/>
  <c r="H567" i="2"/>
  <c r="H577" i="2"/>
  <c r="H573" i="2"/>
  <c r="H569" i="2"/>
  <c r="D572" i="2"/>
  <c r="D568" i="2"/>
  <c r="D577" i="2"/>
  <c r="D575" i="2"/>
  <c r="D571" i="2"/>
  <c r="D567" i="2"/>
  <c r="D573" i="2"/>
  <c r="D569" i="2"/>
  <c r="D566" i="2"/>
  <c r="D576" i="2"/>
  <c r="D574" i="2"/>
  <c r="D570" i="2"/>
  <c r="H66" i="2"/>
  <c r="D66" i="2"/>
  <c r="H576" i="2"/>
  <c r="H572" i="2"/>
  <c r="H568" i="2"/>
  <c r="H566" i="2"/>
  <c r="H574" i="2"/>
  <c r="J563" i="2"/>
  <c r="F2" i="2"/>
  <c r="J344" i="2"/>
  <c r="J448" i="2"/>
  <c r="F448" i="2"/>
  <c r="F593" i="2"/>
  <c r="H563" i="2"/>
  <c r="F344" i="2"/>
  <c r="D346" i="2"/>
  <c r="J593" i="2"/>
  <c r="F595" i="2"/>
  <c r="F580" i="2"/>
  <c r="F579" i="2"/>
  <c r="H597" i="2"/>
  <c r="J581" i="2"/>
  <c r="H565" i="2"/>
  <c r="H579" i="2"/>
  <c r="D564" i="2"/>
  <c r="D592" i="2"/>
  <c r="D597" i="2"/>
  <c r="J450" i="2"/>
  <c r="F450" i="2"/>
  <c r="D447" i="2"/>
  <c r="D563" i="2"/>
  <c r="J595" i="2"/>
  <c r="J580" i="2"/>
  <c r="J579" i="2"/>
  <c r="D565" i="2"/>
  <c r="H592" i="2"/>
  <c r="F581" i="2"/>
  <c r="H564" i="2"/>
  <c r="J66" i="2"/>
  <c r="J346" i="2"/>
  <c r="H593" i="2"/>
  <c r="F592" i="2"/>
  <c r="H589" i="2"/>
  <c r="H585" i="2"/>
  <c r="H581" i="2"/>
  <c r="F576" i="2"/>
  <c r="F575" i="2"/>
  <c r="F572" i="2"/>
  <c r="F571" i="2"/>
  <c r="F568" i="2"/>
  <c r="F567" i="2"/>
  <c r="F566" i="2"/>
  <c r="F565" i="2"/>
  <c r="F564" i="2"/>
  <c r="F563" i="2"/>
  <c r="H595" i="2"/>
  <c r="H588" i="2"/>
  <c r="H584" i="2"/>
  <c r="H580" i="2"/>
  <c r="J578" i="2"/>
  <c r="J577" i="2"/>
  <c r="J574" i="2"/>
  <c r="J573" i="2"/>
  <c r="J570" i="2"/>
  <c r="J569" i="2"/>
  <c r="H562" i="2"/>
  <c r="D595" i="2"/>
  <c r="D593" i="2"/>
  <c r="D590" i="2"/>
  <c r="D588" i="2"/>
  <c r="D586" i="2"/>
  <c r="D584" i="2"/>
  <c r="D582" i="2"/>
  <c r="D580" i="2"/>
  <c r="D562" i="2"/>
  <c r="D596" i="2"/>
  <c r="D594" i="2"/>
  <c r="D591" i="2"/>
  <c r="D589" i="2"/>
  <c r="D587" i="2"/>
  <c r="D585" i="2"/>
  <c r="D583" i="2"/>
  <c r="D581" i="2"/>
  <c r="D579" i="2"/>
  <c r="H2" i="2"/>
  <c r="D4" i="2"/>
  <c r="J345" i="2"/>
  <c r="J447" i="2"/>
  <c r="J2" i="2"/>
  <c r="H594" i="2"/>
  <c r="J592" i="2"/>
  <c r="H590" i="2"/>
  <c r="H586" i="2"/>
  <c r="H582" i="2"/>
  <c r="J576" i="2"/>
  <c r="J575" i="2"/>
  <c r="J572" i="2"/>
  <c r="J571" i="2"/>
  <c r="J568" i="2"/>
  <c r="J567" i="2"/>
  <c r="J566" i="2"/>
  <c r="J565" i="2"/>
  <c r="J564" i="2"/>
  <c r="H596" i="2"/>
  <c r="H591" i="2"/>
  <c r="H587" i="2"/>
  <c r="H583" i="2"/>
  <c r="F578" i="2"/>
  <c r="F577" i="2"/>
  <c r="F574" i="2"/>
  <c r="F573" i="2"/>
  <c r="F570" i="2"/>
  <c r="F569" i="2"/>
  <c r="D6" i="2"/>
  <c r="D10" i="2"/>
  <c r="D14" i="2"/>
  <c r="D18" i="2"/>
  <c r="D22" i="2"/>
  <c r="D26" i="2"/>
  <c r="D30" i="2"/>
  <c r="D34" i="2"/>
  <c r="D38" i="2"/>
  <c r="D42" i="2"/>
  <c r="D46" i="2"/>
  <c r="D50" i="2"/>
  <c r="D54" i="2"/>
  <c r="D58" i="2"/>
  <c r="D62" i="2"/>
  <c r="D70" i="2"/>
  <c r="D74" i="2"/>
  <c r="D78" i="2"/>
  <c r="D82" i="2"/>
  <c r="D86" i="2"/>
  <c r="D90" i="2"/>
  <c r="D94" i="2"/>
  <c r="D98" i="2"/>
  <c r="D102" i="2"/>
  <c r="D106" i="2"/>
  <c r="D110" i="2"/>
  <c r="D114" i="2"/>
  <c r="D118" i="2"/>
  <c r="D122" i="2"/>
  <c r="D126" i="2"/>
  <c r="D130" i="2"/>
  <c r="D134" i="2"/>
  <c r="D138" i="2"/>
  <c r="D142" i="2"/>
  <c r="D146" i="2"/>
  <c r="D150" i="2"/>
  <c r="D154" i="2"/>
  <c r="D158" i="2"/>
  <c r="D162" i="2"/>
  <c r="D166" i="2"/>
  <c r="D170" i="2"/>
  <c r="D174" i="2"/>
  <c r="D178" i="2"/>
  <c r="D182" i="2"/>
  <c r="D186" i="2"/>
  <c r="D190" i="2"/>
  <c r="D194" i="2"/>
  <c r="D198" i="2"/>
  <c r="D202" i="2"/>
  <c r="D206" i="2"/>
  <c r="D210" i="2"/>
  <c r="D214" i="2"/>
  <c r="D218" i="2"/>
  <c r="D222" i="2"/>
  <c r="D226" i="2"/>
  <c r="D230" i="2"/>
  <c r="D234" i="2"/>
  <c r="D238" i="2"/>
  <c r="D242" i="2"/>
  <c r="D246" i="2"/>
  <c r="D250" i="2"/>
  <c r="D254" i="2"/>
  <c r="D258" i="2"/>
  <c r="D262" i="2"/>
  <c r="D266" i="2"/>
  <c r="D270" i="2"/>
  <c r="D274" i="2"/>
  <c r="D278" i="2"/>
  <c r="D282" i="2"/>
  <c r="D286" i="2"/>
  <c r="D290" i="2"/>
  <c r="D294" i="2"/>
  <c r="D298" i="2"/>
  <c r="D302" i="2"/>
  <c r="D306" i="2"/>
  <c r="D310" i="2"/>
  <c r="D314" i="2"/>
  <c r="D318" i="2"/>
  <c r="D322" i="2"/>
  <c r="D326" i="2"/>
  <c r="D330" i="2"/>
  <c r="D334" i="2"/>
  <c r="D338" i="2"/>
  <c r="D342" i="2"/>
  <c r="D350" i="2"/>
  <c r="D354" i="2"/>
  <c r="D358" i="2"/>
  <c r="D362" i="2"/>
  <c r="D366" i="2"/>
  <c r="D370" i="2"/>
  <c r="D374" i="2"/>
  <c r="D378" i="2"/>
  <c r="D382" i="2"/>
  <c r="D386" i="2"/>
  <c r="D390" i="2"/>
  <c r="D394" i="2"/>
  <c r="D398" i="2"/>
  <c r="D402" i="2"/>
  <c r="D406" i="2"/>
  <c r="D410" i="2"/>
  <c r="D414" i="2"/>
  <c r="D418" i="2"/>
  <c r="D422" i="2"/>
  <c r="D426" i="2"/>
  <c r="D430" i="2"/>
  <c r="D434" i="2"/>
  <c r="D438" i="2"/>
  <c r="D442" i="2"/>
  <c r="D446" i="2"/>
  <c r="D450" i="2"/>
  <c r="D454" i="2"/>
  <c r="D458" i="2"/>
  <c r="D462" i="2"/>
  <c r="D466" i="2"/>
  <c r="D470" i="2"/>
  <c r="D474" i="2"/>
  <c r="D478" i="2"/>
  <c r="D482" i="2"/>
  <c r="D486" i="2"/>
  <c r="D490" i="2"/>
  <c r="D494" i="2"/>
  <c r="D498" i="2"/>
  <c r="D502" i="2"/>
  <c r="D506" i="2"/>
  <c r="D510" i="2"/>
  <c r="D514" i="2"/>
  <c r="D5" i="2"/>
  <c r="D9" i="2"/>
  <c r="D13" i="2"/>
  <c r="D17" i="2"/>
  <c r="D21" i="2"/>
  <c r="D25" i="2"/>
  <c r="D29" i="2"/>
  <c r="D33" i="2"/>
  <c r="D37" i="2"/>
  <c r="D41" i="2"/>
  <c r="D45" i="2"/>
  <c r="D49" i="2"/>
  <c r="D53" i="2"/>
  <c r="D57" i="2"/>
  <c r="D61" i="2"/>
  <c r="H65" i="2"/>
  <c r="D65" i="2"/>
  <c r="D69" i="2"/>
  <c r="D73" i="2"/>
  <c r="D77" i="2"/>
  <c r="D81" i="2"/>
  <c r="D85" i="2"/>
  <c r="D89" i="2"/>
  <c r="D93" i="2"/>
  <c r="D97" i="2"/>
  <c r="D101" i="2"/>
  <c r="D105" i="2"/>
  <c r="D109" i="2"/>
  <c r="D113" i="2"/>
  <c r="D117" i="2"/>
  <c r="D121" i="2"/>
  <c r="D125" i="2"/>
  <c r="D129" i="2"/>
  <c r="D133" i="2"/>
  <c r="D137" i="2"/>
  <c r="D141" i="2"/>
  <c r="D145" i="2"/>
  <c r="D149" i="2"/>
  <c r="D153" i="2"/>
  <c r="D157" i="2"/>
  <c r="D161" i="2"/>
  <c r="D165" i="2"/>
  <c r="D169" i="2"/>
  <c r="D173" i="2"/>
  <c r="D177" i="2"/>
  <c r="D181" i="2"/>
  <c r="D185" i="2"/>
  <c r="D189" i="2"/>
  <c r="D193" i="2"/>
  <c r="D197" i="2"/>
  <c r="D201" i="2"/>
  <c r="D205" i="2"/>
  <c r="D209" i="2"/>
  <c r="D213" i="2"/>
  <c r="D217" i="2"/>
  <c r="D221" i="2"/>
  <c r="D225" i="2"/>
  <c r="D229" i="2"/>
  <c r="D233" i="2"/>
  <c r="D237" i="2"/>
  <c r="D241" i="2"/>
  <c r="D245" i="2"/>
  <c r="D249" i="2"/>
  <c r="D253" i="2"/>
  <c r="D257" i="2"/>
  <c r="D261" i="2"/>
  <c r="D265" i="2"/>
  <c r="D269" i="2"/>
  <c r="D273" i="2"/>
  <c r="D277" i="2"/>
  <c r="D281" i="2"/>
  <c r="D285" i="2"/>
  <c r="D289" i="2"/>
  <c r="D293" i="2"/>
  <c r="D297" i="2"/>
  <c r="D301" i="2"/>
  <c r="D305" i="2"/>
  <c r="D309" i="2"/>
  <c r="D313" i="2"/>
  <c r="D317" i="2"/>
  <c r="D321" i="2"/>
  <c r="D325" i="2"/>
  <c r="D329" i="2"/>
  <c r="D333" i="2"/>
  <c r="D337" i="2"/>
  <c r="D341" i="2"/>
  <c r="D349" i="2"/>
  <c r="D353" i="2"/>
  <c r="D357" i="2"/>
  <c r="D361" i="2"/>
  <c r="D365" i="2"/>
  <c r="D369" i="2"/>
  <c r="D373" i="2"/>
  <c r="D377" i="2"/>
  <c r="D381" i="2"/>
  <c r="D385" i="2"/>
  <c r="D389" i="2"/>
  <c r="D393" i="2"/>
  <c r="D397" i="2"/>
  <c r="D401" i="2"/>
  <c r="D405" i="2"/>
  <c r="D409" i="2"/>
  <c r="D413" i="2"/>
  <c r="D417" i="2"/>
  <c r="D421" i="2"/>
  <c r="D425" i="2"/>
  <c r="D429" i="2"/>
  <c r="D433" i="2"/>
  <c r="D437" i="2"/>
  <c r="D441" i="2"/>
  <c r="D445" i="2"/>
  <c r="F447" i="2"/>
  <c r="D449" i="2"/>
  <c r="D453" i="2"/>
  <c r="D457" i="2"/>
  <c r="D461" i="2"/>
  <c r="D465" i="2"/>
  <c r="D469" i="2"/>
  <c r="D473" i="2"/>
  <c r="D477" i="2"/>
  <c r="D481" i="2"/>
  <c r="D485" i="2"/>
  <c r="D489" i="2"/>
  <c r="D493" i="2"/>
  <c r="D497" i="2"/>
  <c r="D501" i="2"/>
  <c r="D505" i="2"/>
  <c r="D509" i="2"/>
  <c r="D513" i="2"/>
  <c r="D518" i="2"/>
  <c r="D522" i="2"/>
  <c r="D526" i="2"/>
  <c r="D530" i="2"/>
  <c r="D534" i="2"/>
  <c r="D538" i="2"/>
  <c r="D542" i="2"/>
  <c r="D546" i="2"/>
  <c r="D550" i="2"/>
  <c r="D554" i="2"/>
  <c r="D558" i="2"/>
  <c r="D2" i="2"/>
  <c r="D517" i="2"/>
  <c r="D521" i="2"/>
  <c r="D525" i="2"/>
  <c r="D529" i="2"/>
  <c r="D533" i="2"/>
  <c r="D537" i="2"/>
  <c r="D541" i="2"/>
  <c r="D545" i="2"/>
  <c r="D549" i="2"/>
  <c r="D553" i="2"/>
  <c r="D557" i="2"/>
  <c r="D561" i="2"/>
  <c r="D8" i="2"/>
  <c r="D12" i="2"/>
  <c r="D16" i="2"/>
  <c r="D20" i="2"/>
  <c r="D24" i="2"/>
  <c r="D28" i="2"/>
  <c r="D32" i="2"/>
  <c r="D36" i="2"/>
  <c r="D40" i="2"/>
  <c r="D44" i="2"/>
  <c r="D48" i="2"/>
  <c r="D52" i="2"/>
  <c r="D56" i="2"/>
  <c r="D60" i="2"/>
  <c r="H64" i="2"/>
  <c r="D64" i="2"/>
  <c r="F66" i="2"/>
  <c r="D68" i="2"/>
  <c r="D72" i="2"/>
  <c r="D76" i="2"/>
  <c r="D80" i="2"/>
  <c r="D84" i="2"/>
  <c r="D88" i="2"/>
  <c r="D92" i="2"/>
  <c r="D96" i="2"/>
  <c r="D100" i="2"/>
  <c r="D104" i="2"/>
  <c r="D108" i="2"/>
  <c r="D112" i="2"/>
  <c r="D116" i="2"/>
  <c r="D120" i="2"/>
  <c r="D124" i="2"/>
  <c r="D128" i="2"/>
  <c r="D132" i="2"/>
  <c r="D136" i="2"/>
  <c r="D140" i="2"/>
  <c r="D144" i="2"/>
  <c r="D148" i="2"/>
  <c r="D152" i="2"/>
  <c r="D156" i="2"/>
  <c r="D160" i="2"/>
  <c r="D164" i="2"/>
  <c r="D168" i="2"/>
  <c r="D172" i="2"/>
  <c r="D176" i="2"/>
  <c r="D180" i="2"/>
  <c r="D184" i="2"/>
  <c r="D188" i="2"/>
  <c r="D192" i="2"/>
  <c r="D196" i="2"/>
  <c r="D200" i="2"/>
  <c r="D204" i="2"/>
  <c r="D208" i="2"/>
  <c r="D212" i="2"/>
  <c r="D216" i="2"/>
  <c r="D220" i="2"/>
  <c r="D224" i="2"/>
  <c r="D228" i="2"/>
  <c r="D232" i="2"/>
  <c r="D236" i="2"/>
  <c r="D240" i="2"/>
  <c r="D244" i="2"/>
  <c r="D248" i="2"/>
  <c r="D252" i="2"/>
  <c r="D256" i="2"/>
  <c r="D260" i="2"/>
  <c r="D264" i="2"/>
  <c r="D268" i="2"/>
  <c r="D272" i="2"/>
  <c r="D276" i="2"/>
  <c r="D280" i="2"/>
  <c r="D284" i="2"/>
  <c r="D288" i="2"/>
  <c r="D292" i="2"/>
  <c r="D296" i="2"/>
  <c r="D300" i="2"/>
  <c r="D304" i="2"/>
  <c r="D308" i="2"/>
  <c r="D312" i="2"/>
  <c r="D316" i="2"/>
  <c r="D320" i="2"/>
  <c r="D324" i="2"/>
  <c r="D328" i="2"/>
  <c r="D332" i="2"/>
  <c r="D336" i="2"/>
  <c r="D340" i="2"/>
  <c r="D344" i="2"/>
  <c r="F346" i="2"/>
  <c r="D348" i="2"/>
  <c r="D352" i="2"/>
  <c r="D356" i="2"/>
  <c r="D360" i="2"/>
  <c r="D364" i="2"/>
  <c r="D368" i="2"/>
  <c r="D372" i="2"/>
  <c r="D376" i="2"/>
  <c r="D380" i="2"/>
  <c r="D384" i="2"/>
  <c r="D388" i="2"/>
  <c r="D392" i="2"/>
  <c r="D396" i="2"/>
  <c r="D400" i="2"/>
  <c r="D404" i="2"/>
  <c r="D408" i="2"/>
  <c r="D412" i="2"/>
  <c r="D416" i="2"/>
  <c r="D420" i="2"/>
  <c r="D424" i="2"/>
  <c r="D428" i="2"/>
  <c r="D432" i="2"/>
  <c r="D436" i="2"/>
  <c r="D440" i="2"/>
  <c r="D444" i="2"/>
  <c r="D448" i="2"/>
  <c r="D452" i="2"/>
  <c r="D456" i="2"/>
  <c r="D460" i="2"/>
  <c r="D464" i="2"/>
  <c r="D468" i="2"/>
  <c r="D472" i="2"/>
  <c r="D476" i="2"/>
  <c r="D480" i="2"/>
  <c r="D484" i="2"/>
  <c r="D488" i="2"/>
  <c r="D492" i="2"/>
  <c r="D496" i="2"/>
  <c r="D500" i="2"/>
  <c r="D504" i="2"/>
  <c r="D508" i="2"/>
  <c r="D512" i="2"/>
  <c r="D3" i="2"/>
  <c r="D7" i="2"/>
  <c r="D11" i="2"/>
  <c r="D15" i="2"/>
  <c r="D19" i="2"/>
  <c r="D23" i="2"/>
  <c r="D27" i="2"/>
  <c r="D31" i="2"/>
  <c r="D35" i="2"/>
  <c r="D39" i="2"/>
  <c r="D43" i="2"/>
  <c r="D47" i="2"/>
  <c r="D51" i="2"/>
  <c r="D55" i="2"/>
  <c r="D59" i="2"/>
  <c r="H63" i="2"/>
  <c r="D63" i="2"/>
  <c r="D67" i="2"/>
  <c r="D71" i="2"/>
  <c r="D75" i="2"/>
  <c r="D79" i="2"/>
  <c r="D83" i="2"/>
  <c r="D87" i="2"/>
  <c r="D91" i="2"/>
  <c r="D95" i="2"/>
  <c r="D99" i="2"/>
  <c r="D103" i="2"/>
  <c r="D107" i="2"/>
  <c r="D111" i="2"/>
  <c r="D115" i="2"/>
  <c r="D119" i="2"/>
  <c r="D123" i="2"/>
  <c r="D127" i="2"/>
  <c r="D131" i="2"/>
  <c r="D135" i="2"/>
  <c r="D139" i="2"/>
  <c r="D143" i="2"/>
  <c r="D147" i="2"/>
  <c r="D151" i="2"/>
  <c r="D155" i="2"/>
  <c r="D159" i="2"/>
  <c r="D163" i="2"/>
  <c r="D167" i="2"/>
  <c r="D171" i="2"/>
  <c r="D175" i="2"/>
  <c r="D179" i="2"/>
  <c r="D183" i="2"/>
  <c r="D187" i="2"/>
  <c r="D191" i="2"/>
  <c r="D195" i="2"/>
  <c r="D199" i="2"/>
  <c r="D203" i="2"/>
  <c r="D207" i="2"/>
  <c r="D211" i="2"/>
  <c r="D215" i="2"/>
  <c r="D219" i="2"/>
  <c r="D223" i="2"/>
  <c r="D227" i="2"/>
  <c r="D231" i="2"/>
  <c r="D235" i="2"/>
  <c r="D239" i="2"/>
  <c r="D243" i="2"/>
  <c r="D247" i="2"/>
  <c r="D251" i="2"/>
  <c r="D255" i="2"/>
  <c r="D259" i="2"/>
  <c r="D263" i="2"/>
  <c r="D267" i="2"/>
  <c r="D271" i="2"/>
  <c r="D275" i="2"/>
  <c r="D279" i="2"/>
  <c r="D283" i="2"/>
  <c r="D287" i="2"/>
  <c r="D291" i="2"/>
  <c r="D295" i="2"/>
  <c r="D299" i="2"/>
  <c r="D303" i="2"/>
  <c r="D307" i="2"/>
  <c r="D311" i="2"/>
  <c r="D315" i="2"/>
  <c r="D319" i="2"/>
  <c r="D323" i="2"/>
  <c r="D327" i="2"/>
  <c r="D331" i="2"/>
  <c r="D335" i="2"/>
  <c r="D339" i="2"/>
  <c r="D343" i="2"/>
  <c r="F345" i="2"/>
  <c r="D347" i="2"/>
  <c r="D351" i="2"/>
  <c r="D355" i="2"/>
  <c r="D359" i="2"/>
  <c r="D363" i="2"/>
  <c r="D367" i="2"/>
  <c r="D371" i="2"/>
  <c r="D375" i="2"/>
  <c r="D379" i="2"/>
  <c r="D383" i="2"/>
  <c r="D387" i="2"/>
  <c r="D391" i="2"/>
  <c r="D395" i="2"/>
  <c r="D399" i="2"/>
  <c r="D403" i="2"/>
  <c r="D407" i="2"/>
  <c r="D411" i="2"/>
  <c r="D415" i="2"/>
  <c r="D419" i="2"/>
  <c r="D423" i="2"/>
  <c r="D427" i="2"/>
  <c r="D431" i="2"/>
  <c r="D435" i="2"/>
  <c r="D439" i="2"/>
  <c r="D443" i="2"/>
  <c r="D451" i="2"/>
  <c r="D455" i="2"/>
  <c r="D459" i="2"/>
  <c r="D463" i="2"/>
  <c r="D467" i="2"/>
  <c r="D471" i="2"/>
  <c r="D475" i="2"/>
  <c r="D479" i="2"/>
  <c r="D483" i="2"/>
  <c r="D487" i="2"/>
  <c r="D491" i="2"/>
  <c r="D495" i="2"/>
  <c r="D499" i="2"/>
  <c r="D503" i="2"/>
  <c r="D507" i="2"/>
  <c r="D511" i="2"/>
  <c r="D516" i="2"/>
  <c r="D520" i="2"/>
  <c r="D524" i="2"/>
  <c r="D528" i="2"/>
  <c r="D532" i="2"/>
  <c r="D536" i="2"/>
  <c r="D540" i="2"/>
  <c r="D544" i="2"/>
  <c r="D548" i="2"/>
  <c r="D552" i="2"/>
  <c r="D556" i="2"/>
  <c r="D560" i="2"/>
  <c r="D515" i="2"/>
  <c r="D519" i="2"/>
  <c r="D523" i="2"/>
  <c r="D527" i="2"/>
  <c r="D531" i="2"/>
  <c r="D535" i="2"/>
  <c r="D539" i="2"/>
  <c r="D543" i="2"/>
  <c r="D547" i="2"/>
  <c r="D551" i="2"/>
  <c r="D555" i="2"/>
  <c r="D559" i="2"/>
</calcChain>
</file>

<file path=xl/sharedStrings.xml><?xml version="1.0" encoding="utf-8"?>
<sst xmlns="http://schemas.openxmlformats.org/spreadsheetml/2006/main" count="9688" uniqueCount="1956">
  <si>
    <t>품번색상</t>
  </si>
  <si>
    <t>사이즈</t>
  </si>
  <si>
    <t>OSM</t>
  </si>
  <si>
    <t>OML</t>
  </si>
  <si>
    <t>FRE</t>
  </si>
  <si>
    <t>LXL</t>
  </si>
  <si>
    <t>OXS</t>
  </si>
  <si>
    <t>OSS</t>
  </si>
  <si>
    <t>OMM</t>
  </si>
  <si>
    <t>OLL</t>
  </si>
  <si>
    <t>OXL</t>
  </si>
  <si>
    <t>러닝/신규</t>
    <phoneticPr fontId="1" type="noConversion"/>
  </si>
  <si>
    <t>리오더</t>
  </si>
  <si>
    <t>분류</t>
  </si>
  <si>
    <t>M</t>
  </si>
  <si>
    <t>B</t>
  </si>
  <si>
    <t>순서</t>
    <phoneticPr fontId="1" type="noConversion"/>
  </si>
  <si>
    <t>데이터</t>
  </si>
  <si>
    <t xml:space="preserve"> 색상수</t>
  </si>
  <si>
    <t>NIX</t>
  </si>
  <si>
    <t>ELS</t>
  </si>
  <si>
    <t>HCU</t>
  </si>
  <si>
    <t>BRO</t>
  </si>
  <si>
    <t>PLA</t>
  </si>
  <si>
    <t>SMB</t>
  </si>
  <si>
    <t>WTR</t>
  </si>
  <si>
    <t>NOV</t>
  </si>
  <si>
    <t>VBL</t>
  </si>
  <si>
    <t>BMD</t>
  </si>
  <si>
    <t>JIL</t>
  </si>
  <si>
    <t>JOI</t>
  </si>
  <si>
    <t>GOO</t>
  </si>
  <si>
    <t>GRA</t>
  </si>
  <si>
    <t>BIL</t>
  </si>
  <si>
    <t>NEWERA</t>
  </si>
  <si>
    <t>TRU</t>
  </si>
  <si>
    <t>TS</t>
  </si>
  <si>
    <t>TWINS</t>
  </si>
  <si>
    <t>TWI</t>
  </si>
  <si>
    <t>총합계</t>
  </si>
  <si>
    <t xml:space="preserve"> 입고수량</t>
  </si>
  <si>
    <t xml:space="preserve"> 미입고수량</t>
  </si>
  <si>
    <t>0</t>
  </si>
  <si>
    <t>품목</t>
    <phoneticPr fontId="1" type="noConversion"/>
  </si>
  <si>
    <t>BZ</t>
  </si>
  <si>
    <t>COP CARDINALS</t>
  </si>
  <si>
    <t>SPORTS</t>
  </si>
  <si>
    <t>CA</t>
  </si>
  <si>
    <t>BASIC CAP (핀치히터)</t>
  </si>
  <si>
    <t>BA</t>
  </si>
  <si>
    <t>BASIC CAP</t>
  </si>
  <si>
    <t>A</t>
  </si>
  <si>
    <t>001</t>
  </si>
  <si>
    <t>B0</t>
  </si>
  <si>
    <t>BK</t>
  </si>
  <si>
    <t>Black</t>
  </si>
  <si>
    <t>OSFA(ADJUST CAP)</t>
  </si>
  <si>
    <t>사입</t>
  </si>
  <si>
    <t>남자</t>
  </si>
  <si>
    <t>CN</t>
  </si>
  <si>
    <t>중국</t>
  </si>
  <si>
    <t>BH</t>
  </si>
  <si>
    <t>COP INDIANS</t>
  </si>
  <si>
    <t>CS</t>
  </si>
  <si>
    <t>VISOR CAP</t>
  </si>
  <si>
    <t>002</t>
  </si>
  <si>
    <t>B1</t>
  </si>
  <si>
    <t>Black Camo</t>
  </si>
  <si>
    <t>N</t>
  </si>
  <si>
    <t>XS</t>
  </si>
  <si>
    <t>C</t>
  </si>
  <si>
    <t>위탁</t>
  </si>
  <si>
    <t>W</t>
  </si>
  <si>
    <t>여자</t>
  </si>
  <si>
    <t>JP</t>
  </si>
  <si>
    <t>일본</t>
  </si>
  <si>
    <t>BR</t>
  </si>
  <si>
    <t>COP METS</t>
  </si>
  <si>
    <t>CC</t>
  </si>
  <si>
    <t>FLEX CAP (3930)</t>
  </si>
  <si>
    <t>FL</t>
  </si>
  <si>
    <t>FLEX CAP</t>
  </si>
  <si>
    <t>003</t>
  </si>
  <si>
    <t>B2</t>
  </si>
  <si>
    <t>Black Leopard</t>
  </si>
  <si>
    <t>S</t>
  </si>
  <si>
    <t>제조</t>
  </si>
  <si>
    <t>U</t>
  </si>
  <si>
    <t>UNISEX</t>
  </si>
  <si>
    <t>KR</t>
  </si>
  <si>
    <t>한국</t>
  </si>
  <si>
    <t>BC</t>
  </si>
  <si>
    <t>COP ORIOLES</t>
  </si>
  <si>
    <t>CD</t>
  </si>
  <si>
    <t>NORMAL FITTED CAP (커브)</t>
  </si>
  <si>
    <t>D</t>
  </si>
  <si>
    <t>004</t>
  </si>
  <si>
    <t>B3</t>
  </si>
  <si>
    <t>Black/White</t>
  </si>
  <si>
    <t>K</t>
  </si>
  <si>
    <t>KIDS</t>
  </si>
  <si>
    <t>US</t>
  </si>
  <si>
    <t>미국</t>
  </si>
  <si>
    <t>BJ</t>
  </si>
  <si>
    <t>COP TIGERS</t>
  </si>
  <si>
    <t>CE</t>
  </si>
  <si>
    <t>FLAT BILL FITTED CAP(5950)</t>
  </si>
  <si>
    <t>FI</t>
  </si>
  <si>
    <t>FITTED CAP</t>
  </si>
  <si>
    <t>E</t>
  </si>
  <si>
    <t>005</t>
  </si>
  <si>
    <t>B4</t>
  </si>
  <si>
    <t>Black/Flann</t>
  </si>
  <si>
    <t>L</t>
  </si>
  <si>
    <t>KC</t>
  </si>
  <si>
    <t>KDO</t>
  </si>
  <si>
    <t>DOOSAN BEARS</t>
  </si>
  <si>
    <t>CU</t>
  </si>
  <si>
    <t>FLAT BILL FLEX CAP(일자)</t>
  </si>
  <si>
    <t>F</t>
  </si>
  <si>
    <t>006</t>
  </si>
  <si>
    <t>B5</t>
  </si>
  <si>
    <t>Dark Flann</t>
  </si>
  <si>
    <t>XL</t>
  </si>
  <si>
    <t>AUTHENTIC</t>
  </si>
  <si>
    <t>ZCD</t>
  </si>
  <si>
    <t>EUR BARCELONA</t>
  </si>
  <si>
    <t>DA</t>
  </si>
  <si>
    <t>FLAT BILL FITTED BASIC (BLANK 5950)</t>
  </si>
  <si>
    <t>G</t>
  </si>
  <si>
    <t>3</t>
  </si>
  <si>
    <t>007</t>
  </si>
  <si>
    <t>B6</t>
  </si>
  <si>
    <t>Loden</t>
  </si>
  <si>
    <t>O</t>
  </si>
  <si>
    <t>S~M</t>
  </si>
  <si>
    <t>ZCA</t>
  </si>
  <si>
    <t>EUR MUCHESTER</t>
  </si>
  <si>
    <t>CB</t>
  </si>
  <si>
    <t>WASHED CAP (워싱캡)</t>
  </si>
  <si>
    <t>WC</t>
  </si>
  <si>
    <t>WASHED CAP</t>
  </si>
  <si>
    <t>H</t>
  </si>
  <si>
    <t>008</t>
  </si>
  <si>
    <t>B7</t>
  </si>
  <si>
    <t>Pine X</t>
  </si>
  <si>
    <t>P</t>
  </si>
  <si>
    <t>M~L</t>
  </si>
  <si>
    <t>KH</t>
  </si>
  <si>
    <t>KHA</t>
  </si>
  <si>
    <t>HANWHA EAGLES</t>
  </si>
  <si>
    <t>CF</t>
  </si>
  <si>
    <t>TRUCKER CAP</t>
  </si>
  <si>
    <t>TR</t>
  </si>
  <si>
    <t>I</t>
  </si>
  <si>
    <t>009</t>
  </si>
  <si>
    <t>B8</t>
  </si>
  <si>
    <t xml:space="preserve">Block </t>
  </si>
  <si>
    <t>Q</t>
  </si>
  <si>
    <t>L~XL</t>
  </si>
  <si>
    <t>KA</t>
  </si>
  <si>
    <t>KKI</t>
  </si>
  <si>
    <t>KIA TIGERS</t>
  </si>
  <si>
    <t>CV</t>
  </si>
  <si>
    <t>MESH CAP(커브)</t>
  </si>
  <si>
    <t>J</t>
  </si>
  <si>
    <t>010</t>
  </si>
  <si>
    <t>B9</t>
  </si>
  <si>
    <t>BU</t>
  </si>
  <si>
    <t>Burgundy</t>
  </si>
  <si>
    <t>KG</t>
  </si>
  <si>
    <t>KLG</t>
  </si>
  <si>
    <t>LG TWINS</t>
  </si>
  <si>
    <t>CW</t>
  </si>
  <si>
    <t>FLAT BILL MESH CAP(일자)</t>
  </si>
  <si>
    <t>PLAID BLACK</t>
  </si>
  <si>
    <t>7(56CM)</t>
  </si>
  <si>
    <t>KD</t>
  </si>
  <si>
    <t>KLO</t>
  </si>
  <si>
    <t>LOTTE GIANTS</t>
  </si>
  <si>
    <t>DB</t>
  </si>
  <si>
    <t>FLAT BILL TRUCKER CAP</t>
  </si>
  <si>
    <t>BB</t>
  </si>
  <si>
    <t>Black/Red</t>
  </si>
  <si>
    <t>71/8(57CM)</t>
  </si>
  <si>
    <t>AO</t>
  </si>
  <si>
    <t>NAN</t>
  </si>
  <si>
    <t>MLB ANGELS</t>
  </si>
  <si>
    <t>CZ</t>
  </si>
  <si>
    <t>UMPIRE</t>
  </si>
  <si>
    <t>UM</t>
  </si>
  <si>
    <t>C1</t>
  </si>
  <si>
    <t>BG</t>
  </si>
  <si>
    <t>Beige</t>
  </si>
  <si>
    <t>71/4(58CM)</t>
  </si>
  <si>
    <t>AU</t>
  </si>
  <si>
    <t>NAS</t>
  </si>
  <si>
    <t>MLB A'S</t>
  </si>
  <si>
    <t>CG</t>
  </si>
  <si>
    <t>PERFORMANCE CAP(기능성)</t>
  </si>
  <si>
    <t>PE</t>
  </si>
  <si>
    <t>PERFORMANCE CAP</t>
  </si>
  <si>
    <t>C2</t>
  </si>
  <si>
    <t>Putty</t>
  </si>
  <si>
    <t>73/8(59CM)</t>
  </si>
  <si>
    <t>AM</t>
  </si>
  <si>
    <t>NAT</t>
  </si>
  <si>
    <t>MLB ASTROS</t>
  </si>
  <si>
    <t>CI</t>
  </si>
  <si>
    <t>MILITARY CAP</t>
  </si>
  <si>
    <t>MI</t>
  </si>
  <si>
    <t>C3</t>
  </si>
  <si>
    <t>Sand</t>
  </si>
  <si>
    <t>71/2(60CM)</t>
  </si>
  <si>
    <t>A4</t>
  </si>
  <si>
    <t>NBL</t>
  </si>
  <si>
    <t>MLB BLUEJAYS</t>
  </si>
  <si>
    <t>CK</t>
  </si>
  <si>
    <t>FEDORA</t>
  </si>
  <si>
    <t>FE</t>
  </si>
  <si>
    <t>C4</t>
  </si>
  <si>
    <t>Khaki</t>
  </si>
  <si>
    <t>75/8(61CM)</t>
  </si>
  <si>
    <t>AC</t>
  </si>
  <si>
    <t>NBR</t>
  </si>
  <si>
    <t>MLB BRAVES</t>
  </si>
  <si>
    <t>CL</t>
  </si>
  <si>
    <t>HUNTING CAP</t>
  </si>
  <si>
    <t>HU</t>
  </si>
  <si>
    <t>C5</t>
  </si>
  <si>
    <t>Café</t>
  </si>
  <si>
    <t>73/4(62CM)</t>
  </si>
  <si>
    <t>AQ</t>
  </si>
  <si>
    <t>NBE</t>
  </si>
  <si>
    <t>MLB BREWERS</t>
  </si>
  <si>
    <t>CT</t>
  </si>
  <si>
    <t>CASQUETTE</t>
  </si>
  <si>
    <t>C6</t>
  </si>
  <si>
    <t>BW</t>
  </si>
  <si>
    <t>Brown</t>
  </si>
  <si>
    <t>77/8(63CM)</t>
  </si>
  <si>
    <t>A1</t>
  </si>
  <si>
    <t>NCA</t>
  </si>
  <si>
    <t>MLB CARDINALS</t>
  </si>
  <si>
    <t>CM</t>
  </si>
  <si>
    <t>BERET</t>
  </si>
  <si>
    <t>C7</t>
  </si>
  <si>
    <t>Dk.Brown</t>
  </si>
  <si>
    <t>8(64CM)</t>
  </si>
  <si>
    <t>AF</t>
  </si>
  <si>
    <t>NCU</t>
  </si>
  <si>
    <t>MLB CUBS</t>
  </si>
  <si>
    <t>CJ</t>
  </si>
  <si>
    <t>FASHION HAT</t>
  </si>
  <si>
    <t>FA</t>
  </si>
  <si>
    <t>C8</t>
  </si>
  <si>
    <t>Light.Brown</t>
  </si>
  <si>
    <t>AB</t>
  </si>
  <si>
    <t>NDB</t>
  </si>
  <si>
    <t>MLB D'BACKS</t>
  </si>
  <si>
    <t>CX</t>
  </si>
  <si>
    <t>PAPER 소재로 된 것.</t>
  </si>
  <si>
    <t>C9</t>
  </si>
  <si>
    <t>Metalic Bronze</t>
  </si>
  <si>
    <t>6(48CM)</t>
  </si>
  <si>
    <t>A2</t>
  </si>
  <si>
    <t>NDE</t>
  </si>
  <si>
    <t>MLB DEVILSRAYS</t>
  </si>
  <si>
    <t>CY</t>
  </si>
  <si>
    <t>Trim이 길고 펄럭임</t>
  </si>
  <si>
    <t xml:space="preserve">Brown Leopard </t>
  </si>
  <si>
    <t>61/8(49CM)</t>
  </si>
  <si>
    <t>AP</t>
  </si>
  <si>
    <t>NDO</t>
  </si>
  <si>
    <t>MLB DODGERS</t>
  </si>
  <si>
    <t>CH</t>
  </si>
  <si>
    <t>BUCKET</t>
  </si>
  <si>
    <t>Dk.Khaki</t>
  </si>
  <si>
    <t>61/4(50CM)</t>
  </si>
  <si>
    <t>AY</t>
  </si>
  <si>
    <t>NGI</t>
  </si>
  <si>
    <t>MLB GIANTS</t>
  </si>
  <si>
    <t>NORMAL BEANIE</t>
  </si>
  <si>
    <t>BE</t>
  </si>
  <si>
    <t>BEANIE</t>
  </si>
  <si>
    <t>Chocolate</t>
  </si>
  <si>
    <t>63/8(51CM)</t>
  </si>
  <si>
    <t>AI</t>
  </si>
  <si>
    <t>NIN</t>
  </si>
  <si>
    <t>MLB INDIANS</t>
  </si>
  <si>
    <t>CO</t>
  </si>
  <si>
    <t>REVERSABLE BEANIE</t>
  </si>
  <si>
    <t>Walnut</t>
  </si>
  <si>
    <t>61/2(52CM)</t>
  </si>
  <si>
    <t>AZ</t>
  </si>
  <si>
    <t>NMR</t>
  </si>
  <si>
    <t>MLB MARINERS</t>
  </si>
  <si>
    <t>CR</t>
  </si>
  <si>
    <t>CUFF KNIT BEANIE</t>
  </si>
  <si>
    <t>CAMEL</t>
  </si>
  <si>
    <t>65/8(53CM)</t>
  </si>
  <si>
    <t>AL</t>
  </si>
  <si>
    <t>NMA</t>
  </si>
  <si>
    <t>MLB MARLINS</t>
  </si>
  <si>
    <t>CP</t>
  </si>
  <si>
    <t>VISOR BEANIE (챙비니)</t>
  </si>
  <si>
    <t>VB</t>
  </si>
  <si>
    <t>VISOR BEANIE</t>
  </si>
  <si>
    <t>PLAID BROWN</t>
  </si>
  <si>
    <t>63/4(54CM)</t>
  </si>
  <si>
    <t>AS</t>
  </si>
  <si>
    <t>NME</t>
  </si>
  <si>
    <t>MLB METS</t>
  </si>
  <si>
    <t>CQ</t>
  </si>
  <si>
    <t>EARFLAP BEANIE</t>
  </si>
  <si>
    <t>EB</t>
  </si>
  <si>
    <t>E0</t>
  </si>
  <si>
    <t>GY</t>
  </si>
  <si>
    <t>Grey</t>
  </si>
  <si>
    <t>67/8(55CM)</t>
  </si>
  <si>
    <t>A5</t>
  </si>
  <si>
    <t>NNA</t>
  </si>
  <si>
    <t>MLB NATIONALS</t>
  </si>
  <si>
    <t>EARCAP</t>
  </si>
  <si>
    <t>ER</t>
  </si>
  <si>
    <t>E1</t>
  </si>
  <si>
    <t>Light Grey</t>
  </si>
  <si>
    <t>AD</t>
  </si>
  <si>
    <t>NOR</t>
  </si>
  <si>
    <t>MLB ORIOLES</t>
  </si>
  <si>
    <t>TROOPER</t>
  </si>
  <si>
    <t>TP</t>
  </si>
  <si>
    <t>E2</t>
  </si>
  <si>
    <t>Dk.Grey</t>
  </si>
  <si>
    <t>AX</t>
  </si>
  <si>
    <t>NPA</t>
  </si>
  <si>
    <t>MLB PADRES</t>
  </si>
  <si>
    <t>EA</t>
  </si>
  <si>
    <t>KNIT MUFFLER</t>
  </si>
  <si>
    <t>MU</t>
  </si>
  <si>
    <t>MUFFLER</t>
  </si>
  <si>
    <t>E3</t>
  </si>
  <si>
    <t>C.Coal Grey</t>
  </si>
  <si>
    <t>AV</t>
  </si>
  <si>
    <t>NPH</t>
  </si>
  <si>
    <t>MLB PHILLIES</t>
  </si>
  <si>
    <t>HOOD MUFFLER</t>
  </si>
  <si>
    <t>E4</t>
  </si>
  <si>
    <t>Gunmetal</t>
  </si>
  <si>
    <t>AW</t>
  </si>
  <si>
    <t>NPI</t>
  </si>
  <si>
    <t>MLB PIRATES</t>
  </si>
  <si>
    <t>EC</t>
  </si>
  <si>
    <t>SCARF</t>
  </si>
  <si>
    <t>E5</t>
  </si>
  <si>
    <t>PLAID GREY</t>
  </si>
  <si>
    <t>A3</t>
  </si>
  <si>
    <t>NRA</t>
  </si>
  <si>
    <t>MLB RANGERS</t>
  </si>
  <si>
    <t>WARMER</t>
  </si>
  <si>
    <t>WA</t>
  </si>
  <si>
    <t>E6</t>
  </si>
  <si>
    <t>Light Beige</t>
  </si>
  <si>
    <t>AH</t>
  </si>
  <si>
    <t>NRD</t>
  </si>
  <si>
    <t>MLB REDS</t>
  </si>
  <si>
    <t>ED</t>
  </si>
  <si>
    <t>MITTEN(장갑)</t>
  </si>
  <si>
    <t>MITTEN</t>
  </si>
  <si>
    <t>G0</t>
  </si>
  <si>
    <t>MT</t>
  </si>
  <si>
    <t>Mint</t>
  </si>
  <si>
    <t>AE</t>
  </si>
  <si>
    <t>NRE</t>
  </si>
  <si>
    <t>MLB REDSOX</t>
  </si>
  <si>
    <t>CAP CARRIER(모자 휴대가방)</t>
  </si>
  <si>
    <t>CAP CARRIER</t>
  </si>
  <si>
    <t>G1</t>
  </si>
  <si>
    <t>GR</t>
  </si>
  <si>
    <t>Green</t>
  </si>
  <si>
    <t>AJ</t>
  </si>
  <si>
    <t>NRO</t>
  </si>
  <si>
    <t>MLB ROCKIES</t>
  </si>
  <si>
    <t>FB</t>
  </si>
  <si>
    <t>CAP SPRAY(모자 세정액)</t>
  </si>
  <si>
    <t>CAP SPRAY</t>
  </si>
  <si>
    <t>G2</t>
  </si>
  <si>
    <t>Olive</t>
  </si>
  <si>
    <t>AN</t>
  </si>
  <si>
    <t>NRY</t>
  </si>
  <si>
    <t>MLB ROYALS</t>
  </si>
  <si>
    <t>FC</t>
  </si>
  <si>
    <t>DP cap (빅모자)</t>
  </si>
  <si>
    <t>DC</t>
  </si>
  <si>
    <t xml:space="preserve">DP cap </t>
  </si>
  <si>
    <t>G3</t>
  </si>
  <si>
    <t>New Olive</t>
  </si>
  <si>
    <t>AK</t>
  </si>
  <si>
    <t>NTI</t>
  </si>
  <si>
    <t>MLB TIGERS</t>
  </si>
  <si>
    <t>액서사리</t>
  </si>
  <si>
    <t>ACC</t>
  </si>
  <si>
    <t>G4</t>
  </si>
  <si>
    <t>Light Olive</t>
  </si>
  <si>
    <t>AR</t>
  </si>
  <si>
    <t>NTW</t>
  </si>
  <si>
    <t>MLB TWINS</t>
  </si>
  <si>
    <t>반팔</t>
  </si>
  <si>
    <t>G5</t>
  </si>
  <si>
    <t>P.Green</t>
  </si>
  <si>
    <t>AG</t>
  </si>
  <si>
    <t>NWS</t>
  </si>
  <si>
    <t>MLB W'SOX</t>
  </si>
  <si>
    <t>긴팔</t>
  </si>
  <si>
    <t>TL</t>
  </si>
  <si>
    <t>G6</t>
  </si>
  <si>
    <t>R.Green</t>
  </si>
  <si>
    <t>AT</t>
  </si>
  <si>
    <t>NYA</t>
  </si>
  <si>
    <t>MLB YANKEES</t>
  </si>
  <si>
    <t>후드티</t>
  </si>
  <si>
    <t>TH</t>
  </si>
  <si>
    <t>G7</t>
  </si>
  <si>
    <t>Deep Green</t>
  </si>
  <si>
    <t>AA</t>
  </si>
  <si>
    <t>NEW</t>
  </si>
  <si>
    <t>NEW ERA</t>
  </si>
  <si>
    <t>HP</t>
  </si>
  <si>
    <t>G8</t>
  </si>
  <si>
    <t>Green Checker</t>
  </si>
  <si>
    <t>KF</t>
  </si>
  <si>
    <t>KNE</t>
  </si>
  <si>
    <t>NEXEN HEROES</t>
  </si>
  <si>
    <t>야구점퍼</t>
  </si>
  <si>
    <t>G9</t>
  </si>
  <si>
    <t>Dk. Green</t>
  </si>
  <si>
    <t>KE</t>
  </si>
  <si>
    <t>KSA</t>
  </si>
  <si>
    <t>SAMSUNG LIONS</t>
  </si>
  <si>
    <t>FF</t>
  </si>
  <si>
    <t>쪼리</t>
  </si>
  <si>
    <t>GA</t>
  </si>
  <si>
    <t>Olive Camo</t>
  </si>
  <si>
    <t>KB</t>
  </si>
  <si>
    <t>KSK</t>
  </si>
  <si>
    <t>SK WYVERNS</t>
  </si>
  <si>
    <t>BP</t>
  </si>
  <si>
    <t>백팩</t>
  </si>
  <si>
    <t>GB</t>
  </si>
  <si>
    <t>Army</t>
  </si>
  <si>
    <t>GC</t>
  </si>
  <si>
    <t>Spruce</t>
  </si>
  <si>
    <t>N0</t>
  </si>
  <si>
    <t>NY</t>
  </si>
  <si>
    <t>Navy</t>
  </si>
  <si>
    <t>VOL</t>
  </si>
  <si>
    <t>VOLCOM</t>
  </si>
  <si>
    <t>N1</t>
  </si>
  <si>
    <t>Dk.Navy</t>
  </si>
  <si>
    <t>BILLABONG</t>
  </si>
  <si>
    <t>N2</t>
  </si>
  <si>
    <t>PP</t>
  </si>
  <si>
    <t>Purple</t>
  </si>
  <si>
    <t>QSV</t>
  </si>
  <si>
    <t>QUIKSILVER</t>
  </si>
  <si>
    <t>N3</t>
  </si>
  <si>
    <t>Dk.Purple</t>
  </si>
  <si>
    <t>FD</t>
  </si>
  <si>
    <t>ROX</t>
  </si>
  <si>
    <t>ROXY</t>
  </si>
  <si>
    <t>N4</t>
  </si>
  <si>
    <t>VIOLET</t>
  </si>
  <si>
    <t>GRACEHAT</t>
  </si>
  <si>
    <t>N5</t>
  </si>
  <si>
    <t>Magenta Checker</t>
  </si>
  <si>
    <t>N6</t>
  </si>
  <si>
    <t>Navy Checker</t>
  </si>
  <si>
    <t>F-HAT</t>
  </si>
  <si>
    <t>N7</t>
  </si>
  <si>
    <t>Light Purple</t>
  </si>
  <si>
    <t>BUT</t>
  </si>
  <si>
    <t>BURTON</t>
  </si>
  <si>
    <t>N8</t>
  </si>
  <si>
    <t>Navy Stripe</t>
  </si>
  <si>
    <t>FG</t>
  </si>
  <si>
    <t>ZZZ</t>
  </si>
  <si>
    <t>FOX RACING</t>
  </si>
  <si>
    <t>N9</t>
  </si>
  <si>
    <t>Marine</t>
  </si>
  <si>
    <t>FH</t>
  </si>
  <si>
    <t>HURLEY</t>
  </si>
  <si>
    <t>NA</t>
  </si>
  <si>
    <t>Mage</t>
  </si>
  <si>
    <t>STU</t>
  </si>
  <si>
    <t>STUSSY</t>
  </si>
  <si>
    <t>NB</t>
  </si>
  <si>
    <t>MULTI</t>
  </si>
  <si>
    <t>FJ</t>
  </si>
  <si>
    <t>NIXON</t>
  </si>
  <si>
    <t>R0</t>
  </si>
  <si>
    <t>RE</t>
  </si>
  <si>
    <t>Red</t>
  </si>
  <si>
    <t>FK</t>
  </si>
  <si>
    <t>D.C</t>
  </si>
  <si>
    <t>R1</t>
  </si>
  <si>
    <t>Maroon</t>
  </si>
  <si>
    <t>ANA</t>
  </si>
  <si>
    <t>ANALOG</t>
  </si>
  <si>
    <t>R2</t>
  </si>
  <si>
    <t>Wine</t>
  </si>
  <si>
    <t>FM</t>
  </si>
  <si>
    <t>ADA</t>
  </si>
  <si>
    <t>ADIDAS</t>
  </si>
  <si>
    <t>R3</t>
  </si>
  <si>
    <t>PK</t>
  </si>
  <si>
    <t>Pink</t>
  </si>
  <si>
    <t>FN</t>
  </si>
  <si>
    <t>NKE</t>
  </si>
  <si>
    <t>NIKE</t>
  </si>
  <si>
    <t>R4</t>
  </si>
  <si>
    <t>Light Pink</t>
  </si>
  <si>
    <t>FO</t>
  </si>
  <si>
    <t>PUM</t>
  </si>
  <si>
    <t>PUMA</t>
  </si>
  <si>
    <t>R5</t>
  </si>
  <si>
    <t>Hot Pink</t>
  </si>
  <si>
    <t>FP</t>
  </si>
  <si>
    <t>7 UNION</t>
  </si>
  <si>
    <t>R6</t>
  </si>
  <si>
    <t>Metalic Pink</t>
  </si>
  <si>
    <t>FQ</t>
  </si>
  <si>
    <t>SUPRA</t>
  </si>
  <si>
    <t>R7</t>
  </si>
  <si>
    <t>Pink Leopard</t>
  </si>
  <si>
    <t>FR</t>
  </si>
  <si>
    <t>KR3W</t>
  </si>
  <si>
    <t>R8</t>
  </si>
  <si>
    <t>Pearl Pink</t>
  </si>
  <si>
    <t>FS</t>
  </si>
  <si>
    <t>C1RCA</t>
  </si>
  <si>
    <t>R9</t>
  </si>
  <si>
    <t>Fuchsia Pink</t>
  </si>
  <si>
    <t>FY</t>
  </si>
  <si>
    <t>RIP CURL</t>
  </si>
  <si>
    <t>RA</t>
  </si>
  <si>
    <t>Lava</t>
  </si>
  <si>
    <t>FZ</t>
  </si>
  <si>
    <t>ES</t>
  </si>
  <si>
    <t>RB</t>
  </si>
  <si>
    <t>PLAID RED</t>
  </si>
  <si>
    <t>F0</t>
  </si>
  <si>
    <t>DRA</t>
  </si>
  <si>
    <t>DRAGON</t>
  </si>
  <si>
    <t>U0</t>
  </si>
  <si>
    <t>BL</t>
  </si>
  <si>
    <t>Blue</t>
  </si>
  <si>
    <t>F1</t>
  </si>
  <si>
    <t>HUF</t>
  </si>
  <si>
    <t>U1</t>
  </si>
  <si>
    <t>Light.Blue</t>
  </si>
  <si>
    <t>F2</t>
  </si>
  <si>
    <t>HUN</t>
  </si>
  <si>
    <t>HUNDREDS</t>
  </si>
  <si>
    <t>U2</t>
  </si>
  <si>
    <t>Deep.Blue</t>
  </si>
  <si>
    <t>F3</t>
  </si>
  <si>
    <t>TROPICAL SOUND</t>
  </si>
  <si>
    <t>U3</t>
  </si>
  <si>
    <t>Sky Blue</t>
  </si>
  <si>
    <t>F4</t>
  </si>
  <si>
    <t>U4</t>
  </si>
  <si>
    <t>Indigo</t>
  </si>
  <si>
    <t>U5</t>
  </si>
  <si>
    <t>Royal</t>
  </si>
  <si>
    <t>U6</t>
  </si>
  <si>
    <t>Dk Blue</t>
  </si>
  <si>
    <t>F5</t>
  </si>
  <si>
    <t>CRO</t>
  </si>
  <si>
    <t>CROOKS &amp; CASTLE</t>
  </si>
  <si>
    <t>U7</t>
  </si>
  <si>
    <t>Royal Blue</t>
  </si>
  <si>
    <t>F6</t>
  </si>
  <si>
    <t>ELECTRIC</t>
  </si>
  <si>
    <t>U8</t>
  </si>
  <si>
    <t>Teal</t>
  </si>
  <si>
    <t>F7</t>
  </si>
  <si>
    <t>GRAVIS</t>
  </si>
  <si>
    <t>U9</t>
  </si>
  <si>
    <t>CYPRESS</t>
  </si>
  <si>
    <t>F8</t>
  </si>
  <si>
    <t>OFFICIAL</t>
  </si>
  <si>
    <t>W0</t>
  </si>
  <si>
    <t>WH</t>
  </si>
  <si>
    <t>White</t>
  </si>
  <si>
    <t>SHIFT</t>
  </si>
  <si>
    <t>W1</t>
  </si>
  <si>
    <t>SL</t>
  </si>
  <si>
    <t xml:space="preserve">Silver </t>
  </si>
  <si>
    <t>W2</t>
  </si>
  <si>
    <t>Metalic Silver</t>
  </si>
  <si>
    <t>F-CAP</t>
  </si>
  <si>
    <t>W3</t>
  </si>
  <si>
    <t>IV</t>
  </si>
  <si>
    <t>Ivory</t>
  </si>
  <si>
    <t>DAK</t>
  </si>
  <si>
    <t>DAKINE</t>
  </si>
  <si>
    <t>W4</t>
  </si>
  <si>
    <t>White/Grey</t>
  </si>
  <si>
    <t>GD</t>
  </si>
  <si>
    <t>OAKLEY</t>
  </si>
  <si>
    <t>W5</t>
  </si>
  <si>
    <t>White/DK.Grey</t>
  </si>
  <si>
    <t>GE</t>
  </si>
  <si>
    <t>EDH</t>
  </si>
  <si>
    <t>ED HARDY</t>
  </si>
  <si>
    <t>Y0</t>
  </si>
  <si>
    <t>YE</t>
  </si>
  <si>
    <t>Yellow</t>
  </si>
  <si>
    <t>GF</t>
  </si>
  <si>
    <t>ITALY</t>
  </si>
  <si>
    <t>Y1</t>
  </si>
  <si>
    <t>Ab.Yellow</t>
  </si>
  <si>
    <t>GG</t>
  </si>
  <si>
    <t>UNDER AMOUR</t>
  </si>
  <si>
    <t>Y2</t>
  </si>
  <si>
    <t>Gold</t>
  </si>
  <si>
    <t>GH</t>
  </si>
  <si>
    <t>NEW BALANCE</t>
  </si>
  <si>
    <t>Y3</t>
  </si>
  <si>
    <t>Old Gold</t>
  </si>
  <si>
    <t>GI</t>
  </si>
  <si>
    <t>O'NEILL</t>
  </si>
  <si>
    <t>Y4</t>
  </si>
  <si>
    <t>Pumpkin</t>
  </si>
  <si>
    <t>GJ</t>
  </si>
  <si>
    <t>KAN</t>
  </si>
  <si>
    <t>KANGOL</t>
  </si>
  <si>
    <t>Y5</t>
  </si>
  <si>
    <t>OR</t>
  </si>
  <si>
    <t>Orange</t>
  </si>
  <si>
    <t>GK</t>
  </si>
  <si>
    <t>A.KURTZ</t>
  </si>
  <si>
    <t>Y6</t>
  </si>
  <si>
    <t>BT Orange</t>
  </si>
  <si>
    <t>GL</t>
  </si>
  <si>
    <t>THE NORTH FACE</t>
  </si>
  <si>
    <t>Y7</t>
  </si>
  <si>
    <t>Mustard</t>
  </si>
  <si>
    <t>GM</t>
  </si>
  <si>
    <t>OBEY</t>
  </si>
  <si>
    <t>WES</t>
  </si>
  <si>
    <t>WESC</t>
  </si>
  <si>
    <t>GS</t>
  </si>
  <si>
    <t>BRONER</t>
  </si>
  <si>
    <t>GZ</t>
  </si>
  <si>
    <t>Y8</t>
  </si>
  <si>
    <t>V-Gold</t>
  </si>
  <si>
    <t>RVC</t>
  </si>
  <si>
    <t>RVCA</t>
  </si>
  <si>
    <t>Z0</t>
  </si>
  <si>
    <t>Blue denim</t>
  </si>
  <si>
    <t>Z1</t>
  </si>
  <si>
    <t>Black denim</t>
  </si>
  <si>
    <t>Z2</t>
  </si>
  <si>
    <t>Crayon 1</t>
  </si>
  <si>
    <t>Z3</t>
  </si>
  <si>
    <t>Crayon 2</t>
  </si>
  <si>
    <t>Z4</t>
  </si>
  <si>
    <t>Control Check</t>
  </si>
  <si>
    <t>Z5</t>
  </si>
  <si>
    <t>Tobacco</t>
  </si>
  <si>
    <t>Z6</t>
  </si>
  <si>
    <t>Nature</t>
  </si>
  <si>
    <t>Z7</t>
  </si>
  <si>
    <t>Oyster</t>
  </si>
  <si>
    <t>FT</t>
  </si>
  <si>
    <t>PLAYBOY</t>
  </si>
  <si>
    <t>ZZ</t>
  </si>
  <si>
    <t>FU</t>
  </si>
  <si>
    <t>UPO</t>
  </si>
  <si>
    <t>US POLO</t>
  </si>
  <si>
    <t>LI</t>
  </si>
  <si>
    <t>LIME</t>
  </si>
  <si>
    <t>FV</t>
  </si>
  <si>
    <t>ECK</t>
  </si>
  <si>
    <t>ECKO</t>
  </si>
  <si>
    <t>KP</t>
  </si>
  <si>
    <t>Black point</t>
  </si>
  <si>
    <t>FW</t>
  </si>
  <si>
    <t>EUR</t>
  </si>
  <si>
    <t>EURO</t>
  </si>
  <si>
    <t>WP</t>
  </si>
  <si>
    <t>Brown point</t>
  </si>
  <si>
    <t>FX</t>
  </si>
  <si>
    <t>LID</t>
  </si>
  <si>
    <t>LIDS</t>
  </si>
  <si>
    <t>HA</t>
  </si>
  <si>
    <t>RXG</t>
  </si>
  <si>
    <t>HB</t>
  </si>
  <si>
    <t>NOX</t>
  </si>
  <si>
    <t>NOXX</t>
  </si>
  <si>
    <t>HC</t>
  </si>
  <si>
    <t>MIX</t>
  </si>
  <si>
    <t>HD</t>
  </si>
  <si>
    <t>KOR</t>
  </si>
  <si>
    <t>KOREA/CITY CAP</t>
  </si>
  <si>
    <t>HE</t>
  </si>
  <si>
    <t>HF</t>
  </si>
  <si>
    <t>LIH</t>
  </si>
  <si>
    <t>LIFE IS HAPPY</t>
  </si>
  <si>
    <t>HG</t>
  </si>
  <si>
    <t>ELSTINKO</t>
  </si>
  <si>
    <t>HH</t>
  </si>
  <si>
    <t>COC</t>
  </si>
  <si>
    <t>COCACOLA</t>
  </si>
  <si>
    <t>WITAILOR</t>
  </si>
  <si>
    <t>GN</t>
  </si>
  <si>
    <t>ZGN</t>
  </si>
  <si>
    <t>LIFE IS GOOD</t>
  </si>
  <si>
    <t>GO</t>
  </si>
  <si>
    <t>ZGO</t>
  </si>
  <si>
    <t>RAY&amp;REI</t>
  </si>
  <si>
    <t>GP</t>
  </si>
  <si>
    <t>ZGP</t>
  </si>
  <si>
    <t>ZIMZUM</t>
  </si>
  <si>
    <t>GQ</t>
  </si>
  <si>
    <t>ZGQ</t>
  </si>
  <si>
    <t>SPOTING21</t>
  </si>
  <si>
    <t>GT</t>
  </si>
  <si>
    <t>ZGT</t>
  </si>
  <si>
    <t>PEPSI</t>
  </si>
  <si>
    <t>GU</t>
  </si>
  <si>
    <t>ZGU</t>
  </si>
  <si>
    <t>SEVEN UP</t>
  </si>
  <si>
    <t>GV</t>
  </si>
  <si>
    <t>ZGV</t>
  </si>
  <si>
    <t>MTDEW</t>
  </si>
  <si>
    <t>GW</t>
  </si>
  <si>
    <t>ZGW</t>
  </si>
  <si>
    <t>CORONIZE</t>
  </si>
  <si>
    <t>GX</t>
  </si>
  <si>
    <t>ZGX</t>
  </si>
  <si>
    <t>NO-I</t>
  </si>
  <si>
    <t>ZGY</t>
  </si>
  <si>
    <t>MR.G</t>
  </si>
  <si>
    <t>ZG1</t>
  </si>
  <si>
    <t>ROLLIPS</t>
  </si>
  <si>
    <t>ZG2</t>
  </si>
  <si>
    <t>TANTU</t>
  </si>
  <si>
    <t>ZG3</t>
  </si>
  <si>
    <t>Warner Bros.</t>
  </si>
  <si>
    <t>ZG4</t>
  </si>
  <si>
    <t>WMW</t>
  </si>
  <si>
    <t>ZA</t>
  </si>
  <si>
    <t>NBP</t>
  </si>
  <si>
    <t>NIXON BP</t>
  </si>
  <si>
    <t>ZB</t>
  </si>
  <si>
    <t>DBP</t>
  </si>
  <si>
    <t>DAKINE BP</t>
  </si>
  <si>
    <t>품목2</t>
    <phoneticPr fontId="1" type="noConversion"/>
  </si>
  <si>
    <t>년도시즌</t>
    <phoneticPr fontId="1" type="noConversion"/>
  </si>
  <si>
    <t>품번색상(최초)</t>
    <phoneticPr fontId="1" type="noConversion"/>
  </si>
  <si>
    <t>최초/리오더</t>
  </si>
  <si>
    <t>최초/리오더</t>
    <phoneticPr fontId="1" type="noConversion"/>
  </si>
  <si>
    <t>색상수(최초)</t>
    <phoneticPr fontId="1" type="noConversion"/>
  </si>
  <si>
    <t>품번색상(리오더)</t>
    <phoneticPr fontId="1" type="noConversion"/>
  </si>
  <si>
    <t>색상수(리오더)</t>
    <phoneticPr fontId="1" type="noConversion"/>
  </si>
  <si>
    <t>최초</t>
  </si>
  <si>
    <t xml:space="preserve"> 색상수(리오더)</t>
  </si>
  <si>
    <t>브랜드</t>
    <phoneticPr fontId="1" type="noConversion"/>
  </si>
  <si>
    <t>원가</t>
    <phoneticPr fontId="1" type="noConversion"/>
  </si>
  <si>
    <t>TAG가</t>
    <phoneticPr fontId="1" type="noConversion"/>
  </si>
  <si>
    <t>입고수량</t>
    <phoneticPr fontId="1" type="noConversion"/>
  </si>
  <si>
    <t>미입고수량</t>
    <phoneticPr fontId="1" type="noConversion"/>
  </si>
  <si>
    <t>기획수량</t>
    <phoneticPr fontId="1" type="noConversion"/>
  </si>
  <si>
    <t/>
  </si>
  <si>
    <t xml:space="preserve"> 기획수량</t>
  </si>
  <si>
    <t xml:space="preserve"> 원가</t>
  </si>
  <si>
    <t xml:space="preserve"> TAG가</t>
  </si>
  <si>
    <t xml:space="preserve"> 배수</t>
  </si>
  <si>
    <t>기획수량</t>
    <phoneticPr fontId="1" type="noConversion"/>
  </si>
  <si>
    <t>원가(-V)</t>
    <phoneticPr fontId="1" type="noConversion"/>
  </si>
  <si>
    <t>배수</t>
    <phoneticPr fontId="1" type="noConversion"/>
  </si>
  <si>
    <t>브랜드품목</t>
  </si>
  <si>
    <t>브랜드품목</t>
    <phoneticPr fontId="1" type="noConversion"/>
  </si>
  <si>
    <t>품번(최초)</t>
    <phoneticPr fontId="1" type="noConversion"/>
  </si>
  <si>
    <t>품번수(최초)</t>
    <phoneticPr fontId="1" type="noConversion"/>
  </si>
  <si>
    <t>품번수(리오더)</t>
    <phoneticPr fontId="1" type="noConversion"/>
  </si>
  <si>
    <t>품번</t>
    <phoneticPr fontId="1" type="noConversion"/>
  </si>
  <si>
    <t>ELS-가방</t>
  </si>
  <si>
    <t>ELS-의류</t>
  </si>
  <si>
    <t>M 요약</t>
  </si>
  <si>
    <t xml:space="preserve"> 품번수(리오더)</t>
  </si>
  <si>
    <t xml:space="preserve"> 원가(-V)</t>
  </si>
  <si>
    <t>품번(리오더)</t>
    <phoneticPr fontId="1" type="noConversion"/>
  </si>
  <si>
    <t xml:space="preserve"> 품번수</t>
  </si>
  <si>
    <t>B 요약</t>
  </si>
  <si>
    <t>ELS-ACC</t>
  </si>
  <si>
    <t>JOI-ACC</t>
  </si>
  <si>
    <t>PLA-가방</t>
  </si>
  <si>
    <t>러닝/신규</t>
  </si>
  <si>
    <t>러닝</t>
  </si>
  <si>
    <t>신규</t>
  </si>
  <si>
    <t>러닝/신규</t>
    <phoneticPr fontId="1" type="noConversion"/>
  </si>
  <si>
    <t>최초/리오더</t>
    <phoneticPr fontId="1" type="noConversion"/>
  </si>
  <si>
    <t xml:space="preserve"> LOT</t>
    <phoneticPr fontId="1" type="noConversion"/>
  </si>
  <si>
    <t xml:space="preserve"> LOT</t>
  </si>
  <si>
    <t>NAA</t>
  </si>
  <si>
    <t>FFT</t>
  </si>
  <si>
    <t>최초</t>
    <phoneticPr fontId="1" type="noConversion"/>
  </si>
  <si>
    <t>TRUE RELIGION</t>
  </si>
  <si>
    <t>URB</t>
  </si>
  <si>
    <t>최초</t>
    <phoneticPr fontId="1" type="noConversion"/>
  </si>
  <si>
    <t>NHLSNF3001BK</t>
  </si>
  <si>
    <t>NHLSNF3002BK</t>
  </si>
  <si>
    <t>NHLSNF3003BK</t>
  </si>
  <si>
    <t>NHLSNF3004RE</t>
  </si>
  <si>
    <t>NHLSNF3005BK</t>
  </si>
  <si>
    <t>NHLSNF3006NY</t>
  </si>
  <si>
    <t>NHLSNF3007RE</t>
  </si>
  <si>
    <t>NHLSNF3008WH</t>
  </si>
  <si>
    <t>NHLFIF3009BK</t>
  </si>
  <si>
    <t>NHLFIF3010BK</t>
  </si>
  <si>
    <t>NHLSNF3011BK</t>
  </si>
  <si>
    <t>NHLSNF3012RE</t>
  </si>
  <si>
    <t>NHLSNF3013BK</t>
  </si>
  <si>
    <t>NHLSNF3014BK</t>
  </si>
  <si>
    <t>NHLSNF3015BK</t>
  </si>
  <si>
    <t>NHLSNF3016BK</t>
  </si>
  <si>
    <t>NHLFIF3017PP</t>
  </si>
  <si>
    <t>NHLFIF3018BU</t>
  </si>
  <si>
    <t>NHLSNF3019BK</t>
  </si>
  <si>
    <t>NHLSNF3019GY</t>
  </si>
  <si>
    <t>NHLSNF3019PP</t>
  </si>
  <si>
    <t>NHLSNF3019GR</t>
  </si>
  <si>
    <t>MLNSNF3001BK</t>
  </si>
  <si>
    <t>MLNSNF3002RE</t>
  </si>
  <si>
    <t>MLNSNF3002BK</t>
  </si>
  <si>
    <t>MLNFIF3003GY</t>
  </si>
  <si>
    <t>MLNFIF3004KH</t>
  </si>
  <si>
    <t>MLNFIF3005GY</t>
  </si>
  <si>
    <t>MLNFIF3006BK</t>
  </si>
  <si>
    <t>GOOHUF3001BG</t>
  </si>
  <si>
    <t>GOOMIF3002KH</t>
  </si>
  <si>
    <t>GOOHUF3003KH</t>
  </si>
  <si>
    <t>GOOFEF3004BW</t>
  </si>
  <si>
    <t>GOOMIF3005RE</t>
  </si>
  <si>
    <t>GOOMIF3005GY</t>
  </si>
  <si>
    <t>GOOHUF3006BK</t>
  </si>
  <si>
    <t>GOOHUF3006GY</t>
  </si>
  <si>
    <t>GOOHUF3007BW</t>
  </si>
  <si>
    <t>GOOFEF3008BK</t>
  </si>
  <si>
    <t>GOOFEF3008GY</t>
  </si>
  <si>
    <t>GOOFAF3009GY</t>
  </si>
  <si>
    <t>HCUMIF3210BK</t>
  </si>
  <si>
    <t>HCUMIF3302BK</t>
  </si>
  <si>
    <t>HCUMIF3306BK</t>
  </si>
  <si>
    <t>HCUMIF3306KH</t>
  </si>
  <si>
    <t>HCUMIF3307GY</t>
  </si>
  <si>
    <t>SMBFIF3634RE</t>
  </si>
  <si>
    <t>VBLBAF3103BK</t>
  </si>
  <si>
    <t>ELSTPF5321MT</t>
  </si>
  <si>
    <t>ELSTPF5821MT</t>
  </si>
  <si>
    <t>ELSTPF5301NY</t>
  </si>
  <si>
    <t>ELSTPF5801NY</t>
  </si>
  <si>
    <t>JOIEBF5803BL</t>
  </si>
  <si>
    <t>JOIEBF5804RE</t>
  </si>
  <si>
    <t>JOIVBF5806NY</t>
  </si>
  <si>
    <t>JOIVBF5806PK</t>
  </si>
  <si>
    <t>VBLBAF5113RE</t>
  </si>
  <si>
    <t>VBLERF5315GY</t>
  </si>
  <si>
    <t>WTRMIF5301GY</t>
  </si>
  <si>
    <t>WTRMIF5302GY</t>
  </si>
  <si>
    <t>WTRTPF5305GY</t>
  </si>
  <si>
    <t>MGMSNF3001BK</t>
  </si>
  <si>
    <t>MGMSNF3002BK</t>
  </si>
  <si>
    <t>MGMSNF3003WH</t>
  </si>
  <si>
    <t>MGMSNF3004GY</t>
  </si>
  <si>
    <t>MGMSNF3005BG</t>
  </si>
  <si>
    <t>MGMSNF3006GY</t>
  </si>
  <si>
    <t>MGMSNF3007BL</t>
  </si>
  <si>
    <t>MGMSNF3008BK</t>
  </si>
  <si>
    <t>MGMSNF3009GY</t>
  </si>
  <si>
    <t>MGMSNF3010KH</t>
  </si>
  <si>
    <t>MGMSNF3011NY</t>
  </si>
  <si>
    <t>MGMSNF3012BK</t>
  </si>
  <si>
    <t>URBFIF3001BW</t>
  </si>
  <si>
    <t>URBFIF3002BK</t>
  </si>
  <si>
    <t>PLAUMF5001RE</t>
  </si>
  <si>
    <t>PLAUMF5001GY</t>
  </si>
  <si>
    <t>PLAUMF5001NY</t>
  </si>
  <si>
    <t>PLAUMF5001BK</t>
  </si>
  <si>
    <t>PLAUMF5002GR</t>
  </si>
  <si>
    <t>PLAUMF5002OR</t>
  </si>
  <si>
    <t>PLAERF5003BK</t>
  </si>
  <si>
    <t>PLAERF5003NY</t>
  </si>
  <si>
    <t>SMBFLF3001BK</t>
  </si>
  <si>
    <t>SMBFLF3501BK</t>
  </si>
  <si>
    <t>SMBFLF3002BK</t>
  </si>
  <si>
    <t>SMBBAF3003GR</t>
  </si>
  <si>
    <t>SMBBAF3503GR</t>
  </si>
  <si>
    <t>SMBBAF3003OR</t>
  </si>
  <si>
    <t>SMBBAF3503OR</t>
  </si>
  <si>
    <t>SMBBAF3004BU</t>
  </si>
  <si>
    <t>SMBBAF3004BL</t>
  </si>
  <si>
    <t>SMBSNF3001NY</t>
  </si>
  <si>
    <t>SMBSNF3001BU</t>
  </si>
  <si>
    <t>SMBSNF3002BL</t>
  </si>
  <si>
    <t>SMBSNF3502BL</t>
  </si>
  <si>
    <t>SMBSNF3002BK</t>
  </si>
  <si>
    <t>SMBFIF3003BK</t>
  </si>
  <si>
    <t>SMBFIF3003KH</t>
  </si>
  <si>
    <t>SMBFIF3003RE</t>
  </si>
  <si>
    <t>SMBERF5004BK</t>
  </si>
  <si>
    <t>SWBSNF3503PP</t>
  </si>
  <si>
    <t>SWBSNF3503PK</t>
  </si>
  <si>
    <t>SMBERF5005NY</t>
  </si>
  <si>
    <t>SMBERF5006NY</t>
  </si>
  <si>
    <t>URBSNF3003NY</t>
  </si>
  <si>
    <t>URBSNF3503NY</t>
  </si>
  <si>
    <t>URBSNF3003BK</t>
  </si>
  <si>
    <t>URBSNF3003YE</t>
  </si>
  <si>
    <t>URBSNF3503YE</t>
  </si>
  <si>
    <t>URBSNF3004KH</t>
  </si>
  <si>
    <t>URBSNF3005BL</t>
  </si>
  <si>
    <t>URBSNF3505BL</t>
  </si>
  <si>
    <t>URBSNF3006BK</t>
  </si>
  <si>
    <t>URBSNF3506BK</t>
  </si>
  <si>
    <t>URBSNF3007GY</t>
  </si>
  <si>
    <t>URBSNF3007BK</t>
  </si>
  <si>
    <t>URBSNF3008GY</t>
  </si>
  <si>
    <t>URBSNF3009BK</t>
  </si>
  <si>
    <t>URBSNF3010BK</t>
  </si>
  <si>
    <t>URBSNF3010PK</t>
  </si>
  <si>
    <t>URBSNF3510PK</t>
  </si>
  <si>
    <t>URBSNF3011BK</t>
  </si>
  <si>
    <t>URBSNF3011RE</t>
  </si>
  <si>
    <t>URBSNF3011GY</t>
  </si>
  <si>
    <t>URBSNF3012BK</t>
  </si>
  <si>
    <t>URBSNF3013BK</t>
  </si>
  <si>
    <t>URBSNF3014BK</t>
  </si>
  <si>
    <t>URBSNF3015BK</t>
  </si>
  <si>
    <t>URBSNF3016BK</t>
  </si>
  <si>
    <t>URBERF5017BK</t>
  </si>
  <si>
    <t>URBERF5018GY</t>
  </si>
  <si>
    <t>DPSSNF3501PK</t>
  </si>
  <si>
    <t>DPSSNF3502BL</t>
  </si>
  <si>
    <t>DPSSNF3003PP</t>
  </si>
  <si>
    <t>DPSSNF3503PP</t>
  </si>
  <si>
    <t>DPSSNF3004MT</t>
  </si>
  <si>
    <t>DPSSNF3504MT</t>
  </si>
  <si>
    <t>DPSSNF3005GY</t>
  </si>
  <si>
    <t>DPSSNF3005BK</t>
  </si>
  <si>
    <t>ELSSNF3001BK</t>
  </si>
  <si>
    <t>ELSSNF3002BK</t>
  </si>
  <si>
    <t>ELSSNF5003RE</t>
  </si>
  <si>
    <t>ELSSNF5503RE</t>
  </si>
  <si>
    <t>ELSSNF5004NY</t>
  </si>
  <si>
    <t>ELSSNF3005GY</t>
  </si>
  <si>
    <t>ELSBAF5506GR</t>
  </si>
  <si>
    <t>ELSBAF5507RE</t>
  </si>
  <si>
    <t>ELSBAF5508PK</t>
  </si>
  <si>
    <t>ELSERF5009BK</t>
  </si>
  <si>
    <t>ELSERF5010BK</t>
  </si>
  <si>
    <t>ELSERF5511GR</t>
  </si>
  <si>
    <t>ELSERF5512RE</t>
  </si>
  <si>
    <t>ELSERF5513PK</t>
  </si>
  <si>
    <t>VBLTLF4001BK</t>
  </si>
  <si>
    <t>VBLTLF4002GY</t>
  </si>
  <si>
    <t>VBLTLF4003NY</t>
  </si>
  <si>
    <t>VBLTLF4003BU</t>
  </si>
  <si>
    <t>ELSJPF5001BK</t>
  </si>
  <si>
    <t>ELSJPF5001RE</t>
  </si>
  <si>
    <t>ELSJPF5502RE</t>
  </si>
  <si>
    <t>ELSJPF5502YE</t>
  </si>
  <si>
    <t>ELSJPF5502BL</t>
  </si>
  <si>
    <t>ELSPTF5503BK</t>
  </si>
  <si>
    <t>ELSJPF5028BK</t>
  </si>
  <si>
    <t>ELSJPF5529PK</t>
  </si>
  <si>
    <t>ELSJPF5529OR</t>
  </si>
  <si>
    <t>ELSVEF5530RE</t>
  </si>
  <si>
    <t>ELSTLF4004BK</t>
  </si>
  <si>
    <t>ELSTLF4506BL</t>
  </si>
  <si>
    <t>ELSTLF4506YE</t>
  </si>
  <si>
    <t>ELSTHF4008BK</t>
  </si>
  <si>
    <t>NOVERF5004BK</t>
  </si>
  <si>
    <t>NOVERF5004RE</t>
  </si>
  <si>
    <t>NOVERF5005BK</t>
  </si>
  <si>
    <t>NOVERF5006BK</t>
  </si>
  <si>
    <t>NOVERF5006PK</t>
  </si>
  <si>
    <t>NOVERF5007BK</t>
  </si>
  <si>
    <t>NOVTPF5008BK</t>
  </si>
  <si>
    <t>NOVTPF5009BK</t>
  </si>
  <si>
    <t>NOVTPF5011BK</t>
  </si>
  <si>
    <t>NOVTPF5011RE</t>
  </si>
  <si>
    <t>NOVTPF5511RE</t>
  </si>
  <si>
    <t>NOVTPF5011PK</t>
  </si>
  <si>
    <t>NOVTPF5511PK</t>
  </si>
  <si>
    <t>VBLBAF5001BK</t>
  </si>
  <si>
    <t>VBLBAF5002BK</t>
  </si>
  <si>
    <t>VBLBAF3003GY</t>
  </si>
  <si>
    <t>VBLBAF5004BK</t>
  </si>
  <si>
    <t>VBLERF5005BK</t>
  </si>
  <si>
    <t>VBLERF5006GY</t>
  </si>
  <si>
    <t>VBLERF5506GY</t>
  </si>
  <si>
    <t>VBLERF5007GY</t>
  </si>
  <si>
    <t>VBLERF5507GY</t>
  </si>
  <si>
    <t>HCUMIF5001NY</t>
  </si>
  <si>
    <t>HCUMIF5001BK</t>
  </si>
  <si>
    <t>HCUMIF5002GY</t>
  </si>
  <si>
    <t>BROBAF5001GY</t>
  </si>
  <si>
    <t>BROBAF5001PK</t>
  </si>
  <si>
    <t>BROBAF5002BG</t>
  </si>
  <si>
    <t>BROBAF5003NY</t>
  </si>
  <si>
    <t>BROERF5004WH</t>
  </si>
  <si>
    <t>BROERF5504WH</t>
  </si>
  <si>
    <t>BROERF5005RE</t>
  </si>
  <si>
    <t>BROERF5006BK</t>
  </si>
  <si>
    <t>SBRMIF3001KH</t>
  </si>
  <si>
    <t>SBRMIF3002BK</t>
  </si>
  <si>
    <t>SBRMIF3003BK</t>
  </si>
  <si>
    <t>SBRMIF5004BK</t>
  </si>
  <si>
    <t>SBRMIF5004GY</t>
  </si>
  <si>
    <t>SBRMIF5005BK</t>
  </si>
  <si>
    <t>SBRMIF5006BK</t>
  </si>
  <si>
    <t>SBRMIF5006NY</t>
  </si>
  <si>
    <t>SBRMIF5007BK</t>
  </si>
  <si>
    <t>SBRMIF5007GY</t>
  </si>
  <si>
    <t>SBRBAF5008BG</t>
  </si>
  <si>
    <t>SBRMIF5009KH</t>
  </si>
  <si>
    <t>SBRBAF5010BG</t>
  </si>
  <si>
    <t>SBRBAF5010BK</t>
  </si>
  <si>
    <t>SBRBAF5011GY</t>
  </si>
  <si>
    <t>SBRBAF5511GY</t>
  </si>
  <si>
    <t>SBRBAF5012BG</t>
  </si>
  <si>
    <t>SBRBAF5512BG</t>
  </si>
  <si>
    <t>SBRBAF5012GY</t>
  </si>
  <si>
    <t>SBRBAF5013KH</t>
  </si>
  <si>
    <t>SBRBAF5013GY</t>
  </si>
  <si>
    <t>SBRMIF5014BK</t>
  </si>
  <si>
    <t>SBRMIF5014RE</t>
  </si>
  <si>
    <t>SBRMIF5015NY</t>
  </si>
  <si>
    <t>SBRMIF5015BK</t>
  </si>
  <si>
    <t>SBRMIF5016GY</t>
  </si>
  <si>
    <t>SBRBAF5017BW</t>
  </si>
  <si>
    <t>SBRBAF5017BK</t>
  </si>
  <si>
    <t>SBRERF5018BK</t>
  </si>
  <si>
    <t>SBRERF5019PK</t>
  </si>
  <si>
    <t>SBRERF5020GY</t>
  </si>
  <si>
    <t>SBRERF5021NY</t>
  </si>
  <si>
    <t>SBRERF5022IV</t>
  </si>
  <si>
    <t>ELSTLF5009BK</t>
  </si>
  <si>
    <t>ELSTLF5511MT</t>
  </si>
  <si>
    <t>ELSTLF5511PK</t>
  </si>
  <si>
    <t>ELSHPF5012BK</t>
  </si>
  <si>
    <t>ELSHPF5513MT</t>
  </si>
  <si>
    <t>ELSHPF5514PK</t>
  </si>
  <si>
    <t>ELSHPF5515RE</t>
  </si>
  <si>
    <t>ELSJPF5516BL</t>
  </si>
  <si>
    <t>ELSJPF5516PK</t>
  </si>
  <si>
    <t>ELSTHF5017BK</t>
  </si>
  <si>
    <t>ELSTHF5017RE</t>
  </si>
  <si>
    <t>ELSTHF5517BK</t>
  </si>
  <si>
    <t>ELSTHF5517RE</t>
  </si>
  <si>
    <t>ELSTHF5518YE</t>
  </si>
  <si>
    <t>ELSHPF5019BK</t>
  </si>
  <si>
    <t>GRACTF5001BK</t>
  </si>
  <si>
    <t>GRACTF5001BW</t>
  </si>
  <si>
    <t>GRAHUF5002BK</t>
  </si>
  <si>
    <t>GRAHUF5002GY</t>
  </si>
  <si>
    <t>GRACTF5003BK</t>
  </si>
  <si>
    <t>GRAMIF5004BK</t>
  </si>
  <si>
    <t>GRAMIF5004GY</t>
  </si>
  <si>
    <t>GRAMIF3005BK</t>
  </si>
  <si>
    <t>GRAMIF3005BW</t>
  </si>
  <si>
    <t>GRAFAF3006NY</t>
  </si>
  <si>
    <t>GRAFAF3006RE</t>
  </si>
  <si>
    <t>GRAFAF5007GY</t>
  </si>
  <si>
    <t>GRAFAF5007NY</t>
  </si>
  <si>
    <t>GRAFEF5008GY</t>
  </si>
  <si>
    <t>GRAFEF5008BK</t>
  </si>
  <si>
    <t>GRAFAF5009GY</t>
  </si>
  <si>
    <t>GRAFAF5009BW</t>
  </si>
  <si>
    <t>GRAFEF5010GY</t>
  </si>
  <si>
    <t>GRAFEF5011BK</t>
  </si>
  <si>
    <t>GRAFEF5011BG</t>
  </si>
  <si>
    <t>GRAFEF5011BU</t>
  </si>
  <si>
    <t>GRAFAF5012GY</t>
  </si>
  <si>
    <t>GRAFAF5012NY</t>
  </si>
  <si>
    <t>GRAFAF5012BW</t>
  </si>
  <si>
    <t>GRAHUF5013BK</t>
  </si>
  <si>
    <t>GRAHUF5014BK</t>
  </si>
  <si>
    <t>GRAHUF5014BU</t>
  </si>
  <si>
    <t>GRAHUF5015BK</t>
  </si>
  <si>
    <t>GRAHUF5015BW</t>
  </si>
  <si>
    <t>GRAHUF5016GY</t>
  </si>
  <si>
    <t>GRAHUF5016BW</t>
  </si>
  <si>
    <t>GRACMF5017BK</t>
  </si>
  <si>
    <t>GRACMF5017RE</t>
  </si>
  <si>
    <t>GRACTF5018NY</t>
  </si>
  <si>
    <t>GRACMF5019NY</t>
  </si>
  <si>
    <t>GRACTF3020BK</t>
  </si>
  <si>
    <t>GRACTF5021BK</t>
  </si>
  <si>
    <t>GRABAF5022BK</t>
  </si>
  <si>
    <t>GRABAF5022GY</t>
  </si>
  <si>
    <t>GRABAF3023BK</t>
  </si>
  <si>
    <t>GRABAF3023KH</t>
  </si>
  <si>
    <t>GRABAF5024BK</t>
  </si>
  <si>
    <t>GRABAF5024GY</t>
  </si>
  <si>
    <t>ELSTLF5510NY</t>
  </si>
  <si>
    <t>ELSTLF5521RE</t>
  </si>
  <si>
    <t>ELSTHF5522BL</t>
  </si>
  <si>
    <t>ELSTHF5522PK</t>
  </si>
  <si>
    <t>ELSPTF5023BK</t>
  </si>
  <si>
    <t>ELSPTF5524BK</t>
  </si>
  <si>
    <t>ELSTLF5044BK</t>
  </si>
  <si>
    <t>ELSTLF5025BK</t>
  </si>
  <si>
    <t>ELSTLF5526BK</t>
  </si>
  <si>
    <t>ELSHPF5027BK</t>
  </si>
  <si>
    <t>BMDERF5001BK</t>
  </si>
  <si>
    <t>BMDBAF5002BK</t>
  </si>
  <si>
    <t>SBRBEF5023BK</t>
  </si>
  <si>
    <t>SBRBEF5023RE</t>
  </si>
  <si>
    <t>SBRBEF5024NY</t>
  </si>
  <si>
    <t>SBRBEF5025BK</t>
  </si>
  <si>
    <t>SBRBEF5025KH</t>
  </si>
  <si>
    <t>SBREBF5026CL</t>
  </si>
  <si>
    <t>SBREBF5027BK</t>
  </si>
  <si>
    <t>SBREBF5028GY</t>
  </si>
  <si>
    <t>SBREBF5028NY</t>
  </si>
  <si>
    <t>SBRTPF5029BK</t>
  </si>
  <si>
    <t>SBRTPF5029RE</t>
  </si>
  <si>
    <t>SBRTPF5030GY</t>
  </si>
  <si>
    <t>JOIERF5501IV</t>
  </si>
  <si>
    <t>JOIEBF5502PK</t>
  </si>
  <si>
    <t>JOIMUF5503PK</t>
  </si>
  <si>
    <t>JOIEDF5504PK</t>
  </si>
  <si>
    <t>JOIEBF5505BL</t>
  </si>
  <si>
    <t>JOIMUF5506BL</t>
  </si>
  <si>
    <t>JOIEDF5507BL</t>
  </si>
  <si>
    <t>JOIEBF5508IV</t>
  </si>
  <si>
    <t>URBTHF5003BK</t>
  </si>
  <si>
    <t>URBHPF5004BK</t>
  </si>
  <si>
    <t>URBJPF5005BK</t>
  </si>
  <si>
    <t>URBJPF5007BK</t>
  </si>
  <si>
    <t>URBJPF5007RE</t>
  </si>
  <si>
    <t>URBJPF5008GY</t>
  </si>
  <si>
    <t>WTRTPF5001BU</t>
  </si>
  <si>
    <t>WTRTPF5002BK</t>
  </si>
  <si>
    <t>SBRMIF3001BK</t>
  </si>
  <si>
    <t>URBBEF5019BK</t>
  </si>
  <si>
    <t>URBBEF5019GY</t>
  </si>
  <si>
    <t>SBRBEF5031BK</t>
  </si>
  <si>
    <t>SBRBEF5031GY</t>
  </si>
  <si>
    <t>SBRBEF5031BL</t>
  </si>
  <si>
    <t>SBRBEF5031RE</t>
  </si>
  <si>
    <t>SBRBEF5031PK</t>
  </si>
  <si>
    <t>SBRBEF5032YE</t>
  </si>
  <si>
    <t>SBRBEF5032BL</t>
  </si>
  <si>
    <t>SBRBEF5032RE</t>
  </si>
  <si>
    <t>SBRBEF5032GR</t>
  </si>
  <si>
    <t>SBRBEF5032IV</t>
  </si>
  <si>
    <t>SBRBEF5032GY</t>
  </si>
  <si>
    <t>SBRBEF5032BK</t>
  </si>
  <si>
    <t>SBRBEF5033BL</t>
  </si>
  <si>
    <t>SBRBEF5033RE</t>
  </si>
  <si>
    <t>SBRBEF5034BK</t>
  </si>
  <si>
    <t>SBRBEF5034BL</t>
  </si>
  <si>
    <t>SBRBEF5034PP</t>
  </si>
  <si>
    <t>SBRBEF5035BL</t>
  </si>
  <si>
    <t>SBRBEF5035KH</t>
  </si>
  <si>
    <t>SBRBEF5036KH</t>
  </si>
  <si>
    <t>SBRBEF5036RE</t>
  </si>
  <si>
    <t>SBRBEF5037BW</t>
  </si>
  <si>
    <t>SBRBEF5037GY</t>
  </si>
  <si>
    <t>SBRBEF5038BK</t>
  </si>
  <si>
    <t>SBRBEF5039BU</t>
  </si>
  <si>
    <t>SBRBEF5039BK</t>
  </si>
  <si>
    <t>SBRBEF5039GY</t>
  </si>
  <si>
    <t>SBRBEF5040GY</t>
  </si>
  <si>
    <t>SBRBEF5040BL</t>
  </si>
  <si>
    <t>SBRBEF5040PK</t>
  </si>
  <si>
    <t>WTRBAF3003GY</t>
  </si>
  <si>
    <t>WTRBAF3004RE</t>
  </si>
  <si>
    <t>WTRBAF5005BW</t>
  </si>
  <si>
    <t>WTRBAF5006BG</t>
  </si>
  <si>
    <t>WTRBAF5007GY</t>
  </si>
  <si>
    <t>WTRERF5008BK</t>
  </si>
  <si>
    <t>WTRERF5009KH</t>
  </si>
  <si>
    <t>WTRERF5010GY</t>
  </si>
  <si>
    <t>WTRERF5011BG</t>
  </si>
  <si>
    <t>WTRERF5012PK</t>
  </si>
  <si>
    <t>ELSERF5516OR</t>
  </si>
  <si>
    <t>ELSTPF5017BK</t>
  </si>
  <si>
    <t>ELSTPF5517BK</t>
  </si>
  <si>
    <t>ELSTPF5515RE</t>
  </si>
  <si>
    <t>ELSEDF5522YE</t>
  </si>
  <si>
    <t>ELSEDF5523BK</t>
  </si>
  <si>
    <t>ELSEDF5524PK</t>
  </si>
  <si>
    <t>ELSBAF5518PP</t>
  </si>
  <si>
    <t>ELSERF5519RE</t>
  </si>
  <si>
    <t>ELSERF5520BL</t>
  </si>
  <si>
    <t>ELSERF5521GY</t>
  </si>
  <si>
    <t>ELSTPF5514MT</t>
  </si>
  <si>
    <t>ELSTPF5514OR</t>
  </si>
  <si>
    <t>SMBBEF5507GR</t>
  </si>
  <si>
    <t>SMBBEF5507RE</t>
  </si>
  <si>
    <t>SMBBEF5507PK</t>
  </si>
  <si>
    <t>SMBBEF5508PK</t>
  </si>
  <si>
    <t>SMBBEF5508RE</t>
  </si>
  <si>
    <t>SWBBEF5509PK</t>
  </si>
  <si>
    <t>SWBBEF5509BL</t>
  </si>
  <si>
    <t>HCUMIF3003BK</t>
  </si>
  <si>
    <t>HCUMIF5004NY</t>
  </si>
  <si>
    <t>HCUMIF3005KH</t>
  </si>
  <si>
    <t>HCUMIF3006BK</t>
  </si>
  <si>
    <t>HCUMIF3006KH</t>
  </si>
  <si>
    <t>HCUMIF3006NY</t>
  </si>
  <si>
    <t>HCUMIF3007GY</t>
  </si>
  <si>
    <t>HCUMIF3007BK</t>
  </si>
  <si>
    <t>HCUMIF3008BK</t>
  </si>
  <si>
    <t>NOVACF3001BK</t>
  </si>
  <si>
    <t>NOVACF3001GY</t>
  </si>
  <si>
    <t>NOVACF3002NY</t>
  </si>
  <si>
    <t>NOVACF3003GY</t>
  </si>
  <si>
    <t>NOVACF3004NY</t>
  </si>
  <si>
    <t>POLBAF3501PK</t>
  </si>
  <si>
    <t>POLBAF3502YE</t>
  </si>
  <si>
    <t>ELSBPF3501BL</t>
  </si>
  <si>
    <t>ELSBPF3502PK</t>
  </si>
  <si>
    <t>ELSBPF3503PP</t>
  </si>
  <si>
    <t>DPSERF5006BK</t>
  </si>
  <si>
    <t>DPSERF5007BL</t>
  </si>
  <si>
    <t>SBRBEF5041GY</t>
  </si>
  <si>
    <t>SBRBEF5041IV</t>
  </si>
  <si>
    <t>SBRBEF5041BG</t>
  </si>
  <si>
    <t>SBRBEF5042BK</t>
  </si>
  <si>
    <t>SBRBEF5043NY</t>
  </si>
  <si>
    <t>SBRBEF5043PP</t>
  </si>
  <si>
    <t>SBRBEF5043RE</t>
  </si>
  <si>
    <t>SBRBEF5044IV</t>
  </si>
  <si>
    <t>SBRBEF5044KH</t>
  </si>
  <si>
    <t>SBREBF5045BG</t>
  </si>
  <si>
    <t>SBREBF5045KH</t>
  </si>
  <si>
    <t>SBREBF5045NY</t>
  </si>
  <si>
    <t>SBREBF5046GY</t>
  </si>
  <si>
    <t>SBREBF5047BG</t>
  </si>
  <si>
    <t>SBREBF5047GY</t>
  </si>
  <si>
    <t>SBREBF5048BK</t>
  </si>
  <si>
    <t>SBREBF5048GY</t>
  </si>
  <si>
    <t>SBREBF5048RE</t>
  </si>
  <si>
    <t>SBREBF5049BG</t>
  </si>
  <si>
    <t>SBREBF5549BG</t>
  </si>
  <si>
    <t>SBREBF5049GY</t>
  </si>
  <si>
    <t>SBREBF5049RE</t>
  </si>
  <si>
    <t>SBREBF5549RE</t>
  </si>
  <si>
    <t>SBREBF5049BK</t>
  </si>
  <si>
    <t>SBREBF5050MT</t>
  </si>
  <si>
    <t>SBREBF5051WH</t>
  </si>
  <si>
    <t>SBREBF5551WH</t>
  </si>
  <si>
    <t>SBREBF5551YE</t>
  </si>
  <si>
    <t>SBRBEF5052NY</t>
  </si>
  <si>
    <t>SBRBEF5052BU</t>
  </si>
  <si>
    <t>SBRBEF5052GY</t>
  </si>
  <si>
    <t>SBRBEF5053PK</t>
  </si>
  <si>
    <t>SBRBEF5053MT</t>
  </si>
  <si>
    <t>SBREBF5054PP</t>
  </si>
  <si>
    <t>SBREBF5054BK</t>
  </si>
  <si>
    <t>SBREBF5054RE</t>
  </si>
  <si>
    <t>SBREBF5554PP</t>
  </si>
  <si>
    <t>SBREBF5554BK</t>
  </si>
  <si>
    <t>SBREBF5554RE</t>
  </si>
  <si>
    <t>SBRSNF3055BK</t>
  </si>
  <si>
    <t>SBRSNF3056BK</t>
  </si>
  <si>
    <t>SBRSNF3057NY</t>
  </si>
  <si>
    <t>SBRSNF3058GY</t>
  </si>
  <si>
    <t>SBRSNF3059NY</t>
  </si>
  <si>
    <t>SBRSNF3060BK</t>
  </si>
  <si>
    <t>SBRSNF3061BK</t>
  </si>
  <si>
    <t>SBRSNF3062NY</t>
  </si>
  <si>
    <t>SBRSNF3063NY</t>
  </si>
  <si>
    <t>SBRBAF5064GY</t>
  </si>
  <si>
    <t>SBRBAF3065BK</t>
  </si>
  <si>
    <t>SWBSNF5004BK</t>
  </si>
  <si>
    <t>SWBSNF5504BK</t>
  </si>
  <si>
    <t>SWBSNF5504PK</t>
  </si>
  <si>
    <t>SWBERF5013BK</t>
  </si>
  <si>
    <t>SWBERF5514PK</t>
  </si>
  <si>
    <t>SWBSNF5005BW</t>
  </si>
  <si>
    <t>SWBSNF5505BW</t>
  </si>
  <si>
    <t>SWBSNF5006PK</t>
  </si>
  <si>
    <t>SWBSNF5506PK</t>
  </si>
  <si>
    <t>SWBERF5015PK</t>
  </si>
  <si>
    <t>SWBERF5515PK</t>
  </si>
  <si>
    <t>SWBERF5516PK</t>
  </si>
  <si>
    <t>SWBERF5536NY</t>
  </si>
  <si>
    <t>SWBSNF5507NY</t>
  </si>
  <si>
    <t>SWBSNF5507PK</t>
  </si>
  <si>
    <t>SWBSNF5508NY</t>
  </si>
  <si>
    <t>SWBSNF5508PK</t>
  </si>
  <si>
    <t>SWBERF5517PK</t>
  </si>
  <si>
    <t>SMBFIF3402BK</t>
  </si>
  <si>
    <t>SMBFIF3018BK</t>
  </si>
  <si>
    <t>SMBFIF3019BK</t>
  </si>
  <si>
    <t>SMBSNF3009BK</t>
  </si>
  <si>
    <t>SMBSNF3009RE</t>
  </si>
  <si>
    <t>SMBERF5018BK</t>
  </si>
  <si>
    <t>SMBERF5019BK</t>
  </si>
  <si>
    <t>SMBERF5020BK</t>
  </si>
  <si>
    <t>SMBERF5021NY</t>
  </si>
  <si>
    <t>SMBERF5521NY</t>
  </si>
  <si>
    <t>SMBERF5022RE</t>
  </si>
  <si>
    <t>SMBERF5522RE</t>
  </si>
  <si>
    <t>SMBERF5023BL</t>
  </si>
  <si>
    <t>SMBERF5024BG</t>
  </si>
  <si>
    <t>SMBERF5025BK</t>
  </si>
  <si>
    <t>SMBBAF5026GY</t>
  </si>
  <si>
    <t>SMBBAF5526GY</t>
  </si>
  <si>
    <t>SMBBAF5027BK</t>
  </si>
  <si>
    <t>SMBERF5028NY</t>
  </si>
  <si>
    <t>SMBERF5029NY</t>
  </si>
  <si>
    <t>SMBERF5529NY</t>
  </si>
  <si>
    <t>SMBERF5030GY</t>
  </si>
  <si>
    <t>SMBSNF3010BK</t>
  </si>
  <si>
    <t>SMBSNF3011BL</t>
  </si>
  <si>
    <t>SMBFIF5012GY</t>
  </si>
  <si>
    <t>SMBFIF5012NY</t>
  </si>
  <si>
    <t>SMBERF5031GY</t>
  </si>
  <si>
    <t>SMBFIF3705BK</t>
  </si>
  <si>
    <t>URBSNF3413BK</t>
  </si>
  <si>
    <t>URBSNF3414BK</t>
  </si>
  <si>
    <t>URBSNF3414WH</t>
  </si>
  <si>
    <t>URBFIF3403BK</t>
  </si>
  <si>
    <t>URBFIF3411BK</t>
  </si>
  <si>
    <t>URBFIF3412BK</t>
  </si>
  <si>
    <t>URBFIF3414BK</t>
  </si>
  <si>
    <t>ELSBAF3841BK</t>
  </si>
  <si>
    <t>ELSBAF3841RE</t>
  </si>
  <si>
    <t>SBRMIF3066BK</t>
  </si>
  <si>
    <t>ELSERF5025BK</t>
  </si>
  <si>
    <t>ELSSNF5026BK</t>
  </si>
  <si>
    <t>ELSSNF3027BK</t>
  </si>
  <si>
    <t>ELSSNF5028GY</t>
  </si>
  <si>
    <t>ELSSNF5029BK</t>
  </si>
  <si>
    <t>ELSSNF5030GY</t>
  </si>
  <si>
    <t>ELSBAF3531GY</t>
  </si>
  <si>
    <t>ELSERF5532PK</t>
  </si>
  <si>
    <t>POLFIF3901BL</t>
  </si>
  <si>
    <t>POLFIF3902RE</t>
  </si>
  <si>
    <t>POLFIF3903PK</t>
  </si>
  <si>
    <t>POLFIF3904GR</t>
  </si>
  <si>
    <t>SMBFIF3426BK</t>
  </si>
  <si>
    <t>URBFIF3409BK</t>
  </si>
  <si>
    <t>VBLBAF3603RE</t>
  </si>
  <si>
    <t>HCUFIF3403BK</t>
  </si>
  <si>
    <t>HCUMIF3010BK</t>
  </si>
  <si>
    <t>HCUMIF3010KH</t>
  </si>
  <si>
    <t>PLAUMF3407BK</t>
  </si>
  <si>
    <t>PLABPF3404BK</t>
  </si>
  <si>
    <t>XSS</t>
  </si>
  <si>
    <t>FLAT FITTY</t>
  </si>
  <si>
    <t>STREET</t>
  </si>
  <si>
    <t>MGM</t>
  </si>
  <si>
    <t>SWB</t>
  </si>
  <si>
    <t>DPS</t>
  </si>
  <si>
    <t>VBL-의류</t>
  </si>
  <si>
    <t>SBR</t>
  </si>
  <si>
    <t>URB-의류</t>
  </si>
  <si>
    <t>NOV-ACC</t>
  </si>
  <si>
    <t>POL</t>
  </si>
  <si>
    <t>NHL</t>
  </si>
  <si>
    <t>MLN</t>
  </si>
  <si>
    <t>년도시즌</t>
  </si>
  <si>
    <t>2014 FW 기획진행현황 (HATS ON) 2</t>
    <phoneticPr fontId="4" type="noConversion"/>
  </si>
  <si>
    <t>품목2</t>
  </si>
  <si>
    <t>모자</t>
  </si>
  <si>
    <t>가방</t>
  </si>
  <si>
    <t>의류</t>
  </si>
  <si>
    <t>ACC 요약</t>
  </si>
  <si>
    <t>가방 요약</t>
  </si>
  <si>
    <t>모자 요약</t>
  </si>
  <si>
    <t>의류 요약</t>
  </si>
  <si>
    <t>브랜드</t>
  </si>
  <si>
    <t>최초품번</t>
  </si>
  <si>
    <t>최초색상</t>
  </si>
  <si>
    <t>리오더품번</t>
  </si>
  <si>
    <t>리오더색상</t>
  </si>
  <si>
    <t>총TAG가</t>
  </si>
  <si>
    <t>총원가(-V)</t>
  </si>
  <si>
    <t>입고수량</t>
  </si>
  <si>
    <t>미입고수량</t>
  </si>
  <si>
    <t>분류</t>
    <phoneticPr fontId="1" type="noConversion"/>
  </si>
  <si>
    <t>품목</t>
    <phoneticPr fontId="1" type="noConversion"/>
  </si>
  <si>
    <t>시즌</t>
    <phoneticPr fontId="1" type="noConversion"/>
  </si>
  <si>
    <t>브랜드</t>
    <phoneticPr fontId="1" type="noConversion"/>
  </si>
  <si>
    <t>품번수</t>
    <phoneticPr fontId="1" type="noConversion"/>
  </si>
  <si>
    <t>색상수</t>
    <phoneticPr fontId="1" type="noConversion"/>
  </si>
  <si>
    <t>최초</t>
    <phoneticPr fontId="1" type="noConversion"/>
  </si>
  <si>
    <t>리오더</t>
    <phoneticPr fontId="1" type="noConversion"/>
  </si>
  <si>
    <t>F3 합계</t>
  </si>
  <si>
    <t>F5 합계</t>
  </si>
  <si>
    <t>F4 합계</t>
  </si>
  <si>
    <t>2014 FW 기획진행현황 (HATS ON) / 시즌별</t>
    <phoneticPr fontId="4" type="noConversion"/>
  </si>
  <si>
    <t>PNYTLF4001NY</t>
  </si>
  <si>
    <t>PNYHPF5006BK</t>
  </si>
  <si>
    <t>PNYJPF5009BK</t>
  </si>
  <si>
    <t>PNYTLF5002BK</t>
  </si>
  <si>
    <t>PNYTHF5003BK</t>
  </si>
  <si>
    <t>PNYPTF5004BK</t>
  </si>
  <si>
    <t>PNYPTF5004GY</t>
  </si>
  <si>
    <t>PNYTLF5008GY</t>
  </si>
  <si>
    <t>PNYTLF5008BK</t>
  </si>
  <si>
    <t>PNYTHF5005BK</t>
  </si>
  <si>
    <t>PNYJPF5007BK</t>
  </si>
  <si>
    <t>ELSPTF4005BK</t>
  </si>
  <si>
    <t>ELSPTF4507RE</t>
  </si>
  <si>
    <t>ELSPTF4507YE</t>
  </si>
  <si>
    <t>PNYTLF4501NY</t>
  </si>
  <si>
    <t>PNYHPF5506BK</t>
  </si>
  <si>
    <t>PNYTLF5508GY</t>
  </si>
  <si>
    <t>PNYTLF5508BK</t>
  </si>
  <si>
    <t>PNYPTF5508BK</t>
  </si>
  <si>
    <t>PNYTHF5505BK</t>
  </si>
  <si>
    <t>NAASNF3001GY</t>
  </si>
  <si>
    <t>NAASNF3002BL</t>
  </si>
  <si>
    <t>NAASNF3003NY</t>
  </si>
  <si>
    <t>JOIBAF3509PK</t>
  </si>
  <si>
    <t>JOIBAF3510YE</t>
  </si>
  <si>
    <t>JOIBAF3511GY</t>
  </si>
  <si>
    <t>JOIBAF3512PP</t>
  </si>
  <si>
    <t>JOIBAF5513PK</t>
  </si>
  <si>
    <t>POLEBF5503PK</t>
  </si>
  <si>
    <t>POLEBF5504BL</t>
  </si>
  <si>
    <t>DPSEBF5508PK</t>
  </si>
  <si>
    <t>SMBBEF5012BK</t>
  </si>
  <si>
    <t>SMBBEF5012RE</t>
  </si>
  <si>
    <t>URBBPF3001BK</t>
  </si>
  <si>
    <t>URBBPF3002BK</t>
  </si>
  <si>
    <t>URBBPF3003BK</t>
  </si>
  <si>
    <t>PLABPF3001BW</t>
  </si>
  <si>
    <t>PNYBPF3001BK</t>
  </si>
  <si>
    <t>PNYBPF3002BK</t>
  </si>
  <si>
    <t>JOIEBF5523IV</t>
  </si>
  <si>
    <t>JOIEBF5523BL</t>
  </si>
  <si>
    <t>URBFIF3408BK</t>
  </si>
  <si>
    <t>URBFIF3442BK</t>
  </si>
  <si>
    <t>URBFIF3433BK</t>
  </si>
  <si>
    <t>NIXBEF5001BK</t>
  </si>
  <si>
    <t>NIXSNF3002BK</t>
  </si>
  <si>
    <t>NIXSNF3002NY</t>
  </si>
  <si>
    <t>NIXSNF3003BK</t>
  </si>
  <si>
    <t>NIXSNF3003NY</t>
  </si>
  <si>
    <t>NIXSNF3004GY</t>
  </si>
  <si>
    <t>NIXSNF3005BK</t>
  </si>
  <si>
    <t>NIXSNF3005GY</t>
  </si>
  <si>
    <t>NIXSNF3006BK</t>
  </si>
  <si>
    <t>NIXSNF3007BK</t>
  </si>
  <si>
    <t>NIXFIF3008BK</t>
  </si>
  <si>
    <t>NIXFIF3008GY</t>
  </si>
  <si>
    <t>NIXSNF3009BL</t>
  </si>
  <si>
    <t>NIXSNF3010OR</t>
  </si>
  <si>
    <t>SBRTPF5067KH</t>
  </si>
  <si>
    <t>SBRTPF5068BK</t>
  </si>
  <si>
    <t>SBRTPF5069NY</t>
  </si>
  <si>
    <t>URBSNF5020BK</t>
  </si>
  <si>
    <t>URBSNF3021BK</t>
  </si>
  <si>
    <t>URBSNF3022BK</t>
  </si>
  <si>
    <t>URBSNF3023BK</t>
  </si>
  <si>
    <t>URBSNF3024BK</t>
  </si>
  <si>
    <t>URBSNF3025GY</t>
  </si>
  <si>
    <t>URBSNF3026YE</t>
  </si>
  <si>
    <t>URBSNF3027WH</t>
  </si>
  <si>
    <t>SBRMIF3070BK</t>
  </si>
  <si>
    <t>URBFIF3438BK</t>
  </si>
  <si>
    <t>URBFIF3441NY</t>
  </si>
  <si>
    <t>URBFIF3418RE</t>
  </si>
  <si>
    <t>URBFIF3407GY</t>
  </si>
  <si>
    <t>URBFIF3307BK</t>
  </si>
  <si>
    <t>URBFIF3306BK</t>
  </si>
  <si>
    <t>PNY-의류</t>
  </si>
  <si>
    <t>URB-가방</t>
  </si>
  <si>
    <t>PNY-가방</t>
  </si>
  <si>
    <t>PNY</t>
  </si>
  <si>
    <t>품목</t>
  </si>
  <si>
    <t>SN</t>
  </si>
  <si>
    <t>성별</t>
    <phoneticPr fontId="1" type="noConversion"/>
  </si>
  <si>
    <t>(비어 있음)</t>
  </si>
  <si>
    <t>(비어 있음) 요약</t>
  </si>
  <si>
    <t>GRASNF5025BK</t>
  </si>
  <si>
    <t>GRASNF5025CL</t>
  </si>
  <si>
    <t>BLLCTF5001NY</t>
  </si>
  <si>
    <t>BLLFAF5002BK</t>
  </si>
  <si>
    <t>BLLFEF5003BK</t>
  </si>
  <si>
    <t>BLLCTF5004BG</t>
  </si>
  <si>
    <t>BLLFEF5005BG</t>
  </si>
  <si>
    <t>BLLFEF5005BK</t>
  </si>
  <si>
    <t>BLLFEF5006GY</t>
  </si>
  <si>
    <t>BLLCTF5007KH</t>
  </si>
  <si>
    <t>BLLHUF5008BK</t>
  </si>
  <si>
    <t>BLLHUF5008RE</t>
  </si>
  <si>
    <t>BLLHUF5008BG</t>
  </si>
  <si>
    <t>BLLFAF5009GY</t>
  </si>
  <si>
    <t>BLLFEF5010BW</t>
  </si>
  <si>
    <t>BLLFEF5011PP</t>
  </si>
  <si>
    <t>SBRTPF5070KH</t>
  </si>
  <si>
    <t>ELSSNF3035BK</t>
  </si>
  <si>
    <t>ELSFIF3036BK</t>
  </si>
  <si>
    <t>DPSBPF3501PK</t>
  </si>
  <si>
    <t>DPSBPF3502PK</t>
  </si>
  <si>
    <t>DPSBPF3503NY</t>
  </si>
  <si>
    <t>PNYUMF5501RE</t>
  </si>
  <si>
    <t>URBSNF5028BK</t>
  </si>
  <si>
    <t>URBSNF5029GY</t>
  </si>
  <si>
    <t>URBSNF3030BK</t>
  </si>
  <si>
    <t>URBSNF3031GR</t>
  </si>
  <si>
    <t>URBSNF3032BK</t>
  </si>
  <si>
    <t>URBSNF3033BK</t>
  </si>
  <si>
    <t>URBSNF3034BK</t>
  </si>
  <si>
    <t>URBSNF3035BK</t>
  </si>
  <si>
    <t>URBSNF3036BK</t>
  </si>
  <si>
    <t>URBSNF3037BK</t>
  </si>
  <si>
    <t>ELSSBF3801BK</t>
  </si>
  <si>
    <t>HCUFIF3401BK</t>
  </si>
  <si>
    <t>PLAUMF3409BK</t>
  </si>
  <si>
    <t>SMBSNF3402BK</t>
  </si>
  <si>
    <t>URBFIF3443WH</t>
  </si>
  <si>
    <t>URBFIF3453BW</t>
  </si>
  <si>
    <t>URBFIF3454MT</t>
  </si>
  <si>
    <t>FFTSNF3001BK</t>
  </si>
  <si>
    <t>FFTSNF3002KH</t>
  </si>
  <si>
    <t>FFTSNF3003BK</t>
  </si>
  <si>
    <t>MGMBPF3001BK</t>
  </si>
  <si>
    <t>MGMBPF3002BK</t>
  </si>
  <si>
    <t>MGMBPF3003BK</t>
  </si>
  <si>
    <t>ELSBPF3004BK</t>
  </si>
  <si>
    <t>ELSBPF3505BK</t>
  </si>
  <si>
    <t>SBRFAF3071WH</t>
  </si>
  <si>
    <t>SBRFAF3071BK</t>
  </si>
  <si>
    <t>SBRFAF3072BL</t>
  </si>
  <si>
    <t>SBRFAF3073BL</t>
  </si>
  <si>
    <t>SBRFAF3074WH</t>
  </si>
  <si>
    <t>PLAUMF3004BW</t>
  </si>
  <si>
    <t>MGMSNF3013GR</t>
  </si>
  <si>
    <t>MGMSNF5014BK</t>
  </si>
  <si>
    <t>MGMSNF5015BK</t>
  </si>
  <si>
    <t>MGMSNF3016NY</t>
  </si>
  <si>
    <t>MGMSNF3017BK</t>
  </si>
  <si>
    <t>URBFIF3423BK</t>
  </si>
  <si>
    <t>URBFIF3451GY</t>
  </si>
  <si>
    <t>URBFIF3451BK</t>
  </si>
  <si>
    <t>VBLBAF3404NY</t>
  </si>
  <si>
    <t>ZZZFIF3422WH</t>
  </si>
  <si>
    <t>ZZZFIF3422BK</t>
  </si>
  <si>
    <t>ZZZSNF3001RE</t>
  </si>
  <si>
    <t>ZZZSNF3002BK</t>
  </si>
  <si>
    <t>ZZZSNF3003BK</t>
  </si>
  <si>
    <t>ZZZSNF3011BK</t>
  </si>
  <si>
    <t>ZZZSNF3012BK</t>
  </si>
  <si>
    <t>ZZZSNF3013BK</t>
  </si>
  <si>
    <t>ZZZSNF3014RE</t>
  </si>
  <si>
    <t>JOIBEF5524YE</t>
  </si>
  <si>
    <t>JOIBEF5525MT</t>
  </si>
  <si>
    <t>ELSBEF5037BK</t>
  </si>
  <si>
    <t>SBRFAF3075BK</t>
  </si>
  <si>
    <t>SBRFAF3076GY</t>
  </si>
  <si>
    <t>SBRFAF5077BK</t>
  </si>
  <si>
    <t>BMDBAF3405BK</t>
  </si>
  <si>
    <t>BMDBAF3408BK</t>
  </si>
  <si>
    <t>DPSFIF3413PK</t>
  </si>
  <si>
    <t>FFTSNF3005KH</t>
  </si>
  <si>
    <t>FFTSNF3006GY</t>
  </si>
  <si>
    <t>FFTSNF3008BK</t>
  </si>
  <si>
    <t>FFTSNF3010BK</t>
  </si>
  <si>
    <t>FFTSNF3012WH</t>
  </si>
  <si>
    <t>FFTSNF3013WH</t>
  </si>
  <si>
    <t>SBRBEF5078BU</t>
  </si>
  <si>
    <t>SBRBEF5078BK</t>
  </si>
  <si>
    <t>SBRBEF5078GY</t>
  </si>
  <si>
    <t>HCUBAF3011BK</t>
  </si>
  <si>
    <t>URBSNF3038BK</t>
  </si>
  <si>
    <t>URBSNF3039BK</t>
  </si>
  <si>
    <t>URBSNF3403BK</t>
  </si>
  <si>
    <t>FFTFAF3014BK</t>
  </si>
  <si>
    <t>FFTFAF3015BG</t>
  </si>
  <si>
    <t>FFTFAF3016BK</t>
  </si>
  <si>
    <t>FFTFAF3017GY</t>
  </si>
  <si>
    <t>FFTFAF3018GY</t>
  </si>
  <si>
    <t>FFTFAF3019BL</t>
  </si>
  <si>
    <t>FFTFAF3020KH</t>
  </si>
  <si>
    <t>FFTFAF3021BK</t>
  </si>
  <si>
    <t>DPSSNF3401RE</t>
  </si>
  <si>
    <t>DPSSNF3402BK</t>
  </si>
  <si>
    <t>DPSSNF3416BK</t>
  </si>
  <si>
    <t>PLAUMF3411BK</t>
  </si>
  <si>
    <t>YGFSNF3302BK</t>
  </si>
  <si>
    <t>YGFSNF3311BK</t>
  </si>
  <si>
    <t>URBSNF3002BK</t>
  </si>
  <si>
    <t>URBSNF3304BK</t>
  </si>
  <si>
    <t>URBSNF3410BK</t>
  </si>
  <si>
    <t>URBSNF3411BK</t>
  </si>
  <si>
    <t>URBSNF3412BK</t>
  </si>
  <si>
    <t>DPSERF5509PK</t>
  </si>
  <si>
    <t>FFTSNF3004BU</t>
  </si>
  <si>
    <t>FFTSNF3007RE</t>
  </si>
  <si>
    <t>FFTSNF3009BU</t>
  </si>
  <si>
    <t>FFTSNF5011BK</t>
  </si>
  <si>
    <t>FFTSNF3022BK</t>
  </si>
  <si>
    <t>FFTSNF3023BK</t>
  </si>
  <si>
    <t>FFTSNF3024BK</t>
  </si>
  <si>
    <t>DPS-가방</t>
  </si>
  <si>
    <t>MGM-가방</t>
  </si>
  <si>
    <t>YGF</t>
  </si>
  <si>
    <t>성별</t>
  </si>
  <si>
    <t>성인</t>
  </si>
  <si>
    <t>키즈</t>
  </si>
  <si>
    <t>상세</t>
    <phoneticPr fontId="1" type="noConversion"/>
  </si>
  <si>
    <t>BLL</t>
  </si>
  <si>
    <t>NOVTPF5010BK</t>
  </si>
  <si>
    <t>SBRFAF5079BK</t>
  </si>
  <si>
    <t>SBRFAF5080BK</t>
  </si>
  <si>
    <t>SBRFAF5081BK</t>
  </si>
  <si>
    <t>FFTBEF5025GY</t>
  </si>
  <si>
    <t>FFTBEF5026BK</t>
  </si>
  <si>
    <t>ZZZSNF3021NY</t>
  </si>
  <si>
    <t>ZZZSNF3022PK</t>
  </si>
  <si>
    <t>ZZZSNF3023YE</t>
  </si>
  <si>
    <t>ZZZSNF3024BK</t>
  </si>
  <si>
    <t>ZZZSNF3031NY</t>
  </si>
  <si>
    <t>ZZZSNF3032PK</t>
  </si>
  <si>
    <t>ZZZSNF3033YE</t>
  </si>
  <si>
    <t>ZZZSNF3034BK</t>
  </si>
  <si>
    <t>FFTSNF5027BK</t>
  </si>
  <si>
    <t>FFTSNF3028BK</t>
  </si>
  <si>
    <t>FFTSNF3029RE</t>
  </si>
  <si>
    <t>FFTSNF5030BK</t>
  </si>
  <si>
    <t>FFTSNF3031KH</t>
  </si>
  <si>
    <t>FFTBEF5032RE</t>
  </si>
  <si>
    <t>FFTBEF5033BK</t>
  </si>
  <si>
    <t>FFTBEF5034GY</t>
  </si>
  <si>
    <t>PT</t>
  </si>
  <si>
    <t>SB</t>
  </si>
  <si>
    <t>VE</t>
  </si>
  <si>
    <t>(비어 있음) 합계</t>
  </si>
  <si>
    <t>SBRBEF5082GY</t>
  </si>
  <si>
    <t>SBRBEF5082PK</t>
  </si>
  <si>
    <t>SBRBEF5082WH</t>
  </si>
  <si>
    <t>FFTSNF3035PP</t>
  </si>
  <si>
    <t>FFTSNF3036BK</t>
  </si>
  <si>
    <t>FFTFEF5050BK</t>
  </si>
  <si>
    <t>FFTFEF5051BK</t>
  </si>
  <si>
    <t>FFTFEF5051BU</t>
  </si>
  <si>
    <t>FFTFEF5052BG</t>
  </si>
  <si>
    <t>FFTFEF5053BK</t>
  </si>
  <si>
    <t>SHLFAF5001BG</t>
  </si>
  <si>
    <t>SHLFAF5002BW</t>
  </si>
  <si>
    <t>SHLFAF5003GY</t>
  </si>
  <si>
    <t>SHLFAF5004GY</t>
  </si>
  <si>
    <t>SHLFAF5005BK</t>
  </si>
  <si>
    <t>BRAND (3자리)</t>
    <phoneticPr fontId="4" type="noConversion"/>
  </si>
  <si>
    <t>ITEM (2자리)</t>
    <phoneticPr fontId="4" type="noConversion"/>
  </si>
  <si>
    <t>YEAR (2자리)</t>
    <phoneticPr fontId="4" type="noConversion"/>
  </si>
  <si>
    <t>SEASON (1자리)</t>
    <phoneticPr fontId="4" type="noConversion"/>
  </si>
  <si>
    <t>STNO (3자리)</t>
    <phoneticPr fontId="4" type="noConversion"/>
  </si>
  <si>
    <t>COLOR (2자리)</t>
    <phoneticPr fontId="4" type="noConversion"/>
  </si>
  <si>
    <t>SIZE (3자리)</t>
    <phoneticPr fontId="4" type="noConversion"/>
  </si>
  <si>
    <t>분류</t>
    <phoneticPr fontId="4" type="noConversion"/>
  </si>
  <si>
    <t>성별</t>
    <phoneticPr fontId="4" type="noConversion"/>
  </si>
  <si>
    <t>원산지</t>
    <phoneticPr fontId="4" type="noConversion"/>
  </si>
  <si>
    <t>구코드</t>
    <phoneticPr fontId="4" type="noConversion"/>
  </si>
  <si>
    <t>코드</t>
    <phoneticPr fontId="4" type="noConversion"/>
  </si>
  <si>
    <t>코드명</t>
    <phoneticPr fontId="4" type="noConversion"/>
  </si>
  <si>
    <t>그룹</t>
    <phoneticPr fontId="4" type="noConversion"/>
  </si>
  <si>
    <t>구분</t>
    <phoneticPr fontId="4" type="noConversion"/>
  </si>
  <si>
    <t>B/M/C</t>
    <phoneticPr fontId="4" type="noConversion"/>
  </si>
  <si>
    <t>구코드명</t>
    <phoneticPr fontId="4" type="noConversion"/>
  </si>
  <si>
    <t>TYPE</t>
    <phoneticPr fontId="4" type="noConversion"/>
  </si>
  <si>
    <t>의류외</t>
    <phoneticPr fontId="4" type="noConversion"/>
  </si>
  <si>
    <t>모자</t>
    <phoneticPr fontId="4" type="noConversion"/>
  </si>
  <si>
    <t>0</t>
    <phoneticPr fontId="4" type="noConversion"/>
  </si>
  <si>
    <t>SS</t>
    <phoneticPr fontId="4" type="noConversion"/>
  </si>
  <si>
    <t>XXS</t>
    <phoneticPr fontId="4" type="noConversion"/>
  </si>
  <si>
    <t>IN</t>
    <phoneticPr fontId="4" type="noConversion"/>
  </si>
  <si>
    <t>인도네시아</t>
    <phoneticPr fontId="4" type="noConversion"/>
  </si>
  <si>
    <t>KBO</t>
    <phoneticPr fontId="4" type="noConversion"/>
  </si>
  <si>
    <t>3</t>
    <phoneticPr fontId="4" type="noConversion"/>
  </si>
  <si>
    <t>FW</t>
    <phoneticPr fontId="4" type="noConversion"/>
  </si>
  <si>
    <t>BG</t>
    <phoneticPr fontId="4" type="noConversion"/>
  </si>
  <si>
    <t>방글라데시</t>
    <phoneticPr fontId="4" type="noConversion"/>
  </si>
  <si>
    <t>DE</t>
    <phoneticPr fontId="4" type="noConversion"/>
  </si>
  <si>
    <t>독일</t>
    <phoneticPr fontId="4" type="noConversion"/>
  </si>
  <si>
    <t>AT</t>
    <phoneticPr fontId="4" type="noConversion"/>
  </si>
  <si>
    <t>오스트리아</t>
    <phoneticPr fontId="4" type="noConversion"/>
  </si>
  <si>
    <t>BE</t>
    <phoneticPr fontId="4" type="noConversion"/>
  </si>
  <si>
    <t>벨기에</t>
    <phoneticPr fontId="4" type="noConversion"/>
  </si>
  <si>
    <t>CH</t>
    <phoneticPr fontId="4" type="noConversion"/>
  </si>
  <si>
    <t>스위스</t>
    <phoneticPr fontId="4" type="noConversion"/>
  </si>
  <si>
    <t>KBO</t>
    <phoneticPr fontId="4" type="noConversion"/>
  </si>
  <si>
    <t>의류외</t>
    <phoneticPr fontId="4" type="noConversion"/>
  </si>
  <si>
    <t>모자</t>
    <phoneticPr fontId="4" type="noConversion"/>
  </si>
  <si>
    <t>ES</t>
    <phoneticPr fontId="4" type="noConversion"/>
  </si>
  <si>
    <t>스페인</t>
    <phoneticPr fontId="4" type="noConversion"/>
  </si>
  <si>
    <t>2</t>
    <phoneticPr fontId="4" type="noConversion"/>
  </si>
  <si>
    <t>FR</t>
    <phoneticPr fontId="4" type="noConversion"/>
  </si>
  <si>
    <t>프랑스</t>
    <phoneticPr fontId="4" type="noConversion"/>
  </si>
  <si>
    <t>MLB</t>
    <phoneticPr fontId="4" type="noConversion"/>
  </si>
  <si>
    <t>GR</t>
    <phoneticPr fontId="4" type="noConversion"/>
  </si>
  <si>
    <t>영국</t>
    <phoneticPr fontId="4" type="noConversion"/>
  </si>
  <si>
    <t>IT</t>
    <phoneticPr fontId="4" type="noConversion"/>
  </si>
  <si>
    <t>이탈리아</t>
    <phoneticPr fontId="4" type="noConversion"/>
  </si>
  <si>
    <t>PI</t>
    <phoneticPr fontId="4" type="noConversion"/>
  </si>
  <si>
    <t>필리핀</t>
    <phoneticPr fontId="4" type="noConversion"/>
  </si>
  <si>
    <t>PT</t>
    <phoneticPr fontId="4" type="noConversion"/>
  </si>
  <si>
    <t>포르투갈</t>
    <phoneticPr fontId="4" type="noConversion"/>
  </si>
  <si>
    <t>TW</t>
    <phoneticPr fontId="4" type="noConversion"/>
  </si>
  <si>
    <t>대만</t>
    <phoneticPr fontId="4" type="noConversion"/>
  </si>
  <si>
    <t>VT</t>
    <phoneticPr fontId="4" type="noConversion"/>
  </si>
  <si>
    <t>베트남</t>
    <phoneticPr fontId="4" type="noConversion"/>
  </si>
  <si>
    <t>CB</t>
    <phoneticPr fontId="4" type="noConversion"/>
  </si>
  <si>
    <t>캄보디아</t>
    <phoneticPr fontId="4" type="noConversion"/>
  </si>
  <si>
    <t>3</t>
    <phoneticPr fontId="4" type="noConversion"/>
  </si>
  <si>
    <t>ACC</t>
    <phoneticPr fontId="4" type="noConversion"/>
  </si>
  <si>
    <t>4</t>
    <phoneticPr fontId="4" type="noConversion"/>
  </si>
  <si>
    <t>MLB</t>
    <phoneticPr fontId="4" type="noConversion"/>
  </si>
  <si>
    <t>ACC</t>
    <phoneticPr fontId="4" type="noConversion"/>
  </si>
  <si>
    <t>03M</t>
    <phoneticPr fontId="4" type="noConversion"/>
  </si>
  <si>
    <t>3M</t>
    <phoneticPr fontId="4" type="noConversion"/>
  </si>
  <si>
    <t>5</t>
    <phoneticPr fontId="4" type="noConversion"/>
  </si>
  <si>
    <t>06M</t>
    <phoneticPr fontId="4" type="noConversion"/>
  </si>
  <si>
    <t>6M</t>
    <phoneticPr fontId="4" type="noConversion"/>
  </si>
  <si>
    <t>09M</t>
    <phoneticPr fontId="4" type="noConversion"/>
  </si>
  <si>
    <t>9M</t>
    <phoneticPr fontId="4" type="noConversion"/>
  </si>
  <si>
    <t>12M</t>
    <phoneticPr fontId="4" type="noConversion"/>
  </si>
  <si>
    <t>SHOT SLEEVES</t>
    <phoneticPr fontId="4" type="noConversion"/>
  </si>
  <si>
    <t>의류</t>
    <phoneticPr fontId="4" type="noConversion"/>
  </si>
  <si>
    <t>18M</t>
    <phoneticPr fontId="4" type="noConversion"/>
  </si>
  <si>
    <t>5</t>
    <phoneticPr fontId="4" type="noConversion"/>
  </si>
  <si>
    <t>LONG SLEEVES</t>
    <phoneticPr fontId="4" type="noConversion"/>
  </si>
  <si>
    <t>의류</t>
    <phoneticPr fontId="4" type="noConversion"/>
  </si>
  <si>
    <t>HOODED T-SHIRTS</t>
    <phoneticPr fontId="4" type="noConversion"/>
  </si>
  <si>
    <t>SPORTS</t>
    <phoneticPr fontId="4" type="noConversion"/>
  </si>
  <si>
    <t>B</t>
    <phoneticPr fontId="4" type="noConversion"/>
  </si>
  <si>
    <t>HOODED JUMPER</t>
    <phoneticPr fontId="4" type="noConversion"/>
  </si>
  <si>
    <t>JUMPER</t>
    <phoneticPr fontId="4" type="noConversion"/>
  </si>
  <si>
    <t>신발</t>
    <phoneticPr fontId="4" type="noConversion"/>
  </si>
  <si>
    <t>BACK PACK</t>
    <phoneticPr fontId="4" type="noConversion"/>
  </si>
  <si>
    <t>가방</t>
    <phoneticPr fontId="4" type="noConversion"/>
  </si>
  <si>
    <t>BBC</t>
    <phoneticPr fontId="4" type="noConversion"/>
  </si>
  <si>
    <t>NBA BOSTON CELTICS</t>
    <phoneticPr fontId="4" type="noConversion"/>
  </si>
  <si>
    <t>NBA</t>
    <phoneticPr fontId="4" type="noConversion"/>
  </si>
  <si>
    <t>JS</t>
    <phoneticPr fontId="4" type="noConversion"/>
  </si>
  <si>
    <t>JUMPSUIT</t>
    <phoneticPr fontId="4" type="noConversion"/>
  </si>
  <si>
    <t>BCB</t>
    <phoneticPr fontId="4" type="noConversion"/>
  </si>
  <si>
    <t>NBA CHICAGO BULLS</t>
    <phoneticPr fontId="4" type="noConversion"/>
  </si>
  <si>
    <t>NBA</t>
    <phoneticPr fontId="4" type="noConversion"/>
  </si>
  <si>
    <t>SB</t>
    <phoneticPr fontId="4" type="noConversion"/>
  </si>
  <si>
    <t>SHOULDER BAG</t>
    <phoneticPr fontId="4" type="noConversion"/>
  </si>
  <si>
    <t>가방</t>
    <phoneticPr fontId="4" type="noConversion"/>
  </si>
  <si>
    <t>PT</t>
    <phoneticPr fontId="4" type="noConversion"/>
  </si>
  <si>
    <t>PANTS</t>
    <phoneticPr fontId="4" type="noConversion"/>
  </si>
  <si>
    <t>STREET</t>
    <phoneticPr fontId="4" type="noConversion"/>
  </si>
  <si>
    <t>RC</t>
    <phoneticPr fontId="4" type="noConversion"/>
  </si>
  <si>
    <t>RAIN COAT (우비)</t>
    <phoneticPr fontId="4" type="noConversion"/>
  </si>
  <si>
    <t>SV</t>
    <phoneticPr fontId="4" type="noConversion"/>
  </si>
  <si>
    <t>SUN VISOR (썬캡)</t>
    <phoneticPr fontId="4" type="noConversion"/>
  </si>
  <si>
    <t>BB</t>
    <phoneticPr fontId="4" type="noConversion"/>
  </si>
  <si>
    <t>BIB (턱받이)</t>
    <phoneticPr fontId="4" type="noConversion"/>
  </si>
  <si>
    <t>F-HAT</t>
    <phoneticPr fontId="4" type="noConversion"/>
  </si>
  <si>
    <t>BS</t>
    <phoneticPr fontId="4" type="noConversion"/>
  </si>
  <si>
    <t>BODYSUIT (바디수트)</t>
    <phoneticPr fontId="4" type="noConversion"/>
  </si>
  <si>
    <t>GRL</t>
    <phoneticPr fontId="4" type="noConversion"/>
  </si>
  <si>
    <t>GRACEHAT(LUI MARCHE)</t>
    <phoneticPr fontId="4" type="noConversion"/>
  </si>
  <si>
    <t>F-HAT</t>
    <phoneticPr fontId="4" type="noConversion"/>
  </si>
  <si>
    <t>RP</t>
    <phoneticPr fontId="4" type="noConversion"/>
  </si>
  <si>
    <t>ROMPER (롬퍼)</t>
    <phoneticPr fontId="4" type="noConversion"/>
  </si>
  <si>
    <t>GRH</t>
    <phoneticPr fontId="4" type="noConversion"/>
  </si>
  <si>
    <t>GRACEHAT(DISTRIBUTION)</t>
    <phoneticPr fontId="4" type="noConversion"/>
  </si>
  <si>
    <t>SP</t>
    <phoneticPr fontId="4" type="noConversion"/>
  </si>
  <si>
    <t>SLEEPER (우주복)</t>
    <phoneticPr fontId="4" type="noConversion"/>
  </si>
  <si>
    <t>STREET</t>
    <phoneticPr fontId="4" type="noConversion"/>
  </si>
  <si>
    <t>BK</t>
    <phoneticPr fontId="4" type="noConversion"/>
  </si>
  <si>
    <t>BLANKET (담요)</t>
    <phoneticPr fontId="4" type="noConversion"/>
  </si>
  <si>
    <t>CR</t>
    <phoneticPr fontId="4" type="noConversion"/>
  </si>
  <si>
    <t>CARRIER (캐리어)</t>
    <phoneticPr fontId="4" type="noConversion"/>
  </si>
  <si>
    <t>OP</t>
    <phoneticPr fontId="4" type="noConversion"/>
  </si>
  <si>
    <t>ONE-PIECE (원피스)</t>
    <phoneticPr fontId="4" type="noConversion"/>
  </si>
  <si>
    <t>SN</t>
    <phoneticPr fontId="4" type="noConversion"/>
  </si>
  <si>
    <t>SNAPBACK</t>
    <phoneticPr fontId="4" type="noConversion"/>
  </si>
  <si>
    <t>VE</t>
    <phoneticPr fontId="4" type="noConversion"/>
  </si>
  <si>
    <t>VEST (조끼)</t>
    <phoneticPr fontId="4" type="noConversion"/>
  </si>
  <si>
    <t>GOORIN BROTHERS</t>
    <phoneticPr fontId="4" type="noConversion"/>
  </si>
  <si>
    <t>GOL</t>
    <phoneticPr fontId="4" type="noConversion"/>
  </si>
  <si>
    <t>GOORIN BROTHERS(LUI MARCHE)</t>
    <phoneticPr fontId="4" type="noConversion"/>
  </si>
  <si>
    <t>GOD</t>
    <phoneticPr fontId="4" type="noConversion"/>
  </si>
  <si>
    <t>GOORIN BROTHERS(DISTRIBUTION)</t>
    <phoneticPr fontId="4" type="noConversion"/>
  </si>
  <si>
    <t>F-CAP</t>
    <phoneticPr fontId="4" type="noConversion"/>
  </si>
  <si>
    <t>TRL</t>
    <phoneticPr fontId="4" type="noConversion"/>
  </si>
  <si>
    <t>TRUE RELIGION(LUI MARCHE)</t>
    <phoneticPr fontId="4" type="noConversion"/>
  </si>
  <si>
    <t>SPORTS</t>
    <phoneticPr fontId="4" type="noConversion"/>
  </si>
  <si>
    <t>TWH</t>
    <phoneticPr fontId="4" type="noConversion"/>
  </si>
  <si>
    <t>TWI HATSON</t>
    <phoneticPr fontId="4" type="noConversion"/>
  </si>
  <si>
    <t>AKU</t>
    <phoneticPr fontId="4" type="noConversion"/>
  </si>
  <si>
    <t>AKURTZ</t>
    <phoneticPr fontId="4" type="noConversion"/>
  </si>
  <si>
    <t>B</t>
    <phoneticPr fontId="4" type="noConversion"/>
  </si>
  <si>
    <t>NHL</t>
    <phoneticPr fontId="4" type="noConversion"/>
  </si>
  <si>
    <t>JRC</t>
    <phoneticPr fontId="4" type="noConversion"/>
  </si>
  <si>
    <t>JOYRICH</t>
    <phoneticPr fontId="4" type="noConversion"/>
  </si>
  <si>
    <t>BRH</t>
    <phoneticPr fontId="4" type="noConversion"/>
  </si>
  <si>
    <t>BEARHEAD</t>
    <phoneticPr fontId="4" type="noConversion"/>
  </si>
  <si>
    <t>ZEP</t>
    <phoneticPr fontId="4" type="noConversion"/>
  </si>
  <si>
    <t>ZEPHYR</t>
    <phoneticPr fontId="4" type="noConversion"/>
  </si>
  <si>
    <t>AMN</t>
    <phoneticPr fontId="4" type="noConversion"/>
  </si>
  <si>
    <t>AMERICAN NEEDLE</t>
    <phoneticPr fontId="4" type="noConversion"/>
  </si>
  <si>
    <t>MLN</t>
    <phoneticPr fontId="4" type="noConversion"/>
  </si>
  <si>
    <t>MITCHELL &amp; NESS</t>
    <phoneticPr fontId="4" type="noConversion"/>
  </si>
  <si>
    <t>ZEL</t>
    <phoneticPr fontId="4" type="noConversion"/>
  </si>
  <si>
    <t>HATS ON</t>
    <phoneticPr fontId="4" type="noConversion"/>
  </si>
  <si>
    <t>KRH</t>
    <phoneticPr fontId="4" type="noConversion"/>
  </si>
  <si>
    <t>KURIHARA</t>
    <phoneticPr fontId="4" type="noConversion"/>
  </si>
  <si>
    <t>ZZ</t>
    <phoneticPr fontId="4" type="noConversion"/>
  </si>
  <si>
    <t>BRL</t>
    <phoneticPr fontId="4" type="noConversion"/>
  </si>
  <si>
    <t>BRONER HATS</t>
    <phoneticPr fontId="4" type="noConversion"/>
  </si>
  <si>
    <t>CDL</t>
    <phoneticPr fontId="4" type="noConversion"/>
  </si>
  <si>
    <t>CODELLO</t>
    <phoneticPr fontId="4" type="noConversion"/>
  </si>
  <si>
    <t>OBY</t>
    <phoneticPr fontId="4" type="noConversion"/>
  </si>
  <si>
    <t>OVERSEA BUYING (LUI MARCHE)</t>
    <phoneticPr fontId="4" type="noConversion"/>
  </si>
  <si>
    <t>SBG</t>
    <phoneticPr fontId="4" type="noConversion"/>
  </si>
  <si>
    <t>SEEBERGER</t>
    <phoneticPr fontId="4" type="noConversion"/>
  </si>
  <si>
    <t>EGN</t>
    <phoneticPr fontId="4" type="noConversion"/>
  </si>
  <si>
    <t>EUGENIA KIM</t>
    <phoneticPr fontId="4" type="noConversion"/>
  </si>
  <si>
    <t>GRV</t>
    <phoneticPr fontId="4" type="noConversion"/>
  </si>
  <si>
    <t>GREVI</t>
    <phoneticPr fontId="4" type="noConversion"/>
  </si>
  <si>
    <t>M</t>
    <phoneticPr fontId="4" type="noConversion"/>
  </si>
  <si>
    <t>PLK</t>
    <phoneticPr fontId="4" type="noConversion"/>
  </si>
  <si>
    <t>PLAYBOY KIDS</t>
    <phoneticPr fontId="4" type="noConversion"/>
  </si>
  <si>
    <t>PLH</t>
    <phoneticPr fontId="4" type="noConversion"/>
  </si>
  <si>
    <t>PLA HATSON</t>
    <phoneticPr fontId="4" type="noConversion"/>
  </si>
  <si>
    <t>PNY</t>
    <phoneticPr fontId="4" type="noConversion"/>
  </si>
  <si>
    <t>PLAY NEWYORK</t>
    <phoneticPr fontId="4" type="noConversion"/>
  </si>
  <si>
    <t>PNK</t>
    <phoneticPr fontId="4" type="noConversion"/>
  </si>
  <si>
    <t>PLAY NEWYORK KIDS</t>
    <phoneticPr fontId="4" type="noConversion"/>
  </si>
  <si>
    <t>JILL BY JILL STUART</t>
    <phoneticPr fontId="4" type="noConversion"/>
  </si>
  <si>
    <t>JIK</t>
    <phoneticPr fontId="4" type="noConversion"/>
  </si>
  <si>
    <t>JILL BY JILL STUART KIDS</t>
    <phoneticPr fontId="4" type="noConversion"/>
  </si>
  <si>
    <t>JIT</t>
    <phoneticPr fontId="4" type="noConversion"/>
  </si>
  <si>
    <t>JILL STUART</t>
    <phoneticPr fontId="4" type="noConversion"/>
  </si>
  <si>
    <t>JIH</t>
    <phoneticPr fontId="4" type="noConversion"/>
  </si>
  <si>
    <t>JIL HATSON</t>
    <phoneticPr fontId="4" type="noConversion"/>
  </si>
  <si>
    <t>ELK</t>
    <phoneticPr fontId="4" type="noConversion"/>
  </si>
  <si>
    <t>ELSTINKO KIDS</t>
    <phoneticPr fontId="4" type="noConversion"/>
  </si>
  <si>
    <t>ELH</t>
    <phoneticPr fontId="4" type="noConversion"/>
  </si>
  <si>
    <t>ELS HATSON</t>
    <phoneticPr fontId="4" type="noConversion"/>
  </si>
  <si>
    <t>B1A</t>
    <phoneticPr fontId="4" type="noConversion"/>
  </si>
  <si>
    <t>B1A4</t>
    <phoneticPr fontId="4" type="noConversion"/>
  </si>
  <si>
    <t>BMD</t>
    <phoneticPr fontId="4" type="noConversion"/>
  </si>
  <si>
    <t>BLACK MOOD</t>
    <phoneticPr fontId="4" type="noConversion"/>
  </si>
  <si>
    <t>BMK</t>
    <phoneticPr fontId="4" type="noConversion"/>
  </si>
  <si>
    <t>BLACK MOOD KIDS</t>
    <phoneticPr fontId="4" type="noConversion"/>
  </si>
  <si>
    <t>BMH</t>
    <phoneticPr fontId="4" type="noConversion"/>
  </si>
  <si>
    <t>BMD HATSON</t>
    <phoneticPr fontId="4" type="noConversion"/>
  </si>
  <si>
    <t>HCU</t>
    <phoneticPr fontId="4" type="noConversion"/>
  </si>
  <si>
    <t>H.COUSTIC</t>
    <phoneticPr fontId="4" type="noConversion"/>
  </si>
  <si>
    <t>HCH</t>
    <phoneticPr fontId="4" type="noConversion"/>
  </si>
  <si>
    <t>HCU HATSON</t>
    <phoneticPr fontId="4" type="noConversion"/>
  </si>
  <si>
    <t>HCK</t>
    <phoneticPr fontId="4" type="noConversion"/>
  </si>
  <si>
    <t>H.COUSTIC KIDS</t>
    <phoneticPr fontId="4" type="noConversion"/>
  </si>
  <si>
    <t>NOV</t>
    <phoneticPr fontId="4" type="noConversion"/>
  </si>
  <si>
    <t>NOVENT</t>
    <phoneticPr fontId="4" type="noConversion"/>
  </si>
  <si>
    <t>NOK</t>
    <phoneticPr fontId="4" type="noConversion"/>
  </si>
  <si>
    <t>NOVENT KIDS</t>
    <phoneticPr fontId="4" type="noConversion"/>
  </si>
  <si>
    <t>NOH</t>
    <phoneticPr fontId="4" type="noConversion"/>
  </si>
  <si>
    <t>NOV HATSON</t>
    <phoneticPr fontId="4" type="noConversion"/>
  </si>
  <si>
    <t>SUPER MASSIVE BOUND</t>
    <phoneticPr fontId="4" type="noConversion"/>
  </si>
  <si>
    <t>SWB</t>
    <phoneticPr fontId="4" type="noConversion"/>
  </si>
  <si>
    <t>SUPER MASSIVE BOUND_W</t>
    <phoneticPr fontId="4" type="noConversion"/>
  </si>
  <si>
    <t>SMK</t>
    <phoneticPr fontId="4" type="noConversion"/>
  </si>
  <si>
    <t>SUPER MASSIVE BOUND KIDS</t>
    <phoneticPr fontId="4" type="noConversion"/>
  </si>
  <si>
    <t>SWK</t>
    <phoneticPr fontId="4" type="noConversion"/>
  </si>
  <si>
    <t>SUPER MASSIVE BOUND KIDS_W</t>
    <phoneticPr fontId="4" type="noConversion"/>
  </si>
  <si>
    <t>SMH</t>
    <phoneticPr fontId="4" type="noConversion"/>
  </si>
  <si>
    <t>SMB HATSON</t>
    <phoneticPr fontId="4" type="noConversion"/>
  </si>
  <si>
    <t>VBL</t>
    <phoneticPr fontId="4" type="noConversion"/>
  </si>
  <si>
    <t>VITAL BLUE</t>
    <phoneticPr fontId="4" type="noConversion"/>
  </si>
  <si>
    <t>VBK</t>
    <phoneticPr fontId="4" type="noConversion"/>
  </si>
  <si>
    <t>VITAL BLUE KIDS</t>
    <phoneticPr fontId="4" type="noConversion"/>
  </si>
  <si>
    <t>VBH</t>
    <phoneticPr fontId="4" type="noConversion"/>
  </si>
  <si>
    <t>VBL HATSON</t>
    <phoneticPr fontId="4" type="noConversion"/>
  </si>
  <si>
    <t>WTK</t>
    <phoneticPr fontId="4" type="noConversion"/>
  </si>
  <si>
    <t>WITAILOR KIDS</t>
    <phoneticPr fontId="4" type="noConversion"/>
  </si>
  <si>
    <t>WTH</t>
    <phoneticPr fontId="4" type="noConversion"/>
  </si>
  <si>
    <t>WTR HATSON</t>
    <phoneticPr fontId="4" type="noConversion"/>
  </si>
  <si>
    <t>BRO</t>
    <phoneticPr fontId="4" type="noConversion"/>
  </si>
  <si>
    <t>BROWN SQURE</t>
    <phoneticPr fontId="4" type="noConversion"/>
  </si>
  <si>
    <t>BRK</t>
    <phoneticPr fontId="4" type="noConversion"/>
  </si>
  <si>
    <t>BROWN SQURE KIDS</t>
    <phoneticPr fontId="4" type="noConversion"/>
  </si>
  <si>
    <t>BRO HATSON</t>
    <phoneticPr fontId="4" type="noConversion"/>
  </si>
  <si>
    <t>JOI</t>
    <phoneticPr fontId="4" type="noConversion"/>
  </si>
  <si>
    <t>JOIE BETE</t>
    <phoneticPr fontId="4" type="noConversion"/>
  </si>
  <si>
    <t>JOK</t>
    <phoneticPr fontId="4" type="noConversion"/>
  </si>
  <si>
    <t>JOIE BETE KIDS</t>
    <phoneticPr fontId="4" type="noConversion"/>
  </si>
  <si>
    <t>JOH</t>
    <phoneticPr fontId="4" type="noConversion"/>
  </si>
  <si>
    <t>JOI HATSON</t>
    <phoneticPr fontId="4" type="noConversion"/>
  </si>
  <si>
    <t>NAA</t>
    <phoneticPr fontId="4" type="noConversion"/>
  </si>
  <si>
    <t>NCAA</t>
    <phoneticPr fontId="4" type="noConversion"/>
  </si>
  <si>
    <t>NAK</t>
    <phoneticPr fontId="4" type="noConversion"/>
  </si>
  <si>
    <t>NCAA KIDS</t>
    <phoneticPr fontId="4" type="noConversion"/>
  </si>
  <si>
    <t>UCL</t>
    <phoneticPr fontId="4" type="noConversion"/>
  </si>
  <si>
    <t>AND</t>
    <phoneticPr fontId="4" type="noConversion"/>
  </si>
  <si>
    <t>ADEEN</t>
    <phoneticPr fontId="4" type="noConversion"/>
  </si>
  <si>
    <t>URB</t>
    <phoneticPr fontId="4" type="noConversion"/>
  </si>
  <si>
    <t>URBAN SWAGGER</t>
    <phoneticPr fontId="4" type="noConversion"/>
  </si>
  <si>
    <t>URK</t>
    <phoneticPr fontId="4" type="noConversion"/>
  </si>
  <si>
    <t>URBAN SWAGGER KIDS</t>
    <phoneticPr fontId="4" type="noConversion"/>
  </si>
  <si>
    <t>URH</t>
    <phoneticPr fontId="4" type="noConversion"/>
  </si>
  <si>
    <t>URB HATSON</t>
    <phoneticPr fontId="4" type="noConversion"/>
  </si>
  <si>
    <t>YGF</t>
    <phoneticPr fontId="4" type="noConversion"/>
  </si>
  <si>
    <t>YG FAMILY</t>
    <phoneticPr fontId="4" type="noConversion"/>
  </si>
  <si>
    <t>YGK</t>
    <phoneticPr fontId="4" type="noConversion"/>
  </si>
  <si>
    <t>YG FAMILY KIDS</t>
    <phoneticPr fontId="4" type="noConversion"/>
  </si>
  <si>
    <t>POL</t>
    <phoneticPr fontId="4" type="noConversion"/>
  </si>
  <si>
    <t>ROBOCARPOLI</t>
    <phoneticPr fontId="4" type="noConversion"/>
  </si>
  <si>
    <t>POK</t>
    <phoneticPr fontId="4" type="noConversion"/>
  </si>
  <si>
    <t>ROBOCARPOLI KIDS</t>
    <phoneticPr fontId="4" type="noConversion"/>
  </si>
  <si>
    <t>POH</t>
    <phoneticPr fontId="4" type="noConversion"/>
  </si>
  <si>
    <t>POL HATSON</t>
    <phoneticPr fontId="4" type="noConversion"/>
  </si>
  <si>
    <t>DPS</t>
    <phoneticPr fontId="4" type="noConversion"/>
  </si>
  <si>
    <t>DISNEY PRINCESS</t>
    <phoneticPr fontId="4" type="noConversion"/>
  </si>
  <si>
    <t>DPK</t>
    <phoneticPr fontId="4" type="noConversion"/>
  </si>
  <si>
    <t>DISNEY PRINCESS KIDS</t>
    <phoneticPr fontId="4" type="noConversion"/>
  </si>
  <si>
    <t>DPH</t>
    <phoneticPr fontId="4" type="noConversion"/>
  </si>
  <si>
    <t>DPS HATSON</t>
    <phoneticPr fontId="4" type="noConversion"/>
  </si>
  <si>
    <t>MGM</t>
    <phoneticPr fontId="4" type="noConversion"/>
  </si>
  <si>
    <t>MR.REAL GOOD MAN</t>
    <phoneticPr fontId="4" type="noConversion"/>
  </si>
  <si>
    <t>MGK</t>
    <phoneticPr fontId="4" type="noConversion"/>
  </si>
  <si>
    <t>MR.REAL GOOD MAN_KIDS</t>
    <phoneticPr fontId="4" type="noConversion"/>
  </si>
  <si>
    <t>SBR</t>
    <phoneticPr fontId="4" type="noConversion"/>
  </si>
  <si>
    <t>SMITH BRIDGE</t>
    <phoneticPr fontId="4" type="noConversion"/>
  </si>
  <si>
    <t>SBK</t>
    <phoneticPr fontId="4" type="noConversion"/>
  </si>
  <si>
    <t>SMITH BRIDGE_KIDS</t>
    <phoneticPr fontId="4" type="noConversion"/>
  </si>
  <si>
    <t>BLL</t>
    <phoneticPr fontId="4" type="noConversion"/>
  </si>
  <si>
    <t>BELLOPOLLY</t>
    <phoneticPr fontId="4" type="noConversion"/>
  </si>
  <si>
    <t>JST</t>
    <phoneticPr fontId="4" type="noConversion"/>
  </si>
  <si>
    <t>JILLSTUART</t>
    <phoneticPr fontId="4" type="noConversion"/>
  </si>
  <si>
    <t>JLL</t>
    <phoneticPr fontId="4" type="noConversion"/>
  </si>
  <si>
    <t>JILL BY JILLSTUART</t>
    <phoneticPr fontId="4" type="noConversion"/>
  </si>
  <si>
    <t>BEL</t>
    <phoneticPr fontId="4" type="noConversion"/>
  </si>
  <si>
    <t>C</t>
    <phoneticPr fontId="4" type="noConversion"/>
  </si>
  <si>
    <t>SHL</t>
    <phoneticPr fontId="4" type="noConversion"/>
  </si>
  <si>
    <t>SHERLOCK HOLMES</t>
    <phoneticPr fontId="4" type="noConversion"/>
  </si>
  <si>
    <t>FFTSNF3037BK</t>
  </si>
  <si>
    <t>FFTSNF3038BK</t>
  </si>
  <si>
    <t>FFTSNF3039BK</t>
  </si>
  <si>
    <t>FFTBEF5040NY</t>
  </si>
  <si>
    <t>FFTBEF5041BK</t>
  </si>
  <si>
    <t>SHL</t>
  </si>
  <si>
    <t>합계 : 원가(-V)</t>
  </si>
  <si>
    <t>합계 : TAG가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</si>
</sst>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2" formatCode="_-&quot;₩&quot;* #,##0_-;\-&quot;₩&quot;* #,##0_-;_-&quot;₩&quot;* &quot;-&quot;_-;_-@_-"/>
    <numFmt numFmtId="41" formatCode="_-* #,##0_-;\-* #,##0_-;_-* &quot;-&quot;_-;_-@_-"/>
    <numFmt numFmtId="176" formatCode="_(* #,##0_);_(* \(#,##0\);_(* &quot;-&quot;_);_(@_)"/>
    <numFmt numFmtId="177" formatCode="&quot;₩&quot;#,##0"/>
    <numFmt numFmtId="178" formatCode="m&quot;/&quot;d;@"/>
    <numFmt numFmtId="179" formatCode="_ * #,##0_ ;_ * \-#,##0_ ;_ * &quot;-&quot;_ ;_ @_ "/>
    <numFmt numFmtId="180" formatCode="_ * #,##0.00_ ;_ * \-#,##0.00_ ;_ * &quot;-&quot;??_ ;_ @_ "/>
    <numFmt numFmtId="181" formatCode="_(&quot;$&quot;* #,##0.00_);_(&quot;$&quot;* \(#,##0.00\);_(&quot;$&quot;* &quot;-&quot;??_);_(@_)"/>
    <numFmt numFmtId="182" formatCode="#,##0,,"/>
    <numFmt numFmtId="183" formatCode="mm\/dd"/>
    <numFmt numFmtId="184" formatCode="#,##0,"/>
    <numFmt numFmtId="185" formatCode="#,##0_ "/>
  </numFmts>
  <fonts count="7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name val="돋움체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돋움체"/>
      <family val="3"/>
      <charset val="129"/>
    </font>
    <font>
      <b/>
      <sz val="11"/>
      <name val="돋움체"/>
      <family val="3"/>
      <charset val="129"/>
    </font>
    <font>
      <sz val="11"/>
      <color rgb="FFFF0000"/>
      <name val="돋움체"/>
      <family val="3"/>
      <charset val="129"/>
    </font>
    <font>
      <sz val="11"/>
      <color indexed="8"/>
      <name val="宋体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0"/>
      <name val="Arial"/>
      <family val="2"/>
    </font>
    <font>
      <sz val="12"/>
      <name val="宋体"/>
      <family val="3"/>
      <charset val="129"/>
    </font>
    <font>
      <sz val="10"/>
      <name val="Verdana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indexed="14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6"/>
      <name val="HY헤드라인M"/>
      <family val="1"/>
      <charset val="129"/>
    </font>
    <font>
      <sz val="11"/>
      <color rgb="FFFF0000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1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1"/>
      <color rgb="FF0000FF"/>
      <name val="돋움체"/>
      <family val="3"/>
      <charset val="129"/>
    </font>
    <font>
      <b/>
      <sz val="11"/>
      <color rgb="FF0000FF"/>
      <name val="돋움체"/>
      <family val="3"/>
      <charset val="129"/>
    </font>
    <font>
      <sz val="10"/>
      <color rgb="FF0000FF"/>
      <name val="돋움체"/>
      <family val="3"/>
      <charset val="129"/>
    </font>
    <font>
      <sz val="10"/>
      <name val="맑은 고딕"/>
      <family val="2"/>
      <charset val="129"/>
      <scheme val="minor"/>
    </font>
  </fonts>
  <fills count="4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 tint="-0.14996795556505021"/>
        <bgColor indexed="64"/>
      </patternFill>
    </fill>
  </fills>
  <borders count="4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auto="1"/>
      </top>
      <bottom/>
      <diagonal/>
    </border>
    <border>
      <left style="medium">
        <color indexed="64"/>
      </left>
      <right style="medium">
        <color indexed="64"/>
      </right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 style="medium">
        <color indexed="64"/>
      </right>
      <top/>
      <bottom style="double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thin">
        <color indexed="65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 style="thin">
        <color indexed="65"/>
      </top>
      <bottom/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</borders>
  <cellStyleXfs count="2815">
    <xf numFmtId="0" fontId="0" fillId="0" borderId="0">
      <alignment vertical="center"/>
    </xf>
    <xf numFmtId="0" fontId="7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15" borderId="0" applyNumberFormat="0" applyBorder="0" applyAlignment="0" applyProtection="0"/>
    <xf numFmtId="0" fontId="12" fillId="20" borderId="0" applyNumberFormat="0" applyBorder="0" applyAlignment="0" applyProtection="0"/>
    <xf numFmtId="0" fontId="12" fillId="23" borderId="0" applyNumberFormat="0" applyBorder="0" applyAlignment="0" applyProtection="0"/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29" borderId="0" applyNumberFormat="0" applyBorder="0" applyAlignment="0" applyProtection="0"/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8" borderId="23" applyNumberFormat="0" applyAlignment="0" applyProtection="0">
      <alignment vertical="center"/>
    </xf>
    <xf numFmtId="0" fontId="22" fillId="18" borderId="23" applyNumberFormat="0" applyAlignment="0" applyProtection="0">
      <alignment vertical="center"/>
    </xf>
    <xf numFmtId="0" fontId="22" fillId="18" borderId="23" applyNumberFormat="0" applyAlignment="0" applyProtection="0">
      <alignment vertical="center"/>
    </xf>
    <xf numFmtId="0" fontId="22" fillId="18" borderId="23" applyNumberFormat="0" applyAlignment="0" applyProtection="0">
      <alignment vertical="center"/>
    </xf>
    <xf numFmtId="0" fontId="22" fillId="18" borderId="23" applyNumberFormat="0" applyAlignment="0" applyProtection="0">
      <alignment vertical="center"/>
    </xf>
    <xf numFmtId="0" fontId="22" fillId="18" borderId="23" applyNumberFormat="0" applyAlignment="0" applyProtection="0">
      <alignment vertical="center"/>
    </xf>
    <xf numFmtId="0" fontId="22" fillId="18" borderId="23" applyNumberFormat="0" applyAlignment="0" applyProtection="0">
      <alignment vertical="center"/>
    </xf>
    <xf numFmtId="0" fontId="22" fillId="18" borderId="23" applyNumberFormat="0" applyAlignment="0" applyProtection="0">
      <alignment vertical="center"/>
    </xf>
    <xf numFmtId="0" fontId="22" fillId="18" borderId="23" applyNumberFormat="0" applyAlignment="0" applyProtection="0">
      <alignment vertical="center"/>
    </xf>
    <xf numFmtId="0" fontId="22" fillId="18" borderId="23" applyNumberFormat="0" applyAlignment="0" applyProtection="0">
      <alignment vertical="center"/>
    </xf>
    <xf numFmtId="0" fontId="22" fillId="18" borderId="23" applyNumberFormat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9" fontId="25" fillId="0" borderId="0" applyFont="0" applyFill="0" applyBorder="0" applyAlignment="0" applyProtection="0"/>
    <xf numFmtId="9" fontId="26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/>
    <xf numFmtId="9" fontId="26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/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/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8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30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11" fillId="0" borderId="0">
      <alignment vertical="center"/>
    </xf>
    <xf numFmtId="0" fontId="29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8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8" fillId="0" borderId="0"/>
    <xf numFmtId="0" fontId="29" fillId="0" borderId="0"/>
    <xf numFmtId="0" fontId="29" fillId="0" borderId="0"/>
    <xf numFmtId="0" fontId="27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11" fillId="0" borderId="0">
      <alignment vertical="center"/>
    </xf>
    <xf numFmtId="0" fontId="27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8" fillId="0" borderId="0"/>
    <xf numFmtId="0" fontId="30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0" fillId="0" borderId="0">
      <alignment vertical="center"/>
    </xf>
    <xf numFmtId="0" fontId="28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176" fontId="31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32" fillId="17" borderId="23" applyNumberFormat="0" applyAlignment="0" applyProtection="0">
      <alignment vertical="center"/>
    </xf>
    <xf numFmtId="0" fontId="32" fillId="17" borderId="23" applyNumberFormat="0" applyAlignment="0" applyProtection="0">
      <alignment vertical="center"/>
    </xf>
    <xf numFmtId="0" fontId="32" fillId="17" borderId="23" applyNumberFormat="0" applyAlignment="0" applyProtection="0">
      <alignment vertical="center"/>
    </xf>
    <xf numFmtId="0" fontId="32" fillId="17" borderId="23" applyNumberFormat="0" applyAlignment="0" applyProtection="0">
      <alignment vertical="center"/>
    </xf>
    <xf numFmtId="0" fontId="32" fillId="17" borderId="23" applyNumberFormat="0" applyAlignment="0" applyProtection="0">
      <alignment vertical="center"/>
    </xf>
    <xf numFmtId="0" fontId="32" fillId="17" borderId="23" applyNumberFormat="0" applyAlignment="0" applyProtection="0">
      <alignment vertical="center"/>
    </xf>
    <xf numFmtId="0" fontId="32" fillId="17" borderId="23" applyNumberFormat="0" applyAlignment="0" applyProtection="0">
      <alignment vertical="center"/>
    </xf>
    <xf numFmtId="0" fontId="32" fillId="17" borderId="23" applyNumberFormat="0" applyAlignment="0" applyProtection="0">
      <alignment vertical="center"/>
    </xf>
    <xf numFmtId="0" fontId="32" fillId="17" borderId="23" applyNumberFormat="0" applyAlignment="0" applyProtection="0">
      <alignment vertical="center"/>
    </xf>
    <xf numFmtId="0" fontId="32" fillId="17" borderId="23" applyNumberFormat="0" applyAlignment="0" applyProtection="0">
      <alignment vertical="center"/>
    </xf>
    <xf numFmtId="0" fontId="32" fillId="17" borderId="23" applyNumberFormat="0" applyAlignment="0" applyProtection="0">
      <alignment vertical="center"/>
    </xf>
    <xf numFmtId="0" fontId="30" fillId="19" borderId="24" applyNumberFormat="0" applyFont="0" applyAlignment="0" applyProtection="0">
      <alignment vertical="center"/>
    </xf>
    <xf numFmtId="0" fontId="30" fillId="19" borderId="24" applyNumberFormat="0" applyFont="0" applyAlignment="0" applyProtection="0">
      <alignment vertical="center"/>
    </xf>
    <xf numFmtId="0" fontId="30" fillId="19" borderId="24" applyNumberFormat="0" applyFont="0" applyAlignment="0" applyProtection="0">
      <alignment vertical="center"/>
    </xf>
    <xf numFmtId="0" fontId="30" fillId="19" borderId="24" applyNumberFormat="0" applyFont="0" applyAlignment="0" applyProtection="0">
      <alignment vertical="center"/>
    </xf>
    <xf numFmtId="0" fontId="33" fillId="0" borderId="25" applyNumberFormat="0" applyFill="0" applyAlignment="0" applyProtection="0">
      <alignment vertical="center"/>
    </xf>
    <xf numFmtId="0" fontId="33" fillId="0" borderId="25" applyNumberFormat="0" applyFill="0" applyAlignment="0" applyProtection="0">
      <alignment vertical="center"/>
    </xf>
    <xf numFmtId="0" fontId="33" fillId="0" borderId="25" applyNumberFormat="0" applyFill="0" applyAlignment="0" applyProtection="0">
      <alignment vertical="center"/>
    </xf>
    <xf numFmtId="0" fontId="33" fillId="0" borderId="25" applyNumberFormat="0" applyFill="0" applyAlignment="0" applyProtection="0">
      <alignment vertical="center"/>
    </xf>
    <xf numFmtId="0" fontId="33" fillId="0" borderId="25" applyNumberFormat="0" applyFill="0" applyAlignment="0" applyProtection="0">
      <alignment vertical="center"/>
    </xf>
    <xf numFmtId="0" fontId="33" fillId="0" borderId="25" applyNumberFormat="0" applyFill="0" applyAlignment="0" applyProtection="0">
      <alignment vertical="center"/>
    </xf>
    <xf numFmtId="0" fontId="33" fillId="0" borderId="25" applyNumberFormat="0" applyFill="0" applyAlignment="0" applyProtection="0">
      <alignment vertical="center"/>
    </xf>
    <xf numFmtId="0" fontId="33" fillId="0" borderId="25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179" fontId="30" fillId="0" borderId="0" applyFont="0" applyFill="0" applyBorder="0" applyAlignment="0" applyProtection="0">
      <alignment vertical="center"/>
    </xf>
    <xf numFmtId="179" fontId="30" fillId="0" borderId="0" applyFont="0" applyFill="0" applyBorder="0" applyAlignment="0" applyProtection="0">
      <alignment vertical="center"/>
    </xf>
    <xf numFmtId="179" fontId="30" fillId="0" borderId="0" applyFont="0" applyFill="0" applyBorder="0" applyAlignment="0" applyProtection="0">
      <alignment vertical="center"/>
    </xf>
    <xf numFmtId="179" fontId="30" fillId="0" borderId="0" applyFont="0" applyFill="0" applyBorder="0" applyAlignment="0" applyProtection="0">
      <alignment vertical="center"/>
    </xf>
    <xf numFmtId="179" fontId="30" fillId="0" borderId="0" applyFont="0" applyFill="0" applyBorder="0" applyAlignment="0" applyProtection="0">
      <alignment vertical="center"/>
    </xf>
    <xf numFmtId="0" fontId="35" fillId="18" borderId="26" applyNumberFormat="0" applyAlignment="0" applyProtection="0">
      <alignment vertical="center"/>
    </xf>
    <xf numFmtId="0" fontId="35" fillId="18" borderId="26" applyNumberFormat="0" applyAlignment="0" applyProtection="0">
      <alignment vertical="center"/>
    </xf>
    <xf numFmtId="0" fontId="35" fillId="18" borderId="26" applyNumberFormat="0" applyAlignment="0" applyProtection="0">
      <alignment vertical="center"/>
    </xf>
    <xf numFmtId="0" fontId="35" fillId="18" borderId="26" applyNumberFormat="0" applyAlignment="0" applyProtection="0">
      <alignment vertical="center"/>
    </xf>
    <xf numFmtId="0" fontId="35" fillId="18" borderId="26" applyNumberFormat="0" applyAlignment="0" applyProtection="0">
      <alignment vertical="center"/>
    </xf>
    <xf numFmtId="0" fontId="35" fillId="18" borderId="26" applyNumberFormat="0" applyAlignment="0" applyProtection="0">
      <alignment vertical="center"/>
    </xf>
    <xf numFmtId="0" fontId="35" fillId="18" borderId="26" applyNumberFormat="0" applyAlignment="0" applyProtection="0">
      <alignment vertical="center"/>
    </xf>
    <xf numFmtId="0" fontId="35" fillId="18" borderId="26" applyNumberFormat="0" applyAlignment="0" applyProtection="0">
      <alignment vertical="center"/>
    </xf>
    <xf numFmtId="0" fontId="35" fillId="18" borderId="26" applyNumberFormat="0" applyAlignment="0" applyProtection="0">
      <alignment vertical="center"/>
    </xf>
    <xf numFmtId="0" fontId="35" fillId="18" borderId="26" applyNumberFormat="0" applyAlignment="0" applyProtection="0">
      <alignment vertical="center"/>
    </xf>
    <xf numFmtId="0" fontId="35" fillId="18" borderId="26" applyNumberFormat="0" applyAlignment="0" applyProtection="0">
      <alignment vertical="center"/>
    </xf>
    <xf numFmtId="179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/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/>
    <xf numFmtId="42" fontId="26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/>
    <xf numFmtId="42" fontId="26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/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181" fontId="29" fillId="0" borderId="0" applyFont="0" applyFill="0" applyBorder="0" applyAlignment="0" applyProtection="0"/>
    <xf numFmtId="0" fontId="37" fillId="0" borderId="0" applyFont="0" applyFill="0" applyBorder="0" applyAlignment="0" applyProtection="0"/>
    <xf numFmtId="181" fontId="29" fillId="0" borderId="0" applyFont="0" applyFill="0" applyBorder="0" applyAlignment="0" applyProtection="0"/>
    <xf numFmtId="0" fontId="26" fillId="0" borderId="0">
      <alignment vertical="center"/>
    </xf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7" fillId="0" borderId="0"/>
    <xf numFmtId="0" fontId="37" fillId="0" borderId="0"/>
    <xf numFmtId="0" fontId="26" fillId="0" borderId="0">
      <alignment vertical="center"/>
    </xf>
    <xf numFmtId="0" fontId="37" fillId="0" borderId="0"/>
    <xf numFmtId="0" fontId="26" fillId="0" borderId="0">
      <alignment vertical="center"/>
    </xf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7" fillId="0" borderId="0"/>
    <xf numFmtId="0" fontId="26" fillId="0" borderId="0">
      <alignment vertical="center"/>
    </xf>
    <xf numFmtId="0" fontId="26" fillId="0" borderId="0">
      <alignment vertical="center"/>
    </xf>
    <xf numFmtId="0" fontId="3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6" fillId="0" borderId="0">
      <alignment vertical="center"/>
    </xf>
    <xf numFmtId="0" fontId="37" fillId="0" borderId="0"/>
    <xf numFmtId="0" fontId="37" fillId="0" borderId="0"/>
    <xf numFmtId="0" fontId="37" fillId="0" borderId="0"/>
    <xf numFmtId="0" fontId="3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9" fillId="0" borderId="0"/>
    <xf numFmtId="0" fontId="11" fillId="0" borderId="0">
      <alignment vertical="center"/>
    </xf>
    <xf numFmtId="0" fontId="26" fillId="0" borderId="0">
      <alignment vertical="center"/>
    </xf>
    <xf numFmtId="0" fontId="37" fillId="0" borderId="0"/>
    <xf numFmtId="0" fontId="26" fillId="0" borderId="0">
      <alignment vertical="center"/>
    </xf>
    <xf numFmtId="0" fontId="37" fillId="0" borderId="0"/>
    <xf numFmtId="0" fontId="26" fillId="0" borderId="0">
      <alignment vertical="center"/>
    </xf>
    <xf numFmtId="0" fontId="37" fillId="0" borderId="0"/>
    <xf numFmtId="0" fontId="26" fillId="0" borderId="0">
      <alignment vertical="center"/>
    </xf>
    <xf numFmtId="0" fontId="37" fillId="0" borderId="0"/>
    <xf numFmtId="0" fontId="26" fillId="0" borderId="0">
      <alignment vertical="center"/>
    </xf>
    <xf numFmtId="0" fontId="37" fillId="0" borderId="0"/>
    <xf numFmtId="0" fontId="26" fillId="0" borderId="0">
      <alignment vertical="center"/>
    </xf>
    <xf numFmtId="0" fontId="37" fillId="0" borderId="0"/>
    <xf numFmtId="0" fontId="26" fillId="0" borderId="0">
      <alignment vertical="center"/>
    </xf>
    <xf numFmtId="0" fontId="37" fillId="0" borderId="0"/>
    <xf numFmtId="0" fontId="13" fillId="0" borderId="0" applyAlignment="0">
      <alignment vertical="top" wrapText="1"/>
      <protection locked="0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7" fillId="0" borderId="0"/>
    <xf numFmtId="0" fontId="37" fillId="0" borderId="0"/>
    <xf numFmtId="0" fontId="37" fillId="0" borderId="0"/>
    <xf numFmtId="0" fontId="37" fillId="0" borderId="0"/>
    <xf numFmtId="0" fontId="26" fillId="0" borderId="0">
      <alignment vertical="center"/>
    </xf>
    <xf numFmtId="0" fontId="29" fillId="0" borderId="0"/>
    <xf numFmtId="0" fontId="29" fillId="0" borderId="0"/>
    <xf numFmtId="0" fontId="26" fillId="0" borderId="0">
      <alignment vertical="center"/>
    </xf>
    <xf numFmtId="0" fontId="11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9" fillId="0" borderId="0"/>
    <xf numFmtId="0" fontId="26" fillId="0" borderId="0">
      <alignment vertical="center"/>
    </xf>
    <xf numFmtId="0" fontId="31" fillId="0" borderId="0"/>
    <xf numFmtId="0" fontId="26" fillId="0" borderId="0">
      <alignment vertical="center"/>
    </xf>
    <xf numFmtId="0" fontId="3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8" fillId="0" borderId="0"/>
    <xf numFmtId="0" fontId="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9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9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1" fillId="0" borderId="0"/>
    <xf numFmtId="0" fontId="26" fillId="0" borderId="0">
      <alignment vertical="center"/>
    </xf>
    <xf numFmtId="0" fontId="31" fillId="0" borderId="0"/>
    <xf numFmtId="0" fontId="26" fillId="0" borderId="0">
      <alignment vertical="center"/>
    </xf>
    <xf numFmtId="0" fontId="31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26" fillId="0" borderId="0">
      <alignment vertical="center"/>
    </xf>
    <xf numFmtId="0" fontId="26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7" fillId="0" borderId="0"/>
    <xf numFmtId="0" fontId="37" fillId="0" borderId="0"/>
    <xf numFmtId="0" fontId="26" fillId="0" borderId="0">
      <alignment vertical="center"/>
    </xf>
    <xf numFmtId="0" fontId="3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/>
    <xf numFmtId="0" fontId="29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/>
    <xf numFmtId="0" fontId="26" fillId="0" borderId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5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32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33" borderId="0" applyNumberFormat="0" applyBorder="0" applyAlignment="0" applyProtection="0"/>
    <xf numFmtId="0" fontId="40" fillId="13" borderId="0" applyNumberFormat="0" applyBorder="0" applyAlignment="0" applyProtection="0"/>
    <xf numFmtId="0" fontId="41" fillId="24" borderId="23" applyNumberFormat="0" applyAlignment="0" applyProtection="0"/>
    <xf numFmtId="0" fontId="42" fillId="34" borderId="27" applyNumberFormat="0" applyAlignment="0" applyProtection="0"/>
    <xf numFmtId="0" fontId="43" fillId="0" borderId="0" applyNumberFormat="0" applyFill="0" applyBorder="0" applyAlignment="0" applyProtection="0"/>
    <xf numFmtId="0" fontId="44" fillId="14" borderId="0" applyNumberFormat="0" applyBorder="0" applyAlignment="0" applyProtection="0"/>
    <xf numFmtId="0" fontId="45" fillId="0" borderId="28" applyNumberFormat="0" applyFill="0" applyAlignment="0" applyProtection="0"/>
    <xf numFmtId="0" fontId="46" fillId="0" borderId="21" applyNumberFormat="0" applyFill="0" applyAlignment="0" applyProtection="0"/>
    <xf numFmtId="0" fontId="47" fillId="0" borderId="29" applyNumberFormat="0" applyFill="0" applyAlignment="0" applyProtection="0"/>
    <xf numFmtId="0" fontId="47" fillId="0" borderId="0" applyNumberFormat="0" applyFill="0" applyBorder="0" applyAlignment="0" applyProtection="0"/>
    <xf numFmtId="0" fontId="48" fillId="17" borderId="23" applyNumberFormat="0" applyAlignment="0" applyProtection="0"/>
    <xf numFmtId="0" fontId="49" fillId="0" borderId="30"/>
    <xf numFmtId="0" fontId="50" fillId="0" borderId="31" applyNumberFormat="0" applyFill="0" applyAlignment="0" applyProtection="0"/>
    <xf numFmtId="0" fontId="51" fillId="25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12" fillId="19" borderId="24" applyNumberFormat="0" applyFont="0" applyAlignment="0" applyProtection="0"/>
    <xf numFmtId="0" fontId="52" fillId="24" borderId="26" applyNumberFormat="0" applyAlignment="0" applyProtection="0"/>
    <xf numFmtId="9" fontId="29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32" applyNumberFormat="0" applyFill="0" applyAlignment="0" applyProtection="0"/>
    <xf numFmtId="0" fontId="55" fillId="0" borderId="0" applyNumberFormat="0" applyFill="0" applyBorder="0" applyAlignment="0" applyProtection="0"/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34" borderId="27" applyNumberFormat="0" applyAlignment="0" applyProtection="0">
      <alignment vertical="center"/>
    </xf>
    <xf numFmtId="0" fontId="57" fillId="34" borderId="27" applyNumberFormat="0" applyAlignment="0" applyProtection="0">
      <alignment vertical="center"/>
    </xf>
    <xf numFmtId="0" fontId="57" fillId="34" borderId="27" applyNumberFormat="0" applyAlignment="0" applyProtection="0">
      <alignment vertical="center"/>
    </xf>
    <xf numFmtId="0" fontId="57" fillId="34" borderId="27" applyNumberFormat="0" applyAlignment="0" applyProtection="0">
      <alignment vertical="center"/>
    </xf>
    <xf numFmtId="0" fontId="57" fillId="34" borderId="27" applyNumberFormat="0" applyAlignment="0" applyProtection="0">
      <alignment vertical="center"/>
    </xf>
    <xf numFmtId="0" fontId="57" fillId="34" borderId="27" applyNumberFormat="0" applyAlignment="0" applyProtection="0">
      <alignment vertical="center"/>
    </xf>
    <xf numFmtId="0" fontId="57" fillId="34" borderId="27" applyNumberFormat="0" applyAlignment="0" applyProtection="0">
      <alignment vertical="center"/>
    </xf>
    <xf numFmtId="0" fontId="57" fillId="34" borderId="27" applyNumberFormat="0" applyAlignment="0" applyProtection="0">
      <alignment vertical="center"/>
    </xf>
    <xf numFmtId="0" fontId="57" fillId="34" borderId="27" applyNumberFormat="0" applyAlignment="0" applyProtection="0">
      <alignment vertical="center"/>
    </xf>
    <xf numFmtId="0" fontId="57" fillId="34" borderId="27" applyNumberFormat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9" fillId="19" borderId="24" applyNumberFormat="0" applyFont="0" applyAlignment="0" applyProtection="0">
      <alignment vertical="center"/>
    </xf>
    <xf numFmtId="0" fontId="59" fillId="19" borderId="24" applyNumberFormat="0" applyFont="0" applyAlignment="0" applyProtection="0">
      <alignment vertical="center"/>
    </xf>
    <xf numFmtId="0" fontId="59" fillId="19" borderId="24" applyNumberFormat="0" applyFont="0" applyAlignment="0" applyProtection="0">
      <alignment vertical="center"/>
    </xf>
    <xf numFmtId="0" fontId="59" fillId="19" borderId="24" applyNumberFormat="0" applyFont="0" applyAlignment="0" applyProtection="0">
      <alignment vertical="center"/>
    </xf>
    <xf numFmtId="0" fontId="59" fillId="19" borderId="24" applyNumberFormat="0" applyFont="0" applyAlignment="0" applyProtection="0">
      <alignment vertical="center"/>
    </xf>
    <xf numFmtId="0" fontId="59" fillId="19" borderId="24" applyNumberFormat="0" applyFont="0" applyAlignment="0" applyProtection="0">
      <alignment vertical="center"/>
    </xf>
    <xf numFmtId="0" fontId="59" fillId="19" borderId="24" applyNumberFormat="0" applyFont="0" applyAlignment="0" applyProtection="0">
      <alignment vertical="center"/>
    </xf>
    <xf numFmtId="0" fontId="59" fillId="19" borderId="24" applyNumberFormat="0" applyFont="0" applyAlignment="0" applyProtection="0">
      <alignment vertical="center"/>
    </xf>
    <xf numFmtId="0" fontId="59" fillId="19" borderId="24" applyNumberFormat="0" applyFont="0" applyAlignment="0" applyProtection="0">
      <alignment vertical="center"/>
    </xf>
    <xf numFmtId="0" fontId="59" fillId="19" borderId="24" applyNumberFormat="0" applyFont="0" applyAlignment="0" applyProtection="0">
      <alignment vertical="center"/>
    </xf>
    <xf numFmtId="0" fontId="60" fillId="0" borderId="31" applyNumberFormat="0" applyFill="0" applyAlignment="0" applyProtection="0">
      <alignment vertical="center"/>
    </xf>
    <xf numFmtId="0" fontId="60" fillId="0" borderId="31" applyNumberFormat="0" applyFill="0" applyAlignment="0" applyProtection="0">
      <alignment vertical="center"/>
    </xf>
    <xf numFmtId="0" fontId="60" fillId="0" borderId="31" applyNumberFormat="0" applyFill="0" applyAlignment="0" applyProtection="0">
      <alignment vertical="center"/>
    </xf>
    <xf numFmtId="0" fontId="60" fillId="0" borderId="31" applyNumberFormat="0" applyFill="0" applyAlignment="0" applyProtection="0">
      <alignment vertical="center"/>
    </xf>
    <xf numFmtId="0" fontId="60" fillId="0" borderId="31" applyNumberFormat="0" applyFill="0" applyAlignment="0" applyProtection="0">
      <alignment vertical="center"/>
    </xf>
    <xf numFmtId="0" fontId="60" fillId="0" borderId="31" applyNumberFormat="0" applyFill="0" applyAlignment="0" applyProtection="0">
      <alignment vertical="center"/>
    </xf>
    <xf numFmtId="0" fontId="60" fillId="0" borderId="31" applyNumberFormat="0" applyFill="0" applyAlignment="0" applyProtection="0">
      <alignment vertical="center"/>
    </xf>
    <xf numFmtId="0" fontId="60" fillId="0" borderId="31" applyNumberFormat="0" applyFill="0" applyAlignment="0" applyProtection="0">
      <alignment vertical="center"/>
    </xf>
    <xf numFmtId="0" fontId="60" fillId="0" borderId="31" applyNumberFormat="0" applyFill="0" applyAlignment="0" applyProtection="0">
      <alignment vertical="center"/>
    </xf>
    <xf numFmtId="0" fontId="60" fillId="0" borderId="31" applyNumberFormat="0" applyFill="0" applyAlignment="0" applyProtection="0">
      <alignment vertical="center"/>
    </xf>
  </cellStyleXfs>
  <cellXfs count="21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Fill="1">
      <alignment vertical="center"/>
    </xf>
    <xf numFmtId="0" fontId="6" fillId="0" borderId="0" xfId="0" applyFont="1" applyAlignment="1">
      <alignment horizontal="center" vertical="center"/>
    </xf>
    <xf numFmtId="0" fontId="5" fillId="0" borderId="11" xfId="0" applyFont="1" applyBorder="1">
      <alignment vertical="center"/>
    </xf>
    <xf numFmtId="0" fontId="5" fillId="3" borderId="7" xfId="0" applyFont="1" applyFill="1" applyBorder="1">
      <alignment vertical="center"/>
    </xf>
    <xf numFmtId="0" fontId="5" fillId="0" borderId="2" xfId="0" pivotButton="1" applyFont="1" applyBorder="1">
      <alignment vertical="center"/>
    </xf>
    <xf numFmtId="0" fontId="5" fillId="0" borderId="2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3" xfId="0" applyFont="1" applyBorder="1">
      <alignment vertical="center"/>
    </xf>
    <xf numFmtId="0" fontId="5" fillId="3" borderId="8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Border="1">
      <alignment vertical="center"/>
    </xf>
    <xf numFmtId="0" fontId="5" fillId="0" borderId="6" xfId="0" applyNumberFormat="1" applyFont="1" applyBorder="1">
      <alignment vertical="center"/>
    </xf>
    <xf numFmtId="0" fontId="5" fillId="3" borderId="10" xfId="0" applyNumberFormat="1" applyFont="1" applyFill="1" applyBorder="1">
      <alignment vertical="center"/>
    </xf>
    <xf numFmtId="0" fontId="5" fillId="0" borderId="5" xfId="0" applyNumberFormat="1" applyFont="1" applyBorder="1">
      <alignment vertical="center"/>
    </xf>
    <xf numFmtId="0" fontId="5" fillId="3" borderId="9" xfId="0" applyNumberFormat="1" applyFont="1" applyFill="1" applyBorder="1">
      <alignment vertical="center"/>
    </xf>
    <xf numFmtId="0" fontId="2" fillId="5" borderId="0" xfId="0" applyFont="1" applyFill="1" applyAlignment="1">
      <alignment horizontal="center" vertical="center"/>
    </xf>
    <xf numFmtId="0" fontId="5" fillId="0" borderId="2" xfId="0" applyNumberFormat="1" applyFont="1" applyBorder="1">
      <alignment vertical="center"/>
    </xf>
    <xf numFmtId="0" fontId="5" fillId="3" borderId="7" xfId="0" applyNumberFormat="1" applyFont="1" applyFill="1" applyBorder="1">
      <alignment vertical="center"/>
    </xf>
    <xf numFmtId="0" fontId="2" fillId="6" borderId="0" xfId="0" applyFont="1" applyFill="1" applyAlignment="1">
      <alignment horizontal="center" vertical="center"/>
    </xf>
    <xf numFmtId="0" fontId="2" fillId="6" borderId="0" xfId="0" applyFont="1" applyFill="1">
      <alignment vertical="center"/>
    </xf>
    <xf numFmtId="3" fontId="2" fillId="6" borderId="0" xfId="0" applyNumberFormat="1" applyFont="1" applyFill="1" applyAlignment="1">
      <alignment horizontal="center" vertical="center"/>
    </xf>
    <xf numFmtId="3" fontId="2" fillId="0" borderId="0" xfId="0" applyNumberFormat="1" applyFont="1">
      <alignment vertical="center"/>
    </xf>
    <xf numFmtId="3" fontId="2" fillId="5" borderId="0" xfId="0" applyNumberFormat="1" applyFont="1" applyFill="1" applyAlignment="1">
      <alignment horizontal="center" vertical="center"/>
    </xf>
    <xf numFmtId="0" fontId="2" fillId="40" borderId="0" xfId="0" applyFont="1" applyFill="1" applyAlignment="1">
      <alignment horizontal="center" vertical="center"/>
    </xf>
    <xf numFmtId="0" fontId="6" fillId="41" borderId="0" xfId="0" applyFont="1" applyFill="1">
      <alignment vertical="center"/>
    </xf>
    <xf numFmtId="0" fontId="61" fillId="0" borderId="0" xfId="0" applyFont="1">
      <alignment vertical="center"/>
    </xf>
    <xf numFmtId="0" fontId="0" fillId="0" borderId="0" xfId="0" applyAlignment="1">
      <alignment vertical="center" wrapText="1"/>
    </xf>
    <xf numFmtId="0" fontId="6" fillId="0" borderId="12" xfId="0" applyFont="1" applyBorder="1">
      <alignment vertical="center"/>
    </xf>
    <xf numFmtId="0" fontId="0" fillId="0" borderId="12" xfId="0" applyBorder="1">
      <alignment vertical="center"/>
    </xf>
    <xf numFmtId="3" fontId="5" fillId="0" borderId="11" xfId="0" applyNumberFormat="1" applyFont="1" applyBorder="1">
      <alignment vertical="center"/>
    </xf>
    <xf numFmtId="182" fontId="5" fillId="0" borderId="11" xfId="0" applyNumberFormat="1" applyFont="1" applyBorder="1">
      <alignment vertical="center"/>
    </xf>
    <xf numFmtId="3" fontId="5" fillId="39" borderId="11" xfId="0" applyNumberFormat="1" applyFont="1" applyFill="1" applyBorder="1">
      <alignment vertical="center"/>
    </xf>
    <xf numFmtId="182" fontId="5" fillId="39" borderId="11" xfId="0" applyNumberFormat="1" applyFont="1" applyFill="1" applyBorder="1">
      <alignment vertical="center"/>
    </xf>
    <xf numFmtId="3" fontId="5" fillId="3" borderId="1" xfId="0" applyNumberFormat="1" applyFont="1" applyFill="1" applyBorder="1">
      <alignment vertical="center"/>
    </xf>
    <xf numFmtId="182" fontId="5" fillId="3" borderId="1" xfId="0" applyNumberFormat="1" applyFont="1" applyFill="1" applyBorder="1">
      <alignment vertical="center"/>
    </xf>
    <xf numFmtId="0" fontId="5" fillId="0" borderId="34" xfId="0" applyFont="1" applyBorder="1">
      <alignment vertical="center"/>
    </xf>
    <xf numFmtId="183" fontId="2" fillId="0" borderId="0" xfId="0" applyNumberFormat="1" applyFont="1" applyAlignment="1">
      <alignment horizontal="center" vertical="center"/>
    </xf>
    <xf numFmtId="3" fontId="5" fillId="37" borderId="12" xfId="0" applyNumberFormat="1" applyFont="1" applyFill="1" applyBorder="1">
      <alignment vertical="center"/>
    </xf>
    <xf numFmtId="182" fontId="5" fillId="37" borderId="12" xfId="0" applyNumberFormat="1" applyFont="1" applyFill="1" applyBorder="1">
      <alignment vertical="center"/>
    </xf>
    <xf numFmtId="0" fontId="5" fillId="38" borderId="35" xfId="0" applyFont="1" applyFill="1" applyBorder="1" applyAlignment="1">
      <alignment horizontal="center" vertical="center" wrapText="1"/>
    </xf>
    <xf numFmtId="0" fontId="5" fillId="0" borderId="36" xfId="0" pivotButton="1" applyFont="1" applyBorder="1">
      <alignment vertical="center"/>
    </xf>
    <xf numFmtId="0" fontId="5" fillId="0" borderId="37" xfId="0" applyFont="1" applyBorder="1">
      <alignment vertical="center"/>
    </xf>
    <xf numFmtId="0" fontId="5" fillId="0" borderId="36" xfId="0" applyFont="1" applyBorder="1">
      <alignment vertical="center"/>
    </xf>
    <xf numFmtId="0" fontId="5" fillId="0" borderId="39" xfId="0" applyFont="1" applyBorder="1">
      <alignment vertical="center"/>
    </xf>
    <xf numFmtId="0" fontId="6" fillId="0" borderId="0" xfId="0" applyFont="1" applyBorder="1" applyAlignment="1">
      <alignment horizontal="center" vertical="center"/>
    </xf>
    <xf numFmtId="0" fontId="5" fillId="39" borderId="33" xfId="0" applyFont="1" applyFill="1" applyBorder="1">
      <alignment vertical="center"/>
    </xf>
    <xf numFmtId="0" fontId="5" fillId="39" borderId="3" xfId="0" applyFont="1" applyFill="1" applyBorder="1">
      <alignment vertical="center"/>
    </xf>
    <xf numFmtId="0" fontId="5" fillId="39" borderId="34" xfId="0" applyFont="1" applyFill="1" applyBorder="1">
      <alignment vertical="center"/>
    </xf>
    <xf numFmtId="0" fontId="5" fillId="3" borderId="40" xfId="0" applyFont="1" applyFill="1" applyBorder="1">
      <alignment vertical="center"/>
    </xf>
    <xf numFmtId="0" fontId="5" fillId="3" borderId="41" xfId="0" applyFont="1" applyFill="1" applyBorder="1">
      <alignment vertical="center"/>
    </xf>
    <xf numFmtId="0" fontId="62" fillId="0" borderId="0" xfId="0" applyFont="1">
      <alignment vertical="center"/>
    </xf>
    <xf numFmtId="0" fontId="64" fillId="0" borderId="12" xfId="0" applyFont="1" applyBorder="1">
      <alignment vertical="center"/>
    </xf>
    <xf numFmtId="3" fontId="65" fillId="0" borderId="11" xfId="0" applyNumberFormat="1" applyFont="1" applyBorder="1">
      <alignment vertical="center"/>
    </xf>
    <xf numFmtId="3" fontId="65" fillId="37" borderId="12" xfId="0" applyNumberFormat="1" applyFont="1" applyFill="1" applyBorder="1">
      <alignment vertical="center"/>
    </xf>
    <xf numFmtId="3" fontId="65" fillId="39" borderId="11" xfId="0" applyNumberFormat="1" applyFont="1" applyFill="1" applyBorder="1">
      <alignment vertical="center"/>
    </xf>
    <xf numFmtId="3" fontId="65" fillId="3" borderId="1" xfId="0" applyNumberFormat="1" applyFont="1" applyFill="1" applyBorder="1">
      <alignment vertical="center"/>
    </xf>
    <xf numFmtId="0" fontId="65" fillId="0" borderId="0" xfId="0" applyFont="1">
      <alignment vertical="center"/>
    </xf>
    <xf numFmtId="0" fontId="5" fillId="0" borderId="38" xfId="0" applyFont="1" applyBorder="1">
      <alignment vertical="center"/>
    </xf>
    <xf numFmtId="0" fontId="5" fillId="0" borderId="11" xfId="0" applyNumberFormat="1" applyFont="1" applyBorder="1">
      <alignment vertical="center"/>
    </xf>
    <xf numFmtId="0" fontId="5" fillId="0" borderId="12" xfId="0" applyNumberFormat="1" applyFont="1" applyBorder="1">
      <alignment vertical="center"/>
    </xf>
    <xf numFmtId="0" fontId="5" fillId="3" borderId="1" xfId="0" applyNumberFormat="1" applyFont="1" applyFill="1" applyBorder="1">
      <alignment vertical="center"/>
    </xf>
    <xf numFmtId="0" fontId="5" fillId="39" borderId="11" xfId="0" applyNumberFormat="1" applyFont="1" applyFill="1" applyBorder="1">
      <alignment vertical="center"/>
    </xf>
    <xf numFmtId="4" fontId="5" fillId="0" borderId="11" xfId="0" applyNumberFormat="1" applyFont="1" applyBorder="1">
      <alignment vertical="center"/>
    </xf>
    <xf numFmtId="4" fontId="5" fillId="39" borderId="11" xfId="0" applyNumberFormat="1" applyFont="1" applyFill="1" applyBorder="1">
      <alignment vertical="center"/>
    </xf>
    <xf numFmtId="4" fontId="5" fillId="3" borderId="1" xfId="0" applyNumberFormat="1" applyFont="1" applyFill="1" applyBorder="1">
      <alignment vertical="center"/>
    </xf>
    <xf numFmtId="0" fontId="63" fillId="38" borderId="35" xfId="0" applyFont="1" applyFill="1" applyBorder="1" applyAlignment="1">
      <alignment horizontal="center" vertical="center" wrapText="1"/>
    </xf>
    <xf numFmtId="0" fontId="6" fillId="0" borderId="12" xfId="0" applyFont="1" applyFill="1" applyBorder="1">
      <alignment vertical="center"/>
    </xf>
    <xf numFmtId="0" fontId="6" fillId="0" borderId="12" xfId="0" applyFont="1" applyBorder="1" applyAlignment="1">
      <alignment horizontal="center" vertical="center"/>
    </xf>
    <xf numFmtId="0" fontId="5" fillId="0" borderId="11" xfId="0" pivotButton="1" applyFont="1" applyBorder="1">
      <alignment vertical="center"/>
    </xf>
    <xf numFmtId="0" fontId="5" fillId="0" borderId="11" xfId="0" applyFont="1" applyFill="1" applyBorder="1">
      <alignment vertical="center"/>
    </xf>
    <xf numFmtId="0" fontId="5" fillId="0" borderId="42" xfId="0" applyFont="1" applyBorder="1">
      <alignment vertical="center"/>
    </xf>
    <xf numFmtId="0" fontId="5" fillId="0" borderId="42" xfId="0" applyFont="1" applyFill="1" applyBorder="1">
      <alignment vertical="center"/>
    </xf>
    <xf numFmtId="0" fontId="5" fillId="37" borderId="12" xfId="0" applyFont="1" applyFill="1" applyBorder="1">
      <alignment vertical="center"/>
    </xf>
    <xf numFmtId="4" fontId="5" fillId="37" borderId="12" xfId="0" applyNumberFormat="1" applyFont="1" applyFill="1" applyBorder="1">
      <alignment vertical="center"/>
    </xf>
    <xf numFmtId="0" fontId="5" fillId="39" borderId="1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2" fillId="42" borderId="0" xfId="0" applyFont="1" applyFill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3" xfId="0" applyFont="1" applyFill="1" applyBorder="1" applyAlignment="1">
      <alignment horizontal="center" vertical="center"/>
    </xf>
    <xf numFmtId="0" fontId="8" fillId="2" borderId="0" xfId="0" applyNumberFormat="1" applyFont="1" applyFill="1" applyAlignment="1">
      <alignment horizontal="center" vertical="center"/>
    </xf>
    <xf numFmtId="0" fontId="3" fillId="2" borderId="0" xfId="0" applyNumberFormat="1" applyFont="1" applyFill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49" fontId="8" fillId="7" borderId="0" xfId="0" applyNumberFormat="1" applyFont="1" applyFill="1" applyAlignment="1">
      <alignment horizontal="center" vertical="center"/>
    </xf>
    <xf numFmtId="49" fontId="9" fillId="7" borderId="14" xfId="0" applyNumberFormat="1" applyFont="1" applyFill="1" applyBorder="1" applyAlignment="1">
      <alignment horizontal="center" vertical="center"/>
    </xf>
    <xf numFmtId="49" fontId="8" fillId="7" borderId="0" xfId="0" applyNumberFormat="1" applyFont="1" applyFill="1" applyAlignment="1">
      <alignment horizontal="left" vertical="center"/>
    </xf>
    <xf numFmtId="0" fontId="8" fillId="7" borderId="0" xfId="0" applyNumberFormat="1" applyFont="1" applyFill="1" applyAlignment="1">
      <alignment horizontal="center" vertical="center"/>
    </xf>
    <xf numFmtId="0" fontId="3" fillId="7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left" vertical="center"/>
    </xf>
    <xf numFmtId="49" fontId="8" fillId="0" borderId="14" xfId="0" applyNumberFormat="1" applyFont="1" applyBorder="1" applyAlignment="1">
      <alignment horizontal="center" vertical="center"/>
    </xf>
    <xf numFmtId="49" fontId="8" fillId="0" borderId="14" xfId="0" quotePrefix="1" applyNumberFormat="1" applyFont="1" applyBorder="1" applyAlignment="1">
      <alignment horizontal="center" vertical="center"/>
    </xf>
    <xf numFmtId="49" fontId="8" fillId="0" borderId="14" xfId="0" applyNumberFormat="1" applyFont="1" applyFill="1" applyBorder="1" applyAlignment="1">
      <alignment horizontal="center" vertical="center"/>
    </xf>
    <xf numFmtId="49" fontId="8" fillId="0" borderId="0" xfId="0" applyNumberFormat="1" applyFont="1" applyFill="1" applyAlignment="1">
      <alignment horizontal="center" vertical="center"/>
    </xf>
    <xf numFmtId="49" fontId="8" fillId="0" borderId="15" xfId="0" applyNumberFormat="1" applyFont="1" applyBorder="1" applyAlignment="1">
      <alignment horizontal="center" vertical="center"/>
    </xf>
    <xf numFmtId="49" fontId="8" fillId="0" borderId="15" xfId="0" applyNumberFormat="1" applyFont="1" applyFill="1" applyBorder="1" applyAlignment="1">
      <alignment horizontal="center" vertical="center"/>
    </xf>
    <xf numFmtId="49" fontId="8" fillId="4" borderId="0" xfId="0" applyNumberFormat="1" applyFont="1" applyFill="1" applyAlignment="1">
      <alignment horizontal="center" vertical="center"/>
    </xf>
    <xf numFmtId="49" fontId="9" fillId="4" borderId="14" xfId="0" applyNumberFormat="1" applyFont="1" applyFill="1" applyBorder="1" applyAlignment="1">
      <alignment horizontal="center" vertical="center"/>
    </xf>
    <xf numFmtId="49" fontId="8" fillId="4" borderId="0" xfId="0" applyNumberFormat="1" applyFont="1" applyFill="1" applyAlignment="1">
      <alignment horizontal="left" vertical="center"/>
    </xf>
    <xf numFmtId="0" fontId="8" fillId="4" borderId="0" xfId="0" applyNumberFormat="1" applyFont="1" applyFill="1" applyAlignment="1">
      <alignment horizontal="center" vertical="center"/>
    </xf>
    <xf numFmtId="0" fontId="3" fillId="4" borderId="0" xfId="0" applyNumberFormat="1" applyFont="1" applyFill="1" applyAlignment="1">
      <alignment horizontal="center" vertical="center"/>
    </xf>
    <xf numFmtId="49" fontId="10" fillId="0" borderId="14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49" fontId="10" fillId="0" borderId="0" xfId="0" applyNumberFormat="1" applyFont="1" applyAlignment="1">
      <alignment horizontal="center" vertical="center"/>
    </xf>
    <xf numFmtId="49" fontId="3" fillId="7" borderId="0" xfId="0" applyNumberFormat="1" applyFont="1" applyFill="1" applyAlignment="1">
      <alignment horizontal="center" vertical="center"/>
    </xf>
    <xf numFmtId="49" fontId="8" fillId="8" borderId="0" xfId="0" applyNumberFormat="1" applyFont="1" applyFill="1" applyAlignment="1">
      <alignment horizontal="center" vertical="center"/>
    </xf>
    <xf numFmtId="49" fontId="9" fillId="8" borderId="14" xfId="0" applyNumberFormat="1" applyFont="1" applyFill="1" applyBorder="1" applyAlignment="1">
      <alignment horizontal="center" vertical="center"/>
    </xf>
    <xf numFmtId="49" fontId="8" fillId="8" borderId="0" xfId="0" applyNumberFormat="1" applyFont="1" applyFill="1" applyAlignment="1">
      <alignment horizontal="left" vertical="center"/>
    </xf>
    <xf numFmtId="0" fontId="8" fillId="8" borderId="0" xfId="0" applyNumberFormat="1" applyFont="1" applyFill="1" applyAlignment="1">
      <alignment horizontal="center" vertical="center"/>
    </xf>
    <xf numFmtId="0" fontId="3" fillId="8" borderId="0" xfId="0" applyNumberFormat="1" applyFont="1" applyFill="1" applyAlignment="1">
      <alignment horizontal="center" vertical="center"/>
    </xf>
    <xf numFmtId="49" fontId="8" fillId="9" borderId="0" xfId="0" applyNumberFormat="1" applyFont="1" applyFill="1" applyAlignment="1">
      <alignment horizontal="center" vertical="center"/>
    </xf>
    <xf numFmtId="49" fontId="9" fillId="9" borderId="14" xfId="0" applyNumberFormat="1" applyFont="1" applyFill="1" applyBorder="1" applyAlignment="1">
      <alignment horizontal="center" vertical="center"/>
    </xf>
    <xf numFmtId="49" fontId="8" fillId="9" borderId="0" xfId="0" applyNumberFormat="1" applyFont="1" applyFill="1" applyAlignment="1">
      <alignment horizontal="left" vertical="center"/>
    </xf>
    <xf numFmtId="0" fontId="8" fillId="9" borderId="0" xfId="0" applyNumberFormat="1" applyFont="1" applyFill="1" applyAlignment="1">
      <alignment horizontal="center" vertical="center"/>
    </xf>
    <xf numFmtId="0" fontId="3" fillId="9" borderId="0" xfId="0" applyNumberFormat="1" applyFont="1" applyFill="1" applyAlignment="1">
      <alignment horizontal="center" vertical="center"/>
    </xf>
    <xf numFmtId="49" fontId="8" fillId="10" borderId="0" xfId="0" applyNumberFormat="1" applyFont="1" applyFill="1" applyAlignment="1">
      <alignment horizontal="center" vertical="center"/>
    </xf>
    <xf numFmtId="49" fontId="9" fillId="10" borderId="14" xfId="0" applyNumberFormat="1" applyFont="1" applyFill="1" applyBorder="1" applyAlignment="1">
      <alignment horizontal="center" vertical="center"/>
    </xf>
    <xf numFmtId="49" fontId="8" fillId="10" borderId="0" xfId="0" applyNumberFormat="1" applyFont="1" applyFill="1" applyAlignment="1">
      <alignment horizontal="left" vertical="center"/>
    </xf>
    <xf numFmtId="0" fontId="8" fillId="10" borderId="0" xfId="0" applyNumberFormat="1" applyFont="1" applyFill="1" applyAlignment="1">
      <alignment horizontal="center" vertical="center"/>
    </xf>
    <xf numFmtId="0" fontId="3" fillId="10" borderId="0" xfId="0" applyNumberFormat="1" applyFont="1" applyFill="1" applyAlignment="1">
      <alignment horizontal="center" vertical="center"/>
    </xf>
    <xf numFmtId="49" fontId="8" fillId="9" borderId="0" xfId="0" applyNumberFormat="1" applyFont="1" applyFill="1" applyBorder="1" applyAlignment="1">
      <alignment horizontal="center" vertical="center"/>
    </xf>
    <xf numFmtId="49" fontId="8" fillId="9" borderId="0" xfId="0" applyNumberFormat="1" applyFont="1" applyFill="1" applyBorder="1" applyAlignment="1">
      <alignment horizontal="left" vertical="center"/>
    </xf>
    <xf numFmtId="49" fontId="8" fillId="43" borderId="0" xfId="0" applyNumberFormat="1" applyFont="1" applyFill="1" applyAlignment="1">
      <alignment horizontal="center" vertical="center"/>
    </xf>
    <xf numFmtId="49" fontId="9" fillId="43" borderId="14" xfId="0" applyNumberFormat="1" applyFont="1" applyFill="1" applyBorder="1" applyAlignment="1">
      <alignment horizontal="center" vertical="center"/>
    </xf>
    <xf numFmtId="49" fontId="8" fillId="43" borderId="0" xfId="0" applyNumberFormat="1" applyFont="1" applyFill="1" applyAlignment="1">
      <alignment horizontal="left" vertical="center"/>
    </xf>
    <xf numFmtId="0" fontId="8" fillId="43" borderId="0" xfId="0" applyNumberFormat="1" applyFont="1" applyFill="1" applyAlignment="1">
      <alignment horizontal="center" vertical="center"/>
    </xf>
    <xf numFmtId="0" fontId="3" fillId="43" borderId="0" xfId="0" applyNumberFormat="1" applyFont="1" applyFill="1" applyAlignment="1">
      <alignment horizontal="center" vertical="center"/>
    </xf>
    <xf numFmtId="49" fontId="8" fillId="11" borderId="0" xfId="0" applyNumberFormat="1" applyFont="1" applyFill="1" applyAlignment="1">
      <alignment horizontal="center" vertical="center"/>
    </xf>
    <xf numFmtId="49" fontId="8" fillId="11" borderId="14" xfId="0" applyNumberFormat="1" applyFont="1" applyFill="1" applyBorder="1" applyAlignment="1">
      <alignment horizontal="center" vertical="center"/>
    </xf>
    <xf numFmtId="49" fontId="8" fillId="11" borderId="0" xfId="0" applyNumberFormat="1" applyFont="1" applyFill="1" applyAlignment="1">
      <alignment horizontal="left" vertical="center"/>
    </xf>
    <xf numFmtId="49" fontId="8" fillId="7" borderId="16" xfId="0" applyNumberFormat="1" applyFont="1" applyFill="1" applyBorder="1" applyAlignment="1">
      <alignment horizontal="center" vertical="center"/>
    </xf>
    <xf numFmtId="49" fontId="9" fillId="7" borderId="17" xfId="0" applyNumberFormat="1" applyFont="1" applyFill="1" applyBorder="1" applyAlignment="1">
      <alignment horizontal="center" vertical="center"/>
    </xf>
    <xf numFmtId="49" fontId="8" fillId="7" borderId="16" xfId="0" applyNumberFormat="1" applyFont="1" applyFill="1" applyBorder="1" applyAlignment="1">
      <alignment horizontal="left" vertical="center"/>
    </xf>
    <xf numFmtId="0" fontId="8" fillId="7" borderId="16" xfId="0" applyNumberFormat="1" applyFont="1" applyFill="1" applyBorder="1" applyAlignment="1">
      <alignment horizontal="center" vertical="center"/>
    </xf>
    <xf numFmtId="0" fontId="3" fillId="7" borderId="16" xfId="0" applyNumberFormat="1" applyFont="1" applyFill="1" applyBorder="1" applyAlignment="1">
      <alignment horizontal="center" vertical="center"/>
    </xf>
    <xf numFmtId="49" fontId="8" fillId="11" borderId="15" xfId="0" applyNumberFormat="1" applyFont="1" applyFill="1" applyBorder="1" applyAlignment="1">
      <alignment horizontal="center" vertical="center"/>
    </xf>
    <xf numFmtId="49" fontId="8" fillId="7" borderId="0" xfId="0" applyNumberFormat="1" applyFont="1" applyFill="1" applyBorder="1" applyAlignment="1">
      <alignment horizontal="center" vertical="center"/>
    </xf>
    <xf numFmtId="49" fontId="8" fillId="7" borderId="0" xfId="0" applyNumberFormat="1" applyFont="1" applyFill="1" applyBorder="1" applyAlignment="1">
      <alignment horizontal="left" vertical="center"/>
    </xf>
    <xf numFmtId="0" fontId="8" fillId="7" borderId="0" xfId="0" applyNumberFormat="1" applyFont="1" applyFill="1" applyBorder="1" applyAlignment="1">
      <alignment horizontal="center" vertical="center"/>
    </xf>
    <xf numFmtId="0" fontId="3" fillId="7" borderId="0" xfId="0" applyNumberFormat="1" applyFont="1" applyFill="1" applyBorder="1" applyAlignment="1">
      <alignment horizontal="center" vertical="center"/>
    </xf>
    <xf numFmtId="0" fontId="8" fillId="9" borderId="0" xfId="0" applyNumberFormat="1" applyFont="1" applyFill="1" applyBorder="1" applyAlignment="1">
      <alignment horizontal="center" vertical="center"/>
    </xf>
    <xf numFmtId="0" fontId="3" fillId="9" borderId="0" xfId="0" applyNumberFormat="1" applyFont="1" applyFill="1" applyBorder="1" applyAlignment="1">
      <alignment horizontal="center" vertical="center"/>
    </xf>
    <xf numFmtId="49" fontId="8" fillId="9" borderId="18" xfId="0" applyNumberFormat="1" applyFont="1" applyFill="1" applyBorder="1" applyAlignment="1">
      <alignment horizontal="center" vertical="center"/>
    </xf>
    <xf numFmtId="49" fontId="9" fillId="9" borderId="19" xfId="0" applyNumberFormat="1" applyFont="1" applyFill="1" applyBorder="1" applyAlignment="1">
      <alignment horizontal="center" vertical="center"/>
    </xf>
    <xf numFmtId="49" fontId="8" fillId="9" borderId="18" xfId="0" applyNumberFormat="1" applyFont="1" applyFill="1" applyBorder="1" applyAlignment="1">
      <alignment horizontal="left" vertical="center"/>
    </xf>
    <xf numFmtId="0" fontId="8" fillId="9" borderId="18" xfId="0" applyNumberFormat="1" applyFont="1" applyFill="1" applyBorder="1" applyAlignment="1">
      <alignment horizontal="center" vertical="center"/>
    </xf>
    <xf numFmtId="0" fontId="3" fillId="9" borderId="18" xfId="0" applyNumberFormat="1" applyFont="1" applyFill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8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49" fontId="10" fillId="8" borderId="0" xfId="0" applyNumberFormat="1" applyFont="1" applyFill="1" applyAlignment="1">
      <alignment horizontal="center" vertical="center"/>
    </xf>
    <xf numFmtId="49" fontId="66" fillId="8" borderId="14" xfId="0" applyNumberFormat="1" applyFont="1" applyFill="1" applyBorder="1" applyAlignment="1">
      <alignment horizontal="center" vertical="center"/>
    </xf>
    <xf numFmtId="49" fontId="10" fillId="8" borderId="0" xfId="0" applyNumberFormat="1" applyFont="1" applyFill="1" applyAlignment="1">
      <alignment horizontal="left" vertical="center"/>
    </xf>
    <xf numFmtId="0" fontId="10" fillId="8" borderId="0" xfId="0" applyNumberFormat="1" applyFont="1" applyFill="1" applyAlignment="1">
      <alignment horizontal="center" vertical="center"/>
    </xf>
    <xf numFmtId="0" fontId="67" fillId="8" borderId="0" xfId="0" applyNumberFormat="1" applyFont="1" applyFill="1" applyAlignment="1">
      <alignment horizontal="center" vertical="center"/>
    </xf>
    <xf numFmtId="49" fontId="10" fillId="7" borderId="0" xfId="0" applyNumberFormat="1" applyFont="1" applyFill="1" applyBorder="1" applyAlignment="1">
      <alignment horizontal="center" vertical="center"/>
    </xf>
    <xf numFmtId="49" fontId="66" fillId="7" borderId="14" xfId="0" applyNumberFormat="1" applyFont="1" applyFill="1" applyBorder="1" applyAlignment="1">
      <alignment horizontal="center" vertical="center"/>
    </xf>
    <xf numFmtId="49" fontId="10" fillId="7" borderId="0" xfId="0" applyNumberFormat="1" applyFont="1" applyFill="1" applyBorder="1" applyAlignment="1">
      <alignment horizontal="left" vertical="center"/>
    </xf>
    <xf numFmtId="0" fontId="10" fillId="7" borderId="0" xfId="0" applyNumberFormat="1" applyFont="1" applyFill="1" applyBorder="1" applyAlignment="1">
      <alignment horizontal="center" vertical="center"/>
    </xf>
    <xf numFmtId="0" fontId="67" fillId="7" borderId="0" xfId="0" applyNumberFormat="1" applyFont="1" applyFill="1" applyBorder="1" applyAlignment="1">
      <alignment horizontal="center" vertical="center"/>
    </xf>
    <xf numFmtId="49" fontId="68" fillId="7" borderId="0" xfId="0" applyNumberFormat="1" applyFont="1" applyFill="1" applyBorder="1" applyAlignment="1">
      <alignment horizontal="center" vertical="center"/>
    </xf>
    <xf numFmtId="49" fontId="69" fillId="7" borderId="14" xfId="0" applyNumberFormat="1" applyFont="1" applyFill="1" applyBorder="1" applyAlignment="1">
      <alignment horizontal="center" vertical="center"/>
    </xf>
    <xf numFmtId="49" fontId="68" fillId="7" borderId="0" xfId="0" applyNumberFormat="1" applyFont="1" applyFill="1" applyBorder="1" applyAlignment="1">
      <alignment horizontal="left" vertical="center"/>
    </xf>
    <xf numFmtId="0" fontId="68" fillId="7" borderId="0" xfId="0" applyNumberFormat="1" applyFont="1" applyFill="1" applyBorder="1" applyAlignment="1">
      <alignment horizontal="center" vertical="center"/>
    </xf>
    <xf numFmtId="0" fontId="70" fillId="7" borderId="0" xfId="0" applyNumberFormat="1" applyFont="1" applyFill="1" applyBorder="1" applyAlignment="1">
      <alignment horizontal="center" vertical="center"/>
    </xf>
    <xf numFmtId="0" fontId="8" fillId="7" borderId="0" xfId="0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10" fillId="7" borderId="0" xfId="0" applyFont="1" applyFill="1" applyBorder="1" applyAlignment="1">
      <alignment horizontal="center" vertical="center"/>
    </xf>
    <xf numFmtId="0" fontId="67" fillId="7" borderId="0" xfId="0" applyFont="1" applyFill="1" applyBorder="1" applyAlignment="1">
      <alignment horizontal="center" vertical="center"/>
    </xf>
    <xf numFmtId="0" fontId="5" fillId="0" borderId="33" xfId="0" applyFont="1" applyBorder="1">
      <alignment vertical="center"/>
    </xf>
    <xf numFmtId="184" fontId="5" fillId="0" borderId="11" xfId="0" applyNumberFormat="1" applyFont="1" applyBorder="1">
      <alignment vertical="center"/>
    </xf>
    <xf numFmtId="184" fontId="5" fillId="0" borderId="12" xfId="0" applyNumberFormat="1" applyFont="1" applyBorder="1">
      <alignment vertical="center"/>
    </xf>
    <xf numFmtId="184" fontId="5" fillId="39" borderId="11" xfId="0" applyNumberFormat="1" applyFont="1" applyFill="1" applyBorder="1">
      <alignment vertical="center"/>
    </xf>
    <xf numFmtId="184" fontId="5" fillId="3" borderId="1" xfId="0" applyNumberFormat="1" applyFont="1" applyFill="1" applyBorder="1">
      <alignment vertical="center"/>
    </xf>
    <xf numFmtId="184" fontId="6" fillId="0" borderId="0" xfId="0" applyNumberFormat="1" applyFont="1" applyBorder="1">
      <alignment vertical="center"/>
    </xf>
    <xf numFmtId="184" fontId="5" fillId="0" borderId="0" xfId="0" applyNumberFormat="1" applyFont="1">
      <alignment vertical="center"/>
    </xf>
    <xf numFmtId="185" fontId="5" fillId="0" borderId="11" xfId="0" applyNumberFormat="1" applyFont="1" applyBorder="1">
      <alignment vertical="center"/>
    </xf>
    <xf numFmtId="185" fontId="5" fillId="0" borderId="12" xfId="0" applyNumberFormat="1" applyFont="1" applyBorder="1">
      <alignment vertical="center"/>
    </xf>
    <xf numFmtId="185" fontId="5" fillId="39" borderId="11" xfId="0" applyNumberFormat="1" applyFont="1" applyFill="1" applyBorder="1">
      <alignment vertical="center"/>
    </xf>
    <xf numFmtId="185" fontId="5" fillId="3" borderId="1" xfId="0" applyNumberFormat="1" applyFont="1" applyFill="1" applyBorder="1">
      <alignment vertical="center"/>
    </xf>
    <xf numFmtId="185" fontId="6" fillId="0" borderId="0" xfId="0" applyNumberFormat="1" applyFont="1" applyBorder="1">
      <alignment vertical="center"/>
    </xf>
    <xf numFmtId="0" fontId="2" fillId="0" borderId="0" xfId="0" applyFont="1" applyBorder="1">
      <alignment vertical="center"/>
    </xf>
    <xf numFmtId="0" fontId="71" fillId="0" borderId="0" xfId="0" applyFont="1" applyBorder="1">
      <alignment vertical="center"/>
    </xf>
    <xf numFmtId="185" fontId="2" fillId="0" borderId="0" xfId="0" applyNumberFormat="1" applyFont="1" applyBorder="1">
      <alignment vertical="center"/>
    </xf>
    <xf numFmtId="184" fontId="2" fillId="0" borderId="0" xfId="0" applyNumberFormat="1" applyFont="1" applyBorder="1">
      <alignment vertical="center"/>
    </xf>
    <xf numFmtId="0" fontId="71" fillId="38" borderId="43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185" fontId="5" fillId="0" borderId="0" xfId="0" applyNumberFormat="1" applyFont="1">
      <alignment vertical="center"/>
    </xf>
    <xf numFmtId="0" fontId="5" fillId="44" borderId="2" xfId="0" applyFont="1" applyFill="1" applyBorder="1">
      <alignment vertical="center"/>
    </xf>
    <xf numFmtId="0" fontId="5" fillId="44" borderId="3" xfId="0" applyFont="1" applyFill="1" applyBorder="1">
      <alignment vertical="center"/>
    </xf>
    <xf numFmtId="0" fontId="5" fillId="44" borderId="11" xfId="0" applyNumberFormat="1" applyFont="1" applyFill="1" applyBorder="1">
      <alignment vertical="center"/>
    </xf>
    <xf numFmtId="185" fontId="5" fillId="44" borderId="11" xfId="0" applyNumberFormat="1" applyFont="1" applyFill="1" applyBorder="1">
      <alignment vertical="center"/>
    </xf>
    <xf numFmtId="184" fontId="5" fillId="44" borderId="11" xfId="0" applyNumberFormat="1" applyFont="1" applyFill="1" applyBorder="1">
      <alignment vertical="center"/>
    </xf>
    <xf numFmtId="0" fontId="5" fillId="45" borderId="2" xfId="0" applyFont="1" applyFill="1" applyBorder="1">
      <alignment vertical="center"/>
    </xf>
    <xf numFmtId="0" fontId="5" fillId="45" borderId="3" xfId="0" applyFont="1" applyFill="1" applyBorder="1">
      <alignment vertical="center"/>
    </xf>
    <xf numFmtId="0" fontId="5" fillId="45" borderId="11" xfId="0" applyNumberFormat="1" applyFont="1" applyFill="1" applyBorder="1">
      <alignment vertical="center"/>
    </xf>
    <xf numFmtId="185" fontId="5" fillId="45" borderId="11" xfId="0" applyNumberFormat="1" applyFont="1" applyFill="1" applyBorder="1">
      <alignment vertical="center"/>
    </xf>
    <xf numFmtId="184" fontId="5" fillId="45" borderId="11" xfId="0" applyNumberFormat="1" applyFont="1" applyFill="1" applyBorder="1">
      <alignment vertical="center"/>
    </xf>
    <xf numFmtId="0" fontId="71" fillId="38" borderId="46" xfId="0" applyFont="1" applyFill="1" applyBorder="1" applyAlignment="1">
      <alignment vertical="center"/>
    </xf>
    <xf numFmtId="0" fontId="71" fillId="38" borderId="47" xfId="0" applyFont="1" applyFill="1" applyBorder="1" applyAlignment="1">
      <alignment vertical="center"/>
    </xf>
    <xf numFmtId="185" fontId="5" fillId="38" borderId="44" xfId="0" applyNumberFormat="1" applyFont="1" applyFill="1" applyBorder="1" applyAlignment="1">
      <alignment vertical="center"/>
    </xf>
    <xf numFmtId="185" fontId="5" fillId="38" borderId="48" xfId="0" applyNumberFormat="1" applyFont="1" applyFill="1" applyBorder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1" fillId="38" borderId="46" xfId="0" applyFont="1" applyFill="1" applyBorder="1" applyAlignment="1">
      <alignment horizontal="center" vertical="center"/>
    </xf>
    <xf numFmtId="0" fontId="71" fillId="38" borderId="47" xfId="0" applyFont="1" applyFill="1" applyBorder="1" applyAlignment="1">
      <alignment horizontal="center" vertical="center"/>
    </xf>
    <xf numFmtId="0" fontId="71" fillId="38" borderId="44" xfId="0" applyFont="1" applyFill="1" applyBorder="1" applyAlignment="1">
      <alignment horizontal="center" vertical="center"/>
    </xf>
    <xf numFmtId="0" fontId="71" fillId="38" borderId="45" xfId="0" applyFont="1" applyFill="1" applyBorder="1" applyAlignment="1">
      <alignment horizontal="center" vertical="center"/>
    </xf>
    <xf numFmtId="185" fontId="5" fillId="38" borderId="44" xfId="0" applyNumberFormat="1" applyFont="1" applyFill="1" applyBorder="1" applyAlignment="1">
      <alignment horizontal="center" vertical="center"/>
    </xf>
    <xf numFmtId="185" fontId="5" fillId="38" borderId="45" xfId="0" applyNumberFormat="1" applyFont="1" applyFill="1" applyBorder="1" applyAlignment="1">
      <alignment horizontal="center" vertical="center"/>
    </xf>
  </cellXfs>
  <cellStyles count="2815">
    <cellStyle name="20% - Accent1" xfId="170"/>
    <cellStyle name="20% - Accent2" xfId="171"/>
    <cellStyle name="20% - Accent3" xfId="172"/>
    <cellStyle name="20% - Accent4" xfId="173"/>
    <cellStyle name="20% - Accent5" xfId="174"/>
    <cellStyle name="20% - Accent6" xfId="175"/>
    <cellStyle name="20% - アクセント 1" xfId="176"/>
    <cellStyle name="20% - アクセント 1 2" xfId="177"/>
    <cellStyle name="20% - アクセント 1 3" xfId="178"/>
    <cellStyle name="20% - アクセント 1 3 2" xfId="179"/>
    <cellStyle name="20% - アクセント 1 4" xfId="180"/>
    <cellStyle name="20% - アクセント 1 4 2" xfId="181"/>
    <cellStyle name="20% - アクセント 1 4 3" xfId="182"/>
    <cellStyle name="20% - アクセント 1 5" xfId="183"/>
    <cellStyle name="20% - アクセント 2" xfId="184"/>
    <cellStyle name="20% - アクセント 2 2" xfId="185"/>
    <cellStyle name="20% - アクセント 2 3" xfId="186"/>
    <cellStyle name="20% - アクセント 2 3 2" xfId="187"/>
    <cellStyle name="20% - アクセント 2 4" xfId="188"/>
    <cellStyle name="20% - アクセント 2 4 2" xfId="189"/>
    <cellStyle name="20% - アクセント 2 4 3" xfId="190"/>
    <cellStyle name="20% - アクセント 2 5" xfId="191"/>
    <cellStyle name="20% - アクセント 3" xfId="192"/>
    <cellStyle name="20% - アクセント 3 2" xfId="193"/>
    <cellStyle name="20% - アクセント 3 3" xfId="194"/>
    <cellStyle name="20% - アクセント 3 3 2" xfId="195"/>
    <cellStyle name="20% - アクセント 3 4" xfId="196"/>
    <cellStyle name="20% - アクセント 3 4 2" xfId="197"/>
    <cellStyle name="20% - アクセント 3 4 3" xfId="198"/>
    <cellStyle name="20% - アクセント 3 5" xfId="199"/>
    <cellStyle name="20% - アクセント 4" xfId="200"/>
    <cellStyle name="20% - アクセント 4 2" xfId="201"/>
    <cellStyle name="20% - アクセント 4 3" xfId="202"/>
    <cellStyle name="20% - アクセント 4 3 2" xfId="203"/>
    <cellStyle name="20% - アクセント 4 4" xfId="204"/>
    <cellStyle name="20% - アクセント 4 4 2" xfId="205"/>
    <cellStyle name="20% - アクセント 4 4 3" xfId="206"/>
    <cellStyle name="20% - アクセント 4 5" xfId="207"/>
    <cellStyle name="20% - アクセント 5" xfId="208"/>
    <cellStyle name="20% - アクセント 5 2" xfId="209"/>
    <cellStyle name="20% - アクセント 5 3" xfId="210"/>
    <cellStyle name="20% - アクセント 5 3 2" xfId="211"/>
    <cellStyle name="20% - アクセント 5 4" xfId="212"/>
    <cellStyle name="20% - アクセント 5 4 2" xfId="213"/>
    <cellStyle name="20% - アクセント 5 4 3" xfId="214"/>
    <cellStyle name="20% - アクセント 5 5" xfId="215"/>
    <cellStyle name="20% - アクセント 6" xfId="216"/>
    <cellStyle name="20% - アクセント 6 2" xfId="217"/>
    <cellStyle name="20% - アクセント 6 3" xfId="218"/>
    <cellStyle name="20% - アクセント 6 3 2" xfId="219"/>
    <cellStyle name="20% - アクセント 6 4" xfId="220"/>
    <cellStyle name="20% - アクセント 6 4 2" xfId="221"/>
    <cellStyle name="20% - アクセント 6 4 3" xfId="222"/>
    <cellStyle name="20% - アクセント 6 5" xfId="223"/>
    <cellStyle name="20% - 强调文字颜色 1 2" xfId="2"/>
    <cellStyle name="20% - 强调文字颜色 1 2 2" xfId="3"/>
    <cellStyle name="20% - 强调文字颜色 1 2 3" xfId="4"/>
    <cellStyle name="20% - 强调文字颜色 1 2 4" xfId="5"/>
    <cellStyle name="20% - 强调文字颜色 1 2 5" xfId="6"/>
    <cellStyle name="20% - 强调文字颜色 1 2 6" xfId="7"/>
    <cellStyle name="20% - 强调文字颜色 1 2 7" xfId="8"/>
    <cellStyle name="20% - 强调文字颜色 1 3" xfId="9"/>
    <cellStyle name="20% - 强调文字颜色 1 3 2" xfId="10"/>
    <cellStyle name="20% - 强调文字颜色 1 3 3" xfId="11"/>
    <cellStyle name="20% - 强调文字颜色 1 3 4" xfId="12"/>
    <cellStyle name="20% - 强调文字颜色 1 3 5" xfId="13"/>
    <cellStyle name="20% - 强调文字颜色 1 3 6" xfId="14"/>
    <cellStyle name="20% - 强调文字颜色 1 3 7" xfId="15"/>
    <cellStyle name="20% - 强调文字颜色 1 4" xfId="16"/>
    <cellStyle name="20% - 强调文字颜色 1 4 2" xfId="17"/>
    <cellStyle name="20% - 强调文字颜色 1 4 3" xfId="18"/>
    <cellStyle name="20% - 强调文字颜色 1 4 4" xfId="19"/>
    <cellStyle name="20% - 强调文字颜色 1 4 5" xfId="20"/>
    <cellStyle name="20% - 强调文字颜色 1 4 6" xfId="21"/>
    <cellStyle name="20% - 强调文字颜色 1 4 7" xfId="22"/>
    <cellStyle name="20% - 强调文字颜色 1 5" xfId="23"/>
    <cellStyle name="20% - 强调文字颜色 1 5 2" xfId="24"/>
    <cellStyle name="20% - 强调文字颜色 1 5 3" xfId="25"/>
    <cellStyle name="20% - 强调文字颜色 1 5 4" xfId="26"/>
    <cellStyle name="20% - 强调文字颜色 1 5 5" xfId="27"/>
    <cellStyle name="20% - 强调文字颜色 1 5 6" xfId="28"/>
    <cellStyle name="20% - 强调文字颜色 1 5 7" xfId="29"/>
    <cellStyle name="20% - 强调文字颜色 2 2" xfId="30"/>
    <cellStyle name="20% - 强调文字颜色 2 2 2" xfId="31"/>
    <cellStyle name="20% - 强调文字颜色 2 2 3" xfId="32"/>
    <cellStyle name="20% - 强调文字颜色 2 2 4" xfId="33"/>
    <cellStyle name="20% - 强调文字颜色 2 2 5" xfId="34"/>
    <cellStyle name="20% - 强调文字颜色 2 2 6" xfId="35"/>
    <cellStyle name="20% - 强调文字颜色 2 2 7" xfId="36"/>
    <cellStyle name="20% - 强调文字颜色 2 3" xfId="37"/>
    <cellStyle name="20% - 强调文字颜色 2 3 2" xfId="38"/>
    <cellStyle name="20% - 强调文字颜色 2 3 3" xfId="39"/>
    <cellStyle name="20% - 强调文字颜色 2 3 4" xfId="40"/>
    <cellStyle name="20% - 强调文字颜色 2 3 5" xfId="41"/>
    <cellStyle name="20% - 强调文字颜色 2 3 6" xfId="42"/>
    <cellStyle name="20% - 强调文字颜色 2 3 7" xfId="43"/>
    <cellStyle name="20% - 强调文字颜色 2 4" xfId="44"/>
    <cellStyle name="20% - 强调文字颜色 2 4 2" xfId="45"/>
    <cellStyle name="20% - 强调文字颜色 2 4 3" xfId="46"/>
    <cellStyle name="20% - 强调文字颜色 2 4 4" xfId="47"/>
    <cellStyle name="20% - 强调文字颜色 2 4 5" xfId="48"/>
    <cellStyle name="20% - 强调文字颜色 2 4 6" xfId="49"/>
    <cellStyle name="20% - 强调文字颜色 2 4 7" xfId="50"/>
    <cellStyle name="20% - 强调文字颜色 2 5" xfId="51"/>
    <cellStyle name="20% - 强调文字颜色 2 5 2" xfId="52"/>
    <cellStyle name="20% - 强调文字颜色 2 5 3" xfId="53"/>
    <cellStyle name="20% - 强调文字颜色 2 5 4" xfId="54"/>
    <cellStyle name="20% - 强调文字颜色 2 5 5" xfId="55"/>
    <cellStyle name="20% - 强调文字颜色 2 5 6" xfId="56"/>
    <cellStyle name="20% - 强调文字颜色 2 5 7" xfId="57"/>
    <cellStyle name="20% - 强调文字颜色 3 2" xfId="58"/>
    <cellStyle name="20% - 强调文字颜色 3 2 2" xfId="59"/>
    <cellStyle name="20% - 强调文字颜色 3 2 3" xfId="60"/>
    <cellStyle name="20% - 强调文字颜色 3 2 4" xfId="61"/>
    <cellStyle name="20% - 强调文字颜色 3 2 5" xfId="62"/>
    <cellStyle name="20% - 强调文字颜色 3 2 6" xfId="63"/>
    <cellStyle name="20% - 强调文字颜色 3 2 7" xfId="64"/>
    <cellStyle name="20% - 强调文字颜色 3 3" xfId="65"/>
    <cellStyle name="20% - 强调文字颜色 3 3 2" xfId="66"/>
    <cellStyle name="20% - 强调文字颜色 3 3 3" xfId="67"/>
    <cellStyle name="20% - 强调文字颜色 3 3 4" xfId="68"/>
    <cellStyle name="20% - 强调文字颜色 3 3 5" xfId="69"/>
    <cellStyle name="20% - 强调文字颜色 3 3 6" xfId="70"/>
    <cellStyle name="20% - 强调文字颜色 3 3 7" xfId="71"/>
    <cellStyle name="20% - 强调文字颜色 3 4" xfId="72"/>
    <cellStyle name="20% - 强调文字颜色 3 4 2" xfId="73"/>
    <cellStyle name="20% - 强调文字颜色 3 4 3" xfId="74"/>
    <cellStyle name="20% - 强调文字颜色 3 4 4" xfId="75"/>
    <cellStyle name="20% - 强调文字颜色 3 4 5" xfId="76"/>
    <cellStyle name="20% - 强调文字颜色 3 4 6" xfId="77"/>
    <cellStyle name="20% - 强调文字颜色 3 4 7" xfId="78"/>
    <cellStyle name="20% - 强调文字颜色 3 5" xfId="79"/>
    <cellStyle name="20% - 强调文字颜色 3 5 2" xfId="80"/>
    <cellStyle name="20% - 强调文字颜色 3 5 3" xfId="81"/>
    <cellStyle name="20% - 强调文字颜色 3 5 4" xfId="82"/>
    <cellStyle name="20% - 强调文字颜色 3 5 5" xfId="83"/>
    <cellStyle name="20% - 强调文字颜色 3 5 6" xfId="84"/>
    <cellStyle name="20% - 强调文字颜色 3 5 7" xfId="85"/>
    <cellStyle name="20% - 强调文字颜色 4 2" xfId="86"/>
    <cellStyle name="20% - 强调文字颜色 4 2 2" xfId="87"/>
    <cellStyle name="20% - 强调文字颜色 4 2 3" xfId="88"/>
    <cellStyle name="20% - 强调文字颜色 4 2 4" xfId="89"/>
    <cellStyle name="20% - 强调文字颜色 4 2 5" xfId="90"/>
    <cellStyle name="20% - 强调文字颜色 4 2 6" xfId="91"/>
    <cellStyle name="20% - 强调文字颜色 4 2 7" xfId="92"/>
    <cellStyle name="20% - 强调文字颜色 4 3" xfId="93"/>
    <cellStyle name="20% - 强调文字颜色 4 3 2" xfId="94"/>
    <cellStyle name="20% - 强调文字颜色 4 3 3" xfId="95"/>
    <cellStyle name="20% - 强调文字颜色 4 3 4" xfId="96"/>
    <cellStyle name="20% - 强调文字颜色 4 3 5" xfId="97"/>
    <cellStyle name="20% - 强调文字颜色 4 3 6" xfId="98"/>
    <cellStyle name="20% - 强调文字颜色 4 3 7" xfId="99"/>
    <cellStyle name="20% - 强调文字颜色 4 4" xfId="100"/>
    <cellStyle name="20% - 强调文字颜色 4 4 2" xfId="101"/>
    <cellStyle name="20% - 强调文字颜色 4 4 3" xfId="102"/>
    <cellStyle name="20% - 强调文字颜色 4 4 4" xfId="103"/>
    <cellStyle name="20% - 强调文字颜色 4 4 5" xfId="104"/>
    <cellStyle name="20% - 强调文字颜色 4 4 6" xfId="105"/>
    <cellStyle name="20% - 强调文字颜色 4 4 7" xfId="106"/>
    <cellStyle name="20% - 强调文字颜色 4 5" xfId="107"/>
    <cellStyle name="20% - 强调文字颜色 4 5 2" xfId="108"/>
    <cellStyle name="20% - 强调文字颜色 4 5 3" xfId="109"/>
    <cellStyle name="20% - 强调文字颜色 4 5 4" xfId="110"/>
    <cellStyle name="20% - 强调文字颜色 4 5 5" xfId="111"/>
    <cellStyle name="20% - 强调文字颜色 4 5 6" xfId="112"/>
    <cellStyle name="20% - 强调文字颜色 4 5 7" xfId="113"/>
    <cellStyle name="20% - 强调文字颜色 5 2" xfId="114"/>
    <cellStyle name="20% - 强调文字颜色 5 2 2" xfId="115"/>
    <cellStyle name="20% - 强调文字颜色 5 2 3" xfId="116"/>
    <cellStyle name="20% - 强调文字颜色 5 2 4" xfId="117"/>
    <cellStyle name="20% - 强调文字颜色 5 2 5" xfId="118"/>
    <cellStyle name="20% - 强调文字颜色 5 2 6" xfId="119"/>
    <cellStyle name="20% - 强调文字颜色 5 2 7" xfId="120"/>
    <cellStyle name="20% - 强调文字颜色 5 3" xfId="121"/>
    <cellStyle name="20% - 强调文字颜色 5 3 2" xfId="122"/>
    <cellStyle name="20% - 强调文字颜色 5 3 3" xfId="123"/>
    <cellStyle name="20% - 强调文字颜色 5 3 4" xfId="124"/>
    <cellStyle name="20% - 强调文字颜色 5 3 5" xfId="125"/>
    <cellStyle name="20% - 强调文字颜色 5 3 6" xfId="126"/>
    <cellStyle name="20% - 强调文字颜色 5 3 7" xfId="127"/>
    <cellStyle name="20% - 强调文字颜色 5 4" xfId="128"/>
    <cellStyle name="20% - 强调文字颜色 5 4 2" xfId="129"/>
    <cellStyle name="20% - 强调文字颜色 5 4 3" xfId="130"/>
    <cellStyle name="20% - 强调文字颜色 5 4 4" xfId="131"/>
    <cellStyle name="20% - 强调文字颜色 5 4 5" xfId="132"/>
    <cellStyle name="20% - 强调文字颜色 5 4 6" xfId="133"/>
    <cellStyle name="20% - 强调文字颜色 5 4 7" xfId="134"/>
    <cellStyle name="20% - 强调文字颜色 5 5" xfId="135"/>
    <cellStyle name="20% - 强调文字颜色 5 5 2" xfId="136"/>
    <cellStyle name="20% - 强调文字颜色 5 5 3" xfId="137"/>
    <cellStyle name="20% - 强调文字颜色 5 5 4" xfId="138"/>
    <cellStyle name="20% - 强调文字颜色 5 5 5" xfId="139"/>
    <cellStyle name="20% - 强调文字颜色 5 5 6" xfId="140"/>
    <cellStyle name="20% - 强调文字颜色 5 5 7" xfId="141"/>
    <cellStyle name="20% - 强调文字颜色 6 2" xfId="142"/>
    <cellStyle name="20% - 强调文字颜色 6 2 2" xfId="143"/>
    <cellStyle name="20% - 强调文字颜色 6 2 3" xfId="144"/>
    <cellStyle name="20% - 强调文字颜色 6 2 4" xfId="145"/>
    <cellStyle name="20% - 强调文字颜色 6 2 5" xfId="146"/>
    <cellStyle name="20% - 强调文字颜色 6 2 6" xfId="147"/>
    <cellStyle name="20% - 强调文字颜色 6 2 7" xfId="148"/>
    <cellStyle name="20% - 强调文字颜色 6 3" xfId="149"/>
    <cellStyle name="20% - 强调文字颜色 6 3 2" xfId="150"/>
    <cellStyle name="20% - 强调文字颜色 6 3 3" xfId="151"/>
    <cellStyle name="20% - 强调文字颜色 6 3 4" xfId="152"/>
    <cellStyle name="20% - 强调文字颜色 6 3 5" xfId="153"/>
    <cellStyle name="20% - 强调文字颜色 6 3 6" xfId="154"/>
    <cellStyle name="20% - 强调文字颜色 6 3 7" xfId="155"/>
    <cellStyle name="20% - 强调文字颜色 6 4" xfId="156"/>
    <cellStyle name="20% - 强调文字颜色 6 4 2" xfId="157"/>
    <cellStyle name="20% - 强调文字颜色 6 4 3" xfId="158"/>
    <cellStyle name="20% - 强调文字颜色 6 4 4" xfId="159"/>
    <cellStyle name="20% - 强调文字颜色 6 4 5" xfId="160"/>
    <cellStyle name="20% - 强调文字颜色 6 4 6" xfId="161"/>
    <cellStyle name="20% - 强调文字颜色 6 4 7" xfId="162"/>
    <cellStyle name="20% - 强调文字颜色 6 5" xfId="163"/>
    <cellStyle name="20% - 强调文字颜色 6 5 2" xfId="164"/>
    <cellStyle name="20% - 强调文字颜色 6 5 3" xfId="165"/>
    <cellStyle name="20% - 强调文字颜色 6 5 4" xfId="166"/>
    <cellStyle name="20% - 强调文字颜色 6 5 5" xfId="167"/>
    <cellStyle name="20% - 强调文字颜色 6 5 6" xfId="168"/>
    <cellStyle name="20% - 强调文字颜色 6 5 7" xfId="169"/>
    <cellStyle name="40% - Accent1" xfId="392"/>
    <cellStyle name="40% - Accent2" xfId="393"/>
    <cellStyle name="40% - Accent3" xfId="394"/>
    <cellStyle name="40% - Accent4" xfId="395"/>
    <cellStyle name="40% - Accent5" xfId="396"/>
    <cellStyle name="40% - Accent6" xfId="397"/>
    <cellStyle name="40% - アクセント 1" xfId="398"/>
    <cellStyle name="40% - アクセント 1 2" xfId="399"/>
    <cellStyle name="40% - アクセント 1 3" xfId="400"/>
    <cellStyle name="40% - アクセント 1 3 2" xfId="401"/>
    <cellStyle name="40% - アクセント 1 4" xfId="402"/>
    <cellStyle name="40% - アクセント 1 4 2" xfId="403"/>
    <cellStyle name="40% - アクセント 1 4 3" xfId="404"/>
    <cellStyle name="40% - アクセント 1 5" xfId="405"/>
    <cellStyle name="40% - アクセント 2" xfId="406"/>
    <cellStyle name="40% - アクセント 2 2" xfId="407"/>
    <cellStyle name="40% - アクセント 2 3" xfId="408"/>
    <cellStyle name="40% - アクセント 2 3 2" xfId="409"/>
    <cellStyle name="40% - アクセント 2 4" xfId="410"/>
    <cellStyle name="40% - アクセント 2 4 2" xfId="411"/>
    <cellStyle name="40% - アクセント 2 4 3" xfId="412"/>
    <cellStyle name="40% - アクセント 2 5" xfId="413"/>
    <cellStyle name="40% - アクセント 3" xfId="414"/>
    <cellStyle name="40% - アクセント 3 2" xfId="415"/>
    <cellStyle name="40% - アクセント 3 3" xfId="416"/>
    <cellStyle name="40% - アクセント 3 3 2" xfId="417"/>
    <cellStyle name="40% - アクセント 3 4" xfId="418"/>
    <cellStyle name="40% - アクセント 3 4 2" xfId="419"/>
    <cellStyle name="40% - アクセント 3 4 3" xfId="420"/>
    <cellStyle name="40% - アクセント 3 5" xfId="421"/>
    <cellStyle name="40% - アクセント 4" xfId="422"/>
    <cellStyle name="40% - アクセント 4 2" xfId="423"/>
    <cellStyle name="40% - アクセント 4 3" xfId="424"/>
    <cellStyle name="40% - アクセント 4 3 2" xfId="425"/>
    <cellStyle name="40% - アクセント 4 4" xfId="426"/>
    <cellStyle name="40% - アクセント 4 4 2" xfId="427"/>
    <cellStyle name="40% - アクセント 4 4 3" xfId="428"/>
    <cellStyle name="40% - アクセント 4 5" xfId="429"/>
    <cellStyle name="40% - アクセント 5" xfId="430"/>
    <cellStyle name="40% - アクセント 5 2" xfId="431"/>
    <cellStyle name="40% - アクセント 5 3" xfId="432"/>
    <cellStyle name="40% - アクセント 5 3 2" xfId="433"/>
    <cellStyle name="40% - アクセント 5 4" xfId="434"/>
    <cellStyle name="40% - アクセント 5 4 2" xfId="435"/>
    <cellStyle name="40% - アクセント 5 4 3" xfId="436"/>
    <cellStyle name="40% - アクセント 5 5" xfId="437"/>
    <cellStyle name="40% - アクセント 6" xfId="438"/>
    <cellStyle name="40% - アクセント 6 2" xfId="439"/>
    <cellStyle name="40% - アクセント 6 3" xfId="440"/>
    <cellStyle name="40% - アクセント 6 3 2" xfId="441"/>
    <cellStyle name="40% - アクセント 6 4" xfId="442"/>
    <cellStyle name="40% - アクセント 6 4 2" xfId="443"/>
    <cellStyle name="40% - アクセント 6 4 3" xfId="444"/>
    <cellStyle name="40% - アクセント 6 5" xfId="445"/>
    <cellStyle name="40% - 强调文字颜色 1 2" xfId="224"/>
    <cellStyle name="40% - 强调文字颜色 1 2 2" xfId="225"/>
    <cellStyle name="40% - 强调文字颜色 1 2 3" xfId="226"/>
    <cellStyle name="40% - 强调文字颜色 1 2 4" xfId="227"/>
    <cellStyle name="40% - 强调文字颜色 1 2 5" xfId="228"/>
    <cellStyle name="40% - 强调文字颜色 1 2 6" xfId="229"/>
    <cellStyle name="40% - 强调文字颜色 1 2 7" xfId="230"/>
    <cellStyle name="40% - 强调文字颜色 1 3" xfId="231"/>
    <cellStyle name="40% - 强调文字颜色 1 3 2" xfId="232"/>
    <cellStyle name="40% - 强调文字颜色 1 3 3" xfId="233"/>
    <cellStyle name="40% - 强调文字颜色 1 3 4" xfId="234"/>
    <cellStyle name="40% - 强调文字颜色 1 3 5" xfId="235"/>
    <cellStyle name="40% - 强调文字颜色 1 3 6" xfId="236"/>
    <cellStyle name="40% - 强调文字颜色 1 3 7" xfId="237"/>
    <cellStyle name="40% - 强调文字颜色 1 4" xfId="238"/>
    <cellStyle name="40% - 强调文字颜色 1 4 2" xfId="239"/>
    <cellStyle name="40% - 强调文字颜色 1 4 3" xfId="240"/>
    <cellStyle name="40% - 强调文字颜色 1 4 4" xfId="241"/>
    <cellStyle name="40% - 强调文字颜色 1 4 5" xfId="242"/>
    <cellStyle name="40% - 强调文字颜色 1 4 6" xfId="243"/>
    <cellStyle name="40% - 强调文字颜色 1 4 7" xfId="244"/>
    <cellStyle name="40% - 强调文字颜色 1 5" xfId="245"/>
    <cellStyle name="40% - 强调文字颜色 1 5 2" xfId="246"/>
    <cellStyle name="40% - 强调文字颜色 1 5 3" xfId="247"/>
    <cellStyle name="40% - 强调文字颜色 1 5 4" xfId="248"/>
    <cellStyle name="40% - 强调文字颜色 1 5 5" xfId="249"/>
    <cellStyle name="40% - 强调文字颜色 1 5 6" xfId="250"/>
    <cellStyle name="40% - 强调文字颜色 1 5 7" xfId="251"/>
    <cellStyle name="40% - 强调文字颜色 2 2" xfId="252"/>
    <cellStyle name="40% - 强调文字颜色 2 2 2" xfId="253"/>
    <cellStyle name="40% - 强调文字颜色 2 2 3" xfId="254"/>
    <cellStyle name="40% - 强调文字颜色 2 2 4" xfId="255"/>
    <cellStyle name="40% - 强调文字颜色 2 2 5" xfId="256"/>
    <cellStyle name="40% - 强调文字颜色 2 2 6" xfId="257"/>
    <cellStyle name="40% - 强调文字颜色 2 2 7" xfId="258"/>
    <cellStyle name="40% - 强调文字颜色 2 3" xfId="259"/>
    <cellStyle name="40% - 强调文字颜色 2 3 2" xfId="260"/>
    <cellStyle name="40% - 强调文字颜色 2 3 3" xfId="261"/>
    <cellStyle name="40% - 强调文字颜色 2 3 4" xfId="262"/>
    <cellStyle name="40% - 强调文字颜色 2 3 5" xfId="263"/>
    <cellStyle name="40% - 强调文字颜色 2 3 6" xfId="264"/>
    <cellStyle name="40% - 强调文字颜色 2 3 7" xfId="265"/>
    <cellStyle name="40% - 强调文字颜色 2 4" xfId="266"/>
    <cellStyle name="40% - 强调文字颜色 2 4 2" xfId="267"/>
    <cellStyle name="40% - 强调文字颜色 2 4 3" xfId="268"/>
    <cellStyle name="40% - 强调文字颜色 2 4 4" xfId="269"/>
    <cellStyle name="40% - 强调文字颜色 2 4 5" xfId="270"/>
    <cellStyle name="40% - 强调文字颜色 2 4 6" xfId="271"/>
    <cellStyle name="40% - 强调文字颜色 2 4 7" xfId="272"/>
    <cellStyle name="40% - 强调文字颜色 2 5" xfId="273"/>
    <cellStyle name="40% - 强调文字颜色 2 5 2" xfId="274"/>
    <cellStyle name="40% - 强调文字颜色 2 5 3" xfId="275"/>
    <cellStyle name="40% - 强调文字颜色 2 5 4" xfId="276"/>
    <cellStyle name="40% - 强调文字颜色 2 5 5" xfId="277"/>
    <cellStyle name="40% - 强调文字颜色 2 5 6" xfId="278"/>
    <cellStyle name="40% - 强调文字颜色 2 5 7" xfId="279"/>
    <cellStyle name="40% - 强调文字颜色 3 2" xfId="280"/>
    <cellStyle name="40% - 强调文字颜色 3 2 2" xfId="281"/>
    <cellStyle name="40% - 强调文字颜色 3 2 3" xfId="282"/>
    <cellStyle name="40% - 强调文字颜色 3 2 4" xfId="283"/>
    <cellStyle name="40% - 强调文字颜色 3 2 5" xfId="284"/>
    <cellStyle name="40% - 强调文字颜色 3 2 6" xfId="285"/>
    <cellStyle name="40% - 强调文字颜色 3 2 7" xfId="286"/>
    <cellStyle name="40% - 强调文字颜色 3 3" xfId="287"/>
    <cellStyle name="40% - 强调文字颜色 3 3 2" xfId="288"/>
    <cellStyle name="40% - 强调文字颜色 3 3 3" xfId="289"/>
    <cellStyle name="40% - 强调文字颜色 3 3 4" xfId="290"/>
    <cellStyle name="40% - 强调文字颜色 3 3 5" xfId="291"/>
    <cellStyle name="40% - 强调文字颜色 3 3 6" xfId="292"/>
    <cellStyle name="40% - 强调文字颜色 3 3 7" xfId="293"/>
    <cellStyle name="40% - 强调文字颜色 3 4" xfId="294"/>
    <cellStyle name="40% - 强调文字颜色 3 4 2" xfId="295"/>
    <cellStyle name="40% - 强调文字颜色 3 4 3" xfId="296"/>
    <cellStyle name="40% - 强调文字颜色 3 4 4" xfId="297"/>
    <cellStyle name="40% - 强调文字颜色 3 4 5" xfId="298"/>
    <cellStyle name="40% - 强调文字颜色 3 4 6" xfId="299"/>
    <cellStyle name="40% - 强调文字颜色 3 4 7" xfId="300"/>
    <cellStyle name="40% - 强调文字颜色 3 5" xfId="301"/>
    <cellStyle name="40% - 强调文字颜色 3 5 2" xfId="302"/>
    <cellStyle name="40% - 强调文字颜色 3 5 3" xfId="303"/>
    <cellStyle name="40% - 强调文字颜色 3 5 4" xfId="304"/>
    <cellStyle name="40% - 强调文字颜色 3 5 5" xfId="305"/>
    <cellStyle name="40% - 强调文字颜色 3 5 6" xfId="306"/>
    <cellStyle name="40% - 强调文字颜色 3 5 7" xfId="307"/>
    <cellStyle name="40% - 强调文字颜色 4 2" xfId="308"/>
    <cellStyle name="40% - 强调文字颜色 4 2 2" xfId="309"/>
    <cellStyle name="40% - 强调文字颜色 4 2 3" xfId="310"/>
    <cellStyle name="40% - 强调文字颜色 4 2 4" xfId="311"/>
    <cellStyle name="40% - 强调文字颜色 4 2 5" xfId="312"/>
    <cellStyle name="40% - 强调文字颜色 4 2 6" xfId="313"/>
    <cellStyle name="40% - 强调文字颜色 4 2 7" xfId="314"/>
    <cellStyle name="40% - 强调文字颜色 4 3" xfId="315"/>
    <cellStyle name="40% - 强调文字颜色 4 3 2" xfId="316"/>
    <cellStyle name="40% - 强调文字颜色 4 3 3" xfId="317"/>
    <cellStyle name="40% - 强调文字颜色 4 3 4" xfId="318"/>
    <cellStyle name="40% - 强调文字颜色 4 3 5" xfId="319"/>
    <cellStyle name="40% - 强调文字颜色 4 3 6" xfId="320"/>
    <cellStyle name="40% - 强调文字颜色 4 3 7" xfId="321"/>
    <cellStyle name="40% - 强调文字颜色 4 4" xfId="322"/>
    <cellStyle name="40% - 强调文字颜色 4 4 2" xfId="323"/>
    <cellStyle name="40% - 强调文字颜色 4 4 3" xfId="324"/>
    <cellStyle name="40% - 强调文字颜色 4 4 4" xfId="325"/>
    <cellStyle name="40% - 强调文字颜色 4 4 5" xfId="326"/>
    <cellStyle name="40% - 强调文字颜色 4 4 6" xfId="327"/>
    <cellStyle name="40% - 强调文字颜色 4 4 7" xfId="328"/>
    <cellStyle name="40% - 强调文字颜色 4 5" xfId="329"/>
    <cellStyle name="40% - 强调文字颜色 4 5 2" xfId="330"/>
    <cellStyle name="40% - 强调文字颜色 4 5 3" xfId="331"/>
    <cellStyle name="40% - 强调文字颜色 4 5 4" xfId="332"/>
    <cellStyle name="40% - 强调文字颜色 4 5 5" xfId="333"/>
    <cellStyle name="40% - 强调文字颜色 4 5 6" xfId="334"/>
    <cellStyle name="40% - 强调文字颜色 4 5 7" xfId="335"/>
    <cellStyle name="40% - 强调文字颜色 5 2" xfId="336"/>
    <cellStyle name="40% - 强调文字颜色 5 2 2" xfId="337"/>
    <cellStyle name="40% - 强调文字颜色 5 2 3" xfId="338"/>
    <cellStyle name="40% - 强调文字颜色 5 2 4" xfId="339"/>
    <cellStyle name="40% - 强调文字颜色 5 2 5" xfId="340"/>
    <cellStyle name="40% - 强调文字颜色 5 2 6" xfId="341"/>
    <cellStyle name="40% - 强调文字颜色 5 2 7" xfId="342"/>
    <cellStyle name="40% - 强调文字颜色 5 3" xfId="343"/>
    <cellStyle name="40% - 强调文字颜色 5 3 2" xfId="344"/>
    <cellStyle name="40% - 强调文字颜色 5 3 3" xfId="345"/>
    <cellStyle name="40% - 强调文字颜色 5 3 4" xfId="346"/>
    <cellStyle name="40% - 强调文字颜色 5 3 5" xfId="347"/>
    <cellStyle name="40% - 强调文字颜色 5 3 6" xfId="348"/>
    <cellStyle name="40% - 强调文字颜色 5 3 7" xfId="349"/>
    <cellStyle name="40% - 强调文字颜色 5 4" xfId="350"/>
    <cellStyle name="40% - 强调文字颜色 5 4 2" xfId="351"/>
    <cellStyle name="40% - 强调文字颜色 5 4 3" xfId="352"/>
    <cellStyle name="40% - 强调文字颜色 5 4 4" xfId="353"/>
    <cellStyle name="40% - 强调文字颜色 5 4 5" xfId="354"/>
    <cellStyle name="40% - 强调文字颜色 5 4 6" xfId="355"/>
    <cellStyle name="40% - 强调文字颜色 5 4 7" xfId="356"/>
    <cellStyle name="40% - 强调文字颜色 5 5" xfId="357"/>
    <cellStyle name="40% - 强调文字颜色 5 5 2" xfId="358"/>
    <cellStyle name="40% - 强调文字颜色 5 5 3" xfId="359"/>
    <cellStyle name="40% - 强调文字颜色 5 5 4" xfId="360"/>
    <cellStyle name="40% - 强调文字颜色 5 5 5" xfId="361"/>
    <cellStyle name="40% - 强调文字颜色 5 5 6" xfId="362"/>
    <cellStyle name="40% - 强调文字颜色 5 5 7" xfId="363"/>
    <cellStyle name="40% - 强调文字颜色 6 2" xfId="364"/>
    <cellStyle name="40% - 强调文字颜色 6 2 2" xfId="365"/>
    <cellStyle name="40% - 强调文字颜色 6 2 3" xfId="366"/>
    <cellStyle name="40% - 强调文字颜色 6 2 4" xfId="367"/>
    <cellStyle name="40% - 强调文字颜色 6 2 5" xfId="368"/>
    <cellStyle name="40% - 强调文字颜色 6 2 6" xfId="369"/>
    <cellStyle name="40% - 强调文字颜色 6 2 7" xfId="370"/>
    <cellStyle name="40% - 强调文字颜色 6 3" xfId="371"/>
    <cellStyle name="40% - 强调文字颜色 6 3 2" xfId="372"/>
    <cellStyle name="40% - 强调文字颜色 6 3 3" xfId="373"/>
    <cellStyle name="40% - 强调文字颜色 6 3 4" xfId="374"/>
    <cellStyle name="40% - 强调文字颜色 6 3 5" xfId="375"/>
    <cellStyle name="40% - 强调文字颜色 6 3 6" xfId="376"/>
    <cellStyle name="40% - 强调文字颜色 6 3 7" xfId="377"/>
    <cellStyle name="40% - 强调文字颜色 6 4" xfId="378"/>
    <cellStyle name="40% - 强调文字颜色 6 4 2" xfId="379"/>
    <cellStyle name="40% - 强调文字颜色 6 4 3" xfId="380"/>
    <cellStyle name="40% - 强调文字颜色 6 4 4" xfId="381"/>
    <cellStyle name="40% - 强调文字颜色 6 4 5" xfId="382"/>
    <cellStyle name="40% - 强调文字颜色 6 4 6" xfId="383"/>
    <cellStyle name="40% - 强调文字颜色 6 4 7" xfId="384"/>
    <cellStyle name="40% - 强调文字颜色 6 5" xfId="385"/>
    <cellStyle name="40% - 强调文字颜色 6 5 2" xfId="386"/>
    <cellStyle name="40% - 强调文字颜色 6 5 3" xfId="387"/>
    <cellStyle name="40% - 强调文字颜色 6 5 4" xfId="388"/>
    <cellStyle name="40% - 强调文字颜色 6 5 5" xfId="389"/>
    <cellStyle name="40% - 强调文字颜色 6 5 6" xfId="390"/>
    <cellStyle name="40% - 强调文字颜色 6 5 7" xfId="391"/>
    <cellStyle name="60% - Accent1" xfId="614"/>
    <cellStyle name="60% - Accent2" xfId="615"/>
    <cellStyle name="60% - Accent3" xfId="616"/>
    <cellStyle name="60% - Accent4" xfId="617"/>
    <cellStyle name="60% - Accent5" xfId="618"/>
    <cellStyle name="60% - Accent6" xfId="619"/>
    <cellStyle name="60% - アクセント 1" xfId="620"/>
    <cellStyle name="60% - アクセント 1 2" xfId="621"/>
    <cellStyle name="60% - アクセント 1 3" xfId="622"/>
    <cellStyle name="60% - アクセント 1 3 2" xfId="623"/>
    <cellStyle name="60% - アクセント 1 4" xfId="624"/>
    <cellStyle name="60% - アクセント 1 4 2" xfId="625"/>
    <cellStyle name="60% - アクセント 1 4 3" xfId="626"/>
    <cellStyle name="60% - アクセント 1 5" xfId="627"/>
    <cellStyle name="60% - アクセント 2" xfId="628"/>
    <cellStyle name="60% - アクセント 2 2" xfId="629"/>
    <cellStyle name="60% - アクセント 2 3" xfId="630"/>
    <cellStyle name="60% - アクセント 2 3 2" xfId="631"/>
    <cellStyle name="60% - アクセント 2 4" xfId="632"/>
    <cellStyle name="60% - アクセント 2 4 2" xfId="633"/>
    <cellStyle name="60% - アクセント 2 4 3" xfId="634"/>
    <cellStyle name="60% - アクセント 2 5" xfId="635"/>
    <cellStyle name="60% - アクセント 3" xfId="636"/>
    <cellStyle name="60% - アクセント 3 2" xfId="637"/>
    <cellStyle name="60% - アクセント 3 3" xfId="638"/>
    <cellStyle name="60% - アクセント 3 3 2" xfId="639"/>
    <cellStyle name="60% - アクセント 3 4" xfId="640"/>
    <cellStyle name="60% - アクセント 3 4 2" xfId="641"/>
    <cellStyle name="60% - アクセント 3 4 3" xfId="642"/>
    <cellStyle name="60% - アクセント 3 5" xfId="643"/>
    <cellStyle name="60% - アクセント 4" xfId="644"/>
    <cellStyle name="60% - アクセント 4 2" xfId="645"/>
    <cellStyle name="60% - アクセント 4 3" xfId="646"/>
    <cellStyle name="60% - アクセント 4 3 2" xfId="647"/>
    <cellStyle name="60% - アクセント 4 4" xfId="648"/>
    <cellStyle name="60% - アクセント 4 4 2" xfId="649"/>
    <cellStyle name="60% - アクセント 4 4 3" xfId="650"/>
    <cellStyle name="60% - アクセント 4 5" xfId="651"/>
    <cellStyle name="60% - アクセント 5" xfId="652"/>
    <cellStyle name="60% - アクセント 5 2" xfId="653"/>
    <cellStyle name="60% - アクセント 5 3" xfId="654"/>
    <cellStyle name="60% - アクセント 5 3 2" xfId="655"/>
    <cellStyle name="60% - アクセント 5 4" xfId="656"/>
    <cellStyle name="60% - アクセント 5 4 2" xfId="657"/>
    <cellStyle name="60% - アクセント 5 4 3" xfId="658"/>
    <cellStyle name="60% - アクセント 5 5" xfId="659"/>
    <cellStyle name="60% - アクセント 6" xfId="660"/>
    <cellStyle name="60% - アクセント 6 2" xfId="661"/>
    <cellStyle name="60% - アクセント 6 3" xfId="662"/>
    <cellStyle name="60% - アクセント 6 3 2" xfId="663"/>
    <cellStyle name="60% - アクセント 6 4" xfId="664"/>
    <cellStyle name="60% - アクセント 6 4 2" xfId="665"/>
    <cellStyle name="60% - アクセント 6 4 3" xfId="666"/>
    <cellStyle name="60% - アクセント 6 5" xfId="667"/>
    <cellStyle name="60% - 强调文字颜色 1 2" xfId="446"/>
    <cellStyle name="60% - 强调文字颜色 1 2 2" xfId="447"/>
    <cellStyle name="60% - 强调文字颜色 1 2 3" xfId="448"/>
    <cellStyle name="60% - 强调文字颜色 1 2 4" xfId="449"/>
    <cellStyle name="60% - 强调文字颜色 1 2 5" xfId="450"/>
    <cellStyle name="60% - 强调文字颜色 1 2 6" xfId="451"/>
    <cellStyle name="60% - 强调文字颜色 1 2 7" xfId="452"/>
    <cellStyle name="60% - 强调文字颜色 1 3" xfId="453"/>
    <cellStyle name="60% - 强调文字颜色 1 3 2" xfId="454"/>
    <cellStyle name="60% - 强调文字颜色 1 3 3" xfId="455"/>
    <cellStyle name="60% - 强调文字颜色 1 3 4" xfId="456"/>
    <cellStyle name="60% - 强调文字颜色 1 3 5" xfId="457"/>
    <cellStyle name="60% - 强调文字颜色 1 3 6" xfId="458"/>
    <cellStyle name="60% - 强调文字颜色 1 3 7" xfId="459"/>
    <cellStyle name="60% - 强调文字颜色 1 4" xfId="460"/>
    <cellStyle name="60% - 强调文字颜色 1 4 2" xfId="461"/>
    <cellStyle name="60% - 强调文字颜色 1 4 3" xfId="462"/>
    <cellStyle name="60% - 强调文字颜色 1 4 4" xfId="463"/>
    <cellStyle name="60% - 强调文字颜色 1 4 5" xfId="464"/>
    <cellStyle name="60% - 强调文字颜色 1 4 6" xfId="465"/>
    <cellStyle name="60% - 强调文字颜色 1 4 7" xfId="466"/>
    <cellStyle name="60% - 强调文字颜色 1 5" xfId="467"/>
    <cellStyle name="60% - 强调文字颜色 1 5 2" xfId="468"/>
    <cellStyle name="60% - 强调文字颜色 1 5 3" xfId="469"/>
    <cellStyle name="60% - 强调文字颜色 1 5 4" xfId="470"/>
    <cellStyle name="60% - 强调文字颜色 1 5 5" xfId="471"/>
    <cellStyle name="60% - 强调文字颜色 1 5 6" xfId="472"/>
    <cellStyle name="60% - 强调文字颜色 1 5 7" xfId="473"/>
    <cellStyle name="60% - 强调文字颜色 2 2" xfId="474"/>
    <cellStyle name="60% - 强调文字颜色 2 2 2" xfId="475"/>
    <cellStyle name="60% - 强调文字颜色 2 2 3" xfId="476"/>
    <cellStyle name="60% - 强调文字颜色 2 2 4" xfId="477"/>
    <cellStyle name="60% - 强调文字颜色 2 2 5" xfId="478"/>
    <cellStyle name="60% - 强调文字颜色 2 2 6" xfId="479"/>
    <cellStyle name="60% - 强调文字颜色 2 2 7" xfId="480"/>
    <cellStyle name="60% - 强调文字颜色 2 3" xfId="481"/>
    <cellStyle name="60% - 强调文字颜色 2 3 2" xfId="482"/>
    <cellStyle name="60% - 强调文字颜色 2 3 3" xfId="483"/>
    <cellStyle name="60% - 强调文字颜色 2 3 4" xfId="484"/>
    <cellStyle name="60% - 强调文字颜色 2 3 5" xfId="485"/>
    <cellStyle name="60% - 强调文字颜色 2 3 6" xfId="486"/>
    <cellStyle name="60% - 强调文字颜色 2 3 7" xfId="487"/>
    <cellStyle name="60% - 强调文字颜色 2 4" xfId="488"/>
    <cellStyle name="60% - 强调文字颜色 2 4 2" xfId="489"/>
    <cellStyle name="60% - 强调文字颜色 2 4 3" xfId="490"/>
    <cellStyle name="60% - 强调文字颜色 2 4 4" xfId="491"/>
    <cellStyle name="60% - 强调文字颜色 2 4 5" xfId="492"/>
    <cellStyle name="60% - 强调文字颜色 2 4 6" xfId="493"/>
    <cellStyle name="60% - 强调文字颜色 2 4 7" xfId="494"/>
    <cellStyle name="60% - 强调文字颜色 2 5" xfId="495"/>
    <cellStyle name="60% - 强调文字颜色 2 5 2" xfId="496"/>
    <cellStyle name="60% - 强调文字颜色 2 5 3" xfId="497"/>
    <cellStyle name="60% - 强调文字颜色 2 5 4" xfId="498"/>
    <cellStyle name="60% - 强调文字颜色 2 5 5" xfId="499"/>
    <cellStyle name="60% - 强调文字颜色 2 5 6" xfId="500"/>
    <cellStyle name="60% - 强调文字颜色 2 5 7" xfId="501"/>
    <cellStyle name="60% - 强调文字颜色 3 2" xfId="502"/>
    <cellStyle name="60% - 强调文字颜色 3 2 2" xfId="503"/>
    <cellStyle name="60% - 强调文字颜色 3 2 3" xfId="504"/>
    <cellStyle name="60% - 强调文字颜色 3 2 4" xfId="505"/>
    <cellStyle name="60% - 强调文字颜色 3 2 5" xfId="506"/>
    <cellStyle name="60% - 强调文字颜色 3 2 6" xfId="507"/>
    <cellStyle name="60% - 强调文字颜色 3 2 7" xfId="508"/>
    <cellStyle name="60% - 强调文字颜色 3 3" xfId="509"/>
    <cellStyle name="60% - 强调文字颜色 3 3 2" xfId="510"/>
    <cellStyle name="60% - 强调文字颜色 3 3 3" xfId="511"/>
    <cellStyle name="60% - 强调文字颜色 3 3 4" xfId="512"/>
    <cellStyle name="60% - 强调文字颜色 3 3 5" xfId="513"/>
    <cellStyle name="60% - 强调文字颜色 3 3 6" xfId="514"/>
    <cellStyle name="60% - 强调文字颜色 3 3 7" xfId="515"/>
    <cellStyle name="60% - 强调文字颜色 3 4" xfId="516"/>
    <cellStyle name="60% - 强调文字颜色 3 4 2" xfId="517"/>
    <cellStyle name="60% - 强调文字颜色 3 4 3" xfId="518"/>
    <cellStyle name="60% - 强调文字颜色 3 4 4" xfId="519"/>
    <cellStyle name="60% - 强调文字颜色 3 4 5" xfId="520"/>
    <cellStyle name="60% - 强调文字颜色 3 4 6" xfId="521"/>
    <cellStyle name="60% - 强调文字颜色 3 4 7" xfId="522"/>
    <cellStyle name="60% - 强调文字颜色 3 5" xfId="523"/>
    <cellStyle name="60% - 强调文字颜色 3 5 2" xfId="524"/>
    <cellStyle name="60% - 强调文字颜色 3 5 3" xfId="525"/>
    <cellStyle name="60% - 强调文字颜色 3 5 4" xfId="526"/>
    <cellStyle name="60% - 强调文字颜色 3 5 5" xfId="527"/>
    <cellStyle name="60% - 强调文字颜色 3 5 6" xfId="528"/>
    <cellStyle name="60% - 强调文字颜色 3 5 7" xfId="529"/>
    <cellStyle name="60% - 强调文字颜色 4 2" xfId="530"/>
    <cellStyle name="60% - 强调文字颜色 4 2 2" xfId="531"/>
    <cellStyle name="60% - 强调文字颜色 4 2 3" xfId="532"/>
    <cellStyle name="60% - 强调文字颜色 4 2 4" xfId="533"/>
    <cellStyle name="60% - 强调文字颜色 4 2 5" xfId="534"/>
    <cellStyle name="60% - 强调文字颜色 4 2 6" xfId="535"/>
    <cellStyle name="60% - 强调文字颜色 4 2 7" xfId="536"/>
    <cellStyle name="60% - 强调文字颜色 4 3" xfId="537"/>
    <cellStyle name="60% - 强调文字颜色 4 3 2" xfId="538"/>
    <cellStyle name="60% - 强调文字颜色 4 3 3" xfId="539"/>
    <cellStyle name="60% - 强调文字颜色 4 3 4" xfId="540"/>
    <cellStyle name="60% - 强调文字颜色 4 3 5" xfId="541"/>
    <cellStyle name="60% - 强调文字颜色 4 3 6" xfId="542"/>
    <cellStyle name="60% - 强调文字颜色 4 3 7" xfId="543"/>
    <cellStyle name="60% - 强调文字颜色 4 4" xfId="544"/>
    <cellStyle name="60% - 强调文字颜色 4 4 2" xfId="545"/>
    <cellStyle name="60% - 强调文字颜色 4 4 3" xfId="546"/>
    <cellStyle name="60% - 强调文字颜色 4 4 4" xfId="547"/>
    <cellStyle name="60% - 强调文字颜色 4 4 5" xfId="548"/>
    <cellStyle name="60% - 强调文字颜色 4 4 6" xfId="549"/>
    <cellStyle name="60% - 强调文字颜色 4 4 7" xfId="550"/>
    <cellStyle name="60% - 强调文字颜色 4 5" xfId="551"/>
    <cellStyle name="60% - 强调文字颜色 4 5 2" xfId="552"/>
    <cellStyle name="60% - 强调文字颜色 4 5 3" xfId="553"/>
    <cellStyle name="60% - 强调文字颜色 4 5 4" xfId="554"/>
    <cellStyle name="60% - 强调文字颜色 4 5 5" xfId="555"/>
    <cellStyle name="60% - 强调文字颜色 4 5 6" xfId="556"/>
    <cellStyle name="60% - 强调文字颜色 4 5 7" xfId="557"/>
    <cellStyle name="60% - 强调文字颜色 5 2" xfId="558"/>
    <cellStyle name="60% - 强调文字颜色 5 2 2" xfId="559"/>
    <cellStyle name="60% - 强调文字颜色 5 2 3" xfId="560"/>
    <cellStyle name="60% - 强调文字颜色 5 2 4" xfId="561"/>
    <cellStyle name="60% - 强调文字颜色 5 2 5" xfId="562"/>
    <cellStyle name="60% - 强调文字颜色 5 2 6" xfId="563"/>
    <cellStyle name="60% - 强调文字颜色 5 2 7" xfId="564"/>
    <cellStyle name="60% - 强调文字颜色 5 3" xfId="565"/>
    <cellStyle name="60% - 强调文字颜色 5 3 2" xfId="566"/>
    <cellStyle name="60% - 强调文字颜色 5 3 3" xfId="567"/>
    <cellStyle name="60% - 强调文字颜色 5 3 4" xfId="568"/>
    <cellStyle name="60% - 强调文字颜色 5 3 5" xfId="569"/>
    <cellStyle name="60% - 强调文字颜色 5 3 6" xfId="570"/>
    <cellStyle name="60% - 强调文字颜色 5 3 7" xfId="571"/>
    <cellStyle name="60% - 强调文字颜色 5 4" xfId="572"/>
    <cellStyle name="60% - 强调文字颜色 5 4 2" xfId="573"/>
    <cellStyle name="60% - 强调文字颜色 5 4 3" xfId="574"/>
    <cellStyle name="60% - 强调文字颜色 5 4 4" xfId="575"/>
    <cellStyle name="60% - 强调文字颜色 5 4 5" xfId="576"/>
    <cellStyle name="60% - 强调文字颜色 5 4 6" xfId="577"/>
    <cellStyle name="60% - 强调文字颜色 5 4 7" xfId="578"/>
    <cellStyle name="60% - 强调文字颜色 5 5" xfId="579"/>
    <cellStyle name="60% - 强调文字颜色 5 5 2" xfId="580"/>
    <cellStyle name="60% - 强调文字颜色 5 5 3" xfId="581"/>
    <cellStyle name="60% - 强调文字颜色 5 5 4" xfId="582"/>
    <cellStyle name="60% - 强调文字颜色 5 5 5" xfId="583"/>
    <cellStyle name="60% - 强调文字颜色 5 5 6" xfId="584"/>
    <cellStyle name="60% - 强调文字颜色 5 5 7" xfId="585"/>
    <cellStyle name="60% - 强调文字颜色 6 2" xfId="586"/>
    <cellStyle name="60% - 强调文字颜色 6 2 2" xfId="587"/>
    <cellStyle name="60% - 强调文字颜色 6 2 3" xfId="588"/>
    <cellStyle name="60% - 强调文字颜色 6 2 4" xfId="589"/>
    <cellStyle name="60% - 强调文字颜色 6 2 5" xfId="590"/>
    <cellStyle name="60% - 强调文字颜色 6 2 6" xfId="591"/>
    <cellStyle name="60% - 强调文字颜色 6 2 7" xfId="592"/>
    <cellStyle name="60% - 强调文字颜色 6 3" xfId="593"/>
    <cellStyle name="60% - 强调文字颜色 6 3 2" xfId="594"/>
    <cellStyle name="60% - 强调文字颜色 6 3 3" xfId="595"/>
    <cellStyle name="60% - 强调文字颜色 6 3 4" xfId="596"/>
    <cellStyle name="60% - 强调文字颜色 6 3 5" xfId="597"/>
    <cellStyle name="60% - 强调文字颜色 6 3 6" xfId="598"/>
    <cellStyle name="60% - 强调文字颜色 6 3 7" xfId="599"/>
    <cellStyle name="60% - 强调文字颜色 6 4" xfId="600"/>
    <cellStyle name="60% - 强调文字颜色 6 4 2" xfId="601"/>
    <cellStyle name="60% - 强调文字颜色 6 4 3" xfId="602"/>
    <cellStyle name="60% - 强调文字颜色 6 4 4" xfId="603"/>
    <cellStyle name="60% - 强调文字颜色 6 4 5" xfId="604"/>
    <cellStyle name="60% - 强调文字颜色 6 4 6" xfId="605"/>
    <cellStyle name="60% - 强调文字颜色 6 4 7" xfId="606"/>
    <cellStyle name="60% - 强调文字颜色 6 5" xfId="607"/>
    <cellStyle name="60% - 强调文字颜色 6 5 2" xfId="608"/>
    <cellStyle name="60% - 强调文字颜色 6 5 3" xfId="609"/>
    <cellStyle name="60% - 强调文字颜色 6 5 4" xfId="610"/>
    <cellStyle name="60% - 强调文字颜色 6 5 5" xfId="611"/>
    <cellStyle name="60% - 强调文字颜色 6 5 6" xfId="612"/>
    <cellStyle name="60% - 强调文字颜色 6 5 7" xfId="613"/>
    <cellStyle name="Accent1" xfId="2701"/>
    <cellStyle name="Accent2" xfId="2702"/>
    <cellStyle name="Accent3" xfId="2703"/>
    <cellStyle name="Accent4" xfId="2704"/>
    <cellStyle name="Accent5" xfId="2705"/>
    <cellStyle name="Accent6" xfId="2706"/>
    <cellStyle name="Bad" xfId="2707"/>
    <cellStyle name="Calculation" xfId="2708"/>
    <cellStyle name="Check Cell" xfId="2709"/>
    <cellStyle name="Explanatory Text" xfId="2710"/>
    <cellStyle name="Good" xfId="2711"/>
    <cellStyle name="Heading 1" xfId="2712"/>
    <cellStyle name="Heading 2" xfId="2713"/>
    <cellStyle name="Heading 3" xfId="2714"/>
    <cellStyle name="Heading 4" xfId="2715"/>
    <cellStyle name="Input" xfId="2716"/>
    <cellStyle name="LineUB - Style6" xfId="2717"/>
    <cellStyle name="Linked Cell" xfId="2718"/>
    <cellStyle name="Neutral" xfId="2719"/>
    <cellStyle name="Normal 2" xfId="2720"/>
    <cellStyle name="Normal 5_Combined Price List- FALL 109 updated 12.9" xfId="2721"/>
    <cellStyle name="Normal_Lic_Life" xfId="2722"/>
    <cellStyle name="Note" xfId="2723"/>
    <cellStyle name="Output" xfId="2724"/>
    <cellStyle name="Percent 2" xfId="2725"/>
    <cellStyle name="Title" xfId="2726"/>
    <cellStyle name="Total" xfId="2727"/>
    <cellStyle name="Warning Text" xfId="2728"/>
    <cellStyle name="アクセント 1" xfId="2729"/>
    <cellStyle name="アクセント 1 2" xfId="2730"/>
    <cellStyle name="アクセント 1 3" xfId="2731"/>
    <cellStyle name="アクセント 1 3 2" xfId="2732"/>
    <cellStyle name="アクセント 1 4" xfId="2733"/>
    <cellStyle name="アクセント 1 4 2" xfId="2734"/>
    <cellStyle name="アクセント 1 5" xfId="2735"/>
    <cellStyle name="アクセント 2" xfId="2736"/>
    <cellStyle name="アクセント 2 2" xfId="2737"/>
    <cellStyle name="アクセント 2 3" xfId="2738"/>
    <cellStyle name="アクセント 2 3 2" xfId="2739"/>
    <cellStyle name="アクセント 2 4" xfId="2740"/>
    <cellStyle name="アクセント 2 4 2" xfId="2741"/>
    <cellStyle name="アクセント 2 5" xfId="2742"/>
    <cellStyle name="アクセント 3" xfId="2743"/>
    <cellStyle name="アクセント 3 2" xfId="2744"/>
    <cellStyle name="アクセント 3 3" xfId="2745"/>
    <cellStyle name="アクセント 3 3 2" xfId="2746"/>
    <cellStyle name="アクセント 3 4" xfId="2747"/>
    <cellStyle name="アクセント 3 4 2" xfId="2748"/>
    <cellStyle name="アクセント 3 5" xfId="2749"/>
    <cellStyle name="アクセント 4" xfId="2750"/>
    <cellStyle name="アクセント 4 2" xfId="2751"/>
    <cellStyle name="アクセント 4 3" xfId="2752"/>
    <cellStyle name="アクセント 4 3 2" xfId="2753"/>
    <cellStyle name="アクセント 4 4" xfId="2754"/>
    <cellStyle name="アクセント 4 4 2" xfId="2755"/>
    <cellStyle name="アクセント 4 5" xfId="2756"/>
    <cellStyle name="アクセント 5" xfId="2757"/>
    <cellStyle name="アクセント 5 2" xfId="2758"/>
    <cellStyle name="アクセント 5 3" xfId="2759"/>
    <cellStyle name="アクセント 5 3 2" xfId="2760"/>
    <cellStyle name="アクセント 5 4" xfId="2761"/>
    <cellStyle name="アクセント 5 4 2" xfId="2762"/>
    <cellStyle name="アクセント 5 5" xfId="2763"/>
    <cellStyle name="アクセント 6" xfId="2764"/>
    <cellStyle name="アクセント 6 2" xfId="2765"/>
    <cellStyle name="アクセント 6 3" xfId="2766"/>
    <cellStyle name="アクセント 6 3 2" xfId="2767"/>
    <cellStyle name="アクセント 6 4" xfId="2768"/>
    <cellStyle name="アクセント 6 4 2" xfId="2769"/>
    <cellStyle name="アクセント 6 5" xfId="2770"/>
    <cellStyle name="タイトル" xfId="2771"/>
    <cellStyle name="タイトル 2" xfId="2772"/>
    <cellStyle name="タイトル 3" xfId="2773"/>
    <cellStyle name="タイトル 3 2" xfId="2774"/>
    <cellStyle name="タイトル 4" xfId="2775"/>
    <cellStyle name="タイトル 4 2" xfId="2776"/>
    <cellStyle name="タイトル 5" xfId="2777"/>
    <cellStyle name="チェック セル" xfId="2778"/>
    <cellStyle name="チェック セル 2" xfId="2779"/>
    <cellStyle name="チェック セル 3" xfId="2780"/>
    <cellStyle name="チェック セル 3 2" xfId="2781"/>
    <cellStyle name="チェック セル 3_11FW 판매분석 120506 (JIL MI)" xfId="2782"/>
    <cellStyle name="チェック セル 4" xfId="2783"/>
    <cellStyle name="チェック セル 4 2" xfId="2784"/>
    <cellStyle name="チェック セル 4_11FW 판매분석 120506 (JIL MI)" xfId="2785"/>
    <cellStyle name="チェック セル 5" xfId="2786"/>
    <cellStyle name="チェック セル_11FW 판매분석 120506 (JIL MI)" xfId="2787"/>
    <cellStyle name="どちらでもない" xfId="2788"/>
    <cellStyle name="どちらでもない 2" xfId="2789"/>
    <cellStyle name="どちらでもない 3" xfId="2790"/>
    <cellStyle name="どちらでもない 3 2" xfId="2791"/>
    <cellStyle name="どちらでもない 4" xfId="2792"/>
    <cellStyle name="どちらでもない 4 2" xfId="2793"/>
    <cellStyle name="どちらでもない 5" xfId="2794"/>
    <cellStyle name="メモ" xfId="2795"/>
    <cellStyle name="メモ 2" xfId="2796"/>
    <cellStyle name="メモ 3" xfId="2797"/>
    <cellStyle name="メモ 3 2" xfId="2798"/>
    <cellStyle name="メモ 3_11FW 판매분석 120506 (JIL MI)" xfId="2799"/>
    <cellStyle name="メモ 4" xfId="2800"/>
    <cellStyle name="メモ 4 2" xfId="2801"/>
    <cellStyle name="メモ 4_11FW 판매분석 120506 (JIL MI)" xfId="2802"/>
    <cellStyle name="メモ 5" xfId="2803"/>
    <cellStyle name="メモ_11FW 판매분석 120506 (JIL MI)" xfId="2804"/>
    <cellStyle name="リンク セル" xfId="2805"/>
    <cellStyle name="リンク セル 2" xfId="2806"/>
    <cellStyle name="リンク セル 3" xfId="2807"/>
    <cellStyle name="リンク セル 3 2" xfId="2808"/>
    <cellStyle name="リンク セル 3_11FW 판매분석 120506 (JIL MI)" xfId="2809"/>
    <cellStyle name="リンク セル 4" xfId="2810"/>
    <cellStyle name="リンク セル 4 2" xfId="2811"/>
    <cellStyle name="リンク セル 4_11FW 판매분석 120506 (JIL MI)" xfId="2812"/>
    <cellStyle name="リンク セル 5" xfId="2813"/>
    <cellStyle name="リンク セル_11FW 판매분석 120506 (JIL MI)" xfId="2814"/>
    <cellStyle name="强调文字颜色 1 2" xfId="668"/>
    <cellStyle name="强调文字颜色 1 2 2" xfId="669"/>
    <cellStyle name="强调文字颜色 1 2 3" xfId="670"/>
    <cellStyle name="强调文字颜色 1 2 4" xfId="671"/>
    <cellStyle name="强调文字颜色 1 2 5" xfId="672"/>
    <cellStyle name="强调文字颜色 1 2 6" xfId="673"/>
    <cellStyle name="强调文字颜色 1 2 7" xfId="674"/>
    <cellStyle name="强调文字颜色 1 3" xfId="675"/>
    <cellStyle name="强调文字颜色 1 3 2" xfId="676"/>
    <cellStyle name="强调文字颜色 1 3 3" xfId="677"/>
    <cellStyle name="强调文字颜色 1 3 4" xfId="678"/>
    <cellStyle name="强调文字颜色 1 3 5" xfId="679"/>
    <cellStyle name="强调文字颜色 1 3 6" xfId="680"/>
    <cellStyle name="强调文字颜色 1 3 7" xfId="681"/>
    <cellStyle name="强调文字颜色 1 4" xfId="682"/>
    <cellStyle name="强调文字颜色 1 4 2" xfId="683"/>
    <cellStyle name="强调文字颜色 1 4 3" xfId="684"/>
    <cellStyle name="强调文字颜色 1 4 4" xfId="685"/>
    <cellStyle name="强调文字颜色 1 4 5" xfId="686"/>
    <cellStyle name="强调文字颜色 1 4 6" xfId="687"/>
    <cellStyle name="强调文字颜色 1 4 7" xfId="688"/>
    <cellStyle name="强调文字颜色 1 5" xfId="689"/>
    <cellStyle name="强调文字颜色 1 5 2" xfId="690"/>
    <cellStyle name="强调文字颜色 1 5 3" xfId="691"/>
    <cellStyle name="强调文字颜色 1 5 4" xfId="692"/>
    <cellStyle name="强调文字颜色 1 5 5" xfId="693"/>
    <cellStyle name="强调文字颜色 1 5 6" xfId="694"/>
    <cellStyle name="强调文字颜色 1 5 7" xfId="695"/>
    <cellStyle name="强调文字颜色 2 2" xfId="696"/>
    <cellStyle name="强调文字颜色 2 2 2" xfId="697"/>
    <cellStyle name="强调文字颜色 2 2 3" xfId="698"/>
    <cellStyle name="强调文字颜色 2 2 4" xfId="699"/>
    <cellStyle name="强调文字颜色 2 2 5" xfId="700"/>
    <cellStyle name="强调文字颜色 2 2 6" xfId="701"/>
    <cellStyle name="强调文字颜色 2 2 7" xfId="702"/>
    <cellStyle name="强调文字颜色 2 3" xfId="703"/>
    <cellStyle name="强调文字颜色 2 3 2" xfId="704"/>
    <cellStyle name="强调文字颜色 2 3 3" xfId="705"/>
    <cellStyle name="强调文字颜色 2 3 4" xfId="706"/>
    <cellStyle name="强调文字颜色 2 3 5" xfId="707"/>
    <cellStyle name="强调文字颜色 2 3 6" xfId="708"/>
    <cellStyle name="强调文字颜色 2 3 7" xfId="709"/>
    <cellStyle name="强调文字颜色 2 4" xfId="710"/>
    <cellStyle name="强调文字颜色 2 4 2" xfId="711"/>
    <cellStyle name="强调文字颜色 2 4 3" xfId="712"/>
    <cellStyle name="强调文字颜色 2 4 4" xfId="713"/>
    <cellStyle name="强调文字颜色 2 4 5" xfId="714"/>
    <cellStyle name="强调文字颜色 2 4 6" xfId="715"/>
    <cellStyle name="强调文字颜色 2 4 7" xfId="716"/>
    <cellStyle name="强调文字颜色 2 5" xfId="717"/>
    <cellStyle name="强调文字颜色 2 5 2" xfId="718"/>
    <cellStyle name="强调文字颜色 2 5 3" xfId="719"/>
    <cellStyle name="强调文字颜色 2 5 4" xfId="720"/>
    <cellStyle name="强调文字颜色 2 5 5" xfId="721"/>
    <cellStyle name="强调文字颜色 2 5 6" xfId="722"/>
    <cellStyle name="强调文字颜色 2 5 7" xfId="723"/>
    <cellStyle name="强调文字颜色 3 2" xfId="724"/>
    <cellStyle name="强调文字颜色 3 2 2" xfId="725"/>
    <cellStyle name="强调文字颜色 3 2 3" xfId="726"/>
    <cellStyle name="强调文字颜色 3 2 4" xfId="727"/>
    <cellStyle name="强调文字颜色 3 2 5" xfId="728"/>
    <cellStyle name="强调文字颜色 3 2 6" xfId="729"/>
    <cellStyle name="强调文字颜色 3 2 7" xfId="730"/>
    <cellStyle name="强调文字颜色 3 3" xfId="731"/>
    <cellStyle name="强调文字颜色 3 3 2" xfId="732"/>
    <cellStyle name="强调文字颜色 3 3 3" xfId="733"/>
    <cellStyle name="强调文字颜色 3 3 4" xfId="734"/>
    <cellStyle name="强调文字颜色 3 3 5" xfId="735"/>
    <cellStyle name="强调文字颜色 3 3 6" xfId="736"/>
    <cellStyle name="强调文字颜色 3 3 7" xfId="737"/>
    <cellStyle name="强调文字颜色 3 4" xfId="738"/>
    <cellStyle name="强调文字颜色 3 4 2" xfId="739"/>
    <cellStyle name="强调文字颜色 3 4 3" xfId="740"/>
    <cellStyle name="强调文字颜色 3 4 4" xfId="741"/>
    <cellStyle name="强调文字颜色 3 4 5" xfId="742"/>
    <cellStyle name="强调文字颜色 3 4 6" xfId="743"/>
    <cellStyle name="强调文字颜色 3 4 7" xfId="744"/>
    <cellStyle name="强调文字颜色 3 5" xfId="745"/>
    <cellStyle name="强调文字颜色 3 5 2" xfId="746"/>
    <cellStyle name="强调文字颜色 3 5 3" xfId="747"/>
    <cellStyle name="强调文字颜色 3 5 4" xfId="748"/>
    <cellStyle name="强调文字颜色 3 5 5" xfId="749"/>
    <cellStyle name="强调文字颜色 3 5 6" xfId="750"/>
    <cellStyle name="强调文字颜色 3 5 7" xfId="751"/>
    <cellStyle name="强调文字颜色 4 2" xfId="752"/>
    <cellStyle name="强调文字颜色 4 2 2" xfId="753"/>
    <cellStyle name="强调文字颜色 4 2 3" xfId="754"/>
    <cellStyle name="强调文字颜色 4 2 4" xfId="755"/>
    <cellStyle name="强调文字颜色 4 2 5" xfId="756"/>
    <cellStyle name="强调文字颜色 4 2 6" xfId="757"/>
    <cellStyle name="强调文字颜色 4 2 7" xfId="758"/>
    <cellStyle name="强调文字颜色 4 3" xfId="759"/>
    <cellStyle name="强调文字颜色 4 3 2" xfId="760"/>
    <cellStyle name="强调文字颜色 4 3 3" xfId="761"/>
    <cellStyle name="强调文字颜色 4 3 4" xfId="762"/>
    <cellStyle name="强调文字颜色 4 3 5" xfId="763"/>
    <cellStyle name="强调文字颜色 4 3 6" xfId="764"/>
    <cellStyle name="强调文字颜色 4 3 7" xfId="765"/>
    <cellStyle name="强调文字颜色 4 4" xfId="766"/>
    <cellStyle name="强调文字颜色 4 4 2" xfId="767"/>
    <cellStyle name="强调文字颜色 4 4 3" xfId="768"/>
    <cellStyle name="强调文字颜色 4 4 4" xfId="769"/>
    <cellStyle name="强调文字颜色 4 4 5" xfId="770"/>
    <cellStyle name="强调文字颜色 4 4 6" xfId="771"/>
    <cellStyle name="强调文字颜色 4 4 7" xfId="772"/>
    <cellStyle name="强调文字颜色 4 5" xfId="773"/>
    <cellStyle name="强调文字颜色 4 5 2" xfId="774"/>
    <cellStyle name="强调文字颜色 4 5 3" xfId="775"/>
    <cellStyle name="强调文字颜色 4 5 4" xfId="776"/>
    <cellStyle name="强调文字颜色 4 5 5" xfId="777"/>
    <cellStyle name="强调文字颜色 4 5 6" xfId="778"/>
    <cellStyle name="强调文字颜色 4 5 7" xfId="779"/>
    <cellStyle name="强调文字颜色 5 2" xfId="780"/>
    <cellStyle name="强调文字颜色 5 2 2" xfId="781"/>
    <cellStyle name="强调文字颜色 5 2 3" xfId="782"/>
    <cellStyle name="强调文字颜色 5 2 4" xfId="783"/>
    <cellStyle name="强调文字颜色 5 2 5" xfId="784"/>
    <cellStyle name="强调文字颜色 5 2 6" xfId="785"/>
    <cellStyle name="强调文字颜色 5 2 7" xfId="786"/>
    <cellStyle name="强调文字颜色 5 3" xfId="787"/>
    <cellStyle name="强调文字颜色 5 3 2" xfId="788"/>
    <cellStyle name="强调文字颜色 5 3 3" xfId="789"/>
    <cellStyle name="强调文字颜色 5 3 4" xfId="790"/>
    <cellStyle name="强调文字颜色 5 3 5" xfId="791"/>
    <cellStyle name="强调文字颜色 5 3 6" xfId="792"/>
    <cellStyle name="强调文字颜色 5 3 7" xfId="793"/>
    <cellStyle name="强调文字颜色 5 4" xfId="794"/>
    <cellStyle name="强调文字颜色 5 4 2" xfId="795"/>
    <cellStyle name="强调文字颜色 5 4 3" xfId="796"/>
    <cellStyle name="强调文字颜色 5 4 4" xfId="797"/>
    <cellStyle name="强调文字颜色 5 4 5" xfId="798"/>
    <cellStyle name="强调文字颜色 5 4 6" xfId="799"/>
    <cellStyle name="强调文字颜色 5 4 7" xfId="800"/>
    <cellStyle name="强调文字颜色 5 5" xfId="801"/>
    <cellStyle name="强调文字颜色 5 5 2" xfId="802"/>
    <cellStyle name="强调文字颜色 5 5 3" xfId="803"/>
    <cellStyle name="强调文字颜色 5 5 4" xfId="804"/>
    <cellStyle name="强调文字颜色 5 5 5" xfId="805"/>
    <cellStyle name="强调文字颜色 5 5 6" xfId="806"/>
    <cellStyle name="强调文字颜色 5 5 7" xfId="807"/>
    <cellStyle name="强调文字颜色 6 2" xfId="808"/>
    <cellStyle name="强调文字颜色 6 2 2" xfId="809"/>
    <cellStyle name="强调文字颜色 6 2 3" xfId="810"/>
    <cellStyle name="强调文字颜色 6 2 4" xfId="811"/>
    <cellStyle name="强调文字颜色 6 2 5" xfId="812"/>
    <cellStyle name="强调文字颜色 6 2 6" xfId="813"/>
    <cellStyle name="强调文字颜色 6 2 7" xfId="814"/>
    <cellStyle name="强调文字颜色 6 3" xfId="815"/>
    <cellStyle name="强调文字颜色 6 3 2" xfId="816"/>
    <cellStyle name="强调文字颜色 6 3 3" xfId="817"/>
    <cellStyle name="强调文字颜色 6 3 4" xfId="818"/>
    <cellStyle name="强调文字颜色 6 3 5" xfId="819"/>
    <cellStyle name="强调文字颜色 6 3 6" xfId="820"/>
    <cellStyle name="强调文字颜色 6 3 7" xfId="821"/>
    <cellStyle name="强调文字颜色 6 4" xfId="822"/>
    <cellStyle name="强调文字颜色 6 4 2" xfId="823"/>
    <cellStyle name="强调文字颜色 6 4 3" xfId="824"/>
    <cellStyle name="强调文字颜色 6 4 4" xfId="825"/>
    <cellStyle name="强调文字颜色 6 4 5" xfId="826"/>
    <cellStyle name="强调文字颜色 6 4 6" xfId="827"/>
    <cellStyle name="强调文字颜色 6 4 7" xfId="828"/>
    <cellStyle name="强调文字颜色 6 5" xfId="829"/>
    <cellStyle name="强调文字颜色 6 5 2" xfId="830"/>
    <cellStyle name="强调文字颜色 6 5 3" xfId="831"/>
    <cellStyle name="强调文字颜色 6 5 4" xfId="832"/>
    <cellStyle name="强调文字颜色 6 5 5" xfId="833"/>
    <cellStyle name="强调文字颜色 6 5 6" xfId="834"/>
    <cellStyle name="强调文字颜色 6 5 7" xfId="835"/>
    <cellStyle name="見出し 1" xfId="836"/>
    <cellStyle name="見出し 1 2" xfId="837"/>
    <cellStyle name="見出し 1 3" xfId="838"/>
    <cellStyle name="見出し 1 3 2" xfId="839"/>
    <cellStyle name="見出し 1 4" xfId="840"/>
    <cellStyle name="見出し 1 4 2" xfId="841"/>
    <cellStyle name="見出し 1 4 3" xfId="842"/>
    <cellStyle name="見出し 1 5" xfId="843"/>
    <cellStyle name="見出し 2" xfId="844"/>
    <cellStyle name="見出し 2 2" xfId="845"/>
    <cellStyle name="見出し 2 3" xfId="846"/>
    <cellStyle name="見出し 2 3 2" xfId="847"/>
    <cellStyle name="見出し 2 4" xfId="848"/>
    <cellStyle name="見出し 2 4 2" xfId="849"/>
    <cellStyle name="見出し 2 4 3" xfId="850"/>
    <cellStyle name="見出し 2 5" xfId="851"/>
    <cellStyle name="見出し 3" xfId="852"/>
    <cellStyle name="見出し 3 2" xfId="853"/>
    <cellStyle name="見出し 3 3" xfId="854"/>
    <cellStyle name="見出し 3 3 2" xfId="855"/>
    <cellStyle name="見出し 3 4" xfId="856"/>
    <cellStyle name="見出し 3 4 2" xfId="857"/>
    <cellStyle name="見出し 3 4 3" xfId="858"/>
    <cellStyle name="見出し 3 5" xfId="859"/>
    <cellStyle name="見出し 4" xfId="860"/>
    <cellStyle name="見出し 4 2" xfId="861"/>
    <cellStyle name="見出し 4 3" xfId="862"/>
    <cellStyle name="見出し 4 3 2" xfId="863"/>
    <cellStyle name="見出し 4 4" xfId="864"/>
    <cellStyle name="見出し 4 4 2" xfId="865"/>
    <cellStyle name="見出し 4 4 3" xfId="866"/>
    <cellStyle name="見出し 4 5" xfId="867"/>
    <cellStyle name="警告文" xfId="868"/>
    <cellStyle name="警告文 2" xfId="869"/>
    <cellStyle name="警告文 3" xfId="870"/>
    <cellStyle name="警告文 3 2" xfId="871"/>
    <cellStyle name="警告文 4" xfId="872"/>
    <cellStyle name="警告文 4 2" xfId="873"/>
    <cellStyle name="警告文 4 3" xfId="874"/>
    <cellStyle name="警告文 5" xfId="875"/>
    <cellStyle name="警告文本 2" xfId="876"/>
    <cellStyle name="警告文本 2 2" xfId="877"/>
    <cellStyle name="警告文本 2 3" xfId="878"/>
    <cellStyle name="警告文本 2 4" xfId="879"/>
    <cellStyle name="警告文本 2 5" xfId="880"/>
    <cellStyle name="警告文本 2 6" xfId="881"/>
    <cellStyle name="警告文本 2 7" xfId="882"/>
    <cellStyle name="警告文本 3" xfId="883"/>
    <cellStyle name="警告文本 3 2" xfId="884"/>
    <cellStyle name="警告文本 3 3" xfId="885"/>
    <cellStyle name="警告文本 3 4" xfId="886"/>
    <cellStyle name="警告文本 3 5" xfId="887"/>
    <cellStyle name="警告文本 3 6" xfId="888"/>
    <cellStyle name="警告文本 3 7" xfId="889"/>
    <cellStyle name="警告文本 4" xfId="890"/>
    <cellStyle name="警告文本 4 2" xfId="891"/>
    <cellStyle name="警告文本 4 3" xfId="892"/>
    <cellStyle name="警告文本 4 4" xfId="893"/>
    <cellStyle name="警告文本 4 5" xfId="894"/>
    <cellStyle name="警告文本 4 6" xfId="895"/>
    <cellStyle name="警告文本 4 7" xfId="896"/>
    <cellStyle name="警告文本 5" xfId="897"/>
    <cellStyle name="警告文本 5 2" xfId="898"/>
    <cellStyle name="警告文本 5 3" xfId="899"/>
    <cellStyle name="警告文本 5 4" xfId="900"/>
    <cellStyle name="警告文本 5 5" xfId="901"/>
    <cellStyle name="警告文本 5 6" xfId="902"/>
    <cellStyle name="警告文本 5 7" xfId="903"/>
    <cellStyle name="計算" xfId="904"/>
    <cellStyle name="計算 2" xfId="905"/>
    <cellStyle name="計算 3" xfId="906"/>
    <cellStyle name="計算 3 2" xfId="907"/>
    <cellStyle name="計算 3_11FW 판매분석 120506 (JIL MI)" xfId="908"/>
    <cellStyle name="計算 4" xfId="909"/>
    <cellStyle name="計算 4 2" xfId="910"/>
    <cellStyle name="計算 4 3" xfId="911"/>
    <cellStyle name="計算 4_11FW 판매분석 120506 (JIL MI)" xfId="912"/>
    <cellStyle name="計算 5" xfId="913"/>
    <cellStyle name="計算_11FW 판매분석 120506 (JIL MI)" xfId="914"/>
    <cellStyle name="适中 2" xfId="915"/>
    <cellStyle name="适中 2 2" xfId="916"/>
    <cellStyle name="适中 2 3" xfId="917"/>
    <cellStyle name="适中 2 4" xfId="918"/>
    <cellStyle name="适中 2 5" xfId="919"/>
    <cellStyle name="适中 2 6" xfId="920"/>
    <cellStyle name="适中 2 7" xfId="921"/>
    <cellStyle name="适中 3" xfId="922"/>
    <cellStyle name="适中 3 2" xfId="923"/>
    <cellStyle name="适中 3 3" xfId="924"/>
    <cellStyle name="适中 3 4" xfId="925"/>
    <cellStyle name="适中 3 5" xfId="926"/>
    <cellStyle name="适中 3 6" xfId="927"/>
    <cellStyle name="适中 3 7" xfId="928"/>
    <cellStyle name="适中 4" xfId="929"/>
    <cellStyle name="适中 4 2" xfId="930"/>
    <cellStyle name="适中 4 3" xfId="931"/>
    <cellStyle name="适中 4 4" xfId="932"/>
    <cellStyle name="适中 4 5" xfId="933"/>
    <cellStyle name="适中 4 6" xfId="934"/>
    <cellStyle name="适中 4 7" xfId="935"/>
    <cellStyle name="适中 5" xfId="936"/>
    <cellStyle name="适中 5 2" xfId="937"/>
    <cellStyle name="适中 5 3" xfId="938"/>
    <cellStyle name="适中 5 4" xfId="939"/>
    <cellStyle name="适中 5 5" xfId="940"/>
    <cellStyle name="适中 5 6" xfId="941"/>
    <cellStyle name="适中 5 7" xfId="942"/>
    <cellStyle name="良い" xfId="943"/>
    <cellStyle name="良い 2" xfId="944"/>
    <cellStyle name="良い 3" xfId="945"/>
    <cellStyle name="良い 3 2" xfId="946"/>
    <cellStyle name="良い 4" xfId="947"/>
    <cellStyle name="良い 4 2" xfId="948"/>
    <cellStyle name="良い 4 3" xfId="949"/>
    <cellStyle name="良い 5" xfId="950"/>
    <cellStyle name="백분율 2" xfId="951"/>
    <cellStyle name="백분율 2 2" xfId="952"/>
    <cellStyle name="백분율 2 2 2" xfId="953"/>
    <cellStyle name="백분율 2 2 2 2" xfId="954"/>
    <cellStyle name="백분율 2 2 2 2 2" xfId="955"/>
    <cellStyle name="백분율 2 2 2 2 2 2" xfId="956"/>
    <cellStyle name="백분율 2 2 2 3" xfId="957"/>
    <cellStyle name="백분율 2 2 2 4" xfId="958"/>
    <cellStyle name="백분율 2 2 2 5" xfId="959"/>
    <cellStyle name="백분율 2 2 2 6" xfId="960"/>
    <cellStyle name="백분율 2 2 3" xfId="961"/>
    <cellStyle name="백분율 2 2 4" xfId="962"/>
    <cellStyle name="백분율 2 2 5" xfId="963"/>
    <cellStyle name="백분율 2 2 5 2" xfId="964"/>
    <cellStyle name="백분율 2 2 6" xfId="965"/>
    <cellStyle name="백분율 2 2 7" xfId="966"/>
    <cellStyle name="백분율 2 2 8" xfId="967"/>
    <cellStyle name="백분율 2 3" xfId="968"/>
    <cellStyle name="백분율 2 4" xfId="969"/>
    <cellStyle name="백분율 2 4 2" xfId="970"/>
    <cellStyle name="백분율 2 5" xfId="971"/>
    <cellStyle name="백분율 2 6" xfId="972"/>
    <cellStyle name="백분율 2 6 2" xfId="973"/>
    <cellStyle name="백분율 2 7" xfId="974"/>
    <cellStyle name="백분율 2 8" xfId="975"/>
    <cellStyle name="백분율 2 9" xfId="976"/>
    <cellStyle name="백분율 3" xfId="977"/>
    <cellStyle name="백분율 3 2" xfId="978"/>
    <cellStyle name="백분율 4" xfId="979"/>
    <cellStyle name="백분율 5" xfId="980"/>
    <cellStyle name="常规 10" xfId="981"/>
    <cellStyle name="常规 10 2" xfId="982"/>
    <cellStyle name="常规 10 3" xfId="983"/>
    <cellStyle name="常规 10 4" xfId="984"/>
    <cellStyle name="常规 11" xfId="985"/>
    <cellStyle name="常规 12" xfId="986"/>
    <cellStyle name="常规 12 2" xfId="987"/>
    <cellStyle name="常规 12 3" xfId="988"/>
    <cellStyle name="常规 12 4" xfId="989"/>
    <cellStyle name="常规 13" xfId="990"/>
    <cellStyle name="常规 14" xfId="991"/>
    <cellStyle name="常规 14 2" xfId="992"/>
    <cellStyle name="常规 14 3" xfId="993"/>
    <cellStyle name="常规 15" xfId="994"/>
    <cellStyle name="常规 15 2" xfId="995"/>
    <cellStyle name="常规 15 3" xfId="996"/>
    <cellStyle name="常规 16" xfId="997"/>
    <cellStyle name="常规 16 2" xfId="998"/>
    <cellStyle name="常规 16 3" xfId="999"/>
    <cellStyle name="常规 17" xfId="1000"/>
    <cellStyle name="常规 18" xfId="1001"/>
    <cellStyle name="常规 19" xfId="1002"/>
    <cellStyle name="常规 19 2" xfId="1003"/>
    <cellStyle name="常规 19 3" xfId="1004"/>
    <cellStyle name="常规 2 10" xfId="1005"/>
    <cellStyle name="常规 2 10 10" xfId="1006"/>
    <cellStyle name="常规 2 10 10 2" xfId="1007"/>
    <cellStyle name="常规 2 10 11" xfId="1008"/>
    <cellStyle name="常规 2 10 11 2" xfId="1009"/>
    <cellStyle name="常规 2 10 12" xfId="1010"/>
    <cellStyle name="常规 2 10 12 2" xfId="1011"/>
    <cellStyle name="常规 2 10 13" xfId="1012"/>
    <cellStyle name="常规 2 10 13 2" xfId="1013"/>
    <cellStyle name="常规 2 10 14" xfId="1014"/>
    <cellStyle name="常规 2 10 14 2" xfId="1015"/>
    <cellStyle name="常规 2 10 15" xfId="1016"/>
    <cellStyle name="常规 2 10 15 2" xfId="1017"/>
    <cellStyle name="常规 2 10 16" xfId="1018"/>
    <cellStyle name="常规 2 10 2" xfId="1019"/>
    <cellStyle name="常规 2 10 2 10" xfId="1020"/>
    <cellStyle name="常规 2 10 2 10 2" xfId="1021"/>
    <cellStyle name="常规 2 10 2 11" xfId="1022"/>
    <cellStyle name="常规 2 10 2 11 2" xfId="1023"/>
    <cellStyle name="常规 2 10 2 12" xfId="1024"/>
    <cellStyle name="常规 2 10 2 12 2" xfId="1025"/>
    <cellStyle name="常规 2 10 2 13" xfId="1026"/>
    <cellStyle name="常规 2 10 2 13 2" xfId="1027"/>
    <cellStyle name="常规 2 10 2 14" xfId="1028"/>
    <cellStyle name="常规 2 10 2 14 2" xfId="1029"/>
    <cellStyle name="常规 2 10 2 15" xfId="1030"/>
    <cellStyle name="常规 2 10 2 2" xfId="1031"/>
    <cellStyle name="常规 2 10 2 2 2" xfId="1032"/>
    <cellStyle name="常规 2 10 2 3" xfId="1033"/>
    <cellStyle name="常规 2 10 2 3 2" xfId="1034"/>
    <cellStyle name="常规 2 10 2 4" xfId="1035"/>
    <cellStyle name="常规 2 10 2 4 2" xfId="1036"/>
    <cellStyle name="常规 2 10 2 5" xfId="1037"/>
    <cellStyle name="常规 2 10 2 5 2" xfId="1038"/>
    <cellStyle name="常规 2 10 2 6" xfId="1039"/>
    <cellStyle name="常规 2 10 2 6 2" xfId="1040"/>
    <cellStyle name="常规 2 10 2 7" xfId="1041"/>
    <cellStyle name="常规 2 10 2 7 2" xfId="1042"/>
    <cellStyle name="常规 2 10 2 8" xfId="1043"/>
    <cellStyle name="常规 2 10 2 8 2" xfId="1044"/>
    <cellStyle name="常规 2 10 2 9" xfId="1045"/>
    <cellStyle name="常规 2 10 2 9 2" xfId="1046"/>
    <cellStyle name="常规 2 10 3" xfId="1047"/>
    <cellStyle name="常规 2 10 3 2" xfId="1048"/>
    <cellStyle name="常规 2 10 4" xfId="1049"/>
    <cellStyle name="常规 2 10 4 2" xfId="1050"/>
    <cellStyle name="常规 2 10 5" xfId="1051"/>
    <cellStyle name="常规 2 10 5 2" xfId="1052"/>
    <cellStyle name="常规 2 10 6" xfId="1053"/>
    <cellStyle name="常规 2 10 6 2" xfId="1054"/>
    <cellStyle name="常规 2 10 7" xfId="1055"/>
    <cellStyle name="常规 2 10 7 2" xfId="1056"/>
    <cellStyle name="常规 2 10 8" xfId="1057"/>
    <cellStyle name="常规 2 10 8 2" xfId="1058"/>
    <cellStyle name="常规 2 10 9" xfId="1059"/>
    <cellStyle name="常规 2 10 9 2" xfId="1060"/>
    <cellStyle name="常规 2 11" xfId="1061"/>
    <cellStyle name="常规 2 11 10" xfId="1062"/>
    <cellStyle name="常规 2 11 10 2" xfId="1063"/>
    <cellStyle name="常规 2 11 11" xfId="1064"/>
    <cellStyle name="常规 2 11 11 2" xfId="1065"/>
    <cellStyle name="常规 2 11 12" xfId="1066"/>
    <cellStyle name="常规 2 11 12 2" xfId="1067"/>
    <cellStyle name="常规 2 11 13" xfId="1068"/>
    <cellStyle name="常规 2 11 13 2" xfId="1069"/>
    <cellStyle name="常规 2 11 14" xfId="1070"/>
    <cellStyle name="常规 2 11 14 2" xfId="1071"/>
    <cellStyle name="常规 2 11 15" xfId="1072"/>
    <cellStyle name="常规 2 11 15 2" xfId="1073"/>
    <cellStyle name="常规 2 11 16" xfId="1074"/>
    <cellStyle name="常规 2 11 2" xfId="1075"/>
    <cellStyle name="常规 2 11 2 10" xfId="1076"/>
    <cellStyle name="常规 2 11 2 10 2" xfId="1077"/>
    <cellStyle name="常规 2 11 2 11" xfId="1078"/>
    <cellStyle name="常规 2 11 2 11 2" xfId="1079"/>
    <cellStyle name="常规 2 11 2 12" xfId="1080"/>
    <cellStyle name="常规 2 11 2 12 2" xfId="1081"/>
    <cellStyle name="常规 2 11 2 13" xfId="1082"/>
    <cellStyle name="常规 2 11 2 13 2" xfId="1083"/>
    <cellStyle name="常规 2 11 2 14" xfId="1084"/>
    <cellStyle name="常规 2 11 2 14 2" xfId="1085"/>
    <cellStyle name="常规 2 11 2 15" xfId="1086"/>
    <cellStyle name="常规 2 11 2 2" xfId="1087"/>
    <cellStyle name="常规 2 11 2 2 2" xfId="1088"/>
    <cellStyle name="常规 2 11 2 3" xfId="1089"/>
    <cellStyle name="常规 2 11 2 3 2" xfId="1090"/>
    <cellStyle name="常规 2 11 2 4" xfId="1091"/>
    <cellStyle name="常规 2 11 2 4 2" xfId="1092"/>
    <cellStyle name="常规 2 11 2 5" xfId="1093"/>
    <cellStyle name="常规 2 11 2 5 2" xfId="1094"/>
    <cellStyle name="常规 2 11 2 6" xfId="1095"/>
    <cellStyle name="常规 2 11 2 6 2" xfId="1096"/>
    <cellStyle name="常规 2 11 2 7" xfId="1097"/>
    <cellStyle name="常规 2 11 2 7 2" xfId="1098"/>
    <cellStyle name="常规 2 11 2 8" xfId="1099"/>
    <cellStyle name="常规 2 11 2 8 2" xfId="1100"/>
    <cellStyle name="常规 2 11 2 9" xfId="1101"/>
    <cellStyle name="常规 2 11 2 9 2" xfId="1102"/>
    <cellStyle name="常规 2 11 3" xfId="1103"/>
    <cellStyle name="常规 2 11 3 2" xfId="1104"/>
    <cellStyle name="常规 2 11 4" xfId="1105"/>
    <cellStyle name="常规 2 11 4 2" xfId="1106"/>
    <cellStyle name="常规 2 11 5" xfId="1107"/>
    <cellStyle name="常规 2 11 5 2" xfId="1108"/>
    <cellStyle name="常规 2 11 6" xfId="1109"/>
    <cellStyle name="常规 2 11 6 2" xfId="1110"/>
    <cellStyle name="常规 2 11 7" xfId="1111"/>
    <cellStyle name="常规 2 11 7 2" xfId="1112"/>
    <cellStyle name="常规 2 11 8" xfId="1113"/>
    <cellStyle name="常规 2 11 8 2" xfId="1114"/>
    <cellStyle name="常规 2 11 9" xfId="1115"/>
    <cellStyle name="常规 2 11 9 2" xfId="1116"/>
    <cellStyle name="常规 2 12" xfId="1117"/>
    <cellStyle name="常规 2 12 10" xfId="1118"/>
    <cellStyle name="常规 2 12 10 2" xfId="1119"/>
    <cellStyle name="常规 2 12 11" xfId="1120"/>
    <cellStyle name="常规 2 12 11 2" xfId="1121"/>
    <cellStyle name="常规 2 12 12" xfId="1122"/>
    <cellStyle name="常规 2 12 12 2" xfId="1123"/>
    <cellStyle name="常规 2 12 13" xfId="1124"/>
    <cellStyle name="常规 2 12 13 2" xfId="1125"/>
    <cellStyle name="常规 2 12 14" xfId="1126"/>
    <cellStyle name="常规 2 12 14 2" xfId="1127"/>
    <cellStyle name="常规 2 12 15" xfId="1128"/>
    <cellStyle name="常规 2 12 15 2" xfId="1129"/>
    <cellStyle name="常规 2 12 16" xfId="1130"/>
    <cellStyle name="常规 2 12 2" xfId="1131"/>
    <cellStyle name="常规 2 12 2 10" xfId="1132"/>
    <cellStyle name="常规 2 12 2 10 2" xfId="1133"/>
    <cellStyle name="常规 2 12 2 11" xfId="1134"/>
    <cellStyle name="常规 2 12 2 11 2" xfId="1135"/>
    <cellStyle name="常规 2 12 2 12" xfId="1136"/>
    <cellStyle name="常规 2 12 2 12 2" xfId="1137"/>
    <cellStyle name="常规 2 12 2 13" xfId="1138"/>
    <cellStyle name="常规 2 12 2 13 2" xfId="1139"/>
    <cellStyle name="常规 2 12 2 14" xfId="1140"/>
    <cellStyle name="常规 2 12 2 14 2" xfId="1141"/>
    <cellStyle name="常规 2 12 2 15" xfId="1142"/>
    <cellStyle name="常规 2 12 2 2" xfId="1143"/>
    <cellStyle name="常规 2 12 2 2 2" xfId="1144"/>
    <cellStyle name="常规 2 12 2 3" xfId="1145"/>
    <cellStyle name="常规 2 12 2 3 2" xfId="1146"/>
    <cellStyle name="常规 2 12 2 4" xfId="1147"/>
    <cellStyle name="常规 2 12 2 4 2" xfId="1148"/>
    <cellStyle name="常规 2 12 2 5" xfId="1149"/>
    <cellStyle name="常规 2 12 2 5 2" xfId="1150"/>
    <cellStyle name="常规 2 12 2 6" xfId="1151"/>
    <cellStyle name="常规 2 12 2 6 2" xfId="1152"/>
    <cellStyle name="常规 2 12 2 7" xfId="1153"/>
    <cellStyle name="常规 2 12 2 7 2" xfId="1154"/>
    <cellStyle name="常规 2 12 2 8" xfId="1155"/>
    <cellStyle name="常规 2 12 2 8 2" xfId="1156"/>
    <cellStyle name="常规 2 12 2 9" xfId="1157"/>
    <cellStyle name="常规 2 12 2 9 2" xfId="1158"/>
    <cellStyle name="常规 2 12 3" xfId="1159"/>
    <cellStyle name="常规 2 12 3 2" xfId="1160"/>
    <cellStyle name="常规 2 12 4" xfId="1161"/>
    <cellStyle name="常规 2 12 4 2" xfId="1162"/>
    <cellStyle name="常规 2 12 5" xfId="1163"/>
    <cellStyle name="常规 2 12 5 2" xfId="1164"/>
    <cellStyle name="常规 2 12 6" xfId="1165"/>
    <cellStyle name="常规 2 12 6 2" xfId="1166"/>
    <cellStyle name="常规 2 12 7" xfId="1167"/>
    <cellStyle name="常规 2 12 7 2" xfId="1168"/>
    <cellStyle name="常规 2 12 8" xfId="1169"/>
    <cellStyle name="常规 2 12 8 2" xfId="1170"/>
    <cellStyle name="常规 2 12 9" xfId="1171"/>
    <cellStyle name="常规 2 12 9 2" xfId="1172"/>
    <cellStyle name="常规 2 13" xfId="1173"/>
    <cellStyle name="常规 2 14" xfId="1174"/>
    <cellStyle name="常规 2 15" xfId="1175"/>
    <cellStyle name="常规 2 16" xfId="1176"/>
    <cellStyle name="常规 2 17" xfId="1177"/>
    <cellStyle name="常规 2 18" xfId="1178"/>
    <cellStyle name="常规 2 19" xfId="1179"/>
    <cellStyle name="常规 2 2" xfId="1180"/>
    <cellStyle name="常规 2 2 10" xfId="1181"/>
    <cellStyle name="常规 2 2 10 2" xfId="1182"/>
    <cellStyle name="常规 2 2 11" xfId="1183"/>
    <cellStyle name="常规 2 2 11 2" xfId="1184"/>
    <cellStyle name="常规 2 2 12" xfId="1185"/>
    <cellStyle name="常规 2 2 12 2" xfId="1186"/>
    <cellStyle name="常规 2 2 13" xfId="1187"/>
    <cellStyle name="常规 2 2 13 2" xfId="1188"/>
    <cellStyle name="常规 2 2 14" xfId="1189"/>
    <cellStyle name="常规 2 2 14 2" xfId="1190"/>
    <cellStyle name="常规 2 2 15" xfId="1191"/>
    <cellStyle name="常规 2 2 15 2" xfId="1192"/>
    <cellStyle name="常规 2 2 16" xfId="1193"/>
    <cellStyle name="常规 2 2 17" xfId="1194"/>
    <cellStyle name="常规 2 2 18" xfId="1195"/>
    <cellStyle name="常规 2 2 19" xfId="1196"/>
    <cellStyle name="常规 2 2 2" xfId="1197"/>
    <cellStyle name="常规 2 2 2 10" xfId="1198"/>
    <cellStyle name="常规 2 2 2 10 2" xfId="1199"/>
    <cellStyle name="常规 2 2 2 11" xfId="1200"/>
    <cellStyle name="常规 2 2 2 11 2" xfId="1201"/>
    <cellStyle name="常规 2 2 2 12" xfId="1202"/>
    <cellStyle name="常规 2 2 2 12 2" xfId="1203"/>
    <cellStyle name="常规 2 2 2 13" xfId="1204"/>
    <cellStyle name="常规 2 2 2 13 2" xfId="1205"/>
    <cellStyle name="常规 2 2 2 14" xfId="1206"/>
    <cellStyle name="常规 2 2 2 14 2" xfId="1207"/>
    <cellStyle name="常规 2 2 2 15" xfId="1208"/>
    <cellStyle name="常规 2 2 2 2" xfId="1209"/>
    <cellStyle name="常规 2 2 2 2 2" xfId="1210"/>
    <cellStyle name="常规 2 2 2 3" xfId="1211"/>
    <cellStyle name="常规 2 2 2 3 2" xfId="1212"/>
    <cellStyle name="常规 2 2 2 4" xfId="1213"/>
    <cellStyle name="常规 2 2 2 4 2" xfId="1214"/>
    <cellStyle name="常规 2 2 2 5" xfId="1215"/>
    <cellStyle name="常规 2 2 2 5 2" xfId="1216"/>
    <cellStyle name="常规 2 2 2 6" xfId="1217"/>
    <cellStyle name="常规 2 2 2 6 2" xfId="1218"/>
    <cellStyle name="常规 2 2 2 7" xfId="1219"/>
    <cellStyle name="常规 2 2 2 7 2" xfId="1220"/>
    <cellStyle name="常规 2 2 2 8" xfId="1221"/>
    <cellStyle name="常规 2 2 2 8 2" xfId="1222"/>
    <cellStyle name="常规 2 2 2 9" xfId="1223"/>
    <cellStyle name="常规 2 2 2 9 2" xfId="1224"/>
    <cellStyle name="常规 2 2 20" xfId="1225"/>
    <cellStyle name="常规 2 2 21" xfId="1226"/>
    <cellStyle name="常规 2 2 22" xfId="1227"/>
    <cellStyle name="常规 2 2 23" xfId="1228"/>
    <cellStyle name="常规 2 2 3" xfId="1229"/>
    <cellStyle name="常规 2 2 3 2" xfId="1230"/>
    <cellStyle name="常规 2 2 4" xfId="1231"/>
    <cellStyle name="常规 2 2 4 2" xfId="1232"/>
    <cellStyle name="常规 2 2 5" xfId="1233"/>
    <cellStyle name="常规 2 2 5 2" xfId="1234"/>
    <cellStyle name="常规 2 2 6" xfId="1235"/>
    <cellStyle name="常规 2 2 6 2" xfId="1236"/>
    <cellStyle name="常规 2 2 7" xfId="1237"/>
    <cellStyle name="常规 2 2 7 2" xfId="1238"/>
    <cellStyle name="常规 2 2 8" xfId="1239"/>
    <cellStyle name="常规 2 2 8 2" xfId="1240"/>
    <cellStyle name="常规 2 2 9" xfId="1241"/>
    <cellStyle name="常规 2 2 9 2" xfId="1242"/>
    <cellStyle name="常规 2 20" xfId="1243"/>
    <cellStyle name="常规 2 3" xfId="1244"/>
    <cellStyle name="常规 2 3 10" xfId="1245"/>
    <cellStyle name="常规 2 3 10 2" xfId="1246"/>
    <cellStyle name="常规 2 3 11" xfId="1247"/>
    <cellStyle name="常规 2 3 11 2" xfId="1248"/>
    <cellStyle name="常规 2 3 12" xfId="1249"/>
    <cellStyle name="常规 2 3 12 2" xfId="1250"/>
    <cellStyle name="常规 2 3 13" xfId="1251"/>
    <cellStyle name="常规 2 3 13 2" xfId="1252"/>
    <cellStyle name="常规 2 3 14" xfId="1253"/>
    <cellStyle name="常规 2 3 14 2" xfId="1254"/>
    <cellStyle name="常规 2 3 15" xfId="1255"/>
    <cellStyle name="常规 2 3 15 2" xfId="1256"/>
    <cellStyle name="常规 2 3 16" xfId="1257"/>
    <cellStyle name="常规 2 3 2" xfId="1258"/>
    <cellStyle name="常规 2 3 2 10" xfId="1259"/>
    <cellStyle name="常规 2 3 2 10 2" xfId="1260"/>
    <cellStyle name="常规 2 3 2 11" xfId="1261"/>
    <cellStyle name="常规 2 3 2 11 2" xfId="1262"/>
    <cellStyle name="常规 2 3 2 12" xfId="1263"/>
    <cellStyle name="常规 2 3 2 12 2" xfId="1264"/>
    <cellStyle name="常规 2 3 2 13" xfId="1265"/>
    <cellStyle name="常规 2 3 2 13 2" xfId="1266"/>
    <cellStyle name="常规 2 3 2 14" xfId="1267"/>
    <cellStyle name="常规 2 3 2 14 2" xfId="1268"/>
    <cellStyle name="常规 2 3 2 15" xfId="1269"/>
    <cellStyle name="常规 2 3 2 2" xfId="1270"/>
    <cellStyle name="常规 2 3 2 2 2" xfId="1271"/>
    <cellStyle name="常规 2 3 2 3" xfId="1272"/>
    <cellStyle name="常规 2 3 2 3 2" xfId="1273"/>
    <cellStyle name="常规 2 3 2 4" xfId="1274"/>
    <cellStyle name="常规 2 3 2 4 2" xfId="1275"/>
    <cellStyle name="常规 2 3 2 5" xfId="1276"/>
    <cellStyle name="常规 2 3 2 5 2" xfId="1277"/>
    <cellStyle name="常规 2 3 2 6" xfId="1278"/>
    <cellStyle name="常规 2 3 2 6 2" xfId="1279"/>
    <cellStyle name="常规 2 3 2 7" xfId="1280"/>
    <cellStyle name="常规 2 3 2 7 2" xfId="1281"/>
    <cellStyle name="常规 2 3 2 8" xfId="1282"/>
    <cellStyle name="常规 2 3 2 8 2" xfId="1283"/>
    <cellStyle name="常规 2 3 2 9" xfId="1284"/>
    <cellStyle name="常规 2 3 2 9 2" xfId="1285"/>
    <cellStyle name="常规 2 3 3" xfId="1286"/>
    <cellStyle name="常规 2 3 3 2" xfId="1287"/>
    <cellStyle name="常规 2 3 4" xfId="1288"/>
    <cellStyle name="常规 2 3 4 2" xfId="1289"/>
    <cellStyle name="常规 2 3 5" xfId="1290"/>
    <cellStyle name="常规 2 3 5 2" xfId="1291"/>
    <cellStyle name="常规 2 3 6" xfId="1292"/>
    <cellStyle name="常规 2 3 6 2" xfId="1293"/>
    <cellStyle name="常规 2 3 7" xfId="1294"/>
    <cellStyle name="常规 2 3 7 2" xfId="1295"/>
    <cellStyle name="常规 2 3 8" xfId="1296"/>
    <cellStyle name="常规 2 3 8 2" xfId="1297"/>
    <cellStyle name="常规 2 3 9" xfId="1298"/>
    <cellStyle name="常规 2 3 9 2" xfId="1299"/>
    <cellStyle name="常规 2 4" xfId="1300"/>
    <cellStyle name="常规 2 4 10" xfId="1301"/>
    <cellStyle name="常规 2 4 10 2" xfId="1302"/>
    <cellStyle name="常规 2 4 11" xfId="1303"/>
    <cellStyle name="常规 2 4 11 2" xfId="1304"/>
    <cellStyle name="常规 2 4 12" xfId="1305"/>
    <cellStyle name="常规 2 4 12 2" xfId="1306"/>
    <cellStyle name="常规 2 4 13" xfId="1307"/>
    <cellStyle name="常规 2 4 13 2" xfId="1308"/>
    <cellStyle name="常规 2 4 14" xfId="1309"/>
    <cellStyle name="常规 2 4 14 2" xfId="1310"/>
    <cellStyle name="常规 2 4 15" xfId="1311"/>
    <cellStyle name="常规 2 4 15 2" xfId="1312"/>
    <cellStyle name="常规 2 4 16" xfId="1313"/>
    <cellStyle name="常规 2 4 2" xfId="1314"/>
    <cellStyle name="常规 2 4 2 10" xfId="1315"/>
    <cellStyle name="常规 2 4 2 10 2" xfId="1316"/>
    <cellStyle name="常规 2 4 2 11" xfId="1317"/>
    <cellStyle name="常规 2 4 2 11 2" xfId="1318"/>
    <cellStyle name="常规 2 4 2 12" xfId="1319"/>
    <cellStyle name="常规 2 4 2 12 2" xfId="1320"/>
    <cellStyle name="常规 2 4 2 13" xfId="1321"/>
    <cellStyle name="常规 2 4 2 13 2" xfId="1322"/>
    <cellStyle name="常规 2 4 2 14" xfId="1323"/>
    <cellStyle name="常规 2 4 2 14 2" xfId="1324"/>
    <cellStyle name="常规 2 4 2 15" xfId="1325"/>
    <cellStyle name="常规 2 4 2 2" xfId="1326"/>
    <cellStyle name="常规 2 4 2 2 2" xfId="1327"/>
    <cellStyle name="常规 2 4 2 3" xfId="1328"/>
    <cellStyle name="常规 2 4 2 3 2" xfId="1329"/>
    <cellStyle name="常规 2 4 2 4" xfId="1330"/>
    <cellStyle name="常规 2 4 2 4 2" xfId="1331"/>
    <cellStyle name="常规 2 4 2 5" xfId="1332"/>
    <cellStyle name="常规 2 4 2 5 2" xfId="1333"/>
    <cellStyle name="常规 2 4 2 6" xfId="1334"/>
    <cellStyle name="常规 2 4 2 6 2" xfId="1335"/>
    <cellStyle name="常规 2 4 2 7" xfId="1336"/>
    <cellStyle name="常规 2 4 2 7 2" xfId="1337"/>
    <cellStyle name="常规 2 4 2 8" xfId="1338"/>
    <cellStyle name="常规 2 4 2 8 2" xfId="1339"/>
    <cellStyle name="常规 2 4 2 9" xfId="1340"/>
    <cellStyle name="常规 2 4 2 9 2" xfId="1341"/>
    <cellStyle name="常规 2 4 3" xfId="1342"/>
    <cellStyle name="常规 2 4 3 2" xfId="1343"/>
    <cellStyle name="常规 2 4 4" xfId="1344"/>
    <cellStyle name="常规 2 4 4 2" xfId="1345"/>
    <cellStyle name="常规 2 4 5" xfId="1346"/>
    <cellStyle name="常规 2 4 5 2" xfId="1347"/>
    <cellStyle name="常规 2 4 6" xfId="1348"/>
    <cellStyle name="常规 2 4 6 2" xfId="1349"/>
    <cellStyle name="常规 2 4 7" xfId="1350"/>
    <cellStyle name="常规 2 4 7 2" xfId="1351"/>
    <cellStyle name="常规 2 4 8" xfId="1352"/>
    <cellStyle name="常规 2 4 8 2" xfId="1353"/>
    <cellStyle name="常规 2 4 9" xfId="1354"/>
    <cellStyle name="常规 2 4 9 2" xfId="1355"/>
    <cellStyle name="常规 2 5" xfId="1356"/>
    <cellStyle name="常规 2 5 10" xfId="1357"/>
    <cellStyle name="常规 2 5 10 2" xfId="1358"/>
    <cellStyle name="常规 2 5 11" xfId="1359"/>
    <cellStyle name="常规 2 5 11 2" xfId="1360"/>
    <cellStyle name="常规 2 5 12" xfId="1361"/>
    <cellStyle name="常规 2 5 12 2" xfId="1362"/>
    <cellStyle name="常规 2 5 13" xfId="1363"/>
    <cellStyle name="常规 2 5 13 2" xfId="1364"/>
    <cellStyle name="常规 2 5 14" xfId="1365"/>
    <cellStyle name="常规 2 5 14 2" xfId="1366"/>
    <cellStyle name="常规 2 5 15" xfId="1367"/>
    <cellStyle name="常规 2 5 15 2" xfId="1368"/>
    <cellStyle name="常规 2 5 16" xfId="1369"/>
    <cellStyle name="常规 2 5 2" xfId="1370"/>
    <cellStyle name="常规 2 5 2 10" xfId="1371"/>
    <cellStyle name="常规 2 5 2 10 2" xfId="1372"/>
    <cellStyle name="常规 2 5 2 11" xfId="1373"/>
    <cellStyle name="常规 2 5 2 11 2" xfId="1374"/>
    <cellStyle name="常规 2 5 2 12" xfId="1375"/>
    <cellStyle name="常规 2 5 2 12 2" xfId="1376"/>
    <cellStyle name="常规 2 5 2 13" xfId="1377"/>
    <cellStyle name="常规 2 5 2 13 2" xfId="1378"/>
    <cellStyle name="常规 2 5 2 14" xfId="1379"/>
    <cellStyle name="常规 2 5 2 14 2" xfId="1380"/>
    <cellStyle name="常规 2 5 2 15" xfId="1381"/>
    <cellStyle name="常规 2 5 2 2" xfId="1382"/>
    <cellStyle name="常规 2 5 2 2 2" xfId="1383"/>
    <cellStyle name="常规 2 5 2 3" xfId="1384"/>
    <cellStyle name="常规 2 5 2 3 2" xfId="1385"/>
    <cellStyle name="常规 2 5 2 4" xfId="1386"/>
    <cellStyle name="常规 2 5 2 4 2" xfId="1387"/>
    <cellStyle name="常规 2 5 2 5" xfId="1388"/>
    <cellStyle name="常规 2 5 2 5 2" xfId="1389"/>
    <cellStyle name="常规 2 5 2 6" xfId="1390"/>
    <cellStyle name="常规 2 5 2 6 2" xfId="1391"/>
    <cellStyle name="常规 2 5 2 7" xfId="1392"/>
    <cellStyle name="常规 2 5 2 7 2" xfId="1393"/>
    <cellStyle name="常规 2 5 2 8" xfId="1394"/>
    <cellStyle name="常规 2 5 2 8 2" xfId="1395"/>
    <cellStyle name="常规 2 5 2 9" xfId="1396"/>
    <cellStyle name="常规 2 5 2 9 2" xfId="1397"/>
    <cellStyle name="常规 2 5 3" xfId="1398"/>
    <cellStyle name="常规 2 5 3 2" xfId="1399"/>
    <cellStyle name="常规 2 5 4" xfId="1400"/>
    <cellStyle name="常规 2 5 4 2" xfId="1401"/>
    <cellStyle name="常规 2 5 5" xfId="1402"/>
    <cellStyle name="常规 2 5 5 2" xfId="1403"/>
    <cellStyle name="常规 2 5 6" xfId="1404"/>
    <cellStyle name="常规 2 5 6 2" xfId="1405"/>
    <cellStyle name="常规 2 5 7" xfId="1406"/>
    <cellStyle name="常规 2 5 7 2" xfId="1407"/>
    <cellStyle name="常规 2 5 8" xfId="1408"/>
    <cellStyle name="常规 2 5 8 2" xfId="1409"/>
    <cellStyle name="常规 2 5 9" xfId="1410"/>
    <cellStyle name="常规 2 5 9 2" xfId="1411"/>
    <cellStyle name="常规 2 6" xfId="1412"/>
    <cellStyle name="常规 2 6 10" xfId="1413"/>
    <cellStyle name="常规 2 6 10 2" xfId="1414"/>
    <cellStyle name="常规 2 6 11" xfId="1415"/>
    <cellStyle name="常规 2 6 11 2" xfId="1416"/>
    <cellStyle name="常规 2 6 12" xfId="1417"/>
    <cellStyle name="常规 2 6 12 2" xfId="1418"/>
    <cellStyle name="常规 2 6 13" xfId="1419"/>
    <cellStyle name="常规 2 6 13 2" xfId="1420"/>
    <cellStyle name="常规 2 6 14" xfId="1421"/>
    <cellStyle name="常规 2 6 14 2" xfId="1422"/>
    <cellStyle name="常规 2 6 15" xfId="1423"/>
    <cellStyle name="常规 2 6 15 2" xfId="1424"/>
    <cellStyle name="常规 2 6 16" xfId="1425"/>
    <cellStyle name="常规 2 6 2" xfId="1426"/>
    <cellStyle name="常规 2 6 2 10" xfId="1427"/>
    <cellStyle name="常规 2 6 2 10 2" xfId="1428"/>
    <cellStyle name="常规 2 6 2 11" xfId="1429"/>
    <cellStyle name="常规 2 6 2 11 2" xfId="1430"/>
    <cellStyle name="常规 2 6 2 12" xfId="1431"/>
    <cellStyle name="常规 2 6 2 12 2" xfId="1432"/>
    <cellStyle name="常规 2 6 2 13" xfId="1433"/>
    <cellStyle name="常规 2 6 2 13 2" xfId="1434"/>
    <cellStyle name="常规 2 6 2 14" xfId="1435"/>
    <cellStyle name="常规 2 6 2 14 2" xfId="1436"/>
    <cellStyle name="常规 2 6 2 15" xfId="1437"/>
    <cellStyle name="常规 2 6 2 2" xfId="1438"/>
    <cellStyle name="常规 2 6 2 2 2" xfId="1439"/>
    <cellStyle name="常规 2 6 2 3" xfId="1440"/>
    <cellStyle name="常规 2 6 2 3 2" xfId="1441"/>
    <cellStyle name="常规 2 6 2 4" xfId="1442"/>
    <cellStyle name="常规 2 6 2 4 2" xfId="1443"/>
    <cellStyle name="常规 2 6 2 5" xfId="1444"/>
    <cellStyle name="常规 2 6 2 5 2" xfId="1445"/>
    <cellStyle name="常规 2 6 2 6" xfId="1446"/>
    <cellStyle name="常规 2 6 2 6 2" xfId="1447"/>
    <cellStyle name="常规 2 6 2 7" xfId="1448"/>
    <cellStyle name="常规 2 6 2 7 2" xfId="1449"/>
    <cellStyle name="常规 2 6 2 8" xfId="1450"/>
    <cellStyle name="常规 2 6 2 8 2" xfId="1451"/>
    <cellStyle name="常规 2 6 2 9" xfId="1452"/>
    <cellStyle name="常规 2 6 2 9 2" xfId="1453"/>
    <cellStyle name="常规 2 6 3" xfId="1454"/>
    <cellStyle name="常规 2 6 3 2" xfId="1455"/>
    <cellStyle name="常规 2 6 4" xfId="1456"/>
    <cellStyle name="常规 2 6 4 2" xfId="1457"/>
    <cellStyle name="常规 2 6 5" xfId="1458"/>
    <cellStyle name="常规 2 6 5 2" xfId="1459"/>
    <cellStyle name="常规 2 6 6" xfId="1460"/>
    <cellStyle name="常规 2 6 6 2" xfId="1461"/>
    <cellStyle name="常规 2 6 7" xfId="1462"/>
    <cellStyle name="常规 2 6 7 2" xfId="1463"/>
    <cellStyle name="常规 2 6 8" xfId="1464"/>
    <cellStyle name="常规 2 6 8 2" xfId="1465"/>
    <cellStyle name="常规 2 6 9" xfId="1466"/>
    <cellStyle name="常规 2 6 9 2" xfId="1467"/>
    <cellStyle name="常规 2 7" xfId="1468"/>
    <cellStyle name="常规 2 7 10" xfId="1469"/>
    <cellStyle name="常规 2 7 10 2" xfId="1470"/>
    <cellStyle name="常规 2 7 11" xfId="1471"/>
    <cellStyle name="常规 2 7 11 2" xfId="1472"/>
    <cellStyle name="常规 2 7 12" xfId="1473"/>
    <cellStyle name="常规 2 7 12 2" xfId="1474"/>
    <cellStyle name="常规 2 7 13" xfId="1475"/>
    <cellStyle name="常规 2 7 13 2" xfId="1476"/>
    <cellStyle name="常规 2 7 14" xfId="1477"/>
    <cellStyle name="常规 2 7 14 2" xfId="1478"/>
    <cellStyle name="常规 2 7 15" xfId="1479"/>
    <cellStyle name="常规 2 7 15 2" xfId="1480"/>
    <cellStyle name="常规 2 7 16" xfId="1481"/>
    <cellStyle name="常规 2 7 2" xfId="1482"/>
    <cellStyle name="常规 2 7 2 10" xfId="1483"/>
    <cellStyle name="常规 2 7 2 10 2" xfId="1484"/>
    <cellStyle name="常规 2 7 2 11" xfId="1485"/>
    <cellStyle name="常规 2 7 2 11 2" xfId="1486"/>
    <cellStyle name="常规 2 7 2 12" xfId="1487"/>
    <cellStyle name="常规 2 7 2 12 2" xfId="1488"/>
    <cellStyle name="常规 2 7 2 13" xfId="1489"/>
    <cellStyle name="常规 2 7 2 13 2" xfId="1490"/>
    <cellStyle name="常规 2 7 2 14" xfId="1491"/>
    <cellStyle name="常规 2 7 2 14 2" xfId="1492"/>
    <cellStyle name="常规 2 7 2 15" xfId="1493"/>
    <cellStyle name="常规 2 7 2 2" xfId="1494"/>
    <cellStyle name="常规 2 7 2 2 2" xfId="1495"/>
    <cellStyle name="常规 2 7 2 3" xfId="1496"/>
    <cellStyle name="常规 2 7 2 3 2" xfId="1497"/>
    <cellStyle name="常规 2 7 2 4" xfId="1498"/>
    <cellStyle name="常规 2 7 2 4 2" xfId="1499"/>
    <cellStyle name="常规 2 7 2 5" xfId="1500"/>
    <cellStyle name="常规 2 7 2 5 2" xfId="1501"/>
    <cellStyle name="常规 2 7 2 6" xfId="1502"/>
    <cellStyle name="常规 2 7 2 6 2" xfId="1503"/>
    <cellStyle name="常规 2 7 2 7" xfId="1504"/>
    <cellStyle name="常规 2 7 2 7 2" xfId="1505"/>
    <cellStyle name="常规 2 7 2 8" xfId="1506"/>
    <cellStyle name="常规 2 7 2 8 2" xfId="1507"/>
    <cellStyle name="常规 2 7 2 9" xfId="1508"/>
    <cellStyle name="常规 2 7 2 9 2" xfId="1509"/>
    <cellStyle name="常规 2 7 3" xfId="1510"/>
    <cellStyle name="常规 2 7 3 2" xfId="1511"/>
    <cellStyle name="常规 2 7 4" xfId="1512"/>
    <cellStyle name="常规 2 7 4 2" xfId="1513"/>
    <cellStyle name="常规 2 7 5" xfId="1514"/>
    <cellStyle name="常规 2 7 5 2" xfId="1515"/>
    <cellStyle name="常规 2 7 6" xfId="1516"/>
    <cellStyle name="常规 2 7 6 2" xfId="1517"/>
    <cellStyle name="常规 2 7 7" xfId="1518"/>
    <cellStyle name="常规 2 7 7 2" xfId="1519"/>
    <cellStyle name="常规 2 7 8" xfId="1520"/>
    <cellStyle name="常规 2 7 8 2" xfId="1521"/>
    <cellStyle name="常规 2 7 9" xfId="1522"/>
    <cellStyle name="常规 2 7 9 2" xfId="1523"/>
    <cellStyle name="常规 2 8" xfId="1524"/>
    <cellStyle name="常规 2 8 10" xfId="1525"/>
    <cellStyle name="常规 2 8 10 2" xfId="1526"/>
    <cellStyle name="常规 2 8 11" xfId="1527"/>
    <cellStyle name="常规 2 8 11 2" xfId="1528"/>
    <cellStyle name="常规 2 8 12" xfId="1529"/>
    <cellStyle name="常规 2 8 12 2" xfId="1530"/>
    <cellStyle name="常规 2 8 13" xfId="1531"/>
    <cellStyle name="常规 2 8 13 2" xfId="1532"/>
    <cellStyle name="常规 2 8 14" xfId="1533"/>
    <cellStyle name="常规 2 8 14 2" xfId="1534"/>
    <cellStyle name="常规 2 8 15" xfId="1535"/>
    <cellStyle name="常规 2 8 15 2" xfId="1536"/>
    <cellStyle name="常规 2 8 16" xfId="1537"/>
    <cellStyle name="常规 2 8 2" xfId="1538"/>
    <cellStyle name="常规 2 8 2 10" xfId="1539"/>
    <cellStyle name="常规 2 8 2 10 2" xfId="1540"/>
    <cellStyle name="常规 2 8 2 11" xfId="1541"/>
    <cellStyle name="常规 2 8 2 11 2" xfId="1542"/>
    <cellStyle name="常规 2 8 2 12" xfId="1543"/>
    <cellStyle name="常规 2 8 2 12 2" xfId="1544"/>
    <cellStyle name="常规 2 8 2 13" xfId="1545"/>
    <cellStyle name="常规 2 8 2 13 2" xfId="1546"/>
    <cellStyle name="常规 2 8 2 14" xfId="1547"/>
    <cellStyle name="常规 2 8 2 14 2" xfId="1548"/>
    <cellStyle name="常规 2 8 2 15" xfId="1549"/>
    <cellStyle name="常规 2 8 2 2" xfId="1550"/>
    <cellStyle name="常规 2 8 2 2 2" xfId="1551"/>
    <cellStyle name="常规 2 8 2 3" xfId="1552"/>
    <cellStyle name="常规 2 8 2 3 2" xfId="1553"/>
    <cellStyle name="常规 2 8 2 4" xfId="1554"/>
    <cellStyle name="常规 2 8 2 4 2" xfId="1555"/>
    <cellStyle name="常规 2 8 2 5" xfId="1556"/>
    <cellStyle name="常规 2 8 2 5 2" xfId="1557"/>
    <cellStyle name="常规 2 8 2 6" xfId="1558"/>
    <cellStyle name="常规 2 8 2 6 2" xfId="1559"/>
    <cellStyle name="常规 2 8 2 7" xfId="1560"/>
    <cellStyle name="常规 2 8 2 7 2" xfId="1561"/>
    <cellStyle name="常规 2 8 2 8" xfId="1562"/>
    <cellStyle name="常规 2 8 2 8 2" xfId="1563"/>
    <cellStyle name="常规 2 8 2 9" xfId="1564"/>
    <cellStyle name="常规 2 8 2 9 2" xfId="1565"/>
    <cellStyle name="常规 2 8 3" xfId="1566"/>
    <cellStyle name="常规 2 8 3 2" xfId="1567"/>
    <cellStyle name="常规 2 8 4" xfId="1568"/>
    <cellStyle name="常规 2 8 4 2" xfId="1569"/>
    <cellStyle name="常规 2 8 5" xfId="1570"/>
    <cellStyle name="常规 2 8 5 2" xfId="1571"/>
    <cellStyle name="常规 2 8 6" xfId="1572"/>
    <cellStyle name="常规 2 8 6 2" xfId="1573"/>
    <cellStyle name="常规 2 8 7" xfId="1574"/>
    <cellStyle name="常规 2 8 7 2" xfId="1575"/>
    <cellStyle name="常规 2 8 8" xfId="1576"/>
    <cellStyle name="常规 2 8 8 2" xfId="1577"/>
    <cellStyle name="常规 2 8 9" xfId="1578"/>
    <cellStyle name="常规 2 8 9 2" xfId="1579"/>
    <cellStyle name="常规 2 9" xfId="1580"/>
    <cellStyle name="常规 2 9 10" xfId="1581"/>
    <cellStyle name="常规 2 9 10 2" xfId="1582"/>
    <cellStyle name="常规 2 9 11" xfId="1583"/>
    <cellStyle name="常规 2 9 11 2" xfId="1584"/>
    <cellStyle name="常规 2 9 12" xfId="1585"/>
    <cellStyle name="常规 2 9 12 2" xfId="1586"/>
    <cellStyle name="常规 2 9 13" xfId="1587"/>
    <cellStyle name="常规 2 9 13 2" xfId="1588"/>
    <cellStyle name="常规 2 9 14" xfId="1589"/>
    <cellStyle name="常规 2 9 14 2" xfId="1590"/>
    <cellStyle name="常规 2 9 15" xfId="1591"/>
    <cellStyle name="常规 2 9 15 2" xfId="1592"/>
    <cellStyle name="常规 2 9 16" xfId="1593"/>
    <cellStyle name="常规 2 9 2" xfId="1594"/>
    <cellStyle name="常规 2 9 2 10" xfId="1595"/>
    <cellStyle name="常规 2 9 2 10 2" xfId="1596"/>
    <cellStyle name="常规 2 9 2 11" xfId="1597"/>
    <cellStyle name="常规 2 9 2 11 2" xfId="1598"/>
    <cellStyle name="常规 2 9 2 12" xfId="1599"/>
    <cellStyle name="常规 2 9 2 12 2" xfId="1600"/>
    <cellStyle name="常规 2 9 2 13" xfId="1601"/>
    <cellStyle name="常规 2 9 2 13 2" xfId="1602"/>
    <cellStyle name="常规 2 9 2 14" xfId="1603"/>
    <cellStyle name="常规 2 9 2 14 2" xfId="1604"/>
    <cellStyle name="常规 2 9 2 15" xfId="1605"/>
    <cellStyle name="常规 2 9 2 2" xfId="1606"/>
    <cellStyle name="常规 2 9 2 2 2" xfId="1607"/>
    <cellStyle name="常规 2 9 2 3" xfId="1608"/>
    <cellStyle name="常规 2 9 2 3 2" xfId="1609"/>
    <cellStyle name="常规 2 9 2 4" xfId="1610"/>
    <cellStyle name="常规 2 9 2 4 2" xfId="1611"/>
    <cellStyle name="常规 2 9 2 5" xfId="1612"/>
    <cellStyle name="常规 2 9 2 5 2" xfId="1613"/>
    <cellStyle name="常规 2 9 2 6" xfId="1614"/>
    <cellStyle name="常规 2 9 2 6 2" xfId="1615"/>
    <cellStyle name="常规 2 9 2 7" xfId="1616"/>
    <cellStyle name="常规 2 9 2 7 2" xfId="1617"/>
    <cellStyle name="常规 2 9 2 8" xfId="1618"/>
    <cellStyle name="常规 2 9 2 8 2" xfId="1619"/>
    <cellStyle name="常规 2 9 2 9" xfId="1620"/>
    <cellStyle name="常规 2 9 2 9 2" xfId="1621"/>
    <cellStyle name="常规 2 9 3" xfId="1622"/>
    <cellStyle name="常规 2 9 3 2" xfId="1623"/>
    <cellStyle name="常规 2 9 4" xfId="1624"/>
    <cellStyle name="常规 2 9 4 2" xfId="1625"/>
    <cellStyle name="常规 2 9 5" xfId="1626"/>
    <cellStyle name="常规 2 9 5 2" xfId="1627"/>
    <cellStyle name="常规 2 9 6" xfId="1628"/>
    <cellStyle name="常规 2 9 6 2" xfId="1629"/>
    <cellStyle name="常规 2 9 7" xfId="1630"/>
    <cellStyle name="常规 2 9 7 2" xfId="1631"/>
    <cellStyle name="常规 2 9 8" xfId="1632"/>
    <cellStyle name="常规 2 9 8 2" xfId="1633"/>
    <cellStyle name="常规 2 9 9" xfId="1634"/>
    <cellStyle name="常规 2 9 9 2" xfId="1635"/>
    <cellStyle name="常规 20" xfId="1636"/>
    <cellStyle name="常规 21" xfId="1637"/>
    <cellStyle name="常规 21 2" xfId="1638"/>
    <cellStyle name="常规 21 3" xfId="1639"/>
    <cellStyle name="常规 22" xfId="1640"/>
    <cellStyle name="常规 22 2" xfId="1641"/>
    <cellStyle name="常规 22 3" xfId="1642"/>
    <cellStyle name="常规 23" xfId="1643"/>
    <cellStyle name="常规 24" xfId="1644"/>
    <cellStyle name="常规 25" xfId="1645"/>
    <cellStyle name="常规 26" xfId="1646"/>
    <cellStyle name="常规 27" xfId="1647"/>
    <cellStyle name="常规 28" xfId="1648"/>
    <cellStyle name="常规 29" xfId="1649"/>
    <cellStyle name="常规 3" xfId="1650"/>
    <cellStyle name="常规 3 10" xfId="1651"/>
    <cellStyle name="常规 3 11" xfId="1652"/>
    <cellStyle name="常规 3 12" xfId="1653"/>
    <cellStyle name="常规 3 13" xfId="1654"/>
    <cellStyle name="常规 3 14" xfId="1655"/>
    <cellStyle name="常规 3 15" xfId="1656"/>
    <cellStyle name="常规 3 2" xfId="1657"/>
    <cellStyle name="常规 3 2 2" xfId="1658"/>
    <cellStyle name="常规 3 2 3" xfId="1659"/>
    <cellStyle name="常规 3 3" xfId="1660"/>
    <cellStyle name="常规 3 3 2" xfId="1661"/>
    <cellStyle name="常规 3 3 3" xfId="1662"/>
    <cellStyle name="常规 3 4" xfId="1663"/>
    <cellStyle name="常规 3 4 2" xfId="1664"/>
    <cellStyle name="常规 3 4 3" xfId="1665"/>
    <cellStyle name="常规 3 5" xfId="1666"/>
    <cellStyle name="常规 3 5 2" xfId="1667"/>
    <cellStyle name="常规 3 5 3" xfId="1668"/>
    <cellStyle name="常规 3 6" xfId="1669"/>
    <cellStyle name="常规 3 6 2" xfId="1670"/>
    <cellStyle name="常规 3 6 3" xfId="1671"/>
    <cellStyle name="常规 3 7" xfId="1672"/>
    <cellStyle name="常规 3 7 2" xfId="1673"/>
    <cellStyle name="常规 3 7 3" xfId="1674"/>
    <cellStyle name="常规 3 8" xfId="1675"/>
    <cellStyle name="常规 3 9" xfId="1676"/>
    <cellStyle name="常规 30" xfId="1677"/>
    <cellStyle name="常规 31" xfId="1678"/>
    <cellStyle name="常规 32" xfId="1679"/>
    <cellStyle name="常规 33" xfId="1680"/>
    <cellStyle name="常规 34" xfId="1681"/>
    <cellStyle name="常规 35" xfId="1682"/>
    <cellStyle name="常规 36" xfId="1683"/>
    <cellStyle name="常规 37" xfId="1684"/>
    <cellStyle name="常规 38" xfId="1685"/>
    <cellStyle name="常规 39" xfId="1686"/>
    <cellStyle name="常规 4" xfId="1687"/>
    <cellStyle name="常规 4 10" xfId="1688"/>
    <cellStyle name="常规 4 11" xfId="1689"/>
    <cellStyle name="常规 4 12" xfId="1690"/>
    <cellStyle name="常规 4 13" xfId="1691"/>
    <cellStyle name="常规 4 2" xfId="1692"/>
    <cellStyle name="常规 4 2 2" xfId="1693"/>
    <cellStyle name="常规 4 2 3" xfId="1694"/>
    <cellStyle name="常规 4 3" xfId="1695"/>
    <cellStyle name="常规 4 3 2" xfId="1696"/>
    <cellStyle name="常规 4 3 3" xfId="1697"/>
    <cellStyle name="常规 4 4" xfId="1698"/>
    <cellStyle name="常规 4 4 2" xfId="1699"/>
    <cellStyle name="常规 4 4 3" xfId="1700"/>
    <cellStyle name="常规 4 5" xfId="1701"/>
    <cellStyle name="常规 4 5 2" xfId="1702"/>
    <cellStyle name="常规 4 5 3" xfId="1703"/>
    <cellStyle name="常规 4 6" xfId="1704"/>
    <cellStyle name="常规 4 6 2" xfId="1705"/>
    <cellStyle name="常规 4 6 3" xfId="1706"/>
    <cellStyle name="常规 4 7" xfId="1707"/>
    <cellStyle name="常规 4 7 2" xfId="1708"/>
    <cellStyle name="常规 4 7 3" xfId="1709"/>
    <cellStyle name="常规 4 8" xfId="1710"/>
    <cellStyle name="常规 4 9" xfId="1711"/>
    <cellStyle name="常规 40" xfId="1712"/>
    <cellStyle name="常规 41" xfId="1713"/>
    <cellStyle name="常规 42" xfId="1714"/>
    <cellStyle name="常规 43" xfId="1715"/>
    <cellStyle name="常规 45" xfId="1716"/>
    <cellStyle name="常规 46" xfId="1717"/>
    <cellStyle name="常规 47" xfId="1718"/>
    <cellStyle name="常规 48" xfId="1719"/>
    <cellStyle name="常规 49" xfId="1720"/>
    <cellStyle name="常规 5" xfId="1721"/>
    <cellStyle name="常规 5 10" xfId="1722"/>
    <cellStyle name="常规 5 11" xfId="1723"/>
    <cellStyle name="常规 5 12" xfId="1724"/>
    <cellStyle name="常规 5 13" xfId="1725"/>
    <cellStyle name="常规 5 14" xfId="1726"/>
    <cellStyle name="常规 5 15" xfId="1727"/>
    <cellStyle name="常规 5 2" xfId="1728"/>
    <cellStyle name="常规 5 3" xfId="1729"/>
    <cellStyle name="常规 5 4" xfId="1730"/>
    <cellStyle name="常规 5 5" xfId="1731"/>
    <cellStyle name="常规 5 6" xfId="1732"/>
    <cellStyle name="常规 5 7" xfId="1733"/>
    <cellStyle name="常规 5 8" xfId="1734"/>
    <cellStyle name="常规 5 9" xfId="1735"/>
    <cellStyle name="常规 50" xfId="1736"/>
    <cellStyle name="常规 51" xfId="1737"/>
    <cellStyle name="常规 52" xfId="1738"/>
    <cellStyle name="常规 6" xfId="1739"/>
    <cellStyle name="常规 6 10" xfId="1740"/>
    <cellStyle name="常规 6 11" xfId="1741"/>
    <cellStyle name="常规 6 12" xfId="1742"/>
    <cellStyle name="常规 6 13" xfId="1743"/>
    <cellStyle name="常规 6 13 10" xfId="1744"/>
    <cellStyle name="常规 6 13 10 2" xfId="1745"/>
    <cellStyle name="常规 6 13 11" xfId="1746"/>
    <cellStyle name="常规 6 13 11 2" xfId="1747"/>
    <cellStyle name="常规 6 13 12" xfId="1748"/>
    <cellStyle name="常规 6 13 12 2" xfId="1749"/>
    <cellStyle name="常规 6 13 13" xfId="1750"/>
    <cellStyle name="常规 6 13 13 2" xfId="1751"/>
    <cellStyle name="常规 6 13 14" xfId="1752"/>
    <cellStyle name="常规 6 13 14 2" xfId="1753"/>
    <cellStyle name="常规 6 13 15" xfId="1754"/>
    <cellStyle name="常规 6 13 2" xfId="1755"/>
    <cellStyle name="常规 6 13 2 2" xfId="1756"/>
    <cellStyle name="常规 6 13 3" xfId="1757"/>
    <cellStyle name="常规 6 13 3 2" xfId="1758"/>
    <cellStyle name="常规 6 13 4" xfId="1759"/>
    <cellStyle name="常规 6 13 4 2" xfId="1760"/>
    <cellStyle name="常规 6 13 5" xfId="1761"/>
    <cellStyle name="常规 6 13 5 2" xfId="1762"/>
    <cellStyle name="常规 6 13 6" xfId="1763"/>
    <cellStyle name="常规 6 13 6 2" xfId="1764"/>
    <cellStyle name="常规 6 13 7" xfId="1765"/>
    <cellStyle name="常规 6 13 7 2" xfId="1766"/>
    <cellStyle name="常规 6 13 8" xfId="1767"/>
    <cellStyle name="常规 6 13 8 2" xfId="1768"/>
    <cellStyle name="常规 6 13 9" xfId="1769"/>
    <cellStyle name="常规 6 13 9 2" xfId="1770"/>
    <cellStyle name="常规 6 14" xfId="1771"/>
    <cellStyle name="常规 6 14 10" xfId="1772"/>
    <cellStyle name="常规 6 14 10 2" xfId="1773"/>
    <cellStyle name="常规 6 14 11" xfId="1774"/>
    <cellStyle name="常规 6 14 11 2" xfId="1775"/>
    <cellStyle name="常规 6 14 12" xfId="1776"/>
    <cellStyle name="常规 6 14 12 2" xfId="1777"/>
    <cellStyle name="常规 6 14 13" xfId="1778"/>
    <cellStyle name="常规 6 14 13 2" xfId="1779"/>
    <cellStyle name="常规 6 14 14" xfId="1780"/>
    <cellStyle name="常规 6 14 14 2" xfId="1781"/>
    <cellStyle name="常规 6 14 15" xfId="1782"/>
    <cellStyle name="常规 6 14 2" xfId="1783"/>
    <cellStyle name="常规 6 14 2 2" xfId="1784"/>
    <cellStyle name="常规 6 14 3" xfId="1785"/>
    <cellStyle name="常规 6 14 3 2" xfId="1786"/>
    <cellStyle name="常规 6 14 4" xfId="1787"/>
    <cellStyle name="常规 6 14 4 2" xfId="1788"/>
    <cellStyle name="常规 6 14 5" xfId="1789"/>
    <cellStyle name="常规 6 14 5 2" xfId="1790"/>
    <cellStyle name="常规 6 14 6" xfId="1791"/>
    <cellStyle name="常规 6 14 6 2" xfId="1792"/>
    <cellStyle name="常规 6 14 7" xfId="1793"/>
    <cellStyle name="常规 6 14 7 2" xfId="1794"/>
    <cellStyle name="常规 6 14 8" xfId="1795"/>
    <cellStyle name="常规 6 14 8 2" xfId="1796"/>
    <cellStyle name="常规 6 14 9" xfId="1797"/>
    <cellStyle name="常规 6 14 9 2" xfId="1798"/>
    <cellStyle name="常规 6 15" xfId="1799"/>
    <cellStyle name="常规 6 15 10" xfId="1800"/>
    <cellStyle name="常规 6 15 10 2" xfId="1801"/>
    <cellStyle name="常规 6 15 11" xfId="1802"/>
    <cellStyle name="常规 6 15 11 2" xfId="1803"/>
    <cellStyle name="常规 6 15 12" xfId="1804"/>
    <cellStyle name="常规 6 15 12 2" xfId="1805"/>
    <cellStyle name="常规 6 15 13" xfId="1806"/>
    <cellStyle name="常规 6 15 13 2" xfId="1807"/>
    <cellStyle name="常规 6 15 14" xfId="1808"/>
    <cellStyle name="常规 6 15 14 2" xfId="1809"/>
    <cellStyle name="常规 6 15 15" xfId="1810"/>
    <cellStyle name="常规 6 15 2" xfId="1811"/>
    <cellStyle name="常规 6 15 2 2" xfId="1812"/>
    <cellStyle name="常规 6 15 3" xfId="1813"/>
    <cellStyle name="常规 6 15 3 2" xfId="1814"/>
    <cellStyle name="常规 6 15 4" xfId="1815"/>
    <cellStyle name="常规 6 15 4 2" xfId="1816"/>
    <cellStyle name="常规 6 15 5" xfId="1817"/>
    <cellStyle name="常规 6 15 5 2" xfId="1818"/>
    <cellStyle name="常规 6 15 6" xfId="1819"/>
    <cellStyle name="常规 6 15 6 2" xfId="1820"/>
    <cellStyle name="常规 6 15 7" xfId="1821"/>
    <cellStyle name="常规 6 15 7 2" xfId="1822"/>
    <cellStyle name="常规 6 15 8" xfId="1823"/>
    <cellStyle name="常规 6 15 8 2" xfId="1824"/>
    <cellStyle name="常规 6 15 9" xfId="1825"/>
    <cellStyle name="常规 6 15 9 2" xfId="1826"/>
    <cellStyle name="常规 6 16" xfId="1827"/>
    <cellStyle name="常规 6 16 10" xfId="1828"/>
    <cellStyle name="常规 6 16 10 2" xfId="1829"/>
    <cellStyle name="常规 6 16 11" xfId="1830"/>
    <cellStyle name="常规 6 16 11 2" xfId="1831"/>
    <cellStyle name="常规 6 16 12" xfId="1832"/>
    <cellStyle name="常规 6 16 12 2" xfId="1833"/>
    <cellStyle name="常规 6 16 13" xfId="1834"/>
    <cellStyle name="常规 6 16 13 2" xfId="1835"/>
    <cellStyle name="常规 6 16 14" xfId="1836"/>
    <cellStyle name="常规 6 16 14 2" xfId="1837"/>
    <cellStyle name="常规 6 16 15" xfId="1838"/>
    <cellStyle name="常规 6 16 2" xfId="1839"/>
    <cellStyle name="常规 6 16 2 2" xfId="1840"/>
    <cellStyle name="常规 6 16 3" xfId="1841"/>
    <cellStyle name="常规 6 16 3 2" xfId="1842"/>
    <cellStyle name="常规 6 16 4" xfId="1843"/>
    <cellStyle name="常规 6 16 4 2" xfId="1844"/>
    <cellStyle name="常规 6 16 5" xfId="1845"/>
    <cellStyle name="常规 6 16 5 2" xfId="1846"/>
    <cellStyle name="常规 6 16 6" xfId="1847"/>
    <cellStyle name="常规 6 16 6 2" xfId="1848"/>
    <cellStyle name="常规 6 16 7" xfId="1849"/>
    <cellStyle name="常规 6 16 7 2" xfId="1850"/>
    <cellStyle name="常规 6 16 8" xfId="1851"/>
    <cellStyle name="常规 6 16 8 2" xfId="1852"/>
    <cellStyle name="常规 6 16 9" xfId="1853"/>
    <cellStyle name="常规 6 16 9 2" xfId="1854"/>
    <cellStyle name="常规 6 17" xfId="1855"/>
    <cellStyle name="常规 6 17 10" xfId="1856"/>
    <cellStyle name="常规 6 17 10 2" xfId="1857"/>
    <cellStyle name="常规 6 17 11" xfId="1858"/>
    <cellStyle name="常规 6 17 11 2" xfId="1859"/>
    <cellStyle name="常规 6 17 12" xfId="1860"/>
    <cellStyle name="常规 6 17 12 2" xfId="1861"/>
    <cellStyle name="常规 6 17 13" xfId="1862"/>
    <cellStyle name="常规 6 17 13 2" xfId="1863"/>
    <cellStyle name="常规 6 17 14" xfId="1864"/>
    <cellStyle name="常规 6 17 14 2" xfId="1865"/>
    <cellStyle name="常规 6 17 15" xfId="1866"/>
    <cellStyle name="常规 6 17 2" xfId="1867"/>
    <cellStyle name="常规 6 17 2 2" xfId="1868"/>
    <cellStyle name="常规 6 17 3" xfId="1869"/>
    <cellStyle name="常规 6 17 3 2" xfId="1870"/>
    <cellStyle name="常规 6 17 4" xfId="1871"/>
    <cellStyle name="常规 6 17 4 2" xfId="1872"/>
    <cellStyle name="常规 6 17 5" xfId="1873"/>
    <cellStyle name="常规 6 17 5 2" xfId="1874"/>
    <cellStyle name="常规 6 17 6" xfId="1875"/>
    <cellStyle name="常规 6 17 6 2" xfId="1876"/>
    <cellStyle name="常规 6 17 7" xfId="1877"/>
    <cellStyle name="常规 6 17 7 2" xfId="1878"/>
    <cellStyle name="常规 6 17 8" xfId="1879"/>
    <cellStyle name="常规 6 17 8 2" xfId="1880"/>
    <cellStyle name="常规 6 17 9" xfId="1881"/>
    <cellStyle name="常规 6 17 9 2" xfId="1882"/>
    <cellStyle name="常规 6 18" xfId="1883"/>
    <cellStyle name="常规 6 19" xfId="1884"/>
    <cellStyle name="常规 6 2" xfId="1885"/>
    <cellStyle name="常规 6 2 10" xfId="1886"/>
    <cellStyle name="常规 6 2 10 2" xfId="1887"/>
    <cellStyle name="常规 6 2 11" xfId="1888"/>
    <cellStyle name="常规 6 2 11 2" xfId="1889"/>
    <cellStyle name="常规 6 2 12" xfId="1890"/>
    <cellStyle name="常规 6 2 12 2" xfId="1891"/>
    <cellStyle name="常规 6 2 13" xfId="1892"/>
    <cellStyle name="常规 6 2 13 2" xfId="1893"/>
    <cellStyle name="常规 6 2 14" xfId="1894"/>
    <cellStyle name="常规 6 2 14 2" xfId="1895"/>
    <cellStyle name="常规 6 2 15" xfId="1896"/>
    <cellStyle name="常规 6 2 15 2" xfId="1897"/>
    <cellStyle name="常规 6 2 16" xfId="1898"/>
    <cellStyle name="常规 6 2 16 2" xfId="1899"/>
    <cellStyle name="常规 6 2 17" xfId="1900"/>
    <cellStyle name="常规 6 2 17 2" xfId="1901"/>
    <cellStyle name="常规 6 2 18" xfId="1902"/>
    <cellStyle name="常规 6 2 18 2" xfId="1903"/>
    <cellStyle name="常规 6 2 19" xfId="1904"/>
    <cellStyle name="常规 6 2 19 2" xfId="1905"/>
    <cellStyle name="常规 6 2 2" xfId="1906"/>
    <cellStyle name="常规 6 2 20" xfId="1907"/>
    <cellStyle name="常规 6 2 3" xfId="1908"/>
    <cellStyle name="常规 6 2 4" xfId="1909"/>
    <cellStyle name="常规 6 2 5" xfId="1910"/>
    <cellStyle name="常规 6 2 6" xfId="1911"/>
    <cellStyle name="常规 6 2 7" xfId="1912"/>
    <cellStyle name="常规 6 2 7 2" xfId="1913"/>
    <cellStyle name="常规 6 2 8" xfId="1914"/>
    <cellStyle name="常规 6 2 8 2" xfId="1915"/>
    <cellStyle name="常规 6 2 9" xfId="1916"/>
    <cellStyle name="常规 6 2 9 2" xfId="1917"/>
    <cellStyle name="常规 6 3" xfId="1918"/>
    <cellStyle name="常规 6 4" xfId="1919"/>
    <cellStyle name="常规 6 5" xfId="1920"/>
    <cellStyle name="常规 6 6" xfId="1921"/>
    <cellStyle name="常规 6 7" xfId="1922"/>
    <cellStyle name="常规 6 8" xfId="1923"/>
    <cellStyle name="常规 6 9" xfId="1924"/>
    <cellStyle name="常规 64" xfId="1925"/>
    <cellStyle name="常规 7" xfId="1926"/>
    <cellStyle name="常规 7 2" xfId="1927"/>
    <cellStyle name="常规 7 2 10" xfId="1928"/>
    <cellStyle name="常规 7 2 10 2" xfId="1929"/>
    <cellStyle name="常规 7 2 11" xfId="1930"/>
    <cellStyle name="常规 7 2 11 2" xfId="1931"/>
    <cellStyle name="常规 7 2 12" xfId="1932"/>
    <cellStyle name="常规 7 2 12 2" xfId="1933"/>
    <cellStyle name="常规 7 2 13" xfId="1934"/>
    <cellStyle name="常规 7 2 13 2" xfId="1935"/>
    <cellStyle name="常规 7 2 14" xfId="1936"/>
    <cellStyle name="常规 7 2 14 2" xfId="1937"/>
    <cellStyle name="常规 7 2 15" xfId="1938"/>
    <cellStyle name="常规 7 2 2" xfId="1939"/>
    <cellStyle name="常规 7 2 2 2" xfId="1940"/>
    <cellStyle name="常规 7 2 3" xfId="1941"/>
    <cellStyle name="常规 7 2 3 2" xfId="1942"/>
    <cellStyle name="常规 7 2 4" xfId="1943"/>
    <cellStyle name="常规 7 2 4 2" xfId="1944"/>
    <cellStyle name="常规 7 2 5" xfId="1945"/>
    <cellStyle name="常规 7 2 5 2" xfId="1946"/>
    <cellStyle name="常规 7 2 6" xfId="1947"/>
    <cellStyle name="常规 7 2 6 2" xfId="1948"/>
    <cellStyle name="常规 7 2 7" xfId="1949"/>
    <cellStyle name="常规 7 2 7 2" xfId="1950"/>
    <cellStyle name="常规 7 2 8" xfId="1951"/>
    <cellStyle name="常规 7 2 8 2" xfId="1952"/>
    <cellStyle name="常规 7 2 9" xfId="1953"/>
    <cellStyle name="常规 7 2 9 2" xfId="1954"/>
    <cellStyle name="常规 7 3" xfId="1955"/>
    <cellStyle name="常规 7 3 10" xfId="1956"/>
    <cellStyle name="常规 7 3 10 2" xfId="1957"/>
    <cellStyle name="常规 7 3 11" xfId="1958"/>
    <cellStyle name="常规 7 3 11 2" xfId="1959"/>
    <cellStyle name="常规 7 3 12" xfId="1960"/>
    <cellStyle name="常规 7 3 12 2" xfId="1961"/>
    <cellStyle name="常规 7 3 13" xfId="1962"/>
    <cellStyle name="常规 7 3 13 2" xfId="1963"/>
    <cellStyle name="常规 7 3 14" xfId="1964"/>
    <cellStyle name="常规 7 3 14 2" xfId="1965"/>
    <cellStyle name="常规 7 3 15" xfId="1966"/>
    <cellStyle name="常规 7 3 2" xfId="1967"/>
    <cellStyle name="常规 7 3 2 2" xfId="1968"/>
    <cellStyle name="常规 7 3 3" xfId="1969"/>
    <cellStyle name="常规 7 3 3 2" xfId="1970"/>
    <cellStyle name="常规 7 3 4" xfId="1971"/>
    <cellStyle name="常规 7 3 4 2" xfId="1972"/>
    <cellStyle name="常规 7 3 5" xfId="1973"/>
    <cellStyle name="常规 7 3 5 2" xfId="1974"/>
    <cellStyle name="常规 7 3 6" xfId="1975"/>
    <cellStyle name="常规 7 3 6 2" xfId="1976"/>
    <cellStyle name="常规 7 3 7" xfId="1977"/>
    <cellStyle name="常规 7 3 7 2" xfId="1978"/>
    <cellStyle name="常规 7 3 8" xfId="1979"/>
    <cellStyle name="常规 7 3 8 2" xfId="1980"/>
    <cellStyle name="常规 7 3 9" xfId="1981"/>
    <cellStyle name="常规 7 3 9 2" xfId="1982"/>
    <cellStyle name="常规 7 4" xfId="1983"/>
    <cellStyle name="常规 7 4 10" xfId="1984"/>
    <cellStyle name="常规 7 4 10 2" xfId="1985"/>
    <cellStyle name="常规 7 4 11" xfId="1986"/>
    <cellStyle name="常规 7 4 11 2" xfId="1987"/>
    <cellStyle name="常规 7 4 12" xfId="1988"/>
    <cellStyle name="常规 7 4 12 2" xfId="1989"/>
    <cellStyle name="常规 7 4 13" xfId="1990"/>
    <cellStyle name="常规 7 4 13 2" xfId="1991"/>
    <cellStyle name="常规 7 4 14" xfId="1992"/>
    <cellStyle name="常规 7 4 14 2" xfId="1993"/>
    <cellStyle name="常规 7 4 15" xfId="1994"/>
    <cellStyle name="常规 7 4 2" xfId="1995"/>
    <cellStyle name="常规 7 4 2 2" xfId="1996"/>
    <cellStyle name="常规 7 4 3" xfId="1997"/>
    <cellStyle name="常规 7 4 3 2" xfId="1998"/>
    <cellStyle name="常规 7 4 4" xfId="1999"/>
    <cellStyle name="常规 7 4 4 2" xfId="2000"/>
    <cellStyle name="常规 7 4 5" xfId="2001"/>
    <cellStyle name="常规 7 4 5 2" xfId="2002"/>
    <cellStyle name="常规 7 4 6" xfId="2003"/>
    <cellStyle name="常规 7 4 6 2" xfId="2004"/>
    <cellStyle name="常规 7 4 7" xfId="2005"/>
    <cellStyle name="常规 7 4 7 2" xfId="2006"/>
    <cellStyle name="常规 7 4 8" xfId="2007"/>
    <cellStyle name="常规 7 4 8 2" xfId="2008"/>
    <cellStyle name="常规 7 4 9" xfId="2009"/>
    <cellStyle name="常规 7 4 9 2" xfId="2010"/>
    <cellStyle name="常规 7 5" xfId="2011"/>
    <cellStyle name="常规 7 5 10" xfId="2012"/>
    <cellStyle name="常规 7 5 10 2" xfId="2013"/>
    <cellStyle name="常规 7 5 11" xfId="2014"/>
    <cellStyle name="常规 7 5 11 2" xfId="2015"/>
    <cellStyle name="常规 7 5 12" xfId="2016"/>
    <cellStyle name="常规 7 5 12 2" xfId="2017"/>
    <cellStyle name="常规 7 5 13" xfId="2018"/>
    <cellStyle name="常规 7 5 13 2" xfId="2019"/>
    <cellStyle name="常规 7 5 14" xfId="2020"/>
    <cellStyle name="常规 7 5 14 2" xfId="2021"/>
    <cellStyle name="常规 7 5 15" xfId="2022"/>
    <cellStyle name="常规 7 5 2" xfId="2023"/>
    <cellStyle name="常规 7 5 2 2" xfId="2024"/>
    <cellStyle name="常规 7 5 3" xfId="2025"/>
    <cellStyle name="常规 7 5 3 2" xfId="2026"/>
    <cellStyle name="常规 7 5 4" xfId="2027"/>
    <cellStyle name="常规 7 5 4 2" xfId="2028"/>
    <cellStyle name="常规 7 5 5" xfId="2029"/>
    <cellStyle name="常规 7 5 5 2" xfId="2030"/>
    <cellStyle name="常规 7 5 6" xfId="2031"/>
    <cellStyle name="常规 7 5 6 2" xfId="2032"/>
    <cellStyle name="常规 7 5 7" xfId="2033"/>
    <cellStyle name="常规 7 5 7 2" xfId="2034"/>
    <cellStyle name="常规 7 5 8" xfId="2035"/>
    <cellStyle name="常规 7 5 8 2" xfId="2036"/>
    <cellStyle name="常规 7 5 9" xfId="2037"/>
    <cellStyle name="常规 7 5 9 2" xfId="2038"/>
    <cellStyle name="常规 7 6" xfId="2039"/>
    <cellStyle name="常规 7 6 10" xfId="2040"/>
    <cellStyle name="常规 7 6 10 2" xfId="2041"/>
    <cellStyle name="常规 7 6 11" xfId="2042"/>
    <cellStyle name="常规 7 6 11 2" xfId="2043"/>
    <cellStyle name="常规 7 6 12" xfId="2044"/>
    <cellStyle name="常规 7 6 12 2" xfId="2045"/>
    <cellStyle name="常规 7 6 13" xfId="2046"/>
    <cellStyle name="常规 7 6 13 2" xfId="2047"/>
    <cellStyle name="常规 7 6 14" xfId="2048"/>
    <cellStyle name="常规 7 6 14 2" xfId="2049"/>
    <cellStyle name="常规 7 6 15" xfId="2050"/>
    <cellStyle name="常规 7 6 2" xfId="2051"/>
    <cellStyle name="常规 7 6 2 2" xfId="2052"/>
    <cellStyle name="常规 7 6 3" xfId="2053"/>
    <cellStyle name="常规 7 6 3 2" xfId="2054"/>
    <cellStyle name="常规 7 6 4" xfId="2055"/>
    <cellStyle name="常规 7 6 4 2" xfId="2056"/>
    <cellStyle name="常规 7 6 5" xfId="2057"/>
    <cellStyle name="常规 7 6 5 2" xfId="2058"/>
    <cellStyle name="常规 7 6 6" xfId="2059"/>
    <cellStyle name="常规 7 6 6 2" xfId="2060"/>
    <cellStyle name="常规 7 6 7" xfId="2061"/>
    <cellStyle name="常规 7 6 7 2" xfId="2062"/>
    <cellStyle name="常规 7 6 8" xfId="2063"/>
    <cellStyle name="常规 7 6 8 2" xfId="2064"/>
    <cellStyle name="常规 7 6 9" xfId="2065"/>
    <cellStyle name="常规 7 6 9 2" xfId="2066"/>
    <cellStyle name="常规 7 7" xfId="2067"/>
    <cellStyle name="常规 7 8" xfId="2068"/>
    <cellStyle name="常规 8" xfId="2069"/>
    <cellStyle name="常规 9" xfId="2070"/>
    <cellStyle name="常规 9 2" xfId="2071"/>
    <cellStyle name="説明文" xfId="2694"/>
    <cellStyle name="説明文 2" xfId="2695"/>
    <cellStyle name="説明文 3" xfId="2696"/>
    <cellStyle name="説明文 3 2" xfId="2697"/>
    <cellStyle name="説明文 4" xfId="2698"/>
    <cellStyle name="説明文 4 2" xfId="2699"/>
    <cellStyle name="説明文 5" xfId="2700"/>
    <cellStyle name="쉼표 [0] 2" xfId="2072"/>
    <cellStyle name="쉼표 [0] 2 10" xfId="2073"/>
    <cellStyle name="쉼표 [0] 2 11" xfId="2074"/>
    <cellStyle name="쉼표 [0] 2 12" xfId="2075"/>
    <cellStyle name="쉼표 [0] 2 13" xfId="2076"/>
    <cellStyle name="쉼표 [0] 2 14" xfId="2077"/>
    <cellStyle name="쉼표 [0] 2 15" xfId="2078"/>
    <cellStyle name="쉼표 [0] 2 2" xfId="2079"/>
    <cellStyle name="쉼표 [0] 2 2 10" xfId="2080"/>
    <cellStyle name="쉼표 [0] 2 2 11" xfId="2081"/>
    <cellStyle name="쉼표 [0] 2 2 2" xfId="2082"/>
    <cellStyle name="쉼표 [0] 2 2 2 2" xfId="2083"/>
    <cellStyle name="쉼표 [0] 2 2 2 2 2" xfId="2084"/>
    <cellStyle name="쉼표 [0] 2 2 2 2 2 2" xfId="2085"/>
    <cellStyle name="쉼표 [0] 2 2 2 2 2 2 2" xfId="2086"/>
    <cellStyle name="쉼표 [0] 2 2 2 2 2 2 2 2" xfId="2087"/>
    <cellStyle name="쉼표 [0] 2 2 2 2 2 3" xfId="2088"/>
    <cellStyle name="쉼표 [0] 2 2 2 2 2 4" xfId="2089"/>
    <cellStyle name="쉼표 [0] 2 2 2 2 2 5" xfId="2090"/>
    <cellStyle name="쉼표 [0] 2 2 2 2 2 6" xfId="2091"/>
    <cellStyle name="쉼표 [0] 2 2 2 2 3" xfId="2092"/>
    <cellStyle name="쉼표 [0] 2 2 2 2 4" xfId="2093"/>
    <cellStyle name="쉼표 [0] 2 2 2 2 5" xfId="2094"/>
    <cellStyle name="쉼표 [0] 2 2 2 2 5 2" xfId="2095"/>
    <cellStyle name="쉼표 [0] 2 2 2 2 6" xfId="2096"/>
    <cellStyle name="쉼표 [0] 2 2 2 2 7" xfId="2097"/>
    <cellStyle name="쉼표 [0] 2 2 2 2 8" xfId="2098"/>
    <cellStyle name="쉼표 [0] 2 2 2 3" xfId="2099"/>
    <cellStyle name="쉼표 [0] 2 2 2 3 2" xfId="2100"/>
    <cellStyle name="쉼표 [0] 2 2 2 3 2 2" xfId="2101"/>
    <cellStyle name="쉼표 [0] 2 2 2 3 2 2 2" xfId="2102"/>
    <cellStyle name="쉼표 [0] 2 2 2 3 3" xfId="2103"/>
    <cellStyle name="쉼표 [0] 2 2 2 3 4" xfId="2104"/>
    <cellStyle name="쉼표 [0] 2 2 2 3 5" xfId="2105"/>
    <cellStyle name="쉼표 [0] 2 2 2 3 6" xfId="2106"/>
    <cellStyle name="쉼표 [0] 2 2 2 4" xfId="2107"/>
    <cellStyle name="쉼표 [0] 2 2 2 5" xfId="2108"/>
    <cellStyle name="쉼표 [0] 2 2 2 5 2" xfId="2109"/>
    <cellStyle name="쉼표 [0] 2 2 2 6" xfId="2110"/>
    <cellStyle name="쉼표 [0] 2 2 2 7" xfId="2111"/>
    <cellStyle name="쉼표 [0] 2 2 2 8" xfId="2112"/>
    <cellStyle name="쉼표 [0] 2 2 2 9" xfId="2113"/>
    <cellStyle name="쉼표 [0] 2 2 3" xfId="2114"/>
    <cellStyle name="쉼표 [0] 2 2 4" xfId="2115"/>
    <cellStyle name="쉼표 [0] 2 2 5" xfId="2116"/>
    <cellStyle name="쉼표 [0] 2 2 5 2" xfId="2117"/>
    <cellStyle name="쉼표 [0] 2 2 6" xfId="2118"/>
    <cellStyle name="쉼표 [0] 2 2 7" xfId="2119"/>
    <cellStyle name="쉼표 [0] 2 2 7 2" xfId="2120"/>
    <cellStyle name="쉼표 [0] 2 2 8" xfId="2121"/>
    <cellStyle name="쉼표 [0] 2 2 9" xfId="2122"/>
    <cellStyle name="쉼표 [0] 2 3" xfId="2123"/>
    <cellStyle name="쉼표 [0] 2 3 2" xfId="2124"/>
    <cellStyle name="쉼표 [0] 2 3 2 2" xfId="2125"/>
    <cellStyle name="쉼표 [0] 2 3 2 2 2" xfId="2126"/>
    <cellStyle name="쉼표 [0] 2 3 2 2 2 2" xfId="2127"/>
    <cellStyle name="쉼표 [0] 2 3 2 3" xfId="2128"/>
    <cellStyle name="쉼표 [0] 2 3 2 4" xfId="2129"/>
    <cellStyle name="쉼표 [0] 2 3 2 5" xfId="2130"/>
    <cellStyle name="쉼표 [0] 2 3 2 6" xfId="2131"/>
    <cellStyle name="쉼표 [0] 2 3 3" xfId="2132"/>
    <cellStyle name="쉼표 [0] 2 3 4" xfId="2133"/>
    <cellStyle name="쉼표 [0] 2 3 5" xfId="2134"/>
    <cellStyle name="쉼표 [0] 2 3 5 2" xfId="2135"/>
    <cellStyle name="쉼표 [0] 2 3 6" xfId="2136"/>
    <cellStyle name="쉼표 [0] 2 3 7" xfId="2137"/>
    <cellStyle name="쉼표 [0] 2 3 8" xfId="2138"/>
    <cellStyle name="쉼표 [0] 2 4" xfId="2139"/>
    <cellStyle name="쉼표 [0] 2 4 2" xfId="2140"/>
    <cellStyle name="쉼표 [0] 2 4 3" xfId="2141"/>
    <cellStyle name="쉼표 [0] 2 5" xfId="2142"/>
    <cellStyle name="쉼표 [0] 2 6" xfId="2143"/>
    <cellStyle name="쉼표 [0] 2 7" xfId="2144"/>
    <cellStyle name="쉼표 [0] 2 7 2" xfId="2145"/>
    <cellStyle name="쉼표 [0] 2 8" xfId="2146"/>
    <cellStyle name="쉼표 [0] 2 9" xfId="2147"/>
    <cellStyle name="쉼표 [0] 2 9 2" xfId="2148"/>
    <cellStyle name="쉼표 [0] 3" xfId="2149"/>
    <cellStyle name="쉼표 [0] 3 2" xfId="2150"/>
    <cellStyle name="쉼표 [0] 3 3" xfId="2151"/>
    <cellStyle name="쉼표 [0] 3 4" xfId="2152"/>
    <cellStyle name="쉼표 [0] 3 5" xfId="2153"/>
    <cellStyle name="쉼표 [0] 4" xfId="2154"/>
    <cellStyle name="쉼표 [0] 4 2" xfId="2155"/>
    <cellStyle name="쉼표 [0] 5" xfId="2156"/>
    <cellStyle name="쉼표 [0] 6" xfId="2157"/>
    <cellStyle name="쉼표 [0] 6 2" xfId="2158"/>
    <cellStyle name="쉼표 [0] 8" xfId="2159"/>
    <cellStyle name="悪い" xfId="2687"/>
    <cellStyle name="悪い 2" xfId="2688"/>
    <cellStyle name="悪い 3" xfId="2689"/>
    <cellStyle name="悪い 3 2" xfId="2690"/>
    <cellStyle name="悪い 4" xfId="2691"/>
    <cellStyle name="悪い 4 2" xfId="2692"/>
    <cellStyle name="悪い 5" xfId="2693"/>
    <cellStyle name="入力" xfId="2160"/>
    <cellStyle name="入力 2" xfId="2161"/>
    <cellStyle name="入力 3" xfId="2162"/>
    <cellStyle name="入力 3 2" xfId="2163"/>
    <cellStyle name="入力 3_11FW 판매분석 120506 (JIL MI)" xfId="2164"/>
    <cellStyle name="入力 4" xfId="2165"/>
    <cellStyle name="入力 4 2" xfId="2166"/>
    <cellStyle name="入力 4 3" xfId="2167"/>
    <cellStyle name="入力 4_11FW 판매분석 120506 (JIL MI)" xfId="2168"/>
    <cellStyle name="入力 5" xfId="2169"/>
    <cellStyle name="入力_11FW 판매분석 120506 (JIL MI)" xfId="2170"/>
    <cellStyle name="注释 2" xfId="2171"/>
    <cellStyle name="注释 3" xfId="2172"/>
    <cellStyle name="注释 4" xfId="2173"/>
    <cellStyle name="注释 5" xfId="2174"/>
    <cellStyle name="集計" xfId="2175"/>
    <cellStyle name="集計 2" xfId="2176"/>
    <cellStyle name="集計 3" xfId="2177"/>
    <cellStyle name="集計 3 2" xfId="2178"/>
    <cellStyle name="集計 4" xfId="2179"/>
    <cellStyle name="集計 4 2" xfId="2180"/>
    <cellStyle name="集計 4 3" xfId="2181"/>
    <cellStyle name="集計 5" xfId="2182"/>
    <cellStyle name="差 2" xfId="2183"/>
    <cellStyle name="差 2 2" xfId="2184"/>
    <cellStyle name="差 2 3" xfId="2185"/>
    <cellStyle name="差 2 4" xfId="2186"/>
    <cellStyle name="差 2 5" xfId="2187"/>
    <cellStyle name="差 2 6" xfId="2188"/>
    <cellStyle name="差 2 7" xfId="2189"/>
    <cellStyle name="差 3" xfId="2190"/>
    <cellStyle name="差 3 2" xfId="2191"/>
    <cellStyle name="差 3 3" xfId="2192"/>
    <cellStyle name="差 3 4" xfId="2193"/>
    <cellStyle name="差 3 5" xfId="2194"/>
    <cellStyle name="差 3 6" xfId="2195"/>
    <cellStyle name="差 3 7" xfId="2196"/>
    <cellStyle name="差 4" xfId="2197"/>
    <cellStyle name="差 4 2" xfId="2198"/>
    <cellStyle name="差 4 3" xfId="2199"/>
    <cellStyle name="差 4 4" xfId="2200"/>
    <cellStyle name="差 4 5" xfId="2201"/>
    <cellStyle name="差 4 6" xfId="2202"/>
    <cellStyle name="差 4 7" xfId="2203"/>
    <cellStyle name="差 5" xfId="2204"/>
    <cellStyle name="差 5 2" xfId="2205"/>
    <cellStyle name="差 5 3" xfId="2206"/>
    <cellStyle name="差 5 4" xfId="2207"/>
    <cellStyle name="差 5 5" xfId="2208"/>
    <cellStyle name="差 5 6" xfId="2209"/>
    <cellStyle name="差 5 7" xfId="2210"/>
    <cellStyle name="千位分隔[0] 13" xfId="2211"/>
    <cellStyle name="千位分隔[0] 4 2" xfId="2212"/>
    <cellStyle name="千位分隔[0] 6 2" xfId="2213"/>
    <cellStyle name="千位分隔[0] 7 2" xfId="2214"/>
    <cellStyle name="千位分隔[0] 9" xfId="2215"/>
    <cellStyle name="出力" xfId="2216"/>
    <cellStyle name="出力 2" xfId="2217"/>
    <cellStyle name="出力 3" xfId="2218"/>
    <cellStyle name="出力 3 2" xfId="2219"/>
    <cellStyle name="出力 3_11FW 판매분석 120506 (JIL MI)" xfId="2220"/>
    <cellStyle name="出力 4" xfId="2221"/>
    <cellStyle name="出力 4 2" xfId="2222"/>
    <cellStyle name="出力 4 3" xfId="2223"/>
    <cellStyle name="出力 4_11FW 판매분석 120506 (JIL MI)" xfId="2224"/>
    <cellStyle name="出力 5" xfId="2225"/>
    <cellStyle name="出力_11FW 판매분석 120506 (JIL MI)" xfId="2226"/>
    <cellStyle name="콤마 [0]_0509btn" xfId="2227"/>
    <cellStyle name="콤마_0509btn" xfId="2228"/>
    <cellStyle name="통화 [0] 2" xfId="2229"/>
    <cellStyle name="통화 [0] 2 2" xfId="2230"/>
    <cellStyle name="통화 [0] 2 2 2" xfId="2231"/>
    <cellStyle name="통화 [0] 2 3" xfId="2232"/>
    <cellStyle name="통화 [0] 2 4" xfId="2233"/>
    <cellStyle name="통화 [0] 3" xfId="2234"/>
    <cellStyle name="통화 [0] 3 2" xfId="2235"/>
    <cellStyle name="통화 [0] 3 3" xfId="2236"/>
    <cellStyle name="통화 [0] 3 4" xfId="2237"/>
    <cellStyle name="통화 [0] 4" xfId="2238"/>
    <cellStyle name="통화 [0] 4 2" xfId="2239"/>
    <cellStyle name="통화 [0] 4 2 2" xfId="2240"/>
    <cellStyle name="통화 [0] 4 2 2 2" xfId="2241"/>
    <cellStyle name="통화 [0] 4 2 2 2 2" xfId="2242"/>
    <cellStyle name="통화 [0] 4 2 2 2 2 2" xfId="2243"/>
    <cellStyle name="통화 [0] 4 2 2 3" xfId="2244"/>
    <cellStyle name="통화 [0] 4 2 2 4" xfId="2245"/>
    <cellStyle name="통화 [0] 4 2 2 5" xfId="2246"/>
    <cellStyle name="통화 [0] 4 2 2 6" xfId="2247"/>
    <cellStyle name="통화 [0] 4 2 3" xfId="2248"/>
    <cellStyle name="통화 [0] 4 2 4" xfId="2249"/>
    <cellStyle name="통화 [0] 4 2 5" xfId="2250"/>
    <cellStyle name="통화 [0] 4 2 5 2" xfId="2251"/>
    <cellStyle name="통화 [0] 4 2 6" xfId="2252"/>
    <cellStyle name="통화 [0] 4 2 7" xfId="2253"/>
    <cellStyle name="통화 [0] 4 2 8" xfId="2254"/>
    <cellStyle name="통화 [0] 4 3" xfId="2255"/>
    <cellStyle name="통화 [0] 4 4" xfId="2256"/>
    <cellStyle name="통화 [0] 4 4 2" xfId="2257"/>
    <cellStyle name="통화 [0] 4 5" xfId="2258"/>
    <cellStyle name="통화 [0] 4 6" xfId="2259"/>
    <cellStyle name="통화 [0] 4 6 2" xfId="2260"/>
    <cellStyle name="통화 [0] 4 7" xfId="2261"/>
    <cellStyle name="통화 [0] 4 8" xfId="2262"/>
    <cellStyle name="통화 [0] 4 9" xfId="2263"/>
    <cellStyle name="통화 [0] 5" xfId="2264"/>
    <cellStyle name="통화 [0] 6" xfId="2265"/>
    <cellStyle name="통화 [0] 6 2" xfId="2266"/>
    <cellStyle name="통화 [0] 7" xfId="2267"/>
    <cellStyle name="통화 [0] 7 2" xfId="2268"/>
    <cellStyle name="통화 [0] 8" xfId="2269"/>
    <cellStyle name="통화 [0] 9" xfId="2270"/>
    <cellStyle name="통화 2" xfId="2271"/>
    <cellStyle name="통화 2 2" xfId="2272"/>
    <cellStyle name="통화 3" xfId="2273"/>
    <cellStyle name="표준" xfId="0" builtinId="0"/>
    <cellStyle name="표준 10" xfId="2274"/>
    <cellStyle name="표준 10 2" xfId="2275"/>
    <cellStyle name="표준 100" xfId="2276"/>
    <cellStyle name="표준 101" xfId="2277"/>
    <cellStyle name="표준 102" xfId="2278"/>
    <cellStyle name="표준 103" xfId="2279"/>
    <cellStyle name="표준 104" xfId="2280"/>
    <cellStyle name="표준 105" xfId="2281"/>
    <cellStyle name="표준 106" xfId="2282"/>
    <cellStyle name="표준 107" xfId="2283"/>
    <cellStyle name="표준 108" xfId="2284"/>
    <cellStyle name="표준 109" xfId="2285"/>
    <cellStyle name="표준 11" xfId="2286"/>
    <cellStyle name="표준 11 10" xfId="2287"/>
    <cellStyle name="표준 11 2" xfId="2288"/>
    <cellStyle name="표준 11 2 10" xfId="2289"/>
    <cellStyle name="표준 11 2 2" xfId="2290"/>
    <cellStyle name="표준 11 2 2 2" xfId="2291"/>
    <cellStyle name="표준 11 2 2 2 2" xfId="2292"/>
    <cellStyle name="표준 11 2 2 2 2 2" xfId="2293"/>
    <cellStyle name="표준 11 2 2 2 2 2 2" xfId="2294"/>
    <cellStyle name="표준 11 2 2 2 3" xfId="2295"/>
    <cellStyle name="표준 11 2 2 2 4" xfId="2296"/>
    <cellStyle name="표준 11 2 2 2 5" xfId="2297"/>
    <cellStyle name="표준 11 2 2 2 6" xfId="2298"/>
    <cellStyle name="표준 11 2 2 3" xfId="2299"/>
    <cellStyle name="표준 11 2 2 4" xfId="2300"/>
    <cellStyle name="표준 11 2 2 5" xfId="2301"/>
    <cellStyle name="표준 11 2 2 5 2" xfId="2302"/>
    <cellStyle name="표준 11 2 2 6" xfId="2303"/>
    <cellStyle name="표준 11 2 2 7" xfId="2304"/>
    <cellStyle name="표준 11 2 2 8" xfId="2305"/>
    <cellStyle name="표준 11 2 3" xfId="2306"/>
    <cellStyle name="표준 11 2 3 2" xfId="2307"/>
    <cellStyle name="표준 11 2 3 2 2" xfId="2308"/>
    <cellStyle name="표준 11 2 3 2 2 2" xfId="2309"/>
    <cellStyle name="표준 11 2 3 3" xfId="2310"/>
    <cellStyle name="표준 11 2 3 4" xfId="2311"/>
    <cellStyle name="표준 11 2 3 5" xfId="2312"/>
    <cellStyle name="표준 11 2 3 6" xfId="2313"/>
    <cellStyle name="표준 11 2 4" xfId="2314"/>
    <cellStyle name="표준 11 2 5" xfId="2315"/>
    <cellStyle name="표준 11 2 5 2" xfId="2316"/>
    <cellStyle name="표준 11 2 6" xfId="2317"/>
    <cellStyle name="표준 11 2 7" xfId="2318"/>
    <cellStyle name="표준 11 2 8" xfId="2319"/>
    <cellStyle name="표준 11 2 9" xfId="2320"/>
    <cellStyle name="표준 11 3" xfId="2321"/>
    <cellStyle name="표준 11 3 2" xfId="2322"/>
    <cellStyle name="표준 11 4" xfId="2323"/>
    <cellStyle name="표준 11 4 2" xfId="2324"/>
    <cellStyle name="표준 11 4 3" xfId="2325"/>
    <cellStyle name="표준 11 5" xfId="2326"/>
    <cellStyle name="표준 11 5 2" xfId="2327"/>
    <cellStyle name="표준 11 5 3" xfId="2328"/>
    <cellStyle name="표준 11 6" xfId="2329"/>
    <cellStyle name="표준 11 6 2" xfId="2330"/>
    <cellStyle name="표준 11 7" xfId="2331"/>
    <cellStyle name="표준 11 8" xfId="2332"/>
    <cellStyle name="표준 11 9" xfId="2333"/>
    <cellStyle name="표준 110" xfId="2334"/>
    <cellStyle name="표준 111" xfId="2335"/>
    <cellStyle name="표준 112" xfId="2336"/>
    <cellStyle name="표준 113" xfId="2337"/>
    <cellStyle name="표준 114" xfId="2338"/>
    <cellStyle name="표준 115" xfId="2339"/>
    <cellStyle name="표준 116" xfId="2340"/>
    <cellStyle name="표준 117" xfId="2341"/>
    <cellStyle name="표준 118" xfId="2342"/>
    <cellStyle name="표준 119" xfId="2343"/>
    <cellStyle name="표준 12" xfId="2344"/>
    <cellStyle name="표준 12 2" xfId="2345"/>
    <cellStyle name="표준 120" xfId="2346"/>
    <cellStyle name="표준 121" xfId="2347"/>
    <cellStyle name="표준 122" xfId="2348"/>
    <cellStyle name="표준 123" xfId="2349"/>
    <cellStyle name="표준 124" xfId="2350"/>
    <cellStyle name="표준 125" xfId="2351"/>
    <cellStyle name="표준 126" xfId="2352"/>
    <cellStyle name="표준 127" xfId="2353"/>
    <cellStyle name="표준 13" xfId="2354"/>
    <cellStyle name="표준 13 2" xfId="2355"/>
    <cellStyle name="표준 14" xfId="2356"/>
    <cellStyle name="표준 14 2" xfId="2357"/>
    <cellStyle name="표준 15" xfId="2358"/>
    <cellStyle name="표준 15 2" xfId="2359"/>
    <cellStyle name="표준 16" xfId="2360"/>
    <cellStyle name="표준 16 2" xfId="2361"/>
    <cellStyle name="표준 17" xfId="2362"/>
    <cellStyle name="표준 17 2" xfId="2363"/>
    <cellStyle name="표준 18" xfId="2364"/>
    <cellStyle name="표준 18 2" xfId="2365"/>
    <cellStyle name="표준 19" xfId="2366"/>
    <cellStyle name="표준 19 2" xfId="2367"/>
    <cellStyle name="표준 2" xfId="1"/>
    <cellStyle name="標準 2" xfId="2368"/>
    <cellStyle name="표준 2 10" xfId="2369"/>
    <cellStyle name="표준 2 100" xfId="2370"/>
    <cellStyle name="표준 2 101" xfId="2371"/>
    <cellStyle name="표준 2 102" xfId="2372"/>
    <cellStyle name="표준 2 103" xfId="2373"/>
    <cellStyle name="표준 2 104" xfId="2374"/>
    <cellStyle name="표준 2 105" xfId="2375"/>
    <cellStyle name="표준 2 106" xfId="2376"/>
    <cellStyle name="표준 2 107" xfId="2377"/>
    <cellStyle name="표준 2 108" xfId="2378"/>
    <cellStyle name="표준 2 109" xfId="2379"/>
    <cellStyle name="표준 2 11" xfId="2380"/>
    <cellStyle name="표준 2 110" xfId="2381"/>
    <cellStyle name="표준 2 111" xfId="2382"/>
    <cellStyle name="표준 2 112" xfId="2383"/>
    <cellStyle name="표준 2 113" xfId="2384"/>
    <cellStyle name="표준 2 114" xfId="2385"/>
    <cellStyle name="표준 2 115" xfId="2386"/>
    <cellStyle name="표준 2 116" xfId="2387"/>
    <cellStyle name="표준 2 117" xfId="2388"/>
    <cellStyle name="표준 2 118" xfId="2389"/>
    <cellStyle name="표준 2 119" xfId="2390"/>
    <cellStyle name="표준 2 12" xfId="2391"/>
    <cellStyle name="표준 2 120" xfId="2392"/>
    <cellStyle name="표준 2 121" xfId="2393"/>
    <cellStyle name="표준 2 122" xfId="2394"/>
    <cellStyle name="표준 2 123" xfId="2395"/>
    <cellStyle name="표준 2 124" xfId="2396"/>
    <cellStyle name="표준 2 125" xfId="2397"/>
    <cellStyle name="표준 2 126" xfId="2398"/>
    <cellStyle name="표준 2 127" xfId="2399"/>
    <cellStyle name="표준 2 128" xfId="2400"/>
    <cellStyle name="표준 2 129" xfId="2401"/>
    <cellStyle name="표준 2 13" xfId="2402"/>
    <cellStyle name="표준 2 130" xfId="2403"/>
    <cellStyle name="표준 2 14" xfId="2404"/>
    <cellStyle name="표준 2 15" xfId="2405"/>
    <cellStyle name="표준 2 16" xfId="2406"/>
    <cellStyle name="표준 2 17" xfId="2407"/>
    <cellStyle name="표준 2 18" xfId="2408"/>
    <cellStyle name="표준 2 19" xfId="2409"/>
    <cellStyle name="표준 2 2" xfId="2410"/>
    <cellStyle name="표준 2 2 2" xfId="2411"/>
    <cellStyle name="표준 2 2 2 2" xfId="2412"/>
    <cellStyle name="표준 2 2 3" xfId="2413"/>
    <cellStyle name="표준 2 2 4" xfId="2414"/>
    <cellStyle name="표준 2 2 4 2" xfId="2415"/>
    <cellStyle name="표준 2 2 5" xfId="2416"/>
    <cellStyle name="표준 2 2 6" xfId="2417"/>
    <cellStyle name="표준 2 2 7" xfId="2418"/>
    <cellStyle name="표준 2 2 8" xfId="2419"/>
    <cellStyle name="표준 2 20" xfId="2420"/>
    <cellStyle name="표준 2 21" xfId="2421"/>
    <cellStyle name="표준 2 22" xfId="2422"/>
    <cellStyle name="표준 2 23" xfId="2423"/>
    <cellStyle name="표준 2 24" xfId="2424"/>
    <cellStyle name="표준 2 25" xfId="2425"/>
    <cellStyle name="표준 2 26" xfId="2426"/>
    <cellStyle name="표준 2 27" xfId="2427"/>
    <cellStyle name="표준 2 28" xfId="2428"/>
    <cellStyle name="표준 2 29" xfId="2429"/>
    <cellStyle name="표준 2 3" xfId="2430"/>
    <cellStyle name="표준 2 30" xfId="2431"/>
    <cellStyle name="표준 2 31" xfId="2432"/>
    <cellStyle name="표준 2 32" xfId="2433"/>
    <cellStyle name="표준 2 33" xfId="2434"/>
    <cellStyle name="표준 2 34" xfId="2435"/>
    <cellStyle name="표준 2 35" xfId="2436"/>
    <cellStyle name="표준 2 36" xfId="2437"/>
    <cellStyle name="표준 2 37" xfId="2438"/>
    <cellStyle name="표준 2 38" xfId="2439"/>
    <cellStyle name="표준 2 39" xfId="2440"/>
    <cellStyle name="표준 2 4" xfId="2441"/>
    <cellStyle name="표준 2 4 2" xfId="2442"/>
    <cellStyle name="표준 2 40" xfId="2443"/>
    <cellStyle name="표준 2 41" xfId="2444"/>
    <cellStyle name="표준 2 42" xfId="2445"/>
    <cellStyle name="표준 2 43" xfId="2446"/>
    <cellStyle name="표준 2 44" xfId="2447"/>
    <cellStyle name="표준 2 45" xfId="2448"/>
    <cellStyle name="표준 2 46" xfId="2449"/>
    <cellStyle name="표준 2 47" xfId="2450"/>
    <cellStyle name="표준 2 48" xfId="2451"/>
    <cellStyle name="표준 2 49" xfId="2452"/>
    <cellStyle name="표준 2 49 2" xfId="2453"/>
    <cellStyle name="표준 2 5" xfId="2454"/>
    <cellStyle name="표준 2 50" xfId="2455"/>
    <cellStyle name="표준 2 51" xfId="2456"/>
    <cellStyle name="표준 2 52" xfId="2457"/>
    <cellStyle name="표준 2 53" xfId="2458"/>
    <cellStyle name="표준 2 54" xfId="2459"/>
    <cellStyle name="표준 2 55" xfId="2460"/>
    <cellStyle name="표준 2 56" xfId="2461"/>
    <cellStyle name="표준 2 57" xfId="2462"/>
    <cellStyle name="표준 2 58" xfId="2463"/>
    <cellStyle name="표준 2 59" xfId="2464"/>
    <cellStyle name="표준 2 6" xfId="2465"/>
    <cellStyle name="표준 2 60" xfId="2466"/>
    <cellStyle name="표준 2 61" xfId="2467"/>
    <cellStyle name="표준 2 62" xfId="2468"/>
    <cellStyle name="표준 2 63" xfId="2469"/>
    <cellStyle name="표준 2 64" xfId="2470"/>
    <cellStyle name="표준 2 65" xfId="2471"/>
    <cellStyle name="표준 2 66" xfId="2472"/>
    <cellStyle name="표준 2 67" xfId="2473"/>
    <cellStyle name="표준 2 68" xfId="2474"/>
    <cellStyle name="표준 2 69" xfId="2475"/>
    <cellStyle name="표준 2 7" xfId="2476"/>
    <cellStyle name="표준 2 70" xfId="2477"/>
    <cellStyle name="표준 2 71" xfId="2478"/>
    <cellStyle name="표준 2 72" xfId="2479"/>
    <cellStyle name="표준 2 73" xfId="2480"/>
    <cellStyle name="표준 2 74" xfId="2481"/>
    <cellStyle name="표준 2 75" xfId="2482"/>
    <cellStyle name="표준 2 75 2" xfId="2483"/>
    <cellStyle name="표준 2 75 2 2" xfId="2484"/>
    <cellStyle name="표준 2 75 2 2 2" xfId="2485"/>
    <cellStyle name="표준 2 75 2 2 2 2" xfId="2486"/>
    <cellStyle name="표준 2 75 2 2 2 2 2" xfId="2487"/>
    <cellStyle name="표준 2 75 2 2 3" xfId="2488"/>
    <cellStyle name="표준 2 75 2 2 4" xfId="2489"/>
    <cellStyle name="표준 2 75 2 2 5" xfId="2490"/>
    <cellStyle name="표준 2 75 2 2 6" xfId="2491"/>
    <cellStyle name="표준 2 75 2 3" xfId="2492"/>
    <cellStyle name="표준 2 75 2 4" xfId="2493"/>
    <cellStyle name="표준 2 75 2 5" xfId="2494"/>
    <cellStyle name="표준 2 75 2 5 2" xfId="2495"/>
    <cellStyle name="표준 2 75 2 6" xfId="2496"/>
    <cellStyle name="표준 2 75 2 7" xfId="2497"/>
    <cellStyle name="표준 2 75 2 8" xfId="2498"/>
    <cellStyle name="표준 2 75 3" xfId="2499"/>
    <cellStyle name="표준 2 75 4" xfId="2500"/>
    <cellStyle name="표준 2 75 4 2" xfId="2501"/>
    <cellStyle name="표준 2 75 5" xfId="2502"/>
    <cellStyle name="표준 2 75 6" xfId="2503"/>
    <cellStyle name="표준 2 75 6 2" xfId="2504"/>
    <cellStyle name="표준 2 75 7" xfId="2505"/>
    <cellStyle name="표준 2 75 8" xfId="2506"/>
    <cellStyle name="표준 2 75 9" xfId="2507"/>
    <cellStyle name="표준 2 76" xfId="2508"/>
    <cellStyle name="표준 2 77" xfId="2509"/>
    <cellStyle name="표준 2 78" xfId="2510"/>
    <cellStyle name="표준 2 79" xfId="2511"/>
    <cellStyle name="표준 2 8" xfId="2512"/>
    <cellStyle name="표준 2 80" xfId="2513"/>
    <cellStyle name="표준 2 81" xfId="2514"/>
    <cellStyle name="표준 2 82" xfId="2515"/>
    <cellStyle name="표준 2 83" xfId="2516"/>
    <cellStyle name="표준 2 84" xfId="2517"/>
    <cellStyle name="표준 2 85" xfId="2518"/>
    <cellStyle name="표준 2 86" xfId="2519"/>
    <cellStyle name="표준 2 87" xfId="2520"/>
    <cellStyle name="표준 2 88" xfId="2521"/>
    <cellStyle name="표준 2 89" xfId="2522"/>
    <cellStyle name="표준 2 9" xfId="2523"/>
    <cellStyle name="표준 2 90" xfId="2524"/>
    <cellStyle name="표준 2 91" xfId="2525"/>
    <cellStyle name="표준 2 92" xfId="2526"/>
    <cellStyle name="표준 2 93" xfId="2527"/>
    <cellStyle name="표준 2 94" xfId="2528"/>
    <cellStyle name="표준 2 95" xfId="2529"/>
    <cellStyle name="표준 2 96" xfId="2530"/>
    <cellStyle name="표준 2 97" xfId="2531"/>
    <cellStyle name="표준 2 98" xfId="2532"/>
    <cellStyle name="표준 2 99" xfId="2533"/>
    <cellStyle name="표준 20" xfId="2534"/>
    <cellStyle name="표준 20 10" xfId="2535"/>
    <cellStyle name="표준 20 2" xfId="2536"/>
    <cellStyle name="표준 20 2 10" xfId="2537"/>
    <cellStyle name="표준 20 2 2" xfId="2538"/>
    <cellStyle name="표준 20 2 2 2" xfId="2539"/>
    <cellStyle name="표준 20 2 2 2 2" xfId="2540"/>
    <cellStyle name="표준 20 3" xfId="2541"/>
    <cellStyle name="표준 20 4" xfId="2542"/>
    <cellStyle name="표준 20 5" xfId="2543"/>
    <cellStyle name="표준 20 5 2" xfId="2544"/>
    <cellStyle name="표준 20 5 3" xfId="2545"/>
    <cellStyle name="표준 20 6" xfId="2546"/>
    <cellStyle name="표준 21" xfId="2547"/>
    <cellStyle name="표준 22" xfId="2548"/>
    <cellStyle name="표준 23" xfId="2549"/>
    <cellStyle name="표준 24" xfId="2550"/>
    <cellStyle name="표준 25" xfId="2551"/>
    <cellStyle name="표준 26" xfId="2552"/>
    <cellStyle name="표준 27" xfId="2553"/>
    <cellStyle name="표준 28" xfId="2554"/>
    <cellStyle name="표준 29" xfId="2555"/>
    <cellStyle name="표준 3" xfId="2556"/>
    <cellStyle name="표준 3 10" xfId="2557"/>
    <cellStyle name="표준 3 11" xfId="2558"/>
    <cellStyle name="표준 3 12" xfId="2559"/>
    <cellStyle name="표준 3 13" xfId="2560"/>
    <cellStyle name="표준 3 14" xfId="2561"/>
    <cellStyle name="표준 3 15" xfId="2562"/>
    <cellStyle name="표준 3 16" xfId="2563"/>
    <cellStyle name="표준 3 17" xfId="2564"/>
    <cellStyle name="표준 3 18" xfId="2565"/>
    <cellStyle name="표준 3 19" xfId="2566"/>
    <cellStyle name="표준 3 2" xfId="2567"/>
    <cellStyle name="표준 3 20" xfId="2568"/>
    <cellStyle name="표준 3 21" xfId="2569"/>
    <cellStyle name="표준 3 22" xfId="2570"/>
    <cellStyle name="표준 3 23" xfId="2571"/>
    <cellStyle name="표준 3 24" xfId="2572"/>
    <cellStyle name="표준 3 25" xfId="2573"/>
    <cellStyle name="표준 3 26" xfId="2574"/>
    <cellStyle name="표준 3 27" xfId="2575"/>
    <cellStyle name="표준 3 28" xfId="2576"/>
    <cellStyle name="표준 3 29" xfId="2577"/>
    <cellStyle name="표준 3 3" xfId="2578"/>
    <cellStyle name="표준 3 30" xfId="2579"/>
    <cellStyle name="표준 3 31" xfId="2580"/>
    <cellStyle name="표준 3 32" xfId="2581"/>
    <cellStyle name="표준 3 33" xfId="2582"/>
    <cellStyle name="표준 3 34" xfId="2583"/>
    <cellStyle name="표준 3 35" xfId="2584"/>
    <cellStyle name="표준 3 36" xfId="2585"/>
    <cellStyle name="표준 3 37" xfId="2586"/>
    <cellStyle name="표준 3 38" xfId="2587"/>
    <cellStyle name="표준 3 39" xfId="2588"/>
    <cellStyle name="표준 3 4" xfId="2589"/>
    <cellStyle name="표준 3 40" xfId="2590"/>
    <cellStyle name="표준 3 41" xfId="2591"/>
    <cellStyle name="표준 3 42" xfId="2592"/>
    <cellStyle name="표준 3 43" xfId="2593"/>
    <cellStyle name="표준 3 44" xfId="2594"/>
    <cellStyle name="표준 3 45" xfId="2595"/>
    <cellStyle name="표준 3 46" xfId="2596"/>
    <cellStyle name="표준 3 47" xfId="2597"/>
    <cellStyle name="표준 3 48" xfId="2598"/>
    <cellStyle name="표준 3 49" xfId="2599"/>
    <cellStyle name="표준 3 5" xfId="2600"/>
    <cellStyle name="표준 3 50" xfId="2601"/>
    <cellStyle name="표준 3 51" xfId="2602"/>
    <cellStyle name="표준 3 52" xfId="2603"/>
    <cellStyle name="표준 3 53" xfId="2604"/>
    <cellStyle name="표준 3 54" xfId="2605"/>
    <cellStyle name="표준 3 55" xfId="2606"/>
    <cellStyle name="표준 3 55 2" xfId="2607"/>
    <cellStyle name="표준 3 55 3" xfId="2608"/>
    <cellStyle name="표준 3 56" xfId="2609"/>
    <cellStyle name="표준 3 6" xfId="2610"/>
    <cellStyle name="표준 3 7" xfId="2611"/>
    <cellStyle name="표준 3 8" xfId="2612"/>
    <cellStyle name="표준 3 9" xfId="2613"/>
    <cellStyle name="표준 30" xfId="2614"/>
    <cellStyle name="표준 31" xfId="2615"/>
    <cellStyle name="표준 32" xfId="2616"/>
    <cellStyle name="표준 33" xfId="2617"/>
    <cellStyle name="표준 34" xfId="2618"/>
    <cellStyle name="표준 35" xfId="2619"/>
    <cellStyle name="표준 36" xfId="2620"/>
    <cellStyle name="표준 37" xfId="2621"/>
    <cellStyle name="표준 38" xfId="2622"/>
    <cellStyle name="표준 39" xfId="2623"/>
    <cellStyle name="표준 4" xfId="2624"/>
    <cellStyle name="표준 40" xfId="2625"/>
    <cellStyle name="표준 41" xfId="2626"/>
    <cellStyle name="표준 42" xfId="2627"/>
    <cellStyle name="표준 43" xfId="2628"/>
    <cellStyle name="표준 44" xfId="2629"/>
    <cellStyle name="표준 45" xfId="2630"/>
    <cellStyle name="표준 46" xfId="2631"/>
    <cellStyle name="표준 47" xfId="2632"/>
    <cellStyle name="표준 48" xfId="2633"/>
    <cellStyle name="표준 49" xfId="2634"/>
    <cellStyle name="표준 5" xfId="2635"/>
    <cellStyle name="표준 5 2" xfId="2636"/>
    <cellStyle name="표준 50" xfId="2637"/>
    <cellStyle name="표준 51" xfId="2638"/>
    <cellStyle name="표준 52" xfId="2639"/>
    <cellStyle name="표준 53" xfId="2640"/>
    <cellStyle name="표준 54" xfId="2641"/>
    <cellStyle name="표준 55" xfId="2642"/>
    <cellStyle name="표준 56" xfId="2643"/>
    <cellStyle name="표준 57" xfId="2644"/>
    <cellStyle name="표준 58" xfId="2645"/>
    <cellStyle name="표준 59" xfId="2646"/>
    <cellStyle name="표준 6" xfId="2647"/>
    <cellStyle name="표준 60" xfId="2648"/>
    <cellStyle name="표준 61" xfId="2649"/>
    <cellStyle name="표준 62" xfId="2650"/>
    <cellStyle name="표준 63" xfId="2651"/>
    <cellStyle name="표준 64" xfId="2652"/>
    <cellStyle name="표준 65" xfId="2653"/>
    <cellStyle name="표준 66" xfId="2654"/>
    <cellStyle name="표준 67" xfId="2655"/>
    <cellStyle name="표준 68" xfId="2656"/>
    <cellStyle name="표준 69" xfId="2657"/>
    <cellStyle name="표준 69 2" xfId="2658"/>
    <cellStyle name="표준 69 3" xfId="2659"/>
    <cellStyle name="표준 69 4" xfId="2660"/>
    <cellStyle name="표준 69 5" xfId="2661"/>
    <cellStyle name="표준 69 5 2" xfId="2662"/>
    <cellStyle name="표준 69 5 3" xfId="2663"/>
    <cellStyle name="표준 69 6" xfId="2664"/>
    <cellStyle name="표준 7" xfId="2665"/>
    <cellStyle name="표준 7 2" xfId="2666"/>
    <cellStyle name="표준 7 2 2" xfId="2667"/>
    <cellStyle name="표준 7 2 3" xfId="2668"/>
    <cellStyle name="표준 7 2 4" xfId="2669"/>
    <cellStyle name="표준 7 2 4 2" xfId="2670"/>
    <cellStyle name="표준 7 2 5" xfId="2671"/>
    <cellStyle name="표준 70" xfId="2672"/>
    <cellStyle name="표준 70 2" xfId="2673"/>
    <cellStyle name="표준 70 3" xfId="2674"/>
    <cellStyle name="표준 70 4" xfId="2675"/>
    <cellStyle name="표준 70 5" xfId="2676"/>
    <cellStyle name="표준 70 5 2" xfId="2677"/>
    <cellStyle name="표준 70 5 3" xfId="2678"/>
    <cellStyle name="표준 70 6" xfId="2679"/>
    <cellStyle name="표준 71" xfId="2680"/>
    <cellStyle name="표준 72" xfId="2681"/>
    <cellStyle name="표준 73" xfId="2682"/>
    <cellStyle name="표준 79" xfId="2683"/>
    <cellStyle name="표준 8" xfId="2684"/>
    <cellStyle name="표준 8 2" xfId="2685"/>
    <cellStyle name="표준 9" xfId="2686"/>
  </cellStyles>
  <dxfs count="420">
    <dxf>
      <fill>
        <patternFill patternType="solid">
          <bgColor theme="0" tint="-0.14996795556505021"/>
        </patternFill>
      </fill>
    </dxf>
    <dxf>
      <font>
        <sz val="10"/>
      </font>
    </dxf>
    <dxf>
      <numFmt numFmtId="185" formatCode="#,##0_ "/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thin">
          <color indexed="8"/>
        </left>
        <right style="thin">
          <color indexed="8"/>
        </right>
        <vertical style="thin">
          <color indexed="8"/>
        </vertical>
      </border>
    </dxf>
    <dxf>
      <font>
        <sz val="10"/>
      </font>
    </dxf>
    <dxf>
      <font>
        <name val="맑은 고딕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 patternType="none"/>
      </fill>
    </dxf>
    <dxf>
      <fill>
        <patternFill patternType="solid">
          <bgColor indexed="44"/>
        </patternFill>
      </fill>
    </dxf>
    <dxf>
      <font>
        <sz val="10"/>
      </font>
    </dxf>
    <dxf>
      <font>
        <name val="돋움체"/>
        <scheme val="none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9" tint="0.59996337778862885"/>
        </patternFill>
      </fill>
    </dxf>
    <dxf>
      <font>
        <sz val="10"/>
      </font>
    </dxf>
    <dxf>
      <numFmt numFmtId="185" formatCode="#,##0_ "/>
    </dxf>
    <dxf>
      <numFmt numFmtId="184" formatCode="#,##0,"/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thin">
          <color indexed="8"/>
        </left>
        <right style="thin">
          <color indexed="8"/>
        </right>
        <vertical style="thin">
          <color indexed="8"/>
        </vertical>
      </border>
    </dxf>
    <dxf>
      <fill>
        <patternFill patternType="solid">
          <bgColor rgb="FFFFFF00"/>
        </patternFill>
      </fill>
    </dxf>
    <dxf>
      <font>
        <sz val="10"/>
      </font>
    </dxf>
    <dxf>
      <font>
        <name val="맑은 고딕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 patternType="none"/>
      </fill>
    </dxf>
    <dxf>
      <fill>
        <patternFill patternType="solid">
          <bgColor indexed="44"/>
        </patternFill>
      </fill>
    </dxf>
    <dxf>
      <font>
        <sz val="10"/>
      </font>
    </dxf>
    <dxf>
      <font>
        <name val="돋움체"/>
        <scheme val="none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border>
        <left style="thin">
          <color indexed="8"/>
        </left>
        <right style="thin">
          <color indexed="8"/>
        </right>
        <vertical style="thin">
          <color indexed="8"/>
        </vertical>
      </border>
    </dxf>
    <dxf>
      <font>
        <color rgb="FFFF0000"/>
      </font>
    </dxf>
    <dxf>
      <fill>
        <patternFill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thin">
          <color indexed="8"/>
        </left>
        <right style="thin">
          <color indexed="8"/>
        </right>
        <vertical style="thin">
          <color indexed="8"/>
        </vertical>
      </border>
    </dxf>
    <dxf>
      <border>
        <left style="thin">
          <color indexed="8"/>
        </left>
        <right style="thin">
          <color indexed="8"/>
        </right>
        <vertical style="thin">
          <color indexed="8"/>
        </vertical>
      </border>
    </dxf>
    <dxf>
      <numFmt numFmtId="3" formatCode="#,##0"/>
    </dxf>
    <dxf>
      <numFmt numFmtId="3" formatCode="#,##0"/>
    </dxf>
    <dxf>
      <numFmt numFmtId="4" formatCode="#,##0.00"/>
    </dxf>
    <dxf>
      <numFmt numFmtId="182" formatCode="#,##0,,"/>
    </dxf>
    <dxf>
      <numFmt numFmtId="182" formatCode="#,##0,,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sz val="10"/>
      </font>
    </dxf>
    <dxf>
      <font>
        <name val="맑은 고딕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 patternType="none"/>
      </fill>
    </dxf>
    <dxf>
      <fill>
        <patternFill patternType="solid">
          <bgColor indexed="44"/>
        </patternFill>
      </fill>
    </dxf>
    <dxf>
      <font>
        <sz val="10"/>
      </font>
    </dxf>
    <dxf>
      <font>
        <name val="돋움체"/>
        <scheme val="none"/>
      </font>
    </dxf>
    <dxf>
      <font>
        <sz val="10"/>
      </font>
    </dxf>
    <dxf>
      <font>
        <name val="맑은 고딕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 patternType="none"/>
      </fill>
    </dxf>
    <dxf>
      <fill>
        <patternFill patternType="solid">
          <bgColor indexed="44"/>
        </patternFill>
      </fill>
    </dxf>
    <dxf>
      <font>
        <sz val="10"/>
      </font>
    </dxf>
    <dxf>
      <font>
        <name val="돋움체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xk-1209242" refreshedDate="42136.673215393515" createdVersion="3" refreshedVersion="4" minRefreshableVersion="3" recordCount="1698">
  <cacheSource type="worksheet">
    <worksheetSource ref="A2:J1048576" sheet="DB"/>
  </cacheSource>
  <cacheFields count="11">
    <cacheField name="순서" numFmtId="0">
      <sharedItems containsString="0" containsBlank="1" containsNumber="1" containsInteger="1" minValue="1" maxValue="1502"/>
    </cacheField>
    <cacheField name="0" numFmtId="0">
      <sharedItems containsString="0" containsBlank="1" containsNumber="1" containsInteger="1" minValue="1" maxValue="1337" count="1338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m/>
        <n v="1312" u="1"/>
        <n v="1247" u="1"/>
        <n v="1182" u="1"/>
        <n v="1117" u="1"/>
        <n v="1314" u="1"/>
        <n v="1249" u="1"/>
        <n v="1184" u="1"/>
        <n v="1119" u="1"/>
        <n v="1316" u="1"/>
        <n v="1251" u="1"/>
        <n v="1186" u="1"/>
        <n v="1121" u="1"/>
        <n v="1056" u="1"/>
        <n v="1318" u="1"/>
        <n v="1253" u="1"/>
        <n v="1188" u="1"/>
        <n v="1123" u="1"/>
        <n v="1058" u="1"/>
        <n v="1320" u="1"/>
        <n v="1255" u="1"/>
        <n v="1190" u="1"/>
        <n v="1125" u="1"/>
        <n v="1060" u="1"/>
        <n v="1322" u="1"/>
        <n v="1257" u="1"/>
        <n v="1192" u="1"/>
        <n v="1127" u="1"/>
        <n v="1062" u="1"/>
        <n v="1324" u="1"/>
        <n v="1259" u="1"/>
        <n v="1194" u="1"/>
        <n v="1129" u="1"/>
        <n v="1064" u="1"/>
        <n v="1326" u="1"/>
        <n v="1261" u="1"/>
        <n v="1196" u="1"/>
        <n v="1131" u="1"/>
        <n v="1066" u="1"/>
        <n v="1328" u="1"/>
        <n v="1263" u="1"/>
        <n v="1198" u="1"/>
        <n v="1133" u="1"/>
        <n v="1068" u="1"/>
        <n v="1330" u="1"/>
        <n v="1265" u="1"/>
        <n v="1200" u="1"/>
        <n v="1135" u="1"/>
        <n v="1070" u="1"/>
        <n v="1332" u="1"/>
        <n v="1267" u="1"/>
        <n v="1202" u="1"/>
        <n v="1137" u="1"/>
        <n v="1072" u="1"/>
        <n v="1334" u="1"/>
        <n v="1269" u="1"/>
        <n v="1204" u="1"/>
        <n v="1139" u="1"/>
        <n v="1074" u="1"/>
        <n v="1336" u="1"/>
        <n v="1271" u="1"/>
        <n v="1206" u="1"/>
        <n v="1141" u="1"/>
        <n v="1076" u="1"/>
        <n v="1273" u="1"/>
        <n v="1208" u="1"/>
        <n v="1143" u="1"/>
        <n v="1078" u="1"/>
        <n v="1275" u="1"/>
        <n v="1210" u="1"/>
        <n v="1145" u="1"/>
        <n v="1080" u="1"/>
        <n v="1277" u="1"/>
        <n v="1212" u="1"/>
        <n v="1147" u="1"/>
        <n v="1082" u="1"/>
        <n v="1279" u="1"/>
        <n v="1214" u="1"/>
        <n v="1149" u="1"/>
        <n v="1084" u="1"/>
        <n v="1281" u="1"/>
        <n v="1216" u="1"/>
        <n v="1151" u="1"/>
        <n v="1086" u="1"/>
        <n v="1283" u="1"/>
        <n v="1218" u="1"/>
        <n v="1153" u="1"/>
        <n v="1088" u="1"/>
        <n v="1285" u="1"/>
        <n v="1220" u="1"/>
        <n v="1155" u="1"/>
        <n v="1090" u="1"/>
        <n v="1287" u="1"/>
        <n v="1222" u="1"/>
        <n v="1157" u="1"/>
        <n v="1092" u="1"/>
        <n v="1289" u="1"/>
        <n v="1224" u="1"/>
        <n v="1159" u="1"/>
        <n v="1094" u="1"/>
        <n v="1291" u="1"/>
        <n v="1226" u="1"/>
        <n v="1161" u="1"/>
        <n v="1096" u="1"/>
        <n v="1293" u="1"/>
        <n v="1228" u="1"/>
        <n v="1163" u="1"/>
        <n v="1098" u="1"/>
        <n v="1295" u="1"/>
        <n v="1230" u="1"/>
        <n v="1165" u="1"/>
        <n v="1100" u="1"/>
        <n v="1297" u="1"/>
        <n v="1232" u="1"/>
        <n v="1167" u="1"/>
        <n v="1102" u="1"/>
        <n v="1299" u="1"/>
        <n v="1234" u="1"/>
        <n v="1169" u="1"/>
        <n v="1104" u="1"/>
        <n v="1301" u="1"/>
        <n v="1236" u="1"/>
        <n v="1171" u="1"/>
        <n v="1106" u="1"/>
        <n v="1303" u="1"/>
        <n v="1238" u="1"/>
        <n v="1173" u="1"/>
        <n v="1108" u="1"/>
        <n v="1305" u="1"/>
        <n v="1240" u="1"/>
        <n v="1175" u="1"/>
        <n v="1110" u="1"/>
        <n v="1307" u="1"/>
        <n v="1242" u="1"/>
        <n v="1177" u="1"/>
        <n v="1112" u="1"/>
        <n v="1309" u="1"/>
        <n v="1244" u="1"/>
        <n v="1179" u="1"/>
        <n v="1114" u="1"/>
        <n v="1311" u="1"/>
        <n v="1246" u="1"/>
        <n v="1181" u="1"/>
        <n v="1116" u="1"/>
        <n v="1313" u="1"/>
        <n v="1248" u="1"/>
        <n v="1183" u="1"/>
        <n v="1118" u="1"/>
        <n v="1315" u="1"/>
        <n v="1250" u="1"/>
        <n v="1185" u="1"/>
        <n v="1120" u="1"/>
        <n v="1055" u="1"/>
        <n v="1317" u="1"/>
        <n v="1252" u="1"/>
        <n v="1187" u="1"/>
        <n v="1122" u="1"/>
        <n v="1057" u="1"/>
        <n v="1319" u="1"/>
        <n v="1254" u="1"/>
        <n v="1189" u="1"/>
        <n v="1124" u="1"/>
        <n v="1059" u="1"/>
        <n v="1321" u="1"/>
        <n v="1256" u="1"/>
        <n v="1191" u="1"/>
        <n v="1126" u="1"/>
        <n v="1061" u="1"/>
        <n v="1323" u="1"/>
        <n v="1258" u="1"/>
        <n v="1193" u="1"/>
        <n v="1128" u="1"/>
        <n v="1063" u="1"/>
        <n v="1325" u="1"/>
        <n v="1260" u="1"/>
        <n v="1195" u="1"/>
        <n v="1130" u="1"/>
        <n v="1065" u="1"/>
        <n v="1327" u="1"/>
        <n v="1262" u="1"/>
        <n v="1197" u="1"/>
        <n v="1132" u="1"/>
        <n v="1067" u="1"/>
        <n v="1329" u="1"/>
        <n v="1264" u="1"/>
        <n v="1199" u="1"/>
        <n v="1134" u="1"/>
        <n v="1069" u="1"/>
        <n v="1331" u="1"/>
        <n v="1266" u="1"/>
        <n v="1201" u="1"/>
        <n v="1136" u="1"/>
        <n v="1071" u="1"/>
        <n v="1333" u="1"/>
        <n v="1268" u="1"/>
        <n v="1203" u="1"/>
        <n v="1138" u="1"/>
        <n v="1073" u="1"/>
        <n v="1335" u="1"/>
        <n v="1270" u="1"/>
        <n v="1205" u="1"/>
        <n v="1140" u="1"/>
        <n v="1075" u="1"/>
        <n v="1337" u="1"/>
        <n v="1272" u="1"/>
        <n v="1207" u="1"/>
        <n v="1142" u="1"/>
        <n v="1077" u="1"/>
        <n v="1274" u="1"/>
        <n v="1209" u="1"/>
        <n v="1144" u="1"/>
        <n v="1079" u="1"/>
        <n v="1276" u="1"/>
        <n v="1211" u="1"/>
        <n v="1146" u="1"/>
        <n v="1081" u="1"/>
        <n v="1278" u="1"/>
        <n v="1213" u="1"/>
        <n v="1148" u="1"/>
        <n v="1083" u="1"/>
        <n v="1280" u="1"/>
        <n v="1215" u="1"/>
        <n v="1150" u="1"/>
        <n v="1085" u="1"/>
        <n v="1282" u="1"/>
        <n v="1217" u="1"/>
        <n v="1152" u="1"/>
        <n v="1087" u="1"/>
        <n v="1284" u="1"/>
        <n v="1219" u="1"/>
        <n v="1154" u="1"/>
        <n v="1089" u="1"/>
        <n v="1286" u="1"/>
        <n v="1221" u="1"/>
        <n v="1156" u="1"/>
        <n v="1091" u="1"/>
        <n v="1288" u="1"/>
        <n v="1223" u="1"/>
        <n v="1158" u="1"/>
        <n v="1093" u="1"/>
        <n v="1290" u="1"/>
        <n v="1225" u="1"/>
        <n v="1160" u="1"/>
        <n v="1095" u="1"/>
        <n v="1292" u="1"/>
        <n v="1227" u="1"/>
        <n v="1162" u="1"/>
        <n v="1097" u="1"/>
        <n v="1294" u="1"/>
        <n v="1229" u="1"/>
        <n v="1164" u="1"/>
        <n v="1099" u="1"/>
        <n v="1296" u="1"/>
        <n v="1231" u="1"/>
        <n v="1166" u="1"/>
        <n v="1101" u="1"/>
        <n v="1298" u="1"/>
        <n v="1233" u="1"/>
        <n v="1168" u="1"/>
        <n v="1103" u="1"/>
        <n v="1300" u="1"/>
        <n v="1235" u="1"/>
        <n v="1170" u="1"/>
        <n v="1105" u="1"/>
        <n v="1302" u="1"/>
        <n v="1237" u="1"/>
        <n v="1172" u="1"/>
        <n v="1107" u="1"/>
        <n v="1304" u="1"/>
        <n v="1239" u="1"/>
        <n v="1174" u="1"/>
        <n v="1109" u="1"/>
        <n v="1306" u="1"/>
        <n v="1241" u="1"/>
        <n v="1176" u="1"/>
        <n v="1111" u="1"/>
        <n v="1308" u="1"/>
        <n v="1243" u="1"/>
        <n v="1178" u="1"/>
        <n v="1113" u="1"/>
        <n v="1310" u="1"/>
        <n v="1245" u="1"/>
        <n v="1180" u="1"/>
        <n v="1115" u="1"/>
      </sharedItems>
    </cacheField>
    <cacheField name="품번색상" numFmtId="0">
      <sharedItems containsBlank="1" count="2552">
        <s v="NHLSNF3001BK"/>
        <s v="NHLSNF3002BK"/>
        <s v="NHLSNF3003BK"/>
        <s v="NHLSNF3004RE"/>
        <s v="NHLSNF3005BK"/>
        <s v="NHLSNF3006NY"/>
        <s v="NHLSNF3007RE"/>
        <s v="NHLSNF3008WH"/>
        <s v="NHLFIF3009BK"/>
        <s v="NHLFIF3010BK"/>
        <s v="NHLSNF3011BK"/>
        <s v="NHLSNF3012RE"/>
        <s v="NHLSNF3013BK"/>
        <s v="NHLSNF3014BK"/>
        <s v="NHLSNF3015BK"/>
        <s v="NHLSNF3016BK"/>
        <s v="NHLFIF3017PP"/>
        <s v="NHLFIF3018BU"/>
        <s v=""/>
        <s v="NHLSNF3019BK"/>
        <s v="NHLSNF3019GY"/>
        <s v="NHLSNF3019PP"/>
        <s v="NHLSNF3019GR"/>
        <s v="MLNSNF3001BK"/>
        <s v="MLNSNF3002RE"/>
        <s v="MLNSNF3002BK"/>
        <s v="MLNFIF3003GY"/>
        <s v="MLNFIF3004KH"/>
        <s v="MLNFIF3005GY"/>
        <s v="MLNFIF3006BK"/>
        <s v="GOOHUF3001BG"/>
        <s v="GOOMIF3002KH"/>
        <s v="GOOHUF3003KH"/>
        <s v="GOOFEF3004BW"/>
        <s v="GOOMIF3005RE"/>
        <s v="GOOMIF3005GY"/>
        <s v="GOOHUF3006BK"/>
        <s v="GOOHUF3006GY"/>
        <s v="GOOHUF3007BW"/>
        <s v="GOOFEF3008BK"/>
        <s v="GOOFEF3008GY"/>
        <s v="GOOFAF3009GY"/>
        <s v="HCUMIF3210BK"/>
        <s v="HCUMIF3302BK"/>
        <s v="HCUMIF3306BK"/>
        <s v="HCUMIF3306KH"/>
        <s v="HCUMIF3307GY"/>
        <s v="SMBFIF3634RE"/>
        <s v="VBLBAF3103BK"/>
        <s v="ELSTPF5321MT"/>
        <s v="ELSTPF5821MT"/>
        <s v="ELSTPF5301NY"/>
        <s v="ELSTPF5801NY"/>
        <s v="JOIEBF5803BL"/>
        <s v="JOIEBF5804RE"/>
        <s v="JOIVBF5806NY"/>
        <s v="JOIVBF5806PK"/>
        <s v="VBLBAF5113RE"/>
        <s v="VBLERF5315GY"/>
        <s v="WTRMIF5301GY"/>
        <s v="WTRMIF5302GY"/>
        <s v="WTRTPF5305GY"/>
        <s v="MGMSNF3001BK"/>
        <s v="MGMSNF3002BK"/>
        <s v="MGMSNF3003WH"/>
        <s v="MGMSNF3004GY"/>
        <s v="MGMSNF3005BG"/>
        <s v="MGMSNF3006GY"/>
        <s v="MGMSNF3007BL"/>
        <s v="MGMSNF3008BK"/>
        <s v="MGMSNF3009GY"/>
        <s v="MGMSNF3010KH"/>
        <s v="MGMSNF3011NY"/>
        <s v="MGMSNF3012BK"/>
        <s v="URBFIF3001BW"/>
        <s v="URBFIF3002BK"/>
        <s v="PLAUMF5001RE"/>
        <s v="PLAUMF5001GY"/>
        <s v="PLAUMF5001NY"/>
        <s v="PLAUMF5001BK"/>
        <s v="PLAUMF5002GR"/>
        <s v="PLAUMF5002OR"/>
        <s v="PLAERF5003BK"/>
        <s v="PLAERF5003NY"/>
        <s v="SMBFLF3001BK"/>
        <s v="SMBFLF3501BK"/>
        <s v="SMBFLF3002BK"/>
        <s v="SMBBAF3003GR"/>
        <s v="SMBBAF3503GR"/>
        <s v="SMBBAF3003OR"/>
        <s v="SMBBAF3503OR"/>
        <s v="SMBBAF3004BU"/>
        <s v="SMBBAF3004BL"/>
        <s v="SMBSNF3001NY"/>
        <s v="SMBSNF3001BU"/>
        <s v="SMBSNF3002BL"/>
        <s v="SMBSNF3502BL"/>
        <s v="SMBSNF3002BK"/>
        <s v="SMBFIF3003BK"/>
        <s v="SMBFIF3003KH"/>
        <s v="SMBFIF3003RE"/>
        <s v="SMBERF5004BK"/>
        <s v="SWBSNF3503PP"/>
        <s v="SWBSNF3503PK"/>
        <s v="SMBERF5005NY"/>
        <s v="SMBERF5006NY"/>
        <s v="URBSNF3003NY"/>
        <s v="URBSNF3503NY"/>
        <s v="URBSNF3003BK"/>
        <s v="URBSNF3003YE"/>
        <s v="URBSNF3503YE"/>
        <s v="URBSNF3004KH"/>
        <s v="URBSNF3005BL"/>
        <s v="URBSNF3505BL"/>
        <s v="URBSNF3006BK"/>
        <s v="URBSNF3506BK"/>
        <s v="URBSNF3007GY"/>
        <s v="URBSNF3007BK"/>
        <s v="URBSNF3008GY"/>
        <s v="URBSNF3009BK"/>
        <s v="URBSNF3010BK"/>
        <s v="URBSNF3010PK"/>
        <s v="URBSNF3510PK"/>
        <s v="URBSNF3011BK"/>
        <s v="URBSNF3011RE"/>
        <s v="URBSNF3011GY"/>
        <s v="URBSNF3012BK"/>
        <s v="URBSNF3013BK"/>
        <s v="URBSNF3014BK"/>
        <s v="URBSNF3015BK"/>
        <s v="URBSNF3016BK"/>
        <s v="URBERF5017BK"/>
        <s v="URBERF5018GY"/>
        <s v="DPSSNF3501PK"/>
        <s v="DPSSNF3502BL"/>
        <s v="DPSSNF3003PP"/>
        <s v="DPSSNF3503PP"/>
        <s v="DPSSNF3004MT"/>
        <s v="DPSSNF3504MT"/>
        <s v="DPSSNF3005GY"/>
        <s v="DPSSNF3005BK"/>
        <s v="ELSSNF3001BK"/>
        <s v="ELSSNF3002BK"/>
        <s v="ELSSNF5003RE"/>
        <s v="ELSSNF5503RE"/>
        <s v="ELSSNF5004NY"/>
        <s v="ELSSNF3005GY"/>
        <s v="ELSBAF5506GR"/>
        <s v="ELSBAF5507RE"/>
        <s v="ELSBAF5508PK"/>
        <s v="ELSERF5009BK"/>
        <s v="ELSERF5010BK"/>
        <s v="ELSERF5511GR"/>
        <s v="ELSERF5512RE"/>
        <s v="ELSERF5513PK"/>
        <s v="VBLTLF4001BK"/>
        <s v="VBLTLF4002GY"/>
        <s v="VBLTLF4003NY"/>
        <s v="VBLTLF4003BU"/>
        <s v="ELSJPF5001BK"/>
        <s v="ELSJPF5001RE"/>
        <s v="ELSJPF5502RE"/>
        <s v="ELSJPF5502YE"/>
        <s v="ELSJPF5502BL"/>
        <s v="ELSPTF5503BK"/>
        <s v="ELSJPF5028BK"/>
        <s v="ELSJPF5529PK"/>
        <s v="ELSJPF5529OR"/>
        <s v="ELSVEF5530RE"/>
        <s v="PNYTLF4001NY"/>
        <s v="PNYHPF5006BK"/>
        <s v="PNYJPF5009BK"/>
        <s v="PNYTLF5002BK"/>
        <s v="PNYTHF5003BK"/>
        <s v="PNYPTF5004BK"/>
        <s v="PNYPTF5004GY"/>
        <s v="PNYTLF5008GY"/>
        <s v="PNYTLF5008BK"/>
        <s v="PNYTHF5005BK"/>
        <s v="PNYJPF5007BK"/>
        <s v="ELSTLF4004BK"/>
        <s v="ELSPTF4005BK"/>
        <s v="ELSTLF4506BL"/>
        <s v="ELSTLF4506YE"/>
        <s v="ELSPTF4507RE"/>
        <s v="ELSPTF4507YE"/>
        <s v="ELSTHF4008BK"/>
        <s v="NOVERF5004BK"/>
        <s v="NOVERF5004RE"/>
        <s v="NOVERF5005BK"/>
        <s v="NOVERF5006BK"/>
        <s v="NOVERF5006PK"/>
        <s v="NOVERF5007BK"/>
        <s v="NOVTPF5008BK"/>
        <s v="NOVTPF5009BK"/>
        <s v="NOVTPF5010BK"/>
        <s v="NOVTPF5011BK"/>
        <s v="NOVTPF5011RE"/>
        <s v="NOVTPF5511RE"/>
        <s v="NOVTPF5011PK"/>
        <s v="NOVTPF5511PK"/>
        <s v="VBLBAF5001BK"/>
        <s v="VBLBAF5002BK"/>
        <s v="VBLBAF3003GY"/>
        <s v="VBLBAF5004BK"/>
        <s v="VBLERF5005BK"/>
        <s v="VBLERF5006GY"/>
        <s v="VBLERF5506GY"/>
        <s v="VBLERF5007GY"/>
        <s v="VBLERF5507GY"/>
        <s v="HCUMIF5001NY"/>
        <s v="HCUMIF5001BK"/>
        <s v="HCUMIF5002GY"/>
        <s v="BROBAF5001GY"/>
        <s v="BROBAF5001PK"/>
        <s v="BROBAF5002BG"/>
        <s v="BROBAF5003NY"/>
        <s v="BROERF5004WH"/>
        <s v="BROERF5504WH"/>
        <s v="BROERF5005RE"/>
        <s v="BROERF5006BK"/>
        <s v="SBRMIF3001KH"/>
        <s v="SBRMIF3002BK"/>
        <s v="SBRMIF3003BK"/>
        <s v="SBRMIF5004BK"/>
        <s v="SBRMIF5004GY"/>
        <s v="SBRMIF5005BK"/>
        <s v="SBRMIF5006BK"/>
        <s v="SBRMIF5006NY"/>
        <s v="SBRMIF5007BK"/>
        <s v="SBRMIF5007GY"/>
        <s v="SBRBAF5008BG"/>
        <s v="SBRMIF5009KH"/>
        <s v="SBRBAF5010BG"/>
        <s v="SBRBAF5010BK"/>
        <s v="SBRBAF5011GY"/>
        <s v="SBRBAF5511GY"/>
        <s v="SBRBAF5012BG"/>
        <s v="SBRBAF5512BG"/>
        <s v="SBRBAF5012GY"/>
        <s v="SBRBAF5013KH"/>
        <s v="SBRBAF5013GY"/>
        <s v="SBRMIF5014BK"/>
        <s v="SBRMIF5014RE"/>
        <s v="SBRMIF5015NY"/>
        <s v="SBRMIF5015BK"/>
        <s v="SBRMIF5016GY"/>
        <s v="SBRBAF5017BW"/>
        <s v="SBRBAF5017BK"/>
        <s v="SBRERF5018BK"/>
        <s v="SBRERF5019PK"/>
        <s v="SBRERF5020GY"/>
        <s v="SBRERF5021NY"/>
        <s v="SBRERF5022IV"/>
        <s v="ELSTLF5009BK"/>
        <s v="ELSTLF5511MT"/>
        <s v="ELSTLF5511PK"/>
        <s v="ELSHPF5012BK"/>
        <s v="ELSHPF5513MT"/>
        <s v="ELSHPF5514PK"/>
        <s v="ELSHPF5515RE"/>
        <s v="ELSJPF5516BL"/>
        <s v="ELSJPF5516PK"/>
        <s v="ELSTHF5017BK"/>
        <s v="ELSTHF5017RE"/>
        <s v="ELSTHF5517BK"/>
        <s v="ELSTHF5517RE"/>
        <s v="ELSTHF5518YE"/>
        <s v="ELSHPF5019BK"/>
        <s v="GRACTF5001BK"/>
        <s v="GRACTF5001BW"/>
        <s v="GRAHUF5002BK"/>
        <s v="GRAHUF5002GY"/>
        <s v="GRACTF5003BK"/>
        <s v="GRAMIF5004BK"/>
        <s v="GRAMIF5004GY"/>
        <s v="GRAMIF3005BK"/>
        <s v="GRAMIF3005BW"/>
        <s v="GRAFAF3006NY"/>
        <s v="GRAFAF3006RE"/>
        <s v="GRAFAF5007GY"/>
        <s v="GRAFAF5007NY"/>
        <s v="GRAFEF5008GY"/>
        <s v="GRAFEF5008BK"/>
        <s v="GRAFAF5009GY"/>
        <s v="GRAFAF5009BW"/>
        <s v="GRAFEF5010GY"/>
        <s v="GRAFEF5011BK"/>
        <s v="GRAFEF5011BG"/>
        <s v="GRAFEF5011BU"/>
        <s v="GRAFAF5012GY"/>
        <s v="GRAFAF5012NY"/>
        <s v="GRAFAF5012BW"/>
        <s v="GRAHUF5013BK"/>
        <s v="GRAHUF5014BK"/>
        <s v="GRAHUF5014BU"/>
        <s v="GRAHUF5015BK"/>
        <s v="GRAHUF5015BW"/>
        <s v="GRAHUF5016GY"/>
        <s v="GRAHUF5016BW"/>
        <s v="GRACMF5017BK"/>
        <s v="GRACMF5017RE"/>
        <s v="GRACTF5018NY"/>
        <s v="GRACMF5019NY"/>
        <s v="GRACTF3020BK"/>
        <s v="GRACTF5021BK"/>
        <s v="GRABAF5022BK"/>
        <s v="GRABAF5022GY"/>
        <s v="GRABAF3023BK"/>
        <s v="GRABAF3023KH"/>
        <s v="GRABAF5024BK"/>
        <s v="GRABAF5024GY"/>
        <s v="GRASNF5025BK"/>
        <s v="GRASNF5025CL"/>
        <s v="ELSTLF5510NY"/>
        <s v="ELSTLF5521RE"/>
        <s v="ELSTHF5522BL"/>
        <s v="ELSTHF5522PK"/>
        <s v="ELSPTF5023BK"/>
        <s v="ELSPTF5524BK"/>
        <s v="ELSTLF5044BK"/>
        <s v="ELSTLF5025BK"/>
        <s v="ELSTLF5526BK"/>
        <s v="ELSHPF5027BK"/>
        <s v="BMDERF5001BK"/>
        <s v="BMDBAF5002BK"/>
        <s v="SBRBEF5023BK"/>
        <s v="SBRBEF5023RE"/>
        <s v="SBRBEF5024NY"/>
        <s v="SBRBEF5025BK"/>
        <s v="SBRBEF5025KH"/>
        <s v="SBREBF5026CL"/>
        <s v="SBREBF5027BK"/>
        <s v="SBREBF5028GY"/>
        <s v="SBREBF5028NY"/>
        <s v="SBRTPF5029BK"/>
        <s v="SBRTPF5029RE"/>
        <s v="SBRTPF5030GY"/>
        <s v="JOIERF5501IV"/>
        <s v="JOIEBF5502PK"/>
        <s v="JOIMUF5503PK"/>
        <s v="JOIEDF5504PK"/>
        <s v="JOIEBF5505BL"/>
        <s v="JOIMUF5506BL"/>
        <s v="JOIEDF5507BL"/>
        <s v="JOIEBF5508IV"/>
        <s v="URBTHF5003BK"/>
        <s v="URBHPF5004BK"/>
        <s v="URBJPF5005BK"/>
        <s v="URBJPF5007BK"/>
        <s v="URBJPF5007RE"/>
        <s v="URBJPF5008GY"/>
        <s v="WTRTPF5001BU"/>
        <s v="WTRTPF5002BK"/>
        <s v="SBRMIF3001BK"/>
        <s v="URBBEF5019BK"/>
        <s v="URBBEF5019GY"/>
        <s v="SBRBEF5031BK"/>
        <s v="SBRBEF5031GY"/>
        <s v="SBRBEF5031BL"/>
        <s v="SBRBEF5031RE"/>
        <s v="SBRBEF5031PK"/>
        <s v="SBRBEF5032YE"/>
        <s v="SBRBEF5032BL"/>
        <s v="SBRBEF5032RE"/>
        <s v="SBRBEF5032GR"/>
        <s v="SBRBEF5032IV"/>
        <s v="SBRBEF5032GY"/>
        <s v="SBRBEF5032BK"/>
        <s v="SBRBEF5033BL"/>
        <s v="SBRBEF5033RE"/>
        <s v="SBRBEF5034BK"/>
        <s v="SBRBEF5034BL"/>
        <s v="SBRBEF5034PP"/>
        <s v="SBRBEF5035BL"/>
        <s v="SBRBEF5035KH"/>
        <s v="SBRBEF5036KH"/>
        <s v="SBRBEF5036RE"/>
        <s v="SBRBEF5037BW"/>
        <s v="SBRBEF5037GY"/>
        <s v="SBRBEF5038BK"/>
        <s v="SBRBEF5039BU"/>
        <s v="SBRBEF5039BK"/>
        <s v="SBRBEF5039GY"/>
        <s v="SBRBEF5040GY"/>
        <s v="SBRBEF5040BL"/>
        <s v="SBRBEF5040PK"/>
        <s v="WTRBAF3003GY"/>
        <s v="WTRBAF3004RE"/>
        <s v="WTRBAF5005BW"/>
        <s v="WTRBAF5006BG"/>
        <s v="WTRBAF5007GY"/>
        <s v="WTRERF5008BK"/>
        <s v="WTRERF5009KH"/>
        <s v="WTRERF5010GY"/>
        <s v="WTRERF5011BG"/>
        <s v="WTRERF5012PK"/>
        <s v="ELSERF5516OR"/>
        <s v="ELSTPF5017BK"/>
        <s v="ELSTPF5517BK"/>
        <s v="ELSTPF5515RE"/>
        <s v="ELSEDF5522YE"/>
        <s v="ELSEDF5523BK"/>
        <s v="ELSEDF5524PK"/>
        <s v="ELSBAF5518PP"/>
        <s v="ELSERF5519RE"/>
        <s v="ELSERF5520BL"/>
        <s v="ELSERF5521GY"/>
        <s v="ELSTPF5514MT"/>
        <s v="ELSTPF5514OR"/>
        <s v="SMBBEF5507GR"/>
        <s v="SMBBEF5507RE"/>
        <s v="SMBBEF5507PK"/>
        <s v="SMBBEF5508PK"/>
        <s v="SMBBEF5508RE"/>
        <s v="SWBBEF5509PK"/>
        <s v="SWBBEF5509BL"/>
        <s v="HCUMIF3003BK"/>
        <s v="HCUMIF5004NY"/>
        <s v="HCUMIF3005KH"/>
        <s v="HCUMIF3006BK"/>
        <s v="HCUMIF3006KH"/>
        <s v="HCUMIF3006NY"/>
        <s v="HCUMIF3007GY"/>
        <s v="HCUMIF3007BK"/>
        <s v="HCUMIF3008BK"/>
        <s v="BLLCTF5001NY"/>
        <s v="BLLFAF5002BK"/>
        <s v="BLLFEF5003BK"/>
        <s v="BLLCTF5004BG"/>
        <s v="BLLFEF5005BG"/>
        <s v="BLLFEF5005BK"/>
        <s v="BLLFEF5006GY"/>
        <s v="BLLCTF5007KH"/>
        <s v="BLLHUF5008BK"/>
        <s v="BLLHUF5008RE"/>
        <s v="BLLHUF5008BG"/>
        <s v="NOVACF3001BK"/>
        <s v="NOVACF3001GY"/>
        <s v="NOVACF3002NY"/>
        <s v="NOVACF3003GY"/>
        <s v="NOVACF3004NY"/>
        <s v="POLBAF3501PK"/>
        <s v="POLBAF3502YE"/>
        <s v="ELSBPF3501BL"/>
        <s v="ELSBPF3502PK"/>
        <s v="ELSBPF3503PP"/>
        <s v="DPSERF5006BK"/>
        <s v="DPSERF5007BL"/>
        <s v="SBRBEF5041GY"/>
        <s v="SBRBEF5041IV"/>
        <s v="SBRBEF5041BG"/>
        <s v="SBRBEF5042BK"/>
        <s v="SBRBEF5043NY"/>
        <s v="SBRBEF5043PP"/>
        <s v="SBRBEF5043RE"/>
        <s v="SBRBEF5044IV"/>
        <s v="SBRBEF5044KH"/>
        <s v="SBREBF5046GY"/>
        <s v="SBREBF5047BG"/>
        <s v="SBREBF5047GY"/>
        <s v="SBREBF5049BG"/>
        <s v="SBREBF5549BG"/>
        <s v="SBREBF5049GY"/>
        <s v="SBREBF5049RE"/>
        <s v="SBREBF5549RE"/>
        <s v="SBREBF5049BK"/>
        <s v="SBREBF5045BG"/>
        <s v="SBREBF5045KH"/>
        <s v="SBREBF5045NY"/>
        <s v="SBREBF5048BK"/>
        <s v="SBREBF5048GY"/>
        <s v="SBREBF5048RE"/>
        <s v="SBREBF5050MT"/>
        <s v="SBREBF5051WH"/>
        <s v="SBREBF5551WH"/>
        <s v="SBREBF5551YE"/>
        <s v="SBRBEF5052NY"/>
        <s v="SBRBEF5052BU"/>
        <s v="SBRBEF5052GY"/>
        <s v="SBRBEF5053PK"/>
        <s v="SBRBEF5053MT"/>
        <s v="SBREBF5054PP"/>
        <s v="SBREBF5054BK"/>
        <s v="SBREBF5054RE"/>
        <s v="SBREBF5554PP"/>
        <s v="SBREBF5554BK"/>
        <s v="SBREBF5554RE"/>
        <s v="PNYTLF4501NY"/>
        <s v="PNYHPF5506BK"/>
        <s v="PNYTLF5508GY"/>
        <s v="PNYTLF5508BK"/>
        <s v="PNYPTF5508BK"/>
        <s v="PNYTHF5505BK"/>
        <s v="SBRSNF3055BK"/>
        <s v="SBRSNF3056BK"/>
        <s v="SBRSNF3057NY"/>
        <s v="SBRSNF3058GY"/>
        <s v="SBRSNF3059NY"/>
        <s v="SBRSNF3060BK"/>
        <s v="SBRSNF3061BK"/>
        <s v="SBRSNF3062NY"/>
        <s v="SBRSNF3063NY"/>
        <s v="SBRBAF5064GY"/>
        <s v="SBRBAF3065BK"/>
        <s v="BLLFAF5009GY"/>
        <s v="BLLFEF5010BW"/>
        <s v="BLLFEF5011PP"/>
        <s v="SWBSNF5004BK"/>
        <s v="SWBSNF5504BK"/>
        <s v="SWBSNF5504PK"/>
        <s v="SWBERF5013BK"/>
        <s v="SWBERF5514PK"/>
        <s v="SWBSNF5005BW"/>
        <s v="SWBSNF5505BW"/>
        <s v="SWBSNF5006PK"/>
        <s v="SWBSNF5506PK"/>
        <s v="SWBERF5015PK"/>
        <s v="SWBERF5515PK"/>
        <s v="SWBERF5516PK"/>
        <s v="SWBERF5536NY"/>
        <s v="SWBSNF5507NY"/>
        <s v="SWBSNF5507PK"/>
        <s v="SWBSNF5508NY"/>
        <s v="SWBSNF5508PK"/>
        <s v="SWBERF5517PK"/>
        <s v="SMBFIF3402BK"/>
        <s v="SMBFIF3018BK"/>
        <s v="SMBFIF3019BK"/>
        <s v="SMBSNF3009BK"/>
        <s v="SMBSNF3009RE"/>
        <s v="SMBERF5018BK"/>
        <s v="SMBERF5019BK"/>
        <s v="SMBERF5020BK"/>
        <s v="SMBERF5021NY"/>
        <s v="SMBERF5521NY"/>
        <s v="SMBERF5022RE"/>
        <s v="SMBERF5522RE"/>
        <s v="SMBERF5023BL"/>
        <s v="SMBERF5024BG"/>
        <s v="SMBERF5025BK"/>
        <s v="SMBBAF5026GY"/>
        <s v="SMBBAF5526GY"/>
        <s v="SMBBAF5027BK"/>
        <s v="SMBERF5028NY"/>
        <s v="SMBERF5029NY"/>
        <s v="SMBERF5529NY"/>
        <s v="SMBERF5030GY"/>
        <s v="SMBSNF3010BK"/>
        <s v="SMBSNF3011BL"/>
        <s v="SMBFIF5012GY"/>
        <s v="SMBFIF5012NY"/>
        <s v="SMBERF5031GY"/>
        <s v="SMBFIF3705BK"/>
        <s v="NAASNF3001GY"/>
        <s v="NAASNF3002BL"/>
        <s v="NAASNF3003NY"/>
        <s v="URBSNF3413BK"/>
        <s v="URBSNF3414BK"/>
        <s v="URBSNF3414WH"/>
        <s v="URBFIF3403BK"/>
        <s v="URBFIF3411BK"/>
        <s v="URBFIF3412BK"/>
        <s v="URBFIF3414BK"/>
        <s v="ELSBAF3841BK"/>
        <s v="ELSBAF3841RE"/>
        <s v="SBRMIF3066BK"/>
        <s v="ELSERF5025BK"/>
        <s v="ELSSNF5026BK"/>
        <s v="ELSSNF3027BK"/>
        <s v="ELSSNF5028GY"/>
        <s v="ELSSNF5029BK"/>
        <s v="ELSSNF5030GY"/>
        <s v="ELSBAF3531GY"/>
        <s v="ELSERF5532PK"/>
        <s v="POLFIF3901BL"/>
        <s v="POLFIF3902RE"/>
        <s v="POLFIF3903PK"/>
        <s v="POLFIF3904GR"/>
        <s v="SMBFIF3426BK"/>
        <s v="URBFIF3409BK"/>
        <s v="VBLBAF3603RE"/>
        <s v="HCUFIF3403BK"/>
        <s v="HCUMIF3010BK"/>
        <s v="HCUMIF3010KH"/>
        <s v="PLAUMF3407BK"/>
        <s v="PLABPF3404BK"/>
        <s v="JOIBAF3509PK"/>
        <s v="JOIBAF3510YE"/>
        <s v="JOIBAF3511GY"/>
        <s v="JOIBAF3512PP"/>
        <s v="JOIBAF5513PK"/>
        <s v="POLEBF5503PK"/>
        <s v="POLEBF5504BL"/>
        <s v="DPSEBF5508PK"/>
        <s v="SMBBEF5012BK"/>
        <s v="SMBBEF5012RE"/>
        <s v="URBBPF3001BK"/>
        <s v="URBBPF3002BK"/>
        <s v="URBBPF3003BK"/>
        <s v="PLABPF3001BW"/>
        <s v="PNYBPF3001BK"/>
        <s v="PNYBPF3002BK"/>
        <s v="JOIEBF5523IV"/>
        <s v="JOIEBF5523BL"/>
        <s v="URBFIF3408BK"/>
        <s v="URBFIF3442BK"/>
        <s v="URBFIF3433BK"/>
        <s v="NIXBEF5001BK"/>
        <s v="NIXSNF3002BK"/>
        <s v="NIXSNF3002NY"/>
        <s v="NIXSNF3003BK"/>
        <s v="NIXSNF3003NY"/>
        <s v="NIXSNF3004GY"/>
        <s v="NIXSNF3005BK"/>
        <s v="NIXSNF3005GY"/>
        <s v="NIXSNF3006BK"/>
        <s v="NIXSNF3007BK"/>
        <s v="NIXFIF3008BK"/>
        <s v="NIXFIF3008GY"/>
        <s v="NIXSNF3009BL"/>
        <s v="NIXSNF3010OR"/>
        <s v="SBRTPF5067KH"/>
        <s v="SBRTPF5068BK"/>
        <s v="SBRTPF5069NY"/>
        <s v="SBRTPF5070KH"/>
        <s v="URBSNF5020BK"/>
        <s v="URBSNF3021BK"/>
        <s v="URBSNF3024BK"/>
        <s v="URBSNF3025GY"/>
        <s v="URBSNF3026YE"/>
        <s v="URBSNF3027WH"/>
        <s v="URBSNF3022BK"/>
        <s v="URBSNF3023BK"/>
        <s v="SBRMIF3070BK"/>
        <s v="URBFIF3438BK"/>
        <s v="URBFIF3441NY"/>
        <s v="URBFIF3418RE"/>
        <s v="URBFIF3407GY"/>
        <s v="URBFIF3307BK"/>
        <s v="URBFIF3306BK"/>
        <s v="ELSSNF3035BK"/>
        <s v="ELSFIF3036BK"/>
        <s v="DPSBPF3501PK"/>
        <s v="DPSBPF3502PK"/>
        <s v="DPSBPF3503NY"/>
        <s v="PNYUMF5501RE"/>
        <s v="URBSNF5028BK"/>
        <s v="URBSNF5029GY"/>
        <s v="URBSNF3030BK"/>
        <s v="URBSNF3031GR"/>
        <s v="URBSNF3032BK"/>
        <s v="URBSNF3033BK"/>
        <s v="URBSNF3034BK"/>
        <s v="URBSNF3035BK"/>
        <s v="URBSNF3036BK"/>
        <s v="URBSNF3037BK"/>
        <s v="ELSSBF3801BK"/>
        <s v="HCUFIF3401BK"/>
        <s v="PLAUMF3409BK"/>
        <s v="SMBSNF3402BK"/>
        <s v="URBFIF3443WH"/>
        <s v="URBFIF3453BW"/>
        <s v="URBFIF3454MT"/>
        <s v="FFTSNF3001BK"/>
        <s v="FFTSNF3002KH"/>
        <s v="FFTSNF3003BK"/>
        <s v="MGMBPF3001BK"/>
        <s v="MGMBPF3002BK"/>
        <s v="MGMBPF3003BK"/>
        <s v="ELSBPF3004BK"/>
        <s v="ELSBPF3505BK"/>
        <s v="SBRFAF3071WH"/>
        <s v="SBRFAF3071BK"/>
        <s v="SBRFAF3072BL"/>
        <s v="SBRFAF3073BL"/>
        <s v="SBRFAF3074WH"/>
        <s v="PLAUMF3004BW"/>
        <s v="MGMSNF3013GR"/>
        <s v="MGMSNF5014BK"/>
        <s v="MGMSNF5015BK"/>
        <s v="MGMSNF3016NY"/>
        <s v="MGMSNF3017BK"/>
        <s v="URBFIF3423BK"/>
        <s v="URBFIF3451GY"/>
        <s v="URBFIF3451BK"/>
        <s v="VBLBAF3404NY"/>
        <s v="ZZZFIF3422WH"/>
        <s v="ZZZFIF3422BK"/>
        <s v="ZZZSNF3001RE"/>
        <s v="ZZZSNF3002BK"/>
        <s v="ZZZSNF3003BK"/>
        <s v="ZZZSNF3011BK"/>
        <s v="ZZZSNF3012BK"/>
        <s v="ZZZSNF3013BK"/>
        <s v="ZZZSNF3014RE"/>
        <s v="JOIBEF5524YE"/>
        <s v="JOIBEF5525MT"/>
        <s v="ELSBEF5037BK"/>
        <s v="SBRFAF3075BK"/>
        <s v="SBRFAF3076GY"/>
        <s v="SBRFAF5077BK"/>
        <s v="BMDBAF3405BK"/>
        <s v="BMDBAF3408BK"/>
        <s v="DPSFIF3413PK"/>
        <s v="FFTSNF3005KH"/>
        <s v="FFTSNF3006GY"/>
        <s v="FFTSNF3008BK"/>
        <s v="FFTSNF3010BK"/>
        <s v="FFTSNF3012WH"/>
        <s v="FFTSNF3013WH"/>
        <s v="SBRBEF5078BU"/>
        <s v="SBRBEF5078BK"/>
        <s v="SBRBEF5078GY"/>
        <s v="HCUBAF3011BK"/>
        <s v="URBSNF3038BK"/>
        <s v="URBSNF3039BK"/>
        <s v="URBSNF3403BK"/>
        <s v="FFTFAF3014BK"/>
        <s v="FFTFAF3015BG"/>
        <s v="FFTFAF3016BK"/>
        <s v="FFTFAF3017GY"/>
        <s v="FFTFAF3018GY"/>
        <s v="FFTFAF3019BL"/>
        <s v="FFTFAF3020KH"/>
        <s v="FFTFAF3021BK"/>
        <s v="DPSSNF3401RE"/>
        <s v="DPSSNF3402BK"/>
        <s v="DPSSNF3416BK"/>
        <s v="PLAUMF3411BK"/>
        <s v="YGFSNF3302BK"/>
        <s v="YGFSNF3311BK"/>
        <s v="URBSNF3002BK"/>
        <s v="URBSNF3304BK"/>
        <s v="URBSNF3410BK"/>
        <s v="URBSNF3411BK"/>
        <s v="URBSNF3412BK"/>
        <s v="DPSERF5509PK"/>
        <s v="FFTSNF3004BU"/>
        <s v="FFTSNF3007RE"/>
        <s v="FFTSNF3009BU"/>
        <s v="FFTSNF5011BK"/>
        <s v="FFTSNF3022BK"/>
        <s v="FFTSNF3023BK"/>
        <s v="FFTSNF3024BK"/>
        <s v="SBRFAF5079BK"/>
        <s v="SBRFAF5080BK"/>
        <s v="SBRFAF5081BK"/>
        <s v="FFTBEF5025GY"/>
        <s v="FFTBEF5026BK"/>
        <s v="ZZZSNF3021NY"/>
        <s v="ZZZSNF3022PK"/>
        <s v="ZZZSNF3023YE"/>
        <s v="ZZZSNF3024BK"/>
        <s v="ZZZSNF3031NY"/>
        <s v="ZZZSNF3032PK"/>
        <s v="ZZZSNF3033YE"/>
        <s v="ZZZSNF3034BK"/>
        <s v="FFTSNF5027BK"/>
        <s v="FFTSNF3028BK"/>
        <s v="FFTSNF3029RE"/>
        <s v="FFTSNF5030BK"/>
        <s v="FFTSNF3031KH"/>
        <s v="FFTBEF5032RE"/>
        <s v="FFTBEF5033BK"/>
        <s v="FFTBEF5034GY"/>
        <s v="SBRBEF5082GY"/>
        <s v="SBRBEF5082PK"/>
        <s v="SBRBEF5082WH"/>
        <s v="FFTSNF3035PP"/>
        <s v="FFTSNF3036BK"/>
        <s v="FFTFEF5050BK"/>
        <s v="FFTFEF5051BK"/>
        <s v="FFTFEF5051BU"/>
        <s v="FFTFEF5052BG"/>
        <s v="FFTFEF5053BK"/>
        <s v="SHLFAF5001BG"/>
        <s v="SHLFAF5002BW"/>
        <s v="SHLFAF5003GY"/>
        <s v="SHLFAF5004GY"/>
        <s v="SHLFAF5005BK"/>
        <s v="FFTSNF3037BK"/>
        <s v="FFTSNF3038BK"/>
        <s v="FFTSNF3039BK"/>
        <s v="FFTBEF5040NY"/>
        <s v="FFTBEF5041BK"/>
        <m/>
        <s v="BROTRE2206RE" u="1"/>
        <s v="JILMIE3313BK" u="1"/>
        <s v="GOOMIE0043GY" u="1"/>
        <s v="FFTFIE0225AR" u="1"/>
        <s v="JOIEBE5111GY" u="1"/>
        <s v="GOOMIE3043GY" u="1"/>
        <s v="JILTPE5334BK" u="1"/>
        <s v="FFTFIE3225AR" u="1"/>
        <s v="SWBERF5014PK" u="1"/>
        <s v="ELSTRE2046BK" u="1"/>
        <s v="SMBFLE0250BK" u="1"/>
        <s v="GOOMIE3043NY" u="1"/>
        <s v="FFTFIE0206BK" u="1"/>
        <s v="SMBFIE0258IV" u="1"/>
        <s v="PLAUME3302PK" u="1"/>
        <s v="ELSFIE0210GY" u="1"/>
        <s v="ELSTSE2749BK" u="1"/>
        <s v="JOIMUE5814KH" u="1"/>
        <s v="ELSFIE3210GY" u="1"/>
        <s v="ELSTPE5801NY" u="1"/>
        <s v="ELSFIE3640GR" u="1"/>
        <s v="FFTFIE0242GR" u="1"/>
        <s v="PLAUME3305BW" u="1"/>
        <s v="FFTFIE0223BK" u="1"/>
        <s v="SMBBAE0232BK" u="1"/>
        <s v="WTRMIE5302GY" u="1"/>
        <s v="ELSUME3014YE" u="1"/>
        <s v="PLAPTF5004BK" u="1"/>
        <s v="ELSERE5145BK" u="1"/>
        <s v="NOVBAE3313GY" u="1"/>
        <s v="TRUFIE3305RE" u="1"/>
        <s v="FFTFIE3306BK" u="1"/>
        <s v="JILTPE5833RE" u="1"/>
        <s v="SMBFLE0247BK" u="1"/>
        <s v="SMBFLE3815RE" u="1"/>
        <s v="FFTFIE0240BK" u="1"/>
        <s v="NOVMIE0101BK" u="1"/>
        <s v="ELSTHE1703BL" u="1"/>
        <s v="BELFEF5010BW" u="1"/>
        <s v="ELSFIE3335BL" u="1"/>
        <s v="ELSTRE2215BL" u="1"/>
        <s v="FFTFIE3240BK" u="1"/>
        <s v="ELSACE3302BL" u="1"/>
        <s v="TRUFIE3305YE" u="1"/>
        <s v="JILMIE3312KH" u="1"/>
        <s v="NOVMIE0702BL" u="1"/>
        <s v="PLABAE0209BK" u="1"/>
        <s v="ELSTSE2234PK" u="1"/>
        <s v="TWIBAE0216BU" u="1"/>
        <s v="JILBEE5359RE" u="1"/>
        <s v="ELSPTE1256BW" u="1"/>
        <s v="ELSTSE2751WH" u="1"/>
        <s v="JOIEBE5808IV" u="1"/>
        <s v="SMBBAE0722GY" u="1"/>
        <s v="HCUMIE0208BG" u="1"/>
        <s v="ELSJPE5326GR" u="1"/>
        <s v="ELSTHE5319BU" u="1"/>
        <s v="BROBAE0204BK" u="1"/>
        <s v="ELSFIE0641BW" u="1"/>
        <s v="SMBBAE0722NY" u="1"/>
        <s v="ELSERE5644RE" u="1"/>
        <s v="HCUMIE0209BK" u="1"/>
        <s v="SMBFIE0211GR" u="1"/>
        <s v="JILMIE0202NY" u="1"/>
        <s v="JILBEE5348GR" u="1"/>
        <s v="ELSTHE1202PK" u="1"/>
        <s v="HCUMIE3008KH" u="1"/>
        <s v="FFTFIE0205WH" u="1"/>
        <s v="BROTRE2207BK" u="1"/>
        <s v="SMBFLE0205NY" u="1"/>
        <s v="SMBFLE3205NY" u="1"/>
        <s v="GOOMIE3305BK" u="1"/>
        <s v="GRABEE3313GY" u="1"/>
        <s v="BROBAE0204PK" u="1"/>
        <s v="GRAMIE0203BG" u="1"/>
        <s v="TRUBAE0204NY" u="1"/>
        <s v="HCUMIE3001GY" u="1"/>
        <s v="JILFAE5604BK" u="1"/>
        <s v="NOVMIE5301BK" u="1"/>
        <s v="ELSMIE2037MT" u="1"/>
        <s v="TRUBAE0202AR" u="1"/>
        <s v="NIXFIE3305IV" u="1"/>
        <s v="NOVFAE0105BG" u="1"/>
        <s v="ELSPTE1757GY" u="1"/>
        <s v="NOVTPE5807PP" u="1"/>
        <s v="GRAMIE0204BK" u="1"/>
        <s v="NIXFIE3302BK" u="1"/>
        <s v="NOVFAE3105BG" u="1"/>
        <s v="ELSFIE5305GR" u="1"/>
        <s v="ELSTLE5309YE" u="1"/>
        <s v="ELSEBE5829BL" u="1"/>
        <s v="BROTRE2207PK" u="1"/>
        <s v="JOIVBE5806PK" u="1"/>
        <s v="PLAHPF5006BK" u="1"/>
        <s v="ELSBAE3311LI" u="1"/>
        <s v="VBLERE5315GY" u="1"/>
        <s v="ELSTRE2717OR" u="1"/>
        <s v="HCUMIE0101GY" u="1"/>
        <s v="ELSFIE5305OR" u="1"/>
        <s v="TRUBAE3304NY" u="1"/>
        <s v="JOIMUE5316MT" u="1"/>
        <s v="TRUBAE0202OR" u="1"/>
        <s v="ELSTRE2044YE" u="1"/>
        <s v="ELSTLE2213BK" u="1"/>
        <s v="BROBAE0203KH" u="1"/>
        <s v="JILMIE0216NY" u="1"/>
        <s v="JILTPE5834BK" u="1"/>
        <s v="VBLBAE5106BK" u="1"/>
        <s v="SMBFIE0206BK" u="1"/>
        <s v="JILMIE3216NY" u="1"/>
        <s v="VBLBAE0208GR" u="1"/>
        <s v="HCUMIE0208KH" u="1"/>
        <s v="SMBFIE3206BK" u="1"/>
        <s v="SMBFLE3378BK" u="1"/>
        <s v="URBFIE3307BK" u="1"/>
        <s v="PLAERF5503NY" u="1"/>
        <s v="ELSFIE0220PK" u="1"/>
        <s v="URBFIE3313BW" u="1"/>
        <s v="ELSSBE3801BK" u="1"/>
        <s v="FFTFIE3304RE" u="1"/>
        <s v="JILFAE2232NA" u="1"/>
        <s v="SMBFLE0245RE" u="1"/>
        <s v="ELSFIE0710GY" u="1"/>
        <s v="WTRMIE0212BL" u="1"/>
        <s v="ELSFIE3710GY" u="1"/>
        <s v="SMBFIE3353RE" u="1"/>
        <s v="JILMIE3325RE" u="1"/>
        <s v="NOVBAE0107PP" u="1"/>
        <s v="VBLBAE0206BK" u="1"/>
        <s v="URBFIE3310BL" u="1"/>
        <s v="GRAFEE3309BU" u="1"/>
        <s v="FFTFIE3337BL" u="1"/>
        <s v="ELSBAE3008BK" u="1"/>
        <s v="JILMIE0214OR" u="1"/>
        <s v="FFTFIE3336KH" u="1"/>
        <s v="SMBFLE3319NY" u="1"/>
        <s v="JILMIE0011KH" u="1"/>
        <s v="ELSERE5645BK" u="1"/>
        <s v="ELSHPE5322RE" u="1"/>
        <s v="PLAJPE5307BL" u="1"/>
        <s v="SMBBEE5301NY" u="1"/>
        <s v="SMBFIE3361NY" u="1"/>
        <s v="NOVBAE3305KH" u="1"/>
        <s v="VBLBAE3308OR" u="1"/>
        <s v="NHLFIE0202BL" u="1"/>
        <s v="SMBFLE0201BL" u="1"/>
        <s v="NOVMIE0601BK" u="1"/>
        <s v="ELSBEE5337BL" u="1"/>
        <s v="ELSFIE3835BL" u="1"/>
        <s v="ELSTRE2715BL" u="1"/>
        <s v="SMBFLE3201BL" u="1"/>
        <s v="JILFAE2229NA" u="1"/>
        <s v="ELSTRE2203BW" u="1"/>
        <s v="ELSBAE3341RE" u="1"/>
        <s v="JILERE5305BK" u="1"/>
        <s v="GOOFEE5307BK" u="1"/>
        <s v="ELSACE3303OR" u="1"/>
        <s v="BILMIE0202PP" u="1"/>
        <s v="URBFIE3307BL" u="1"/>
        <s v="ELSTSE2734PK" u="1"/>
        <s v="BROBAE0202YE" u="1"/>
        <s v="ELSTRE2746BK" u="1"/>
        <s v="ELSPTE1756BW" u="1"/>
        <s v="ELSSBE3801BL" u="1"/>
        <s v="FFTFIE3338PP" u="1"/>
        <s v="JILMIE3312BK" u="1"/>
        <s v="ELSTLE2230BL" u="1"/>
        <s v="JILFEE2226NA" u="1"/>
        <s v="NOVFAE0206BL" u="1"/>
        <s v="GRAFAE3308BG" u="1"/>
        <s v="JOIEDE5311BL" u="1"/>
        <s v="BROBAE0210NY" u="1"/>
        <s v="ELSJPE5826GR" u="1"/>
        <s v="JOIFAE2704GR" u="1"/>
        <s v="VBLBAE0206BL" u="1"/>
        <s v="JILBEE5344RE" u="1"/>
        <s v="ELSBAE0007KH" u="1"/>
        <s v="PLAUME0201BL" u="1"/>
        <s v="GOOFAE3301BU" u="1"/>
        <s v="JILMIE3339YE" u="1"/>
        <s v="ELSTHE1702PK" u="1"/>
        <s v="WTRTPE5305GY" u="1"/>
        <s v="JILMIE0001GY" u="1"/>
        <s v="SMBFIE5306CL" u="1"/>
        <s v="JILEBE5036BK" u="1"/>
        <s v="JILBEE5352GY" u="1"/>
        <s v="ELSFIE3620BK" u="1"/>
        <s v="TWIBAE0717NY" u="1"/>
        <s v="NAAFLE0202NY" u="1"/>
        <s v="NOVMIE3102GR" u="1"/>
        <s v="JILMIE0001NY" u="1"/>
        <s v="HCUMIE3008BK" u="1"/>
        <s v="ELSBAE3311PK" u="1"/>
        <s v="WTRMIE5301GY" u="1"/>
        <s v="NOVFAE0207PP" u="1"/>
        <s v="JILMIE0243BK" u="1"/>
        <s v="NYABAE0037BW" u="1"/>
        <s v="NOVMIE0204NY" u="1"/>
        <s v="FFTFIE0249RE" u="1"/>
        <s v="JILEBE5360GY" u="1"/>
        <s v="ELSTLE2209WH" u="1"/>
        <s v="GOOTRE2015PK" u="1"/>
        <s v="NOVTPF5010NY" u="1"/>
        <s v="JILBEE5361YE" u="1"/>
        <s v="NOVFAE0605BG" u="1"/>
        <s v="SMBFLE0246BK" u="1"/>
        <s v="NOVFAE3605BG" u="1"/>
        <s v="ELSTLE5809YE" u="1"/>
        <s v="BELFEF5003BK" u="1"/>
        <s v="PLAUME3301BL" u="1"/>
        <s v="URBFIE3305RE" u="1"/>
        <s v="SMBFIE3354BK" u="1"/>
        <s v="JOIEDE5313MT" u="1"/>
        <s v="JILMIE3326BK" u="1"/>
        <s v="PLAHPF5506BK" u="1"/>
        <s v="GOOMIE5308GY" u="1"/>
        <s v="NOVTPE5308NY" u="1"/>
        <s v="ELSBAE3811LI" u="1"/>
        <s v="NOVBAE3312NY" u="1"/>
        <s v="ELSJSE1228YE" u="1"/>
        <s v="JILMIE0243PK" u="1"/>
        <s v="JOIMUE5816MT" u="1"/>
        <s v="ELSTLE2713BK" u="1"/>
        <s v="NAABAE0211LI" u="1"/>
        <s v="FFTFIE0219BK" u="1"/>
        <s v="ELSHPE5323BK" u="1"/>
        <s v="GRAFAE3308KH" u="1"/>
        <s v="VBLBAE0708GR" u="1"/>
        <s v="SMBFLE3878BK" u="1"/>
        <s v="GRAFAE0206NA" u="1"/>
        <s v="ELSFIE0720PK" u="1"/>
        <s v="NIXFIE3305NY" u="1"/>
        <s v="ELSHPE1205KH" u="1"/>
        <s v="ELSTRE2202BU" u="1"/>
        <s v="SMBFIE0210GR" u="1"/>
        <s v="VBLFIE2213BG" u="1"/>
        <s v="JILMIE0201NY" u="1"/>
        <s v="SMBBAE0231BL" u="1"/>
        <s v="ELSTHE1201PK" u="1"/>
        <s v="SMBTRE2221PP" u="1"/>
        <s v="ELSTPE5831NY" u="1"/>
        <s v="WTRMIE0210BG" u="1"/>
        <s v="NOVBAE0607PP" u="1"/>
        <s v="SMBFLE0204NY" u="1"/>
        <s v="NAABAE3301NY" u="1"/>
        <s v="FFTFIE3305BL" u="1"/>
        <s v="JILFAE2031NA" u="1"/>
        <s v="SMBERF5032BK" u="1"/>
        <s v="BROMIE0064NY" u="1"/>
        <s v="GRAMIE0202BG" u="1"/>
        <s v="TRUBAE0203NY" u="1"/>
        <s v="URBFIE3311OR" u="1"/>
        <s v="NAASNF3006NY" u="1"/>
        <s v="SMBFLE3819NY" u="1"/>
        <s v="JILBEE5345BK" u="1"/>
        <s v="ELSHPE5822RE" u="1"/>
        <s v="ELSFAE0225PK" u="1"/>
        <s v="URBFIE3319YE" u="1"/>
        <s v="PLAJPE5807BL" u="1"/>
        <s v="ELSFIE0221OR" u="1"/>
        <s v="SMBFIE3861NY" u="1"/>
        <s v="WTRERE5306OR" u="1"/>
        <s v="GRAMIE0203BK" u="1"/>
        <s v="SMBFLE0701BL" u="1"/>
        <s v="ELSFIE3221OR" u="1"/>
        <s v="NASFLE0045GR" u="1"/>
        <s v="ELSTRE2744YE" u="1"/>
        <s v="SMBFLE3701BL" u="1"/>
        <s v="ELSTRE2703BW" u="1"/>
        <s v="JILMIE0011BK" u="1"/>
        <s v="ELSBAE3841RE" u="1"/>
        <s v="TRUMIE0212GY" u="1"/>
        <s v="WTRFAE0204OR" u="1"/>
        <s v="JOIEBE5106BW" u="1"/>
        <s v="JILMIE3011BK" u="1"/>
        <s v="BMDBAE0204BK" u="1"/>
        <s v="NOVFAE0105BK" u="1"/>
        <s v="PLAJPE5306BK" u="1"/>
        <s v="B1AFIE0202BK" u="1"/>
        <s v="GRAFAE5307RE" u="1"/>
        <s v="ELSTLE2260LI" u="1"/>
        <s v="TRUBAE0209RE" u="1"/>
        <s v="JILBEE5345PK" u="1"/>
        <s v="ELSBEE5336BK" u="1"/>
        <s v="TWIBAE0212BK" u="1"/>
        <s v="ELSTLE2730BL" u="1"/>
        <s v="FFTFIE0236BL" u="1"/>
        <s v="JILMIE0215NY" u="1"/>
        <s v="ELSTSE2235MT" u="1"/>
        <s v="TRUFIE3305BK" u="1"/>
        <s v="SMBFIE0205BK" u="1"/>
        <s v="JILMIE3215NY" u="1"/>
        <s v="NAASNF3002BK" u="1"/>
        <s v="SMBFLE3321NY" u="1"/>
        <s v="ELSUME0014PK" u="1"/>
        <s v="BROMIE5111KH" u="1"/>
        <s v="SMBFIE3205BK" u="1"/>
        <s v="DPSEBF5509PP" u="1"/>
        <s v="FFTFIE0218WH" u="1"/>
        <s v="PLATLF4001NY" u="1"/>
        <s v="ELSUME3014PK" u="1"/>
        <s v="URBFIE3306BK" u="1"/>
        <s v="DAKTPE5308BK" u="1"/>
        <s v="JILBEE5844RE" u="1"/>
        <s v="FFTFIE3319BL" u="1"/>
        <s v="ELSTSE2231RE" u="1"/>
        <s v="ELSEBE5330BL" u="1"/>
        <s v="DAKEBE5801BL" u="1"/>
        <s v="PLAUME0003BW" u="1"/>
        <s v="PLAUME0701BL" u="1"/>
        <s v="PLAUME3003BW" u="1"/>
        <s v="FFTFIE3303RE" u="1"/>
        <s v="SMBFLE0244RE" u="1"/>
        <s v="JILTPE5336GY" u="1"/>
        <s v="SMBBAE3359BK" u="1"/>
        <s v="ELSBAE3811PK" u="1"/>
        <s v="JILMIE3324YE" u="1"/>
        <s v="NOVFAE0707PP" u="1"/>
        <s v="ELSTLE2709WH" u="1"/>
        <s v="VBLBAE3307OR" u="1"/>
        <s v="BELFAF5009GY" u="1"/>
        <s v="SMBFIE3854BK" u="1"/>
        <s v="GRABEE3312ZZ" u="1"/>
        <s v="JILMUE5366NY" u="1"/>
        <s v="BROBAE0201RE" u="1"/>
        <s v="JILFAE2228NA" u="1"/>
        <s v="ELSBAE3007PK" u="1"/>
        <s v="NOVBAE3310MT" u="1"/>
        <s v="FFTFIE0234RE" u="1"/>
        <s v="NREBAE0038BW" u="1"/>
        <s v="ELSJSE1728YE" u="1"/>
        <s v="FFTFIE3234RE" u="1"/>
        <s v="TWIBAE0001NY" u="1"/>
        <s v="JILFAE2221GR" u="1"/>
        <s v="BELFEF5006GY" u="1"/>
        <s v="HCUMIE3010BK" u="1"/>
        <s v="ELSHPE5823BK" u="1"/>
        <s v="JILMIE3311BK" u="1"/>
        <s v="JILMIE0208BK" u="1"/>
        <s v="ELSTLE2211WH" u="1"/>
        <s v="ELSERE5333NY" u="1"/>
        <s v="SMBFLE0249NY" u="1"/>
        <s v="ELSHPE1705KH" u="1"/>
        <s v="SMBFIE0219PK" u="1"/>
        <s v="ELSTRE2702BU" u="1"/>
        <s v="ELSFIE0221MT" u="1"/>
        <s v="ELSBAE0007BL" u="1"/>
        <s v="VBLBAE2204KH" u="1"/>
        <s v="ELSFIE3221MT" u="1"/>
        <s v="NAAFLE0201GY" u="1"/>
        <s v="ELSTHE1701PK" u="1"/>
        <s v="WTRBAE0001BK" u="1"/>
        <s v="TWIBAE0208KH" u="1"/>
        <s v="ELSEBE5329MT" u="1"/>
        <s v="ELSEDE5102BK" u="1"/>
        <s v="SMBFLE0704NY" u="1"/>
        <s v="ELSBEE5338MT" u="1"/>
        <s v="BMDBAE0202RE" u="1"/>
        <s v="BMDBAE3202RE" u="1"/>
        <s v="BILBAE0203RE" u="1"/>
        <s v="ELSTLE2260PK" u="1"/>
        <s v="ELSTLE2210RE" u="1"/>
        <s v="ELSTSE2232BK" u="1"/>
        <s v="VBLBAE0103RE" u="1"/>
        <s v="VBLBAE3103RE" u="1"/>
        <s v="SMBFIE5355OR" u="1"/>
        <s v="ELSFIE0721OR" u="1"/>
        <s v="WTRERE5806OR" u="1"/>
        <s v="ELSFIE3721OR" u="1"/>
        <s v="URBFIE3304RE" u="1"/>
        <s v="ELSFIE0001BK" u="1"/>
        <s v="HCUMIE0210BK" u="1"/>
        <s v="GRAMIE5301RE" u="1"/>
        <s v="ELSFIE3001BK" u="1"/>
        <s v="JOIEBE5606BW" u="1"/>
        <s v="NOVFAE0605BK" u="1"/>
        <s v="SMBFIE0211GY" u="1"/>
        <s v="NAAFLE0207RE" u="1"/>
        <s v="PLAJPE5806BK" u="1"/>
        <s v="SMBBAE0230PK" u="1"/>
        <s v="JILBEE5348GY" u="1"/>
        <s v="WTRHUE0209KH" u="1"/>
        <s v="SMBBAE3230PK" u="1"/>
        <s v="JILMIE0207KH" u="1"/>
        <s v="PLATLF5008BK" u="1"/>
        <s v="VBLBAE0219BL" u="1"/>
        <s v="BROERE5106OR" u="1"/>
        <s v="ELSBEE5304BK" u="1"/>
        <s v="NIXFIE3304GY" u="1"/>
        <s v="NAABAE0210LI" u="1"/>
        <s v="ELSTLE5310RE" u="1"/>
        <s v="ELSTSE2735MT" u="1"/>
        <s v="SMBFIE0705BK" u="1"/>
        <s v="SMBFIE3705BK" u="1"/>
        <s v="PLATLF4501NY" u="1"/>
        <s v="GRAFAE0205NA" u="1"/>
        <s v="GRACTE0201BG" u="1"/>
        <s v="ELSBAE3341BK" u="1"/>
        <s v="ELSPTE4833RE" u="1"/>
        <s v="ELSTSE2731RE" u="1"/>
        <s v="ELSEBE5830BL" u="1"/>
        <s v="NOVBAE3317RE" u="1"/>
        <s v="JILERE5306MT" u="1"/>
        <s v="ELSERE5309PK" u="1"/>
        <s v="SMBFIE0134RE" u="1"/>
        <s v="SMBFLE0744RE" u="1"/>
        <s v="ELSBEE5304PK" u="1"/>
        <s v="JILFAE2233PK" u="1"/>
        <s v="SMBBAE0230BL" u="1"/>
        <s v="SMBBAE3374RE" u="1"/>
        <s v="SMBFIE3134RE" u="1"/>
        <s v="B1AFIE0205NY" u="1"/>
        <s v="SMBFLE3744RE" u="1"/>
        <s v="ELSTPE5108BU" u="1"/>
        <s v="ELSTSE2246BK" u="1"/>
        <s v="SMBBAE0227PK" u="1"/>
        <s v="SMBFLE0203NY" u="1"/>
        <s v="URBFIE3309GY" u="1"/>
        <s v="NYAFLE0040NY" u="1"/>
        <s v="GRAMIE3306GY" u="1"/>
        <s v="JILHUE0212KH" u="1"/>
        <s v="SMBFLE3203NY" u="1"/>
        <s v="ELSTLE2215NY" u="1"/>
        <s v="ELSTSE2231KH" u="1"/>
        <s v="VBLBAE5303RE" u="1"/>
        <s v="SMBFIE0208NY" u="1"/>
        <s v="ELSTLE5307RE" u="1"/>
        <s v="GRAMIE3306NY" u="1"/>
        <s v="ELSBPE3811BW" u="1"/>
        <s v="ELSTHE5318NY" u="1"/>
        <s v="PLAACE0202MT" u="1"/>
        <s v="GRAMIE0202BK" u="1"/>
        <s v="BROBAE0205BW" u="1"/>
        <s v="ELSBPE0104BK" u="1"/>
        <s v="ELSBPE3104BK" u="1"/>
        <s v="VBLBAE3311NY" u="1"/>
        <s v="NBRFLE0039BK" u="1"/>
        <s v="GOOMIE0203BL" u="1"/>
        <s v="BMDBAE0203BK" u="1"/>
        <s v="JOIEBE5803BL" u="1"/>
        <s v="PLAJPE5305BK" u="1"/>
        <s v="ELSBEE5149BK" u="1"/>
        <s v="SMBFLE3320GY" u="1"/>
        <s v="ELSFIE5647BK" u="1"/>
        <s v="TRUFIE3306OR" u="1"/>
        <s v="JILMIE0214NY" u="1"/>
        <s v="HCUMIE0207BL" u="1"/>
        <s v="SMBFLE3316BU" u="1"/>
        <s v="HCUMIE0206KH" u="1"/>
        <s v="ELSTLE2711WH" u="1"/>
        <s v="ELSERE5833NY" u="1"/>
        <s v="SMBFIE0721KH" u="1"/>
        <s v="ELSTHE5314BK" u="1"/>
        <s v="JILBEE5361PK" u="1"/>
        <s v="FFTFIE3318BL" u="1"/>
        <s v="ELSERE5310YE" u="1"/>
        <s v="ELSFIE0721MT" u="1"/>
        <s v="VBLBAE2704KH" u="1"/>
        <s v="NIXFIE3303BW" u="1"/>
        <s v="ELSFIE3721MT" u="1"/>
        <s v="FFTFIE0252BL" u="1"/>
        <s v="BROBAE0201WH" u="1"/>
        <s v="ELSEBE5829MT" u="1"/>
        <s v="ELSBEE5838MT" u="1"/>
        <s v="ELSTLE5311BK" u="1"/>
        <s v="SMBFIE0721WH" u="1"/>
        <s v="ELSJSE1228PK" u="1"/>
        <s v="ELSBPE0204PK" u="1"/>
        <s v="FFTFIE3335BL" u="1"/>
        <s v="ELSEDE5319BW" u="1"/>
        <s v="HCUMIE3306KH" u="1"/>
        <s v="NOVMIE0201MT" u="1"/>
        <s v="ELSTLE2710RE" u="1"/>
        <s v="ELSTSE2732BK" u="1"/>
        <s v="FFTFIE0251WH" u="1"/>
        <s v="BROERE5117KH" u="1"/>
        <s v="FFTFIE3251WH" u="1"/>
        <s v="SMBFIE0135BK" u="1"/>
        <s v="SMBFIE5855OR" u="1"/>
        <s v="NAABAE0210PK" u="1"/>
        <s v="FFTFIE0237MT" u="1"/>
        <s v="SMBFIE3135BK" u="1"/>
        <s v="NOVBAE5304BL" u="1"/>
        <s v="ELSPTE4329RE" u="1"/>
        <s v="JILTPE5333GR" u="1"/>
        <s v="JILFAE2227NA" u="1"/>
        <s v="DAKBEE5307OR" u="1"/>
        <s v="PLATLF5508BK" u="1"/>
        <s v="ELSTLE5308BK" u="1"/>
        <s v="ELSBEE5804BK" u="1"/>
        <s v="ELSERE5332GY" u="1"/>
        <s v="FFTFIE0241GY" u="1"/>
        <s v="ELSTLE5810RE" u="1"/>
        <s v="FFTFIE0222AR" u="1"/>
        <s v="FFTFIE3241GY" u="1"/>
        <s v="JILMIE0207BK" u="1"/>
        <s v="FFTFIE0250RE" u="1"/>
        <s v="ELSFIE0013RE" u="1"/>
        <s v="SMBFLE0248NY" u="1"/>
        <s v="FFTFIE3250RE" u="1"/>
        <s v="ELSFIE3013RE" u="1"/>
        <s v="ELSBAE3841BK" u="1"/>
        <s v="PLABPE3304BK" u="1"/>
        <s v="JILERE5806MT" u="1"/>
        <s v="GRAFAE5307BK" u="1"/>
        <s v="JILFEE3815OR" u="1"/>
        <s v="SMBFIE0634RE" u="1"/>
        <s v="B1AMIE0201BK" u="1"/>
        <s v="JILMIE0243GR" u="1"/>
        <s v="ELSBEE5804PK" u="1"/>
        <s v="ELSTSE2233GR" u="1"/>
        <s v="SMBFIE3634RE" u="1"/>
        <s v="ELSFIE3013YE" u="1"/>
        <s v="ELSTPE5608BU" u="1"/>
        <s v="ELSTSE2746BK" u="1"/>
        <s v="ELSEBE5328MT" u="1"/>
        <s v="NOVBAE0210NY" u="1"/>
        <s v="ELSTLE2715NY" u="1"/>
        <s v="ELSTSE2731KH" u="1"/>
        <s v="VBLBAE0218PK" u="1"/>
        <s v="SMBFLE0243BG" u="1"/>
        <s v="SMBFIE0708NY" u="1"/>
        <s v="ELSTLE5807RE" u="1"/>
        <s v="SMBFIE3708NY" u="1"/>
        <s v="NAAFLE0209PP" u="1"/>
        <s v="ELSTSE2231BK" u="1"/>
        <s v="ELSTHE5818NY" u="1"/>
        <s v="VBLBAE5304BL" u="1"/>
        <s v="NOVTPE5306GY" u="1"/>
        <s v="SMBFIE0202RE" u="1"/>
        <s v="ELSBPE0604BK" u="1"/>
        <s v="SMBFIE3202RE" u="1"/>
        <s v="ELSTSE2258RE" u="1"/>
        <s v="ELSBPE3604BK" u="1"/>
        <s v="ELSTSE2259LI" u="1"/>
        <s v="GRABAE3304NA" u="1"/>
        <s v="ELSHPE5304BK" u="1"/>
        <s v="VBLBAE3811NY" u="1"/>
        <s v="NOVTPE5306NY" u="1"/>
        <s v="NAAFLE0206RE" u="1"/>
        <s v="NOVMIE3302GY" u="1"/>
        <s v="BILMIE0202GY" u="1"/>
        <s v="JILMIE0206KH" u="1"/>
        <s v="FFTFIE0217BK" u="1"/>
        <s v="ELSBAE5306PK" u="1"/>
        <s v="ELSTSE2266NY" u="1"/>
        <s v="SMBFLE3816BU" u="1"/>
        <s v="ELSTHE1226RE" u="1"/>
        <s v="ELSTLE1206RE" u="1"/>
        <s v="TRUBAE0208KH" u="1"/>
        <s v="ELSTHE5814BK" u="1"/>
        <s v="URBFIE3320YE" u="1"/>
        <s v="VBLFIE2214GR" u="1"/>
        <s v="ELSERE5810YE" u="1"/>
        <s v="JILBEE5042KH" u="1"/>
        <s v="BMDMIE3301GY" u="1"/>
        <s v="ELSTHE1226YE" u="1"/>
        <s v="ELSTLE2214GY" u="1"/>
        <s v="HCUMIE0206BK" u="1"/>
        <s v="ELSTRE2208KH" u="1"/>
        <s v="JILMIE3327BW" u="1"/>
        <s v="JOIEBE5305GY" u="1"/>
        <s v="DAKEBE5801OR" u="1"/>
        <s v="SMBBAE0226PK" u="1"/>
        <s v="JILMIE0054KH" u="1"/>
        <s v="ELSEBE5329NY" u="1"/>
        <s v="SMBFLE0202NY" u="1"/>
        <s v="SMBBAE3226PK" u="1"/>
        <s v="FFTFIE3317BK" u="1"/>
        <s v="URBFIE5308GY" u="1"/>
        <s v="ELSJSE1728PK" u="1"/>
        <s v="TRUBAE0210RE" u="1"/>
        <s v="TRUBAE0208WH" u="1"/>
        <s v="NOVBAE0003BL" u="1"/>
        <s v="ELSBPE0704PK" u="1"/>
        <s v="NINFLE0043NY" u="1"/>
        <s v="VBLBAE3107NY" u="1"/>
        <s v="ELSBPE3704PK" u="1"/>
        <s v="NOVERE5318RE" u="1"/>
        <s v="ELSPTE1229KH" u="1"/>
        <s v="BROBAE0201PK" u="1"/>
        <s v="SMBFIE0207NY" u="1"/>
        <s v="JILBEE5007RE" u="1"/>
        <s v="TRUBAE0201NY" u="1"/>
        <s v="NOVMIE0701MT" u="1"/>
        <s v="VBLBAE0003BK" u="1"/>
        <s v="VBLBAE3003BK" u="1"/>
        <s v="TRUBAE0206NA" u="1"/>
        <s v="SMBFIE0635BK" u="1"/>
        <s v="ELSTLE2212GR" u="1"/>
        <s v="SMBFIE3635BK" u="1"/>
        <s v="HCUMIE3306BK" u="1"/>
        <s v="NOVBAE5804BL" u="1"/>
        <s v="ELSBEE5303BL" u="1"/>
        <s v="JILTPE5833GR" u="1"/>
        <s v="ELSBEE5323BW" u="1"/>
        <s v="VBLBAE3216RE" u="1"/>
        <s v="BMDBAE0202BK" u="1"/>
        <s v="VBLBAE0207NY" u="1"/>
        <s v="JILEBE5369GY" u="1"/>
        <s v="FFTFIE0201RE" u="1"/>
        <s v="BMDBAE3202BK" u="1"/>
        <s v="BILBAE0203BK" u="1"/>
        <s v="JOIVBE5306NY" u="1"/>
        <s v="ELSTLE5808BK" u="1"/>
        <s v="GOOTRE2212KH" u="1"/>
        <s v="DAKBEE5307BU" u="1"/>
        <s v="ELSERE5832GY" u="1"/>
        <s v="BROBAE0201BL" u="1"/>
        <s v="ELSTLE2210BK" u="1"/>
        <s v="NAAFIE3317GR" u="1"/>
        <s v="JILEBE5369NY" u="1"/>
        <s v="HCUMIE0205KH" u="1"/>
        <s v="NAAFIE3314BG" u="1"/>
        <s v="ELSBPE0203BK" u="1"/>
        <s v="URBFIE3304BK" u="1"/>
        <s v="BMDBAE0202PK" u="1"/>
        <s v="BMDBAE3202PK" u="1"/>
        <s v="NAABAE0211OR" u="1"/>
        <s v="GRAMIE0204BW" u="1"/>
        <s v="GRAFEE3310GY" u="1"/>
        <s v="NAAFIE3315BK" u="1"/>
        <s v="ELSEBE5828MT" u="1"/>
        <s v="URBFIE3321BK" u="1"/>
        <s v="ELSTSE2259PK" u="1"/>
        <s v="ELSTHE1227BK" u="1"/>
        <s v="ELSBAE0052YE" u="1"/>
        <s v="ELSBPE0602YE" u="1"/>
        <s v="ELSBPE3602YE" u="1"/>
        <s v="GOOTRE2016GY" u="1"/>
        <s v="ELSPTE4833BK" u="1"/>
        <s v="ELSTSE2731BK" u="1"/>
        <s v="ELSBAE3312NY" u="1"/>
        <s v="SMBFIE0702RE" u="1"/>
        <s v="GOOTRE2211RE" u="1"/>
        <s v="SMBFIE3702RE" u="1"/>
        <s v="ELSTSE2758RE" u="1"/>
        <s v="HCUMIE0009GY" u="1"/>
        <s v="ELSTSE2759LI" u="1"/>
        <s v="ELSHPE5804BK" u="1"/>
        <s v="JILMIE0040BK" u="1"/>
        <s v="SMBFIE0217BK" u="1"/>
        <s v="ELSTLE1207PK" u="1"/>
        <s v="FFTFIE0232RE" u="1"/>
        <s v="SMBFIE0203BL" u="1"/>
        <s v="JOIFAE0703NY" u="1"/>
        <s v="URBFIE3318BK" u="1"/>
        <s v="DAKBEE5306OR" u="1"/>
        <s v="FFTFIE3232RE" u="1"/>
        <s v="SMBFIE3203BL" u="1"/>
        <s v="ELSTSE2259BL" u="1"/>
        <s v="PLAPTF5004GY" u="1"/>
        <s v="ELSBPE0202KH" u="1"/>
        <s v="NAABAE3308GR" u="1"/>
        <s v="JILFEE2223NA" u="1"/>
        <s v="ELSBAE3008BW" u="1"/>
        <s v="ELSTSE2766NY" u="1"/>
        <s v="ELSTHE1726RE" u="1"/>
        <s v="ELSTLE1706RE" u="1"/>
        <s v="GRAFAE5305BG" u="1"/>
        <s v="JILMIE0206BK" u="1"/>
        <s v="ELSTSE2243YE" u="1"/>
        <s v="HCUMIE3109GY" u="1"/>
        <s v="ELSTLE5310BL" u="1"/>
        <s v="FFTFIE0202BK" u="1"/>
        <s v="ELSTHE1726YE" u="1"/>
        <s v="ELSTLE2714GY" u="1"/>
        <s v="ELSTRE2708KH" u="1"/>
        <s v="ELSHPE5324GY" u="1"/>
        <s v="JOIEBE5805GY" u="1"/>
        <s v="JOIFAE2701OR" u="1"/>
        <s v="ELSEBE5829NY" u="1"/>
        <s v="SMBFLE0245GR" u="1"/>
        <s v="ELSEDE5320BU" u="1"/>
        <s v="JILBEE5042BK" u="1"/>
        <s v="SMBBAE0229NY" u="1"/>
        <s v="ELSPTE1729KH" u="1"/>
        <s v="SMBFLE0242BG" u="1"/>
        <s v="SMBBAE3229NY" u="1"/>
        <s v="SMBFIE0707NY" u="1"/>
        <s v="JILMIE0054BK" u="1"/>
        <s v="ELSBAE3307OR" u="1"/>
        <s v="ELSTSE2248GY" u="1"/>
        <s v="JOIERE5801PK" u="1"/>
        <s v="ELSBEE5304GR" u="1"/>
        <s v="JILFAE2233GR" u="1"/>
        <s v="FFTFIE3302BK" u="1"/>
        <s v="ELSTLE2712GR" u="1"/>
        <s v="ELSBPE0201RE" u="1"/>
        <s v="ELSBEE5803BL" u="1"/>
        <s v="GOOMIE3305GY" u="1"/>
        <s v="ELSERE5310PK" u="1"/>
        <s v="WTRBAE0201GR" u="1"/>
        <s v="VBLBAE0707NY" u="1"/>
        <s v="SMBFIE0201YE" u="1"/>
        <s v="WTRBAE3201GR" u="1"/>
        <s v="JOIVBE5806NY" u="1"/>
        <s v="JILHUE0211PK" u="1"/>
        <s v="JILBEE5355RE" u="1"/>
        <s v="ELSHPE1219OR" u="1"/>
        <s v="ELSTLE2710BK" u="1"/>
        <s v="ELSHPE5320BK" u="1"/>
        <s v="FFTFIE0202BL" u="1"/>
        <s v="ELSBPE0603PK" u="1"/>
        <s v="ELSFIE0220GY" u="1"/>
        <s v="ELSBPE3603PK" u="1"/>
        <s v="ELSPTE4329BK" u="1"/>
        <s v="WTRMIE3304RE" u="1"/>
        <s v="ELSFIE3220GY" u="1"/>
        <s v="JILEBE5346YE" u="1"/>
        <s v="BMDERE5302RE" u="1"/>
        <s v="ELSEBE5328GY" u="1"/>
        <s v="JOIEBE5317MT" u="1"/>
        <s v="JILEBE5354NY" u="1"/>
        <s v="NAASNF3003GY" u="1"/>
        <s v="WTRFAE0203NY" u="1"/>
        <s v="JILMIE0053KH" u="1"/>
        <s v="ELSHPE1220BL" u="1"/>
        <s v="FFTFIE3316BK" u="1"/>
        <s v="BELCTF5001NY" u="1"/>
        <s v="ELSTSE2759PK" u="1"/>
        <s v="JOIEDE5110IV" u="1"/>
        <s v="TRUBAE0207WH" u="1"/>
        <s v="TWIBAE0213NY" u="1"/>
        <s v="ELSPTE4329PK" u="1"/>
        <s v="ELSTHE1727BK" u="1"/>
        <s v="TRUBAE0210LI" u="1"/>
        <s v="ELSBAE0053BL" u="1"/>
        <s v="ELSFIE0013BK" u="1"/>
        <s v="TRUFIE3306NY" u="1"/>
        <s v="ELSFIE3013BK" u="1"/>
        <s v="JILMIE3323BL" u="1"/>
        <s v="NAAFIE3318GY" u="1"/>
        <s v="ELSBAE3812NY" u="1"/>
        <s v="TRUBAE0209PP" u="1"/>
        <s v="VBLBAE0215RE" u="1"/>
        <s v="NAABAE0212NY" u="1"/>
        <s v="SMBFLE0257PK" u="1"/>
        <s v="ELSTLE1707PK" u="1"/>
        <s v="SMBBAE0225BL" u="1"/>
        <s v="VBLBAE3216LI" u="1"/>
        <s v="VBLBAE0206NY" u="1"/>
        <s v="SMBFIE0703BL" u="1"/>
        <s v="JILMIE0204YE" u="1"/>
        <s v="SMBFIE3703BL" u="1"/>
        <s v="ELSTSE2759BL" u="1"/>
        <s v="ELSBAE0008NY" u="1"/>
        <s v="ELSPTE4329BL" u="1"/>
        <s v="ELSTSE2247BW" u="1"/>
        <s v="ELSBAE3008NY" u="1"/>
        <s v="ELSTSE2261PK" u="1"/>
        <s v="SMBBAE3377GY" u="1"/>
        <s v="NAAFLE0205BG" u="1"/>
        <s v="SMBFLE3314BU" u="1"/>
        <s v="ELSFIE3326RE" u="1"/>
        <s v="HCUMIE0204KH" u="1"/>
        <s v="ELSTSE2258BK" u="1"/>
        <s v="ELSTSE2743YE" u="1"/>
        <s v="ELSTLE5810BL" u="1"/>
        <s v="NAAFLE0206BK" u="1"/>
        <s v="VBLBAE3306NY" u="1"/>
        <s v="WTRTPE5109BL" u="1"/>
        <s v="JILFEE2740NA" u="1"/>
        <s v="ELSFIE0033BW" u="1"/>
        <s v="JILBEE5356BK" u="1"/>
        <s v="ELSTLE1208OR" u="1"/>
        <s v="JILHUE5307KH" u="1"/>
        <s v="SMBBAE3375GR" u="1"/>
        <s v="GOOTRE2208KH" u="1"/>
        <s v="ELSACE3301NY" u="1"/>
        <s v="SMBTRE2220NY" u="1"/>
        <s v="FFTFIE3333BL" u="1"/>
        <s v="SMBFLE0742BG" u="1"/>
        <s v="BMDFIE0206WH" u="1"/>
        <s v="ELSTHE5312PK" u="1"/>
        <s v="SMBBAE0239BL" u="1"/>
        <s v="ELSTSE2748GY" u="1"/>
        <s v="ELSFIE0213PK" u="1"/>
        <s v="ELSBEE5804GR" u="1"/>
        <s v="JILEBE5036GY" u="1"/>
        <s v="ELSEDE5103GY" u="1"/>
        <s v="ELSBPE0205BW" u="1"/>
        <s v="ELSTSE2245PP" u="1"/>
        <s v="ELSTLE1223BK" u="1"/>
        <s v="ELSTHE5315BW" u="1"/>
        <s v="ELSERE5810PK" u="1"/>
        <s v="FFTFIE0247BL" u="1"/>
        <s v="JILWAE5363BK" u="1"/>
        <s v="FFTFIE3332WH" u="1"/>
        <s v="SMBFIE0216BK" u="1"/>
        <s v="WTRBAE0701GR" u="1"/>
        <s v="TRUBAE0210BK" u="1"/>
        <s v="GOOFEE3303BK" u="1"/>
        <s v="SMBFIE0701YE" u="1"/>
        <s v="WTRBAE3701GR" u="1"/>
        <s v="VBLBAE5302BK" u="1"/>
        <s v="JILMIE0243GY" u="1"/>
        <s v="FFTFIE0229WH" u="1"/>
        <s v="URBFIE3317BK" u="1"/>
        <s v="ELSERE5313NY" u="1"/>
        <s v="FFTFIE3229WH" u="1"/>
        <s v="JILBEE5359BW" u="1"/>
        <s v="JILBEE5855RE" u="1"/>
        <s v="ELSHPE1719OR" u="1"/>
        <s v="FFTFIE3334PP" u="1"/>
        <s v="JILBEE5071RE" u="1"/>
        <s v="FFTFIE0231YE" u="1"/>
        <s v="JILMIE0243NY" u="1"/>
        <s v="JILBEE5344MT" u="1"/>
        <s v="ELSFIE0720GY" u="1"/>
        <s v="FFTFIE3231YE" u="1"/>
        <s v="VBLBAE0216BK" u="1"/>
        <s v="ELSTSE2242YE" u="1"/>
        <s v="VBLBAE3216BK" u="1"/>
        <s v="JILBEE5355KH" u="1"/>
        <s v="SMBFLE0208BK" u="1"/>
        <s v="VBLBAE0202BL" u="1"/>
        <s v="ELSEBE5828GY" u="1"/>
        <s v="JOIERE5802OR" u="1"/>
        <s v="SMBFLE3208BK" u="1"/>
        <s v="ELSHPE1204OR" u="1"/>
        <s v="JOIEBE5817MT" u="1"/>
        <s v="PLABPE3302BK" u="1"/>
        <s v="GRAFAE5305BK" u="1"/>
        <s v="ELSTSE2250NY" u="1"/>
        <s v="GOOMIE0204GY" u="1"/>
        <s v="SMBFLE3329NY" u="1"/>
        <s v="ELSHPE1720BL" u="1"/>
        <s v="SMBFLE0244GR" u="1"/>
        <s v="ELSBAE5306GR" u="1"/>
        <s v="BROBAE0203GY" u="1"/>
        <s v="BELFAF5002BK" u="1"/>
        <s v="SMBBAE0228NY" u="1"/>
        <s v="NAAFLE3310PP" u="1"/>
        <s v="DAKBEE5306BW" u="1"/>
        <s v="GRATPE5302RE" u="1"/>
        <s v="SMBBAE0237YE" u="1"/>
        <s v="JILHUE0210BK" u="1"/>
        <s v="ELSFIE0209KH" u="1"/>
        <s v="FFTFIE3301BK" u="1"/>
        <s v="JILMIE0152BG" u="1"/>
        <s v="ELSTLE5305KH" u="1"/>
        <s v="SMBFLE0757PK" u="1"/>
        <s v="JILFEE2236NA" u="1"/>
        <s v="DAKTPE5303RE" u="1"/>
        <s v="JILCME5364BK" u="1"/>
        <s v="SMBFLE3757PK" u="1"/>
        <s v="ELSERE5308OR" u="1"/>
        <s v="BROTRE2206NY" u="1"/>
        <s v="JILBEE5345GY" u="1"/>
        <s v="JILFEE0024BK" u="1"/>
        <s v="ELSTSE2747BW" u="1"/>
        <s v="VBLBAE3216BL" u="1"/>
        <s v="FFTFIE0215BK" u="1"/>
        <s v="FFTFIE0201BL" u="1"/>
        <s v="JILBEE5345NY" u="1"/>
        <s v="BELCTF5007KH" u="1"/>
        <s v="ELSTSE2264NY" u="1"/>
        <s v="ELSFIE0743YE" u="1"/>
        <s v="SMBFLE3814BU" u="1"/>
        <s v="ELSFIE3826RE" u="1"/>
        <s v="HCUMIE0704KH" u="1"/>
        <s v="ELSTSE2758BK" u="1"/>
        <s v="BROBAE0202IV" u="1"/>
        <s v="JILCME5364PK" u="1"/>
        <s v="ELSJPE5302BK" u="1"/>
        <s v="NHLFIE0201GY" u="1"/>
        <s v="ELSTRE2207BL" u="1"/>
        <s v="ELSFIE3326KH" u="1"/>
        <s v="JILBEE5856BK" u="1"/>
        <s v="ELSTLE1708OR" u="1"/>
        <s v="JILMIE0052KH" u="1"/>
        <s v="ELSBAE0649KH" u="1"/>
        <s v="FFTFIE3315BK" u="1"/>
        <s v="ELSBPE0103GR" u="1"/>
        <s v="ELSFIE0031GR" u="1"/>
        <s v="ELSBPE3103GR" u="1"/>
        <s v="DAKBEE5004GR" u="1"/>
        <s v="ELSFIE3031GR" u="1"/>
        <s v="ELSBAE0052BL" u="1"/>
        <s v="TRUFIE3305NY" u="1"/>
        <s v="SMBFLE0241KH" u="1"/>
        <s v="ELSTSE2263IV" u="1"/>
        <s v="ELSFIE0713PK" u="1"/>
        <s v="ELSFIE3713PK" u="1"/>
        <s v="ELSBPE0705BW" u="1"/>
        <s v="ELSTSE2745PP" u="1"/>
        <s v="VBLBAE0103GR" u="1"/>
        <s v="HCUMIE3304BK" u="1"/>
        <s v="JILMIE0203RE" u="1"/>
        <s v="TWIBAE0210GR" u="1"/>
        <s v="ELSTLE1723BK" u="1"/>
        <s v="ELSTHE5815BW" u="1"/>
        <s v="ELSBPE0101BK" u="1"/>
        <s v="VBLBAE3103GR" u="1"/>
        <s v="BMDBAE0202OR" u="1"/>
        <s v="ELSBPE3101BK" u="1"/>
        <s v="JILMIE0152KH" u="1"/>
        <s v="BMDBAE3202OR" u="1"/>
        <s v="JILMIE3152KH" u="1"/>
        <s v="NOVBAE5303OR" u="1"/>
        <s v="VBLBAE5802BK" u="1"/>
        <s v="ELSTPE5824NY" u="1"/>
        <s v="ELSMIE3327BK" u="1"/>
        <s v="VBLBAE2205NY" u="1"/>
        <s v="SMBBAE3376GY" u="1"/>
        <s v="FFTFIE0246BK" u="1"/>
        <s v="ELSFIE0214GR" u="1"/>
        <s v="ELSFIE3214GR" u="1"/>
        <s v="JILFAE2742NA" u="1"/>
        <s v="JILBEE5844MT" u="1"/>
        <s v="HCUMIE0203KH" u="1"/>
        <s v="VBLBAE3305GY" u="1"/>
        <s v="NOVBAE5319NY" u="1"/>
        <s v="JILMIE5318KH" u="1"/>
        <s v="JILMIE0220YE" u="1"/>
        <s v="NAAFLE3309NY" u="1"/>
        <s v="ELSFIE0661BK" u="1"/>
        <s v="ELSTSE2742YE" u="1"/>
        <s v="JILERE5328KH" u="1"/>
        <s v="ELSFIE3661BK" u="1"/>
        <s v="JILBEE5855KH" u="1"/>
        <s v="VBLBAE0702BL" u="1"/>
        <s v="ELSHPE1704OR" u="1"/>
        <s v="PLATLE5304RE" u="1"/>
        <s v="JILERE5304NY" u="1"/>
        <s v="ELSFIE0012BL" u="1"/>
        <s v="ELSTSE2750NY" u="1"/>
        <s v="JILEBE5346BK" u="1"/>
        <s v="JILMIE0208GY" u="1"/>
        <s v="SMBFLE0744GR" u="1"/>
        <s v="SMBFIE0201PK" u="1"/>
        <s v="JILBEE5361BW" u="1"/>
        <s v="SMBFLE3744GR" u="1"/>
        <s v="JILMIE3311NY" u="1"/>
        <s v="FFTFIE0204GY" u="1"/>
        <s v="BMDERE5302BK" u="1"/>
        <s v="TRUBAE0211GR" u="1"/>
        <s v="ELSEBE5340PK" u="1"/>
        <s v="HCUMIE3303KH" u="1"/>
        <s v="ELSFIE0709KH" u="1"/>
        <s v="JILMIE0217YE" u="1"/>
        <s v="GRAEBE5311GR" u="1"/>
        <s v="NYAFLE0048NY" u="1"/>
        <s v="SMBFLE3331GY" u="1"/>
        <s v="HCUMIE3110GY" u="1"/>
        <s v="JILVBE5347BK" u="1"/>
        <s v="ELSJPE4832RE" u="1"/>
        <s v="JILFAE2224NA" u="1"/>
        <s v="SMBFIE0215BK" u="1"/>
        <s v="ELSTHE1225PK" u="1"/>
        <s v="GOOFEE3302BK" u="1"/>
        <s v="SMBFIE3215BK" u="1"/>
        <s v="URBFIE3316BK" u="1"/>
        <s v="DAKBEE5302BK" u="1"/>
        <s v="NAAFLE0205BL" u="1"/>
        <s v="VBLBAE0217OR" u="1"/>
        <s v="HCUMIE0210GY" u="1"/>
        <s v="ELSTSE2262MT" u="1"/>
        <s v="ELSTSE2764NY" u="1"/>
        <s v="ELSFIE0212BL" u="1"/>
        <s v="NAAFIE3312KH" u="1"/>
        <s v="SMBFLE0245NY" u="1"/>
        <s v="PLABPE3303OR" u="1"/>
        <s v="PLATLF5008GY" u="1"/>
        <s v="BELHUF5008RE" u="1"/>
        <s v="DAKBEE5004MT" u="1"/>
        <s v="HCUMIE0210NY" u="1"/>
        <s v="ELSTRE2707BL" u="1"/>
        <s v="SMBBAE0227GY" u="1"/>
        <s v="ELSFIE3826KH" u="1"/>
        <s v="ELSBPE0603GR" u="1"/>
        <s v="ELSBPE3603GR" u="1"/>
        <s v="ELSTPE5648PK" u="1"/>
        <s v="HCUMIE0003BK" u="1"/>
        <s v="JILMIE0052BK" u="1"/>
        <s v="ELSTSE2763IV" u="1"/>
        <s v="WTRBAE0201NY" u="1"/>
        <s v="JOIEBE5812YE" u="1"/>
        <s v="BROBAE0202NY" u="1"/>
        <s v="ELSPTE5330BK" u="1"/>
        <s v="ELSBEE5302GR" u="1"/>
        <s v="ELSHPE5303OR" u="1"/>
        <s v="SMBFLE0241BK" u="1"/>
        <s v="FFTFIE0235NY" u="1"/>
        <s v="ELSBPE0601BK" u="1"/>
        <s v="HCUMIE0207NY" u="1"/>
        <s v="SMBFLE3241BK" u="1"/>
        <s v="FFTFIE3235NY" u="1"/>
        <s v="ELSBPE3601BK" u="1"/>
        <s v="FFTFIE0233AR" u="1"/>
        <s v="NOVBAE5803OR" u="1"/>
        <s v="JILERE5331BK" u="1"/>
        <s v="TWIBAE0202NA" u="1"/>
        <s v="ELSTRE2206PK" u="1"/>
        <s v="ELSFIE0226BL" u="1"/>
        <s v="VBLBAE0203MT" u="1"/>
        <s v="ELSFIE3226BL" u="1"/>
        <s v="SMBBAE0225OR" u="1"/>
        <s v="ELSBAE0649PK" u="1"/>
        <s v="ELSBAE3649PK" u="1"/>
        <s v="JILMIE3152BK" u="1"/>
        <s v="HCUMIE3307GY" u="1"/>
        <s v="GRAMIE0202GY" u="1"/>
        <s v="ELSFIE0714GR" u="1"/>
        <s v="WTRMIE0210NY" u="1"/>
        <s v="ELSFIE3714GR" u="1"/>
        <s v="FFTFIE0221ZZ" u="1"/>
        <s v="NOVBAE5819NY" u="1"/>
        <s v="TRUBAE0206BL" u="1"/>
        <s v="PLATLE5804RE" u="1"/>
        <s v="NOVTPE5309RE" u="1"/>
        <s v="ELSJPE4328RE" u="1"/>
        <s v="JILMIE0152PK" u="1"/>
        <s v="JILBEE5342GR" u="1"/>
        <s v="NHLFIE0207WH" u="1"/>
        <s v="GOOHUE0205GY" u="1"/>
        <s v="JILMIE3152PK" u="1"/>
        <s v="HCUMIE3002KH" u="1"/>
        <s v="SMBFIE0204GY" u="1"/>
        <s v="BMDFIE0205BK" u="1"/>
        <s v="SMBFIE0701PK" u="1"/>
        <s v="BELHUF5008BG" u="1"/>
        <s v="VBLBAE5113RE" u="1"/>
        <s v="WTRMIE3310NY" u="1"/>
        <s v="TRUBAE0205WH" u="1"/>
        <s v="JILFAE5001GY" u="1"/>
        <s v="SMBFLE0241BL" u="1"/>
        <s v="ELSBPE0601BL" u="1"/>
        <s v="ELSEBE5840PK" u="1"/>
        <s v="NAAFLE0208GY" u="1"/>
        <s v="SMBFLE0240KH" u="1"/>
        <s v="ELSTRE2223BL" u="1"/>
        <s v="NAASNF3001NY" u="1"/>
        <s v="ELSBPE3601BL" u="1"/>
        <s v="ELSHPE5321BW" u="1"/>
        <s v="NOVBAE3321NY" u="1"/>
        <s v="ELSBAE0134BL" u="1"/>
        <s v="JILBAE5308KH" u="1"/>
        <s v="HCUMIE3303BK" u="1"/>
        <s v="FFTFIE0228BK" u="1"/>
        <s v="JILBEE5071PK" u="1"/>
        <s v="NAAFIE3316NY" u="1"/>
        <s v="FFTFIE3228BK" u="1"/>
        <s v="SMBFLE0255PK" u="1"/>
        <s v="GOOMIE0043BG" u="1"/>
        <s v="ELSTHE1725PK" u="1"/>
        <s v="SMBBAE0223BL" u="1"/>
        <s v="NIXTRE2203RE" u="1"/>
        <s v="URBFIE3322NY" u="1"/>
        <s v="ELSTPE5321MT" u="1"/>
        <s v="GOOTRE2210BL" u="1"/>
        <s v="FFTFIE0245BK" u="1"/>
        <s v="ELSFAE3818BL" u="1"/>
        <s v="FFTFIE3245BK" u="1"/>
        <s v="ELSBAE0052PP" u="1"/>
        <s v="JILFAE2741NA" u="1"/>
        <s v="ELSTSE2762MT" u="1"/>
        <s v="ELSFIE0712BL" u="1"/>
        <s v="ELSFIE3712BL" u="1"/>
        <s v="JILMIE5317KH" u="1"/>
        <s v="SMBFLE3372BK" u="1"/>
        <s v="ELSFIE3325LI" u="1"/>
        <s v="URBFIE5301BK" u="1"/>
        <s v="PLATLF5508GY" u="1"/>
        <s v="ELSTSE2239PK" u="1"/>
        <s v="ELSFIE0643PK" u="1"/>
        <s v="SMBFIE0218NY" u="1"/>
        <s v="PLAUME3306WH" u="1"/>
        <s v="SMBFIE3218NY" u="1"/>
        <s v="TRUBAE3304RE" u="1"/>
        <s v="ELSJSE1138BK" u="1"/>
        <s v="JILEBE5365IV" u="1"/>
        <s v="FFTFIE0203GY" u="1"/>
        <s v="NOVBAE3316OR" u="1"/>
        <s v="FFTFIE3313WH" u="1"/>
        <s v="WTRBAE0701NY" u="1"/>
        <s v="GOOFAE3304BK" u="1"/>
        <s v="NAAFLE0204PK" u="1"/>
        <s v="SMBBAE0236KH" u="1"/>
        <s v="NPHFLE0044RE" u="1"/>
        <s v="ELSPTE5830BK" u="1"/>
        <s v="ELSFIE0211PK" u="1"/>
        <s v="ELSBEE5802GR" u="1"/>
        <s v="SMBFLE3330GY" u="1"/>
        <s v="WTRBAE0211BL" u="1"/>
        <s v="ELSFIE3211PK" u="1"/>
        <s v="SMBFIE0261RE" u="1"/>
        <s v="NAABAE3307NY" u="1"/>
        <s v="FFTFIE0220GY" u="1"/>
        <s v="ELSHPE1204NY" u="1"/>
        <s v="ELSJSE1138PK" u="1"/>
        <s v="SMBFIE0214BK" u="1"/>
        <s v="ELSTRE2706PK" u="1"/>
        <s v="GOOMIE0043KH" u="1"/>
        <s v="ELSFIE0726BL" u="1"/>
        <s v="GOOMIE3043KH" u="1"/>
        <s v="ELSFIE3726BL" u="1"/>
        <s v="TRUBAE0207AR" u="1"/>
        <s v="URBFIE3315BK" u="1"/>
        <s v="VBLBAE3216GR" u="1"/>
        <s v="JILMIE0120BK" u="1"/>
        <s v="ELSFIE0227OR" u="1"/>
        <s v="WTRHUE0207OR" u="1"/>
        <s v="NAABAE3305GR" u="1"/>
        <s v="SMBFIE5352GY" u="1"/>
        <s v="SMBFLE0253RE" u="1"/>
        <s v="JILMIE0203BK" u="1"/>
        <s v="SMBBEE5301RE" u="1"/>
        <s v="JILBEE5368BK" u="1"/>
        <s v="ELSJSE5327BW" u="1"/>
        <s v="ELSERE5104BK" u="1"/>
        <s v="BROMIE0034KH" u="1"/>
        <s v="SMBFLE0244NY" u="1"/>
        <s v="ELSTSE2240YE" u="1"/>
        <s v="JILMUE5367RE" u="1"/>
        <s v="ELSPTE4833BW" u="1"/>
        <s v="FFTFIE3320GY" u="1"/>
        <s v="ELSTLE2224BW" u="1"/>
        <s v="SMBBAE0226GY" u="1"/>
        <s v="JILBEE5842GR" u="1"/>
        <s v="GOOMIE0202GY" u="1"/>
        <s v="JILMUE5367YE" u="1"/>
        <s v="SMBFIE0704GY" u="1"/>
        <s v="GOOFAE3304CL" u="1"/>
        <s v="PLAUME0208GR" u="1"/>
        <s v="ELSTRE2224GR" u="1"/>
        <s v="PLAUME3208GR" u="1"/>
        <s v="DAKEBE5305BG" u="1"/>
        <s v="SMBFLE0740KH" u="1"/>
        <s v="ELSTRE2723BL" u="1"/>
        <s v="JILHUE0209NY" u="1"/>
        <s v="HCUMIE0206GY" u="1"/>
        <s v="ELSTSE2258MT" u="1"/>
        <s v="SMBFLE3740KH" u="1"/>
        <s v="ELSTLE2218PK" u="1"/>
        <s v="ELSHPE5821BW" u="1"/>
        <s v="NAABAE3303PK" u="1"/>
        <s v="JILMIE3322OR" u="1"/>
        <s v="JILBAE5808KH" u="1"/>
        <s v="SMBFLE0240BK" u="1"/>
        <s v="ELSERE5334YE" u="1"/>
        <s v="JILERE5332OR" u="1"/>
        <s v="ELSTRE2222BK" u="1"/>
        <s v="JILMIE3320BK" u="1"/>
        <s v="GRACTE0201NY" u="1"/>
        <s v="JILBEE5356MT" u="1"/>
        <s v="ELSTPE5821MT" u="1"/>
        <s v="SMBFLE3323BK" u="1"/>
        <s v="SMBBAE0224OR" u="1"/>
        <s v="BILTRE2201YE" u="1"/>
        <s v="JILEBE5343RE" u="1"/>
        <s v="FFTFIE0213BK" u="1"/>
        <s v="FFTFIE3213BK" u="1"/>
        <s v="JILFEE0235RE" u="1"/>
        <s v="HCUMIE0201BG" u="1"/>
        <s v="PLAUME0206PK" u="1"/>
        <s v="SMBFLE3872BK" u="1"/>
        <s v="ELSFIE3825LI" u="1"/>
        <s v="SMBFLE0256GR" u="1"/>
        <s v="ELSJPE4832BK" u="1"/>
        <s v="PLAUME3306BK" u="1"/>
        <s v="BILBAE0203GY" u="1"/>
        <s v="ELSTSE2739PK" u="1"/>
        <s v="ELSBAE0053BW" u="1"/>
        <s v="HCUMIE0202BK" u="1"/>
        <s v="GOOHUE0018GY" u="1"/>
        <s v="JILHUE0036BK" u="1"/>
        <s v="NHLFIE0206WH" u="1"/>
        <s v="ELSTHE5306LI" u="1"/>
        <s v="SMBFLE0256OR" u="1"/>
        <s v="SMBFLE0254BK" u="1"/>
        <s v="ELSJSE1638BK" u="1"/>
        <s v="SMBBAE0238GR" u="1"/>
        <s v="SMBFLE0240BL" u="1"/>
        <s v="BMDERE5303BU" u="1"/>
        <s v="WTRMIE0206NY" u="1"/>
        <s v="BELHUF5008BK" u="1"/>
        <s v="GOOMIE0201BW" u="1"/>
        <s v="GRAMIE5301NY" u="1"/>
        <s v="ELSTHE5313NY" u="1"/>
        <s v="ELSFIE0711PK" u="1"/>
        <s v="ELSFIE3711PK" u="1"/>
        <s v="HCUMIE0101KH" u="1"/>
        <s v="HCUMIE3302BK" u="1"/>
        <s v="SMBFIE0201GR" u="1"/>
        <s v="ELSHPE1704NY" u="1"/>
        <s v="ELSPTF5507RE" u="1"/>
        <s v="ELSJSE1638PK" u="1"/>
        <s v="SMBBAE0222BL" u="1"/>
        <s v="SMBFIE0259PK" u="1"/>
        <s v="ELSFIE0727OR" u="1"/>
        <s v="TRUBAE0203RE" u="1"/>
        <s v="ELSPTF5507YE" u="1"/>
        <s v="SMBFIE0201OR" u="1"/>
        <s v="FFTFIE0244BK" u="1"/>
        <s v="NYAFLE0041YE" u="1"/>
        <s v="GOOMIE0043BK" u="1"/>
        <s v="FFTFIE3244BK" u="1"/>
        <s v="GOOMIE3043BK" u="1"/>
        <s v="FFTFIE0230BL" u="1"/>
        <s v="FFTFIE3230BL" u="1"/>
        <s v="JILMIE5317BL" u="1"/>
        <s v="SMBBEE5363RE" u="1"/>
        <s v="HCUMIE0201KH" u="1"/>
        <s v="ELSJSE5827BW" u="1"/>
        <s v="JILTPE5338BL" u="1"/>
        <s v="SMBFLE0744NY" u="1"/>
        <s v="GOOTRE2209BW" u="1"/>
        <s v="ELSTSE2740YE" u="1"/>
        <s v="DAKBEE5304GY" u="1"/>
        <s v="ELSTLE2724BW" u="1"/>
        <s v="BROMIE0034BK" u="1"/>
        <s v="WTRHUE0208GY" u="1"/>
        <s v="JILBEE5008NY" u="1"/>
        <s v="TRUBAE3303RE" u="1"/>
        <s v="TRUMIE0212RE" u="1"/>
        <s v="JILEBE5350BW" u="1"/>
        <s v="GRAEBE5311NY" u="1"/>
        <s v="PLAUME0708GR" u="1"/>
        <s v="ELSTRE2724GR" u="1"/>
        <s v="SMBBAE0224MT" u="1"/>
        <s v="GRAERE5303BG" u="1"/>
        <s v="PLAUME0204YE" u="1"/>
        <s v="FFTFIE0248ZZ" u="1"/>
        <s v="HCUMIE3301KH" u="1"/>
        <s v="ELSTSE2758MT" u="1"/>
        <s v="PLAUME3204YE" u="1"/>
        <s v="ELSTLE2718PK" u="1"/>
        <s v="GOOHUE0213BG" u="1"/>
        <s v="FFTFIE0211RE" u="1"/>
        <s v="FFTFIE0209WH" u="1"/>
        <s v="FFTFIE3211RE" u="1"/>
        <s v="FFTFIE3209WH" u="1"/>
        <s v="ELSJPE4328BK" u="1"/>
        <s v="SMBFLE0740BK" u="1"/>
        <s v="ELSERE5834YE" u="1"/>
        <s v="NAABAE3306NY" u="1"/>
        <s v="ELSFIE3642BL" u="1"/>
        <s v="GOOTRE2012NY" u="1"/>
        <s v="GOOMIE5309BK" u="1"/>
        <s v="BROBAE0208PK" u="1"/>
        <s v="VBLBAE5301OR" u="1"/>
        <s v="TRUBAE0208NY" u="1"/>
        <s v="JILBEE5856MT" u="1"/>
        <s v="JILFAE2222NA" u="1"/>
        <s v="SMBFIE0213BK" u="1"/>
        <s v="JILMIE0054GY" u="1"/>
        <s v="NYAFIE0050BK" u="1"/>
        <s v="SMBFIE3213BK" u="1"/>
        <s v="URBFIE3314BK" u="1"/>
        <s v="ELSTRE2218LI" u="1"/>
        <s v="JILEBE5843RE" u="1"/>
        <s v="PLAUME0005BK" u="1"/>
        <s v="ELSFIE0226OR" u="1"/>
        <s v="NIXBEE5301GY" u="1"/>
        <s v="NOVTPE5309PK" u="1"/>
        <s v="ELSJPE4328PK" u="1"/>
        <s v="FFTFIE3331PP" u="1"/>
        <s v="BELCTF5004BG" u="1"/>
        <s v="NAAFLE0203BL" u="1"/>
        <s v="HCUMIE0701BG" u="1"/>
        <s v="JILEBE5358BK" u="1"/>
        <s v="NAAFLE0202KH" u="1"/>
        <s v="HCUERE5308KH" u="1"/>
        <s v="JOIEBE5809BL" u="1"/>
        <s v="NIXBEE5301NY" u="1"/>
        <s v="SMBFLE0243NY" u="1"/>
        <s v="NYAFLE0042BK" u="1"/>
        <s v="NIXTRE2203BK" u="1"/>
        <s v="ELSTLE2217BK" u="1"/>
        <s v="ELSBPE0612YE" u="1"/>
        <s v="GRABEE3312BG" u="1"/>
        <s v="HCUMIE0702BK" u="1"/>
        <s v="FFTFIE0216GY" u="1"/>
        <s v="ELSTHE5806LI" u="1"/>
        <s v="SMBFIE5360YE" u="1"/>
        <s v="TRUBAE0204BK" u="1"/>
        <s v="WTRERE5311KH" u="1"/>
        <s v="VBLBAE0209BG" u="1"/>
        <s v="ELSJPE4328BL" u="1"/>
        <s v="ELSPTE1255YE" u="1"/>
        <s v="SMBFLE0740BL" u="1"/>
        <s v="GRAERE5303KH" u="1"/>
        <s v="WTRBAE3307BL" u="1"/>
        <s v="ELSTHE5813NY" u="1"/>
        <s v="ELSFIE0743PP" u="1"/>
        <s v="PLATLE5303BK" u="1"/>
        <s v="PLAUME0207OR" u="1"/>
        <s v="ELSTRE2223OR" u="1"/>
        <s v="JOIEBE5310KH" u="1"/>
        <s v="JILMIE0205BW" u="1"/>
        <s v="TRUBAE0204PK" u="1"/>
        <s v="PLATHF5005BK" u="1"/>
        <s v="DAKEBE5305BK" u="1"/>
        <s v="JILMIE5321OR" u="1"/>
        <s v="PLAUME0205BK" u="1"/>
        <s v="JILFAE2228GY" u="1"/>
        <s v="SMBFIE0701GR" u="1"/>
        <s v="JILMIE0219IV" u="1"/>
        <s v="GRAMIE0207KH" u="1"/>
        <s v="GRABEE3313PK" u="1"/>
        <s v="JILMIE3219IV" u="1"/>
        <s v="SMBBAE0722BL" u="1"/>
        <s v="ELSTSE2244NY" u="1"/>
        <s v="JILMIE0152OR" u="1"/>
        <s v="WTRERE5309BL" u="1"/>
        <s v="PLAPTF5508BK" u="1"/>
        <s v="JILMIE0202BL" u="1"/>
        <s v="ELSTSE2253YE" u="1"/>
        <s v="ELSTHE1225MT" u="1"/>
        <s v="PLATLF5002BK" u="1"/>
        <s v="SMBFIE0701OR" u="1"/>
        <s v="VBLBAE0212KH" u="1"/>
        <s v="JILTPE5021RE" u="1"/>
        <s v="NOVMIE0203RE" u="1"/>
        <s v="NDOFLE0047BK" u="1"/>
        <s v="JILBEE5342NY" u="1"/>
        <s v="SMBBEE5863RE" u="1"/>
        <s v="HCUMIE0701KH" u="1"/>
        <s v="FFTFIE0239RE" u="1"/>
        <s v="TRUBAE0204BL" u="1"/>
        <s v="URBTHF4001GY" u="1"/>
        <s v="FFTFIE3239RE" u="1"/>
        <s v="SMBFLE0255GR" u="1"/>
        <s v="HCUMIE3305NY" u="1"/>
        <s v="ELSPTE5331BW" u="1"/>
        <s v="URBHPF5002BK" u="1"/>
        <s v="JILWAE5362MT" u="1"/>
        <s v="HCUMIE0201BK" u="1"/>
        <s v="NAAFIE3313BU" u="1"/>
        <s v="ELSTRE2204BL" u="1"/>
        <s v="JILEBE5350NY" u="1"/>
        <s v="JILEBE5346BU" u="1"/>
        <s v="JILTPE5337BK" u="1"/>
        <s v="URBTHF4001NY" u="1"/>
        <s v="NIXTRE2202WH" u="1"/>
        <s v="VBLBAE3313BL" u="1"/>
        <s v="JILEBE5850BW" u="1"/>
        <s v="FFTFIE3312BK" u="1"/>
        <s v="JILBEE5348RE" u="1"/>
        <s v="FFTFIE0209BK" u="1"/>
        <s v="PLAACE0205BK" u="1"/>
        <s v="WTRMIE0205NY" u="1"/>
        <s v="PLAUME0704YE" u="1"/>
        <s v="SMBFIE0202NY" u="1"/>
        <s v="FFTFIE3209BK" u="1"/>
        <s v="JOIMUE5818BL" u="1"/>
        <s v="TRUBAE3304CL" u="1"/>
        <s v="URBFIE3303NY" u="1"/>
        <s v="VBLBAE0215MT" u="1"/>
        <s v="TRUMIE0212KH" u="1"/>
        <s v="TRUBAE0205PP" u="1"/>
        <s v="ELSPTE1256BK" u="1"/>
        <s v="HCUMIE3301BK" u="1"/>
        <s v="VBLBAE5801OR" u="1"/>
        <s v="SMBBAE0235BK" u="1"/>
        <s v="SMBFLE0253PK" u="1"/>
        <s v="SMBBAE3235BK" u="1"/>
        <s v="BMDERE5303GY" u="1"/>
        <s v="JILBEE5356NY" u="1"/>
        <s v="ELSTSE2237BK" u="1"/>
        <s v="TWIBAE0215RE" u="1"/>
        <s v="ELSTRE2718LI" u="1"/>
        <s v="FFTFIE3309BK" u="1"/>
        <s v="ELSTHE1226NY" u="1"/>
        <s v="ELSFIE0726OR" u="1"/>
        <s v="NAASNF3005RE" u="1"/>
        <s v="TWIBAE0206NY" u="1"/>
        <s v="NOVTPE5809PK" u="1"/>
        <s v="FFTFIE0243BK" u="1"/>
        <s v="FFTFIE3243BK" u="1"/>
        <s v="JILVBE5357RE" u="1"/>
        <s v="TRUBAE0210GY" u="1"/>
        <s v="JILBEE5007GY" u="1"/>
        <s v="JILVBE5357YE" u="1"/>
        <s v="HCUERE5308BK" u="1"/>
        <s v="JILEDE5147BK" u="1"/>
        <s v="SMBFIE5860YE" u="1"/>
        <s v="TWIBAE0201BG" u="1"/>
        <s v="FFTFIE0208KH" u="1"/>
        <s v="ELSFIE0227GY" u="1"/>
        <s v="JILBEE5352BK" u="1"/>
        <s v="FFTFIE3208KH" u="1"/>
        <s v="TRUBAE3302RE" u="1"/>
        <s v="VBLBAE0709BG" u="1"/>
        <s v="HCUMIE0114KH" u="1"/>
        <s v="ELSPTE1755YE" u="1"/>
        <s v="BILTRE2201PK" u="1"/>
        <s v="FFTFIE0226BL" u="1"/>
        <s v="FFTFIE0208WH" u="1"/>
        <s v="NOVTPE5308BK" u="1"/>
        <s v="PLAUME0707OR" u="1"/>
        <s v="ELSTRE2723OR" u="1"/>
        <s v="FFTFIE3208WH" u="1"/>
        <s v="PLATHF5505BK" u="1"/>
        <s v="ELSBAE0051BU" u="1"/>
        <s v="BROBAE0210BL" u="1"/>
        <s v="JILBAE5022BG" u="1"/>
        <s v="NOVBAE2209BK" u="1"/>
        <s v="GOOTRE2011NY" u="1"/>
        <s v="BELFEF5011PP" u="1"/>
        <s v="ELSTSE2744NY" u="1"/>
        <s v="SMBFIE0212BK" u="1"/>
        <s v="JILBEE5349BK" u="1"/>
        <s v="JILHUE0210GY" u="1"/>
        <s v="VBLBAE5316GY" u="1"/>
        <s v="ELSTSE2753YE" u="1"/>
        <s v="ELSTHE1725MT" u="1"/>
        <s v="BILTRE2201BL" u="1"/>
        <s v="NOVMIE0703RE" u="1"/>
        <s v="GRABAE3304BW" u="1"/>
        <s v="JILBEE5842NY" u="1"/>
        <s v="FFTFIE3308WH" u="1"/>
        <s v="JILMIE0201BK" u="1"/>
        <s v="JILEDE5147CL" u="1"/>
        <s v="ELSBPE3301BW" u="1"/>
        <s v="SMBFLE0242NY" u="1"/>
        <s v="VBLBAE0212BK" u="1"/>
        <s v="ELSJPE5301BU" u="1"/>
        <s v="ELSPTE5831BW" u="1"/>
        <s v="ELSTRE2205GR" u="1"/>
        <s v="NIXTRE2202BK" u="1"/>
        <s v="TRUBAE0205OR" u="1"/>
        <s v="JILMIE5303GR" u="1"/>
        <s v="ELSTRE2704BL" u="1"/>
        <s v="JILVBE5347BW" u="1"/>
        <s v="JILEBE5850NY" u="1"/>
        <s v="JILERE5332NY" u="1"/>
        <s v="ELSTLE1222BW" u="1"/>
        <s v="VBLBAE3813BL" u="1"/>
        <s v="PLAJPF5009BK" u="1"/>
        <s v="SMBFIE0702NY" u="1"/>
        <s v="JILMIE3301BK" u="1"/>
        <s v="FFTFIE3307RE" u="1"/>
        <s v="JILMIE5319GY" u="1"/>
        <s v="ELSTPE5148NY" u="1"/>
        <s v="VBLBAE3312BK" u="1"/>
        <s v="NOVMIE0102RE" u="1"/>
        <s v="PLATLE5302BK" u="1"/>
        <s v="JILMIE0245YE" u="1"/>
        <s v="NAAFIE3311PP" u="1"/>
        <s v="NOVMIE3102RE" u="1"/>
        <s v="SMBFIE0209PK" u="1"/>
        <s v="ELSPTE1756BK" u="1"/>
        <s v="JILVBE5150GY" u="1"/>
        <s v="ELSTSE2252RE" u="1"/>
        <s v="NOVMIE0205PP" u="1"/>
        <s v="PLAUME0004BL" u="1"/>
        <s v="NHLFIE0203GD" u="1"/>
        <s v="TRUMIE0212BK" u="1"/>
        <s v="PLAUME3004BL" u="1"/>
        <s v="JILERE5329NY" u="1"/>
        <s v="JILBEE5856NY" u="1"/>
        <s v="PLABPE3301BW" u="1"/>
        <s v="VBLERE5314BK" u="1"/>
        <s v="ELSTSE2737BK" u="1"/>
        <s v="ELSTHE1726NY" u="1"/>
        <s v="NOVBAE0107RE" u="1"/>
        <s v="NOVMIE5320KH" u="1"/>
        <s v="NIXTRE2202BL" u="1"/>
        <s v="ELSTLE2216BL" u="1"/>
        <s v="NIXTRE2201KH" u="1"/>
        <s v="TRUBAE3303PK" u="1"/>
        <s v="TRUMIE0212PK" u="1"/>
        <s v="BROBAE0205YE" u="1"/>
        <s v="ELSTSE2241OR" u="1"/>
        <s v="PLAACE0203BG" u="1"/>
        <s v="ELSFIE0727GY" u="1"/>
        <s v="VBLBAE3101GY" u="1"/>
        <s v="SMBFLE3318BK" u="1"/>
        <s v="FFTFIE3330GR" u="1"/>
        <s v="JILMIE0218BW" u="1"/>
        <s v="BILTRE2204GY" u="1"/>
        <s v="JILBAE5309BW" u="1"/>
        <s v="JILMIE3218BW" u="1"/>
        <s v="SMBFLE0252BK" u="1"/>
        <s v="TRUBAE0202WH" u="1"/>
        <s v="FFTFIE0208BK" u="1"/>
        <s v="FFTFIE3208BK" u="1"/>
        <s v="TRUBAE3303BL" u="1"/>
        <s v="NIXFIE3303RE" u="1"/>
        <s v="URBFIE3302NY" u="1"/>
        <s v="BILTRE2204NY" u="1"/>
        <s v="HCUMIE0114BK" u="1"/>
        <s v="TRUBAE0204PP" u="1"/>
        <s v="VBLBAE0201GY" u="1"/>
        <s v="VBLBAE3201GY" u="1"/>
        <s v="GRAFEE3309BK" u="1"/>
        <s v="ELSTHE1225GY" u="1"/>
        <s v="WTRMIE0202GR" u="1"/>
        <s v="BELFEF5005BG" u="1"/>
        <s v="SMBBAE0234BK" u="1"/>
        <s v="BMDERE5302GY" u="1"/>
        <s v="JILBEE5849BK" u="1"/>
        <s v="PLAACE0204PK" u="1"/>
        <s v="ELSTSE2236BK" u="1"/>
        <s v="JILFEE0238NY" u="1"/>
        <s v="GRABAE3304NY" u="1"/>
        <s v="TRUBAE0201RE" u="1"/>
        <s v="JOIEDE5102IV" u="1"/>
        <s v="TWIBAE0205NY" u="1"/>
        <s v="TRUBAE0202LI" u="1"/>
        <s v="SMBERE5308BW" u="1"/>
        <s v="ELSACE3304BL" u="1"/>
        <s v="JOIFAE2705PK" u="1"/>
        <s v="JILBEE5353GR" u="1"/>
        <s v="NOVBAE3315NY" u="1"/>
        <s v="JILMIE3314KH" u="1"/>
        <s v="ELSBPE3801BW" u="1"/>
        <s v="TRUBAE0201YE" u="1"/>
        <s v="SMBFLE0742NY" u="1"/>
        <s v="ELSJPE5801BU" u="1"/>
        <s v="GOOTRE2207BW" u="1"/>
        <s v="JILTPE5335KH" u="1"/>
        <s v="JILBEE5341ZZ" u="1"/>
        <s v="SMBFLE3742NY" u="1"/>
        <s v="ELSTRE2705GR" u="1"/>
        <s v="VBLBAE3310RE" u="1"/>
        <s v="ELSTHE5317YE" u="1"/>
        <s v="ELSVBE5322OR" u="1"/>
        <s v="FFTFIE3311BL" u="1"/>
        <s v="ELSSBE3802YE" u="1"/>
        <s v="DAKBEE5302GY" u="1"/>
        <s v="JILBEE5353OR" u="1"/>
        <s v="ELSTLE1722BW" u="1"/>
        <s v="FFTFIE0207KH" u="1"/>
        <s v="NOVTPE5309GR" u="1"/>
        <s v="JILTPE5021BK" u="1"/>
        <s v="TRUBAE3301RE" u="1"/>
        <s v="ELSERE5105GY" u="1"/>
        <s v="WTRBAE0211BW" u="1"/>
        <s v="ELSERE5022NY" u="1"/>
        <s v="SMBFLE0207GY" u="1"/>
        <s v="ELSTHE1221BK" u="1"/>
        <s v="ELSERE5316BL" u="1"/>
        <s v="JOIFAE2705BL" u="1"/>
        <s v="NOVTPE5309OR" u="1"/>
        <s v="NAABAE3304GY" u="1"/>
        <s v="NBRFLE0046BK" u="1"/>
        <s v="FFTFIE3310WH" u="1"/>
        <s v="ELSTPE5648NY" u="1"/>
        <s v="VBLBAE3812BK" u="1"/>
        <s v="GOOFAE3301BK" u="1"/>
        <s v="NYAFIE0049GY" u="1"/>
        <s v="NOVMIE0602RE" u="1"/>
        <s v="PLATLE5802BK" u="1"/>
        <s v="NOVMIE3602RE" u="1"/>
        <s v="SMBFIE0709PK" u="1"/>
        <s v="SMBFIE3709PK" u="1"/>
        <s v="HCUMIE0003GY" u="1"/>
        <s v="NOVACE0201BL" u="1"/>
        <s v="JILMIE0052GY" u="1"/>
        <s v="VBLERE5814BK" u="1"/>
        <s v="ELSTRE2215RE" u="1"/>
        <s v="JILBEE5348BK" u="1"/>
        <s v="JILMIE0003BW" u="1"/>
        <s v="JILERE5306YE" u="1"/>
        <s v="TRUBAE0204AR" u="1"/>
        <s v="NOVBAE0607RE" u="1"/>
        <s v="FFTFIE3339BK" u="1"/>
        <s v="NOVMIE5820KH" u="1"/>
        <s v="VBLERE5301OR" u="1"/>
        <s v="JOIEBE5807BL" u="1"/>
        <s v="VBLBAE0211BK" u="1"/>
        <s v="WTRBAE0003RE" u="1"/>
        <s v="NHLFIE0204BK" u="1"/>
        <s v="NIXTRE2201BK" u="1"/>
        <s v="TRUBAE0204OR" u="1"/>
        <s v="WTRBAE3003RE" u="1"/>
        <s v="JILFEE3816RE" u="1"/>
        <s v="ELSTSE2741OR" u="1"/>
        <s v="SMBBAE0223GY" u="1"/>
        <s v="ELSTSE2238MT" u="1"/>
        <s v="SMBBAE3223GY" u="1"/>
        <s v="ELSTRE2204OR" u="1"/>
        <s v="GRAMIE3306BK" u="1"/>
        <s v="JILMIE0152NY" u="1"/>
        <s v="JILMIE3152NY" u="1"/>
        <s v="NOVBAE3311BL" u="1"/>
        <s v="SMBBAE0223NY" u="1"/>
        <s v="NOVBAE0208BL" u="1"/>
        <s v="BROBAE0205WH" u="1"/>
        <s v="JILFAE2234NA" u="1"/>
        <s v="ELSFIE0039BW" u="1"/>
        <s v="PLATLE5301BK" u="1"/>
        <s v="JILBEE5348BL" u="1"/>
        <s v="JILBEE5348CL" u="1"/>
        <s v="PLATHF5003BK" u="1"/>
        <s v="PLAUME0203BK" u="1"/>
        <s v="ELSTHE1725GY" u="1"/>
        <s v="TRUBAE3302BK" u="1"/>
        <s v="PLAUME3203BK" u="1"/>
        <s v="ELSSBE3803PK" u="1"/>
        <s v="ELSFIE0036BL" u="1"/>
        <s v="JILFEE2231NA" u="1"/>
        <s v="ELSTSE2736BK" u="1"/>
        <s v="FFTFIE3314NY" u="1"/>
        <s v="VBLBAE0208PK" u="1"/>
        <s v="FFTFIE0210BK" u="1"/>
        <s v="ELSBEE5339BL" u="1"/>
        <s v="FFTFIE3210BK" u="1"/>
        <s v="BMDMIE3301KH" u="1"/>
        <s v="NOVBAE0106YE" u="1"/>
        <s v="ELSTHE5306MT" u="1"/>
        <s v="TRUBAE0202BL" u="1"/>
        <s v="NOVBAE3106YE" u="1"/>
        <s v="TRUBAE0201KH" u="1"/>
        <s v="ELSBPE0613GR" u="1"/>
        <s v="PLAUME3303BK" u="1"/>
        <s v="ELSPTF5005BK" u="1"/>
        <s v="ELSBPE3613GR" u="1"/>
        <s v="ELSVBE5822OR" u="1"/>
        <s v="GRATPE5302GY" u="1"/>
        <s v="JILMIE3314BK" u="1"/>
        <s v="ELSFIE0219BL" u="1"/>
        <s v="SMBERF5033RE" u="1"/>
        <s v="BROTRE2207YE" u="1"/>
        <s v="SMBFLE0251BK" u="1"/>
        <s v="TRUBAE0201WH" u="1"/>
        <s v="ELSTHE1721BK" u="1"/>
        <s v="ELSBPE0611BK" u="1"/>
        <s v="ELSERE5816BL" u="1"/>
        <s v="ELSTSE2265RE" u="1"/>
        <s v="FFTFIE0207BK" u="1"/>
        <s v="ELSBPE3611BK" u="1"/>
        <s v="NOVTPE5809OR" u="1"/>
        <s v="JILMIE0003GY" u="1"/>
        <s v="ELSTRE2216PK" u="1"/>
        <s v="JILEBE5369KH" u="1"/>
        <s v="JILMIE0213KH" u="1"/>
        <s v="JILMIE2244BG" u="1"/>
        <s v="JILFEE0237GY" u="1"/>
        <s v="ELSJPE4832BW" u="1"/>
        <s v="DAKTPE5308NA" u="1"/>
        <s v="SMBBAE0233BK" u="1"/>
        <s v="WTRMIE3303GY" u="1"/>
        <s v="NOVMIE0101BG" u="1"/>
        <s v="ELSBPE0611PK" u="1"/>
        <s v="ELSTRE2715RE" u="1"/>
        <s v="NOVMIE3101BG" u="1"/>
        <s v="ELSBPE3611PK" u="1"/>
        <s v="JILERE5806YE" u="1"/>
        <s v="NOVACE0202OR" u="1"/>
        <s v="NOVBAE3314GY" u="1"/>
        <s v="TRUFIE3306RE" u="1"/>
        <s v="B1AFIE0203YE" u="1"/>
        <s v="BELFEF5005BK" u="1"/>
        <s v="JILEBE5041CL" u="1"/>
        <s v="VBLERE5801OR" u="1"/>
        <s v="URBFIE3307RE" u="1"/>
        <s v="NOVMIE0102BK" u="1"/>
        <s v="ELSTSE2254OR" u="1"/>
        <s v="ELSTHE5316RE" u="1"/>
        <s v="JOIFAE2704PK" u="1"/>
        <s v="NOVMIE3102BK" u="1"/>
        <s v="NOVBAE3314NY" u="1"/>
        <s v="JILMIE3313KH" u="1"/>
        <s v="PLAUMF5501RE" u="1"/>
        <s v="SMBFLE3317BL" u="1"/>
        <s v="NAABAE3302BU" u="1"/>
        <s v="DAKBEE5301GY" u="1"/>
        <s v="VBLBAE0206RE" u="1"/>
        <s v="ELSBPE0611BL" u="1"/>
        <s v="ELSHPE5325BK" u="1"/>
        <s v="ELSTSE2738MT" u="1"/>
        <s v="ELSBPE3611BL" u="1"/>
        <s v="NAABAE0212YE" u="1"/>
        <s v="ELSTRE2704OR" u="1"/>
        <s v="SMBFLE0206GY" u="1"/>
        <s v="FFTFIE0238BK" u="1"/>
        <s v="NOVBAE0708BL" u="1"/>
        <s v="SMBFLE3206GY" u="1"/>
        <s v="FFTFIE3238BK" u="1"/>
        <s v="FFTFIE0224BL" u="1"/>
        <s v="HCUMIE0009KH" u="1"/>
        <s v="JILBEE5368NY" u="1"/>
        <s v="WTRBAE0603RE" u="1"/>
        <s v="TRUBAE0205GY" u="1"/>
        <s v="ELSTSE2249BK" u="1"/>
        <s v="PLATLE5801BK" u="1"/>
        <s v="WTRBAE3603RE" u="1"/>
        <s v="ELSTPE5301NY" u="1"/>
        <s v="BROERE5107PK" u="1"/>
        <s v="GOOMIE3306BK" u="1"/>
        <s v="PLAUME0703BK" u="1"/>
        <s v="WTRERE5308GR" u="1"/>
        <s v="TRUBAE0205NY" u="1"/>
        <s v="BMDMIE0201BK" u="1"/>
        <s v="BMDMIE3201BK" u="1"/>
        <s v="JILMIE5303GY" u="1"/>
        <s v="BILMIE0202BK" u="1"/>
        <s v="TRUFEE0213BL" u="1"/>
        <s v="JILTPE5333RE" u="1"/>
        <s v="VBLBAE0708PK" u="1"/>
        <s v="SMBFLE3315RE" u="1"/>
        <s v="ELSBEE5839BL" u="1"/>
        <s v="ELSTHE1203BL" u="1"/>
        <s v="ELSTPE5831OR" u="1"/>
        <s v="NHLFIE0205OR" u="1"/>
        <s v="ELSTHE5806MT" u="1"/>
        <s v="FFTFIE0205RE" u="1"/>
        <s v="JILFAE5310BU" u="1"/>
        <s v="B1AFIE0204BK" u="1"/>
        <s v="FFTFIE3205RE" u="1"/>
        <s v="VBLBAE0210BK" u="1"/>
        <s v="NOVMIE0202BL" u="1"/>
        <s v="BMDMIE3301BK" u="1"/>
        <s v="ELSTSE2251WH" u="1"/>
        <s v="JOIEBE5308IV" u="1"/>
        <s v="JILEBE5036RE" u="1"/>
        <s v="TWIBAE0214BK" u="1"/>
        <s v="ELSFIE0620RE" u="1"/>
        <s v="FFTFIE3340KH" u="1"/>
        <s v="JILERE5330NY" u="1"/>
        <s v="JOIEBE5604YE" u="1"/>
        <s v="PLAACE0201YE" u="1"/>
        <s v="ELSFIE3620RE" u="1"/>
        <s v="SMBBAE0222GY" u="1"/>
        <s v="GOOMIE5309BW" u="1"/>
        <s v="SMBBAE3222GY" u="1"/>
        <s v="ELSFIE0035PK" u="1"/>
        <s v="HCUMIE0209KH" u="1"/>
        <s v="PLAJPF5007BK" u="1"/>
        <s v="ELSFIE0620YE" u="1"/>
        <s v="ELSTSE2765RE" u="1"/>
        <s v="TRUMIE0212GR" u="1"/>
        <s v="ELSFIE3620YE" u="1"/>
        <s v="SMBBAE0222NY" u="1"/>
        <s v="JOIFAE2702YE" u="1"/>
        <s v="ELSERE5144RE" u="1"/>
        <s v="GOOMIE3305KH" u="1"/>
        <s v="JILHUE0036GY" u="1"/>
        <s v="ELSTRE2716PK" u="1"/>
        <s v="JILMIE5317GY" u="1"/>
        <s v="BMDMIE0201BL" u="1"/>
        <s v="BMDMIE3201BL" u="1"/>
        <s v="VBLBAE3309GR" u="1"/>
        <s v="NOVMIE0601BG" u="1"/>
        <s v="JILFAE5104BK" u="1"/>
        <s v="BROERE5105RE" u="1"/>
        <s v="JOIEBE5804RE" u="1"/>
        <s v="ELSPTE1257GY" u="1"/>
        <s v="NOVTPE5307PP" u="1"/>
        <s v="SMBFIE3362NY" u="1"/>
        <s v="SMBFIE0260OR" u="1"/>
        <s v="ELSEBE5329BL" u="1"/>
        <s v="HCUMIE3302GY" u="1"/>
        <s v="NOVMIE0602BK" u="1"/>
        <s v="ELSTSE2754OR" u="1"/>
        <s v="GRABEE3313BW" u="1"/>
        <s v="BMDMIE3301BL" u="1"/>
        <s v="FFTFIE0227GY" u="1"/>
        <s v="BROBAE0203RE" u="1"/>
        <s v="GOOTRE2206NY" u="1"/>
        <s v="JOIVBE5306PK" u="1"/>
        <s v="PLAUME3304OR" u="1"/>
        <s v="PLAUME0202PK" u="1"/>
        <s v="SMBFIE5307PK" u="1"/>
        <s v="TRUBAE0201BL" u="1"/>
        <s v="NAASNF3004BL" u="1"/>
        <s v="ELSTRE2217OR" u="1"/>
        <s v="TWIBAE0003NY" u="1"/>
        <s v="URBFIE3312PP" u="1"/>
        <s v="JILBAE5022PP" u="1"/>
      </sharedItems>
    </cacheField>
    <cacheField name="사이즈" numFmtId="0">
      <sharedItems containsBlank="1" containsMixedTypes="1" containsNumber="1" containsInteger="1" minValue="712" maxValue="778"/>
    </cacheField>
    <cacheField name="분류" numFmtId="0">
      <sharedItems containsBlank="1" count="3">
        <s v="B"/>
        <m/>
        <s v="M"/>
      </sharedItems>
    </cacheField>
    <cacheField name="입고수량" numFmtId="3">
      <sharedItems containsString="0" containsBlank="1" containsNumber="1" containsInteger="1" minValue="0" maxValue="20110"/>
    </cacheField>
    <cacheField name="미입고수량" numFmtId="3">
      <sharedItems containsString="0" containsBlank="1" containsNumber="1" containsInteger="1" minValue="0" maxValue="0"/>
    </cacheField>
    <cacheField name="기획수량" numFmtId="3">
      <sharedItems containsString="0" containsBlank="1" containsNumber="1" containsInteger="1" minValue="0" maxValue="20200"/>
    </cacheField>
    <cacheField name="원가" numFmtId="3">
      <sharedItems containsString="0" containsBlank="1" containsNumber="1" minValue="0" maxValue="702853175"/>
    </cacheField>
    <cacheField name="TAG가" numFmtId="3">
      <sharedItems containsString="0" containsBlank="1" containsNumber="1" containsInteger="1" minValue="0" maxValue="2880800000"/>
    </cacheField>
    <cacheField name="배수" numFmtId="0" formula="IF(ISERROR(TAG가/ (원가*1.1))=TRUE,0,TAG가/ (원가*1.1)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rxk-1209242" refreshedDate="42157.712606597219" createdVersion="3" refreshedVersion="4" minRefreshableVersion="3" recordCount="831">
  <cacheSource type="worksheet">
    <worksheetSource ref="A1:Y1048576" sheet="DB2"/>
  </cacheSource>
  <cacheFields count="27">
    <cacheField name="러닝/신규" numFmtId="0">
      <sharedItems containsBlank="1" count="3">
        <s v="신규"/>
        <s v="러닝"/>
        <m/>
      </sharedItems>
    </cacheField>
    <cacheField name="최초/리오더" numFmtId="0">
      <sharedItems containsBlank="1" count="3">
        <s v="최초"/>
        <s v="리오더"/>
        <m/>
      </sharedItems>
    </cacheField>
    <cacheField name="품번(최초)" numFmtId="0">
      <sharedItems containsBlank="1"/>
    </cacheField>
    <cacheField name="품번수(최초)" numFmtId="0">
      <sharedItems containsString="0" containsBlank="1" containsNumber="1" minValue="0" maxValue="1"/>
    </cacheField>
    <cacheField name="품번(리오더)" numFmtId="0">
      <sharedItems containsBlank="1"/>
    </cacheField>
    <cacheField name="품번수(리오더)" numFmtId="0">
      <sharedItems containsString="0" containsBlank="1" containsNumber="1" minValue="0" maxValue="1"/>
    </cacheField>
    <cacheField name="품번색상(최초)" numFmtId="0">
      <sharedItems containsBlank="1"/>
    </cacheField>
    <cacheField name="색상수(최초)" numFmtId="0">
      <sharedItems containsString="0" containsBlank="1" containsNumber="1" containsInteger="1" minValue="0" maxValue="1"/>
    </cacheField>
    <cacheField name="품번색상(리오더)" numFmtId="0">
      <sharedItems containsBlank="1"/>
    </cacheField>
    <cacheField name="색상수(리오더)" numFmtId="0">
      <sharedItems containsString="0" containsBlank="1" containsNumber="1" containsInteger="1" minValue="0" maxValue="1"/>
    </cacheField>
    <cacheField name="년도시즌" numFmtId="0">
      <sharedItems containsBlank="1" count="4">
        <s v="F3"/>
        <s v="F5"/>
        <s v="F4"/>
        <m/>
      </sharedItems>
    </cacheField>
    <cacheField name="품목2" numFmtId="0">
      <sharedItems containsBlank="1" count="5">
        <s v="모자"/>
        <s v="의류"/>
        <s v="ACC"/>
        <s v="가방"/>
        <m/>
      </sharedItems>
    </cacheField>
    <cacheField name="브랜드" numFmtId="0">
      <sharedItems containsBlank="1" count="31">
        <s v="NHL"/>
        <s v="MLN"/>
        <s v="GOO"/>
        <s v="HCU"/>
        <s v="SMB"/>
        <s v="VBL"/>
        <s v="ELS"/>
        <s v="JOI"/>
        <s v="WTR"/>
        <s v="MGM"/>
        <s v="URB"/>
        <s v="PLA"/>
        <s v="SWB"/>
        <s v="DPS"/>
        <s v="PNY"/>
        <s v="NOV"/>
        <s v="BRO"/>
        <s v="SBR"/>
        <s v="GRA"/>
        <s v="BMD"/>
        <s v="BLL"/>
        <s v="POL"/>
        <s v="NAA"/>
        <s v="NIX"/>
        <s v="FFT"/>
        <s v="ZZZ"/>
        <s v="YGF"/>
        <s v="SHL"/>
        <m/>
        <s v="BEL" u="1"/>
        <e v="#N/A" u="1"/>
      </sharedItems>
    </cacheField>
    <cacheField name="품목" numFmtId="0">
      <sharedItems containsBlank="1" count="28">
        <s v="SN"/>
        <s v="FI"/>
        <s v="HU"/>
        <s v="MI"/>
        <s v="FE"/>
        <s v="FA"/>
        <s v="BA"/>
        <s v="TP"/>
        <s v="EB"/>
        <s v="VB"/>
        <s v="ER"/>
        <s v="UM"/>
        <s v="FL"/>
        <s v="TL"/>
        <s v="JP"/>
        <s v="PT"/>
        <s v="VE"/>
        <s v="HP"/>
        <s v="TH"/>
        <s v="CT"/>
        <s v="CM"/>
        <s v="BE"/>
        <s v="MU"/>
        <s v="ED"/>
        <s v="AC"/>
        <s v="BP"/>
        <s v="SB"/>
        <m/>
      </sharedItems>
    </cacheField>
    <cacheField name="브랜드품목" numFmtId="0">
      <sharedItems containsBlank="1" count="59">
        <s v="NHL"/>
        <s v="MLN"/>
        <s v="GOO"/>
        <s v="HCU"/>
        <s v="SMB"/>
        <s v="VBL"/>
        <s v="ELS"/>
        <s v="JOI"/>
        <s v="WTR"/>
        <s v="MGM"/>
        <s v="URB"/>
        <s v="PLA"/>
        <s v="SWB"/>
        <s v="DPS"/>
        <s v="VBL-의류"/>
        <s v="ELS-의류"/>
        <s v="PNY-의류"/>
        <s v="NOV"/>
        <s v="BRO"/>
        <s v="SBR"/>
        <s v="GRA"/>
        <s v="BMD"/>
        <s v="JOI-ACC"/>
        <s v="URB-의류"/>
        <s v="ELS-ACC"/>
        <s v="BLL"/>
        <s v="NOV-ACC"/>
        <s v="POL"/>
        <s v="ELS-가방"/>
        <s v="NAA"/>
        <s v="PLA-가방"/>
        <s v="URB-가방"/>
        <s v="PNY-가방"/>
        <s v="NIX"/>
        <s v="DPS-가방"/>
        <s v="PNY"/>
        <s v="FFT"/>
        <s v="MGM-가방"/>
        <s v="ZZZ"/>
        <s v="YGF"/>
        <s v="SHL"/>
        <m/>
        <s v="" u="1"/>
        <s v="NYA" u="1"/>
        <s v="NRE" u="1"/>
        <s v="BEL" u="1"/>
        <s v="DAK" u="1"/>
        <s v="JIL-ACC" u="1"/>
        <s v="NDO" u="1"/>
        <s v="NPH" u="1"/>
        <s v="NIN" u="1"/>
        <s v="JIL" u="1"/>
        <s v="BIL" u="1"/>
        <s v="NBR" u="1"/>
        <s v="TRU" u="1"/>
        <s v="NAS" u="1"/>
        <s v="PLA-의류" u="1"/>
        <s v="TWI" u="1"/>
        <s v="B1A" u="1"/>
      </sharedItems>
    </cacheField>
    <cacheField name="성별" numFmtId="0">
      <sharedItems containsBlank="1" count="3">
        <s v="성인"/>
        <s v="키즈"/>
        <m/>
      </sharedItems>
    </cacheField>
    <cacheField name="품번" numFmtId="0">
      <sharedItems containsBlank="1"/>
    </cacheField>
    <cacheField name="품번색상" numFmtId="0">
      <sharedItems containsBlank="1"/>
    </cacheField>
    <cacheField name="분류" numFmtId="0">
      <sharedItems containsBlank="1" count="3">
        <s v="B"/>
        <s v="M"/>
        <m/>
      </sharedItems>
    </cacheField>
    <cacheField name="기획수량" numFmtId="3">
      <sharedItems containsString="0" containsBlank="1" containsNumber="1" containsInteger="1" minValue="5" maxValue="5000"/>
    </cacheField>
    <cacheField name="TAG가" numFmtId="3">
      <sharedItems containsString="0" containsBlank="1" containsNumber="1" containsInteger="1" minValue="295000" maxValue="417000000" count="197">
        <n v="34056000"/>
        <n v="28200000"/>
        <n v="44820000"/>
        <n v="27000000"/>
        <n v="35640000"/>
        <n v="46812000"/>
        <n v="42828000"/>
        <n v="14112000"/>
        <n v="17640000"/>
        <n v="16200000"/>
        <n v="19800000"/>
        <n v="21600000"/>
        <n v="14040000"/>
        <n v="15840000"/>
        <n v="13200000"/>
        <n v="19872000"/>
        <n v="18960000"/>
        <n v="159000000"/>
        <n v="35000000"/>
        <n v="82500000"/>
        <n v="165000000"/>
        <n v="49000000"/>
        <n v="90000000"/>
        <n v="118000000"/>
        <n v="110000000"/>
        <n v="137500000"/>
        <n v="88500000"/>
        <n v="73500000"/>
        <n v="79000000"/>
        <n v="67500000"/>
        <n v="45000000"/>
        <n v="54000000"/>
        <n v="42400000"/>
        <n v="66000000"/>
        <n v="55000000"/>
        <n v="53000000"/>
        <n v="63000000"/>
        <n v="42000000"/>
        <n v="33000000"/>
        <n v="58500000"/>
        <n v="46800000"/>
        <n v="64500000"/>
        <n v="51600000"/>
        <n v="63600000"/>
        <n v="86000000"/>
        <n v="98000000"/>
        <n v="88200000"/>
        <n v="58800000"/>
        <n v="59400000"/>
        <n v="71400000"/>
        <n v="43000000"/>
        <n v="47000000"/>
        <n v="56400000"/>
        <n v="94800000"/>
        <n v="69000000"/>
        <n v="357000000"/>
        <n v="327000000"/>
        <n v="106800000"/>
        <n v="89000000"/>
        <n v="119000000"/>
        <n v="158000000"/>
        <n v="118500000"/>
        <n v="109000000"/>
        <n v="178800000"/>
        <n v="75000000"/>
        <n v="112500000"/>
        <n v="78000000"/>
        <n v="65000000"/>
        <n v="55200000"/>
        <n v="63200000"/>
        <n v="39200000"/>
        <n v="70800000"/>
        <n v="59000000"/>
        <n v="58000000"/>
        <n v="31200000"/>
        <n v="39000000"/>
        <n v="36000000"/>
        <n v="99000000"/>
        <n v="129000000"/>
        <n v="6300000"/>
        <n v="9800000"/>
        <n v="7350000"/>
        <n v="5900000"/>
        <n v="8600000"/>
        <n v="6450000"/>
        <n v="4900000"/>
        <n v="8850000"/>
        <n v="6900000"/>
        <n v="7500000"/>
        <n v="5110000"/>
        <n v="5880000"/>
        <n v="8250000"/>
        <n v="19600000"/>
        <n v="82800000"/>
        <n v="117000000"/>
        <n v="23200000"/>
        <n v="142800000"/>
        <n v="417000000"/>
        <n v="387000000"/>
        <n v="180000000"/>
        <n v="43500000"/>
        <n v="29000000"/>
        <n v="34800000"/>
        <n v="52500000"/>
        <n v="70000000"/>
        <n v="87500000"/>
        <n v="18000000"/>
        <n v="22500000"/>
        <n v="47200000"/>
        <n v="50400000"/>
        <n v="44000000"/>
        <n v="51150000"/>
        <n v="21000000"/>
        <n v="25800000"/>
        <n v="18800000"/>
        <n v="14700000"/>
        <n v="27600000"/>
        <n v="19500000"/>
        <n v="15900000"/>
        <n v="7080000"/>
        <n v="9480000"/>
        <n v="47400000"/>
        <n v="29400000"/>
        <n v="34400000"/>
        <n v="28000000"/>
        <n v="118800000"/>
        <n v="29200000"/>
        <n v="21200000"/>
        <n v="215000000"/>
        <n v="172000000"/>
        <n v="212000000"/>
        <n v="101500000"/>
        <n v="181300000"/>
        <n v="122500000"/>
        <n v="84800000"/>
        <n v="100000000"/>
        <n v="18500000"/>
        <n v="89400000"/>
        <n v="77400000"/>
        <n v="5600000"/>
        <n v="3700000"/>
        <n v="6800000"/>
        <n v="8000000"/>
        <n v="9400000"/>
        <n v="6000000"/>
        <n v="5550000"/>
        <n v="7400000"/>
        <n v="52000000"/>
        <n v="60000000"/>
        <n v="32250000"/>
        <n v="21500000"/>
        <n v="24500000"/>
        <n v="112700000"/>
        <n v="53900000"/>
        <n v="4140000"/>
        <n v="11250000"/>
        <n v="7800000"/>
        <n v="50000000"/>
        <n v="163500000"/>
        <n v="780000"/>
        <n v="585000"/>
        <n v="29500000"/>
        <n v="13500000"/>
        <n v="4500000"/>
        <n v="9000000"/>
        <n v="630000"/>
        <n v="1170000"/>
        <n v="945000"/>
        <n v="14000000"/>
        <n v="17500000"/>
        <n v="55300000"/>
        <n v="105000000"/>
        <n v="900000"/>
        <n v="720000"/>
        <n v="810000"/>
        <n v="390000"/>
        <n v="897000"/>
        <n v="37600000"/>
        <n v="6750000"/>
        <n v="1260000"/>
        <n v="11000000"/>
        <n v="3150000"/>
        <n v="3430000"/>
        <n v="41400000"/>
        <n v="134100000"/>
        <n v="7000000"/>
        <n v="5250000"/>
        <n v="37500000"/>
        <n v="3500000"/>
        <n v="27500000"/>
        <n v="17400000"/>
        <n v="2250000"/>
        <n v="5700000"/>
        <n v="2360000"/>
        <n v="4800000"/>
        <n v="295000"/>
        <m/>
      </sharedItems>
    </cacheField>
    <cacheField name="원가(-V)" numFmtId="3">
      <sharedItems containsString="0" containsBlank="1" containsNumber="1" minValue="59090.909090909081" maxValue="100948125" count="636">
        <n v="8990261.2799999993"/>
        <n v="8180449.2000000002"/>
        <n v="12337135.272"/>
        <n v="7432009.2000000002"/>
        <n v="9810252.1439999994"/>
        <n v="9810252.1440000013"/>
        <n v="13219246.656000001"/>
        <n v="11492296.200000001"/>
        <n v="9138452.4000000004"/>
        <n v="4849891.2"/>
        <n v="4526565.12"/>
        <n v="6466521.6000000006"/>
        <n v="3615912"/>
        <n v="3391380"/>
        <n v="4289508"/>
        <n v="4868611.2"/>
        <n v="2942316"/>
        <n v="3611232"/>
        <n v="3009360"/>
        <n v="4329734.4000000004"/>
        <n v="4655928"/>
        <n v="23261640.000000004"/>
        <n v="5009600"/>
        <n v="9385500"/>
        <n v="23916750.000000004"/>
        <n v="6017520"/>
        <n v="6822780.0000000009"/>
        <n v="13076080"/>
        <n v="16979480.000000004"/>
        <n v="16196000"/>
        <n v="13484145.000000004"/>
        <n v="13203480"/>
        <n v="15074579.999999998"/>
        <n v="11699575"/>
        <n v="8741295.0000000019"/>
        <n v="12422160"/>
        <n v="12548160"/>
        <n v="14555760"/>
        <n v="11467500"/>
        <n v="10972500"/>
        <n v="7095000"/>
        <n v="8514000"/>
        <n v="7645000"/>
        <n v="7920000"/>
        <n v="7870272.0000000019"/>
        <n v="7952130.0000000009"/>
        <n v="6780940.0000000009"/>
        <n v="6727590"/>
        <n v="3668240.0000000005"/>
        <n v="4102540.0000000009"/>
        <n v="5984000"/>
        <n v="8382528.0000000009"/>
        <n v="7234920"/>
        <n v="7933464.0000000019"/>
        <n v="6860700.0000000009"/>
        <n v="6735960.0000000019"/>
        <n v="9594690"/>
        <n v="9744690"/>
        <n v="6815400.0000000009"/>
        <n v="5679500.0000000009"/>
        <n v="7231200.0000000009"/>
        <n v="6810208"/>
        <n v="5851240"/>
        <n v="6161208"/>
        <n v="5134340"/>
        <n v="8240295.0000000009"/>
        <n v="6598236.0000000009"/>
        <n v="5263080.0000000009"/>
        <n v="4565900.0000000009"/>
        <n v="5830410.0000000009"/>
        <n v="4814016"/>
        <n v="4664328.0000000009"/>
        <n v="6610272.0000000019"/>
        <n v="7757520"/>
        <n v="8820000"/>
        <n v="7855180.0000000009"/>
        <n v="6387255"/>
        <n v="4961760"/>
        <n v="6381255"/>
        <n v="7117520"/>
        <n v="5244585.0000000009"/>
        <n v="9029460"/>
        <n v="8772510"/>
        <n v="7874850.0000000009"/>
        <n v="8436180"/>
        <n v="7504410.0000000009"/>
        <n v="7320630"/>
        <n v="7494300.0000000009"/>
        <n v="6156504"/>
        <n v="16500000"/>
        <n v="14850000"/>
        <n v="9900000"/>
        <n v="13860000"/>
        <n v="14100000"/>
        <n v="5527460"/>
        <n v="8504184"/>
        <n v="10501428"/>
        <n v="11700000"/>
        <n v="12500000"/>
        <n v="11300000"/>
        <n v="13560000"/>
        <n v="12120000"/>
        <n v="12600000"/>
        <n v="8865749.9999999981"/>
        <n v="9385500.0000000019"/>
        <n v="7181000.0000000009"/>
        <n v="10598250"/>
        <n v="8107152.0000000019"/>
        <n v="7741248"/>
        <n v="11374380"/>
        <n v="11615490.000000002"/>
        <n v="11187660.000000002"/>
        <n v="12937770"/>
        <n v="14428035"/>
        <n v="13600590.000000004"/>
        <n v="13828200.000000004"/>
        <n v="13926090.000000004"/>
        <n v="19800000"/>
        <n v="20340000"/>
        <n v="13754075"/>
        <n v="13754074.999999998"/>
        <n v="85528875"/>
        <n v="79291875"/>
        <n v="24348300.000000004"/>
        <n v="79725000.000000015"/>
        <n v="82497000.000000015"/>
        <n v="24852500"/>
        <n v="19193000.000000004"/>
        <n v="25083500"/>
        <n v="37326500"/>
        <n v="16103345"/>
        <n v="18061070"/>
        <n v="24546562.499999996"/>
        <n v="16364374.999999996"/>
        <n v="23567700"/>
        <n v="22588837.5"/>
        <n v="24700000"/>
        <n v="43212000"/>
        <n v="15059225"/>
        <n v="15721799.999999998"/>
        <n v="19655000"/>
        <n v="13052520"/>
        <n v="10292344"/>
        <n v="10691512"/>
        <n v="10835512"/>
        <n v="11623270.000000002"/>
        <n v="10721906.000000002"/>
        <n v="10362656.000000002"/>
        <n v="10450672"/>
        <n v="9812032"/>
        <n v="10212656.000000002"/>
        <n v="7614492.0000000009"/>
        <n v="10275572"/>
        <n v="7644804"/>
        <n v="4756120"/>
        <n v="7164768"/>
        <n v="5304976.0000000009"/>
        <n v="7999020.0000000019"/>
        <n v="8125824.0000000009"/>
        <n v="8867244.0000000019"/>
        <n v="8698044.0000000019"/>
        <n v="8897148.0000000019"/>
        <n v="7678520"/>
        <n v="6865520"/>
        <n v="7379660.0000000009"/>
        <n v="7691510.0000000009"/>
        <n v="8375730.0000000009"/>
        <n v="9375500"/>
        <n v="9001280"/>
        <n v="9562610"/>
        <n v="12449052.000000004"/>
        <n v="9473660"/>
        <n v="9989660"/>
        <n v="5439624.0000000009"/>
        <n v="6779230"/>
        <n v="9431340.0000000019"/>
        <n v="8765340.0000000019"/>
        <n v="7791828"/>
        <n v="8244228"/>
        <n v="10925500"/>
        <n v="5865640"/>
        <n v="7467850.0000000009"/>
        <n v="8063150"/>
        <n v="6210520"/>
        <n v="14437780"/>
        <n v="8302668"/>
        <n v="5689304.0000000019"/>
        <n v="6173360"/>
        <n v="6520296.0000000009"/>
        <n v="6584296.0000000009"/>
        <n v="8055700"/>
        <n v="6735384"/>
        <n v="6729072.0000000019"/>
        <n v="6219400.0000000009"/>
        <n v="7830780.0000000009"/>
        <n v="11095500"/>
        <n v="6844104.0000000009"/>
        <n v="10709259.999999998"/>
        <n v="21299100"/>
        <n v="35998250"/>
        <n v="24044000.000000004"/>
        <n v="23928500"/>
        <n v="35825000.000000007"/>
        <n v="24804000"/>
        <n v="25129000"/>
        <n v="22325000"/>
        <n v="22620000"/>
        <n v="23740000"/>
        <n v="31895000"/>
        <n v="1135397.0000000002"/>
        <n v="2378070.4000000004"/>
        <n v="1783552.8000000003"/>
        <n v="1296311.6000000001"/>
        <n v="1909510.0000000002"/>
        <n v="1432132.5000000002"/>
        <n v="2562685.6000000006"/>
        <n v="1922014.2000000002"/>
        <n v="1740517.5"/>
        <n v="1160345"/>
        <n v="2148417.3000000003"/>
        <n v="1288827.2000000002"/>
        <n v="1189035.2000000002"/>
        <n v="1705458.8"/>
        <n v="1169372.1200000001"/>
        <n v="1419804.2000000004"/>
        <n v="2323184.8000000007"/>
        <n v="1368463.9200000002"/>
        <n v="2071210.0000000002"/>
        <n v="2098652.8000000007"/>
        <n v="1834072.5000000002"/>
        <n v="1222715.0000000002"/>
        <n v="1542180.9"/>
        <n v="1381266.3000000005"/>
        <n v="1726664.6"/>
        <n v="1590829.5000000005"/>
        <n v="1553407.5000000002"/>
        <n v="1813490.4000000006"/>
        <n v="2021182.5"/>
        <n v="3227660"/>
        <n v="16974744"/>
        <n v="16504890"/>
        <n v="27091605"/>
        <n v="16364374.999999998"/>
        <n v="17016949.999999996"/>
        <n v="21920000"/>
        <n v="20556000"/>
        <n v="25975000"/>
        <n v="8453360"/>
        <n v="9480240"/>
        <n v="7983360.0000000009"/>
        <n v="9854460.0000000019"/>
        <n v="14220360.000000002"/>
        <n v="18188340.000000004"/>
        <n v="13756035"/>
        <n v="16107784.000000002"/>
        <n v="11463903.999999996"/>
        <n v="14156805.000000002"/>
        <n v="9730212.0000000019"/>
        <n v="4895828.8000000007"/>
        <n v="3508720.0000000005"/>
        <n v="9597012.0000000019"/>
        <n v="7732812"/>
        <n v="24279000"/>
        <n v="35782800.000000007"/>
        <n v="37557500"/>
        <n v="100948125"/>
        <n v="88040999.999999985"/>
        <n v="10205912.000000002"/>
        <n v="14065760"/>
        <n v="24898104.000000007"/>
        <n v="8009355"/>
        <n v="5339570"/>
        <n v="5913300.0000000009"/>
        <n v="3942200.0000000009"/>
        <n v="4730640.0000000009"/>
        <n v="3153760.0000000005"/>
        <n v="4820702.4000000004"/>
        <n v="5575878.0000000009"/>
        <n v="7434504.0000000009"/>
        <n v="4460702.4000000004"/>
        <n v="3717252.0000000005"/>
        <n v="9293130.0000000019"/>
        <n v="3891887.9999999995"/>
        <n v="9729720.0000000019"/>
        <n v="7783776.0000000019"/>
        <n v="6038040"/>
        <n v="5102490.0000000009"/>
        <n v="6122988.0000000009"/>
        <n v="5613300"/>
        <n v="7075752"/>
        <n v="3712512.0000000005"/>
        <n v="4640640"/>
        <n v="5139288.0000000009"/>
        <n v="5394432"/>
        <n v="6165304.0000000019"/>
        <n v="6579880.0000000019"/>
        <n v="5948176.0000000009"/>
        <n v="8987376.0000000019"/>
        <n v="6906696.0000000009"/>
        <n v="8806744.0000000019"/>
        <n v="7551248.0000000009"/>
        <n v="7152080"/>
        <n v="7002392"/>
        <n v="8185824"/>
        <n v="6702064"/>
        <n v="6602272"/>
        <n v="11454200"/>
        <n v="7311632.0000000009"/>
        <n v="7300816"/>
        <n v="7253824.0000000009"/>
        <n v="12170244.000000002"/>
        <n v="10687320"/>
        <n v="7890213"/>
        <n v="15843915"/>
        <n v="9078264"/>
        <n v="3305136.0000000009"/>
        <n v="3155448.0000000005"/>
        <n v="4192512.0000000005"/>
        <n v="11882490.000000002"/>
        <n v="9395360"/>
        <n v="9055728"/>
        <n v="15591840"/>
        <n v="9355104"/>
        <n v="8681508"/>
        <n v="3195480.0000000005"/>
        <n v="2694384"/>
        <n v="4682928"/>
        <n v="3321840"/>
        <n v="3502704"/>
        <n v="2650830"/>
        <n v="2900552"/>
        <n v="2996384.0000000009"/>
        <n v="1215504"/>
        <n v="1440036"/>
        <n v="1290348"/>
        <n v="7490030.0000000009"/>
        <n v="7994030.0000000009"/>
        <n v="11412000"/>
        <n v="12912000"/>
        <n v="4606432"/>
        <n v="4907264.0000000009"/>
        <n v="6049890"/>
        <n v="4839912"/>
        <n v="4660952"/>
        <n v="4281576.0000000009"/>
        <n v="4453218"/>
        <n v="6536376"/>
        <n v="4782906.0000000009"/>
        <n v="5429184.0000000009"/>
        <n v="5189184.0000000009"/>
        <n v="5561658.0000000009"/>
        <n v="6317208"/>
        <n v="5800410"/>
        <n v="4752594"/>
        <n v="2893968"/>
        <n v="3093552.0000000005"/>
        <n v="5738040"/>
        <n v="4590432"/>
        <n v="20675400"/>
        <n v="23120000"/>
        <n v="19010778"/>
        <n v="18227687.999999996"/>
        <n v="16494890"/>
        <n v="25788000"/>
        <n v="5468532.0000000009"/>
        <n v="5378532.0000000009"/>
        <n v="4559460"/>
        <n v="4859460"/>
        <n v="4647710.0000000009"/>
        <n v="5441576.0000000056"/>
        <n v="5432980.0000000009"/>
        <n v="4706730.0000000009"/>
        <n v="5070580.0000000009"/>
        <n v="7319876.0000000009"/>
        <n v="6193692"/>
        <n v="5301288.0000000009"/>
        <n v="5297408"/>
        <n v="3544072"/>
        <n v="7307520"/>
        <n v="7907520"/>
        <n v="9628620.0000000019"/>
        <n v="9524400"/>
        <n v="9442176.0000000019"/>
        <n v="7112260"/>
        <n v="7292260"/>
        <n v="8234504.0000000009"/>
        <n v="10473130.000000002"/>
        <n v="7230896"/>
        <n v="7580168.0000000019"/>
        <n v="11808375.000000002"/>
        <n v="9931800"/>
        <n v="11733600"/>
        <n v="7046520"/>
        <n v="7140180"/>
        <n v="7059336.0000000009"/>
        <n v="7209024.0000000009"/>
        <n v="6506480.0000000009"/>
        <n v="6686480.0000000019"/>
        <n v="6299080.0000000009"/>
        <n v="6257000"/>
        <n v="7957464.0000000019"/>
        <n v="7807776.0000000019"/>
        <n v="8023776.0000000019"/>
        <n v="5945150"/>
        <n v="7391512.0000000009"/>
        <n v="7151128"/>
        <n v="8807060.0000000019"/>
        <n v="8190470"/>
        <n v="10511625"/>
        <n v="10684875.000000002"/>
        <n v="8132100"/>
        <n v="10488300"/>
        <n v="35318750"/>
        <n v="4897200"/>
        <n v="4435200"/>
        <n v="4989600.0000000009"/>
        <n v="13010160"/>
        <n v="13986600.000000002"/>
        <n v="17560880"/>
        <n v="6535218"/>
        <n v="5984103.0000000019"/>
        <n v="7137048.0000000019"/>
        <n v="7533300.0000000019"/>
        <n v="28520720.000000004"/>
        <n v="20896715.000000004"/>
        <n v="6668800"/>
        <n v="10508160"/>
        <n v="8331684.0000000009"/>
        <n v="7604400"/>
        <n v="7473156.0000000019"/>
        <n v="7090896.0000000009"/>
        <n v="12914985"/>
        <n v="10878336.000000002"/>
        <n v="37695600"/>
        <n v="13632000"/>
        <n v="25470000"/>
        <n v="16332000"/>
        <n v="23440000"/>
        <n v="7050388.0000000009"/>
        <n v="6801143.9999999991"/>
        <n v="6959488"/>
        <n v="6600000"/>
        <n v="11836760"/>
        <n v="4726704"/>
        <n v="10384605"/>
        <n v="22400000"/>
        <n v="12012930.000000002"/>
        <n v="12605370"/>
        <n v="9111192"/>
        <n v="10227096"/>
        <n v="10685270.000000002"/>
        <n v="9895408.0000000037"/>
        <n v="5903728.0000000009"/>
        <n v="2025892.0000000005"/>
        <n v="22512000"/>
        <n v="23160000"/>
        <n v="17040000"/>
        <n v="18300000"/>
        <n v="8588400.0000000019"/>
        <n v="8836400.0000000019"/>
        <n v="6549112.8000000007"/>
        <n v="7515804.0000000019"/>
        <n v="7261974.0000000009"/>
        <n v="1934545.4545454544"/>
        <n v="1278181.8181818181"/>
        <n v="2349090.9090909087"/>
        <n v="2763636.3636363633"/>
        <n v="3247272.7272727271"/>
        <n v="2072727.2727272725"/>
        <n v="1917272.7272727271"/>
        <n v="2556363.6363636358"/>
        <n v="7484400"/>
        <n v="10328472"/>
        <n v="7251560.0000000009"/>
        <n v="9073992.0000000019"/>
        <n v="5587600"/>
        <n v="5360120"/>
        <n v="4019175.0000000005"/>
        <n v="2696950.0000000005"/>
        <n v="2916910"/>
        <n v="2991910"/>
        <n v="3272625"/>
        <n v="3090067.5"/>
        <n v="8431350"/>
        <n v="13035000"/>
        <n v="6259627.1999999993"/>
        <n v="7327011.0000000019"/>
        <n v="6671484"/>
        <n v="2910716.8000000007"/>
        <n v="17204000"/>
        <n v="8228000"/>
        <n v="4036628"/>
        <n v="4201368"/>
        <n v="17010000"/>
        <n v="17260000"/>
        <n v="10642500"/>
        <n v="7993196.0000000009"/>
        <n v="8232840.0000000019"/>
        <n v="6885690"/>
        <n v="7752690"/>
        <n v="4360720"/>
        <n v="2091230"/>
        <n v="1997935.0000000002"/>
        <n v="4722170"/>
        <n v="5630604"/>
        <n v="5555760"/>
        <n v="3958240.0000000005"/>
        <n v="4051130"/>
        <n v="9820000"/>
        <n v="17713080"/>
        <n v="3886940.0000000005"/>
        <n v="12000000"/>
        <n v="9990492"/>
        <n v="10218492"/>
        <n v="4340952"/>
        <n v="1693636.3636363635"/>
        <n v="4602272.7272727266"/>
        <n v="3190909.0909090908"/>
        <n v="12208000"/>
        <n v="12808000"/>
        <n v="11808000"/>
        <n v="15410000"/>
        <n v="35280000"/>
        <n v="3605840"/>
        <n v="3719840"/>
        <n v="78787.87878787877"/>
        <n v="59090.909090909081"/>
        <n v="7484400.0000000019"/>
        <n v="4886584"/>
        <n v="5863143.9999999991"/>
        <n v="6037780.0000000009"/>
        <n v="4386420"/>
        <n v="4012200"/>
        <n v="15180000"/>
        <n v="7431600"/>
        <n v="4019800"/>
        <n v="8771800.0000000019"/>
        <n v="10560000"/>
        <n v="22000000"/>
        <n v="10000000"/>
        <n v="5500000"/>
        <n v="6250000"/>
        <n v="7185927.2727272725"/>
        <n v="7116627.2727272725"/>
        <n v="7919386.3636363633"/>
        <n v="8196586.3636363633"/>
        <n v="4406848.0000000009"/>
        <n v="4787824.0000000009"/>
        <n v="4646432"/>
        <n v="5760000"/>
        <n v="6060000"/>
        <n v="5882780.0000000009"/>
        <n v="7504400.0000000019"/>
        <n v="13943160"/>
        <n v="13846140.000000002"/>
        <n v="1840909.0909090908"/>
        <n v="3681818.1818181816"/>
        <n v="257727.27272727271"/>
        <n v="478636.36363636359"/>
        <n v="386590.90909090906"/>
        <n v="2819124.0000000005"/>
        <n v="3523905.0000000005"/>
        <n v="8352869.0000000009"/>
        <n v="8090915.0000000009"/>
        <n v="7916279.0000000019"/>
        <n v="11820999.999999998"/>
        <n v="12702000"/>
        <n v="8800000"/>
        <n v="10800000"/>
        <n v="11693436.000000002"/>
        <n v="368181.81818181818"/>
        <n v="294545.45454545453"/>
        <n v="331363.63636363635"/>
        <n v="159545.45454545453"/>
        <n v="366954.54545454547"/>
        <n v="366954.54545454541"/>
        <n v="319090.90909090906"/>
        <n v="5285380"/>
        <n v="4128512.0000000005"/>
        <n v="3408928"/>
        <n v="3839032"/>
        <n v="5683704"/>
        <n v="10291050.000000002"/>
        <n v="2917802"/>
        <n v="5749206"/>
        <n v="7480000"/>
        <n v="11220000"/>
        <n v="5112512.0000000009"/>
        <n v="4003402.0000000009"/>
        <n v="4863032.0000000009"/>
        <n v="6841032"/>
        <n v="2761363.6363636362"/>
        <n v="515454.54545454541"/>
        <n v="4500000"/>
        <n v="4009090.9090909087"/>
        <n v="9500000"/>
        <n v="1288636.3636363635"/>
        <n v="1403181.8181818181"/>
        <n v="6874548"/>
        <n v="4950000"/>
        <n v="31266000"/>
        <n v="9898920"/>
        <n v="4900000"/>
        <n v="4800000"/>
        <n v="3345970.0000000005"/>
        <n v="3509170"/>
        <n v="2863636.3636363633"/>
        <n v="2147727.2727272725"/>
        <n v="7560000"/>
        <n v="1907250"/>
        <n v="1892250"/>
        <n v="1952250"/>
        <n v="1757250"/>
        <n v="3808500"/>
        <n v="3778500"/>
        <n v="3898500"/>
        <n v="3508500"/>
        <n v="2004545.4545454544"/>
        <n v="3006818.1818181816"/>
        <n v="1431818.1818181816"/>
        <n v="12369260.000000004"/>
        <n v="2155528.0000000005"/>
        <n v="4631530.0000000009"/>
        <n v="4710900.0000000009"/>
        <n v="3253240.0000000005"/>
        <n v="1337296.0000000002"/>
        <n v="3900000"/>
        <n v="5200000"/>
        <n v="5522727.2727272725"/>
        <n v="2781818.1818181816"/>
        <n v="920454.54545454541"/>
        <n v="2331818.1818181816"/>
        <n v="966254.54545454541"/>
        <n v="1963636.3636363635"/>
        <n v="120781.81818181818"/>
        <m/>
      </sharedItems>
    </cacheField>
    <cacheField name="배수" numFmtId="3">
      <sharedItems containsString="0" containsBlank="1" containsNumber="1" minValue="1.6303904785196055" maxValue="12.463606269692496"/>
    </cacheField>
    <cacheField name=" 입고수량" numFmtId="3">
      <sharedItems containsString="0" containsBlank="1" containsNumber="1" containsInteger="1" minValue="0" maxValue="5000"/>
    </cacheField>
    <cacheField name=" 미입고수량" numFmtId="3">
      <sharedItems containsString="0" containsBlank="1" containsNumber="1" containsInteger="1" minValue="0" maxValue="0"/>
    </cacheField>
    <cacheField name="배수2" numFmtId="0" formula="IF(ISERROR(TAG가/ ('원가(-V)'*1.1))=TRUE,0,TAG가/ ('원가(-V)'*1.1))" databaseField="0"/>
    <cacheField name="LOT" numFmtId="0" formula="IF(ISERROR(기획수량/('색상수(최초)'+'색상수(리오더)'))=TRUE,0,기획수량/('색상수(최초)'+'색상수(리오더)')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98">
  <r>
    <n v="1"/>
    <x v="0"/>
    <x v="0"/>
    <s v="FRE"/>
    <x v="0"/>
    <n v="792"/>
    <n v="0"/>
    <n v="792"/>
    <n v="8990261.2799999993"/>
    <n v="34056000"/>
  </r>
  <r>
    <n v="2"/>
    <x v="1"/>
    <x v="1"/>
    <s v="FRE"/>
    <x v="0"/>
    <n v="792"/>
    <n v="0"/>
    <n v="792"/>
    <n v="8990261.2799999993"/>
    <n v="34056000"/>
  </r>
  <r>
    <n v="3"/>
    <x v="2"/>
    <x v="2"/>
    <s v="FRE"/>
    <x v="0"/>
    <n v="792"/>
    <n v="0"/>
    <n v="792"/>
    <n v="8990261.2799999993"/>
    <n v="34056000"/>
  </r>
  <r>
    <n v="4"/>
    <x v="3"/>
    <x v="3"/>
    <s v="FRE"/>
    <x v="0"/>
    <n v="600"/>
    <n v="0"/>
    <n v="600"/>
    <n v="8180449.2000000002"/>
    <n v="28200000"/>
  </r>
  <r>
    <n v="5"/>
    <x v="4"/>
    <x v="4"/>
    <s v="FRE"/>
    <x v="0"/>
    <n v="996"/>
    <n v="0"/>
    <n v="996"/>
    <n v="12337135.272"/>
    <n v="44820000"/>
  </r>
  <r>
    <n v="6"/>
    <x v="5"/>
    <x v="5"/>
    <s v="FRE"/>
    <x v="0"/>
    <n v="600"/>
    <n v="0"/>
    <n v="600"/>
    <n v="7432009.2000000002"/>
    <n v="27000000"/>
  </r>
  <r>
    <n v="7"/>
    <x v="6"/>
    <x v="6"/>
    <s v="FRE"/>
    <x v="0"/>
    <n v="600"/>
    <n v="0"/>
    <n v="600"/>
    <n v="7432009.2000000002"/>
    <n v="27000000"/>
  </r>
  <r>
    <n v="8"/>
    <x v="7"/>
    <x v="7"/>
    <s v="FRE"/>
    <x v="0"/>
    <n v="600"/>
    <n v="0"/>
    <n v="600"/>
    <n v="7432009.2000000002"/>
    <n v="27000000"/>
  </r>
  <r>
    <n v="9"/>
    <x v="8"/>
    <x v="8"/>
    <n v="714"/>
    <x v="0"/>
    <n v="120"/>
    <n v="0"/>
    <n v="120"/>
    <n v="1486401.84"/>
    <n v="5400000"/>
  </r>
  <r>
    <n v="10"/>
    <x v="8"/>
    <x v="8"/>
    <n v="738"/>
    <x v="0"/>
    <n v="192"/>
    <n v="0"/>
    <n v="192"/>
    <n v="2378242.9440000001"/>
    <n v="8640000"/>
  </r>
  <r>
    <n v="11"/>
    <x v="8"/>
    <x v="8"/>
    <n v="712"/>
    <x v="0"/>
    <n v="192"/>
    <n v="0"/>
    <n v="192"/>
    <n v="2378242.9440000001"/>
    <n v="8640000"/>
  </r>
  <r>
    <n v="12"/>
    <x v="8"/>
    <x v="8"/>
    <n v="758"/>
    <x v="0"/>
    <n v="108"/>
    <n v="0"/>
    <n v="108"/>
    <n v="1337761.656"/>
    <n v="4860000"/>
  </r>
  <r>
    <n v="13"/>
    <x v="8"/>
    <x v="8"/>
    <n v="734"/>
    <x v="0"/>
    <n v="96"/>
    <n v="0"/>
    <n v="96"/>
    <n v="1189121.4720000001"/>
    <n v="4320000"/>
  </r>
  <r>
    <n v="14"/>
    <x v="8"/>
    <x v="8"/>
    <n v="778"/>
    <x v="0"/>
    <n v="84"/>
    <n v="0"/>
    <n v="84"/>
    <n v="1040481.2880000001"/>
    <n v="3780000"/>
  </r>
  <r>
    <n v="15"/>
    <x v="9"/>
    <x v="9"/>
    <n v="714"/>
    <x v="0"/>
    <n v="120"/>
    <n v="0"/>
    <n v="120"/>
    <n v="1486401.84"/>
    <n v="5400000"/>
  </r>
  <r>
    <n v="16"/>
    <x v="9"/>
    <x v="9"/>
    <n v="738"/>
    <x v="0"/>
    <n v="192"/>
    <n v="0"/>
    <n v="192"/>
    <n v="2378242.9440000001"/>
    <n v="8640000"/>
  </r>
  <r>
    <n v="17"/>
    <x v="9"/>
    <x v="9"/>
    <n v="712"/>
    <x v="0"/>
    <n v="192"/>
    <n v="0"/>
    <n v="192"/>
    <n v="2378242.9440000001"/>
    <n v="8640000"/>
  </r>
  <r>
    <n v="18"/>
    <x v="9"/>
    <x v="9"/>
    <n v="758"/>
    <x v="0"/>
    <n v="108"/>
    <n v="0"/>
    <n v="108"/>
    <n v="1337761.656"/>
    <n v="4860000"/>
  </r>
  <r>
    <n v="19"/>
    <x v="9"/>
    <x v="9"/>
    <n v="734"/>
    <x v="0"/>
    <n v="96"/>
    <n v="0"/>
    <n v="96"/>
    <n v="1189121.4720000001"/>
    <n v="4320000"/>
  </r>
  <r>
    <n v="20"/>
    <x v="9"/>
    <x v="9"/>
    <n v="778"/>
    <x v="0"/>
    <n v="84"/>
    <n v="0"/>
    <n v="84"/>
    <n v="1040481.2880000001"/>
    <n v="3780000"/>
  </r>
  <r>
    <n v="21"/>
    <x v="10"/>
    <x v="10"/>
    <s v="FRE"/>
    <x v="0"/>
    <n v="780"/>
    <n v="0"/>
    <n v="792"/>
    <n v="9810252.1440000013"/>
    <n v="35640000"/>
  </r>
  <r>
    <n v="22"/>
    <x v="11"/>
    <x v="11"/>
    <s v="FRE"/>
    <x v="0"/>
    <n v="792"/>
    <n v="0"/>
    <n v="792"/>
    <n v="9810252.1440000013"/>
    <n v="35640000"/>
  </r>
  <r>
    <n v="23"/>
    <x v="12"/>
    <x v="12"/>
    <s v="FRE"/>
    <x v="0"/>
    <n v="996"/>
    <n v="0"/>
    <n v="996"/>
    <n v="13219246.656000001"/>
    <n v="46812000"/>
  </r>
  <r>
    <n v="24"/>
    <x v="13"/>
    <x v="13"/>
    <s v="FRE"/>
    <x v="0"/>
    <n v="996"/>
    <n v="0"/>
    <n v="996"/>
    <n v="13219246.656000001"/>
    <n v="46812000"/>
  </r>
  <r>
    <n v="25"/>
    <x v="14"/>
    <x v="14"/>
    <s v="FRE"/>
    <x v="0"/>
    <n v="996"/>
    <n v="0"/>
    <n v="996"/>
    <n v="11492296.200000001"/>
    <n v="42828000"/>
  </r>
  <r>
    <n v="26"/>
    <x v="15"/>
    <x v="15"/>
    <s v="FRE"/>
    <x v="0"/>
    <n v="996"/>
    <n v="0"/>
    <n v="996"/>
    <n v="11492296.200000001"/>
    <n v="42828000"/>
  </r>
  <r>
    <n v="27"/>
    <x v="16"/>
    <x v="16"/>
    <n v="714"/>
    <x v="0"/>
    <n v="120"/>
    <n v="0"/>
    <n v="120"/>
    <n v="1486401.84"/>
    <n v="5400000"/>
  </r>
  <r>
    <n v="28"/>
    <x v="16"/>
    <x v="16"/>
    <n v="738"/>
    <x v="0"/>
    <n v="192"/>
    <n v="0"/>
    <n v="192"/>
    <n v="2378242.9440000001"/>
    <n v="8640000"/>
  </r>
  <r>
    <n v="29"/>
    <x v="16"/>
    <x v="16"/>
    <n v="712"/>
    <x v="0"/>
    <n v="192"/>
    <n v="0"/>
    <n v="192"/>
    <n v="2378242.9440000001"/>
    <n v="8640000"/>
  </r>
  <r>
    <n v="30"/>
    <x v="16"/>
    <x v="16"/>
    <n v="758"/>
    <x v="0"/>
    <n v="96"/>
    <n v="0"/>
    <n v="96"/>
    <n v="1189121.4720000001"/>
    <n v="4320000"/>
  </r>
  <r>
    <n v="31"/>
    <x v="17"/>
    <x v="17"/>
    <n v="714"/>
    <x v="0"/>
    <n v="120"/>
    <n v="0"/>
    <n v="120"/>
    <n v="1486401.84"/>
    <n v="5400000"/>
  </r>
  <r>
    <n v="32"/>
    <x v="17"/>
    <x v="17"/>
    <n v="738"/>
    <x v="0"/>
    <n v="192"/>
    <n v="0"/>
    <n v="192"/>
    <n v="2378242.9440000001"/>
    <n v="8640000"/>
  </r>
  <r>
    <n v="33"/>
    <x v="17"/>
    <x v="17"/>
    <n v="712"/>
    <x v="0"/>
    <n v="192"/>
    <n v="0"/>
    <n v="192"/>
    <n v="2378242.9440000001"/>
    <n v="8640000"/>
  </r>
  <r>
    <n v="34"/>
    <x v="17"/>
    <x v="17"/>
    <n v="758"/>
    <x v="0"/>
    <n v="96"/>
    <n v="0"/>
    <n v="96"/>
    <n v="1189121.4720000001"/>
    <n v="4320000"/>
  </r>
  <r>
    <n v="35"/>
    <x v="18"/>
    <x v="18"/>
    <m/>
    <x v="1"/>
    <n v="14112"/>
    <n v="0"/>
    <n v="14124"/>
    <n v="173312508.60000005"/>
    <n v="632028000"/>
  </r>
  <r>
    <n v="36"/>
    <x v="19"/>
    <x v="19"/>
    <s v="FRE"/>
    <x v="0"/>
    <n v="996"/>
    <n v="0"/>
    <n v="996"/>
    <n v="11492296.200000001"/>
    <n v="42828000"/>
  </r>
  <r>
    <n v="37"/>
    <x v="20"/>
    <x v="20"/>
    <s v="FRE"/>
    <x v="0"/>
    <n v="996"/>
    <n v="0"/>
    <n v="996"/>
    <n v="11492296.200000001"/>
    <n v="42828000"/>
  </r>
  <r>
    <n v="38"/>
    <x v="21"/>
    <x v="21"/>
    <s v="FRE"/>
    <x v="0"/>
    <n v="792"/>
    <n v="0"/>
    <n v="792"/>
    <n v="9138452.4000000004"/>
    <n v="34056000"/>
  </r>
  <r>
    <n v="39"/>
    <x v="22"/>
    <x v="22"/>
    <s v="FRE"/>
    <x v="0"/>
    <n v="792"/>
    <n v="0"/>
    <n v="792"/>
    <n v="9138452.4000000004"/>
    <n v="34056000"/>
  </r>
  <r>
    <n v="40"/>
    <x v="23"/>
    <x v="18"/>
    <m/>
    <x v="1"/>
    <n v="3576"/>
    <n v="0"/>
    <n v="3576"/>
    <n v="41261497.200000003"/>
    <n v="153768000"/>
  </r>
  <r>
    <n v="41"/>
    <x v="24"/>
    <x v="23"/>
    <s v="FRE"/>
    <x v="0"/>
    <n v="288"/>
    <n v="0"/>
    <n v="288"/>
    <n v="4849891.2"/>
    <n v="14112000"/>
  </r>
  <r>
    <n v="42"/>
    <x v="25"/>
    <x v="24"/>
    <s v="FRE"/>
    <x v="0"/>
    <n v="288"/>
    <n v="0"/>
    <n v="288"/>
    <n v="4526565.12"/>
    <n v="14112000"/>
  </r>
  <r>
    <n v="43"/>
    <x v="26"/>
    <x v="25"/>
    <s v="FRE"/>
    <x v="0"/>
    <n v="288"/>
    <n v="0"/>
    <n v="288"/>
    <n v="4526565.12"/>
    <n v="14112000"/>
  </r>
  <r>
    <n v="44"/>
    <x v="27"/>
    <x v="26"/>
    <n v="714"/>
    <x v="0"/>
    <n v="10"/>
    <n v="0"/>
    <n v="48"/>
    <n v="862202.88000000012"/>
    <n v="2352000"/>
  </r>
  <r>
    <n v="45"/>
    <x v="27"/>
    <x v="26"/>
    <n v="738"/>
    <x v="0"/>
    <n v="84"/>
    <n v="0"/>
    <n v="84"/>
    <n v="1508855.04"/>
    <n v="4116000"/>
  </r>
  <r>
    <n v="46"/>
    <x v="27"/>
    <x v="26"/>
    <n v="712"/>
    <x v="0"/>
    <n v="0"/>
    <n v="0"/>
    <n v="84"/>
    <n v="1508855.04"/>
    <n v="4116000"/>
  </r>
  <r>
    <n v="47"/>
    <x v="27"/>
    <x v="26"/>
    <n v="758"/>
    <x v="0"/>
    <n v="0"/>
    <n v="0"/>
    <n v="60"/>
    <n v="1077753.6000000001"/>
    <n v="2940000"/>
  </r>
  <r>
    <n v="48"/>
    <x v="27"/>
    <x v="26"/>
    <n v="734"/>
    <x v="0"/>
    <n v="1"/>
    <n v="0"/>
    <n v="48"/>
    <n v="862202.88000000012"/>
    <n v="2352000"/>
  </r>
  <r>
    <n v="49"/>
    <x v="27"/>
    <x v="26"/>
    <n v="778"/>
    <x v="0"/>
    <n v="36"/>
    <n v="0"/>
    <n v="36"/>
    <n v="646652.16000000003"/>
    <n v="1764000"/>
  </r>
  <r>
    <n v="50"/>
    <x v="28"/>
    <x v="27"/>
    <n v="714"/>
    <x v="0"/>
    <n v="0"/>
    <n v="0"/>
    <n v="48"/>
    <n v="862202.88000000012"/>
    <n v="2352000"/>
  </r>
  <r>
    <n v="51"/>
    <x v="28"/>
    <x v="27"/>
    <n v="738"/>
    <x v="0"/>
    <n v="0"/>
    <n v="0"/>
    <n v="84"/>
    <n v="1508855.04"/>
    <n v="4116000"/>
  </r>
  <r>
    <n v="52"/>
    <x v="28"/>
    <x v="27"/>
    <n v="712"/>
    <x v="0"/>
    <n v="0"/>
    <n v="0"/>
    <n v="84"/>
    <n v="1508855.04"/>
    <n v="4116000"/>
  </r>
  <r>
    <n v="53"/>
    <x v="28"/>
    <x v="27"/>
    <n v="758"/>
    <x v="0"/>
    <n v="0"/>
    <n v="0"/>
    <n v="60"/>
    <n v="1077753.6000000001"/>
    <n v="2940000"/>
  </r>
  <r>
    <n v="54"/>
    <x v="28"/>
    <x v="27"/>
    <n v="734"/>
    <x v="0"/>
    <n v="0"/>
    <n v="0"/>
    <n v="48"/>
    <n v="862202.88000000012"/>
    <n v="2352000"/>
  </r>
  <r>
    <n v="55"/>
    <x v="28"/>
    <x v="27"/>
    <n v="778"/>
    <x v="0"/>
    <n v="0"/>
    <n v="0"/>
    <n v="36"/>
    <n v="646652.16000000003"/>
    <n v="1764000"/>
  </r>
  <r>
    <n v="56"/>
    <x v="29"/>
    <x v="28"/>
    <n v="714"/>
    <x v="0"/>
    <n v="0"/>
    <n v="0"/>
    <n v="48"/>
    <n v="862202.88000000012"/>
    <n v="2352000"/>
  </r>
  <r>
    <n v="57"/>
    <x v="29"/>
    <x v="28"/>
    <n v="738"/>
    <x v="0"/>
    <n v="0"/>
    <n v="0"/>
    <n v="84"/>
    <n v="1508855.04"/>
    <n v="4116000"/>
  </r>
  <r>
    <n v="58"/>
    <x v="29"/>
    <x v="28"/>
    <n v="712"/>
    <x v="0"/>
    <n v="0"/>
    <n v="0"/>
    <n v="84"/>
    <n v="1508855.04"/>
    <n v="4116000"/>
  </r>
  <r>
    <n v="59"/>
    <x v="29"/>
    <x v="28"/>
    <n v="758"/>
    <x v="0"/>
    <n v="0"/>
    <n v="0"/>
    <n v="60"/>
    <n v="1077753.6000000001"/>
    <n v="2940000"/>
  </r>
  <r>
    <n v="60"/>
    <x v="29"/>
    <x v="28"/>
    <n v="734"/>
    <x v="0"/>
    <n v="0"/>
    <n v="0"/>
    <n v="48"/>
    <n v="862202.88000000012"/>
    <n v="2352000"/>
  </r>
  <r>
    <n v="61"/>
    <x v="29"/>
    <x v="28"/>
    <n v="778"/>
    <x v="0"/>
    <n v="0"/>
    <n v="0"/>
    <n v="36"/>
    <n v="646652.16000000003"/>
    <n v="1764000"/>
  </r>
  <r>
    <n v="62"/>
    <x v="30"/>
    <x v="29"/>
    <n v="714"/>
    <x v="0"/>
    <n v="0"/>
    <n v="0"/>
    <n v="48"/>
    <n v="862202.88000000012"/>
    <n v="2352000"/>
  </r>
  <r>
    <n v="63"/>
    <x v="30"/>
    <x v="29"/>
    <n v="738"/>
    <x v="0"/>
    <n v="0"/>
    <n v="0"/>
    <n v="84"/>
    <n v="1508855.04"/>
    <n v="4116000"/>
  </r>
  <r>
    <n v="64"/>
    <x v="30"/>
    <x v="29"/>
    <n v="712"/>
    <x v="0"/>
    <n v="0"/>
    <n v="0"/>
    <n v="84"/>
    <n v="1508855.04"/>
    <n v="4116000"/>
  </r>
  <r>
    <n v="65"/>
    <x v="30"/>
    <x v="29"/>
    <n v="758"/>
    <x v="0"/>
    <n v="0"/>
    <n v="0"/>
    <n v="60"/>
    <n v="1077753.6000000001"/>
    <n v="2940000"/>
  </r>
  <r>
    <n v="66"/>
    <x v="30"/>
    <x v="29"/>
    <n v="734"/>
    <x v="0"/>
    <n v="0"/>
    <n v="0"/>
    <n v="48"/>
    <n v="862202.88000000012"/>
    <n v="2352000"/>
  </r>
  <r>
    <n v="67"/>
    <x v="30"/>
    <x v="29"/>
    <n v="778"/>
    <x v="0"/>
    <n v="0"/>
    <n v="0"/>
    <n v="36"/>
    <n v="646652.16000000003"/>
    <n v="1764000"/>
  </r>
  <r>
    <n v="68"/>
    <x v="31"/>
    <x v="18"/>
    <m/>
    <x v="1"/>
    <n v="995"/>
    <n v="0"/>
    <n v="2304"/>
    <n v="39769107.839999996"/>
    <n v="112896000"/>
  </r>
  <r>
    <n v="69"/>
    <x v="32"/>
    <x v="30"/>
    <s v="OMM"/>
    <x v="0"/>
    <n v="191"/>
    <n v="0"/>
    <n v="192"/>
    <n v="1928486.4000000001"/>
    <n v="9408000"/>
  </r>
  <r>
    <n v="70"/>
    <x v="32"/>
    <x v="30"/>
    <s v="OLL"/>
    <x v="0"/>
    <n v="168"/>
    <n v="0"/>
    <n v="168"/>
    <n v="1687425.6"/>
    <n v="8232000"/>
  </r>
  <r>
    <n v="71"/>
    <x v="33"/>
    <x v="31"/>
    <s v="OMM"/>
    <x v="0"/>
    <n v="192"/>
    <n v="0"/>
    <n v="192"/>
    <n v="1808736"/>
    <n v="8640000"/>
  </r>
  <r>
    <n v="72"/>
    <x v="33"/>
    <x v="31"/>
    <s v="OLL"/>
    <x v="0"/>
    <n v="168"/>
    <n v="0"/>
    <n v="168"/>
    <n v="1582644"/>
    <n v="7560000"/>
  </r>
  <r>
    <n v="73"/>
    <x v="34"/>
    <x v="32"/>
    <s v="OMM"/>
    <x v="0"/>
    <n v="191"/>
    <n v="0"/>
    <n v="192"/>
    <n v="2287737.5999999996"/>
    <n v="10560000"/>
  </r>
  <r>
    <n v="74"/>
    <x v="34"/>
    <x v="32"/>
    <s v="OLL"/>
    <x v="0"/>
    <n v="168"/>
    <n v="0"/>
    <n v="168"/>
    <n v="2001770.4"/>
    <n v="9240000"/>
  </r>
  <r>
    <n v="75"/>
    <x v="35"/>
    <x v="33"/>
    <s v="OMM"/>
    <x v="0"/>
    <n v="144"/>
    <n v="0"/>
    <n v="144"/>
    <n v="2434305.6"/>
    <n v="10800000"/>
  </r>
  <r>
    <n v="76"/>
    <x v="35"/>
    <x v="33"/>
    <s v="OLL"/>
    <x v="0"/>
    <n v="144"/>
    <n v="0"/>
    <n v="144"/>
    <n v="2434305.6"/>
    <n v="10800000"/>
  </r>
  <r>
    <n v="77"/>
    <x v="36"/>
    <x v="34"/>
    <s v="OMM"/>
    <x v="0"/>
    <n v="192"/>
    <n v="0"/>
    <n v="192"/>
    <n v="1569235.2000000002"/>
    <n v="7488000"/>
  </r>
  <r>
    <n v="78"/>
    <x v="36"/>
    <x v="34"/>
    <s v="OLL"/>
    <x v="0"/>
    <n v="168"/>
    <n v="0"/>
    <n v="168"/>
    <n v="1373080.8"/>
    <n v="6552000"/>
  </r>
  <r>
    <n v="79"/>
    <x v="37"/>
    <x v="35"/>
    <s v="OMM"/>
    <x v="0"/>
    <n v="192"/>
    <n v="0"/>
    <n v="192"/>
    <n v="1569235.2000000002"/>
    <n v="7488000"/>
  </r>
  <r>
    <n v="80"/>
    <x v="37"/>
    <x v="35"/>
    <s v="OLL"/>
    <x v="0"/>
    <n v="168"/>
    <n v="0"/>
    <n v="168"/>
    <n v="1373080.8"/>
    <n v="6552000"/>
  </r>
  <r>
    <n v="81"/>
    <x v="38"/>
    <x v="36"/>
    <s v="OMM"/>
    <x v="0"/>
    <n v="144"/>
    <n v="0"/>
    <n v="144"/>
    <n v="1805616"/>
    <n v="7920000"/>
  </r>
  <r>
    <n v="82"/>
    <x v="38"/>
    <x v="36"/>
    <s v="OLL"/>
    <x v="0"/>
    <n v="144"/>
    <n v="0"/>
    <n v="144"/>
    <n v="1805616"/>
    <n v="7920000"/>
  </r>
  <r>
    <n v="83"/>
    <x v="39"/>
    <x v="37"/>
    <s v="OMM"/>
    <x v="0"/>
    <n v="120"/>
    <n v="0"/>
    <n v="120"/>
    <n v="1504680"/>
    <n v="6600000"/>
  </r>
  <r>
    <n v="84"/>
    <x v="39"/>
    <x v="37"/>
    <s v="OLL"/>
    <x v="0"/>
    <n v="120"/>
    <n v="0"/>
    <n v="120"/>
    <n v="1504680"/>
    <n v="6600000"/>
  </r>
  <r>
    <n v="85"/>
    <x v="40"/>
    <x v="38"/>
    <s v="OMM"/>
    <x v="0"/>
    <n v="144"/>
    <n v="0"/>
    <n v="144"/>
    <n v="1805616"/>
    <n v="7920000"/>
  </r>
  <r>
    <n v="86"/>
    <x v="40"/>
    <x v="38"/>
    <s v="OLL"/>
    <x v="0"/>
    <n v="144"/>
    <n v="0"/>
    <n v="144"/>
    <n v="1805616"/>
    <n v="7920000"/>
  </r>
  <r>
    <n v="87"/>
    <x v="41"/>
    <x v="39"/>
    <s v="OMM"/>
    <x v="0"/>
    <n v="144"/>
    <n v="0"/>
    <n v="144"/>
    <n v="2164867.2000000002"/>
    <n v="9936000"/>
  </r>
  <r>
    <n v="88"/>
    <x v="41"/>
    <x v="39"/>
    <s v="OLL"/>
    <x v="0"/>
    <n v="144"/>
    <n v="0"/>
    <n v="144"/>
    <n v="2164867.2000000002"/>
    <n v="9936000"/>
  </r>
  <r>
    <n v="89"/>
    <x v="42"/>
    <x v="40"/>
    <s v="OMM"/>
    <x v="0"/>
    <n v="144"/>
    <n v="0"/>
    <n v="144"/>
    <n v="2164867.2000000002"/>
    <n v="9936000"/>
  </r>
  <r>
    <n v="90"/>
    <x v="42"/>
    <x v="40"/>
    <s v="OLL"/>
    <x v="0"/>
    <n v="144"/>
    <n v="0"/>
    <n v="144"/>
    <n v="2164867.2000000002"/>
    <n v="9936000"/>
  </r>
  <r>
    <n v="91"/>
    <x v="43"/>
    <x v="41"/>
    <s v="OSS"/>
    <x v="0"/>
    <n v="60"/>
    <n v="0"/>
    <n v="60"/>
    <n v="1163982"/>
    <n v="4740000"/>
  </r>
  <r>
    <n v="92"/>
    <x v="43"/>
    <x v="41"/>
    <s v="OMM"/>
    <x v="0"/>
    <n v="120"/>
    <n v="0"/>
    <n v="120"/>
    <n v="2327964"/>
    <n v="9480000"/>
  </r>
  <r>
    <n v="93"/>
    <x v="43"/>
    <x v="41"/>
    <s v="OLL"/>
    <x v="0"/>
    <n v="60"/>
    <n v="0"/>
    <n v="60"/>
    <n v="1163982"/>
    <n v="4740000"/>
  </r>
  <r>
    <n v="94"/>
    <x v="44"/>
    <x v="18"/>
    <m/>
    <x v="1"/>
    <n v="3718"/>
    <n v="0"/>
    <n v="3720"/>
    <n v="45597264.000000007"/>
    <n v="206904000"/>
  </r>
  <r>
    <n v="95"/>
    <x v="45"/>
    <x v="42"/>
    <s v="FRE"/>
    <x v="2"/>
    <n v="3000"/>
    <n v="0"/>
    <n v="3000"/>
    <n v="23261640.000000004"/>
    <n v="159000000"/>
  </r>
  <r>
    <n v="96"/>
    <x v="46"/>
    <x v="43"/>
    <s v="FRE"/>
    <x v="2"/>
    <n v="999"/>
    <n v="0"/>
    <n v="1000"/>
    <n v="5009600"/>
    <n v="35000000"/>
  </r>
  <r>
    <n v="97"/>
    <x v="47"/>
    <x v="18"/>
    <m/>
    <x v="1"/>
    <n v="3999"/>
    <n v="0"/>
    <n v="4000"/>
    <n v="28271240.000000004"/>
    <n v="194000000"/>
  </r>
  <r>
    <n v="98"/>
    <x v="48"/>
    <x v="44"/>
    <s v="FRE"/>
    <x v="2"/>
    <n v="1507"/>
    <n v="0"/>
    <n v="1500"/>
    <n v="9385500"/>
    <n v="82500000"/>
  </r>
  <r>
    <n v="99"/>
    <x v="49"/>
    <x v="45"/>
    <s v="FRE"/>
    <x v="2"/>
    <n v="1502"/>
    <n v="0"/>
    <n v="1500"/>
    <n v="9385500"/>
    <n v="82500000"/>
  </r>
  <r>
    <n v="100"/>
    <x v="50"/>
    <x v="46"/>
    <s v="OSM"/>
    <x v="2"/>
    <n v="701"/>
    <n v="0"/>
    <n v="700"/>
    <n v="4379900"/>
    <n v="38500000"/>
  </r>
  <r>
    <n v="101"/>
    <x v="50"/>
    <x v="46"/>
    <s v="OML"/>
    <x v="2"/>
    <n v="803"/>
    <n v="0"/>
    <n v="800"/>
    <n v="5005600"/>
    <n v="44000000"/>
  </r>
  <r>
    <n v="102"/>
    <x v="51"/>
    <x v="18"/>
    <m/>
    <x v="1"/>
    <n v="4513"/>
    <n v="0"/>
    <n v="4500"/>
    <n v="28156500"/>
    <n v="247500000"/>
  </r>
  <r>
    <n v="103"/>
    <x v="52"/>
    <x v="47"/>
    <s v="OSM"/>
    <x v="2"/>
    <n v="2000"/>
    <n v="0"/>
    <n v="2000"/>
    <n v="15944500.000000002"/>
    <n v="110000000"/>
  </r>
  <r>
    <n v="104"/>
    <x v="52"/>
    <x v="47"/>
    <s v="OML"/>
    <x v="2"/>
    <n v="1000"/>
    <n v="0"/>
    <n v="1000"/>
    <n v="7972250.0000000009"/>
    <n v="55000000"/>
  </r>
  <r>
    <n v="105"/>
    <x v="53"/>
    <x v="18"/>
    <m/>
    <x v="1"/>
    <n v="3000"/>
    <n v="0"/>
    <n v="3000"/>
    <n v="23916750.000000004"/>
    <n v="165000000"/>
  </r>
  <r>
    <n v="106"/>
    <x v="54"/>
    <x v="48"/>
    <s v="FRE"/>
    <x v="2"/>
    <n v="1500"/>
    <n v="0"/>
    <n v="1500"/>
    <n v="6017520"/>
    <n v="82500000"/>
  </r>
  <r>
    <n v="107"/>
    <x v="55"/>
    <x v="18"/>
    <m/>
    <x v="1"/>
    <n v="1500"/>
    <n v="0"/>
    <n v="1500"/>
    <n v="6017520"/>
    <n v="82500000"/>
  </r>
  <r>
    <n v="108"/>
    <x v="56"/>
    <x v="49"/>
    <s v="FRE"/>
    <x v="2"/>
    <n v="1000"/>
    <n v="0"/>
    <n v="1000"/>
    <n v="6822780.0000000009"/>
    <n v="49000000"/>
  </r>
  <r>
    <n v="109"/>
    <x v="57"/>
    <x v="50"/>
    <s v="FRE"/>
    <x v="2"/>
    <n v="2000"/>
    <n v="0"/>
    <n v="2000"/>
    <n v="13076080"/>
    <n v="90000000"/>
  </r>
  <r>
    <n v="110"/>
    <x v="58"/>
    <x v="51"/>
    <s v="FRE"/>
    <x v="2"/>
    <n v="2000"/>
    <n v="0"/>
    <n v="2000"/>
    <n v="16979480.000000004"/>
    <n v="118000000"/>
  </r>
  <r>
    <n v="111"/>
    <x v="59"/>
    <x v="52"/>
    <s v="FRE"/>
    <x v="2"/>
    <n v="2000"/>
    <n v="0"/>
    <n v="2000"/>
    <n v="16196000"/>
    <n v="110000000"/>
  </r>
  <r>
    <n v="112"/>
    <x v="60"/>
    <x v="18"/>
    <m/>
    <x v="1"/>
    <n v="7000"/>
    <n v="0"/>
    <n v="7000"/>
    <n v="53074340"/>
    <n v="367000000"/>
  </r>
  <r>
    <n v="113"/>
    <x v="61"/>
    <x v="53"/>
    <s v="FRE"/>
    <x v="2"/>
    <n v="1500"/>
    <n v="0"/>
    <n v="1500"/>
    <n v="13484145.000000004"/>
    <n v="82500000"/>
  </r>
  <r>
    <n v="114"/>
    <x v="62"/>
    <x v="54"/>
    <s v="FRE"/>
    <x v="2"/>
    <n v="1498"/>
    <n v="0"/>
    <n v="1500"/>
    <n v="13203480"/>
    <n v="82500000"/>
  </r>
  <r>
    <n v="115"/>
    <x v="63"/>
    <x v="55"/>
    <s v="FRE"/>
    <x v="2"/>
    <n v="1491"/>
    <n v="0"/>
    <n v="1500"/>
    <n v="15074579.999999998"/>
    <n v="82500000"/>
  </r>
  <r>
    <n v="116"/>
    <x v="64"/>
    <x v="56"/>
    <s v="FRE"/>
    <x v="2"/>
    <n v="1492"/>
    <n v="0"/>
    <n v="1500"/>
    <n v="15074579.999999998"/>
    <n v="82500000"/>
  </r>
  <r>
    <n v="117"/>
    <x v="65"/>
    <x v="18"/>
    <m/>
    <x v="1"/>
    <n v="5981"/>
    <n v="0"/>
    <n v="6000"/>
    <n v="56836785"/>
    <n v="330000000"/>
  </r>
  <r>
    <n v="118"/>
    <x v="66"/>
    <x v="57"/>
    <s v="FRE"/>
    <x v="2"/>
    <n v="2498"/>
    <n v="0"/>
    <n v="2500"/>
    <n v="11699575"/>
    <n v="137500000"/>
  </r>
  <r>
    <n v="119"/>
    <x v="67"/>
    <x v="58"/>
    <s v="FRE"/>
    <x v="2"/>
    <n v="1498"/>
    <n v="0"/>
    <n v="1500"/>
    <n v="8741295.0000000019"/>
    <n v="88500000"/>
  </r>
  <r>
    <n v="120"/>
    <x v="68"/>
    <x v="18"/>
    <m/>
    <x v="1"/>
    <n v="3996"/>
    <n v="0"/>
    <n v="4000"/>
    <n v="20440870"/>
    <n v="226000000"/>
  </r>
  <r>
    <n v="121"/>
    <x v="69"/>
    <x v="59"/>
    <s v="FRE"/>
    <x v="2"/>
    <n v="1496"/>
    <n v="0"/>
    <n v="1500"/>
    <n v="12422160"/>
    <n v="73500000"/>
  </r>
  <r>
    <n v="122"/>
    <x v="70"/>
    <x v="60"/>
    <s v="FRE"/>
    <x v="2"/>
    <n v="1496"/>
    <n v="0"/>
    <n v="1500"/>
    <n v="12548160"/>
    <n v="73500000"/>
  </r>
  <r>
    <n v="123"/>
    <x v="71"/>
    <x v="61"/>
    <s v="FRE"/>
    <x v="2"/>
    <n v="969"/>
    <n v="0"/>
    <n v="1000"/>
    <n v="14555760"/>
    <n v="79000000"/>
  </r>
  <r>
    <n v="124"/>
    <x v="72"/>
    <x v="18"/>
    <m/>
    <x v="1"/>
    <n v="3961"/>
    <n v="0"/>
    <n v="4000"/>
    <n v="39526080"/>
    <n v="226000000"/>
  </r>
  <r>
    <n v="125"/>
    <x v="73"/>
    <x v="62"/>
    <s v="FRE"/>
    <x v="2"/>
    <n v="1479"/>
    <n v="0"/>
    <n v="1500"/>
    <n v="11467500"/>
    <n v="67500000"/>
  </r>
  <r>
    <n v="126"/>
    <x v="74"/>
    <x v="63"/>
    <s v="FRE"/>
    <x v="2"/>
    <n v="1500"/>
    <n v="0"/>
    <n v="1500"/>
    <n v="10972500"/>
    <n v="67500000"/>
  </r>
  <r>
    <n v="127"/>
    <x v="75"/>
    <x v="64"/>
    <s v="FRE"/>
    <x v="2"/>
    <n v="1001"/>
    <n v="0"/>
    <n v="1000"/>
    <n v="7095000"/>
    <n v="45000000"/>
  </r>
  <r>
    <n v="128"/>
    <x v="76"/>
    <x v="65"/>
    <s v="FRE"/>
    <x v="2"/>
    <n v="1188"/>
    <n v="0"/>
    <n v="1200"/>
    <n v="8514000"/>
    <n v="54000000"/>
  </r>
  <r>
    <n v="129"/>
    <x v="77"/>
    <x v="66"/>
    <s v="FRE"/>
    <x v="2"/>
    <n v="1003"/>
    <n v="0"/>
    <n v="1000"/>
    <n v="7645000"/>
    <n v="45000000"/>
  </r>
  <r>
    <n v="130"/>
    <x v="78"/>
    <x v="67"/>
    <s v="FRE"/>
    <x v="2"/>
    <n v="977"/>
    <n v="0"/>
    <n v="1000"/>
    <n v="7920000"/>
    <n v="45000000"/>
  </r>
  <r>
    <n v="131"/>
    <x v="79"/>
    <x v="18"/>
    <m/>
    <x v="1"/>
    <n v="7148"/>
    <n v="0"/>
    <n v="7200"/>
    <n v="53614000"/>
    <n v="324000000"/>
  </r>
  <r>
    <n v="132"/>
    <x v="80"/>
    <x v="68"/>
    <s v="FRE"/>
    <x v="2"/>
    <n v="1176"/>
    <n v="0"/>
    <n v="1200"/>
    <n v="7870272.0000000019"/>
    <n v="54000000"/>
  </r>
  <r>
    <n v="133"/>
    <x v="81"/>
    <x v="69"/>
    <s v="FRE"/>
    <x v="2"/>
    <n v="1199"/>
    <n v="0"/>
    <n v="1200"/>
    <n v="7952130.0000000009"/>
    <n v="54000000"/>
  </r>
  <r>
    <n v="134"/>
    <x v="82"/>
    <x v="70"/>
    <s v="FRE"/>
    <x v="2"/>
    <n v="963"/>
    <n v="0"/>
    <n v="1000"/>
    <n v="6780940.0000000009"/>
    <n v="45000000"/>
  </r>
  <r>
    <n v="135"/>
    <x v="83"/>
    <x v="71"/>
    <s v="FRE"/>
    <x v="2"/>
    <n v="931"/>
    <n v="0"/>
    <n v="1000"/>
    <n v="6727590"/>
    <n v="45000000"/>
  </r>
  <r>
    <n v="136"/>
    <x v="84"/>
    <x v="18"/>
    <m/>
    <x v="1"/>
    <n v="4269"/>
    <n v="0"/>
    <n v="4400"/>
    <n v="29330932.000000004"/>
    <n v="198000000"/>
  </r>
  <r>
    <n v="137"/>
    <x v="85"/>
    <x v="72"/>
    <s v="FRE"/>
    <x v="2"/>
    <n v="971"/>
    <n v="0"/>
    <n v="1000"/>
    <n v="3668240.0000000005"/>
    <n v="45000000"/>
  </r>
  <r>
    <n v="138"/>
    <x v="86"/>
    <x v="73"/>
    <s v="FRE"/>
    <x v="2"/>
    <n v="950"/>
    <n v="0"/>
    <n v="1000"/>
    <n v="4102540.0000000009"/>
    <n v="45000000"/>
  </r>
  <r>
    <n v="139"/>
    <x v="87"/>
    <x v="18"/>
    <m/>
    <x v="1"/>
    <n v="1921"/>
    <n v="0"/>
    <n v="2000"/>
    <n v="7770780.0000000019"/>
    <n v="90000000"/>
  </r>
  <r>
    <n v="140"/>
    <x v="88"/>
    <x v="74"/>
    <s v="FRE"/>
    <x v="2"/>
    <n v="800"/>
    <n v="0"/>
    <n v="800"/>
    <n v="5984000"/>
    <n v="42400000"/>
  </r>
  <r>
    <n v="141"/>
    <x v="89"/>
    <x v="75"/>
    <s v="FRE"/>
    <x v="2"/>
    <n v="800"/>
    <n v="0"/>
    <n v="800"/>
    <n v="5984000"/>
    <n v="42400000"/>
  </r>
  <r>
    <n v="142"/>
    <x v="90"/>
    <x v="18"/>
    <m/>
    <x v="1"/>
    <n v="1600"/>
    <n v="0"/>
    <n v="1600"/>
    <n v="11968000"/>
    <n v="84800000"/>
  </r>
  <r>
    <n v="143"/>
    <x v="91"/>
    <x v="76"/>
    <s v="FRE"/>
    <x v="2"/>
    <n v="1200"/>
    <n v="0"/>
    <n v="1200"/>
    <n v="8382528.0000000009"/>
    <n v="66000000"/>
  </r>
  <r>
    <n v="144"/>
    <x v="92"/>
    <x v="77"/>
    <s v="FRE"/>
    <x v="2"/>
    <n v="1000"/>
    <n v="0"/>
    <n v="1000"/>
    <n v="7234920"/>
    <n v="55000000"/>
  </r>
  <r>
    <n v="145"/>
    <x v="93"/>
    <x v="78"/>
    <s v="FRE"/>
    <x v="2"/>
    <n v="1005"/>
    <n v="0"/>
    <n v="1000"/>
    <n v="7234920"/>
    <n v="55000000"/>
  </r>
  <r>
    <n v="146"/>
    <x v="94"/>
    <x v="79"/>
    <s v="FRE"/>
    <x v="2"/>
    <n v="1195"/>
    <n v="0"/>
    <n v="1200"/>
    <n v="7933464.0000000019"/>
    <n v="66000000"/>
  </r>
  <r>
    <n v="147"/>
    <x v="95"/>
    <x v="18"/>
    <m/>
    <x v="1"/>
    <n v="4400"/>
    <n v="0"/>
    <n v="4400"/>
    <n v="30785832"/>
    <n v="242000000"/>
  </r>
  <r>
    <n v="148"/>
    <x v="96"/>
    <x v="80"/>
    <s v="FRE"/>
    <x v="2"/>
    <n v="1000"/>
    <n v="0"/>
    <n v="1000"/>
    <n v="6860700.0000000009"/>
    <n v="53000000"/>
  </r>
  <r>
    <n v="149"/>
    <x v="97"/>
    <x v="81"/>
    <s v="FRE"/>
    <x v="2"/>
    <n v="1000"/>
    <n v="0"/>
    <n v="1000"/>
    <n v="6735960.0000000019"/>
    <n v="53000000"/>
  </r>
  <r>
    <n v="150"/>
    <x v="98"/>
    <x v="18"/>
    <m/>
    <x v="1"/>
    <n v="2000"/>
    <n v="0"/>
    <n v="2000"/>
    <n v="13596660.000000004"/>
    <n v="106000000"/>
  </r>
  <r>
    <n v="151"/>
    <x v="99"/>
    <x v="82"/>
    <s v="OSM"/>
    <x v="2"/>
    <n v="488"/>
    <n v="0"/>
    <n v="500"/>
    <n v="4797345"/>
    <n v="31500000"/>
  </r>
  <r>
    <n v="152"/>
    <x v="99"/>
    <x v="82"/>
    <s v="OML"/>
    <x v="2"/>
    <n v="444"/>
    <n v="0"/>
    <n v="500"/>
    <n v="4797345"/>
    <n v="31500000"/>
  </r>
  <r>
    <n v="153"/>
    <x v="100"/>
    <x v="83"/>
    <s v="OSM"/>
    <x v="2"/>
    <n v="500"/>
    <n v="0"/>
    <n v="500"/>
    <n v="4872345"/>
    <n v="31500000"/>
  </r>
  <r>
    <n v="154"/>
    <x v="100"/>
    <x v="83"/>
    <s v="OML"/>
    <x v="2"/>
    <n v="500"/>
    <n v="0"/>
    <n v="500"/>
    <n v="4872345"/>
    <n v="31500000"/>
  </r>
  <r>
    <n v="155"/>
    <x v="101"/>
    <x v="18"/>
    <m/>
    <x v="1"/>
    <n v="1932"/>
    <n v="0"/>
    <n v="2000"/>
    <n v="19339380"/>
    <n v="126000000"/>
  </r>
  <r>
    <n v="156"/>
    <x v="102"/>
    <x v="84"/>
    <s v="XSS"/>
    <x v="2"/>
    <n v="250"/>
    <n v="0"/>
    <n v="250"/>
    <n v="1419875.0000000002"/>
    <n v="8750000"/>
  </r>
  <r>
    <n v="157"/>
    <x v="102"/>
    <x v="84"/>
    <s v="OSM"/>
    <x v="2"/>
    <n v="400"/>
    <n v="0"/>
    <n v="400"/>
    <n v="2271800.0000000005"/>
    <n v="14000000"/>
  </r>
  <r>
    <n v="158"/>
    <x v="102"/>
    <x v="84"/>
    <s v="OML"/>
    <x v="2"/>
    <n v="299"/>
    <n v="0"/>
    <n v="300"/>
    <n v="1703850.0000000002"/>
    <n v="10500000"/>
  </r>
  <r>
    <n v="159"/>
    <x v="102"/>
    <x v="84"/>
    <s v="LXL"/>
    <x v="2"/>
    <n v="250"/>
    <n v="0"/>
    <n v="250"/>
    <n v="1419875.0000000002"/>
    <n v="8750000"/>
  </r>
  <r>
    <n v="160"/>
    <x v="103"/>
    <x v="85"/>
    <s v="OSM"/>
    <x v="2"/>
    <n v="500"/>
    <n v="0"/>
    <n v="500"/>
    <n v="2839750.0000000005"/>
    <n v="16500000"/>
  </r>
  <r>
    <n v="161"/>
    <x v="103"/>
    <x v="85"/>
    <s v="OML"/>
    <x v="2"/>
    <n v="500"/>
    <n v="0"/>
    <n v="500"/>
    <n v="2839750.0000000005"/>
    <n v="16500000"/>
  </r>
  <r>
    <n v="162"/>
    <x v="104"/>
    <x v="86"/>
    <s v="XSS"/>
    <x v="2"/>
    <n v="250"/>
    <n v="0"/>
    <n v="250"/>
    <n v="1506500.0000000002"/>
    <n v="8750000"/>
  </r>
  <r>
    <n v="163"/>
    <x v="104"/>
    <x v="86"/>
    <s v="OSM"/>
    <x v="2"/>
    <n v="350"/>
    <n v="0"/>
    <n v="350"/>
    <n v="2109100.0000000005"/>
    <n v="12250000"/>
  </r>
  <r>
    <n v="164"/>
    <x v="104"/>
    <x v="86"/>
    <s v="OML"/>
    <x v="2"/>
    <n v="300"/>
    <n v="0"/>
    <n v="300"/>
    <n v="1807800.0000000002"/>
    <n v="10500000"/>
  </r>
  <r>
    <n v="165"/>
    <x v="104"/>
    <x v="86"/>
    <s v="LXL"/>
    <x v="2"/>
    <n v="300"/>
    <n v="0"/>
    <n v="300"/>
    <n v="1807800.0000000002"/>
    <n v="10500000"/>
  </r>
  <r>
    <n v="166"/>
    <x v="105"/>
    <x v="18"/>
    <m/>
    <x v="1"/>
    <n v="3399"/>
    <n v="0"/>
    <n v="3400"/>
    <n v="19726100.000000004"/>
    <n v="117000000"/>
  </r>
  <r>
    <n v="167"/>
    <x v="106"/>
    <x v="87"/>
    <s v="FRE"/>
    <x v="2"/>
    <n v="1185"/>
    <n v="0"/>
    <n v="1200"/>
    <n v="6810208"/>
    <n v="42000000"/>
  </r>
  <r>
    <n v="168"/>
    <x v="107"/>
    <x v="88"/>
    <s v="OSM"/>
    <x v="2"/>
    <n v="455"/>
    <n v="0"/>
    <n v="500"/>
    <n v="2925620"/>
    <n v="16500000"/>
  </r>
  <r>
    <n v="169"/>
    <x v="107"/>
    <x v="88"/>
    <s v="OML"/>
    <x v="2"/>
    <n v="497"/>
    <n v="0"/>
    <n v="500"/>
    <n v="2925620"/>
    <n v="16500000"/>
  </r>
  <r>
    <n v="170"/>
    <x v="108"/>
    <x v="89"/>
    <s v="FRE"/>
    <x v="2"/>
    <n v="1188"/>
    <n v="0"/>
    <n v="1200"/>
    <n v="6810208"/>
    <n v="42000000"/>
  </r>
  <r>
    <n v="171"/>
    <x v="109"/>
    <x v="90"/>
    <s v="OSM"/>
    <x v="2"/>
    <n v="493"/>
    <n v="0"/>
    <n v="500"/>
    <n v="2925620"/>
    <n v="16500000"/>
  </r>
  <r>
    <n v="172"/>
    <x v="109"/>
    <x v="90"/>
    <s v="OML"/>
    <x v="2"/>
    <n v="498"/>
    <n v="0"/>
    <n v="500"/>
    <n v="2925620"/>
    <n v="16500000"/>
  </r>
  <r>
    <n v="173"/>
    <x v="110"/>
    <x v="91"/>
    <s v="FRE"/>
    <x v="2"/>
    <n v="1129"/>
    <n v="0"/>
    <n v="1200"/>
    <n v="6161208"/>
    <n v="42000000"/>
  </r>
  <r>
    <n v="174"/>
    <x v="111"/>
    <x v="92"/>
    <s v="FRE"/>
    <x v="2"/>
    <n v="981"/>
    <n v="0"/>
    <n v="1000"/>
    <n v="5134340"/>
    <n v="35000000"/>
  </r>
  <r>
    <n v="175"/>
    <x v="112"/>
    <x v="93"/>
    <s v="FRE"/>
    <x v="2"/>
    <n v="1509"/>
    <n v="0"/>
    <n v="1500"/>
    <n v="8240295.0000000009"/>
    <n v="58500000"/>
  </r>
  <r>
    <n v="176"/>
    <x v="113"/>
    <x v="94"/>
    <s v="FRE"/>
    <x v="2"/>
    <n v="1192"/>
    <n v="0"/>
    <n v="1200"/>
    <n v="6598236.0000000009"/>
    <n v="46800000"/>
  </r>
  <r>
    <n v="177"/>
    <x v="114"/>
    <x v="18"/>
    <m/>
    <x v="1"/>
    <n v="9127"/>
    <n v="0"/>
    <n v="9300"/>
    <n v="51456975"/>
    <n v="332300000"/>
  </r>
  <r>
    <n v="178"/>
    <x v="115"/>
    <x v="95"/>
    <s v="FRE"/>
    <x v="2"/>
    <n v="1196"/>
    <n v="0"/>
    <n v="1200"/>
    <n v="5263080.0000000009"/>
    <n v="46800000"/>
  </r>
  <r>
    <n v="179"/>
    <x v="116"/>
    <x v="96"/>
    <s v="OSM"/>
    <x v="2"/>
    <n v="500"/>
    <n v="0"/>
    <n v="500"/>
    <n v="2282950.0000000005"/>
    <n v="17500000"/>
  </r>
  <r>
    <n v="180"/>
    <x v="116"/>
    <x v="96"/>
    <s v="OML"/>
    <x v="2"/>
    <n v="500"/>
    <n v="0"/>
    <n v="500"/>
    <n v="2282950.0000000005"/>
    <n v="17500000"/>
  </r>
  <r>
    <n v="181"/>
    <x v="117"/>
    <x v="97"/>
    <s v="FRE"/>
    <x v="2"/>
    <n v="900"/>
    <n v="0"/>
    <n v="1200"/>
    <n v="5263080.0000000009"/>
    <n v="46800000"/>
  </r>
  <r>
    <n v="182"/>
    <x v="118"/>
    <x v="18"/>
    <m/>
    <x v="1"/>
    <n v="3096"/>
    <n v="0"/>
    <n v="3400"/>
    <n v="15092060.000000004"/>
    <n v="128600000"/>
  </r>
  <r>
    <n v="183"/>
    <x v="119"/>
    <x v="98"/>
    <s v="XSS"/>
    <x v="2"/>
    <n v="299"/>
    <n v="0"/>
    <n v="300"/>
    <n v="1166082.0000000002"/>
    <n v="12900000"/>
  </r>
  <r>
    <n v="184"/>
    <x v="119"/>
    <x v="98"/>
    <s v="OSM"/>
    <x v="2"/>
    <n v="450"/>
    <n v="0"/>
    <n v="450"/>
    <n v="1749123.0000000002"/>
    <n v="19350000"/>
  </r>
  <r>
    <n v="185"/>
    <x v="119"/>
    <x v="98"/>
    <s v="OML"/>
    <x v="2"/>
    <n v="450"/>
    <n v="0"/>
    <n v="450"/>
    <n v="1749123.0000000002"/>
    <n v="19350000"/>
  </r>
  <r>
    <n v="186"/>
    <x v="119"/>
    <x v="98"/>
    <s v="LXL"/>
    <x v="2"/>
    <n v="300"/>
    <n v="0"/>
    <n v="300"/>
    <n v="1166082.0000000002"/>
    <n v="12900000"/>
  </r>
  <r>
    <n v="187"/>
    <x v="120"/>
    <x v="99"/>
    <s v="XSS"/>
    <x v="2"/>
    <n v="250"/>
    <n v="0"/>
    <n v="250"/>
    <n v="1002920.0000000001"/>
    <n v="10750000"/>
  </r>
  <r>
    <n v="188"/>
    <x v="120"/>
    <x v="99"/>
    <s v="OSM"/>
    <x v="2"/>
    <n v="350"/>
    <n v="0"/>
    <n v="350"/>
    <n v="1404088"/>
    <n v="15050000"/>
  </r>
  <r>
    <n v="189"/>
    <x v="120"/>
    <x v="99"/>
    <s v="OML"/>
    <x v="2"/>
    <n v="350"/>
    <n v="0"/>
    <n v="350"/>
    <n v="1404088"/>
    <n v="15050000"/>
  </r>
  <r>
    <n v="190"/>
    <x v="120"/>
    <x v="99"/>
    <s v="LXL"/>
    <x v="2"/>
    <n v="250"/>
    <n v="0"/>
    <n v="250"/>
    <n v="1002920.0000000001"/>
    <n v="10750000"/>
  </r>
  <r>
    <n v="191"/>
    <x v="121"/>
    <x v="100"/>
    <s v="XSS"/>
    <x v="2"/>
    <n v="300"/>
    <n v="0"/>
    <n v="300"/>
    <n v="1166082.0000000002"/>
    <n v="12900000"/>
  </r>
  <r>
    <n v="192"/>
    <x v="121"/>
    <x v="100"/>
    <s v="OSM"/>
    <x v="2"/>
    <n v="400"/>
    <n v="0"/>
    <n v="400"/>
    <n v="1554776.0000000002"/>
    <n v="17200000"/>
  </r>
  <r>
    <n v="193"/>
    <x v="121"/>
    <x v="100"/>
    <s v="OML"/>
    <x v="2"/>
    <n v="300"/>
    <n v="0"/>
    <n v="300"/>
    <n v="1166082.0000000002"/>
    <n v="12900000"/>
  </r>
  <r>
    <n v="194"/>
    <x v="121"/>
    <x v="100"/>
    <s v="LXL"/>
    <x v="2"/>
    <n v="200"/>
    <n v="0"/>
    <n v="200"/>
    <n v="777388.00000000012"/>
    <n v="8600000"/>
  </r>
  <r>
    <n v="195"/>
    <x v="122"/>
    <x v="101"/>
    <s v="FRE"/>
    <x v="2"/>
    <n v="1198"/>
    <n v="0"/>
    <n v="1200"/>
    <n v="6610272.0000000019"/>
    <n v="63600000"/>
  </r>
  <r>
    <n v="196"/>
    <x v="123"/>
    <x v="18"/>
    <m/>
    <x v="1"/>
    <n v="5097"/>
    <n v="0"/>
    <n v="5100"/>
    <n v="21919026"/>
    <n v="231300000"/>
  </r>
  <r>
    <n v="197"/>
    <x v="124"/>
    <x v="102"/>
    <s v="OSM"/>
    <x v="2"/>
    <n v="1000"/>
    <n v="0"/>
    <n v="1000"/>
    <n v="5171680"/>
    <n v="45000000"/>
  </r>
  <r>
    <n v="198"/>
    <x v="124"/>
    <x v="102"/>
    <s v="OML"/>
    <x v="2"/>
    <n v="500"/>
    <n v="0"/>
    <n v="500"/>
    <n v="2585840"/>
    <n v="22500000"/>
  </r>
  <r>
    <n v="199"/>
    <x v="125"/>
    <x v="103"/>
    <s v="OSM"/>
    <x v="2"/>
    <n v="1000"/>
    <n v="0"/>
    <n v="1000"/>
    <n v="5171680"/>
    <n v="45000000"/>
  </r>
  <r>
    <n v="200"/>
    <x v="125"/>
    <x v="103"/>
    <s v="OML"/>
    <x v="2"/>
    <n v="500"/>
    <n v="0"/>
    <n v="500"/>
    <n v="2585840"/>
    <n v="22500000"/>
  </r>
  <r>
    <n v="201"/>
    <x v="126"/>
    <x v="18"/>
    <m/>
    <x v="1"/>
    <n v="3000"/>
    <n v="0"/>
    <n v="3000"/>
    <n v="15515040"/>
    <n v="135000000"/>
  </r>
  <r>
    <n v="202"/>
    <x v="127"/>
    <x v="104"/>
    <s v="FRE"/>
    <x v="2"/>
    <n v="985"/>
    <n v="0"/>
    <n v="1000"/>
    <n v="8820000"/>
    <n v="49000000"/>
  </r>
  <r>
    <n v="203"/>
    <x v="128"/>
    <x v="18"/>
    <m/>
    <x v="1"/>
    <n v="985"/>
    <n v="0"/>
    <n v="1000"/>
    <n v="8820000"/>
    <n v="49000000"/>
  </r>
  <r>
    <n v="204"/>
    <x v="129"/>
    <x v="105"/>
    <s v="FRE"/>
    <x v="2"/>
    <n v="938"/>
    <n v="0"/>
    <n v="1000"/>
    <n v="7855180.0000000009"/>
    <n v="49000000"/>
  </r>
  <r>
    <n v="205"/>
    <x v="130"/>
    <x v="18"/>
    <m/>
    <x v="1"/>
    <n v="938"/>
    <n v="0"/>
    <n v="1000"/>
    <n v="7855180.0000000009"/>
    <n v="49000000"/>
  </r>
  <r>
    <n v="206"/>
    <x v="131"/>
    <x v="106"/>
    <s v="FRE"/>
    <x v="2"/>
    <n v="1500"/>
    <n v="0"/>
    <n v="1500"/>
    <n v="6387255"/>
    <n v="64500000"/>
  </r>
  <r>
    <n v="207"/>
    <x v="132"/>
    <x v="107"/>
    <s v="OSM"/>
    <x v="2"/>
    <n v="800"/>
    <n v="0"/>
    <n v="800"/>
    <n v="3307840"/>
    <n v="31200000"/>
  </r>
  <r>
    <n v="208"/>
    <x v="132"/>
    <x v="107"/>
    <s v="OML"/>
    <x v="2"/>
    <n v="372"/>
    <n v="0"/>
    <n v="400"/>
    <n v="1653920"/>
    <n v="15600000"/>
  </r>
  <r>
    <n v="209"/>
    <x v="133"/>
    <x v="108"/>
    <s v="FRE"/>
    <x v="2"/>
    <n v="1499"/>
    <n v="0"/>
    <n v="1500"/>
    <n v="6381255"/>
    <n v="64500000"/>
  </r>
  <r>
    <n v="210"/>
    <x v="134"/>
    <x v="109"/>
    <s v="FRE"/>
    <x v="2"/>
    <n v="2000"/>
    <n v="0"/>
    <n v="2000"/>
    <n v="7117520"/>
    <n v="86000000"/>
  </r>
  <r>
    <n v="211"/>
    <x v="135"/>
    <x v="110"/>
    <s v="OSM"/>
    <x v="2"/>
    <n v="999"/>
    <n v="0"/>
    <n v="1000"/>
    <n v="3496390.0000000005"/>
    <n v="39000000"/>
  </r>
  <r>
    <n v="212"/>
    <x v="135"/>
    <x v="110"/>
    <s v="OML"/>
    <x v="2"/>
    <n v="499"/>
    <n v="0"/>
    <n v="500"/>
    <n v="1748195.0000000002"/>
    <n v="19500000"/>
  </r>
  <r>
    <n v="213"/>
    <x v="136"/>
    <x v="111"/>
    <s v="FRE"/>
    <x v="2"/>
    <n v="1500"/>
    <n v="0"/>
    <n v="1500"/>
    <n v="6387255"/>
    <n v="64500000"/>
  </r>
  <r>
    <n v="214"/>
    <x v="137"/>
    <x v="18"/>
    <m/>
    <x v="1"/>
    <n v="9169"/>
    <n v="0"/>
    <n v="9200"/>
    <n v="36479630"/>
    <n v="384800000"/>
  </r>
  <r>
    <n v="215"/>
    <x v="138"/>
    <x v="112"/>
    <s v="FRE"/>
    <x v="2"/>
    <n v="1500"/>
    <n v="0"/>
    <n v="1500"/>
    <n v="9029460"/>
    <n v="64500000"/>
  </r>
  <r>
    <n v="216"/>
    <x v="139"/>
    <x v="113"/>
    <s v="OSM"/>
    <x v="2"/>
    <n v="998"/>
    <n v="0"/>
    <n v="1000"/>
    <n v="6019640"/>
    <n v="39000000"/>
  </r>
  <r>
    <n v="217"/>
    <x v="139"/>
    <x v="113"/>
    <s v="OML"/>
    <x v="2"/>
    <n v="500"/>
    <n v="0"/>
    <n v="500"/>
    <n v="3009820"/>
    <n v="19500000"/>
  </r>
  <r>
    <n v="218"/>
    <x v="140"/>
    <x v="114"/>
    <s v="FRE"/>
    <x v="2"/>
    <n v="1500"/>
    <n v="0"/>
    <n v="1500"/>
    <n v="8772510"/>
    <n v="64500000"/>
  </r>
  <r>
    <n v="219"/>
    <x v="141"/>
    <x v="115"/>
    <s v="OSM"/>
    <x v="2"/>
    <n v="1000"/>
    <n v="0"/>
    <n v="1000"/>
    <n v="5848340"/>
    <n v="39000000"/>
  </r>
  <r>
    <n v="220"/>
    <x v="141"/>
    <x v="115"/>
    <s v="OML"/>
    <x v="2"/>
    <n v="500"/>
    <n v="0"/>
    <n v="500"/>
    <n v="2924170"/>
    <n v="19500000"/>
  </r>
  <r>
    <n v="221"/>
    <x v="142"/>
    <x v="116"/>
    <s v="FRE"/>
    <x v="2"/>
    <n v="1500"/>
    <n v="0"/>
    <n v="1500"/>
    <n v="7874850.0000000009"/>
    <n v="64500000"/>
  </r>
  <r>
    <n v="222"/>
    <x v="143"/>
    <x v="117"/>
    <s v="FRE"/>
    <x v="2"/>
    <n v="1500"/>
    <n v="0"/>
    <n v="1500"/>
    <n v="8436180"/>
    <n v="64500000"/>
  </r>
  <r>
    <n v="223"/>
    <x v="144"/>
    <x v="18"/>
    <m/>
    <x v="1"/>
    <n v="8998"/>
    <n v="0"/>
    <n v="9000"/>
    <n v="51914970"/>
    <n v="375000000"/>
  </r>
  <r>
    <n v="224"/>
    <x v="145"/>
    <x v="118"/>
    <s v="FRE"/>
    <x v="2"/>
    <n v="1500"/>
    <n v="0"/>
    <n v="1500"/>
    <n v="7504410.0000000009"/>
    <n v="64500000"/>
  </r>
  <r>
    <n v="225"/>
    <x v="146"/>
    <x v="119"/>
    <s v="FRE"/>
    <x v="2"/>
    <n v="1500"/>
    <n v="0"/>
    <n v="1500"/>
    <n v="7320630"/>
    <n v="64500000"/>
  </r>
  <r>
    <n v="226"/>
    <x v="147"/>
    <x v="120"/>
    <s v="FRE"/>
    <x v="2"/>
    <n v="1500"/>
    <n v="0"/>
    <n v="1500"/>
    <n v="7494300.0000000009"/>
    <n v="64500000"/>
  </r>
  <r>
    <n v="227"/>
    <x v="148"/>
    <x v="121"/>
    <s v="FRE"/>
    <x v="2"/>
    <n v="1200"/>
    <n v="0"/>
    <n v="1200"/>
    <n v="6156504"/>
    <n v="51600000"/>
  </r>
  <r>
    <n v="228"/>
    <x v="149"/>
    <x v="122"/>
    <s v="OSM"/>
    <x v="2"/>
    <n v="800"/>
    <n v="0"/>
    <n v="800"/>
    <n v="4104336"/>
    <n v="31200000"/>
  </r>
  <r>
    <n v="229"/>
    <x v="149"/>
    <x v="122"/>
    <s v="OML"/>
    <x v="2"/>
    <n v="399"/>
    <n v="0"/>
    <n v="400"/>
    <n v="2052168"/>
    <n v="15600000"/>
  </r>
  <r>
    <n v="230"/>
    <x v="150"/>
    <x v="18"/>
    <m/>
    <x v="1"/>
    <n v="6899"/>
    <n v="0"/>
    <n v="6900"/>
    <n v="34632348"/>
    <n v="291900000"/>
  </r>
  <r>
    <n v="231"/>
    <x v="151"/>
    <x v="123"/>
    <s v="FRE"/>
    <x v="2"/>
    <n v="2000"/>
    <n v="0"/>
    <n v="2000"/>
    <n v="16500000"/>
    <n v="98000000"/>
  </r>
  <r>
    <n v="232"/>
    <x v="152"/>
    <x v="124"/>
    <s v="FRE"/>
    <x v="2"/>
    <n v="1800"/>
    <n v="0"/>
    <n v="1800"/>
    <n v="14850000"/>
    <n v="88200000"/>
  </r>
  <r>
    <n v="233"/>
    <x v="153"/>
    <x v="125"/>
    <s v="FRE"/>
    <x v="2"/>
    <n v="1199"/>
    <n v="0"/>
    <n v="1200"/>
    <n v="9900000"/>
    <n v="58800000"/>
  </r>
  <r>
    <n v="234"/>
    <x v="154"/>
    <x v="126"/>
    <s v="FRE"/>
    <x v="2"/>
    <n v="1800"/>
    <n v="0"/>
    <n v="1800"/>
    <n v="13860000"/>
    <n v="88200000"/>
  </r>
  <r>
    <n v="235"/>
    <x v="155"/>
    <x v="18"/>
    <m/>
    <x v="1"/>
    <n v="6799"/>
    <n v="0"/>
    <n v="6800"/>
    <n v="55110000"/>
    <n v="333200000"/>
  </r>
  <r>
    <n v="236"/>
    <x v="156"/>
    <x v="127"/>
    <s v="FRE"/>
    <x v="2"/>
    <n v="603"/>
    <n v="0"/>
    <n v="600"/>
    <n v="14100000"/>
    <n v="59400000"/>
  </r>
  <r>
    <n v="237"/>
    <x v="157"/>
    <x v="128"/>
    <s v="FRE"/>
    <x v="2"/>
    <n v="600"/>
    <n v="0"/>
    <n v="600"/>
    <n v="16500000"/>
    <n v="71400000"/>
  </r>
  <r>
    <n v="238"/>
    <x v="158"/>
    <x v="129"/>
    <s v="FRE"/>
    <x v="2"/>
    <n v="600"/>
    <n v="0"/>
    <n v="600"/>
    <n v="14100000"/>
    <n v="59400000"/>
  </r>
  <r>
    <n v="239"/>
    <x v="159"/>
    <x v="18"/>
    <m/>
    <x v="1"/>
    <n v="1803"/>
    <n v="0"/>
    <n v="1800"/>
    <n v="44700000"/>
    <n v="190200000"/>
  </r>
  <r>
    <n v="240"/>
    <x v="160"/>
    <x v="130"/>
    <s v="FRE"/>
    <x v="2"/>
    <n v="1000"/>
    <n v="0"/>
    <n v="1000"/>
    <n v="5527460"/>
    <n v="43000000"/>
  </r>
  <r>
    <n v="241"/>
    <x v="161"/>
    <x v="131"/>
    <s v="FRE"/>
    <x v="2"/>
    <n v="1199"/>
    <n v="0"/>
    <n v="1200"/>
    <n v="8504184"/>
    <n v="66000000"/>
  </r>
  <r>
    <n v="242"/>
    <x v="162"/>
    <x v="132"/>
    <s v="FRE"/>
    <x v="2"/>
    <n v="1200"/>
    <n v="0"/>
    <n v="1200"/>
    <n v="10501428"/>
    <n v="66000000"/>
  </r>
  <r>
    <n v="243"/>
    <x v="163"/>
    <x v="18"/>
    <m/>
    <x v="1"/>
    <n v="3399"/>
    <n v="0"/>
    <n v="3400"/>
    <n v="24533072"/>
    <n v="175000000"/>
  </r>
  <r>
    <n v="244"/>
    <x v="164"/>
    <x v="133"/>
    <s v="OSM"/>
    <x v="2"/>
    <n v="600"/>
    <n v="0"/>
    <n v="600"/>
    <n v="7020000"/>
    <n v="27000000"/>
  </r>
  <r>
    <n v="245"/>
    <x v="164"/>
    <x v="133"/>
    <s v="OML"/>
    <x v="2"/>
    <n v="400"/>
    <n v="0"/>
    <n v="400"/>
    <n v="4680000"/>
    <n v="18000000"/>
  </r>
  <r>
    <n v="246"/>
    <x v="165"/>
    <x v="134"/>
    <s v="OSM"/>
    <x v="2"/>
    <n v="600"/>
    <n v="0"/>
    <n v="600"/>
    <n v="7500000"/>
    <n v="27000000"/>
  </r>
  <r>
    <n v="247"/>
    <x v="165"/>
    <x v="134"/>
    <s v="OML"/>
    <x v="2"/>
    <n v="408"/>
    <n v="0"/>
    <n v="400"/>
    <n v="5000000"/>
    <n v="18000000"/>
  </r>
  <r>
    <n v="248"/>
    <x v="166"/>
    <x v="135"/>
    <s v="FRE"/>
    <x v="2"/>
    <n v="1014"/>
    <n v="0"/>
    <n v="1000"/>
    <n v="11300000"/>
    <n v="47000000"/>
  </r>
  <r>
    <n v="249"/>
    <x v="167"/>
    <x v="136"/>
    <s v="OSM"/>
    <x v="2"/>
    <n v="600"/>
    <n v="0"/>
    <n v="600"/>
    <n v="6780000"/>
    <n v="25800000"/>
  </r>
  <r>
    <n v="250"/>
    <x v="167"/>
    <x v="136"/>
    <s v="OML"/>
    <x v="2"/>
    <n v="389"/>
    <n v="0"/>
    <n v="400"/>
    <n v="4520000"/>
    <n v="17200000"/>
  </r>
  <r>
    <n v="251"/>
    <x v="168"/>
    <x v="137"/>
    <s v="FRE"/>
    <x v="2"/>
    <n v="1200"/>
    <n v="0"/>
    <n v="1200"/>
    <n v="13560000"/>
    <n v="56400000"/>
  </r>
  <r>
    <n v="252"/>
    <x v="169"/>
    <x v="138"/>
    <s v="OSM"/>
    <x v="2"/>
    <n v="799"/>
    <n v="0"/>
    <n v="800"/>
    <n v="9040000"/>
    <n v="34400000"/>
  </r>
  <r>
    <n v="253"/>
    <x v="169"/>
    <x v="138"/>
    <s v="OML"/>
    <x v="2"/>
    <n v="400"/>
    <n v="0"/>
    <n v="400"/>
    <n v="4520000"/>
    <n v="17200000"/>
  </r>
  <r>
    <n v="254"/>
    <x v="170"/>
    <x v="139"/>
    <s v="FRE"/>
    <x v="2"/>
    <n v="1210"/>
    <n v="0"/>
    <n v="1200"/>
    <n v="12120000"/>
    <n v="56400000"/>
  </r>
  <r>
    <n v="255"/>
    <x v="171"/>
    <x v="140"/>
    <s v="FRE"/>
    <x v="2"/>
    <n v="1182"/>
    <n v="0"/>
    <n v="1200"/>
    <n v="12600000"/>
    <n v="56400000"/>
  </r>
  <r>
    <n v="256"/>
    <x v="172"/>
    <x v="18"/>
    <m/>
    <x v="1"/>
    <n v="8802"/>
    <n v="0"/>
    <n v="8800"/>
    <n v="98640000"/>
    <n v="400800000"/>
  </r>
  <r>
    <n v="257"/>
    <x v="173"/>
    <x v="141"/>
    <s v="FRE"/>
    <x v="2"/>
    <n v="1497"/>
    <n v="0"/>
    <n v="1500"/>
    <n v="8865749.9999999981"/>
    <n v="67500000"/>
  </r>
  <r>
    <n v="258"/>
    <x v="174"/>
    <x v="142"/>
    <s v="FRE"/>
    <x v="2"/>
    <n v="1500"/>
    <n v="0"/>
    <n v="1500"/>
    <n v="9385500.0000000019"/>
    <n v="67500000"/>
  </r>
  <r>
    <n v="259"/>
    <x v="175"/>
    <x v="18"/>
    <m/>
    <x v="1"/>
    <n v="2997"/>
    <n v="0"/>
    <n v="3000"/>
    <n v="18251250"/>
    <n v="135000000"/>
  </r>
  <r>
    <n v="260"/>
    <x v="176"/>
    <x v="143"/>
    <s v="FRE"/>
    <x v="2"/>
    <n v="1000"/>
    <n v="0"/>
    <n v="1000"/>
    <n v="7181000.0000000009"/>
    <n v="49000000"/>
  </r>
  <r>
    <n v="261"/>
    <x v="177"/>
    <x v="144"/>
    <s v="OSM"/>
    <x v="2"/>
    <n v="1000"/>
    <n v="0"/>
    <n v="1000"/>
    <n v="7065500"/>
    <n v="45000000"/>
  </r>
  <r>
    <n v="262"/>
    <x v="177"/>
    <x v="144"/>
    <s v="OML"/>
    <x v="2"/>
    <n v="999"/>
    <n v="0"/>
    <n v="500"/>
    <n v="3532750"/>
    <n v="22500000"/>
  </r>
  <r>
    <n v="263"/>
    <x v="178"/>
    <x v="18"/>
    <m/>
    <x v="1"/>
    <n v="2999"/>
    <n v="0"/>
    <n v="2500"/>
    <n v="17779250"/>
    <n v="116500000"/>
  </r>
  <r>
    <n v="264"/>
    <x v="179"/>
    <x v="145"/>
    <s v="FRE"/>
    <x v="2"/>
    <n v="1185"/>
    <n v="0"/>
    <n v="1200"/>
    <n v="8107152.0000000019"/>
    <n v="54000000"/>
  </r>
  <r>
    <n v="265"/>
    <x v="180"/>
    <x v="146"/>
    <s v="FRE"/>
    <x v="2"/>
    <n v="1199"/>
    <n v="0"/>
    <n v="1200"/>
    <n v="7741248"/>
    <n v="54000000"/>
  </r>
  <r>
    <n v="266"/>
    <x v="181"/>
    <x v="147"/>
    <s v="OSM"/>
    <x v="2"/>
    <n v="1002"/>
    <n v="0"/>
    <n v="1000"/>
    <n v="7582920"/>
    <n v="45000000"/>
  </r>
  <r>
    <n v="267"/>
    <x v="181"/>
    <x v="147"/>
    <s v="OML"/>
    <x v="2"/>
    <n v="506"/>
    <n v="0"/>
    <n v="500"/>
    <n v="3791460"/>
    <n v="22500000"/>
  </r>
  <r>
    <n v="268"/>
    <x v="182"/>
    <x v="148"/>
    <s v="OSM"/>
    <x v="2"/>
    <n v="999"/>
    <n v="0"/>
    <n v="1000"/>
    <n v="7743660.0000000009"/>
    <n v="45000000"/>
  </r>
  <r>
    <n v="269"/>
    <x v="182"/>
    <x v="148"/>
    <s v="OML"/>
    <x v="2"/>
    <n v="501"/>
    <n v="0"/>
    <n v="500"/>
    <n v="3871830.0000000005"/>
    <n v="22500000"/>
  </r>
  <r>
    <n v="270"/>
    <x v="183"/>
    <x v="149"/>
    <s v="OSM"/>
    <x v="2"/>
    <n v="1000"/>
    <n v="0"/>
    <n v="1000"/>
    <n v="7458440.0000000009"/>
    <n v="45000000"/>
  </r>
  <r>
    <n v="271"/>
    <x v="183"/>
    <x v="149"/>
    <s v="OML"/>
    <x v="2"/>
    <n v="510"/>
    <n v="0"/>
    <n v="500"/>
    <n v="3729220.0000000005"/>
    <n v="22500000"/>
  </r>
  <r>
    <n v="272"/>
    <x v="184"/>
    <x v="18"/>
    <m/>
    <x v="1"/>
    <n v="6902"/>
    <n v="0"/>
    <n v="6900"/>
    <n v="50025930"/>
    <n v="310500000"/>
  </r>
  <r>
    <n v="273"/>
    <x v="185"/>
    <x v="150"/>
    <s v="FRE"/>
    <x v="2"/>
    <n v="1493"/>
    <n v="0"/>
    <n v="1500"/>
    <n v="12937770"/>
    <n v="82500000"/>
  </r>
  <r>
    <n v="274"/>
    <x v="186"/>
    <x v="151"/>
    <s v="FRE"/>
    <x v="2"/>
    <n v="1486"/>
    <n v="0"/>
    <n v="1500"/>
    <n v="14428035"/>
    <n v="82500000"/>
  </r>
  <r>
    <n v="275"/>
    <x v="187"/>
    <x v="152"/>
    <s v="OSM"/>
    <x v="2"/>
    <n v="1002"/>
    <n v="0"/>
    <n v="1000"/>
    <n v="9067060.0000000019"/>
    <n v="55000000"/>
  </r>
  <r>
    <n v="276"/>
    <x v="187"/>
    <x v="152"/>
    <s v="OML"/>
    <x v="2"/>
    <n v="507"/>
    <n v="0"/>
    <n v="500"/>
    <n v="4533530.0000000009"/>
    <n v="27500000"/>
  </r>
  <r>
    <n v="277"/>
    <x v="188"/>
    <x v="153"/>
    <s v="OSM"/>
    <x v="2"/>
    <n v="997"/>
    <n v="0"/>
    <n v="1000"/>
    <n v="9218800.0000000019"/>
    <n v="55000000"/>
  </r>
  <r>
    <n v="278"/>
    <x v="188"/>
    <x v="153"/>
    <s v="OML"/>
    <x v="2"/>
    <n v="492"/>
    <n v="0"/>
    <n v="500"/>
    <n v="4609400.0000000009"/>
    <n v="27500000"/>
  </r>
  <r>
    <n v="279"/>
    <x v="189"/>
    <x v="154"/>
    <s v="OSM"/>
    <x v="2"/>
    <n v="1019"/>
    <n v="0"/>
    <n v="1000"/>
    <n v="9284060.0000000019"/>
    <n v="55000000"/>
  </r>
  <r>
    <n v="280"/>
    <x v="189"/>
    <x v="154"/>
    <s v="OML"/>
    <x v="2"/>
    <n v="498"/>
    <n v="0"/>
    <n v="500"/>
    <n v="4642030.0000000009"/>
    <n v="27500000"/>
  </r>
  <r>
    <n v="281"/>
    <x v="190"/>
    <x v="18"/>
    <m/>
    <x v="1"/>
    <n v="7494"/>
    <n v="0"/>
    <n v="7500"/>
    <n v="68720685"/>
    <n v="412500000"/>
  </r>
  <r>
    <n v="282"/>
    <x v="191"/>
    <x v="155"/>
    <s v="OSS"/>
    <x v="2"/>
    <n v="241"/>
    <n v="0"/>
    <n v="250"/>
    <n v="4125000"/>
    <n v="19750000"/>
  </r>
  <r>
    <n v="283"/>
    <x v="191"/>
    <x v="155"/>
    <s v="OMM"/>
    <x v="2"/>
    <n v="369"/>
    <n v="0"/>
    <n v="350"/>
    <n v="5775000"/>
    <n v="27650000"/>
  </r>
  <r>
    <n v="284"/>
    <x v="191"/>
    <x v="155"/>
    <s v="OLL"/>
    <x v="2"/>
    <n v="368"/>
    <n v="0"/>
    <n v="350"/>
    <n v="5775000"/>
    <n v="27650000"/>
  </r>
  <r>
    <n v="285"/>
    <x v="191"/>
    <x v="155"/>
    <s v="OXL"/>
    <x v="2"/>
    <n v="258"/>
    <n v="0"/>
    <n v="250"/>
    <n v="4125000"/>
    <n v="19750000"/>
  </r>
  <r>
    <n v="286"/>
    <x v="192"/>
    <x v="156"/>
    <s v="OSS"/>
    <x v="2"/>
    <n v="243"/>
    <n v="0"/>
    <n v="250"/>
    <n v="4237500"/>
    <n v="19750000"/>
  </r>
  <r>
    <n v="287"/>
    <x v="192"/>
    <x v="156"/>
    <s v="OMM"/>
    <x v="2"/>
    <n v="372"/>
    <n v="0"/>
    <n v="350"/>
    <n v="5932500"/>
    <n v="27650000"/>
  </r>
  <r>
    <n v="288"/>
    <x v="192"/>
    <x v="156"/>
    <s v="OLL"/>
    <x v="2"/>
    <n v="364"/>
    <n v="0"/>
    <n v="350"/>
    <n v="5932500"/>
    <n v="27650000"/>
  </r>
  <r>
    <n v="289"/>
    <x v="192"/>
    <x v="156"/>
    <s v="OXL"/>
    <x v="2"/>
    <n v="269"/>
    <n v="0"/>
    <n v="250"/>
    <n v="4237500"/>
    <n v="19750000"/>
  </r>
  <r>
    <n v="290"/>
    <x v="193"/>
    <x v="18"/>
    <m/>
    <x v="1"/>
    <n v="2484"/>
    <n v="0"/>
    <n v="2400"/>
    <n v="40140000"/>
    <n v="189600000"/>
  </r>
  <r>
    <n v="291"/>
    <x v="194"/>
    <x v="157"/>
    <s v="OSS"/>
    <x v="2"/>
    <n v="207"/>
    <n v="0"/>
    <n v="200"/>
    <n v="2750815"/>
    <n v="13800000"/>
  </r>
  <r>
    <n v="292"/>
    <x v="194"/>
    <x v="157"/>
    <s v="OMM"/>
    <x v="2"/>
    <n v="305"/>
    <n v="0"/>
    <n v="300"/>
    <n v="4126222.4999999995"/>
    <n v="20700000"/>
  </r>
  <r>
    <n v="293"/>
    <x v="194"/>
    <x v="157"/>
    <s v="OLL"/>
    <x v="2"/>
    <n v="295"/>
    <n v="0"/>
    <n v="300"/>
    <n v="4126222.4999999995"/>
    <n v="20700000"/>
  </r>
  <r>
    <n v="294"/>
    <x v="194"/>
    <x v="157"/>
    <s v="OXL"/>
    <x v="2"/>
    <n v="201"/>
    <n v="0"/>
    <n v="200"/>
    <n v="2750815"/>
    <n v="13800000"/>
  </r>
  <r>
    <n v="295"/>
    <x v="195"/>
    <x v="158"/>
    <s v="OSS"/>
    <x v="2"/>
    <n v="249"/>
    <n v="0"/>
    <n v="250"/>
    <n v="3438518.7499999995"/>
    <n v="17250000"/>
  </r>
  <r>
    <n v="296"/>
    <x v="195"/>
    <x v="158"/>
    <s v="OMM"/>
    <x v="2"/>
    <n v="302"/>
    <n v="0"/>
    <n v="300"/>
    <n v="4126222.4999999995"/>
    <n v="20700000"/>
  </r>
  <r>
    <n v="297"/>
    <x v="195"/>
    <x v="158"/>
    <s v="OLL"/>
    <x v="2"/>
    <n v="260"/>
    <n v="0"/>
    <n v="250"/>
    <n v="3438518.7499999995"/>
    <n v="17250000"/>
  </r>
  <r>
    <n v="298"/>
    <x v="195"/>
    <x v="158"/>
    <s v="OXL"/>
    <x v="2"/>
    <n v="196"/>
    <n v="0"/>
    <n v="200"/>
    <n v="2750815"/>
    <n v="13800000"/>
  </r>
  <r>
    <n v="299"/>
    <x v="196"/>
    <x v="18"/>
    <m/>
    <x v="1"/>
    <n v="2015"/>
    <n v="0"/>
    <n v="2000"/>
    <n v="27508150"/>
    <n v="138000000"/>
  </r>
  <r>
    <n v="300"/>
    <x v="197"/>
    <x v="159"/>
    <s v="OXS"/>
    <x v="2"/>
    <n v="215"/>
    <n v="0"/>
    <n v="200"/>
    <n v="11403850"/>
    <n v="47600000"/>
  </r>
  <r>
    <n v="301"/>
    <x v="197"/>
    <x v="159"/>
    <s v="OSS"/>
    <x v="2"/>
    <n v="430"/>
    <n v="0"/>
    <n v="400"/>
    <n v="22807700"/>
    <n v="95200000"/>
  </r>
  <r>
    <n v="302"/>
    <x v="197"/>
    <x v="159"/>
    <s v="OMM"/>
    <x v="2"/>
    <n v="486"/>
    <n v="0"/>
    <n v="450"/>
    <n v="25658662.5"/>
    <n v="107100000"/>
  </r>
  <r>
    <n v="303"/>
    <x v="197"/>
    <x v="159"/>
    <s v="OLL"/>
    <x v="2"/>
    <n v="266"/>
    <n v="0"/>
    <n v="250"/>
    <n v="14254812.5"/>
    <n v="59500000"/>
  </r>
  <r>
    <n v="304"/>
    <x v="197"/>
    <x v="159"/>
    <s v="OXL"/>
    <x v="2"/>
    <n v="216"/>
    <n v="0"/>
    <n v="200"/>
    <n v="11403850"/>
    <n v="47600000"/>
  </r>
  <r>
    <n v="305"/>
    <x v="198"/>
    <x v="160"/>
    <s v="OXS"/>
    <x v="2"/>
    <n v="210"/>
    <n v="0"/>
    <n v="200"/>
    <n v="11403850"/>
    <n v="47600000"/>
  </r>
  <r>
    <n v="306"/>
    <x v="198"/>
    <x v="160"/>
    <s v="OSS"/>
    <x v="2"/>
    <n v="384"/>
    <n v="0"/>
    <n v="400"/>
    <n v="22807700"/>
    <n v="95200000"/>
  </r>
  <r>
    <n v="307"/>
    <x v="198"/>
    <x v="160"/>
    <s v="OMM"/>
    <x v="2"/>
    <n v="431"/>
    <n v="0"/>
    <n v="450"/>
    <n v="25658662.5"/>
    <n v="107100000"/>
  </r>
  <r>
    <n v="308"/>
    <x v="198"/>
    <x v="160"/>
    <s v="OLL"/>
    <x v="2"/>
    <n v="241"/>
    <n v="0"/>
    <n v="250"/>
    <n v="14254812.5"/>
    <n v="59500000"/>
  </r>
  <r>
    <n v="309"/>
    <x v="198"/>
    <x v="160"/>
    <s v="OXL"/>
    <x v="2"/>
    <n v="189"/>
    <n v="0"/>
    <n v="200"/>
    <n v="11403850"/>
    <n v="47600000"/>
  </r>
  <r>
    <n v="310"/>
    <x v="199"/>
    <x v="161"/>
    <s v="OXS"/>
    <x v="2"/>
    <n v="372"/>
    <n v="0"/>
    <n v="350"/>
    <n v="18501437.5"/>
    <n v="76300000"/>
  </r>
  <r>
    <n v="311"/>
    <x v="199"/>
    <x v="161"/>
    <s v="OSS"/>
    <x v="2"/>
    <n v="480"/>
    <n v="0"/>
    <n v="450"/>
    <n v="23787562.5"/>
    <n v="98100000"/>
  </r>
  <r>
    <n v="312"/>
    <x v="199"/>
    <x v="161"/>
    <s v="OMM"/>
    <x v="2"/>
    <n v="424"/>
    <n v="0"/>
    <n v="400"/>
    <n v="21144500"/>
    <n v="87200000"/>
  </r>
  <r>
    <n v="313"/>
    <x v="199"/>
    <x v="161"/>
    <s v="OLL"/>
    <x v="2"/>
    <n v="318"/>
    <n v="0"/>
    <n v="300"/>
    <n v="15858375"/>
    <n v="65400000"/>
  </r>
  <r>
    <n v="314"/>
    <x v="200"/>
    <x v="162"/>
    <s v="OXS"/>
    <x v="2"/>
    <n v="375"/>
    <n v="0"/>
    <n v="350"/>
    <n v="18501437.5"/>
    <n v="76300000"/>
  </r>
  <r>
    <n v="315"/>
    <x v="200"/>
    <x v="162"/>
    <s v="OSS"/>
    <x v="2"/>
    <n v="478"/>
    <n v="0"/>
    <n v="450"/>
    <n v="23787562.5"/>
    <n v="98100000"/>
  </r>
  <r>
    <n v="316"/>
    <x v="200"/>
    <x v="162"/>
    <s v="OMM"/>
    <x v="2"/>
    <n v="428"/>
    <n v="0"/>
    <n v="400"/>
    <n v="21144500"/>
    <n v="87200000"/>
  </r>
  <r>
    <n v="317"/>
    <x v="200"/>
    <x v="162"/>
    <s v="OLL"/>
    <x v="2"/>
    <n v="322"/>
    <n v="0"/>
    <n v="300"/>
    <n v="15858375"/>
    <n v="65400000"/>
  </r>
  <r>
    <n v="318"/>
    <x v="201"/>
    <x v="163"/>
    <s v="OXS"/>
    <x v="2"/>
    <n v="371"/>
    <n v="0"/>
    <n v="350"/>
    <n v="18501437.5"/>
    <n v="76300000"/>
  </r>
  <r>
    <n v="319"/>
    <x v="201"/>
    <x v="163"/>
    <s v="OSS"/>
    <x v="2"/>
    <n v="479"/>
    <n v="0"/>
    <n v="450"/>
    <n v="23787562.5"/>
    <n v="98100000"/>
  </r>
  <r>
    <n v="320"/>
    <x v="201"/>
    <x v="163"/>
    <s v="OMM"/>
    <x v="2"/>
    <n v="424"/>
    <n v="0"/>
    <n v="400"/>
    <n v="21144500"/>
    <n v="87200000"/>
  </r>
  <r>
    <n v="321"/>
    <x v="201"/>
    <x v="163"/>
    <s v="OLL"/>
    <x v="2"/>
    <n v="316"/>
    <n v="0"/>
    <n v="300"/>
    <n v="15858375"/>
    <n v="65400000"/>
  </r>
  <r>
    <n v="322"/>
    <x v="202"/>
    <x v="164"/>
    <s v="OXS"/>
    <x v="2"/>
    <n v="270"/>
    <n v="0"/>
    <n v="250"/>
    <n v="5072562.5000000009"/>
    <n v="22250000"/>
  </r>
  <r>
    <n v="323"/>
    <x v="202"/>
    <x v="164"/>
    <s v="OSS"/>
    <x v="2"/>
    <n v="323"/>
    <n v="0"/>
    <n v="300"/>
    <n v="6087075.0000000009"/>
    <n v="26700000"/>
  </r>
  <r>
    <n v="324"/>
    <x v="202"/>
    <x v="164"/>
    <s v="OMM"/>
    <x v="2"/>
    <n v="268"/>
    <n v="0"/>
    <n v="250"/>
    <n v="5072562.5000000009"/>
    <n v="22250000"/>
  </r>
  <r>
    <n v="325"/>
    <x v="202"/>
    <x v="164"/>
    <s v="OLL"/>
    <x v="2"/>
    <n v="215"/>
    <n v="0"/>
    <n v="200"/>
    <n v="4058050.0000000009"/>
    <n v="17800000"/>
  </r>
  <r>
    <n v="326"/>
    <x v="202"/>
    <x v="164"/>
    <s v="OXL"/>
    <x v="2"/>
    <n v="215"/>
    <n v="0"/>
    <n v="200"/>
    <n v="4058050.0000000009"/>
    <n v="17800000"/>
  </r>
  <r>
    <n v="327"/>
    <x v="203"/>
    <x v="165"/>
    <s v="OXS"/>
    <x v="2"/>
    <n v="216"/>
    <n v="0"/>
    <n v="200"/>
    <n v="10630000.000000002"/>
    <n v="43600000"/>
  </r>
  <r>
    <n v="328"/>
    <x v="203"/>
    <x v="165"/>
    <s v="OSS"/>
    <x v="2"/>
    <n v="430"/>
    <n v="0"/>
    <n v="400"/>
    <n v="21260000.000000004"/>
    <n v="87200000"/>
  </r>
  <r>
    <n v="329"/>
    <x v="203"/>
    <x v="165"/>
    <s v="OMM"/>
    <x v="2"/>
    <n v="479"/>
    <n v="0"/>
    <n v="450"/>
    <n v="23917500.000000004"/>
    <n v="98100000"/>
  </r>
  <r>
    <n v="330"/>
    <x v="203"/>
    <x v="165"/>
    <s v="OLL"/>
    <x v="2"/>
    <n v="271"/>
    <n v="0"/>
    <n v="250"/>
    <n v="13287500.000000002"/>
    <n v="54500000"/>
  </r>
  <r>
    <n v="331"/>
    <x v="203"/>
    <x v="165"/>
    <s v="OXL"/>
    <x v="2"/>
    <n v="214"/>
    <n v="0"/>
    <n v="200"/>
    <n v="10630000.000000002"/>
    <n v="43600000"/>
  </r>
  <r>
    <n v="332"/>
    <x v="204"/>
    <x v="166"/>
    <s v="OXS"/>
    <x v="2"/>
    <n v="375"/>
    <n v="0"/>
    <n v="350"/>
    <n v="19249300.000000004"/>
    <n v="76300000"/>
  </r>
  <r>
    <n v="333"/>
    <x v="204"/>
    <x v="166"/>
    <s v="OSS"/>
    <x v="2"/>
    <n v="481"/>
    <n v="0"/>
    <n v="450"/>
    <n v="24749100.000000004"/>
    <n v="98100000"/>
  </r>
  <r>
    <n v="334"/>
    <x v="204"/>
    <x v="166"/>
    <s v="OMM"/>
    <x v="2"/>
    <n v="430"/>
    <n v="0"/>
    <n v="400"/>
    <n v="21999200.000000004"/>
    <n v="87200000"/>
  </r>
  <r>
    <n v="335"/>
    <x v="204"/>
    <x v="166"/>
    <s v="OLL"/>
    <x v="2"/>
    <n v="316"/>
    <n v="0"/>
    <n v="300"/>
    <n v="16499400.000000002"/>
    <n v="65400000"/>
  </r>
  <r>
    <n v="336"/>
    <x v="205"/>
    <x v="167"/>
    <s v="OXS"/>
    <x v="2"/>
    <n v="378"/>
    <n v="0"/>
    <n v="350"/>
    <n v="19249300.000000004"/>
    <n v="76300000"/>
  </r>
  <r>
    <n v="337"/>
    <x v="205"/>
    <x v="167"/>
    <s v="OSS"/>
    <x v="2"/>
    <n v="471"/>
    <n v="0"/>
    <n v="450"/>
    <n v="24749100.000000004"/>
    <n v="98100000"/>
  </r>
  <r>
    <n v="338"/>
    <x v="205"/>
    <x v="167"/>
    <s v="OMM"/>
    <x v="2"/>
    <n v="443"/>
    <n v="0"/>
    <n v="400"/>
    <n v="21999200.000000004"/>
    <n v="87200000"/>
  </r>
  <r>
    <n v="339"/>
    <x v="205"/>
    <x v="167"/>
    <s v="OLL"/>
    <x v="2"/>
    <n v="322"/>
    <n v="0"/>
    <n v="300"/>
    <n v="16499400.000000002"/>
    <n v="65400000"/>
  </r>
  <r>
    <n v="340"/>
    <x v="206"/>
    <x v="168"/>
    <s v="OXS"/>
    <x v="2"/>
    <n v="216"/>
    <n v="0"/>
    <n v="200"/>
    <n v="4970500"/>
    <n v="19600000"/>
  </r>
  <r>
    <n v="341"/>
    <x v="206"/>
    <x v="168"/>
    <s v="OSS"/>
    <x v="2"/>
    <n v="323"/>
    <n v="0"/>
    <n v="300"/>
    <n v="7455750"/>
    <n v="29400000"/>
  </r>
  <r>
    <n v="342"/>
    <x v="206"/>
    <x v="168"/>
    <s v="OMM"/>
    <x v="2"/>
    <n v="320"/>
    <n v="0"/>
    <n v="300"/>
    <n v="7455750"/>
    <n v="29400000"/>
  </r>
  <r>
    <n v="343"/>
    <x v="206"/>
    <x v="168"/>
    <s v="OLL"/>
    <x v="2"/>
    <n v="219"/>
    <n v="0"/>
    <n v="200"/>
    <n v="4970500"/>
    <n v="19600000"/>
  </r>
  <r>
    <n v="344"/>
    <x v="207"/>
    <x v="18"/>
    <m/>
    <x v="1"/>
    <n v="15050"/>
    <n v="0"/>
    <n v="14200"/>
    <n v="702853175"/>
    <n v="2880800000"/>
  </r>
  <r>
    <n v="345"/>
    <x v="208"/>
    <x v="169"/>
    <s v="OSS"/>
    <x v="2"/>
    <n v="224"/>
    <n v="0"/>
    <n v="250"/>
    <n v="4798250.0000000009"/>
    <n v="22250000"/>
  </r>
  <r>
    <n v="346"/>
    <x v="208"/>
    <x v="169"/>
    <s v="OMM"/>
    <x v="2"/>
    <n v="360"/>
    <n v="0"/>
    <n v="350"/>
    <n v="6717550.0000000009"/>
    <n v="31150000"/>
  </r>
  <r>
    <n v="347"/>
    <x v="208"/>
    <x v="169"/>
    <s v="OLL"/>
    <x v="2"/>
    <n v="199"/>
    <n v="0"/>
    <n v="200"/>
    <n v="3838600.0000000009"/>
    <n v="17800000"/>
  </r>
  <r>
    <n v="348"/>
    <x v="208"/>
    <x v="169"/>
    <s v="OXL"/>
    <x v="2"/>
    <n v="208"/>
    <n v="0"/>
    <n v="200"/>
    <n v="3838600.0000000009"/>
    <n v="17800000"/>
  </r>
  <r>
    <n v="349"/>
    <x v="209"/>
    <x v="170"/>
    <s v="OSS"/>
    <x v="2"/>
    <n v="262"/>
    <n v="0"/>
    <n v="250"/>
    <n v="6270875"/>
    <n v="29750000"/>
  </r>
  <r>
    <n v="350"/>
    <x v="209"/>
    <x v="170"/>
    <s v="OMM"/>
    <x v="2"/>
    <n v="363"/>
    <n v="0"/>
    <n v="350"/>
    <n v="8779225"/>
    <n v="41650000"/>
  </r>
  <r>
    <n v="351"/>
    <x v="209"/>
    <x v="170"/>
    <s v="OLL"/>
    <x v="2"/>
    <n v="209"/>
    <n v="0"/>
    <n v="200"/>
    <n v="5016700"/>
    <n v="23800000"/>
  </r>
  <r>
    <n v="352"/>
    <x v="209"/>
    <x v="170"/>
    <s v="OXL"/>
    <x v="2"/>
    <n v="210"/>
    <n v="0"/>
    <n v="200"/>
    <n v="5016700"/>
    <n v="23800000"/>
  </r>
  <r>
    <n v="353"/>
    <x v="210"/>
    <x v="171"/>
    <s v="OSS"/>
    <x v="2"/>
    <n v="209"/>
    <n v="0"/>
    <n v="200"/>
    <n v="7465300"/>
    <n v="31600000"/>
  </r>
  <r>
    <n v="354"/>
    <x v="210"/>
    <x v="171"/>
    <s v="OMM"/>
    <x v="2"/>
    <n v="320"/>
    <n v="0"/>
    <n v="300"/>
    <n v="11197950"/>
    <n v="47400000"/>
  </r>
  <r>
    <n v="355"/>
    <x v="210"/>
    <x v="171"/>
    <s v="OLL"/>
    <x v="2"/>
    <n v="315"/>
    <n v="0"/>
    <n v="300"/>
    <n v="11197950"/>
    <n v="47400000"/>
  </r>
  <r>
    <n v="356"/>
    <x v="210"/>
    <x v="171"/>
    <s v="OXL"/>
    <x v="2"/>
    <n v="207"/>
    <n v="0"/>
    <n v="200"/>
    <n v="7465300"/>
    <n v="31600000"/>
  </r>
  <r>
    <n v="357"/>
    <x v="211"/>
    <x v="18"/>
    <m/>
    <x v="1"/>
    <n v="3086"/>
    <n v="0"/>
    <n v="3000"/>
    <n v="81603000"/>
    <n v="366000000"/>
  </r>
  <r>
    <n v="358"/>
    <x v="212"/>
    <x v="172"/>
    <s v="OSS"/>
    <x v="2"/>
    <n v="287"/>
    <n v="0"/>
    <n v="300"/>
    <n v="4831003.5"/>
    <n v="23700000"/>
  </r>
  <r>
    <n v="359"/>
    <x v="212"/>
    <x v="172"/>
    <s v="OMM"/>
    <x v="2"/>
    <n v="305"/>
    <n v="0"/>
    <n v="300"/>
    <n v="4831003.5"/>
    <n v="23700000"/>
  </r>
  <r>
    <n v="360"/>
    <x v="212"/>
    <x v="172"/>
    <s v="OLL"/>
    <x v="2"/>
    <n v="198"/>
    <n v="0"/>
    <n v="200"/>
    <n v="3220669"/>
    <n v="15800000"/>
  </r>
  <r>
    <n v="361"/>
    <x v="212"/>
    <x v="172"/>
    <s v="OXL"/>
    <x v="2"/>
    <n v="203"/>
    <n v="0"/>
    <n v="200"/>
    <n v="3220669"/>
    <n v="15800000"/>
  </r>
  <r>
    <n v="362"/>
    <x v="213"/>
    <x v="173"/>
    <s v="OSS"/>
    <x v="2"/>
    <n v="172"/>
    <n v="0"/>
    <n v="200"/>
    <n v="3612214"/>
    <n v="17800000"/>
  </r>
  <r>
    <n v="363"/>
    <x v="213"/>
    <x v="173"/>
    <s v="OMM"/>
    <x v="2"/>
    <n v="318"/>
    <n v="0"/>
    <n v="300"/>
    <n v="5418321"/>
    <n v="26700000"/>
  </r>
  <r>
    <n v="364"/>
    <x v="213"/>
    <x v="173"/>
    <s v="OLL"/>
    <x v="2"/>
    <n v="272"/>
    <n v="0"/>
    <n v="300"/>
    <n v="5418321"/>
    <n v="26700000"/>
  </r>
  <r>
    <n v="365"/>
    <x v="213"/>
    <x v="173"/>
    <s v="OXL"/>
    <x v="2"/>
    <n v="194"/>
    <n v="0"/>
    <n v="200"/>
    <n v="3612214"/>
    <n v="17800000"/>
  </r>
  <r>
    <n v="366"/>
    <x v="214"/>
    <x v="174"/>
    <s v="OSS"/>
    <x v="2"/>
    <n v="600"/>
    <n v="0"/>
    <n v="600"/>
    <n v="9818624.9999999981"/>
    <n v="47400000"/>
  </r>
  <r>
    <n v="367"/>
    <x v="214"/>
    <x v="174"/>
    <s v="OMM"/>
    <x v="2"/>
    <n v="446"/>
    <n v="0"/>
    <n v="450"/>
    <n v="7363968.7499999991"/>
    <n v="35550000"/>
  </r>
  <r>
    <n v="368"/>
    <x v="214"/>
    <x v="174"/>
    <s v="OLL"/>
    <x v="2"/>
    <n v="454"/>
    <n v="0"/>
    <n v="450"/>
    <n v="7363968.7499999991"/>
    <n v="35550000"/>
  </r>
  <r>
    <n v="369"/>
    <x v="215"/>
    <x v="175"/>
    <s v="OSS"/>
    <x v="2"/>
    <n v="398"/>
    <n v="0"/>
    <n v="400"/>
    <n v="6545749.9999999991"/>
    <n v="31600000"/>
  </r>
  <r>
    <n v="370"/>
    <x v="215"/>
    <x v="175"/>
    <s v="OMM"/>
    <x v="2"/>
    <n v="324"/>
    <n v="0"/>
    <n v="300"/>
    <n v="4909312.4999999991"/>
    <n v="23700000"/>
  </r>
  <r>
    <n v="371"/>
    <x v="215"/>
    <x v="175"/>
    <s v="OLL"/>
    <x v="2"/>
    <n v="275"/>
    <n v="0"/>
    <n v="300"/>
    <n v="4909312.4999999991"/>
    <n v="23700000"/>
  </r>
  <r>
    <n v="372"/>
    <x v="216"/>
    <x v="176"/>
    <s v="OSS"/>
    <x v="2"/>
    <n v="362"/>
    <n v="0"/>
    <n v="350"/>
    <n v="5499130"/>
    <n v="27650000"/>
  </r>
  <r>
    <n v="373"/>
    <x v="216"/>
    <x v="176"/>
    <s v="OMM"/>
    <x v="2"/>
    <n v="470"/>
    <n v="0"/>
    <n v="450"/>
    <n v="7070310"/>
    <n v="35550000"/>
  </r>
  <r>
    <n v="374"/>
    <x v="216"/>
    <x v="176"/>
    <s v="OLL"/>
    <x v="2"/>
    <n v="421"/>
    <n v="0"/>
    <n v="400"/>
    <n v="6284720"/>
    <n v="31600000"/>
  </r>
  <r>
    <n v="375"/>
    <x v="216"/>
    <x v="176"/>
    <s v="OXL"/>
    <x v="2"/>
    <n v="300"/>
    <n v="0"/>
    <n v="300"/>
    <n v="4713540"/>
    <n v="23700000"/>
  </r>
  <r>
    <n v="376"/>
    <x v="217"/>
    <x v="177"/>
    <s v="OSS"/>
    <x v="2"/>
    <n v="351"/>
    <n v="0"/>
    <n v="350"/>
    <n v="5270728.75"/>
    <n v="27650000"/>
  </r>
  <r>
    <n v="377"/>
    <x v="217"/>
    <x v="177"/>
    <s v="OMM"/>
    <x v="2"/>
    <n v="462"/>
    <n v="0"/>
    <n v="450"/>
    <n v="6776651.25"/>
    <n v="35550000"/>
  </r>
  <r>
    <n v="378"/>
    <x v="217"/>
    <x v="177"/>
    <s v="OLL"/>
    <x v="2"/>
    <n v="414"/>
    <n v="0"/>
    <n v="400"/>
    <n v="6023690"/>
    <n v="31600000"/>
  </r>
  <r>
    <n v="379"/>
    <x v="217"/>
    <x v="177"/>
    <s v="OXL"/>
    <x v="2"/>
    <n v="300"/>
    <n v="0"/>
    <n v="300"/>
    <n v="4517767.5"/>
    <n v="23700000"/>
  </r>
  <r>
    <n v="380"/>
    <x v="218"/>
    <x v="18"/>
    <m/>
    <x v="1"/>
    <n v="7526"/>
    <n v="0"/>
    <n v="7500"/>
    <n v="121231890"/>
    <n v="602500000"/>
  </r>
  <r>
    <n v="381"/>
    <x v="219"/>
    <x v="178"/>
    <s v="OSS"/>
    <x v="2"/>
    <n v="251"/>
    <n v="0"/>
    <n v="250"/>
    <n v="6175000"/>
    <n v="27250000"/>
  </r>
  <r>
    <n v="382"/>
    <x v="219"/>
    <x v="178"/>
    <s v="OMM"/>
    <x v="2"/>
    <n v="357"/>
    <n v="0"/>
    <n v="350"/>
    <n v="8645000"/>
    <n v="38150000"/>
  </r>
  <r>
    <n v="383"/>
    <x v="219"/>
    <x v="178"/>
    <s v="OLL"/>
    <x v="2"/>
    <n v="253"/>
    <n v="0"/>
    <n v="250"/>
    <n v="6175000"/>
    <n v="27250000"/>
  </r>
  <r>
    <n v="384"/>
    <x v="219"/>
    <x v="178"/>
    <s v="OXL"/>
    <x v="2"/>
    <n v="158"/>
    <n v="0"/>
    <n v="150"/>
    <n v="3705000"/>
    <n v="16350000"/>
  </r>
  <r>
    <n v="385"/>
    <x v="220"/>
    <x v="18"/>
    <m/>
    <x v="1"/>
    <n v="1019"/>
    <n v="0"/>
    <n v="1000"/>
    <n v="24700000"/>
    <n v="109000000"/>
  </r>
  <r>
    <n v="386"/>
    <x v="221"/>
    <x v="179"/>
    <s v="OMM"/>
    <x v="2"/>
    <n v="401"/>
    <n v="0"/>
    <n v="400"/>
    <n v="28808000"/>
    <n v="119200000"/>
  </r>
  <r>
    <n v="387"/>
    <x v="221"/>
    <x v="179"/>
    <s v="OLL"/>
    <x v="2"/>
    <n v="197"/>
    <n v="0"/>
    <n v="200"/>
    <n v="14404000"/>
    <n v="59600000"/>
  </r>
  <r>
    <n v="388"/>
    <x v="222"/>
    <x v="18"/>
    <m/>
    <x v="1"/>
    <n v="598"/>
    <n v="0"/>
    <n v="600"/>
    <n v="43212000"/>
    <n v="178800000"/>
  </r>
  <r>
    <n v="389"/>
    <x v="223"/>
    <x v="180"/>
    <s v="OXS"/>
    <x v="2"/>
    <n v="173"/>
    <n v="0"/>
    <n v="200"/>
    <n v="3011845"/>
    <n v="15000000"/>
  </r>
  <r>
    <n v="390"/>
    <x v="223"/>
    <x v="180"/>
    <s v="OSS"/>
    <x v="2"/>
    <n v="191"/>
    <n v="0"/>
    <n v="250"/>
    <n v="3764806.25"/>
    <n v="18750000"/>
  </r>
  <r>
    <n v="391"/>
    <x v="223"/>
    <x v="180"/>
    <s v="OMM"/>
    <x v="2"/>
    <n v="225"/>
    <n v="0"/>
    <n v="250"/>
    <n v="3764806.25"/>
    <n v="18750000"/>
  </r>
  <r>
    <n v="392"/>
    <x v="223"/>
    <x v="180"/>
    <s v="OLL"/>
    <x v="2"/>
    <n v="161"/>
    <n v="0"/>
    <n v="200"/>
    <n v="3011845"/>
    <n v="15000000"/>
  </r>
  <r>
    <n v="393"/>
    <x v="223"/>
    <x v="180"/>
    <s v="OXL"/>
    <x v="2"/>
    <n v="80"/>
    <n v="0"/>
    <n v="100"/>
    <n v="1505922.5"/>
    <n v="7500000"/>
  </r>
  <r>
    <n v="394"/>
    <x v="224"/>
    <x v="181"/>
    <s v="OSS"/>
    <x v="2"/>
    <n v="682"/>
    <n v="0"/>
    <n v="700"/>
    <n v="10998260"/>
    <n v="52500000"/>
  </r>
  <r>
    <n v="395"/>
    <x v="224"/>
    <x v="181"/>
    <s v="OMM"/>
    <x v="2"/>
    <n v="426"/>
    <n v="0"/>
    <n v="500"/>
    <n v="7855900"/>
    <n v="37500000"/>
  </r>
  <r>
    <n v="396"/>
    <x v="224"/>
    <x v="181"/>
    <s v="OLL"/>
    <x v="2"/>
    <n v="280"/>
    <n v="0"/>
    <n v="300"/>
    <n v="4713540"/>
    <n v="22500000"/>
  </r>
  <r>
    <n v="397"/>
    <x v="225"/>
    <x v="182"/>
    <s v="OXS"/>
    <x v="2"/>
    <n v="198"/>
    <n v="0"/>
    <n v="200"/>
    <n v="2620299.9999999995"/>
    <n v="13000000"/>
  </r>
  <r>
    <n v="398"/>
    <x v="225"/>
    <x v="182"/>
    <s v="OSS"/>
    <x v="2"/>
    <n v="306"/>
    <n v="0"/>
    <n v="300"/>
    <n v="3930449.9999999995"/>
    <n v="19500000"/>
  </r>
  <r>
    <n v="399"/>
    <x v="225"/>
    <x v="182"/>
    <s v="OMM"/>
    <x v="2"/>
    <n v="328"/>
    <n v="0"/>
    <n v="300"/>
    <n v="3930449.9999999995"/>
    <n v="19500000"/>
  </r>
  <r>
    <n v="400"/>
    <x v="225"/>
    <x v="182"/>
    <s v="OLL"/>
    <x v="2"/>
    <n v="218"/>
    <n v="0"/>
    <n v="200"/>
    <n v="2620299.9999999995"/>
    <n v="13000000"/>
  </r>
  <r>
    <n v="401"/>
    <x v="225"/>
    <x v="182"/>
    <s v="OXL"/>
    <x v="2"/>
    <n v="204"/>
    <n v="0"/>
    <n v="200"/>
    <n v="2620299.9999999995"/>
    <n v="13000000"/>
  </r>
  <r>
    <n v="402"/>
    <x v="226"/>
    <x v="183"/>
    <s v="OXS"/>
    <x v="2"/>
    <n v="145"/>
    <n v="0"/>
    <n v="200"/>
    <n v="2620299.9999999995"/>
    <n v="13000000"/>
  </r>
  <r>
    <n v="403"/>
    <x v="226"/>
    <x v="183"/>
    <s v="OSS"/>
    <x v="2"/>
    <n v="241"/>
    <n v="0"/>
    <n v="300"/>
    <n v="3930449.9999999995"/>
    <n v="19500000"/>
  </r>
  <r>
    <n v="404"/>
    <x v="226"/>
    <x v="183"/>
    <s v="OMM"/>
    <x v="2"/>
    <n v="233"/>
    <n v="0"/>
    <n v="300"/>
    <n v="3930449.9999999995"/>
    <n v="19500000"/>
  </r>
  <r>
    <n v="405"/>
    <x v="226"/>
    <x v="183"/>
    <s v="OLL"/>
    <x v="2"/>
    <n v="170"/>
    <n v="0"/>
    <n v="200"/>
    <n v="2620299.9999999995"/>
    <n v="13000000"/>
  </r>
  <r>
    <n v="406"/>
    <x v="226"/>
    <x v="183"/>
    <s v="OXL"/>
    <x v="2"/>
    <n v="163"/>
    <n v="0"/>
    <n v="200"/>
    <n v="2620299.9999999995"/>
    <n v="13000000"/>
  </r>
  <r>
    <n v="407"/>
    <x v="227"/>
    <x v="184"/>
    <s v="OXS"/>
    <x v="2"/>
    <n v="212"/>
    <n v="0"/>
    <n v="250"/>
    <n v="3438518.7499999995"/>
    <n v="16250000"/>
  </r>
  <r>
    <n v="408"/>
    <x v="227"/>
    <x v="184"/>
    <s v="OSS"/>
    <x v="2"/>
    <n v="227"/>
    <n v="0"/>
    <n v="250"/>
    <n v="3438518.7499999995"/>
    <n v="16250000"/>
  </r>
  <r>
    <n v="409"/>
    <x v="227"/>
    <x v="184"/>
    <s v="OMM"/>
    <x v="2"/>
    <n v="206"/>
    <n v="0"/>
    <n v="200"/>
    <n v="2750815"/>
    <n v="13000000"/>
  </r>
  <r>
    <n v="410"/>
    <x v="227"/>
    <x v="184"/>
    <s v="OLL"/>
    <x v="2"/>
    <n v="162"/>
    <n v="0"/>
    <n v="150"/>
    <n v="2063111.2499999998"/>
    <n v="9750000"/>
  </r>
  <r>
    <n v="411"/>
    <x v="227"/>
    <x v="184"/>
    <s v="OXL"/>
    <x v="2"/>
    <n v="156"/>
    <n v="0"/>
    <n v="150"/>
    <n v="2063111.2499999998"/>
    <n v="9750000"/>
  </r>
  <r>
    <n v="412"/>
    <x v="228"/>
    <x v="185"/>
    <s v="OXS"/>
    <x v="2"/>
    <n v="236"/>
    <n v="0"/>
    <n v="250"/>
    <n v="3438518.7499999995"/>
    <n v="16250000"/>
  </r>
  <r>
    <n v="413"/>
    <x v="228"/>
    <x v="185"/>
    <s v="OSS"/>
    <x v="2"/>
    <n v="267"/>
    <n v="0"/>
    <n v="250"/>
    <n v="3438518.7499999995"/>
    <n v="16250000"/>
  </r>
  <r>
    <n v="414"/>
    <x v="228"/>
    <x v="185"/>
    <s v="OMM"/>
    <x v="2"/>
    <n v="211"/>
    <n v="0"/>
    <n v="200"/>
    <n v="2750815"/>
    <n v="13000000"/>
  </r>
  <r>
    <n v="415"/>
    <x v="228"/>
    <x v="185"/>
    <s v="OLL"/>
    <x v="2"/>
    <n v="138"/>
    <n v="0"/>
    <n v="150"/>
    <n v="2063111.2499999998"/>
    <n v="9750000"/>
  </r>
  <r>
    <n v="416"/>
    <x v="228"/>
    <x v="185"/>
    <s v="OXL"/>
    <x v="2"/>
    <n v="159"/>
    <n v="0"/>
    <n v="150"/>
    <n v="2063111.2499999998"/>
    <n v="9750000"/>
  </r>
  <r>
    <n v="417"/>
    <x v="229"/>
    <x v="18"/>
    <m/>
    <x v="1"/>
    <n v="6398"/>
    <n v="0"/>
    <n v="6900"/>
    <n v="97578675"/>
    <n v="473500000"/>
  </r>
  <r>
    <n v="418"/>
    <x v="230"/>
    <x v="186"/>
    <s v="OSS"/>
    <x v="2"/>
    <n v="207"/>
    <n v="0"/>
    <n v="200"/>
    <n v="3931000"/>
    <n v="17800000"/>
  </r>
  <r>
    <n v="419"/>
    <x v="230"/>
    <x v="186"/>
    <s v="OMM"/>
    <x v="2"/>
    <n v="320"/>
    <n v="0"/>
    <n v="300"/>
    <n v="5896500"/>
    <n v="26700000"/>
  </r>
  <r>
    <n v="420"/>
    <x v="230"/>
    <x v="186"/>
    <s v="OLL"/>
    <x v="2"/>
    <n v="312"/>
    <n v="0"/>
    <n v="300"/>
    <n v="5896500"/>
    <n v="26700000"/>
  </r>
  <r>
    <n v="421"/>
    <x v="230"/>
    <x v="186"/>
    <s v="OXL"/>
    <x v="2"/>
    <n v="209"/>
    <n v="0"/>
    <n v="200"/>
    <n v="3931000"/>
    <n v="17800000"/>
  </r>
  <r>
    <n v="422"/>
    <x v="231"/>
    <x v="18"/>
    <m/>
    <x v="1"/>
    <n v="1048"/>
    <n v="0"/>
    <n v="1000"/>
    <n v="19655000"/>
    <n v="89000000"/>
  </r>
  <r>
    <n v="423"/>
    <x v="232"/>
    <x v="187"/>
    <s v="FRE"/>
    <x v="2"/>
    <n v="999"/>
    <n v="0"/>
    <n v="1000"/>
    <n v="13052520"/>
    <n v="69000000"/>
  </r>
  <r>
    <n v="424"/>
    <x v="233"/>
    <x v="188"/>
    <s v="FRE"/>
    <x v="2"/>
    <n v="1000"/>
    <n v="0"/>
    <n v="1000"/>
    <n v="13052520"/>
    <n v="69000000"/>
  </r>
  <r>
    <n v="425"/>
    <x v="234"/>
    <x v="189"/>
    <s v="FRE"/>
    <x v="2"/>
    <n v="785"/>
    <n v="0"/>
    <n v="800"/>
    <n v="10292344"/>
    <n v="55200000"/>
  </r>
  <r>
    <n v="426"/>
    <x v="235"/>
    <x v="190"/>
    <s v="FRE"/>
    <x v="2"/>
    <n v="800"/>
    <n v="0"/>
    <n v="800"/>
    <n v="10691512"/>
    <n v="55200000"/>
  </r>
  <r>
    <n v="427"/>
    <x v="236"/>
    <x v="191"/>
    <s v="FRE"/>
    <x v="2"/>
    <n v="800"/>
    <n v="0"/>
    <n v="800"/>
    <n v="10835512"/>
    <n v="55200000"/>
  </r>
  <r>
    <n v="428"/>
    <x v="237"/>
    <x v="192"/>
    <s v="FRE"/>
    <x v="2"/>
    <n v="992"/>
    <n v="0"/>
    <n v="1000"/>
    <n v="11623270.000000002"/>
    <n v="65000000"/>
  </r>
  <r>
    <n v="429"/>
    <x v="238"/>
    <x v="18"/>
    <m/>
    <x v="1"/>
    <n v="5376"/>
    <n v="0"/>
    <n v="5400"/>
    <n v="69547678"/>
    <n v="368600000"/>
  </r>
  <r>
    <n v="430"/>
    <x v="239"/>
    <x v="193"/>
    <s v="FRE"/>
    <x v="2"/>
    <n v="800"/>
    <n v="0"/>
    <n v="800"/>
    <n v="10721906.000000002"/>
    <n v="63200000"/>
  </r>
  <r>
    <n v="431"/>
    <x v="240"/>
    <x v="194"/>
    <s v="FRE"/>
    <x v="2"/>
    <n v="800"/>
    <n v="0"/>
    <n v="800"/>
    <n v="10362656.000000002"/>
    <n v="63200000"/>
  </r>
  <r>
    <n v="432"/>
    <x v="241"/>
    <x v="195"/>
    <s v="FRE"/>
    <x v="2"/>
    <n v="800"/>
    <n v="0"/>
    <n v="800"/>
    <n v="10450672"/>
    <n v="63200000"/>
  </r>
  <r>
    <n v="433"/>
    <x v="242"/>
    <x v="196"/>
    <s v="FRE"/>
    <x v="2"/>
    <n v="800"/>
    <n v="0"/>
    <n v="800"/>
    <n v="9812032"/>
    <n v="63200000"/>
  </r>
  <r>
    <n v="434"/>
    <x v="243"/>
    <x v="197"/>
    <s v="FRE"/>
    <x v="2"/>
    <n v="800"/>
    <n v="0"/>
    <n v="800"/>
    <n v="10212656.000000002"/>
    <n v="63200000"/>
  </r>
  <r>
    <n v="435"/>
    <x v="244"/>
    <x v="198"/>
    <s v="FRE"/>
    <x v="2"/>
    <n v="596"/>
    <n v="0"/>
    <n v="600"/>
    <n v="7614492.0000000009"/>
    <n v="45000000"/>
  </r>
  <r>
    <n v="436"/>
    <x v="245"/>
    <x v="199"/>
    <s v="FRE"/>
    <x v="2"/>
    <n v="800"/>
    <n v="0"/>
    <n v="800"/>
    <n v="10275572"/>
    <n v="63200000"/>
  </r>
  <r>
    <n v="437"/>
    <x v="246"/>
    <x v="200"/>
    <s v="FRE"/>
    <x v="2"/>
    <n v="596"/>
    <n v="0"/>
    <n v="600"/>
    <n v="7644804"/>
    <n v="45000000"/>
  </r>
  <r>
    <n v="438"/>
    <x v="247"/>
    <x v="18"/>
    <m/>
    <x v="1"/>
    <n v="5992"/>
    <n v="0"/>
    <n v="6000"/>
    <n v="77094790"/>
    <n v="469200000"/>
  </r>
  <r>
    <n v="439"/>
    <x v="248"/>
    <x v="201"/>
    <s v="FRE"/>
    <x v="2"/>
    <n v="800"/>
    <n v="0"/>
    <n v="800"/>
    <n v="4756120"/>
    <n v="39200000"/>
  </r>
  <r>
    <n v="440"/>
    <x v="249"/>
    <x v="202"/>
    <s v="FRE"/>
    <x v="2"/>
    <n v="1200"/>
    <n v="0"/>
    <n v="1200"/>
    <n v="7164768"/>
    <n v="58800000"/>
  </r>
  <r>
    <n v="441"/>
    <x v="250"/>
    <x v="203"/>
    <s v="FRE"/>
    <x v="2"/>
    <n v="800"/>
    <n v="0"/>
    <n v="800"/>
    <n v="5304976.0000000009"/>
    <n v="39200000"/>
  </r>
  <r>
    <n v="442"/>
    <x v="251"/>
    <x v="204"/>
    <s v="FRE"/>
    <x v="2"/>
    <n v="1199"/>
    <n v="0"/>
    <n v="1200"/>
    <n v="7999020.0000000019"/>
    <n v="58800000"/>
  </r>
  <r>
    <n v="443"/>
    <x v="252"/>
    <x v="18"/>
    <m/>
    <x v="1"/>
    <n v="3999"/>
    <n v="0"/>
    <n v="4000"/>
    <n v="25224884"/>
    <n v="196000000"/>
  </r>
  <r>
    <n v="444"/>
    <x v="253"/>
    <x v="205"/>
    <s v="FRE"/>
    <x v="2"/>
    <n v="1200"/>
    <n v="0"/>
    <n v="1200"/>
    <n v="8125824.0000000009"/>
    <n v="66000000"/>
  </r>
  <r>
    <n v="445"/>
    <x v="254"/>
    <x v="206"/>
    <s v="FRE"/>
    <x v="2"/>
    <n v="1014"/>
    <n v="0"/>
    <n v="1200"/>
    <n v="8867244.0000000019"/>
    <n v="70800000"/>
  </r>
  <r>
    <n v="446"/>
    <x v="255"/>
    <x v="207"/>
    <s v="OSM"/>
    <x v="2"/>
    <n v="884"/>
    <n v="0"/>
    <n v="900"/>
    <n v="6523533.0000000009"/>
    <n v="49500000"/>
  </r>
  <r>
    <n v="447"/>
    <x v="255"/>
    <x v="207"/>
    <s v="OML"/>
    <x v="2"/>
    <n v="299"/>
    <n v="0"/>
    <n v="300"/>
    <n v="2174511.0000000005"/>
    <n v="16500000"/>
  </r>
  <r>
    <n v="448"/>
    <x v="256"/>
    <x v="208"/>
    <s v="FRE"/>
    <x v="2"/>
    <n v="1198"/>
    <n v="0"/>
    <n v="1200"/>
    <n v="8897148.0000000019"/>
    <n v="70800000"/>
  </r>
  <r>
    <n v="449"/>
    <x v="257"/>
    <x v="209"/>
    <s v="OSM"/>
    <x v="2"/>
    <n v="899"/>
    <n v="0"/>
    <n v="900"/>
    <n v="6672861.0000000009"/>
    <n v="49500000"/>
  </r>
  <r>
    <n v="450"/>
    <x v="257"/>
    <x v="209"/>
    <s v="OML"/>
    <x v="2"/>
    <n v="299"/>
    <n v="0"/>
    <n v="300"/>
    <n v="2224287.0000000005"/>
    <n v="16500000"/>
  </r>
  <r>
    <n v="451"/>
    <x v="258"/>
    <x v="18"/>
    <m/>
    <x v="1"/>
    <n v="5793"/>
    <n v="0"/>
    <n v="6000"/>
    <n v="43485408.000000007"/>
    <n v="339600000"/>
  </r>
  <r>
    <n v="452"/>
    <x v="259"/>
    <x v="210"/>
    <s v="FRE"/>
    <x v="2"/>
    <n v="1010"/>
    <n v="0"/>
    <n v="1000"/>
    <n v="7678520"/>
    <n v="53000000"/>
  </r>
  <r>
    <n v="453"/>
    <x v="260"/>
    <x v="211"/>
    <s v="FRE"/>
    <x v="2"/>
    <n v="994"/>
    <n v="0"/>
    <n v="1000"/>
    <n v="7678520"/>
    <n v="53000000"/>
  </r>
  <r>
    <n v="454"/>
    <x v="261"/>
    <x v="212"/>
    <s v="FRE"/>
    <x v="2"/>
    <n v="1006"/>
    <n v="0"/>
    <n v="1000"/>
    <n v="6865520"/>
    <n v="53000000"/>
  </r>
  <r>
    <n v="455"/>
    <x v="262"/>
    <x v="18"/>
    <m/>
    <x v="1"/>
    <n v="3010"/>
    <n v="0"/>
    <n v="3000"/>
    <n v="22222560"/>
    <n v="159000000"/>
  </r>
  <r>
    <n v="456"/>
    <x v="263"/>
    <x v="213"/>
    <s v="FRE"/>
    <x v="2"/>
    <n v="1013"/>
    <n v="0"/>
    <n v="1000"/>
    <n v="7379660.0000000009"/>
    <n v="49000000"/>
  </r>
  <r>
    <n v="457"/>
    <x v="264"/>
    <x v="214"/>
    <s v="FRE"/>
    <x v="2"/>
    <n v="983"/>
    <n v="0"/>
    <n v="1000"/>
    <n v="7379660.0000000009"/>
    <n v="49000000"/>
  </r>
  <r>
    <n v="458"/>
    <x v="265"/>
    <x v="215"/>
    <s v="FRE"/>
    <x v="2"/>
    <n v="998"/>
    <n v="0"/>
    <n v="1000"/>
    <n v="7691510.0000000009"/>
    <n v="49000000"/>
  </r>
  <r>
    <n v="459"/>
    <x v="266"/>
    <x v="216"/>
    <s v="FRE"/>
    <x v="2"/>
    <n v="997"/>
    <n v="0"/>
    <n v="1000"/>
    <n v="8375730.0000000009"/>
    <n v="49000000"/>
  </r>
  <r>
    <n v="460"/>
    <x v="267"/>
    <x v="18"/>
    <m/>
    <x v="1"/>
    <n v="3991"/>
    <n v="0"/>
    <n v="4000"/>
    <n v="30826560.000000004"/>
    <n v="196000000"/>
  </r>
  <r>
    <n v="461"/>
    <x v="268"/>
    <x v="217"/>
    <s v="FRE"/>
    <x v="2"/>
    <n v="975"/>
    <n v="0"/>
    <n v="1000"/>
    <n v="9375500"/>
    <n v="59000000"/>
  </r>
  <r>
    <n v="462"/>
    <x v="269"/>
    <x v="218"/>
    <s v="OSM"/>
    <x v="2"/>
    <n v="619"/>
    <n v="0"/>
    <n v="700"/>
    <n v="6562850"/>
    <n v="38500000"/>
  </r>
  <r>
    <n v="463"/>
    <x v="269"/>
    <x v="218"/>
    <s v="OML"/>
    <x v="2"/>
    <n v="284"/>
    <n v="0"/>
    <n v="300"/>
    <n v="2812650"/>
    <n v="16500000"/>
  </r>
  <r>
    <n v="464"/>
    <x v="270"/>
    <x v="219"/>
    <s v="FRE"/>
    <x v="2"/>
    <n v="1015"/>
    <n v="0"/>
    <n v="1000"/>
    <n v="9001280"/>
    <n v="59000000"/>
  </r>
  <r>
    <n v="465"/>
    <x v="271"/>
    <x v="220"/>
    <s v="FRE"/>
    <x v="2"/>
    <n v="987"/>
    <n v="0"/>
    <n v="1000"/>
    <n v="9562610"/>
    <n v="59000000"/>
  </r>
  <r>
    <n v="466"/>
    <x v="272"/>
    <x v="18"/>
    <m/>
    <x v="1"/>
    <n v="3880"/>
    <n v="0"/>
    <n v="4000"/>
    <n v="37314890"/>
    <n v="232000000"/>
  </r>
  <r>
    <n v="467"/>
    <x v="273"/>
    <x v="221"/>
    <s v="FRE"/>
    <x v="2"/>
    <n v="2000"/>
    <n v="0"/>
    <n v="2000"/>
    <n v="12449052.000000004"/>
    <n v="90000000"/>
  </r>
  <r>
    <n v="468"/>
    <x v="274"/>
    <x v="222"/>
    <s v="FRE"/>
    <x v="2"/>
    <n v="2000"/>
    <n v="0"/>
    <n v="2000"/>
    <n v="9473660"/>
    <n v="58000000"/>
  </r>
  <r>
    <n v="469"/>
    <x v="275"/>
    <x v="223"/>
    <s v="FRE"/>
    <x v="2"/>
    <n v="2000"/>
    <n v="0"/>
    <n v="2000"/>
    <n v="9989660"/>
    <n v="58000000"/>
  </r>
  <r>
    <n v="470"/>
    <x v="276"/>
    <x v="224"/>
    <s v="OSM"/>
    <x v="2"/>
    <n v="504"/>
    <n v="0"/>
    <n v="500"/>
    <n v="3399765.0000000005"/>
    <n v="19500000"/>
  </r>
  <r>
    <n v="471"/>
    <x v="276"/>
    <x v="224"/>
    <s v="OML"/>
    <x v="2"/>
    <n v="291"/>
    <n v="0"/>
    <n v="300"/>
    <n v="2039859.0000000002"/>
    <n v="11700000"/>
  </r>
  <r>
    <n v="472"/>
    <x v="277"/>
    <x v="225"/>
    <s v="OSM"/>
    <x v="2"/>
    <n v="500"/>
    <n v="0"/>
    <n v="500"/>
    <n v="3399765.0000000005"/>
    <n v="19500000"/>
  </r>
  <r>
    <n v="473"/>
    <x v="277"/>
    <x v="225"/>
    <s v="OML"/>
    <x v="2"/>
    <n v="300"/>
    <n v="0"/>
    <n v="300"/>
    <n v="2039859.0000000002"/>
    <n v="11700000"/>
  </r>
  <r>
    <n v="474"/>
    <x v="278"/>
    <x v="226"/>
    <s v="OSM"/>
    <x v="2"/>
    <n v="597"/>
    <n v="0"/>
    <n v="600"/>
    <n v="4067538.0000000005"/>
    <n v="23400000"/>
  </r>
  <r>
    <n v="475"/>
    <x v="278"/>
    <x v="226"/>
    <s v="OML"/>
    <x v="2"/>
    <n v="397"/>
    <n v="0"/>
    <n v="400"/>
    <n v="2711692"/>
    <n v="15600000"/>
  </r>
  <r>
    <n v="476"/>
    <x v="279"/>
    <x v="18"/>
    <m/>
    <x v="1"/>
    <n v="8589"/>
    <n v="0"/>
    <n v="8600"/>
    <n v="49570850.000000007"/>
    <n v="307400000"/>
  </r>
  <r>
    <n v="477"/>
    <x v="280"/>
    <x v="227"/>
    <s v="OSM"/>
    <x v="2"/>
    <n v="694"/>
    <n v="0"/>
    <n v="700"/>
    <n v="5501615.0000000009"/>
    <n v="31500000"/>
  </r>
  <r>
    <n v="478"/>
    <x v="280"/>
    <x v="227"/>
    <s v="OML"/>
    <x v="2"/>
    <n v="495"/>
    <n v="0"/>
    <n v="500"/>
    <n v="3929725.0000000005"/>
    <n v="22500000"/>
  </r>
  <r>
    <n v="479"/>
    <x v="281"/>
    <x v="228"/>
    <s v="OSM"/>
    <x v="2"/>
    <n v="720"/>
    <n v="0"/>
    <n v="700"/>
    <n v="5113115.0000000009"/>
    <n v="31500000"/>
  </r>
  <r>
    <n v="480"/>
    <x v="281"/>
    <x v="228"/>
    <s v="OML"/>
    <x v="2"/>
    <n v="469"/>
    <n v="0"/>
    <n v="500"/>
    <n v="3652225.0000000005"/>
    <n v="22500000"/>
  </r>
  <r>
    <n v="481"/>
    <x v="282"/>
    <x v="229"/>
    <s v="OSM"/>
    <x v="2"/>
    <n v="683"/>
    <n v="0"/>
    <n v="700"/>
    <n v="4545233"/>
    <n v="27300000"/>
  </r>
  <r>
    <n v="482"/>
    <x v="282"/>
    <x v="229"/>
    <s v="OML"/>
    <x v="2"/>
    <n v="505"/>
    <n v="0"/>
    <n v="500"/>
    <n v="3246595.0000000005"/>
    <n v="19500000"/>
  </r>
  <r>
    <n v="483"/>
    <x v="283"/>
    <x v="230"/>
    <s v="OSM"/>
    <x v="2"/>
    <n v="707"/>
    <n v="0"/>
    <n v="700"/>
    <n v="4809133"/>
    <n v="27300000"/>
  </r>
  <r>
    <n v="484"/>
    <x v="283"/>
    <x v="230"/>
    <s v="OML"/>
    <x v="2"/>
    <n v="466"/>
    <n v="0"/>
    <n v="500"/>
    <n v="3435095.0000000005"/>
    <n v="19500000"/>
  </r>
  <r>
    <n v="485"/>
    <x v="284"/>
    <x v="18"/>
    <m/>
    <x v="1"/>
    <n v="4739"/>
    <n v="0"/>
    <n v="4800"/>
    <n v="34232736.000000007"/>
    <n v="201600000"/>
  </r>
  <r>
    <n v="486"/>
    <x v="285"/>
    <x v="231"/>
    <s v="FRE"/>
    <x v="2"/>
    <n v="2000"/>
    <n v="0"/>
    <n v="2000"/>
    <n v="10925500"/>
    <n v="78000000"/>
  </r>
  <r>
    <n v="487"/>
    <x v="286"/>
    <x v="232"/>
    <s v="FRE"/>
    <x v="2"/>
    <n v="998"/>
    <n v="0"/>
    <n v="1000"/>
    <n v="5865640"/>
    <n v="39000000"/>
  </r>
  <r>
    <n v="488"/>
    <x v="287"/>
    <x v="233"/>
    <s v="FRE"/>
    <x v="2"/>
    <n v="998"/>
    <n v="0"/>
    <n v="1000"/>
    <n v="7467850.0000000009"/>
    <n v="45000000"/>
  </r>
  <r>
    <n v="489"/>
    <x v="288"/>
    <x v="234"/>
    <s v="FRE"/>
    <x v="2"/>
    <n v="1000"/>
    <n v="0"/>
    <n v="1000"/>
    <n v="7467850.0000000009"/>
    <n v="45000000"/>
  </r>
  <r>
    <n v="490"/>
    <x v="289"/>
    <x v="235"/>
    <s v="FRE"/>
    <x v="2"/>
    <n v="921"/>
    <n v="0"/>
    <n v="1000"/>
    <n v="8063150"/>
    <n v="49000000"/>
  </r>
  <r>
    <n v="491"/>
    <x v="290"/>
    <x v="236"/>
    <s v="OSM"/>
    <x v="2"/>
    <n v="595"/>
    <n v="0"/>
    <n v="600"/>
    <n v="4657890"/>
    <n v="27000000"/>
  </r>
  <r>
    <n v="492"/>
    <x v="290"/>
    <x v="236"/>
    <s v="OML"/>
    <x v="2"/>
    <n v="203"/>
    <n v="0"/>
    <n v="200"/>
    <n v="1552630"/>
    <n v="9000000"/>
  </r>
  <r>
    <n v="493"/>
    <x v="291"/>
    <x v="237"/>
    <s v="FRE"/>
    <x v="2"/>
    <n v="2000"/>
    <n v="0"/>
    <n v="2000"/>
    <n v="14437780"/>
    <n v="98000000"/>
  </r>
  <r>
    <n v="494"/>
    <x v="292"/>
    <x v="238"/>
    <s v="OSM"/>
    <x v="2"/>
    <n v="798"/>
    <n v="0"/>
    <n v="800"/>
    <n v="5535112"/>
    <n v="36000000"/>
  </r>
  <r>
    <n v="495"/>
    <x v="292"/>
    <x v="238"/>
    <s v="OML"/>
    <x v="2"/>
    <n v="400"/>
    <n v="0"/>
    <n v="400"/>
    <n v="2767556"/>
    <n v="18000000"/>
  </r>
  <r>
    <n v="496"/>
    <x v="293"/>
    <x v="239"/>
    <s v="FRE"/>
    <x v="2"/>
    <n v="2000"/>
    <n v="0"/>
    <n v="2000"/>
    <n v="14437780"/>
    <n v="98000000"/>
  </r>
  <r>
    <n v="497"/>
    <x v="294"/>
    <x v="240"/>
    <s v="FRE"/>
    <x v="2"/>
    <n v="800"/>
    <n v="0"/>
    <n v="800"/>
    <n v="5689304.0000000019"/>
    <n v="36000000"/>
  </r>
  <r>
    <n v="498"/>
    <x v="295"/>
    <x v="241"/>
    <s v="FRE"/>
    <x v="2"/>
    <n v="800"/>
    <n v="0"/>
    <n v="800"/>
    <n v="5689304.0000000019"/>
    <n v="36000000"/>
  </r>
  <r>
    <n v="499"/>
    <x v="296"/>
    <x v="242"/>
    <s v="OSM"/>
    <x v="2"/>
    <n v="500"/>
    <n v="0"/>
    <n v="500"/>
    <n v="3858350.0000000005"/>
    <n v="22500000"/>
  </r>
  <r>
    <n v="500"/>
    <x v="296"/>
    <x v="242"/>
    <s v="OML"/>
    <x v="2"/>
    <n v="300"/>
    <n v="0"/>
    <n v="300"/>
    <n v="2315010"/>
    <n v="13500000"/>
  </r>
  <r>
    <n v="501"/>
    <x v="297"/>
    <x v="243"/>
    <s v="OSM"/>
    <x v="2"/>
    <n v="599"/>
    <n v="0"/>
    <n v="600"/>
    <n v="4630020"/>
    <n v="27000000"/>
  </r>
  <r>
    <n v="502"/>
    <x v="297"/>
    <x v="243"/>
    <s v="OML"/>
    <x v="2"/>
    <n v="200"/>
    <n v="0"/>
    <n v="200"/>
    <n v="1543340.0000000002"/>
    <n v="9000000"/>
  </r>
  <r>
    <n v="503"/>
    <x v="298"/>
    <x v="244"/>
    <s v="OSM"/>
    <x v="2"/>
    <n v="500"/>
    <n v="0"/>
    <n v="500"/>
    <n v="4075185.0000000005"/>
    <n v="24500000"/>
  </r>
  <r>
    <n v="504"/>
    <x v="298"/>
    <x v="244"/>
    <s v="OML"/>
    <x v="2"/>
    <n v="300"/>
    <n v="0"/>
    <n v="300"/>
    <n v="2445111.0000000005"/>
    <n v="14700000"/>
  </r>
  <r>
    <n v="505"/>
    <x v="299"/>
    <x v="245"/>
    <s v="OSM"/>
    <x v="2"/>
    <n v="533"/>
    <n v="0"/>
    <n v="500"/>
    <n v="4115185.0000000005"/>
    <n v="24500000"/>
  </r>
  <r>
    <n v="506"/>
    <x v="299"/>
    <x v="245"/>
    <s v="OML"/>
    <x v="2"/>
    <n v="265"/>
    <n v="0"/>
    <n v="300"/>
    <n v="2469111.0000000005"/>
    <n v="14700000"/>
  </r>
  <r>
    <n v="507"/>
    <x v="300"/>
    <x v="246"/>
    <s v="OSM"/>
    <x v="2"/>
    <n v="600"/>
    <n v="0"/>
    <n v="600"/>
    <n v="4833420"/>
    <n v="29400000"/>
  </r>
  <r>
    <n v="508"/>
    <x v="300"/>
    <x v="246"/>
    <s v="OML"/>
    <x v="2"/>
    <n v="400"/>
    <n v="0"/>
    <n v="400"/>
    <n v="3222280.0000000005"/>
    <n v="19600000"/>
  </r>
  <r>
    <n v="509"/>
    <x v="301"/>
    <x v="247"/>
    <s v="FRE"/>
    <x v="2"/>
    <n v="1200"/>
    <n v="0"/>
    <n v="1200"/>
    <n v="6735384"/>
    <n v="46800000"/>
  </r>
  <r>
    <n v="510"/>
    <x v="302"/>
    <x v="248"/>
    <s v="FRE"/>
    <x v="2"/>
    <n v="1200"/>
    <n v="0"/>
    <n v="1200"/>
    <n v="6729072.0000000019"/>
    <n v="46800000"/>
  </r>
  <r>
    <n v="511"/>
    <x v="303"/>
    <x v="18"/>
    <m/>
    <x v="1"/>
    <n v="20110"/>
    <n v="0"/>
    <n v="20200"/>
    <n v="141528814"/>
    <n v="907000000"/>
  </r>
  <r>
    <n v="512"/>
    <x v="304"/>
    <x v="249"/>
    <s v="FRE"/>
    <x v="2"/>
    <n v="999"/>
    <n v="0"/>
    <n v="1000"/>
    <n v="6219400.0000000009"/>
    <n v="55000000"/>
  </r>
  <r>
    <n v="513"/>
    <x v="305"/>
    <x v="250"/>
    <s v="FRE"/>
    <x v="2"/>
    <n v="988"/>
    <n v="0"/>
    <n v="1000"/>
    <n v="7830780.0000000009"/>
    <n v="49000000"/>
  </r>
  <r>
    <n v="514"/>
    <x v="306"/>
    <x v="251"/>
    <s v="FRE"/>
    <x v="2"/>
    <n v="999"/>
    <n v="0"/>
    <n v="1000"/>
    <n v="11095500"/>
    <n v="59000000"/>
  </r>
  <r>
    <n v="515"/>
    <x v="307"/>
    <x v="252"/>
    <s v="FRE"/>
    <x v="2"/>
    <n v="776"/>
    <n v="0"/>
    <n v="800"/>
    <n v="6844104.0000000009"/>
    <n v="39200000"/>
  </r>
  <r>
    <n v="516"/>
    <x v="308"/>
    <x v="253"/>
    <s v="FRE"/>
    <x v="2"/>
    <n v="800"/>
    <n v="0"/>
    <n v="1200"/>
    <n v="10709259.999999998"/>
    <n v="58800000"/>
  </r>
  <r>
    <n v="517"/>
    <x v="309"/>
    <x v="18"/>
    <m/>
    <x v="1"/>
    <n v="4562"/>
    <n v="0"/>
    <n v="5000"/>
    <n v="42699044"/>
    <n v="261000000"/>
  </r>
  <r>
    <n v="518"/>
    <x v="310"/>
    <x v="254"/>
    <s v="OXS"/>
    <x v="2"/>
    <n v="162"/>
    <n v="0"/>
    <n v="150"/>
    <n v="2878950.0000000005"/>
    <n v="13350000"/>
  </r>
  <r>
    <n v="519"/>
    <x v="310"/>
    <x v="254"/>
    <s v="OSS"/>
    <x v="2"/>
    <n v="310"/>
    <n v="0"/>
    <n v="300"/>
    <n v="5757900.0000000009"/>
    <n v="26700000"/>
  </r>
  <r>
    <n v="520"/>
    <x v="310"/>
    <x v="254"/>
    <s v="OMM"/>
    <x v="2"/>
    <n v="261"/>
    <n v="0"/>
    <n v="250"/>
    <n v="4798250.0000000009"/>
    <n v="22250000"/>
  </r>
  <r>
    <n v="521"/>
    <x v="310"/>
    <x v="254"/>
    <s v="OLL"/>
    <x v="2"/>
    <n v="209"/>
    <n v="0"/>
    <n v="200"/>
    <n v="3838600.0000000009"/>
    <n v="17800000"/>
  </r>
  <r>
    <n v="522"/>
    <x v="310"/>
    <x v="254"/>
    <s v="OXL"/>
    <x v="2"/>
    <n v="104"/>
    <n v="0"/>
    <n v="100"/>
    <n v="1919300.0000000005"/>
    <n v="8900000"/>
  </r>
  <r>
    <n v="523"/>
    <x v="311"/>
    <x v="255"/>
    <s v="OXS"/>
    <x v="2"/>
    <n v="213"/>
    <n v="0"/>
    <n v="200"/>
    <n v="3549850"/>
    <n v="15800000"/>
  </r>
  <r>
    <n v="524"/>
    <x v="311"/>
    <x v="255"/>
    <s v="OSS"/>
    <x v="2"/>
    <n v="309"/>
    <n v="0"/>
    <n v="300"/>
    <n v="5324775"/>
    <n v="23700000"/>
  </r>
  <r>
    <n v="525"/>
    <x v="311"/>
    <x v="255"/>
    <s v="OMM"/>
    <x v="2"/>
    <n v="319"/>
    <n v="0"/>
    <n v="300"/>
    <n v="5324775"/>
    <n v="23700000"/>
  </r>
  <r>
    <n v="526"/>
    <x v="311"/>
    <x v="255"/>
    <s v="OLL"/>
    <x v="2"/>
    <n v="193"/>
    <n v="0"/>
    <n v="200"/>
    <n v="3549850"/>
    <n v="15800000"/>
  </r>
  <r>
    <n v="527"/>
    <x v="311"/>
    <x v="255"/>
    <s v="OXL"/>
    <x v="2"/>
    <n v="218"/>
    <n v="0"/>
    <n v="200"/>
    <n v="3549850"/>
    <n v="15800000"/>
  </r>
  <r>
    <n v="528"/>
    <x v="312"/>
    <x v="256"/>
    <s v="OXS"/>
    <x v="2"/>
    <n v="210"/>
    <n v="0"/>
    <n v="200"/>
    <n v="3549850"/>
    <n v="15800000"/>
  </r>
  <r>
    <n v="529"/>
    <x v="312"/>
    <x v="256"/>
    <s v="OSS"/>
    <x v="2"/>
    <n v="300"/>
    <n v="0"/>
    <n v="300"/>
    <n v="5324775"/>
    <n v="23700000"/>
  </r>
  <r>
    <n v="530"/>
    <x v="312"/>
    <x v="256"/>
    <s v="OMM"/>
    <x v="2"/>
    <n v="322"/>
    <n v="0"/>
    <n v="300"/>
    <n v="5324775"/>
    <n v="23700000"/>
  </r>
  <r>
    <n v="531"/>
    <x v="312"/>
    <x v="256"/>
    <s v="OLL"/>
    <x v="2"/>
    <n v="222"/>
    <n v="0"/>
    <n v="200"/>
    <n v="3549850"/>
    <n v="15800000"/>
  </r>
  <r>
    <n v="532"/>
    <x v="312"/>
    <x v="256"/>
    <s v="OXL"/>
    <x v="2"/>
    <n v="205"/>
    <n v="0"/>
    <n v="200"/>
    <n v="3549850"/>
    <n v="15800000"/>
  </r>
  <r>
    <n v="533"/>
    <x v="313"/>
    <x v="257"/>
    <s v="OSS"/>
    <x v="2"/>
    <n v="202"/>
    <n v="0"/>
    <n v="200"/>
    <n v="7199650"/>
    <n v="31800000"/>
  </r>
  <r>
    <n v="534"/>
    <x v="313"/>
    <x v="257"/>
    <s v="OMM"/>
    <x v="2"/>
    <n v="306"/>
    <n v="0"/>
    <n v="300"/>
    <n v="10799475"/>
    <n v="47700000"/>
  </r>
  <r>
    <n v="535"/>
    <x v="313"/>
    <x v="257"/>
    <s v="OLL"/>
    <x v="2"/>
    <n v="310"/>
    <n v="0"/>
    <n v="300"/>
    <n v="10799475"/>
    <n v="47700000"/>
  </r>
  <r>
    <n v="536"/>
    <x v="313"/>
    <x v="257"/>
    <s v="OXL"/>
    <x v="2"/>
    <n v="203"/>
    <n v="0"/>
    <n v="200"/>
    <n v="7199650"/>
    <n v="31800000"/>
  </r>
  <r>
    <n v="537"/>
    <x v="314"/>
    <x v="258"/>
    <s v="OXS"/>
    <x v="2"/>
    <n v="210"/>
    <n v="0"/>
    <n v="200"/>
    <n v="4808800.0000000009"/>
    <n v="23800000"/>
  </r>
  <r>
    <n v="538"/>
    <x v="314"/>
    <x v="258"/>
    <s v="OSS"/>
    <x v="2"/>
    <n v="262"/>
    <n v="0"/>
    <n v="250"/>
    <n v="6011000.0000000009"/>
    <n v="29750000"/>
  </r>
  <r>
    <n v="539"/>
    <x v="314"/>
    <x v="258"/>
    <s v="OMM"/>
    <x v="2"/>
    <n v="210"/>
    <n v="0"/>
    <n v="200"/>
    <n v="4808800.0000000009"/>
    <n v="23800000"/>
  </r>
  <r>
    <n v="540"/>
    <x v="314"/>
    <x v="258"/>
    <s v="OLL"/>
    <x v="2"/>
    <n v="209"/>
    <n v="0"/>
    <n v="200"/>
    <n v="4808800.0000000009"/>
    <n v="23800000"/>
  </r>
  <r>
    <n v="541"/>
    <x v="314"/>
    <x v="258"/>
    <s v="OXL"/>
    <x v="2"/>
    <n v="160"/>
    <n v="0"/>
    <n v="150"/>
    <n v="3606600.0000000005"/>
    <n v="17850000"/>
  </r>
  <r>
    <n v="542"/>
    <x v="315"/>
    <x v="259"/>
    <s v="OXS"/>
    <x v="2"/>
    <n v="210"/>
    <n v="0"/>
    <n v="200"/>
    <n v="4808800.0000000009"/>
    <n v="23800000"/>
  </r>
  <r>
    <n v="543"/>
    <x v="315"/>
    <x v="259"/>
    <s v="OSS"/>
    <x v="2"/>
    <n v="262"/>
    <n v="0"/>
    <n v="250"/>
    <n v="6011000.0000000009"/>
    <n v="29750000"/>
  </r>
  <r>
    <n v="544"/>
    <x v="315"/>
    <x v="259"/>
    <s v="OMM"/>
    <x v="2"/>
    <n v="210"/>
    <n v="0"/>
    <n v="200"/>
    <n v="4808800.0000000009"/>
    <n v="23800000"/>
  </r>
  <r>
    <n v="545"/>
    <x v="315"/>
    <x v="259"/>
    <s v="OLL"/>
    <x v="2"/>
    <n v="210"/>
    <n v="0"/>
    <n v="200"/>
    <n v="4808800.0000000009"/>
    <n v="23800000"/>
  </r>
  <r>
    <n v="546"/>
    <x v="315"/>
    <x v="259"/>
    <s v="OXL"/>
    <x v="2"/>
    <n v="158"/>
    <n v="0"/>
    <n v="150"/>
    <n v="3606600.0000000005"/>
    <n v="17850000"/>
  </r>
  <r>
    <n v="547"/>
    <x v="316"/>
    <x v="260"/>
    <s v="OXS"/>
    <x v="2"/>
    <n v="209"/>
    <n v="0"/>
    <n v="200"/>
    <n v="4785700"/>
    <n v="23800000"/>
  </r>
  <r>
    <n v="548"/>
    <x v="316"/>
    <x v="260"/>
    <s v="OSS"/>
    <x v="2"/>
    <n v="263"/>
    <n v="0"/>
    <n v="250"/>
    <n v="5982125"/>
    <n v="29750000"/>
  </r>
  <r>
    <n v="549"/>
    <x v="316"/>
    <x v="260"/>
    <s v="OMM"/>
    <x v="2"/>
    <n v="210"/>
    <n v="0"/>
    <n v="200"/>
    <n v="4785700"/>
    <n v="23800000"/>
  </r>
  <r>
    <n v="550"/>
    <x v="316"/>
    <x v="260"/>
    <s v="OLL"/>
    <x v="2"/>
    <n v="209"/>
    <n v="0"/>
    <n v="200"/>
    <n v="4785700"/>
    <n v="23800000"/>
  </r>
  <r>
    <n v="551"/>
    <x v="316"/>
    <x v="260"/>
    <s v="OXL"/>
    <x v="2"/>
    <n v="159"/>
    <n v="0"/>
    <n v="150"/>
    <n v="3589275"/>
    <n v="17850000"/>
  </r>
  <r>
    <n v="552"/>
    <x v="317"/>
    <x v="261"/>
    <s v="OXS"/>
    <x v="2"/>
    <n v="211"/>
    <n v="0"/>
    <n v="200"/>
    <n v="7165000.0000000019"/>
    <n v="31800000"/>
  </r>
  <r>
    <n v="553"/>
    <x v="317"/>
    <x v="261"/>
    <s v="OSS"/>
    <x v="2"/>
    <n v="262"/>
    <n v="0"/>
    <n v="250"/>
    <n v="8956250.0000000019"/>
    <n v="39750000"/>
  </r>
  <r>
    <n v="554"/>
    <x v="317"/>
    <x v="261"/>
    <s v="OMM"/>
    <x v="2"/>
    <n v="210"/>
    <n v="0"/>
    <n v="200"/>
    <n v="7165000.0000000019"/>
    <n v="31800000"/>
  </r>
  <r>
    <n v="555"/>
    <x v="317"/>
    <x v="261"/>
    <s v="OLL"/>
    <x v="2"/>
    <n v="210"/>
    <n v="0"/>
    <n v="200"/>
    <n v="7165000.0000000019"/>
    <n v="31800000"/>
  </r>
  <r>
    <n v="556"/>
    <x v="317"/>
    <x v="261"/>
    <s v="OXL"/>
    <x v="2"/>
    <n v="160"/>
    <n v="0"/>
    <n v="150"/>
    <n v="5373750.0000000009"/>
    <n v="23850000"/>
  </r>
  <r>
    <n v="557"/>
    <x v="318"/>
    <x v="262"/>
    <s v="OXS"/>
    <x v="2"/>
    <n v="210"/>
    <n v="0"/>
    <n v="200"/>
    <n v="7165000.0000000019"/>
    <n v="31800000"/>
  </r>
  <r>
    <n v="558"/>
    <x v="318"/>
    <x v="262"/>
    <s v="OSS"/>
    <x v="2"/>
    <n v="265"/>
    <n v="0"/>
    <n v="250"/>
    <n v="8956250.0000000019"/>
    <n v="39750000"/>
  </r>
  <r>
    <n v="559"/>
    <x v="318"/>
    <x v="262"/>
    <s v="OMM"/>
    <x v="2"/>
    <n v="210"/>
    <n v="0"/>
    <n v="200"/>
    <n v="7165000.0000000019"/>
    <n v="31800000"/>
  </r>
  <r>
    <n v="560"/>
    <x v="318"/>
    <x v="262"/>
    <s v="OLL"/>
    <x v="2"/>
    <n v="209"/>
    <n v="0"/>
    <n v="200"/>
    <n v="7165000.0000000019"/>
    <n v="31800000"/>
  </r>
  <r>
    <n v="561"/>
    <x v="318"/>
    <x v="262"/>
    <s v="OXL"/>
    <x v="2"/>
    <n v="159"/>
    <n v="0"/>
    <n v="150"/>
    <n v="5373750.0000000009"/>
    <n v="23850000"/>
  </r>
  <r>
    <n v="562"/>
    <x v="319"/>
    <x v="18"/>
    <m/>
    <x v="1"/>
    <n v="9835"/>
    <n v="0"/>
    <n v="9400"/>
    <n v="241455950"/>
    <n v="1112600000"/>
  </r>
  <r>
    <n v="563"/>
    <x v="320"/>
    <x v="263"/>
    <s v="OSS"/>
    <x v="2"/>
    <n v="256"/>
    <n v="0"/>
    <n v="250"/>
    <n v="6201000"/>
    <n v="27250000"/>
  </r>
  <r>
    <n v="564"/>
    <x v="320"/>
    <x v="263"/>
    <s v="OMM"/>
    <x v="2"/>
    <n v="306"/>
    <n v="0"/>
    <n v="300"/>
    <n v="7441200"/>
    <n v="32700000"/>
  </r>
  <r>
    <n v="565"/>
    <x v="320"/>
    <x v="263"/>
    <s v="OLL"/>
    <x v="2"/>
    <n v="256"/>
    <n v="0"/>
    <n v="250"/>
    <n v="6201000"/>
    <n v="27250000"/>
  </r>
  <r>
    <n v="566"/>
    <x v="320"/>
    <x v="263"/>
    <s v="OXL"/>
    <x v="2"/>
    <n v="206"/>
    <n v="0"/>
    <n v="200"/>
    <n v="4960800"/>
    <n v="21800000"/>
  </r>
  <r>
    <n v="567"/>
    <x v="321"/>
    <x v="264"/>
    <s v="OXS"/>
    <x v="2"/>
    <n v="234"/>
    <n v="0"/>
    <n v="250"/>
    <n v="6282250"/>
    <n v="27250000"/>
  </r>
  <r>
    <n v="568"/>
    <x v="321"/>
    <x v="264"/>
    <s v="OSS"/>
    <x v="2"/>
    <n v="301"/>
    <n v="0"/>
    <n v="300"/>
    <n v="7538700"/>
    <n v="32700000"/>
  </r>
  <r>
    <n v="569"/>
    <x v="321"/>
    <x v="264"/>
    <s v="OMM"/>
    <x v="2"/>
    <n v="250"/>
    <n v="0"/>
    <n v="250"/>
    <n v="6282250"/>
    <n v="27250000"/>
  </r>
  <r>
    <n v="570"/>
    <x v="321"/>
    <x v="264"/>
    <s v="OLL"/>
    <x v="2"/>
    <n v="204"/>
    <n v="0"/>
    <n v="200"/>
    <n v="5025800"/>
    <n v="21800000"/>
  </r>
  <r>
    <n v="571"/>
    <x v="322"/>
    <x v="265"/>
    <s v="OXS"/>
    <x v="2"/>
    <n v="202"/>
    <n v="0"/>
    <n v="200"/>
    <n v="4465000"/>
    <n v="19800000"/>
  </r>
  <r>
    <n v="572"/>
    <x v="322"/>
    <x v="265"/>
    <s v="OSS"/>
    <x v="2"/>
    <n v="256"/>
    <n v="0"/>
    <n v="250"/>
    <n v="5581250"/>
    <n v="24750000"/>
  </r>
  <r>
    <n v="573"/>
    <x v="322"/>
    <x v="265"/>
    <s v="OMM"/>
    <x v="2"/>
    <n v="200"/>
    <n v="0"/>
    <n v="200"/>
    <n v="4465000"/>
    <n v="19800000"/>
  </r>
  <r>
    <n v="574"/>
    <x v="322"/>
    <x v="265"/>
    <s v="OLL"/>
    <x v="2"/>
    <n v="200"/>
    <n v="0"/>
    <n v="200"/>
    <n v="4465000"/>
    <n v="19800000"/>
  </r>
  <r>
    <n v="575"/>
    <x v="322"/>
    <x v="265"/>
    <s v="OXL"/>
    <x v="2"/>
    <n v="156"/>
    <n v="0"/>
    <n v="150"/>
    <n v="3348750"/>
    <n v="14850000"/>
  </r>
  <r>
    <n v="576"/>
    <x v="323"/>
    <x v="266"/>
    <s v="OXS"/>
    <x v="2"/>
    <n v="195"/>
    <n v="0"/>
    <n v="200"/>
    <n v="4524000"/>
    <n v="19800000"/>
  </r>
  <r>
    <n v="577"/>
    <x v="323"/>
    <x v="266"/>
    <s v="OSS"/>
    <x v="2"/>
    <n v="253"/>
    <n v="0"/>
    <n v="250"/>
    <n v="5655000"/>
    <n v="24750000"/>
  </r>
  <r>
    <n v="578"/>
    <x v="323"/>
    <x v="266"/>
    <s v="OMM"/>
    <x v="2"/>
    <n v="201"/>
    <n v="0"/>
    <n v="200"/>
    <n v="4524000"/>
    <n v="19800000"/>
  </r>
  <r>
    <n v="579"/>
    <x v="323"/>
    <x v="266"/>
    <s v="OLL"/>
    <x v="2"/>
    <n v="197"/>
    <n v="0"/>
    <n v="200"/>
    <n v="4524000"/>
    <n v="19800000"/>
  </r>
  <r>
    <n v="580"/>
    <x v="323"/>
    <x v="266"/>
    <s v="OXL"/>
    <x v="2"/>
    <n v="154"/>
    <n v="0"/>
    <n v="150"/>
    <n v="3393000"/>
    <n v="14850000"/>
  </r>
  <r>
    <n v="581"/>
    <x v="324"/>
    <x v="267"/>
    <s v="OXS"/>
    <x v="2"/>
    <n v="187"/>
    <n v="0"/>
    <n v="200"/>
    <n v="4748000"/>
    <n v="19800000"/>
  </r>
  <r>
    <n v="582"/>
    <x v="324"/>
    <x v="267"/>
    <s v="OSS"/>
    <x v="2"/>
    <n v="258"/>
    <n v="0"/>
    <n v="250"/>
    <n v="5935000"/>
    <n v="24750000"/>
  </r>
  <r>
    <n v="583"/>
    <x v="324"/>
    <x v="267"/>
    <s v="OMM"/>
    <x v="2"/>
    <n v="203"/>
    <n v="0"/>
    <n v="200"/>
    <n v="4748000"/>
    <n v="19800000"/>
  </r>
  <r>
    <n v="584"/>
    <x v="324"/>
    <x v="267"/>
    <s v="OLL"/>
    <x v="2"/>
    <n v="203"/>
    <n v="0"/>
    <n v="200"/>
    <n v="4748000"/>
    <n v="19800000"/>
  </r>
  <r>
    <n v="585"/>
    <x v="324"/>
    <x v="267"/>
    <s v="OXL"/>
    <x v="2"/>
    <n v="150"/>
    <n v="0"/>
    <n v="150"/>
    <n v="3561000"/>
    <n v="14850000"/>
  </r>
  <r>
    <n v="586"/>
    <x v="325"/>
    <x v="268"/>
    <s v="OSS"/>
    <x v="2"/>
    <n v="203"/>
    <n v="0"/>
    <n v="200"/>
    <n v="6379000"/>
    <n v="25800000"/>
  </r>
  <r>
    <n v="587"/>
    <x v="325"/>
    <x v="268"/>
    <s v="OMM"/>
    <x v="2"/>
    <n v="313"/>
    <n v="0"/>
    <n v="300"/>
    <n v="9568500"/>
    <n v="38700000"/>
  </r>
  <r>
    <n v="588"/>
    <x v="325"/>
    <x v="268"/>
    <s v="OLL"/>
    <x v="2"/>
    <n v="300"/>
    <n v="0"/>
    <n v="300"/>
    <n v="9568500"/>
    <n v="38700000"/>
  </r>
  <r>
    <n v="589"/>
    <x v="325"/>
    <x v="268"/>
    <s v="OXL"/>
    <x v="2"/>
    <n v="204"/>
    <n v="0"/>
    <n v="200"/>
    <n v="6379000"/>
    <n v="25800000"/>
  </r>
  <r>
    <n v="590"/>
    <x v="326"/>
    <x v="18"/>
    <m/>
    <x v="1"/>
    <n v="6048"/>
    <n v="0"/>
    <n v="6000"/>
    <n v="150513000"/>
    <n v="644000000"/>
  </r>
  <r>
    <n v="591"/>
    <x v="327"/>
    <x v="269"/>
    <s v="FRE"/>
    <x v="0"/>
    <n v="100"/>
    <n v="0"/>
    <n v="100"/>
    <n v="1135397.0000000002"/>
    <n v="6300000"/>
  </r>
  <r>
    <n v="592"/>
    <x v="328"/>
    <x v="270"/>
    <s v="FRE"/>
    <x v="0"/>
    <n v="100"/>
    <n v="0"/>
    <n v="100"/>
    <n v="1135397.0000000002"/>
    <n v="6300000"/>
  </r>
  <r>
    <n v="593"/>
    <x v="329"/>
    <x v="271"/>
    <s v="FRE"/>
    <x v="0"/>
    <n v="200"/>
    <n v="0"/>
    <n v="200"/>
    <n v="2378070.4000000004"/>
    <n v="9800000"/>
  </r>
  <r>
    <n v="594"/>
    <x v="330"/>
    <x v="272"/>
    <s v="FRE"/>
    <x v="0"/>
    <n v="150"/>
    <n v="0"/>
    <n v="150"/>
    <n v="1783552.8000000003"/>
    <n v="7350000"/>
  </r>
  <r>
    <n v="595"/>
    <x v="331"/>
    <x v="273"/>
    <s v="FRE"/>
    <x v="0"/>
    <n v="100"/>
    <n v="0"/>
    <n v="100"/>
    <n v="1296311.6000000001"/>
    <n v="5900000"/>
  </r>
  <r>
    <n v="596"/>
    <x v="332"/>
    <x v="274"/>
    <s v="FRE"/>
    <x v="0"/>
    <n v="200"/>
    <n v="0"/>
    <n v="200"/>
    <n v="1909510.0000000002"/>
    <n v="8600000"/>
  </r>
  <r>
    <n v="597"/>
    <x v="333"/>
    <x v="275"/>
    <s v="FRE"/>
    <x v="0"/>
    <n v="150"/>
    <n v="0"/>
    <n v="150"/>
    <n v="1432132.5000000002"/>
    <n v="6450000"/>
  </r>
  <r>
    <n v="598"/>
    <x v="334"/>
    <x v="276"/>
    <s v="FRE"/>
    <x v="0"/>
    <n v="200"/>
    <n v="0"/>
    <n v="200"/>
    <n v="2562685.6000000006"/>
    <n v="9800000"/>
  </r>
  <r>
    <n v="599"/>
    <x v="335"/>
    <x v="277"/>
    <s v="FRE"/>
    <x v="0"/>
    <n v="150"/>
    <n v="0"/>
    <n v="150"/>
    <n v="1922014.2000000002"/>
    <n v="7350000"/>
  </r>
  <r>
    <n v="600"/>
    <x v="336"/>
    <x v="278"/>
    <s v="FRE"/>
    <x v="0"/>
    <n v="150"/>
    <n v="0"/>
    <n v="150"/>
    <n v="1740517.5"/>
    <n v="7350000"/>
  </r>
  <r>
    <n v="601"/>
    <x v="337"/>
    <x v="279"/>
    <s v="FRE"/>
    <x v="0"/>
    <n v="100"/>
    <n v="0"/>
    <n v="100"/>
    <n v="1160345"/>
    <n v="4900000"/>
  </r>
  <r>
    <n v="602"/>
    <x v="338"/>
    <x v="280"/>
    <s v="FRE"/>
    <x v="0"/>
    <n v="150"/>
    <n v="0"/>
    <n v="150"/>
    <n v="2148417.3000000003"/>
    <n v="8850000"/>
  </r>
  <r>
    <n v="603"/>
    <x v="339"/>
    <x v="281"/>
    <s v="FRE"/>
    <x v="0"/>
    <n v="150"/>
    <n v="0"/>
    <n v="150"/>
    <n v="2148417.3000000003"/>
    <n v="8850000"/>
  </r>
  <r>
    <n v="604"/>
    <x v="340"/>
    <x v="282"/>
    <s v="FRE"/>
    <x v="0"/>
    <n v="100"/>
    <n v="0"/>
    <n v="100"/>
    <n v="1288827.2000000002"/>
    <n v="6900000"/>
  </r>
  <r>
    <n v="605"/>
    <x v="341"/>
    <x v="283"/>
    <s v="FRE"/>
    <x v="0"/>
    <n v="100"/>
    <n v="0"/>
    <n v="100"/>
    <n v="1288827.2000000002"/>
    <n v="6900000"/>
  </r>
  <r>
    <n v="606"/>
    <x v="342"/>
    <x v="284"/>
    <s v="FRE"/>
    <x v="0"/>
    <n v="100"/>
    <n v="0"/>
    <n v="100"/>
    <n v="1189035.2000000002"/>
    <n v="4900000"/>
  </r>
  <r>
    <n v="607"/>
    <x v="343"/>
    <x v="285"/>
    <s v="FRE"/>
    <x v="0"/>
    <n v="100"/>
    <n v="0"/>
    <n v="100"/>
    <n v="1189035.2000000002"/>
    <n v="4900000"/>
  </r>
  <r>
    <n v="608"/>
    <x v="344"/>
    <x v="286"/>
    <s v="FRE"/>
    <x v="0"/>
    <n v="100"/>
    <n v="0"/>
    <n v="100"/>
    <n v="1705458.8"/>
    <n v="7500000"/>
  </r>
  <r>
    <n v="609"/>
    <x v="345"/>
    <x v="287"/>
    <s v="FRE"/>
    <x v="0"/>
    <n v="70"/>
    <n v="0"/>
    <n v="70"/>
    <n v="1169372.1200000001"/>
    <n v="5110000"/>
  </r>
  <r>
    <n v="610"/>
    <x v="346"/>
    <x v="288"/>
    <s v="FRE"/>
    <x v="0"/>
    <n v="70"/>
    <n v="0"/>
    <n v="70"/>
    <n v="1169372.1200000001"/>
    <n v="5110000"/>
  </r>
  <r>
    <n v="611"/>
    <x v="347"/>
    <x v="289"/>
    <s v="FRE"/>
    <x v="0"/>
    <n v="70"/>
    <n v="0"/>
    <n v="70"/>
    <n v="1169372.1200000001"/>
    <n v="5110000"/>
  </r>
  <r>
    <n v="612"/>
    <x v="348"/>
    <x v="290"/>
    <s v="FRE"/>
    <x v="0"/>
    <n v="100"/>
    <n v="0"/>
    <n v="100"/>
    <n v="1419804.2000000004"/>
    <n v="6300000"/>
  </r>
  <r>
    <n v="613"/>
    <x v="349"/>
    <x v="291"/>
    <s v="FRE"/>
    <x v="0"/>
    <n v="100"/>
    <n v="0"/>
    <n v="100"/>
    <n v="1419804.2000000004"/>
    <n v="6300000"/>
  </r>
  <r>
    <n v="614"/>
    <x v="350"/>
    <x v="292"/>
    <s v="FRE"/>
    <x v="0"/>
    <n v="100"/>
    <n v="0"/>
    <n v="100"/>
    <n v="1419804.2000000004"/>
    <n v="6300000"/>
  </r>
  <r>
    <n v="615"/>
    <x v="351"/>
    <x v="293"/>
    <s v="FRE"/>
    <x v="0"/>
    <n v="200"/>
    <n v="0"/>
    <n v="200"/>
    <n v="2323184.8000000007"/>
    <n v="9800000"/>
  </r>
  <r>
    <n v="616"/>
    <x v="352"/>
    <x v="294"/>
    <s v="FRE"/>
    <x v="0"/>
    <n v="120"/>
    <n v="0"/>
    <n v="120"/>
    <n v="1368463.9200000002"/>
    <n v="5880000"/>
  </r>
  <r>
    <n v="617"/>
    <x v="353"/>
    <x v="295"/>
    <s v="FRE"/>
    <x v="0"/>
    <n v="120"/>
    <n v="0"/>
    <n v="120"/>
    <n v="1368463.9200000002"/>
    <n v="5880000"/>
  </r>
  <r>
    <n v="618"/>
    <x v="354"/>
    <x v="296"/>
    <s v="FRE"/>
    <x v="0"/>
    <n v="200"/>
    <n v="0"/>
    <n v="200"/>
    <n v="2071210.0000000002"/>
    <n v="8600000"/>
  </r>
  <r>
    <n v="619"/>
    <x v="355"/>
    <x v="297"/>
    <s v="FRE"/>
    <x v="0"/>
    <n v="200"/>
    <n v="0"/>
    <n v="200"/>
    <n v="2071210.0000000002"/>
    <n v="8600000"/>
  </r>
  <r>
    <n v="620"/>
    <x v="356"/>
    <x v="298"/>
    <s v="FRE"/>
    <x v="0"/>
    <n v="200"/>
    <n v="0"/>
    <n v="200"/>
    <n v="2098652.8000000007"/>
    <n v="9800000"/>
  </r>
  <r>
    <n v="621"/>
    <x v="357"/>
    <x v="299"/>
    <s v="FRE"/>
    <x v="0"/>
    <n v="200"/>
    <n v="0"/>
    <n v="200"/>
    <n v="2098652.8000000007"/>
    <n v="9800000"/>
  </r>
  <r>
    <n v="622"/>
    <x v="358"/>
    <x v="300"/>
    <s v="FRE"/>
    <x v="0"/>
    <n v="150"/>
    <n v="0"/>
    <n v="150"/>
    <n v="1834072.5000000002"/>
    <n v="7350000"/>
  </r>
  <r>
    <n v="623"/>
    <x v="359"/>
    <x v="301"/>
    <s v="FRE"/>
    <x v="0"/>
    <n v="100"/>
    <n v="0"/>
    <n v="100"/>
    <n v="1222715.0000000002"/>
    <n v="4900000"/>
  </r>
  <r>
    <n v="624"/>
    <x v="360"/>
    <x v="302"/>
    <s v="FRE"/>
    <x v="0"/>
    <n v="150"/>
    <n v="0"/>
    <n v="150"/>
    <n v="1542180.9"/>
    <n v="8250000"/>
  </r>
  <r>
    <n v="625"/>
    <x v="361"/>
    <x v="303"/>
    <s v="FRE"/>
    <x v="0"/>
    <n v="150"/>
    <n v="0"/>
    <n v="150"/>
    <n v="1381266.3000000005"/>
    <n v="7350000"/>
  </r>
  <r>
    <n v="626"/>
    <x v="362"/>
    <x v="304"/>
    <s v="FRE"/>
    <x v="0"/>
    <n v="100"/>
    <n v="0"/>
    <n v="100"/>
    <n v="1726664.6"/>
    <n v="5900000"/>
  </r>
  <r>
    <n v="627"/>
    <x v="363"/>
    <x v="305"/>
    <s v="FRE"/>
    <x v="0"/>
    <n v="150"/>
    <n v="0"/>
    <n v="150"/>
    <n v="1590829.5000000005"/>
    <n v="6450000"/>
  </r>
  <r>
    <n v="628"/>
    <x v="364"/>
    <x v="306"/>
    <s v="FRE"/>
    <x v="0"/>
    <n v="150"/>
    <n v="0"/>
    <n v="150"/>
    <n v="1553407.5000000002"/>
    <n v="6450000"/>
  </r>
  <r>
    <n v="629"/>
    <x v="365"/>
    <x v="307"/>
    <s v="FRE"/>
    <x v="0"/>
    <n v="150"/>
    <n v="0"/>
    <n v="150"/>
    <n v="1553407.5000000002"/>
    <n v="6450000"/>
  </r>
  <r>
    <n v="630"/>
    <x v="366"/>
    <x v="308"/>
    <s v="FRE"/>
    <x v="0"/>
    <n v="150"/>
    <n v="0"/>
    <n v="150"/>
    <n v="1813490.4000000006"/>
    <n v="7350000"/>
  </r>
  <r>
    <n v="631"/>
    <x v="367"/>
    <x v="309"/>
    <s v="FRE"/>
    <x v="0"/>
    <n v="150"/>
    <n v="0"/>
    <n v="150"/>
    <n v="1813490.4000000006"/>
    <n v="7350000"/>
  </r>
  <r>
    <n v="632"/>
    <x v="368"/>
    <x v="310"/>
    <s v="FRE"/>
    <x v="0"/>
    <n v="150"/>
    <n v="0"/>
    <n v="150"/>
    <n v="2021182.5"/>
    <n v="8250000"/>
  </r>
  <r>
    <n v="633"/>
    <x v="369"/>
    <x v="311"/>
    <s v="FRE"/>
    <x v="0"/>
    <n v="150"/>
    <n v="0"/>
    <n v="150"/>
    <n v="2021182.5"/>
    <n v="8250000"/>
  </r>
  <r>
    <n v="634"/>
    <x v="370"/>
    <x v="312"/>
    <s v="FRE"/>
    <x v="0"/>
    <n v="400"/>
    <n v="0"/>
    <n v="400"/>
    <n v="3227660"/>
    <n v="19600000"/>
  </r>
  <r>
    <n v="635"/>
    <x v="371"/>
    <x v="313"/>
    <s v="FRE"/>
    <x v="0"/>
    <n v="400"/>
    <n v="0"/>
    <n v="400"/>
    <n v="3227660"/>
    <n v="19600000"/>
  </r>
  <r>
    <n v="636"/>
    <x v="372"/>
    <x v="18"/>
    <m/>
    <x v="1"/>
    <n v="6650"/>
    <n v="0"/>
    <n v="6650"/>
    <n v="77110528.600000009"/>
    <n v="344990000"/>
  </r>
  <r>
    <n v="637"/>
    <x v="373"/>
    <x v="314"/>
    <s v="OXS"/>
    <x v="2"/>
    <n v="180"/>
    <n v="0"/>
    <n v="200"/>
    <n v="2829124"/>
    <n v="13800000"/>
  </r>
  <r>
    <n v="638"/>
    <x v="373"/>
    <x v="314"/>
    <s v="OSS"/>
    <x v="2"/>
    <n v="284"/>
    <n v="0"/>
    <n v="300"/>
    <n v="4243686"/>
    <n v="20700000"/>
  </r>
  <r>
    <n v="639"/>
    <x v="373"/>
    <x v="314"/>
    <s v="OMM"/>
    <x v="2"/>
    <n v="315"/>
    <n v="0"/>
    <n v="300"/>
    <n v="4243686"/>
    <n v="20700000"/>
  </r>
  <r>
    <n v="640"/>
    <x v="373"/>
    <x v="314"/>
    <s v="OLL"/>
    <x v="2"/>
    <n v="206"/>
    <n v="0"/>
    <n v="200"/>
    <n v="2829124"/>
    <n v="13800000"/>
  </r>
  <r>
    <n v="641"/>
    <x v="373"/>
    <x v="314"/>
    <s v="OXL"/>
    <x v="2"/>
    <n v="197"/>
    <n v="0"/>
    <n v="200"/>
    <n v="2829124"/>
    <n v="13800000"/>
  </r>
  <r>
    <n v="642"/>
    <x v="374"/>
    <x v="315"/>
    <s v="OXS"/>
    <x v="2"/>
    <n v="182"/>
    <n v="0"/>
    <n v="200"/>
    <n v="2750815"/>
    <n v="13800000"/>
  </r>
  <r>
    <n v="643"/>
    <x v="374"/>
    <x v="315"/>
    <s v="OSS"/>
    <x v="2"/>
    <n v="272"/>
    <n v="0"/>
    <n v="300"/>
    <n v="4126222.4999999995"/>
    <n v="20700000"/>
  </r>
  <r>
    <n v="644"/>
    <x v="374"/>
    <x v="315"/>
    <s v="OMM"/>
    <x v="2"/>
    <n v="284"/>
    <n v="0"/>
    <n v="300"/>
    <n v="4126222.4999999995"/>
    <n v="20700000"/>
  </r>
  <r>
    <n v="645"/>
    <x v="374"/>
    <x v="315"/>
    <s v="OLL"/>
    <x v="2"/>
    <n v="187"/>
    <n v="0"/>
    <n v="200"/>
    <n v="2750815"/>
    <n v="13800000"/>
  </r>
  <r>
    <n v="646"/>
    <x v="374"/>
    <x v="315"/>
    <s v="OXL"/>
    <x v="2"/>
    <n v="184"/>
    <n v="0"/>
    <n v="200"/>
    <n v="2750815"/>
    <n v="13800000"/>
  </r>
  <r>
    <n v="647"/>
    <x v="375"/>
    <x v="316"/>
    <s v="OXS"/>
    <x v="2"/>
    <n v="209"/>
    <n v="0"/>
    <n v="200"/>
    <n v="3011845"/>
    <n v="15800000"/>
  </r>
  <r>
    <n v="648"/>
    <x v="375"/>
    <x v="316"/>
    <s v="OSS"/>
    <x v="2"/>
    <n v="255"/>
    <n v="0"/>
    <n v="250"/>
    <n v="3764806.25"/>
    <n v="19750000"/>
  </r>
  <r>
    <n v="649"/>
    <x v="375"/>
    <x v="316"/>
    <s v="OMM"/>
    <x v="2"/>
    <n v="205"/>
    <n v="0"/>
    <n v="200"/>
    <n v="3011845"/>
    <n v="15800000"/>
  </r>
  <r>
    <n v="650"/>
    <x v="375"/>
    <x v="316"/>
    <s v="OLL"/>
    <x v="2"/>
    <n v="200"/>
    <n v="0"/>
    <n v="200"/>
    <n v="3011845"/>
    <n v="15800000"/>
  </r>
  <r>
    <n v="651"/>
    <x v="375"/>
    <x v="316"/>
    <s v="OXL"/>
    <x v="2"/>
    <n v="150"/>
    <n v="0"/>
    <n v="150"/>
    <n v="2258883.75"/>
    <n v="11850000"/>
  </r>
  <r>
    <n v="652"/>
    <x v="376"/>
    <x v="317"/>
    <s v="OXS"/>
    <x v="2"/>
    <n v="187"/>
    <n v="0"/>
    <n v="200"/>
    <n v="3011845"/>
    <n v="15800000"/>
  </r>
  <r>
    <n v="653"/>
    <x v="376"/>
    <x v="317"/>
    <s v="OSS"/>
    <x v="2"/>
    <n v="248"/>
    <n v="0"/>
    <n v="250"/>
    <n v="3764806.25"/>
    <n v="19750000"/>
  </r>
  <r>
    <n v="654"/>
    <x v="376"/>
    <x v="317"/>
    <s v="OMM"/>
    <x v="2"/>
    <n v="205"/>
    <n v="0"/>
    <n v="200"/>
    <n v="3011845"/>
    <n v="15800000"/>
  </r>
  <r>
    <n v="655"/>
    <x v="376"/>
    <x v="317"/>
    <s v="OLL"/>
    <x v="2"/>
    <n v="199"/>
    <n v="0"/>
    <n v="200"/>
    <n v="3011845"/>
    <n v="15800000"/>
  </r>
  <r>
    <n v="656"/>
    <x v="376"/>
    <x v="317"/>
    <s v="OXL"/>
    <x v="2"/>
    <n v="153"/>
    <n v="0"/>
    <n v="150"/>
    <n v="2258883.75"/>
    <n v="11850000"/>
  </r>
  <r>
    <n v="657"/>
    <x v="377"/>
    <x v="318"/>
    <s v="OSS"/>
    <x v="2"/>
    <n v="557"/>
    <n v="0"/>
    <n v="600"/>
    <n v="10836642"/>
    <n v="47400000"/>
  </r>
  <r>
    <n v="658"/>
    <x v="377"/>
    <x v="318"/>
    <s v="OMM"/>
    <x v="2"/>
    <n v="492"/>
    <n v="0"/>
    <n v="500"/>
    <n v="9030535"/>
    <n v="39500000"/>
  </r>
  <r>
    <n v="659"/>
    <x v="377"/>
    <x v="318"/>
    <s v="OLL"/>
    <x v="2"/>
    <n v="408"/>
    <n v="0"/>
    <n v="400"/>
    <n v="7224428"/>
    <n v="31600000"/>
  </r>
  <r>
    <n v="660"/>
    <x v="378"/>
    <x v="319"/>
    <s v="OXS"/>
    <x v="2"/>
    <n v="252"/>
    <n v="0"/>
    <n v="250"/>
    <n v="4091093.7499999995"/>
    <n v="18750000"/>
  </r>
  <r>
    <n v="661"/>
    <x v="378"/>
    <x v="319"/>
    <s v="OSS"/>
    <x v="2"/>
    <n v="247"/>
    <n v="0"/>
    <n v="250"/>
    <n v="4091093.7499999995"/>
    <n v="18750000"/>
  </r>
  <r>
    <n v="662"/>
    <x v="378"/>
    <x v="319"/>
    <s v="OMM"/>
    <x v="2"/>
    <n v="193"/>
    <n v="0"/>
    <n v="200"/>
    <n v="3272874.9999999995"/>
    <n v="15000000"/>
  </r>
  <r>
    <n v="663"/>
    <x v="378"/>
    <x v="319"/>
    <s v="OLL"/>
    <x v="2"/>
    <n v="148"/>
    <n v="0"/>
    <n v="150"/>
    <n v="2454656.2499999995"/>
    <n v="11250000"/>
  </r>
  <r>
    <n v="664"/>
    <x v="378"/>
    <x v="319"/>
    <s v="OXL"/>
    <x v="2"/>
    <n v="135"/>
    <n v="0"/>
    <n v="150"/>
    <n v="2454656.2499999995"/>
    <n v="11250000"/>
  </r>
  <r>
    <n v="665"/>
    <x v="379"/>
    <x v="320"/>
    <s v="OXS"/>
    <x v="2"/>
    <n v="202"/>
    <n v="0"/>
    <n v="200"/>
    <n v="3403389.9999999995"/>
    <n v="15800000"/>
  </r>
  <r>
    <n v="666"/>
    <x v="379"/>
    <x v="320"/>
    <s v="OSS"/>
    <x v="2"/>
    <n v="243"/>
    <n v="0"/>
    <n v="250"/>
    <n v="4254237.4999999991"/>
    <n v="19750000"/>
  </r>
  <r>
    <n v="667"/>
    <x v="379"/>
    <x v="320"/>
    <s v="OMM"/>
    <x v="2"/>
    <n v="234"/>
    <n v="0"/>
    <n v="250"/>
    <n v="4254237.4999999991"/>
    <n v="19750000"/>
  </r>
  <r>
    <n v="668"/>
    <x v="379"/>
    <x v="320"/>
    <s v="OLL"/>
    <x v="2"/>
    <n v="165"/>
    <n v="0"/>
    <n v="200"/>
    <n v="3403389.9999999995"/>
    <n v="15800000"/>
  </r>
  <r>
    <n v="669"/>
    <x v="379"/>
    <x v="320"/>
    <s v="OXL"/>
    <x v="2"/>
    <n v="82"/>
    <n v="0"/>
    <n v="100"/>
    <n v="1701694.9999999998"/>
    <n v="7900000"/>
  </r>
  <r>
    <n v="670"/>
    <x v="380"/>
    <x v="18"/>
    <m/>
    <x v="1"/>
    <n v="7660"/>
    <n v="0"/>
    <n v="7900"/>
    <n v="124071014"/>
    <n v="596100000"/>
  </r>
  <r>
    <n v="671"/>
    <x v="381"/>
    <x v="321"/>
    <s v="OXS"/>
    <x v="2"/>
    <n v="155"/>
    <n v="0"/>
    <n v="150"/>
    <n v="3288000"/>
    <n v="13350000"/>
  </r>
  <r>
    <n v="672"/>
    <x v="381"/>
    <x v="321"/>
    <s v="OSS"/>
    <x v="2"/>
    <n v="291"/>
    <n v="0"/>
    <n v="300"/>
    <n v="6576000"/>
    <n v="26700000"/>
  </r>
  <r>
    <n v="673"/>
    <x v="381"/>
    <x v="321"/>
    <s v="OMM"/>
    <x v="2"/>
    <n v="247"/>
    <n v="0"/>
    <n v="250"/>
    <n v="5480000"/>
    <n v="22250000"/>
  </r>
  <r>
    <n v="674"/>
    <x v="381"/>
    <x v="321"/>
    <s v="OLL"/>
    <x v="2"/>
    <n v="173"/>
    <n v="0"/>
    <n v="200"/>
    <n v="4384000"/>
    <n v="17800000"/>
  </r>
  <r>
    <n v="675"/>
    <x v="381"/>
    <x v="321"/>
    <s v="OXL"/>
    <x v="2"/>
    <n v="95"/>
    <n v="0"/>
    <n v="100"/>
    <n v="2192000"/>
    <n v="8900000"/>
  </r>
  <r>
    <n v="676"/>
    <x v="382"/>
    <x v="322"/>
    <s v="OXS"/>
    <x v="2"/>
    <n v="203"/>
    <n v="0"/>
    <n v="200"/>
    <n v="3426000"/>
    <n v="15800000"/>
  </r>
  <r>
    <n v="677"/>
    <x v="382"/>
    <x v="322"/>
    <s v="OSS"/>
    <x v="2"/>
    <n v="303"/>
    <n v="0"/>
    <n v="300"/>
    <n v="5139000"/>
    <n v="23700000"/>
  </r>
  <r>
    <n v="678"/>
    <x v="382"/>
    <x v="322"/>
    <s v="OMM"/>
    <x v="2"/>
    <n v="306"/>
    <n v="0"/>
    <n v="300"/>
    <n v="5139000"/>
    <n v="23700000"/>
  </r>
  <r>
    <n v="679"/>
    <x v="382"/>
    <x v="322"/>
    <s v="OLL"/>
    <x v="2"/>
    <n v="209"/>
    <n v="0"/>
    <n v="200"/>
    <n v="3426000"/>
    <n v="15800000"/>
  </r>
  <r>
    <n v="680"/>
    <x v="382"/>
    <x v="322"/>
    <s v="OXL"/>
    <x v="2"/>
    <n v="208"/>
    <n v="0"/>
    <n v="200"/>
    <n v="3426000"/>
    <n v="15800000"/>
  </r>
  <r>
    <n v="681"/>
    <x v="383"/>
    <x v="323"/>
    <s v="OSS"/>
    <x v="2"/>
    <n v="207"/>
    <n v="0"/>
    <n v="200"/>
    <n v="5195000"/>
    <n v="23800000"/>
  </r>
  <r>
    <n v="682"/>
    <x v="383"/>
    <x v="323"/>
    <s v="OMM"/>
    <x v="2"/>
    <n v="291"/>
    <n v="0"/>
    <n v="300"/>
    <n v="7792500"/>
    <n v="35700000"/>
  </r>
  <r>
    <n v="683"/>
    <x v="383"/>
    <x v="323"/>
    <s v="OLL"/>
    <x v="2"/>
    <n v="313"/>
    <n v="0"/>
    <n v="300"/>
    <n v="7792500"/>
    <n v="35700000"/>
  </r>
  <r>
    <n v="684"/>
    <x v="383"/>
    <x v="323"/>
    <s v="OXL"/>
    <x v="2"/>
    <n v="206"/>
    <n v="0"/>
    <n v="200"/>
    <n v="5195000"/>
    <n v="23800000"/>
  </r>
  <r>
    <n v="685"/>
    <x v="384"/>
    <x v="18"/>
    <m/>
    <x v="1"/>
    <n v="3207"/>
    <n v="0"/>
    <n v="3200"/>
    <n v="68451000"/>
    <n v="302800000"/>
  </r>
  <r>
    <n v="686"/>
    <x v="385"/>
    <x v="324"/>
    <s v="FRE"/>
    <x v="2"/>
    <n v="995"/>
    <n v="0"/>
    <n v="1000"/>
    <n v="8453360"/>
    <n v="55000000"/>
  </r>
  <r>
    <n v="687"/>
    <x v="386"/>
    <x v="325"/>
    <s v="FRE"/>
    <x v="2"/>
    <n v="997"/>
    <n v="0"/>
    <n v="1000"/>
    <n v="7379660.0000000009"/>
    <n v="49000000"/>
  </r>
  <r>
    <n v="688"/>
    <x v="387"/>
    <x v="18"/>
    <m/>
    <x v="1"/>
    <n v="1992"/>
    <n v="0"/>
    <n v="2000"/>
    <n v="15833020"/>
    <n v="104000000"/>
  </r>
  <r>
    <n v="689"/>
    <x v="388"/>
    <x v="326"/>
    <s v="FRE"/>
    <x v="2"/>
    <n v="2000"/>
    <n v="0"/>
    <n v="2000"/>
    <n v="9480240"/>
    <n v="78000000"/>
  </r>
  <r>
    <n v="690"/>
    <x v="389"/>
    <x v="327"/>
    <s v="FRE"/>
    <x v="2"/>
    <n v="1998"/>
    <n v="0"/>
    <n v="2000"/>
    <n v="9480240"/>
    <n v="78000000"/>
  </r>
  <r>
    <n v="691"/>
    <x v="390"/>
    <x v="328"/>
    <s v="FRE"/>
    <x v="2"/>
    <n v="1999"/>
    <n v="0"/>
    <n v="2000"/>
    <n v="7983360.0000000009"/>
    <n v="78000000"/>
  </r>
  <r>
    <n v="692"/>
    <x v="391"/>
    <x v="329"/>
    <s v="FRE"/>
    <x v="2"/>
    <n v="2000"/>
    <n v="0"/>
    <n v="2000"/>
    <n v="9854460.0000000019"/>
    <n v="78000000"/>
  </r>
  <r>
    <n v="693"/>
    <x v="392"/>
    <x v="330"/>
    <s v="FRE"/>
    <x v="2"/>
    <n v="2000"/>
    <n v="0"/>
    <n v="2000"/>
    <n v="9854460.0000000019"/>
    <n v="78000000"/>
  </r>
  <r>
    <n v="694"/>
    <x v="393"/>
    <x v="331"/>
    <s v="FRE"/>
    <x v="2"/>
    <n v="2000"/>
    <n v="0"/>
    <n v="2000"/>
    <n v="14220360.000000002"/>
    <n v="90000000"/>
  </r>
  <r>
    <n v="695"/>
    <x v="394"/>
    <x v="18"/>
    <m/>
    <x v="1"/>
    <n v="11997"/>
    <n v="0"/>
    <n v="12000"/>
    <n v="60873120"/>
    <n v="480000000"/>
  </r>
  <r>
    <n v="696"/>
    <x v="395"/>
    <x v="332"/>
    <s v="FRE"/>
    <x v="2"/>
    <n v="1500"/>
    <n v="0"/>
    <n v="1500"/>
    <n v="18188340.000000004"/>
    <n v="88500000"/>
  </r>
  <r>
    <n v="697"/>
    <x v="396"/>
    <x v="333"/>
    <s v="FRE"/>
    <x v="2"/>
    <n v="1483"/>
    <n v="0"/>
    <n v="1500"/>
    <n v="13756035"/>
    <n v="73500000"/>
  </r>
  <r>
    <n v="698"/>
    <x v="397"/>
    <x v="334"/>
    <s v="FRE"/>
    <x v="2"/>
    <n v="1484"/>
    <n v="0"/>
    <n v="1500"/>
    <n v="13756035"/>
    <n v="73500000"/>
  </r>
  <r>
    <n v="699"/>
    <x v="398"/>
    <x v="335"/>
    <s v="FRE"/>
    <x v="2"/>
    <n v="1800"/>
    <n v="0"/>
    <n v="1800"/>
    <n v="16107784.000000002"/>
    <n v="117000000"/>
  </r>
  <r>
    <n v="700"/>
    <x v="399"/>
    <x v="336"/>
    <s v="FRE"/>
    <x v="2"/>
    <n v="1798"/>
    <n v="0"/>
    <n v="1800"/>
    <n v="16107784.000000002"/>
    <n v="117000000"/>
  </r>
  <r>
    <n v="701"/>
    <x v="400"/>
    <x v="337"/>
    <s v="FRE"/>
    <x v="2"/>
    <n v="1200"/>
    <n v="0"/>
    <n v="1200"/>
    <n v="11463903.999999996"/>
    <n v="82800000"/>
  </r>
  <r>
    <n v="702"/>
    <x v="401"/>
    <x v="18"/>
    <m/>
    <x v="1"/>
    <n v="9265"/>
    <n v="0"/>
    <n v="9300"/>
    <n v="89379882"/>
    <n v="552300000"/>
  </r>
  <r>
    <n v="703"/>
    <x v="402"/>
    <x v="338"/>
    <s v="FRE"/>
    <x v="2"/>
    <n v="1499"/>
    <n v="0"/>
    <n v="1500"/>
    <n v="14156805.000000002"/>
    <n v="82500000"/>
  </r>
  <r>
    <n v="704"/>
    <x v="403"/>
    <x v="18"/>
    <m/>
    <x v="1"/>
    <n v="1499"/>
    <n v="0"/>
    <n v="1500"/>
    <n v="14156805.000000002"/>
    <n v="82500000"/>
  </r>
  <r>
    <n v="705"/>
    <x v="404"/>
    <x v="339"/>
    <s v="FRE"/>
    <x v="2"/>
    <n v="1200"/>
    <n v="0"/>
    <n v="1200"/>
    <n v="9730212.0000000019"/>
    <n v="58800000"/>
  </r>
  <r>
    <n v="706"/>
    <x v="405"/>
    <x v="340"/>
    <s v="FRE"/>
    <x v="2"/>
    <n v="800"/>
    <n v="0"/>
    <n v="800"/>
    <n v="4895828.8000000007"/>
    <n v="36000000"/>
  </r>
  <r>
    <n v="707"/>
    <x v="406"/>
    <x v="341"/>
    <s v="OSM"/>
    <x v="2"/>
    <n v="399"/>
    <n v="0"/>
    <n v="400"/>
    <n v="1754360.0000000002"/>
    <n v="11600000"/>
  </r>
  <r>
    <n v="708"/>
    <x v="406"/>
    <x v="341"/>
    <s v="OML"/>
    <x v="2"/>
    <n v="399"/>
    <n v="0"/>
    <n v="400"/>
    <n v="1754360.0000000002"/>
    <n v="11600000"/>
  </r>
  <r>
    <n v="709"/>
    <x v="407"/>
    <x v="342"/>
    <s v="FRE"/>
    <x v="2"/>
    <n v="1200"/>
    <n v="0"/>
    <n v="1200"/>
    <n v="9597012.0000000019"/>
    <n v="58800000"/>
  </r>
  <r>
    <n v="710"/>
    <x v="408"/>
    <x v="343"/>
    <s v="FRE"/>
    <x v="2"/>
    <n v="800"/>
    <n v="0"/>
    <n v="800"/>
    <n v="4895828.8000000007"/>
    <n v="36000000"/>
  </r>
  <r>
    <n v="711"/>
    <x v="409"/>
    <x v="344"/>
    <s v="OSM"/>
    <x v="2"/>
    <n v="399"/>
    <n v="0"/>
    <n v="400"/>
    <n v="1754360.0000000002"/>
    <n v="11600000"/>
  </r>
  <r>
    <n v="712"/>
    <x v="409"/>
    <x v="344"/>
    <s v="OML"/>
    <x v="2"/>
    <n v="400"/>
    <n v="0"/>
    <n v="400"/>
    <n v="1754360.0000000002"/>
    <n v="11600000"/>
  </r>
  <r>
    <n v="713"/>
    <x v="410"/>
    <x v="345"/>
    <s v="FRE"/>
    <x v="2"/>
    <n v="1201"/>
    <n v="0"/>
    <n v="1200"/>
    <n v="7732812"/>
    <n v="58800000"/>
  </r>
  <r>
    <n v="714"/>
    <x v="411"/>
    <x v="18"/>
    <m/>
    <x v="1"/>
    <n v="6798"/>
    <n v="0"/>
    <n v="6800"/>
    <n v="43869133.600000009"/>
    <n v="294800000"/>
  </r>
  <r>
    <n v="715"/>
    <x v="412"/>
    <x v="346"/>
    <s v="OSS"/>
    <x v="2"/>
    <n v="260"/>
    <n v="0"/>
    <n v="250"/>
    <n v="5058125"/>
    <n v="22250000"/>
  </r>
  <r>
    <n v="716"/>
    <x v="412"/>
    <x v="346"/>
    <s v="OMM"/>
    <x v="2"/>
    <n v="359"/>
    <n v="0"/>
    <n v="350"/>
    <n v="7081375"/>
    <n v="31150000"/>
  </r>
  <r>
    <n v="717"/>
    <x v="412"/>
    <x v="346"/>
    <s v="OLL"/>
    <x v="2"/>
    <n v="379"/>
    <n v="0"/>
    <n v="350"/>
    <n v="7081375"/>
    <n v="31150000"/>
  </r>
  <r>
    <n v="718"/>
    <x v="412"/>
    <x v="346"/>
    <s v="OXL"/>
    <x v="2"/>
    <n v="268"/>
    <n v="0"/>
    <n v="250"/>
    <n v="5058125"/>
    <n v="22250000"/>
  </r>
  <r>
    <n v="719"/>
    <x v="413"/>
    <x v="347"/>
    <s v="OSS"/>
    <x v="2"/>
    <n v="262"/>
    <n v="0"/>
    <n v="250"/>
    <n v="7454750.0000000009"/>
    <n v="29750000"/>
  </r>
  <r>
    <n v="720"/>
    <x v="413"/>
    <x v="347"/>
    <s v="OMM"/>
    <x v="2"/>
    <n v="366"/>
    <n v="0"/>
    <n v="350"/>
    <n v="10436650.000000002"/>
    <n v="41650000"/>
  </r>
  <r>
    <n v="721"/>
    <x v="413"/>
    <x v="347"/>
    <s v="OLL"/>
    <x v="2"/>
    <n v="355"/>
    <n v="0"/>
    <n v="350"/>
    <n v="10436650.000000002"/>
    <n v="41650000"/>
  </r>
  <r>
    <n v="722"/>
    <x v="413"/>
    <x v="347"/>
    <s v="OXL"/>
    <x v="2"/>
    <n v="259"/>
    <n v="0"/>
    <n v="250"/>
    <n v="7454750.0000000009"/>
    <n v="29750000"/>
  </r>
  <r>
    <n v="723"/>
    <x v="414"/>
    <x v="348"/>
    <s v="OSS"/>
    <x v="2"/>
    <n v="321"/>
    <n v="0"/>
    <n v="300"/>
    <n v="11267250"/>
    <n v="47400000"/>
  </r>
  <r>
    <n v="724"/>
    <x v="414"/>
    <x v="348"/>
    <s v="OMM"/>
    <x v="2"/>
    <n v="432"/>
    <n v="0"/>
    <n v="400"/>
    <n v="15023000"/>
    <n v="63200000"/>
  </r>
  <r>
    <n v="725"/>
    <x v="414"/>
    <x v="348"/>
    <s v="OLL"/>
    <x v="2"/>
    <n v="320"/>
    <n v="0"/>
    <n v="300"/>
    <n v="11267250"/>
    <n v="47400000"/>
  </r>
  <r>
    <n v="726"/>
    <x v="415"/>
    <x v="18"/>
    <m/>
    <x v="1"/>
    <n v="3581"/>
    <n v="0"/>
    <n v="3400"/>
    <n v="97619300"/>
    <n v="407600000"/>
  </r>
  <r>
    <n v="727"/>
    <x v="416"/>
    <x v="349"/>
    <s v="OXS"/>
    <x v="2"/>
    <n v="218"/>
    <n v="0"/>
    <n v="200"/>
    <n v="13459750"/>
    <n v="55600000"/>
  </r>
  <r>
    <n v="728"/>
    <x v="416"/>
    <x v="349"/>
    <s v="OSS"/>
    <x v="2"/>
    <n v="449"/>
    <n v="0"/>
    <n v="400"/>
    <n v="26919500"/>
    <n v="111200000"/>
  </r>
  <r>
    <n v="729"/>
    <x v="416"/>
    <x v="349"/>
    <s v="OMM"/>
    <x v="2"/>
    <n v="488"/>
    <n v="0"/>
    <n v="450"/>
    <n v="30284437.5"/>
    <n v="125100000"/>
  </r>
  <r>
    <n v="730"/>
    <x v="416"/>
    <x v="349"/>
    <s v="OLL"/>
    <x v="2"/>
    <n v="271"/>
    <n v="0"/>
    <n v="250"/>
    <n v="16824687.5"/>
    <n v="69500000"/>
  </r>
  <r>
    <n v="731"/>
    <x v="416"/>
    <x v="349"/>
    <s v="OXL"/>
    <x v="2"/>
    <n v="214"/>
    <n v="0"/>
    <n v="200"/>
    <n v="13459750"/>
    <n v="55600000"/>
  </r>
  <r>
    <n v="732"/>
    <x v="417"/>
    <x v="350"/>
    <s v="OXS"/>
    <x v="2"/>
    <n v="220"/>
    <n v="0"/>
    <n v="200"/>
    <n v="13459750"/>
    <n v="55600000"/>
  </r>
  <r>
    <n v="733"/>
    <x v="417"/>
    <x v="350"/>
    <s v="OSS"/>
    <x v="2"/>
    <n v="439"/>
    <n v="0"/>
    <n v="400"/>
    <n v="26919500"/>
    <n v="111200000"/>
  </r>
  <r>
    <n v="734"/>
    <x v="417"/>
    <x v="350"/>
    <s v="OMM"/>
    <x v="2"/>
    <n v="503"/>
    <n v="0"/>
    <n v="450"/>
    <n v="30284437.5"/>
    <n v="125100000"/>
  </r>
  <r>
    <n v="735"/>
    <x v="417"/>
    <x v="350"/>
    <s v="OLL"/>
    <x v="2"/>
    <n v="268"/>
    <n v="0"/>
    <n v="250"/>
    <n v="16824687.5"/>
    <n v="69500000"/>
  </r>
  <r>
    <n v="736"/>
    <x v="417"/>
    <x v="350"/>
    <s v="OXL"/>
    <x v="2"/>
    <n v="223"/>
    <n v="0"/>
    <n v="200"/>
    <n v="13459750"/>
    <n v="55600000"/>
  </r>
  <r>
    <n v="737"/>
    <x v="418"/>
    <x v="351"/>
    <s v="OXS"/>
    <x v="2"/>
    <n v="216"/>
    <n v="0"/>
    <n v="200"/>
    <n v="11738799.999999998"/>
    <n v="51600000"/>
  </r>
  <r>
    <n v="738"/>
    <x v="418"/>
    <x v="351"/>
    <s v="OSS"/>
    <x v="2"/>
    <n v="435"/>
    <n v="0"/>
    <n v="400"/>
    <n v="23477599.999999996"/>
    <n v="103200000"/>
  </r>
  <r>
    <n v="739"/>
    <x v="418"/>
    <x v="351"/>
    <s v="OMM"/>
    <x v="2"/>
    <n v="483"/>
    <n v="0"/>
    <n v="450"/>
    <n v="26412299.999999996"/>
    <n v="116100000"/>
  </r>
  <r>
    <n v="740"/>
    <x v="418"/>
    <x v="351"/>
    <s v="OLL"/>
    <x v="2"/>
    <n v="270"/>
    <n v="0"/>
    <n v="250"/>
    <n v="14673499.999999998"/>
    <n v="64500000"/>
  </r>
  <r>
    <n v="741"/>
    <x v="418"/>
    <x v="351"/>
    <s v="OXL"/>
    <x v="2"/>
    <n v="214"/>
    <n v="0"/>
    <n v="200"/>
    <n v="11738799.999999998"/>
    <n v="51600000"/>
  </r>
  <r>
    <n v="742"/>
    <x v="419"/>
    <x v="18"/>
    <m/>
    <x v="1"/>
    <n v="4911"/>
    <n v="0"/>
    <n v="4500"/>
    <n v="289937250"/>
    <n v="1221000000"/>
  </r>
  <r>
    <n v="743"/>
    <x v="420"/>
    <x v="352"/>
    <s v="FRE"/>
    <x v="2"/>
    <n v="798"/>
    <n v="0"/>
    <n v="800"/>
    <n v="10205912.000000002"/>
    <n v="55200000"/>
  </r>
  <r>
    <n v="744"/>
    <x v="421"/>
    <x v="353"/>
    <s v="FRE"/>
    <x v="2"/>
    <n v="1000"/>
    <n v="0"/>
    <n v="1000"/>
    <n v="14065760"/>
    <n v="75000000"/>
  </r>
  <r>
    <n v="745"/>
    <x v="422"/>
    <x v="18"/>
    <m/>
    <x v="1"/>
    <n v="1798"/>
    <n v="0"/>
    <n v="1800"/>
    <n v="24271672"/>
    <n v="130200000"/>
  </r>
  <r>
    <n v="746"/>
    <x v="423"/>
    <x v="354"/>
    <s v="OXS"/>
    <x v="2"/>
    <n v="2000"/>
    <n v="0"/>
    <n v="2000"/>
    <n v="12449052.000000004"/>
    <n v="90000000"/>
  </r>
  <r>
    <n v="747"/>
    <x v="423"/>
    <x v="354"/>
    <s v="LXL"/>
    <x v="2"/>
    <n v="1996"/>
    <n v="0"/>
    <n v="2000"/>
    <n v="12449052.000000004"/>
    <n v="90000000"/>
  </r>
  <r>
    <n v="748"/>
    <x v="424"/>
    <x v="18"/>
    <m/>
    <x v="1"/>
    <n v="3996"/>
    <n v="0"/>
    <n v="4000"/>
    <n v="24898104.000000007"/>
    <n v="180000000"/>
  </r>
  <r>
    <n v="749"/>
    <x v="425"/>
    <x v="355"/>
    <s v="FRE"/>
    <x v="2"/>
    <n v="1489"/>
    <n v="0"/>
    <n v="1500"/>
    <n v="8009355"/>
    <n v="58500000"/>
  </r>
  <r>
    <n v="750"/>
    <x v="426"/>
    <x v="356"/>
    <s v="FRE"/>
    <x v="2"/>
    <n v="1000"/>
    <n v="0"/>
    <n v="1000"/>
    <n v="5339570"/>
    <n v="39000000"/>
  </r>
  <r>
    <n v="751"/>
    <x v="427"/>
    <x v="18"/>
    <m/>
    <x v="1"/>
    <n v="2489"/>
    <n v="0"/>
    <n v="2500"/>
    <n v="13348925"/>
    <n v="97500000"/>
  </r>
  <r>
    <n v="752"/>
    <x v="428"/>
    <x v="357"/>
    <s v="FRE"/>
    <x v="2"/>
    <n v="1500"/>
    <n v="0"/>
    <n v="1500"/>
    <n v="5913300.0000000009"/>
    <n v="43500000"/>
  </r>
  <r>
    <n v="753"/>
    <x v="429"/>
    <x v="358"/>
    <s v="FRE"/>
    <x v="2"/>
    <n v="1000"/>
    <n v="0"/>
    <n v="1000"/>
    <n v="3942200.0000000009"/>
    <n v="29000000"/>
  </r>
  <r>
    <n v="754"/>
    <x v="430"/>
    <x v="359"/>
    <s v="FRE"/>
    <x v="2"/>
    <n v="1198"/>
    <n v="0"/>
    <n v="1200"/>
    <n v="4730640.0000000009"/>
    <n v="34800000"/>
  </r>
  <r>
    <n v="755"/>
    <x v="431"/>
    <x v="360"/>
    <s v="FRE"/>
    <x v="2"/>
    <n v="999"/>
    <n v="0"/>
    <n v="1000"/>
    <n v="3942200.0000000009"/>
    <n v="29000000"/>
  </r>
  <r>
    <n v="756"/>
    <x v="432"/>
    <x v="361"/>
    <s v="FRE"/>
    <x v="2"/>
    <n v="799"/>
    <n v="0"/>
    <n v="800"/>
    <n v="3153760.0000000005"/>
    <n v="23200000"/>
  </r>
  <r>
    <n v="757"/>
    <x v="433"/>
    <x v="362"/>
    <s v="FRE"/>
    <x v="2"/>
    <n v="1198"/>
    <n v="0"/>
    <n v="1200"/>
    <n v="4820702.4000000004"/>
    <n v="42000000"/>
  </r>
  <r>
    <n v="758"/>
    <x v="434"/>
    <x v="363"/>
    <s v="FRE"/>
    <x v="2"/>
    <n v="1500"/>
    <n v="0"/>
    <n v="1500"/>
    <n v="5575878.0000000009"/>
    <n v="52500000"/>
  </r>
  <r>
    <n v="759"/>
    <x v="435"/>
    <x v="364"/>
    <s v="FRE"/>
    <x v="2"/>
    <n v="2000"/>
    <n v="0"/>
    <n v="2000"/>
    <n v="7434504.0000000009"/>
    <n v="70000000"/>
  </r>
  <r>
    <n v="760"/>
    <x v="436"/>
    <x v="365"/>
    <s v="FRE"/>
    <x v="2"/>
    <n v="1200"/>
    <n v="0"/>
    <n v="1200"/>
    <n v="4460702.4000000004"/>
    <n v="42000000"/>
  </r>
  <r>
    <n v="761"/>
    <x v="437"/>
    <x v="366"/>
    <s v="FRE"/>
    <x v="2"/>
    <n v="1000"/>
    <n v="0"/>
    <n v="1000"/>
    <n v="3717252.0000000005"/>
    <n v="35000000"/>
  </r>
  <r>
    <n v="762"/>
    <x v="438"/>
    <x v="367"/>
    <s v="FRE"/>
    <x v="2"/>
    <n v="1199"/>
    <n v="0"/>
    <n v="1200"/>
    <n v="4460702.4000000004"/>
    <n v="42000000"/>
  </r>
  <r>
    <n v="763"/>
    <x v="439"/>
    <x v="368"/>
    <s v="FRE"/>
    <x v="2"/>
    <n v="2500"/>
    <n v="0"/>
    <n v="2500"/>
    <n v="9293130.0000000019"/>
    <n v="87500000"/>
  </r>
  <r>
    <n v="764"/>
    <x v="440"/>
    <x v="369"/>
    <s v="FRE"/>
    <x v="2"/>
    <n v="800"/>
    <n v="0"/>
    <n v="800"/>
    <n v="3891887.9999999995"/>
    <n v="31200000"/>
  </r>
  <r>
    <n v="765"/>
    <x v="441"/>
    <x v="370"/>
    <s v="FRE"/>
    <x v="2"/>
    <n v="799"/>
    <n v="0"/>
    <n v="800"/>
    <n v="3891887.9999999995"/>
    <n v="31200000"/>
  </r>
  <r>
    <n v="766"/>
    <x v="442"/>
    <x v="18"/>
    <m/>
    <x v="1"/>
    <n v="17692"/>
    <n v="0"/>
    <n v="17700"/>
    <n v="69228747.200000003"/>
    <n v="592900000"/>
  </r>
  <r>
    <n v="767"/>
    <x v="443"/>
    <x v="371"/>
    <s v="FRE"/>
    <x v="2"/>
    <n v="1497"/>
    <n v="0"/>
    <n v="1500"/>
    <n v="9729720.0000000019"/>
    <n v="52500000"/>
  </r>
  <r>
    <n v="768"/>
    <x v="444"/>
    <x v="372"/>
    <s v="FRE"/>
    <x v="2"/>
    <n v="1197"/>
    <n v="0"/>
    <n v="1200"/>
    <n v="7783776.0000000019"/>
    <n v="42000000"/>
  </r>
  <r>
    <n v="769"/>
    <x v="445"/>
    <x v="373"/>
    <s v="FRE"/>
    <x v="2"/>
    <n v="1200"/>
    <n v="0"/>
    <n v="1200"/>
    <n v="7783776.0000000019"/>
    <n v="42000000"/>
  </r>
  <r>
    <n v="770"/>
    <x v="446"/>
    <x v="374"/>
    <s v="FRE"/>
    <x v="2"/>
    <n v="998"/>
    <n v="0"/>
    <n v="1000"/>
    <n v="6038040"/>
    <n v="35000000"/>
  </r>
  <r>
    <n v="771"/>
    <x v="447"/>
    <x v="375"/>
    <s v="FRE"/>
    <x v="2"/>
    <n v="999"/>
    <n v="0"/>
    <n v="1000"/>
    <n v="6038040"/>
    <n v="35000000"/>
  </r>
  <r>
    <n v="772"/>
    <x v="448"/>
    <x v="376"/>
    <s v="FRE"/>
    <x v="2"/>
    <n v="999"/>
    <n v="0"/>
    <n v="1000"/>
    <n v="5102490.0000000009"/>
    <n v="39000000"/>
  </r>
  <r>
    <n v="773"/>
    <x v="449"/>
    <x v="377"/>
    <s v="FRE"/>
    <x v="2"/>
    <n v="1189"/>
    <n v="0"/>
    <n v="1200"/>
    <n v="6122988.0000000009"/>
    <n v="46800000"/>
  </r>
  <r>
    <n v="774"/>
    <x v="450"/>
    <x v="378"/>
    <s v="FRE"/>
    <x v="2"/>
    <n v="1198"/>
    <n v="0"/>
    <n v="1200"/>
    <n v="5613300"/>
    <n v="46800000"/>
  </r>
  <r>
    <n v="775"/>
    <x v="451"/>
    <x v="379"/>
    <s v="FRE"/>
    <x v="2"/>
    <n v="1198"/>
    <n v="0"/>
    <n v="1200"/>
    <n v="5613300"/>
    <n v="46800000"/>
  </r>
  <r>
    <n v="776"/>
    <x v="452"/>
    <x v="380"/>
    <s v="FRE"/>
    <x v="2"/>
    <n v="796"/>
    <n v="0"/>
    <n v="800"/>
    <n v="7075752"/>
    <n v="39200000"/>
  </r>
  <r>
    <n v="777"/>
    <x v="453"/>
    <x v="381"/>
    <s v="FRE"/>
    <x v="2"/>
    <n v="395"/>
    <n v="0"/>
    <n v="400"/>
    <n v="3712512.0000000005"/>
    <n v="18000000"/>
  </r>
  <r>
    <n v="778"/>
    <x v="454"/>
    <x v="382"/>
    <s v="FRE"/>
    <x v="2"/>
    <n v="491"/>
    <n v="0"/>
    <n v="500"/>
    <n v="4640640"/>
    <n v="22500000"/>
  </r>
  <r>
    <n v="779"/>
    <x v="455"/>
    <x v="383"/>
    <s v="FRE"/>
    <x v="2"/>
    <n v="393"/>
    <n v="0"/>
    <n v="400"/>
    <n v="3712512.0000000005"/>
    <n v="18000000"/>
  </r>
  <r>
    <n v="780"/>
    <x v="456"/>
    <x v="384"/>
    <s v="FRE"/>
    <x v="2"/>
    <n v="797"/>
    <n v="0"/>
    <n v="800"/>
    <n v="5139288.0000000009"/>
    <n v="31200000"/>
  </r>
  <r>
    <n v="781"/>
    <x v="457"/>
    <x v="385"/>
    <s v="FRE"/>
    <x v="2"/>
    <n v="800"/>
    <n v="0"/>
    <n v="800"/>
    <n v="5139288.0000000009"/>
    <n v="31200000"/>
  </r>
  <r>
    <n v="782"/>
    <x v="458"/>
    <x v="386"/>
    <s v="FRE"/>
    <x v="2"/>
    <n v="800"/>
    <n v="0"/>
    <n v="800"/>
    <n v="5139288.0000000009"/>
    <n v="31200000"/>
  </r>
  <r>
    <n v="783"/>
    <x v="459"/>
    <x v="18"/>
    <m/>
    <x v="1"/>
    <n v="14947"/>
    <n v="0"/>
    <n v="15000"/>
    <n v="94384710.000000015"/>
    <n v="577200000"/>
  </r>
  <r>
    <n v="784"/>
    <x v="460"/>
    <x v="387"/>
    <s v="FRE"/>
    <x v="2"/>
    <n v="800"/>
    <n v="0"/>
    <n v="800"/>
    <n v="5394432"/>
    <n v="42400000"/>
  </r>
  <r>
    <n v="785"/>
    <x v="461"/>
    <x v="388"/>
    <s v="FRE"/>
    <x v="2"/>
    <n v="800"/>
    <n v="0"/>
    <n v="800"/>
    <n v="6165304.0000000019"/>
    <n v="42400000"/>
  </r>
  <r>
    <n v="786"/>
    <x v="462"/>
    <x v="389"/>
    <s v="FRE"/>
    <x v="2"/>
    <n v="802"/>
    <n v="0"/>
    <n v="800"/>
    <n v="6579880.0000000019"/>
    <n v="42400000"/>
  </r>
  <r>
    <n v="787"/>
    <x v="463"/>
    <x v="390"/>
    <s v="FRE"/>
    <x v="2"/>
    <n v="806"/>
    <n v="0"/>
    <n v="800"/>
    <n v="5948176.0000000009"/>
    <n v="42400000"/>
  </r>
  <r>
    <n v="788"/>
    <x v="464"/>
    <x v="391"/>
    <s v="FRE"/>
    <x v="2"/>
    <n v="1200"/>
    <n v="0"/>
    <n v="1200"/>
    <n v="8987376.0000000019"/>
    <n v="63600000"/>
  </r>
  <r>
    <n v="789"/>
    <x v="465"/>
    <x v="18"/>
    <m/>
    <x v="1"/>
    <n v="4408"/>
    <n v="0"/>
    <n v="4400"/>
    <n v="33075168.000000007"/>
    <n v="233200000"/>
  </r>
  <r>
    <n v="790"/>
    <x v="466"/>
    <x v="392"/>
    <s v="FRE"/>
    <x v="2"/>
    <n v="798"/>
    <n v="0"/>
    <n v="800"/>
    <n v="6906696.0000000009"/>
    <n v="47200000"/>
  </r>
  <r>
    <n v="791"/>
    <x v="467"/>
    <x v="393"/>
    <s v="FRE"/>
    <x v="2"/>
    <n v="800"/>
    <n v="0"/>
    <n v="800"/>
    <n v="8806744.0000000019"/>
    <n v="50400000"/>
  </r>
  <r>
    <n v="792"/>
    <x v="468"/>
    <x v="18"/>
    <m/>
    <x v="1"/>
    <n v="1598"/>
    <n v="0"/>
    <n v="1600"/>
    <n v="15713440.000000004"/>
    <n v="97600000"/>
  </r>
  <r>
    <n v="793"/>
    <x v="469"/>
    <x v="394"/>
    <s v="FRE"/>
    <x v="2"/>
    <n v="807"/>
    <n v="0"/>
    <n v="800"/>
    <n v="7551248.0000000009"/>
    <n v="47200000"/>
  </r>
  <r>
    <n v="794"/>
    <x v="470"/>
    <x v="395"/>
    <s v="FRE"/>
    <x v="2"/>
    <n v="802"/>
    <n v="0"/>
    <n v="800"/>
    <n v="7152080"/>
    <n v="47200000"/>
  </r>
  <r>
    <n v="795"/>
    <x v="471"/>
    <x v="396"/>
    <s v="FRE"/>
    <x v="2"/>
    <n v="771"/>
    <n v="0"/>
    <n v="800"/>
    <n v="7002392"/>
    <n v="47200000"/>
  </r>
  <r>
    <n v="796"/>
    <x v="472"/>
    <x v="18"/>
    <m/>
    <x v="1"/>
    <n v="2380"/>
    <n v="0"/>
    <n v="2400"/>
    <n v="21705720"/>
    <n v="141600000"/>
  </r>
  <r>
    <n v="797"/>
    <x v="473"/>
    <x v="397"/>
    <s v="OSM"/>
    <x v="2"/>
    <n v="799"/>
    <n v="0"/>
    <n v="800"/>
    <n v="5457216"/>
    <n v="36000000"/>
  </r>
  <r>
    <n v="798"/>
    <x v="473"/>
    <x v="397"/>
    <s v="OML"/>
    <x v="2"/>
    <n v="387"/>
    <n v="0"/>
    <n v="400"/>
    <n v="2728608"/>
    <n v="18000000"/>
  </r>
  <r>
    <n v="799"/>
    <x v="474"/>
    <x v="398"/>
    <s v="FRE"/>
    <x v="2"/>
    <n v="798"/>
    <n v="0"/>
    <n v="800"/>
    <n v="6702064"/>
    <n v="47200000"/>
  </r>
  <r>
    <n v="800"/>
    <x v="475"/>
    <x v="399"/>
    <s v="FRE"/>
    <x v="2"/>
    <n v="794"/>
    <n v="0"/>
    <n v="800"/>
    <n v="6602272"/>
    <n v="44000000"/>
  </r>
  <r>
    <n v="801"/>
    <x v="476"/>
    <x v="18"/>
    <m/>
    <x v="1"/>
    <n v="2778"/>
    <n v="0"/>
    <n v="2800"/>
    <n v="21490160"/>
    <n v="145200000"/>
  </r>
  <r>
    <n v="802"/>
    <x v="477"/>
    <x v="400"/>
    <s v="FRE"/>
    <x v="2"/>
    <n v="997"/>
    <n v="0"/>
    <n v="1000"/>
    <n v="11454200"/>
    <n v="59000000"/>
  </r>
  <r>
    <n v="803"/>
    <x v="478"/>
    <x v="401"/>
    <s v="OSM"/>
    <x v="2"/>
    <n v="360"/>
    <n v="0"/>
    <n v="400"/>
    <n v="3655816.0000000005"/>
    <n v="18000000"/>
  </r>
  <r>
    <n v="804"/>
    <x v="478"/>
    <x v="401"/>
    <s v="OML"/>
    <x v="2"/>
    <n v="399"/>
    <n v="0"/>
    <n v="400"/>
    <n v="3655816.0000000005"/>
    <n v="18000000"/>
  </r>
  <r>
    <n v="805"/>
    <x v="479"/>
    <x v="402"/>
    <s v="OSM"/>
    <x v="2"/>
    <n v="400"/>
    <n v="0"/>
    <n v="400"/>
    <n v="3650408"/>
    <n v="18000000"/>
  </r>
  <r>
    <n v="806"/>
    <x v="479"/>
    <x v="402"/>
    <s v="OML"/>
    <x v="2"/>
    <n v="399"/>
    <n v="0"/>
    <n v="400"/>
    <n v="3650408"/>
    <n v="18000000"/>
  </r>
  <r>
    <n v="807"/>
    <x v="480"/>
    <x v="403"/>
    <s v="OSM"/>
    <x v="2"/>
    <n v="387"/>
    <n v="0"/>
    <n v="400"/>
    <n v="3626912.0000000005"/>
    <n v="18000000"/>
  </r>
  <r>
    <n v="808"/>
    <x v="480"/>
    <x v="403"/>
    <s v="OML"/>
    <x v="2"/>
    <n v="399"/>
    <n v="0"/>
    <n v="400"/>
    <n v="3626912.0000000005"/>
    <n v="18000000"/>
  </r>
  <r>
    <n v="809"/>
    <x v="481"/>
    <x v="18"/>
    <m/>
    <x v="1"/>
    <n v="3341"/>
    <n v="0"/>
    <n v="3400"/>
    <n v="33320472"/>
    <n v="167000000"/>
  </r>
  <r>
    <n v="810"/>
    <x v="482"/>
    <x v="404"/>
    <s v="OSM"/>
    <x v="2"/>
    <n v="794"/>
    <n v="0"/>
    <n v="800"/>
    <n v="8113496.0000000009"/>
    <n v="44000000"/>
  </r>
  <r>
    <n v="811"/>
    <x v="482"/>
    <x v="404"/>
    <s v="OML"/>
    <x v="2"/>
    <n v="404"/>
    <n v="0"/>
    <n v="400"/>
    <n v="4056748.0000000005"/>
    <n v="22000000"/>
  </r>
  <r>
    <n v="812"/>
    <x v="483"/>
    <x v="405"/>
    <s v="OSM"/>
    <x v="2"/>
    <n v="789"/>
    <n v="0"/>
    <n v="800"/>
    <n v="7124880"/>
    <n v="44000000"/>
  </r>
  <r>
    <n v="813"/>
    <x v="483"/>
    <x v="405"/>
    <s v="OML"/>
    <x v="2"/>
    <n v="393"/>
    <n v="0"/>
    <n v="400"/>
    <n v="3562440"/>
    <n v="22000000"/>
  </r>
  <r>
    <n v="814"/>
    <x v="484"/>
    <x v="406"/>
    <s v="OSM"/>
    <x v="2"/>
    <n v="687"/>
    <n v="0"/>
    <n v="700"/>
    <n v="5938870"/>
    <n v="38500000"/>
  </r>
  <r>
    <n v="815"/>
    <x v="484"/>
    <x v="406"/>
    <s v="OML"/>
    <x v="2"/>
    <n v="212"/>
    <n v="0"/>
    <n v="230"/>
    <n v="1951343"/>
    <n v="12650000"/>
  </r>
  <r>
    <n v="816"/>
    <x v="485"/>
    <x v="407"/>
    <s v="OSM"/>
    <x v="2"/>
    <n v="1003"/>
    <n v="0"/>
    <n v="1000"/>
    <n v="10562610"/>
    <n v="55000000"/>
  </r>
  <r>
    <n v="817"/>
    <x v="485"/>
    <x v="407"/>
    <s v="OML"/>
    <x v="2"/>
    <n v="502"/>
    <n v="0"/>
    <n v="500"/>
    <n v="5281305"/>
    <n v="27500000"/>
  </r>
  <r>
    <n v="818"/>
    <x v="486"/>
    <x v="18"/>
    <m/>
    <x v="1"/>
    <n v="4784"/>
    <n v="0"/>
    <n v="4830"/>
    <n v="46591692"/>
    <n v="265650000"/>
  </r>
  <r>
    <n v="819"/>
    <x v="487"/>
    <x v="408"/>
    <s v="FRE"/>
    <x v="2"/>
    <n v="805"/>
    <n v="0"/>
    <n v="800"/>
    <n v="9078264"/>
    <n v="47200000"/>
  </r>
  <r>
    <n v="820"/>
    <x v="488"/>
    <x v="409"/>
    <s v="FRE"/>
    <x v="2"/>
    <n v="800"/>
    <n v="0"/>
    <n v="800"/>
    <n v="9078264"/>
    <n v="47200000"/>
  </r>
  <r>
    <n v="821"/>
    <x v="489"/>
    <x v="18"/>
    <m/>
    <x v="1"/>
    <n v="1605"/>
    <n v="0"/>
    <n v="1600"/>
    <n v="18156528"/>
    <n v="94400000"/>
  </r>
  <r>
    <n v="822"/>
    <x v="490"/>
    <x v="410"/>
    <s v="FRE"/>
    <x v="2"/>
    <n v="597"/>
    <n v="0"/>
    <n v="600"/>
    <n v="3305136.0000000009"/>
    <n v="21000000"/>
  </r>
  <r>
    <n v="823"/>
    <x v="491"/>
    <x v="411"/>
    <s v="FRE"/>
    <x v="2"/>
    <n v="596"/>
    <n v="0"/>
    <n v="600"/>
    <n v="3305136.0000000009"/>
    <n v="21000000"/>
  </r>
  <r>
    <n v="824"/>
    <x v="492"/>
    <x v="412"/>
    <s v="FRE"/>
    <x v="2"/>
    <n v="592"/>
    <n v="0"/>
    <n v="600"/>
    <n v="3305136.0000000009"/>
    <n v="21000000"/>
  </r>
  <r>
    <n v="825"/>
    <x v="493"/>
    <x v="413"/>
    <s v="FRE"/>
    <x v="2"/>
    <n v="600"/>
    <n v="0"/>
    <n v="600"/>
    <n v="3155448.0000000005"/>
    <n v="21000000"/>
  </r>
  <r>
    <n v="826"/>
    <x v="494"/>
    <x v="414"/>
    <s v="FRE"/>
    <x v="2"/>
    <n v="600"/>
    <n v="0"/>
    <n v="600"/>
    <n v="3155448.0000000005"/>
    <n v="21000000"/>
  </r>
  <r>
    <n v="827"/>
    <x v="495"/>
    <x v="18"/>
    <m/>
    <x v="1"/>
    <n v="2985"/>
    <n v="0"/>
    <n v="3000"/>
    <n v="16226304.000000004"/>
    <n v="105000000"/>
  </r>
  <r>
    <n v="828"/>
    <x v="496"/>
    <x v="415"/>
    <s v="FRE"/>
    <x v="2"/>
    <n v="600"/>
    <n v="0"/>
    <n v="600"/>
    <n v="4192512.0000000005"/>
    <n v="25800000"/>
  </r>
  <r>
    <n v="829"/>
    <x v="497"/>
    <x v="416"/>
    <s v="FRE"/>
    <x v="2"/>
    <n v="594"/>
    <n v="0"/>
    <n v="600"/>
    <n v="4192512.0000000005"/>
    <n v="25800000"/>
  </r>
  <r>
    <n v="830"/>
    <x v="498"/>
    <x v="18"/>
    <m/>
    <x v="1"/>
    <n v="1194"/>
    <n v="0"/>
    <n v="1200"/>
    <n v="8385024.0000000009"/>
    <n v="51600000"/>
  </r>
  <r>
    <n v="831"/>
    <x v="499"/>
    <x v="417"/>
    <s v="FRE"/>
    <x v="2"/>
    <n v="1510"/>
    <n v="0"/>
    <n v="1500"/>
    <n v="11882490.000000002"/>
    <n v="73500000"/>
  </r>
  <r>
    <n v="832"/>
    <x v="500"/>
    <x v="418"/>
    <s v="OSM"/>
    <x v="2"/>
    <n v="596"/>
    <n v="0"/>
    <n v="600"/>
    <n v="5637216"/>
    <n v="33000000"/>
  </r>
  <r>
    <n v="833"/>
    <x v="500"/>
    <x v="418"/>
    <s v="OML"/>
    <x v="2"/>
    <n v="400"/>
    <n v="0"/>
    <n v="400"/>
    <n v="3758144"/>
    <n v="22000000"/>
  </r>
  <r>
    <n v="834"/>
    <x v="501"/>
    <x v="419"/>
    <s v="FRE"/>
    <x v="2"/>
    <n v="1210"/>
    <n v="0"/>
    <n v="1200"/>
    <n v="9055728"/>
    <n v="58800000"/>
  </r>
  <r>
    <n v="835"/>
    <x v="502"/>
    <x v="420"/>
    <s v="FRE"/>
    <x v="2"/>
    <n v="2004"/>
    <n v="0"/>
    <n v="2000"/>
    <n v="15591840"/>
    <n v="98000000"/>
  </r>
  <r>
    <n v="836"/>
    <x v="503"/>
    <x v="421"/>
    <s v="FRE"/>
    <x v="2"/>
    <n v="1199"/>
    <n v="0"/>
    <n v="1200"/>
    <n v="9355104"/>
    <n v="58800000"/>
  </r>
  <r>
    <n v="837"/>
    <x v="504"/>
    <x v="422"/>
    <s v="FRE"/>
    <x v="2"/>
    <n v="1198"/>
    <n v="0"/>
    <n v="1200"/>
    <n v="9355104"/>
    <n v="58800000"/>
  </r>
  <r>
    <n v="838"/>
    <x v="505"/>
    <x v="423"/>
    <s v="FRE"/>
    <x v="2"/>
    <n v="1193"/>
    <n v="0"/>
    <n v="1200"/>
    <n v="9355104"/>
    <n v="58800000"/>
  </r>
  <r>
    <n v="839"/>
    <x v="506"/>
    <x v="424"/>
    <s v="FRE"/>
    <x v="2"/>
    <n v="1996"/>
    <n v="0"/>
    <n v="2000"/>
    <n v="15591840"/>
    <n v="98000000"/>
  </r>
  <r>
    <n v="840"/>
    <x v="507"/>
    <x v="425"/>
    <s v="FRE"/>
    <x v="2"/>
    <n v="1204"/>
    <n v="0"/>
    <n v="1200"/>
    <n v="8681508"/>
    <n v="58800000"/>
  </r>
  <r>
    <n v="841"/>
    <x v="508"/>
    <x v="18"/>
    <m/>
    <x v="1"/>
    <n v="12510"/>
    <n v="0"/>
    <n v="12500"/>
    <n v="98264078"/>
    <n v="618500000"/>
  </r>
  <r>
    <n v="842"/>
    <x v="509"/>
    <x v="426"/>
    <s v="FRE"/>
    <x v="2"/>
    <n v="400"/>
    <n v="0"/>
    <n v="400"/>
    <n v="3195480.0000000005"/>
    <n v="18800000"/>
  </r>
  <r>
    <n v="843"/>
    <x v="510"/>
    <x v="18"/>
    <m/>
    <x v="1"/>
    <n v="400"/>
    <n v="0"/>
    <n v="400"/>
    <n v="3195480.0000000005"/>
    <n v="18800000"/>
  </r>
  <r>
    <n v="844"/>
    <x v="511"/>
    <x v="427"/>
    <s v="FRE"/>
    <x v="2"/>
    <n v="300"/>
    <n v="0"/>
    <n v="300"/>
    <n v="2694384"/>
    <n v="14700000"/>
  </r>
  <r>
    <n v="845"/>
    <x v="512"/>
    <x v="428"/>
    <s v="FRE"/>
    <x v="2"/>
    <n v="400"/>
    <n v="0"/>
    <n v="400"/>
    <n v="4682928"/>
    <n v="27600000"/>
  </r>
  <r>
    <n v="846"/>
    <x v="513"/>
    <x v="429"/>
    <s v="FRE"/>
    <x v="2"/>
    <n v="396"/>
    <n v="0"/>
    <n v="400"/>
    <n v="3321840"/>
    <n v="18800000"/>
  </r>
  <r>
    <n v="847"/>
    <x v="514"/>
    <x v="430"/>
    <s v="FRE"/>
    <x v="2"/>
    <n v="298"/>
    <n v="0"/>
    <n v="300"/>
    <n v="3502704"/>
    <n v="19500000"/>
  </r>
  <r>
    <n v="848"/>
    <x v="515"/>
    <x v="431"/>
    <s v="FRE"/>
    <x v="2"/>
    <n v="297"/>
    <n v="0"/>
    <n v="300"/>
    <n v="3502704"/>
    <n v="19500000"/>
  </r>
  <r>
    <n v="849"/>
    <x v="516"/>
    <x v="432"/>
    <s v="FRE"/>
    <x v="2"/>
    <n v="298"/>
    <n v="0"/>
    <n v="300"/>
    <n v="2650830"/>
    <n v="15900000"/>
  </r>
  <r>
    <n v="850"/>
    <x v="517"/>
    <x v="433"/>
    <s v="FRE"/>
    <x v="2"/>
    <n v="400"/>
    <n v="0"/>
    <n v="400"/>
    <n v="2900552"/>
    <n v="18000000"/>
  </r>
  <r>
    <n v="851"/>
    <x v="518"/>
    <x v="434"/>
    <s v="OSM"/>
    <x v="2"/>
    <n v="200"/>
    <n v="0"/>
    <n v="200"/>
    <n v="1498192.0000000005"/>
    <n v="9800000"/>
  </r>
  <r>
    <n v="852"/>
    <x v="518"/>
    <x v="434"/>
    <s v="OML"/>
    <x v="2"/>
    <n v="199"/>
    <n v="0"/>
    <n v="200"/>
    <n v="1498192.0000000005"/>
    <n v="9800000"/>
  </r>
  <r>
    <n v="853"/>
    <x v="519"/>
    <x v="435"/>
    <s v="OSM"/>
    <x v="2"/>
    <n v="200"/>
    <n v="0"/>
    <n v="200"/>
    <n v="1498192.0000000005"/>
    <n v="9800000"/>
  </r>
  <r>
    <n v="854"/>
    <x v="519"/>
    <x v="435"/>
    <s v="OML"/>
    <x v="2"/>
    <n v="200"/>
    <n v="0"/>
    <n v="200"/>
    <n v="1498192.0000000005"/>
    <n v="9800000"/>
  </r>
  <r>
    <n v="855"/>
    <x v="520"/>
    <x v="436"/>
    <s v="OSM"/>
    <x v="2"/>
    <n v="200"/>
    <n v="0"/>
    <n v="200"/>
    <n v="1498192.0000000005"/>
    <n v="9800000"/>
  </r>
  <r>
    <n v="856"/>
    <x v="520"/>
    <x v="436"/>
    <s v="OML"/>
    <x v="2"/>
    <n v="200"/>
    <n v="0"/>
    <n v="200"/>
    <n v="1498192.0000000005"/>
    <n v="9800000"/>
  </r>
  <r>
    <n v="857"/>
    <x v="521"/>
    <x v="18"/>
    <m/>
    <x v="1"/>
    <n v="3588"/>
    <n v="0"/>
    <n v="3600"/>
    <n v="32245094"/>
    <n v="192800000"/>
  </r>
  <r>
    <n v="858"/>
    <x v="522"/>
    <x v="437"/>
    <s v="FRE"/>
    <x v="2"/>
    <n v="1199"/>
    <n v="0"/>
    <n v="1200"/>
    <n v="1215504"/>
    <n v="7080000"/>
  </r>
  <r>
    <n v="859"/>
    <x v="523"/>
    <x v="438"/>
    <s v="FRE"/>
    <x v="2"/>
    <n v="1200"/>
    <n v="0"/>
    <n v="1200"/>
    <n v="1215504"/>
    <n v="7080000"/>
  </r>
  <r>
    <n v="860"/>
    <x v="524"/>
    <x v="439"/>
    <s v="FRE"/>
    <x v="2"/>
    <n v="1199"/>
    <n v="0"/>
    <n v="1200"/>
    <n v="1440036"/>
    <n v="9480000"/>
  </r>
  <r>
    <n v="861"/>
    <x v="525"/>
    <x v="440"/>
    <s v="FRE"/>
    <x v="2"/>
    <n v="1200"/>
    <n v="0"/>
    <n v="1200"/>
    <n v="1290348"/>
    <n v="9480000"/>
  </r>
  <r>
    <n v="862"/>
    <x v="526"/>
    <x v="441"/>
    <s v="FRE"/>
    <x v="2"/>
    <n v="1200"/>
    <n v="0"/>
    <n v="1200"/>
    <n v="1290348"/>
    <n v="9480000"/>
  </r>
  <r>
    <n v="863"/>
    <x v="527"/>
    <x v="18"/>
    <m/>
    <x v="1"/>
    <n v="5998"/>
    <n v="0"/>
    <n v="6000"/>
    <n v="6451740"/>
    <n v="42600000"/>
  </r>
  <r>
    <n v="864"/>
    <x v="528"/>
    <x v="442"/>
    <s v="XSS"/>
    <x v="2"/>
    <n v="998"/>
    <n v="0"/>
    <n v="1000"/>
    <n v="7490030.0000000009"/>
    <n v="35000000"/>
  </r>
  <r>
    <n v="865"/>
    <x v="529"/>
    <x v="443"/>
    <s v="XSS"/>
    <x v="2"/>
    <n v="998"/>
    <n v="0"/>
    <n v="1000"/>
    <n v="7994030.0000000009"/>
    <n v="35000000"/>
  </r>
  <r>
    <n v="866"/>
    <x v="530"/>
    <x v="18"/>
    <m/>
    <x v="1"/>
    <n v="1996"/>
    <n v="0"/>
    <n v="2000"/>
    <n v="15484060.000000002"/>
    <n v="70000000"/>
  </r>
  <r>
    <n v="867"/>
    <x v="531"/>
    <x v="444"/>
    <s v="OSS"/>
    <x v="2"/>
    <n v="600"/>
    <n v="0"/>
    <n v="600"/>
    <n v="11412000"/>
    <n v="47400000"/>
  </r>
  <r>
    <n v="868"/>
    <x v="532"/>
    <x v="445"/>
    <s v="OSS"/>
    <x v="2"/>
    <n v="600"/>
    <n v="0"/>
    <n v="600"/>
    <n v="11412000"/>
    <n v="47400000"/>
  </r>
  <r>
    <n v="869"/>
    <x v="533"/>
    <x v="446"/>
    <s v="OMM"/>
    <x v="2"/>
    <n v="600"/>
    <n v="0"/>
    <n v="600"/>
    <n v="12912000"/>
    <n v="59400000"/>
  </r>
  <r>
    <n v="870"/>
    <x v="534"/>
    <x v="18"/>
    <m/>
    <x v="1"/>
    <n v="1800"/>
    <n v="0"/>
    <n v="1800"/>
    <n v="35736000"/>
    <n v="154200000"/>
  </r>
  <r>
    <n v="871"/>
    <x v="535"/>
    <x v="447"/>
    <s v="FRE"/>
    <x v="2"/>
    <n v="798"/>
    <n v="0"/>
    <n v="800"/>
    <n v="4606432"/>
    <n v="44000000"/>
  </r>
  <r>
    <n v="872"/>
    <x v="536"/>
    <x v="448"/>
    <s v="FRE"/>
    <x v="2"/>
    <n v="800"/>
    <n v="0"/>
    <n v="800"/>
    <n v="4907264.0000000009"/>
    <n v="44000000"/>
  </r>
  <r>
    <n v="873"/>
    <x v="537"/>
    <x v="18"/>
    <m/>
    <x v="1"/>
    <n v="1598"/>
    <n v="0"/>
    <n v="1600"/>
    <n v="9513696"/>
    <n v="88000000"/>
  </r>
  <r>
    <n v="874"/>
    <x v="538"/>
    <x v="449"/>
    <s v="FRE"/>
    <x v="2"/>
    <n v="1000"/>
    <n v="0"/>
    <n v="1000"/>
    <n v="6049890"/>
    <n v="39000000"/>
  </r>
  <r>
    <n v="875"/>
    <x v="539"/>
    <x v="450"/>
    <s v="FRE"/>
    <x v="2"/>
    <n v="800"/>
    <n v="0"/>
    <n v="800"/>
    <n v="4839912"/>
    <n v="31200000"/>
  </r>
  <r>
    <n v="876"/>
    <x v="540"/>
    <x v="451"/>
    <s v="FRE"/>
    <x v="2"/>
    <n v="799"/>
    <n v="0"/>
    <n v="800"/>
    <n v="4839912"/>
    <n v="31200000"/>
  </r>
  <r>
    <n v="877"/>
    <x v="541"/>
    <x v="452"/>
    <s v="FRE"/>
    <x v="2"/>
    <n v="800"/>
    <n v="0"/>
    <n v="800"/>
    <n v="4660952"/>
    <n v="31200000"/>
  </r>
  <r>
    <n v="878"/>
    <x v="542"/>
    <x v="453"/>
    <s v="FRE"/>
    <x v="2"/>
    <n v="800"/>
    <n v="0"/>
    <n v="800"/>
    <n v="4281576.0000000009"/>
    <n v="31200000"/>
  </r>
  <r>
    <n v="879"/>
    <x v="543"/>
    <x v="454"/>
    <s v="FRE"/>
    <x v="2"/>
    <n v="799"/>
    <n v="0"/>
    <n v="800"/>
    <n v="4281576.0000000009"/>
    <n v="31200000"/>
  </r>
  <r>
    <n v="880"/>
    <x v="544"/>
    <x v="455"/>
    <s v="FRE"/>
    <x v="2"/>
    <n v="798"/>
    <n v="0"/>
    <n v="800"/>
    <n v="4281576.0000000009"/>
    <n v="31200000"/>
  </r>
  <r>
    <n v="881"/>
    <x v="545"/>
    <x v="456"/>
    <s v="FRE"/>
    <x v="2"/>
    <n v="600"/>
    <n v="0"/>
    <n v="600"/>
    <n v="4453218"/>
    <n v="29400000"/>
  </r>
  <r>
    <n v="882"/>
    <x v="546"/>
    <x v="457"/>
    <s v="FRE"/>
    <x v="2"/>
    <n v="600"/>
    <n v="0"/>
    <n v="600"/>
    <n v="4453218"/>
    <n v="29400000"/>
  </r>
  <r>
    <n v="883"/>
    <x v="547"/>
    <x v="458"/>
    <s v="FRE"/>
    <x v="2"/>
    <n v="799"/>
    <n v="0"/>
    <n v="800"/>
    <n v="6536376"/>
    <n v="39200000"/>
  </r>
  <r>
    <n v="884"/>
    <x v="548"/>
    <x v="459"/>
    <s v="FRE"/>
    <x v="2"/>
    <n v="600"/>
    <n v="0"/>
    <n v="600"/>
    <n v="4782906.0000000009"/>
    <n v="29400000"/>
  </r>
  <r>
    <n v="885"/>
    <x v="549"/>
    <x v="460"/>
    <s v="FRE"/>
    <x v="2"/>
    <n v="598"/>
    <n v="0"/>
    <n v="600"/>
    <n v="4782906.0000000009"/>
    <n v="29400000"/>
  </r>
  <r>
    <n v="886"/>
    <x v="550"/>
    <x v="461"/>
    <s v="FRE"/>
    <x v="2"/>
    <n v="800"/>
    <n v="0"/>
    <n v="800"/>
    <n v="5429184.0000000009"/>
    <n v="36000000"/>
  </r>
  <r>
    <n v="887"/>
    <x v="551"/>
    <x v="462"/>
    <s v="FRE"/>
    <x v="2"/>
    <n v="800"/>
    <n v="0"/>
    <n v="800"/>
    <n v="5189184.0000000009"/>
    <n v="34400000"/>
  </r>
  <r>
    <n v="888"/>
    <x v="552"/>
    <x v="463"/>
    <s v="FRE"/>
    <x v="2"/>
    <n v="800"/>
    <n v="0"/>
    <n v="800"/>
    <n v="5429184.0000000009"/>
    <n v="36000000"/>
  </r>
  <r>
    <n v="889"/>
    <x v="553"/>
    <x v="464"/>
    <s v="FRE"/>
    <x v="2"/>
    <n v="799"/>
    <n v="0"/>
    <n v="800"/>
    <n v="5429184.0000000009"/>
    <n v="36000000"/>
  </r>
  <r>
    <n v="890"/>
    <x v="554"/>
    <x v="465"/>
    <s v="FRE"/>
    <x v="2"/>
    <n v="800"/>
    <n v="0"/>
    <n v="800"/>
    <n v="5189184.0000000009"/>
    <n v="34400000"/>
  </r>
  <r>
    <n v="891"/>
    <x v="555"/>
    <x v="466"/>
    <s v="FRE"/>
    <x v="2"/>
    <n v="800"/>
    <n v="0"/>
    <n v="800"/>
    <n v="5429184.0000000009"/>
    <n v="36000000"/>
  </r>
  <r>
    <n v="892"/>
    <x v="556"/>
    <x v="18"/>
    <m/>
    <x v="1"/>
    <n v="13792"/>
    <n v="0"/>
    <n v="13800"/>
    <n v="90339122"/>
    <n v="595800000"/>
  </r>
  <r>
    <n v="893"/>
    <x v="557"/>
    <x v="467"/>
    <s v="FRE"/>
    <x v="2"/>
    <n v="600"/>
    <n v="0"/>
    <n v="600"/>
    <n v="5561658.0000000009"/>
    <n v="29400000"/>
  </r>
  <r>
    <n v="894"/>
    <x v="558"/>
    <x v="468"/>
    <s v="FRE"/>
    <x v="2"/>
    <n v="600"/>
    <n v="0"/>
    <n v="600"/>
    <n v="5561658.0000000009"/>
    <n v="29400000"/>
  </r>
  <r>
    <n v="895"/>
    <x v="559"/>
    <x v="469"/>
    <s v="FRE"/>
    <x v="2"/>
    <n v="600"/>
    <n v="0"/>
    <n v="600"/>
    <n v="5561658.0000000009"/>
    <n v="29400000"/>
  </r>
  <r>
    <n v="896"/>
    <x v="560"/>
    <x v="18"/>
    <m/>
    <x v="1"/>
    <n v="1800"/>
    <n v="0"/>
    <n v="1800"/>
    <n v="16684974.000000004"/>
    <n v="88200000"/>
  </r>
  <r>
    <n v="897"/>
    <x v="561"/>
    <x v="470"/>
    <s v="FRE"/>
    <x v="2"/>
    <n v="590"/>
    <n v="0"/>
    <n v="600"/>
    <n v="6317208"/>
    <n v="29400000"/>
  </r>
  <r>
    <n v="898"/>
    <x v="562"/>
    <x v="471"/>
    <s v="FRE"/>
    <x v="2"/>
    <n v="594"/>
    <n v="0"/>
    <n v="600"/>
    <n v="6317208"/>
    <n v="29400000"/>
  </r>
  <r>
    <n v="899"/>
    <x v="563"/>
    <x v="472"/>
    <s v="FRE"/>
    <x v="2"/>
    <n v="593"/>
    <n v="0"/>
    <n v="600"/>
    <n v="6317208"/>
    <n v="29400000"/>
  </r>
  <r>
    <n v="900"/>
    <x v="564"/>
    <x v="473"/>
    <s v="FRE"/>
    <x v="2"/>
    <n v="575"/>
    <n v="0"/>
    <n v="600"/>
    <n v="5800410"/>
    <n v="29400000"/>
  </r>
  <r>
    <n v="901"/>
    <x v="565"/>
    <x v="474"/>
    <s v="FRE"/>
    <x v="2"/>
    <n v="599"/>
    <n v="0"/>
    <n v="600"/>
    <n v="4752594"/>
    <n v="29400000"/>
  </r>
  <r>
    <n v="902"/>
    <x v="566"/>
    <x v="475"/>
    <s v="FRE"/>
    <x v="2"/>
    <n v="597"/>
    <n v="0"/>
    <n v="600"/>
    <n v="4752594"/>
    <n v="27000000"/>
  </r>
  <r>
    <n v="903"/>
    <x v="567"/>
    <x v="476"/>
    <s v="FRE"/>
    <x v="2"/>
    <n v="600"/>
    <n v="0"/>
    <n v="600"/>
    <n v="4752594"/>
    <n v="27000000"/>
  </r>
  <r>
    <n v="904"/>
    <x v="568"/>
    <x v="18"/>
    <m/>
    <x v="1"/>
    <n v="4148"/>
    <n v="0"/>
    <n v="4200"/>
    <n v="39009816"/>
    <n v="201000000"/>
  </r>
  <r>
    <n v="905"/>
    <x v="569"/>
    <x v="477"/>
    <s v="FRE"/>
    <x v="2"/>
    <n v="800"/>
    <n v="0"/>
    <n v="800"/>
    <n v="2893968"/>
    <n v="28000000"/>
  </r>
  <r>
    <n v="906"/>
    <x v="570"/>
    <x v="478"/>
    <s v="FRE"/>
    <x v="2"/>
    <n v="800"/>
    <n v="0"/>
    <n v="800"/>
    <n v="2893968"/>
    <n v="28000000"/>
  </r>
  <r>
    <n v="907"/>
    <x v="571"/>
    <x v="479"/>
    <s v="FRE"/>
    <x v="2"/>
    <n v="800"/>
    <n v="0"/>
    <n v="800"/>
    <n v="2893968"/>
    <n v="28000000"/>
  </r>
  <r>
    <n v="908"/>
    <x v="572"/>
    <x v="480"/>
    <s v="FRE"/>
    <x v="2"/>
    <n v="799"/>
    <n v="0"/>
    <n v="800"/>
    <n v="3093552.0000000005"/>
    <n v="28000000"/>
  </r>
  <r>
    <n v="909"/>
    <x v="573"/>
    <x v="481"/>
    <s v="FRE"/>
    <x v="2"/>
    <n v="800"/>
    <n v="0"/>
    <n v="800"/>
    <n v="3093552.0000000005"/>
    <n v="28000000"/>
  </r>
  <r>
    <n v="910"/>
    <x v="574"/>
    <x v="482"/>
    <s v="FRE"/>
    <x v="2"/>
    <n v="1000"/>
    <n v="0"/>
    <n v="1000"/>
    <n v="5738040"/>
    <n v="39000000"/>
  </r>
  <r>
    <n v="911"/>
    <x v="575"/>
    <x v="483"/>
    <s v="FRE"/>
    <x v="2"/>
    <n v="997"/>
    <n v="0"/>
    <n v="1000"/>
    <n v="5738040"/>
    <n v="39000000"/>
  </r>
  <r>
    <n v="912"/>
    <x v="576"/>
    <x v="484"/>
    <s v="FRE"/>
    <x v="2"/>
    <n v="1001"/>
    <n v="0"/>
    <n v="1000"/>
    <n v="5738040"/>
    <n v="39000000"/>
  </r>
  <r>
    <n v="913"/>
    <x v="577"/>
    <x v="485"/>
    <s v="FRE"/>
    <x v="2"/>
    <n v="799"/>
    <n v="0"/>
    <n v="800"/>
    <n v="4590432"/>
    <n v="28000000"/>
  </r>
  <r>
    <n v="914"/>
    <x v="578"/>
    <x v="486"/>
    <s v="FRE"/>
    <x v="2"/>
    <n v="800"/>
    <n v="0"/>
    <n v="800"/>
    <n v="4590432"/>
    <n v="28000000"/>
  </r>
  <r>
    <n v="915"/>
    <x v="579"/>
    <x v="487"/>
    <s v="FRE"/>
    <x v="2"/>
    <n v="798"/>
    <n v="0"/>
    <n v="800"/>
    <n v="4590432"/>
    <n v="28000000"/>
  </r>
  <r>
    <n v="916"/>
    <x v="580"/>
    <x v="18"/>
    <m/>
    <x v="1"/>
    <n v="9394"/>
    <n v="0"/>
    <n v="9400"/>
    <n v="45854424"/>
    <n v="341000000"/>
  </r>
  <r>
    <n v="917"/>
    <x v="581"/>
    <x v="488"/>
    <s v="OXS"/>
    <x v="2"/>
    <n v="258"/>
    <n v="0"/>
    <n v="250"/>
    <n v="4307375"/>
    <n v="19750000"/>
  </r>
  <r>
    <n v="918"/>
    <x v="581"/>
    <x v="488"/>
    <s v="OSS"/>
    <x v="2"/>
    <n v="307"/>
    <n v="0"/>
    <n v="300"/>
    <n v="5168850"/>
    <n v="23700000"/>
  </r>
  <r>
    <n v="919"/>
    <x v="581"/>
    <x v="488"/>
    <s v="OMM"/>
    <x v="2"/>
    <n v="322"/>
    <n v="0"/>
    <n v="300"/>
    <n v="5168850"/>
    <n v="23700000"/>
  </r>
  <r>
    <n v="920"/>
    <x v="581"/>
    <x v="488"/>
    <s v="OLL"/>
    <x v="2"/>
    <n v="205"/>
    <n v="0"/>
    <n v="200"/>
    <n v="3445900"/>
    <n v="15800000"/>
  </r>
  <r>
    <n v="921"/>
    <x v="581"/>
    <x v="488"/>
    <s v="OXL"/>
    <x v="2"/>
    <n v="155"/>
    <n v="0"/>
    <n v="150"/>
    <n v="2584425"/>
    <n v="11850000"/>
  </r>
  <r>
    <n v="922"/>
    <x v="582"/>
    <x v="489"/>
    <s v="OXS"/>
    <x v="2"/>
    <n v="208"/>
    <n v="0"/>
    <n v="200"/>
    <n v="4624000"/>
    <n v="21800000"/>
  </r>
  <r>
    <n v="923"/>
    <x v="582"/>
    <x v="489"/>
    <s v="OSS"/>
    <x v="2"/>
    <n v="262"/>
    <n v="0"/>
    <n v="250"/>
    <n v="5780000"/>
    <n v="27250000"/>
  </r>
  <r>
    <n v="924"/>
    <x v="582"/>
    <x v="489"/>
    <s v="OMM"/>
    <x v="2"/>
    <n v="209"/>
    <n v="0"/>
    <n v="200"/>
    <n v="4624000"/>
    <n v="21800000"/>
  </r>
  <r>
    <n v="925"/>
    <x v="582"/>
    <x v="489"/>
    <s v="OLL"/>
    <x v="2"/>
    <n v="207"/>
    <n v="0"/>
    <n v="200"/>
    <n v="4624000"/>
    <n v="21800000"/>
  </r>
  <r>
    <n v="926"/>
    <x v="582"/>
    <x v="489"/>
    <s v="OXL"/>
    <x v="2"/>
    <n v="157"/>
    <n v="0"/>
    <n v="150"/>
    <n v="3468000"/>
    <n v="16350000"/>
  </r>
  <r>
    <n v="927"/>
    <x v="583"/>
    <x v="18"/>
    <m/>
    <x v="1"/>
    <n v="2290"/>
    <n v="0"/>
    <n v="2200"/>
    <n v="43795400"/>
    <n v="203800000"/>
  </r>
  <r>
    <n v="928"/>
    <x v="584"/>
    <x v="490"/>
    <s v="OXS"/>
    <x v="2"/>
    <n v="219"/>
    <n v="0"/>
    <n v="200"/>
    <n v="3168462.9999999995"/>
    <n v="13800000"/>
  </r>
  <r>
    <n v="929"/>
    <x v="584"/>
    <x v="490"/>
    <s v="OSS"/>
    <x v="2"/>
    <n v="310"/>
    <n v="0"/>
    <n v="300"/>
    <n v="4752694.5"/>
    <n v="20700000"/>
  </r>
  <r>
    <n v="930"/>
    <x v="584"/>
    <x v="490"/>
    <s v="OMM"/>
    <x v="2"/>
    <n v="320"/>
    <n v="0"/>
    <n v="300"/>
    <n v="4752694.5"/>
    <n v="20700000"/>
  </r>
  <r>
    <n v="931"/>
    <x v="584"/>
    <x v="490"/>
    <s v="OLL"/>
    <x v="2"/>
    <n v="208"/>
    <n v="0"/>
    <n v="200"/>
    <n v="3168462.9999999995"/>
    <n v="13800000"/>
  </r>
  <r>
    <n v="932"/>
    <x v="584"/>
    <x v="490"/>
    <s v="OXL"/>
    <x v="2"/>
    <n v="211"/>
    <n v="0"/>
    <n v="200"/>
    <n v="3168462.9999999995"/>
    <n v="13800000"/>
  </r>
  <r>
    <n v="933"/>
    <x v="585"/>
    <x v="491"/>
    <s v="OXS"/>
    <x v="2"/>
    <n v="200"/>
    <n v="0"/>
    <n v="200"/>
    <n v="3037947.9999999995"/>
    <n v="13800000"/>
  </r>
  <r>
    <n v="934"/>
    <x v="585"/>
    <x v="491"/>
    <s v="OSS"/>
    <x v="2"/>
    <n v="317"/>
    <n v="0"/>
    <n v="300"/>
    <n v="4556921.9999999991"/>
    <n v="20700000"/>
  </r>
  <r>
    <n v="935"/>
    <x v="585"/>
    <x v="491"/>
    <s v="OMM"/>
    <x v="2"/>
    <n v="321"/>
    <n v="0"/>
    <n v="300"/>
    <n v="4556921.9999999991"/>
    <n v="20700000"/>
  </r>
  <r>
    <n v="936"/>
    <x v="585"/>
    <x v="491"/>
    <s v="OLL"/>
    <x v="2"/>
    <n v="193"/>
    <n v="0"/>
    <n v="200"/>
    <n v="3037947.9999999995"/>
    <n v="13800000"/>
  </r>
  <r>
    <n v="937"/>
    <x v="585"/>
    <x v="491"/>
    <s v="OXL"/>
    <x v="2"/>
    <n v="212"/>
    <n v="0"/>
    <n v="200"/>
    <n v="3037947.9999999995"/>
    <n v="13800000"/>
  </r>
  <r>
    <n v="938"/>
    <x v="586"/>
    <x v="492"/>
    <s v="OXS"/>
    <x v="2"/>
    <n v="229"/>
    <n v="0"/>
    <n v="250"/>
    <n v="4123722.5"/>
    <n v="17250000"/>
  </r>
  <r>
    <n v="939"/>
    <x v="586"/>
    <x v="492"/>
    <s v="OSS"/>
    <x v="2"/>
    <n v="242"/>
    <n v="0"/>
    <n v="250"/>
    <n v="4123722.5"/>
    <n v="17250000"/>
  </r>
  <r>
    <n v="940"/>
    <x v="586"/>
    <x v="492"/>
    <s v="OMM"/>
    <x v="2"/>
    <n v="209"/>
    <n v="0"/>
    <n v="200"/>
    <n v="3298978"/>
    <n v="13800000"/>
  </r>
  <r>
    <n v="941"/>
    <x v="586"/>
    <x v="492"/>
    <s v="OLL"/>
    <x v="2"/>
    <n v="148"/>
    <n v="0"/>
    <n v="150"/>
    <n v="2474233.5"/>
    <n v="10350000"/>
  </r>
  <r>
    <n v="942"/>
    <x v="586"/>
    <x v="492"/>
    <s v="OXL"/>
    <x v="2"/>
    <n v="141"/>
    <n v="0"/>
    <n v="150"/>
    <n v="2474233.5"/>
    <n v="10350000"/>
  </r>
  <r>
    <n v="943"/>
    <x v="587"/>
    <x v="18"/>
    <m/>
    <x v="1"/>
    <n v="3480"/>
    <n v="0"/>
    <n v="3400"/>
    <n v="53733356"/>
    <n v="234600000"/>
  </r>
  <r>
    <n v="944"/>
    <x v="588"/>
    <x v="493"/>
    <s v="OXS"/>
    <x v="2"/>
    <n v="209"/>
    <n v="0"/>
    <n v="200"/>
    <n v="4298000"/>
    <n v="19800000"/>
  </r>
  <r>
    <n v="945"/>
    <x v="588"/>
    <x v="493"/>
    <s v="OSS"/>
    <x v="2"/>
    <n v="361"/>
    <n v="0"/>
    <n v="350"/>
    <n v="7521500"/>
    <n v="34650000"/>
  </r>
  <r>
    <n v="946"/>
    <x v="588"/>
    <x v="493"/>
    <s v="OMM"/>
    <x v="2"/>
    <n v="236"/>
    <n v="0"/>
    <n v="250"/>
    <n v="5372500"/>
    <n v="24750000"/>
  </r>
  <r>
    <n v="947"/>
    <x v="588"/>
    <x v="493"/>
    <s v="OLL"/>
    <x v="2"/>
    <n v="208"/>
    <n v="0"/>
    <n v="200"/>
    <n v="4298000"/>
    <n v="19800000"/>
  </r>
  <r>
    <n v="948"/>
    <x v="588"/>
    <x v="493"/>
    <s v="OXL"/>
    <x v="2"/>
    <n v="209"/>
    <n v="0"/>
    <n v="200"/>
    <n v="4298000"/>
    <n v="19800000"/>
  </r>
  <r>
    <n v="949"/>
    <x v="589"/>
    <x v="18"/>
    <m/>
    <x v="1"/>
    <n v="1223"/>
    <n v="0"/>
    <n v="1200"/>
    <n v="25788000"/>
    <n v="118800000"/>
  </r>
  <r>
    <n v="950"/>
    <x v="590"/>
    <x v="494"/>
    <s v="FRE"/>
    <x v="2"/>
    <n v="1200"/>
    <n v="0"/>
    <n v="1200"/>
    <n v="5468532.0000000009"/>
    <n v="54000000"/>
  </r>
  <r>
    <n v="951"/>
    <x v="591"/>
    <x v="495"/>
    <s v="FRE"/>
    <x v="2"/>
    <n v="1200"/>
    <n v="0"/>
    <n v="1200"/>
    <n v="5378532.0000000009"/>
    <n v="54000000"/>
  </r>
  <r>
    <n v="952"/>
    <x v="592"/>
    <x v="496"/>
    <s v="FRE"/>
    <x v="2"/>
    <n v="1000"/>
    <n v="0"/>
    <n v="1000"/>
    <n v="4559460"/>
    <n v="45000000"/>
  </r>
  <r>
    <n v="953"/>
    <x v="593"/>
    <x v="497"/>
    <s v="FRE"/>
    <x v="2"/>
    <n v="1000"/>
    <n v="0"/>
    <n v="1000"/>
    <n v="4859460"/>
    <n v="45000000"/>
  </r>
  <r>
    <n v="954"/>
    <x v="594"/>
    <x v="498"/>
    <s v="FRE"/>
    <x v="2"/>
    <n v="1000"/>
    <n v="0"/>
    <n v="1000"/>
    <n v="4647710.0000000009"/>
    <n v="45000000"/>
  </r>
  <r>
    <n v="955"/>
    <x v="595"/>
    <x v="499"/>
    <s v="FRE"/>
    <x v="2"/>
    <n v="1200"/>
    <n v="0"/>
    <n v="1200"/>
    <n v="5441576.0000000056"/>
    <n v="54000000"/>
  </r>
  <r>
    <n v="956"/>
    <x v="596"/>
    <x v="500"/>
    <s v="FRE"/>
    <x v="2"/>
    <n v="1000"/>
    <n v="0"/>
    <n v="1000"/>
    <n v="5432980.0000000009"/>
    <n v="45000000"/>
  </r>
  <r>
    <n v="957"/>
    <x v="597"/>
    <x v="501"/>
    <s v="FRE"/>
    <x v="2"/>
    <n v="999"/>
    <n v="0"/>
    <n v="1000"/>
    <n v="4706730.0000000009"/>
    <n v="45000000"/>
  </r>
  <r>
    <n v="958"/>
    <x v="598"/>
    <x v="502"/>
    <s v="FRE"/>
    <x v="2"/>
    <n v="1000"/>
    <n v="0"/>
    <n v="1000"/>
    <n v="5070580.0000000009"/>
    <n v="45000000"/>
  </r>
  <r>
    <n v="959"/>
    <x v="599"/>
    <x v="18"/>
    <m/>
    <x v="1"/>
    <n v="9599"/>
    <n v="0"/>
    <n v="9600"/>
    <n v="45565560.000000007"/>
    <n v="432000000"/>
  </r>
  <r>
    <n v="960"/>
    <x v="600"/>
    <x v="503"/>
    <s v="FRE"/>
    <x v="2"/>
    <n v="1200"/>
    <n v="0"/>
    <n v="1200"/>
    <n v="7319876.0000000009"/>
    <n v="46800000"/>
  </r>
  <r>
    <n v="961"/>
    <x v="601"/>
    <x v="504"/>
    <s v="FRE"/>
    <x v="2"/>
    <n v="1199"/>
    <n v="0"/>
    <n v="1200"/>
    <n v="6193692"/>
    <n v="46800000"/>
  </r>
  <r>
    <n v="962"/>
    <x v="602"/>
    <x v="18"/>
    <m/>
    <x v="1"/>
    <n v="2399"/>
    <n v="0"/>
    <n v="2400"/>
    <n v="13513568"/>
    <n v="93600000"/>
  </r>
  <r>
    <n v="963"/>
    <x v="603"/>
    <x v="505"/>
    <s v="FRE"/>
    <x v="2"/>
    <n v="400"/>
    <n v="0"/>
    <n v="400"/>
    <n v="5301288.0000000009"/>
    <n v="29200000"/>
  </r>
  <r>
    <n v="964"/>
    <x v="604"/>
    <x v="506"/>
    <s v="FRE"/>
    <x v="2"/>
    <n v="400"/>
    <n v="0"/>
    <n v="400"/>
    <n v="5297408"/>
    <n v="27600000"/>
  </r>
  <r>
    <n v="965"/>
    <x v="605"/>
    <x v="507"/>
    <s v="FRE"/>
    <x v="2"/>
    <n v="399"/>
    <n v="0"/>
    <n v="400"/>
    <n v="3544072"/>
    <n v="21200000"/>
  </r>
  <r>
    <n v="966"/>
    <x v="606"/>
    <x v="18"/>
    <m/>
    <x v="1"/>
    <n v="1199"/>
    <n v="0"/>
    <n v="1200"/>
    <n v="14142768"/>
    <n v="78000000"/>
  </r>
  <r>
    <n v="967"/>
    <x v="607"/>
    <x v="508"/>
    <s v="FRE"/>
    <x v="2"/>
    <n v="1200"/>
    <n v="0"/>
    <n v="1200"/>
    <n v="7307520"/>
    <n v="58800000"/>
  </r>
  <r>
    <n v="968"/>
    <x v="608"/>
    <x v="509"/>
    <s v="OSM"/>
    <x v="2"/>
    <n v="1000"/>
    <n v="0"/>
    <n v="1000"/>
    <n v="5271680"/>
    <n v="45000000"/>
  </r>
  <r>
    <n v="969"/>
    <x v="608"/>
    <x v="509"/>
    <s v="OML"/>
    <x v="2"/>
    <n v="500"/>
    <n v="0"/>
    <n v="500"/>
    <n v="2635840"/>
    <n v="22500000"/>
  </r>
  <r>
    <n v="970"/>
    <x v="609"/>
    <x v="510"/>
    <s v="OSM"/>
    <x v="2"/>
    <n v="1000"/>
    <n v="0"/>
    <n v="1000"/>
    <n v="6419080.0000000009"/>
    <n v="45000000"/>
  </r>
  <r>
    <n v="971"/>
    <x v="609"/>
    <x v="510"/>
    <s v="OML"/>
    <x v="2"/>
    <n v="500"/>
    <n v="0"/>
    <n v="500"/>
    <n v="3209540.0000000005"/>
    <n v="22500000"/>
  </r>
  <r>
    <n v="972"/>
    <x v="610"/>
    <x v="511"/>
    <s v="FRE"/>
    <x v="2"/>
    <n v="1199"/>
    <n v="0"/>
    <n v="1200"/>
    <n v="9524400"/>
    <n v="70800000"/>
  </r>
  <r>
    <n v="973"/>
    <x v="611"/>
    <x v="512"/>
    <s v="OSM"/>
    <x v="2"/>
    <n v="800"/>
    <n v="0"/>
    <n v="800"/>
    <n v="6294784.0000000009"/>
    <n v="44000000"/>
  </r>
  <r>
    <n v="974"/>
    <x v="611"/>
    <x v="512"/>
    <s v="OML"/>
    <x v="2"/>
    <n v="400"/>
    <n v="0"/>
    <n v="400"/>
    <n v="3147392.0000000005"/>
    <n v="22000000"/>
  </r>
  <r>
    <n v="975"/>
    <x v="612"/>
    <x v="18"/>
    <m/>
    <x v="1"/>
    <n v="6599"/>
    <n v="0"/>
    <n v="6600"/>
    <n v="43810236"/>
    <n v="330600000"/>
  </r>
  <r>
    <n v="976"/>
    <x v="613"/>
    <x v="513"/>
    <s v="FRE"/>
    <x v="2"/>
    <n v="940"/>
    <n v="0"/>
    <n v="1000"/>
    <n v="7112260"/>
    <n v="53000000"/>
  </r>
  <r>
    <n v="977"/>
    <x v="614"/>
    <x v="514"/>
    <s v="OSM"/>
    <x v="2"/>
    <n v="539"/>
    <n v="0"/>
    <n v="600"/>
    <n v="4375356"/>
    <n v="29400000"/>
  </r>
  <r>
    <n v="978"/>
    <x v="614"/>
    <x v="514"/>
    <s v="OML"/>
    <x v="2"/>
    <n v="396"/>
    <n v="0"/>
    <n v="400"/>
    <n v="2916904"/>
    <n v="19600000"/>
  </r>
  <r>
    <n v="979"/>
    <x v="615"/>
    <x v="515"/>
    <s v="FRE"/>
    <x v="2"/>
    <n v="954"/>
    <n v="0"/>
    <n v="1000"/>
    <n v="7112260"/>
    <n v="53000000"/>
  </r>
  <r>
    <n v="980"/>
    <x v="616"/>
    <x v="516"/>
    <s v="OSM"/>
    <x v="2"/>
    <n v="450"/>
    <n v="0"/>
    <n v="600"/>
    <n v="4375356"/>
    <n v="29400000"/>
  </r>
  <r>
    <n v="981"/>
    <x v="616"/>
    <x v="516"/>
    <s v="OML"/>
    <x v="2"/>
    <n v="346"/>
    <n v="0"/>
    <n v="400"/>
    <n v="2916904"/>
    <n v="19600000"/>
  </r>
  <r>
    <n v="982"/>
    <x v="617"/>
    <x v="517"/>
    <s v="FRE"/>
    <x v="2"/>
    <n v="741"/>
    <n v="0"/>
    <n v="800"/>
    <n v="8234504.0000000009"/>
    <n v="47200000"/>
  </r>
  <r>
    <n v="983"/>
    <x v="618"/>
    <x v="518"/>
    <s v="OSM"/>
    <x v="2"/>
    <n v="566"/>
    <n v="0"/>
    <n v="600"/>
    <n v="6283878.0000000009"/>
    <n v="33000000"/>
  </r>
  <r>
    <n v="984"/>
    <x v="618"/>
    <x v="518"/>
    <s v="OML"/>
    <x v="2"/>
    <n v="350"/>
    <n v="0"/>
    <n v="400"/>
    <n v="4189252.0000000005"/>
    <n v="22000000"/>
  </r>
  <r>
    <n v="985"/>
    <x v="619"/>
    <x v="519"/>
    <s v="OSM"/>
    <x v="2"/>
    <n v="498"/>
    <n v="0"/>
    <n v="500"/>
    <n v="4519310"/>
    <n v="27500000"/>
  </r>
  <r>
    <n v="986"/>
    <x v="619"/>
    <x v="519"/>
    <s v="OML"/>
    <x v="2"/>
    <n v="293"/>
    <n v="0"/>
    <n v="300"/>
    <n v="2711586.0000000005"/>
    <n v="16500000"/>
  </r>
  <r>
    <n v="987"/>
    <x v="620"/>
    <x v="520"/>
    <s v="OSM"/>
    <x v="2"/>
    <n v="494"/>
    <n v="0"/>
    <n v="500"/>
    <n v="4737605.0000000009"/>
    <n v="27500000"/>
  </r>
  <r>
    <n v="988"/>
    <x v="620"/>
    <x v="520"/>
    <s v="OML"/>
    <x v="2"/>
    <n v="305"/>
    <n v="0"/>
    <n v="300"/>
    <n v="2842563.0000000005"/>
    <n v="16500000"/>
  </r>
  <r>
    <n v="989"/>
    <x v="621"/>
    <x v="18"/>
    <m/>
    <x v="1"/>
    <n v="6872"/>
    <n v="0"/>
    <n v="7400"/>
    <n v="62327738"/>
    <n v="394200000"/>
  </r>
  <r>
    <n v="990"/>
    <x v="622"/>
    <x v="521"/>
    <s v="OSM"/>
    <x v="2"/>
    <n v="1000"/>
    <n v="0"/>
    <n v="1000"/>
    <n v="7872250.0000000009"/>
    <n v="45000000"/>
  </r>
  <r>
    <n v="991"/>
    <x v="622"/>
    <x v="521"/>
    <s v="OML"/>
    <x v="2"/>
    <n v="469"/>
    <n v="0"/>
    <n v="500"/>
    <n v="3936125.0000000005"/>
    <n v="22500000"/>
  </r>
  <r>
    <n v="992"/>
    <x v="623"/>
    <x v="522"/>
    <s v="OSM"/>
    <x v="2"/>
    <n v="1000"/>
    <n v="0"/>
    <n v="1000"/>
    <n v="7872250.0000000009"/>
    <n v="45000000"/>
  </r>
  <r>
    <n v="993"/>
    <x v="623"/>
    <x v="522"/>
    <s v="OML"/>
    <x v="2"/>
    <n v="500"/>
    <n v="0"/>
    <n v="500"/>
    <n v="3936125.0000000005"/>
    <n v="22500000"/>
  </r>
  <r>
    <n v="994"/>
    <x v="624"/>
    <x v="523"/>
    <s v="OSM"/>
    <x v="2"/>
    <n v="800"/>
    <n v="0"/>
    <n v="800"/>
    <n v="6621200"/>
    <n v="36000000"/>
  </r>
  <r>
    <n v="995"/>
    <x v="624"/>
    <x v="523"/>
    <s v="OML"/>
    <x v="2"/>
    <n v="400"/>
    <n v="0"/>
    <n v="400"/>
    <n v="3310600"/>
    <n v="18000000"/>
  </r>
  <r>
    <n v="996"/>
    <x v="625"/>
    <x v="524"/>
    <s v="OSM"/>
    <x v="2"/>
    <n v="800"/>
    <n v="0"/>
    <n v="800"/>
    <n v="6621200"/>
    <n v="36000000"/>
  </r>
  <r>
    <n v="997"/>
    <x v="625"/>
    <x v="524"/>
    <s v="OML"/>
    <x v="2"/>
    <n v="400"/>
    <n v="0"/>
    <n v="400"/>
    <n v="3310600"/>
    <n v="18000000"/>
  </r>
  <r>
    <n v="998"/>
    <x v="626"/>
    <x v="18"/>
    <m/>
    <x v="1"/>
    <n v="5369"/>
    <n v="0"/>
    <n v="5400"/>
    <n v="43480350"/>
    <n v="243000000"/>
  </r>
  <r>
    <n v="999"/>
    <x v="627"/>
    <x v="525"/>
    <s v="OSM"/>
    <x v="2"/>
    <n v="780"/>
    <n v="0"/>
    <n v="800"/>
    <n v="7822400"/>
    <n v="44000000"/>
  </r>
  <r>
    <n v="1000"/>
    <x v="627"/>
    <x v="525"/>
    <s v="OML"/>
    <x v="2"/>
    <n v="399"/>
    <n v="0"/>
    <n v="400"/>
    <n v="3911200"/>
    <n v="22000000"/>
  </r>
  <r>
    <n v="1001"/>
    <x v="628"/>
    <x v="18"/>
    <m/>
    <x v="1"/>
    <n v="1179"/>
    <n v="0"/>
    <n v="1200"/>
    <n v="11733600"/>
    <n v="66000000"/>
  </r>
  <r>
    <n v="1002"/>
    <x v="629"/>
    <x v="526"/>
    <s v="XSS"/>
    <x v="2"/>
    <n v="300"/>
    <n v="0"/>
    <n v="300"/>
    <n v="1166082.0000000002"/>
    <n v="12900000"/>
  </r>
  <r>
    <n v="1003"/>
    <x v="629"/>
    <x v="526"/>
    <s v="OSM"/>
    <x v="2"/>
    <n v="450"/>
    <n v="0"/>
    <n v="450"/>
    <n v="1749123.0000000002"/>
    <n v="19350000"/>
  </r>
  <r>
    <n v="1004"/>
    <x v="629"/>
    <x v="526"/>
    <s v="OML"/>
    <x v="2"/>
    <n v="450"/>
    <n v="0"/>
    <n v="450"/>
    <n v="1749123.0000000002"/>
    <n v="19350000"/>
  </r>
  <r>
    <n v="1005"/>
    <x v="629"/>
    <x v="526"/>
    <s v="LXL"/>
    <x v="2"/>
    <n v="300"/>
    <n v="0"/>
    <n v="300"/>
    <n v="1166082.0000000002"/>
    <n v="12900000"/>
  </r>
  <r>
    <n v="1006"/>
    <x v="630"/>
    <x v="527"/>
    <s v="XSS"/>
    <x v="2"/>
    <n v="250"/>
    <n v="0"/>
    <n v="250"/>
    <n v="1002920.0000000001"/>
    <n v="10750000"/>
  </r>
  <r>
    <n v="1007"/>
    <x v="630"/>
    <x v="527"/>
    <s v="OSM"/>
    <x v="2"/>
    <n v="350"/>
    <n v="0"/>
    <n v="350"/>
    <n v="1404088"/>
    <n v="15050000"/>
  </r>
  <r>
    <n v="1008"/>
    <x v="630"/>
    <x v="527"/>
    <s v="OML"/>
    <x v="2"/>
    <n v="350"/>
    <n v="0"/>
    <n v="350"/>
    <n v="1404088"/>
    <n v="15050000"/>
  </r>
  <r>
    <n v="1009"/>
    <x v="630"/>
    <x v="527"/>
    <s v="LXL"/>
    <x v="2"/>
    <n v="250"/>
    <n v="0"/>
    <n v="250"/>
    <n v="1002920.0000000001"/>
    <n v="10750000"/>
  </r>
  <r>
    <n v="1010"/>
    <x v="631"/>
    <x v="528"/>
    <s v="XSS"/>
    <x v="2"/>
    <n v="250"/>
    <n v="0"/>
    <n v="250"/>
    <n v="1002920.0000000001"/>
    <n v="10750000"/>
  </r>
  <r>
    <n v="1011"/>
    <x v="631"/>
    <x v="528"/>
    <s v="OSM"/>
    <x v="2"/>
    <n v="349"/>
    <n v="0"/>
    <n v="350"/>
    <n v="1404088"/>
    <n v="15050000"/>
  </r>
  <r>
    <n v="1012"/>
    <x v="631"/>
    <x v="528"/>
    <s v="OML"/>
    <x v="2"/>
    <n v="350"/>
    <n v="0"/>
    <n v="350"/>
    <n v="1404088"/>
    <n v="15050000"/>
  </r>
  <r>
    <n v="1013"/>
    <x v="631"/>
    <x v="528"/>
    <s v="LXL"/>
    <x v="2"/>
    <n v="250"/>
    <n v="0"/>
    <n v="250"/>
    <n v="1002920.0000000001"/>
    <n v="10750000"/>
  </r>
  <r>
    <n v="1014"/>
    <x v="632"/>
    <x v="529"/>
    <s v="FRE"/>
    <x v="2"/>
    <n v="1496"/>
    <n v="0"/>
    <n v="1500"/>
    <n v="7046520"/>
    <n v="64500000"/>
  </r>
  <r>
    <n v="1015"/>
    <x v="633"/>
    <x v="530"/>
    <s v="FRE"/>
    <x v="2"/>
    <n v="1499"/>
    <n v="0"/>
    <n v="1500"/>
    <n v="7140180"/>
    <n v="64500000"/>
  </r>
  <r>
    <n v="1016"/>
    <x v="634"/>
    <x v="18"/>
    <m/>
    <x v="1"/>
    <n v="6894"/>
    <n v="0"/>
    <n v="6900"/>
    <n v="29645142"/>
    <n v="296700000"/>
  </r>
  <r>
    <n v="1017"/>
    <x v="635"/>
    <x v="531"/>
    <s v="FRE"/>
    <x v="2"/>
    <n v="1700"/>
    <n v="0"/>
    <n v="1200"/>
    <n v="7059336.0000000009"/>
    <n v="63600000"/>
  </r>
  <r>
    <n v="1018"/>
    <x v="636"/>
    <x v="532"/>
    <s v="FRE"/>
    <x v="2"/>
    <n v="1200"/>
    <n v="0"/>
    <n v="1200"/>
    <n v="7209024.0000000009"/>
    <n v="63600000"/>
  </r>
  <r>
    <n v="1019"/>
    <x v="637"/>
    <x v="533"/>
    <s v="FRE"/>
    <x v="2"/>
    <n v="1200"/>
    <n v="0"/>
    <n v="1200"/>
    <n v="7209024.0000000009"/>
    <n v="63600000"/>
  </r>
  <r>
    <n v="1020"/>
    <x v="638"/>
    <x v="534"/>
    <s v="FRE"/>
    <x v="2"/>
    <n v="1000"/>
    <n v="0"/>
    <n v="1000"/>
    <n v="6506480.0000000009"/>
    <n v="53000000"/>
  </r>
  <r>
    <n v="1021"/>
    <x v="639"/>
    <x v="535"/>
    <s v="OSM"/>
    <x v="2"/>
    <n v="700"/>
    <n v="0"/>
    <n v="700"/>
    <n v="4680536.0000000009"/>
    <n v="34300000"/>
  </r>
  <r>
    <n v="1022"/>
    <x v="639"/>
    <x v="535"/>
    <s v="OML"/>
    <x v="2"/>
    <n v="300"/>
    <n v="0"/>
    <n v="300"/>
    <n v="2005944.0000000005"/>
    <n v="14700000"/>
  </r>
  <r>
    <n v="1023"/>
    <x v="640"/>
    <x v="536"/>
    <s v="FRE"/>
    <x v="2"/>
    <n v="998"/>
    <n v="0"/>
    <n v="1000"/>
    <n v="6506480.0000000009"/>
    <n v="53000000"/>
  </r>
  <r>
    <n v="1024"/>
    <x v="641"/>
    <x v="537"/>
    <s v="OSM"/>
    <x v="2"/>
    <n v="700"/>
    <n v="0"/>
    <n v="700"/>
    <n v="4680536.0000000009"/>
    <n v="34300000"/>
  </r>
  <r>
    <n v="1025"/>
    <x v="641"/>
    <x v="537"/>
    <s v="OML"/>
    <x v="2"/>
    <n v="300"/>
    <n v="0"/>
    <n v="300"/>
    <n v="2005944.0000000005"/>
    <n v="14700000"/>
  </r>
  <r>
    <n v="1026"/>
    <x v="642"/>
    <x v="538"/>
    <s v="OSM"/>
    <x v="2"/>
    <n v="275"/>
    <n v="0"/>
    <n v="300"/>
    <n v="1889724.0000000002"/>
    <n v="15900000"/>
  </r>
  <r>
    <n v="1027"/>
    <x v="642"/>
    <x v="538"/>
    <s v="OML"/>
    <x v="2"/>
    <n v="400"/>
    <n v="0"/>
    <n v="400"/>
    <n v="2519632.0000000005"/>
    <n v="21200000"/>
  </r>
  <r>
    <n v="1028"/>
    <x v="642"/>
    <x v="538"/>
    <s v="LXL"/>
    <x v="2"/>
    <n v="286"/>
    <n v="0"/>
    <n v="300"/>
    <n v="1889724.0000000002"/>
    <n v="15900000"/>
  </r>
  <r>
    <n v="1029"/>
    <x v="643"/>
    <x v="539"/>
    <s v="OSM"/>
    <x v="2"/>
    <n v="300"/>
    <n v="0"/>
    <n v="300"/>
    <n v="1877100"/>
    <n v="15900000"/>
  </r>
  <r>
    <n v="1030"/>
    <x v="643"/>
    <x v="539"/>
    <s v="OML"/>
    <x v="2"/>
    <n v="400"/>
    <n v="0"/>
    <n v="400"/>
    <n v="2502800"/>
    <n v="21200000"/>
  </r>
  <r>
    <n v="1031"/>
    <x v="643"/>
    <x v="539"/>
    <s v="LXL"/>
    <x v="2"/>
    <n v="290"/>
    <n v="0"/>
    <n v="300"/>
    <n v="1877100"/>
    <n v="15900000"/>
  </r>
  <r>
    <n v="1032"/>
    <x v="644"/>
    <x v="540"/>
    <s v="OSM"/>
    <x v="2"/>
    <n v="360"/>
    <n v="0"/>
    <n v="600"/>
    <n v="3978732.0000000009"/>
    <n v="31800000"/>
  </r>
  <r>
    <n v="1033"/>
    <x v="644"/>
    <x v="540"/>
    <s v="OML"/>
    <x v="2"/>
    <n v="840"/>
    <n v="0"/>
    <n v="600"/>
    <n v="3978732.0000000009"/>
    <n v="31800000"/>
  </r>
  <r>
    <n v="1034"/>
    <x v="645"/>
    <x v="18"/>
    <m/>
    <x v="1"/>
    <n v="11249"/>
    <n v="0"/>
    <n v="10800"/>
    <n v="68376848.000000015"/>
    <n v="564400000"/>
  </r>
  <r>
    <n v="1035"/>
    <x v="646"/>
    <x v="541"/>
    <s v="FRE"/>
    <x v="2"/>
    <n v="1158"/>
    <n v="0"/>
    <n v="1200"/>
    <n v="7807776.0000000019"/>
    <n v="54000000"/>
  </r>
  <r>
    <n v="1036"/>
    <x v="647"/>
    <x v="542"/>
    <s v="OSM"/>
    <x v="2"/>
    <n v="766"/>
    <n v="0"/>
    <n v="800"/>
    <n v="5349184.0000000009"/>
    <n v="34400000"/>
  </r>
  <r>
    <n v="1037"/>
    <x v="647"/>
    <x v="542"/>
    <s v="OML"/>
    <x v="2"/>
    <n v="409"/>
    <n v="0"/>
    <n v="400"/>
    <n v="2674592.0000000005"/>
    <n v="17200000"/>
  </r>
  <r>
    <n v="1038"/>
    <x v="648"/>
    <x v="543"/>
    <s v="FRE"/>
    <x v="2"/>
    <n v="1003"/>
    <n v="0"/>
    <n v="1000"/>
    <n v="5945150"/>
    <n v="35000000"/>
  </r>
  <r>
    <n v="1039"/>
    <x v="649"/>
    <x v="18"/>
    <m/>
    <x v="1"/>
    <n v="3336"/>
    <n v="0"/>
    <n v="3400"/>
    <n v="21776702.000000004"/>
    <n v="140600000"/>
  </r>
  <r>
    <n v="1040"/>
    <x v="650"/>
    <x v="544"/>
    <s v="FRE"/>
    <x v="2"/>
    <n v="743"/>
    <n v="0"/>
    <n v="800"/>
    <n v="7391512.0000000009"/>
    <n v="42400000"/>
  </r>
  <r>
    <n v="1041"/>
    <x v="651"/>
    <x v="545"/>
    <s v="FRE"/>
    <x v="2"/>
    <n v="742"/>
    <n v="0"/>
    <n v="800"/>
    <n v="7151128"/>
    <n v="39200000"/>
  </r>
  <r>
    <n v="1042"/>
    <x v="652"/>
    <x v="546"/>
    <s v="OSM"/>
    <x v="2"/>
    <n v="612"/>
    <n v="0"/>
    <n v="700"/>
    <n v="6164942.0000000009"/>
    <n v="31500000"/>
  </r>
  <r>
    <n v="1043"/>
    <x v="652"/>
    <x v="546"/>
    <s v="OML"/>
    <x v="2"/>
    <n v="284"/>
    <n v="0"/>
    <n v="300"/>
    <n v="2642118.0000000005"/>
    <n v="13500000"/>
  </r>
  <r>
    <n v="1044"/>
    <x v="653"/>
    <x v="547"/>
    <s v="FRE"/>
    <x v="2"/>
    <n v="991"/>
    <n v="0"/>
    <n v="1000"/>
    <n v="8190470"/>
    <n v="49000000"/>
  </r>
  <r>
    <n v="1045"/>
    <x v="654"/>
    <x v="18"/>
    <m/>
    <x v="1"/>
    <n v="3372"/>
    <n v="0"/>
    <n v="3600"/>
    <n v="31540170"/>
    <n v="175600000"/>
  </r>
  <r>
    <n v="1046"/>
    <x v="655"/>
    <x v="548"/>
    <s v="FRE"/>
    <x v="2"/>
    <n v="1500"/>
    <n v="0"/>
    <n v="1500"/>
    <n v="10511625"/>
    <n v="64500000"/>
  </r>
  <r>
    <n v="1047"/>
    <x v="656"/>
    <x v="549"/>
    <s v="FRE"/>
    <x v="2"/>
    <n v="1500"/>
    <n v="0"/>
    <n v="1500"/>
    <n v="10684875.000000002"/>
    <n v="64500000"/>
  </r>
  <r>
    <n v="1048"/>
    <x v="657"/>
    <x v="550"/>
    <s v="XSS"/>
    <x v="2"/>
    <n v="250"/>
    <n v="0"/>
    <n v="250"/>
    <n v="1694187.5"/>
    <n v="10750000"/>
  </r>
  <r>
    <n v="1049"/>
    <x v="657"/>
    <x v="550"/>
    <s v="OSM"/>
    <x v="2"/>
    <n v="350"/>
    <n v="0"/>
    <n v="350"/>
    <n v="2371862.5"/>
    <n v="15050000"/>
  </r>
  <r>
    <n v="1050"/>
    <x v="657"/>
    <x v="550"/>
    <s v="OML"/>
    <x v="2"/>
    <n v="350"/>
    <n v="0"/>
    <n v="350"/>
    <n v="2371862.5"/>
    <n v="15050000"/>
  </r>
  <r>
    <n v="1051"/>
    <x v="657"/>
    <x v="550"/>
    <s v="LXL"/>
    <x v="2"/>
    <n v="250"/>
    <n v="0"/>
    <n v="250"/>
    <n v="1694187.5"/>
    <n v="10750000"/>
  </r>
  <r>
    <n v="1052"/>
    <x v="658"/>
    <x v="551"/>
    <s v="XSS"/>
    <x v="2"/>
    <n v="250"/>
    <n v="0"/>
    <n v="250"/>
    <n v="1694187.5"/>
    <n v="10750000"/>
  </r>
  <r>
    <n v="1053"/>
    <x v="658"/>
    <x v="551"/>
    <s v="OSM"/>
    <x v="2"/>
    <n v="350"/>
    <n v="0"/>
    <n v="350"/>
    <n v="2371862.5"/>
    <n v="15050000"/>
  </r>
  <r>
    <n v="1054"/>
    <x v="658"/>
    <x v="551"/>
    <s v="OML"/>
    <x v="2"/>
    <n v="350"/>
    <n v="0"/>
    <n v="350"/>
    <n v="2371862.5"/>
    <n v="15050000"/>
  </r>
  <r>
    <n v="1055"/>
    <x v="658"/>
    <x v="551"/>
    <s v="LXL"/>
    <x v="2"/>
    <n v="241"/>
    <n v="0"/>
    <n v="250"/>
    <n v="1694187.5"/>
    <n v="10750000"/>
  </r>
  <r>
    <n v="1056"/>
    <x v="659"/>
    <x v="18"/>
    <m/>
    <x v="1"/>
    <n v="5391"/>
    <n v="0"/>
    <n v="5400"/>
    <n v="37460700"/>
    <n v="232200000"/>
  </r>
  <r>
    <n v="1057"/>
    <x v="660"/>
    <x v="552"/>
    <s v="FRE"/>
    <x v="2"/>
    <n v="1200"/>
    <n v="0"/>
    <n v="1200"/>
    <n v="10488300"/>
    <n v="63600000"/>
  </r>
  <r>
    <n v="1058"/>
    <x v="661"/>
    <x v="18"/>
    <m/>
    <x v="1"/>
    <n v="1200"/>
    <n v="0"/>
    <n v="1200"/>
    <n v="10488300"/>
    <n v="63600000"/>
  </r>
  <r>
    <n v="1059"/>
    <x v="662"/>
    <x v="553"/>
    <s v="OSM"/>
    <x v="2"/>
    <n v="3500"/>
    <n v="0"/>
    <n v="3500"/>
    <n v="24723125"/>
    <n v="150500000"/>
  </r>
  <r>
    <n v="1060"/>
    <x v="662"/>
    <x v="553"/>
    <s v="OML"/>
    <x v="2"/>
    <n v="1500"/>
    <n v="0"/>
    <n v="1500"/>
    <n v="10595625"/>
    <n v="64500000"/>
  </r>
  <r>
    <n v="1061"/>
    <x v="663"/>
    <x v="18"/>
    <m/>
    <x v="1"/>
    <n v="5000"/>
    <n v="0"/>
    <n v="5000"/>
    <n v="35318750"/>
    <n v="215000000"/>
  </r>
  <r>
    <n v="1062"/>
    <x v="664"/>
    <x v="554"/>
    <s v="FRE"/>
    <x v="2"/>
    <n v="795"/>
    <n v="0"/>
    <n v="800"/>
    <n v="4897200"/>
    <n v="31200000"/>
  </r>
  <r>
    <n v="1063"/>
    <x v="665"/>
    <x v="555"/>
    <s v="FRE"/>
    <x v="2"/>
    <n v="800"/>
    <n v="0"/>
    <n v="800"/>
    <n v="4435200"/>
    <n v="31200000"/>
  </r>
  <r>
    <n v="1064"/>
    <x v="666"/>
    <x v="556"/>
    <s v="FRE"/>
    <x v="2"/>
    <n v="800"/>
    <n v="0"/>
    <n v="800"/>
    <n v="4989600.0000000009"/>
    <n v="31200000"/>
  </r>
  <r>
    <n v="1065"/>
    <x v="667"/>
    <x v="18"/>
    <m/>
    <x v="1"/>
    <n v="2395"/>
    <n v="0"/>
    <n v="2400"/>
    <n v="14322000"/>
    <n v="93600000"/>
  </r>
  <r>
    <n v="1066"/>
    <x v="668"/>
    <x v="557"/>
    <s v="FRE"/>
    <x v="2"/>
    <n v="3000"/>
    <n v="0"/>
    <n v="3000"/>
    <n v="13010160"/>
    <n v="129000000"/>
  </r>
  <r>
    <n v="1067"/>
    <x v="669"/>
    <x v="558"/>
    <s v="FRE"/>
    <x v="2"/>
    <n v="3000"/>
    <n v="0"/>
    <n v="3000"/>
    <n v="13986600.000000002"/>
    <n v="129000000"/>
  </r>
  <r>
    <n v="1068"/>
    <x v="670"/>
    <x v="559"/>
    <s v="FRE"/>
    <x v="2"/>
    <n v="4000"/>
    <n v="0"/>
    <n v="4000"/>
    <n v="17560880"/>
    <n v="172000000"/>
  </r>
  <r>
    <n v="1069"/>
    <x v="671"/>
    <x v="18"/>
    <m/>
    <x v="1"/>
    <n v="10000"/>
    <n v="0"/>
    <n v="10000"/>
    <n v="44557640"/>
    <n v="430000000"/>
  </r>
  <r>
    <n v="1070"/>
    <x v="672"/>
    <x v="560"/>
    <s v="XSS"/>
    <x v="2"/>
    <n v="300"/>
    <n v="0"/>
    <n v="300"/>
    <n v="1307043.5999999999"/>
    <n v="10500000"/>
  </r>
  <r>
    <n v="1071"/>
    <x v="672"/>
    <x v="560"/>
    <s v="OSM"/>
    <x v="2"/>
    <n v="450"/>
    <n v="0"/>
    <n v="450"/>
    <n v="1960565.4"/>
    <n v="15750000"/>
  </r>
  <r>
    <n v="1072"/>
    <x v="672"/>
    <x v="560"/>
    <s v="OML"/>
    <x v="2"/>
    <n v="450"/>
    <n v="0"/>
    <n v="450"/>
    <n v="1960565.4"/>
    <n v="15750000"/>
  </r>
  <r>
    <n v="1073"/>
    <x v="672"/>
    <x v="560"/>
    <s v="LXL"/>
    <x v="2"/>
    <n v="300"/>
    <n v="0"/>
    <n v="300"/>
    <n v="1307043.5999999999"/>
    <n v="10500000"/>
  </r>
  <r>
    <n v="1074"/>
    <x v="673"/>
    <x v="561"/>
    <s v="XSS"/>
    <x v="2"/>
    <n v="300"/>
    <n v="0"/>
    <n v="300"/>
    <n v="1196820.6000000003"/>
    <n v="12900000"/>
  </r>
  <r>
    <n v="1075"/>
    <x v="673"/>
    <x v="561"/>
    <s v="OSM"/>
    <x v="2"/>
    <n v="450"/>
    <n v="0"/>
    <n v="450"/>
    <n v="1795230.9000000004"/>
    <n v="19350000"/>
  </r>
  <r>
    <n v="1076"/>
    <x v="673"/>
    <x v="561"/>
    <s v="OML"/>
    <x v="2"/>
    <n v="450"/>
    <n v="0"/>
    <n v="450"/>
    <n v="1795230.9000000004"/>
    <n v="19350000"/>
  </r>
  <r>
    <n v="1077"/>
    <x v="673"/>
    <x v="561"/>
    <s v="LXL"/>
    <x v="2"/>
    <n v="299"/>
    <n v="0"/>
    <n v="300"/>
    <n v="1196820.6000000003"/>
    <n v="12900000"/>
  </r>
  <r>
    <n v="1078"/>
    <x v="674"/>
    <x v="562"/>
    <s v="XSS"/>
    <x v="2"/>
    <n v="293"/>
    <n v="0"/>
    <n v="300"/>
    <n v="1427409.6000000003"/>
    <n v="12900000"/>
  </r>
  <r>
    <n v="1079"/>
    <x v="674"/>
    <x v="562"/>
    <s v="OSM"/>
    <x v="2"/>
    <n v="449"/>
    <n v="0"/>
    <n v="450"/>
    <n v="2141114.4000000004"/>
    <n v="19350000"/>
  </r>
  <r>
    <n v="1080"/>
    <x v="674"/>
    <x v="562"/>
    <s v="OML"/>
    <x v="2"/>
    <n v="450"/>
    <n v="0"/>
    <n v="450"/>
    <n v="2141114.4000000004"/>
    <n v="19350000"/>
  </r>
  <r>
    <n v="1081"/>
    <x v="674"/>
    <x v="562"/>
    <s v="LXL"/>
    <x v="2"/>
    <n v="300"/>
    <n v="0"/>
    <n v="300"/>
    <n v="1427409.6000000003"/>
    <n v="12900000"/>
  </r>
  <r>
    <n v="1082"/>
    <x v="675"/>
    <x v="563"/>
    <s v="XSS"/>
    <x v="2"/>
    <n v="300"/>
    <n v="0"/>
    <n v="300"/>
    <n v="1506660.0000000002"/>
    <n v="12900000"/>
  </r>
  <r>
    <n v="1083"/>
    <x v="675"/>
    <x v="563"/>
    <s v="OSM"/>
    <x v="2"/>
    <n v="450"/>
    <n v="0"/>
    <n v="450"/>
    <n v="2259990.0000000005"/>
    <n v="19350000"/>
  </r>
  <r>
    <n v="1084"/>
    <x v="675"/>
    <x v="563"/>
    <s v="OML"/>
    <x v="2"/>
    <n v="450"/>
    <n v="0"/>
    <n v="450"/>
    <n v="2259990.0000000005"/>
    <n v="19350000"/>
  </r>
  <r>
    <n v="1085"/>
    <x v="675"/>
    <x v="563"/>
    <s v="LXL"/>
    <x v="2"/>
    <n v="300"/>
    <n v="0"/>
    <n v="300"/>
    <n v="1506660.0000000002"/>
    <n v="12900000"/>
  </r>
  <r>
    <n v="1086"/>
    <x v="676"/>
    <x v="18"/>
    <m/>
    <x v="1"/>
    <n v="5991"/>
    <n v="0"/>
    <n v="6000"/>
    <n v="27189669"/>
    <n v="246000000"/>
  </r>
  <r>
    <n v="1087"/>
    <x v="677"/>
    <x v="564"/>
    <s v="OSM"/>
    <x v="2"/>
    <n v="2958"/>
    <n v="0"/>
    <n v="3000"/>
    <n v="21390540.000000004"/>
    <n v="159000000"/>
  </r>
  <r>
    <n v="1088"/>
    <x v="677"/>
    <x v="564"/>
    <s v="OML"/>
    <x v="2"/>
    <n v="1009"/>
    <n v="0"/>
    <n v="1000"/>
    <n v="7130180.0000000009"/>
    <n v="53000000"/>
  </r>
  <r>
    <n v="1089"/>
    <x v="678"/>
    <x v="565"/>
    <s v="OSM"/>
    <x v="2"/>
    <n v="3110"/>
    <n v="0"/>
    <n v="3000"/>
    <n v="21390540.000000004"/>
    <n v="159000000"/>
  </r>
  <r>
    <n v="1090"/>
    <x v="678"/>
    <x v="565"/>
    <s v="OML"/>
    <x v="2"/>
    <n v="895"/>
    <n v="0"/>
    <n v="1000"/>
    <n v="7130180.0000000009"/>
    <n v="53000000"/>
  </r>
  <r>
    <n v="1091"/>
    <x v="679"/>
    <x v="18"/>
    <m/>
    <x v="1"/>
    <n v="7972"/>
    <n v="0"/>
    <n v="8000"/>
    <n v="57041440.000000007"/>
    <n v="424000000"/>
  </r>
  <r>
    <n v="1092"/>
    <x v="680"/>
    <x v="566"/>
    <s v="OSM"/>
    <x v="2"/>
    <n v="2005"/>
    <n v="0"/>
    <n v="2000"/>
    <n v="11940980.000000002"/>
    <n v="58000000"/>
  </r>
  <r>
    <n v="1093"/>
    <x v="680"/>
    <x v="566"/>
    <s v="OML"/>
    <x v="2"/>
    <n v="1519"/>
    <n v="0"/>
    <n v="1500"/>
    <n v="8955735.0000000019"/>
    <n v="43500000"/>
  </r>
  <r>
    <n v="1094"/>
    <x v="681"/>
    <x v="18"/>
    <m/>
    <x v="1"/>
    <n v="3524"/>
    <n v="0"/>
    <n v="3500"/>
    <n v="20896715.000000004"/>
    <n v="101500000"/>
  </r>
  <r>
    <n v="1095"/>
    <x v="682"/>
    <x v="567"/>
    <s v="FRE"/>
    <x v="2"/>
    <n v="800"/>
    <n v="0"/>
    <n v="800"/>
    <n v="6668800"/>
    <n v="47200000"/>
  </r>
  <r>
    <n v="1096"/>
    <x v="683"/>
    <x v="18"/>
    <m/>
    <x v="1"/>
    <n v="800"/>
    <n v="0"/>
    <n v="800"/>
    <n v="6668800"/>
    <n v="47200000"/>
  </r>
  <r>
    <n v="1097"/>
    <x v="684"/>
    <x v="568"/>
    <s v="FRE"/>
    <x v="2"/>
    <n v="1348"/>
    <n v="0"/>
    <n v="1500"/>
    <n v="10508160"/>
    <n v="73500000"/>
  </r>
  <r>
    <n v="1098"/>
    <x v="685"/>
    <x v="569"/>
    <s v="FRE"/>
    <x v="2"/>
    <n v="1173"/>
    <n v="0"/>
    <n v="1200"/>
    <n v="8331684.0000000009"/>
    <n v="54000000"/>
  </r>
  <r>
    <n v="1099"/>
    <x v="686"/>
    <x v="570"/>
    <s v="FRE"/>
    <x v="2"/>
    <n v="1183"/>
    <n v="0"/>
    <n v="1200"/>
    <n v="7604400"/>
    <n v="54000000"/>
  </r>
  <r>
    <n v="1100"/>
    <x v="687"/>
    <x v="571"/>
    <s v="FRE"/>
    <x v="2"/>
    <n v="1148"/>
    <n v="0"/>
    <n v="1200"/>
    <n v="7473156.0000000019"/>
    <n v="58800000"/>
  </r>
  <r>
    <n v="1101"/>
    <x v="688"/>
    <x v="572"/>
    <s v="FRE"/>
    <x v="2"/>
    <n v="1195"/>
    <n v="0"/>
    <n v="1200"/>
    <n v="7090896.0000000009"/>
    <n v="54000000"/>
  </r>
  <r>
    <n v="1102"/>
    <x v="689"/>
    <x v="573"/>
    <s v="OSM"/>
    <x v="2"/>
    <n v="960"/>
    <n v="0"/>
    <n v="1000"/>
    <n v="8609990"/>
    <n v="49000000"/>
  </r>
  <r>
    <n v="1103"/>
    <x v="689"/>
    <x v="573"/>
    <s v="OML"/>
    <x v="2"/>
    <n v="478"/>
    <n v="0"/>
    <n v="500"/>
    <n v="4304995"/>
    <n v="24500000"/>
  </r>
  <r>
    <n v="1104"/>
    <x v="690"/>
    <x v="574"/>
    <s v="OSM"/>
    <x v="2"/>
    <n v="806"/>
    <n v="0"/>
    <n v="800"/>
    <n v="7252224.0000000009"/>
    <n v="44000000"/>
  </r>
  <r>
    <n v="1105"/>
    <x v="690"/>
    <x v="574"/>
    <s v="OML"/>
    <x v="2"/>
    <n v="389"/>
    <n v="0"/>
    <n v="400"/>
    <n v="3626112.0000000005"/>
    <n v="22000000"/>
  </r>
  <r>
    <n v="1106"/>
    <x v="691"/>
    <x v="18"/>
    <m/>
    <x v="1"/>
    <n v="8680"/>
    <n v="0"/>
    <n v="9000"/>
    <n v="64801617"/>
    <n v="433800000"/>
  </r>
  <r>
    <n v="1107"/>
    <x v="692"/>
    <x v="575"/>
    <s v="OSM"/>
    <x v="2"/>
    <n v="2473"/>
    <n v="0"/>
    <n v="2500"/>
    <n v="25470000"/>
    <n v="122500000"/>
  </r>
  <r>
    <n v="1108"/>
    <x v="692"/>
    <x v="575"/>
    <s v="OML"/>
    <x v="2"/>
    <n v="1199"/>
    <n v="0"/>
    <n v="1200"/>
    <n v="12225600"/>
    <n v="58800000"/>
  </r>
  <r>
    <n v="1109"/>
    <x v="693"/>
    <x v="576"/>
    <s v="OSM"/>
    <x v="2"/>
    <n v="1000"/>
    <n v="0"/>
    <n v="1000"/>
    <n v="9088000"/>
    <n v="49000000"/>
  </r>
  <r>
    <n v="1110"/>
    <x v="693"/>
    <x v="576"/>
    <s v="OML"/>
    <x v="2"/>
    <n v="500"/>
    <n v="0"/>
    <n v="500"/>
    <n v="4544000"/>
    <n v="24500000"/>
  </r>
  <r>
    <n v="1111"/>
    <x v="694"/>
    <x v="577"/>
    <s v="OSM"/>
    <x v="2"/>
    <n v="1999"/>
    <n v="0"/>
    <n v="2000"/>
    <n v="20376000"/>
    <n v="98000000"/>
  </r>
  <r>
    <n v="1112"/>
    <x v="694"/>
    <x v="577"/>
    <s v="OML"/>
    <x v="2"/>
    <n v="496"/>
    <n v="0"/>
    <n v="500"/>
    <n v="5094000"/>
    <n v="24500000"/>
  </r>
  <r>
    <n v="1113"/>
    <x v="695"/>
    <x v="578"/>
    <s v="OSM"/>
    <x v="2"/>
    <n v="1000"/>
    <n v="0"/>
    <n v="1000"/>
    <n v="10888000"/>
    <n v="49000000"/>
  </r>
  <r>
    <n v="1114"/>
    <x v="695"/>
    <x v="578"/>
    <s v="OML"/>
    <x v="2"/>
    <n v="500"/>
    <n v="0"/>
    <n v="500"/>
    <n v="5444000"/>
    <n v="24500000"/>
  </r>
  <r>
    <n v="1115"/>
    <x v="696"/>
    <x v="18"/>
    <m/>
    <x v="1"/>
    <n v="9167"/>
    <n v="0"/>
    <n v="9200"/>
    <n v="93129600"/>
    <n v="450800000"/>
  </r>
  <r>
    <n v="1116"/>
    <x v="697"/>
    <x v="133"/>
    <s v="OSM"/>
    <x v="2"/>
    <n v="830"/>
    <n v="0"/>
    <n v="800"/>
    <n v="9376000"/>
    <n v="36000000"/>
  </r>
  <r>
    <n v="1117"/>
    <x v="697"/>
    <x v="133"/>
    <s v="OML"/>
    <x v="2"/>
    <n v="1220"/>
    <n v="0"/>
    <n v="1200"/>
    <n v="14064000"/>
    <n v="54000000"/>
  </r>
  <r>
    <n v="1118"/>
    <x v="698"/>
    <x v="18"/>
    <m/>
    <x v="1"/>
    <n v="2050"/>
    <n v="0"/>
    <n v="2000"/>
    <n v="23440000"/>
    <n v="90000000"/>
  </r>
  <r>
    <n v="1119"/>
    <x v="699"/>
    <x v="579"/>
    <s v="FRE"/>
    <x v="2"/>
    <n v="1998"/>
    <n v="0"/>
    <n v="2000"/>
    <n v="7050388.0000000009"/>
    <n v="78000000"/>
  </r>
  <r>
    <n v="1120"/>
    <x v="700"/>
    <x v="18"/>
    <m/>
    <x v="1"/>
    <n v="1998"/>
    <n v="0"/>
    <n v="2000"/>
    <n v="7050388.0000000009"/>
    <n v="78000000"/>
  </r>
  <r>
    <n v="1121"/>
    <x v="701"/>
    <x v="580"/>
    <s v="FRE"/>
    <x v="2"/>
    <n v="1500"/>
    <n v="0"/>
    <n v="1500"/>
    <n v="6801143.9999999991"/>
    <n v="58500000"/>
  </r>
  <r>
    <n v="1122"/>
    <x v="702"/>
    <x v="18"/>
    <m/>
    <x v="1"/>
    <n v="1500"/>
    <n v="0"/>
    <n v="1500"/>
    <n v="6801143.9999999991"/>
    <n v="58500000"/>
  </r>
  <r>
    <n v="1123"/>
    <x v="703"/>
    <x v="581"/>
    <s v="OSM"/>
    <x v="2"/>
    <n v="1226"/>
    <n v="0"/>
    <n v="1200"/>
    <n v="5219616"/>
    <n v="63600000"/>
  </r>
  <r>
    <n v="1124"/>
    <x v="703"/>
    <x v="581"/>
    <s v="OML"/>
    <x v="2"/>
    <n v="374"/>
    <n v="0"/>
    <n v="400"/>
    <n v="1739872"/>
    <n v="21200000"/>
  </r>
  <r>
    <n v="1125"/>
    <x v="704"/>
    <x v="18"/>
    <m/>
    <x v="1"/>
    <n v="1600"/>
    <n v="0"/>
    <n v="1600"/>
    <n v="6959488"/>
    <n v="84800000"/>
  </r>
  <r>
    <n v="1126"/>
    <x v="705"/>
    <x v="582"/>
    <s v="FRE"/>
    <x v="2"/>
    <n v="1000"/>
    <n v="0"/>
    <n v="1000"/>
    <n v="6600000"/>
    <n v="43000000"/>
  </r>
  <r>
    <n v="1127"/>
    <x v="706"/>
    <x v="18"/>
    <m/>
    <x v="1"/>
    <n v="1000"/>
    <n v="0"/>
    <n v="1000"/>
    <n v="6600000"/>
    <n v="43000000"/>
  </r>
  <r>
    <n v="1128"/>
    <x v="707"/>
    <x v="583"/>
    <s v="FRE"/>
    <x v="2"/>
    <n v="1998"/>
    <n v="0"/>
    <n v="2000"/>
    <n v="11836760"/>
    <n v="90000000"/>
  </r>
  <r>
    <n v="1129"/>
    <x v="708"/>
    <x v="584"/>
    <s v="FRE"/>
    <x v="2"/>
    <n v="798"/>
    <n v="0"/>
    <n v="800"/>
    <n v="4726704"/>
    <n v="36000000"/>
  </r>
  <r>
    <n v="1130"/>
    <x v="709"/>
    <x v="18"/>
    <m/>
    <x v="1"/>
    <n v="2796"/>
    <n v="0"/>
    <n v="2800"/>
    <n v="16563464"/>
    <n v="126000000"/>
  </r>
  <r>
    <n v="1131"/>
    <x v="710"/>
    <x v="585"/>
    <s v="FRE"/>
    <x v="2"/>
    <n v="1500"/>
    <n v="0"/>
    <n v="1500"/>
    <n v="10384605"/>
    <n v="88500000"/>
  </r>
  <r>
    <n v="1132"/>
    <x v="711"/>
    <x v="18"/>
    <m/>
    <x v="1"/>
    <n v="1500"/>
    <n v="0"/>
    <n v="1500"/>
    <n v="10384605"/>
    <n v="88500000"/>
  </r>
  <r>
    <n v="1133"/>
    <x v="712"/>
    <x v="586"/>
    <s v="FRE"/>
    <x v="2"/>
    <n v="800"/>
    <n v="0"/>
    <n v="800"/>
    <n v="22400000"/>
    <n v="100000000"/>
  </r>
  <r>
    <n v="1134"/>
    <x v="713"/>
    <x v="18"/>
    <m/>
    <x v="1"/>
    <n v="800"/>
    <n v="0"/>
    <n v="800"/>
    <n v="22400000"/>
    <n v="100000000"/>
  </r>
  <r>
    <n v="1135"/>
    <x v="714"/>
    <x v="587"/>
    <s v="XSS"/>
    <x v="2"/>
    <n v="465"/>
    <n v="0"/>
    <n v="500"/>
    <n v="4004310.0000000005"/>
    <n v="24500000"/>
  </r>
  <r>
    <n v="1136"/>
    <x v="714"/>
    <x v="587"/>
    <s v="OSM"/>
    <x v="2"/>
    <n v="591"/>
    <n v="0"/>
    <n v="600"/>
    <n v="4805172.0000000009"/>
    <n v="29400000"/>
  </r>
  <r>
    <n v="1137"/>
    <x v="714"/>
    <x v="587"/>
    <s v="OML"/>
    <x v="2"/>
    <n v="417"/>
    <n v="0"/>
    <n v="400"/>
    <n v="3203448.0000000005"/>
    <n v="19600000"/>
  </r>
  <r>
    <n v="1138"/>
    <x v="715"/>
    <x v="588"/>
    <s v="XSS"/>
    <x v="2"/>
    <n v="471"/>
    <n v="0"/>
    <n v="500"/>
    <n v="4201790"/>
    <n v="24500000"/>
  </r>
  <r>
    <n v="1139"/>
    <x v="715"/>
    <x v="588"/>
    <s v="OSM"/>
    <x v="2"/>
    <n v="574"/>
    <n v="0"/>
    <n v="600"/>
    <n v="5042148"/>
    <n v="29400000"/>
  </r>
  <r>
    <n v="1140"/>
    <x v="715"/>
    <x v="588"/>
    <s v="OML"/>
    <x v="2"/>
    <n v="356"/>
    <n v="0"/>
    <n v="400"/>
    <n v="3361432"/>
    <n v="19600000"/>
  </r>
  <r>
    <n v="1141"/>
    <x v="716"/>
    <x v="589"/>
    <s v="XSS"/>
    <x v="2"/>
    <n v="408"/>
    <n v="0"/>
    <n v="400"/>
    <n v="3037064.0000000005"/>
    <n v="19600000"/>
  </r>
  <r>
    <n v="1142"/>
    <x v="716"/>
    <x v="589"/>
    <s v="OSM"/>
    <x v="2"/>
    <n v="498"/>
    <n v="0"/>
    <n v="500"/>
    <n v="3796330.0000000005"/>
    <n v="24500000"/>
  </r>
  <r>
    <n v="1143"/>
    <x v="716"/>
    <x v="589"/>
    <s v="OML"/>
    <x v="2"/>
    <n v="296"/>
    <n v="0"/>
    <n v="300"/>
    <n v="2277798"/>
    <n v="14700000"/>
  </r>
  <r>
    <n v="1144"/>
    <x v="717"/>
    <x v="590"/>
    <s v="XSS"/>
    <x v="2"/>
    <n v="405"/>
    <n v="0"/>
    <n v="400"/>
    <n v="3409032"/>
    <n v="19600000"/>
  </r>
  <r>
    <n v="1145"/>
    <x v="717"/>
    <x v="590"/>
    <s v="OSM"/>
    <x v="2"/>
    <n v="500"/>
    <n v="0"/>
    <n v="500"/>
    <n v="4261290"/>
    <n v="24500000"/>
  </r>
  <r>
    <n v="1146"/>
    <x v="717"/>
    <x v="590"/>
    <s v="OML"/>
    <x v="2"/>
    <n v="286"/>
    <n v="0"/>
    <n v="300"/>
    <n v="2556774"/>
    <n v="14700000"/>
  </r>
  <r>
    <n v="1147"/>
    <x v="718"/>
    <x v="591"/>
    <s v="OSM"/>
    <x v="2"/>
    <n v="603"/>
    <n v="0"/>
    <n v="600"/>
    <n v="6411162.0000000009"/>
    <n v="33000000"/>
  </r>
  <r>
    <n v="1148"/>
    <x v="718"/>
    <x v="591"/>
    <s v="OML"/>
    <x v="2"/>
    <n v="398"/>
    <n v="0"/>
    <n v="400"/>
    <n v="4274108.0000000009"/>
    <n v="22000000"/>
  </r>
  <r>
    <n v="1149"/>
    <x v="719"/>
    <x v="18"/>
    <m/>
    <x v="1"/>
    <n v="6268"/>
    <n v="0"/>
    <n v="6400"/>
    <n v="54641858"/>
    <n v="319600000"/>
  </r>
  <r>
    <n v="1150"/>
    <x v="720"/>
    <x v="592"/>
    <s v="FRE"/>
    <x v="2"/>
    <n v="798"/>
    <n v="0"/>
    <n v="800"/>
    <n v="9895408.0000000037"/>
    <n v="44000000"/>
  </r>
  <r>
    <n v="1151"/>
    <x v="721"/>
    <x v="593"/>
    <s v="FRE"/>
    <x v="2"/>
    <n v="799"/>
    <n v="0"/>
    <n v="800"/>
    <n v="9895408.0000000037"/>
    <n v="44000000"/>
  </r>
  <r>
    <n v="1152"/>
    <x v="722"/>
    <x v="18"/>
    <m/>
    <x v="1"/>
    <n v="1597"/>
    <n v="0"/>
    <n v="1600"/>
    <n v="19790816.000000007"/>
    <n v="88000000"/>
  </r>
  <r>
    <n v="1153"/>
    <x v="723"/>
    <x v="594"/>
    <s v="FRE"/>
    <x v="2"/>
    <n v="798"/>
    <n v="0"/>
    <n v="800"/>
    <n v="5903728.0000000009"/>
    <n v="39200000"/>
  </r>
  <r>
    <n v="1154"/>
    <x v="724"/>
    <x v="18"/>
    <m/>
    <x v="1"/>
    <n v="798"/>
    <n v="0"/>
    <n v="800"/>
    <n v="5903728.0000000009"/>
    <n v="39200000"/>
  </r>
  <r>
    <n v="1155"/>
    <x v="725"/>
    <x v="595"/>
    <s v="FRE"/>
    <x v="2"/>
    <n v="500"/>
    <n v="0"/>
    <n v="500"/>
    <n v="2025892.0000000005"/>
    <n v="18500000"/>
  </r>
  <r>
    <n v="1156"/>
    <x v="726"/>
    <x v="596"/>
    <s v="FRE"/>
    <x v="2"/>
    <n v="499"/>
    <n v="0"/>
    <n v="500"/>
    <n v="2025892.0000000005"/>
    <n v="18500000"/>
  </r>
  <r>
    <n v="1157"/>
    <x v="727"/>
    <x v="18"/>
    <m/>
    <x v="1"/>
    <n v="999"/>
    <n v="0"/>
    <n v="1000"/>
    <n v="4051784.0000000009"/>
    <n v="37000000"/>
  </r>
  <r>
    <n v="1158"/>
    <x v="728"/>
    <x v="597"/>
    <s v="FRE"/>
    <x v="2"/>
    <n v="600"/>
    <n v="0"/>
    <n v="600"/>
    <n v="22512000"/>
    <n v="94800000"/>
  </r>
  <r>
    <n v="1159"/>
    <x v="729"/>
    <x v="598"/>
    <s v="FRE"/>
    <x v="2"/>
    <n v="600"/>
    <n v="0"/>
    <n v="600"/>
    <n v="22512000"/>
    <n v="94800000"/>
  </r>
  <r>
    <n v="1160"/>
    <x v="730"/>
    <x v="599"/>
    <s v="FRE"/>
    <x v="2"/>
    <n v="600"/>
    <n v="0"/>
    <n v="600"/>
    <n v="22512000"/>
    <n v="94800000"/>
  </r>
  <r>
    <n v="1161"/>
    <x v="731"/>
    <x v="18"/>
    <m/>
    <x v="1"/>
    <n v="1800"/>
    <n v="0"/>
    <n v="1800"/>
    <n v="67536000"/>
    <n v="284400000"/>
  </r>
  <r>
    <n v="1162"/>
    <x v="732"/>
    <x v="600"/>
    <s v="FRE"/>
    <x v="2"/>
    <n v="600"/>
    <n v="0"/>
    <n v="600"/>
    <n v="23160000"/>
    <n v="89400000"/>
  </r>
  <r>
    <n v="1163"/>
    <x v="733"/>
    <x v="18"/>
    <m/>
    <x v="1"/>
    <n v="600"/>
    <n v="0"/>
    <n v="600"/>
    <n v="23160000"/>
    <n v="89400000"/>
  </r>
  <r>
    <n v="1164"/>
    <x v="734"/>
    <x v="601"/>
    <s v="FRE"/>
    <x v="2"/>
    <n v="600"/>
    <n v="0"/>
    <n v="600"/>
    <n v="17040000"/>
    <n v="75000000"/>
  </r>
  <r>
    <n v="1165"/>
    <x v="735"/>
    <x v="602"/>
    <s v="FRE"/>
    <x v="2"/>
    <n v="600"/>
    <n v="0"/>
    <n v="600"/>
    <n v="18300000"/>
    <n v="77400000"/>
  </r>
  <r>
    <n v="1166"/>
    <x v="736"/>
    <x v="18"/>
    <m/>
    <x v="1"/>
    <n v="1200"/>
    <n v="0"/>
    <n v="1200"/>
    <n v="35340000"/>
    <n v="152400000"/>
  </r>
  <r>
    <n v="1167"/>
    <x v="737"/>
    <x v="603"/>
    <s v="FRE"/>
    <x v="2"/>
    <n v="999"/>
    <n v="0"/>
    <n v="1000"/>
    <n v="8588400.0000000019"/>
    <n v="49000000"/>
  </r>
  <r>
    <n v="1168"/>
    <x v="738"/>
    <x v="604"/>
    <s v="FRE"/>
    <x v="2"/>
    <n v="1000"/>
    <n v="0"/>
    <n v="1000"/>
    <n v="8836400.0000000019"/>
    <n v="49000000"/>
  </r>
  <r>
    <n v="1169"/>
    <x v="739"/>
    <x v="18"/>
    <m/>
    <x v="1"/>
    <n v="1999"/>
    <n v="0"/>
    <n v="2000"/>
    <n v="17424800.000000004"/>
    <n v="98000000"/>
  </r>
  <r>
    <n v="1170"/>
    <x v="740"/>
    <x v="605"/>
    <s v="FRE"/>
    <x v="2"/>
    <n v="1791"/>
    <n v="0"/>
    <n v="1800"/>
    <n v="6549112.8000000007"/>
    <n v="63000000"/>
  </r>
  <r>
    <n v="1171"/>
    <x v="741"/>
    <x v="606"/>
    <s v="FRE"/>
    <x v="2"/>
    <n v="1500"/>
    <n v="0"/>
    <n v="1500"/>
    <n v="7515804.0000000019"/>
    <n v="64500000"/>
  </r>
  <r>
    <n v="1172"/>
    <x v="742"/>
    <x v="607"/>
    <s v="FRE"/>
    <x v="2"/>
    <n v="1500"/>
    <n v="0"/>
    <n v="1500"/>
    <n v="7261974.0000000009"/>
    <n v="64500000"/>
  </r>
  <r>
    <n v="1173"/>
    <x v="743"/>
    <x v="18"/>
    <m/>
    <x v="1"/>
    <n v="4791"/>
    <n v="0"/>
    <n v="4800"/>
    <n v="21326890.800000004"/>
    <n v="192000000"/>
  </r>
  <r>
    <n v="1174"/>
    <x v="744"/>
    <x v="608"/>
    <s v="FRE"/>
    <x v="0"/>
    <n v="200"/>
    <n v="0"/>
    <n v="200"/>
    <n v="1934545.4545454544"/>
    <n v="5600000"/>
  </r>
  <r>
    <n v="1175"/>
    <x v="745"/>
    <x v="609"/>
    <s v="FRE"/>
    <x v="0"/>
    <n v="100"/>
    <n v="0"/>
    <n v="100"/>
    <n v="1278181.8181818181"/>
    <n v="3700000"/>
  </r>
  <r>
    <n v="1176"/>
    <x v="746"/>
    <x v="610"/>
    <s v="FRE"/>
    <x v="0"/>
    <n v="100"/>
    <n v="0"/>
    <n v="100"/>
    <n v="1278181.8181818181"/>
    <n v="3700000"/>
  </r>
  <r>
    <n v="1177"/>
    <x v="747"/>
    <x v="611"/>
    <s v="FRE"/>
    <x v="0"/>
    <n v="200"/>
    <n v="0"/>
    <n v="200"/>
    <n v="2349090.9090909087"/>
    <n v="6800000"/>
  </r>
  <r>
    <n v="1178"/>
    <x v="748"/>
    <x v="612"/>
    <s v="FRE"/>
    <x v="0"/>
    <n v="200"/>
    <n v="0"/>
    <n v="200"/>
    <n v="2349090.9090909087"/>
    <n v="6800000"/>
  </r>
  <r>
    <n v="1179"/>
    <x v="749"/>
    <x v="613"/>
    <s v="FRE"/>
    <x v="0"/>
    <n v="200"/>
    <n v="0"/>
    <n v="200"/>
    <n v="2763636.3636363633"/>
    <n v="8000000"/>
  </r>
  <r>
    <n v="1180"/>
    <x v="750"/>
    <x v="614"/>
    <s v="FRE"/>
    <x v="0"/>
    <n v="200"/>
    <n v="0"/>
    <n v="200"/>
    <n v="3247272.7272727271"/>
    <n v="9400000"/>
  </r>
  <r>
    <n v="1181"/>
    <x v="751"/>
    <x v="615"/>
    <s v="FRE"/>
    <x v="0"/>
    <n v="200"/>
    <n v="0"/>
    <n v="200"/>
    <n v="3247272.7272727271"/>
    <n v="9400000"/>
  </r>
  <r>
    <n v="1182"/>
    <x v="752"/>
    <x v="616"/>
    <s v="FRE"/>
    <x v="0"/>
    <n v="150"/>
    <n v="0"/>
    <n v="150"/>
    <n v="2072727.2727272725"/>
    <n v="6000000"/>
  </r>
  <r>
    <n v="1183"/>
    <x v="753"/>
    <x v="617"/>
    <s v="FRE"/>
    <x v="0"/>
    <n v="150"/>
    <n v="0"/>
    <n v="150"/>
    <n v="1917272.7272727271"/>
    <n v="5550000"/>
  </r>
  <r>
    <n v="1184"/>
    <x v="754"/>
    <x v="618"/>
    <s v="OSM"/>
    <x v="0"/>
    <n v="80"/>
    <n v="0"/>
    <n v="80"/>
    <n v="1022545.4545454544"/>
    <n v="2960000"/>
  </r>
  <r>
    <n v="1185"/>
    <x v="754"/>
    <x v="618"/>
    <s v="LXL"/>
    <x v="0"/>
    <n v="120"/>
    <n v="0"/>
    <n v="120"/>
    <n v="1533818.1818181816"/>
    <n v="4440000"/>
  </r>
  <r>
    <n v="1186"/>
    <x v="755"/>
    <x v="619"/>
    <s v="OSM"/>
    <x v="0"/>
    <n v="50"/>
    <n v="0"/>
    <n v="50"/>
    <n v="639090.90909090906"/>
    <n v="1850000"/>
  </r>
  <r>
    <n v="1187"/>
    <x v="755"/>
    <x v="619"/>
    <s v="LXL"/>
    <x v="0"/>
    <n v="100"/>
    <n v="0"/>
    <n v="100"/>
    <n v="1278181.8181818181"/>
    <n v="3700000"/>
  </r>
  <r>
    <n v="1188"/>
    <x v="756"/>
    <x v="620"/>
    <s v="FRE"/>
    <x v="0"/>
    <n v="100"/>
    <n v="0"/>
    <n v="100"/>
    <n v="1278181.8181818181"/>
    <n v="3700000"/>
  </r>
  <r>
    <n v="1189"/>
    <x v="757"/>
    <x v="621"/>
    <s v="FRE"/>
    <x v="0"/>
    <n v="100"/>
    <n v="0"/>
    <n v="100"/>
    <n v="1278181.8181818181"/>
    <n v="3700000"/>
  </r>
  <r>
    <n v="1190"/>
    <x v="758"/>
    <x v="18"/>
    <m/>
    <x v="1"/>
    <n v="2250"/>
    <n v="0"/>
    <n v="2250"/>
    <n v="29467272.727272719"/>
    <n v="85300000"/>
  </r>
  <r>
    <n v="1191"/>
    <x v="759"/>
    <x v="622"/>
    <s v="FRE"/>
    <x v="2"/>
    <n v="800"/>
    <n v="0"/>
    <n v="800"/>
    <n v="7484400"/>
    <n v="52000000"/>
  </r>
  <r>
    <n v="1192"/>
    <x v="760"/>
    <x v="623"/>
    <s v="FRE"/>
    <x v="2"/>
    <n v="800"/>
    <n v="0"/>
    <n v="800"/>
    <n v="10328472"/>
    <n v="60000000"/>
  </r>
  <r>
    <n v="1193"/>
    <x v="761"/>
    <x v="624"/>
    <s v="FRE"/>
    <x v="2"/>
    <n v="800"/>
    <n v="0"/>
    <n v="800"/>
    <n v="7251560.0000000009"/>
    <n v="52000000"/>
  </r>
  <r>
    <n v="1194"/>
    <x v="762"/>
    <x v="625"/>
    <s v="FRE"/>
    <x v="2"/>
    <n v="787"/>
    <n v="0"/>
    <n v="800"/>
    <n v="9073992.0000000019"/>
    <n v="55200000"/>
  </r>
  <r>
    <n v="1195"/>
    <x v="763"/>
    <x v="18"/>
    <m/>
    <x v="1"/>
    <n v="3187"/>
    <n v="0"/>
    <n v="3200"/>
    <n v="34138424"/>
    <n v="219200000"/>
  </r>
  <r>
    <n v="1196"/>
    <x v="764"/>
    <x v="626"/>
    <s v="FRE"/>
    <x v="2"/>
    <n v="1000"/>
    <n v="0"/>
    <n v="1000"/>
    <n v="5587600"/>
    <n v="43000000"/>
  </r>
  <r>
    <n v="1197"/>
    <x v="765"/>
    <x v="627"/>
    <s v="FRE"/>
    <x v="2"/>
    <n v="1000"/>
    <n v="0"/>
    <n v="1000"/>
    <n v="5360120"/>
    <n v="43000000"/>
  </r>
  <r>
    <n v="1198"/>
    <x v="766"/>
    <x v="628"/>
    <s v="FRE"/>
    <x v="2"/>
    <n v="748"/>
    <n v="0"/>
    <n v="750"/>
    <n v="4019175.0000000005"/>
    <n v="32250000"/>
  </r>
  <r>
    <n v="1199"/>
    <x v="767"/>
    <x v="629"/>
    <s v="FRE"/>
    <x v="2"/>
    <n v="499"/>
    <n v="0"/>
    <n v="500"/>
    <n v="2696950.0000000005"/>
    <n v="21500000"/>
  </r>
  <r>
    <n v="1200"/>
    <x v="768"/>
    <x v="630"/>
    <s v="FRE"/>
    <x v="2"/>
    <n v="500"/>
    <n v="0"/>
    <n v="500"/>
    <n v="2916910"/>
    <n v="24500000"/>
  </r>
  <r>
    <n v="1201"/>
    <x v="769"/>
    <x v="631"/>
    <s v="FRE"/>
    <x v="2"/>
    <n v="499"/>
    <n v="0"/>
    <n v="500"/>
    <n v="2991910"/>
    <n v="24500000"/>
  </r>
  <r>
    <n v="1202"/>
    <x v="770"/>
    <x v="18"/>
    <m/>
    <x v="1"/>
    <n v="4246"/>
    <n v="0"/>
    <n v="4250"/>
    <n v="23572665"/>
    <n v="188750000"/>
  </r>
  <r>
    <n v="1203"/>
    <x v="771"/>
    <x v="632"/>
    <s v="FRE"/>
    <x v="2"/>
    <n v="738"/>
    <n v="0"/>
    <n v="750"/>
    <n v="3272625"/>
    <n v="32250000"/>
  </r>
  <r>
    <n v="1204"/>
    <x v="772"/>
    <x v="633"/>
    <s v="FRE"/>
    <x v="2"/>
    <n v="750"/>
    <n v="0"/>
    <n v="750"/>
    <n v="3090067.5"/>
    <n v="32250000"/>
  </r>
  <r>
    <n v="1205"/>
    <x v="773"/>
    <x v="18"/>
    <m/>
    <x v="1"/>
    <n v="1488"/>
    <n v="0"/>
    <n v="1500"/>
    <n v="6362692.5"/>
    <n v="64500000"/>
  </r>
  <r>
    <n v="1206"/>
    <x v="774"/>
    <x v="634"/>
    <s v="FRE"/>
    <x v="2"/>
    <n v="1499"/>
    <n v="0"/>
    <n v="1500"/>
    <n v="8431350"/>
    <n v="67500000"/>
  </r>
  <r>
    <n v="1207"/>
    <x v="775"/>
    <x v="18"/>
    <m/>
    <x v="1"/>
    <n v="1499"/>
    <n v="0"/>
    <n v="1500"/>
    <n v="8431350"/>
    <n v="67500000"/>
  </r>
  <r>
    <n v="1208"/>
    <x v="776"/>
    <x v="635"/>
    <s v="FRE"/>
    <x v="2"/>
    <n v="1461"/>
    <n v="0"/>
    <n v="1500"/>
    <n v="13035000"/>
    <n v="67500000"/>
  </r>
  <r>
    <n v="1209"/>
    <x v="777"/>
    <x v="18"/>
    <m/>
    <x v="1"/>
    <n v="1461"/>
    <n v="0"/>
    <n v="1500"/>
    <n v="13035000"/>
    <n v="67500000"/>
  </r>
  <r>
    <n v="1210"/>
    <x v="778"/>
    <x v="636"/>
    <s v="FRE"/>
    <x v="2"/>
    <n v="1197"/>
    <n v="0"/>
    <n v="1200"/>
    <n v="6259627.1999999993"/>
    <n v="51600000"/>
  </r>
  <r>
    <n v="1211"/>
    <x v="779"/>
    <x v="18"/>
    <m/>
    <x v="1"/>
    <n v="1197"/>
    <n v="0"/>
    <n v="1200"/>
    <n v="6259627.1999999993"/>
    <n v="51600000"/>
  </r>
  <r>
    <n v="1212"/>
    <x v="780"/>
    <x v="637"/>
    <s v="FRE"/>
    <x v="2"/>
    <n v="1000"/>
    <n v="0"/>
    <n v="1000"/>
    <n v="4884674.0000000009"/>
    <n v="43000000"/>
  </r>
  <r>
    <n v="1213"/>
    <x v="780"/>
    <x v="637"/>
    <s v="LXL"/>
    <x v="2"/>
    <n v="500"/>
    <n v="0"/>
    <n v="500"/>
    <n v="2442337.0000000005"/>
    <n v="21500000"/>
  </r>
  <r>
    <n v="1214"/>
    <x v="781"/>
    <x v="638"/>
    <s v="FRE"/>
    <x v="2"/>
    <n v="1000"/>
    <n v="0"/>
    <n v="1000"/>
    <n v="4447656"/>
    <n v="35000000"/>
  </r>
  <r>
    <n v="1215"/>
    <x v="781"/>
    <x v="638"/>
    <s v="LXL"/>
    <x v="2"/>
    <n v="500"/>
    <n v="0"/>
    <n v="500"/>
    <n v="2223828"/>
    <n v="17500000"/>
  </r>
  <r>
    <n v="1216"/>
    <x v="782"/>
    <x v="605"/>
    <s v="LXL"/>
    <x v="2"/>
    <n v="800"/>
    <n v="0"/>
    <n v="800"/>
    <n v="2910716.8000000007"/>
    <n v="28000000"/>
  </r>
  <r>
    <n v="1217"/>
    <x v="783"/>
    <x v="18"/>
    <m/>
    <x v="1"/>
    <n v="3800"/>
    <n v="0"/>
    <n v="3800"/>
    <n v="16909211.800000004"/>
    <n v="145000000"/>
  </r>
  <r>
    <n v="1218"/>
    <x v="784"/>
    <x v="639"/>
    <s v="FRE"/>
    <x v="2"/>
    <n v="1474"/>
    <n v="0"/>
    <n v="1500"/>
    <n v="11220000"/>
    <n v="73500000"/>
  </r>
  <r>
    <n v="1219"/>
    <x v="784"/>
    <x v="639"/>
    <s v="LXL"/>
    <x v="2"/>
    <n v="800"/>
    <n v="0"/>
    <n v="800"/>
    <n v="5984000"/>
    <n v="39200000"/>
  </r>
  <r>
    <n v="1220"/>
    <x v="785"/>
    <x v="640"/>
    <s v="LXL"/>
    <x v="2"/>
    <n v="800"/>
    <n v="0"/>
    <n v="800"/>
    <n v="5984000"/>
    <n v="39200000"/>
  </r>
  <r>
    <n v="1221"/>
    <x v="785"/>
    <x v="640"/>
    <s v="FRE"/>
    <x v="2"/>
    <n v="300"/>
    <n v="0"/>
    <n v="300"/>
    <n v="2244000"/>
    <n v="14700000"/>
  </r>
  <r>
    <n v="1222"/>
    <x v="786"/>
    <x v="18"/>
    <m/>
    <x v="1"/>
    <n v="3374"/>
    <n v="0"/>
    <n v="3400"/>
    <n v="25432000"/>
    <n v="166600000"/>
  </r>
  <r>
    <n v="1223"/>
    <x v="787"/>
    <x v="641"/>
    <s v="FRE"/>
    <x v="2"/>
    <n v="1000"/>
    <n v="0"/>
    <n v="1000"/>
    <n v="4036628"/>
    <n v="45000000"/>
  </r>
  <r>
    <n v="1224"/>
    <x v="788"/>
    <x v="642"/>
    <s v="XSS"/>
    <x v="2"/>
    <n v="200"/>
    <n v="0"/>
    <n v="200"/>
    <n v="840273.59999999986"/>
    <n v="9800000"/>
  </r>
  <r>
    <n v="1225"/>
    <x v="788"/>
    <x v="642"/>
    <s v="OSM"/>
    <x v="2"/>
    <n v="300"/>
    <n v="0"/>
    <n v="300"/>
    <n v="1260410.3999999999"/>
    <n v="14700000"/>
  </r>
  <r>
    <n v="1226"/>
    <x v="788"/>
    <x v="642"/>
    <s v="OML"/>
    <x v="2"/>
    <n v="292"/>
    <n v="0"/>
    <n v="300"/>
    <n v="1260410.3999999999"/>
    <n v="14700000"/>
  </r>
  <r>
    <n v="1227"/>
    <x v="788"/>
    <x v="642"/>
    <s v="LXL"/>
    <x v="2"/>
    <n v="200"/>
    <n v="0"/>
    <n v="200"/>
    <n v="840273.59999999986"/>
    <n v="9800000"/>
  </r>
  <r>
    <n v="1228"/>
    <x v="789"/>
    <x v="18"/>
    <m/>
    <x v="1"/>
    <n v="1992"/>
    <n v="0"/>
    <n v="2000"/>
    <n v="8237996"/>
    <n v="94000000"/>
  </r>
  <r>
    <n v="1229"/>
    <x v="790"/>
    <x v="643"/>
    <s v="OMM"/>
    <x v="2"/>
    <n v="500"/>
    <n v="0"/>
    <n v="500"/>
    <n v="17010000"/>
    <n v="64500000"/>
  </r>
  <r>
    <n v="1230"/>
    <x v="791"/>
    <x v="644"/>
    <s v="OMM"/>
    <x v="2"/>
    <n v="500"/>
    <n v="0"/>
    <n v="500"/>
    <n v="17260000"/>
    <n v="64500000"/>
  </r>
  <r>
    <n v="1231"/>
    <x v="792"/>
    <x v="645"/>
    <s v="OMM"/>
    <x v="2"/>
    <n v="500"/>
    <n v="0"/>
    <n v="500"/>
    <n v="17010000"/>
    <n v="64500000"/>
  </r>
  <r>
    <n v="1232"/>
    <x v="793"/>
    <x v="18"/>
    <m/>
    <x v="1"/>
    <n v="1500"/>
    <n v="0"/>
    <n v="1500"/>
    <n v="51280000"/>
    <n v="193500000"/>
  </r>
  <r>
    <n v="1233"/>
    <x v="794"/>
    <x v="64"/>
    <s v="FRE"/>
    <x v="2"/>
    <n v="1496"/>
    <n v="0"/>
    <n v="1500"/>
    <n v="10642500"/>
    <n v="67500000"/>
  </r>
  <r>
    <n v="1234"/>
    <x v="795"/>
    <x v="18"/>
    <m/>
    <x v="1"/>
    <n v="1496"/>
    <n v="0"/>
    <n v="1500"/>
    <n v="10642500"/>
    <n v="67500000"/>
  </r>
  <r>
    <n v="1235"/>
    <x v="796"/>
    <x v="73"/>
    <s v="FRE"/>
    <x v="2"/>
    <n v="1998"/>
    <n v="0"/>
    <n v="2000"/>
    <n v="7993196.0000000009"/>
    <n v="90000000"/>
  </r>
  <r>
    <n v="1236"/>
    <x v="797"/>
    <x v="18"/>
    <m/>
    <x v="1"/>
    <n v="1998"/>
    <n v="0"/>
    <n v="2000"/>
    <n v="7993196.0000000009"/>
    <n v="90000000"/>
  </r>
  <r>
    <n v="1237"/>
    <x v="798"/>
    <x v="646"/>
    <s v="OSM"/>
    <x v="2"/>
    <n v="800"/>
    <n v="0"/>
    <n v="800"/>
    <n v="5488560.0000000009"/>
    <n v="42400000"/>
  </r>
  <r>
    <n v="1238"/>
    <x v="798"/>
    <x v="646"/>
    <s v="OML"/>
    <x v="2"/>
    <n v="400"/>
    <n v="0"/>
    <n v="400"/>
    <n v="2744280.0000000005"/>
    <n v="21200000"/>
  </r>
  <r>
    <n v="1239"/>
    <x v="799"/>
    <x v="18"/>
    <m/>
    <x v="1"/>
    <n v="1200"/>
    <n v="0"/>
    <n v="1200"/>
    <n v="8232840.0000000019"/>
    <n v="63600000"/>
  </r>
  <r>
    <n v="1240"/>
    <x v="800"/>
    <x v="647"/>
    <s v="FRE"/>
    <x v="2"/>
    <n v="1500"/>
    <n v="0"/>
    <n v="1500"/>
    <n v="6885690"/>
    <n v="73500000"/>
  </r>
  <r>
    <n v="1241"/>
    <x v="801"/>
    <x v="648"/>
    <s v="FRE"/>
    <x v="2"/>
    <n v="1495"/>
    <n v="0"/>
    <n v="1500"/>
    <n v="7752690"/>
    <n v="73500000"/>
  </r>
  <r>
    <n v="1242"/>
    <x v="802"/>
    <x v="18"/>
    <m/>
    <x v="1"/>
    <n v="2995"/>
    <n v="0"/>
    <n v="3000"/>
    <n v="14638380"/>
    <n v="147000000"/>
  </r>
  <r>
    <n v="1243"/>
    <x v="803"/>
    <x v="649"/>
    <s v="FRE"/>
    <x v="2"/>
    <n v="799"/>
    <n v="0"/>
    <n v="800"/>
    <n v="4360720"/>
    <n v="36000000"/>
  </r>
  <r>
    <n v="1244"/>
    <x v="804"/>
    <x v="18"/>
    <m/>
    <x v="1"/>
    <n v="799"/>
    <n v="0"/>
    <n v="800"/>
    <n v="4360720"/>
    <n v="36000000"/>
  </r>
  <r>
    <n v="1245"/>
    <x v="805"/>
    <x v="650"/>
    <s v="FRE"/>
    <x v="2"/>
    <n v="500"/>
    <n v="0"/>
    <n v="500"/>
    <n v="2091230"/>
    <n v="21500000"/>
  </r>
  <r>
    <n v="1246"/>
    <x v="806"/>
    <x v="651"/>
    <s v="FRE"/>
    <x v="2"/>
    <n v="500"/>
    <n v="0"/>
    <n v="500"/>
    <n v="1997935.0000000002"/>
    <n v="21500000"/>
  </r>
  <r>
    <n v="1247"/>
    <x v="807"/>
    <x v="652"/>
    <s v="FRE"/>
    <x v="2"/>
    <n v="1000"/>
    <n v="0"/>
    <n v="1000"/>
    <n v="4722170"/>
    <n v="43000000"/>
  </r>
  <r>
    <n v="1248"/>
    <x v="808"/>
    <x v="653"/>
    <s v="FRE"/>
    <x v="2"/>
    <n v="1200"/>
    <n v="0"/>
    <n v="1200"/>
    <n v="5630604"/>
    <n v="51600000"/>
  </r>
  <r>
    <n v="1249"/>
    <x v="809"/>
    <x v="654"/>
    <s v="FRE"/>
    <x v="2"/>
    <n v="1200"/>
    <n v="0"/>
    <n v="1200"/>
    <n v="5555760"/>
    <n v="51600000"/>
  </r>
  <r>
    <n v="1250"/>
    <x v="810"/>
    <x v="655"/>
    <s v="FRE"/>
    <x v="2"/>
    <n v="996"/>
    <n v="0"/>
    <n v="1000"/>
    <n v="3958240.0000000005"/>
    <n v="43000000"/>
  </r>
  <r>
    <n v="1251"/>
    <x v="811"/>
    <x v="656"/>
    <s v="FRE"/>
    <x v="2"/>
    <n v="999"/>
    <n v="0"/>
    <n v="1000"/>
    <n v="4051130"/>
    <n v="43000000"/>
  </r>
  <r>
    <n v="1252"/>
    <x v="812"/>
    <x v="18"/>
    <m/>
    <x v="1"/>
    <n v="6395"/>
    <n v="0"/>
    <n v="6400"/>
    <n v="28007069"/>
    <n v="275200000"/>
  </r>
  <r>
    <n v="1253"/>
    <x v="813"/>
    <x v="657"/>
    <s v="FRE"/>
    <x v="2"/>
    <n v="1000"/>
    <n v="0"/>
    <n v="1000"/>
    <n v="9820000"/>
    <n v="45000000"/>
  </r>
  <r>
    <n v="1254"/>
    <x v="814"/>
    <x v="18"/>
    <m/>
    <x v="1"/>
    <n v="1000"/>
    <n v="0"/>
    <n v="1000"/>
    <n v="9820000"/>
    <n v="45000000"/>
  </r>
  <r>
    <n v="1255"/>
    <x v="815"/>
    <x v="658"/>
    <s v="FRE"/>
    <x v="2"/>
    <n v="1000"/>
    <n v="0"/>
    <n v="1000"/>
    <n v="6600000"/>
    <n v="43000000"/>
  </r>
  <r>
    <n v="1256"/>
    <x v="816"/>
    <x v="18"/>
    <m/>
    <x v="1"/>
    <n v="1000"/>
    <n v="0"/>
    <n v="1000"/>
    <n v="6600000"/>
    <n v="43000000"/>
  </r>
  <r>
    <n v="1257"/>
    <x v="817"/>
    <x v="659"/>
    <s v="FRE"/>
    <x v="2"/>
    <n v="2000"/>
    <n v="0"/>
    <n v="2000"/>
    <n v="17713080"/>
    <n v="118000000"/>
  </r>
  <r>
    <n v="1258"/>
    <x v="818"/>
    <x v="18"/>
    <m/>
    <x v="1"/>
    <n v="2000"/>
    <n v="0"/>
    <n v="2000"/>
    <n v="17713080"/>
    <n v="118000000"/>
  </r>
  <r>
    <n v="1259"/>
    <x v="819"/>
    <x v="660"/>
    <s v="FRE"/>
    <x v="2"/>
    <n v="1000"/>
    <n v="0"/>
    <n v="1000"/>
    <n v="3886940.0000000005"/>
    <n v="39000000"/>
  </r>
  <r>
    <n v="1260"/>
    <x v="820"/>
    <x v="18"/>
    <m/>
    <x v="1"/>
    <n v="1000"/>
    <n v="0"/>
    <n v="1000"/>
    <n v="3886940.0000000005"/>
    <n v="39000000"/>
  </r>
  <r>
    <n v="1261"/>
    <x v="821"/>
    <x v="661"/>
    <s v="FRE"/>
    <x v="2"/>
    <n v="1219"/>
    <n v="0"/>
    <n v="1200"/>
    <n v="12000000"/>
    <n v="54000000"/>
  </r>
  <r>
    <n v="1262"/>
    <x v="822"/>
    <x v="18"/>
    <m/>
    <x v="1"/>
    <n v="1219"/>
    <n v="0"/>
    <n v="1200"/>
    <n v="12000000"/>
    <n v="54000000"/>
  </r>
  <r>
    <n v="1263"/>
    <x v="823"/>
    <x v="662"/>
    <s v="FRE"/>
    <x v="2"/>
    <n v="1995"/>
    <n v="0"/>
    <n v="2000"/>
    <n v="9990492"/>
    <n v="78000000"/>
  </r>
  <r>
    <n v="1264"/>
    <x v="824"/>
    <x v="663"/>
    <s v="FRE"/>
    <x v="2"/>
    <n v="2000"/>
    <n v="0"/>
    <n v="2000"/>
    <n v="10218492"/>
    <n v="78000000"/>
  </r>
  <r>
    <n v="1265"/>
    <x v="825"/>
    <x v="18"/>
    <m/>
    <x v="1"/>
    <n v="3995"/>
    <n v="0"/>
    <n v="4000"/>
    <n v="20208984"/>
    <n v="156000000"/>
  </r>
  <r>
    <n v="1266"/>
    <x v="826"/>
    <x v="140"/>
    <s v="FRE"/>
    <x v="2"/>
    <n v="1191"/>
    <n v="0"/>
    <n v="1200"/>
    <n v="4340952"/>
    <n v="56400000"/>
  </r>
  <r>
    <n v="1267"/>
    <x v="827"/>
    <x v="18"/>
    <m/>
    <x v="1"/>
    <n v="1191"/>
    <n v="0"/>
    <n v="1200"/>
    <n v="4340952"/>
    <n v="56400000"/>
  </r>
  <r>
    <n v="1268"/>
    <x v="828"/>
    <x v="65"/>
    <s v="FRE"/>
    <x v="2"/>
    <n v="1200"/>
    <n v="0"/>
    <n v="1200"/>
    <n v="8514000"/>
    <n v="54000000"/>
  </r>
  <r>
    <n v="1269"/>
    <x v="829"/>
    <x v="18"/>
    <m/>
    <x v="1"/>
    <n v="1200"/>
    <n v="0"/>
    <n v="1200"/>
    <n v="8514000"/>
    <n v="54000000"/>
  </r>
  <r>
    <n v="1270"/>
    <x v="830"/>
    <x v="664"/>
    <s v="FRE"/>
    <x v="0"/>
    <n v="92"/>
    <n v="0"/>
    <n v="92"/>
    <n v="1693636.3636363635"/>
    <n v="4140000"/>
  </r>
  <r>
    <n v="1271"/>
    <x v="831"/>
    <x v="665"/>
    <s v="FRE"/>
    <x v="0"/>
    <n v="250"/>
    <n v="0"/>
    <n v="250"/>
    <n v="4602272.7272727266"/>
    <n v="11250000"/>
  </r>
  <r>
    <n v="1272"/>
    <x v="832"/>
    <x v="666"/>
    <s v="FRE"/>
    <x v="0"/>
    <n v="200"/>
    <n v="0"/>
    <n v="200"/>
    <n v="3190909.0909090908"/>
    <n v="7800000"/>
  </r>
  <r>
    <n v="1273"/>
    <x v="833"/>
    <x v="18"/>
    <m/>
    <x v="1"/>
    <n v="542"/>
    <n v="0"/>
    <n v="542"/>
    <n v="9486818.1818181798"/>
    <n v="23190000"/>
  </r>
  <r>
    <n v="1274"/>
    <x v="834"/>
    <x v="667"/>
    <s v="FRE"/>
    <x v="2"/>
    <n v="400"/>
    <n v="0"/>
    <n v="400"/>
    <n v="12208000"/>
    <n v="51600000"/>
  </r>
  <r>
    <n v="1275"/>
    <x v="835"/>
    <x v="668"/>
    <s v="FRE"/>
    <x v="2"/>
    <n v="400"/>
    <n v="0"/>
    <n v="400"/>
    <n v="12808000"/>
    <n v="51600000"/>
  </r>
  <r>
    <n v="1276"/>
    <x v="836"/>
    <x v="669"/>
    <s v="FRE"/>
    <x v="2"/>
    <n v="400"/>
    <n v="0"/>
    <n v="400"/>
    <n v="11808000"/>
    <n v="50000000"/>
  </r>
  <r>
    <n v="1277"/>
    <x v="837"/>
    <x v="18"/>
    <m/>
    <x v="1"/>
    <n v="1200"/>
    <n v="0"/>
    <n v="1200"/>
    <n v="36824000"/>
    <n v="153200000"/>
  </r>
  <r>
    <n v="1278"/>
    <x v="838"/>
    <x v="670"/>
    <s v="FRE"/>
    <x v="2"/>
    <n v="500"/>
    <n v="0"/>
    <n v="500"/>
    <n v="15410000"/>
    <n v="64500000"/>
  </r>
  <r>
    <n v="1279"/>
    <x v="839"/>
    <x v="671"/>
    <s v="OMM"/>
    <x v="2"/>
    <n v="1500"/>
    <n v="0"/>
    <n v="1500"/>
    <n v="35280000"/>
    <n v="163500000"/>
  </r>
  <r>
    <n v="1280"/>
    <x v="840"/>
    <x v="18"/>
    <m/>
    <x v="1"/>
    <n v="0"/>
    <n v="0"/>
    <n v="0"/>
    <n v="0"/>
    <n v="0"/>
  </r>
  <r>
    <n v="1281"/>
    <x v="841"/>
    <x v="662"/>
    <s v="FRE"/>
    <x v="2"/>
    <n v="999"/>
    <n v="0"/>
    <n v="1000"/>
    <n v="3605840"/>
    <n v="39000000"/>
  </r>
  <r>
    <n v="1282"/>
    <x v="842"/>
    <x v="663"/>
    <s v="FRE"/>
    <x v="2"/>
    <n v="999"/>
    <n v="0"/>
    <n v="1000"/>
    <n v="3719840"/>
    <n v="39000000"/>
  </r>
  <r>
    <n v="1283"/>
    <x v="843"/>
    <x v="18"/>
    <m/>
    <x v="1"/>
    <n v="1998"/>
    <n v="0"/>
    <n v="2000"/>
    <n v="7325680"/>
    <n v="78000000"/>
  </r>
  <r>
    <n v="1284"/>
    <x v="844"/>
    <x v="672"/>
    <s v="FRE"/>
    <x v="2"/>
    <n v="20"/>
    <n v="0"/>
    <n v="20"/>
    <n v="78787.87878787877"/>
    <n v="780000"/>
  </r>
  <r>
    <n v="1285"/>
    <x v="845"/>
    <x v="673"/>
    <s v="FRE"/>
    <x v="2"/>
    <n v="20"/>
    <n v="0"/>
    <n v="20"/>
    <n v="78787.87878787877"/>
    <n v="780000"/>
  </r>
  <r>
    <n v="1286"/>
    <x v="846"/>
    <x v="674"/>
    <s v="FRE"/>
    <x v="2"/>
    <n v="20"/>
    <n v="0"/>
    <n v="15"/>
    <n v="59090.909090909081"/>
    <n v="585000"/>
  </r>
  <r>
    <n v="1287"/>
    <x v="847"/>
    <x v="675"/>
    <s v="FRE"/>
    <x v="2"/>
    <n v="15"/>
    <n v="0"/>
    <n v="20"/>
    <n v="78787.87878787877"/>
    <n v="780000"/>
  </r>
  <r>
    <n v="1288"/>
    <x v="848"/>
    <x v="676"/>
    <s v="FRE"/>
    <x v="2"/>
    <n v="15"/>
    <n v="0"/>
    <n v="15"/>
    <n v="59090.909090909081"/>
    <n v="585000"/>
  </r>
  <r>
    <n v="1289"/>
    <x v="849"/>
    <x v="18"/>
    <m/>
    <x v="1"/>
    <n v="90"/>
    <n v="0"/>
    <n v="90"/>
    <n v="354545.45454545447"/>
    <n v="3510000"/>
  </r>
  <r>
    <n v="1290"/>
    <x v="850"/>
    <x v="677"/>
    <s v="FRE"/>
    <x v="2"/>
    <n v="999"/>
    <n v="0"/>
    <n v="1000"/>
    <n v="7484400.0000000019"/>
    <n v="59000000"/>
  </r>
  <r>
    <n v="1291"/>
    <x v="851"/>
    <x v="18"/>
    <m/>
    <x v="1"/>
    <n v="999"/>
    <n v="0"/>
    <n v="1000"/>
    <n v="7484400.0000000019"/>
    <n v="59000000"/>
  </r>
  <r>
    <n v="1292"/>
    <x v="852"/>
    <x v="678"/>
    <s v="FRE"/>
    <x v="2"/>
    <n v="807"/>
    <n v="0"/>
    <n v="800"/>
    <n v="4886584"/>
    <n v="36000000"/>
  </r>
  <r>
    <n v="1293"/>
    <x v="853"/>
    <x v="679"/>
    <s v="FRE"/>
    <x v="2"/>
    <n v="950"/>
    <n v="0"/>
    <n v="1000"/>
    <n v="5863143.9999999991"/>
    <n v="45000000"/>
  </r>
  <r>
    <n v="1294"/>
    <x v="854"/>
    <x v="680"/>
    <s v="FRE"/>
    <x v="2"/>
    <n v="1006"/>
    <n v="0"/>
    <n v="1000"/>
    <n v="6037780.0000000009"/>
    <n v="45000000"/>
  </r>
  <r>
    <n v="1295"/>
    <x v="855"/>
    <x v="18"/>
    <m/>
    <x v="1"/>
    <n v="2763"/>
    <n v="0"/>
    <n v="2800"/>
    <n v="16787508"/>
    <n v="126000000"/>
  </r>
  <r>
    <n v="1296"/>
    <x v="856"/>
    <x v="681"/>
    <s v="FRE"/>
    <x v="2"/>
    <n v="1200"/>
    <n v="0"/>
    <n v="1200"/>
    <n v="4386420"/>
    <n v="54000000"/>
  </r>
  <r>
    <n v="1297"/>
    <x v="857"/>
    <x v="682"/>
    <s v="FRE"/>
    <x v="2"/>
    <n v="1200"/>
    <n v="0"/>
    <n v="1200"/>
    <n v="4012200"/>
    <n v="54000000"/>
  </r>
  <r>
    <n v="1298"/>
    <x v="858"/>
    <x v="18"/>
    <m/>
    <x v="1"/>
    <n v="2400"/>
    <n v="0"/>
    <n v="2400"/>
    <n v="8398620"/>
    <n v="108000000"/>
  </r>
  <r>
    <n v="1299"/>
    <x v="859"/>
    <x v="683"/>
    <s v="FRE"/>
    <x v="2"/>
    <n v="2000"/>
    <n v="0"/>
    <n v="2000"/>
    <n v="15180000"/>
    <n v="86000000"/>
  </r>
  <r>
    <n v="1300"/>
    <x v="860"/>
    <x v="18"/>
    <m/>
    <x v="1"/>
    <n v="2000"/>
    <n v="0"/>
    <n v="2000"/>
    <n v="15180000"/>
    <n v="86000000"/>
  </r>
  <r>
    <n v="1301"/>
    <x v="861"/>
    <x v="684"/>
    <s v="FRE"/>
    <x v="2"/>
    <n v="2000"/>
    <n v="0"/>
    <n v="2000"/>
    <n v="7431600"/>
    <n v="78000000"/>
  </r>
  <r>
    <n v="1302"/>
    <x v="862"/>
    <x v="685"/>
    <s v="FRE"/>
    <x v="2"/>
    <n v="1000"/>
    <n v="0"/>
    <n v="1000"/>
    <n v="4019800"/>
    <n v="39000000"/>
  </r>
  <r>
    <n v="1303"/>
    <x v="863"/>
    <x v="18"/>
    <m/>
    <x v="1"/>
    <n v="3000"/>
    <n v="0"/>
    <n v="3000"/>
    <n v="11451400"/>
    <n v="117000000"/>
  </r>
  <r>
    <n v="1304"/>
    <x v="864"/>
    <x v="686"/>
    <s v="FRE"/>
    <x v="2"/>
    <n v="1995"/>
    <n v="0"/>
    <n v="2000"/>
    <n v="8771800.0000000019"/>
    <n v="98000000"/>
  </r>
  <r>
    <n v="1305"/>
    <x v="865"/>
    <x v="18"/>
    <m/>
    <x v="1"/>
    <n v="1995"/>
    <n v="0"/>
    <n v="2000"/>
    <n v="8771800.0000000019"/>
    <n v="98000000"/>
  </r>
  <r>
    <n v="1306"/>
    <x v="866"/>
    <x v="62"/>
    <s v="FRE"/>
    <x v="2"/>
    <n v="1500"/>
    <n v="0"/>
    <n v="1500"/>
    <n v="10560000"/>
    <n v="67500000"/>
  </r>
  <r>
    <n v="1307"/>
    <x v="867"/>
    <x v="18"/>
    <m/>
    <x v="1"/>
    <n v="1500"/>
    <n v="0"/>
    <n v="1500"/>
    <n v="10560000"/>
    <n v="67500000"/>
  </r>
  <r>
    <n v="1308"/>
    <x v="868"/>
    <x v="72"/>
    <s v="FRE"/>
    <x v="2"/>
    <n v="1218"/>
    <n v="0"/>
    <n v="1200"/>
    <n v="4386420"/>
    <n v="54000000"/>
  </r>
  <r>
    <n v="1309"/>
    <x v="869"/>
    <x v="18"/>
    <m/>
    <x v="1"/>
    <n v="1218"/>
    <n v="0"/>
    <n v="1200"/>
    <n v="4386420"/>
    <n v="54000000"/>
  </r>
  <r>
    <n v="1310"/>
    <x v="870"/>
    <x v="687"/>
    <s v="FRE"/>
    <x v="2"/>
    <n v="1506"/>
    <n v="0"/>
    <n v="1500"/>
    <n v="16500000"/>
    <n v="88500000"/>
  </r>
  <r>
    <n v="1311"/>
    <x v="871"/>
    <x v="688"/>
    <s v="FRE"/>
    <x v="2"/>
    <n v="2049"/>
    <n v="0"/>
    <n v="2000"/>
    <n v="22000000"/>
    <n v="118000000"/>
  </r>
  <r>
    <n v="1312"/>
    <x v="872"/>
    <x v="18"/>
    <m/>
    <x v="1"/>
    <n v="3555"/>
    <n v="0"/>
    <n v="3500"/>
    <n v="38500000"/>
    <n v="206500000"/>
  </r>
  <r>
    <n v="1313"/>
    <x v="873"/>
    <x v="689"/>
    <s v="FRE"/>
    <x v="2"/>
    <n v="813"/>
    <n v="0"/>
    <n v="800"/>
    <n v="10000000"/>
    <n v="47200000"/>
  </r>
  <r>
    <n v="1314"/>
    <x v="874"/>
    <x v="690"/>
    <s v="FRE"/>
    <x v="2"/>
    <n v="500"/>
    <n v="0"/>
    <n v="500"/>
    <n v="5500000"/>
    <n v="29500000"/>
  </r>
  <r>
    <n v="1315"/>
    <x v="875"/>
    <x v="691"/>
    <s v="FRE"/>
    <x v="2"/>
    <n v="500"/>
    <n v="0"/>
    <n v="500"/>
    <n v="6250000"/>
    <n v="29500000"/>
  </r>
  <r>
    <n v="1316"/>
    <x v="876"/>
    <x v="18"/>
    <m/>
    <x v="1"/>
    <n v="1813"/>
    <n v="0"/>
    <n v="1800"/>
    <n v="21750000"/>
    <n v="106200000"/>
  </r>
  <r>
    <n v="1317"/>
    <x v="877"/>
    <x v="692"/>
    <s v="FRE"/>
    <x v="2"/>
    <n v="300"/>
    <n v="0"/>
    <n v="300"/>
    <n v="7185927.2727272725"/>
    <n v="13500000"/>
  </r>
  <r>
    <n v="1318"/>
    <x v="878"/>
    <x v="693"/>
    <s v="FRE"/>
    <x v="2"/>
    <n v="300"/>
    <n v="0"/>
    <n v="300"/>
    <n v="7116627.2727272725"/>
    <n v="13500000"/>
  </r>
  <r>
    <n v="1319"/>
    <x v="879"/>
    <x v="694"/>
    <s v="FRE"/>
    <x v="2"/>
    <n v="300"/>
    <n v="0"/>
    <n v="300"/>
    <n v="7919386.3636363633"/>
    <n v="14700000"/>
  </r>
  <r>
    <n v="1320"/>
    <x v="880"/>
    <x v="695"/>
    <s v="FRE"/>
    <x v="2"/>
    <n v="300"/>
    <n v="0"/>
    <n v="300"/>
    <n v="8196586.3636363633"/>
    <n v="14700000"/>
  </r>
  <r>
    <n v="1321"/>
    <x v="881"/>
    <x v="18"/>
    <m/>
    <x v="1"/>
    <n v="1200"/>
    <n v="0"/>
    <n v="1200"/>
    <n v="30418527.27272727"/>
    <n v="56400000"/>
  </r>
  <r>
    <n v="1322"/>
    <x v="882"/>
    <x v="696"/>
    <s v="FRE"/>
    <x v="2"/>
    <n v="800"/>
    <n v="0"/>
    <n v="800"/>
    <n v="4406848.0000000009"/>
    <n v="31200000"/>
  </r>
  <r>
    <n v="1323"/>
    <x v="883"/>
    <x v="697"/>
    <s v="FRE"/>
    <x v="2"/>
    <n v="796"/>
    <n v="0"/>
    <n v="800"/>
    <n v="4787824.0000000009"/>
    <n v="31200000"/>
  </r>
  <r>
    <n v="1324"/>
    <x v="884"/>
    <x v="18"/>
    <m/>
    <x v="1"/>
    <n v="1596"/>
    <n v="0"/>
    <n v="1600"/>
    <n v="9194672.0000000019"/>
    <n v="62400000"/>
  </r>
  <r>
    <n v="1325"/>
    <x v="885"/>
    <x v="698"/>
    <s v="FRE"/>
    <x v="2"/>
    <n v="800"/>
    <n v="0"/>
    <n v="800"/>
    <n v="4646432"/>
    <n v="31200000"/>
  </r>
  <r>
    <n v="1326"/>
    <x v="886"/>
    <x v="18"/>
    <m/>
    <x v="1"/>
    <n v="800"/>
    <n v="0"/>
    <n v="800"/>
    <n v="4646432"/>
    <n v="31200000"/>
  </r>
  <r>
    <n v="1327"/>
    <x v="887"/>
    <x v="699"/>
    <s v="FRE"/>
    <x v="2"/>
    <n v="603"/>
    <n v="0"/>
    <n v="600"/>
    <n v="5760000"/>
    <n v="27000000"/>
  </r>
  <r>
    <n v="1328"/>
    <x v="888"/>
    <x v="700"/>
    <s v="FRE"/>
    <x v="2"/>
    <n v="607"/>
    <n v="0"/>
    <n v="600"/>
    <n v="6060000"/>
    <n v="27000000"/>
  </r>
  <r>
    <n v="1329"/>
    <x v="889"/>
    <x v="701"/>
    <s v="FRE"/>
    <x v="2"/>
    <n v="615"/>
    <n v="0"/>
    <n v="600"/>
    <n v="6060000"/>
    <n v="29400000"/>
  </r>
  <r>
    <n v="1330"/>
    <x v="890"/>
    <x v="18"/>
    <m/>
    <x v="1"/>
    <n v="1825"/>
    <n v="0"/>
    <n v="1800"/>
    <n v="17880000"/>
    <n v="83400000"/>
  </r>
  <r>
    <n v="1331"/>
    <x v="891"/>
    <x v="702"/>
    <s v="FRE"/>
    <x v="2"/>
    <n v="938"/>
    <n v="0"/>
    <n v="1000"/>
    <n v="5882780.0000000009"/>
    <n v="53000000"/>
  </r>
  <r>
    <n v="1332"/>
    <x v="892"/>
    <x v="703"/>
    <s v="FRE"/>
    <x v="2"/>
    <n v="953"/>
    <n v="0"/>
    <n v="1000"/>
    <n v="7504400.0000000019"/>
    <n v="55000000"/>
  </r>
  <r>
    <n v="1333"/>
    <x v="893"/>
    <x v="18"/>
    <m/>
    <x v="1"/>
    <n v="1891"/>
    <n v="0"/>
    <n v="2000"/>
    <n v="13387180.000000004"/>
    <n v="108000000"/>
  </r>
  <r>
    <n v="1334"/>
    <x v="894"/>
    <x v="704"/>
    <s v="FRE"/>
    <x v="2"/>
    <n v="3000"/>
    <n v="0"/>
    <n v="3000"/>
    <n v="13943160"/>
    <n v="159000000"/>
  </r>
  <r>
    <n v="1335"/>
    <x v="895"/>
    <x v="18"/>
    <m/>
    <x v="1"/>
    <n v="3000"/>
    <n v="0"/>
    <n v="3000"/>
    <n v="13943160"/>
    <n v="159000000"/>
  </r>
  <r>
    <n v="1336"/>
    <x v="896"/>
    <x v="585"/>
    <s v="FRE"/>
    <x v="2"/>
    <n v="2000"/>
    <n v="0"/>
    <n v="2000"/>
    <n v="13846140.000000002"/>
    <n v="118000000"/>
  </r>
  <r>
    <n v="1337"/>
    <x v="897"/>
    <x v="18"/>
    <m/>
    <x v="1"/>
    <n v="2000"/>
    <n v="0"/>
    <n v="2000"/>
    <n v="13846140.000000002"/>
    <n v="118000000"/>
  </r>
  <r>
    <n v="1338"/>
    <x v="898"/>
    <x v="705"/>
    <s v="FRE"/>
    <x v="0"/>
    <n v="100"/>
    <n v="0"/>
    <n v="100"/>
    <n v="1840909.0909090908"/>
    <n v="4500000"/>
  </r>
  <r>
    <n v="1339"/>
    <x v="899"/>
    <x v="706"/>
    <s v="FRE"/>
    <x v="0"/>
    <n v="100"/>
    <n v="0"/>
    <n v="100"/>
    <n v="1840909.0909090908"/>
    <n v="4500000"/>
  </r>
  <r>
    <n v="1340"/>
    <x v="900"/>
    <x v="707"/>
    <s v="FRE"/>
    <x v="0"/>
    <n v="200"/>
    <n v="0"/>
    <n v="200"/>
    <n v="3681818.1818181816"/>
    <n v="9000000"/>
  </r>
  <r>
    <n v="1341"/>
    <x v="901"/>
    <x v="708"/>
    <s v="FRE"/>
    <x v="0"/>
    <n v="14"/>
    <n v="0"/>
    <n v="14"/>
    <n v="257727.27272727271"/>
    <n v="630000"/>
  </r>
  <r>
    <n v="1342"/>
    <x v="902"/>
    <x v="709"/>
    <s v="FRE"/>
    <x v="0"/>
    <n v="26"/>
    <n v="0"/>
    <n v="26"/>
    <n v="478636.36363636359"/>
    <n v="1170000"/>
  </r>
  <r>
    <n v="1343"/>
    <x v="903"/>
    <x v="710"/>
    <s v="FRE"/>
    <x v="0"/>
    <n v="21"/>
    <n v="0"/>
    <n v="21"/>
    <n v="386590.90909090906"/>
    <n v="945000"/>
  </r>
  <r>
    <n v="1344"/>
    <x v="904"/>
    <x v="18"/>
    <m/>
    <x v="1"/>
    <n v="461"/>
    <n v="0"/>
    <n v="461"/>
    <n v="8486590.9090909082"/>
    <n v="20745000"/>
  </r>
  <r>
    <n v="1345"/>
    <x v="905"/>
    <x v="711"/>
    <s v="FRE"/>
    <x v="2"/>
    <n v="397"/>
    <n v="0"/>
    <n v="400"/>
    <n v="2819124.0000000005"/>
    <n v="14000000"/>
  </r>
  <r>
    <n v="1346"/>
    <x v="906"/>
    <x v="712"/>
    <s v="FRE"/>
    <x v="2"/>
    <n v="494"/>
    <n v="0"/>
    <n v="500"/>
    <n v="3523905.0000000005"/>
    <n v="17500000"/>
  </r>
  <r>
    <n v="1347"/>
    <x v="907"/>
    <x v="713"/>
    <s v="FRE"/>
    <x v="2"/>
    <n v="399"/>
    <n v="0"/>
    <n v="400"/>
    <n v="2819124.0000000005"/>
    <n v="14000000"/>
  </r>
  <r>
    <n v="1348"/>
    <x v="908"/>
    <x v="18"/>
    <m/>
    <x v="1"/>
    <n v="1290"/>
    <n v="0"/>
    <n v="1300"/>
    <n v="9162153.0000000019"/>
    <n v="45500000"/>
  </r>
  <r>
    <n v="1349"/>
    <x v="909"/>
    <x v="196"/>
    <s v="FRE"/>
    <x v="2"/>
    <n v="700"/>
    <n v="0"/>
    <n v="700"/>
    <n v="8352869.0000000009"/>
    <n v="55300000"/>
  </r>
  <r>
    <n v="1350"/>
    <x v="910"/>
    <x v="197"/>
    <s v="FRE"/>
    <x v="2"/>
    <n v="705"/>
    <n v="0"/>
    <n v="700"/>
    <n v="8090915.0000000009"/>
    <n v="55300000"/>
  </r>
  <r>
    <n v="1351"/>
    <x v="911"/>
    <x v="199"/>
    <s v="FRE"/>
    <x v="2"/>
    <n v="703"/>
    <n v="0"/>
    <n v="700"/>
    <n v="7916279.0000000019"/>
    <n v="55300000"/>
  </r>
  <r>
    <n v="1352"/>
    <x v="912"/>
    <x v="18"/>
    <m/>
    <x v="1"/>
    <n v="2108"/>
    <n v="0"/>
    <n v="2100"/>
    <n v="24360063.000000004"/>
    <n v="165900000"/>
  </r>
  <r>
    <n v="1353"/>
    <x v="913"/>
    <x v="141"/>
    <s v="FRE"/>
    <x v="2"/>
    <n v="1995"/>
    <n v="0"/>
    <n v="2000"/>
    <n v="11820999.999999998"/>
    <n v="90000000"/>
  </r>
  <r>
    <n v="1354"/>
    <x v="914"/>
    <x v="18"/>
    <m/>
    <x v="1"/>
    <n v="1995"/>
    <n v="0"/>
    <n v="2000"/>
    <n v="11820999.999999998"/>
    <n v="90000000"/>
  </r>
  <r>
    <n v="1355"/>
    <x v="915"/>
    <x v="570"/>
    <s v="FRE"/>
    <x v="2"/>
    <n v="1967"/>
    <n v="0"/>
    <n v="2000"/>
    <n v="12702000"/>
    <n v="90000000"/>
  </r>
  <r>
    <n v="1356"/>
    <x v="916"/>
    <x v="18"/>
    <m/>
    <x v="1"/>
    <n v="1967"/>
    <n v="0"/>
    <n v="2000"/>
    <n v="12702000"/>
    <n v="90000000"/>
  </r>
  <r>
    <n v="1357"/>
    <x v="917"/>
    <x v="714"/>
    <s v="FRE"/>
    <x v="2"/>
    <n v="795"/>
    <n v="0"/>
    <n v="800"/>
    <n v="8800000"/>
    <n v="44000000"/>
  </r>
  <r>
    <n v="1358"/>
    <x v="918"/>
    <x v="18"/>
    <m/>
    <x v="1"/>
    <n v="795"/>
    <n v="0"/>
    <n v="800"/>
    <n v="8800000"/>
    <n v="44000000"/>
  </r>
  <r>
    <n v="1359"/>
    <x v="919"/>
    <x v="715"/>
    <s v="FRE"/>
    <x v="2"/>
    <n v="1000"/>
    <n v="0"/>
    <n v="1000"/>
    <n v="10800000"/>
    <n v="59000000"/>
  </r>
  <r>
    <n v="1360"/>
    <x v="920"/>
    <x v="716"/>
    <s v="FRE"/>
    <x v="2"/>
    <n v="1000"/>
    <n v="0"/>
    <n v="1000"/>
    <n v="12000000"/>
    <n v="59000000"/>
  </r>
  <r>
    <n v="1361"/>
    <x v="921"/>
    <x v="18"/>
    <m/>
    <x v="1"/>
    <n v="2000"/>
    <n v="0"/>
    <n v="2000"/>
    <n v="22800000"/>
    <n v="118000000"/>
  </r>
  <r>
    <n v="1362"/>
    <x v="922"/>
    <x v="717"/>
    <s v="FRE"/>
    <x v="2"/>
    <n v="2999"/>
    <n v="0"/>
    <n v="3000"/>
    <n v="11693436.000000002"/>
    <n v="105000000"/>
  </r>
  <r>
    <n v="1363"/>
    <x v="923"/>
    <x v="18"/>
    <m/>
    <x v="1"/>
    <n v="2999"/>
    <n v="0"/>
    <n v="3000"/>
    <n v="11693436.000000002"/>
    <n v="105000000"/>
  </r>
  <r>
    <n v="1364"/>
    <x v="924"/>
    <x v="718"/>
    <s v="OSM"/>
    <x v="2"/>
    <n v="20"/>
    <n v="0"/>
    <n v="20"/>
    <n v="368181.81818181818"/>
    <n v="900000"/>
  </r>
  <r>
    <n v="1365"/>
    <x v="925"/>
    <x v="719"/>
    <s v="OSM"/>
    <x v="2"/>
    <n v="16"/>
    <n v="0"/>
    <n v="16"/>
    <n v="294545.45454545453"/>
    <n v="720000"/>
  </r>
  <r>
    <n v="1366"/>
    <x v="926"/>
    <x v="720"/>
    <s v="OSM"/>
    <x v="2"/>
    <n v="10"/>
    <n v="0"/>
    <n v="10"/>
    <n v="184090.90909090909"/>
    <n v="450000"/>
  </r>
  <r>
    <n v="1367"/>
    <x v="926"/>
    <x v="720"/>
    <s v="LXL"/>
    <x v="2"/>
    <n v="8"/>
    <n v="0"/>
    <n v="8"/>
    <n v="147272.72727272726"/>
    <n v="360000"/>
  </r>
  <r>
    <n v="1368"/>
    <x v="927"/>
    <x v="721"/>
    <s v="OSM"/>
    <x v="2"/>
    <n v="8"/>
    <n v="0"/>
    <n v="8"/>
    <n v="147272.72727272726"/>
    <n v="360000"/>
  </r>
  <r>
    <n v="1369"/>
    <x v="927"/>
    <x v="721"/>
    <s v="LXL"/>
    <x v="2"/>
    <n v="6"/>
    <n v="0"/>
    <n v="6"/>
    <n v="110454.54545454544"/>
    <n v="270000"/>
  </r>
  <r>
    <n v="1370"/>
    <x v="928"/>
    <x v="722"/>
    <s v="OSM"/>
    <x v="2"/>
    <n v="5"/>
    <n v="0"/>
    <n v="5"/>
    <n v="79772.727272727265"/>
    <n v="195000"/>
  </r>
  <r>
    <n v="1371"/>
    <x v="928"/>
    <x v="722"/>
    <s v="LXL"/>
    <x v="2"/>
    <n v="5"/>
    <n v="0"/>
    <n v="5"/>
    <n v="79772.727272727265"/>
    <n v="195000"/>
  </r>
  <r>
    <n v="1372"/>
    <x v="929"/>
    <x v="723"/>
    <s v="OSM"/>
    <x v="2"/>
    <n v="15"/>
    <n v="0"/>
    <n v="15"/>
    <n v="239318.18181818182"/>
    <n v="585000"/>
  </r>
  <r>
    <n v="1373"/>
    <x v="929"/>
    <x v="723"/>
    <s v="LXL"/>
    <x v="2"/>
    <n v="8"/>
    <n v="0"/>
    <n v="8"/>
    <n v="127636.36363636363"/>
    <n v="312000"/>
  </r>
  <r>
    <n v="1374"/>
    <x v="930"/>
    <x v="724"/>
    <s v="OSM"/>
    <x v="2"/>
    <n v="10"/>
    <n v="0"/>
    <n v="10"/>
    <n v="159545.45454545453"/>
    <n v="390000"/>
  </r>
  <r>
    <n v="1375"/>
    <x v="930"/>
    <x v="724"/>
    <s v="LXL"/>
    <x v="2"/>
    <n v="13"/>
    <n v="0"/>
    <n v="13"/>
    <n v="207409.09090909091"/>
    <n v="507000"/>
  </r>
  <r>
    <n v="1376"/>
    <x v="931"/>
    <x v="725"/>
    <s v="LXL"/>
    <x v="2"/>
    <n v="20"/>
    <n v="0"/>
    <n v="20"/>
    <n v="319090.90909090906"/>
    <n v="780000"/>
  </r>
  <r>
    <n v="1377"/>
    <x v="932"/>
    <x v="18"/>
    <m/>
    <x v="1"/>
    <n v="144"/>
    <n v="0"/>
    <n v="144"/>
    <n v="2464363.6363636362"/>
    <n v="6024000"/>
  </r>
  <r>
    <n v="1378"/>
    <x v="933"/>
    <x v="726"/>
    <s v="FRE"/>
    <x v="2"/>
    <n v="1000"/>
    <n v="0"/>
    <n v="1000"/>
    <n v="5285380"/>
    <n v="47000000"/>
  </r>
  <r>
    <n v="1379"/>
    <x v="934"/>
    <x v="727"/>
    <s v="FRE"/>
    <x v="2"/>
    <n v="800"/>
    <n v="0"/>
    <n v="800"/>
    <n v="4128512.0000000005"/>
    <n v="39200000"/>
  </r>
  <r>
    <n v="1380"/>
    <x v="935"/>
    <x v="728"/>
    <s v="FRE"/>
    <x v="2"/>
    <n v="800"/>
    <n v="0"/>
    <n v="800"/>
    <n v="3408928"/>
    <n v="36000000"/>
  </r>
  <r>
    <n v="1381"/>
    <x v="936"/>
    <x v="18"/>
    <m/>
    <x v="1"/>
    <n v="2600"/>
    <n v="0"/>
    <n v="2600"/>
    <n v="12822820"/>
    <n v="122200000"/>
  </r>
  <r>
    <n v="1382"/>
    <x v="937"/>
    <x v="137"/>
    <s v="FRE"/>
    <x v="2"/>
    <n v="697"/>
    <n v="0"/>
    <n v="800"/>
    <n v="3839032"/>
    <n v="37600000"/>
  </r>
  <r>
    <n v="1383"/>
    <x v="938"/>
    <x v="138"/>
    <s v="OSM"/>
    <x v="2"/>
    <n v="800"/>
    <n v="0"/>
    <n v="800"/>
    <n v="3789136"/>
    <n v="34400000"/>
  </r>
  <r>
    <n v="1384"/>
    <x v="938"/>
    <x v="138"/>
    <s v="OML"/>
    <x v="2"/>
    <n v="397"/>
    <n v="0"/>
    <n v="400"/>
    <n v="1894568"/>
    <n v="17200000"/>
  </r>
  <r>
    <n v="1385"/>
    <x v="939"/>
    <x v="18"/>
    <m/>
    <x v="1"/>
    <n v="1894"/>
    <n v="0"/>
    <n v="2000"/>
    <n v="9522736"/>
    <n v="89200000"/>
  </r>
  <r>
    <n v="1386"/>
    <x v="940"/>
    <x v="729"/>
    <s v="FRE"/>
    <x v="2"/>
    <n v="1499"/>
    <n v="0"/>
    <n v="1500"/>
    <n v="10291050.000000002"/>
    <n v="88500000"/>
  </r>
  <r>
    <n v="1387"/>
    <x v="941"/>
    <x v="18"/>
    <m/>
    <x v="1"/>
    <n v="1499"/>
    <n v="0"/>
    <n v="1500"/>
    <n v="10291050.000000002"/>
    <n v="88500000"/>
  </r>
  <r>
    <n v="1388"/>
    <x v="942"/>
    <x v="730"/>
    <s v="FRE"/>
    <x v="2"/>
    <n v="499"/>
    <n v="0"/>
    <n v="500"/>
    <n v="2917802"/>
    <n v="29500000"/>
  </r>
  <r>
    <n v="1389"/>
    <x v="943"/>
    <x v="731"/>
    <s v="FRE"/>
    <x v="2"/>
    <n v="999"/>
    <n v="0"/>
    <n v="1000"/>
    <n v="5749206"/>
    <n v="55000000"/>
  </r>
  <r>
    <n v="1390"/>
    <x v="944"/>
    <x v="18"/>
    <m/>
    <x v="1"/>
    <n v="1498"/>
    <n v="0"/>
    <n v="1500"/>
    <n v="8667008"/>
    <n v="84500000"/>
  </r>
  <r>
    <n v="1391"/>
    <x v="945"/>
    <x v="732"/>
    <s v="FRE"/>
    <x v="2"/>
    <n v="1000"/>
    <n v="0"/>
    <n v="1000"/>
    <n v="7480000"/>
    <n v="53000000"/>
  </r>
  <r>
    <n v="1392"/>
    <x v="946"/>
    <x v="733"/>
    <s v="FRE"/>
    <x v="2"/>
    <n v="1500"/>
    <n v="0"/>
    <n v="1500"/>
    <n v="11220000"/>
    <n v="73500000"/>
  </r>
  <r>
    <n v="1393"/>
    <x v="947"/>
    <x v="18"/>
    <m/>
    <x v="1"/>
    <n v="2500"/>
    <n v="0"/>
    <n v="2500"/>
    <n v="18700000"/>
    <n v="126500000"/>
  </r>
  <r>
    <n v="1394"/>
    <x v="948"/>
    <x v="734"/>
    <s v="FRE"/>
    <x v="2"/>
    <n v="999"/>
    <n v="0"/>
    <n v="1000"/>
    <n v="5112512.0000000009"/>
    <n v="43000000"/>
  </r>
  <r>
    <n v="1395"/>
    <x v="949"/>
    <x v="735"/>
    <s v="FRE"/>
    <x v="2"/>
    <n v="995"/>
    <n v="0"/>
    <n v="1000"/>
    <n v="4003402.0000000009"/>
    <n v="43000000"/>
  </r>
  <r>
    <n v="1396"/>
    <x v="950"/>
    <x v="736"/>
    <s v="FRE"/>
    <x v="2"/>
    <n v="999"/>
    <n v="0"/>
    <n v="1000"/>
    <n v="4863032.0000000009"/>
    <n v="43000000"/>
  </r>
  <r>
    <n v="1397"/>
    <x v="951"/>
    <x v="18"/>
    <m/>
    <x v="1"/>
    <n v="2993"/>
    <n v="0"/>
    <n v="3000"/>
    <n v="13978946.000000004"/>
    <n v="129000000"/>
  </r>
  <r>
    <n v="1398"/>
    <x v="952"/>
    <x v="737"/>
    <s v="OSM"/>
    <x v="2"/>
    <n v="600"/>
    <n v="0"/>
    <n v="600"/>
    <n v="3420516"/>
    <n v="29400000"/>
  </r>
  <r>
    <n v="1399"/>
    <x v="952"/>
    <x v="737"/>
    <s v="OML"/>
    <x v="2"/>
    <n v="600"/>
    <n v="0"/>
    <n v="600"/>
    <n v="3420516"/>
    <n v="29400000"/>
  </r>
  <r>
    <n v="1400"/>
    <x v="953"/>
    <x v="18"/>
    <m/>
    <x v="1"/>
    <n v="1200"/>
    <n v="0"/>
    <n v="1200"/>
    <n v="6841032"/>
    <n v="58800000"/>
  </r>
  <r>
    <n v="1401"/>
    <x v="954"/>
    <x v="738"/>
    <s v="FRE"/>
    <x v="0"/>
    <n v="20"/>
    <n v="0"/>
    <n v="20"/>
    <n v="368181.81818181818"/>
    <n v="900000"/>
  </r>
  <r>
    <n v="1402"/>
    <x v="955"/>
    <x v="739"/>
    <s v="FRE"/>
    <x v="0"/>
    <n v="149"/>
    <n v="0"/>
    <n v="150"/>
    <n v="2761363.6363636362"/>
    <n v="6750000"/>
  </r>
  <r>
    <n v="1403"/>
    <x v="956"/>
    <x v="740"/>
    <s v="FRE"/>
    <x v="0"/>
    <n v="28"/>
    <n v="0"/>
    <n v="28"/>
    <n v="515454.54545454541"/>
    <n v="1260000"/>
  </r>
  <r>
    <n v="1404"/>
    <x v="957"/>
    <x v="741"/>
    <s v="FRE"/>
    <x v="0"/>
    <n v="200"/>
    <n v="0"/>
    <n v="200"/>
    <n v="3681818.1818181816"/>
    <n v="9000000"/>
  </r>
  <r>
    <n v="1405"/>
    <x v="958"/>
    <x v="18"/>
    <m/>
    <x v="1"/>
    <n v="397"/>
    <n v="0"/>
    <n v="398"/>
    <n v="7326818.1818181816"/>
    <n v="17910000"/>
  </r>
  <r>
    <n v="1406"/>
    <x v="959"/>
    <x v="742"/>
    <s v="FRE"/>
    <x v="0"/>
    <n v="200"/>
    <n v="0"/>
    <n v="200"/>
    <n v="3681818.1818181816"/>
    <n v="9000000"/>
  </r>
  <r>
    <n v="1407"/>
    <x v="960"/>
    <x v="743"/>
    <s v="FRE"/>
    <x v="0"/>
    <n v="200"/>
    <n v="0"/>
    <n v="200"/>
    <n v="4500000"/>
    <n v="11000000"/>
  </r>
  <r>
    <n v="1408"/>
    <x v="961"/>
    <x v="744"/>
    <s v="FRE"/>
    <x v="0"/>
    <n v="200"/>
    <n v="0"/>
    <n v="200"/>
    <n v="4009090.9090909087"/>
    <n v="9800000"/>
  </r>
  <r>
    <n v="1409"/>
    <x v="962"/>
    <x v="18"/>
    <m/>
    <x v="1"/>
    <n v="600"/>
    <n v="0"/>
    <n v="600"/>
    <n v="12190909.09090909"/>
    <n v="29800000"/>
  </r>
  <r>
    <n v="1410"/>
    <x v="963"/>
    <x v="699"/>
    <s v="FRE"/>
    <x v="2"/>
    <n v="1040"/>
    <n v="0"/>
    <n v="1000"/>
    <n v="9500000"/>
    <n v="45000000"/>
  </r>
  <r>
    <n v="1411"/>
    <x v="964"/>
    <x v="18"/>
    <m/>
    <x v="1"/>
    <n v="1040"/>
    <n v="0"/>
    <n v="1000"/>
    <n v="9500000"/>
    <n v="45000000"/>
  </r>
  <r>
    <n v="1412"/>
    <x v="965"/>
    <x v="742"/>
    <s v="FRE"/>
    <x v="0"/>
    <n v="70"/>
    <n v="0"/>
    <n v="70"/>
    <n v="1288636.3636363635"/>
    <n v="3150000"/>
  </r>
  <r>
    <n v="1413"/>
    <x v="966"/>
    <x v="744"/>
    <s v="FRE"/>
    <x v="0"/>
    <n v="70"/>
    <n v="0"/>
    <n v="70"/>
    <n v="1403181.8181818181"/>
    <n v="3430000"/>
  </r>
  <r>
    <n v="1414"/>
    <x v="967"/>
    <x v="18"/>
    <m/>
    <x v="1"/>
    <n v="140"/>
    <n v="0"/>
    <n v="140"/>
    <n v="2691818.1818181816"/>
    <n v="6580000"/>
  </r>
  <r>
    <n v="1415"/>
    <x v="968"/>
    <x v="428"/>
    <s v="FRE"/>
    <x v="2"/>
    <n v="600"/>
    <n v="0"/>
    <n v="600"/>
    <n v="6874548"/>
    <n v="41400000"/>
  </r>
  <r>
    <n v="1416"/>
    <x v="969"/>
    <x v="18"/>
    <m/>
    <x v="1"/>
    <n v="600"/>
    <n v="0"/>
    <n v="600"/>
    <n v="6874548"/>
    <n v="41400000"/>
  </r>
  <r>
    <n v="1417"/>
    <x v="970"/>
    <x v="700"/>
    <s v="FRE"/>
    <x v="2"/>
    <n v="804"/>
    <n v="0"/>
    <n v="800"/>
    <n v="7920000"/>
    <n v="36000000"/>
  </r>
  <r>
    <n v="1418"/>
    <x v="971"/>
    <x v="701"/>
    <s v="FRE"/>
    <x v="2"/>
    <n v="502"/>
    <n v="0"/>
    <n v="500"/>
    <n v="4950000"/>
    <n v="24500000"/>
  </r>
  <r>
    <n v="1419"/>
    <x v="972"/>
    <x v="18"/>
    <m/>
    <x v="1"/>
    <n v="1306"/>
    <n v="0"/>
    <n v="1300"/>
    <n v="12870000"/>
    <n v="60500000"/>
  </r>
  <r>
    <n v="1420"/>
    <x v="973"/>
    <x v="600"/>
    <s v="FRE"/>
    <x v="2"/>
    <n v="900"/>
    <n v="0"/>
    <n v="900"/>
    <n v="31266000"/>
    <n v="134100000"/>
  </r>
  <r>
    <n v="1421"/>
    <x v="974"/>
    <x v="18"/>
    <m/>
    <x v="1"/>
    <n v="900"/>
    <n v="0"/>
    <n v="900"/>
    <n v="31266000"/>
    <n v="134100000"/>
  </r>
  <r>
    <n v="1422"/>
    <x v="975"/>
    <x v="648"/>
    <s v="FRE"/>
    <x v="2"/>
    <n v="1811"/>
    <n v="0"/>
    <n v="2000"/>
    <n v="9898920"/>
    <n v="98000000"/>
  </r>
  <r>
    <n v="1423"/>
    <x v="976"/>
    <x v="18"/>
    <m/>
    <x v="1"/>
    <n v="1811"/>
    <n v="0"/>
    <n v="2000"/>
    <n v="9898920"/>
    <n v="98000000"/>
  </r>
  <r>
    <n v="1424"/>
    <x v="977"/>
    <x v="745"/>
    <s v="FRE"/>
    <x v="2"/>
    <n v="993"/>
    <n v="0"/>
    <n v="1000"/>
    <n v="8800000"/>
    <n v="49000000"/>
  </r>
  <r>
    <n v="1425"/>
    <x v="978"/>
    <x v="746"/>
    <s v="FRE"/>
    <x v="2"/>
    <n v="504"/>
    <n v="0"/>
    <n v="500"/>
    <n v="4900000"/>
    <n v="24500000"/>
  </r>
  <r>
    <n v="1426"/>
    <x v="979"/>
    <x v="747"/>
    <s v="FRE"/>
    <x v="2"/>
    <n v="500"/>
    <n v="0"/>
    <n v="500"/>
    <n v="4800000"/>
    <n v="24500000"/>
  </r>
  <r>
    <n v="1427"/>
    <x v="980"/>
    <x v="18"/>
    <m/>
    <x v="1"/>
    <n v="1997"/>
    <n v="0"/>
    <n v="2000"/>
    <n v="18500000"/>
    <n v="98000000"/>
  </r>
  <r>
    <n v="1428"/>
    <x v="981"/>
    <x v="746"/>
    <s v="FRE"/>
    <x v="2"/>
    <n v="501"/>
    <n v="0"/>
    <n v="500"/>
    <n v="3345970.0000000005"/>
    <n v="24500000"/>
  </r>
  <r>
    <n v="1429"/>
    <x v="982"/>
    <x v="747"/>
    <s v="FRE"/>
    <x v="2"/>
    <n v="496"/>
    <n v="0"/>
    <n v="500"/>
    <n v="3509170"/>
    <n v="24500000"/>
  </r>
  <r>
    <n v="1430"/>
    <x v="983"/>
    <x v="18"/>
    <m/>
    <x v="1"/>
    <n v="997"/>
    <n v="0"/>
    <n v="1000"/>
    <n v="6855140"/>
    <n v="49000000"/>
  </r>
  <r>
    <n v="1431"/>
    <x v="984"/>
    <x v="748"/>
    <s v="FRE"/>
    <x v="0"/>
    <n v="200"/>
    <n v="0"/>
    <n v="200"/>
    <n v="2863636.3636363633"/>
    <n v="7000000"/>
  </r>
  <r>
    <n v="1432"/>
    <x v="985"/>
    <x v="749"/>
    <s v="FRE"/>
    <x v="0"/>
    <n v="150"/>
    <n v="0"/>
    <n v="150"/>
    <n v="2147727.2727272725"/>
    <n v="5250000"/>
  </r>
  <r>
    <n v="1433"/>
    <x v="986"/>
    <x v="18"/>
    <m/>
    <x v="1"/>
    <n v="350"/>
    <n v="0"/>
    <n v="350"/>
    <n v="5011363.6363636358"/>
    <n v="12250000"/>
  </r>
  <r>
    <n v="1434"/>
    <x v="987"/>
    <x v="586"/>
    <s v="FRE"/>
    <x v="2"/>
    <n v="300"/>
    <n v="0"/>
    <n v="300"/>
    <n v="7560000"/>
    <n v="37500000"/>
  </r>
  <r>
    <n v="1435"/>
    <x v="988"/>
    <x v="18"/>
    <m/>
    <x v="1"/>
    <n v="300"/>
    <n v="0"/>
    <n v="300"/>
    <n v="7560000"/>
    <n v="37500000"/>
  </r>
  <r>
    <n v="1436"/>
    <x v="989"/>
    <x v="750"/>
    <s v="FRE"/>
    <x v="2"/>
    <n v="150"/>
    <n v="0"/>
    <n v="150"/>
    <n v="1907250"/>
    <n v="7350000"/>
  </r>
  <r>
    <n v="1437"/>
    <x v="990"/>
    <x v="751"/>
    <s v="FRE"/>
    <x v="2"/>
    <n v="150"/>
    <n v="0"/>
    <n v="150"/>
    <n v="1892250"/>
    <n v="7350000"/>
  </r>
  <r>
    <n v="1438"/>
    <x v="991"/>
    <x v="752"/>
    <s v="FRE"/>
    <x v="2"/>
    <n v="150"/>
    <n v="0"/>
    <n v="150"/>
    <n v="1952250"/>
    <n v="7350000"/>
  </r>
  <r>
    <n v="1439"/>
    <x v="992"/>
    <x v="753"/>
    <s v="FRE"/>
    <x v="2"/>
    <n v="150"/>
    <n v="0"/>
    <n v="150"/>
    <n v="1757250"/>
    <n v="7350000"/>
  </r>
  <r>
    <n v="1440"/>
    <x v="993"/>
    <x v="18"/>
    <m/>
    <x v="1"/>
    <n v="600"/>
    <n v="0"/>
    <n v="600"/>
    <n v="7509000"/>
    <n v="29400000"/>
  </r>
  <r>
    <n v="1441"/>
    <x v="994"/>
    <x v="754"/>
    <s v="FRE"/>
    <x v="2"/>
    <n v="300"/>
    <n v="0"/>
    <n v="300"/>
    <n v="3808500"/>
    <n v="14700000"/>
  </r>
  <r>
    <n v="1442"/>
    <x v="995"/>
    <x v="755"/>
    <s v="FRE"/>
    <x v="2"/>
    <n v="300"/>
    <n v="0"/>
    <n v="300"/>
    <n v="3778500"/>
    <n v="14700000"/>
  </r>
  <r>
    <n v="1443"/>
    <x v="996"/>
    <x v="756"/>
    <s v="FRE"/>
    <x v="2"/>
    <n v="300"/>
    <n v="0"/>
    <n v="300"/>
    <n v="3898500"/>
    <n v="14700000"/>
  </r>
  <r>
    <n v="1444"/>
    <x v="997"/>
    <x v="757"/>
    <s v="FRE"/>
    <x v="2"/>
    <n v="300"/>
    <n v="0"/>
    <n v="300"/>
    <n v="3508500"/>
    <n v="14700000"/>
  </r>
  <r>
    <n v="1445"/>
    <x v="998"/>
    <x v="18"/>
    <m/>
    <x v="1"/>
    <n v="1200"/>
    <n v="0"/>
    <n v="1200"/>
    <n v="14994000"/>
    <n v="58800000"/>
  </r>
  <r>
    <n v="1446"/>
    <x v="999"/>
    <x v="758"/>
    <s v="FRE"/>
    <x v="0"/>
    <n v="100"/>
    <n v="0"/>
    <n v="100"/>
    <n v="1840909.0909090908"/>
    <n v="4500000"/>
  </r>
  <r>
    <n v="1447"/>
    <x v="1000"/>
    <x v="759"/>
    <s v="FRE"/>
    <x v="0"/>
    <n v="100"/>
    <n v="0"/>
    <n v="100"/>
    <n v="1840909.0909090908"/>
    <n v="4500000"/>
  </r>
  <r>
    <n v="1448"/>
    <x v="1001"/>
    <x v="760"/>
    <s v="FRE"/>
    <x v="0"/>
    <n v="100"/>
    <n v="0"/>
    <n v="100"/>
    <n v="2004545.4545454544"/>
    <n v="4900000"/>
  </r>
  <r>
    <n v="1449"/>
    <x v="1002"/>
    <x v="761"/>
    <s v="FRE"/>
    <x v="0"/>
    <n v="150"/>
    <n v="0"/>
    <n v="150"/>
    <n v="3006818.1818181816"/>
    <n v="7350000"/>
  </r>
  <r>
    <n v="1450"/>
    <x v="1003"/>
    <x v="762"/>
    <s v="FRE"/>
    <x v="0"/>
    <n v="100"/>
    <n v="0"/>
    <n v="100"/>
    <n v="1840909.0909090908"/>
    <n v="4500000"/>
  </r>
  <r>
    <n v="1451"/>
    <x v="1004"/>
    <x v="763"/>
    <s v="FRE"/>
    <x v="0"/>
    <n v="100"/>
    <n v="0"/>
    <n v="100"/>
    <n v="1431818.1818181816"/>
    <n v="3500000"/>
  </r>
  <r>
    <n v="1452"/>
    <x v="1005"/>
    <x v="764"/>
    <s v="FRE"/>
    <x v="0"/>
    <n v="150"/>
    <n v="0"/>
    <n v="150"/>
    <n v="2147727.2727272725"/>
    <n v="5250000"/>
  </r>
  <r>
    <n v="1453"/>
    <x v="1006"/>
    <x v="765"/>
    <s v="FRE"/>
    <x v="0"/>
    <n v="150"/>
    <n v="0"/>
    <n v="150"/>
    <n v="2147727.2727272725"/>
    <n v="5250000"/>
  </r>
  <r>
    <n v="1454"/>
    <x v="1007"/>
    <x v="18"/>
    <m/>
    <x v="1"/>
    <n v="950"/>
    <n v="0"/>
    <n v="950"/>
    <n v="16261363.636363633"/>
    <n v="39750000"/>
  </r>
  <r>
    <n v="1455"/>
    <x v="1008"/>
    <x v="592"/>
    <s v="FRE"/>
    <x v="2"/>
    <n v="1000"/>
    <n v="0"/>
    <n v="1000"/>
    <n v="12369260.000000004"/>
    <n v="55000000"/>
  </r>
  <r>
    <n v="1456"/>
    <x v="1009"/>
    <x v="593"/>
    <s v="FRE"/>
    <x v="2"/>
    <n v="1000"/>
    <n v="0"/>
    <n v="1000"/>
    <n v="12369260.000000004"/>
    <n v="55000000"/>
  </r>
  <r>
    <n v="1457"/>
    <x v="1010"/>
    <x v="18"/>
    <m/>
    <x v="1"/>
    <n v="2000"/>
    <n v="0"/>
    <n v="2000"/>
    <n v="24738520.000000007"/>
    <n v="110000000"/>
  </r>
  <r>
    <n v="1458"/>
    <x v="1011"/>
    <x v="595"/>
    <s v="FRE"/>
    <x v="2"/>
    <n v="500"/>
    <n v="0"/>
    <n v="500"/>
    <n v="2155528.0000000005"/>
    <n v="18500000"/>
  </r>
  <r>
    <n v="1459"/>
    <x v="1012"/>
    <x v="596"/>
    <s v="FRE"/>
    <x v="2"/>
    <n v="500"/>
    <n v="0"/>
    <n v="500"/>
    <n v="2155528.0000000005"/>
    <n v="18500000"/>
  </r>
  <r>
    <n v="1460"/>
    <x v="1013"/>
    <x v="18"/>
    <m/>
    <x v="1"/>
    <n v="1000"/>
    <n v="0"/>
    <n v="1000"/>
    <n v="4311056.0000000009"/>
    <n v="37000000"/>
  </r>
  <r>
    <n v="1461"/>
    <x v="1014"/>
    <x v="152"/>
    <s v="OSM"/>
    <x v="2"/>
    <n v="209"/>
    <n v="0"/>
    <n v="200"/>
    <n v="1852612.0000000002"/>
    <n v="11000000"/>
  </r>
  <r>
    <n v="1462"/>
    <x v="1014"/>
    <x v="152"/>
    <s v="OML"/>
    <x v="2"/>
    <n v="301"/>
    <n v="0"/>
    <n v="300"/>
    <n v="2778918.0000000005"/>
    <n v="16500000"/>
  </r>
  <r>
    <n v="1463"/>
    <x v="1015"/>
    <x v="153"/>
    <s v="OSM"/>
    <x v="2"/>
    <n v="196"/>
    <n v="0"/>
    <n v="200"/>
    <n v="1884360.0000000002"/>
    <n v="11000000"/>
  </r>
  <r>
    <n v="1464"/>
    <x v="1015"/>
    <x v="153"/>
    <s v="OML"/>
    <x v="2"/>
    <n v="294"/>
    <n v="0"/>
    <n v="300"/>
    <n v="2826540.0000000005"/>
    <n v="16500000"/>
  </r>
  <r>
    <n v="1465"/>
    <x v="1016"/>
    <x v="18"/>
    <m/>
    <x v="1"/>
    <n v="1000"/>
    <n v="0"/>
    <n v="1000"/>
    <n v="9342430.0000000019"/>
    <n v="55000000"/>
  </r>
  <r>
    <n v="1466"/>
    <x v="1017"/>
    <x v="541"/>
    <s v="FRE"/>
    <x v="2"/>
    <n v="497"/>
    <n v="0"/>
    <n v="500"/>
    <n v="3253240.0000000005"/>
    <n v="22500000"/>
  </r>
  <r>
    <n v="1467"/>
    <x v="1018"/>
    <x v="542"/>
    <s v="OML"/>
    <x v="2"/>
    <n v="203"/>
    <n v="0"/>
    <n v="200"/>
    <n v="1337296.0000000002"/>
    <n v="8600000"/>
  </r>
  <r>
    <n v="1468"/>
    <x v="1019"/>
    <x v="18"/>
    <m/>
    <x v="1"/>
    <n v="700"/>
    <n v="0"/>
    <n v="700"/>
    <n v="4590536.0000000009"/>
    <n v="31100000"/>
  </r>
  <r>
    <n v="1469"/>
    <x v="1020"/>
    <x v="766"/>
    <s v="FRE"/>
    <x v="2"/>
    <n v="600"/>
    <n v="0"/>
    <n v="600"/>
    <n v="3900000"/>
    <n v="17400000"/>
  </r>
  <r>
    <n v="1470"/>
    <x v="1021"/>
    <x v="767"/>
    <s v="FRE"/>
    <x v="2"/>
    <n v="600"/>
    <n v="0"/>
    <n v="600"/>
    <n v="3900000"/>
    <n v="17400000"/>
  </r>
  <r>
    <n v="1471"/>
    <x v="1022"/>
    <x v="768"/>
    <s v="FRE"/>
    <x v="2"/>
    <n v="800"/>
    <n v="0"/>
    <n v="800"/>
    <n v="5200000"/>
    <n v="23200000"/>
  </r>
  <r>
    <n v="1472"/>
    <x v="1023"/>
    <x v="18"/>
    <m/>
    <x v="1"/>
    <n v="2000"/>
    <n v="0"/>
    <n v="2000"/>
    <n v="13000000"/>
    <n v="58000000"/>
  </r>
  <r>
    <n v="1473"/>
    <x v="1024"/>
    <x v="758"/>
    <s v="FRE"/>
    <x v="0"/>
    <n v="150"/>
    <n v="0"/>
    <n v="150"/>
    <n v="2761363.6363636362"/>
    <n v="6750000"/>
  </r>
  <r>
    <n v="1474"/>
    <x v="1025"/>
    <x v="764"/>
    <s v="FRE"/>
    <x v="0"/>
    <n v="200"/>
    <n v="0"/>
    <n v="200"/>
    <n v="2863636.3636363633"/>
    <n v="7000000"/>
  </r>
  <r>
    <n v="1475"/>
    <x v="1026"/>
    <x v="765"/>
    <s v="FRE"/>
    <x v="0"/>
    <n v="150"/>
    <n v="0"/>
    <n v="150"/>
    <n v="2147727.2727272725"/>
    <n v="5250000"/>
  </r>
  <r>
    <n v="1476"/>
    <x v="1027"/>
    <x v="769"/>
    <s v="FRE"/>
    <x v="0"/>
    <n v="200"/>
    <n v="0"/>
    <n v="200"/>
    <n v="3681818.1818181816"/>
    <n v="9000000"/>
  </r>
  <r>
    <n v="1477"/>
    <x v="1028"/>
    <x v="770"/>
    <s v="FRE"/>
    <x v="0"/>
    <n v="300"/>
    <n v="0"/>
    <n v="300"/>
    <n v="5522727.2727272725"/>
    <n v="13500000"/>
  </r>
  <r>
    <n v="1478"/>
    <x v="1029"/>
    <x v="18"/>
    <m/>
    <x v="1"/>
    <n v="1000"/>
    <n v="0"/>
    <n v="1000"/>
    <n v="16977272.727272727"/>
    <n v="41500000"/>
  </r>
  <r>
    <n v="1479"/>
    <x v="1030"/>
    <x v="771"/>
    <s v="FRE"/>
    <x v="0"/>
    <n v="100"/>
    <n v="0"/>
    <n v="100"/>
    <n v="2781818.1818181816"/>
    <n v="6800000"/>
  </r>
  <r>
    <n v="1480"/>
    <x v="1031"/>
    <x v="772"/>
    <s v="FRE"/>
    <x v="0"/>
    <n v="50"/>
    <n v="0"/>
    <n v="50"/>
    <n v="920454.54545454541"/>
    <n v="2250000"/>
  </r>
  <r>
    <n v="1481"/>
    <x v="1032"/>
    <x v="773"/>
    <s v="FRE"/>
    <x v="0"/>
    <n v="100"/>
    <n v="0"/>
    <n v="100"/>
    <n v="1840909.0909090908"/>
    <n v="4500000"/>
  </r>
  <r>
    <n v="1482"/>
    <x v="1033"/>
    <x v="774"/>
    <s v="FRE"/>
    <x v="0"/>
    <n v="100"/>
    <n v="0"/>
    <n v="100"/>
    <n v="2331818.1818181816"/>
    <n v="5700000"/>
  </r>
  <r>
    <n v="1483"/>
    <x v="1034"/>
    <x v="775"/>
    <s v="FRE"/>
    <x v="0"/>
    <n v="50"/>
    <n v="0"/>
    <n v="50"/>
    <n v="920454.54545454541"/>
    <n v="2250000"/>
  </r>
  <r>
    <n v="1484"/>
    <x v="1035"/>
    <x v="18"/>
    <m/>
    <x v="1"/>
    <n v="400"/>
    <n v="0"/>
    <n v="400"/>
    <n v="8795454.5454545449"/>
    <n v="21500000"/>
  </r>
  <r>
    <n v="1485"/>
    <x v="1036"/>
    <x v="776"/>
    <s v="FRE"/>
    <x v="0"/>
    <n v="40"/>
    <n v="0"/>
    <n v="40"/>
    <n v="966254.54545454541"/>
    <n v="2360000"/>
  </r>
  <r>
    <n v="1486"/>
    <x v="1037"/>
    <x v="777"/>
    <s v="FRE"/>
    <x v="0"/>
    <n v="40"/>
    <n v="0"/>
    <n v="40"/>
    <n v="966254.54545454541"/>
    <n v="2360000"/>
  </r>
  <r>
    <n v="1487"/>
    <x v="1038"/>
    <x v="778"/>
    <s v="FRE"/>
    <x v="0"/>
    <n v="40"/>
    <n v="0"/>
    <n v="40"/>
    <n v="966254.54545454541"/>
    <n v="2360000"/>
  </r>
  <r>
    <n v="1488"/>
    <x v="1039"/>
    <x v="779"/>
    <s v="FRE"/>
    <x v="0"/>
    <n v="40"/>
    <n v="0"/>
    <n v="40"/>
    <n v="966254.54545454541"/>
    <n v="2360000"/>
  </r>
  <r>
    <n v="1489"/>
    <x v="1040"/>
    <x v="780"/>
    <s v="FRE"/>
    <x v="0"/>
    <n v="40"/>
    <n v="0"/>
    <n v="40"/>
    <n v="966254.54545454541"/>
    <n v="2360000"/>
  </r>
  <r>
    <n v="1490"/>
    <x v="1041"/>
    <x v="18"/>
    <m/>
    <x v="1"/>
    <n v="200"/>
    <n v="0"/>
    <n v="200"/>
    <n v="4831272.7272727266"/>
    <n v="11800000"/>
  </r>
  <r>
    <n v="1491"/>
    <x v="1042"/>
    <x v="781"/>
    <s v="FRE"/>
    <x v="0"/>
    <n v="100"/>
    <n v="0"/>
    <n v="100"/>
    <n v="1963636.3636363635"/>
    <n v="4800000"/>
  </r>
  <r>
    <n v="1492"/>
    <x v="1043"/>
    <x v="782"/>
    <s v="FRE"/>
    <x v="0"/>
    <n v="100"/>
    <n v="0"/>
    <n v="100"/>
    <n v="1963636.3636363635"/>
    <n v="4800000"/>
  </r>
  <r>
    <n v="1493"/>
    <x v="1044"/>
    <x v="783"/>
    <s v="FRE"/>
    <x v="0"/>
    <n v="100"/>
    <n v="0"/>
    <n v="100"/>
    <n v="1963636.3636363635"/>
    <n v="4800000"/>
  </r>
  <r>
    <n v="1494"/>
    <x v="1045"/>
    <x v="784"/>
    <s v="FRE"/>
    <x v="0"/>
    <n v="100"/>
    <n v="0"/>
    <n v="100"/>
    <n v="1431818.1818181816"/>
    <n v="3500000"/>
  </r>
  <r>
    <n v="1495"/>
    <x v="1046"/>
    <x v="785"/>
    <s v="FRE"/>
    <x v="0"/>
    <n v="100"/>
    <n v="0"/>
    <n v="100"/>
    <n v="1431818.1818181816"/>
    <n v="3500000"/>
  </r>
  <r>
    <n v="1496"/>
    <x v="1047"/>
    <x v="18"/>
    <m/>
    <x v="1"/>
    <n v="500"/>
    <n v="0"/>
    <n v="500"/>
    <n v="8754545.4545454532"/>
    <n v="21400000"/>
  </r>
  <r>
    <n v="1497"/>
    <x v="1048"/>
    <x v="776"/>
    <s v="FRE"/>
    <x v="0"/>
    <n v="5"/>
    <n v="0"/>
    <n v="5"/>
    <n v="120781.81818181818"/>
    <n v="295000"/>
  </r>
  <r>
    <n v="1498"/>
    <x v="1049"/>
    <x v="777"/>
    <s v="FRE"/>
    <x v="0"/>
    <n v="5"/>
    <n v="0"/>
    <n v="5"/>
    <n v="120781.81818181818"/>
    <n v="295000"/>
  </r>
  <r>
    <n v="1499"/>
    <x v="1050"/>
    <x v="778"/>
    <s v="FRE"/>
    <x v="0"/>
    <n v="5"/>
    <n v="0"/>
    <n v="5"/>
    <n v="120781.81818181818"/>
    <n v="295000"/>
  </r>
  <r>
    <n v="1500"/>
    <x v="1051"/>
    <x v="779"/>
    <s v="FRE"/>
    <x v="0"/>
    <n v="5"/>
    <n v="0"/>
    <n v="5"/>
    <n v="120781.81818181818"/>
    <n v="295000"/>
  </r>
  <r>
    <n v="1501"/>
    <x v="1052"/>
    <x v="780"/>
    <s v="FRE"/>
    <x v="0"/>
    <n v="5"/>
    <n v="0"/>
    <n v="5"/>
    <n v="120781.81818181818"/>
    <n v="295000"/>
  </r>
  <r>
    <n v="1502"/>
    <x v="1053"/>
    <x v="18"/>
    <m/>
    <x v="1"/>
    <n v="25"/>
    <n v="0"/>
    <n v="25"/>
    <n v="603909.09090909082"/>
    <n v="1475000"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  <r>
    <m/>
    <x v="1054"/>
    <x v="786"/>
    <m/>
    <x v="1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31">
  <r>
    <x v="0"/>
    <x v="0"/>
    <s v="NHLSNF3001"/>
    <n v="1"/>
    <s v=""/>
    <n v="0"/>
    <s v="NHLSNF3001BK"/>
    <n v="1"/>
    <s v=""/>
    <n v="0"/>
    <x v="0"/>
    <x v="0"/>
    <x v="0"/>
    <x v="0"/>
    <x v="0"/>
    <x v="0"/>
    <s v="NHLSNF3001"/>
    <s v="NHLSNF3001BK"/>
    <x v="0"/>
    <n v="792"/>
    <x v="0"/>
    <x v="0"/>
    <n v="3.4437263874493311"/>
    <n v="792"/>
    <n v="0"/>
  </r>
  <r>
    <x v="0"/>
    <x v="0"/>
    <s v="NHLSNF3002"/>
    <n v="1"/>
    <s v=""/>
    <n v="0"/>
    <s v="NHLSNF3002BK"/>
    <n v="1"/>
    <s v=""/>
    <n v="0"/>
    <x v="0"/>
    <x v="0"/>
    <x v="0"/>
    <x v="0"/>
    <x v="0"/>
    <x v="0"/>
    <s v="NHLSNF3002"/>
    <s v="NHLSNF3002BK"/>
    <x v="0"/>
    <n v="792"/>
    <x v="0"/>
    <x v="0"/>
    <n v="3.4437263874493311"/>
    <n v="792"/>
    <n v="0"/>
  </r>
  <r>
    <x v="0"/>
    <x v="0"/>
    <s v="NHLSNF3003"/>
    <n v="1"/>
    <s v=""/>
    <n v="0"/>
    <s v="NHLSNF3003BK"/>
    <n v="1"/>
    <s v=""/>
    <n v="0"/>
    <x v="0"/>
    <x v="0"/>
    <x v="0"/>
    <x v="0"/>
    <x v="0"/>
    <x v="0"/>
    <s v="NHLSNF3003"/>
    <s v="NHLSNF3003BK"/>
    <x v="0"/>
    <n v="792"/>
    <x v="0"/>
    <x v="0"/>
    <n v="3.4437263874493311"/>
    <n v="792"/>
    <n v="0"/>
  </r>
  <r>
    <x v="0"/>
    <x v="0"/>
    <s v="NHLSNF3004"/>
    <n v="1"/>
    <s v=""/>
    <n v="0"/>
    <s v="NHLSNF3004RE"/>
    <n v="1"/>
    <s v=""/>
    <n v="0"/>
    <x v="0"/>
    <x v="0"/>
    <x v="0"/>
    <x v="0"/>
    <x v="0"/>
    <x v="0"/>
    <s v="NHLSNF3004"/>
    <s v="NHLSNF3004RE"/>
    <x v="0"/>
    <n v="600"/>
    <x v="1"/>
    <x v="1"/>
    <n v="3.1338576904020909"/>
    <n v="600"/>
    <n v="0"/>
  </r>
  <r>
    <x v="0"/>
    <x v="0"/>
    <s v="NHLSNF3005"/>
    <n v="1"/>
    <s v=""/>
    <n v="0"/>
    <s v="NHLSNF3005BK"/>
    <n v="1"/>
    <s v=""/>
    <n v="0"/>
    <x v="0"/>
    <x v="0"/>
    <x v="0"/>
    <x v="0"/>
    <x v="0"/>
    <x v="0"/>
    <s v="NHLSNF3005"/>
    <s v="NHLSNF3005BK"/>
    <x v="0"/>
    <n v="996"/>
    <x v="2"/>
    <x v="2"/>
    <n v="3.3026674059357388"/>
    <n v="996"/>
    <n v="0"/>
  </r>
  <r>
    <x v="0"/>
    <x v="0"/>
    <s v="NHLSNF3006"/>
    <n v="1"/>
    <s v=""/>
    <n v="0"/>
    <s v="NHLSNF3006NY"/>
    <n v="1"/>
    <s v=""/>
    <n v="0"/>
    <x v="0"/>
    <x v="0"/>
    <x v="0"/>
    <x v="0"/>
    <x v="0"/>
    <x v="0"/>
    <s v="NHLSNF3006"/>
    <s v="NHLSNF3006NY"/>
    <x v="0"/>
    <n v="600"/>
    <x v="3"/>
    <x v="3"/>
    <n v="3.3026674059357384"/>
    <n v="600"/>
    <n v="0"/>
  </r>
  <r>
    <x v="0"/>
    <x v="0"/>
    <s v="NHLSNF3007"/>
    <n v="1"/>
    <s v=""/>
    <n v="0"/>
    <s v="NHLSNF3007RE"/>
    <n v="1"/>
    <s v=""/>
    <n v="0"/>
    <x v="0"/>
    <x v="0"/>
    <x v="0"/>
    <x v="0"/>
    <x v="0"/>
    <x v="0"/>
    <s v="NHLSNF3007"/>
    <s v="NHLSNF3007RE"/>
    <x v="0"/>
    <n v="600"/>
    <x v="3"/>
    <x v="3"/>
    <n v="3.3026674059357384"/>
    <n v="600"/>
    <n v="0"/>
  </r>
  <r>
    <x v="0"/>
    <x v="0"/>
    <s v="NHLSNF3008"/>
    <n v="1"/>
    <s v=""/>
    <n v="0"/>
    <s v="NHLSNF3008WH"/>
    <n v="1"/>
    <s v=""/>
    <n v="0"/>
    <x v="0"/>
    <x v="0"/>
    <x v="0"/>
    <x v="0"/>
    <x v="0"/>
    <x v="0"/>
    <s v="NHLSNF3008"/>
    <s v="NHLSNF3008WH"/>
    <x v="0"/>
    <n v="600"/>
    <x v="3"/>
    <x v="3"/>
    <n v="3.3026674059357384"/>
    <n v="600"/>
    <n v="0"/>
  </r>
  <r>
    <x v="0"/>
    <x v="0"/>
    <s v="NHLFIF3009"/>
    <n v="1"/>
    <s v=""/>
    <n v="0"/>
    <s v="NHLFIF3009BK"/>
    <n v="1"/>
    <s v=""/>
    <n v="0"/>
    <x v="0"/>
    <x v="0"/>
    <x v="0"/>
    <x v="1"/>
    <x v="0"/>
    <x v="0"/>
    <s v="NHLFIF3009"/>
    <s v="NHLFIF3009BK"/>
    <x v="0"/>
    <n v="792"/>
    <x v="4"/>
    <x v="4"/>
    <n v="3.3026674059357388"/>
    <n v="792"/>
    <n v="0"/>
  </r>
  <r>
    <x v="0"/>
    <x v="0"/>
    <s v="NHLFIF3010"/>
    <n v="1"/>
    <s v=""/>
    <n v="0"/>
    <s v="NHLFIF3010BK"/>
    <n v="1"/>
    <s v=""/>
    <n v="0"/>
    <x v="0"/>
    <x v="0"/>
    <x v="0"/>
    <x v="1"/>
    <x v="0"/>
    <x v="0"/>
    <s v="NHLFIF3010"/>
    <s v="NHLFIF3010BK"/>
    <x v="0"/>
    <n v="792"/>
    <x v="4"/>
    <x v="4"/>
    <n v="3.3026674059357388"/>
    <n v="792"/>
    <n v="0"/>
  </r>
  <r>
    <x v="0"/>
    <x v="0"/>
    <s v="NHLSNF3011"/>
    <n v="1"/>
    <s v=""/>
    <n v="0"/>
    <s v="NHLSNF3011BK"/>
    <n v="1"/>
    <s v=""/>
    <n v="0"/>
    <x v="0"/>
    <x v="0"/>
    <x v="0"/>
    <x v="0"/>
    <x v="0"/>
    <x v="0"/>
    <s v="NHLSNF3011"/>
    <s v="NHLSNF3011BK"/>
    <x v="0"/>
    <n v="792"/>
    <x v="4"/>
    <x v="5"/>
    <n v="3.3026674059357384"/>
    <n v="780"/>
    <n v="0"/>
  </r>
  <r>
    <x v="0"/>
    <x v="0"/>
    <s v="NHLSNF3012"/>
    <n v="1"/>
    <s v=""/>
    <n v="0"/>
    <s v="NHLSNF3012RE"/>
    <n v="1"/>
    <s v=""/>
    <n v="0"/>
    <x v="0"/>
    <x v="0"/>
    <x v="0"/>
    <x v="0"/>
    <x v="0"/>
    <x v="0"/>
    <s v="NHLSNF3012"/>
    <s v="NHLSNF3012RE"/>
    <x v="0"/>
    <n v="792"/>
    <x v="4"/>
    <x v="5"/>
    <n v="3.3026674059357384"/>
    <n v="792"/>
    <n v="0"/>
  </r>
  <r>
    <x v="0"/>
    <x v="0"/>
    <s v="NHLSNF3013"/>
    <n v="1"/>
    <s v=""/>
    <n v="0"/>
    <s v="NHLSNF3013BK"/>
    <n v="1"/>
    <s v=""/>
    <n v="0"/>
    <x v="0"/>
    <x v="0"/>
    <x v="0"/>
    <x v="0"/>
    <x v="0"/>
    <x v="0"/>
    <s v="NHLSNF3013"/>
    <s v="NHLSNF3013BK"/>
    <x v="0"/>
    <n v="996"/>
    <x v="5"/>
    <x v="6"/>
    <n v="3.2192729845953809"/>
    <n v="996"/>
    <n v="0"/>
  </r>
  <r>
    <x v="0"/>
    <x v="0"/>
    <s v="NHLSNF3014"/>
    <n v="1"/>
    <s v=""/>
    <n v="0"/>
    <s v="NHLSNF3014BK"/>
    <n v="1"/>
    <s v=""/>
    <n v="0"/>
    <x v="0"/>
    <x v="0"/>
    <x v="0"/>
    <x v="0"/>
    <x v="0"/>
    <x v="0"/>
    <s v="NHLSNF3014"/>
    <s v="NHLSNF3014BK"/>
    <x v="0"/>
    <n v="996"/>
    <x v="5"/>
    <x v="6"/>
    <n v="3.2192729845953809"/>
    <n v="996"/>
    <n v="0"/>
  </r>
  <r>
    <x v="0"/>
    <x v="0"/>
    <s v="NHLSNF3015"/>
    <n v="1"/>
    <s v=""/>
    <n v="0"/>
    <s v="NHLSNF3015BK"/>
    <n v="1"/>
    <s v=""/>
    <n v="0"/>
    <x v="0"/>
    <x v="0"/>
    <x v="0"/>
    <x v="0"/>
    <x v="0"/>
    <x v="0"/>
    <s v="NHLSNF3015"/>
    <s v="NHLSNF3015BK"/>
    <x v="0"/>
    <n v="996"/>
    <x v="6"/>
    <x v="7"/>
    <n v="3.387882175760963"/>
    <n v="996"/>
    <n v="0"/>
  </r>
  <r>
    <x v="0"/>
    <x v="0"/>
    <s v="NHLSNF3016"/>
    <n v="1"/>
    <s v=""/>
    <n v="0"/>
    <s v="NHLSNF3016BK"/>
    <n v="1"/>
    <s v=""/>
    <n v="0"/>
    <x v="0"/>
    <x v="0"/>
    <x v="0"/>
    <x v="0"/>
    <x v="0"/>
    <x v="0"/>
    <s v="NHLSNF3016"/>
    <s v="NHLSNF3016BK"/>
    <x v="0"/>
    <n v="996"/>
    <x v="6"/>
    <x v="7"/>
    <n v="3.387882175760963"/>
    <n v="996"/>
    <n v="0"/>
  </r>
  <r>
    <x v="0"/>
    <x v="0"/>
    <s v="NHLFIF3017"/>
    <n v="1"/>
    <s v=""/>
    <n v="0"/>
    <s v="NHLFIF3017PP"/>
    <n v="1"/>
    <s v=""/>
    <n v="0"/>
    <x v="0"/>
    <x v="0"/>
    <x v="0"/>
    <x v="1"/>
    <x v="0"/>
    <x v="0"/>
    <s v="NHLFIF3017"/>
    <s v="NHLFIF3017PP"/>
    <x v="0"/>
    <n v="600"/>
    <x v="3"/>
    <x v="3"/>
    <n v="3.3026674059357384"/>
    <n v="600"/>
    <n v="0"/>
  </r>
  <r>
    <x v="0"/>
    <x v="0"/>
    <s v="NHLFIF3018"/>
    <n v="1"/>
    <s v=""/>
    <n v="0"/>
    <s v="NHLFIF3018BU"/>
    <n v="1"/>
    <s v=""/>
    <n v="0"/>
    <x v="0"/>
    <x v="0"/>
    <x v="0"/>
    <x v="1"/>
    <x v="0"/>
    <x v="0"/>
    <s v="NHLFIF3018"/>
    <s v="NHLFIF3018BU"/>
    <x v="0"/>
    <n v="600"/>
    <x v="3"/>
    <x v="3"/>
    <n v="3.3026674059357384"/>
    <n v="600"/>
    <n v="0"/>
  </r>
  <r>
    <x v="0"/>
    <x v="0"/>
    <s v="NHLSNF3019"/>
    <n v="0.25"/>
    <s v=""/>
    <n v="0"/>
    <s v="NHLSNF3019BK"/>
    <n v="1"/>
    <s v=""/>
    <n v="0"/>
    <x v="0"/>
    <x v="0"/>
    <x v="0"/>
    <x v="0"/>
    <x v="0"/>
    <x v="0"/>
    <s v="NHLSNF3019"/>
    <s v="NHLSNF3019BK"/>
    <x v="0"/>
    <n v="996"/>
    <x v="6"/>
    <x v="7"/>
    <n v="3.387882175760963"/>
    <n v="996"/>
    <n v="0"/>
  </r>
  <r>
    <x v="0"/>
    <x v="0"/>
    <s v="NHLSNF3019"/>
    <n v="0.25"/>
    <s v=""/>
    <n v="0"/>
    <s v="NHLSNF3019GY"/>
    <n v="1"/>
    <s v=""/>
    <n v="0"/>
    <x v="0"/>
    <x v="0"/>
    <x v="0"/>
    <x v="0"/>
    <x v="0"/>
    <x v="0"/>
    <s v="NHLSNF3019"/>
    <s v="NHLSNF3019GY"/>
    <x v="0"/>
    <n v="996"/>
    <x v="6"/>
    <x v="7"/>
    <n v="3.387882175760963"/>
    <n v="996"/>
    <n v="0"/>
  </r>
  <r>
    <x v="0"/>
    <x v="0"/>
    <s v="NHLSNF3019"/>
    <n v="0.25"/>
    <s v=""/>
    <n v="0"/>
    <s v="NHLSNF3019PP"/>
    <n v="1"/>
    <s v=""/>
    <n v="0"/>
    <x v="0"/>
    <x v="0"/>
    <x v="0"/>
    <x v="0"/>
    <x v="0"/>
    <x v="0"/>
    <s v="NHLSNF3019"/>
    <s v="NHLSNF3019PP"/>
    <x v="0"/>
    <n v="792"/>
    <x v="0"/>
    <x v="8"/>
    <n v="3.3878821757609634"/>
    <n v="792"/>
    <n v="0"/>
  </r>
  <r>
    <x v="0"/>
    <x v="0"/>
    <s v="NHLSNF3019"/>
    <n v="0.25"/>
    <s v=""/>
    <n v="0"/>
    <s v="NHLSNF3019GR"/>
    <n v="1"/>
    <s v=""/>
    <n v="0"/>
    <x v="0"/>
    <x v="0"/>
    <x v="0"/>
    <x v="0"/>
    <x v="0"/>
    <x v="0"/>
    <s v="NHLSNF3019"/>
    <s v="NHLSNF3019GR"/>
    <x v="0"/>
    <n v="792"/>
    <x v="0"/>
    <x v="8"/>
    <n v="3.3878821757609634"/>
    <n v="792"/>
    <n v="0"/>
  </r>
  <r>
    <x v="0"/>
    <x v="0"/>
    <s v="MLNSNF3001"/>
    <n v="1"/>
    <s v=""/>
    <n v="0"/>
    <s v="MLNSNF3001BK"/>
    <n v="1"/>
    <s v=""/>
    <n v="0"/>
    <x v="0"/>
    <x v="0"/>
    <x v="1"/>
    <x v="0"/>
    <x v="1"/>
    <x v="0"/>
    <s v="MLNSNF3001"/>
    <s v="MLNSNF3001BK"/>
    <x v="0"/>
    <n v="288"/>
    <x v="7"/>
    <x v="9"/>
    <n v="2.6452327237961355"/>
    <n v="288"/>
    <n v="0"/>
  </r>
  <r>
    <x v="0"/>
    <x v="0"/>
    <s v="MLNSNF3002"/>
    <n v="0.5"/>
    <s v=""/>
    <n v="0"/>
    <s v="MLNSNF3002RE"/>
    <n v="1"/>
    <s v=""/>
    <n v="0"/>
    <x v="0"/>
    <x v="0"/>
    <x v="1"/>
    <x v="0"/>
    <x v="1"/>
    <x v="0"/>
    <s v="MLNSNF3002"/>
    <s v="MLNSNF3002RE"/>
    <x v="0"/>
    <n v="288"/>
    <x v="7"/>
    <x v="10"/>
    <n v="2.8341779183530025"/>
    <n v="288"/>
    <n v="0"/>
  </r>
  <r>
    <x v="0"/>
    <x v="0"/>
    <s v="MLNSNF3002"/>
    <n v="0.5"/>
    <s v=""/>
    <n v="0"/>
    <s v="MLNSNF3002BK"/>
    <n v="1"/>
    <s v=""/>
    <n v="0"/>
    <x v="0"/>
    <x v="0"/>
    <x v="1"/>
    <x v="0"/>
    <x v="1"/>
    <x v="0"/>
    <s v="MLNSNF3002"/>
    <s v="MLNSNF3002BK"/>
    <x v="0"/>
    <n v="288"/>
    <x v="7"/>
    <x v="10"/>
    <n v="2.8341779183530025"/>
    <n v="288"/>
    <n v="0"/>
  </r>
  <r>
    <x v="0"/>
    <x v="0"/>
    <s v="MLNFIF3003"/>
    <n v="1"/>
    <s v=""/>
    <n v="0"/>
    <s v="MLNFIF3003GY"/>
    <n v="1"/>
    <s v=""/>
    <n v="0"/>
    <x v="0"/>
    <x v="0"/>
    <x v="1"/>
    <x v="1"/>
    <x v="1"/>
    <x v="0"/>
    <s v="MLNFIF3003"/>
    <s v="MLNFIF3003GY"/>
    <x v="0"/>
    <n v="360"/>
    <x v="8"/>
    <x v="11"/>
    <n v="2.4799056785588767"/>
    <n v="131"/>
    <n v="0"/>
  </r>
  <r>
    <x v="0"/>
    <x v="0"/>
    <s v="MLNFIF3004"/>
    <n v="1"/>
    <s v=""/>
    <n v="0"/>
    <s v="MLNFIF3004KH"/>
    <n v="1"/>
    <s v=""/>
    <n v="0"/>
    <x v="0"/>
    <x v="0"/>
    <x v="1"/>
    <x v="1"/>
    <x v="1"/>
    <x v="0"/>
    <s v="MLNFIF3004"/>
    <s v="MLNFIF3004KH"/>
    <x v="0"/>
    <n v="360"/>
    <x v="8"/>
    <x v="11"/>
    <n v="2.4799056785588767"/>
    <n v="0"/>
    <n v="0"/>
  </r>
  <r>
    <x v="0"/>
    <x v="0"/>
    <s v="MLNFIF3005"/>
    <n v="1"/>
    <s v=""/>
    <n v="0"/>
    <s v="MLNFIF3005GY"/>
    <n v="1"/>
    <s v=""/>
    <n v="0"/>
    <x v="0"/>
    <x v="0"/>
    <x v="1"/>
    <x v="1"/>
    <x v="1"/>
    <x v="0"/>
    <s v="MLNFIF3005"/>
    <s v="MLNFIF3005GY"/>
    <x v="0"/>
    <n v="360"/>
    <x v="8"/>
    <x v="11"/>
    <n v="2.4799056785588767"/>
    <n v="0"/>
    <n v="0"/>
  </r>
  <r>
    <x v="0"/>
    <x v="0"/>
    <s v="MLNFIF3006"/>
    <n v="1"/>
    <s v=""/>
    <n v="0"/>
    <s v="MLNFIF3006BK"/>
    <n v="1"/>
    <s v=""/>
    <n v="0"/>
    <x v="0"/>
    <x v="0"/>
    <x v="1"/>
    <x v="1"/>
    <x v="1"/>
    <x v="0"/>
    <s v="MLNFIF3006"/>
    <s v="MLNFIF3006BK"/>
    <x v="0"/>
    <n v="360"/>
    <x v="8"/>
    <x v="11"/>
    <n v="2.4799056785588767"/>
    <n v="0"/>
    <n v="0"/>
  </r>
  <r>
    <x v="0"/>
    <x v="0"/>
    <s v="GOOHUF3001"/>
    <n v="1"/>
    <s v=""/>
    <n v="0"/>
    <s v="GOOHUF3001BG"/>
    <n v="1"/>
    <s v=""/>
    <n v="0"/>
    <x v="0"/>
    <x v="0"/>
    <x v="2"/>
    <x v="2"/>
    <x v="2"/>
    <x v="0"/>
    <s v="GOOHUF3001"/>
    <s v="GOOHUF3001BG"/>
    <x v="0"/>
    <n v="360"/>
    <x v="8"/>
    <x v="12"/>
    <n v="4.4349430064569146"/>
    <n v="359"/>
    <n v="0"/>
  </r>
  <r>
    <x v="0"/>
    <x v="0"/>
    <s v="GOOMIF3002"/>
    <n v="1"/>
    <s v=""/>
    <n v="0"/>
    <s v="GOOMIF3002KH"/>
    <n v="1"/>
    <s v=""/>
    <n v="0"/>
    <x v="0"/>
    <x v="0"/>
    <x v="2"/>
    <x v="3"/>
    <x v="2"/>
    <x v="0"/>
    <s v="GOOMIF3002"/>
    <s v="GOOMIF3002KH"/>
    <x v="0"/>
    <n v="360"/>
    <x v="9"/>
    <x v="13"/>
    <n v="4.3425604701545462"/>
    <n v="360"/>
    <n v="0"/>
  </r>
  <r>
    <x v="0"/>
    <x v="0"/>
    <s v="GOOHUF3003"/>
    <n v="1"/>
    <s v=""/>
    <n v="0"/>
    <s v="GOOHUF3003KH"/>
    <n v="1"/>
    <s v=""/>
    <n v="0"/>
    <x v="0"/>
    <x v="0"/>
    <x v="2"/>
    <x v="2"/>
    <x v="2"/>
    <x v="0"/>
    <s v="GOOHUF3003"/>
    <s v="GOOHUF3003KH"/>
    <x v="0"/>
    <n v="360"/>
    <x v="10"/>
    <x v="14"/>
    <n v="4.1962854481213228"/>
    <n v="359"/>
    <n v="0"/>
  </r>
  <r>
    <x v="0"/>
    <x v="0"/>
    <s v="GOOFEF3004"/>
    <n v="1"/>
    <s v=""/>
    <n v="0"/>
    <s v="GOOFEF3004BW"/>
    <n v="1"/>
    <s v=""/>
    <n v="0"/>
    <x v="0"/>
    <x v="0"/>
    <x v="2"/>
    <x v="4"/>
    <x v="2"/>
    <x v="0"/>
    <s v="GOOFEF3004"/>
    <s v="GOOFEF3004BW"/>
    <x v="0"/>
    <n v="288"/>
    <x v="11"/>
    <x v="15"/>
    <n v="4.0332577052699614"/>
    <n v="288"/>
    <n v="0"/>
  </r>
  <r>
    <x v="0"/>
    <x v="0"/>
    <s v="GOOMIF3005"/>
    <n v="0.5"/>
    <s v=""/>
    <n v="0"/>
    <s v="GOOMIF3005RE"/>
    <n v="1"/>
    <s v=""/>
    <n v="0"/>
    <x v="0"/>
    <x v="0"/>
    <x v="2"/>
    <x v="3"/>
    <x v="2"/>
    <x v="0"/>
    <s v="GOOMIF3005"/>
    <s v="GOOMIF3005RE"/>
    <x v="0"/>
    <n v="360"/>
    <x v="12"/>
    <x v="16"/>
    <n v="4.3379556660930927"/>
    <n v="360"/>
    <n v="0"/>
  </r>
  <r>
    <x v="0"/>
    <x v="0"/>
    <s v="GOOMIF3005"/>
    <n v="0.5"/>
    <s v=""/>
    <n v="0"/>
    <s v="GOOMIF3005GY"/>
    <n v="1"/>
    <s v=""/>
    <n v="0"/>
    <x v="0"/>
    <x v="0"/>
    <x v="2"/>
    <x v="3"/>
    <x v="2"/>
    <x v="0"/>
    <s v="GOOMIF3005"/>
    <s v="GOOMIF3005GY"/>
    <x v="0"/>
    <n v="360"/>
    <x v="12"/>
    <x v="16"/>
    <n v="4.3379556660930927"/>
    <n v="360"/>
    <n v="0"/>
  </r>
  <r>
    <x v="0"/>
    <x v="0"/>
    <s v="GOOHUF3006"/>
    <n v="0.5"/>
    <s v=""/>
    <n v="0"/>
    <s v="GOOHUF3006BK"/>
    <n v="1"/>
    <s v=""/>
    <n v="0"/>
    <x v="0"/>
    <x v="0"/>
    <x v="2"/>
    <x v="2"/>
    <x v="2"/>
    <x v="0"/>
    <s v="GOOHUF3006"/>
    <s v="GOOHUF3006BK"/>
    <x v="0"/>
    <n v="288"/>
    <x v="13"/>
    <x v="17"/>
    <n v="3.9875588164925433"/>
    <n v="288"/>
    <n v="0"/>
  </r>
  <r>
    <x v="0"/>
    <x v="0"/>
    <s v="GOOHUF3006"/>
    <n v="0.5"/>
    <s v=""/>
    <n v="0"/>
    <s v="GOOHUF3006GY"/>
    <n v="1"/>
    <s v=""/>
    <n v="0"/>
    <x v="0"/>
    <x v="0"/>
    <x v="2"/>
    <x v="2"/>
    <x v="2"/>
    <x v="0"/>
    <s v="GOOHUF3006"/>
    <s v="GOOHUF3006GY"/>
    <x v="0"/>
    <n v="240"/>
    <x v="14"/>
    <x v="18"/>
    <n v="3.9875588164925428"/>
    <n v="240"/>
    <n v="0"/>
  </r>
  <r>
    <x v="0"/>
    <x v="0"/>
    <s v="GOOHUF3007"/>
    <n v="1"/>
    <s v=""/>
    <n v="0"/>
    <s v="GOOHUF3007BW"/>
    <n v="1"/>
    <s v=""/>
    <n v="0"/>
    <x v="0"/>
    <x v="0"/>
    <x v="2"/>
    <x v="2"/>
    <x v="2"/>
    <x v="0"/>
    <s v="GOOHUF3007"/>
    <s v="GOOHUF3007BW"/>
    <x v="0"/>
    <n v="288"/>
    <x v="13"/>
    <x v="17"/>
    <n v="3.9875588164925433"/>
    <n v="288"/>
    <n v="0"/>
  </r>
  <r>
    <x v="0"/>
    <x v="0"/>
    <s v="GOOFEF3008"/>
    <n v="0.5"/>
    <s v=""/>
    <n v="0"/>
    <s v="GOOFEF3008BK"/>
    <n v="1"/>
    <s v=""/>
    <n v="0"/>
    <x v="0"/>
    <x v="0"/>
    <x v="2"/>
    <x v="4"/>
    <x v="2"/>
    <x v="0"/>
    <s v="GOOFEF3008"/>
    <s v="GOOFEF3008BK"/>
    <x v="0"/>
    <n v="288"/>
    <x v="15"/>
    <x v="19"/>
    <n v="4.1724163370054619"/>
    <n v="288"/>
    <n v="0"/>
  </r>
  <r>
    <x v="0"/>
    <x v="0"/>
    <s v="GOOFEF3008"/>
    <n v="0.5"/>
    <s v=""/>
    <n v="0"/>
    <s v="GOOFEF3008GY"/>
    <n v="1"/>
    <s v=""/>
    <n v="0"/>
    <x v="0"/>
    <x v="0"/>
    <x v="2"/>
    <x v="4"/>
    <x v="2"/>
    <x v="0"/>
    <s v="GOOFEF3008"/>
    <s v="GOOFEF3008GY"/>
    <x v="0"/>
    <n v="288"/>
    <x v="15"/>
    <x v="19"/>
    <n v="4.1724163370054619"/>
    <n v="288"/>
    <n v="0"/>
  </r>
  <r>
    <x v="0"/>
    <x v="0"/>
    <s v="GOOFAF3009"/>
    <n v="1"/>
    <s v=""/>
    <n v="0"/>
    <s v="GOOFAF3009GY"/>
    <n v="1"/>
    <s v=""/>
    <n v="0"/>
    <x v="0"/>
    <x v="0"/>
    <x v="2"/>
    <x v="5"/>
    <x v="2"/>
    <x v="0"/>
    <s v="GOOFAF3009"/>
    <s v="GOOFAF3009GY"/>
    <x v="0"/>
    <n v="240"/>
    <x v="16"/>
    <x v="20"/>
    <n v="3.7020253827730225"/>
    <n v="240"/>
    <n v="0"/>
  </r>
  <r>
    <x v="1"/>
    <x v="0"/>
    <s v="HCUMIF3210"/>
    <n v="1"/>
    <s v=""/>
    <n v="0"/>
    <s v="HCUMIF3210BK"/>
    <n v="1"/>
    <s v=""/>
    <n v="0"/>
    <x v="0"/>
    <x v="0"/>
    <x v="3"/>
    <x v="3"/>
    <x v="3"/>
    <x v="0"/>
    <s v="HCUMIF3210"/>
    <s v="HCUMIF3210BK"/>
    <x v="1"/>
    <n v="3000"/>
    <x v="17"/>
    <x v="21"/>
    <n v="6.2138978397677249"/>
    <n v="3000"/>
    <n v="0"/>
  </r>
  <r>
    <x v="1"/>
    <x v="0"/>
    <s v="HCUMIF3302"/>
    <n v="1"/>
    <s v=""/>
    <n v="0"/>
    <s v="HCUMIF3302BK"/>
    <n v="1"/>
    <s v=""/>
    <n v="0"/>
    <x v="0"/>
    <x v="0"/>
    <x v="3"/>
    <x v="3"/>
    <x v="3"/>
    <x v="0"/>
    <s v="HCUMIF3302"/>
    <s v="HCUMIF3302BK"/>
    <x v="1"/>
    <n v="1000"/>
    <x v="18"/>
    <x v="22"/>
    <n v="6.3514415957724806"/>
    <n v="999"/>
    <n v="0"/>
  </r>
  <r>
    <x v="1"/>
    <x v="0"/>
    <s v="HCUMIF3306"/>
    <n v="0.5"/>
    <s v=""/>
    <n v="0"/>
    <s v="HCUMIF3306BK"/>
    <n v="1"/>
    <s v=""/>
    <n v="0"/>
    <x v="0"/>
    <x v="0"/>
    <x v="3"/>
    <x v="3"/>
    <x v="3"/>
    <x v="0"/>
    <s v="HCUMIF3306"/>
    <s v="HCUMIF3306BK"/>
    <x v="1"/>
    <n v="1500"/>
    <x v="19"/>
    <x v="23"/>
    <n v="7.9910500239731501"/>
    <n v="1507"/>
    <n v="0"/>
  </r>
  <r>
    <x v="1"/>
    <x v="0"/>
    <s v="HCUMIF3306"/>
    <n v="0.5"/>
    <s v=""/>
    <n v="0"/>
    <s v="HCUMIF3306KH"/>
    <n v="1"/>
    <s v=""/>
    <n v="0"/>
    <x v="0"/>
    <x v="0"/>
    <x v="3"/>
    <x v="3"/>
    <x v="3"/>
    <x v="0"/>
    <s v="HCUMIF3306"/>
    <s v="HCUMIF3306KH"/>
    <x v="1"/>
    <n v="1500"/>
    <x v="19"/>
    <x v="23"/>
    <n v="7.9910500239731501"/>
    <n v="1502"/>
    <n v="0"/>
  </r>
  <r>
    <x v="1"/>
    <x v="0"/>
    <s v="HCUMIF3307"/>
    <n v="1"/>
    <s v=""/>
    <n v="0"/>
    <s v="HCUMIF3307GY"/>
    <n v="1"/>
    <s v=""/>
    <n v="0"/>
    <x v="0"/>
    <x v="0"/>
    <x v="3"/>
    <x v="3"/>
    <x v="3"/>
    <x v="0"/>
    <s v="HCUMIF3307"/>
    <s v="HCUMIF3307GY"/>
    <x v="1"/>
    <n v="1500"/>
    <x v="19"/>
    <x v="23"/>
    <n v="7.9910500239731501"/>
    <n v="1504"/>
    <n v="0"/>
  </r>
  <r>
    <x v="1"/>
    <x v="0"/>
    <s v="SMBFIF3634"/>
    <n v="1"/>
    <s v=""/>
    <n v="0"/>
    <s v="SMBFIF3634RE"/>
    <n v="1"/>
    <s v=""/>
    <n v="0"/>
    <x v="0"/>
    <x v="0"/>
    <x v="4"/>
    <x v="1"/>
    <x v="4"/>
    <x v="1"/>
    <s v="SMBFIF3634"/>
    <s v="SMBFIF3634RE"/>
    <x v="1"/>
    <n v="3000"/>
    <x v="20"/>
    <x v="24"/>
    <n v="6.2717551506789153"/>
    <n v="3000"/>
    <n v="0"/>
  </r>
  <r>
    <x v="1"/>
    <x v="0"/>
    <s v="VBLBAF3103"/>
    <n v="1"/>
    <s v=""/>
    <n v="0"/>
    <s v="VBLBAF3103BK"/>
    <n v="1"/>
    <s v=""/>
    <n v="0"/>
    <x v="0"/>
    <x v="0"/>
    <x v="5"/>
    <x v="6"/>
    <x v="5"/>
    <x v="0"/>
    <s v="VBLBAF3103"/>
    <s v="VBLBAF3103BK"/>
    <x v="1"/>
    <n v="1500"/>
    <x v="19"/>
    <x v="25"/>
    <n v="12.463606269692496"/>
    <n v="1500"/>
    <n v="0"/>
  </r>
  <r>
    <x v="1"/>
    <x v="0"/>
    <s v="ELSTPF5321"/>
    <n v="1"/>
    <s v=""/>
    <n v="0"/>
    <s v="ELSTPF5321MT"/>
    <n v="1"/>
    <s v=""/>
    <n v="0"/>
    <x v="1"/>
    <x v="0"/>
    <x v="6"/>
    <x v="7"/>
    <x v="6"/>
    <x v="0"/>
    <s v="ELSTPF5321"/>
    <s v="ELSTPF5321MT"/>
    <x v="1"/>
    <n v="1000"/>
    <x v="21"/>
    <x v="26"/>
    <n v="6.5289302227910815"/>
    <n v="1000"/>
    <n v="0"/>
  </r>
  <r>
    <x v="1"/>
    <x v="0"/>
    <s v="ELSTPF5821"/>
    <n v="1"/>
    <s v=""/>
    <n v="0"/>
    <s v="ELSTPF5821MT"/>
    <n v="1"/>
    <s v=""/>
    <n v="0"/>
    <x v="1"/>
    <x v="0"/>
    <x v="6"/>
    <x v="7"/>
    <x v="6"/>
    <x v="1"/>
    <s v="ELSTPF5821"/>
    <s v="ELSTPF5821MT"/>
    <x v="1"/>
    <n v="2000"/>
    <x v="22"/>
    <x v="27"/>
    <n v="6.2570878901155247"/>
    <n v="2000"/>
    <n v="0"/>
  </r>
  <r>
    <x v="1"/>
    <x v="0"/>
    <s v="ELSTPF5301"/>
    <n v="1"/>
    <s v=""/>
    <n v="0"/>
    <s v="ELSTPF5301NY"/>
    <n v="1"/>
    <s v=""/>
    <n v="0"/>
    <x v="1"/>
    <x v="0"/>
    <x v="6"/>
    <x v="7"/>
    <x v="6"/>
    <x v="0"/>
    <s v="ELSTPF5301"/>
    <s v="ELSTPF5301NY"/>
    <x v="1"/>
    <n v="2000"/>
    <x v="23"/>
    <x v="28"/>
    <n v="6.3177863675876544"/>
    <n v="2000"/>
    <n v="0"/>
  </r>
  <r>
    <x v="1"/>
    <x v="0"/>
    <s v="ELSTPF5801"/>
    <n v="1"/>
    <s v=""/>
    <n v="0"/>
    <s v="ELSTPF5801NY"/>
    <n v="1"/>
    <s v=""/>
    <n v="0"/>
    <x v="1"/>
    <x v="0"/>
    <x v="6"/>
    <x v="7"/>
    <x v="6"/>
    <x v="1"/>
    <s v="ELSTPF5801"/>
    <s v="ELSTPF5801NY"/>
    <x v="1"/>
    <n v="2000"/>
    <x v="24"/>
    <x v="29"/>
    <n v="6.1743640405038285"/>
    <n v="2000"/>
    <n v="0"/>
  </r>
  <r>
    <x v="1"/>
    <x v="0"/>
    <s v="JOIEBF5803"/>
    <n v="1"/>
    <s v=""/>
    <n v="0"/>
    <s v="JOIEBF5803BL"/>
    <n v="1"/>
    <s v=""/>
    <n v="0"/>
    <x v="1"/>
    <x v="0"/>
    <x v="7"/>
    <x v="8"/>
    <x v="7"/>
    <x v="1"/>
    <s v="JOIEBF5803"/>
    <s v="JOIEBF5803BL"/>
    <x v="1"/>
    <n v="1500"/>
    <x v="19"/>
    <x v="30"/>
    <n v="5.5620879188113133"/>
    <n v="1500"/>
    <n v="0"/>
  </r>
  <r>
    <x v="1"/>
    <x v="0"/>
    <s v="JOIEBF5804"/>
    <n v="1"/>
    <s v=""/>
    <n v="0"/>
    <s v="JOIEBF5804RE"/>
    <n v="1"/>
    <s v=""/>
    <n v="0"/>
    <x v="1"/>
    <x v="0"/>
    <x v="7"/>
    <x v="8"/>
    <x v="7"/>
    <x v="1"/>
    <s v="JOIEBF5804"/>
    <s v="JOIEBF5804RE"/>
    <x v="1"/>
    <n v="1500"/>
    <x v="19"/>
    <x v="31"/>
    <n v="5.6803206427396402"/>
    <n v="1498"/>
    <n v="0"/>
  </r>
  <r>
    <x v="1"/>
    <x v="0"/>
    <s v="JOIVBF5806"/>
    <n v="0.5"/>
    <s v=""/>
    <n v="0"/>
    <s v="JOIVBF5806NY"/>
    <n v="1"/>
    <s v=""/>
    <n v="0"/>
    <x v="1"/>
    <x v="0"/>
    <x v="7"/>
    <x v="9"/>
    <x v="7"/>
    <x v="1"/>
    <s v="JOIVBF5806"/>
    <s v="JOIVBF5806NY"/>
    <x v="1"/>
    <n v="1500"/>
    <x v="19"/>
    <x v="32"/>
    <n v="4.9752629924017784"/>
    <n v="1491"/>
    <n v="0"/>
  </r>
  <r>
    <x v="1"/>
    <x v="0"/>
    <s v="JOIVBF5806"/>
    <n v="0.5"/>
    <s v=""/>
    <n v="0"/>
    <s v="JOIVBF5806PK"/>
    <n v="1"/>
    <s v=""/>
    <n v="0"/>
    <x v="1"/>
    <x v="0"/>
    <x v="7"/>
    <x v="9"/>
    <x v="7"/>
    <x v="1"/>
    <s v="JOIVBF5806"/>
    <s v="JOIVBF5806PK"/>
    <x v="1"/>
    <n v="1500"/>
    <x v="19"/>
    <x v="32"/>
    <n v="4.9752629924017784"/>
    <n v="1492"/>
    <n v="0"/>
  </r>
  <r>
    <x v="1"/>
    <x v="0"/>
    <s v="VBLBAF5113"/>
    <n v="1"/>
    <s v=""/>
    <n v="0"/>
    <s v="VBLBAF5113RE"/>
    <n v="1"/>
    <s v=""/>
    <n v="0"/>
    <x v="1"/>
    <x v="0"/>
    <x v="5"/>
    <x v="6"/>
    <x v="5"/>
    <x v="0"/>
    <s v="VBLBAF5113"/>
    <s v="VBLBAF5113RE"/>
    <x v="1"/>
    <n v="2500"/>
    <x v="25"/>
    <x v="33"/>
    <n v="10.684148783182293"/>
    <n v="2498"/>
    <n v="0"/>
  </r>
  <r>
    <x v="1"/>
    <x v="0"/>
    <s v="VBLERF5315"/>
    <n v="1"/>
    <s v=""/>
    <n v="0"/>
    <s v="VBLERF5315GY"/>
    <n v="1"/>
    <s v=""/>
    <n v="0"/>
    <x v="1"/>
    <x v="0"/>
    <x v="5"/>
    <x v="10"/>
    <x v="5"/>
    <x v="0"/>
    <s v="VBLERF5315"/>
    <s v="VBLERF5315GY"/>
    <x v="1"/>
    <n v="1500"/>
    <x v="26"/>
    <x v="34"/>
    <n v="9.2039618219663595"/>
    <n v="1498"/>
    <n v="0"/>
  </r>
  <r>
    <x v="1"/>
    <x v="0"/>
    <s v="WTRMIF5301"/>
    <n v="1"/>
    <s v=""/>
    <n v="0"/>
    <s v="WTRMIF5301GY"/>
    <n v="1"/>
    <s v=""/>
    <n v="0"/>
    <x v="1"/>
    <x v="0"/>
    <x v="8"/>
    <x v="3"/>
    <x v="8"/>
    <x v="0"/>
    <s v="WTRMIF5301"/>
    <s v="WTRMIF5301GY"/>
    <x v="1"/>
    <n v="1500"/>
    <x v="27"/>
    <x v="35"/>
    <n v="5.3789503450431981"/>
    <n v="1496"/>
    <n v="0"/>
  </r>
  <r>
    <x v="1"/>
    <x v="0"/>
    <s v="WTRMIF5302"/>
    <n v="1"/>
    <s v=""/>
    <n v="0"/>
    <s v="WTRMIF5302GY"/>
    <n v="1"/>
    <s v=""/>
    <n v="0"/>
    <x v="1"/>
    <x v="0"/>
    <x v="8"/>
    <x v="3"/>
    <x v="8"/>
    <x v="0"/>
    <s v="WTRMIF5302"/>
    <s v="WTRMIF5302GY"/>
    <x v="1"/>
    <n v="1500"/>
    <x v="27"/>
    <x v="36"/>
    <n v="5.324938621931965"/>
    <n v="1496"/>
    <n v="0"/>
  </r>
  <r>
    <x v="1"/>
    <x v="0"/>
    <s v="WTRTPF5305"/>
    <n v="1"/>
    <s v=""/>
    <n v="0"/>
    <s v="WTRTPF5305GY"/>
    <n v="1"/>
    <s v=""/>
    <n v="0"/>
    <x v="1"/>
    <x v="0"/>
    <x v="8"/>
    <x v="7"/>
    <x v="8"/>
    <x v="0"/>
    <s v="WTRTPF5305"/>
    <s v="WTRTPF5305GY"/>
    <x v="1"/>
    <n v="1000"/>
    <x v="28"/>
    <x v="37"/>
    <n v="4.9340042579832186"/>
    <n v="969"/>
    <n v="0"/>
  </r>
  <r>
    <x v="0"/>
    <x v="0"/>
    <s v="MGMSNF3001"/>
    <n v="1"/>
    <s v=""/>
    <n v="0"/>
    <s v="MGMSNF3001BK"/>
    <n v="1"/>
    <s v=""/>
    <n v="0"/>
    <x v="0"/>
    <x v="0"/>
    <x v="9"/>
    <x v="0"/>
    <x v="9"/>
    <x v="0"/>
    <s v="MGMSNF3001"/>
    <s v="MGMSNF3001BK"/>
    <x v="1"/>
    <n v="1500"/>
    <x v="29"/>
    <x v="38"/>
    <n v="5.351091028004042"/>
    <n v="1479"/>
    <n v="0"/>
  </r>
  <r>
    <x v="0"/>
    <x v="0"/>
    <s v="MGMSNF3002"/>
    <n v="1"/>
    <s v=""/>
    <n v="0"/>
    <s v="MGMSNF3002BK"/>
    <n v="1"/>
    <s v=""/>
    <n v="0"/>
    <x v="0"/>
    <x v="0"/>
    <x v="9"/>
    <x v="0"/>
    <x v="9"/>
    <x v="0"/>
    <s v="MGMSNF3002"/>
    <s v="MGMSNF3002BK"/>
    <x v="1"/>
    <n v="1500"/>
    <x v="29"/>
    <x v="39"/>
    <n v="5.5924936307711421"/>
    <n v="1500"/>
    <n v="0"/>
  </r>
  <r>
    <x v="0"/>
    <x v="0"/>
    <s v="MGMSNF3003"/>
    <n v="1"/>
    <s v=""/>
    <n v="0"/>
    <s v="MGMSNF3003WH"/>
    <n v="1"/>
    <s v=""/>
    <n v="0"/>
    <x v="0"/>
    <x v="0"/>
    <x v="9"/>
    <x v="0"/>
    <x v="9"/>
    <x v="0"/>
    <s v="MGMSNF3003"/>
    <s v="MGMSNF3003WH"/>
    <x v="1"/>
    <n v="1000"/>
    <x v="30"/>
    <x v="40"/>
    <n v="5.7659042859888521"/>
    <n v="1001"/>
    <n v="0"/>
  </r>
  <r>
    <x v="0"/>
    <x v="0"/>
    <s v="MGMSNF3004"/>
    <n v="1"/>
    <s v=""/>
    <n v="0"/>
    <s v="MGMSNF3004GY"/>
    <n v="1"/>
    <s v=""/>
    <n v="0"/>
    <x v="0"/>
    <x v="0"/>
    <x v="9"/>
    <x v="0"/>
    <x v="9"/>
    <x v="0"/>
    <s v="MGMSNF3004"/>
    <s v="MGMSNF3004GY"/>
    <x v="1"/>
    <n v="1200"/>
    <x v="31"/>
    <x v="41"/>
    <n v="5.765904285988853"/>
    <n v="1188"/>
    <n v="0"/>
  </r>
  <r>
    <x v="0"/>
    <x v="0"/>
    <s v="MGMSNF3005"/>
    <n v="1"/>
    <s v=""/>
    <n v="0"/>
    <s v="MGMSNF3005BG"/>
    <n v="1"/>
    <s v=""/>
    <n v="0"/>
    <x v="0"/>
    <x v="0"/>
    <x v="9"/>
    <x v="0"/>
    <x v="9"/>
    <x v="0"/>
    <s v="MGMSNF3005"/>
    <s v="MGMSNF3005BG"/>
    <x v="1"/>
    <n v="1000"/>
    <x v="30"/>
    <x v="42"/>
    <n v="5.3510910280040429"/>
    <n v="1003"/>
    <n v="0"/>
  </r>
  <r>
    <x v="0"/>
    <x v="0"/>
    <s v="MGMSNF3006"/>
    <n v="1"/>
    <s v=""/>
    <n v="0"/>
    <s v="MGMSNF3006GY"/>
    <n v="1"/>
    <s v=""/>
    <n v="0"/>
    <x v="0"/>
    <x v="0"/>
    <x v="9"/>
    <x v="0"/>
    <x v="9"/>
    <x v="0"/>
    <s v="MGMSNF3006"/>
    <s v="MGMSNF3006GY"/>
    <x v="1"/>
    <n v="1000"/>
    <x v="30"/>
    <x v="43"/>
    <n v="5.1652892561983474"/>
    <n v="977"/>
    <n v="0"/>
  </r>
  <r>
    <x v="0"/>
    <x v="0"/>
    <s v="MGMSNF3007"/>
    <n v="1"/>
    <s v=""/>
    <n v="0"/>
    <s v="MGMSNF3007BL"/>
    <n v="1"/>
    <s v=""/>
    <n v="0"/>
    <x v="0"/>
    <x v="0"/>
    <x v="9"/>
    <x v="0"/>
    <x v="9"/>
    <x v="0"/>
    <s v="MGMSNF3007"/>
    <s v="MGMSNF3007BL"/>
    <x v="1"/>
    <n v="1200"/>
    <x v="31"/>
    <x v="44"/>
    <n v="6.2375111166309214"/>
    <n v="1176"/>
    <n v="0"/>
  </r>
  <r>
    <x v="0"/>
    <x v="0"/>
    <s v="MGMSNF3008"/>
    <n v="1"/>
    <s v=""/>
    <n v="0"/>
    <s v="MGMSNF3008BK"/>
    <n v="1"/>
    <s v=""/>
    <n v="0"/>
    <x v="0"/>
    <x v="0"/>
    <x v="9"/>
    <x v="0"/>
    <x v="9"/>
    <x v="0"/>
    <s v="MGMSNF3008"/>
    <s v="MGMSNF3008BK"/>
    <x v="1"/>
    <n v="1200"/>
    <x v="31"/>
    <x v="45"/>
    <n v="6.1733031390217565"/>
    <n v="1199"/>
    <n v="0"/>
  </r>
  <r>
    <x v="0"/>
    <x v="0"/>
    <s v="MGMSNF3009"/>
    <n v="1"/>
    <s v=""/>
    <n v="0"/>
    <s v="MGMSNF3009GY"/>
    <n v="1"/>
    <s v=""/>
    <n v="0"/>
    <x v="0"/>
    <x v="0"/>
    <x v="9"/>
    <x v="0"/>
    <x v="9"/>
    <x v="0"/>
    <s v="MGMSNF3009"/>
    <s v="MGMSNF3009GY"/>
    <x v="1"/>
    <n v="1000"/>
    <x v="30"/>
    <x v="46"/>
    <n v="6.0329527925465936"/>
    <n v="963"/>
    <n v="0"/>
  </r>
  <r>
    <x v="0"/>
    <x v="0"/>
    <s v="MGMSNF3010"/>
    <n v="1"/>
    <s v=""/>
    <n v="0"/>
    <s v="MGMSNF3010KH"/>
    <n v="1"/>
    <s v=""/>
    <n v="0"/>
    <x v="0"/>
    <x v="0"/>
    <x v="9"/>
    <x v="0"/>
    <x v="9"/>
    <x v="0"/>
    <s v="MGMSNF3010"/>
    <s v="MGMSNF3010KH"/>
    <x v="1"/>
    <n v="1000"/>
    <x v="30"/>
    <x v="47"/>
    <n v="6.0807942976743385"/>
    <n v="931"/>
    <n v="0"/>
  </r>
  <r>
    <x v="0"/>
    <x v="0"/>
    <s v="MGMSNF3011"/>
    <n v="1"/>
    <s v=""/>
    <n v="0"/>
    <s v="MGMSNF3011NY"/>
    <n v="1"/>
    <s v=""/>
    <n v="0"/>
    <x v="0"/>
    <x v="0"/>
    <x v="9"/>
    <x v="0"/>
    <x v="9"/>
    <x v="0"/>
    <s v="MGMSNF3011"/>
    <s v="MGMSNF3011NY"/>
    <x v="1"/>
    <n v="1000"/>
    <x v="30"/>
    <x v="48"/>
    <n v="11.152239468816353"/>
    <n v="971"/>
    <n v="0"/>
  </r>
  <r>
    <x v="0"/>
    <x v="0"/>
    <s v="MGMSNF3012"/>
    <n v="1"/>
    <s v=""/>
    <n v="0"/>
    <s v="MGMSNF3012BK"/>
    <n v="1"/>
    <s v=""/>
    <n v="0"/>
    <x v="0"/>
    <x v="0"/>
    <x v="9"/>
    <x v="0"/>
    <x v="9"/>
    <x v="0"/>
    <s v="MGMSNF3012"/>
    <s v="MGMSNF3012BK"/>
    <x v="1"/>
    <n v="1000"/>
    <x v="30"/>
    <x v="49"/>
    <n v="9.9716494925316752"/>
    <n v="950"/>
    <n v="0"/>
  </r>
  <r>
    <x v="0"/>
    <x v="0"/>
    <s v="URBFIF3001"/>
    <n v="1"/>
    <s v=""/>
    <n v="0"/>
    <s v="URBFIF3001BW"/>
    <n v="1"/>
    <s v=""/>
    <n v="0"/>
    <x v="0"/>
    <x v="0"/>
    <x v="10"/>
    <x v="1"/>
    <x v="10"/>
    <x v="0"/>
    <s v="URBFIF3001"/>
    <s v="URBFIF3001BW"/>
    <x v="1"/>
    <n v="800"/>
    <x v="32"/>
    <x v="50"/>
    <n v="6.4414195430238204"/>
    <n v="800"/>
    <n v="0"/>
  </r>
  <r>
    <x v="0"/>
    <x v="0"/>
    <s v="URBFIF3002"/>
    <n v="1"/>
    <s v=""/>
    <n v="0"/>
    <s v="URBFIF3002BK"/>
    <n v="1"/>
    <s v=""/>
    <n v="0"/>
    <x v="0"/>
    <x v="0"/>
    <x v="10"/>
    <x v="1"/>
    <x v="10"/>
    <x v="0"/>
    <s v="URBFIF3002"/>
    <s v="URBFIF3002BK"/>
    <x v="1"/>
    <n v="800"/>
    <x v="32"/>
    <x v="50"/>
    <n v="6.4414195430238204"/>
    <n v="800"/>
    <n v="0"/>
  </r>
  <r>
    <x v="0"/>
    <x v="0"/>
    <s v="PLAUMF5001"/>
    <n v="0.25"/>
    <s v=""/>
    <n v="0"/>
    <s v="PLAUMF5001RE"/>
    <n v="1"/>
    <s v=""/>
    <n v="0"/>
    <x v="1"/>
    <x v="0"/>
    <x v="11"/>
    <x v="11"/>
    <x v="11"/>
    <x v="0"/>
    <s v="PLAUMF5001"/>
    <s v="PLAUMF5001RE"/>
    <x v="1"/>
    <n v="1200"/>
    <x v="33"/>
    <x v="51"/>
    <n v="7.1577452529833465"/>
    <n v="1200"/>
    <n v="0"/>
  </r>
  <r>
    <x v="0"/>
    <x v="0"/>
    <s v="PLAUMF5001"/>
    <n v="0.25"/>
    <s v=""/>
    <n v="0"/>
    <s v="PLAUMF5001GY"/>
    <n v="1"/>
    <s v=""/>
    <n v="0"/>
    <x v="1"/>
    <x v="0"/>
    <x v="11"/>
    <x v="11"/>
    <x v="11"/>
    <x v="0"/>
    <s v="PLAUMF5001"/>
    <s v="PLAUMF5001GY"/>
    <x v="1"/>
    <n v="1000"/>
    <x v="34"/>
    <x v="52"/>
    <n v="6.9109264511563353"/>
    <n v="1000"/>
    <n v="0"/>
  </r>
  <r>
    <x v="0"/>
    <x v="0"/>
    <s v="PLAUMF5001"/>
    <n v="0.25"/>
    <s v=""/>
    <n v="0"/>
    <s v="PLAUMF5001NY"/>
    <n v="1"/>
    <s v=""/>
    <n v="0"/>
    <x v="1"/>
    <x v="0"/>
    <x v="11"/>
    <x v="11"/>
    <x v="11"/>
    <x v="0"/>
    <s v="PLAUMF5001"/>
    <s v="PLAUMF5001NY"/>
    <x v="1"/>
    <n v="1000"/>
    <x v="34"/>
    <x v="52"/>
    <n v="6.9109264511563353"/>
    <n v="1005"/>
    <n v="0"/>
  </r>
  <r>
    <x v="0"/>
    <x v="0"/>
    <s v="PLAUMF5001"/>
    <n v="0.25"/>
    <s v=""/>
    <n v="0"/>
    <s v="PLAUMF5001BK"/>
    <n v="1"/>
    <s v=""/>
    <n v="0"/>
    <x v="1"/>
    <x v="0"/>
    <x v="11"/>
    <x v="11"/>
    <x v="11"/>
    <x v="0"/>
    <s v="PLAUMF5001"/>
    <s v="PLAUMF5001BK"/>
    <x v="1"/>
    <n v="1200"/>
    <x v="33"/>
    <x v="53"/>
    <n v="7.5629006446616494"/>
    <n v="1195"/>
    <n v="0"/>
  </r>
  <r>
    <x v="0"/>
    <x v="0"/>
    <s v="PLAUMF5002"/>
    <n v="0.5"/>
    <s v=""/>
    <n v="0"/>
    <s v="PLAUMF5002GR"/>
    <n v="1"/>
    <s v=""/>
    <n v="0"/>
    <x v="1"/>
    <x v="0"/>
    <x v="11"/>
    <x v="11"/>
    <x v="11"/>
    <x v="0"/>
    <s v="PLAUMF5002"/>
    <s v="PLAUMF5002GR"/>
    <x v="1"/>
    <n v="1000"/>
    <x v="35"/>
    <x v="54"/>
    <n v="7.0228720366461399"/>
    <n v="1000"/>
    <n v="0"/>
  </r>
  <r>
    <x v="0"/>
    <x v="0"/>
    <s v="PLAUMF5002"/>
    <n v="0.5"/>
    <s v=""/>
    <n v="0"/>
    <s v="PLAUMF5002OR"/>
    <n v="1"/>
    <s v=""/>
    <n v="0"/>
    <x v="1"/>
    <x v="0"/>
    <x v="11"/>
    <x v="11"/>
    <x v="11"/>
    <x v="0"/>
    <s v="PLAUMF5002"/>
    <s v="PLAUMF5002OR"/>
    <x v="1"/>
    <n v="1000"/>
    <x v="35"/>
    <x v="55"/>
    <n v="7.152925222509956"/>
    <n v="1000"/>
    <n v="0"/>
  </r>
  <r>
    <x v="0"/>
    <x v="0"/>
    <s v="PLAERF5003"/>
    <n v="0.5"/>
    <s v=""/>
    <n v="0"/>
    <s v="PLAERF5003BK"/>
    <n v="1"/>
    <s v=""/>
    <n v="0"/>
    <x v="1"/>
    <x v="0"/>
    <x v="11"/>
    <x v="10"/>
    <x v="11"/>
    <x v="0"/>
    <s v="PLAERF5003"/>
    <s v="PLAERF5003BK"/>
    <x v="1"/>
    <n v="1000"/>
    <x v="36"/>
    <x v="56"/>
    <n v="5.9692108106387254"/>
    <n v="932"/>
    <n v="0"/>
  </r>
  <r>
    <x v="0"/>
    <x v="0"/>
    <s v="PLAERF5003"/>
    <n v="0.5"/>
    <s v=""/>
    <n v="0"/>
    <s v="PLAERF5003NY"/>
    <n v="1"/>
    <s v=""/>
    <n v="0"/>
    <x v="1"/>
    <x v="0"/>
    <x v="11"/>
    <x v="10"/>
    <x v="11"/>
    <x v="0"/>
    <s v="PLAERF5003"/>
    <s v="PLAERF5003NY"/>
    <x v="1"/>
    <n v="1000"/>
    <x v="36"/>
    <x v="57"/>
    <n v="5.8773267566979834"/>
    <n v="1000"/>
    <n v="0"/>
  </r>
  <r>
    <x v="0"/>
    <x v="0"/>
    <s v="SMBFLF3001"/>
    <n v="1"/>
    <s v=""/>
    <n v="0"/>
    <s v="SMBFLF3001BK"/>
    <n v="1"/>
    <s v=""/>
    <n v="0"/>
    <x v="0"/>
    <x v="0"/>
    <x v="4"/>
    <x v="12"/>
    <x v="4"/>
    <x v="0"/>
    <s v="SMBFLF3001"/>
    <s v="SMBFLF3001BK"/>
    <x v="1"/>
    <n v="1200"/>
    <x v="37"/>
    <x v="58"/>
    <n v="5.6022857325788911"/>
    <n v="1199"/>
    <n v="0"/>
  </r>
  <r>
    <x v="0"/>
    <x v="0"/>
    <s v="SMBFLF3501"/>
    <n v="1"/>
    <s v=""/>
    <n v="0"/>
    <s v="SMBFLF3501BK"/>
    <n v="1"/>
    <s v=""/>
    <n v="0"/>
    <x v="0"/>
    <x v="0"/>
    <x v="4"/>
    <x v="12"/>
    <x v="4"/>
    <x v="1"/>
    <s v="SMBFLF3501"/>
    <s v="SMBFLF3501BK"/>
    <x v="1"/>
    <n v="1000"/>
    <x v="38"/>
    <x v="59"/>
    <n v="5.2821551192886682"/>
    <n v="1000"/>
    <n v="0"/>
  </r>
  <r>
    <x v="0"/>
    <x v="0"/>
    <s v="SMBFLF3002"/>
    <n v="1"/>
    <s v=""/>
    <n v="0"/>
    <s v="SMBFLF3002BK"/>
    <n v="1"/>
    <s v=""/>
    <n v="0"/>
    <x v="0"/>
    <x v="0"/>
    <x v="4"/>
    <x v="12"/>
    <x v="4"/>
    <x v="0"/>
    <s v="SMBFLF3002"/>
    <s v="SMBFLF3002BK"/>
    <x v="1"/>
    <n v="1200"/>
    <x v="37"/>
    <x v="60"/>
    <n v="5.2801496545273503"/>
    <n v="1200"/>
    <n v="0"/>
  </r>
  <r>
    <x v="0"/>
    <x v="0"/>
    <s v="SMBBAF3003"/>
    <n v="0.5"/>
    <s v=""/>
    <n v="0"/>
    <s v="SMBBAF3003GR"/>
    <n v="1"/>
    <s v=""/>
    <n v="0"/>
    <x v="0"/>
    <x v="0"/>
    <x v="4"/>
    <x v="6"/>
    <x v="4"/>
    <x v="0"/>
    <s v="SMBBAF3003"/>
    <s v="SMBBAF3003GR"/>
    <x v="1"/>
    <n v="1200"/>
    <x v="37"/>
    <x v="61"/>
    <n v="5.6065568308366176"/>
    <n v="1185"/>
    <n v="0"/>
  </r>
  <r>
    <x v="0"/>
    <x v="0"/>
    <s v="SMBBAF3503"/>
    <n v="0.5"/>
    <s v=""/>
    <n v="0"/>
    <s v="SMBBAF3503GR"/>
    <n v="1"/>
    <s v=""/>
    <n v="0"/>
    <x v="0"/>
    <x v="0"/>
    <x v="4"/>
    <x v="6"/>
    <x v="4"/>
    <x v="1"/>
    <s v="SMBBAF3503"/>
    <s v="SMBBAF3503GR"/>
    <x v="1"/>
    <n v="1000"/>
    <x v="38"/>
    <x v="62"/>
    <n v="5.1271183544000927"/>
    <n v="952"/>
    <n v="0"/>
  </r>
  <r>
    <x v="0"/>
    <x v="0"/>
    <s v="SMBBAF3003"/>
    <n v="0.5"/>
    <s v=""/>
    <n v="0"/>
    <s v="SMBBAF3003OR"/>
    <n v="1"/>
    <s v=""/>
    <n v="0"/>
    <x v="0"/>
    <x v="0"/>
    <x v="4"/>
    <x v="6"/>
    <x v="4"/>
    <x v="0"/>
    <s v="SMBBAF3003"/>
    <s v="SMBBAF3003OR"/>
    <x v="1"/>
    <n v="1200"/>
    <x v="37"/>
    <x v="61"/>
    <n v="5.6065568308366176"/>
    <n v="1188"/>
    <n v="0"/>
  </r>
  <r>
    <x v="0"/>
    <x v="0"/>
    <s v="SMBBAF3503"/>
    <n v="0.5"/>
    <s v=""/>
    <n v="0"/>
    <s v="SMBBAF3503OR"/>
    <n v="1"/>
    <s v=""/>
    <n v="0"/>
    <x v="0"/>
    <x v="0"/>
    <x v="4"/>
    <x v="6"/>
    <x v="4"/>
    <x v="1"/>
    <s v="SMBBAF3503"/>
    <s v="SMBBAF3503OR"/>
    <x v="1"/>
    <n v="1000"/>
    <x v="38"/>
    <x v="62"/>
    <n v="5.1271183544000927"/>
    <n v="991"/>
    <n v="0"/>
  </r>
  <r>
    <x v="0"/>
    <x v="0"/>
    <s v="SMBBAF3004"/>
    <n v="0.5"/>
    <s v=""/>
    <n v="0"/>
    <s v="SMBBAF3004BU"/>
    <n v="1"/>
    <s v=""/>
    <n v="0"/>
    <x v="0"/>
    <x v="0"/>
    <x v="4"/>
    <x v="6"/>
    <x v="4"/>
    <x v="0"/>
    <s v="SMBBAF3004"/>
    <s v="SMBBAF3004BU"/>
    <x v="1"/>
    <n v="1200"/>
    <x v="37"/>
    <x v="63"/>
    <n v="6.1971318257423187"/>
    <n v="1129"/>
    <n v="0"/>
  </r>
  <r>
    <x v="0"/>
    <x v="0"/>
    <s v="SMBBAF3004"/>
    <n v="0.5"/>
    <s v=""/>
    <n v="0"/>
    <s v="SMBBAF3004BL"/>
    <n v="1"/>
    <s v=""/>
    <n v="0"/>
    <x v="0"/>
    <x v="0"/>
    <x v="4"/>
    <x v="6"/>
    <x v="4"/>
    <x v="0"/>
    <s v="SMBBAF3004"/>
    <s v="SMBBAF3004BL"/>
    <x v="1"/>
    <n v="1000"/>
    <x v="18"/>
    <x v="64"/>
    <n v="6.1971318257423187"/>
    <n v="981"/>
    <n v="0"/>
  </r>
  <r>
    <x v="0"/>
    <x v="0"/>
    <s v="SMBSNF3001"/>
    <n v="0.5"/>
    <s v=""/>
    <n v="0"/>
    <s v="SMBSNF3001NY"/>
    <n v="1"/>
    <s v=""/>
    <n v="0"/>
    <x v="0"/>
    <x v="0"/>
    <x v="4"/>
    <x v="0"/>
    <x v="4"/>
    <x v="0"/>
    <s v="SMBSNF3001"/>
    <s v="SMBSNF3001NY"/>
    <x v="1"/>
    <n v="1500"/>
    <x v="39"/>
    <x v="65"/>
    <n v="6.4538730933562656"/>
    <n v="1509"/>
    <n v="0"/>
  </r>
  <r>
    <x v="0"/>
    <x v="0"/>
    <s v="SMBSNF3001"/>
    <n v="0.5"/>
    <s v=""/>
    <n v="0"/>
    <s v="SMBSNF3001BU"/>
    <n v="1"/>
    <s v=""/>
    <n v="0"/>
    <x v="0"/>
    <x v="0"/>
    <x v="4"/>
    <x v="0"/>
    <x v="4"/>
    <x v="0"/>
    <s v="SMBSNF3001"/>
    <s v="SMBSNF3001BU"/>
    <x v="1"/>
    <n v="1200"/>
    <x v="40"/>
    <x v="66"/>
    <n v="6.4480043674482905"/>
    <n v="1192"/>
    <n v="0"/>
  </r>
  <r>
    <x v="0"/>
    <x v="0"/>
    <s v="SMBSNF3002"/>
    <n v="0.5"/>
    <s v=""/>
    <n v="0"/>
    <s v="SMBSNF3002BL"/>
    <n v="1"/>
    <s v=""/>
    <n v="0"/>
    <x v="0"/>
    <x v="0"/>
    <x v="4"/>
    <x v="0"/>
    <x v="4"/>
    <x v="0"/>
    <s v="SMBSNF3002"/>
    <s v="SMBSNF3002BL"/>
    <x v="1"/>
    <n v="1200"/>
    <x v="40"/>
    <x v="67"/>
    <n v="8.0837560032252096"/>
    <n v="1196"/>
    <n v="0"/>
  </r>
  <r>
    <x v="0"/>
    <x v="0"/>
    <s v="SMBSNF3502"/>
    <n v="1"/>
    <s v=""/>
    <n v="0"/>
    <s v="SMBSNF3502BL"/>
    <n v="1"/>
    <s v=""/>
    <n v="0"/>
    <x v="0"/>
    <x v="0"/>
    <x v="4"/>
    <x v="0"/>
    <x v="4"/>
    <x v="1"/>
    <s v="SMBSNF3502"/>
    <s v="SMBSNF3502BL"/>
    <x v="1"/>
    <n v="1000"/>
    <x v="18"/>
    <x v="68"/>
    <n v="6.9686549898556267"/>
    <n v="1000"/>
    <n v="0"/>
  </r>
  <r>
    <x v="0"/>
    <x v="0"/>
    <s v="SMBSNF3002"/>
    <n v="0.5"/>
    <s v=""/>
    <n v="0"/>
    <s v="SMBSNF3002BK"/>
    <n v="1"/>
    <s v=""/>
    <n v="0"/>
    <x v="0"/>
    <x v="0"/>
    <x v="4"/>
    <x v="0"/>
    <x v="4"/>
    <x v="0"/>
    <s v="SMBSNF3002"/>
    <s v="SMBSNF3002BK"/>
    <x v="1"/>
    <n v="1200"/>
    <x v="40"/>
    <x v="67"/>
    <n v="8.0837560032252096"/>
    <n v="900"/>
    <n v="0"/>
  </r>
  <r>
    <x v="0"/>
    <x v="0"/>
    <s v="SMBFIF3003"/>
    <n v="0.33333333333333331"/>
    <s v=""/>
    <n v="0"/>
    <s v="SMBFIF3003BK"/>
    <n v="1"/>
    <s v=""/>
    <n v="0"/>
    <x v="0"/>
    <x v="0"/>
    <x v="4"/>
    <x v="1"/>
    <x v="4"/>
    <x v="0"/>
    <s v="SMBFIF3003"/>
    <s v="SMBFIF3003BK"/>
    <x v="1"/>
    <n v="1500"/>
    <x v="41"/>
    <x v="69"/>
    <n v="10.0569880396685"/>
    <n v="1499"/>
    <n v="0"/>
  </r>
  <r>
    <x v="0"/>
    <x v="0"/>
    <s v="SMBFIF3003"/>
    <n v="0.33333333333333331"/>
    <s v=""/>
    <n v="0"/>
    <s v="SMBFIF3003KH"/>
    <n v="1"/>
    <s v=""/>
    <n v="0"/>
    <x v="0"/>
    <x v="0"/>
    <x v="4"/>
    <x v="1"/>
    <x v="4"/>
    <x v="0"/>
    <s v="SMBFIF3003"/>
    <s v="SMBFIF3003KH"/>
    <x v="1"/>
    <n v="1200"/>
    <x v="42"/>
    <x v="70"/>
    <n v="9.7442739926686794"/>
    <n v="1200"/>
    <n v="0"/>
  </r>
  <r>
    <x v="0"/>
    <x v="0"/>
    <s v="SMBFIF3003"/>
    <n v="0.33333333333333331"/>
    <s v=""/>
    <n v="0"/>
    <s v="SMBFIF3003RE"/>
    <n v="1"/>
    <s v=""/>
    <n v="0"/>
    <x v="0"/>
    <x v="0"/>
    <x v="4"/>
    <x v="1"/>
    <x v="4"/>
    <x v="0"/>
    <s v="SMBFIF3003"/>
    <s v="SMBFIF3003RE"/>
    <x v="1"/>
    <n v="1200"/>
    <x v="42"/>
    <x v="71"/>
    <n v="10.0569880396685"/>
    <n v="1200"/>
    <n v="0"/>
  </r>
  <r>
    <x v="0"/>
    <x v="0"/>
    <s v="SMBERF5004"/>
    <n v="1"/>
    <s v=""/>
    <n v="0"/>
    <s v="SMBERF5004BK"/>
    <n v="1"/>
    <s v=""/>
    <n v="0"/>
    <x v="1"/>
    <x v="0"/>
    <x v="4"/>
    <x v="10"/>
    <x v="4"/>
    <x v="0"/>
    <s v="SMBERF5004"/>
    <s v="SMBERF5004BK"/>
    <x v="1"/>
    <n v="1200"/>
    <x v="43"/>
    <x v="72"/>
    <n v="8.7467175054493662"/>
    <n v="1198"/>
    <n v="0"/>
  </r>
  <r>
    <x v="0"/>
    <x v="0"/>
    <s v="SWBSNF3503"/>
    <n v="0.5"/>
    <s v=""/>
    <n v="0"/>
    <s v="SWBSNF3503PP"/>
    <n v="1"/>
    <s v=""/>
    <n v="0"/>
    <x v="0"/>
    <x v="0"/>
    <x v="12"/>
    <x v="0"/>
    <x v="12"/>
    <x v="1"/>
    <s v="SWBSNF3503"/>
    <s v="SWBSNF3503PP"/>
    <x v="1"/>
    <n v="1500"/>
    <x v="29"/>
    <x v="73"/>
    <n v="7.9102131046566901"/>
    <n v="1500"/>
    <n v="0"/>
  </r>
  <r>
    <x v="0"/>
    <x v="0"/>
    <s v="SWBSNF3503"/>
    <n v="0.5"/>
    <s v=""/>
    <n v="0"/>
    <s v="SWBSNF3503PK"/>
    <n v="1"/>
    <s v=""/>
    <n v="0"/>
    <x v="0"/>
    <x v="0"/>
    <x v="12"/>
    <x v="0"/>
    <x v="12"/>
    <x v="1"/>
    <s v="SWBSNF3503"/>
    <s v="SWBSNF3503PK"/>
    <x v="1"/>
    <n v="1500"/>
    <x v="29"/>
    <x v="73"/>
    <n v="7.9102131046566901"/>
    <n v="1500"/>
    <n v="0"/>
  </r>
  <r>
    <x v="0"/>
    <x v="0"/>
    <s v="SMBERF5005"/>
    <n v="1"/>
    <s v=""/>
    <n v="0"/>
    <s v="SMBERF5005NY"/>
    <n v="1"/>
    <s v=""/>
    <n v="0"/>
    <x v="1"/>
    <x v="0"/>
    <x v="4"/>
    <x v="10"/>
    <x v="4"/>
    <x v="0"/>
    <s v="SMBERF5005"/>
    <s v="SMBERF5005NY"/>
    <x v="1"/>
    <n v="1000"/>
    <x v="21"/>
    <x v="74"/>
    <n v="5.0505050505050502"/>
    <n v="985"/>
    <n v="0"/>
  </r>
  <r>
    <x v="0"/>
    <x v="0"/>
    <s v="SMBERF5006"/>
    <n v="1"/>
    <s v=""/>
    <n v="0"/>
    <s v="SMBERF5006NY"/>
    <n v="1"/>
    <s v=""/>
    <n v="0"/>
    <x v="1"/>
    <x v="0"/>
    <x v="4"/>
    <x v="10"/>
    <x v="4"/>
    <x v="0"/>
    <s v="SMBERF5006"/>
    <s v="SMBERF5006NY"/>
    <x v="1"/>
    <n v="1000"/>
    <x v="21"/>
    <x v="75"/>
    <n v="5.6708381660833407"/>
    <n v="938"/>
    <n v="0"/>
  </r>
  <r>
    <x v="0"/>
    <x v="0"/>
    <s v="URBSNF3003"/>
    <n v="0.33333333333333331"/>
    <s v=""/>
    <n v="0"/>
    <s v="URBSNF3003NY"/>
    <n v="1"/>
    <s v=""/>
    <n v="0"/>
    <x v="0"/>
    <x v="0"/>
    <x v="10"/>
    <x v="0"/>
    <x v="10"/>
    <x v="0"/>
    <s v="URBSNF3003"/>
    <s v="URBSNF3003NY"/>
    <x v="1"/>
    <n v="1500"/>
    <x v="41"/>
    <x v="76"/>
    <n v="9.1802133524281757"/>
    <n v="1500"/>
    <n v="0"/>
  </r>
  <r>
    <x v="0"/>
    <x v="0"/>
    <s v="URBSNF3503"/>
    <n v="0.5"/>
    <s v=""/>
    <n v="0"/>
    <s v="URBSNF3503NY"/>
    <n v="1"/>
    <s v=""/>
    <n v="0"/>
    <x v="0"/>
    <x v="0"/>
    <x v="10"/>
    <x v="0"/>
    <x v="10"/>
    <x v="1"/>
    <s v="URBSNF3503"/>
    <s v="URBSNF3503NY"/>
    <x v="1"/>
    <n v="1200"/>
    <x v="40"/>
    <x v="77"/>
    <n v="8.5746699851372394"/>
    <n v="1172"/>
    <n v="0"/>
  </r>
  <r>
    <x v="0"/>
    <x v="0"/>
    <s v="URBSNF3003"/>
    <n v="0.33333333333333331"/>
    <s v=""/>
    <n v="0"/>
    <s v="URBSNF3003BK"/>
    <n v="1"/>
    <s v=""/>
    <n v="0"/>
    <x v="0"/>
    <x v="0"/>
    <x v="10"/>
    <x v="0"/>
    <x v="10"/>
    <x v="0"/>
    <s v="URBSNF3003"/>
    <s v="URBSNF3003BK"/>
    <x v="1"/>
    <n v="1500"/>
    <x v="41"/>
    <x v="78"/>
    <n v="9.1888450839785634"/>
    <n v="1499"/>
    <n v="0"/>
  </r>
  <r>
    <x v="0"/>
    <x v="0"/>
    <s v="URBSNF3003"/>
    <n v="0.33333333333333331"/>
    <s v=""/>
    <n v="0"/>
    <s v="URBSNF3003YE"/>
    <n v="1"/>
    <s v=""/>
    <n v="0"/>
    <x v="0"/>
    <x v="0"/>
    <x v="10"/>
    <x v="0"/>
    <x v="10"/>
    <x v="0"/>
    <s v="URBSNF3003"/>
    <s v="URBSNF3003YE"/>
    <x v="1"/>
    <n v="2000"/>
    <x v="44"/>
    <x v="79"/>
    <n v="10.984418474667885"/>
    <n v="2000"/>
    <n v="0"/>
  </r>
  <r>
    <x v="0"/>
    <x v="0"/>
    <s v="URBSNF3503"/>
    <n v="0.5"/>
    <s v=""/>
    <n v="0"/>
    <s v="URBSNF3503YE"/>
    <n v="1"/>
    <s v=""/>
    <n v="0"/>
    <x v="0"/>
    <x v="0"/>
    <x v="10"/>
    <x v="0"/>
    <x v="10"/>
    <x v="1"/>
    <s v="URBSNF3503"/>
    <s v="URBSNF3503YE"/>
    <x v="1"/>
    <n v="1500"/>
    <x v="39"/>
    <x v="80"/>
    <n v="10.140329155084371"/>
    <n v="1498"/>
    <n v="0"/>
  </r>
  <r>
    <x v="0"/>
    <x v="0"/>
    <s v="URBSNF3004"/>
    <n v="1"/>
    <s v=""/>
    <n v="0"/>
    <s v="URBSNF3004KH"/>
    <n v="1"/>
    <s v=""/>
    <n v="0"/>
    <x v="0"/>
    <x v="0"/>
    <x v="10"/>
    <x v="0"/>
    <x v="10"/>
    <x v="0"/>
    <s v="URBSNF3004"/>
    <s v="URBSNF3004KH"/>
    <x v="1"/>
    <n v="1500"/>
    <x v="41"/>
    <x v="76"/>
    <n v="9.1802133524281757"/>
    <n v="1500"/>
    <n v="0"/>
  </r>
  <r>
    <x v="0"/>
    <x v="0"/>
    <s v="URBSNF3005"/>
    <n v="1"/>
    <s v=""/>
    <n v="0"/>
    <s v="URBSNF3005BL"/>
    <n v="1"/>
    <s v=""/>
    <n v="0"/>
    <x v="0"/>
    <x v="0"/>
    <x v="10"/>
    <x v="0"/>
    <x v="10"/>
    <x v="0"/>
    <s v="URBSNF3005"/>
    <s v="URBSNF3005BL"/>
    <x v="1"/>
    <n v="1500"/>
    <x v="41"/>
    <x v="81"/>
    <n v="6.4938948327323711"/>
    <n v="1500"/>
    <n v="0"/>
  </r>
  <r>
    <x v="0"/>
    <x v="0"/>
    <s v="URBSNF3505"/>
    <n v="1"/>
    <s v=""/>
    <n v="0"/>
    <s v="URBSNF3505BL"/>
    <n v="1"/>
    <s v=""/>
    <n v="0"/>
    <x v="0"/>
    <x v="0"/>
    <x v="10"/>
    <x v="0"/>
    <x v="10"/>
    <x v="1"/>
    <s v="URBSNF3505"/>
    <s v="URBSNF3505BL"/>
    <x v="1"/>
    <n v="1500"/>
    <x v="39"/>
    <x v="81"/>
    <n v="5.8898115924781971"/>
    <n v="1498"/>
    <n v="0"/>
  </r>
  <r>
    <x v="0"/>
    <x v="0"/>
    <s v="URBSNF3006"/>
    <n v="1"/>
    <s v=""/>
    <n v="0"/>
    <s v="URBSNF3006BK"/>
    <n v="1"/>
    <s v=""/>
    <n v="0"/>
    <x v="0"/>
    <x v="0"/>
    <x v="10"/>
    <x v="0"/>
    <x v="10"/>
    <x v="0"/>
    <s v="URBSNF3006"/>
    <s v="URBSNF3006BK"/>
    <x v="1"/>
    <n v="1500"/>
    <x v="41"/>
    <x v="82"/>
    <n v="6.6841033679486985"/>
    <n v="1500"/>
    <n v="0"/>
  </r>
  <r>
    <x v="0"/>
    <x v="0"/>
    <s v="URBSNF3506"/>
    <n v="1"/>
    <s v=""/>
    <n v="0"/>
    <s v="URBSNF3506BK"/>
    <n v="1"/>
    <s v=""/>
    <n v="0"/>
    <x v="0"/>
    <x v="0"/>
    <x v="10"/>
    <x v="0"/>
    <x v="10"/>
    <x v="1"/>
    <s v="URBSNF3506"/>
    <s v="URBSNF3506BK"/>
    <x v="1"/>
    <n v="1500"/>
    <x v="39"/>
    <x v="82"/>
    <n v="6.0623263104650986"/>
    <n v="1500"/>
    <n v="0"/>
  </r>
  <r>
    <x v="0"/>
    <x v="0"/>
    <s v="URBSNF3007"/>
    <n v="0.5"/>
    <s v=""/>
    <n v="0"/>
    <s v="URBSNF3007GY"/>
    <n v="1"/>
    <s v=""/>
    <n v="0"/>
    <x v="0"/>
    <x v="0"/>
    <x v="10"/>
    <x v="0"/>
    <x v="10"/>
    <x v="0"/>
    <s v="URBSNF3007"/>
    <s v="URBSNF3007GY"/>
    <x v="1"/>
    <n v="1500"/>
    <x v="41"/>
    <x v="83"/>
    <n v="7.4460292750164925"/>
    <n v="1500"/>
    <n v="0"/>
  </r>
  <r>
    <x v="0"/>
    <x v="0"/>
    <s v="URBSNF3007"/>
    <n v="0.5"/>
    <s v=""/>
    <n v="0"/>
    <s v="URBSNF3007BK"/>
    <n v="1"/>
    <s v=""/>
    <n v="0"/>
    <x v="0"/>
    <x v="0"/>
    <x v="10"/>
    <x v="0"/>
    <x v="10"/>
    <x v="0"/>
    <s v="URBSNF3007"/>
    <s v="URBSNF3007BK"/>
    <x v="1"/>
    <n v="1500"/>
    <x v="41"/>
    <x v="84"/>
    <n v="6.9505823294860516"/>
    <n v="1500"/>
    <n v="0"/>
  </r>
  <r>
    <x v="0"/>
    <x v="0"/>
    <s v="URBSNF3008"/>
    <n v="1"/>
    <s v=""/>
    <n v="0"/>
    <s v="URBSNF3008GY"/>
    <n v="1"/>
    <s v=""/>
    <n v="0"/>
    <x v="0"/>
    <x v="0"/>
    <x v="10"/>
    <x v="0"/>
    <x v="10"/>
    <x v="0"/>
    <s v="URBSNF3008"/>
    <s v="URBSNF3008GY"/>
    <x v="1"/>
    <n v="1500"/>
    <x v="41"/>
    <x v="85"/>
    <n v="7.8135874287736975"/>
    <n v="1500"/>
    <n v="0"/>
  </r>
  <r>
    <x v="0"/>
    <x v="0"/>
    <s v="URBSNF3009"/>
    <n v="1"/>
    <s v=""/>
    <n v="0"/>
    <s v="URBSNF3009BK"/>
    <n v="1"/>
    <s v=""/>
    <n v="0"/>
    <x v="0"/>
    <x v="0"/>
    <x v="10"/>
    <x v="0"/>
    <x v="10"/>
    <x v="0"/>
    <s v="URBSNF3009"/>
    <s v="URBSNF3009BK"/>
    <x v="1"/>
    <n v="1500"/>
    <x v="41"/>
    <x v="86"/>
    <n v="8.0097428276478428"/>
    <n v="1500"/>
    <n v="0"/>
  </r>
  <r>
    <x v="0"/>
    <x v="0"/>
    <s v="URBSNF3010"/>
    <n v="0.5"/>
    <s v=""/>
    <n v="0"/>
    <s v="URBSNF3010BK"/>
    <n v="1"/>
    <s v=""/>
    <n v="0"/>
    <x v="0"/>
    <x v="0"/>
    <x v="10"/>
    <x v="0"/>
    <x v="10"/>
    <x v="0"/>
    <s v="URBSNF3010"/>
    <s v="URBSNF3010BK"/>
    <x v="1"/>
    <n v="1500"/>
    <x v="41"/>
    <x v="87"/>
    <n v="7.8241281555800573"/>
    <n v="1500"/>
    <n v="0"/>
  </r>
  <r>
    <x v="0"/>
    <x v="0"/>
    <s v="URBSNF3010"/>
    <n v="0.5"/>
    <s v=""/>
    <n v="0"/>
    <s v="URBSNF3010PK"/>
    <n v="1"/>
    <s v=""/>
    <n v="0"/>
    <x v="0"/>
    <x v="0"/>
    <x v="10"/>
    <x v="0"/>
    <x v="10"/>
    <x v="0"/>
    <s v="URBSNF3010"/>
    <s v="URBSNF3010PK"/>
    <x v="1"/>
    <n v="1200"/>
    <x v="42"/>
    <x v="88"/>
    <n v="7.619436438129644"/>
    <n v="1200"/>
    <n v="0"/>
  </r>
  <r>
    <x v="0"/>
    <x v="0"/>
    <s v="URBSNF3510"/>
    <n v="1"/>
    <s v=""/>
    <n v="0"/>
    <s v="URBSNF3510PK"/>
    <n v="1"/>
    <s v=""/>
    <n v="0"/>
    <x v="0"/>
    <x v="0"/>
    <x v="10"/>
    <x v="0"/>
    <x v="10"/>
    <x v="1"/>
    <s v="URBSNF3510"/>
    <s v="URBSNF3510PK"/>
    <x v="1"/>
    <n v="1200"/>
    <x v="40"/>
    <x v="88"/>
    <n v="6.9106516531873519"/>
    <n v="1199"/>
    <n v="0"/>
  </r>
  <r>
    <x v="0"/>
    <x v="0"/>
    <s v="URBSNF3011"/>
    <n v="0.33333333333333331"/>
    <s v=""/>
    <n v="0"/>
    <s v="URBSNF3011BK"/>
    <n v="1"/>
    <s v=""/>
    <n v="0"/>
    <x v="0"/>
    <x v="0"/>
    <x v="10"/>
    <x v="0"/>
    <x v="10"/>
    <x v="0"/>
    <s v="URBSNF3011"/>
    <s v="URBSNF3011BK"/>
    <x v="1"/>
    <n v="2000"/>
    <x v="45"/>
    <x v="89"/>
    <n v="5.3994490358126725"/>
    <n v="2000"/>
    <n v="0"/>
  </r>
  <r>
    <x v="0"/>
    <x v="0"/>
    <s v="URBSNF3011"/>
    <n v="0.33333333333333331"/>
    <s v=""/>
    <n v="0"/>
    <s v="URBSNF3011RE"/>
    <n v="1"/>
    <s v=""/>
    <n v="0"/>
    <x v="0"/>
    <x v="0"/>
    <x v="10"/>
    <x v="0"/>
    <x v="10"/>
    <x v="0"/>
    <s v="URBSNF3011"/>
    <s v="URBSNF3011RE"/>
    <x v="1"/>
    <n v="1800"/>
    <x v="46"/>
    <x v="90"/>
    <n v="5.3994490358126717"/>
    <n v="1800"/>
    <n v="0"/>
  </r>
  <r>
    <x v="0"/>
    <x v="0"/>
    <s v="URBSNF3011"/>
    <n v="0.33333333333333331"/>
    <s v=""/>
    <n v="0"/>
    <s v="URBSNF3011GY"/>
    <n v="1"/>
    <s v=""/>
    <n v="0"/>
    <x v="0"/>
    <x v="0"/>
    <x v="10"/>
    <x v="0"/>
    <x v="10"/>
    <x v="0"/>
    <s v="URBSNF3011"/>
    <s v="URBSNF3011GY"/>
    <x v="1"/>
    <n v="1200"/>
    <x v="47"/>
    <x v="91"/>
    <n v="5.3994490358126725"/>
    <n v="1199"/>
    <n v="0"/>
  </r>
  <r>
    <x v="0"/>
    <x v="0"/>
    <s v="URBSNF3012"/>
    <n v="1"/>
    <s v=""/>
    <n v="0"/>
    <s v="URBSNF3012BK"/>
    <n v="1"/>
    <s v=""/>
    <n v="0"/>
    <x v="0"/>
    <x v="0"/>
    <x v="10"/>
    <x v="0"/>
    <x v="10"/>
    <x v="0"/>
    <s v="URBSNF3012"/>
    <s v="URBSNF3012BK"/>
    <x v="1"/>
    <n v="1800"/>
    <x v="46"/>
    <x v="92"/>
    <n v="5.7851239669421481"/>
    <n v="1800"/>
    <n v="0"/>
  </r>
  <r>
    <x v="0"/>
    <x v="0"/>
    <s v="URBSNF3013"/>
    <n v="1"/>
    <s v=""/>
    <n v="0"/>
    <s v="URBSNF3013BK"/>
    <n v="1"/>
    <s v=""/>
    <n v="0"/>
    <x v="0"/>
    <x v="0"/>
    <x v="10"/>
    <x v="0"/>
    <x v="10"/>
    <x v="0"/>
    <s v="URBSNF3013"/>
    <s v="URBSNF3013BK"/>
    <x v="1"/>
    <n v="600"/>
    <x v="48"/>
    <x v="93"/>
    <n v="3.8297872340425529"/>
    <n v="603"/>
    <n v="0"/>
  </r>
  <r>
    <x v="0"/>
    <x v="0"/>
    <s v="URBSNF3014"/>
    <n v="1"/>
    <s v=""/>
    <n v="0"/>
    <s v="URBSNF3014BK"/>
    <n v="1"/>
    <s v=""/>
    <n v="0"/>
    <x v="0"/>
    <x v="0"/>
    <x v="10"/>
    <x v="0"/>
    <x v="10"/>
    <x v="0"/>
    <s v="URBSNF3014"/>
    <s v="URBSNF3014BK"/>
    <x v="1"/>
    <n v="600"/>
    <x v="49"/>
    <x v="89"/>
    <n v="3.9338842975206614"/>
    <n v="600"/>
    <n v="0"/>
  </r>
  <r>
    <x v="0"/>
    <x v="0"/>
    <s v="URBSNF3015"/>
    <n v="1"/>
    <s v=""/>
    <n v="0"/>
    <s v="URBSNF3015BK"/>
    <n v="1"/>
    <s v=""/>
    <n v="0"/>
    <x v="0"/>
    <x v="0"/>
    <x v="10"/>
    <x v="0"/>
    <x v="10"/>
    <x v="0"/>
    <s v="URBSNF3015"/>
    <s v="URBSNF3015BK"/>
    <x v="1"/>
    <n v="600"/>
    <x v="48"/>
    <x v="93"/>
    <n v="3.8297872340425529"/>
    <n v="600"/>
    <n v="0"/>
  </r>
  <r>
    <x v="0"/>
    <x v="0"/>
    <s v="URBSNF3016"/>
    <n v="1"/>
    <s v=""/>
    <n v="0"/>
    <s v="URBSNF3016BK"/>
    <n v="1"/>
    <s v=""/>
    <n v="0"/>
    <x v="0"/>
    <x v="0"/>
    <x v="10"/>
    <x v="0"/>
    <x v="10"/>
    <x v="0"/>
    <s v="URBSNF3016"/>
    <s v="URBSNF3016BK"/>
    <x v="1"/>
    <n v="1000"/>
    <x v="50"/>
    <x v="94"/>
    <n v="7.0721288061621586"/>
    <n v="1000"/>
    <n v="0"/>
  </r>
  <r>
    <x v="0"/>
    <x v="0"/>
    <s v="URBERF5017"/>
    <n v="1"/>
    <s v=""/>
    <n v="0"/>
    <s v="URBERF5017BK"/>
    <n v="1"/>
    <s v=""/>
    <n v="0"/>
    <x v="1"/>
    <x v="0"/>
    <x v="10"/>
    <x v="10"/>
    <x v="10"/>
    <x v="0"/>
    <s v="URBERF5017"/>
    <s v="URBERF5017BK"/>
    <x v="1"/>
    <n v="1200"/>
    <x v="33"/>
    <x v="95"/>
    <n v="7.0553506368159482"/>
    <n v="1199"/>
    <n v="0"/>
  </r>
  <r>
    <x v="0"/>
    <x v="0"/>
    <s v="URBERF5018"/>
    <n v="1"/>
    <s v=""/>
    <n v="0"/>
    <s v="URBERF5018GY"/>
    <n v="1"/>
    <s v=""/>
    <n v="0"/>
    <x v="1"/>
    <x v="0"/>
    <x v="10"/>
    <x v="10"/>
    <x v="10"/>
    <x v="0"/>
    <s v="URBERF5018"/>
    <s v="URBERF5018GY"/>
    <x v="1"/>
    <n v="1200"/>
    <x v="33"/>
    <x v="96"/>
    <n v="5.7135086771056276"/>
    <n v="1200"/>
    <n v="0"/>
  </r>
  <r>
    <x v="0"/>
    <x v="0"/>
    <s v="DPSSNF3501"/>
    <n v="1"/>
    <s v=""/>
    <n v="0"/>
    <s v="DPSSNF3501PK"/>
    <n v="1"/>
    <s v=""/>
    <n v="0"/>
    <x v="0"/>
    <x v="0"/>
    <x v="13"/>
    <x v="0"/>
    <x v="13"/>
    <x v="1"/>
    <s v="DPSSNF3501"/>
    <s v="DPSSNF3501PK"/>
    <x v="1"/>
    <n v="1000"/>
    <x v="30"/>
    <x v="97"/>
    <n v="3.4965034965034958"/>
    <n v="1000"/>
    <n v="0"/>
  </r>
  <r>
    <x v="0"/>
    <x v="0"/>
    <s v="DPSSNF3502"/>
    <n v="1"/>
    <s v=""/>
    <n v="0"/>
    <s v="DPSSNF3502BL"/>
    <n v="1"/>
    <s v=""/>
    <n v="0"/>
    <x v="0"/>
    <x v="0"/>
    <x v="13"/>
    <x v="0"/>
    <x v="13"/>
    <x v="1"/>
    <s v="DPSSNF3502"/>
    <s v="DPSSNF3502BL"/>
    <x v="1"/>
    <n v="1000"/>
    <x v="30"/>
    <x v="98"/>
    <n v="3.2727272727272725"/>
    <n v="1008"/>
    <n v="0"/>
  </r>
  <r>
    <x v="0"/>
    <x v="0"/>
    <s v="DPSSNF3003"/>
    <n v="1"/>
    <s v=""/>
    <n v="0"/>
    <s v="DPSSNF3003PP"/>
    <n v="1"/>
    <s v=""/>
    <n v="0"/>
    <x v="0"/>
    <x v="0"/>
    <x v="13"/>
    <x v="0"/>
    <x v="13"/>
    <x v="0"/>
    <s v="DPSSNF3003"/>
    <s v="DPSSNF3003PP"/>
    <x v="1"/>
    <n v="1000"/>
    <x v="51"/>
    <x v="99"/>
    <n v="3.7811745776347538"/>
    <n v="1014"/>
    <n v="0"/>
  </r>
  <r>
    <x v="0"/>
    <x v="0"/>
    <s v="DPSSNF3503"/>
    <n v="1"/>
    <s v=""/>
    <n v="0"/>
    <s v="DPSSNF3503PP"/>
    <n v="1"/>
    <s v=""/>
    <n v="0"/>
    <x v="0"/>
    <x v="0"/>
    <x v="13"/>
    <x v="0"/>
    <x v="13"/>
    <x v="1"/>
    <s v="DPSSNF3503"/>
    <s v="DPSSNF3503PP"/>
    <x v="1"/>
    <n v="1000"/>
    <x v="50"/>
    <x v="99"/>
    <n v="3.4593724859211581"/>
    <n v="989"/>
    <n v="0"/>
  </r>
  <r>
    <x v="0"/>
    <x v="0"/>
    <s v="DPSSNF3004"/>
    <n v="1"/>
    <s v=""/>
    <n v="0"/>
    <s v="DPSSNF3004MT"/>
    <n v="1"/>
    <s v=""/>
    <n v="0"/>
    <x v="0"/>
    <x v="0"/>
    <x v="13"/>
    <x v="0"/>
    <x v="13"/>
    <x v="0"/>
    <s v="DPSSNF3004"/>
    <s v="DPSSNF3004MT"/>
    <x v="1"/>
    <n v="1200"/>
    <x v="52"/>
    <x v="100"/>
    <n v="3.7811745776347543"/>
    <n v="1200"/>
    <n v="0"/>
  </r>
  <r>
    <x v="0"/>
    <x v="0"/>
    <s v="DPSSNF3504"/>
    <n v="1"/>
    <s v=""/>
    <n v="0"/>
    <s v="DPSSNF3504MT"/>
    <n v="1"/>
    <s v=""/>
    <n v="0"/>
    <x v="0"/>
    <x v="0"/>
    <x v="13"/>
    <x v="0"/>
    <x v="13"/>
    <x v="1"/>
    <s v="DPSSNF3504"/>
    <s v="DPSSNF3504MT"/>
    <x v="1"/>
    <n v="1200"/>
    <x v="42"/>
    <x v="100"/>
    <n v="3.4593724859211581"/>
    <n v="1199"/>
    <n v="0"/>
  </r>
  <r>
    <x v="0"/>
    <x v="0"/>
    <s v="DPSSNF3005"/>
    <n v="0.5"/>
    <s v=""/>
    <n v="0"/>
    <s v="DPSSNF3005GY"/>
    <n v="1"/>
    <s v=""/>
    <n v="0"/>
    <x v="0"/>
    <x v="0"/>
    <x v="13"/>
    <x v="0"/>
    <x v="13"/>
    <x v="0"/>
    <s v="DPSSNF3005"/>
    <s v="DPSSNF3005GY"/>
    <x v="1"/>
    <n v="1200"/>
    <x v="52"/>
    <x v="101"/>
    <n v="4.2304230423042295"/>
    <n v="1210"/>
    <n v="0"/>
  </r>
  <r>
    <x v="0"/>
    <x v="0"/>
    <s v="DPSSNF3005"/>
    <n v="0.5"/>
    <s v=""/>
    <n v="0"/>
    <s v="DPSSNF3005BK"/>
    <n v="1"/>
    <s v=""/>
    <n v="0"/>
    <x v="0"/>
    <x v="0"/>
    <x v="13"/>
    <x v="0"/>
    <x v="13"/>
    <x v="0"/>
    <s v="DPSSNF3005"/>
    <s v="DPSSNF3005BK"/>
    <x v="1"/>
    <n v="1200"/>
    <x v="52"/>
    <x v="102"/>
    <n v="4.0692640692640687"/>
    <n v="1182"/>
    <n v="0"/>
  </r>
  <r>
    <x v="0"/>
    <x v="0"/>
    <s v="ELSSNF3001"/>
    <n v="1"/>
    <s v=""/>
    <n v="0"/>
    <s v="ELSSNF3001BK"/>
    <n v="1"/>
    <s v=""/>
    <n v="0"/>
    <x v="0"/>
    <x v="0"/>
    <x v="6"/>
    <x v="0"/>
    <x v="6"/>
    <x v="0"/>
    <s v="ELSSNF3001"/>
    <s v="ELSSNF3001BK"/>
    <x v="1"/>
    <n v="1500"/>
    <x v="29"/>
    <x v="103"/>
    <n v="6.9214264290822971"/>
    <n v="1497"/>
    <n v="0"/>
  </r>
  <r>
    <x v="0"/>
    <x v="0"/>
    <s v="ELSSNF3002"/>
    <n v="1"/>
    <s v=""/>
    <n v="0"/>
    <s v="ELSSNF3002BK"/>
    <n v="1"/>
    <s v=""/>
    <n v="0"/>
    <x v="0"/>
    <x v="0"/>
    <x v="6"/>
    <x v="0"/>
    <x v="6"/>
    <x v="0"/>
    <s v="ELSSNF3002"/>
    <s v="ELSSNF3002BK"/>
    <x v="1"/>
    <n v="1500"/>
    <x v="29"/>
    <x v="104"/>
    <n v="6.538131837796211"/>
    <n v="1500"/>
    <n v="0"/>
  </r>
  <r>
    <x v="0"/>
    <x v="0"/>
    <s v="ELSSNF5003"/>
    <n v="1"/>
    <s v=""/>
    <n v="0"/>
    <s v="ELSSNF5003RE"/>
    <n v="1"/>
    <s v=""/>
    <n v="0"/>
    <x v="1"/>
    <x v="0"/>
    <x v="6"/>
    <x v="0"/>
    <x v="6"/>
    <x v="0"/>
    <s v="ELSSNF5003"/>
    <s v="ELSSNF5003RE"/>
    <x v="1"/>
    <n v="1000"/>
    <x v="21"/>
    <x v="105"/>
    <n v="6.2032383436087644"/>
    <n v="1000"/>
    <n v="0"/>
  </r>
  <r>
    <x v="0"/>
    <x v="0"/>
    <s v="ELSSNF5503"/>
    <n v="1"/>
    <s v=""/>
    <n v="0"/>
    <s v="ELSSNF5503RE"/>
    <n v="1"/>
    <s v=""/>
    <n v="0"/>
    <x v="1"/>
    <x v="0"/>
    <x v="6"/>
    <x v="0"/>
    <x v="6"/>
    <x v="1"/>
    <s v="ELSSNF5503"/>
    <s v="ELSSNF5503RE"/>
    <x v="1"/>
    <n v="1500"/>
    <x v="29"/>
    <x v="106"/>
    <n v="5.7899781910821462"/>
    <n v="1999"/>
    <n v="0"/>
  </r>
  <r>
    <x v="0"/>
    <x v="0"/>
    <s v="ELSSNF5004"/>
    <n v="1"/>
    <s v=""/>
    <n v="0"/>
    <s v="ELSSNF5004NY"/>
    <n v="1"/>
    <s v=""/>
    <n v="0"/>
    <x v="1"/>
    <x v="0"/>
    <x v="6"/>
    <x v="0"/>
    <x v="6"/>
    <x v="0"/>
    <s v="ELSSNF5004"/>
    <s v="ELSSNF5004NY"/>
    <x v="1"/>
    <n v="1200"/>
    <x v="31"/>
    <x v="107"/>
    <n v="6.0552594907446009"/>
    <n v="1185"/>
    <n v="0"/>
  </r>
  <r>
    <x v="0"/>
    <x v="0"/>
    <s v="ELSSNF3005"/>
    <n v="1"/>
    <s v=""/>
    <n v="0"/>
    <s v="ELSSNF3005GY"/>
    <n v="1"/>
    <s v=""/>
    <n v="0"/>
    <x v="0"/>
    <x v="0"/>
    <x v="6"/>
    <x v="0"/>
    <x v="6"/>
    <x v="0"/>
    <s v="ELSSNF3005"/>
    <s v="ELSSNF3005GY"/>
    <x v="1"/>
    <n v="1200"/>
    <x v="31"/>
    <x v="108"/>
    <n v="6.3414722136416621"/>
    <n v="1199"/>
    <n v="0"/>
  </r>
  <r>
    <x v="0"/>
    <x v="0"/>
    <s v="ELSBAF5506"/>
    <n v="1"/>
    <s v=""/>
    <n v="0"/>
    <s v="ELSBAF5506GR"/>
    <n v="1"/>
    <s v=""/>
    <n v="0"/>
    <x v="1"/>
    <x v="0"/>
    <x v="6"/>
    <x v="6"/>
    <x v="6"/>
    <x v="1"/>
    <s v="ELSBAF5506"/>
    <s v="ELSBAF5506GR"/>
    <x v="1"/>
    <n v="1500"/>
    <x v="29"/>
    <x v="109"/>
    <n v="5.3948994462675204"/>
    <n v="1508"/>
    <n v="0"/>
  </r>
  <r>
    <x v="0"/>
    <x v="0"/>
    <s v="ELSBAF5507"/>
    <n v="1"/>
    <s v=""/>
    <n v="0"/>
    <s v="ELSBAF5507RE"/>
    <n v="1"/>
    <s v=""/>
    <n v="0"/>
    <x v="1"/>
    <x v="0"/>
    <x v="6"/>
    <x v="6"/>
    <x v="6"/>
    <x v="1"/>
    <s v="ELSBAF5507"/>
    <s v="ELSBAF5507RE"/>
    <x v="1"/>
    <n v="1500"/>
    <x v="29"/>
    <x v="110"/>
    <n v="5.2829141399662305"/>
    <n v="1500"/>
    <n v="0"/>
  </r>
  <r>
    <x v="0"/>
    <x v="0"/>
    <s v="ELSBAF5508"/>
    <n v="1"/>
    <s v=""/>
    <n v="0"/>
    <s v="ELSBAF5508PK"/>
    <n v="1"/>
    <s v=""/>
    <n v="0"/>
    <x v="1"/>
    <x v="0"/>
    <x v="6"/>
    <x v="6"/>
    <x v="6"/>
    <x v="1"/>
    <s v="ELSBAF5508"/>
    <s v="ELSBAF5508PK"/>
    <x v="1"/>
    <n v="1500"/>
    <x v="29"/>
    <x v="111"/>
    <n v="5.4849393316954878"/>
    <n v="1510"/>
    <n v="0"/>
  </r>
  <r>
    <x v="0"/>
    <x v="0"/>
    <s v="ELSERF5009"/>
    <n v="1"/>
    <s v=""/>
    <n v="0"/>
    <s v="ELSERF5009BK"/>
    <n v="1"/>
    <s v=""/>
    <n v="0"/>
    <x v="1"/>
    <x v="0"/>
    <x v="6"/>
    <x v="10"/>
    <x v="6"/>
    <x v="0"/>
    <s v="ELSERF5009"/>
    <s v="ELSERF5009BK"/>
    <x v="1"/>
    <n v="1500"/>
    <x v="19"/>
    <x v="112"/>
    <n v="5.7969804688134037"/>
    <n v="1493"/>
    <n v="0"/>
  </r>
  <r>
    <x v="0"/>
    <x v="0"/>
    <s v="ELSERF5010"/>
    <n v="1"/>
    <s v=""/>
    <n v="0"/>
    <s v="ELSERF5010BK"/>
    <n v="1"/>
    <s v=""/>
    <n v="0"/>
    <x v="1"/>
    <x v="0"/>
    <x v="6"/>
    <x v="10"/>
    <x v="6"/>
    <x v="0"/>
    <s v="ELSERF5010"/>
    <s v="ELSERF5010BK"/>
    <x v="1"/>
    <n v="1500"/>
    <x v="19"/>
    <x v="113"/>
    <n v="5.198213062277711"/>
    <n v="1486"/>
    <n v="0"/>
  </r>
  <r>
    <x v="0"/>
    <x v="0"/>
    <s v="ELSERF5511"/>
    <n v="1"/>
    <s v=""/>
    <n v="0"/>
    <s v="ELSERF5511GR"/>
    <n v="1"/>
    <s v=""/>
    <n v="0"/>
    <x v="1"/>
    <x v="0"/>
    <x v="6"/>
    <x v="10"/>
    <x v="6"/>
    <x v="1"/>
    <s v="ELSERF5511"/>
    <s v="ELSERF5511GR"/>
    <x v="1"/>
    <n v="1500"/>
    <x v="19"/>
    <x v="114"/>
    <n v="5.5144666518143675"/>
    <n v="1509"/>
    <n v="0"/>
  </r>
  <r>
    <x v="0"/>
    <x v="0"/>
    <s v="ELSERF5512"/>
    <n v="1"/>
    <s v=""/>
    <n v="0"/>
    <s v="ELSERF5512RE"/>
    <n v="1"/>
    <s v=""/>
    <n v="0"/>
    <x v="1"/>
    <x v="0"/>
    <x v="6"/>
    <x v="10"/>
    <x v="6"/>
    <x v="1"/>
    <s v="ELSERF5512"/>
    <s v="ELSERF5512RE"/>
    <x v="1"/>
    <n v="1500"/>
    <x v="19"/>
    <x v="115"/>
    <n v="5.4236993968846248"/>
    <n v="1489"/>
    <n v="0"/>
  </r>
  <r>
    <x v="0"/>
    <x v="0"/>
    <s v="ELSERF5513"/>
    <n v="1"/>
    <s v=""/>
    <n v="0"/>
    <s v="ELSERF5513PK"/>
    <n v="1"/>
    <s v=""/>
    <n v="0"/>
    <x v="1"/>
    <x v="0"/>
    <x v="6"/>
    <x v="10"/>
    <x v="6"/>
    <x v="1"/>
    <s v="ELSERF5513"/>
    <s v="ELSERF5513PK"/>
    <x v="1"/>
    <n v="1500"/>
    <x v="19"/>
    <x v="116"/>
    <n v="5.3855748454878558"/>
    <n v="1517"/>
    <n v="0"/>
  </r>
  <r>
    <x v="0"/>
    <x v="0"/>
    <s v="VBLTLF4001"/>
    <n v="1"/>
    <s v=""/>
    <n v="0"/>
    <s v="VBLTLF4001BK"/>
    <n v="1"/>
    <s v=""/>
    <n v="0"/>
    <x v="2"/>
    <x v="1"/>
    <x v="5"/>
    <x v="13"/>
    <x v="14"/>
    <x v="0"/>
    <s v="VBLTLF4001"/>
    <s v="VBLTLF4001BK"/>
    <x v="1"/>
    <n v="1200"/>
    <x v="53"/>
    <x v="117"/>
    <n v="4.3526170798898072"/>
    <n v="1236"/>
    <n v="0"/>
  </r>
  <r>
    <x v="0"/>
    <x v="0"/>
    <s v="VBLTLF4002"/>
    <n v="1"/>
    <s v=""/>
    <n v="0"/>
    <s v="VBLTLF4002GY"/>
    <n v="1"/>
    <s v=""/>
    <n v="0"/>
    <x v="2"/>
    <x v="1"/>
    <x v="5"/>
    <x v="13"/>
    <x v="14"/>
    <x v="0"/>
    <s v="VBLTLF4002"/>
    <s v="VBLTLF4002GY"/>
    <x v="1"/>
    <n v="1200"/>
    <x v="53"/>
    <x v="118"/>
    <n v="4.2370608742290159"/>
    <n v="1248"/>
    <n v="0"/>
  </r>
  <r>
    <x v="0"/>
    <x v="0"/>
    <s v="VBLTLF4003"/>
    <n v="0.5"/>
    <s v=""/>
    <n v="0"/>
    <s v="VBLTLF4003NY"/>
    <n v="1"/>
    <s v=""/>
    <n v="0"/>
    <x v="2"/>
    <x v="1"/>
    <x v="5"/>
    <x v="13"/>
    <x v="14"/>
    <x v="0"/>
    <s v="VBLTLF4003"/>
    <s v="VBLTLF4003NY"/>
    <x v="1"/>
    <n v="1000"/>
    <x v="54"/>
    <x v="119"/>
    <n v="4.5606318656305653"/>
    <n v="1008"/>
    <n v="0"/>
  </r>
  <r>
    <x v="0"/>
    <x v="0"/>
    <s v="VBLTLF4003"/>
    <n v="0.5"/>
    <s v=""/>
    <n v="0"/>
    <s v="VBLTLF4003BU"/>
    <n v="1"/>
    <s v=""/>
    <n v="0"/>
    <x v="2"/>
    <x v="1"/>
    <x v="5"/>
    <x v="13"/>
    <x v="14"/>
    <x v="0"/>
    <s v="VBLTLF4003"/>
    <s v="VBLTLF4003BU"/>
    <x v="1"/>
    <n v="1000"/>
    <x v="54"/>
    <x v="120"/>
    <n v="4.5606318656305662"/>
    <n v="1007"/>
    <n v="0"/>
  </r>
  <r>
    <x v="0"/>
    <x v="0"/>
    <s v="ELSJPF5001"/>
    <n v="0.5"/>
    <s v=""/>
    <n v="0"/>
    <s v="ELSJPF5001BK"/>
    <n v="1"/>
    <s v=""/>
    <n v="0"/>
    <x v="1"/>
    <x v="1"/>
    <x v="6"/>
    <x v="14"/>
    <x v="15"/>
    <x v="0"/>
    <s v="ELSJPF5001"/>
    <s v="ELSJPF5001BK"/>
    <x v="1"/>
    <n v="1500"/>
    <x v="55"/>
    <x v="121"/>
    <n v="3.7945717694223675"/>
    <n v="1613"/>
    <n v="0"/>
  </r>
  <r>
    <x v="0"/>
    <x v="0"/>
    <s v="ELSJPF5001"/>
    <n v="0.5"/>
    <s v=""/>
    <n v="0"/>
    <s v="ELSJPF5001RE"/>
    <n v="1"/>
    <s v=""/>
    <n v="0"/>
    <x v="1"/>
    <x v="1"/>
    <x v="6"/>
    <x v="14"/>
    <x v="15"/>
    <x v="0"/>
    <s v="ELSJPF5001"/>
    <s v="ELSJPF5001RE"/>
    <x v="1"/>
    <n v="1500"/>
    <x v="55"/>
    <x v="121"/>
    <n v="3.7945717694223675"/>
    <n v="1455"/>
    <n v="0"/>
  </r>
  <r>
    <x v="0"/>
    <x v="0"/>
    <s v="ELSJPF5502"/>
    <n v="0.33333333333333331"/>
    <s v=""/>
    <n v="0"/>
    <s v="ELSJPF5502RE"/>
    <n v="1"/>
    <s v=""/>
    <n v="0"/>
    <x v="1"/>
    <x v="1"/>
    <x v="6"/>
    <x v="14"/>
    <x v="15"/>
    <x v="1"/>
    <s v="ELSJPF5502"/>
    <s v="ELSJPF5502RE"/>
    <x v="1"/>
    <n v="1500"/>
    <x v="56"/>
    <x v="122"/>
    <n v="3.749094434615492"/>
    <n v="1594"/>
    <n v="0"/>
  </r>
  <r>
    <x v="0"/>
    <x v="0"/>
    <s v="ELSJPF5502"/>
    <n v="0.33333333333333331"/>
    <s v=""/>
    <n v="0"/>
    <s v="ELSJPF5502YE"/>
    <n v="1"/>
    <s v=""/>
    <n v="0"/>
    <x v="1"/>
    <x v="1"/>
    <x v="6"/>
    <x v="14"/>
    <x v="15"/>
    <x v="1"/>
    <s v="ELSJPF5502"/>
    <s v="ELSJPF5502YE"/>
    <x v="1"/>
    <n v="1500"/>
    <x v="56"/>
    <x v="122"/>
    <n v="3.749094434615492"/>
    <n v="1603"/>
    <n v="0"/>
  </r>
  <r>
    <x v="0"/>
    <x v="0"/>
    <s v="ELSJPF5502"/>
    <n v="0.33333333333333331"/>
    <s v=""/>
    <n v="0"/>
    <s v="ELSJPF5502BL"/>
    <n v="1"/>
    <s v=""/>
    <n v="0"/>
    <x v="1"/>
    <x v="1"/>
    <x v="6"/>
    <x v="14"/>
    <x v="15"/>
    <x v="1"/>
    <s v="ELSJPF5502"/>
    <s v="ELSJPF5502BL"/>
    <x v="1"/>
    <n v="1500"/>
    <x v="56"/>
    <x v="122"/>
    <n v="3.749094434615492"/>
    <n v="1590"/>
    <n v="0"/>
  </r>
  <r>
    <x v="0"/>
    <x v="0"/>
    <s v="ELSPTF5503"/>
    <n v="1"/>
    <s v=""/>
    <n v="0"/>
    <s v="ELSPTF5503BK"/>
    <n v="1"/>
    <s v=""/>
    <n v="0"/>
    <x v="1"/>
    <x v="1"/>
    <x v="6"/>
    <x v="15"/>
    <x v="15"/>
    <x v="1"/>
    <s v="ELSPTF5503"/>
    <s v="ELSPTF5503BK"/>
    <x v="1"/>
    <n v="1200"/>
    <x v="57"/>
    <x v="123"/>
    <n v="3.9875847221739944"/>
    <n v="1291"/>
    <n v="0"/>
  </r>
  <r>
    <x v="0"/>
    <x v="0"/>
    <s v="ELSJPF5028"/>
    <n v="1"/>
    <s v=""/>
    <n v="0"/>
    <s v="ELSJPF5028BK"/>
    <n v="1"/>
    <s v=""/>
    <n v="0"/>
    <x v="1"/>
    <x v="1"/>
    <x v="6"/>
    <x v="14"/>
    <x v="15"/>
    <x v="0"/>
    <s v="ELSJPF5028"/>
    <s v="ELSJPF5028BK"/>
    <x v="1"/>
    <n v="1500"/>
    <x v="56"/>
    <x v="124"/>
    <n v="3.7287265885572554"/>
    <n v="1610"/>
    <n v="0"/>
  </r>
  <r>
    <x v="0"/>
    <x v="0"/>
    <s v="ELSJPF5529"/>
    <n v="0.5"/>
    <s v=""/>
    <n v="0"/>
    <s v="ELSJPF5529PK"/>
    <n v="1"/>
    <s v=""/>
    <n v="0"/>
    <x v="1"/>
    <x v="1"/>
    <x v="6"/>
    <x v="14"/>
    <x v="15"/>
    <x v="1"/>
    <s v="ELSJPF5529"/>
    <s v="ELSJPF5529PK"/>
    <x v="1"/>
    <n v="1500"/>
    <x v="56"/>
    <x v="125"/>
    <n v="3.6034368191901183"/>
    <n v="1602"/>
    <n v="0"/>
  </r>
  <r>
    <x v="0"/>
    <x v="0"/>
    <s v="ELSJPF5529"/>
    <n v="0.5"/>
    <s v=""/>
    <n v="0"/>
    <s v="ELSJPF5529OR"/>
    <n v="1"/>
    <s v=""/>
    <n v="0"/>
    <x v="1"/>
    <x v="1"/>
    <x v="6"/>
    <x v="14"/>
    <x v="15"/>
    <x v="1"/>
    <s v="ELSJPF5529"/>
    <s v="ELSJPF5529OR"/>
    <x v="1"/>
    <n v="1500"/>
    <x v="56"/>
    <x v="125"/>
    <n v="3.6034368191901183"/>
    <n v="1614"/>
    <n v="0"/>
  </r>
  <r>
    <x v="0"/>
    <x v="0"/>
    <s v="ELSVEF5530"/>
    <n v="1"/>
    <s v=""/>
    <n v="0"/>
    <s v="ELSVEF5530RE"/>
    <n v="1"/>
    <s v=""/>
    <n v="0"/>
    <x v="1"/>
    <x v="1"/>
    <x v="6"/>
    <x v="16"/>
    <x v="15"/>
    <x v="1"/>
    <s v="ELSVEF5530"/>
    <s v="ELSVEF5530RE"/>
    <x v="1"/>
    <n v="1000"/>
    <x v="45"/>
    <x v="126"/>
    <n v="3.5847866046035239"/>
    <n v="1078"/>
    <n v="0"/>
  </r>
  <r>
    <x v="0"/>
    <x v="0"/>
    <s v="PNYTLF4001"/>
    <n v="1"/>
    <s v=""/>
    <n v="0"/>
    <s v="PNYTLF4001NY"/>
    <n v="1"/>
    <s v=""/>
    <n v="0"/>
    <x v="2"/>
    <x v="1"/>
    <x v="14"/>
    <x v="13"/>
    <x v="16"/>
    <x v="0"/>
    <s v="PNYTLF4001"/>
    <s v="PNYTLF4001NY"/>
    <x v="1"/>
    <n v="1000"/>
    <x v="58"/>
    <x v="127"/>
    <n v="4.2155520715412331"/>
    <n v="991"/>
    <n v="0"/>
  </r>
  <r>
    <x v="0"/>
    <x v="0"/>
    <s v="PNYHPF5006"/>
    <n v="1"/>
    <s v=""/>
    <n v="0"/>
    <s v="PNYHPF5006BK"/>
    <n v="1"/>
    <s v=""/>
    <n v="0"/>
    <x v="1"/>
    <x v="1"/>
    <x v="14"/>
    <x v="17"/>
    <x v="16"/>
    <x v="0"/>
    <s v="PNYHPF5006"/>
    <s v="PNYHPF5006BK"/>
    <x v="1"/>
    <n v="1000"/>
    <x v="59"/>
    <x v="128"/>
    <n v="4.3128677489910965"/>
    <n v="1044"/>
    <n v="0"/>
  </r>
  <r>
    <x v="0"/>
    <x v="0"/>
    <s v="PNYJPF5009"/>
    <n v="1"/>
    <s v=""/>
    <n v="0"/>
    <s v="PNYJPF5009BK"/>
    <n v="1"/>
    <s v=""/>
    <n v="0"/>
    <x v="1"/>
    <x v="1"/>
    <x v="14"/>
    <x v="14"/>
    <x v="16"/>
    <x v="0"/>
    <s v="PNYJPF5009"/>
    <s v="PNYJPF5009BK"/>
    <x v="1"/>
    <n v="1000"/>
    <x v="60"/>
    <x v="129"/>
    <n v="3.8481069384047162"/>
    <n v="1051"/>
    <n v="0"/>
  </r>
  <r>
    <x v="0"/>
    <x v="0"/>
    <s v="PNYTLF5002"/>
    <n v="1"/>
    <s v=""/>
    <n v="0"/>
    <s v="PNYTLF5002BK"/>
    <n v="1"/>
    <s v=""/>
    <n v="0"/>
    <x v="1"/>
    <x v="1"/>
    <x v="14"/>
    <x v="13"/>
    <x v="16"/>
    <x v="0"/>
    <s v="PNYTLF5002"/>
    <s v="PNYTLF5002BK"/>
    <x v="1"/>
    <n v="1000"/>
    <x v="28"/>
    <x v="130"/>
    <n v="4.4598300426515003"/>
    <n v="993"/>
    <n v="0"/>
  </r>
  <r>
    <x v="0"/>
    <x v="0"/>
    <s v="PNYTHF5003"/>
    <n v="1"/>
    <s v=""/>
    <n v="0"/>
    <s v="PNYTHF5003BK"/>
    <n v="1"/>
    <s v=""/>
    <n v="0"/>
    <x v="1"/>
    <x v="1"/>
    <x v="14"/>
    <x v="18"/>
    <x v="16"/>
    <x v="0"/>
    <s v="PNYTHF5003"/>
    <s v="PNYTHF5003BK"/>
    <x v="1"/>
    <n v="1000"/>
    <x v="58"/>
    <x v="131"/>
    <n v="4.4797506963369784"/>
    <n v="956"/>
    <n v="0"/>
  </r>
  <r>
    <x v="0"/>
    <x v="0"/>
    <s v="PNYPTF5004"/>
    <n v="0.5"/>
    <s v=""/>
    <n v="0"/>
    <s v="PNYPTF5004BK"/>
    <n v="1"/>
    <s v=""/>
    <n v="0"/>
    <x v="1"/>
    <x v="1"/>
    <x v="14"/>
    <x v="15"/>
    <x v="16"/>
    <x v="0"/>
    <s v="PNYPTF5004"/>
    <s v="PNYPTF5004BK"/>
    <x v="1"/>
    <n v="1500"/>
    <x v="61"/>
    <x v="132"/>
    <n v="4.3886907882630304"/>
    <n v="1500"/>
    <n v="0"/>
  </r>
  <r>
    <x v="0"/>
    <x v="0"/>
    <s v="PNYPTF5004"/>
    <n v="0.5"/>
    <s v=""/>
    <n v="0"/>
    <s v="PNYPTF5004GY"/>
    <n v="1"/>
    <s v=""/>
    <n v="0"/>
    <x v="1"/>
    <x v="1"/>
    <x v="14"/>
    <x v="15"/>
    <x v="16"/>
    <x v="0"/>
    <s v="PNYPTF5004"/>
    <s v="PNYPTF5004GY"/>
    <x v="1"/>
    <n v="1000"/>
    <x v="28"/>
    <x v="133"/>
    <n v="4.3886907882630304"/>
    <n v="997"/>
    <n v="0"/>
  </r>
  <r>
    <x v="0"/>
    <x v="0"/>
    <s v="PNYTLF5008"/>
    <n v="0.5"/>
    <s v=""/>
    <n v="0"/>
    <s v="PNYTLF5008GY"/>
    <n v="1"/>
    <s v=""/>
    <n v="0"/>
    <x v="1"/>
    <x v="1"/>
    <x v="14"/>
    <x v="13"/>
    <x v="16"/>
    <x v="0"/>
    <s v="PNYTLF5008"/>
    <s v="PNYTLF5008GY"/>
    <x v="1"/>
    <n v="1500"/>
    <x v="61"/>
    <x v="134"/>
    <n v="4.5709709783845138"/>
    <n v="1553"/>
    <n v="0"/>
  </r>
  <r>
    <x v="0"/>
    <x v="0"/>
    <s v="PNYTLF5008"/>
    <n v="0.5"/>
    <s v=""/>
    <n v="0"/>
    <s v="PNYTLF5008BK"/>
    <n v="1"/>
    <s v=""/>
    <n v="0"/>
    <x v="1"/>
    <x v="1"/>
    <x v="14"/>
    <x v="13"/>
    <x v="16"/>
    <x v="0"/>
    <s v="PNYTLF5008"/>
    <s v="PNYTLF5008BK"/>
    <x v="1"/>
    <n v="1500"/>
    <x v="61"/>
    <x v="135"/>
    <n v="4.7690489927723245"/>
    <n v="1527"/>
    <n v="0"/>
  </r>
  <r>
    <x v="0"/>
    <x v="0"/>
    <s v="PNYTHF5005"/>
    <n v="1"/>
    <s v=""/>
    <n v="0"/>
    <s v="PNYTHF5005BK"/>
    <n v="1"/>
    <s v=""/>
    <n v="0"/>
    <x v="1"/>
    <x v="1"/>
    <x v="14"/>
    <x v="18"/>
    <x v="16"/>
    <x v="0"/>
    <s v="PNYTHF5005"/>
    <s v="PNYTHF5005BK"/>
    <x v="1"/>
    <n v="1000"/>
    <x v="62"/>
    <x v="136"/>
    <n v="4.0117776959882221"/>
    <n v="1019"/>
    <n v="0"/>
  </r>
  <r>
    <x v="0"/>
    <x v="0"/>
    <s v="PNYJPF5007"/>
    <n v="1"/>
    <s v=""/>
    <n v="0"/>
    <s v="PNYJPF5007BK"/>
    <n v="1"/>
    <s v=""/>
    <n v="0"/>
    <x v="1"/>
    <x v="1"/>
    <x v="14"/>
    <x v="14"/>
    <x v="16"/>
    <x v="0"/>
    <s v="PNYJPF5007"/>
    <s v="PNYJPF5007BK"/>
    <x v="1"/>
    <n v="600"/>
    <x v="63"/>
    <x v="137"/>
    <n v="3.7615813789098982"/>
    <n v="598"/>
    <n v="0"/>
  </r>
  <r>
    <x v="0"/>
    <x v="0"/>
    <s v="ELSTLF4004"/>
    <n v="1"/>
    <s v=""/>
    <n v="0"/>
    <s v="ELSTLF4004BK"/>
    <n v="1"/>
    <s v=""/>
    <n v="0"/>
    <x v="2"/>
    <x v="1"/>
    <x v="6"/>
    <x v="13"/>
    <x v="15"/>
    <x v="0"/>
    <s v="ELSTLF4004"/>
    <s v="ELSTLF4004BK"/>
    <x v="1"/>
    <n v="1000"/>
    <x v="64"/>
    <x v="138"/>
    <n v="4.5275781576952445"/>
    <n v="830"/>
    <n v="0"/>
  </r>
  <r>
    <x v="0"/>
    <x v="0"/>
    <s v="ELSPTF4005"/>
    <n v="1"/>
    <s v=""/>
    <n v="0"/>
    <s v="ELSPTF4005BK"/>
    <n v="1"/>
    <s v=""/>
    <n v="0"/>
    <x v="2"/>
    <x v="1"/>
    <x v="6"/>
    <x v="15"/>
    <x v="15"/>
    <x v="0"/>
    <s v="ELSPTF4005"/>
    <s v="ELSPTF4005BK"/>
    <x v="1"/>
    <n v="1500"/>
    <x v="65"/>
    <x v="134"/>
    <n v="4.3395294098587156"/>
    <n v="1388"/>
    <n v="0"/>
  </r>
  <r>
    <x v="0"/>
    <x v="0"/>
    <s v="ELSTLF4506"/>
    <n v="0.5"/>
    <s v=""/>
    <n v="0"/>
    <s v="ELSTLF4506BL"/>
    <n v="1"/>
    <s v=""/>
    <n v="0"/>
    <x v="2"/>
    <x v="1"/>
    <x v="6"/>
    <x v="13"/>
    <x v="15"/>
    <x v="1"/>
    <s v="ELSTLF4506"/>
    <s v="ELSTLF4506BL"/>
    <x v="1"/>
    <n v="1200"/>
    <x v="66"/>
    <x v="139"/>
    <n v="4.510239979461061"/>
    <n v="1254"/>
    <n v="0"/>
  </r>
  <r>
    <x v="0"/>
    <x v="0"/>
    <s v="ELSTLF4506"/>
    <n v="0.5"/>
    <s v=""/>
    <n v="0"/>
    <s v="ELSTLF4506YE"/>
    <n v="1"/>
    <s v=""/>
    <n v="0"/>
    <x v="2"/>
    <x v="1"/>
    <x v="6"/>
    <x v="13"/>
    <x v="15"/>
    <x v="1"/>
    <s v="ELSTLF4506"/>
    <s v="ELSTLF4506YE"/>
    <x v="1"/>
    <n v="1200"/>
    <x v="66"/>
    <x v="139"/>
    <n v="4.510239979461061"/>
    <n v="952"/>
    <n v="0"/>
  </r>
  <r>
    <x v="0"/>
    <x v="0"/>
    <s v="ELSPTF4507"/>
    <n v="0.5"/>
    <s v=""/>
    <n v="0"/>
    <s v="ELSPTF4507RE"/>
    <n v="1"/>
    <s v=""/>
    <n v="0"/>
    <x v="2"/>
    <x v="1"/>
    <x v="6"/>
    <x v="15"/>
    <x v="15"/>
    <x v="1"/>
    <s v="ELSPTF4507"/>
    <s v="ELSPTF4507RE"/>
    <x v="1"/>
    <n v="1000"/>
    <x v="67"/>
    <x v="119"/>
    <n v="4.2962474096519818"/>
    <n v="963"/>
    <n v="0"/>
  </r>
  <r>
    <x v="0"/>
    <x v="0"/>
    <s v="ELSPTF4507"/>
    <n v="0.5"/>
    <s v=""/>
    <n v="0"/>
    <s v="ELSPTF4507YE"/>
    <n v="1"/>
    <s v=""/>
    <n v="0"/>
    <x v="2"/>
    <x v="1"/>
    <x v="6"/>
    <x v="15"/>
    <x v="15"/>
    <x v="1"/>
    <s v="ELSPTF4507"/>
    <s v="ELSPTF4507YE"/>
    <x v="1"/>
    <n v="1000"/>
    <x v="67"/>
    <x v="119"/>
    <n v="4.2962474096519818"/>
    <n v="1011"/>
    <n v="0"/>
  </r>
  <r>
    <x v="0"/>
    <x v="0"/>
    <s v="ELSTHF4008"/>
    <n v="1"/>
    <s v=""/>
    <n v="0"/>
    <s v="ELSTHF4008BK"/>
    <n v="1"/>
    <s v=""/>
    <n v="0"/>
    <x v="2"/>
    <x v="1"/>
    <x v="6"/>
    <x v="18"/>
    <x v="15"/>
    <x v="0"/>
    <s v="ELSTHF4008"/>
    <s v="ELSTHF4008BK"/>
    <x v="1"/>
    <n v="1000"/>
    <x v="58"/>
    <x v="140"/>
    <n v="4.1164635415462181"/>
    <n v="1048"/>
    <n v="0"/>
  </r>
  <r>
    <x v="0"/>
    <x v="0"/>
    <s v="NOVERF5004"/>
    <n v="0.5"/>
    <s v=""/>
    <n v="0"/>
    <s v="NOVERF5004BK"/>
    <n v="1"/>
    <s v=""/>
    <n v="0"/>
    <x v="1"/>
    <x v="0"/>
    <x v="15"/>
    <x v="10"/>
    <x v="17"/>
    <x v="0"/>
    <s v="NOVERF5004"/>
    <s v="NOVERF5004BK"/>
    <x v="1"/>
    <n v="1000"/>
    <x v="54"/>
    <x v="141"/>
    <n v="4.8057595565662963"/>
    <n v="999"/>
    <n v="0"/>
  </r>
  <r>
    <x v="0"/>
    <x v="0"/>
    <s v="NOVERF5004"/>
    <n v="0.5"/>
    <s v=""/>
    <n v="0"/>
    <s v="NOVERF5004RE"/>
    <n v="1"/>
    <s v=""/>
    <n v="0"/>
    <x v="1"/>
    <x v="0"/>
    <x v="15"/>
    <x v="10"/>
    <x v="17"/>
    <x v="0"/>
    <s v="NOVERF5004"/>
    <s v="NOVERF5004RE"/>
    <x v="1"/>
    <n v="1000"/>
    <x v="54"/>
    <x v="141"/>
    <n v="4.8057595565662963"/>
    <n v="1000"/>
    <n v="0"/>
  </r>
  <r>
    <x v="0"/>
    <x v="0"/>
    <s v="NOVERF5005"/>
    <n v="1"/>
    <s v=""/>
    <n v="0"/>
    <s v="NOVERF5005BK"/>
    <n v="1"/>
    <s v=""/>
    <n v="0"/>
    <x v="1"/>
    <x v="0"/>
    <x v="15"/>
    <x v="10"/>
    <x v="17"/>
    <x v="0"/>
    <s v="NOVERF5005"/>
    <s v="NOVERF5005BK"/>
    <x v="1"/>
    <n v="800"/>
    <x v="68"/>
    <x v="142"/>
    <n v="4.8756452545521389"/>
    <n v="785"/>
    <n v="0"/>
  </r>
  <r>
    <x v="0"/>
    <x v="0"/>
    <s v="NOVERF5006"/>
    <n v="0.5"/>
    <s v=""/>
    <n v="0"/>
    <s v="NOVERF5006BK"/>
    <n v="1"/>
    <s v=""/>
    <n v="0"/>
    <x v="1"/>
    <x v="0"/>
    <x v="15"/>
    <x v="10"/>
    <x v="17"/>
    <x v="0"/>
    <s v="NOVERF5006"/>
    <s v="NOVERF5006BK"/>
    <x v="1"/>
    <n v="800"/>
    <x v="68"/>
    <x v="143"/>
    <n v="4.6936128567987554"/>
    <n v="800"/>
    <n v="0"/>
  </r>
  <r>
    <x v="0"/>
    <x v="0"/>
    <s v="NOVERF5006"/>
    <n v="0.5"/>
    <s v=""/>
    <n v="0"/>
    <s v="NOVERF5006PK"/>
    <n v="1"/>
    <s v=""/>
    <n v="0"/>
    <x v="1"/>
    <x v="0"/>
    <x v="15"/>
    <x v="10"/>
    <x v="17"/>
    <x v="0"/>
    <s v="NOVERF5006"/>
    <s v="NOVERF5006PK"/>
    <x v="1"/>
    <n v="800"/>
    <x v="68"/>
    <x v="144"/>
    <n v="4.631236454891857"/>
    <n v="800"/>
    <n v="0"/>
  </r>
  <r>
    <x v="0"/>
    <x v="0"/>
    <s v="NOVERF5007"/>
    <n v="1"/>
    <s v=""/>
    <n v="0"/>
    <s v="NOVERF5007BK"/>
    <n v="1"/>
    <s v=""/>
    <n v="0"/>
    <x v="1"/>
    <x v="0"/>
    <x v="15"/>
    <x v="10"/>
    <x v="17"/>
    <x v="0"/>
    <s v="NOVERF5007"/>
    <s v="NOVERF5007BK"/>
    <x v="1"/>
    <n v="1000"/>
    <x v="67"/>
    <x v="145"/>
    <n v="5.0838455177337423"/>
    <n v="992"/>
    <n v="0"/>
  </r>
  <r>
    <x v="0"/>
    <x v="0"/>
    <s v="NOVTPF5008"/>
    <n v="1"/>
    <s v=""/>
    <n v="0"/>
    <s v="NOVTPF5008BK"/>
    <n v="1"/>
    <s v=""/>
    <n v="0"/>
    <x v="1"/>
    <x v="0"/>
    <x v="15"/>
    <x v="7"/>
    <x v="17"/>
    <x v="0"/>
    <s v="NOVTPF5008"/>
    <s v="NOVTPF5008BK"/>
    <x v="1"/>
    <n v="800"/>
    <x v="69"/>
    <x v="146"/>
    <n v="5.3586130539239418"/>
    <n v="800"/>
    <n v="0"/>
  </r>
  <r>
    <x v="0"/>
    <x v="0"/>
    <s v="NOVTPF5009"/>
    <n v="1"/>
    <s v=""/>
    <n v="0"/>
    <s v="NOVTPF5009BK"/>
    <n v="1"/>
    <s v=""/>
    <n v="0"/>
    <x v="1"/>
    <x v="0"/>
    <x v="15"/>
    <x v="7"/>
    <x v="17"/>
    <x v="0"/>
    <s v="NOVTPF5009"/>
    <s v="NOVTPF5009BK"/>
    <x v="1"/>
    <n v="800"/>
    <x v="69"/>
    <x v="147"/>
    <n v="5.5443841284073736"/>
    <n v="800"/>
    <n v="0"/>
  </r>
  <r>
    <x v="0"/>
    <x v="0"/>
    <s v="NOVTPF5010"/>
    <n v="1"/>
    <s v=""/>
    <n v="0"/>
    <s v="NOVTPF5010BK"/>
    <n v="1"/>
    <s v=""/>
    <n v="0"/>
    <x v="1"/>
    <x v="0"/>
    <x v="15"/>
    <x v="7"/>
    <x v="17"/>
    <x v="0"/>
    <s v="NOVTPF5010"/>
    <s v="NOVTPF5010BK"/>
    <x v="1"/>
    <n v="800"/>
    <x v="69"/>
    <x v="148"/>
    <n v="5.497689091624486"/>
    <n v="800"/>
    <n v="0"/>
  </r>
  <r>
    <x v="0"/>
    <x v="0"/>
    <s v="NOVTPF5011"/>
    <n v="0.33333333333333331"/>
    <s v=""/>
    <n v="0"/>
    <s v="NOVTPF5011BK"/>
    <n v="1"/>
    <s v=""/>
    <n v="0"/>
    <x v="1"/>
    <x v="0"/>
    <x v="15"/>
    <x v="7"/>
    <x v="17"/>
    <x v="0"/>
    <s v="NOVTPF5011"/>
    <s v="NOVTPF5011BK"/>
    <x v="1"/>
    <n v="800"/>
    <x v="69"/>
    <x v="149"/>
    <n v="5.8555195758172669"/>
    <n v="800"/>
    <n v="0"/>
  </r>
  <r>
    <x v="0"/>
    <x v="0"/>
    <s v="NOVTPF5011"/>
    <n v="0.33333333333333331"/>
    <s v=""/>
    <n v="0"/>
    <s v="NOVTPF5011RE"/>
    <n v="1"/>
    <s v=""/>
    <n v="0"/>
    <x v="1"/>
    <x v="0"/>
    <x v="15"/>
    <x v="7"/>
    <x v="17"/>
    <x v="0"/>
    <s v="NOVTPF5011"/>
    <s v="NOVTPF5011RE"/>
    <x v="1"/>
    <n v="800"/>
    <x v="69"/>
    <x v="150"/>
    <n v="5.6258181470662905"/>
    <n v="800"/>
    <n v="0"/>
  </r>
  <r>
    <x v="0"/>
    <x v="0"/>
    <s v="NOVTPF5511"/>
    <n v="0.5"/>
    <s v=""/>
    <n v="0"/>
    <s v="NOVTPF5511RE"/>
    <n v="1"/>
    <s v=""/>
    <n v="0"/>
    <x v="1"/>
    <x v="0"/>
    <x v="15"/>
    <x v="7"/>
    <x v="17"/>
    <x v="1"/>
    <s v="NOVTPF5511"/>
    <s v="NOVTPF5511RE"/>
    <x v="1"/>
    <n v="600"/>
    <x v="30"/>
    <x v="151"/>
    <n v="5.3725305521485742"/>
    <n v="596"/>
    <n v="0"/>
  </r>
  <r>
    <x v="0"/>
    <x v="0"/>
    <s v="NOVTPF5011"/>
    <n v="0.33333333333333331"/>
    <s v=""/>
    <n v="0"/>
    <s v="NOVTPF5011PK"/>
    <n v="1"/>
    <s v=""/>
    <n v="0"/>
    <x v="1"/>
    <x v="0"/>
    <x v="15"/>
    <x v="7"/>
    <x v="17"/>
    <x v="0"/>
    <s v="NOVTPF5011"/>
    <s v="NOVTPF5011PK"/>
    <x v="1"/>
    <n v="800"/>
    <x v="69"/>
    <x v="152"/>
    <n v="5.5913719892717841"/>
    <n v="800"/>
    <n v="0"/>
  </r>
  <r>
    <x v="0"/>
    <x v="0"/>
    <s v="NOVTPF5511"/>
    <n v="0.5"/>
    <s v=""/>
    <n v="0"/>
    <s v="NOVTPF5511PK"/>
    <n v="1"/>
    <s v=""/>
    <n v="0"/>
    <x v="1"/>
    <x v="0"/>
    <x v="15"/>
    <x v="7"/>
    <x v="17"/>
    <x v="1"/>
    <s v="NOVTPF5511"/>
    <s v="NOVTPF5511PK"/>
    <x v="1"/>
    <n v="600"/>
    <x v="30"/>
    <x v="153"/>
    <n v="5.3512282210362629"/>
    <n v="596"/>
    <n v="0"/>
  </r>
  <r>
    <x v="0"/>
    <x v="0"/>
    <s v="VBLBAF5001"/>
    <n v="1"/>
    <s v=""/>
    <n v="0"/>
    <s v="VBLBAF5001BK"/>
    <n v="1"/>
    <s v=""/>
    <n v="0"/>
    <x v="1"/>
    <x v="0"/>
    <x v="5"/>
    <x v="6"/>
    <x v="5"/>
    <x v="0"/>
    <s v="VBLBAF5001"/>
    <s v="VBLBAF5001BK"/>
    <x v="1"/>
    <n v="800"/>
    <x v="70"/>
    <x v="154"/>
    <n v="7.4927385424176922"/>
    <n v="800"/>
    <n v="0"/>
  </r>
  <r>
    <x v="0"/>
    <x v="0"/>
    <s v="VBLBAF5002"/>
    <n v="1"/>
    <s v=""/>
    <n v="0"/>
    <s v="VBLBAF5002BK"/>
    <n v="1"/>
    <s v=""/>
    <n v="0"/>
    <x v="1"/>
    <x v="0"/>
    <x v="5"/>
    <x v="6"/>
    <x v="5"/>
    <x v="0"/>
    <s v="VBLBAF5002"/>
    <s v="VBLBAF5002BK"/>
    <x v="1"/>
    <n v="1200"/>
    <x v="47"/>
    <x v="155"/>
    <n v="7.4607503626838234"/>
    <n v="1200"/>
    <n v="0"/>
  </r>
  <r>
    <x v="0"/>
    <x v="0"/>
    <s v="VBLBAF3003"/>
    <n v="1"/>
    <s v=""/>
    <n v="0"/>
    <s v="VBLBAF3003GY"/>
    <n v="1"/>
    <s v=""/>
    <n v="0"/>
    <x v="0"/>
    <x v="0"/>
    <x v="5"/>
    <x v="6"/>
    <x v="5"/>
    <x v="0"/>
    <s v="VBLBAF3003"/>
    <s v="VBLBAF3003GY"/>
    <x v="1"/>
    <n v="800"/>
    <x v="70"/>
    <x v="156"/>
    <n v="6.7175353170991965"/>
    <n v="800"/>
    <n v="0"/>
  </r>
  <r>
    <x v="0"/>
    <x v="0"/>
    <s v="VBLBAF5004"/>
    <n v="1"/>
    <s v=""/>
    <n v="0"/>
    <s v="VBLBAF5004BK"/>
    <n v="1"/>
    <s v=""/>
    <n v="0"/>
    <x v="1"/>
    <x v="0"/>
    <x v="5"/>
    <x v="6"/>
    <x v="5"/>
    <x v="0"/>
    <s v="VBLBAF5004"/>
    <s v="VBLBAF5004BK"/>
    <x v="1"/>
    <n v="1200"/>
    <x v="47"/>
    <x v="157"/>
    <n v="6.6826368048267719"/>
    <n v="1199"/>
    <n v="0"/>
  </r>
  <r>
    <x v="0"/>
    <x v="0"/>
    <s v="VBLERF5005"/>
    <n v="1"/>
    <s v=""/>
    <n v="0"/>
    <s v="VBLERF5005BK"/>
    <n v="1"/>
    <s v=""/>
    <n v="0"/>
    <x v="1"/>
    <x v="0"/>
    <x v="5"/>
    <x v="10"/>
    <x v="5"/>
    <x v="0"/>
    <s v="VBLERF5005"/>
    <s v="VBLERF5005BK"/>
    <x v="1"/>
    <n v="1200"/>
    <x v="33"/>
    <x v="158"/>
    <n v="7.3838665469495748"/>
    <n v="1200"/>
    <n v="0"/>
  </r>
  <r>
    <x v="0"/>
    <x v="0"/>
    <s v="VBLERF5006"/>
    <n v="1"/>
    <s v=""/>
    <n v="0"/>
    <s v="VBLERF5006GY"/>
    <n v="1"/>
    <s v=""/>
    <n v="0"/>
    <x v="1"/>
    <x v="0"/>
    <x v="5"/>
    <x v="10"/>
    <x v="5"/>
    <x v="0"/>
    <s v="VBLERF5006"/>
    <s v="VBLERF5006GY"/>
    <x v="1"/>
    <n v="1200"/>
    <x v="71"/>
    <x v="159"/>
    <n v="7.2585841061367375"/>
    <n v="1014"/>
    <n v="0"/>
  </r>
  <r>
    <x v="0"/>
    <x v="0"/>
    <s v="VBLERF5506"/>
    <n v="1"/>
    <s v=""/>
    <n v="0"/>
    <s v="VBLERF5506GY"/>
    <n v="1"/>
    <s v=""/>
    <n v="0"/>
    <x v="1"/>
    <x v="0"/>
    <x v="5"/>
    <x v="10"/>
    <x v="5"/>
    <x v="1"/>
    <s v="VBLERF5506"/>
    <s v="VBLERF5506GY"/>
    <x v="1"/>
    <n v="1200"/>
    <x v="33"/>
    <x v="160"/>
    <n v="6.8981026078966705"/>
    <n v="1183"/>
    <n v="0"/>
  </r>
  <r>
    <x v="0"/>
    <x v="0"/>
    <s v="VBLERF5007"/>
    <n v="1"/>
    <s v=""/>
    <n v="0"/>
    <s v="VBLERF5007GY"/>
    <n v="1"/>
    <s v=""/>
    <n v="0"/>
    <x v="1"/>
    <x v="0"/>
    <x v="5"/>
    <x v="10"/>
    <x v="5"/>
    <x v="0"/>
    <s v="VBLERF5007"/>
    <s v="VBLERF5007GY"/>
    <x v="1"/>
    <n v="1200"/>
    <x v="71"/>
    <x v="161"/>
    <n v="7.2341874456439692"/>
    <n v="1198"/>
    <n v="0"/>
  </r>
  <r>
    <x v="0"/>
    <x v="0"/>
    <s v="VBLERF5507"/>
    <n v="1"/>
    <s v=""/>
    <n v="0"/>
    <s v="VBLERF5507GY"/>
    <n v="1"/>
    <s v=""/>
    <n v="0"/>
    <x v="1"/>
    <x v="0"/>
    <x v="5"/>
    <x v="10"/>
    <x v="5"/>
    <x v="1"/>
    <s v="VBLERF5507"/>
    <s v="VBLERF5507GY"/>
    <x v="1"/>
    <n v="1200"/>
    <x v="33"/>
    <x v="161"/>
    <n v="6.7437340594986148"/>
    <n v="1198"/>
    <n v="0"/>
  </r>
  <r>
    <x v="0"/>
    <x v="0"/>
    <s v="HCUMIF5001"/>
    <n v="0.5"/>
    <s v=""/>
    <n v="0"/>
    <s v="HCUMIF5001NY"/>
    <n v="1"/>
    <s v=""/>
    <n v="0"/>
    <x v="1"/>
    <x v="0"/>
    <x v="3"/>
    <x v="3"/>
    <x v="3"/>
    <x v="0"/>
    <s v="HCUMIF5001"/>
    <s v="HCUMIF5001NY"/>
    <x v="1"/>
    <n v="1000"/>
    <x v="35"/>
    <x v="162"/>
    <n v="6.2748834647585969"/>
    <n v="1010"/>
    <n v="0"/>
  </r>
  <r>
    <x v="0"/>
    <x v="0"/>
    <s v="HCUMIF5001"/>
    <n v="0.5"/>
    <s v=""/>
    <n v="0"/>
    <s v="HCUMIF5001BK"/>
    <n v="1"/>
    <s v=""/>
    <n v="0"/>
    <x v="1"/>
    <x v="0"/>
    <x v="3"/>
    <x v="3"/>
    <x v="3"/>
    <x v="0"/>
    <s v="HCUMIF5001"/>
    <s v="HCUMIF5001BK"/>
    <x v="1"/>
    <n v="1000"/>
    <x v="35"/>
    <x v="162"/>
    <n v="6.2748834647585969"/>
    <n v="994"/>
    <n v="0"/>
  </r>
  <r>
    <x v="0"/>
    <x v="0"/>
    <s v="HCUMIF5002"/>
    <n v="1"/>
    <s v=""/>
    <n v="0"/>
    <s v="HCUMIF5002GY"/>
    <n v="1"/>
    <s v=""/>
    <n v="0"/>
    <x v="1"/>
    <x v="0"/>
    <x v="3"/>
    <x v="3"/>
    <x v="3"/>
    <x v="0"/>
    <s v="HCUMIF5002"/>
    <s v="HCUMIF5002GY"/>
    <x v="1"/>
    <n v="1000"/>
    <x v="35"/>
    <x v="163"/>
    <n v="7.0179415662350664"/>
    <n v="1006"/>
    <n v="0"/>
  </r>
  <r>
    <x v="0"/>
    <x v="0"/>
    <s v="BROBAF5001"/>
    <n v="0.5"/>
    <s v=""/>
    <n v="0"/>
    <s v="BROBAF5001GY"/>
    <n v="1"/>
    <s v=""/>
    <n v="0"/>
    <x v="1"/>
    <x v="0"/>
    <x v="16"/>
    <x v="6"/>
    <x v="18"/>
    <x v="0"/>
    <s v="BROBAF5001"/>
    <s v="BROBAF5001GY"/>
    <x v="1"/>
    <n v="1000"/>
    <x v="21"/>
    <x v="164"/>
    <n v="6.0362475433088427"/>
    <n v="1013"/>
    <n v="0"/>
  </r>
  <r>
    <x v="0"/>
    <x v="0"/>
    <s v="BROBAF5001"/>
    <n v="0.5"/>
    <s v=""/>
    <n v="0"/>
    <s v="BROBAF5001PK"/>
    <n v="1"/>
    <s v=""/>
    <n v="0"/>
    <x v="1"/>
    <x v="0"/>
    <x v="16"/>
    <x v="6"/>
    <x v="18"/>
    <x v="0"/>
    <s v="BROBAF5001"/>
    <s v="BROBAF5001PK"/>
    <x v="1"/>
    <n v="1000"/>
    <x v="21"/>
    <x v="164"/>
    <n v="6.0362475433088427"/>
    <n v="983"/>
    <n v="0"/>
  </r>
  <r>
    <x v="0"/>
    <x v="0"/>
    <s v="BROBAF5002"/>
    <n v="1"/>
    <s v=""/>
    <n v="0"/>
    <s v="BROBAF5002BG"/>
    <n v="1"/>
    <s v=""/>
    <n v="0"/>
    <x v="1"/>
    <x v="0"/>
    <x v="16"/>
    <x v="6"/>
    <x v="18"/>
    <x v="0"/>
    <s v="BROBAF5002"/>
    <s v="BROBAF5002BG"/>
    <x v="1"/>
    <n v="1000"/>
    <x v="21"/>
    <x v="165"/>
    <n v="5.7915096704619167"/>
    <n v="998"/>
    <n v="0"/>
  </r>
  <r>
    <x v="0"/>
    <x v="0"/>
    <s v="BROBAF5003"/>
    <n v="1"/>
    <s v=""/>
    <n v="0"/>
    <s v="BROBAF5003NY"/>
    <n v="1"/>
    <s v=""/>
    <n v="0"/>
    <x v="1"/>
    <x v="0"/>
    <x v="16"/>
    <x v="6"/>
    <x v="18"/>
    <x v="0"/>
    <s v="BROBAF5003"/>
    <s v="BROBAF5003NY"/>
    <x v="1"/>
    <n v="1000"/>
    <x v="21"/>
    <x v="166"/>
    <n v="5.3183966705534367"/>
    <n v="997"/>
    <n v="0"/>
  </r>
  <r>
    <x v="0"/>
    <x v="0"/>
    <s v="BROERF5004"/>
    <n v="1"/>
    <s v=""/>
    <n v="0"/>
    <s v="BROERF5004WH"/>
    <n v="1"/>
    <s v=""/>
    <n v="0"/>
    <x v="1"/>
    <x v="0"/>
    <x v="16"/>
    <x v="10"/>
    <x v="18"/>
    <x v="0"/>
    <s v="BROERF5004"/>
    <s v="BROERF5004WH"/>
    <x v="1"/>
    <n v="1000"/>
    <x v="72"/>
    <x v="167"/>
    <n v="5.7209070061717924"/>
    <n v="975"/>
    <n v="0"/>
  </r>
  <r>
    <x v="0"/>
    <x v="0"/>
    <s v="BROERF5504"/>
    <n v="1"/>
    <s v=""/>
    <n v="0"/>
    <s v="BROERF5504WH"/>
    <n v="1"/>
    <s v=""/>
    <n v="0"/>
    <x v="1"/>
    <x v="0"/>
    <x v="16"/>
    <x v="10"/>
    <x v="18"/>
    <x v="1"/>
    <s v="BROERF5504"/>
    <s v="BROERF5504WH"/>
    <x v="1"/>
    <n v="1000"/>
    <x v="34"/>
    <x v="167"/>
    <n v="5.3330489040584501"/>
    <n v="903"/>
    <n v="0"/>
  </r>
  <r>
    <x v="0"/>
    <x v="0"/>
    <s v="BROERF5005"/>
    <n v="1"/>
    <s v=""/>
    <n v="0"/>
    <s v="BROERF5005RE"/>
    <n v="1"/>
    <s v=""/>
    <n v="0"/>
    <x v="1"/>
    <x v="0"/>
    <x v="16"/>
    <x v="10"/>
    <x v="18"/>
    <x v="0"/>
    <s v="BROERF5005"/>
    <s v="BROERF5005RE"/>
    <x v="1"/>
    <n v="1000"/>
    <x v="72"/>
    <x v="168"/>
    <n v="5.9587484931436014"/>
    <n v="1015"/>
    <n v="0"/>
  </r>
  <r>
    <x v="0"/>
    <x v="0"/>
    <s v="BROERF5006"/>
    <n v="1"/>
    <s v=""/>
    <n v="0"/>
    <s v="BROERF5006BK"/>
    <n v="1"/>
    <s v=""/>
    <n v="0"/>
    <x v="1"/>
    <x v="0"/>
    <x v="16"/>
    <x v="10"/>
    <x v="18"/>
    <x v="0"/>
    <s v="BROERF5006"/>
    <s v="BROERF5006BK"/>
    <x v="1"/>
    <n v="1000"/>
    <x v="72"/>
    <x v="169"/>
    <n v="5.608966969934321"/>
    <n v="987"/>
    <n v="0"/>
  </r>
  <r>
    <x v="0"/>
    <x v="0"/>
    <s v="SBRMIF3001"/>
    <n v="0.5"/>
    <s v=""/>
    <n v="0"/>
    <s v="SBRMIF3001KH"/>
    <n v="1"/>
    <s v=""/>
    <n v="0"/>
    <x v="0"/>
    <x v="0"/>
    <x v="17"/>
    <x v="3"/>
    <x v="19"/>
    <x v="0"/>
    <s v="SBRMIF3001"/>
    <s v="SBRMIF3001KH"/>
    <x v="1"/>
    <n v="2000"/>
    <x v="22"/>
    <x v="170"/>
    <n v="6.5722419520925603"/>
    <n v="2000"/>
    <n v="0"/>
  </r>
  <r>
    <x v="0"/>
    <x v="0"/>
    <s v="SBRMIF3002"/>
    <n v="1"/>
    <s v=""/>
    <n v="0"/>
    <s v="SBRMIF3002BK"/>
    <n v="1"/>
    <s v=""/>
    <n v="0"/>
    <x v="0"/>
    <x v="0"/>
    <x v="17"/>
    <x v="3"/>
    <x v="19"/>
    <x v="0"/>
    <s v="SBRMIF3002"/>
    <s v="SBRMIF3002BK"/>
    <x v="1"/>
    <n v="2000"/>
    <x v="73"/>
    <x v="171"/>
    <n v="5.5656707890374708"/>
    <n v="2000"/>
    <n v="0"/>
  </r>
  <r>
    <x v="0"/>
    <x v="0"/>
    <s v="SBRMIF3003"/>
    <n v="1"/>
    <s v=""/>
    <n v="0"/>
    <s v="SBRMIF3003BK"/>
    <n v="1"/>
    <s v=""/>
    <n v="0"/>
    <x v="0"/>
    <x v="0"/>
    <x v="17"/>
    <x v="3"/>
    <x v="19"/>
    <x v="0"/>
    <s v="SBRMIF3003"/>
    <s v="SBRMIF3003BK"/>
    <x v="1"/>
    <n v="2000"/>
    <x v="73"/>
    <x v="172"/>
    <n v="5.2781849159303444"/>
    <n v="2000"/>
    <n v="0"/>
  </r>
  <r>
    <x v="0"/>
    <x v="0"/>
    <s v="SBRMIF5004"/>
    <n v="0.5"/>
    <s v=""/>
    <n v="0"/>
    <s v="SBRMIF5004BK"/>
    <n v="1"/>
    <s v=""/>
    <n v="0"/>
    <x v="1"/>
    <x v="0"/>
    <x v="17"/>
    <x v="3"/>
    <x v="19"/>
    <x v="0"/>
    <s v="SBRMIF5004"/>
    <s v="SBRMIF5004BK"/>
    <x v="1"/>
    <n v="800"/>
    <x v="74"/>
    <x v="173"/>
    <n v="5.2142641409840751"/>
    <n v="795"/>
    <n v="0"/>
  </r>
  <r>
    <x v="0"/>
    <x v="0"/>
    <s v="SBRMIF5004"/>
    <n v="0.5"/>
    <s v=""/>
    <n v="0"/>
    <s v="SBRMIF5004GY"/>
    <n v="1"/>
    <s v=""/>
    <n v="0"/>
    <x v="1"/>
    <x v="0"/>
    <x v="17"/>
    <x v="3"/>
    <x v="19"/>
    <x v="0"/>
    <s v="SBRMIF5004"/>
    <s v="SBRMIF5004GY"/>
    <x v="1"/>
    <n v="800"/>
    <x v="74"/>
    <x v="173"/>
    <n v="5.2142641409840751"/>
    <n v="800"/>
    <n v="0"/>
  </r>
  <r>
    <x v="0"/>
    <x v="0"/>
    <s v="SBRMIF5005"/>
    <n v="1"/>
    <s v=""/>
    <n v="0"/>
    <s v="SBRMIF5005BK"/>
    <n v="1"/>
    <s v=""/>
    <n v="0"/>
    <x v="1"/>
    <x v="0"/>
    <x v="17"/>
    <x v="3"/>
    <x v="19"/>
    <x v="0"/>
    <s v="SBRMIF5005"/>
    <s v="SBRMIF5005BK"/>
    <x v="1"/>
    <n v="1000"/>
    <x v="75"/>
    <x v="174"/>
    <n v="5.2298779440357457"/>
    <n v="994"/>
    <n v="0"/>
  </r>
  <r>
    <x v="0"/>
    <x v="0"/>
    <s v="SBRMIF5006"/>
    <n v="0.5"/>
    <s v=""/>
    <n v="0"/>
    <s v="SBRMIF5006BK"/>
    <n v="1"/>
    <s v=""/>
    <n v="0"/>
    <x v="1"/>
    <x v="0"/>
    <x v="17"/>
    <x v="3"/>
    <x v="19"/>
    <x v="0"/>
    <s v="SBRMIF5006"/>
    <s v="SBRMIF5006BK"/>
    <x v="1"/>
    <n v="1200"/>
    <x v="31"/>
    <x v="175"/>
    <n v="5.2050831685538927"/>
    <n v="1189"/>
    <n v="0"/>
  </r>
  <r>
    <x v="0"/>
    <x v="0"/>
    <s v="SBRMIF5006"/>
    <n v="0.5"/>
    <s v=""/>
    <n v="0"/>
    <s v="SBRMIF5006NY"/>
    <n v="1"/>
    <s v=""/>
    <n v="0"/>
    <x v="1"/>
    <x v="0"/>
    <x v="17"/>
    <x v="3"/>
    <x v="19"/>
    <x v="0"/>
    <s v="SBRMIF5006"/>
    <s v="SBRMIF5006NY"/>
    <x v="1"/>
    <n v="1200"/>
    <x v="31"/>
    <x v="176"/>
    <n v="5.6005710093286822"/>
    <n v="1189"/>
    <n v="0"/>
  </r>
  <r>
    <x v="0"/>
    <x v="0"/>
    <s v="SBRMIF5007"/>
    <n v="0.5"/>
    <s v=""/>
    <n v="0"/>
    <s v="SBRMIF5007BK"/>
    <n v="1"/>
    <s v=""/>
    <n v="0"/>
    <x v="1"/>
    <x v="0"/>
    <x v="17"/>
    <x v="3"/>
    <x v="19"/>
    <x v="0"/>
    <s v="SBRMIF5007"/>
    <s v="SBRMIF5007BK"/>
    <x v="1"/>
    <n v="1200"/>
    <x v="40"/>
    <x v="177"/>
    <n v="5.4602661333713405"/>
    <n v="1188"/>
    <n v="0"/>
  </r>
  <r>
    <x v="0"/>
    <x v="0"/>
    <s v="SBRMIF5007"/>
    <n v="0.5"/>
    <s v=""/>
    <n v="0"/>
    <s v="SBRMIF5007GY"/>
    <n v="1"/>
    <s v=""/>
    <n v="0"/>
    <x v="1"/>
    <x v="0"/>
    <x v="17"/>
    <x v="3"/>
    <x v="19"/>
    <x v="0"/>
    <s v="SBRMIF5007"/>
    <s v="SBRMIF5007GY"/>
    <x v="1"/>
    <n v="1200"/>
    <x v="40"/>
    <x v="178"/>
    <n v="5.1606353615468352"/>
    <n v="1173"/>
    <n v="0"/>
  </r>
  <r>
    <x v="0"/>
    <x v="0"/>
    <s v="SBRBAF5008"/>
    <n v="1"/>
    <s v=""/>
    <n v="0"/>
    <s v="SBRBAF5008BG"/>
    <n v="1"/>
    <s v=""/>
    <n v="0"/>
    <x v="1"/>
    <x v="0"/>
    <x v="17"/>
    <x v="6"/>
    <x v="19"/>
    <x v="0"/>
    <s v="SBRBAF5008"/>
    <s v="SBRBAF5008BG"/>
    <x v="1"/>
    <n v="2000"/>
    <x v="66"/>
    <x v="179"/>
    <n v="6.4902376009419154"/>
    <n v="2000"/>
    <n v="0"/>
  </r>
  <r>
    <x v="0"/>
    <x v="0"/>
    <s v="SBRMIF5009"/>
    <n v="1"/>
    <s v=""/>
    <n v="0"/>
    <s v="SBRMIF5009KH"/>
    <n v="1"/>
    <s v=""/>
    <n v="0"/>
    <x v="1"/>
    <x v="0"/>
    <x v="17"/>
    <x v="3"/>
    <x v="19"/>
    <x v="0"/>
    <s v="SBRMIF5009"/>
    <s v="SBRMIF5009KH"/>
    <x v="1"/>
    <n v="1000"/>
    <x v="75"/>
    <x v="180"/>
    <n v="6.0444462078384369"/>
    <n v="998"/>
    <n v="0"/>
  </r>
  <r>
    <x v="0"/>
    <x v="0"/>
    <s v="SBRBAF5010"/>
    <n v="0.5"/>
    <s v=""/>
    <n v="0"/>
    <s v="SBRBAF5010BG"/>
    <n v="1"/>
    <s v=""/>
    <n v="0"/>
    <x v="1"/>
    <x v="0"/>
    <x v="17"/>
    <x v="6"/>
    <x v="19"/>
    <x v="0"/>
    <s v="SBRBAF5010"/>
    <s v="SBRBAF5010BG"/>
    <x v="1"/>
    <n v="1000"/>
    <x v="30"/>
    <x v="181"/>
    <n v="5.478027934290445"/>
    <n v="998"/>
    <n v="0"/>
  </r>
  <r>
    <x v="0"/>
    <x v="0"/>
    <s v="SBRBAF5010"/>
    <n v="0.5"/>
    <s v=""/>
    <n v="0"/>
    <s v="SBRBAF5010BK"/>
    <n v="1"/>
    <s v=""/>
    <n v="0"/>
    <x v="1"/>
    <x v="0"/>
    <x v="17"/>
    <x v="6"/>
    <x v="19"/>
    <x v="0"/>
    <s v="SBRBAF5010"/>
    <s v="SBRBAF5010BK"/>
    <x v="1"/>
    <n v="1000"/>
    <x v="30"/>
    <x v="181"/>
    <n v="5.478027934290445"/>
    <n v="1000"/>
    <n v="0"/>
  </r>
  <r>
    <x v="0"/>
    <x v="0"/>
    <s v="SBRBAF5011"/>
    <n v="1"/>
    <s v=""/>
    <n v="0"/>
    <s v="SBRBAF5011GY"/>
    <n v="1"/>
    <s v=""/>
    <n v="0"/>
    <x v="1"/>
    <x v="0"/>
    <x v="17"/>
    <x v="6"/>
    <x v="19"/>
    <x v="0"/>
    <s v="SBRBAF5011"/>
    <s v="SBRBAF5011GY"/>
    <x v="1"/>
    <n v="1000"/>
    <x v="21"/>
    <x v="182"/>
    <n v="5.5245722261714771"/>
    <n v="921"/>
    <n v="0"/>
  </r>
  <r>
    <x v="0"/>
    <x v="0"/>
    <s v="SBRBAF5511"/>
    <n v="1"/>
    <s v=""/>
    <n v="0"/>
    <s v="SBRBAF5511GY"/>
    <n v="1"/>
    <s v=""/>
    <n v="0"/>
    <x v="1"/>
    <x v="0"/>
    <x v="17"/>
    <x v="6"/>
    <x v="19"/>
    <x v="1"/>
    <s v="SBRBAF5511"/>
    <s v="SBRBAF5511GY"/>
    <x v="1"/>
    <n v="800"/>
    <x v="76"/>
    <x v="183"/>
    <n v="5.2696509675957444"/>
    <n v="798"/>
    <n v="0"/>
  </r>
  <r>
    <x v="0"/>
    <x v="0"/>
    <s v="SBRBAF5012"/>
    <n v="0.5"/>
    <s v=""/>
    <n v="0"/>
    <s v="SBRBAF5012BG"/>
    <n v="1"/>
    <s v=""/>
    <n v="0"/>
    <x v="1"/>
    <x v="0"/>
    <x v="17"/>
    <x v="6"/>
    <x v="19"/>
    <x v="0"/>
    <s v="SBRBAF5012"/>
    <s v="SBRBAF5012BG"/>
    <x v="1"/>
    <n v="2000"/>
    <x v="45"/>
    <x v="184"/>
    <n v="6.1706792242927291"/>
    <n v="2000"/>
    <n v="0"/>
  </r>
  <r>
    <x v="0"/>
    <x v="0"/>
    <s v="SBRBAF5512"/>
    <n v="1"/>
    <s v=""/>
    <n v="0"/>
    <s v="SBRBAF5512BG"/>
    <n v="1"/>
    <s v=""/>
    <n v="0"/>
    <x v="1"/>
    <x v="0"/>
    <x v="17"/>
    <x v="6"/>
    <x v="19"/>
    <x v="1"/>
    <s v="SBRBAF5512"/>
    <s v="SBRBAF5512BG"/>
    <x v="1"/>
    <n v="1200"/>
    <x v="31"/>
    <x v="185"/>
    <n v="5.912666758553887"/>
    <n v="1198"/>
    <n v="0"/>
  </r>
  <r>
    <x v="0"/>
    <x v="0"/>
    <s v="SBRBAF5012"/>
    <n v="0.5"/>
    <s v=""/>
    <n v="0"/>
    <s v="SBRBAF5012GY"/>
    <n v="1"/>
    <s v=""/>
    <n v="0"/>
    <x v="1"/>
    <x v="0"/>
    <x v="17"/>
    <x v="6"/>
    <x v="19"/>
    <x v="0"/>
    <s v="SBRBAF5012"/>
    <s v="SBRBAF5012GY"/>
    <x v="1"/>
    <n v="2000"/>
    <x v="45"/>
    <x v="184"/>
    <n v="6.1706792242927291"/>
    <n v="2000"/>
    <n v="0"/>
  </r>
  <r>
    <x v="0"/>
    <x v="0"/>
    <s v="SBRBAF5013"/>
    <n v="0.5"/>
    <s v=""/>
    <n v="0"/>
    <s v="SBRBAF5013KH"/>
    <n v="1"/>
    <s v=""/>
    <n v="0"/>
    <x v="1"/>
    <x v="0"/>
    <x v="17"/>
    <x v="6"/>
    <x v="19"/>
    <x v="0"/>
    <s v="SBRBAF5013"/>
    <s v="SBRBAF5013KH"/>
    <x v="1"/>
    <n v="800"/>
    <x v="76"/>
    <x v="186"/>
    <n v="5.7524211621092345"/>
    <n v="800"/>
    <n v="0"/>
  </r>
  <r>
    <x v="0"/>
    <x v="0"/>
    <s v="SBRBAF5013"/>
    <n v="0.5"/>
    <s v=""/>
    <n v="0"/>
    <s v="SBRBAF5013GY"/>
    <n v="1"/>
    <s v=""/>
    <n v="0"/>
    <x v="1"/>
    <x v="0"/>
    <x v="17"/>
    <x v="6"/>
    <x v="19"/>
    <x v="0"/>
    <s v="SBRBAF5013"/>
    <s v="SBRBAF5013GY"/>
    <x v="1"/>
    <n v="800"/>
    <x v="76"/>
    <x v="186"/>
    <n v="5.7524211621092345"/>
    <n v="800"/>
    <n v="0"/>
  </r>
  <r>
    <x v="0"/>
    <x v="0"/>
    <s v="SBRMIF5014"/>
    <n v="0.5"/>
    <s v=""/>
    <n v="0"/>
    <s v="SBRMIF5014BK"/>
    <n v="1"/>
    <s v=""/>
    <n v="0"/>
    <x v="1"/>
    <x v="0"/>
    <x v="17"/>
    <x v="3"/>
    <x v="19"/>
    <x v="0"/>
    <s v="SBRMIF5014"/>
    <s v="SBRMIF5014BK"/>
    <x v="1"/>
    <n v="800"/>
    <x v="76"/>
    <x v="187"/>
    <n v="5.3013711702011097"/>
    <n v="800"/>
    <n v="0"/>
  </r>
  <r>
    <x v="0"/>
    <x v="0"/>
    <s v="SBRMIF5014"/>
    <n v="0.5"/>
    <s v=""/>
    <n v="0"/>
    <s v="SBRMIF5014RE"/>
    <n v="1"/>
    <s v=""/>
    <n v="0"/>
    <x v="1"/>
    <x v="0"/>
    <x v="17"/>
    <x v="3"/>
    <x v="19"/>
    <x v="0"/>
    <s v="SBRMIF5014"/>
    <s v="SBRMIF5014RE"/>
    <x v="1"/>
    <n v="800"/>
    <x v="76"/>
    <x v="187"/>
    <n v="5.3013711702011097"/>
    <n v="799"/>
    <n v="0"/>
  </r>
  <r>
    <x v="0"/>
    <x v="0"/>
    <s v="SBRMIF5015"/>
    <n v="0.5"/>
    <s v=""/>
    <n v="0"/>
    <s v="SBRMIF5015NY"/>
    <n v="1"/>
    <s v=""/>
    <n v="0"/>
    <x v="1"/>
    <x v="0"/>
    <x v="17"/>
    <x v="3"/>
    <x v="19"/>
    <x v="0"/>
    <s v="SBRMIF5015"/>
    <s v="SBRMIF5015NY"/>
    <x v="1"/>
    <n v="800"/>
    <x v="70"/>
    <x v="188"/>
    <n v="5.4654518194210242"/>
    <n v="800"/>
    <n v="0"/>
  </r>
  <r>
    <x v="0"/>
    <x v="0"/>
    <s v="SBRMIF5015"/>
    <n v="0.5"/>
    <s v=""/>
    <n v="0"/>
    <s v="SBRMIF5015BK"/>
    <n v="1"/>
    <s v=""/>
    <n v="0"/>
    <x v="1"/>
    <x v="0"/>
    <x v="17"/>
    <x v="3"/>
    <x v="19"/>
    <x v="0"/>
    <s v="SBRMIF5015"/>
    <s v="SBRMIF5015BK"/>
    <x v="1"/>
    <n v="800"/>
    <x v="70"/>
    <x v="189"/>
    <n v="5.4123270940983863"/>
    <n v="798"/>
    <n v="0"/>
  </r>
  <r>
    <x v="0"/>
    <x v="0"/>
    <s v="SBRMIF5016"/>
    <n v="1"/>
    <s v=""/>
    <n v="0"/>
    <s v="SBRMIF5016GY"/>
    <n v="1"/>
    <s v=""/>
    <n v="0"/>
    <x v="1"/>
    <x v="0"/>
    <x v="17"/>
    <x v="3"/>
    <x v="19"/>
    <x v="0"/>
    <s v="SBRMIF5016"/>
    <s v="SBRMIF5016GY"/>
    <x v="1"/>
    <n v="1000"/>
    <x v="21"/>
    <x v="190"/>
    <n v="5.5296814113552575"/>
    <n v="1000"/>
    <n v="0"/>
  </r>
  <r>
    <x v="0"/>
    <x v="0"/>
    <s v="SBRBAF5017"/>
    <n v="0.5"/>
    <s v=""/>
    <n v="0"/>
    <s v="SBRBAF5017BW"/>
    <n v="1"/>
    <s v=""/>
    <n v="0"/>
    <x v="1"/>
    <x v="0"/>
    <x v="17"/>
    <x v="6"/>
    <x v="19"/>
    <x v="0"/>
    <s v="SBRBAF5017"/>
    <s v="SBRBAF5017BW"/>
    <x v="1"/>
    <n v="1200"/>
    <x v="40"/>
    <x v="191"/>
    <n v="6.3167080815963192"/>
    <n v="1200"/>
    <n v="0"/>
  </r>
  <r>
    <x v="0"/>
    <x v="0"/>
    <s v="SBRBAF5017"/>
    <n v="0.5"/>
    <s v=""/>
    <n v="0"/>
    <s v="SBRBAF5017BK"/>
    <n v="1"/>
    <s v=""/>
    <n v="0"/>
    <x v="1"/>
    <x v="0"/>
    <x v="17"/>
    <x v="6"/>
    <x v="19"/>
    <x v="0"/>
    <s v="SBRBAF5017"/>
    <s v="SBRBAF5017BK"/>
    <x v="1"/>
    <n v="1200"/>
    <x v="40"/>
    <x v="192"/>
    <n v="6.322633276245897"/>
    <n v="1200"/>
    <n v="0"/>
  </r>
  <r>
    <x v="0"/>
    <x v="0"/>
    <s v="SBRERF5018"/>
    <n v="1"/>
    <s v=""/>
    <n v="0"/>
    <s v="SBRERF5018BK"/>
    <n v="1"/>
    <s v=""/>
    <n v="0"/>
    <x v="1"/>
    <x v="0"/>
    <x v="17"/>
    <x v="10"/>
    <x v="19"/>
    <x v="0"/>
    <s v="SBRERF5018"/>
    <s v="SBRERF5018BK"/>
    <x v="1"/>
    <n v="1000"/>
    <x v="34"/>
    <x v="193"/>
    <n v="8.0393607100363358"/>
    <n v="999"/>
    <n v="0"/>
  </r>
  <r>
    <x v="0"/>
    <x v="0"/>
    <s v="SBRERF5019"/>
    <n v="1"/>
    <s v=""/>
    <n v="0"/>
    <s v="SBRERF5019PK"/>
    <n v="1"/>
    <s v=""/>
    <n v="0"/>
    <x v="1"/>
    <x v="0"/>
    <x v="17"/>
    <x v="10"/>
    <x v="19"/>
    <x v="0"/>
    <s v="SBRERF5019"/>
    <s v="SBRERF5019PK"/>
    <x v="1"/>
    <n v="1000"/>
    <x v="21"/>
    <x v="194"/>
    <n v="5.688507983298539"/>
    <n v="988"/>
    <n v="0"/>
  </r>
  <r>
    <x v="0"/>
    <x v="0"/>
    <s v="SBRERF5020"/>
    <n v="1"/>
    <s v=""/>
    <n v="0"/>
    <s v="SBRERF5020GY"/>
    <n v="1"/>
    <s v=""/>
    <n v="0"/>
    <x v="1"/>
    <x v="0"/>
    <x v="17"/>
    <x v="10"/>
    <x v="19"/>
    <x v="0"/>
    <s v="SBRERF5020"/>
    <s v="SBRERF5020GY"/>
    <x v="1"/>
    <n v="1000"/>
    <x v="72"/>
    <x v="195"/>
    <n v="4.8340645880188928"/>
    <n v="999"/>
    <n v="0"/>
  </r>
  <r>
    <x v="0"/>
    <x v="0"/>
    <s v="SBRERF5021"/>
    <n v="1"/>
    <s v=""/>
    <n v="0"/>
    <s v="SBRERF5021NY"/>
    <n v="1"/>
    <s v=""/>
    <n v="0"/>
    <x v="1"/>
    <x v="0"/>
    <x v="17"/>
    <x v="10"/>
    <x v="19"/>
    <x v="0"/>
    <s v="SBRERF5021"/>
    <s v="SBRERF5021NY"/>
    <x v="1"/>
    <n v="800"/>
    <x v="70"/>
    <x v="196"/>
    <n v="5.2068705613420878"/>
    <n v="776"/>
    <n v="0"/>
  </r>
  <r>
    <x v="0"/>
    <x v="0"/>
    <s v="SBRERF5022"/>
    <n v="1"/>
    <s v=""/>
    <n v="0"/>
    <s v="SBRERF5022IV"/>
    <n v="1"/>
    <s v=""/>
    <n v="0"/>
    <x v="1"/>
    <x v="0"/>
    <x v="17"/>
    <x v="10"/>
    <x v="19"/>
    <x v="0"/>
    <s v="SBRERF5022"/>
    <s v="SBRERF5022IV"/>
    <x v="1"/>
    <n v="1200"/>
    <x v="47"/>
    <x v="197"/>
    <n v="4.9914322235659103"/>
    <n v="800"/>
    <n v="0"/>
  </r>
  <r>
    <x v="0"/>
    <x v="0"/>
    <s v="ELSTLF5009"/>
    <n v="1"/>
    <s v=""/>
    <n v="0"/>
    <s v="ELSTLF5009BK"/>
    <n v="1"/>
    <s v=""/>
    <n v="0"/>
    <x v="1"/>
    <x v="1"/>
    <x v="6"/>
    <x v="13"/>
    <x v="15"/>
    <x v="0"/>
    <s v="ELSTLF5009"/>
    <s v="ELSTLF5009BK"/>
    <x v="1"/>
    <n v="1000"/>
    <x v="58"/>
    <x v="127"/>
    <n v="4.2155520715412331"/>
    <n v="1046"/>
    <n v="0"/>
  </r>
  <r>
    <x v="0"/>
    <x v="0"/>
    <s v="ELSTLF5511"/>
    <n v="0.5"/>
    <s v=""/>
    <n v="0"/>
    <s v="ELSTLF5511MT"/>
    <n v="1"/>
    <s v=""/>
    <n v="0"/>
    <x v="1"/>
    <x v="1"/>
    <x v="6"/>
    <x v="13"/>
    <x v="15"/>
    <x v="1"/>
    <s v="ELSTLF5511"/>
    <s v="ELSTLF5511MT"/>
    <x v="1"/>
    <n v="1200"/>
    <x v="53"/>
    <x v="198"/>
    <n v="4.0462657192941567"/>
    <n v="1252"/>
    <n v="0"/>
  </r>
  <r>
    <x v="0"/>
    <x v="0"/>
    <s v="ELSTLF5511"/>
    <n v="0.5"/>
    <s v=""/>
    <n v="0"/>
    <s v="ELSTLF5511PK"/>
    <n v="1"/>
    <s v=""/>
    <n v="0"/>
    <x v="1"/>
    <x v="1"/>
    <x v="6"/>
    <x v="13"/>
    <x v="15"/>
    <x v="1"/>
    <s v="ELSTLF5511"/>
    <s v="ELSTLF5511PK"/>
    <x v="1"/>
    <n v="1200"/>
    <x v="53"/>
    <x v="198"/>
    <n v="4.0462657192941567"/>
    <n v="1259"/>
    <n v="0"/>
  </r>
  <r>
    <x v="0"/>
    <x v="0"/>
    <s v="ELSHPF5012"/>
    <n v="1"/>
    <s v=""/>
    <n v="0"/>
    <s v="ELSHPF5012BK"/>
    <n v="1"/>
    <s v=""/>
    <n v="0"/>
    <x v="1"/>
    <x v="1"/>
    <x v="6"/>
    <x v="17"/>
    <x v="15"/>
    <x v="0"/>
    <s v="ELSHPF5012"/>
    <s v="ELSHPF5012BK"/>
    <x v="1"/>
    <n v="1000"/>
    <x v="17"/>
    <x v="199"/>
    <n v="4.0153467056163716"/>
    <n v="1021"/>
    <n v="0"/>
  </r>
  <r>
    <x v="0"/>
    <x v="0"/>
    <s v="ELSHPF5513"/>
    <n v="1"/>
    <s v=""/>
    <n v="0"/>
    <s v="ELSHPF5513MT"/>
    <n v="1"/>
    <s v=""/>
    <n v="0"/>
    <x v="1"/>
    <x v="1"/>
    <x v="6"/>
    <x v="17"/>
    <x v="15"/>
    <x v="1"/>
    <s v="ELSHPF5513"/>
    <s v="ELSHPF5513MT"/>
    <x v="1"/>
    <n v="1000"/>
    <x v="59"/>
    <x v="200"/>
    <n v="4.4993269914248106"/>
    <n v="1051"/>
    <n v="0"/>
  </r>
  <r>
    <x v="0"/>
    <x v="0"/>
    <s v="ELSHPF5514"/>
    <n v="1"/>
    <s v=""/>
    <n v="0"/>
    <s v="ELSHPF5514PK"/>
    <n v="1"/>
    <s v=""/>
    <n v="0"/>
    <x v="1"/>
    <x v="1"/>
    <x v="6"/>
    <x v="17"/>
    <x v="15"/>
    <x v="1"/>
    <s v="ELSHPF5514"/>
    <s v="ELSHPF5514PK"/>
    <x v="1"/>
    <n v="1000"/>
    <x v="59"/>
    <x v="200"/>
    <n v="4.4993269914248106"/>
    <n v="1050"/>
    <n v="0"/>
  </r>
  <r>
    <x v="0"/>
    <x v="0"/>
    <s v="ELSHPF5515"/>
    <n v="1"/>
    <s v=""/>
    <n v="0"/>
    <s v="ELSHPF5515RE"/>
    <n v="1"/>
    <s v=""/>
    <n v="0"/>
    <x v="1"/>
    <x v="1"/>
    <x v="6"/>
    <x v="17"/>
    <x v="15"/>
    <x v="1"/>
    <s v="ELSHPF5515"/>
    <s v="ELSHPF5515RE"/>
    <x v="1"/>
    <n v="1000"/>
    <x v="59"/>
    <x v="201"/>
    <n v="4.5210447032542014"/>
    <n v="1050"/>
    <n v="0"/>
  </r>
  <r>
    <x v="0"/>
    <x v="0"/>
    <s v="ELSJPF5516"/>
    <n v="0.5"/>
    <s v=""/>
    <n v="0"/>
    <s v="ELSJPF5516BL"/>
    <n v="1"/>
    <s v=""/>
    <n v="0"/>
    <x v="1"/>
    <x v="1"/>
    <x v="6"/>
    <x v="14"/>
    <x v="15"/>
    <x v="1"/>
    <s v="ELSJPF5516"/>
    <s v="ELSJPF5516BL"/>
    <x v="1"/>
    <n v="1000"/>
    <x v="17"/>
    <x v="202"/>
    <n v="4.0347649559094068"/>
    <n v="1053"/>
    <n v="0"/>
  </r>
  <r>
    <x v="0"/>
    <x v="0"/>
    <s v="ELSJPF5516"/>
    <n v="0.5"/>
    <s v=""/>
    <n v="0"/>
    <s v="ELSJPF5516PK"/>
    <n v="1"/>
    <s v=""/>
    <n v="0"/>
    <x v="1"/>
    <x v="1"/>
    <x v="6"/>
    <x v="14"/>
    <x v="15"/>
    <x v="1"/>
    <s v="ELSJPF5516"/>
    <s v="ELSJPF5516PK"/>
    <x v="1"/>
    <n v="1000"/>
    <x v="17"/>
    <x v="202"/>
    <n v="4.0347649559094068"/>
    <n v="1053"/>
    <n v="0"/>
  </r>
  <r>
    <x v="0"/>
    <x v="0"/>
    <s v="ELSTHF5017"/>
    <n v="0.5"/>
    <s v=""/>
    <n v="0"/>
    <s v="ELSTHF5017BK"/>
    <n v="1"/>
    <s v=""/>
    <n v="0"/>
    <x v="1"/>
    <x v="1"/>
    <x v="6"/>
    <x v="18"/>
    <x v="15"/>
    <x v="0"/>
    <s v="ELSTHF5017"/>
    <s v="ELSTHF5017BK"/>
    <x v="1"/>
    <n v="1000"/>
    <x v="62"/>
    <x v="203"/>
    <n v="3.9949568251455037"/>
    <n v="1024"/>
    <n v="0"/>
  </r>
  <r>
    <x v="0"/>
    <x v="0"/>
    <s v="ELSTHF5017"/>
    <n v="0.5"/>
    <s v=""/>
    <n v="0"/>
    <s v="ELSTHF5017RE"/>
    <n v="1"/>
    <s v=""/>
    <n v="0"/>
    <x v="1"/>
    <x v="1"/>
    <x v="6"/>
    <x v="18"/>
    <x v="15"/>
    <x v="0"/>
    <s v="ELSTHF5017"/>
    <s v="ELSTHF5017RE"/>
    <x v="1"/>
    <n v="1000"/>
    <x v="62"/>
    <x v="204"/>
    <n v="3.9432889924353964"/>
    <n v="989"/>
    <n v="0"/>
  </r>
  <r>
    <x v="0"/>
    <x v="0"/>
    <s v="ELSTHF5517"/>
    <n v="0.5"/>
    <s v=""/>
    <n v="0"/>
    <s v="ELSTHF5517BK"/>
    <n v="1"/>
    <s v=""/>
    <n v="0"/>
    <x v="1"/>
    <x v="1"/>
    <x v="6"/>
    <x v="18"/>
    <x v="15"/>
    <x v="1"/>
    <s v="ELSTHF5517"/>
    <s v="ELSTHF5517BK"/>
    <x v="1"/>
    <n v="1000"/>
    <x v="77"/>
    <x v="205"/>
    <n v="4.0313549832026867"/>
    <n v="1014"/>
    <n v="0"/>
  </r>
  <r>
    <x v="0"/>
    <x v="0"/>
    <s v="ELSTHF5517"/>
    <n v="0.5"/>
    <s v=""/>
    <n v="0"/>
    <s v="ELSTHF5517RE"/>
    <n v="1"/>
    <s v=""/>
    <n v="0"/>
    <x v="1"/>
    <x v="1"/>
    <x v="6"/>
    <x v="18"/>
    <x v="15"/>
    <x v="1"/>
    <s v="ELSTHF5517"/>
    <s v="ELSTHF5517RE"/>
    <x v="1"/>
    <n v="1000"/>
    <x v="77"/>
    <x v="206"/>
    <n v="3.978779840848806"/>
    <n v="1000"/>
    <n v="0"/>
  </r>
  <r>
    <x v="0"/>
    <x v="0"/>
    <s v="ELSTHF5518"/>
    <n v="1"/>
    <s v=""/>
    <n v="0"/>
    <s v="ELSTHF5518YE"/>
    <n v="1"/>
    <s v=""/>
    <n v="0"/>
    <x v="1"/>
    <x v="1"/>
    <x v="6"/>
    <x v="18"/>
    <x v="15"/>
    <x v="1"/>
    <s v="ELSTHF5518"/>
    <s v="ELSTHF5518YE"/>
    <x v="1"/>
    <n v="1000"/>
    <x v="77"/>
    <x v="207"/>
    <n v="3.791069924178601"/>
    <n v="1001"/>
    <n v="0"/>
  </r>
  <r>
    <x v="0"/>
    <x v="0"/>
    <s v="ELSHPF5019"/>
    <n v="1"/>
    <s v=""/>
    <n v="0"/>
    <s v="ELSHPF5019BK"/>
    <n v="1"/>
    <s v=""/>
    <n v="0"/>
    <x v="1"/>
    <x v="1"/>
    <x v="6"/>
    <x v="17"/>
    <x v="15"/>
    <x v="0"/>
    <s v="ELSHPF5019"/>
    <s v="ELSHPF5019BK"/>
    <x v="1"/>
    <n v="1000"/>
    <x v="78"/>
    <x v="208"/>
    <n v="3.6768373498268465"/>
    <n v="1020"/>
    <n v="0"/>
  </r>
  <r>
    <x v="0"/>
    <x v="0"/>
    <s v="GRACTF5001"/>
    <n v="0.5"/>
    <s v=""/>
    <n v="0"/>
    <s v="GRACTF5001BK"/>
    <n v="1"/>
    <s v=""/>
    <n v="0"/>
    <x v="1"/>
    <x v="0"/>
    <x v="18"/>
    <x v="19"/>
    <x v="20"/>
    <x v="0"/>
    <s v="GRACTF5001"/>
    <s v="GRACTF5001BK"/>
    <x v="0"/>
    <n v="100"/>
    <x v="79"/>
    <x v="209"/>
    <n v="5.0442908755904101"/>
    <n v="100"/>
    <n v="0"/>
  </r>
  <r>
    <x v="0"/>
    <x v="0"/>
    <s v="GRACTF5001"/>
    <n v="0.5"/>
    <s v=""/>
    <n v="0"/>
    <s v="GRACTF5001BW"/>
    <n v="1"/>
    <s v=""/>
    <n v="0"/>
    <x v="1"/>
    <x v="0"/>
    <x v="18"/>
    <x v="19"/>
    <x v="20"/>
    <x v="0"/>
    <s v="GRACTF5001"/>
    <s v="GRACTF5001BW"/>
    <x v="0"/>
    <n v="100"/>
    <x v="79"/>
    <x v="209"/>
    <n v="5.0442908755904101"/>
    <n v="100"/>
    <n v="0"/>
  </r>
  <r>
    <x v="0"/>
    <x v="0"/>
    <s v="GRAHUF5002"/>
    <n v="0.5"/>
    <s v=""/>
    <n v="0"/>
    <s v="GRAHUF5002BK"/>
    <n v="1"/>
    <s v=""/>
    <n v="0"/>
    <x v="1"/>
    <x v="0"/>
    <x v="18"/>
    <x v="2"/>
    <x v="20"/>
    <x v="0"/>
    <s v="GRAHUF5002"/>
    <s v="GRAHUF5002BK"/>
    <x v="0"/>
    <n v="200"/>
    <x v="80"/>
    <x v="210"/>
    <n v="3.7463528872361844"/>
    <n v="200"/>
    <n v="0"/>
  </r>
  <r>
    <x v="0"/>
    <x v="0"/>
    <s v="GRAHUF5002"/>
    <n v="0.5"/>
    <s v=""/>
    <n v="0"/>
    <s v="GRAHUF5002GY"/>
    <n v="1"/>
    <s v=""/>
    <n v="0"/>
    <x v="1"/>
    <x v="0"/>
    <x v="18"/>
    <x v="2"/>
    <x v="20"/>
    <x v="0"/>
    <s v="GRAHUF5002"/>
    <s v="GRAHUF5002GY"/>
    <x v="0"/>
    <n v="150"/>
    <x v="81"/>
    <x v="211"/>
    <n v="3.746352887236184"/>
    <n v="150"/>
    <n v="0"/>
  </r>
  <r>
    <x v="0"/>
    <x v="0"/>
    <s v="GRACTF5003"/>
    <n v="1"/>
    <s v=""/>
    <n v="0"/>
    <s v="GRACTF5003BK"/>
    <n v="1"/>
    <s v=""/>
    <n v="0"/>
    <x v="1"/>
    <x v="0"/>
    <x v="18"/>
    <x v="19"/>
    <x v="20"/>
    <x v="0"/>
    <s v="GRACTF5003"/>
    <s v="GRACTF5003BK"/>
    <x v="0"/>
    <n v="100"/>
    <x v="82"/>
    <x v="212"/>
    <n v="4.1376134901796471"/>
    <n v="100"/>
    <n v="0"/>
  </r>
  <r>
    <x v="0"/>
    <x v="0"/>
    <s v="GRAMIF5004"/>
    <n v="0.5"/>
    <s v=""/>
    <n v="0"/>
    <s v="GRAMIF5004BK"/>
    <n v="1"/>
    <s v=""/>
    <n v="0"/>
    <x v="1"/>
    <x v="0"/>
    <x v="18"/>
    <x v="3"/>
    <x v="20"/>
    <x v="0"/>
    <s v="GRAMIF5004"/>
    <s v="GRAMIF5004BK"/>
    <x v="0"/>
    <n v="200"/>
    <x v="83"/>
    <x v="213"/>
    <n v="4.094339290279609"/>
    <n v="200"/>
    <n v="0"/>
  </r>
  <r>
    <x v="0"/>
    <x v="0"/>
    <s v="GRAMIF5004"/>
    <n v="0.5"/>
    <s v=""/>
    <n v="0"/>
    <s v="GRAMIF5004GY"/>
    <n v="1"/>
    <s v=""/>
    <n v="0"/>
    <x v="1"/>
    <x v="0"/>
    <x v="18"/>
    <x v="3"/>
    <x v="20"/>
    <x v="0"/>
    <s v="GRAMIF5004"/>
    <s v="GRAMIF5004GY"/>
    <x v="0"/>
    <n v="150"/>
    <x v="84"/>
    <x v="214"/>
    <n v="4.094339290279609"/>
    <n v="150"/>
    <n v="0"/>
  </r>
  <r>
    <x v="0"/>
    <x v="0"/>
    <s v="GRAMIF3005"/>
    <n v="0.5"/>
    <s v=""/>
    <n v="0"/>
    <s v="GRAMIF3005BK"/>
    <n v="1"/>
    <s v=""/>
    <n v="0"/>
    <x v="0"/>
    <x v="0"/>
    <x v="18"/>
    <x v="3"/>
    <x v="20"/>
    <x v="0"/>
    <s v="GRAMIF3005"/>
    <s v="GRAMIF3005BK"/>
    <x v="0"/>
    <n v="200"/>
    <x v="80"/>
    <x v="215"/>
    <n v="3.4764666056151823"/>
    <n v="200"/>
    <n v="0"/>
  </r>
  <r>
    <x v="0"/>
    <x v="0"/>
    <s v="GRAMIF3005"/>
    <n v="0.5"/>
    <s v=""/>
    <n v="0"/>
    <s v="GRAMIF3005BW"/>
    <n v="1"/>
    <s v=""/>
    <n v="0"/>
    <x v="0"/>
    <x v="0"/>
    <x v="18"/>
    <x v="3"/>
    <x v="20"/>
    <x v="0"/>
    <s v="GRAMIF3005"/>
    <s v="GRAMIF3005BW"/>
    <x v="0"/>
    <n v="150"/>
    <x v="81"/>
    <x v="216"/>
    <n v="3.4764666056151823"/>
    <n v="150"/>
    <n v="0"/>
  </r>
  <r>
    <x v="0"/>
    <x v="0"/>
    <s v="GRAFAF3006"/>
    <n v="0.5"/>
    <s v=""/>
    <n v="0"/>
    <s v="GRAFAF3006NY"/>
    <n v="1"/>
    <s v=""/>
    <n v="0"/>
    <x v="0"/>
    <x v="0"/>
    <x v="18"/>
    <x v="5"/>
    <x v="20"/>
    <x v="0"/>
    <s v="GRAFAF3006"/>
    <s v="GRAFAF3006NY"/>
    <x v="0"/>
    <n v="150"/>
    <x v="81"/>
    <x v="217"/>
    <n v="3.8389836251679061"/>
    <n v="150"/>
    <n v="0"/>
  </r>
  <r>
    <x v="0"/>
    <x v="0"/>
    <s v="GRAFAF3006"/>
    <n v="0.5"/>
    <s v=""/>
    <n v="0"/>
    <s v="GRAFAF3006RE"/>
    <n v="1"/>
    <s v=""/>
    <n v="0"/>
    <x v="0"/>
    <x v="0"/>
    <x v="18"/>
    <x v="5"/>
    <x v="20"/>
    <x v="0"/>
    <s v="GRAFAF3006"/>
    <s v="GRAFAF3006RE"/>
    <x v="0"/>
    <n v="100"/>
    <x v="85"/>
    <x v="218"/>
    <n v="3.8389836251679066"/>
    <n v="100"/>
    <n v="0"/>
  </r>
  <r>
    <x v="0"/>
    <x v="0"/>
    <s v="GRAFAF5007"/>
    <n v="0.5"/>
    <s v=""/>
    <n v="0"/>
    <s v="GRAFAF5007GY"/>
    <n v="1"/>
    <s v=""/>
    <n v="0"/>
    <x v="1"/>
    <x v="0"/>
    <x v="18"/>
    <x v="5"/>
    <x v="20"/>
    <x v="0"/>
    <s v="GRAFAF5007"/>
    <s v="GRAFAF5007GY"/>
    <x v="0"/>
    <n v="150"/>
    <x v="86"/>
    <x v="219"/>
    <n v="3.7448285979891072"/>
    <n v="150"/>
    <n v="0"/>
  </r>
  <r>
    <x v="0"/>
    <x v="0"/>
    <s v="GRAFAF5007"/>
    <n v="0.5"/>
    <s v=""/>
    <n v="0"/>
    <s v="GRAFAF5007NY"/>
    <n v="1"/>
    <s v=""/>
    <n v="0"/>
    <x v="1"/>
    <x v="0"/>
    <x v="18"/>
    <x v="5"/>
    <x v="20"/>
    <x v="0"/>
    <s v="GRAFAF5007"/>
    <s v="GRAFAF5007NY"/>
    <x v="0"/>
    <n v="150"/>
    <x v="86"/>
    <x v="219"/>
    <n v="3.7448285979891072"/>
    <n v="150"/>
    <n v="0"/>
  </r>
  <r>
    <x v="0"/>
    <x v="0"/>
    <s v="GRAFEF5008"/>
    <n v="0.5"/>
    <s v=""/>
    <n v="0"/>
    <s v="GRAFEF5008GY"/>
    <n v="1"/>
    <s v=""/>
    <n v="0"/>
    <x v="1"/>
    <x v="0"/>
    <x v="18"/>
    <x v="4"/>
    <x v="20"/>
    <x v="0"/>
    <s v="GRAFEF5008"/>
    <s v="GRAFEF5008GY"/>
    <x v="0"/>
    <n v="100"/>
    <x v="87"/>
    <x v="220"/>
    <n v="4.8670041047607242"/>
    <n v="100"/>
    <n v="0"/>
  </r>
  <r>
    <x v="0"/>
    <x v="0"/>
    <s v="GRAFEF5008"/>
    <n v="0.5"/>
    <s v=""/>
    <n v="0"/>
    <s v="GRAFEF5008BK"/>
    <n v="1"/>
    <s v=""/>
    <n v="0"/>
    <x v="1"/>
    <x v="0"/>
    <x v="18"/>
    <x v="4"/>
    <x v="20"/>
    <x v="0"/>
    <s v="GRAFEF5008"/>
    <s v="GRAFEF5008BK"/>
    <x v="0"/>
    <n v="100"/>
    <x v="87"/>
    <x v="220"/>
    <n v="4.8670041047607242"/>
    <n v="100"/>
    <n v="0"/>
  </r>
  <r>
    <x v="0"/>
    <x v="0"/>
    <s v="GRAFAF5009"/>
    <n v="0.5"/>
    <s v=""/>
    <n v="0"/>
    <s v="GRAFAF5009GY"/>
    <n v="1"/>
    <s v=""/>
    <n v="0"/>
    <x v="1"/>
    <x v="0"/>
    <x v="18"/>
    <x v="5"/>
    <x v="20"/>
    <x v="0"/>
    <s v="GRAFAF5009"/>
    <s v="GRAFAF5009GY"/>
    <x v="0"/>
    <n v="100"/>
    <x v="85"/>
    <x v="221"/>
    <n v="3.7463528872361844"/>
    <n v="100"/>
    <n v="0"/>
  </r>
  <r>
    <x v="0"/>
    <x v="0"/>
    <s v="GRAFAF5009"/>
    <n v="0.5"/>
    <s v=""/>
    <n v="0"/>
    <s v="GRAFAF5009BW"/>
    <n v="1"/>
    <s v=""/>
    <n v="0"/>
    <x v="1"/>
    <x v="0"/>
    <x v="18"/>
    <x v="5"/>
    <x v="20"/>
    <x v="0"/>
    <s v="GRAFAF5009"/>
    <s v="GRAFAF5009BW"/>
    <x v="0"/>
    <n v="100"/>
    <x v="85"/>
    <x v="221"/>
    <n v="3.7463528872361844"/>
    <n v="100"/>
    <n v="0"/>
  </r>
  <r>
    <x v="0"/>
    <x v="0"/>
    <s v="GRAFEF5010"/>
    <n v="1"/>
    <s v=""/>
    <n v="0"/>
    <s v="GRAFEF5010GY"/>
    <n v="1"/>
    <s v=""/>
    <n v="0"/>
    <x v="1"/>
    <x v="0"/>
    <x v="18"/>
    <x v="4"/>
    <x v="20"/>
    <x v="0"/>
    <s v="GRAFEF5010"/>
    <s v="GRAFEF5010GY"/>
    <x v="0"/>
    <n v="100"/>
    <x v="88"/>
    <x v="222"/>
    <n v="3.9978578305039192"/>
    <n v="100"/>
    <n v="0"/>
  </r>
  <r>
    <x v="0"/>
    <x v="0"/>
    <s v="GRAFEF5011"/>
    <n v="0.33333333333333331"/>
    <s v=""/>
    <n v="0"/>
    <s v="GRAFEF5011BK"/>
    <n v="1"/>
    <s v=""/>
    <n v="0"/>
    <x v="1"/>
    <x v="0"/>
    <x v="18"/>
    <x v="4"/>
    <x v="20"/>
    <x v="0"/>
    <s v="GRAFEF5011"/>
    <s v="GRAFEF5011BK"/>
    <x v="0"/>
    <n v="70"/>
    <x v="89"/>
    <x v="223"/>
    <n v="3.9726058677151843"/>
    <n v="70"/>
    <n v="0"/>
  </r>
  <r>
    <x v="0"/>
    <x v="0"/>
    <s v="GRAFEF5011"/>
    <n v="0.33333333333333331"/>
    <s v=""/>
    <n v="0"/>
    <s v="GRAFEF5011BG"/>
    <n v="1"/>
    <s v=""/>
    <n v="0"/>
    <x v="1"/>
    <x v="0"/>
    <x v="18"/>
    <x v="4"/>
    <x v="20"/>
    <x v="0"/>
    <s v="GRAFEF5011"/>
    <s v="GRAFEF5011BG"/>
    <x v="0"/>
    <n v="70"/>
    <x v="89"/>
    <x v="223"/>
    <n v="3.9726058677151843"/>
    <n v="70"/>
    <n v="0"/>
  </r>
  <r>
    <x v="0"/>
    <x v="0"/>
    <s v="GRAFEF5011"/>
    <n v="0.33333333333333331"/>
    <s v=""/>
    <n v="0"/>
    <s v="GRAFEF5011BU"/>
    <n v="1"/>
    <s v=""/>
    <n v="0"/>
    <x v="1"/>
    <x v="0"/>
    <x v="18"/>
    <x v="4"/>
    <x v="20"/>
    <x v="0"/>
    <s v="GRAFEF5011"/>
    <s v="GRAFEF5011BU"/>
    <x v="0"/>
    <n v="70"/>
    <x v="89"/>
    <x v="223"/>
    <n v="3.9726058677151843"/>
    <n v="70"/>
    <n v="0"/>
  </r>
  <r>
    <x v="0"/>
    <x v="0"/>
    <s v="GRAFAF5012"/>
    <n v="0.33333333333333331"/>
    <s v=""/>
    <n v="0"/>
    <s v="GRAFAF5012GY"/>
    <n v="1"/>
    <s v=""/>
    <n v="0"/>
    <x v="1"/>
    <x v="0"/>
    <x v="18"/>
    <x v="5"/>
    <x v="20"/>
    <x v="0"/>
    <s v="GRAFAF5012"/>
    <s v="GRAFAF5012GY"/>
    <x v="0"/>
    <n v="100"/>
    <x v="79"/>
    <x v="224"/>
    <n v="4.0338468693589755"/>
    <n v="100"/>
    <n v="0"/>
  </r>
  <r>
    <x v="0"/>
    <x v="0"/>
    <s v="GRAFAF5012"/>
    <n v="0.33333333333333331"/>
    <s v=""/>
    <n v="0"/>
    <s v="GRAFAF5012NY"/>
    <n v="1"/>
    <s v=""/>
    <n v="0"/>
    <x v="1"/>
    <x v="0"/>
    <x v="18"/>
    <x v="5"/>
    <x v="20"/>
    <x v="0"/>
    <s v="GRAFAF5012"/>
    <s v="GRAFAF5012NY"/>
    <x v="0"/>
    <n v="100"/>
    <x v="79"/>
    <x v="224"/>
    <n v="4.0338468693589755"/>
    <n v="100"/>
    <n v="0"/>
  </r>
  <r>
    <x v="0"/>
    <x v="0"/>
    <s v="GRAFAF5012"/>
    <n v="0.33333333333333331"/>
    <s v=""/>
    <n v="0"/>
    <s v="GRAFAF5012BW"/>
    <n v="1"/>
    <s v=""/>
    <n v="0"/>
    <x v="1"/>
    <x v="0"/>
    <x v="18"/>
    <x v="5"/>
    <x v="20"/>
    <x v="0"/>
    <s v="GRAFAF5012"/>
    <s v="GRAFAF5012BW"/>
    <x v="0"/>
    <n v="100"/>
    <x v="79"/>
    <x v="224"/>
    <n v="4.0338468693589755"/>
    <n v="100"/>
    <n v="0"/>
  </r>
  <r>
    <x v="0"/>
    <x v="0"/>
    <s v="GRAHUF5013"/>
    <n v="1"/>
    <s v=""/>
    <n v="0"/>
    <s v="GRAHUF5013BK"/>
    <n v="1"/>
    <s v=""/>
    <n v="0"/>
    <x v="1"/>
    <x v="0"/>
    <x v="18"/>
    <x v="2"/>
    <x v="20"/>
    <x v="0"/>
    <s v="GRAHUF5013"/>
    <s v="GRAHUF5013BK"/>
    <x v="0"/>
    <n v="200"/>
    <x v="80"/>
    <x v="225"/>
    <n v="3.8348610532794916"/>
    <n v="200"/>
    <n v="0"/>
  </r>
  <r>
    <x v="0"/>
    <x v="0"/>
    <s v="GRAHUF5014"/>
    <n v="0.5"/>
    <s v=""/>
    <n v="0"/>
    <s v="GRAHUF5014BK"/>
    <n v="1"/>
    <s v=""/>
    <n v="0"/>
    <x v="1"/>
    <x v="0"/>
    <x v="18"/>
    <x v="2"/>
    <x v="20"/>
    <x v="0"/>
    <s v="GRAHUF5014"/>
    <s v="GRAHUF5014BK"/>
    <x v="0"/>
    <n v="120"/>
    <x v="90"/>
    <x v="226"/>
    <n v="3.9061713409693288"/>
    <n v="120"/>
    <n v="0"/>
  </r>
  <r>
    <x v="0"/>
    <x v="0"/>
    <s v="GRAHUF5014"/>
    <n v="0.5"/>
    <s v=""/>
    <n v="0"/>
    <s v="GRAHUF5014BU"/>
    <n v="1"/>
    <s v=""/>
    <n v="0"/>
    <x v="1"/>
    <x v="0"/>
    <x v="18"/>
    <x v="2"/>
    <x v="20"/>
    <x v="0"/>
    <s v="GRAHUF5014"/>
    <s v="GRAHUF5014BU"/>
    <x v="0"/>
    <n v="120"/>
    <x v="90"/>
    <x v="226"/>
    <n v="3.9061713409693288"/>
    <n v="120"/>
    <n v="0"/>
  </r>
  <r>
    <x v="0"/>
    <x v="0"/>
    <s v="GRAHUF5015"/>
    <n v="0.5"/>
    <s v=""/>
    <n v="0"/>
    <s v="GRAHUF5015BK"/>
    <n v="1"/>
    <s v=""/>
    <n v="0"/>
    <x v="1"/>
    <x v="0"/>
    <x v="18"/>
    <x v="2"/>
    <x v="20"/>
    <x v="0"/>
    <s v="GRAHUF5015"/>
    <s v="GRAHUF5015BK"/>
    <x v="0"/>
    <n v="200"/>
    <x v="83"/>
    <x v="227"/>
    <n v="3.7746929660352242"/>
    <n v="200"/>
    <n v="0"/>
  </r>
  <r>
    <x v="0"/>
    <x v="0"/>
    <s v="GRAHUF5015"/>
    <n v="0.5"/>
    <s v=""/>
    <n v="0"/>
    <s v="GRAHUF5015BW"/>
    <n v="1"/>
    <s v=""/>
    <n v="0"/>
    <x v="1"/>
    <x v="0"/>
    <x v="18"/>
    <x v="2"/>
    <x v="20"/>
    <x v="0"/>
    <s v="GRAHUF5015"/>
    <s v="GRAHUF5015BW"/>
    <x v="0"/>
    <n v="200"/>
    <x v="83"/>
    <x v="227"/>
    <n v="3.7746929660352242"/>
    <n v="200"/>
    <n v="0"/>
  </r>
  <r>
    <x v="0"/>
    <x v="0"/>
    <s v="GRAHUF5016"/>
    <n v="0.5"/>
    <s v=""/>
    <n v="0"/>
    <s v="GRAHUF5016GY"/>
    <n v="1"/>
    <s v=""/>
    <n v="0"/>
    <x v="1"/>
    <x v="0"/>
    <x v="18"/>
    <x v="2"/>
    <x v="20"/>
    <x v="0"/>
    <s v="GRAHUF5016"/>
    <s v="GRAHUF5016GY"/>
    <x v="0"/>
    <n v="200"/>
    <x v="80"/>
    <x v="228"/>
    <n v="4.2451476056882322"/>
    <n v="200"/>
    <n v="0"/>
  </r>
  <r>
    <x v="0"/>
    <x v="0"/>
    <s v="GRAHUF5016"/>
    <n v="0.5"/>
    <s v=""/>
    <n v="0"/>
    <s v="GRAHUF5016BW"/>
    <n v="1"/>
    <s v=""/>
    <n v="0"/>
    <x v="1"/>
    <x v="0"/>
    <x v="18"/>
    <x v="2"/>
    <x v="20"/>
    <x v="0"/>
    <s v="GRAHUF5016"/>
    <s v="GRAHUF5016BW"/>
    <x v="0"/>
    <n v="200"/>
    <x v="80"/>
    <x v="228"/>
    <n v="4.2451476056882322"/>
    <n v="200"/>
    <n v="0"/>
  </r>
  <r>
    <x v="0"/>
    <x v="0"/>
    <s v="GRACMF5017"/>
    <n v="0.5"/>
    <s v=""/>
    <n v="0"/>
    <s v="GRACMF5017BK"/>
    <n v="1"/>
    <s v=""/>
    <n v="0"/>
    <x v="1"/>
    <x v="0"/>
    <x v="18"/>
    <x v="20"/>
    <x v="20"/>
    <x v="0"/>
    <s v="GRACMF5017"/>
    <s v="GRACMF5017BK"/>
    <x v="0"/>
    <n v="150"/>
    <x v="81"/>
    <x v="229"/>
    <n v="3.64315924360579"/>
    <n v="150"/>
    <n v="0"/>
  </r>
  <r>
    <x v="0"/>
    <x v="0"/>
    <s v="GRACMF5017"/>
    <n v="0.5"/>
    <s v=""/>
    <n v="0"/>
    <s v="GRACMF5017RE"/>
    <n v="1"/>
    <s v=""/>
    <n v="0"/>
    <x v="1"/>
    <x v="0"/>
    <x v="18"/>
    <x v="20"/>
    <x v="20"/>
    <x v="0"/>
    <s v="GRACMF5017"/>
    <s v="GRACMF5017RE"/>
    <x v="0"/>
    <n v="100"/>
    <x v="85"/>
    <x v="230"/>
    <n v="3.6431592436057896"/>
    <n v="100"/>
    <n v="0"/>
  </r>
  <r>
    <x v="0"/>
    <x v="0"/>
    <s v="GRACTF5018"/>
    <n v="1"/>
    <s v=""/>
    <n v="0"/>
    <s v="GRACTF5018NY"/>
    <n v="1"/>
    <s v=""/>
    <n v="0"/>
    <x v="1"/>
    <x v="0"/>
    <x v="18"/>
    <x v="19"/>
    <x v="20"/>
    <x v="0"/>
    <s v="GRACTF5018"/>
    <s v="GRACTF5018NY"/>
    <x v="0"/>
    <n v="150"/>
    <x v="91"/>
    <x v="231"/>
    <n v="4.8632426974033978"/>
    <n v="150"/>
    <n v="0"/>
  </r>
  <r>
    <x v="0"/>
    <x v="0"/>
    <s v="GRACMF5019"/>
    <n v="1"/>
    <s v=""/>
    <n v="0"/>
    <s v="GRACMF5019NY"/>
    <n v="1"/>
    <s v=""/>
    <n v="0"/>
    <x v="1"/>
    <x v="0"/>
    <x v="18"/>
    <x v="20"/>
    <x v="20"/>
    <x v="0"/>
    <s v="GRACMF5019"/>
    <s v="GRACMF5019NY"/>
    <x v="0"/>
    <n v="150"/>
    <x v="81"/>
    <x v="232"/>
    <n v="4.837458339364523"/>
    <n v="150"/>
    <n v="0"/>
  </r>
  <r>
    <x v="0"/>
    <x v="0"/>
    <s v="GRACTF3020"/>
    <n v="1"/>
    <s v=""/>
    <n v="0"/>
    <s v="GRACTF3020BK"/>
    <n v="1"/>
    <s v=""/>
    <n v="0"/>
    <x v="0"/>
    <x v="0"/>
    <x v="18"/>
    <x v="19"/>
    <x v="20"/>
    <x v="0"/>
    <s v="GRACTF3020"/>
    <s v="GRACTF3020BK"/>
    <x v="0"/>
    <n v="100"/>
    <x v="82"/>
    <x v="233"/>
    <n v="3.1063568243863706"/>
    <n v="100"/>
    <n v="0"/>
  </r>
  <r>
    <x v="0"/>
    <x v="0"/>
    <s v="GRACTF5021"/>
    <n v="1"/>
    <s v=""/>
    <n v="0"/>
    <s v="GRACTF5021BK"/>
    <n v="1"/>
    <s v=""/>
    <n v="0"/>
    <x v="1"/>
    <x v="0"/>
    <x v="18"/>
    <x v="19"/>
    <x v="20"/>
    <x v="0"/>
    <s v="GRACTF5021"/>
    <s v="GRACTF5021BK"/>
    <x v="0"/>
    <n v="150"/>
    <x v="84"/>
    <x v="234"/>
    <n v="3.6858986859599732"/>
    <n v="150"/>
    <n v="0"/>
  </r>
  <r>
    <x v="0"/>
    <x v="0"/>
    <s v="GRABAF5022"/>
    <n v="0.5"/>
    <s v=""/>
    <n v="0"/>
    <s v="GRABAF5022BK"/>
    <n v="1"/>
    <s v=""/>
    <n v="0"/>
    <x v="1"/>
    <x v="0"/>
    <x v="18"/>
    <x v="6"/>
    <x v="20"/>
    <x v="0"/>
    <s v="GRABAF5022"/>
    <s v="GRABAF5022BK"/>
    <x v="0"/>
    <n v="150"/>
    <x v="84"/>
    <x v="235"/>
    <n v="3.7746929660352238"/>
    <n v="150"/>
    <n v="0"/>
  </r>
  <r>
    <x v="0"/>
    <x v="0"/>
    <s v="GRABAF5022"/>
    <n v="0.5"/>
    <s v=""/>
    <n v="0"/>
    <s v="GRABAF5022GY"/>
    <n v="1"/>
    <s v=""/>
    <n v="0"/>
    <x v="1"/>
    <x v="0"/>
    <x v="18"/>
    <x v="6"/>
    <x v="20"/>
    <x v="0"/>
    <s v="GRABAF5022"/>
    <s v="GRABAF5022GY"/>
    <x v="0"/>
    <n v="150"/>
    <x v="84"/>
    <x v="235"/>
    <n v="3.7746929660352238"/>
    <n v="150"/>
    <n v="0"/>
  </r>
  <r>
    <x v="0"/>
    <x v="0"/>
    <s v="GRABAF3023"/>
    <n v="0.5"/>
    <s v=""/>
    <n v="0"/>
    <s v="GRABAF3023BK"/>
    <n v="1"/>
    <s v=""/>
    <n v="0"/>
    <x v="0"/>
    <x v="0"/>
    <x v="18"/>
    <x v="6"/>
    <x v="20"/>
    <x v="0"/>
    <s v="GRABAF3023"/>
    <s v="GRABAF3023BK"/>
    <x v="0"/>
    <n v="150"/>
    <x v="81"/>
    <x v="236"/>
    <n v="3.6845070598764562"/>
    <n v="150"/>
    <n v="0"/>
  </r>
  <r>
    <x v="0"/>
    <x v="0"/>
    <s v="GRABAF3023"/>
    <n v="0.5"/>
    <s v=""/>
    <n v="0"/>
    <s v="GRABAF3023KH"/>
    <n v="1"/>
    <s v=""/>
    <n v="0"/>
    <x v="0"/>
    <x v="0"/>
    <x v="18"/>
    <x v="6"/>
    <x v="20"/>
    <x v="0"/>
    <s v="GRABAF3023"/>
    <s v="GRABAF3023KH"/>
    <x v="0"/>
    <n v="150"/>
    <x v="81"/>
    <x v="236"/>
    <n v="3.6845070598764562"/>
    <n v="150"/>
    <n v="0"/>
  </r>
  <r>
    <x v="0"/>
    <x v="0"/>
    <s v="GRABAF5024"/>
    <n v="0.5"/>
    <s v=""/>
    <n v="0"/>
    <s v="GRABAF5024BK"/>
    <n v="1"/>
    <s v=""/>
    <n v="0"/>
    <x v="1"/>
    <x v="0"/>
    <x v="18"/>
    <x v="6"/>
    <x v="20"/>
    <x v="0"/>
    <s v="GRABAF5024"/>
    <s v="GRABAF5024BK"/>
    <x v="0"/>
    <n v="150"/>
    <x v="91"/>
    <x v="237"/>
    <n v="3.7106990585956487"/>
    <n v="150"/>
    <n v="0"/>
  </r>
  <r>
    <x v="0"/>
    <x v="0"/>
    <s v="GRABAF5024"/>
    <n v="0.5"/>
    <s v=""/>
    <n v="0"/>
    <s v="GRABAF5024GY"/>
    <n v="1"/>
    <s v=""/>
    <n v="0"/>
    <x v="1"/>
    <x v="0"/>
    <x v="18"/>
    <x v="6"/>
    <x v="20"/>
    <x v="0"/>
    <s v="GRABAF5024"/>
    <s v="GRABAF5024GY"/>
    <x v="0"/>
    <n v="150"/>
    <x v="91"/>
    <x v="237"/>
    <n v="3.7106990585956487"/>
    <n v="150"/>
    <n v="0"/>
  </r>
  <r>
    <x v="0"/>
    <x v="0"/>
    <s v="GRASNF5025"/>
    <n v="0.5"/>
    <s v=""/>
    <n v="0"/>
    <s v="GRASNF5025BK"/>
    <n v="1"/>
    <s v=""/>
    <n v="0"/>
    <x v="1"/>
    <x v="0"/>
    <x v="18"/>
    <x v="0"/>
    <x v="20"/>
    <x v="0"/>
    <s v="GRASNF5025"/>
    <s v="GRASNF5025BK"/>
    <x v="0"/>
    <n v="400"/>
    <x v="92"/>
    <x v="238"/>
    <n v="5.5204643048467981"/>
    <n v="400"/>
    <n v="0"/>
  </r>
  <r>
    <x v="0"/>
    <x v="0"/>
    <s v="GRASNF5025"/>
    <n v="0.5"/>
    <s v=""/>
    <n v="0"/>
    <s v="GRASNF5025CL"/>
    <n v="1"/>
    <s v=""/>
    <n v="0"/>
    <x v="1"/>
    <x v="0"/>
    <x v="18"/>
    <x v="0"/>
    <x v="20"/>
    <x v="0"/>
    <s v="GRASNF5025"/>
    <s v="GRASNF5025CL"/>
    <x v="0"/>
    <n v="400"/>
    <x v="92"/>
    <x v="238"/>
    <n v="5.5204643048467981"/>
    <n v="400"/>
    <n v="0"/>
  </r>
  <r>
    <x v="0"/>
    <x v="0"/>
    <s v="ELSTLF5510"/>
    <n v="1"/>
    <s v=""/>
    <n v="0"/>
    <s v="ELSTLF5510NY"/>
    <n v="1"/>
    <s v=""/>
    <n v="0"/>
    <x v="1"/>
    <x v="1"/>
    <x v="6"/>
    <x v="13"/>
    <x v="15"/>
    <x v="1"/>
    <s v="ELSTLF5510"/>
    <s v="ELSTLF5510NY"/>
    <x v="1"/>
    <n v="1200"/>
    <x v="93"/>
    <x v="239"/>
    <n v="4.4343954331639557"/>
    <n v="1182"/>
    <n v="0"/>
  </r>
  <r>
    <x v="0"/>
    <x v="0"/>
    <s v="ELSTLF5521"/>
    <n v="1"/>
    <s v=""/>
    <n v="0"/>
    <s v="ELSTLF5521RE"/>
    <n v="1"/>
    <s v=""/>
    <n v="0"/>
    <x v="1"/>
    <x v="1"/>
    <x v="6"/>
    <x v="13"/>
    <x v="15"/>
    <x v="1"/>
    <s v="ELSTLF5521"/>
    <s v="ELSTLF5521RE"/>
    <x v="1"/>
    <n v="1200"/>
    <x v="93"/>
    <x v="240"/>
    <n v="4.5606318656305662"/>
    <n v="1109"/>
    <n v="0"/>
  </r>
  <r>
    <x v="0"/>
    <x v="0"/>
    <s v="ELSTHF5522"/>
    <n v="0.5"/>
    <s v=""/>
    <n v="0"/>
    <s v="ELSTHF5522BL"/>
    <n v="1"/>
    <s v=""/>
    <n v="0"/>
    <x v="1"/>
    <x v="1"/>
    <x v="6"/>
    <x v="18"/>
    <x v="15"/>
    <x v="1"/>
    <s v="ELSTHF5522"/>
    <s v="ELSTHF5522BL"/>
    <x v="1"/>
    <n v="1000"/>
    <x v="28"/>
    <x v="138"/>
    <n v="4.7690489927723245"/>
    <n v="1019"/>
    <n v="0"/>
  </r>
  <r>
    <x v="0"/>
    <x v="0"/>
    <s v="ELSTHF5522"/>
    <n v="0.5"/>
    <s v=""/>
    <n v="0"/>
    <s v="ELSTHF5522PK"/>
    <n v="1"/>
    <s v=""/>
    <n v="0"/>
    <x v="1"/>
    <x v="1"/>
    <x v="6"/>
    <x v="18"/>
    <x v="15"/>
    <x v="1"/>
    <s v="ELSTHF5522"/>
    <s v="ELSTHF5522PK"/>
    <x v="1"/>
    <n v="1000"/>
    <x v="28"/>
    <x v="138"/>
    <n v="4.7690489927723245"/>
    <n v="992"/>
    <n v="0"/>
  </r>
  <r>
    <x v="0"/>
    <x v="0"/>
    <s v="ELSPTF5023"/>
    <n v="1"/>
    <s v=""/>
    <n v="0"/>
    <s v="ELSPTF5023BK"/>
    <n v="1"/>
    <s v=""/>
    <n v="0"/>
    <x v="1"/>
    <x v="1"/>
    <x v="6"/>
    <x v="15"/>
    <x v="15"/>
    <x v="0"/>
    <s v="ELSPTF5023"/>
    <s v="ELSPTF5023BK"/>
    <x v="1"/>
    <n v="1500"/>
    <x v="61"/>
    <x v="241"/>
    <n v="3.9764079214676542"/>
    <n v="1457"/>
    <n v="0"/>
  </r>
  <r>
    <x v="0"/>
    <x v="0"/>
    <s v="ELSPTF5524"/>
    <n v="1"/>
    <s v=""/>
    <n v="0"/>
    <s v="ELSPTF5524BK"/>
    <n v="1"/>
    <s v=""/>
    <n v="0"/>
    <x v="1"/>
    <x v="1"/>
    <x v="6"/>
    <x v="15"/>
    <x v="15"/>
    <x v="1"/>
    <s v="ELSPTF5524"/>
    <s v="ELSPTF5524BK"/>
    <x v="1"/>
    <n v="1000"/>
    <x v="64"/>
    <x v="242"/>
    <n v="4.1664785964522437"/>
    <n v="975"/>
    <n v="0"/>
  </r>
  <r>
    <x v="0"/>
    <x v="0"/>
    <s v="ELSTLF5044"/>
    <n v="1"/>
    <s v=""/>
    <n v="0"/>
    <s v="ELSTLF5044BK"/>
    <n v="1"/>
    <s v=""/>
    <n v="0"/>
    <x v="1"/>
    <x v="1"/>
    <x v="6"/>
    <x v="13"/>
    <x v="15"/>
    <x v="0"/>
    <s v="ELSTLF5044"/>
    <s v="ELSTLF5044BK"/>
    <x v="1"/>
    <n v="1000"/>
    <x v="28"/>
    <x v="243"/>
    <n v="4.2203909524434069"/>
    <n v="926"/>
    <n v="0"/>
  </r>
  <r>
    <x v="0"/>
    <x v="0"/>
    <s v="ELSTLF5025"/>
    <n v="1"/>
    <s v=""/>
    <n v="0"/>
    <s v="ELSTLF5025BK"/>
    <n v="1"/>
    <s v=""/>
    <n v="0"/>
    <x v="1"/>
    <x v="1"/>
    <x v="6"/>
    <x v="13"/>
    <x v="15"/>
    <x v="0"/>
    <s v="ELSTLF5025"/>
    <s v="ELSTLF5025BK"/>
    <x v="1"/>
    <n v="1000"/>
    <x v="58"/>
    <x v="244"/>
    <n v="3.6911081619110813"/>
    <n v="961"/>
    <n v="0"/>
  </r>
  <r>
    <x v="0"/>
    <x v="0"/>
    <s v="ELSTLF5526"/>
    <n v="1"/>
    <s v=""/>
    <n v="0"/>
    <s v="ELSTLF5526BK"/>
    <n v="1"/>
    <s v=""/>
    <n v="0"/>
    <x v="1"/>
    <x v="1"/>
    <x v="6"/>
    <x v="13"/>
    <x v="15"/>
    <x v="1"/>
    <s v="ELSTLF5526"/>
    <s v="ELSTLF5526BK"/>
    <x v="1"/>
    <n v="1200"/>
    <x v="53"/>
    <x v="245"/>
    <n v="4.1925383431513028"/>
    <n v="1229"/>
    <n v="0"/>
  </r>
  <r>
    <x v="0"/>
    <x v="0"/>
    <s v="ELSHPF5027"/>
    <n v="1"/>
    <s v=""/>
    <n v="0"/>
    <s v="ELSHPF5027BK"/>
    <n v="1"/>
    <s v=""/>
    <n v="0"/>
    <x v="1"/>
    <x v="1"/>
    <x v="6"/>
    <x v="17"/>
    <x v="15"/>
    <x v="0"/>
    <s v="ELSHPF5027"/>
    <s v="ELSHPF5027BK"/>
    <x v="1"/>
    <n v="1000"/>
    <x v="59"/>
    <x v="246"/>
    <n v="4.1648438183568111"/>
    <n v="1017"/>
    <n v="0"/>
  </r>
  <r>
    <x v="0"/>
    <x v="0"/>
    <s v="BMDERF5001"/>
    <n v="1"/>
    <s v=""/>
    <n v="0"/>
    <s v="BMDERF5001BK"/>
    <n v="1"/>
    <s v=""/>
    <n v="0"/>
    <x v="1"/>
    <x v="0"/>
    <x v="19"/>
    <x v="10"/>
    <x v="21"/>
    <x v="0"/>
    <s v="BMDERF5001"/>
    <s v="BMDERF5001BK"/>
    <x v="1"/>
    <n v="1000"/>
    <x v="34"/>
    <x v="247"/>
    <n v="5.9148078397229034"/>
    <n v="995"/>
    <n v="0"/>
  </r>
  <r>
    <x v="0"/>
    <x v="0"/>
    <s v="BMDBAF5002"/>
    <n v="1"/>
    <s v=""/>
    <n v="0"/>
    <s v="BMDBAF5002BK"/>
    <n v="1"/>
    <s v=""/>
    <n v="0"/>
    <x v="1"/>
    <x v="0"/>
    <x v="19"/>
    <x v="6"/>
    <x v="21"/>
    <x v="0"/>
    <s v="BMDBAF5002"/>
    <s v="BMDBAF5002BK"/>
    <x v="1"/>
    <n v="1000"/>
    <x v="21"/>
    <x v="164"/>
    <n v="6.0362475433088427"/>
    <n v="997"/>
    <n v="0"/>
  </r>
  <r>
    <x v="0"/>
    <x v="0"/>
    <s v="SBRBEF5023"/>
    <n v="0.5"/>
    <s v=""/>
    <n v="0"/>
    <s v="SBRBEF5023BK"/>
    <n v="1"/>
    <s v=""/>
    <n v="0"/>
    <x v="1"/>
    <x v="0"/>
    <x v="17"/>
    <x v="21"/>
    <x v="19"/>
    <x v="0"/>
    <s v="SBRBEF5023"/>
    <s v="SBRBEF5023BK"/>
    <x v="1"/>
    <n v="2000"/>
    <x v="66"/>
    <x v="248"/>
    <n v="7.4796725514428868"/>
    <n v="2000"/>
    <n v="0"/>
  </r>
  <r>
    <x v="0"/>
    <x v="0"/>
    <s v="SBRBEF5023"/>
    <n v="0.5"/>
    <s v=""/>
    <n v="0"/>
    <s v="SBRBEF5023RE"/>
    <n v="1"/>
    <s v=""/>
    <n v="0"/>
    <x v="1"/>
    <x v="0"/>
    <x v="17"/>
    <x v="21"/>
    <x v="19"/>
    <x v="0"/>
    <s v="SBRBEF5023"/>
    <s v="SBRBEF5023RE"/>
    <x v="1"/>
    <n v="2000"/>
    <x v="66"/>
    <x v="248"/>
    <n v="7.4796725514428868"/>
    <n v="1998"/>
    <n v="0"/>
  </r>
  <r>
    <x v="0"/>
    <x v="0"/>
    <s v="SBRBEF5024"/>
    <n v="1"/>
    <s v=""/>
    <n v="0"/>
    <s v="SBRBEF5024NY"/>
    <n v="1"/>
    <s v=""/>
    <n v="0"/>
    <x v="1"/>
    <x v="0"/>
    <x v="17"/>
    <x v="21"/>
    <x v="19"/>
    <x v="0"/>
    <s v="SBRBEF5024"/>
    <s v="SBRBEF5024NY"/>
    <x v="1"/>
    <n v="2000"/>
    <x v="66"/>
    <x v="249"/>
    <n v="8.8821111548384248"/>
    <n v="1999"/>
    <n v="0"/>
  </r>
  <r>
    <x v="0"/>
    <x v="0"/>
    <s v="SBRBEF5025"/>
    <n v="0.5"/>
    <s v=""/>
    <n v="0"/>
    <s v="SBRBEF5025BK"/>
    <n v="1"/>
    <s v=""/>
    <n v="0"/>
    <x v="1"/>
    <x v="0"/>
    <x v="17"/>
    <x v="21"/>
    <x v="19"/>
    <x v="0"/>
    <s v="SBRBEF5025"/>
    <s v="SBRBEF5025BK"/>
    <x v="1"/>
    <n v="2000"/>
    <x v="66"/>
    <x v="250"/>
    <n v="7.1956343532868248"/>
    <n v="2000"/>
    <n v="0"/>
  </r>
  <r>
    <x v="0"/>
    <x v="0"/>
    <s v="SBRBEF5025"/>
    <n v="0.5"/>
    <s v=""/>
    <n v="0"/>
    <s v="SBRBEF5025KH"/>
    <n v="1"/>
    <s v=""/>
    <n v="0"/>
    <x v="1"/>
    <x v="0"/>
    <x v="17"/>
    <x v="21"/>
    <x v="19"/>
    <x v="0"/>
    <s v="SBRBEF5025"/>
    <s v="SBRBEF5025KH"/>
    <x v="1"/>
    <n v="2000"/>
    <x v="66"/>
    <x v="250"/>
    <n v="7.1956343532868248"/>
    <n v="2000"/>
    <n v="0"/>
  </r>
  <r>
    <x v="0"/>
    <x v="0"/>
    <s v="SBREBF5026"/>
    <n v="1"/>
    <s v=""/>
    <n v="0"/>
    <s v="SBREBF5026CL"/>
    <n v="1"/>
    <s v=""/>
    <n v="0"/>
    <x v="1"/>
    <x v="0"/>
    <x v="17"/>
    <x v="8"/>
    <x v="19"/>
    <x v="0"/>
    <s v="SBREBF5026"/>
    <s v="SBREBF5026CL"/>
    <x v="1"/>
    <n v="2000"/>
    <x v="22"/>
    <x v="251"/>
    <n v="5.7535942703406802"/>
    <n v="2000"/>
    <n v="0"/>
  </r>
  <r>
    <x v="0"/>
    <x v="0"/>
    <s v="SBREBF5027"/>
    <n v="1"/>
    <s v=""/>
    <n v="0"/>
    <s v="SBREBF5027BK"/>
    <n v="1"/>
    <s v=""/>
    <n v="0"/>
    <x v="1"/>
    <x v="0"/>
    <x v="17"/>
    <x v="8"/>
    <x v="19"/>
    <x v="0"/>
    <s v="SBREBF5027"/>
    <s v="SBREBF5027BK"/>
    <x v="1"/>
    <n v="1500"/>
    <x v="26"/>
    <x v="252"/>
    <n v="4.4234133216415259"/>
    <n v="1500"/>
    <n v="0"/>
  </r>
  <r>
    <x v="0"/>
    <x v="0"/>
    <s v="SBREBF5028"/>
    <n v="0.5"/>
    <s v=""/>
    <n v="0"/>
    <s v="SBREBF5028GY"/>
    <n v="1"/>
    <s v=""/>
    <n v="0"/>
    <x v="1"/>
    <x v="0"/>
    <x v="17"/>
    <x v="8"/>
    <x v="19"/>
    <x v="0"/>
    <s v="SBREBF5028"/>
    <s v="SBREBF5028GY"/>
    <x v="1"/>
    <n v="1500"/>
    <x v="27"/>
    <x v="253"/>
    <n v="4.8573721874204168"/>
    <n v="1483"/>
    <n v="0"/>
  </r>
  <r>
    <x v="0"/>
    <x v="0"/>
    <s v="SBREBF5028"/>
    <n v="0.5"/>
    <s v=""/>
    <n v="0"/>
    <s v="SBREBF5028NY"/>
    <n v="1"/>
    <s v=""/>
    <n v="0"/>
    <x v="1"/>
    <x v="0"/>
    <x v="17"/>
    <x v="8"/>
    <x v="19"/>
    <x v="0"/>
    <s v="SBREBF5028"/>
    <s v="SBREBF5028NY"/>
    <x v="1"/>
    <n v="1500"/>
    <x v="27"/>
    <x v="253"/>
    <n v="4.8573721874204168"/>
    <n v="1484"/>
    <n v="0"/>
  </r>
  <r>
    <x v="0"/>
    <x v="0"/>
    <s v="SBRTPF5029"/>
    <n v="0.5"/>
    <s v=""/>
    <n v="0"/>
    <s v="SBRTPF5029BK"/>
    <n v="1"/>
    <s v=""/>
    <n v="0"/>
    <x v="1"/>
    <x v="0"/>
    <x v="17"/>
    <x v="7"/>
    <x v="19"/>
    <x v="0"/>
    <s v="SBRTPF5029"/>
    <s v="SBRTPF5029BK"/>
    <x v="1"/>
    <n v="1800"/>
    <x v="94"/>
    <x v="254"/>
    <n v="6.6032445160449349"/>
    <n v="1800"/>
    <n v="0"/>
  </r>
  <r>
    <x v="0"/>
    <x v="0"/>
    <s v="SBRTPF5029"/>
    <n v="0.5"/>
    <s v=""/>
    <n v="0"/>
    <s v="SBRTPF5029RE"/>
    <n v="1"/>
    <s v=""/>
    <n v="0"/>
    <x v="1"/>
    <x v="0"/>
    <x v="17"/>
    <x v="7"/>
    <x v="19"/>
    <x v="0"/>
    <s v="SBRTPF5029"/>
    <s v="SBRTPF5029RE"/>
    <x v="1"/>
    <n v="1800"/>
    <x v="94"/>
    <x v="254"/>
    <n v="6.6032445160449349"/>
    <n v="1798"/>
    <n v="0"/>
  </r>
  <r>
    <x v="0"/>
    <x v="0"/>
    <s v="SBRTPF5030"/>
    <n v="1"/>
    <s v=""/>
    <n v="0"/>
    <s v="SBRTPF5030GY"/>
    <n v="1"/>
    <s v=""/>
    <n v="0"/>
    <x v="1"/>
    <x v="0"/>
    <x v="17"/>
    <x v="7"/>
    <x v="19"/>
    <x v="0"/>
    <s v="SBRTPF5030"/>
    <s v="SBRTPF5030GY"/>
    <x v="1"/>
    <n v="1200"/>
    <x v="93"/>
    <x v="255"/>
    <n v="6.5660639929231168"/>
    <n v="1200"/>
    <n v="0"/>
  </r>
  <r>
    <x v="0"/>
    <x v="0"/>
    <s v="JOIERF5501"/>
    <n v="1"/>
    <s v=""/>
    <n v="0"/>
    <s v="JOIERF5501IV"/>
    <n v="1"/>
    <s v=""/>
    <n v="0"/>
    <x v="1"/>
    <x v="0"/>
    <x v="7"/>
    <x v="10"/>
    <x v="7"/>
    <x v="1"/>
    <s v="JOIERF5501"/>
    <s v="JOIERF5501IV"/>
    <x v="1"/>
    <n v="1500"/>
    <x v="19"/>
    <x v="256"/>
    <n v="5.297805542987982"/>
    <n v="1499"/>
    <n v="0"/>
  </r>
  <r>
    <x v="0"/>
    <x v="0"/>
    <s v="JOIEBF5502"/>
    <n v="1"/>
    <s v=""/>
    <n v="0"/>
    <s v="JOIEBF5502PK"/>
    <n v="1"/>
    <s v=""/>
    <n v="0"/>
    <x v="1"/>
    <x v="0"/>
    <x v="7"/>
    <x v="8"/>
    <x v="7"/>
    <x v="1"/>
    <s v="JOIEBF5502"/>
    <s v="JOIEBF5502PK"/>
    <x v="1"/>
    <n v="1200"/>
    <x v="47"/>
    <x v="257"/>
    <n v="5.4936670911739069"/>
    <n v="1200"/>
    <n v="0"/>
  </r>
  <r>
    <x v="0"/>
    <x v="0"/>
    <s v="JOIMUF5503"/>
    <n v="1"/>
    <s v=""/>
    <n v="0"/>
    <s v="JOIMUF5503PK"/>
    <n v="1"/>
    <s v=""/>
    <n v="0"/>
    <x v="1"/>
    <x v="2"/>
    <x v="7"/>
    <x v="22"/>
    <x v="22"/>
    <x v="1"/>
    <s v="JOIMUF5503"/>
    <s v="JOIMUF5503PK"/>
    <x v="1"/>
    <n v="800"/>
    <x v="76"/>
    <x v="258"/>
    <n v="6.6847257255549293"/>
    <n v="800"/>
    <n v="0"/>
  </r>
  <r>
    <x v="0"/>
    <x v="0"/>
    <s v="JOIEDF5504"/>
    <n v="1"/>
    <s v=""/>
    <n v="0"/>
    <s v="JOIEDF5504PK"/>
    <n v="1"/>
    <s v=""/>
    <n v="0"/>
    <x v="1"/>
    <x v="2"/>
    <x v="7"/>
    <x v="23"/>
    <x v="22"/>
    <x v="1"/>
    <s v="JOIEDF5504"/>
    <s v="JOIEDF5504PK"/>
    <x v="1"/>
    <n v="800"/>
    <x v="95"/>
    <x v="259"/>
    <n v="6.0109980536802841"/>
    <n v="798"/>
    <n v="0"/>
  </r>
  <r>
    <x v="0"/>
    <x v="0"/>
    <s v="JOIEBF5505"/>
    <n v="1"/>
    <s v=""/>
    <n v="0"/>
    <s v="JOIEBF5505BL"/>
    <n v="1"/>
    <s v=""/>
    <n v="0"/>
    <x v="1"/>
    <x v="0"/>
    <x v="7"/>
    <x v="8"/>
    <x v="7"/>
    <x v="1"/>
    <s v="JOIEBF5505"/>
    <s v="JOIEBF5505BL"/>
    <x v="1"/>
    <n v="1200"/>
    <x v="47"/>
    <x v="260"/>
    <n v="5.5699154543669884"/>
    <n v="1200"/>
    <n v="0"/>
  </r>
  <r>
    <x v="0"/>
    <x v="0"/>
    <s v="JOIMUF5506"/>
    <n v="1"/>
    <s v=""/>
    <n v="0"/>
    <s v="JOIMUF5506BL"/>
    <n v="1"/>
    <s v=""/>
    <n v="0"/>
    <x v="1"/>
    <x v="2"/>
    <x v="7"/>
    <x v="22"/>
    <x v="22"/>
    <x v="1"/>
    <s v="JOIMUF5506"/>
    <s v="JOIMUF5506BL"/>
    <x v="1"/>
    <n v="800"/>
    <x v="76"/>
    <x v="258"/>
    <n v="6.6847257255549293"/>
    <n v="800"/>
    <n v="0"/>
  </r>
  <r>
    <x v="0"/>
    <x v="0"/>
    <s v="JOIEDF5507"/>
    <n v="1"/>
    <s v=""/>
    <n v="0"/>
    <s v="JOIEDF5507BL"/>
    <n v="1"/>
    <s v=""/>
    <n v="0"/>
    <x v="1"/>
    <x v="2"/>
    <x v="7"/>
    <x v="23"/>
    <x v="22"/>
    <x v="1"/>
    <s v="JOIEDF5507"/>
    <s v="JOIEDF5507BL"/>
    <x v="1"/>
    <n v="800"/>
    <x v="95"/>
    <x v="259"/>
    <n v="6.0109980536802841"/>
    <n v="799"/>
    <n v="0"/>
  </r>
  <r>
    <x v="0"/>
    <x v="0"/>
    <s v="JOIEBF5508"/>
    <n v="1"/>
    <s v=""/>
    <n v="0"/>
    <s v="JOIEBF5508IV"/>
    <n v="1"/>
    <s v=""/>
    <n v="0"/>
    <x v="1"/>
    <x v="0"/>
    <x v="7"/>
    <x v="8"/>
    <x v="7"/>
    <x v="1"/>
    <s v="JOIEBF5508"/>
    <s v="JOIEBF5508IV"/>
    <x v="1"/>
    <n v="1200"/>
    <x v="47"/>
    <x v="261"/>
    <n v="6.9126917160982897"/>
    <n v="1201"/>
    <n v="0"/>
  </r>
  <r>
    <x v="0"/>
    <x v="0"/>
    <s v="URBTHF5003"/>
    <n v="1"/>
    <s v=""/>
    <n v="0"/>
    <s v="URBTHF5003BK"/>
    <n v="1"/>
    <s v=""/>
    <n v="0"/>
    <x v="1"/>
    <x v="1"/>
    <x v="10"/>
    <x v="18"/>
    <x v="23"/>
    <x v="0"/>
    <s v="URBTHF5003"/>
    <s v="URBTHF5003BK"/>
    <x v="1"/>
    <n v="1200"/>
    <x v="57"/>
    <x v="262"/>
    <n v="3.9989665592038008"/>
    <n v="1266"/>
    <n v="0"/>
  </r>
  <r>
    <x v="0"/>
    <x v="0"/>
    <s v="URBHPF5004"/>
    <n v="1"/>
    <s v=""/>
    <n v="0"/>
    <s v="URBHPF5004BK"/>
    <n v="1"/>
    <s v=""/>
    <n v="0"/>
    <x v="1"/>
    <x v="1"/>
    <x v="10"/>
    <x v="17"/>
    <x v="23"/>
    <x v="0"/>
    <s v="URBHPF5004"/>
    <s v="URBHPF5004BK"/>
    <x v="1"/>
    <n v="1200"/>
    <x v="96"/>
    <x v="263"/>
    <n v="3.6279492331003098"/>
    <n v="1242"/>
    <n v="0"/>
  </r>
  <r>
    <x v="0"/>
    <x v="0"/>
    <s v="URBJPF5005"/>
    <n v="1"/>
    <s v=""/>
    <n v="0"/>
    <s v="URBJPF5005BK"/>
    <n v="1"/>
    <s v=""/>
    <n v="0"/>
    <x v="1"/>
    <x v="1"/>
    <x v="10"/>
    <x v="14"/>
    <x v="23"/>
    <x v="0"/>
    <s v="URBJPF5005"/>
    <s v="URBJPF5005BK"/>
    <x v="1"/>
    <n v="1000"/>
    <x v="60"/>
    <x v="264"/>
    <n v="3.8244388906706686"/>
    <n v="1073"/>
    <n v="0"/>
  </r>
  <r>
    <x v="0"/>
    <x v="0"/>
    <s v="URBJPF5007"/>
    <n v="0.5"/>
    <s v=""/>
    <n v="0"/>
    <s v="URBJPF5007BK"/>
    <n v="1"/>
    <s v=""/>
    <n v="0"/>
    <x v="1"/>
    <x v="1"/>
    <x v="10"/>
    <x v="14"/>
    <x v="23"/>
    <x v="0"/>
    <s v="URBJPF5007"/>
    <s v="URBJPF5007BK"/>
    <x v="1"/>
    <n v="1500"/>
    <x v="97"/>
    <x v="265"/>
    <n v="3.7553041137803107"/>
    <n v="1640"/>
    <n v="0"/>
  </r>
  <r>
    <x v="0"/>
    <x v="0"/>
    <s v="URBJPF5007"/>
    <n v="0.5"/>
    <s v=""/>
    <n v="0"/>
    <s v="URBJPF5007RE"/>
    <n v="1"/>
    <s v=""/>
    <n v="0"/>
    <x v="1"/>
    <x v="1"/>
    <x v="10"/>
    <x v="14"/>
    <x v="23"/>
    <x v="0"/>
    <s v="URBJPF5007"/>
    <s v="URBJPF5007RE"/>
    <x v="1"/>
    <n v="1500"/>
    <x v="97"/>
    <x v="265"/>
    <n v="3.7553041137803107"/>
    <n v="1653"/>
    <n v="0"/>
  </r>
  <r>
    <x v="0"/>
    <x v="0"/>
    <s v="URBJPF5008"/>
    <n v="1"/>
    <s v=""/>
    <n v="0"/>
    <s v="URBJPF5008GY"/>
    <n v="1"/>
    <s v=""/>
    <n v="0"/>
    <x v="1"/>
    <x v="1"/>
    <x v="10"/>
    <x v="14"/>
    <x v="23"/>
    <x v="0"/>
    <s v="URBJPF5008"/>
    <s v="URBJPF5008GY"/>
    <x v="1"/>
    <n v="1500"/>
    <x v="98"/>
    <x v="266"/>
    <n v="3.9960720779884586"/>
    <n v="1618"/>
    <n v="0"/>
  </r>
  <r>
    <x v="0"/>
    <x v="0"/>
    <s v="WTRTPF5001"/>
    <n v="1"/>
    <s v=""/>
    <n v="0"/>
    <s v="WTRTPF5001BU"/>
    <n v="1"/>
    <s v=""/>
    <n v="0"/>
    <x v="1"/>
    <x v="0"/>
    <x v="8"/>
    <x v="7"/>
    <x v="8"/>
    <x v="0"/>
    <s v="WTRTPF5001"/>
    <s v="WTRTPF5001BU"/>
    <x v="1"/>
    <n v="800"/>
    <x v="68"/>
    <x v="267"/>
    <n v="4.9169362014701052"/>
    <n v="798"/>
    <n v="0"/>
  </r>
  <r>
    <x v="0"/>
    <x v="0"/>
    <s v="WTRTPF5002"/>
    <n v="1"/>
    <s v=""/>
    <n v="0"/>
    <s v="WTRTPF5002BK"/>
    <n v="1"/>
    <s v=""/>
    <n v="0"/>
    <x v="1"/>
    <x v="0"/>
    <x v="8"/>
    <x v="7"/>
    <x v="8"/>
    <x v="0"/>
    <s v="WTRTPF5002"/>
    <s v="WTRTPF5002BK"/>
    <x v="1"/>
    <n v="1000"/>
    <x v="64"/>
    <x v="268"/>
    <n v="4.8473611224575262"/>
    <n v="1000"/>
    <n v="0"/>
  </r>
  <r>
    <x v="0"/>
    <x v="0"/>
    <s v="SBRMIF3001"/>
    <n v="0.5"/>
    <s v=""/>
    <n v="0"/>
    <s v="SBRMIF3001BK"/>
    <n v="1"/>
    <s v=""/>
    <n v="0"/>
    <x v="0"/>
    <x v="0"/>
    <x v="17"/>
    <x v="3"/>
    <x v="19"/>
    <x v="0"/>
    <s v="SBRMIF3001"/>
    <s v="SBRMIF3001BK"/>
    <x v="1"/>
    <n v="4000"/>
    <x v="99"/>
    <x v="269"/>
    <n v="6.5722419520925603"/>
    <n v="3996"/>
    <n v="0"/>
  </r>
  <r>
    <x v="0"/>
    <x v="0"/>
    <s v="URBBEF5019"/>
    <n v="0.5"/>
    <s v=""/>
    <n v="0"/>
    <s v="URBBEF5019BK"/>
    <n v="1"/>
    <s v=""/>
    <n v="0"/>
    <x v="1"/>
    <x v="0"/>
    <x v="10"/>
    <x v="21"/>
    <x v="10"/>
    <x v="0"/>
    <s v="URBBEF5019"/>
    <s v="URBBEF5019BK"/>
    <x v="1"/>
    <n v="1500"/>
    <x v="39"/>
    <x v="270"/>
    <n v="6.6399626663842692"/>
    <n v="1489"/>
    <n v="0"/>
  </r>
  <r>
    <x v="0"/>
    <x v="0"/>
    <s v="URBBEF5019"/>
    <n v="0.5"/>
    <s v=""/>
    <n v="0"/>
    <s v="URBBEF5019GY"/>
    <n v="1"/>
    <s v=""/>
    <n v="0"/>
    <x v="1"/>
    <x v="0"/>
    <x v="10"/>
    <x v="21"/>
    <x v="10"/>
    <x v="0"/>
    <s v="URBBEF5019"/>
    <s v="URBBEF5019GY"/>
    <x v="1"/>
    <n v="1000"/>
    <x v="75"/>
    <x v="271"/>
    <n v="6.6399626663842684"/>
    <n v="1000"/>
    <n v="0"/>
  </r>
  <r>
    <x v="0"/>
    <x v="0"/>
    <s v="SBRBEF5031"/>
    <n v="0.2"/>
    <s v=""/>
    <n v="0"/>
    <s v="SBRBEF5031BK"/>
    <n v="1"/>
    <s v=""/>
    <n v="0"/>
    <x v="1"/>
    <x v="0"/>
    <x v="17"/>
    <x v="21"/>
    <x v="19"/>
    <x v="0"/>
    <s v="SBRBEF5031"/>
    <s v="SBRBEF5031BK"/>
    <x v="1"/>
    <n v="1500"/>
    <x v="100"/>
    <x v="272"/>
    <n v="6.6875441032003335"/>
    <n v="1500"/>
    <n v="0"/>
  </r>
  <r>
    <x v="0"/>
    <x v="0"/>
    <s v="SBRBEF5031"/>
    <n v="0.2"/>
    <s v=""/>
    <n v="0"/>
    <s v="SBRBEF5031GY"/>
    <n v="1"/>
    <s v=""/>
    <n v="0"/>
    <x v="1"/>
    <x v="0"/>
    <x v="17"/>
    <x v="21"/>
    <x v="19"/>
    <x v="0"/>
    <s v="SBRBEF5031"/>
    <s v="SBRBEF5031GY"/>
    <x v="1"/>
    <n v="1000"/>
    <x v="101"/>
    <x v="273"/>
    <n v="6.6875441032003344"/>
    <n v="1000"/>
    <n v="0"/>
  </r>
  <r>
    <x v="0"/>
    <x v="0"/>
    <s v="SBRBEF5031"/>
    <n v="0.2"/>
    <s v=""/>
    <n v="0"/>
    <s v="SBRBEF5031BL"/>
    <n v="1"/>
    <s v=""/>
    <n v="0"/>
    <x v="1"/>
    <x v="0"/>
    <x v="17"/>
    <x v="21"/>
    <x v="19"/>
    <x v="0"/>
    <s v="SBRBEF5031"/>
    <s v="SBRBEF5031BL"/>
    <x v="1"/>
    <n v="1200"/>
    <x v="102"/>
    <x v="274"/>
    <n v="6.6875441032003335"/>
    <n v="1198"/>
    <n v="0"/>
  </r>
  <r>
    <x v="0"/>
    <x v="0"/>
    <s v="SBRBEF5031"/>
    <n v="0.2"/>
    <s v=""/>
    <n v="0"/>
    <s v="SBRBEF5031RE"/>
    <n v="1"/>
    <s v=""/>
    <n v="0"/>
    <x v="1"/>
    <x v="0"/>
    <x v="17"/>
    <x v="21"/>
    <x v="19"/>
    <x v="0"/>
    <s v="SBRBEF5031"/>
    <s v="SBRBEF5031RE"/>
    <x v="1"/>
    <n v="1000"/>
    <x v="101"/>
    <x v="273"/>
    <n v="6.6875441032003344"/>
    <n v="999"/>
    <n v="0"/>
  </r>
  <r>
    <x v="0"/>
    <x v="0"/>
    <s v="SBRBEF5031"/>
    <n v="0.2"/>
    <s v=""/>
    <n v="0"/>
    <s v="SBRBEF5031PK"/>
    <n v="1"/>
    <s v=""/>
    <n v="0"/>
    <x v="1"/>
    <x v="0"/>
    <x v="17"/>
    <x v="21"/>
    <x v="19"/>
    <x v="0"/>
    <s v="SBRBEF5031"/>
    <s v="SBRBEF5031PK"/>
    <x v="1"/>
    <n v="800"/>
    <x v="95"/>
    <x v="275"/>
    <n v="6.6875441032003335"/>
    <n v="799"/>
    <n v="0"/>
  </r>
  <r>
    <x v="0"/>
    <x v="0"/>
    <s v="SBRBEF5032"/>
    <n v="0.14285714285714285"/>
    <s v=""/>
    <n v="0"/>
    <s v="SBRBEF5032YE"/>
    <n v="1"/>
    <s v=""/>
    <n v="0"/>
    <x v="1"/>
    <x v="0"/>
    <x v="17"/>
    <x v="21"/>
    <x v="19"/>
    <x v="0"/>
    <s v="SBRBEF5032"/>
    <s v="SBRBEF5032YE"/>
    <x v="1"/>
    <n v="1200"/>
    <x v="37"/>
    <x v="276"/>
    <n v="7.9203848347531629"/>
    <n v="1198"/>
    <n v="0"/>
  </r>
  <r>
    <x v="0"/>
    <x v="0"/>
    <s v="SBRBEF5032"/>
    <n v="0.14285714285714285"/>
    <s v=""/>
    <n v="0"/>
    <s v="SBRBEF5032BL"/>
    <n v="1"/>
    <s v=""/>
    <n v="0"/>
    <x v="1"/>
    <x v="0"/>
    <x v="17"/>
    <x v="21"/>
    <x v="19"/>
    <x v="0"/>
    <s v="SBRBEF5032"/>
    <s v="SBRBEF5032BL"/>
    <x v="1"/>
    <n v="1500"/>
    <x v="103"/>
    <x v="277"/>
    <n v="8.559597739992288"/>
    <n v="1500"/>
    <n v="0"/>
  </r>
  <r>
    <x v="0"/>
    <x v="0"/>
    <s v="SBRBEF5032"/>
    <n v="0.14285714285714285"/>
    <s v=""/>
    <n v="0"/>
    <s v="SBRBEF5032RE"/>
    <n v="1"/>
    <s v=""/>
    <n v="0"/>
    <x v="1"/>
    <x v="0"/>
    <x v="17"/>
    <x v="21"/>
    <x v="19"/>
    <x v="0"/>
    <s v="SBRBEF5032"/>
    <s v="SBRBEF5032RE"/>
    <x v="1"/>
    <n v="2000"/>
    <x v="104"/>
    <x v="278"/>
    <n v="8.559597739992288"/>
    <n v="2000"/>
    <n v="0"/>
  </r>
  <r>
    <x v="0"/>
    <x v="0"/>
    <s v="SBRBEF5032"/>
    <n v="0.14285714285714285"/>
    <s v=""/>
    <n v="0"/>
    <s v="SBRBEF5032GR"/>
    <n v="1"/>
    <s v=""/>
    <n v="0"/>
    <x v="1"/>
    <x v="0"/>
    <x v="17"/>
    <x v="21"/>
    <x v="19"/>
    <x v="0"/>
    <s v="SBRBEF5032"/>
    <s v="SBRBEF5032GR"/>
    <x v="1"/>
    <n v="1200"/>
    <x v="37"/>
    <x v="279"/>
    <n v="8.559597739992288"/>
    <n v="1200"/>
    <n v="0"/>
  </r>
  <r>
    <x v="0"/>
    <x v="0"/>
    <s v="SBRBEF5032"/>
    <n v="0.14285714285714285"/>
    <s v=""/>
    <n v="0"/>
    <s v="SBRBEF5032IV"/>
    <n v="1"/>
    <s v=""/>
    <n v="0"/>
    <x v="1"/>
    <x v="0"/>
    <x v="17"/>
    <x v="21"/>
    <x v="19"/>
    <x v="0"/>
    <s v="SBRBEF5032"/>
    <s v="SBRBEF5032IV"/>
    <x v="1"/>
    <n v="1000"/>
    <x v="18"/>
    <x v="280"/>
    <n v="8.559597739992288"/>
    <n v="1000"/>
    <n v="0"/>
  </r>
  <r>
    <x v="0"/>
    <x v="0"/>
    <s v="SBRBEF5032"/>
    <n v="0.14285714285714285"/>
    <s v=""/>
    <n v="0"/>
    <s v="SBRBEF5032GY"/>
    <n v="1"/>
    <s v=""/>
    <n v="0"/>
    <x v="1"/>
    <x v="0"/>
    <x v="17"/>
    <x v="21"/>
    <x v="19"/>
    <x v="0"/>
    <s v="SBRBEF5032"/>
    <s v="SBRBEF5032GY"/>
    <x v="1"/>
    <n v="1200"/>
    <x v="37"/>
    <x v="279"/>
    <n v="8.559597739992288"/>
    <n v="1199"/>
    <n v="0"/>
  </r>
  <r>
    <x v="0"/>
    <x v="0"/>
    <s v="SBRBEF5032"/>
    <n v="0.14285714285714285"/>
    <s v=""/>
    <n v="0"/>
    <s v="SBRBEF5032BK"/>
    <n v="1"/>
    <s v=""/>
    <n v="0"/>
    <x v="1"/>
    <x v="0"/>
    <x v="17"/>
    <x v="21"/>
    <x v="19"/>
    <x v="0"/>
    <s v="SBRBEF5032"/>
    <s v="SBRBEF5032BK"/>
    <x v="1"/>
    <n v="2500"/>
    <x v="105"/>
    <x v="281"/>
    <n v="8.5595977399922862"/>
    <n v="2500"/>
    <n v="0"/>
  </r>
  <r>
    <x v="0"/>
    <x v="0"/>
    <s v="SBRBEF5033"/>
    <n v="0.5"/>
    <s v=""/>
    <n v="0"/>
    <s v="SBRBEF5033BL"/>
    <n v="1"/>
    <s v=""/>
    <n v="0"/>
    <x v="1"/>
    <x v="0"/>
    <x v="17"/>
    <x v="21"/>
    <x v="19"/>
    <x v="0"/>
    <s v="SBRBEF5033"/>
    <s v="SBRBEF5033BL"/>
    <x v="1"/>
    <n v="800"/>
    <x v="74"/>
    <x v="282"/>
    <n v="7.287886075764864"/>
    <n v="800"/>
    <n v="0"/>
  </r>
  <r>
    <x v="0"/>
    <x v="0"/>
    <s v="SBRBEF5033"/>
    <n v="0.5"/>
    <s v=""/>
    <n v="0"/>
    <s v="SBRBEF5033RE"/>
    <n v="1"/>
    <s v=""/>
    <n v="0"/>
    <x v="1"/>
    <x v="0"/>
    <x v="17"/>
    <x v="21"/>
    <x v="19"/>
    <x v="0"/>
    <s v="SBRBEF5033"/>
    <s v="SBRBEF5033RE"/>
    <x v="1"/>
    <n v="800"/>
    <x v="74"/>
    <x v="282"/>
    <n v="7.287886075764864"/>
    <n v="799"/>
    <n v="0"/>
  </r>
  <r>
    <x v="0"/>
    <x v="0"/>
    <s v="SBRBEF5034"/>
    <n v="0.33333333333333331"/>
    <s v=""/>
    <n v="0"/>
    <s v="SBRBEF5034BK"/>
    <n v="1"/>
    <s v=""/>
    <n v="0"/>
    <x v="1"/>
    <x v="0"/>
    <x v="17"/>
    <x v="21"/>
    <x v="19"/>
    <x v="0"/>
    <s v="SBRBEF5034"/>
    <s v="SBRBEF5034BK"/>
    <x v="1"/>
    <n v="1500"/>
    <x v="103"/>
    <x v="283"/>
    <n v="4.9053079356109643"/>
    <n v="1497"/>
    <n v="0"/>
  </r>
  <r>
    <x v="0"/>
    <x v="0"/>
    <s v="SBRBEF5034"/>
    <n v="0.33333333333333331"/>
    <s v=""/>
    <n v="0"/>
    <s v="SBRBEF5034BL"/>
    <n v="1"/>
    <s v=""/>
    <n v="0"/>
    <x v="1"/>
    <x v="0"/>
    <x v="17"/>
    <x v="21"/>
    <x v="19"/>
    <x v="0"/>
    <s v="SBRBEF5034"/>
    <s v="SBRBEF5034BL"/>
    <x v="1"/>
    <n v="1200"/>
    <x v="37"/>
    <x v="284"/>
    <n v="4.9053079356109643"/>
    <n v="1197"/>
    <n v="0"/>
  </r>
  <r>
    <x v="0"/>
    <x v="0"/>
    <s v="SBRBEF5034"/>
    <n v="0.33333333333333331"/>
    <s v=""/>
    <n v="0"/>
    <s v="SBRBEF5034PP"/>
    <n v="1"/>
    <s v=""/>
    <n v="0"/>
    <x v="1"/>
    <x v="0"/>
    <x v="17"/>
    <x v="21"/>
    <x v="19"/>
    <x v="0"/>
    <s v="SBRBEF5034"/>
    <s v="SBRBEF5034PP"/>
    <x v="1"/>
    <n v="1200"/>
    <x v="37"/>
    <x v="284"/>
    <n v="4.9053079356109643"/>
    <n v="1200"/>
    <n v="0"/>
  </r>
  <r>
    <x v="0"/>
    <x v="0"/>
    <s v="SBRBEF5035"/>
    <n v="0.5"/>
    <s v=""/>
    <n v="0"/>
    <s v="SBRBEF5035BL"/>
    <n v="1"/>
    <s v=""/>
    <n v="0"/>
    <x v="1"/>
    <x v="0"/>
    <x v="17"/>
    <x v="21"/>
    <x v="19"/>
    <x v="0"/>
    <s v="SBRBEF5035"/>
    <s v="SBRBEF5035BL"/>
    <x v="1"/>
    <n v="1000"/>
    <x v="18"/>
    <x v="285"/>
    <n v="5.2696209064831985"/>
    <n v="998"/>
    <n v="0"/>
  </r>
  <r>
    <x v="0"/>
    <x v="0"/>
    <s v="SBRBEF5035"/>
    <n v="0.5"/>
    <s v=""/>
    <n v="0"/>
    <s v="SBRBEF5035KH"/>
    <n v="1"/>
    <s v=""/>
    <n v="0"/>
    <x v="1"/>
    <x v="0"/>
    <x v="17"/>
    <x v="21"/>
    <x v="19"/>
    <x v="0"/>
    <s v="SBRBEF5035"/>
    <s v="SBRBEF5035KH"/>
    <x v="1"/>
    <n v="1000"/>
    <x v="18"/>
    <x v="285"/>
    <n v="5.2696209064831985"/>
    <n v="999"/>
    <n v="0"/>
  </r>
  <r>
    <x v="0"/>
    <x v="0"/>
    <s v="SBRBEF5036"/>
    <n v="0.5"/>
    <s v=""/>
    <n v="0"/>
    <s v="SBRBEF5036KH"/>
    <n v="1"/>
    <s v=""/>
    <n v="0"/>
    <x v="1"/>
    <x v="0"/>
    <x v="17"/>
    <x v="21"/>
    <x v="19"/>
    <x v="0"/>
    <s v="SBRBEF5036"/>
    <s v="SBRBEF5036KH"/>
    <x v="1"/>
    <n v="1000"/>
    <x v="75"/>
    <x v="286"/>
    <n v="6.9484791649852218"/>
    <n v="999"/>
    <n v="0"/>
  </r>
  <r>
    <x v="0"/>
    <x v="0"/>
    <s v="SBRBEF5036"/>
    <n v="0.5"/>
    <s v=""/>
    <n v="0"/>
    <s v="SBRBEF5036RE"/>
    <n v="1"/>
    <s v=""/>
    <n v="0"/>
    <x v="1"/>
    <x v="0"/>
    <x v="17"/>
    <x v="21"/>
    <x v="19"/>
    <x v="0"/>
    <s v="SBRBEF5036"/>
    <s v="SBRBEF5036RE"/>
    <x v="1"/>
    <n v="1200"/>
    <x v="40"/>
    <x v="287"/>
    <n v="6.9484791649852218"/>
    <n v="1189"/>
    <n v="0"/>
  </r>
  <r>
    <x v="0"/>
    <x v="0"/>
    <s v="SBRBEF5037"/>
    <n v="0.5"/>
    <s v=""/>
    <n v="0"/>
    <s v="SBRBEF5037BW"/>
    <n v="1"/>
    <s v=""/>
    <n v="0"/>
    <x v="1"/>
    <x v="0"/>
    <x v="17"/>
    <x v="21"/>
    <x v="19"/>
    <x v="0"/>
    <s v="SBRBEF5037"/>
    <s v="SBRBEF5037BW"/>
    <x v="1"/>
    <n v="1200"/>
    <x v="40"/>
    <x v="288"/>
    <n v="7.5794015187954571"/>
    <n v="1198"/>
    <n v="0"/>
  </r>
  <r>
    <x v="0"/>
    <x v="0"/>
    <s v="SBRBEF5037"/>
    <n v="0.5"/>
    <s v=""/>
    <n v="0"/>
    <s v="SBRBEF5037GY"/>
    <n v="1"/>
    <s v=""/>
    <n v="0"/>
    <x v="1"/>
    <x v="0"/>
    <x v="17"/>
    <x v="21"/>
    <x v="19"/>
    <x v="0"/>
    <s v="SBRBEF5037"/>
    <s v="SBRBEF5037GY"/>
    <x v="1"/>
    <n v="1200"/>
    <x v="40"/>
    <x v="288"/>
    <n v="7.5794015187954571"/>
    <n v="1198"/>
    <n v="0"/>
  </r>
  <r>
    <x v="0"/>
    <x v="0"/>
    <s v="SBRBEF5038"/>
    <n v="1"/>
    <s v=""/>
    <n v="0"/>
    <s v="SBRBEF5038BK"/>
    <n v="1"/>
    <s v=""/>
    <n v="0"/>
    <x v="1"/>
    <x v="0"/>
    <x v="17"/>
    <x v="21"/>
    <x v="19"/>
    <x v="0"/>
    <s v="SBRBEF5038"/>
    <s v="SBRBEF5038BK"/>
    <x v="1"/>
    <n v="800"/>
    <x v="70"/>
    <x v="289"/>
    <n v="5.0364065383246386"/>
    <n v="796"/>
    <n v="0"/>
  </r>
  <r>
    <x v="0"/>
    <x v="0"/>
    <s v="SBRBEF5039"/>
    <n v="0.33333333333333331"/>
    <s v=""/>
    <n v="0"/>
    <s v="SBRBEF5039BU"/>
    <n v="1"/>
    <s v=""/>
    <n v="0"/>
    <x v="1"/>
    <x v="0"/>
    <x v="17"/>
    <x v="21"/>
    <x v="19"/>
    <x v="0"/>
    <s v="SBRBEF5039"/>
    <s v="SBRBEF5039BU"/>
    <x v="1"/>
    <n v="400"/>
    <x v="106"/>
    <x v="290"/>
    <n v="4.4076992515138969"/>
    <n v="395"/>
    <n v="0"/>
  </r>
  <r>
    <x v="0"/>
    <x v="0"/>
    <s v="SBRBEF5039"/>
    <n v="0.33333333333333331"/>
    <s v=""/>
    <n v="0"/>
    <s v="SBRBEF5039BK"/>
    <n v="1"/>
    <s v=""/>
    <n v="0"/>
    <x v="1"/>
    <x v="0"/>
    <x v="17"/>
    <x v="21"/>
    <x v="19"/>
    <x v="0"/>
    <s v="SBRBEF5039"/>
    <s v="SBRBEF5039BK"/>
    <x v="1"/>
    <n v="500"/>
    <x v="107"/>
    <x v="291"/>
    <n v="4.4076992515138977"/>
    <n v="491"/>
    <n v="0"/>
  </r>
  <r>
    <x v="0"/>
    <x v="0"/>
    <s v="SBRBEF5039"/>
    <n v="0.33333333333333331"/>
    <s v=""/>
    <n v="0"/>
    <s v="SBRBEF5039GY"/>
    <n v="1"/>
    <s v=""/>
    <n v="0"/>
    <x v="1"/>
    <x v="0"/>
    <x v="17"/>
    <x v="21"/>
    <x v="19"/>
    <x v="0"/>
    <s v="SBRBEF5039"/>
    <s v="SBRBEF5039GY"/>
    <x v="1"/>
    <n v="400"/>
    <x v="106"/>
    <x v="290"/>
    <n v="4.4076992515138969"/>
    <n v="393"/>
    <n v="0"/>
  </r>
  <r>
    <x v="0"/>
    <x v="0"/>
    <s v="SBRBEF5040"/>
    <n v="0.33333333333333331"/>
    <s v=""/>
    <n v="0"/>
    <s v="SBRBEF5040GY"/>
    <n v="1"/>
    <s v=""/>
    <n v="0"/>
    <x v="1"/>
    <x v="0"/>
    <x v="17"/>
    <x v="21"/>
    <x v="19"/>
    <x v="0"/>
    <s v="SBRBEF5040"/>
    <s v="SBRBEF5040GY"/>
    <x v="1"/>
    <n v="800"/>
    <x v="74"/>
    <x v="292"/>
    <n v="5.5189816884432927"/>
    <n v="797"/>
    <n v="0"/>
  </r>
  <r>
    <x v="0"/>
    <x v="0"/>
    <s v="SBRBEF5040"/>
    <n v="0.33333333333333331"/>
    <s v=""/>
    <n v="0"/>
    <s v="SBRBEF5040BL"/>
    <n v="1"/>
    <s v=""/>
    <n v="0"/>
    <x v="1"/>
    <x v="0"/>
    <x v="17"/>
    <x v="21"/>
    <x v="19"/>
    <x v="0"/>
    <s v="SBRBEF5040"/>
    <s v="SBRBEF5040BL"/>
    <x v="1"/>
    <n v="800"/>
    <x v="74"/>
    <x v="292"/>
    <n v="5.5189816884432927"/>
    <n v="800"/>
    <n v="0"/>
  </r>
  <r>
    <x v="0"/>
    <x v="0"/>
    <s v="SBRBEF5040"/>
    <n v="0.33333333333333331"/>
    <s v=""/>
    <n v="0"/>
    <s v="SBRBEF5040PK"/>
    <n v="1"/>
    <s v=""/>
    <n v="0"/>
    <x v="1"/>
    <x v="0"/>
    <x v="17"/>
    <x v="21"/>
    <x v="19"/>
    <x v="0"/>
    <s v="SBRBEF5040"/>
    <s v="SBRBEF5040PK"/>
    <x v="1"/>
    <n v="800"/>
    <x v="74"/>
    <x v="292"/>
    <n v="5.5189816884432927"/>
    <n v="800"/>
    <n v="0"/>
  </r>
  <r>
    <x v="0"/>
    <x v="0"/>
    <s v="WTRBAF3003"/>
    <n v="1"/>
    <s v=""/>
    <n v="0"/>
    <s v="WTRBAF3003GY"/>
    <n v="1"/>
    <s v=""/>
    <n v="0"/>
    <x v="0"/>
    <x v="0"/>
    <x v="8"/>
    <x v="6"/>
    <x v="8"/>
    <x v="0"/>
    <s v="WTRBAF3003"/>
    <s v="WTRBAF3003GY"/>
    <x v="1"/>
    <n v="800"/>
    <x v="32"/>
    <x v="293"/>
    <n v="7.1454148546973144"/>
    <n v="800"/>
    <n v="0"/>
  </r>
  <r>
    <x v="0"/>
    <x v="0"/>
    <s v="WTRBAF3004"/>
    <n v="1"/>
    <s v=""/>
    <n v="0"/>
    <s v="WTRBAF3004RE"/>
    <n v="1"/>
    <s v=""/>
    <n v="0"/>
    <x v="0"/>
    <x v="0"/>
    <x v="8"/>
    <x v="6"/>
    <x v="8"/>
    <x v="0"/>
    <s v="WTRBAF3004"/>
    <s v="WTRBAF3004RE"/>
    <x v="1"/>
    <n v="800"/>
    <x v="32"/>
    <x v="294"/>
    <n v="6.2519957727071578"/>
    <n v="800"/>
    <n v="0"/>
  </r>
  <r>
    <x v="0"/>
    <x v="0"/>
    <s v="WTRBAF5005"/>
    <n v="1"/>
    <s v=""/>
    <n v="0"/>
    <s v="WTRBAF5005BW"/>
    <n v="1"/>
    <s v=""/>
    <n v="0"/>
    <x v="1"/>
    <x v="0"/>
    <x v="8"/>
    <x v="6"/>
    <x v="8"/>
    <x v="0"/>
    <s v="WTRBAF5005"/>
    <s v="WTRBAF5005BW"/>
    <x v="1"/>
    <n v="800"/>
    <x v="32"/>
    <x v="295"/>
    <n v="5.8580786496797099"/>
    <n v="802"/>
    <n v="0"/>
  </r>
  <r>
    <x v="0"/>
    <x v="0"/>
    <s v="WTRBAF5006"/>
    <n v="1"/>
    <s v=""/>
    <n v="0"/>
    <s v="WTRBAF5006BG"/>
    <n v="1"/>
    <s v=""/>
    <n v="0"/>
    <x v="1"/>
    <x v="0"/>
    <x v="8"/>
    <x v="6"/>
    <x v="8"/>
    <x v="0"/>
    <s v="WTRBAF5006"/>
    <s v="WTRBAF5006BG"/>
    <x v="1"/>
    <n v="800"/>
    <x v="32"/>
    <x v="296"/>
    <n v="6.4802141943100766"/>
    <n v="806"/>
    <n v="0"/>
  </r>
  <r>
    <x v="0"/>
    <x v="0"/>
    <s v="WTRBAF5007"/>
    <n v="1"/>
    <s v=""/>
    <n v="0"/>
    <s v="WTRBAF5007GY"/>
    <n v="1"/>
    <s v=""/>
    <n v="0"/>
    <x v="1"/>
    <x v="0"/>
    <x v="8"/>
    <x v="6"/>
    <x v="8"/>
    <x v="0"/>
    <s v="WTRBAF5007"/>
    <s v="WTRBAF5007GY"/>
    <x v="1"/>
    <n v="1200"/>
    <x v="43"/>
    <x v="297"/>
    <n v="6.433266152231953"/>
    <n v="1200"/>
    <n v="0"/>
  </r>
  <r>
    <x v="0"/>
    <x v="0"/>
    <s v="WTRERF5008"/>
    <n v="1"/>
    <s v=""/>
    <n v="0"/>
    <s v="WTRERF5008BK"/>
    <n v="1"/>
    <s v=""/>
    <n v="0"/>
    <x v="1"/>
    <x v="0"/>
    <x v="8"/>
    <x v="10"/>
    <x v="8"/>
    <x v="0"/>
    <s v="WTRERF5008"/>
    <s v="WTRERF5008BK"/>
    <x v="1"/>
    <n v="800"/>
    <x v="108"/>
    <x v="298"/>
    <n v="6.2126798268073333"/>
    <n v="798"/>
    <n v="0"/>
  </r>
  <r>
    <x v="0"/>
    <x v="0"/>
    <s v="WTRERF5009"/>
    <n v="1"/>
    <s v=""/>
    <n v="0"/>
    <s v="WTRERF5009KH"/>
    <n v="1"/>
    <s v=""/>
    <n v="0"/>
    <x v="1"/>
    <x v="0"/>
    <x v="8"/>
    <x v="10"/>
    <x v="8"/>
    <x v="0"/>
    <s v="WTRERF5009"/>
    <s v="WTRERF5009KH"/>
    <x v="1"/>
    <n v="800"/>
    <x v="109"/>
    <x v="299"/>
    <n v="5.2026244680419698"/>
    <n v="800"/>
    <n v="0"/>
  </r>
  <r>
    <x v="0"/>
    <x v="0"/>
    <s v="WTRERF5010"/>
    <n v="1"/>
    <s v=""/>
    <n v="0"/>
    <s v="WTRERF5010GY"/>
    <n v="1"/>
    <s v=""/>
    <n v="0"/>
    <x v="1"/>
    <x v="0"/>
    <x v="8"/>
    <x v="10"/>
    <x v="8"/>
    <x v="0"/>
    <s v="WTRERF5010"/>
    <s v="WTRERF5010GY"/>
    <x v="1"/>
    <n v="800"/>
    <x v="108"/>
    <x v="300"/>
    <n v="5.6823840124295879"/>
    <n v="807"/>
    <n v="0"/>
  </r>
  <r>
    <x v="0"/>
    <x v="0"/>
    <s v="WTRERF5011"/>
    <n v="1"/>
    <s v=""/>
    <n v="0"/>
    <s v="WTRERF5011BG"/>
    <n v="1"/>
    <s v=""/>
    <n v="0"/>
    <x v="1"/>
    <x v="0"/>
    <x v="8"/>
    <x v="10"/>
    <x v="8"/>
    <x v="0"/>
    <s v="WTRERF5011"/>
    <s v="WTRERF5011BG"/>
    <x v="1"/>
    <n v="800"/>
    <x v="108"/>
    <x v="301"/>
    <n v="5.9995261391218921"/>
    <n v="802"/>
    <n v="0"/>
  </r>
  <r>
    <x v="0"/>
    <x v="0"/>
    <s v="WTRERF5012"/>
    <n v="1"/>
    <s v=""/>
    <n v="0"/>
    <s v="WTRERF5012PK"/>
    <n v="1"/>
    <s v=""/>
    <n v="0"/>
    <x v="1"/>
    <x v="0"/>
    <x v="8"/>
    <x v="10"/>
    <x v="8"/>
    <x v="0"/>
    <s v="WTRERF5012"/>
    <s v="WTRERF5012PK"/>
    <x v="1"/>
    <n v="800"/>
    <x v="108"/>
    <x v="302"/>
    <n v="6.1277761812093505"/>
    <n v="771"/>
    <n v="0"/>
  </r>
  <r>
    <x v="0"/>
    <x v="0"/>
    <s v="ELSERF5516"/>
    <n v="1"/>
    <s v=""/>
    <n v="0"/>
    <s v="ELSERF5516OR"/>
    <n v="1"/>
    <s v=""/>
    <n v="0"/>
    <x v="1"/>
    <x v="0"/>
    <x v="6"/>
    <x v="10"/>
    <x v="6"/>
    <x v="1"/>
    <s v="ELSERF5516"/>
    <s v="ELSERF5516OR"/>
    <x v="1"/>
    <n v="1200"/>
    <x v="31"/>
    <x v="303"/>
    <n v="5.9970638375451379"/>
    <n v="1186"/>
    <n v="0"/>
  </r>
  <r>
    <x v="0"/>
    <x v="0"/>
    <s v="ELSTPF5017"/>
    <n v="1"/>
    <s v=""/>
    <n v="0"/>
    <s v="ELSTPF5017BK"/>
    <n v="1"/>
    <s v=""/>
    <n v="0"/>
    <x v="1"/>
    <x v="0"/>
    <x v="6"/>
    <x v="7"/>
    <x v="6"/>
    <x v="0"/>
    <s v="ELSTPF5017"/>
    <s v="ELSTPF5017BK"/>
    <x v="1"/>
    <n v="800"/>
    <x v="108"/>
    <x v="304"/>
    <n v="6.4023696146576494"/>
    <n v="798"/>
    <n v="0"/>
  </r>
  <r>
    <x v="0"/>
    <x v="0"/>
    <s v="ELSTPF5517"/>
    <n v="1"/>
    <s v=""/>
    <n v="0"/>
    <s v="ELSTPF5517BK"/>
    <n v="1"/>
    <s v=""/>
    <n v="0"/>
    <x v="1"/>
    <x v="0"/>
    <x v="6"/>
    <x v="7"/>
    <x v="6"/>
    <x v="1"/>
    <s v="ELSTPF5517"/>
    <s v="ELSTPF5517BK"/>
    <x v="1"/>
    <n v="800"/>
    <x v="110"/>
    <x v="305"/>
    <n v="6.0585204608353003"/>
    <n v="794"/>
    <n v="0"/>
  </r>
  <r>
    <x v="0"/>
    <x v="0"/>
    <s v="ELSTPF5515"/>
    <n v="1"/>
    <s v=""/>
    <n v="0"/>
    <s v="ELSTPF5515RE"/>
    <n v="1"/>
    <s v=""/>
    <n v="0"/>
    <x v="1"/>
    <x v="0"/>
    <x v="6"/>
    <x v="7"/>
    <x v="6"/>
    <x v="1"/>
    <s v="ELSTPF5515"/>
    <s v="ELSTPF5515RE"/>
    <x v="1"/>
    <n v="1000"/>
    <x v="72"/>
    <x v="306"/>
    <n v="4.6826809062495531"/>
    <n v="997"/>
    <n v="0"/>
  </r>
  <r>
    <x v="0"/>
    <x v="0"/>
    <s v="ELSEDF5522"/>
    <n v="1"/>
    <s v=""/>
    <n v="0"/>
    <s v="ELSEDF5522YE"/>
    <n v="1"/>
    <s v=""/>
    <n v="0"/>
    <x v="1"/>
    <x v="2"/>
    <x v="6"/>
    <x v="23"/>
    <x v="24"/>
    <x v="1"/>
    <s v="ELSEDF5522"/>
    <s v="ELSEDF5522YE"/>
    <x v="1"/>
    <n v="800"/>
    <x v="76"/>
    <x v="307"/>
    <n v="4.4760557871721005"/>
    <n v="759"/>
    <n v="0"/>
  </r>
  <r>
    <x v="0"/>
    <x v="0"/>
    <s v="ELSEDF5523"/>
    <n v="1"/>
    <s v=""/>
    <n v="0"/>
    <s v="ELSEDF5523BK"/>
    <n v="1"/>
    <s v=""/>
    <n v="0"/>
    <x v="1"/>
    <x v="2"/>
    <x v="6"/>
    <x v="23"/>
    <x v="24"/>
    <x v="1"/>
    <s v="ELSEDF5523"/>
    <s v="ELSEDF5523BK"/>
    <x v="1"/>
    <n v="800"/>
    <x v="76"/>
    <x v="308"/>
    <n v="4.4826869663983757"/>
    <n v="799"/>
    <n v="0"/>
  </r>
  <r>
    <x v="0"/>
    <x v="0"/>
    <s v="ELSEDF5524"/>
    <n v="1"/>
    <s v=""/>
    <n v="0"/>
    <s v="ELSEDF5524PK"/>
    <n v="1"/>
    <s v=""/>
    <n v="0"/>
    <x v="1"/>
    <x v="2"/>
    <x v="6"/>
    <x v="23"/>
    <x v="24"/>
    <x v="1"/>
    <s v="ELSEDF5524"/>
    <s v="ELSEDF5524PK"/>
    <x v="1"/>
    <n v="800"/>
    <x v="76"/>
    <x v="309"/>
    <n v="4.5117268805078155"/>
    <n v="786"/>
    <n v="0"/>
  </r>
  <r>
    <x v="0"/>
    <x v="0"/>
    <s v="ELSBAF5518"/>
    <n v="1"/>
    <s v=""/>
    <n v="0"/>
    <s v="ELSBAF5518PP"/>
    <n v="1"/>
    <s v=""/>
    <n v="0"/>
    <x v="1"/>
    <x v="0"/>
    <x v="6"/>
    <x v="6"/>
    <x v="6"/>
    <x v="1"/>
    <s v="ELSBAF5518"/>
    <s v="ELSBAF5518PP"/>
    <x v="1"/>
    <n v="1200"/>
    <x v="33"/>
    <x v="310"/>
    <n v="4.9300572774054476"/>
    <n v="1198"/>
    <n v="0"/>
  </r>
  <r>
    <x v="0"/>
    <x v="0"/>
    <s v="ELSERF5519"/>
    <n v="1"/>
    <s v=""/>
    <n v="0"/>
    <s v="ELSERF5519RE"/>
    <n v="1"/>
    <s v=""/>
    <n v="0"/>
    <x v="1"/>
    <x v="0"/>
    <x v="6"/>
    <x v="10"/>
    <x v="6"/>
    <x v="1"/>
    <s v="ELSERF5519"/>
    <s v="ELSERF5519RE"/>
    <x v="1"/>
    <n v="1200"/>
    <x v="33"/>
    <x v="311"/>
    <n v="5.6141296414816804"/>
    <n v="1182"/>
    <n v="0"/>
  </r>
  <r>
    <x v="0"/>
    <x v="0"/>
    <s v="ELSERF5520"/>
    <n v="1"/>
    <s v=""/>
    <n v="0"/>
    <s v="ELSERF5520BL"/>
    <n v="1"/>
    <s v=""/>
    <n v="0"/>
    <x v="1"/>
    <x v="0"/>
    <x v="6"/>
    <x v="10"/>
    <x v="6"/>
    <x v="1"/>
    <s v="ELSERF5520"/>
    <s v="ELSERF5520BL"/>
    <x v="1"/>
    <n v="930"/>
    <x v="111"/>
    <x v="312"/>
    <n v="5.8933770229016629"/>
    <n v="899"/>
    <n v="0"/>
  </r>
  <r>
    <x v="0"/>
    <x v="0"/>
    <s v="ELSERF5521"/>
    <n v="1"/>
    <s v=""/>
    <n v="0"/>
    <s v="ELSERF5521GY"/>
    <n v="1"/>
    <s v=""/>
    <n v="0"/>
    <x v="1"/>
    <x v="0"/>
    <x v="6"/>
    <x v="10"/>
    <x v="6"/>
    <x v="1"/>
    <s v="ELSERF5521"/>
    <s v="ELSERF5521GY"/>
    <x v="1"/>
    <n v="1500"/>
    <x v="19"/>
    <x v="313"/>
    <n v="4.7336785131705135"/>
    <n v="1505"/>
    <n v="0"/>
  </r>
  <r>
    <x v="0"/>
    <x v="0"/>
    <s v="ELSTPF5514"/>
    <n v="0.5"/>
    <s v=""/>
    <n v="0"/>
    <s v="ELSTPF5514MT"/>
    <n v="1"/>
    <s v=""/>
    <n v="0"/>
    <x v="1"/>
    <x v="0"/>
    <x v="6"/>
    <x v="7"/>
    <x v="6"/>
    <x v="1"/>
    <s v="ELSTPF5514"/>
    <s v="ELSTPF5514MT"/>
    <x v="1"/>
    <n v="800"/>
    <x v="108"/>
    <x v="314"/>
    <n v="4.7265744760331829"/>
    <n v="805"/>
    <n v="0"/>
  </r>
  <r>
    <x v="0"/>
    <x v="0"/>
    <s v="ELSTPF5514"/>
    <n v="0.5"/>
    <s v=""/>
    <n v="0"/>
    <s v="ELSTPF5514OR"/>
    <n v="1"/>
    <s v=""/>
    <n v="0"/>
    <x v="1"/>
    <x v="0"/>
    <x v="6"/>
    <x v="7"/>
    <x v="6"/>
    <x v="1"/>
    <s v="ELSTPF5514"/>
    <s v="ELSTPF5514OR"/>
    <x v="1"/>
    <n v="800"/>
    <x v="108"/>
    <x v="314"/>
    <n v="4.7265744760331829"/>
    <n v="800"/>
    <n v="0"/>
  </r>
  <r>
    <x v="0"/>
    <x v="0"/>
    <s v="SMBBEF5507"/>
    <n v="0.33333333333333331"/>
    <s v=""/>
    <n v="0"/>
    <s v="SMBBEF5507GR"/>
    <n v="1"/>
    <s v=""/>
    <n v="0"/>
    <x v="1"/>
    <x v="0"/>
    <x v="4"/>
    <x v="21"/>
    <x v="4"/>
    <x v="1"/>
    <s v="SMBBEF5507"/>
    <s v="SMBBEF5507GR"/>
    <x v="1"/>
    <n v="600"/>
    <x v="112"/>
    <x v="315"/>
    <n v="5.7761342017118453"/>
    <n v="597"/>
    <n v="0"/>
  </r>
  <r>
    <x v="0"/>
    <x v="0"/>
    <s v="SMBBEF5507"/>
    <n v="0.33333333333333331"/>
    <s v=""/>
    <n v="0"/>
    <s v="SMBBEF5507RE"/>
    <n v="1"/>
    <s v=""/>
    <n v="0"/>
    <x v="1"/>
    <x v="0"/>
    <x v="4"/>
    <x v="21"/>
    <x v="4"/>
    <x v="1"/>
    <s v="SMBBEF5507"/>
    <s v="SMBBEF5507RE"/>
    <x v="1"/>
    <n v="600"/>
    <x v="112"/>
    <x v="315"/>
    <n v="5.7761342017118453"/>
    <n v="596"/>
    <n v="0"/>
  </r>
  <r>
    <x v="0"/>
    <x v="0"/>
    <s v="SMBBEF5507"/>
    <n v="0.33333333333333331"/>
    <s v=""/>
    <n v="0"/>
    <s v="SMBBEF5507PK"/>
    <n v="1"/>
    <s v=""/>
    <n v="0"/>
    <x v="1"/>
    <x v="0"/>
    <x v="4"/>
    <x v="21"/>
    <x v="4"/>
    <x v="1"/>
    <s v="SMBBEF5507"/>
    <s v="SMBBEF5507PK"/>
    <x v="1"/>
    <n v="600"/>
    <x v="112"/>
    <x v="315"/>
    <n v="5.7761342017118453"/>
    <n v="592"/>
    <n v="0"/>
  </r>
  <r>
    <x v="0"/>
    <x v="0"/>
    <s v="SMBBEF5508"/>
    <n v="0.5"/>
    <s v=""/>
    <n v="0"/>
    <s v="SMBBEF5508PK"/>
    <n v="1"/>
    <s v=""/>
    <n v="0"/>
    <x v="1"/>
    <x v="0"/>
    <x v="4"/>
    <x v="21"/>
    <x v="4"/>
    <x v="1"/>
    <s v="SMBBEF5508"/>
    <s v="SMBBEF5508PK"/>
    <x v="1"/>
    <n v="600"/>
    <x v="112"/>
    <x v="316"/>
    <n v="6.0501421956277168"/>
    <n v="600"/>
    <n v="0"/>
  </r>
  <r>
    <x v="0"/>
    <x v="0"/>
    <s v="SMBBEF5508"/>
    <n v="0.5"/>
    <s v=""/>
    <n v="0"/>
    <s v="SMBBEF5508RE"/>
    <n v="1"/>
    <s v=""/>
    <n v="0"/>
    <x v="1"/>
    <x v="0"/>
    <x v="4"/>
    <x v="21"/>
    <x v="4"/>
    <x v="1"/>
    <s v="SMBBEF5508"/>
    <s v="SMBBEF5508RE"/>
    <x v="1"/>
    <n v="600"/>
    <x v="112"/>
    <x v="316"/>
    <n v="6.0501421956277168"/>
    <n v="600"/>
    <n v="0"/>
  </r>
  <r>
    <x v="0"/>
    <x v="0"/>
    <s v="SWBBEF5509"/>
    <n v="0.5"/>
    <s v=""/>
    <n v="0"/>
    <s v="SWBBEF5509PK"/>
    <n v="1"/>
    <s v=""/>
    <n v="0"/>
    <x v="1"/>
    <x v="0"/>
    <x v="12"/>
    <x v="21"/>
    <x v="12"/>
    <x v="1"/>
    <s v="SWBBEF5509"/>
    <s v="SWBBEF5509PK"/>
    <x v="1"/>
    <n v="600"/>
    <x v="113"/>
    <x v="317"/>
    <n v="5.5943895818414946"/>
    <n v="600"/>
    <n v="0"/>
  </r>
  <r>
    <x v="0"/>
    <x v="0"/>
    <s v="SWBBEF5509"/>
    <n v="0.5"/>
    <s v=""/>
    <n v="0"/>
    <s v="SWBBEF5509BL"/>
    <n v="1"/>
    <s v=""/>
    <n v="0"/>
    <x v="1"/>
    <x v="0"/>
    <x v="12"/>
    <x v="21"/>
    <x v="12"/>
    <x v="1"/>
    <s v="SWBBEF5509"/>
    <s v="SWBBEF5509BL"/>
    <x v="1"/>
    <n v="600"/>
    <x v="113"/>
    <x v="317"/>
    <n v="5.5943895818414946"/>
    <n v="594"/>
    <n v="0"/>
  </r>
  <r>
    <x v="0"/>
    <x v="0"/>
    <s v="HCUMIF3003"/>
    <n v="1"/>
    <s v=""/>
    <n v="0"/>
    <s v="HCUMIF3003BK"/>
    <n v="1"/>
    <s v=""/>
    <n v="0"/>
    <x v="0"/>
    <x v="0"/>
    <x v="3"/>
    <x v="3"/>
    <x v="3"/>
    <x v="0"/>
    <s v="HCUMIF3003"/>
    <s v="HCUMIF3003BK"/>
    <x v="1"/>
    <n v="1500"/>
    <x v="27"/>
    <x v="318"/>
    <n v="5.6232474690222167"/>
    <n v="1510"/>
    <n v="0"/>
  </r>
  <r>
    <x v="0"/>
    <x v="0"/>
    <s v="HCUMIF5004"/>
    <n v="1"/>
    <s v=""/>
    <n v="0"/>
    <s v="HCUMIF5004NY"/>
    <n v="1"/>
    <s v=""/>
    <n v="0"/>
    <x v="1"/>
    <x v="0"/>
    <x v="3"/>
    <x v="3"/>
    <x v="3"/>
    <x v="0"/>
    <s v="HCUMIF5004"/>
    <s v="HCUMIF5004NY"/>
    <x v="1"/>
    <n v="1000"/>
    <x v="34"/>
    <x v="319"/>
    <n v="5.3217758553158152"/>
    <n v="996"/>
    <n v="0"/>
  </r>
  <r>
    <x v="0"/>
    <x v="0"/>
    <s v="HCUMIF3005"/>
    <n v="1"/>
    <s v=""/>
    <n v="0"/>
    <s v="HCUMIF3005KH"/>
    <n v="1"/>
    <s v=""/>
    <n v="0"/>
    <x v="0"/>
    <x v="0"/>
    <x v="3"/>
    <x v="3"/>
    <x v="3"/>
    <x v="0"/>
    <s v="HCUMIF3005"/>
    <s v="HCUMIF3005KH"/>
    <x v="1"/>
    <n v="1200"/>
    <x v="47"/>
    <x v="320"/>
    <n v="5.9028435322422945"/>
    <n v="1210"/>
    <n v="0"/>
  </r>
  <r>
    <x v="0"/>
    <x v="0"/>
    <s v="HCUMIF3006"/>
    <n v="0.33333333333333331"/>
    <s v=""/>
    <n v="0"/>
    <s v="HCUMIF3006BK"/>
    <n v="1"/>
    <s v=""/>
    <n v="0"/>
    <x v="0"/>
    <x v="0"/>
    <x v="3"/>
    <x v="3"/>
    <x v="3"/>
    <x v="0"/>
    <s v="HCUMIF3006"/>
    <s v="HCUMIF3006BK"/>
    <x v="1"/>
    <n v="2000"/>
    <x v="45"/>
    <x v="321"/>
    <n v="5.71394454348615"/>
    <n v="2004"/>
    <n v="0"/>
  </r>
  <r>
    <x v="0"/>
    <x v="0"/>
    <s v="HCUMIF3006"/>
    <n v="0.33333333333333331"/>
    <s v=""/>
    <n v="0"/>
    <s v="HCUMIF3006KH"/>
    <n v="1"/>
    <s v=""/>
    <n v="0"/>
    <x v="0"/>
    <x v="0"/>
    <x v="3"/>
    <x v="3"/>
    <x v="3"/>
    <x v="0"/>
    <s v="HCUMIF3006"/>
    <s v="HCUMIF3006KH"/>
    <x v="1"/>
    <n v="1200"/>
    <x v="47"/>
    <x v="322"/>
    <n v="5.71394454348615"/>
    <n v="1199"/>
    <n v="0"/>
  </r>
  <r>
    <x v="0"/>
    <x v="0"/>
    <s v="HCUMIF3006"/>
    <n v="0.33333333333333331"/>
    <s v=""/>
    <n v="0"/>
    <s v="HCUMIF3006NY"/>
    <n v="1"/>
    <s v=""/>
    <n v="0"/>
    <x v="0"/>
    <x v="0"/>
    <x v="3"/>
    <x v="3"/>
    <x v="3"/>
    <x v="0"/>
    <s v="HCUMIF3006"/>
    <s v="HCUMIF3006NY"/>
    <x v="1"/>
    <n v="1200"/>
    <x v="47"/>
    <x v="322"/>
    <n v="5.71394454348615"/>
    <n v="1198"/>
    <n v="0"/>
  </r>
  <r>
    <x v="0"/>
    <x v="0"/>
    <s v="HCUMIF3007"/>
    <n v="0.5"/>
    <s v=""/>
    <n v="0"/>
    <s v="HCUMIF3007GY"/>
    <n v="1"/>
    <s v=""/>
    <n v="0"/>
    <x v="0"/>
    <x v="0"/>
    <x v="3"/>
    <x v="3"/>
    <x v="3"/>
    <x v="0"/>
    <s v="HCUMIF3007"/>
    <s v="HCUMIF3007GY"/>
    <x v="1"/>
    <n v="1200"/>
    <x v="47"/>
    <x v="322"/>
    <n v="5.71394454348615"/>
    <n v="1193"/>
    <n v="0"/>
  </r>
  <r>
    <x v="0"/>
    <x v="0"/>
    <s v="HCUMIF3007"/>
    <n v="0.5"/>
    <s v=""/>
    <n v="0"/>
    <s v="HCUMIF3007BK"/>
    <n v="1"/>
    <s v=""/>
    <n v="0"/>
    <x v="0"/>
    <x v="0"/>
    <x v="3"/>
    <x v="3"/>
    <x v="3"/>
    <x v="0"/>
    <s v="HCUMIF3007"/>
    <s v="HCUMIF3007BK"/>
    <x v="1"/>
    <n v="2000"/>
    <x v="45"/>
    <x v="321"/>
    <n v="5.71394454348615"/>
    <n v="1996"/>
    <n v="0"/>
  </r>
  <r>
    <x v="0"/>
    <x v="0"/>
    <s v="HCUMIF3008"/>
    <n v="1"/>
    <s v=""/>
    <n v="0"/>
    <s v="HCUMIF3008BK"/>
    <n v="1"/>
    <s v=""/>
    <n v="0"/>
    <x v="0"/>
    <x v="0"/>
    <x v="3"/>
    <x v="3"/>
    <x v="3"/>
    <x v="0"/>
    <s v="HCUMIF3008"/>
    <s v="HCUMIF3008BK"/>
    <x v="1"/>
    <n v="1200"/>
    <x v="47"/>
    <x v="323"/>
    <n v="6.1572880488672537"/>
    <n v="1204"/>
    <n v="0"/>
  </r>
  <r>
    <x v="0"/>
    <x v="0"/>
    <s v="BLLCTF5001"/>
    <n v="1"/>
    <s v=""/>
    <n v="0"/>
    <s v="BLLCTF5001NY"/>
    <n v="1"/>
    <s v=""/>
    <n v="0"/>
    <x v="1"/>
    <x v="0"/>
    <x v="20"/>
    <x v="19"/>
    <x v="25"/>
    <x v="0"/>
    <s v="BLLCTF5001"/>
    <s v="BLLCTF5001NY"/>
    <x v="1"/>
    <n v="400"/>
    <x v="114"/>
    <x v="324"/>
    <n v="5.3484637960209689"/>
    <n v="400"/>
    <n v="0"/>
  </r>
  <r>
    <x v="0"/>
    <x v="0"/>
    <s v="BLLFAF5002"/>
    <n v="1"/>
    <s v=""/>
    <n v="0"/>
    <s v="BLLFAF5002BK"/>
    <n v="1"/>
    <s v=""/>
    <n v="0"/>
    <x v="1"/>
    <x v="0"/>
    <x v="20"/>
    <x v="5"/>
    <x v="25"/>
    <x v="0"/>
    <s v="BLLFAF5002"/>
    <s v="BLLFAF5002BK"/>
    <x v="1"/>
    <n v="300"/>
    <x v="115"/>
    <x v="325"/>
    <n v="4.9598113571177542"/>
    <n v="300"/>
    <n v="0"/>
  </r>
  <r>
    <x v="0"/>
    <x v="0"/>
    <s v="BLLFEF5003"/>
    <n v="1"/>
    <s v=""/>
    <n v="0"/>
    <s v="BLLFEF5003BK"/>
    <n v="1"/>
    <s v=""/>
    <n v="0"/>
    <x v="1"/>
    <x v="0"/>
    <x v="20"/>
    <x v="4"/>
    <x v="25"/>
    <x v="0"/>
    <s v="BLLFEF5003"/>
    <s v="BLLFEF5003BK"/>
    <x v="1"/>
    <n v="400"/>
    <x v="116"/>
    <x v="326"/>
    <n v="5.3579532059662434"/>
    <n v="400"/>
    <n v="0"/>
  </r>
  <r>
    <x v="0"/>
    <x v="0"/>
    <s v="BLLCTF5004"/>
    <n v="1"/>
    <s v=""/>
    <n v="0"/>
    <s v="BLLCTF5004BG"/>
    <n v="1"/>
    <s v=""/>
    <n v="0"/>
    <x v="1"/>
    <x v="0"/>
    <x v="20"/>
    <x v="19"/>
    <x v="25"/>
    <x v="0"/>
    <s v="BLLCTF5004"/>
    <s v="BLLCTF5004BG"/>
    <x v="1"/>
    <n v="400"/>
    <x v="114"/>
    <x v="327"/>
    <n v="5.1450127311697997"/>
    <n v="396"/>
    <n v="0"/>
  </r>
  <r>
    <x v="0"/>
    <x v="0"/>
    <s v="BLLFEF5005"/>
    <n v="0.5"/>
    <s v=""/>
    <n v="0"/>
    <s v="BLLFEF5005BG"/>
    <n v="1"/>
    <s v=""/>
    <n v="0"/>
    <x v="1"/>
    <x v="0"/>
    <x v="20"/>
    <x v="4"/>
    <x v="25"/>
    <x v="0"/>
    <s v="BLLFEF5005"/>
    <s v="BLLFEF5005BG"/>
    <x v="1"/>
    <n v="300"/>
    <x v="117"/>
    <x v="328"/>
    <n v="5.0610250615732086"/>
    <n v="298"/>
    <n v="0"/>
  </r>
  <r>
    <x v="0"/>
    <x v="0"/>
    <s v="BLLFEF5005"/>
    <n v="0.5"/>
    <s v=""/>
    <n v="0"/>
    <s v="BLLFEF5005BK"/>
    <n v="1"/>
    <s v=""/>
    <n v="0"/>
    <x v="1"/>
    <x v="0"/>
    <x v="20"/>
    <x v="4"/>
    <x v="25"/>
    <x v="0"/>
    <s v="BLLFEF5005"/>
    <s v="BLLFEF5005BK"/>
    <x v="1"/>
    <n v="300"/>
    <x v="117"/>
    <x v="328"/>
    <n v="5.0610250615732086"/>
    <n v="297"/>
    <n v="0"/>
  </r>
  <r>
    <x v="0"/>
    <x v="0"/>
    <s v="BLLFEF5006"/>
    <n v="1"/>
    <s v=""/>
    <n v="0"/>
    <s v="BLLFEF5006GY"/>
    <n v="1"/>
    <s v=""/>
    <n v="0"/>
    <x v="1"/>
    <x v="0"/>
    <x v="20"/>
    <x v="4"/>
    <x v="25"/>
    <x v="0"/>
    <s v="BLLFEF5006"/>
    <s v="BLLFEF5006GY"/>
    <x v="1"/>
    <n v="300"/>
    <x v="118"/>
    <x v="329"/>
    <n v="5.4528375846604469"/>
    <n v="298"/>
    <n v="0"/>
  </r>
  <r>
    <x v="0"/>
    <x v="0"/>
    <s v="BLLCTF5007"/>
    <n v="1"/>
    <s v=""/>
    <n v="0"/>
    <s v="BLLCTF5007KH"/>
    <n v="1"/>
    <s v=""/>
    <n v="0"/>
    <x v="1"/>
    <x v="0"/>
    <x v="20"/>
    <x v="19"/>
    <x v="25"/>
    <x v="0"/>
    <s v="BLLCTF5007"/>
    <s v="BLLCTF5007KH"/>
    <x v="1"/>
    <n v="400"/>
    <x v="106"/>
    <x v="330"/>
    <n v="5.6415593871912524"/>
    <n v="400"/>
    <n v="0"/>
  </r>
  <r>
    <x v="0"/>
    <x v="0"/>
    <s v="BLLHUF5008"/>
    <n v="0.33333333333333331"/>
    <s v=""/>
    <n v="0"/>
    <s v="BLLHUF5008BK"/>
    <n v="1"/>
    <s v=""/>
    <n v="0"/>
    <x v="1"/>
    <x v="0"/>
    <x v="20"/>
    <x v="2"/>
    <x v="25"/>
    <x v="0"/>
    <s v="BLLHUF5008"/>
    <s v="BLLHUF5008BK"/>
    <x v="1"/>
    <n v="400"/>
    <x v="92"/>
    <x v="331"/>
    <n v="5.9465615282226212"/>
    <n v="399"/>
    <n v="0"/>
  </r>
  <r>
    <x v="0"/>
    <x v="0"/>
    <s v="BLLHUF5008"/>
    <n v="0.33333333333333331"/>
    <s v=""/>
    <n v="0"/>
    <s v="BLLHUF5008RE"/>
    <n v="1"/>
    <s v=""/>
    <n v="0"/>
    <x v="1"/>
    <x v="0"/>
    <x v="20"/>
    <x v="2"/>
    <x v="25"/>
    <x v="0"/>
    <s v="BLLHUF5008"/>
    <s v="BLLHUF5008RE"/>
    <x v="1"/>
    <n v="400"/>
    <x v="92"/>
    <x v="331"/>
    <n v="5.9465615282226212"/>
    <n v="400"/>
    <n v="0"/>
  </r>
  <r>
    <x v="0"/>
    <x v="0"/>
    <s v="BLLHUF5008"/>
    <n v="0.33333333333333331"/>
    <s v=""/>
    <n v="0"/>
    <s v="BLLHUF5008BG"/>
    <n v="1"/>
    <s v=""/>
    <n v="0"/>
    <x v="1"/>
    <x v="0"/>
    <x v="20"/>
    <x v="2"/>
    <x v="25"/>
    <x v="0"/>
    <s v="BLLHUF5008"/>
    <s v="BLLHUF5008BG"/>
    <x v="1"/>
    <n v="400"/>
    <x v="92"/>
    <x v="331"/>
    <n v="5.9465615282226212"/>
    <n v="400"/>
    <n v="0"/>
  </r>
  <r>
    <x v="0"/>
    <x v="0"/>
    <s v="NOVACF3001"/>
    <n v="0.5"/>
    <s v=""/>
    <n v="0"/>
    <s v="NOVACF3001BK"/>
    <n v="1"/>
    <s v=""/>
    <n v="0"/>
    <x v="0"/>
    <x v="2"/>
    <x v="15"/>
    <x v="24"/>
    <x v="26"/>
    <x v="0"/>
    <s v="NOVACF3001"/>
    <s v="NOVACF3001BK"/>
    <x v="1"/>
    <n v="1200"/>
    <x v="119"/>
    <x v="332"/>
    <n v="5.2952220941795627"/>
    <n v="1199"/>
    <n v="0"/>
  </r>
  <r>
    <x v="0"/>
    <x v="0"/>
    <s v="NOVACF3001"/>
    <n v="0.5"/>
    <s v=""/>
    <n v="0"/>
    <s v="NOVACF3001GY"/>
    <n v="1"/>
    <s v=""/>
    <n v="0"/>
    <x v="0"/>
    <x v="2"/>
    <x v="15"/>
    <x v="24"/>
    <x v="26"/>
    <x v="0"/>
    <s v="NOVACF3001"/>
    <s v="NOVACF3001GY"/>
    <x v="1"/>
    <n v="1200"/>
    <x v="119"/>
    <x v="332"/>
    <n v="5.2952220941795627"/>
    <n v="1200"/>
    <n v="0"/>
  </r>
  <r>
    <x v="0"/>
    <x v="0"/>
    <s v="NOVACF3002"/>
    <n v="1"/>
    <s v=""/>
    <n v="0"/>
    <s v="NOVACF3002NY"/>
    <n v="1"/>
    <s v=""/>
    <n v="0"/>
    <x v="0"/>
    <x v="2"/>
    <x v="15"/>
    <x v="24"/>
    <x v="26"/>
    <x v="0"/>
    <s v="NOVACF3002"/>
    <s v="NOVACF3002NY"/>
    <x v="1"/>
    <n v="1200"/>
    <x v="120"/>
    <x v="333"/>
    <n v="5.9846988673768005"/>
    <n v="1199"/>
    <n v="0"/>
  </r>
  <r>
    <x v="0"/>
    <x v="0"/>
    <s v="NOVACF3003"/>
    <n v="1"/>
    <s v=""/>
    <n v="0"/>
    <s v="NOVACF3003GY"/>
    <n v="1"/>
    <s v=""/>
    <n v="0"/>
    <x v="0"/>
    <x v="2"/>
    <x v="15"/>
    <x v="24"/>
    <x v="26"/>
    <x v="0"/>
    <s v="NOVACF3003"/>
    <s v="NOVACF3003GY"/>
    <x v="1"/>
    <n v="1200"/>
    <x v="120"/>
    <x v="334"/>
    <n v="6.6789593335920374"/>
    <n v="1200"/>
    <n v="0"/>
  </r>
  <r>
    <x v="0"/>
    <x v="0"/>
    <s v="NOVACF3004"/>
    <n v="1"/>
    <s v=""/>
    <n v="0"/>
    <s v="NOVACF3004NY"/>
    <n v="1"/>
    <s v=""/>
    <n v="0"/>
    <x v="0"/>
    <x v="2"/>
    <x v="15"/>
    <x v="24"/>
    <x v="26"/>
    <x v="0"/>
    <s v="NOVACF3004"/>
    <s v="NOVACF3004NY"/>
    <x v="1"/>
    <n v="1200"/>
    <x v="120"/>
    <x v="334"/>
    <n v="6.6789593335920374"/>
    <n v="1200"/>
    <n v="0"/>
  </r>
  <r>
    <x v="0"/>
    <x v="0"/>
    <s v="POLBAF3501"/>
    <n v="1"/>
    <s v=""/>
    <n v="0"/>
    <s v="POLBAF3501PK"/>
    <n v="1"/>
    <s v=""/>
    <n v="0"/>
    <x v="0"/>
    <x v="0"/>
    <x v="21"/>
    <x v="6"/>
    <x v="27"/>
    <x v="1"/>
    <s v="POLBAF3501"/>
    <s v="POLBAF3501PK"/>
    <x v="1"/>
    <n v="1000"/>
    <x v="18"/>
    <x v="335"/>
    <n v="4.2480713452658811"/>
    <n v="998"/>
    <n v="0"/>
  </r>
  <r>
    <x v="0"/>
    <x v="0"/>
    <s v="POLBAF3502"/>
    <n v="1"/>
    <s v=""/>
    <n v="0"/>
    <s v="POLBAF3502YE"/>
    <n v="1"/>
    <s v=""/>
    <n v="0"/>
    <x v="0"/>
    <x v="0"/>
    <x v="21"/>
    <x v="6"/>
    <x v="27"/>
    <x v="1"/>
    <s v="POLBAF3502"/>
    <s v="POLBAF3502YE"/>
    <x v="1"/>
    <n v="1000"/>
    <x v="18"/>
    <x v="336"/>
    <n v="3.9802429835992372"/>
    <n v="998"/>
    <n v="0"/>
  </r>
  <r>
    <x v="0"/>
    <x v="0"/>
    <s v="ELSBPF3501"/>
    <n v="1"/>
    <s v=""/>
    <n v="0"/>
    <s v="ELSBPF3501BL"/>
    <n v="1"/>
    <s v=""/>
    <n v="0"/>
    <x v="0"/>
    <x v="3"/>
    <x v="6"/>
    <x v="25"/>
    <x v="28"/>
    <x v="1"/>
    <s v="ELSBPF3501"/>
    <s v="ELSBPF3501BL"/>
    <x v="1"/>
    <n v="600"/>
    <x v="121"/>
    <x v="337"/>
    <n v="3.7759296434375291"/>
    <n v="600"/>
    <n v="0"/>
  </r>
  <r>
    <x v="0"/>
    <x v="0"/>
    <s v="ELSBPF3502"/>
    <n v="1"/>
    <s v=""/>
    <n v="0"/>
    <s v="ELSBPF3502PK"/>
    <n v="1"/>
    <s v=""/>
    <n v="0"/>
    <x v="0"/>
    <x v="3"/>
    <x v="6"/>
    <x v="25"/>
    <x v="28"/>
    <x v="1"/>
    <s v="ELSBPF3502"/>
    <s v="ELSBPF3502PK"/>
    <x v="1"/>
    <n v="600"/>
    <x v="121"/>
    <x v="337"/>
    <n v="3.7759296434375291"/>
    <n v="600"/>
    <n v="0"/>
  </r>
  <r>
    <x v="0"/>
    <x v="0"/>
    <s v="ELSBPF3503"/>
    <n v="1"/>
    <s v=""/>
    <n v="0"/>
    <s v="ELSBPF3503PP"/>
    <n v="1"/>
    <s v=""/>
    <n v="0"/>
    <x v="0"/>
    <x v="3"/>
    <x v="6"/>
    <x v="25"/>
    <x v="28"/>
    <x v="1"/>
    <s v="ELSBPF3503"/>
    <s v="ELSBPF3503PP"/>
    <x v="1"/>
    <n v="600"/>
    <x v="48"/>
    <x v="338"/>
    <n v="4.1821561338289959"/>
    <n v="600"/>
    <n v="0"/>
  </r>
  <r>
    <x v="0"/>
    <x v="0"/>
    <s v="DPSERF5006"/>
    <n v="1"/>
    <s v=""/>
    <n v="0"/>
    <s v="DPSERF5006BK"/>
    <n v="1"/>
    <s v=""/>
    <n v="0"/>
    <x v="1"/>
    <x v="0"/>
    <x v="13"/>
    <x v="10"/>
    <x v="13"/>
    <x v="0"/>
    <s v="DPSERF5006"/>
    <s v="DPSERF5006BK"/>
    <x v="1"/>
    <n v="800"/>
    <x v="110"/>
    <x v="339"/>
    <n v="8.6835103611645632"/>
    <n v="798"/>
    <n v="0"/>
  </r>
  <r>
    <x v="0"/>
    <x v="0"/>
    <s v="DPSERF5007"/>
    <n v="1"/>
    <s v=""/>
    <n v="0"/>
    <s v="DPSERF5007BL"/>
    <n v="1"/>
    <s v=""/>
    <n v="0"/>
    <x v="1"/>
    <x v="0"/>
    <x v="13"/>
    <x v="10"/>
    <x v="13"/>
    <x v="0"/>
    <s v="DPSERF5007"/>
    <s v="DPSERF5007BL"/>
    <x v="1"/>
    <n v="800"/>
    <x v="110"/>
    <x v="340"/>
    <n v="8.1511815952840507"/>
    <n v="800"/>
    <n v="0"/>
  </r>
  <r>
    <x v="0"/>
    <x v="0"/>
    <s v="SBRBEF5041"/>
    <n v="0.33333333333333331"/>
    <s v=""/>
    <n v="0"/>
    <s v="SBRBEF5041GY"/>
    <n v="1"/>
    <s v=""/>
    <n v="0"/>
    <x v="1"/>
    <x v="0"/>
    <x v="17"/>
    <x v="21"/>
    <x v="19"/>
    <x v="0"/>
    <s v="SBRBEF5041"/>
    <s v="SBRBEF5041GY"/>
    <x v="1"/>
    <n v="1000"/>
    <x v="75"/>
    <x v="341"/>
    <n v="5.8603619990686528"/>
    <n v="1000"/>
    <n v="0"/>
  </r>
  <r>
    <x v="0"/>
    <x v="0"/>
    <s v="SBRBEF5041"/>
    <n v="0.33333333333333331"/>
    <s v=""/>
    <n v="0"/>
    <s v="SBRBEF5041IV"/>
    <n v="1"/>
    <s v=""/>
    <n v="0"/>
    <x v="1"/>
    <x v="0"/>
    <x v="17"/>
    <x v="21"/>
    <x v="19"/>
    <x v="0"/>
    <s v="SBRBEF5041"/>
    <s v="SBRBEF5041IV"/>
    <x v="1"/>
    <n v="800"/>
    <x v="74"/>
    <x v="342"/>
    <n v="5.8603619990686528"/>
    <n v="800"/>
    <n v="0"/>
  </r>
  <r>
    <x v="0"/>
    <x v="0"/>
    <s v="SBRBEF5041"/>
    <n v="0.33333333333333331"/>
    <s v=""/>
    <n v="0"/>
    <s v="SBRBEF5041BG"/>
    <n v="1"/>
    <s v=""/>
    <n v="0"/>
    <x v="1"/>
    <x v="0"/>
    <x v="17"/>
    <x v="21"/>
    <x v="19"/>
    <x v="0"/>
    <s v="SBRBEF5041"/>
    <s v="SBRBEF5041BG"/>
    <x v="1"/>
    <n v="800"/>
    <x v="74"/>
    <x v="342"/>
    <n v="5.8603619990686528"/>
    <n v="799"/>
    <n v="0"/>
  </r>
  <r>
    <x v="0"/>
    <x v="0"/>
    <s v="SBRBEF5042"/>
    <n v="1"/>
    <s v=""/>
    <n v="0"/>
    <s v="SBRBEF5042BK"/>
    <n v="1"/>
    <s v=""/>
    <n v="0"/>
    <x v="1"/>
    <x v="0"/>
    <x v="17"/>
    <x v="21"/>
    <x v="19"/>
    <x v="0"/>
    <s v="SBRBEF5042"/>
    <s v="SBRBEF5042BK"/>
    <x v="1"/>
    <n v="800"/>
    <x v="74"/>
    <x v="343"/>
    <n v="6.0853740531196978"/>
    <n v="800"/>
    <n v="0"/>
  </r>
  <r>
    <x v="0"/>
    <x v="0"/>
    <s v="SBRBEF5043"/>
    <n v="0.33333333333333331"/>
    <s v=""/>
    <n v="0"/>
    <s v="SBRBEF5043NY"/>
    <n v="1"/>
    <s v=""/>
    <n v="0"/>
    <x v="1"/>
    <x v="0"/>
    <x v="17"/>
    <x v="21"/>
    <x v="19"/>
    <x v="0"/>
    <s v="SBRBEF5043"/>
    <s v="SBRBEF5043NY"/>
    <x v="1"/>
    <n v="800"/>
    <x v="74"/>
    <x v="344"/>
    <n v="6.6245785111922233"/>
    <n v="800"/>
    <n v="0"/>
  </r>
  <r>
    <x v="0"/>
    <x v="0"/>
    <s v="SBRBEF5043"/>
    <n v="0.33333333333333331"/>
    <s v=""/>
    <n v="0"/>
    <s v="SBRBEF5043PP"/>
    <n v="1"/>
    <s v=""/>
    <n v="0"/>
    <x v="1"/>
    <x v="0"/>
    <x v="17"/>
    <x v="21"/>
    <x v="19"/>
    <x v="0"/>
    <s v="SBRBEF5043"/>
    <s v="SBRBEF5043PP"/>
    <x v="1"/>
    <n v="800"/>
    <x v="74"/>
    <x v="344"/>
    <n v="6.6245785111922233"/>
    <n v="799"/>
    <n v="0"/>
  </r>
  <r>
    <x v="0"/>
    <x v="0"/>
    <s v="SBRBEF5043"/>
    <n v="0.33333333333333331"/>
    <s v=""/>
    <n v="0"/>
    <s v="SBRBEF5043RE"/>
    <n v="1"/>
    <s v=""/>
    <n v="0"/>
    <x v="1"/>
    <x v="0"/>
    <x v="17"/>
    <x v="21"/>
    <x v="19"/>
    <x v="0"/>
    <s v="SBRBEF5043"/>
    <s v="SBRBEF5043RE"/>
    <x v="1"/>
    <n v="800"/>
    <x v="74"/>
    <x v="344"/>
    <n v="6.6245785111922233"/>
    <n v="798"/>
    <n v="0"/>
  </r>
  <r>
    <x v="0"/>
    <x v="0"/>
    <s v="SBRBEF5044"/>
    <n v="0.5"/>
    <s v=""/>
    <n v="0"/>
    <s v="SBRBEF5044IV"/>
    <n v="1"/>
    <s v=""/>
    <n v="0"/>
    <x v="1"/>
    <x v="0"/>
    <x v="17"/>
    <x v="21"/>
    <x v="19"/>
    <x v="0"/>
    <s v="SBRBEF5044"/>
    <s v="SBRBEF5044IV"/>
    <x v="1"/>
    <n v="600"/>
    <x v="122"/>
    <x v="345"/>
    <n v="6.001788532982828"/>
    <n v="600"/>
    <n v="0"/>
  </r>
  <r>
    <x v="0"/>
    <x v="0"/>
    <s v="SBRBEF5044"/>
    <n v="0.5"/>
    <s v=""/>
    <n v="0"/>
    <s v="SBRBEF5044KH"/>
    <n v="1"/>
    <s v=""/>
    <n v="0"/>
    <x v="1"/>
    <x v="0"/>
    <x v="17"/>
    <x v="21"/>
    <x v="19"/>
    <x v="0"/>
    <s v="SBRBEF5044"/>
    <s v="SBRBEF5044KH"/>
    <x v="1"/>
    <n v="600"/>
    <x v="122"/>
    <x v="345"/>
    <n v="6.001788532982828"/>
    <n v="600"/>
    <n v="0"/>
  </r>
  <r>
    <x v="0"/>
    <x v="0"/>
    <s v="SBREBF5046"/>
    <n v="1"/>
    <s v=""/>
    <n v="0"/>
    <s v="SBREBF5046GY"/>
    <n v="1"/>
    <s v=""/>
    <n v="0"/>
    <x v="1"/>
    <x v="0"/>
    <x v="17"/>
    <x v="8"/>
    <x v="19"/>
    <x v="0"/>
    <s v="SBREBF5046"/>
    <s v="SBREBF5046GY"/>
    <x v="1"/>
    <n v="800"/>
    <x v="70"/>
    <x v="346"/>
    <n v="5.4520063772897451"/>
    <n v="799"/>
    <n v="0"/>
  </r>
  <r>
    <x v="0"/>
    <x v="0"/>
    <s v="SBREBF5047"/>
    <n v="0.5"/>
    <s v=""/>
    <n v="0"/>
    <s v="SBREBF5047BG"/>
    <n v="1"/>
    <s v=""/>
    <n v="0"/>
    <x v="1"/>
    <x v="0"/>
    <x v="17"/>
    <x v="8"/>
    <x v="19"/>
    <x v="0"/>
    <s v="SBREBF5047"/>
    <s v="SBREBF5047BG"/>
    <x v="1"/>
    <n v="600"/>
    <x v="122"/>
    <x v="347"/>
    <n v="5.5880823765452883"/>
    <n v="600"/>
    <n v="0"/>
  </r>
  <r>
    <x v="0"/>
    <x v="0"/>
    <s v="SBREBF5047"/>
    <n v="0.5"/>
    <s v=""/>
    <n v="0"/>
    <s v="SBREBF5047GY"/>
    <n v="1"/>
    <s v=""/>
    <n v="0"/>
    <x v="1"/>
    <x v="0"/>
    <x v="17"/>
    <x v="8"/>
    <x v="19"/>
    <x v="0"/>
    <s v="SBREBF5047"/>
    <s v="SBREBF5047GY"/>
    <x v="1"/>
    <n v="600"/>
    <x v="122"/>
    <x v="347"/>
    <n v="5.5880823765452883"/>
    <n v="598"/>
    <n v="0"/>
  </r>
  <r>
    <x v="0"/>
    <x v="0"/>
    <s v="SBREBF5049"/>
    <n v="0.25"/>
    <s v=""/>
    <n v="0"/>
    <s v="SBREBF5049BG"/>
    <n v="1"/>
    <s v=""/>
    <n v="0"/>
    <x v="1"/>
    <x v="0"/>
    <x v="17"/>
    <x v="8"/>
    <x v="19"/>
    <x v="0"/>
    <s v="SBREBF5049"/>
    <s v="SBREBF5049BG"/>
    <x v="1"/>
    <n v="800"/>
    <x v="76"/>
    <x v="348"/>
    <n v="6.0280279186103698"/>
    <n v="800"/>
    <n v="0"/>
  </r>
  <r>
    <x v="0"/>
    <x v="0"/>
    <s v="SBREBF5549"/>
    <n v="0.5"/>
    <s v=""/>
    <n v="0"/>
    <s v="SBREBF5549BG"/>
    <n v="1"/>
    <s v=""/>
    <n v="0"/>
    <x v="1"/>
    <x v="0"/>
    <x v="17"/>
    <x v="8"/>
    <x v="19"/>
    <x v="1"/>
    <s v="SBREBF5549"/>
    <s v="SBREBF5549BG"/>
    <x v="1"/>
    <n v="800"/>
    <x v="123"/>
    <x v="349"/>
    <n v="6.0265211780363286"/>
    <n v="800"/>
    <n v="0"/>
  </r>
  <r>
    <x v="0"/>
    <x v="0"/>
    <s v="SBREBF5049"/>
    <n v="0.25"/>
    <s v=""/>
    <n v="0"/>
    <s v="SBREBF5049GY"/>
    <n v="1"/>
    <s v=""/>
    <n v="0"/>
    <x v="1"/>
    <x v="0"/>
    <x v="17"/>
    <x v="8"/>
    <x v="19"/>
    <x v="0"/>
    <s v="SBREBF5049"/>
    <s v="SBREBF5049GY"/>
    <x v="1"/>
    <n v="800"/>
    <x v="76"/>
    <x v="348"/>
    <n v="6.0280279186103698"/>
    <n v="800"/>
    <n v="0"/>
  </r>
  <r>
    <x v="0"/>
    <x v="0"/>
    <s v="SBREBF5049"/>
    <n v="0.25"/>
    <s v=""/>
    <n v="0"/>
    <s v="SBREBF5049RE"/>
    <n v="1"/>
    <s v=""/>
    <n v="0"/>
    <x v="1"/>
    <x v="0"/>
    <x v="17"/>
    <x v="8"/>
    <x v="19"/>
    <x v="0"/>
    <s v="SBREBF5049"/>
    <s v="SBREBF5049RE"/>
    <x v="1"/>
    <n v="800"/>
    <x v="76"/>
    <x v="348"/>
    <n v="6.0280279186103698"/>
    <n v="799"/>
    <n v="0"/>
  </r>
  <r>
    <x v="0"/>
    <x v="0"/>
    <s v="SBREBF5549"/>
    <n v="0.5"/>
    <s v=""/>
    <n v="0"/>
    <s v="SBREBF5549RE"/>
    <n v="1"/>
    <s v=""/>
    <n v="0"/>
    <x v="1"/>
    <x v="0"/>
    <x v="17"/>
    <x v="8"/>
    <x v="19"/>
    <x v="1"/>
    <s v="SBREBF5549"/>
    <s v="SBREBF5549RE"/>
    <x v="1"/>
    <n v="800"/>
    <x v="123"/>
    <x v="349"/>
    <n v="6.0265211780363286"/>
    <n v="800"/>
    <n v="0"/>
  </r>
  <r>
    <x v="0"/>
    <x v="0"/>
    <s v="SBREBF5049"/>
    <n v="0.25"/>
    <s v=""/>
    <n v="0"/>
    <s v="SBREBF5049BK"/>
    <n v="1"/>
    <s v=""/>
    <n v="0"/>
    <x v="1"/>
    <x v="0"/>
    <x v="17"/>
    <x v="8"/>
    <x v="19"/>
    <x v="0"/>
    <s v="SBREBF5049"/>
    <s v="SBREBF5049BK"/>
    <x v="1"/>
    <n v="800"/>
    <x v="76"/>
    <x v="348"/>
    <n v="6.0280279186103698"/>
    <n v="800"/>
    <n v="0"/>
  </r>
  <r>
    <x v="0"/>
    <x v="0"/>
    <s v="SBREBF5045"/>
    <n v="0.33333333333333331"/>
    <s v=""/>
    <n v="0"/>
    <s v="SBREBF5045BG"/>
    <n v="1"/>
    <s v=""/>
    <n v="0"/>
    <x v="1"/>
    <x v="0"/>
    <x v="17"/>
    <x v="8"/>
    <x v="19"/>
    <x v="0"/>
    <s v="SBREBF5045"/>
    <s v="SBREBF5045BG"/>
    <x v="1"/>
    <n v="600"/>
    <x v="122"/>
    <x v="350"/>
    <n v="4.8056303942588201"/>
    <n v="600"/>
    <n v="0"/>
  </r>
  <r>
    <x v="0"/>
    <x v="0"/>
    <s v="SBREBF5045"/>
    <n v="0.33333333333333331"/>
    <s v=""/>
    <n v="0"/>
    <s v="SBREBF5045KH"/>
    <n v="1"/>
    <s v=""/>
    <n v="0"/>
    <x v="1"/>
    <x v="0"/>
    <x v="17"/>
    <x v="8"/>
    <x v="19"/>
    <x v="0"/>
    <s v="SBREBF5045"/>
    <s v="SBREBF5045KH"/>
    <x v="1"/>
    <n v="600"/>
    <x v="122"/>
    <x v="350"/>
    <n v="4.8056303942588201"/>
    <n v="600"/>
    <n v="0"/>
  </r>
  <r>
    <x v="0"/>
    <x v="0"/>
    <s v="SBREBF5045"/>
    <n v="0.33333333333333331"/>
    <s v=""/>
    <n v="0"/>
    <s v="SBREBF5045NY"/>
    <n v="1"/>
    <s v=""/>
    <n v="0"/>
    <x v="1"/>
    <x v="0"/>
    <x v="17"/>
    <x v="8"/>
    <x v="19"/>
    <x v="0"/>
    <s v="SBREBF5045"/>
    <s v="SBREBF5045NY"/>
    <x v="1"/>
    <n v="600"/>
    <x v="122"/>
    <x v="350"/>
    <n v="4.8056303942588201"/>
    <n v="600"/>
    <n v="0"/>
  </r>
  <r>
    <x v="0"/>
    <x v="0"/>
    <s v="SBREBF5048"/>
    <n v="0.33333333333333331"/>
    <s v=""/>
    <n v="0"/>
    <s v="SBREBF5048BK"/>
    <n v="1"/>
    <s v=""/>
    <n v="0"/>
    <x v="1"/>
    <x v="0"/>
    <x v="17"/>
    <x v="8"/>
    <x v="19"/>
    <x v="0"/>
    <s v="SBREBF5048"/>
    <s v="SBREBF5048BK"/>
    <x v="1"/>
    <n v="600"/>
    <x v="122"/>
    <x v="351"/>
    <n v="4.2308679288813549"/>
    <n v="590"/>
    <n v="0"/>
  </r>
  <r>
    <x v="0"/>
    <x v="0"/>
    <s v="SBREBF5048"/>
    <n v="0.33333333333333331"/>
    <s v=""/>
    <n v="0"/>
    <s v="SBREBF5048GY"/>
    <n v="1"/>
    <s v=""/>
    <n v="0"/>
    <x v="1"/>
    <x v="0"/>
    <x v="17"/>
    <x v="8"/>
    <x v="19"/>
    <x v="0"/>
    <s v="SBREBF5048"/>
    <s v="SBREBF5048GY"/>
    <x v="1"/>
    <n v="600"/>
    <x v="122"/>
    <x v="351"/>
    <n v="4.2308679288813549"/>
    <n v="594"/>
    <n v="0"/>
  </r>
  <r>
    <x v="0"/>
    <x v="0"/>
    <s v="SBREBF5048"/>
    <n v="0.33333333333333331"/>
    <s v=""/>
    <n v="0"/>
    <s v="SBREBF5048RE"/>
    <n v="1"/>
    <s v=""/>
    <n v="0"/>
    <x v="1"/>
    <x v="0"/>
    <x v="17"/>
    <x v="8"/>
    <x v="19"/>
    <x v="0"/>
    <s v="SBREBF5048"/>
    <s v="SBREBF5048RE"/>
    <x v="1"/>
    <n v="600"/>
    <x v="122"/>
    <x v="351"/>
    <n v="4.2308679288813549"/>
    <n v="593"/>
    <n v="0"/>
  </r>
  <r>
    <x v="0"/>
    <x v="0"/>
    <s v="SBREBF5050"/>
    <n v="1"/>
    <s v=""/>
    <n v="0"/>
    <s v="SBREBF5050MT"/>
    <n v="1"/>
    <s v=""/>
    <n v="0"/>
    <x v="1"/>
    <x v="0"/>
    <x v="17"/>
    <x v="8"/>
    <x v="19"/>
    <x v="0"/>
    <s v="SBREBF5050"/>
    <s v="SBREBF5050MT"/>
    <x v="1"/>
    <n v="600"/>
    <x v="122"/>
    <x v="352"/>
    <n v="4.6078247446771385"/>
    <n v="575"/>
    <n v="0"/>
  </r>
  <r>
    <x v="0"/>
    <x v="0"/>
    <s v="SBREBF5051"/>
    <n v="1"/>
    <s v=""/>
    <n v="0"/>
    <s v="SBREBF5051WH"/>
    <n v="1"/>
    <s v=""/>
    <n v="0"/>
    <x v="1"/>
    <x v="0"/>
    <x v="17"/>
    <x v="8"/>
    <x v="19"/>
    <x v="0"/>
    <s v="SBREBF5051"/>
    <s v="SBREBF5051WH"/>
    <x v="1"/>
    <n v="600"/>
    <x v="122"/>
    <x v="353"/>
    <n v="5.6237231135823356"/>
    <n v="599"/>
    <n v="0"/>
  </r>
  <r>
    <x v="0"/>
    <x v="0"/>
    <s v="SBREBF5551"/>
    <n v="0.5"/>
    <s v=""/>
    <n v="0"/>
    <s v="SBREBF5551WH"/>
    <n v="1"/>
    <s v=""/>
    <n v="0"/>
    <x v="1"/>
    <x v="0"/>
    <x v="17"/>
    <x v="8"/>
    <x v="19"/>
    <x v="1"/>
    <s v="SBREBF5551"/>
    <s v="SBREBF5551WH"/>
    <x v="1"/>
    <n v="600"/>
    <x v="3"/>
    <x v="353"/>
    <n v="5.1646436757388789"/>
    <n v="597"/>
    <n v="0"/>
  </r>
  <r>
    <x v="0"/>
    <x v="0"/>
    <s v="SBREBF5551"/>
    <n v="0.5"/>
    <s v=""/>
    <n v="0"/>
    <s v="SBREBF5551YE"/>
    <n v="1"/>
    <s v=""/>
    <n v="0"/>
    <x v="1"/>
    <x v="0"/>
    <x v="17"/>
    <x v="8"/>
    <x v="19"/>
    <x v="1"/>
    <s v="SBREBF5551"/>
    <s v="SBREBF5551YE"/>
    <x v="1"/>
    <n v="600"/>
    <x v="3"/>
    <x v="353"/>
    <n v="5.1646436757388789"/>
    <n v="600"/>
    <n v="0"/>
  </r>
  <r>
    <x v="0"/>
    <x v="0"/>
    <s v="SBRBEF5052"/>
    <n v="0.33333333333333331"/>
    <s v=""/>
    <n v="0"/>
    <s v="SBRBEF5052NY"/>
    <n v="1"/>
    <s v=""/>
    <n v="0"/>
    <x v="1"/>
    <x v="0"/>
    <x v="17"/>
    <x v="21"/>
    <x v="19"/>
    <x v="0"/>
    <s v="SBRBEF5052"/>
    <s v="SBRBEF5052NY"/>
    <x v="1"/>
    <n v="800"/>
    <x v="124"/>
    <x v="354"/>
    <n v="8.7957245741989727"/>
    <n v="800"/>
    <n v="0"/>
  </r>
  <r>
    <x v="0"/>
    <x v="0"/>
    <s v="SBRBEF5052"/>
    <n v="0.33333333333333331"/>
    <s v=""/>
    <n v="0"/>
    <s v="SBRBEF5052BU"/>
    <n v="1"/>
    <s v=""/>
    <n v="0"/>
    <x v="1"/>
    <x v="0"/>
    <x v="17"/>
    <x v="21"/>
    <x v="19"/>
    <x v="0"/>
    <s v="SBRBEF5052"/>
    <s v="SBRBEF5052BU"/>
    <x v="1"/>
    <n v="800"/>
    <x v="124"/>
    <x v="354"/>
    <n v="8.7957245741989727"/>
    <n v="800"/>
    <n v="0"/>
  </r>
  <r>
    <x v="0"/>
    <x v="0"/>
    <s v="SBRBEF5052"/>
    <n v="0.33333333333333331"/>
    <s v=""/>
    <n v="0"/>
    <s v="SBRBEF5052GY"/>
    <n v="1"/>
    <s v=""/>
    <n v="0"/>
    <x v="1"/>
    <x v="0"/>
    <x v="17"/>
    <x v="21"/>
    <x v="19"/>
    <x v="0"/>
    <s v="SBRBEF5052"/>
    <s v="SBRBEF5052GY"/>
    <x v="1"/>
    <n v="800"/>
    <x v="124"/>
    <x v="354"/>
    <n v="8.7957245741989727"/>
    <n v="800"/>
    <n v="0"/>
  </r>
  <r>
    <x v="0"/>
    <x v="0"/>
    <s v="SBRBEF5053"/>
    <n v="0.5"/>
    <s v=""/>
    <n v="0"/>
    <s v="SBRBEF5053PK"/>
    <n v="1"/>
    <s v=""/>
    <n v="0"/>
    <x v="1"/>
    <x v="0"/>
    <x v="17"/>
    <x v="21"/>
    <x v="19"/>
    <x v="0"/>
    <s v="SBRBEF5053"/>
    <s v="SBRBEF5053PK"/>
    <x v="1"/>
    <n v="800"/>
    <x v="124"/>
    <x v="355"/>
    <n v="8.2282584726377479"/>
    <n v="799"/>
    <n v="0"/>
  </r>
  <r>
    <x v="0"/>
    <x v="0"/>
    <s v="SBRBEF5053"/>
    <n v="0.5"/>
    <s v=""/>
    <n v="0"/>
    <s v="SBRBEF5053MT"/>
    <n v="1"/>
    <s v=""/>
    <n v="0"/>
    <x v="1"/>
    <x v="0"/>
    <x v="17"/>
    <x v="21"/>
    <x v="19"/>
    <x v="0"/>
    <s v="SBRBEF5053"/>
    <s v="SBRBEF5053MT"/>
    <x v="1"/>
    <n v="800"/>
    <x v="124"/>
    <x v="355"/>
    <n v="8.2282584726377479"/>
    <n v="800"/>
    <n v="0"/>
  </r>
  <r>
    <x v="0"/>
    <x v="0"/>
    <s v="SBREBF5054"/>
    <n v="0.33333333333333331"/>
    <s v=""/>
    <n v="0"/>
    <s v="SBREBF5054PP"/>
    <n v="1"/>
    <s v=""/>
    <n v="0"/>
    <x v="1"/>
    <x v="0"/>
    <x v="17"/>
    <x v="8"/>
    <x v="19"/>
    <x v="0"/>
    <s v="SBREBF5054"/>
    <s v="SBREBF5054PP"/>
    <x v="1"/>
    <n v="1000"/>
    <x v="75"/>
    <x v="356"/>
    <n v="6.178859933800644"/>
    <n v="1000"/>
    <n v="0"/>
  </r>
  <r>
    <x v="0"/>
    <x v="0"/>
    <s v="SBREBF5054"/>
    <n v="0.33333333333333331"/>
    <s v=""/>
    <n v="0"/>
    <s v="SBREBF5054BK"/>
    <n v="1"/>
    <s v=""/>
    <n v="0"/>
    <x v="1"/>
    <x v="0"/>
    <x v="17"/>
    <x v="8"/>
    <x v="19"/>
    <x v="0"/>
    <s v="SBREBF5054"/>
    <s v="SBREBF5054BK"/>
    <x v="1"/>
    <n v="1000"/>
    <x v="75"/>
    <x v="356"/>
    <n v="6.178859933800644"/>
    <n v="997"/>
    <n v="0"/>
  </r>
  <r>
    <x v="0"/>
    <x v="0"/>
    <s v="SBREBF5054"/>
    <n v="0.33333333333333331"/>
    <s v=""/>
    <n v="0"/>
    <s v="SBREBF5054RE"/>
    <n v="1"/>
    <s v=""/>
    <n v="0"/>
    <x v="1"/>
    <x v="0"/>
    <x v="17"/>
    <x v="8"/>
    <x v="19"/>
    <x v="0"/>
    <s v="SBREBF5054"/>
    <s v="SBREBF5054RE"/>
    <x v="1"/>
    <n v="1000"/>
    <x v="75"/>
    <x v="356"/>
    <n v="6.178859933800644"/>
    <n v="1001"/>
    <n v="0"/>
  </r>
  <r>
    <x v="0"/>
    <x v="0"/>
    <s v="SBREBF5554"/>
    <n v="0.33333333333333331"/>
    <s v=""/>
    <n v="0"/>
    <s v="SBREBF5554PP"/>
    <n v="1"/>
    <s v=""/>
    <n v="0"/>
    <x v="1"/>
    <x v="0"/>
    <x v="17"/>
    <x v="8"/>
    <x v="19"/>
    <x v="1"/>
    <s v="SBREBF5554"/>
    <s v="SBREBF5554PP"/>
    <x v="1"/>
    <n v="800"/>
    <x v="124"/>
    <x v="357"/>
    <n v="5.545130709821092"/>
    <n v="799"/>
    <n v="0"/>
  </r>
  <r>
    <x v="0"/>
    <x v="0"/>
    <s v="SBREBF5554"/>
    <n v="0.33333333333333331"/>
    <s v=""/>
    <n v="0"/>
    <s v="SBREBF5554BK"/>
    <n v="1"/>
    <s v=""/>
    <n v="0"/>
    <x v="1"/>
    <x v="0"/>
    <x v="17"/>
    <x v="8"/>
    <x v="19"/>
    <x v="1"/>
    <s v="SBREBF5554"/>
    <s v="SBREBF5554BK"/>
    <x v="1"/>
    <n v="800"/>
    <x v="124"/>
    <x v="357"/>
    <n v="5.545130709821092"/>
    <n v="800"/>
    <n v="0"/>
  </r>
  <r>
    <x v="0"/>
    <x v="0"/>
    <s v="SBREBF5554"/>
    <n v="0.33333333333333331"/>
    <s v=""/>
    <n v="0"/>
    <s v="SBREBF5554RE"/>
    <n v="1"/>
    <s v=""/>
    <n v="0"/>
    <x v="1"/>
    <x v="0"/>
    <x v="17"/>
    <x v="8"/>
    <x v="19"/>
    <x v="1"/>
    <s v="SBREBF5554"/>
    <s v="SBREBF5554RE"/>
    <x v="1"/>
    <n v="800"/>
    <x v="124"/>
    <x v="357"/>
    <n v="5.545130709821092"/>
    <n v="798"/>
    <n v="0"/>
  </r>
  <r>
    <x v="0"/>
    <x v="0"/>
    <s v="PNYTLF4501"/>
    <n v="1"/>
    <s v=""/>
    <n v="0"/>
    <s v="PNYTLF4501NY"/>
    <n v="1"/>
    <s v=""/>
    <n v="0"/>
    <x v="2"/>
    <x v="1"/>
    <x v="14"/>
    <x v="13"/>
    <x v="16"/>
    <x v="1"/>
    <s v="PNYTLF4501"/>
    <s v="PNYTLF4501NY"/>
    <x v="1"/>
    <n v="1200"/>
    <x v="53"/>
    <x v="358"/>
    <n v="4.1683265224284991"/>
    <n v="1247"/>
    <n v="0"/>
  </r>
  <r>
    <x v="0"/>
    <x v="0"/>
    <s v="PNYHPF5506"/>
    <n v="1"/>
    <s v=""/>
    <n v="0"/>
    <s v="PNYHPF5506BK"/>
    <n v="1"/>
    <s v=""/>
    <n v="0"/>
    <x v="1"/>
    <x v="1"/>
    <x v="14"/>
    <x v="17"/>
    <x v="16"/>
    <x v="1"/>
    <s v="PNYHPF5506"/>
    <s v="PNYHPF5506BK"/>
    <x v="1"/>
    <n v="1000"/>
    <x v="62"/>
    <x v="359"/>
    <n v="4.2859389745202892"/>
    <n v="1043"/>
    <n v="0"/>
  </r>
  <r>
    <x v="0"/>
    <x v="0"/>
    <s v="PNYTLF5508"/>
    <n v="0.5"/>
    <s v=""/>
    <n v="0"/>
    <s v="PNYTLF5508GY"/>
    <n v="1"/>
    <s v=""/>
    <n v="0"/>
    <x v="1"/>
    <x v="1"/>
    <x v="14"/>
    <x v="13"/>
    <x v="16"/>
    <x v="1"/>
    <s v="PNYTLF5508"/>
    <s v="PNYTLF5508GY"/>
    <x v="1"/>
    <n v="1200"/>
    <x v="93"/>
    <x v="360"/>
    <n v="3.9594764229389914"/>
    <n v="1268"/>
    <n v="0"/>
  </r>
  <r>
    <x v="0"/>
    <x v="0"/>
    <s v="PNYTLF5508"/>
    <n v="0.5"/>
    <s v=""/>
    <n v="0"/>
    <s v="PNYTLF5508BK"/>
    <n v="1"/>
    <s v=""/>
    <n v="0"/>
    <x v="1"/>
    <x v="1"/>
    <x v="14"/>
    <x v="13"/>
    <x v="16"/>
    <x v="1"/>
    <s v="PNYTLF5508"/>
    <s v="PNYTLF5508BK"/>
    <x v="1"/>
    <n v="1200"/>
    <x v="93"/>
    <x v="361"/>
    <n v="4.1295817260382819"/>
    <n v="1243"/>
    <n v="0"/>
  </r>
  <r>
    <x v="0"/>
    <x v="0"/>
    <s v="PNYPTF5508"/>
    <n v="1"/>
    <s v=""/>
    <n v="0"/>
    <s v="PNYPTF5508BK"/>
    <n v="1"/>
    <s v=""/>
    <n v="0"/>
    <x v="1"/>
    <x v="1"/>
    <x v="14"/>
    <x v="15"/>
    <x v="16"/>
    <x v="1"/>
    <s v="PNYPTF5508"/>
    <s v="PNYPTF5508BK"/>
    <x v="1"/>
    <n v="1000"/>
    <x v="54"/>
    <x v="362"/>
    <n v="3.80283061768055"/>
    <n v="969"/>
    <n v="0"/>
  </r>
  <r>
    <x v="0"/>
    <x v="0"/>
    <s v="PNYTHF5505"/>
    <n v="1"/>
    <s v=""/>
    <n v="0"/>
    <s v="PNYTHF5505BK"/>
    <n v="1"/>
    <s v=""/>
    <n v="0"/>
    <x v="1"/>
    <x v="1"/>
    <x v="14"/>
    <x v="18"/>
    <x v="16"/>
    <x v="1"/>
    <s v="PNYTHF5505"/>
    <s v="PNYTHF5505BK"/>
    <x v="1"/>
    <n v="1200"/>
    <x v="125"/>
    <x v="363"/>
    <n v="4.1879944160074452"/>
    <n v="1223"/>
    <n v="0"/>
  </r>
  <r>
    <x v="0"/>
    <x v="0"/>
    <s v="SBRSNF3055"/>
    <n v="1"/>
    <s v=""/>
    <n v="0"/>
    <s v="SBRSNF3055BK"/>
    <n v="1"/>
    <s v=""/>
    <n v="0"/>
    <x v="0"/>
    <x v="0"/>
    <x v="17"/>
    <x v="0"/>
    <x v="19"/>
    <x v="0"/>
    <s v="SBRSNF3055"/>
    <s v="SBRSNF3055BK"/>
    <x v="1"/>
    <n v="1200"/>
    <x v="31"/>
    <x v="364"/>
    <n v="8.9769812247435112"/>
    <n v="1200"/>
    <n v="0"/>
  </r>
  <r>
    <x v="0"/>
    <x v="0"/>
    <s v="SBRSNF3056"/>
    <n v="1"/>
    <s v=""/>
    <n v="0"/>
    <s v="SBRSNF3056BK"/>
    <n v="1"/>
    <s v=""/>
    <n v="0"/>
    <x v="0"/>
    <x v="0"/>
    <x v="17"/>
    <x v="0"/>
    <x v="19"/>
    <x v="0"/>
    <s v="SBRSNF3056"/>
    <s v="SBRSNF3056BK"/>
    <x v="1"/>
    <n v="1200"/>
    <x v="31"/>
    <x v="365"/>
    <n v="9.1271947607468142"/>
    <n v="1200"/>
    <n v="0"/>
  </r>
  <r>
    <x v="0"/>
    <x v="0"/>
    <s v="SBRSNF3057"/>
    <n v="1"/>
    <s v=""/>
    <n v="0"/>
    <s v="SBRSNF3057NY"/>
    <n v="1"/>
    <s v=""/>
    <n v="0"/>
    <x v="0"/>
    <x v="0"/>
    <x v="17"/>
    <x v="0"/>
    <x v="19"/>
    <x v="0"/>
    <s v="SBRSNF3057"/>
    <s v="SBRSNF3057NY"/>
    <x v="1"/>
    <n v="1000"/>
    <x v="30"/>
    <x v="366"/>
    <n v="8.9723543816791693"/>
    <n v="1000"/>
    <n v="0"/>
  </r>
  <r>
    <x v="0"/>
    <x v="0"/>
    <s v="SBRSNF3058"/>
    <n v="1"/>
    <s v=""/>
    <n v="0"/>
    <s v="SBRSNF3058GY"/>
    <n v="1"/>
    <s v=""/>
    <n v="0"/>
    <x v="0"/>
    <x v="0"/>
    <x v="17"/>
    <x v="0"/>
    <x v="19"/>
    <x v="0"/>
    <s v="SBRSNF3058"/>
    <s v="SBRSNF3058GY"/>
    <x v="1"/>
    <n v="1000"/>
    <x v="30"/>
    <x v="367"/>
    <n v="8.418443800152879"/>
    <n v="1000"/>
    <n v="0"/>
  </r>
  <r>
    <x v="0"/>
    <x v="0"/>
    <s v="SBRSNF3059"/>
    <n v="1"/>
    <s v=""/>
    <n v="0"/>
    <s v="SBRSNF3059NY"/>
    <n v="1"/>
    <s v=""/>
    <n v="0"/>
    <x v="0"/>
    <x v="0"/>
    <x v="17"/>
    <x v="0"/>
    <x v="19"/>
    <x v="0"/>
    <s v="SBRSNF3059"/>
    <s v="SBRSNF3059NY"/>
    <x v="1"/>
    <n v="1000"/>
    <x v="30"/>
    <x v="368"/>
    <n v="8.8019887017673"/>
    <n v="1000"/>
    <n v="0"/>
  </r>
  <r>
    <x v="0"/>
    <x v="0"/>
    <s v="SBRSNF3060"/>
    <n v="1"/>
    <s v=""/>
    <n v="0"/>
    <s v="SBRSNF3060BK"/>
    <n v="1"/>
    <s v=""/>
    <n v="0"/>
    <x v="0"/>
    <x v="0"/>
    <x v="17"/>
    <x v="0"/>
    <x v="19"/>
    <x v="0"/>
    <s v="SBRSNF3060"/>
    <s v="SBRSNF3060BK"/>
    <x v="1"/>
    <n v="1200"/>
    <x v="31"/>
    <x v="369"/>
    <n v="9.021450603815703"/>
    <n v="1200"/>
    <n v="0"/>
  </r>
  <r>
    <x v="0"/>
    <x v="0"/>
    <s v="SBRSNF3061"/>
    <n v="1"/>
    <s v=""/>
    <n v="0"/>
    <s v="SBRSNF3061BK"/>
    <n v="1"/>
    <s v=""/>
    <n v="0"/>
    <x v="0"/>
    <x v="0"/>
    <x v="17"/>
    <x v="0"/>
    <x v="19"/>
    <x v="0"/>
    <s v="SBRSNF3061"/>
    <s v="SBRSNF3061BK"/>
    <x v="1"/>
    <n v="1000"/>
    <x v="30"/>
    <x v="370"/>
    <n v="7.5297702014531431"/>
    <n v="1000"/>
    <n v="0"/>
  </r>
  <r>
    <x v="0"/>
    <x v="0"/>
    <s v="SBRSNF3062"/>
    <n v="1"/>
    <s v=""/>
    <n v="0"/>
    <s v="SBRSNF3062NY"/>
    <n v="1"/>
    <s v=""/>
    <n v="0"/>
    <x v="0"/>
    <x v="0"/>
    <x v="17"/>
    <x v="0"/>
    <x v="19"/>
    <x v="0"/>
    <s v="SBRSNF3062"/>
    <s v="SBRSNF3062NY"/>
    <x v="1"/>
    <n v="1000"/>
    <x v="30"/>
    <x v="371"/>
    <n v="8.6916162408064395"/>
    <n v="999"/>
    <n v="0"/>
  </r>
  <r>
    <x v="0"/>
    <x v="0"/>
    <s v="SBRSNF3063"/>
    <n v="1"/>
    <s v=""/>
    <n v="0"/>
    <s v="SBRSNF3063NY"/>
    <n v="1"/>
    <s v=""/>
    <n v="0"/>
    <x v="0"/>
    <x v="0"/>
    <x v="17"/>
    <x v="0"/>
    <x v="19"/>
    <x v="0"/>
    <s v="SBRSNF3063"/>
    <s v="SBRSNF3063NY"/>
    <x v="1"/>
    <n v="1000"/>
    <x v="30"/>
    <x v="372"/>
    <n v="8.0679312640942253"/>
    <n v="1000"/>
    <n v="0"/>
  </r>
  <r>
    <x v="0"/>
    <x v="0"/>
    <s v="SBRBAF5064"/>
    <n v="1"/>
    <s v=""/>
    <n v="0"/>
    <s v="SBRBAF5064GY"/>
    <n v="1"/>
    <s v=""/>
    <n v="0"/>
    <x v="1"/>
    <x v="0"/>
    <x v="17"/>
    <x v="6"/>
    <x v="19"/>
    <x v="0"/>
    <s v="SBRBAF5064"/>
    <s v="SBRBAF5064GY"/>
    <x v="1"/>
    <n v="1200"/>
    <x v="40"/>
    <x v="373"/>
    <n v="5.812319026368006"/>
    <n v="1200"/>
    <n v="0"/>
  </r>
  <r>
    <x v="0"/>
    <x v="0"/>
    <s v="SBRBAF3065"/>
    <n v="1"/>
    <s v=""/>
    <n v="0"/>
    <s v="SBRBAF3065BK"/>
    <n v="1"/>
    <s v=""/>
    <n v="0"/>
    <x v="0"/>
    <x v="0"/>
    <x v="17"/>
    <x v="6"/>
    <x v="19"/>
    <x v="0"/>
    <s v="SBRBAF3065"/>
    <s v="SBRBAF3065BK"/>
    <x v="1"/>
    <n v="1200"/>
    <x v="40"/>
    <x v="374"/>
    <n v="6.869158903196114"/>
    <n v="1199"/>
    <n v="0"/>
  </r>
  <r>
    <x v="0"/>
    <x v="0"/>
    <s v="BLLFAF5009"/>
    <n v="1"/>
    <s v=""/>
    <n v="0"/>
    <s v="BLLFAF5009GY"/>
    <n v="1"/>
    <s v=""/>
    <n v="0"/>
    <x v="1"/>
    <x v="0"/>
    <x v="20"/>
    <x v="5"/>
    <x v="25"/>
    <x v="0"/>
    <s v="BLLFAF5009"/>
    <s v="BLLFAF5009GY"/>
    <x v="1"/>
    <n v="400"/>
    <x v="126"/>
    <x v="375"/>
    <n v="5.0073594465070634"/>
    <n v="400"/>
    <n v="0"/>
  </r>
  <r>
    <x v="0"/>
    <x v="0"/>
    <s v="BLLFEF5010"/>
    <n v="1"/>
    <s v=""/>
    <n v="0"/>
    <s v="BLLFEF5010BW"/>
    <n v="1"/>
    <s v=""/>
    <n v="0"/>
    <x v="1"/>
    <x v="0"/>
    <x v="20"/>
    <x v="4"/>
    <x v="25"/>
    <x v="0"/>
    <s v="BLLFEF5010"/>
    <s v="BLLFEF5010BW"/>
    <x v="1"/>
    <n v="400"/>
    <x v="116"/>
    <x v="376"/>
    <n v="4.7364501829779941"/>
    <n v="400"/>
    <n v="0"/>
  </r>
  <r>
    <x v="0"/>
    <x v="0"/>
    <s v="BLLFEF5011"/>
    <n v="1"/>
    <s v=""/>
    <n v="0"/>
    <s v="BLLFEF5011PP"/>
    <n v="1"/>
    <s v=""/>
    <n v="0"/>
    <x v="1"/>
    <x v="0"/>
    <x v="20"/>
    <x v="4"/>
    <x v="25"/>
    <x v="0"/>
    <s v="BLLFEF5011"/>
    <s v="BLLFEF5011PP"/>
    <x v="1"/>
    <n v="400"/>
    <x v="127"/>
    <x v="377"/>
    <n v="5.4380179840384937"/>
    <n v="399"/>
    <n v="0"/>
  </r>
  <r>
    <x v="0"/>
    <x v="0"/>
    <s v="SWBSNF5004"/>
    <n v="1"/>
    <s v=""/>
    <n v="0"/>
    <s v="SWBSNF5004BK"/>
    <n v="1"/>
    <s v=""/>
    <n v="0"/>
    <x v="1"/>
    <x v="0"/>
    <x v="12"/>
    <x v="0"/>
    <x v="12"/>
    <x v="0"/>
    <s v="SWBSNF5004"/>
    <s v="SWBSNF5004BK"/>
    <x v="1"/>
    <n v="1200"/>
    <x v="47"/>
    <x v="378"/>
    <n v="7.3150050160034388"/>
    <n v="1200"/>
    <n v="0"/>
  </r>
  <r>
    <x v="0"/>
    <x v="0"/>
    <s v="SWBSNF5504"/>
    <n v="0.5"/>
    <s v=""/>
    <n v="0"/>
    <s v="SWBSNF5504BK"/>
    <n v="1"/>
    <s v=""/>
    <n v="0"/>
    <x v="1"/>
    <x v="0"/>
    <x v="12"/>
    <x v="0"/>
    <x v="12"/>
    <x v="1"/>
    <s v="SWBSNF5504"/>
    <s v="SWBSNF5504BK"/>
    <x v="1"/>
    <n v="1500"/>
    <x v="29"/>
    <x v="379"/>
    <n v="7.7601620183871001"/>
    <n v="1500"/>
    <n v="0"/>
  </r>
  <r>
    <x v="0"/>
    <x v="0"/>
    <s v="SWBSNF5504"/>
    <n v="0.5"/>
    <s v=""/>
    <n v="0"/>
    <s v="SWBSNF5504PK"/>
    <n v="1"/>
    <s v=""/>
    <n v="0"/>
    <x v="1"/>
    <x v="0"/>
    <x v="12"/>
    <x v="0"/>
    <x v="12"/>
    <x v="1"/>
    <s v="SWBSNF5504"/>
    <s v="SWBSNF5504PK"/>
    <x v="1"/>
    <n v="1500"/>
    <x v="29"/>
    <x v="380"/>
    <n v="6.3730458117192645"/>
    <n v="1500"/>
    <n v="0"/>
  </r>
  <r>
    <x v="0"/>
    <x v="0"/>
    <s v="SWBERF5013"/>
    <n v="1"/>
    <s v=""/>
    <n v="0"/>
    <s v="SWBERF5013BK"/>
    <n v="1"/>
    <s v=""/>
    <n v="0"/>
    <x v="1"/>
    <x v="0"/>
    <x v="12"/>
    <x v="10"/>
    <x v="12"/>
    <x v="0"/>
    <s v="SWBERF5013"/>
    <s v="SWBERF5013BK"/>
    <x v="1"/>
    <n v="1200"/>
    <x v="71"/>
    <x v="381"/>
    <n v="6.7577628368859308"/>
    <n v="1199"/>
    <n v="0"/>
  </r>
  <r>
    <x v="0"/>
    <x v="0"/>
    <s v="SWBERF5514"/>
    <n v="1"/>
    <s v=""/>
    <n v="0"/>
    <s v="SWBERF5514PK"/>
    <n v="1"/>
    <s v=""/>
    <n v="0"/>
    <x v="1"/>
    <x v="0"/>
    <x v="12"/>
    <x v="10"/>
    <x v="12"/>
    <x v="1"/>
    <s v="SWBERF5514"/>
    <s v="SWBERF5514PK"/>
    <x v="1"/>
    <n v="1200"/>
    <x v="33"/>
    <x v="382"/>
    <n v="6.3544674447923848"/>
    <n v="1200"/>
    <n v="0"/>
  </r>
  <r>
    <x v="0"/>
    <x v="0"/>
    <s v="SWBSNF5005"/>
    <n v="1"/>
    <s v=""/>
    <n v="0"/>
    <s v="SWBSNF5005BW"/>
    <n v="1"/>
    <s v=""/>
    <n v="0"/>
    <x v="1"/>
    <x v="0"/>
    <x v="12"/>
    <x v="0"/>
    <x v="12"/>
    <x v="0"/>
    <s v="SWBSNF5005"/>
    <s v="SWBSNF5005BW"/>
    <x v="1"/>
    <n v="1000"/>
    <x v="35"/>
    <x v="383"/>
    <n v="6.7744736809141086"/>
    <n v="940"/>
    <n v="0"/>
  </r>
  <r>
    <x v="0"/>
    <x v="0"/>
    <s v="SWBSNF5505"/>
    <n v="1"/>
    <s v=""/>
    <n v="0"/>
    <s v="SWBSNF5505BW"/>
    <n v="1"/>
    <s v=""/>
    <n v="0"/>
    <x v="1"/>
    <x v="0"/>
    <x v="12"/>
    <x v="0"/>
    <x v="12"/>
    <x v="1"/>
    <s v="SWBSNF5505"/>
    <s v="SWBSNF5505BW"/>
    <x v="1"/>
    <n v="1000"/>
    <x v="21"/>
    <x v="384"/>
    <n v="6.108593844083253"/>
    <n v="935"/>
    <n v="0"/>
  </r>
  <r>
    <x v="0"/>
    <x v="0"/>
    <s v="SWBSNF5006"/>
    <n v="1"/>
    <s v=""/>
    <n v="0"/>
    <s v="SWBSNF5006PK"/>
    <n v="1"/>
    <s v=""/>
    <n v="0"/>
    <x v="1"/>
    <x v="0"/>
    <x v="12"/>
    <x v="0"/>
    <x v="12"/>
    <x v="0"/>
    <s v="SWBSNF5006"/>
    <s v="SWBSNF5006PK"/>
    <x v="1"/>
    <n v="1000"/>
    <x v="35"/>
    <x v="383"/>
    <n v="6.7744736809141086"/>
    <n v="954"/>
    <n v="0"/>
  </r>
  <r>
    <x v="0"/>
    <x v="0"/>
    <s v="SWBSNF5506"/>
    <n v="1"/>
    <s v=""/>
    <n v="0"/>
    <s v="SWBSNF5506PK"/>
    <n v="1"/>
    <s v=""/>
    <n v="0"/>
    <x v="1"/>
    <x v="0"/>
    <x v="12"/>
    <x v="0"/>
    <x v="12"/>
    <x v="1"/>
    <s v="SWBSNF5506"/>
    <s v="SWBSNF5506PK"/>
    <x v="1"/>
    <n v="1000"/>
    <x v="21"/>
    <x v="384"/>
    <n v="6.108593844083253"/>
    <n v="796"/>
    <n v="0"/>
  </r>
  <r>
    <x v="0"/>
    <x v="0"/>
    <s v="SWBERF5015"/>
    <n v="1"/>
    <s v=""/>
    <n v="0"/>
    <s v="SWBERF5015PK"/>
    <n v="1"/>
    <s v=""/>
    <n v="0"/>
    <x v="1"/>
    <x v="0"/>
    <x v="12"/>
    <x v="10"/>
    <x v="12"/>
    <x v="0"/>
    <s v="SWBERF5015"/>
    <s v="SWBERF5015PK"/>
    <x v="1"/>
    <n v="800"/>
    <x v="108"/>
    <x v="385"/>
    <n v="5.2108895580220613"/>
    <n v="741"/>
    <n v="0"/>
  </r>
  <r>
    <x v="0"/>
    <x v="0"/>
    <s v="SWBERF5515"/>
    <n v="1"/>
    <s v=""/>
    <n v="0"/>
    <s v="SWBERF5515PK"/>
    <n v="1"/>
    <s v=""/>
    <n v="0"/>
    <x v="1"/>
    <x v="0"/>
    <x v="12"/>
    <x v="10"/>
    <x v="12"/>
    <x v="1"/>
    <s v="SWBERF5515"/>
    <s v="SWBERF5515PK"/>
    <x v="1"/>
    <n v="1000"/>
    <x v="34"/>
    <x v="386"/>
    <n v="4.7741219673583721"/>
    <n v="916"/>
    <n v="0"/>
  </r>
  <r>
    <x v="0"/>
    <x v="0"/>
    <s v="SWBERF5516"/>
    <n v="1"/>
    <s v=""/>
    <n v="0"/>
    <s v="SWBERF5516PK"/>
    <n v="1"/>
    <s v=""/>
    <n v="0"/>
    <x v="1"/>
    <x v="0"/>
    <x v="12"/>
    <x v="10"/>
    <x v="12"/>
    <x v="1"/>
    <s v="SWBERF5516"/>
    <s v="SWBERF5516PK"/>
    <x v="1"/>
    <n v="800"/>
    <x v="110"/>
    <x v="387"/>
    <n v="5.5318179102562111"/>
    <n v="791"/>
    <n v="0"/>
  </r>
  <r>
    <x v="0"/>
    <x v="0"/>
    <s v="SWBERF5536"/>
    <n v="1"/>
    <s v=""/>
    <n v="0"/>
    <s v="SWBERF5536NY"/>
    <n v="1"/>
    <s v=""/>
    <n v="0"/>
    <x v="1"/>
    <x v="0"/>
    <x v="12"/>
    <x v="10"/>
    <x v="12"/>
    <x v="1"/>
    <s v="SWBERF5536"/>
    <s v="SWBERF5536NY"/>
    <x v="1"/>
    <n v="800"/>
    <x v="110"/>
    <x v="388"/>
    <n v="5.2769278992233399"/>
    <n v="799"/>
    <n v="0"/>
  </r>
  <r>
    <x v="0"/>
    <x v="0"/>
    <s v="SWBSNF5507"/>
    <n v="0.5"/>
    <s v=""/>
    <n v="0"/>
    <s v="SWBSNF5507NY"/>
    <n v="1"/>
    <s v=""/>
    <n v="0"/>
    <x v="1"/>
    <x v="0"/>
    <x v="12"/>
    <x v="0"/>
    <x v="12"/>
    <x v="1"/>
    <s v="SWBSNF5507"/>
    <s v="SWBSNF5507NY"/>
    <x v="1"/>
    <n v="1500"/>
    <x v="29"/>
    <x v="389"/>
    <n v="5.1966198874643075"/>
    <n v="1469"/>
    <n v="0"/>
  </r>
  <r>
    <x v="0"/>
    <x v="0"/>
    <s v="SWBSNF5507"/>
    <n v="0.5"/>
    <s v=""/>
    <n v="0"/>
    <s v="SWBSNF5507PK"/>
    <n v="1"/>
    <s v=""/>
    <n v="0"/>
    <x v="1"/>
    <x v="0"/>
    <x v="12"/>
    <x v="0"/>
    <x v="12"/>
    <x v="1"/>
    <s v="SWBSNF5507"/>
    <s v="SWBSNF5507PK"/>
    <x v="1"/>
    <n v="1500"/>
    <x v="29"/>
    <x v="389"/>
    <n v="5.1966198874643075"/>
    <n v="1500"/>
    <n v="0"/>
  </r>
  <r>
    <x v="0"/>
    <x v="0"/>
    <s v="SWBSNF5508"/>
    <n v="0.5"/>
    <s v=""/>
    <n v="0"/>
    <s v="SWBSNF5508NY"/>
    <n v="1"/>
    <s v=""/>
    <n v="0"/>
    <x v="1"/>
    <x v="0"/>
    <x v="12"/>
    <x v="0"/>
    <x v="12"/>
    <x v="1"/>
    <s v="SWBSNF5508"/>
    <s v="SWBSNF5508NY"/>
    <x v="1"/>
    <n v="1200"/>
    <x v="31"/>
    <x v="390"/>
    <n v="4.9428008106193326"/>
    <n v="1200"/>
    <n v="0"/>
  </r>
  <r>
    <x v="0"/>
    <x v="0"/>
    <s v="SWBSNF5508"/>
    <n v="0.5"/>
    <s v=""/>
    <n v="0"/>
    <s v="SWBSNF5508PK"/>
    <n v="1"/>
    <s v=""/>
    <n v="0"/>
    <x v="1"/>
    <x v="0"/>
    <x v="12"/>
    <x v="0"/>
    <x v="12"/>
    <x v="1"/>
    <s v="SWBSNF5508"/>
    <s v="SWBSNF5508PK"/>
    <x v="1"/>
    <n v="1200"/>
    <x v="31"/>
    <x v="390"/>
    <n v="4.9428008106193326"/>
    <n v="1200"/>
    <n v="0"/>
  </r>
  <r>
    <x v="0"/>
    <x v="0"/>
    <s v="SWBERF5517"/>
    <n v="1"/>
    <s v=""/>
    <n v="0"/>
    <s v="SWBERF5517PK"/>
    <n v="1"/>
    <s v=""/>
    <n v="0"/>
    <x v="1"/>
    <x v="0"/>
    <x v="12"/>
    <x v="10"/>
    <x v="12"/>
    <x v="1"/>
    <s v="SWBERF5517"/>
    <s v="SWBERF5517PK"/>
    <x v="1"/>
    <n v="1200"/>
    <x v="33"/>
    <x v="391"/>
    <n v="5.1135201472693792"/>
    <n v="1179"/>
    <n v="0"/>
  </r>
  <r>
    <x v="1"/>
    <x v="0"/>
    <s v="SMBFIF3402"/>
    <n v="1"/>
    <s v=""/>
    <n v="0"/>
    <s v="SMBFIF3402BK"/>
    <n v="1"/>
    <s v=""/>
    <n v="0"/>
    <x v="0"/>
    <x v="0"/>
    <x v="4"/>
    <x v="1"/>
    <x v="4"/>
    <x v="0"/>
    <s v="SMBFIF3402"/>
    <s v="SMBFIF3402BK"/>
    <x v="1"/>
    <n v="1500"/>
    <x v="41"/>
    <x v="69"/>
    <n v="10.0569880396685"/>
    <n v="1500"/>
    <n v="0"/>
  </r>
  <r>
    <x v="0"/>
    <x v="0"/>
    <s v="SMBFIF3018"/>
    <n v="1"/>
    <s v=""/>
    <n v="0"/>
    <s v="SMBFIF3018BK"/>
    <n v="1"/>
    <s v=""/>
    <n v="0"/>
    <x v="0"/>
    <x v="0"/>
    <x v="4"/>
    <x v="1"/>
    <x v="4"/>
    <x v="0"/>
    <s v="SMBFIF3018"/>
    <s v="SMBFIF3018BK"/>
    <x v="1"/>
    <n v="1200"/>
    <x v="42"/>
    <x v="70"/>
    <n v="9.7442739926686794"/>
    <n v="1200"/>
    <n v="0"/>
  </r>
  <r>
    <x v="0"/>
    <x v="0"/>
    <s v="SMBFIF3019"/>
    <n v="1"/>
    <s v=""/>
    <n v="0"/>
    <s v="SMBFIF3019BK"/>
    <n v="1"/>
    <s v=""/>
    <n v="0"/>
    <x v="0"/>
    <x v="0"/>
    <x v="4"/>
    <x v="1"/>
    <x v="4"/>
    <x v="0"/>
    <s v="SMBFIF3019"/>
    <s v="SMBFIF3019BK"/>
    <x v="1"/>
    <n v="1200"/>
    <x v="42"/>
    <x v="70"/>
    <n v="9.7442739926686794"/>
    <n v="1199"/>
    <n v="0"/>
  </r>
  <r>
    <x v="0"/>
    <x v="0"/>
    <s v="SMBSNF3009"/>
    <n v="0.5"/>
    <s v=""/>
    <n v="0"/>
    <s v="SMBSNF3009BK"/>
    <n v="1"/>
    <s v=""/>
    <n v="0"/>
    <x v="0"/>
    <x v="0"/>
    <x v="4"/>
    <x v="0"/>
    <x v="4"/>
    <x v="0"/>
    <s v="SMBSNF3009"/>
    <s v="SMBSNF3009BK"/>
    <x v="1"/>
    <n v="1500"/>
    <x v="41"/>
    <x v="392"/>
    <n v="8.3213222464938195"/>
    <n v="1496"/>
    <n v="0"/>
  </r>
  <r>
    <x v="0"/>
    <x v="0"/>
    <s v="SMBSNF3009"/>
    <n v="0.5"/>
    <s v=""/>
    <n v="0"/>
    <s v="SMBSNF3009RE"/>
    <n v="1"/>
    <s v=""/>
    <n v="0"/>
    <x v="0"/>
    <x v="0"/>
    <x v="4"/>
    <x v="0"/>
    <x v="4"/>
    <x v="0"/>
    <s v="SMBSNF3009"/>
    <s v="SMBSNF3009RE"/>
    <x v="1"/>
    <n v="1500"/>
    <x v="41"/>
    <x v="393"/>
    <n v="8.2121688299683804"/>
    <n v="1499"/>
    <n v="0"/>
  </r>
  <r>
    <x v="0"/>
    <x v="0"/>
    <s v="SMBERF5018"/>
    <n v="1"/>
    <s v=""/>
    <n v="0"/>
    <s v="SMBERF5018BK"/>
    <n v="1"/>
    <s v=""/>
    <n v="0"/>
    <x v="1"/>
    <x v="0"/>
    <x v="4"/>
    <x v="10"/>
    <x v="4"/>
    <x v="0"/>
    <s v="SMBERF5018"/>
    <s v="SMBERF5018BK"/>
    <x v="1"/>
    <n v="1200"/>
    <x v="43"/>
    <x v="394"/>
    <n v="8.1903144740782707"/>
    <n v="1700"/>
    <n v="0"/>
  </r>
  <r>
    <x v="0"/>
    <x v="0"/>
    <s v="SMBERF5019"/>
    <n v="1"/>
    <s v=""/>
    <n v="0"/>
    <s v="SMBERF5019BK"/>
    <n v="1"/>
    <s v=""/>
    <n v="0"/>
    <x v="1"/>
    <x v="0"/>
    <x v="4"/>
    <x v="10"/>
    <x v="4"/>
    <x v="0"/>
    <s v="SMBERF5019"/>
    <s v="SMBERF5019BK"/>
    <x v="1"/>
    <n v="1200"/>
    <x v="43"/>
    <x v="395"/>
    <n v="8.0202509824050807"/>
    <n v="1200"/>
    <n v="0"/>
  </r>
  <r>
    <x v="0"/>
    <x v="0"/>
    <s v="SMBERF5020"/>
    <n v="1"/>
    <s v=""/>
    <n v="0"/>
    <s v="SMBERF5020BK"/>
    <n v="1"/>
    <s v=""/>
    <n v="0"/>
    <x v="1"/>
    <x v="0"/>
    <x v="4"/>
    <x v="10"/>
    <x v="4"/>
    <x v="0"/>
    <s v="SMBERF5020"/>
    <s v="SMBERF5020BK"/>
    <x v="1"/>
    <n v="1200"/>
    <x v="43"/>
    <x v="395"/>
    <n v="8.0202509824050807"/>
    <n v="1200"/>
    <n v="0"/>
  </r>
  <r>
    <x v="0"/>
    <x v="0"/>
    <s v="SMBERF5021"/>
    <n v="1"/>
    <s v=""/>
    <n v="0"/>
    <s v="SMBERF5021NY"/>
    <n v="1"/>
    <s v=""/>
    <n v="0"/>
    <x v="1"/>
    <x v="0"/>
    <x v="4"/>
    <x v="10"/>
    <x v="4"/>
    <x v="0"/>
    <s v="SMBERF5021"/>
    <s v="SMBERF5021NY"/>
    <x v="1"/>
    <n v="1000"/>
    <x v="35"/>
    <x v="396"/>
    <n v="7.4052049928407015"/>
    <n v="1000"/>
    <n v="0"/>
  </r>
  <r>
    <x v="0"/>
    <x v="0"/>
    <s v="SMBERF5521"/>
    <n v="1"/>
    <s v=""/>
    <n v="0"/>
    <s v="SMBERF5521NY"/>
    <n v="1"/>
    <s v=""/>
    <n v="0"/>
    <x v="1"/>
    <x v="0"/>
    <x v="4"/>
    <x v="10"/>
    <x v="4"/>
    <x v="1"/>
    <s v="SMBERF5521"/>
    <s v="SMBERF5521NY"/>
    <x v="1"/>
    <n v="1000"/>
    <x v="21"/>
    <x v="397"/>
    <n v="6.6620186623536641"/>
    <n v="1000"/>
    <n v="0"/>
  </r>
  <r>
    <x v="0"/>
    <x v="0"/>
    <s v="SMBERF5022"/>
    <n v="1"/>
    <s v=""/>
    <n v="0"/>
    <s v="SMBERF5022RE"/>
    <n v="1"/>
    <s v=""/>
    <n v="0"/>
    <x v="1"/>
    <x v="0"/>
    <x v="4"/>
    <x v="10"/>
    <x v="4"/>
    <x v="0"/>
    <s v="SMBERF5022"/>
    <s v="SMBERF5022RE"/>
    <x v="1"/>
    <n v="1000"/>
    <x v="35"/>
    <x v="396"/>
    <n v="7.4052049928407015"/>
    <n v="998"/>
    <n v="0"/>
  </r>
  <r>
    <x v="0"/>
    <x v="0"/>
    <s v="SMBERF5522"/>
    <n v="1"/>
    <s v=""/>
    <n v="0"/>
    <s v="SMBERF5522RE"/>
    <n v="1"/>
    <s v=""/>
    <n v="0"/>
    <x v="1"/>
    <x v="0"/>
    <x v="4"/>
    <x v="10"/>
    <x v="4"/>
    <x v="1"/>
    <s v="SMBERF5522"/>
    <s v="SMBERF5522RE"/>
    <x v="1"/>
    <n v="1000"/>
    <x v="21"/>
    <x v="397"/>
    <n v="6.6620186623536641"/>
    <n v="1000"/>
    <n v="0"/>
  </r>
  <r>
    <x v="0"/>
    <x v="0"/>
    <s v="SMBERF5023"/>
    <n v="1"/>
    <s v=""/>
    <n v="0"/>
    <s v="SMBERF5023BL"/>
    <n v="1"/>
    <s v=""/>
    <n v="0"/>
    <x v="1"/>
    <x v="0"/>
    <x v="4"/>
    <x v="10"/>
    <x v="4"/>
    <x v="0"/>
    <s v="SMBERF5023"/>
    <s v="SMBERF5023BL"/>
    <x v="1"/>
    <n v="1000"/>
    <x v="35"/>
    <x v="398"/>
    <n v="7.6490246483324817"/>
    <n v="961"/>
    <n v="0"/>
  </r>
  <r>
    <x v="0"/>
    <x v="0"/>
    <s v="SMBERF5024"/>
    <n v="1"/>
    <s v=""/>
    <n v="0"/>
    <s v="SMBERF5024BG"/>
    <n v="1"/>
    <s v=""/>
    <n v="0"/>
    <x v="1"/>
    <x v="0"/>
    <x v="4"/>
    <x v="10"/>
    <x v="4"/>
    <x v="0"/>
    <s v="SMBERF5024"/>
    <s v="SMBERF5024BG"/>
    <x v="1"/>
    <n v="1000"/>
    <x v="35"/>
    <x v="399"/>
    <n v="7.7004663867377614"/>
    <n v="990"/>
    <n v="0"/>
  </r>
  <r>
    <x v="0"/>
    <x v="0"/>
    <s v="SMBERF5025"/>
    <n v="1"/>
    <s v=""/>
    <n v="0"/>
    <s v="SMBERF5025BK"/>
    <n v="1"/>
    <s v=""/>
    <n v="0"/>
    <x v="1"/>
    <x v="0"/>
    <x v="4"/>
    <x v="10"/>
    <x v="4"/>
    <x v="0"/>
    <s v="SMBERF5025"/>
    <s v="SMBERF5025BK"/>
    <x v="1"/>
    <n v="1200"/>
    <x v="43"/>
    <x v="400"/>
    <n v="7.2659055470664775"/>
    <n v="1200"/>
    <n v="0"/>
  </r>
  <r>
    <x v="0"/>
    <x v="0"/>
    <s v="SMBBAF5026"/>
    <n v="1"/>
    <s v=""/>
    <n v="0"/>
    <s v="SMBBAF5026GY"/>
    <n v="1"/>
    <s v=""/>
    <n v="0"/>
    <x v="1"/>
    <x v="0"/>
    <x v="4"/>
    <x v="6"/>
    <x v="4"/>
    <x v="0"/>
    <s v="SMBBAF5026"/>
    <s v="SMBBAF5026GY"/>
    <x v="1"/>
    <n v="1200"/>
    <x v="31"/>
    <x v="401"/>
    <n v="6.2874382014685199"/>
    <n v="1158"/>
    <n v="0"/>
  </r>
  <r>
    <x v="0"/>
    <x v="0"/>
    <s v="SMBBAF5526"/>
    <n v="1"/>
    <s v=""/>
    <n v="0"/>
    <s v="SMBBAF5526GY"/>
    <n v="1"/>
    <s v=""/>
    <n v="0"/>
    <x v="1"/>
    <x v="0"/>
    <x v="4"/>
    <x v="6"/>
    <x v="4"/>
    <x v="1"/>
    <s v="SMBBAF5526"/>
    <s v="SMBBAF5526GY"/>
    <x v="1"/>
    <n v="1200"/>
    <x v="42"/>
    <x v="402"/>
    <n v="5.8462612751266851"/>
    <n v="1175"/>
    <n v="0"/>
  </r>
  <r>
    <x v="0"/>
    <x v="0"/>
    <s v="SMBBAF5027"/>
    <n v="1"/>
    <s v=""/>
    <n v="0"/>
    <s v="SMBBAF5027BK"/>
    <n v="1"/>
    <s v=""/>
    <n v="0"/>
    <x v="1"/>
    <x v="0"/>
    <x v="4"/>
    <x v="6"/>
    <x v="4"/>
    <x v="0"/>
    <s v="SMBBAF5027"/>
    <s v="SMBBAF5027BK"/>
    <x v="1"/>
    <n v="1000"/>
    <x v="18"/>
    <x v="403"/>
    <n v="5.3519561017269224"/>
    <n v="1003"/>
    <n v="0"/>
  </r>
  <r>
    <x v="0"/>
    <x v="0"/>
    <s v="SMBERF5028"/>
    <n v="1"/>
    <s v=""/>
    <n v="0"/>
    <s v="SMBERF5028NY"/>
    <n v="1"/>
    <s v=""/>
    <n v="0"/>
    <x v="1"/>
    <x v="0"/>
    <x v="4"/>
    <x v="10"/>
    <x v="4"/>
    <x v="0"/>
    <s v="SMBERF5028"/>
    <s v="SMBERF5028NY"/>
    <x v="1"/>
    <n v="800"/>
    <x v="32"/>
    <x v="404"/>
    <n v="5.2148267560756905"/>
    <n v="743"/>
    <n v="0"/>
  </r>
  <r>
    <x v="0"/>
    <x v="0"/>
    <s v="SMBERF5029"/>
    <n v="1"/>
    <s v=""/>
    <n v="0"/>
    <s v="SMBERF5029NY"/>
    <n v="1"/>
    <s v=""/>
    <n v="0"/>
    <x v="1"/>
    <x v="0"/>
    <x v="4"/>
    <x v="10"/>
    <x v="4"/>
    <x v="0"/>
    <s v="SMBERF5029"/>
    <s v="SMBERF5029NY"/>
    <x v="1"/>
    <n v="800"/>
    <x v="70"/>
    <x v="405"/>
    <n v="4.9833206224757314"/>
    <n v="742"/>
    <n v="0"/>
  </r>
  <r>
    <x v="0"/>
    <x v="0"/>
    <s v="SMBERF5529"/>
    <n v="1"/>
    <s v=""/>
    <n v="0"/>
    <s v="SMBERF5529NY"/>
    <n v="1"/>
    <s v=""/>
    <n v="0"/>
    <x v="1"/>
    <x v="0"/>
    <x v="4"/>
    <x v="10"/>
    <x v="4"/>
    <x v="1"/>
    <s v="SMBERF5529"/>
    <s v="SMBERF5529NY"/>
    <x v="1"/>
    <n v="1000"/>
    <x v="30"/>
    <x v="406"/>
    <n v="4.6450337466862823"/>
    <n v="896"/>
    <n v="0"/>
  </r>
  <r>
    <x v="0"/>
    <x v="0"/>
    <s v="SMBERF5030"/>
    <n v="1"/>
    <s v=""/>
    <n v="0"/>
    <s v="SMBERF5030GY"/>
    <n v="1"/>
    <s v=""/>
    <n v="0"/>
    <x v="1"/>
    <x v="0"/>
    <x v="4"/>
    <x v="10"/>
    <x v="4"/>
    <x v="0"/>
    <s v="SMBERF5030"/>
    <s v="SMBERF5030GY"/>
    <x v="1"/>
    <n v="1000"/>
    <x v="21"/>
    <x v="407"/>
    <n v="5.4386933283992915"/>
    <n v="991"/>
    <n v="0"/>
  </r>
  <r>
    <x v="0"/>
    <x v="0"/>
    <s v="SMBSNF3010"/>
    <n v="1"/>
    <s v=""/>
    <n v="0"/>
    <s v="SMBSNF3010BK"/>
    <n v="1"/>
    <s v=""/>
    <n v="0"/>
    <x v="0"/>
    <x v="0"/>
    <x v="4"/>
    <x v="0"/>
    <x v="4"/>
    <x v="0"/>
    <s v="SMBSNF3010"/>
    <s v="SMBSNF3010BK"/>
    <x v="1"/>
    <n v="1500"/>
    <x v="41"/>
    <x v="408"/>
    <n v="5.5782396762026449"/>
    <n v="1500"/>
    <n v="0"/>
  </r>
  <r>
    <x v="0"/>
    <x v="0"/>
    <s v="SMBSNF3011"/>
    <n v="1"/>
    <s v=""/>
    <n v="0"/>
    <s v="SMBSNF3011BL"/>
    <n v="1"/>
    <s v=""/>
    <n v="0"/>
    <x v="0"/>
    <x v="0"/>
    <x v="4"/>
    <x v="0"/>
    <x v="4"/>
    <x v="0"/>
    <s v="SMBSNF3011"/>
    <s v="SMBSNF3011BL"/>
    <x v="1"/>
    <n v="1500"/>
    <x v="41"/>
    <x v="409"/>
    <n v="5.4877912597352445"/>
    <n v="1500"/>
    <n v="0"/>
  </r>
  <r>
    <x v="0"/>
    <x v="0"/>
    <s v="SMBFIF5012"/>
    <n v="0.5"/>
    <s v=""/>
    <n v="0"/>
    <s v="SMBFIF5012GY"/>
    <n v="1"/>
    <s v=""/>
    <n v="0"/>
    <x v="1"/>
    <x v="0"/>
    <x v="4"/>
    <x v="1"/>
    <x v="4"/>
    <x v="0"/>
    <s v="SMBFIF5012"/>
    <s v="SMBFIF5012GY"/>
    <x v="1"/>
    <n v="1200"/>
    <x v="42"/>
    <x v="410"/>
    <n v="5.7683858916012971"/>
    <n v="1200"/>
    <n v="0"/>
  </r>
  <r>
    <x v="0"/>
    <x v="0"/>
    <s v="SMBFIF5012"/>
    <n v="0.5"/>
    <s v=""/>
    <n v="0"/>
    <s v="SMBFIF5012NY"/>
    <n v="1"/>
    <s v=""/>
    <n v="0"/>
    <x v="1"/>
    <x v="0"/>
    <x v="4"/>
    <x v="1"/>
    <x v="4"/>
    <x v="0"/>
    <s v="SMBFIF5012"/>
    <s v="SMBFIF5012NY"/>
    <x v="1"/>
    <n v="1200"/>
    <x v="42"/>
    <x v="410"/>
    <n v="5.7683858916012971"/>
    <n v="1191"/>
    <n v="0"/>
  </r>
  <r>
    <x v="0"/>
    <x v="0"/>
    <s v="SMBERF5031"/>
    <n v="1"/>
    <s v=""/>
    <n v="0"/>
    <s v="SMBERF5031GY"/>
    <n v="1"/>
    <s v=""/>
    <n v="0"/>
    <x v="1"/>
    <x v="0"/>
    <x v="4"/>
    <x v="10"/>
    <x v="4"/>
    <x v="0"/>
    <s v="SMBERF5031"/>
    <s v="SMBERF5031GY"/>
    <x v="1"/>
    <n v="1200"/>
    <x v="43"/>
    <x v="411"/>
    <n v="5.5126361582126577"/>
    <n v="1200"/>
    <n v="0"/>
  </r>
  <r>
    <x v="1"/>
    <x v="0"/>
    <s v="SMBFIF3705"/>
    <n v="1"/>
    <s v=""/>
    <n v="0"/>
    <s v="SMBFIF3705BK"/>
    <n v="1"/>
    <s v=""/>
    <n v="0"/>
    <x v="0"/>
    <x v="0"/>
    <x v="4"/>
    <x v="1"/>
    <x v="4"/>
    <x v="1"/>
    <s v="SMBFIF3705"/>
    <s v="SMBFIF3705BK"/>
    <x v="1"/>
    <n v="5000"/>
    <x v="128"/>
    <x v="412"/>
    <n v="5.5340165055259725"/>
    <n v="5000"/>
    <n v="0"/>
  </r>
  <r>
    <x v="0"/>
    <x v="0"/>
    <s v="NAASNF3001"/>
    <n v="1"/>
    <s v=""/>
    <n v="0"/>
    <s v="NAASNF3001GY"/>
    <n v="1"/>
    <s v=""/>
    <n v="0"/>
    <x v="0"/>
    <x v="0"/>
    <x v="22"/>
    <x v="0"/>
    <x v="29"/>
    <x v="0"/>
    <s v="NAASNF3001"/>
    <s v="NAASNF3001GY"/>
    <x v="1"/>
    <n v="800"/>
    <x v="74"/>
    <x v="413"/>
    <n v="5.7918068209663405"/>
    <n v="795"/>
    <n v="0"/>
  </r>
  <r>
    <x v="0"/>
    <x v="0"/>
    <s v="NAASNF3002"/>
    <n v="1"/>
    <s v=""/>
    <n v="0"/>
    <s v="NAASNF3002BL"/>
    <n v="1"/>
    <s v=""/>
    <n v="0"/>
    <x v="0"/>
    <x v="0"/>
    <x v="22"/>
    <x v="0"/>
    <x v="29"/>
    <x v="0"/>
    <s v="NAASNF3002"/>
    <s v="NAASNF3002BL"/>
    <x v="1"/>
    <n v="800"/>
    <x v="74"/>
    <x v="414"/>
    <n v="6.3951200314836676"/>
    <n v="800"/>
    <n v="0"/>
  </r>
  <r>
    <x v="0"/>
    <x v="0"/>
    <s v="NAASNF3003"/>
    <n v="1"/>
    <s v=""/>
    <n v="0"/>
    <s v="NAASNF3003NY"/>
    <n v="1"/>
    <s v=""/>
    <n v="0"/>
    <x v="0"/>
    <x v="0"/>
    <x v="22"/>
    <x v="0"/>
    <x v="29"/>
    <x v="0"/>
    <s v="NAASNF3003"/>
    <s v="NAASNF3003NY"/>
    <x v="1"/>
    <n v="800"/>
    <x v="74"/>
    <x v="415"/>
    <n v="5.6845511390965919"/>
    <n v="800"/>
    <n v="0"/>
  </r>
  <r>
    <x v="1"/>
    <x v="0"/>
    <s v="URBSNF3413"/>
    <n v="1"/>
    <s v=""/>
    <n v="0"/>
    <s v="URBSNF3413BK"/>
    <n v="1"/>
    <s v=""/>
    <n v="0"/>
    <x v="0"/>
    <x v="0"/>
    <x v="10"/>
    <x v="0"/>
    <x v="10"/>
    <x v="0"/>
    <s v="URBSNF3413"/>
    <s v="URBSNF3413BK"/>
    <x v="1"/>
    <n v="3000"/>
    <x v="78"/>
    <x v="416"/>
    <n v="9.0139342846457886"/>
    <n v="3000"/>
    <n v="0"/>
  </r>
  <r>
    <x v="1"/>
    <x v="0"/>
    <s v="URBSNF3414"/>
    <n v="0.5"/>
    <s v=""/>
    <n v="0"/>
    <s v="URBSNF3414BK"/>
    <n v="1"/>
    <s v=""/>
    <n v="0"/>
    <x v="0"/>
    <x v="0"/>
    <x v="10"/>
    <x v="0"/>
    <x v="10"/>
    <x v="0"/>
    <s v="URBSNF3414"/>
    <s v="URBSNF3414BK"/>
    <x v="1"/>
    <n v="3000"/>
    <x v="78"/>
    <x v="417"/>
    <n v="8.3846486832201705"/>
    <n v="3000"/>
    <n v="0"/>
  </r>
  <r>
    <x v="1"/>
    <x v="0"/>
    <s v="URBSNF3414"/>
    <n v="0.5"/>
    <s v=""/>
    <n v="0"/>
    <s v="URBSNF3414WH"/>
    <n v="1"/>
    <s v=""/>
    <n v="0"/>
    <x v="0"/>
    <x v="0"/>
    <x v="10"/>
    <x v="0"/>
    <x v="10"/>
    <x v="0"/>
    <s v="URBSNF3414"/>
    <s v="URBSNF3414WH"/>
    <x v="1"/>
    <n v="4000"/>
    <x v="129"/>
    <x v="418"/>
    <n v="8.9040888818576498"/>
    <n v="4000"/>
    <n v="0"/>
  </r>
  <r>
    <x v="1"/>
    <x v="0"/>
    <s v="URBFIF3403"/>
    <n v="1"/>
    <s v=""/>
    <n v="0"/>
    <s v="URBFIF3403BK"/>
    <n v="1"/>
    <s v=""/>
    <n v="0"/>
    <x v="0"/>
    <x v="0"/>
    <x v="10"/>
    <x v="1"/>
    <x v="10"/>
    <x v="0"/>
    <s v="URBFIF3403"/>
    <s v="URBFIF3403BK"/>
    <x v="1"/>
    <n v="1500"/>
    <x v="103"/>
    <x v="419"/>
    <n v="7.3030880878453823"/>
    <n v="1500"/>
    <n v="0"/>
  </r>
  <r>
    <x v="1"/>
    <x v="0"/>
    <s v="URBFIF3411"/>
    <n v="1"/>
    <s v=""/>
    <n v="0"/>
    <s v="URBFIF3411BK"/>
    <n v="1"/>
    <s v=""/>
    <n v="0"/>
    <x v="0"/>
    <x v="0"/>
    <x v="10"/>
    <x v="1"/>
    <x v="10"/>
    <x v="0"/>
    <s v="URBFIF3411"/>
    <s v="URBFIF3411BK"/>
    <x v="1"/>
    <n v="1500"/>
    <x v="41"/>
    <x v="420"/>
    <n v="9.7986888989650769"/>
    <n v="1499"/>
    <n v="0"/>
  </r>
  <r>
    <x v="1"/>
    <x v="0"/>
    <s v="URBFIF3412"/>
    <n v="1"/>
    <s v=""/>
    <n v="0"/>
    <s v="URBFIF3412BK"/>
    <n v="1"/>
    <s v=""/>
    <n v="0"/>
    <x v="0"/>
    <x v="0"/>
    <x v="10"/>
    <x v="1"/>
    <x v="10"/>
    <x v="0"/>
    <s v="URBFIF3412"/>
    <s v="URBFIF3412BK"/>
    <x v="1"/>
    <n v="1500"/>
    <x v="41"/>
    <x v="421"/>
    <n v="8.2157726326575933"/>
    <n v="1492"/>
    <n v="0"/>
  </r>
  <r>
    <x v="1"/>
    <x v="0"/>
    <s v="URBFIF3414"/>
    <n v="1"/>
    <s v=""/>
    <n v="0"/>
    <s v="URBFIF3414BK"/>
    <n v="1"/>
    <s v=""/>
    <n v="0"/>
    <x v="0"/>
    <x v="0"/>
    <x v="10"/>
    <x v="1"/>
    <x v="10"/>
    <x v="0"/>
    <s v="URBFIF3414"/>
    <s v="URBFIF3414BK"/>
    <x v="1"/>
    <n v="1500"/>
    <x v="41"/>
    <x v="422"/>
    <n v="7.7836225341302772"/>
    <n v="1500"/>
    <n v="0"/>
  </r>
  <r>
    <x v="1"/>
    <x v="0"/>
    <s v="ELSBAF3841"/>
    <n v="0.5"/>
    <s v=""/>
    <n v="0"/>
    <s v="ELSBAF3841BK"/>
    <n v="1"/>
    <s v=""/>
    <n v="0"/>
    <x v="0"/>
    <x v="0"/>
    <x v="6"/>
    <x v="6"/>
    <x v="6"/>
    <x v="1"/>
    <s v="ELSBAF3841"/>
    <s v="ELSBAF3841BK"/>
    <x v="1"/>
    <n v="4000"/>
    <x v="130"/>
    <x v="423"/>
    <n v="6.7574476635678442"/>
    <n v="3967"/>
    <n v="0"/>
  </r>
  <r>
    <x v="1"/>
    <x v="0"/>
    <s v="ELSBAF3841"/>
    <n v="0.5"/>
    <s v=""/>
    <n v="0"/>
    <s v="ELSBAF3841RE"/>
    <n v="1"/>
    <s v=""/>
    <n v="0"/>
    <x v="0"/>
    <x v="0"/>
    <x v="6"/>
    <x v="6"/>
    <x v="6"/>
    <x v="1"/>
    <s v="ELSBAF3841"/>
    <s v="ELSBAF3841RE"/>
    <x v="1"/>
    <n v="4000"/>
    <x v="130"/>
    <x v="423"/>
    <n v="6.7574476635678442"/>
    <n v="4005"/>
    <n v="0"/>
  </r>
  <r>
    <x v="0"/>
    <x v="0"/>
    <s v="SBRMIF3066"/>
    <n v="1"/>
    <s v=""/>
    <n v="0"/>
    <s v="SBRMIF3066BK"/>
    <n v="1"/>
    <s v=""/>
    <n v="0"/>
    <x v="0"/>
    <x v="0"/>
    <x v="17"/>
    <x v="3"/>
    <x v="19"/>
    <x v="0"/>
    <s v="SBRMIF3066"/>
    <s v="SBRMIF3066BK"/>
    <x v="1"/>
    <n v="3500"/>
    <x v="131"/>
    <x v="424"/>
    <n v="4.4156570672819742"/>
    <n v="3524"/>
    <n v="0"/>
  </r>
  <r>
    <x v="0"/>
    <x v="0"/>
    <s v="ELSERF5025"/>
    <n v="1"/>
    <s v=""/>
    <n v="0"/>
    <s v="ELSERF5025BK"/>
    <n v="1"/>
    <s v=""/>
    <n v="0"/>
    <x v="1"/>
    <x v="0"/>
    <x v="6"/>
    <x v="10"/>
    <x v="6"/>
    <x v="0"/>
    <s v="ELSERF5025"/>
    <s v="ELSERF5025BK"/>
    <x v="1"/>
    <n v="800"/>
    <x v="108"/>
    <x v="425"/>
    <n v="6.4343046588727963"/>
    <n v="800"/>
    <n v="0"/>
  </r>
  <r>
    <x v="0"/>
    <x v="0"/>
    <s v="ELSSNF5026"/>
    <n v="1"/>
    <s v=""/>
    <n v="0"/>
    <s v="ELSSNF5026BK"/>
    <n v="1"/>
    <s v=""/>
    <n v="0"/>
    <x v="1"/>
    <x v="0"/>
    <x v="6"/>
    <x v="0"/>
    <x v="6"/>
    <x v="0"/>
    <s v="ELSSNF5026"/>
    <s v="ELSSNF5026BK"/>
    <x v="1"/>
    <n v="1500"/>
    <x v="27"/>
    <x v="426"/>
    <n v="6.3586947494310904"/>
    <n v="1348"/>
    <n v="0"/>
  </r>
  <r>
    <x v="0"/>
    <x v="0"/>
    <s v="ELSSNF3027"/>
    <n v="1"/>
    <s v=""/>
    <n v="0"/>
    <s v="ELSSNF3027BK"/>
    <n v="1"/>
    <s v=""/>
    <n v="0"/>
    <x v="0"/>
    <x v="0"/>
    <x v="6"/>
    <x v="0"/>
    <x v="6"/>
    <x v="0"/>
    <s v="ELSSNF3027"/>
    <s v="ELSSNF3027BK"/>
    <x v="1"/>
    <n v="1200"/>
    <x v="31"/>
    <x v="427"/>
    <n v="5.892075250442657"/>
    <n v="1173"/>
    <n v="0"/>
  </r>
  <r>
    <x v="0"/>
    <x v="0"/>
    <s v="ELSSNF5028"/>
    <n v="1"/>
    <s v=""/>
    <n v="0"/>
    <s v="ELSSNF5028GY"/>
    <n v="1"/>
    <s v=""/>
    <n v="0"/>
    <x v="1"/>
    <x v="0"/>
    <x v="6"/>
    <x v="0"/>
    <x v="6"/>
    <x v="0"/>
    <s v="ELSSNF5028"/>
    <s v="ELSSNF5028GY"/>
    <x v="1"/>
    <n v="1200"/>
    <x v="31"/>
    <x v="428"/>
    <n v="6.455592695138221"/>
    <n v="1183"/>
    <n v="0"/>
  </r>
  <r>
    <x v="0"/>
    <x v="0"/>
    <s v="ELSSNF5029"/>
    <n v="1"/>
    <s v=""/>
    <n v="0"/>
    <s v="ELSSNF5029BK"/>
    <n v="1"/>
    <s v=""/>
    <n v="0"/>
    <x v="1"/>
    <x v="0"/>
    <x v="6"/>
    <x v="0"/>
    <x v="6"/>
    <x v="0"/>
    <s v="ELSSNF5029"/>
    <s v="ELSSNF5029BK"/>
    <x v="1"/>
    <n v="1200"/>
    <x v="47"/>
    <x v="429"/>
    <n v="7.152874294949207"/>
    <n v="1148"/>
    <n v="0"/>
  </r>
  <r>
    <x v="0"/>
    <x v="0"/>
    <s v="ELSSNF5030"/>
    <n v="1"/>
    <s v=""/>
    <n v="0"/>
    <s v="ELSSNF5030GY"/>
    <n v="1"/>
    <s v=""/>
    <n v="0"/>
    <x v="1"/>
    <x v="0"/>
    <x v="6"/>
    <x v="0"/>
    <x v="6"/>
    <x v="0"/>
    <s v="ELSSNF5030"/>
    <s v="ELSSNF5030GY"/>
    <x v="1"/>
    <n v="1200"/>
    <x v="31"/>
    <x v="430"/>
    <n v="6.9230897041656068"/>
    <n v="1195"/>
    <n v="0"/>
  </r>
  <r>
    <x v="0"/>
    <x v="0"/>
    <s v="ELSBAF3531"/>
    <n v="1"/>
    <s v=""/>
    <n v="0"/>
    <s v="ELSBAF3531GY"/>
    <n v="1"/>
    <s v=""/>
    <n v="0"/>
    <x v="0"/>
    <x v="0"/>
    <x v="6"/>
    <x v="6"/>
    <x v="6"/>
    <x v="1"/>
    <s v="ELSBAF3531"/>
    <s v="ELSBAF3531GY"/>
    <x v="1"/>
    <n v="1500"/>
    <x v="27"/>
    <x v="431"/>
    <n v="5.1736941094536162"/>
    <n v="1438"/>
    <n v="0"/>
  </r>
  <r>
    <x v="0"/>
    <x v="0"/>
    <s v="ELSERF5532"/>
    <n v="1"/>
    <s v=""/>
    <n v="0"/>
    <s v="ELSERF5532PK"/>
    <n v="1"/>
    <s v=""/>
    <n v="0"/>
    <x v="1"/>
    <x v="0"/>
    <x v="6"/>
    <x v="10"/>
    <x v="6"/>
    <x v="1"/>
    <s v="ELSERF5532"/>
    <s v="ELSERF5532PK"/>
    <x v="1"/>
    <n v="1200"/>
    <x v="33"/>
    <x v="432"/>
    <n v="5.5155494369727123"/>
    <n v="1195"/>
    <n v="0"/>
  </r>
  <r>
    <x v="1"/>
    <x v="0"/>
    <s v="POLFIF3901"/>
    <n v="1"/>
    <s v=""/>
    <n v="0"/>
    <s v="POLFIF3901BL"/>
    <n v="1"/>
    <s v=""/>
    <n v="0"/>
    <x v="0"/>
    <x v="0"/>
    <x v="21"/>
    <x v="1"/>
    <x v="27"/>
    <x v="1"/>
    <s v="POLFIF3901"/>
    <s v="POLFIF3901BL"/>
    <x v="1"/>
    <n v="3700"/>
    <x v="132"/>
    <x v="433"/>
    <n v="4.3723453617446548"/>
    <n v="3672"/>
    <n v="0"/>
  </r>
  <r>
    <x v="1"/>
    <x v="0"/>
    <s v="POLFIF3902"/>
    <n v="1"/>
    <s v=""/>
    <n v="0"/>
    <s v="POLFIF3902RE"/>
    <n v="1"/>
    <s v=""/>
    <n v="0"/>
    <x v="0"/>
    <x v="0"/>
    <x v="21"/>
    <x v="1"/>
    <x v="27"/>
    <x v="1"/>
    <s v="POLFIF3902"/>
    <s v="POLFIF3902RE"/>
    <x v="1"/>
    <n v="1500"/>
    <x v="27"/>
    <x v="434"/>
    <n v="4.9015685019206137"/>
    <n v="1500"/>
    <n v="0"/>
  </r>
  <r>
    <x v="1"/>
    <x v="0"/>
    <s v="POLFIF3903"/>
    <n v="1"/>
    <s v=""/>
    <n v="0"/>
    <s v="POLFIF3903PK"/>
    <n v="1"/>
    <s v=""/>
    <n v="0"/>
    <x v="0"/>
    <x v="0"/>
    <x v="21"/>
    <x v="1"/>
    <x v="27"/>
    <x v="1"/>
    <s v="POLFIF3903"/>
    <s v="POLFIF3903PK"/>
    <x v="1"/>
    <n v="2500"/>
    <x v="133"/>
    <x v="435"/>
    <n v="4.3723453617446548"/>
    <n v="2495"/>
    <n v="0"/>
  </r>
  <r>
    <x v="1"/>
    <x v="0"/>
    <s v="POLFIF3904"/>
    <n v="1"/>
    <s v=""/>
    <n v="0"/>
    <s v="POLFIF3904GR"/>
    <n v="1"/>
    <s v=""/>
    <n v="0"/>
    <x v="0"/>
    <x v="0"/>
    <x v="21"/>
    <x v="1"/>
    <x v="27"/>
    <x v="1"/>
    <s v="POLFIF3904"/>
    <s v="POLFIF3904GR"/>
    <x v="1"/>
    <n v="1500"/>
    <x v="27"/>
    <x v="436"/>
    <n v="4.0912430699352083"/>
    <n v="1500"/>
    <n v="0"/>
  </r>
  <r>
    <x v="0"/>
    <x v="1"/>
    <s v=""/>
    <n v="0"/>
    <s v="DPSSNF3501"/>
    <n v="1"/>
    <s v=""/>
    <n v="0"/>
    <s v="DPSSNF3501PK"/>
    <n v="1"/>
    <x v="0"/>
    <x v="0"/>
    <x v="13"/>
    <x v="0"/>
    <x v="13"/>
    <x v="1"/>
    <s v="DPSSNF3501"/>
    <s v="DPSSNF3501PK"/>
    <x v="1"/>
    <n v="2000"/>
    <x v="22"/>
    <x v="437"/>
    <n v="3.4905367669872782"/>
    <n v="2050"/>
    <n v="0"/>
  </r>
  <r>
    <x v="1"/>
    <x v="0"/>
    <s v="SMBFIF3426"/>
    <n v="1"/>
    <s v=""/>
    <n v="0"/>
    <s v="SMBFIF3426BK"/>
    <n v="1"/>
    <s v=""/>
    <n v="0"/>
    <x v="0"/>
    <x v="0"/>
    <x v="4"/>
    <x v="1"/>
    <x v="4"/>
    <x v="0"/>
    <s v="SMBFIF3426"/>
    <s v="SMBFIF3426BK"/>
    <x v="1"/>
    <n v="2000"/>
    <x v="66"/>
    <x v="438"/>
    <n v="10.057473561609786"/>
    <n v="1998"/>
    <n v="0"/>
  </r>
  <r>
    <x v="1"/>
    <x v="0"/>
    <s v="URBFIF3409"/>
    <n v="1"/>
    <s v=""/>
    <n v="0"/>
    <s v="URBFIF3409BK"/>
    <n v="1"/>
    <s v=""/>
    <n v="0"/>
    <x v="0"/>
    <x v="0"/>
    <x v="10"/>
    <x v="1"/>
    <x v="10"/>
    <x v="0"/>
    <s v="URBFIF3409"/>
    <s v="URBFIF3409BK"/>
    <x v="1"/>
    <n v="1500"/>
    <x v="39"/>
    <x v="439"/>
    <n v="7.8195400923459619"/>
    <n v="1500"/>
    <n v="0"/>
  </r>
  <r>
    <x v="1"/>
    <x v="0"/>
    <s v="VBLBAF3603"/>
    <n v="1"/>
    <s v=""/>
    <n v="0"/>
    <s v="VBLBAF3603RE"/>
    <n v="1"/>
    <s v=""/>
    <n v="0"/>
    <x v="0"/>
    <x v="0"/>
    <x v="5"/>
    <x v="6"/>
    <x v="5"/>
    <x v="1"/>
    <s v="VBLBAF3603"/>
    <s v="VBLBAF3603RE"/>
    <x v="1"/>
    <n v="1600"/>
    <x v="134"/>
    <x v="440"/>
    <n v="11.077094908549176"/>
    <n v="1600"/>
    <n v="0"/>
  </r>
  <r>
    <x v="1"/>
    <x v="0"/>
    <s v="HCUFIF3403"/>
    <n v="1"/>
    <s v=""/>
    <n v="0"/>
    <s v="HCUFIF3403BK"/>
    <n v="1"/>
    <s v=""/>
    <n v="0"/>
    <x v="0"/>
    <x v="0"/>
    <x v="3"/>
    <x v="1"/>
    <x v="3"/>
    <x v="0"/>
    <s v="HCUFIF3403"/>
    <s v="HCUFIF3403BK"/>
    <x v="1"/>
    <n v="1000"/>
    <x v="50"/>
    <x v="441"/>
    <n v="5.9228650137741043"/>
    <n v="1000"/>
    <n v="0"/>
  </r>
  <r>
    <x v="0"/>
    <x v="0"/>
    <s v="HCUMIF3010"/>
    <n v="0.5"/>
    <s v=""/>
    <n v="0"/>
    <s v="HCUMIF3010BK"/>
    <n v="1"/>
    <s v=""/>
    <n v="0"/>
    <x v="0"/>
    <x v="0"/>
    <x v="3"/>
    <x v="3"/>
    <x v="3"/>
    <x v="0"/>
    <s v="HCUMIF3010"/>
    <s v="HCUMIF3010BK"/>
    <x v="1"/>
    <n v="2000"/>
    <x v="22"/>
    <x v="442"/>
    <n v="6.9122109274988937"/>
    <n v="1998"/>
    <n v="0"/>
  </r>
  <r>
    <x v="0"/>
    <x v="0"/>
    <s v="HCUMIF3010"/>
    <n v="0.5"/>
    <s v=""/>
    <n v="0"/>
    <s v="HCUMIF3010KH"/>
    <n v="1"/>
    <s v=""/>
    <n v="0"/>
    <x v="0"/>
    <x v="0"/>
    <x v="3"/>
    <x v="3"/>
    <x v="3"/>
    <x v="0"/>
    <s v="HCUMIF3010"/>
    <s v="HCUMIF3010KH"/>
    <x v="1"/>
    <n v="800"/>
    <x v="76"/>
    <x v="443"/>
    <n v="6.9239099227014691"/>
    <n v="798"/>
    <n v="0"/>
  </r>
  <r>
    <x v="1"/>
    <x v="0"/>
    <s v="PLAUMF3407"/>
    <n v="1"/>
    <s v=""/>
    <n v="0"/>
    <s v="PLAUMF3407BK"/>
    <n v="1"/>
    <s v=""/>
    <n v="0"/>
    <x v="0"/>
    <x v="0"/>
    <x v="11"/>
    <x v="11"/>
    <x v="11"/>
    <x v="0"/>
    <s v="PLAUMF3407"/>
    <s v="PLAUMF3407BK"/>
    <x v="1"/>
    <n v="1500"/>
    <x v="26"/>
    <x v="444"/>
    <n v="7.7474824949572421"/>
    <n v="1500"/>
    <n v="0"/>
  </r>
  <r>
    <x v="1"/>
    <x v="0"/>
    <s v="PLABPF3404"/>
    <n v="1"/>
    <s v=""/>
    <n v="0"/>
    <s v="PLABPF3404BK"/>
    <n v="1"/>
    <s v=""/>
    <n v="0"/>
    <x v="0"/>
    <x v="3"/>
    <x v="11"/>
    <x v="25"/>
    <x v="30"/>
    <x v="0"/>
    <s v="PLABPF3404"/>
    <s v="PLABPF3404BK"/>
    <x v="1"/>
    <n v="800"/>
    <x v="135"/>
    <x v="445"/>
    <n v="4.0584415584415581"/>
    <n v="800"/>
    <n v="0"/>
  </r>
  <r>
    <x v="0"/>
    <x v="0"/>
    <s v="JOIBAF3509"/>
    <n v="1"/>
    <s v=""/>
    <n v="0"/>
    <s v="JOIBAF3509PK"/>
    <n v="1"/>
    <s v=""/>
    <n v="0"/>
    <x v="0"/>
    <x v="0"/>
    <x v="7"/>
    <x v="6"/>
    <x v="7"/>
    <x v="1"/>
    <s v="JOIBAF3509"/>
    <s v="JOIBAF3509PK"/>
    <x v="1"/>
    <n v="1500"/>
    <x v="27"/>
    <x v="446"/>
    <n v="5.5621885600084076"/>
    <n v="1473"/>
    <n v="0"/>
  </r>
  <r>
    <x v="0"/>
    <x v="0"/>
    <s v="JOIBAF3510"/>
    <n v="1"/>
    <s v=""/>
    <n v="0"/>
    <s v="JOIBAF3510YE"/>
    <n v="1"/>
    <s v=""/>
    <n v="0"/>
    <x v="0"/>
    <x v="0"/>
    <x v="7"/>
    <x v="6"/>
    <x v="7"/>
    <x v="1"/>
    <s v="JOIBAF3510"/>
    <s v="JOIBAF3510YE"/>
    <x v="1"/>
    <n v="1500"/>
    <x v="27"/>
    <x v="447"/>
    <n v="5.3007711648433808"/>
    <n v="1401"/>
    <n v="0"/>
  </r>
  <r>
    <x v="0"/>
    <x v="0"/>
    <s v="JOIBAF3511"/>
    <n v="1"/>
    <s v=""/>
    <n v="0"/>
    <s v="JOIBAF3511GY"/>
    <n v="1"/>
    <s v=""/>
    <n v="0"/>
    <x v="0"/>
    <x v="0"/>
    <x v="7"/>
    <x v="6"/>
    <x v="7"/>
    <x v="1"/>
    <s v="JOIBAF3511"/>
    <s v="JOIBAF3511GY"/>
    <x v="1"/>
    <n v="1200"/>
    <x v="47"/>
    <x v="448"/>
    <n v="5.8669102192715785"/>
    <n v="1202"/>
    <n v="0"/>
  </r>
  <r>
    <x v="0"/>
    <x v="0"/>
    <s v="JOIBAF3512"/>
    <n v="1"/>
    <s v=""/>
    <n v="0"/>
    <s v="JOIBAF3512PP"/>
    <n v="1"/>
    <s v=""/>
    <n v="0"/>
    <x v="0"/>
    <x v="0"/>
    <x v="7"/>
    <x v="6"/>
    <x v="7"/>
    <x v="1"/>
    <s v="JOIBAF3512"/>
    <s v="JOIBAF3512PP"/>
    <x v="1"/>
    <n v="1200"/>
    <x v="47"/>
    <x v="449"/>
    <n v="5.2267569850273672"/>
    <n v="1191"/>
    <n v="0"/>
  </r>
  <r>
    <x v="0"/>
    <x v="0"/>
    <s v="JOIBAF5513"/>
    <n v="1"/>
    <s v=""/>
    <n v="0"/>
    <s v="JOIBAF5513PK"/>
    <n v="1"/>
    <s v=""/>
    <n v="0"/>
    <x v="1"/>
    <x v="0"/>
    <x v="7"/>
    <x v="6"/>
    <x v="7"/>
    <x v="1"/>
    <s v="JOIBAF5513"/>
    <s v="JOIBAF5513PK"/>
    <x v="1"/>
    <n v="1000"/>
    <x v="34"/>
    <x v="450"/>
    <n v="4.6793389404292061"/>
    <n v="1001"/>
    <n v="0"/>
  </r>
  <r>
    <x v="0"/>
    <x v="0"/>
    <s v="POLEBF5503"/>
    <n v="1"/>
    <s v=""/>
    <n v="0"/>
    <s v="POLEBF5503PK"/>
    <n v="1"/>
    <s v=""/>
    <n v="0"/>
    <x v="1"/>
    <x v="0"/>
    <x v="21"/>
    <x v="8"/>
    <x v="27"/>
    <x v="1"/>
    <s v="POLEBF5503"/>
    <s v="POLEBF5503PK"/>
    <x v="1"/>
    <n v="800"/>
    <x v="110"/>
    <x v="451"/>
    <n v="4.0422790045645396"/>
    <n v="798"/>
    <n v="0"/>
  </r>
  <r>
    <x v="0"/>
    <x v="0"/>
    <s v="POLEBF5504"/>
    <n v="1"/>
    <s v=""/>
    <n v="0"/>
    <s v="POLEBF5504BL"/>
    <n v="1"/>
    <s v=""/>
    <n v="0"/>
    <x v="1"/>
    <x v="0"/>
    <x v="21"/>
    <x v="8"/>
    <x v="27"/>
    <x v="1"/>
    <s v="POLEBF5504"/>
    <s v="POLEBF5504BL"/>
    <x v="1"/>
    <n v="800"/>
    <x v="110"/>
    <x v="451"/>
    <n v="4.0422790045645396"/>
    <n v="799"/>
    <n v="0"/>
  </r>
  <r>
    <x v="0"/>
    <x v="0"/>
    <s v="DPSEBF5508"/>
    <n v="1"/>
    <s v=""/>
    <n v="0"/>
    <s v="DPSEBF5508PK"/>
    <n v="1"/>
    <s v=""/>
    <n v="0"/>
    <x v="1"/>
    <x v="0"/>
    <x v="13"/>
    <x v="8"/>
    <x v="13"/>
    <x v="1"/>
    <s v="DPSEBF5508"/>
    <s v="DPSEBF5508PK"/>
    <x v="1"/>
    <n v="800"/>
    <x v="70"/>
    <x v="452"/>
    <n v="6.0362475433088427"/>
    <n v="798"/>
    <n v="0"/>
  </r>
  <r>
    <x v="0"/>
    <x v="0"/>
    <s v="SMBBEF5012"/>
    <n v="0.5"/>
    <s v=""/>
    <n v="0"/>
    <s v="SMBBEF5012BK"/>
    <n v="1"/>
    <s v=""/>
    <n v="0"/>
    <x v="1"/>
    <x v="0"/>
    <x v="4"/>
    <x v="21"/>
    <x v="4"/>
    <x v="0"/>
    <s v="SMBBEF5012"/>
    <s v="SMBBEF5012BK"/>
    <x v="1"/>
    <n v="500"/>
    <x v="136"/>
    <x v="453"/>
    <n v="8.3016181603865427"/>
    <n v="500"/>
    <n v="0"/>
  </r>
  <r>
    <x v="0"/>
    <x v="0"/>
    <s v="SMBBEF5012"/>
    <n v="0.5"/>
    <s v=""/>
    <n v="0"/>
    <s v="SMBBEF5012RE"/>
    <n v="1"/>
    <s v=""/>
    <n v="0"/>
    <x v="1"/>
    <x v="0"/>
    <x v="4"/>
    <x v="21"/>
    <x v="4"/>
    <x v="0"/>
    <s v="SMBBEF5012"/>
    <s v="SMBBEF5012RE"/>
    <x v="1"/>
    <n v="500"/>
    <x v="136"/>
    <x v="453"/>
    <n v="8.3016181603865427"/>
    <n v="499"/>
    <n v="0"/>
  </r>
  <r>
    <x v="0"/>
    <x v="0"/>
    <s v="URBBPF3001"/>
    <n v="1"/>
    <s v=""/>
    <n v="0"/>
    <s v="URBBPF3001BK"/>
    <n v="1"/>
    <s v=""/>
    <n v="0"/>
    <x v="0"/>
    <x v="3"/>
    <x v="10"/>
    <x v="25"/>
    <x v="31"/>
    <x v="0"/>
    <s v="URBBPF3001"/>
    <s v="URBBPF3001BK"/>
    <x v="1"/>
    <n v="600"/>
    <x v="53"/>
    <x v="454"/>
    <n v="3.8282612909478577"/>
    <n v="600"/>
    <n v="0"/>
  </r>
  <r>
    <x v="0"/>
    <x v="0"/>
    <s v="URBBPF3002"/>
    <n v="1"/>
    <s v=""/>
    <n v="0"/>
    <s v="URBBPF3002BK"/>
    <n v="1"/>
    <s v=""/>
    <n v="0"/>
    <x v="0"/>
    <x v="3"/>
    <x v="10"/>
    <x v="25"/>
    <x v="31"/>
    <x v="0"/>
    <s v="URBBPF3002"/>
    <s v="URBBPF3002BK"/>
    <x v="1"/>
    <n v="600"/>
    <x v="53"/>
    <x v="454"/>
    <n v="3.8282612909478577"/>
    <n v="600"/>
    <n v="0"/>
  </r>
  <r>
    <x v="0"/>
    <x v="0"/>
    <s v="URBBPF3003"/>
    <n v="1"/>
    <s v=""/>
    <n v="0"/>
    <s v="URBBPF3003BK"/>
    <n v="1"/>
    <s v=""/>
    <n v="0"/>
    <x v="0"/>
    <x v="3"/>
    <x v="10"/>
    <x v="25"/>
    <x v="31"/>
    <x v="0"/>
    <s v="URBBPF3003"/>
    <s v="URBBPF3003BK"/>
    <x v="1"/>
    <n v="600"/>
    <x v="53"/>
    <x v="454"/>
    <n v="3.8282612909478577"/>
    <n v="600"/>
    <n v="0"/>
  </r>
  <r>
    <x v="0"/>
    <x v="0"/>
    <s v="PLABPF3001"/>
    <n v="1"/>
    <s v=""/>
    <n v="0"/>
    <s v="PLABPF3001BW"/>
    <n v="1"/>
    <s v=""/>
    <n v="0"/>
    <x v="0"/>
    <x v="3"/>
    <x v="11"/>
    <x v="25"/>
    <x v="30"/>
    <x v="0"/>
    <s v="PLABPF3001"/>
    <s v="PLABPF3001BW"/>
    <x v="1"/>
    <n v="600"/>
    <x v="137"/>
    <x v="455"/>
    <n v="3.5091851154027314"/>
    <n v="600"/>
    <n v="0"/>
  </r>
  <r>
    <x v="0"/>
    <x v="0"/>
    <s v="PNYBPF3001"/>
    <n v="1"/>
    <s v=""/>
    <n v="0"/>
    <s v="PNYBPF3001BK"/>
    <n v="1"/>
    <s v=""/>
    <n v="0"/>
    <x v="0"/>
    <x v="3"/>
    <x v="14"/>
    <x v="25"/>
    <x v="32"/>
    <x v="0"/>
    <s v="PNYBPF3001"/>
    <s v="PNYBPF3001BK"/>
    <x v="1"/>
    <n v="600"/>
    <x v="64"/>
    <x v="456"/>
    <n v="4.0012804097311143"/>
    <n v="600"/>
    <n v="0"/>
  </r>
  <r>
    <x v="0"/>
    <x v="0"/>
    <s v="PNYBPF3002"/>
    <n v="1"/>
    <s v=""/>
    <n v="0"/>
    <s v="PNYBPF3002BK"/>
    <n v="1"/>
    <s v=""/>
    <n v="0"/>
    <x v="0"/>
    <x v="3"/>
    <x v="14"/>
    <x v="25"/>
    <x v="32"/>
    <x v="0"/>
    <s v="PNYBPF3002"/>
    <s v="PNYBPF3002BK"/>
    <x v="1"/>
    <n v="600"/>
    <x v="138"/>
    <x v="457"/>
    <n v="3.8450074515648285"/>
    <n v="600"/>
    <n v="0"/>
  </r>
  <r>
    <x v="0"/>
    <x v="0"/>
    <s v="JOIEBF5523"/>
    <n v="0.5"/>
    <s v=""/>
    <n v="0"/>
    <s v="JOIEBF5523IV"/>
    <n v="1"/>
    <s v=""/>
    <n v="0"/>
    <x v="1"/>
    <x v="0"/>
    <x v="7"/>
    <x v="8"/>
    <x v="7"/>
    <x v="1"/>
    <s v="JOIEBF5523"/>
    <s v="JOIEBF5523IV"/>
    <x v="1"/>
    <n v="1000"/>
    <x v="21"/>
    <x v="458"/>
    <n v="5.1867000309084963"/>
    <n v="999"/>
    <n v="0"/>
  </r>
  <r>
    <x v="0"/>
    <x v="0"/>
    <s v="JOIEBF5523"/>
    <n v="0.5"/>
    <s v=""/>
    <n v="0"/>
    <s v="JOIEBF5523BL"/>
    <n v="1"/>
    <s v=""/>
    <n v="0"/>
    <x v="1"/>
    <x v="0"/>
    <x v="7"/>
    <x v="8"/>
    <x v="7"/>
    <x v="1"/>
    <s v="JOIEBF5523"/>
    <s v="JOIEBF5523BL"/>
    <x v="1"/>
    <n v="1000"/>
    <x v="21"/>
    <x v="459"/>
    <n v="5.0411315179772904"/>
    <n v="1000"/>
    <n v="0"/>
  </r>
  <r>
    <x v="1"/>
    <x v="0"/>
    <s v="URBFIF3408"/>
    <n v="1"/>
    <s v=""/>
    <n v="0"/>
    <s v="URBFIF3408BK"/>
    <n v="1"/>
    <s v=""/>
    <n v="0"/>
    <x v="0"/>
    <x v="0"/>
    <x v="10"/>
    <x v="1"/>
    <x v="10"/>
    <x v="0"/>
    <s v="URBFIF3408"/>
    <s v="URBFIF3408BK"/>
    <x v="1"/>
    <n v="1800"/>
    <x v="36"/>
    <x v="460"/>
    <n v="8.7451123567038369"/>
    <n v="1791"/>
    <n v="0"/>
  </r>
  <r>
    <x v="1"/>
    <x v="0"/>
    <s v="URBFIF3442"/>
    <n v="1"/>
    <s v=""/>
    <n v="0"/>
    <s v="URBFIF3442BK"/>
    <n v="1"/>
    <s v=""/>
    <n v="0"/>
    <x v="0"/>
    <x v="0"/>
    <x v="10"/>
    <x v="1"/>
    <x v="10"/>
    <x v="0"/>
    <s v="URBFIF3442"/>
    <s v="URBFIF3442BK"/>
    <x v="1"/>
    <n v="1500"/>
    <x v="41"/>
    <x v="461"/>
    <n v="7.8017419874658271"/>
    <n v="1500"/>
    <n v="0"/>
  </r>
  <r>
    <x v="1"/>
    <x v="0"/>
    <s v="URBFIF3433"/>
    <n v="1"/>
    <s v=""/>
    <n v="0"/>
    <s v="URBFIF3433BK"/>
    <n v="1"/>
    <s v=""/>
    <n v="0"/>
    <x v="0"/>
    <x v="0"/>
    <x v="10"/>
    <x v="1"/>
    <x v="10"/>
    <x v="0"/>
    <s v="URBFIF3433"/>
    <s v="URBFIF3433BK"/>
    <x v="1"/>
    <n v="1500"/>
    <x v="41"/>
    <x v="462"/>
    <n v="8.0744386631463598"/>
    <n v="1500"/>
    <n v="0"/>
  </r>
  <r>
    <x v="0"/>
    <x v="0"/>
    <s v="NIXBEF5001"/>
    <n v="1"/>
    <s v=""/>
    <n v="0"/>
    <s v="NIXBEF5001BK"/>
    <n v="1"/>
    <s v=""/>
    <n v="0"/>
    <x v="1"/>
    <x v="0"/>
    <x v="23"/>
    <x v="21"/>
    <x v="33"/>
    <x v="0"/>
    <s v="NIXBEF5001"/>
    <s v="NIXBEF5001BK"/>
    <x v="0"/>
    <n v="200"/>
    <x v="139"/>
    <x v="463"/>
    <n v="2.6315789473684212"/>
    <n v="200"/>
    <n v="0"/>
  </r>
  <r>
    <x v="0"/>
    <x v="0"/>
    <s v="NIXSNF3002"/>
    <n v="0.5"/>
    <s v=""/>
    <n v="0"/>
    <s v="NIXSNF3002BK"/>
    <n v="1"/>
    <s v=""/>
    <n v="0"/>
    <x v="0"/>
    <x v="0"/>
    <x v="23"/>
    <x v="0"/>
    <x v="33"/>
    <x v="0"/>
    <s v="NIXSNF3002"/>
    <s v="NIXSNF3002BK"/>
    <x v="0"/>
    <n v="100"/>
    <x v="140"/>
    <x v="464"/>
    <n v="2.6315789473684212"/>
    <n v="100"/>
    <n v="0"/>
  </r>
  <r>
    <x v="0"/>
    <x v="0"/>
    <s v="NIXSNF3002"/>
    <n v="0.5"/>
    <s v=""/>
    <n v="0"/>
    <s v="NIXSNF3002NY"/>
    <n v="1"/>
    <s v=""/>
    <n v="0"/>
    <x v="0"/>
    <x v="0"/>
    <x v="23"/>
    <x v="0"/>
    <x v="33"/>
    <x v="0"/>
    <s v="NIXSNF3002"/>
    <s v="NIXSNF3002NY"/>
    <x v="0"/>
    <n v="100"/>
    <x v="140"/>
    <x v="464"/>
    <n v="2.6315789473684212"/>
    <n v="100"/>
    <n v="0"/>
  </r>
  <r>
    <x v="0"/>
    <x v="0"/>
    <s v="NIXSNF3003"/>
    <n v="0.5"/>
    <s v=""/>
    <n v="0"/>
    <s v="NIXSNF3003BK"/>
    <n v="1"/>
    <s v=""/>
    <n v="0"/>
    <x v="0"/>
    <x v="0"/>
    <x v="23"/>
    <x v="0"/>
    <x v="33"/>
    <x v="0"/>
    <s v="NIXSNF3003"/>
    <s v="NIXSNF3003BK"/>
    <x v="0"/>
    <n v="200"/>
    <x v="141"/>
    <x v="465"/>
    <n v="2.6315789473684212"/>
    <n v="200"/>
    <n v="0"/>
  </r>
  <r>
    <x v="0"/>
    <x v="0"/>
    <s v="NIXSNF3003"/>
    <n v="0.5"/>
    <s v=""/>
    <n v="0"/>
    <s v="NIXSNF3003NY"/>
    <n v="1"/>
    <s v=""/>
    <n v="0"/>
    <x v="0"/>
    <x v="0"/>
    <x v="23"/>
    <x v="0"/>
    <x v="33"/>
    <x v="0"/>
    <s v="NIXSNF3003"/>
    <s v="NIXSNF3003NY"/>
    <x v="0"/>
    <n v="200"/>
    <x v="141"/>
    <x v="465"/>
    <n v="2.6315789473684212"/>
    <n v="200"/>
    <n v="0"/>
  </r>
  <r>
    <x v="0"/>
    <x v="0"/>
    <s v="NIXSNF3004"/>
    <n v="1"/>
    <s v=""/>
    <n v="0"/>
    <s v="NIXSNF3004GY"/>
    <n v="1"/>
    <s v=""/>
    <n v="0"/>
    <x v="0"/>
    <x v="0"/>
    <x v="23"/>
    <x v="0"/>
    <x v="33"/>
    <x v="0"/>
    <s v="NIXSNF3004"/>
    <s v="NIXSNF3004GY"/>
    <x v="0"/>
    <n v="200"/>
    <x v="142"/>
    <x v="466"/>
    <n v="2.6315789473684212"/>
    <n v="200"/>
    <n v="0"/>
  </r>
  <r>
    <x v="0"/>
    <x v="0"/>
    <s v="NIXSNF3005"/>
    <n v="0.5"/>
    <s v=""/>
    <n v="0"/>
    <s v="NIXSNF3005BK"/>
    <n v="1"/>
    <s v=""/>
    <n v="0"/>
    <x v="0"/>
    <x v="0"/>
    <x v="23"/>
    <x v="0"/>
    <x v="33"/>
    <x v="0"/>
    <s v="NIXSNF3005"/>
    <s v="NIXSNF3005BK"/>
    <x v="0"/>
    <n v="200"/>
    <x v="143"/>
    <x v="467"/>
    <n v="2.6315789473684212"/>
    <n v="200"/>
    <n v="0"/>
  </r>
  <r>
    <x v="0"/>
    <x v="0"/>
    <s v="NIXSNF3005"/>
    <n v="0.5"/>
    <s v=""/>
    <n v="0"/>
    <s v="NIXSNF3005GY"/>
    <n v="1"/>
    <s v=""/>
    <n v="0"/>
    <x v="0"/>
    <x v="0"/>
    <x v="23"/>
    <x v="0"/>
    <x v="33"/>
    <x v="0"/>
    <s v="NIXSNF3005"/>
    <s v="NIXSNF3005GY"/>
    <x v="0"/>
    <n v="200"/>
    <x v="143"/>
    <x v="467"/>
    <n v="2.6315789473684212"/>
    <n v="200"/>
    <n v="0"/>
  </r>
  <r>
    <x v="0"/>
    <x v="0"/>
    <s v="NIXSNF3006"/>
    <n v="1"/>
    <s v=""/>
    <n v="0"/>
    <s v="NIXSNF3006BK"/>
    <n v="1"/>
    <s v=""/>
    <n v="0"/>
    <x v="0"/>
    <x v="0"/>
    <x v="23"/>
    <x v="0"/>
    <x v="33"/>
    <x v="0"/>
    <s v="NIXSNF3006"/>
    <s v="NIXSNF3006BK"/>
    <x v="0"/>
    <n v="150"/>
    <x v="144"/>
    <x v="468"/>
    <n v="2.6315789473684212"/>
    <n v="150"/>
    <n v="0"/>
  </r>
  <r>
    <x v="0"/>
    <x v="0"/>
    <s v="NIXSNF3007"/>
    <n v="1"/>
    <s v=""/>
    <n v="0"/>
    <s v="NIXSNF3007BK"/>
    <n v="1"/>
    <s v=""/>
    <n v="0"/>
    <x v="0"/>
    <x v="0"/>
    <x v="23"/>
    <x v="0"/>
    <x v="33"/>
    <x v="0"/>
    <s v="NIXSNF3007"/>
    <s v="NIXSNF3007BK"/>
    <x v="0"/>
    <n v="150"/>
    <x v="145"/>
    <x v="469"/>
    <n v="2.6315789473684212"/>
    <n v="150"/>
    <n v="0"/>
  </r>
  <r>
    <x v="0"/>
    <x v="0"/>
    <s v="NIXFIF3008"/>
    <n v="0.5"/>
    <s v=""/>
    <n v="0"/>
    <s v="NIXFIF3008BK"/>
    <n v="1"/>
    <s v=""/>
    <n v="0"/>
    <x v="0"/>
    <x v="0"/>
    <x v="23"/>
    <x v="1"/>
    <x v="33"/>
    <x v="0"/>
    <s v="NIXFIF3008"/>
    <s v="NIXFIF3008BK"/>
    <x v="0"/>
    <n v="200"/>
    <x v="146"/>
    <x v="470"/>
    <n v="2.6315789473684217"/>
    <n v="200"/>
    <n v="0"/>
  </r>
  <r>
    <x v="0"/>
    <x v="0"/>
    <s v="NIXFIF3008"/>
    <n v="0.5"/>
    <s v=""/>
    <n v="0"/>
    <s v="NIXFIF3008GY"/>
    <n v="1"/>
    <s v=""/>
    <n v="0"/>
    <x v="0"/>
    <x v="0"/>
    <x v="23"/>
    <x v="1"/>
    <x v="33"/>
    <x v="0"/>
    <s v="NIXFIF3008"/>
    <s v="NIXFIF3008GY"/>
    <x v="0"/>
    <n v="150"/>
    <x v="145"/>
    <x v="469"/>
    <n v="2.6315789473684212"/>
    <n v="150"/>
    <n v="0"/>
  </r>
  <r>
    <x v="0"/>
    <x v="0"/>
    <s v="NIXSNF3009"/>
    <n v="1"/>
    <s v=""/>
    <n v="0"/>
    <s v="NIXSNF3009BL"/>
    <n v="1"/>
    <s v=""/>
    <n v="0"/>
    <x v="0"/>
    <x v="0"/>
    <x v="23"/>
    <x v="0"/>
    <x v="33"/>
    <x v="0"/>
    <s v="NIXSNF3009"/>
    <s v="NIXSNF3009BL"/>
    <x v="0"/>
    <n v="100"/>
    <x v="140"/>
    <x v="464"/>
    <n v="2.6315789473684212"/>
    <n v="100"/>
    <n v="0"/>
  </r>
  <r>
    <x v="0"/>
    <x v="0"/>
    <s v="NIXSNF3010"/>
    <n v="1"/>
    <s v=""/>
    <n v="0"/>
    <s v="NIXSNF3010OR"/>
    <n v="1"/>
    <s v=""/>
    <n v="0"/>
    <x v="0"/>
    <x v="0"/>
    <x v="23"/>
    <x v="0"/>
    <x v="33"/>
    <x v="0"/>
    <s v="NIXSNF3010"/>
    <s v="NIXSNF3010OR"/>
    <x v="0"/>
    <n v="100"/>
    <x v="140"/>
    <x v="464"/>
    <n v="2.6315789473684212"/>
    <n v="100"/>
    <n v="0"/>
  </r>
  <r>
    <x v="0"/>
    <x v="0"/>
    <s v="SBRTPF5067"/>
    <n v="1"/>
    <s v=""/>
    <n v="0"/>
    <s v="SBRTPF5067KH"/>
    <n v="1"/>
    <s v=""/>
    <n v="0"/>
    <x v="1"/>
    <x v="0"/>
    <x v="17"/>
    <x v="7"/>
    <x v="19"/>
    <x v="0"/>
    <s v="SBRTPF5067"/>
    <s v="SBRTPF5067KH"/>
    <x v="1"/>
    <n v="800"/>
    <x v="147"/>
    <x v="471"/>
    <n v="6.3161679323295479"/>
    <n v="800"/>
    <n v="0"/>
  </r>
  <r>
    <x v="0"/>
    <x v="0"/>
    <s v="SBRTPF5068"/>
    <n v="1"/>
    <s v=""/>
    <n v="0"/>
    <s v="SBRTPF5068BK"/>
    <n v="1"/>
    <s v=""/>
    <n v="0"/>
    <x v="1"/>
    <x v="0"/>
    <x v="17"/>
    <x v="7"/>
    <x v="19"/>
    <x v="0"/>
    <s v="SBRTPF5068"/>
    <s v="SBRTPF5068BK"/>
    <x v="1"/>
    <n v="800"/>
    <x v="148"/>
    <x v="472"/>
    <n v="5.2810768664962771"/>
    <n v="800"/>
    <n v="0"/>
  </r>
  <r>
    <x v="0"/>
    <x v="0"/>
    <s v="SBRTPF5069"/>
    <n v="1"/>
    <s v=""/>
    <n v="0"/>
    <s v="SBRTPF5069NY"/>
    <n v="1"/>
    <s v=""/>
    <n v="0"/>
    <x v="1"/>
    <x v="0"/>
    <x v="17"/>
    <x v="7"/>
    <x v="19"/>
    <x v="0"/>
    <s v="SBRTPF5069"/>
    <s v="SBRTPF5069NY"/>
    <x v="1"/>
    <n v="800"/>
    <x v="147"/>
    <x v="473"/>
    <n v="6.5189734722911021"/>
    <n v="800"/>
    <n v="0"/>
  </r>
  <r>
    <x v="0"/>
    <x v="0"/>
    <s v="SBRTPF5070"/>
    <n v="1"/>
    <s v=""/>
    <n v="0"/>
    <s v="SBRTPF5070KH"/>
    <n v="1"/>
    <s v=""/>
    <n v="0"/>
    <x v="1"/>
    <x v="0"/>
    <x v="17"/>
    <x v="7"/>
    <x v="19"/>
    <x v="0"/>
    <s v="SBRTPF5070"/>
    <s v="SBRTPF5070KH"/>
    <x v="1"/>
    <n v="800"/>
    <x v="68"/>
    <x v="474"/>
    <n v="5.5302912083037068"/>
    <n v="787"/>
    <n v="0"/>
  </r>
  <r>
    <x v="0"/>
    <x v="0"/>
    <s v="URBSNF5020"/>
    <n v="1"/>
    <s v=""/>
    <n v="0"/>
    <s v="URBSNF5020BK"/>
    <n v="1"/>
    <s v=""/>
    <n v="0"/>
    <x v="1"/>
    <x v="0"/>
    <x v="10"/>
    <x v="0"/>
    <x v="10"/>
    <x v="0"/>
    <s v="URBSNF5020"/>
    <s v="URBSNF5020BK"/>
    <x v="1"/>
    <n v="1000"/>
    <x v="50"/>
    <x v="475"/>
    <n v="6.9960106469520165"/>
    <n v="1000"/>
    <n v="0"/>
  </r>
  <r>
    <x v="0"/>
    <x v="0"/>
    <s v="URBSNF3021"/>
    <n v="1"/>
    <s v=""/>
    <n v="0"/>
    <s v="URBSNF3021BK"/>
    <n v="1"/>
    <s v=""/>
    <n v="0"/>
    <x v="0"/>
    <x v="0"/>
    <x v="10"/>
    <x v="0"/>
    <x v="10"/>
    <x v="0"/>
    <s v="URBSNF3021"/>
    <s v="URBSNF3021BK"/>
    <x v="1"/>
    <n v="1000"/>
    <x v="50"/>
    <x v="476"/>
    <n v="7.2929167800178138"/>
    <n v="1000"/>
    <n v="0"/>
  </r>
  <r>
    <x v="0"/>
    <x v="0"/>
    <s v="URBSNF3024"/>
    <n v="1"/>
    <s v=""/>
    <n v="0"/>
    <s v="URBSNF3024BK"/>
    <n v="1"/>
    <s v=""/>
    <n v="0"/>
    <x v="0"/>
    <x v="0"/>
    <x v="10"/>
    <x v="0"/>
    <x v="10"/>
    <x v="0"/>
    <s v="URBSNF3024"/>
    <s v="URBSNF3024BK"/>
    <x v="1"/>
    <n v="750"/>
    <x v="149"/>
    <x v="477"/>
    <n v="7.2945770756888697"/>
    <n v="748"/>
    <n v="0"/>
  </r>
  <r>
    <x v="0"/>
    <x v="0"/>
    <s v="URBSNF3025"/>
    <n v="1"/>
    <s v=""/>
    <n v="0"/>
    <s v="URBSNF3025GY"/>
    <n v="1"/>
    <s v=""/>
    <n v="0"/>
    <x v="0"/>
    <x v="0"/>
    <x v="10"/>
    <x v="0"/>
    <x v="10"/>
    <x v="0"/>
    <s v="URBSNF3025"/>
    <s v="URBSNF3025GY"/>
    <x v="1"/>
    <n v="500"/>
    <x v="150"/>
    <x v="478"/>
    <n v="7.2472439405456308"/>
    <n v="499"/>
    <n v="0"/>
  </r>
  <r>
    <x v="0"/>
    <x v="0"/>
    <s v="URBSNF3026"/>
    <n v="1"/>
    <s v=""/>
    <n v="0"/>
    <s v="URBSNF3026YE"/>
    <n v="1"/>
    <s v=""/>
    <n v="0"/>
    <x v="0"/>
    <x v="0"/>
    <x v="10"/>
    <x v="0"/>
    <x v="10"/>
    <x v="0"/>
    <s v="URBSNF3026"/>
    <s v="URBSNF3026YE"/>
    <x v="1"/>
    <n v="500"/>
    <x v="151"/>
    <x v="479"/>
    <n v="7.6357265986016944"/>
    <n v="500"/>
    <n v="0"/>
  </r>
  <r>
    <x v="0"/>
    <x v="0"/>
    <s v="URBSNF3027"/>
    <n v="1"/>
    <s v=""/>
    <n v="0"/>
    <s v="URBSNF3027WH"/>
    <n v="1"/>
    <s v=""/>
    <n v="0"/>
    <x v="0"/>
    <x v="0"/>
    <x v="10"/>
    <x v="0"/>
    <x v="10"/>
    <x v="0"/>
    <s v="URBSNF3027"/>
    <s v="URBSNF3027WH"/>
    <x v="1"/>
    <n v="500"/>
    <x v="151"/>
    <x v="480"/>
    <n v="7.4443172664710069"/>
    <n v="499"/>
    <n v="0"/>
  </r>
  <r>
    <x v="0"/>
    <x v="0"/>
    <s v="URBSNF3022"/>
    <n v="1"/>
    <s v=""/>
    <n v="0"/>
    <s v="URBSNF3022BK"/>
    <n v="1"/>
    <s v=""/>
    <n v="0"/>
    <x v="0"/>
    <x v="0"/>
    <x v="10"/>
    <x v="0"/>
    <x v="10"/>
    <x v="0"/>
    <s v="URBSNF3022"/>
    <s v="URBSNF3022BK"/>
    <x v="1"/>
    <n v="750"/>
    <x v="149"/>
    <x v="481"/>
    <n v="8.9586132899986453"/>
    <n v="738"/>
    <n v="0"/>
  </r>
  <r>
    <x v="0"/>
    <x v="0"/>
    <s v="URBSNF3023"/>
    <n v="1"/>
    <s v=""/>
    <n v="0"/>
    <s v="URBSNF3023BK"/>
    <n v="1"/>
    <s v=""/>
    <n v="0"/>
    <x v="0"/>
    <x v="0"/>
    <x v="10"/>
    <x v="0"/>
    <x v="10"/>
    <x v="0"/>
    <s v="URBSNF3023"/>
    <s v="URBSNF3023BK"/>
    <x v="1"/>
    <n v="750"/>
    <x v="149"/>
    <x v="482"/>
    <n v="9.4878774713438503"/>
    <n v="750"/>
    <n v="0"/>
  </r>
  <r>
    <x v="0"/>
    <x v="0"/>
    <s v="SBRMIF3070"/>
    <n v="1"/>
    <s v=""/>
    <n v="0"/>
    <s v="SBRMIF3070BK"/>
    <n v="1"/>
    <s v=""/>
    <n v="0"/>
    <x v="0"/>
    <x v="0"/>
    <x v="17"/>
    <x v="3"/>
    <x v="19"/>
    <x v="0"/>
    <s v="SBRMIF3070"/>
    <s v="SBRMIF3070BK"/>
    <x v="1"/>
    <n v="1500"/>
    <x v="29"/>
    <x v="483"/>
    <n v="7.278032149494015"/>
    <n v="1499"/>
    <n v="0"/>
  </r>
  <r>
    <x v="1"/>
    <x v="0"/>
    <s v="URBFIF3438"/>
    <n v="1"/>
    <s v=""/>
    <n v="0"/>
    <s v="URBFIF3438BK"/>
    <n v="1"/>
    <s v=""/>
    <n v="0"/>
    <x v="0"/>
    <x v="0"/>
    <x v="10"/>
    <x v="1"/>
    <x v="10"/>
    <x v="0"/>
    <s v="URBFIF3438"/>
    <s v="URBFIF3438BK"/>
    <x v="1"/>
    <n v="1500"/>
    <x v="29"/>
    <x v="484"/>
    <n v="4.7076053980541888"/>
    <n v="1461"/>
    <n v="0"/>
  </r>
  <r>
    <x v="1"/>
    <x v="0"/>
    <s v="URBFIF3441"/>
    <n v="1"/>
    <s v=""/>
    <n v="0"/>
    <s v="URBFIF3441NY"/>
    <n v="1"/>
    <s v=""/>
    <n v="0"/>
    <x v="0"/>
    <x v="0"/>
    <x v="10"/>
    <x v="1"/>
    <x v="10"/>
    <x v="0"/>
    <s v="URBFIF3441"/>
    <s v="URBFIF3441NY"/>
    <x v="1"/>
    <n v="1200"/>
    <x v="42"/>
    <x v="485"/>
    <n v="7.4939112842200748"/>
    <n v="1197"/>
    <n v="0"/>
  </r>
  <r>
    <x v="1"/>
    <x v="0"/>
    <s v="URBFIF3418"/>
    <n v="1"/>
    <s v=""/>
    <n v="0"/>
    <s v="URBFIF3418RE"/>
    <n v="1"/>
    <s v=""/>
    <n v="0"/>
    <x v="0"/>
    <x v="0"/>
    <x v="10"/>
    <x v="1"/>
    <x v="10"/>
    <x v="0"/>
    <s v="URBFIF3418"/>
    <s v="URBFIF3418RE"/>
    <x v="1"/>
    <n v="1500"/>
    <x v="41"/>
    <x v="486"/>
    <n v="8.0027672452468845"/>
    <n v="1500"/>
    <n v="0"/>
  </r>
  <r>
    <x v="1"/>
    <x v="0"/>
    <s v="URBFIF3407"/>
    <n v="1"/>
    <s v=""/>
    <n v="0"/>
    <s v="URBFIF3407GY"/>
    <n v="1"/>
    <s v=""/>
    <n v="0"/>
    <x v="0"/>
    <x v="0"/>
    <x v="10"/>
    <x v="1"/>
    <x v="10"/>
    <x v="0"/>
    <s v="URBFIF3407"/>
    <s v="URBFIF3407GY"/>
    <x v="1"/>
    <n v="1500"/>
    <x v="103"/>
    <x v="487"/>
    <n v="7.1539214854255402"/>
    <n v="1500"/>
    <n v="0"/>
  </r>
  <r>
    <x v="1"/>
    <x v="1"/>
    <s v=""/>
    <n v="0"/>
    <s v="URBFIF3408"/>
    <n v="1"/>
    <s v=""/>
    <n v="0"/>
    <s v="URBFIF3408BK"/>
    <n v="1"/>
    <x v="0"/>
    <x v="0"/>
    <x v="10"/>
    <x v="1"/>
    <x v="10"/>
    <x v="0"/>
    <s v="URBFIF3408"/>
    <s v="URBFIF3408BK"/>
    <x v="1"/>
    <n v="800"/>
    <x v="124"/>
    <x v="488"/>
    <n v="8.7451123567038351"/>
    <n v="800"/>
    <n v="0"/>
  </r>
  <r>
    <x v="1"/>
    <x v="0"/>
    <s v="URBFIF3307"/>
    <n v="1"/>
    <s v=""/>
    <n v="0"/>
    <s v="URBFIF3307BK"/>
    <n v="1"/>
    <s v=""/>
    <n v="0"/>
    <x v="0"/>
    <x v="0"/>
    <x v="10"/>
    <x v="1"/>
    <x v="10"/>
    <x v="0"/>
    <s v="URBFIF3307"/>
    <s v="URBFIF3307BK"/>
    <x v="1"/>
    <n v="2300"/>
    <x v="152"/>
    <x v="489"/>
    <n v="5.9552746718522123"/>
    <n v="2274"/>
    <n v="0"/>
  </r>
  <r>
    <x v="1"/>
    <x v="0"/>
    <s v="URBFIF3306"/>
    <n v="1"/>
    <s v=""/>
    <n v="0"/>
    <s v="URBFIF3306BK"/>
    <n v="1"/>
    <s v=""/>
    <n v="0"/>
    <x v="0"/>
    <x v="0"/>
    <x v="10"/>
    <x v="1"/>
    <x v="10"/>
    <x v="0"/>
    <s v="URBFIF3306"/>
    <s v="URBFIF3306BK"/>
    <x v="1"/>
    <n v="1100"/>
    <x v="153"/>
    <x v="490"/>
    <n v="5.9552746718522123"/>
    <n v="1100"/>
    <n v="0"/>
  </r>
  <r>
    <x v="0"/>
    <x v="0"/>
    <s v="ELSSNF3035"/>
    <n v="1"/>
    <s v=""/>
    <n v="0"/>
    <s v="ELSSNF3035BK"/>
    <n v="1"/>
    <s v=""/>
    <n v="0"/>
    <x v="0"/>
    <x v="0"/>
    <x v="6"/>
    <x v="0"/>
    <x v="6"/>
    <x v="0"/>
    <s v="ELSSNF3035"/>
    <s v="ELSSNF3035BK"/>
    <x v="1"/>
    <n v="1000"/>
    <x v="30"/>
    <x v="491"/>
    <n v="10.13447137291098"/>
    <n v="1000"/>
    <n v="0"/>
  </r>
  <r>
    <x v="0"/>
    <x v="0"/>
    <s v="ELSFIF3036"/>
    <n v="1"/>
    <s v=""/>
    <n v="0"/>
    <s v="ELSFIF3036BK"/>
    <n v="1"/>
    <s v=""/>
    <n v="0"/>
    <x v="0"/>
    <x v="0"/>
    <x v="6"/>
    <x v="1"/>
    <x v="6"/>
    <x v="0"/>
    <s v="ELSFIF3036"/>
    <s v="ELSFIF3036BK"/>
    <x v="1"/>
    <n v="1000"/>
    <x v="21"/>
    <x v="492"/>
    <n v="10.602607185434492"/>
    <n v="992"/>
    <n v="0"/>
  </r>
  <r>
    <x v="0"/>
    <x v="0"/>
    <s v="DPSBPF3501"/>
    <n v="1"/>
    <s v=""/>
    <n v="0"/>
    <s v="DPSBPF3501PK"/>
    <n v="1"/>
    <s v=""/>
    <n v="0"/>
    <x v="0"/>
    <x v="3"/>
    <x v="13"/>
    <x v="25"/>
    <x v="34"/>
    <x v="1"/>
    <s v="DPSBPF3501"/>
    <s v="DPSBPF3501PK"/>
    <x v="1"/>
    <n v="500"/>
    <x v="41"/>
    <x v="493"/>
    <n v="3.4471701138367803"/>
    <n v="500"/>
    <n v="0"/>
  </r>
  <r>
    <x v="0"/>
    <x v="0"/>
    <s v="DPSBPF3502"/>
    <n v="1"/>
    <s v=""/>
    <n v="0"/>
    <s v="DPSBPF3502PK"/>
    <n v="1"/>
    <s v=""/>
    <n v="0"/>
    <x v="0"/>
    <x v="3"/>
    <x v="13"/>
    <x v="25"/>
    <x v="34"/>
    <x v="1"/>
    <s v="DPSBPF3502"/>
    <s v="DPSBPF3502PK"/>
    <x v="1"/>
    <n v="500"/>
    <x v="41"/>
    <x v="494"/>
    <n v="3.3972400716317286"/>
    <n v="500"/>
    <n v="0"/>
  </r>
  <r>
    <x v="0"/>
    <x v="0"/>
    <s v="DPSBPF3503"/>
    <n v="1"/>
    <s v=""/>
    <n v="0"/>
    <s v="DPSBPF3503NY"/>
    <n v="1"/>
    <s v=""/>
    <n v="0"/>
    <x v="0"/>
    <x v="3"/>
    <x v="13"/>
    <x v="25"/>
    <x v="34"/>
    <x v="1"/>
    <s v="DPSBPF3503"/>
    <s v="DPSBPF3503NY"/>
    <x v="1"/>
    <n v="500"/>
    <x v="41"/>
    <x v="493"/>
    <n v="3.4471701138367803"/>
    <n v="500"/>
    <n v="0"/>
  </r>
  <r>
    <x v="0"/>
    <x v="1"/>
    <s v=""/>
    <n v="0"/>
    <s v="MGMSNF3003"/>
    <n v="1"/>
    <s v=""/>
    <n v="0"/>
    <s v="MGMSNF3003WH"/>
    <n v="1"/>
    <x v="0"/>
    <x v="0"/>
    <x v="9"/>
    <x v="0"/>
    <x v="9"/>
    <x v="0"/>
    <s v="MGMSNF3003"/>
    <s v="MGMSNF3003WH"/>
    <x v="1"/>
    <n v="1500"/>
    <x v="29"/>
    <x v="495"/>
    <n v="5.7659042859888521"/>
    <n v="1496"/>
    <n v="0"/>
  </r>
  <r>
    <x v="0"/>
    <x v="1"/>
    <s v=""/>
    <n v="0"/>
    <s v="MGMSNF3012"/>
    <n v="1"/>
    <s v=""/>
    <n v="0"/>
    <s v="MGMSNF3012BK"/>
    <n v="1"/>
    <x v="0"/>
    <x v="0"/>
    <x v="9"/>
    <x v="0"/>
    <x v="9"/>
    <x v="0"/>
    <s v="MGMSNF3012"/>
    <s v="MGMSNF3012BK"/>
    <x v="1"/>
    <n v="2000"/>
    <x v="22"/>
    <x v="496"/>
    <n v="10.235978426924826"/>
    <n v="1998"/>
    <n v="0"/>
  </r>
  <r>
    <x v="0"/>
    <x v="0"/>
    <s v="PNYUMF5501"/>
    <n v="1"/>
    <s v=""/>
    <n v="0"/>
    <s v="PNYUMF5501RE"/>
    <n v="1"/>
    <s v=""/>
    <n v="0"/>
    <x v="1"/>
    <x v="0"/>
    <x v="14"/>
    <x v="11"/>
    <x v="35"/>
    <x v="1"/>
    <s v="PNYUMF5501"/>
    <s v="PNYUMF5501RE"/>
    <x v="1"/>
    <n v="1200"/>
    <x v="43"/>
    <x v="497"/>
    <n v="7.0228720366461399"/>
    <n v="1200"/>
    <n v="0"/>
  </r>
  <r>
    <x v="0"/>
    <x v="0"/>
    <s v="URBSNF5028"/>
    <n v="1"/>
    <s v=""/>
    <n v="0"/>
    <s v="URBSNF5028BK"/>
    <n v="1"/>
    <s v=""/>
    <n v="0"/>
    <x v="1"/>
    <x v="0"/>
    <x v="10"/>
    <x v="0"/>
    <x v="10"/>
    <x v="0"/>
    <s v="URBSNF5028"/>
    <s v="URBSNF5028BK"/>
    <x v="1"/>
    <n v="1500"/>
    <x v="27"/>
    <x v="498"/>
    <n v="9.7039195517343657"/>
    <n v="1500"/>
    <n v="0"/>
  </r>
  <r>
    <x v="0"/>
    <x v="0"/>
    <s v="URBSNF5029"/>
    <n v="1"/>
    <s v=""/>
    <n v="0"/>
    <s v="URBSNF5029GY"/>
    <n v="1"/>
    <s v=""/>
    <n v="0"/>
    <x v="1"/>
    <x v="0"/>
    <x v="10"/>
    <x v="0"/>
    <x v="10"/>
    <x v="0"/>
    <s v="URBSNF5029"/>
    <s v="URBSNF5029GY"/>
    <x v="1"/>
    <n v="1500"/>
    <x v="27"/>
    <x v="499"/>
    <n v="8.6187093535510666"/>
    <n v="1495"/>
    <n v="0"/>
  </r>
  <r>
    <x v="0"/>
    <x v="0"/>
    <s v="URBSNF3030"/>
    <n v="1"/>
    <s v=""/>
    <n v="0"/>
    <s v="URBSNF3030BK"/>
    <n v="1"/>
    <s v=""/>
    <n v="0"/>
    <x v="0"/>
    <x v="0"/>
    <x v="10"/>
    <x v="0"/>
    <x v="10"/>
    <x v="0"/>
    <s v="URBSNF3030"/>
    <s v="URBSNF3030BK"/>
    <x v="1"/>
    <n v="800"/>
    <x v="76"/>
    <x v="500"/>
    <n v="7.5050158522612609"/>
    <n v="799"/>
    <n v="0"/>
  </r>
  <r>
    <x v="0"/>
    <x v="0"/>
    <s v="URBSNF3031"/>
    <n v="1"/>
    <s v=""/>
    <n v="0"/>
    <s v="URBSNF3031GR"/>
    <n v="1"/>
    <s v=""/>
    <n v="0"/>
    <x v="0"/>
    <x v="0"/>
    <x v="10"/>
    <x v="0"/>
    <x v="10"/>
    <x v="0"/>
    <s v="URBSNF3031"/>
    <s v="URBSNF3031GR"/>
    <x v="1"/>
    <n v="500"/>
    <x v="150"/>
    <x v="501"/>
    <n v="9.346391619025427"/>
    <n v="500"/>
    <n v="0"/>
  </r>
  <r>
    <x v="0"/>
    <x v="0"/>
    <s v="URBSNF3032"/>
    <n v="1"/>
    <s v=""/>
    <n v="0"/>
    <s v="URBSNF3032BK"/>
    <n v="1"/>
    <s v=""/>
    <n v="0"/>
    <x v="0"/>
    <x v="0"/>
    <x v="10"/>
    <x v="0"/>
    <x v="10"/>
    <x v="0"/>
    <s v="URBSNF3032"/>
    <s v="URBSNF3032BK"/>
    <x v="1"/>
    <n v="500"/>
    <x v="150"/>
    <x v="502"/>
    <n v="9.7828280426813397"/>
    <n v="500"/>
    <n v="0"/>
  </r>
  <r>
    <x v="0"/>
    <x v="0"/>
    <s v="URBSNF3033"/>
    <n v="1"/>
    <s v=""/>
    <n v="0"/>
    <s v="URBSNF3033BK"/>
    <n v="1"/>
    <s v=""/>
    <n v="0"/>
    <x v="0"/>
    <x v="0"/>
    <x v="10"/>
    <x v="0"/>
    <x v="10"/>
    <x v="0"/>
    <s v="URBSNF3033"/>
    <s v="URBSNF3033BK"/>
    <x v="1"/>
    <n v="1000"/>
    <x v="50"/>
    <x v="503"/>
    <n v="8.2781664130916699"/>
    <n v="1000"/>
    <n v="0"/>
  </r>
  <r>
    <x v="0"/>
    <x v="0"/>
    <s v="URBSNF3034"/>
    <n v="1"/>
    <s v=""/>
    <n v="0"/>
    <s v="URBSNF3034BK"/>
    <n v="1"/>
    <s v=""/>
    <n v="0"/>
    <x v="0"/>
    <x v="0"/>
    <x v="10"/>
    <x v="0"/>
    <x v="10"/>
    <x v="0"/>
    <s v="URBSNF3034"/>
    <s v="URBSNF3034BK"/>
    <x v="1"/>
    <n v="1200"/>
    <x v="42"/>
    <x v="504"/>
    <n v="8.3310939481964823"/>
    <n v="1200"/>
    <n v="0"/>
  </r>
  <r>
    <x v="0"/>
    <x v="0"/>
    <s v="URBSNF3035"/>
    <n v="1"/>
    <s v=""/>
    <n v="0"/>
    <s v="URBSNF3035BK"/>
    <n v="1"/>
    <s v=""/>
    <n v="0"/>
    <x v="0"/>
    <x v="0"/>
    <x v="10"/>
    <x v="0"/>
    <x v="10"/>
    <x v="0"/>
    <s v="URBSNF3035"/>
    <s v="URBSNF3035BK"/>
    <x v="1"/>
    <n v="1200"/>
    <x v="42"/>
    <x v="505"/>
    <n v="8.4433256492524702"/>
    <n v="1200"/>
    <n v="0"/>
  </r>
  <r>
    <x v="0"/>
    <x v="0"/>
    <s v="URBSNF3036"/>
    <n v="1"/>
    <s v=""/>
    <n v="0"/>
    <s v="URBSNF3036BK"/>
    <n v="1"/>
    <s v=""/>
    <n v="0"/>
    <x v="0"/>
    <x v="0"/>
    <x v="10"/>
    <x v="0"/>
    <x v="10"/>
    <x v="0"/>
    <s v="URBSNF3036"/>
    <s v="URBSNF3036BK"/>
    <x v="1"/>
    <n v="1000"/>
    <x v="50"/>
    <x v="506"/>
    <n v="9.8758309478225375"/>
    <n v="996"/>
    <n v="0"/>
  </r>
  <r>
    <x v="0"/>
    <x v="0"/>
    <s v="URBSNF3037"/>
    <n v="1"/>
    <s v=""/>
    <n v="0"/>
    <s v="URBSNF3037BK"/>
    <n v="1"/>
    <s v=""/>
    <n v="0"/>
    <x v="0"/>
    <x v="0"/>
    <x v="10"/>
    <x v="0"/>
    <x v="10"/>
    <x v="0"/>
    <s v="URBSNF3037"/>
    <s v="URBSNF3037BK"/>
    <x v="1"/>
    <n v="1000"/>
    <x v="50"/>
    <x v="507"/>
    <n v="9.6493840214727964"/>
    <n v="999"/>
    <n v="0"/>
  </r>
  <r>
    <x v="1"/>
    <x v="0"/>
    <s v="ELSSBF3801"/>
    <n v="1"/>
    <s v=""/>
    <n v="0"/>
    <s v="ELSSBF3801BK"/>
    <n v="1"/>
    <s v=""/>
    <n v="0"/>
    <x v="0"/>
    <x v="3"/>
    <x v="6"/>
    <x v="26"/>
    <x v="28"/>
    <x v="1"/>
    <s v="ELSSBF3801"/>
    <s v="ELSSBF3801BK"/>
    <x v="1"/>
    <n v="1000"/>
    <x v="30"/>
    <x v="508"/>
    <n v="4.1658952045917426"/>
    <n v="1000"/>
    <n v="0"/>
  </r>
  <r>
    <x v="1"/>
    <x v="0"/>
    <s v="HCUFIF3401"/>
    <n v="1"/>
    <s v=""/>
    <n v="0"/>
    <s v="HCUFIF3401BK"/>
    <n v="1"/>
    <s v=""/>
    <n v="0"/>
    <x v="0"/>
    <x v="0"/>
    <x v="3"/>
    <x v="1"/>
    <x v="3"/>
    <x v="0"/>
    <s v="HCUFIF3401"/>
    <s v="HCUFIF3401BK"/>
    <x v="1"/>
    <n v="1000"/>
    <x v="50"/>
    <x v="441"/>
    <n v="5.9228650137741043"/>
    <n v="1000"/>
    <n v="0"/>
  </r>
  <r>
    <x v="1"/>
    <x v="0"/>
    <s v="PLAUMF3409"/>
    <n v="1"/>
    <s v=""/>
    <n v="0"/>
    <s v="PLAUMF3409BK"/>
    <n v="1"/>
    <s v=""/>
    <n v="0"/>
    <x v="0"/>
    <x v="0"/>
    <x v="11"/>
    <x v="11"/>
    <x v="11"/>
    <x v="0"/>
    <s v="PLAUMF3409"/>
    <s v="PLAUMF3409BK"/>
    <x v="1"/>
    <n v="2000"/>
    <x v="23"/>
    <x v="509"/>
    <n v="6.0561306826778445"/>
    <n v="2000"/>
    <n v="0"/>
  </r>
  <r>
    <x v="1"/>
    <x v="0"/>
    <s v="SMBSNF3402"/>
    <n v="1"/>
    <s v=""/>
    <n v="0"/>
    <s v="SMBSNF3402BK"/>
    <n v="1"/>
    <s v=""/>
    <n v="0"/>
    <x v="0"/>
    <x v="0"/>
    <x v="4"/>
    <x v="0"/>
    <x v="4"/>
    <x v="0"/>
    <s v="SMBSNF3402"/>
    <s v="SMBSNF3402BK"/>
    <x v="1"/>
    <n v="1000"/>
    <x v="75"/>
    <x v="510"/>
    <n v="9.1214542685365476"/>
    <n v="1000"/>
    <n v="0"/>
  </r>
  <r>
    <x v="1"/>
    <x v="0"/>
    <s v="URBFIF3443"/>
    <n v="1"/>
    <s v=""/>
    <n v="0"/>
    <s v="URBFIF3443WH"/>
    <n v="1"/>
    <s v=""/>
    <n v="0"/>
    <x v="0"/>
    <x v="0"/>
    <x v="10"/>
    <x v="1"/>
    <x v="10"/>
    <x v="0"/>
    <s v="URBFIF3443"/>
    <s v="URBFIF3443WH"/>
    <x v="1"/>
    <n v="1200"/>
    <x v="31"/>
    <x v="511"/>
    <n v="4.0909090909090899"/>
    <n v="1219"/>
    <n v="0"/>
  </r>
  <r>
    <x v="1"/>
    <x v="0"/>
    <s v="URBFIF3453"/>
    <n v="1"/>
    <s v=""/>
    <n v="0"/>
    <s v="URBFIF3453BW"/>
    <n v="1"/>
    <s v=""/>
    <n v="0"/>
    <x v="0"/>
    <x v="0"/>
    <x v="10"/>
    <x v="1"/>
    <x v="10"/>
    <x v="0"/>
    <s v="URBFIF3453"/>
    <s v="URBFIF3453BW"/>
    <x v="1"/>
    <n v="2000"/>
    <x v="66"/>
    <x v="512"/>
    <n v="7.0976575437016418"/>
    <n v="1995"/>
    <n v="0"/>
  </r>
  <r>
    <x v="1"/>
    <x v="0"/>
    <s v="URBFIF3454"/>
    <n v="1"/>
    <s v=""/>
    <n v="0"/>
    <s v="URBFIF3454MT"/>
    <n v="1"/>
    <s v=""/>
    <n v="0"/>
    <x v="0"/>
    <x v="0"/>
    <x v="10"/>
    <x v="1"/>
    <x v="10"/>
    <x v="0"/>
    <s v="URBFIF3454"/>
    <s v="URBFIF3454MT"/>
    <x v="1"/>
    <n v="2000"/>
    <x v="66"/>
    <x v="513"/>
    <n v="6.9392911311268728"/>
    <n v="2000"/>
    <n v="0"/>
  </r>
  <r>
    <x v="0"/>
    <x v="1"/>
    <s v=""/>
    <n v="0"/>
    <s v="DPSSNF3005"/>
    <n v="1"/>
    <s v=""/>
    <n v="0"/>
    <s v="DPSSNF3005BK"/>
    <n v="1"/>
    <x v="0"/>
    <x v="0"/>
    <x v="13"/>
    <x v="0"/>
    <x v="13"/>
    <x v="0"/>
    <s v="DPSSNF3005"/>
    <s v="DPSSNF3005BK"/>
    <x v="1"/>
    <n v="1200"/>
    <x v="52"/>
    <x v="514"/>
    <n v="11.811401571067192"/>
    <n v="1191"/>
    <n v="0"/>
  </r>
  <r>
    <x v="0"/>
    <x v="1"/>
    <s v=""/>
    <n v="0"/>
    <s v="MGMSNF3004"/>
    <n v="1"/>
    <s v=""/>
    <n v="0"/>
    <s v="MGMSNF3004GY"/>
    <n v="1"/>
    <x v="0"/>
    <x v="0"/>
    <x v="9"/>
    <x v="0"/>
    <x v="9"/>
    <x v="0"/>
    <s v="MGMSNF3004"/>
    <s v="MGMSNF3004GY"/>
    <x v="1"/>
    <n v="1200"/>
    <x v="31"/>
    <x v="41"/>
    <n v="5.765904285988853"/>
    <n v="1200"/>
    <n v="0"/>
  </r>
  <r>
    <x v="0"/>
    <x v="0"/>
    <s v="FFTSNF3001"/>
    <n v="1"/>
    <s v=""/>
    <n v="0"/>
    <s v="FFTSNF3001BK"/>
    <n v="1"/>
    <s v=""/>
    <n v="0"/>
    <x v="0"/>
    <x v="0"/>
    <x v="24"/>
    <x v="0"/>
    <x v="36"/>
    <x v="0"/>
    <s v="FFTSNF3001"/>
    <s v="FFTSNF3001BK"/>
    <x v="0"/>
    <n v="92"/>
    <x v="154"/>
    <x v="515"/>
    <n v="2.2222222222222223"/>
    <n v="92"/>
    <n v="0"/>
  </r>
  <r>
    <x v="0"/>
    <x v="0"/>
    <s v="FFTSNF3002"/>
    <n v="1"/>
    <s v=""/>
    <n v="0"/>
    <s v="FFTSNF3002KH"/>
    <n v="1"/>
    <s v=""/>
    <n v="0"/>
    <x v="0"/>
    <x v="0"/>
    <x v="24"/>
    <x v="0"/>
    <x v="36"/>
    <x v="0"/>
    <s v="FFTSNF3002"/>
    <s v="FFTSNF3002KH"/>
    <x v="0"/>
    <n v="250"/>
    <x v="155"/>
    <x v="516"/>
    <n v="2.2222222222222223"/>
    <n v="250"/>
    <n v="0"/>
  </r>
  <r>
    <x v="0"/>
    <x v="0"/>
    <s v="FFTSNF3003"/>
    <n v="1"/>
    <s v=""/>
    <n v="0"/>
    <s v="FFTSNF3003BK"/>
    <n v="1"/>
    <s v=""/>
    <n v="0"/>
    <x v="0"/>
    <x v="0"/>
    <x v="24"/>
    <x v="0"/>
    <x v="36"/>
    <x v="0"/>
    <s v="FFTSNF3003"/>
    <s v="FFTSNF3003BK"/>
    <x v="0"/>
    <n v="200"/>
    <x v="156"/>
    <x v="517"/>
    <n v="2.2222222222222223"/>
    <n v="200"/>
    <n v="0"/>
  </r>
  <r>
    <x v="0"/>
    <x v="0"/>
    <s v="MGMBPF3001"/>
    <n v="1"/>
    <s v=""/>
    <n v="0"/>
    <s v="MGMBPF3001BK"/>
    <n v="1"/>
    <s v=""/>
    <n v="0"/>
    <x v="0"/>
    <x v="3"/>
    <x v="9"/>
    <x v="25"/>
    <x v="37"/>
    <x v="0"/>
    <s v="MGMBPF3001"/>
    <s v="MGMBPF3001BK"/>
    <x v="1"/>
    <n v="400"/>
    <x v="42"/>
    <x v="518"/>
    <n v="3.8424877874419154"/>
    <n v="400"/>
    <n v="0"/>
  </r>
  <r>
    <x v="0"/>
    <x v="0"/>
    <s v="MGMBPF3002"/>
    <n v="1"/>
    <s v=""/>
    <n v="0"/>
    <s v="MGMBPF3002BK"/>
    <n v="1"/>
    <s v=""/>
    <n v="0"/>
    <x v="0"/>
    <x v="3"/>
    <x v="9"/>
    <x v="25"/>
    <x v="37"/>
    <x v="0"/>
    <s v="MGMBPF3002"/>
    <s v="MGMBPF3002BK"/>
    <x v="1"/>
    <n v="400"/>
    <x v="42"/>
    <x v="519"/>
    <n v="3.6624836749758667"/>
    <n v="400"/>
    <n v="0"/>
  </r>
  <r>
    <x v="0"/>
    <x v="0"/>
    <s v="MGMBPF3003"/>
    <n v="1"/>
    <s v=""/>
    <n v="0"/>
    <s v="MGMBPF3003BK"/>
    <n v="1"/>
    <s v=""/>
    <n v="0"/>
    <x v="0"/>
    <x v="3"/>
    <x v="9"/>
    <x v="25"/>
    <x v="37"/>
    <x v="0"/>
    <s v="MGMBPF3003"/>
    <s v="MGMBPF3003BK"/>
    <x v="1"/>
    <n v="400"/>
    <x v="157"/>
    <x v="520"/>
    <n v="3.8494703128849466"/>
    <n v="400"/>
    <n v="0"/>
  </r>
  <r>
    <x v="0"/>
    <x v="0"/>
    <s v="ELSBPF3004"/>
    <n v="1"/>
    <s v=""/>
    <n v="0"/>
    <s v="ELSBPF3004BK"/>
    <n v="1"/>
    <s v=""/>
    <n v="0"/>
    <x v="0"/>
    <x v="3"/>
    <x v="6"/>
    <x v="25"/>
    <x v="28"/>
    <x v="0"/>
    <s v="ELSBPF3004"/>
    <s v="ELSBPF3004BK"/>
    <x v="1"/>
    <n v="500"/>
    <x v="41"/>
    <x v="521"/>
    <n v="3.8050852457082178"/>
    <n v="500"/>
    <n v="0"/>
  </r>
  <r>
    <x v="0"/>
    <x v="0"/>
    <s v="ELSBPF3505"/>
    <n v="1"/>
    <s v=""/>
    <n v="0"/>
    <s v="ELSBPF3505BK"/>
    <n v="1"/>
    <s v=""/>
    <n v="0"/>
    <x v="0"/>
    <x v="3"/>
    <x v="6"/>
    <x v="25"/>
    <x v="28"/>
    <x v="1"/>
    <s v="ELSBPF3505"/>
    <s v="ELSBPF3505BK"/>
    <x v="1"/>
    <n v="1500"/>
    <x v="158"/>
    <x v="522"/>
    <n v="4.2130488559059991"/>
    <n v="1500"/>
    <n v="0"/>
  </r>
  <r>
    <x v="1"/>
    <x v="1"/>
    <s v=""/>
    <n v="0"/>
    <s v="URBFIF3453"/>
    <n v="1"/>
    <s v=""/>
    <n v="0"/>
    <s v="URBFIF3453BW"/>
    <n v="1"/>
    <x v="0"/>
    <x v="0"/>
    <x v="10"/>
    <x v="1"/>
    <x v="10"/>
    <x v="0"/>
    <s v="URBFIF3453"/>
    <s v="URBFIF3453BW"/>
    <x v="1"/>
    <n v="1000"/>
    <x v="75"/>
    <x v="523"/>
    <n v="9.8325342928542163"/>
    <n v="999"/>
    <n v="0"/>
  </r>
  <r>
    <x v="1"/>
    <x v="1"/>
    <s v=""/>
    <n v="0"/>
    <s v="URBFIF3454"/>
    <n v="1"/>
    <s v=""/>
    <n v="0"/>
    <s v="URBFIF3454MT"/>
    <n v="1"/>
    <x v="0"/>
    <x v="0"/>
    <x v="10"/>
    <x v="1"/>
    <x v="10"/>
    <x v="0"/>
    <s v="URBFIF3454"/>
    <s v="URBFIF3454MT"/>
    <x v="1"/>
    <n v="1000"/>
    <x v="75"/>
    <x v="524"/>
    <n v="9.5312017330168644"/>
    <n v="999"/>
    <n v="0"/>
  </r>
  <r>
    <x v="0"/>
    <x v="0"/>
    <s v="SBRFAF3071"/>
    <n v="0.5"/>
    <s v=""/>
    <n v="0"/>
    <s v="SBRFAF3071WH"/>
    <n v="1"/>
    <s v=""/>
    <n v="0"/>
    <x v="0"/>
    <x v="0"/>
    <x v="17"/>
    <x v="5"/>
    <x v="19"/>
    <x v="0"/>
    <s v="SBRFAF3071"/>
    <s v="SBRFAF3071WH"/>
    <x v="1"/>
    <n v="20"/>
    <x v="159"/>
    <x v="525"/>
    <n v="9.0000000000000018"/>
    <n v="20"/>
    <n v="0"/>
  </r>
  <r>
    <x v="0"/>
    <x v="0"/>
    <s v="SBRFAF3071"/>
    <n v="0.5"/>
    <s v=""/>
    <n v="0"/>
    <s v="SBRFAF3071BK"/>
    <n v="1"/>
    <s v=""/>
    <n v="0"/>
    <x v="0"/>
    <x v="0"/>
    <x v="17"/>
    <x v="5"/>
    <x v="19"/>
    <x v="0"/>
    <s v="SBRFAF3071"/>
    <s v="SBRFAF3071BK"/>
    <x v="1"/>
    <n v="20"/>
    <x v="159"/>
    <x v="525"/>
    <n v="9.0000000000000018"/>
    <n v="20"/>
    <n v="0"/>
  </r>
  <r>
    <x v="0"/>
    <x v="0"/>
    <s v="SBRFAF3072"/>
    <n v="1"/>
    <s v=""/>
    <n v="0"/>
    <s v="SBRFAF3072BL"/>
    <n v="1"/>
    <s v=""/>
    <n v="0"/>
    <x v="0"/>
    <x v="0"/>
    <x v="17"/>
    <x v="5"/>
    <x v="19"/>
    <x v="0"/>
    <s v="SBRFAF3072"/>
    <s v="SBRFAF3072BL"/>
    <x v="1"/>
    <n v="15"/>
    <x v="160"/>
    <x v="526"/>
    <n v="9.0000000000000018"/>
    <n v="20"/>
    <n v="0"/>
  </r>
  <r>
    <x v="0"/>
    <x v="0"/>
    <s v="SBRFAF3073"/>
    <n v="1"/>
    <s v=""/>
    <n v="0"/>
    <s v="SBRFAF3073BL"/>
    <n v="1"/>
    <s v=""/>
    <n v="0"/>
    <x v="0"/>
    <x v="0"/>
    <x v="17"/>
    <x v="5"/>
    <x v="19"/>
    <x v="0"/>
    <s v="SBRFAF3073"/>
    <s v="SBRFAF3073BL"/>
    <x v="1"/>
    <n v="20"/>
    <x v="159"/>
    <x v="525"/>
    <n v="9.0000000000000018"/>
    <n v="15"/>
    <n v="0"/>
  </r>
  <r>
    <x v="0"/>
    <x v="0"/>
    <s v="SBRFAF3074"/>
    <n v="1"/>
    <s v=""/>
    <n v="0"/>
    <s v="SBRFAF3074WH"/>
    <n v="1"/>
    <s v=""/>
    <n v="0"/>
    <x v="0"/>
    <x v="0"/>
    <x v="17"/>
    <x v="5"/>
    <x v="19"/>
    <x v="0"/>
    <s v="SBRFAF3074"/>
    <s v="SBRFAF3074WH"/>
    <x v="1"/>
    <n v="15"/>
    <x v="160"/>
    <x v="526"/>
    <n v="9.0000000000000018"/>
    <n v="15"/>
    <n v="0"/>
  </r>
  <r>
    <x v="0"/>
    <x v="0"/>
    <s v="PLAUMF3004"/>
    <n v="1"/>
    <s v=""/>
    <n v="0"/>
    <s v="PLAUMF3004BW"/>
    <n v="1"/>
    <s v=""/>
    <n v="0"/>
    <x v="0"/>
    <x v="0"/>
    <x v="11"/>
    <x v="11"/>
    <x v="11"/>
    <x v="0"/>
    <s v="PLAUMF3004"/>
    <s v="PLAUMF3004BW"/>
    <x v="1"/>
    <n v="1000"/>
    <x v="72"/>
    <x v="527"/>
    <n v="7.1664213078354466"/>
    <n v="999"/>
    <n v="0"/>
  </r>
  <r>
    <x v="0"/>
    <x v="0"/>
    <s v="MGMSNF3013"/>
    <n v="1"/>
    <s v=""/>
    <n v="0"/>
    <s v="MGMSNF3013GR"/>
    <n v="1"/>
    <s v=""/>
    <n v="0"/>
    <x v="0"/>
    <x v="0"/>
    <x v="9"/>
    <x v="0"/>
    <x v="9"/>
    <x v="0"/>
    <s v="MGMSNF3013"/>
    <s v="MGMSNF3013GR"/>
    <x v="1"/>
    <n v="800"/>
    <x v="76"/>
    <x v="528"/>
    <n v="6.6973723826854759"/>
    <n v="807"/>
    <n v="0"/>
  </r>
  <r>
    <x v="0"/>
    <x v="0"/>
    <s v="MGMSNF5014"/>
    <n v="1"/>
    <s v=""/>
    <n v="0"/>
    <s v="MGMSNF5014BK"/>
    <n v="1"/>
    <s v=""/>
    <n v="0"/>
    <x v="1"/>
    <x v="0"/>
    <x v="9"/>
    <x v="0"/>
    <x v="9"/>
    <x v="0"/>
    <s v="MGMSNF5014"/>
    <s v="MGMSNF5014BK"/>
    <x v="1"/>
    <n v="1000"/>
    <x v="30"/>
    <x v="529"/>
    <n v="6.9773300654206878"/>
    <n v="950"/>
    <n v="0"/>
  </r>
  <r>
    <x v="0"/>
    <x v="0"/>
    <s v="MGMSNF5015"/>
    <n v="1"/>
    <s v=""/>
    <n v="0"/>
    <s v="MGMSNF5015BK"/>
    <n v="1"/>
    <s v=""/>
    <n v="0"/>
    <x v="1"/>
    <x v="0"/>
    <x v="9"/>
    <x v="0"/>
    <x v="9"/>
    <x v="0"/>
    <s v="MGMSNF5015"/>
    <s v="MGMSNF5015BK"/>
    <x v="1"/>
    <n v="1000"/>
    <x v="30"/>
    <x v="530"/>
    <n v="6.7755186358381554"/>
    <n v="1006"/>
    <n v="0"/>
  </r>
  <r>
    <x v="0"/>
    <x v="0"/>
    <s v="MGMSNF3016"/>
    <n v="1"/>
    <s v=""/>
    <n v="0"/>
    <s v="MGMSNF3016NY"/>
    <n v="1"/>
    <s v=""/>
    <n v="0"/>
    <x v="0"/>
    <x v="0"/>
    <x v="9"/>
    <x v="0"/>
    <x v="9"/>
    <x v="0"/>
    <s v="MGMSNF3016"/>
    <s v="MGMSNF3016NY"/>
    <x v="1"/>
    <n v="1200"/>
    <x v="31"/>
    <x v="531"/>
    <n v="11.191566035835395"/>
    <n v="1200"/>
    <n v="0"/>
  </r>
  <r>
    <x v="0"/>
    <x v="0"/>
    <s v="MGMSNF3017"/>
    <n v="1"/>
    <s v=""/>
    <n v="0"/>
    <s v="MGMSNF3017BK"/>
    <n v="1"/>
    <s v=""/>
    <n v="0"/>
    <x v="0"/>
    <x v="0"/>
    <x v="9"/>
    <x v="0"/>
    <x v="9"/>
    <x v="0"/>
    <s v="MGMSNF3017"/>
    <s v="MGMSNF3017BK"/>
    <x v="1"/>
    <n v="1200"/>
    <x v="31"/>
    <x v="532"/>
    <n v="12.235409274440229"/>
    <n v="1200"/>
    <n v="0"/>
  </r>
  <r>
    <x v="1"/>
    <x v="0"/>
    <s v="URBFIF3423"/>
    <n v="1"/>
    <s v=""/>
    <n v="0"/>
    <s v="URBFIF3423BK"/>
    <n v="1"/>
    <s v=""/>
    <n v="0"/>
    <x v="0"/>
    <x v="0"/>
    <x v="10"/>
    <x v="1"/>
    <x v="10"/>
    <x v="0"/>
    <s v="URBFIF3423"/>
    <s v="URBFIF3423BK"/>
    <x v="1"/>
    <n v="2000"/>
    <x v="44"/>
    <x v="533"/>
    <n v="5.1503174032818295"/>
    <n v="2000"/>
    <n v="0"/>
  </r>
  <r>
    <x v="1"/>
    <x v="0"/>
    <s v="URBFIF3451"/>
    <n v="0.5"/>
    <s v=""/>
    <n v="0"/>
    <s v="URBFIF3451GY"/>
    <n v="1"/>
    <s v=""/>
    <n v="0"/>
    <x v="0"/>
    <x v="0"/>
    <x v="10"/>
    <x v="1"/>
    <x v="10"/>
    <x v="0"/>
    <s v="URBFIF3451"/>
    <s v="URBFIF3451GY"/>
    <x v="1"/>
    <n v="2000"/>
    <x v="66"/>
    <x v="534"/>
    <n v="9.54156452299517"/>
    <n v="2000"/>
    <n v="0"/>
  </r>
  <r>
    <x v="1"/>
    <x v="0"/>
    <s v="URBFIF3451"/>
    <n v="0.5"/>
    <s v=""/>
    <n v="0"/>
    <s v="URBFIF3451BK"/>
    <n v="1"/>
    <s v=""/>
    <n v="0"/>
    <x v="0"/>
    <x v="0"/>
    <x v="10"/>
    <x v="1"/>
    <x v="10"/>
    <x v="0"/>
    <s v="URBFIF3451"/>
    <s v="URBFIF3451BK"/>
    <x v="1"/>
    <n v="1000"/>
    <x v="75"/>
    <x v="535"/>
    <n v="8.8199774751344489"/>
    <n v="1000"/>
    <n v="0"/>
  </r>
  <r>
    <x v="1"/>
    <x v="0"/>
    <s v="VBLBAF3404"/>
    <n v="1"/>
    <s v=""/>
    <n v="0"/>
    <s v="VBLBAF3404NY"/>
    <n v="1"/>
    <s v=""/>
    <n v="0"/>
    <x v="0"/>
    <x v="0"/>
    <x v="5"/>
    <x v="6"/>
    <x v="5"/>
    <x v="0"/>
    <s v="VBLBAF3404"/>
    <s v="VBLBAF3404NY"/>
    <x v="1"/>
    <n v="2000"/>
    <x v="45"/>
    <x v="536"/>
    <n v="10.156513952770133"/>
    <n v="1995"/>
    <n v="0"/>
  </r>
  <r>
    <x v="0"/>
    <x v="1"/>
    <s v=""/>
    <n v="0"/>
    <s v="MGMSNF3001"/>
    <n v="1"/>
    <s v=""/>
    <n v="0"/>
    <s v="MGMSNF3001BK"/>
    <n v="1"/>
    <x v="0"/>
    <x v="0"/>
    <x v="9"/>
    <x v="0"/>
    <x v="9"/>
    <x v="0"/>
    <s v="MGMSNF3001"/>
    <s v="MGMSNF3001BK"/>
    <x v="1"/>
    <n v="1500"/>
    <x v="29"/>
    <x v="537"/>
    <n v="5.8109504132231393"/>
    <n v="1500"/>
    <n v="0"/>
  </r>
  <r>
    <x v="0"/>
    <x v="1"/>
    <s v=""/>
    <n v="0"/>
    <s v="MGMSNF3011"/>
    <n v="1"/>
    <s v=""/>
    <n v="0"/>
    <s v="MGMSNF3011NY"/>
    <n v="1"/>
    <x v="0"/>
    <x v="0"/>
    <x v="9"/>
    <x v="0"/>
    <x v="9"/>
    <x v="0"/>
    <s v="MGMSNF3011"/>
    <s v="MGMSNF3011NY"/>
    <x v="1"/>
    <n v="1200"/>
    <x v="31"/>
    <x v="531"/>
    <n v="11.191566035835395"/>
    <n v="1218"/>
    <n v="0"/>
  </r>
  <r>
    <x v="1"/>
    <x v="0"/>
    <s v="ZZZFIF3422"/>
    <n v="0.5"/>
    <s v=""/>
    <n v="0"/>
    <s v="ZZZFIF3422WH"/>
    <n v="1"/>
    <s v=""/>
    <n v="0"/>
    <x v="0"/>
    <x v="0"/>
    <x v="25"/>
    <x v="1"/>
    <x v="38"/>
    <x v="0"/>
    <s v="ZZZFIF3422"/>
    <s v="ZZZFIF3422WH"/>
    <x v="1"/>
    <n v="1500"/>
    <x v="26"/>
    <x v="89"/>
    <n v="4.8760330578512399"/>
    <n v="1506"/>
    <n v="0"/>
  </r>
  <r>
    <x v="1"/>
    <x v="0"/>
    <s v="ZZZFIF3422"/>
    <n v="0.5"/>
    <s v=""/>
    <n v="0"/>
    <s v="ZZZFIF3422BK"/>
    <n v="1"/>
    <s v=""/>
    <n v="0"/>
    <x v="0"/>
    <x v="0"/>
    <x v="25"/>
    <x v="1"/>
    <x v="38"/>
    <x v="0"/>
    <s v="ZZZFIF3422"/>
    <s v="ZZZFIF3422BK"/>
    <x v="1"/>
    <n v="2000"/>
    <x v="23"/>
    <x v="538"/>
    <n v="4.876033057851239"/>
    <n v="2049"/>
    <n v="0"/>
  </r>
  <r>
    <x v="0"/>
    <x v="0"/>
    <s v="ZZZSNF3001"/>
    <n v="1"/>
    <s v=""/>
    <n v="0"/>
    <s v="ZZZSNF3001RE"/>
    <n v="1"/>
    <s v=""/>
    <n v="0"/>
    <x v="0"/>
    <x v="0"/>
    <x v="25"/>
    <x v="0"/>
    <x v="38"/>
    <x v="0"/>
    <s v="ZZZSNF3001"/>
    <s v="ZZZSNF3001RE"/>
    <x v="1"/>
    <n v="800"/>
    <x v="108"/>
    <x v="539"/>
    <n v="4.290909090909091"/>
    <n v="813"/>
    <n v="0"/>
  </r>
  <r>
    <x v="0"/>
    <x v="0"/>
    <s v="ZZZSNF3002"/>
    <n v="1"/>
    <s v=""/>
    <n v="0"/>
    <s v="ZZZSNF3002BK"/>
    <n v="1"/>
    <s v=""/>
    <n v="0"/>
    <x v="0"/>
    <x v="0"/>
    <x v="25"/>
    <x v="0"/>
    <x v="38"/>
    <x v="0"/>
    <s v="ZZZSNF3002"/>
    <s v="ZZZSNF3002BK"/>
    <x v="1"/>
    <n v="500"/>
    <x v="161"/>
    <x v="540"/>
    <n v="4.876033057851239"/>
    <n v="500"/>
    <n v="0"/>
  </r>
  <r>
    <x v="0"/>
    <x v="0"/>
    <s v="ZZZSNF3003"/>
    <n v="1"/>
    <s v=""/>
    <n v="0"/>
    <s v="ZZZSNF3003BK"/>
    <n v="1"/>
    <s v=""/>
    <n v="0"/>
    <x v="0"/>
    <x v="0"/>
    <x v="25"/>
    <x v="0"/>
    <x v="38"/>
    <x v="0"/>
    <s v="ZZZSNF3003"/>
    <s v="ZZZSNF3003BK"/>
    <x v="1"/>
    <n v="500"/>
    <x v="161"/>
    <x v="541"/>
    <n v="4.2909090909090901"/>
    <n v="500"/>
    <n v="0"/>
  </r>
  <r>
    <x v="0"/>
    <x v="0"/>
    <s v="ZZZSNF3011"/>
    <n v="1"/>
    <s v=""/>
    <n v="0"/>
    <s v="ZZZSNF3011BK"/>
    <n v="1"/>
    <s v=""/>
    <n v="0"/>
    <x v="0"/>
    <x v="0"/>
    <x v="25"/>
    <x v="0"/>
    <x v="38"/>
    <x v="0"/>
    <s v="ZZZSNF3011"/>
    <s v="ZZZSNF3011BK"/>
    <x v="1"/>
    <n v="300"/>
    <x v="162"/>
    <x v="542"/>
    <n v="1.7078835906544609"/>
    <n v="300"/>
    <n v="0"/>
  </r>
  <r>
    <x v="0"/>
    <x v="0"/>
    <s v="ZZZSNF3012"/>
    <n v="1"/>
    <s v=""/>
    <n v="0"/>
    <s v="ZZZSNF3012BK"/>
    <n v="1"/>
    <s v=""/>
    <n v="0"/>
    <x v="0"/>
    <x v="0"/>
    <x v="25"/>
    <x v="0"/>
    <x v="38"/>
    <x v="0"/>
    <s v="ZZZSNF3012"/>
    <s v="ZZZSNF3012BK"/>
    <x v="1"/>
    <n v="300"/>
    <x v="162"/>
    <x v="543"/>
    <n v="1.7245145491544129"/>
    <n v="300"/>
    <n v="0"/>
  </r>
  <r>
    <x v="0"/>
    <x v="0"/>
    <s v="ZZZSNF3013"/>
    <n v="1"/>
    <s v=""/>
    <n v="0"/>
    <s v="ZZZSNF3013BK"/>
    <n v="1"/>
    <s v=""/>
    <n v="0"/>
    <x v="0"/>
    <x v="0"/>
    <x v="25"/>
    <x v="0"/>
    <x v="38"/>
    <x v="0"/>
    <s v="ZZZSNF3013"/>
    <s v="ZZZSNF3013BK"/>
    <x v="1"/>
    <n v="300"/>
    <x v="115"/>
    <x v="544"/>
    <n v="1.6874585668655457"/>
    <n v="300"/>
    <n v="0"/>
  </r>
  <r>
    <x v="0"/>
    <x v="0"/>
    <s v="ZZZSNF3014"/>
    <n v="1"/>
    <s v=""/>
    <n v="0"/>
    <s v="ZZZSNF3014RE"/>
    <n v="1"/>
    <s v=""/>
    <n v="0"/>
    <x v="0"/>
    <x v="0"/>
    <x v="25"/>
    <x v="0"/>
    <x v="38"/>
    <x v="0"/>
    <s v="ZZZSNF3014"/>
    <s v="ZZZSNF3014RE"/>
    <x v="1"/>
    <n v="300"/>
    <x v="115"/>
    <x v="545"/>
    <n v="1.6303904785196055"/>
    <n v="300"/>
    <n v="0"/>
  </r>
  <r>
    <x v="0"/>
    <x v="0"/>
    <s v="JOIBEF5524"/>
    <n v="1"/>
    <s v=""/>
    <n v="0"/>
    <s v="JOIBEF5524YE"/>
    <n v="1"/>
    <s v=""/>
    <n v="0"/>
    <x v="1"/>
    <x v="0"/>
    <x v="7"/>
    <x v="21"/>
    <x v="7"/>
    <x v="1"/>
    <s v="JOIBEF5524"/>
    <s v="JOIBEF5524YE"/>
    <x v="1"/>
    <n v="800"/>
    <x v="74"/>
    <x v="546"/>
    <n v="6.4362638247646284"/>
    <n v="800"/>
    <n v="0"/>
  </r>
  <r>
    <x v="0"/>
    <x v="0"/>
    <s v="JOIBEF5525"/>
    <n v="1"/>
    <s v=""/>
    <n v="0"/>
    <s v="JOIBEF5525MT"/>
    <n v="1"/>
    <s v=""/>
    <n v="0"/>
    <x v="1"/>
    <x v="0"/>
    <x v="7"/>
    <x v="21"/>
    <x v="7"/>
    <x v="1"/>
    <s v="JOIBEF5525"/>
    <s v="JOIBEF5525MT"/>
    <x v="1"/>
    <n v="800"/>
    <x v="74"/>
    <x v="547"/>
    <n v="5.9241184228234696"/>
    <n v="796"/>
    <n v="0"/>
  </r>
  <r>
    <x v="0"/>
    <x v="0"/>
    <s v="ELSBEF5037"/>
    <n v="1"/>
    <s v=""/>
    <n v="0"/>
    <s v="ELSBEF5037BK"/>
    <n v="1"/>
    <s v=""/>
    <n v="0"/>
    <x v="1"/>
    <x v="0"/>
    <x v="6"/>
    <x v="21"/>
    <x v="6"/>
    <x v="0"/>
    <s v="ELSBEF5037"/>
    <s v="ELSBEF5037BK"/>
    <x v="1"/>
    <n v="800"/>
    <x v="74"/>
    <x v="548"/>
    <n v="6.1043907160669439"/>
    <n v="800"/>
    <n v="0"/>
  </r>
  <r>
    <x v="0"/>
    <x v="0"/>
    <s v="SBRFAF3075"/>
    <n v="1"/>
    <s v=""/>
    <n v="0"/>
    <s v="SBRFAF3075BK"/>
    <n v="1"/>
    <s v=""/>
    <n v="0"/>
    <x v="0"/>
    <x v="0"/>
    <x v="17"/>
    <x v="5"/>
    <x v="19"/>
    <x v="0"/>
    <s v="SBRFAF3075"/>
    <s v="SBRFAF3075BK"/>
    <x v="1"/>
    <n v="600"/>
    <x v="3"/>
    <x v="549"/>
    <n v="4.2613636363636358"/>
    <n v="603"/>
    <n v="0"/>
  </r>
  <r>
    <x v="0"/>
    <x v="0"/>
    <s v="SBRFAF3076"/>
    <n v="1"/>
    <s v=""/>
    <n v="0"/>
    <s v="SBRFAF3076GY"/>
    <n v="1"/>
    <s v=""/>
    <n v="0"/>
    <x v="0"/>
    <x v="0"/>
    <x v="17"/>
    <x v="5"/>
    <x v="19"/>
    <x v="0"/>
    <s v="SBRFAF3076"/>
    <s v="SBRFAF3076GY"/>
    <x v="1"/>
    <n v="600"/>
    <x v="3"/>
    <x v="550"/>
    <n v="4.0504050405040495"/>
    <n v="607"/>
    <n v="0"/>
  </r>
  <r>
    <x v="0"/>
    <x v="0"/>
    <s v="SBRFAF5077"/>
    <n v="1"/>
    <s v=""/>
    <n v="0"/>
    <s v="SBRFAF5077BK"/>
    <n v="1"/>
    <s v=""/>
    <n v="0"/>
    <x v="1"/>
    <x v="0"/>
    <x v="17"/>
    <x v="5"/>
    <x v="19"/>
    <x v="0"/>
    <s v="SBRFAF5077"/>
    <s v="SBRFAF5077BK"/>
    <x v="1"/>
    <n v="600"/>
    <x v="122"/>
    <x v="550"/>
    <n v="4.4104410441044095"/>
    <n v="615"/>
    <n v="0"/>
  </r>
  <r>
    <x v="1"/>
    <x v="0"/>
    <s v="BMDBAF3405"/>
    <n v="1"/>
    <s v=""/>
    <n v="0"/>
    <s v="BMDBAF3405BK"/>
    <n v="1"/>
    <s v=""/>
    <n v="0"/>
    <x v="0"/>
    <x v="0"/>
    <x v="19"/>
    <x v="6"/>
    <x v="21"/>
    <x v="0"/>
    <s v="BMDBAF3405"/>
    <s v="BMDBAF3405BK"/>
    <x v="1"/>
    <n v="1000"/>
    <x v="35"/>
    <x v="551"/>
    <n v="8.1903144740782707"/>
    <n v="938"/>
    <n v="0"/>
  </r>
  <r>
    <x v="1"/>
    <x v="0"/>
    <s v="BMDBAF3408"/>
    <n v="1"/>
    <s v=""/>
    <n v="0"/>
    <s v="BMDBAF3408BK"/>
    <n v="1"/>
    <s v=""/>
    <n v="0"/>
    <x v="0"/>
    <x v="0"/>
    <x v="19"/>
    <x v="6"/>
    <x v="21"/>
    <x v="0"/>
    <s v="BMDBAF3408"/>
    <s v="BMDBAF3408BK"/>
    <x v="1"/>
    <n v="1000"/>
    <x v="34"/>
    <x v="552"/>
    <n v="6.6627578487287433"/>
    <n v="953"/>
    <n v="0"/>
  </r>
  <r>
    <x v="1"/>
    <x v="0"/>
    <s v="DPSFIF3413"/>
    <n v="1"/>
    <s v=""/>
    <n v="0"/>
    <s v="DPSFIF3413PK"/>
    <n v="1"/>
    <s v=""/>
    <n v="0"/>
    <x v="0"/>
    <x v="0"/>
    <x v="13"/>
    <x v="1"/>
    <x v="13"/>
    <x v="0"/>
    <s v="DPSFIF3413"/>
    <s v="DPSFIF3413PK"/>
    <x v="1"/>
    <n v="3000"/>
    <x v="17"/>
    <x v="553"/>
    <n v="10.366764388090973"/>
    <n v="3000"/>
    <n v="0"/>
  </r>
  <r>
    <x v="1"/>
    <x v="1"/>
    <s v=""/>
    <n v="0"/>
    <s v="PLAUMF3407"/>
    <n v="1"/>
    <s v=""/>
    <n v="0"/>
    <s v="PLAUMF3407BK"/>
    <n v="1"/>
    <x v="0"/>
    <x v="0"/>
    <x v="11"/>
    <x v="11"/>
    <x v="11"/>
    <x v="0"/>
    <s v="PLAUMF3407"/>
    <s v="PLAUMF3407BK"/>
    <x v="1"/>
    <n v="2000"/>
    <x v="23"/>
    <x v="554"/>
    <n v="7.7474824949572403"/>
    <n v="2000"/>
    <n v="0"/>
  </r>
  <r>
    <x v="0"/>
    <x v="0"/>
    <s v="FFTSNF3005"/>
    <n v="1"/>
    <s v=""/>
    <n v="0"/>
    <s v="FFTSNF3005KH"/>
    <n v="1"/>
    <s v=""/>
    <n v="0"/>
    <x v="0"/>
    <x v="0"/>
    <x v="24"/>
    <x v="0"/>
    <x v="36"/>
    <x v="0"/>
    <s v="FFTSNF3005"/>
    <s v="FFTSNF3005KH"/>
    <x v="0"/>
    <n v="100"/>
    <x v="163"/>
    <x v="555"/>
    <n v="2.2222222222222223"/>
    <n v="100"/>
    <n v="0"/>
  </r>
  <r>
    <x v="0"/>
    <x v="0"/>
    <s v="FFTSNF3006"/>
    <n v="1"/>
    <s v=""/>
    <n v="0"/>
    <s v="FFTSNF3006GY"/>
    <n v="1"/>
    <s v=""/>
    <n v="0"/>
    <x v="0"/>
    <x v="0"/>
    <x v="24"/>
    <x v="0"/>
    <x v="36"/>
    <x v="0"/>
    <s v="FFTSNF3006"/>
    <s v="FFTSNF3006GY"/>
    <x v="0"/>
    <n v="100"/>
    <x v="163"/>
    <x v="555"/>
    <n v="2.2222222222222223"/>
    <n v="100"/>
    <n v="0"/>
  </r>
  <r>
    <x v="0"/>
    <x v="0"/>
    <s v="FFTSNF3008"/>
    <n v="1"/>
    <s v=""/>
    <n v="0"/>
    <s v="FFTSNF3008BK"/>
    <n v="1"/>
    <s v=""/>
    <n v="0"/>
    <x v="0"/>
    <x v="0"/>
    <x v="24"/>
    <x v="0"/>
    <x v="36"/>
    <x v="0"/>
    <s v="FFTSNF3008"/>
    <s v="FFTSNF3008BK"/>
    <x v="0"/>
    <n v="200"/>
    <x v="164"/>
    <x v="556"/>
    <n v="2.2222222222222223"/>
    <n v="200"/>
    <n v="0"/>
  </r>
  <r>
    <x v="0"/>
    <x v="0"/>
    <s v="FFTSNF3010"/>
    <n v="1"/>
    <s v=""/>
    <n v="0"/>
    <s v="FFTSNF3010BK"/>
    <n v="1"/>
    <s v=""/>
    <n v="0"/>
    <x v="0"/>
    <x v="0"/>
    <x v="24"/>
    <x v="0"/>
    <x v="36"/>
    <x v="0"/>
    <s v="FFTSNF3010"/>
    <s v="FFTSNF3010BK"/>
    <x v="0"/>
    <n v="14"/>
    <x v="165"/>
    <x v="557"/>
    <n v="2.2222222222222223"/>
    <n v="14"/>
    <n v="0"/>
  </r>
  <r>
    <x v="0"/>
    <x v="0"/>
    <s v="FFTSNF3012"/>
    <n v="1"/>
    <s v=""/>
    <n v="0"/>
    <s v="FFTSNF3012WH"/>
    <n v="1"/>
    <s v=""/>
    <n v="0"/>
    <x v="0"/>
    <x v="0"/>
    <x v="24"/>
    <x v="0"/>
    <x v="36"/>
    <x v="0"/>
    <s v="FFTSNF3012"/>
    <s v="FFTSNF3012WH"/>
    <x v="0"/>
    <n v="26"/>
    <x v="166"/>
    <x v="558"/>
    <n v="2.2222222222222223"/>
    <n v="26"/>
    <n v="0"/>
  </r>
  <r>
    <x v="0"/>
    <x v="0"/>
    <s v="FFTSNF3013"/>
    <n v="1"/>
    <s v=""/>
    <n v="0"/>
    <s v="FFTSNF3013WH"/>
    <n v="1"/>
    <s v=""/>
    <n v="0"/>
    <x v="0"/>
    <x v="0"/>
    <x v="24"/>
    <x v="0"/>
    <x v="36"/>
    <x v="0"/>
    <s v="FFTSNF3013"/>
    <s v="FFTSNF3013WH"/>
    <x v="0"/>
    <n v="21"/>
    <x v="167"/>
    <x v="559"/>
    <n v="2.2222222222222223"/>
    <n v="21"/>
    <n v="0"/>
  </r>
  <r>
    <x v="0"/>
    <x v="0"/>
    <s v="SBRBEF5078"/>
    <n v="0.33333333333333331"/>
    <s v=""/>
    <n v="0"/>
    <s v="SBRBEF5078BU"/>
    <n v="1"/>
    <s v=""/>
    <n v="0"/>
    <x v="1"/>
    <x v="0"/>
    <x v="17"/>
    <x v="21"/>
    <x v="19"/>
    <x v="0"/>
    <s v="SBRBEF5078"/>
    <s v="SBRBEF5078BU"/>
    <x v="1"/>
    <n v="400"/>
    <x v="168"/>
    <x v="560"/>
    <n v="4.5146196929516842"/>
    <n v="397"/>
    <n v="0"/>
  </r>
  <r>
    <x v="0"/>
    <x v="0"/>
    <s v="SBRBEF5078"/>
    <n v="0.33333333333333331"/>
    <s v=""/>
    <n v="0"/>
    <s v="SBRBEF5078BK"/>
    <n v="1"/>
    <s v=""/>
    <n v="0"/>
    <x v="1"/>
    <x v="0"/>
    <x v="17"/>
    <x v="21"/>
    <x v="19"/>
    <x v="0"/>
    <s v="SBRBEF5078"/>
    <s v="SBRBEF5078BK"/>
    <x v="1"/>
    <n v="500"/>
    <x v="169"/>
    <x v="561"/>
    <n v="4.5146196929516842"/>
    <n v="494"/>
    <n v="0"/>
  </r>
  <r>
    <x v="0"/>
    <x v="0"/>
    <s v="SBRBEF5078"/>
    <n v="0.33333333333333331"/>
    <s v=""/>
    <n v="0"/>
    <s v="SBRBEF5078GY"/>
    <n v="1"/>
    <s v=""/>
    <n v="0"/>
    <x v="1"/>
    <x v="0"/>
    <x v="17"/>
    <x v="21"/>
    <x v="19"/>
    <x v="0"/>
    <s v="SBRBEF5078"/>
    <s v="SBRBEF5078GY"/>
    <x v="1"/>
    <n v="400"/>
    <x v="168"/>
    <x v="560"/>
    <n v="4.5146196929516842"/>
    <n v="399"/>
    <n v="0"/>
  </r>
  <r>
    <x v="0"/>
    <x v="1"/>
    <s v=""/>
    <n v="0"/>
    <s v="NOVTPF5011"/>
    <n v="0.33333333333333331"/>
    <s v=""/>
    <n v="0"/>
    <s v="NOVTPF5011BK"/>
    <n v="1"/>
    <x v="1"/>
    <x v="0"/>
    <x v="15"/>
    <x v="7"/>
    <x v="17"/>
    <x v="0"/>
    <s v="NOVTPF5011"/>
    <s v="NOVTPF5011BK"/>
    <x v="1"/>
    <n v="700"/>
    <x v="170"/>
    <x v="562"/>
    <n v="6.0186179470463692"/>
    <n v="700"/>
    <n v="0"/>
  </r>
  <r>
    <x v="0"/>
    <x v="1"/>
    <s v=""/>
    <n v="0"/>
    <s v="NOVTPF5011"/>
    <n v="0.33333333333333331"/>
    <s v=""/>
    <n v="0"/>
    <s v="NOVTPF5011RE"/>
    <n v="1"/>
    <x v="1"/>
    <x v="0"/>
    <x v="15"/>
    <x v="7"/>
    <x v="17"/>
    <x v="0"/>
    <s v="NOVTPF5011"/>
    <s v="NOVTPF5011RE"/>
    <x v="1"/>
    <n v="700"/>
    <x v="170"/>
    <x v="563"/>
    <n v="6.2134786081335998"/>
    <n v="705"/>
    <n v="0"/>
  </r>
  <r>
    <x v="0"/>
    <x v="1"/>
    <s v=""/>
    <n v="0"/>
    <s v="NOVTPF5011"/>
    <n v="0.33333333333333331"/>
    <s v=""/>
    <n v="0"/>
    <s v="NOVTPF5011PK"/>
    <n v="1"/>
    <x v="1"/>
    <x v="0"/>
    <x v="15"/>
    <x v="7"/>
    <x v="17"/>
    <x v="0"/>
    <s v="NOVTPF5011"/>
    <s v="NOVTPF5011PK"/>
    <x v="1"/>
    <n v="700"/>
    <x v="170"/>
    <x v="564"/>
    <n v="6.3505502108664009"/>
    <n v="703"/>
    <n v="0"/>
  </r>
  <r>
    <x v="0"/>
    <x v="1"/>
    <s v=""/>
    <n v="0"/>
    <s v="ELSSNF3001"/>
    <n v="1"/>
    <s v=""/>
    <n v="0"/>
    <s v="ELSSNF3001BK"/>
    <n v="1"/>
    <x v="0"/>
    <x v="0"/>
    <x v="6"/>
    <x v="0"/>
    <x v="6"/>
    <x v="0"/>
    <s v="ELSSNF3001"/>
    <s v="ELSSNF3001BK"/>
    <x v="1"/>
    <n v="2000"/>
    <x v="22"/>
    <x v="565"/>
    <n v="6.9214264290822971"/>
    <n v="1995"/>
    <n v="0"/>
  </r>
  <r>
    <x v="0"/>
    <x v="1"/>
    <s v=""/>
    <n v="0"/>
    <s v="ELSSNF5028"/>
    <n v="1"/>
    <s v=""/>
    <n v="0"/>
    <s v="ELSSNF5028GY"/>
    <n v="1"/>
    <x v="1"/>
    <x v="0"/>
    <x v="6"/>
    <x v="0"/>
    <x v="6"/>
    <x v="0"/>
    <s v="ELSSNF5028"/>
    <s v="ELSSNF5028GY"/>
    <x v="1"/>
    <n v="2000"/>
    <x v="22"/>
    <x v="566"/>
    <n v="6.4413621333791378"/>
    <n v="1967"/>
    <n v="0"/>
  </r>
  <r>
    <x v="0"/>
    <x v="0"/>
    <s v="HCUBAF3011"/>
    <n v="1"/>
    <s v=""/>
    <n v="0"/>
    <s v="HCUBAF3011BK"/>
    <n v="1"/>
    <s v=""/>
    <n v="0"/>
    <x v="0"/>
    <x v="0"/>
    <x v="3"/>
    <x v="6"/>
    <x v="3"/>
    <x v="0"/>
    <s v="HCUBAF3011"/>
    <s v="HCUBAF3011BK"/>
    <x v="1"/>
    <n v="800"/>
    <x v="110"/>
    <x v="567"/>
    <n v="4.5454545454545459"/>
    <n v="795"/>
    <n v="0"/>
  </r>
  <r>
    <x v="0"/>
    <x v="0"/>
    <s v="URBSNF3038"/>
    <n v="1"/>
    <s v=""/>
    <n v="0"/>
    <s v="URBSNF3038BK"/>
    <n v="1"/>
    <s v=""/>
    <n v="0"/>
    <x v="0"/>
    <x v="0"/>
    <x v="10"/>
    <x v="0"/>
    <x v="10"/>
    <x v="0"/>
    <s v="URBSNF3038"/>
    <s v="URBSNF3038BK"/>
    <x v="1"/>
    <n v="1000"/>
    <x v="72"/>
    <x v="568"/>
    <n v="4.9663299663299654"/>
    <n v="1000"/>
    <n v="0"/>
  </r>
  <r>
    <x v="0"/>
    <x v="0"/>
    <s v="URBSNF3039"/>
    <n v="1"/>
    <s v=""/>
    <n v="0"/>
    <s v="URBSNF3039BK"/>
    <n v="1"/>
    <s v=""/>
    <n v="0"/>
    <x v="0"/>
    <x v="0"/>
    <x v="10"/>
    <x v="0"/>
    <x v="10"/>
    <x v="0"/>
    <s v="URBSNF3039"/>
    <s v="URBSNF3039BK"/>
    <x v="1"/>
    <n v="1000"/>
    <x v="72"/>
    <x v="511"/>
    <n v="4.4696969696969688"/>
    <n v="1000"/>
    <n v="0"/>
  </r>
  <r>
    <x v="1"/>
    <x v="0"/>
    <s v="URBSNF3403"/>
    <n v="1"/>
    <s v=""/>
    <n v="0"/>
    <s v="URBSNF3403BK"/>
    <n v="1"/>
    <s v=""/>
    <n v="0"/>
    <x v="0"/>
    <x v="0"/>
    <x v="10"/>
    <x v="0"/>
    <x v="10"/>
    <x v="0"/>
    <s v="URBSNF3403"/>
    <s v="URBSNF3403BK"/>
    <x v="1"/>
    <n v="3000"/>
    <x v="171"/>
    <x v="569"/>
    <n v="8.1630878601076216"/>
    <n v="2999"/>
    <n v="0"/>
  </r>
  <r>
    <x v="0"/>
    <x v="0"/>
    <s v="FFTFAF3014"/>
    <n v="1"/>
    <s v=""/>
    <n v="0"/>
    <s v="FFTFAF3014BK"/>
    <n v="1"/>
    <s v=""/>
    <n v="0"/>
    <x v="0"/>
    <x v="0"/>
    <x v="24"/>
    <x v="5"/>
    <x v="36"/>
    <x v="0"/>
    <s v="FFTFAF3014"/>
    <s v="FFTFAF3014BK"/>
    <x v="1"/>
    <n v="20"/>
    <x v="172"/>
    <x v="570"/>
    <n v="2.2222222222222223"/>
    <n v="20"/>
    <n v="0"/>
  </r>
  <r>
    <x v="0"/>
    <x v="0"/>
    <s v="FFTFAF3015"/>
    <n v="1"/>
    <s v=""/>
    <n v="0"/>
    <s v="FFTFAF3015BG"/>
    <n v="1"/>
    <s v=""/>
    <n v="0"/>
    <x v="0"/>
    <x v="0"/>
    <x v="24"/>
    <x v="5"/>
    <x v="36"/>
    <x v="0"/>
    <s v="FFTFAF3015"/>
    <s v="FFTFAF3015BG"/>
    <x v="1"/>
    <n v="16"/>
    <x v="173"/>
    <x v="571"/>
    <n v="2.2222222222222223"/>
    <n v="16"/>
    <n v="0"/>
  </r>
  <r>
    <x v="0"/>
    <x v="0"/>
    <s v="FFTFAF3016"/>
    <n v="1"/>
    <s v=""/>
    <n v="0"/>
    <s v="FFTFAF3016BK"/>
    <n v="1"/>
    <s v=""/>
    <n v="0"/>
    <x v="0"/>
    <x v="0"/>
    <x v="24"/>
    <x v="5"/>
    <x v="36"/>
    <x v="0"/>
    <s v="FFTFAF3016"/>
    <s v="FFTFAF3016BK"/>
    <x v="1"/>
    <n v="18"/>
    <x v="174"/>
    <x v="572"/>
    <n v="2.2222222222222223"/>
    <n v="18"/>
    <n v="0"/>
  </r>
  <r>
    <x v="0"/>
    <x v="0"/>
    <s v="FFTFAF3017"/>
    <n v="1"/>
    <s v=""/>
    <n v="0"/>
    <s v="FFTFAF3017GY"/>
    <n v="1"/>
    <s v=""/>
    <n v="0"/>
    <x v="0"/>
    <x v="0"/>
    <x v="24"/>
    <x v="5"/>
    <x v="36"/>
    <x v="0"/>
    <s v="FFTFAF3017"/>
    <s v="FFTFAF3017GY"/>
    <x v="1"/>
    <n v="14"/>
    <x v="165"/>
    <x v="557"/>
    <n v="2.2222222222222223"/>
    <n v="14"/>
    <n v="0"/>
  </r>
  <r>
    <x v="0"/>
    <x v="0"/>
    <s v="FFTFAF3018"/>
    <n v="1"/>
    <s v=""/>
    <n v="0"/>
    <s v="FFTFAF3018GY"/>
    <n v="1"/>
    <s v=""/>
    <n v="0"/>
    <x v="0"/>
    <x v="0"/>
    <x v="24"/>
    <x v="5"/>
    <x v="36"/>
    <x v="0"/>
    <s v="FFTFAF3018"/>
    <s v="FFTFAF3018GY"/>
    <x v="1"/>
    <n v="10"/>
    <x v="175"/>
    <x v="573"/>
    <n v="2.2222222222222223"/>
    <n v="10"/>
    <n v="0"/>
  </r>
  <r>
    <x v="0"/>
    <x v="0"/>
    <s v="FFTFAF3019"/>
    <n v="1"/>
    <s v=""/>
    <n v="0"/>
    <s v="FFTFAF3019BL"/>
    <n v="1"/>
    <s v=""/>
    <n v="0"/>
    <x v="0"/>
    <x v="0"/>
    <x v="24"/>
    <x v="5"/>
    <x v="36"/>
    <x v="0"/>
    <s v="FFTFAF3019"/>
    <s v="FFTFAF3019BL"/>
    <x v="1"/>
    <n v="23"/>
    <x v="176"/>
    <x v="574"/>
    <n v="2.2222222222222219"/>
    <n v="23"/>
    <n v="0"/>
  </r>
  <r>
    <x v="0"/>
    <x v="0"/>
    <s v="FFTFAF3020"/>
    <n v="1"/>
    <s v=""/>
    <n v="0"/>
    <s v="FFTFAF3020KH"/>
    <n v="1"/>
    <s v=""/>
    <n v="0"/>
    <x v="0"/>
    <x v="0"/>
    <x v="24"/>
    <x v="5"/>
    <x v="36"/>
    <x v="0"/>
    <s v="FFTFAF3020"/>
    <s v="FFTFAF3020KH"/>
    <x v="1"/>
    <n v="23"/>
    <x v="176"/>
    <x v="575"/>
    <n v="2.2222222222222223"/>
    <n v="23"/>
    <n v="0"/>
  </r>
  <r>
    <x v="0"/>
    <x v="0"/>
    <s v="FFTFAF3021"/>
    <n v="1"/>
    <s v=""/>
    <n v="0"/>
    <s v="FFTFAF3021BK"/>
    <n v="1"/>
    <s v=""/>
    <n v="0"/>
    <x v="0"/>
    <x v="0"/>
    <x v="24"/>
    <x v="5"/>
    <x v="36"/>
    <x v="0"/>
    <s v="FFTFAF3021"/>
    <s v="FFTFAF3021BK"/>
    <x v="1"/>
    <n v="20"/>
    <x v="159"/>
    <x v="576"/>
    <n v="2.2222222222222223"/>
    <n v="20"/>
    <n v="0"/>
  </r>
  <r>
    <x v="1"/>
    <x v="0"/>
    <s v="DPSSNF3401"/>
    <n v="1"/>
    <s v=""/>
    <n v="0"/>
    <s v="DPSSNF3401RE"/>
    <n v="1"/>
    <s v=""/>
    <n v="0"/>
    <x v="0"/>
    <x v="0"/>
    <x v="13"/>
    <x v="0"/>
    <x v="13"/>
    <x v="0"/>
    <s v="DPSSNF3401"/>
    <s v="DPSSNF3401RE"/>
    <x v="1"/>
    <n v="1000"/>
    <x v="51"/>
    <x v="577"/>
    <n v="8.0840493450372009"/>
    <n v="1000"/>
    <n v="0"/>
  </r>
  <r>
    <x v="1"/>
    <x v="0"/>
    <s v="DPSSNF3402"/>
    <n v="1"/>
    <s v=""/>
    <n v="0"/>
    <s v="DPSSNF3402BK"/>
    <n v="1"/>
    <s v=""/>
    <n v="0"/>
    <x v="0"/>
    <x v="0"/>
    <x v="13"/>
    <x v="0"/>
    <x v="13"/>
    <x v="0"/>
    <s v="DPSSNF3402"/>
    <s v="DPSSNF3402BK"/>
    <x v="1"/>
    <n v="800"/>
    <x v="70"/>
    <x v="578"/>
    <n v="8.6317694211288778"/>
    <n v="800"/>
    <n v="0"/>
  </r>
  <r>
    <x v="1"/>
    <x v="0"/>
    <s v="DPSSNF3416"/>
    <n v="1"/>
    <s v=""/>
    <n v="0"/>
    <s v="DPSSNF3416BK"/>
    <n v="1"/>
    <s v=""/>
    <n v="0"/>
    <x v="0"/>
    <x v="0"/>
    <x v="13"/>
    <x v="0"/>
    <x v="13"/>
    <x v="0"/>
    <s v="DPSSNF3416"/>
    <s v="DPSSNF3416BK"/>
    <x v="1"/>
    <n v="800"/>
    <x v="76"/>
    <x v="579"/>
    <n v="9.6004587739232754"/>
    <n v="800"/>
    <n v="0"/>
  </r>
  <r>
    <x v="0"/>
    <x v="1"/>
    <s v=""/>
    <n v="0"/>
    <s v="DPSSNF3004"/>
    <n v="1"/>
    <s v=""/>
    <n v="0"/>
    <s v="DPSSNF3004MT"/>
    <n v="1"/>
    <x v="0"/>
    <x v="0"/>
    <x v="13"/>
    <x v="0"/>
    <x v="13"/>
    <x v="0"/>
    <s v="DPSSNF3004"/>
    <s v="DPSSNF3004MT"/>
    <x v="1"/>
    <n v="800"/>
    <x v="177"/>
    <x v="580"/>
    <n v="8.9037596409246333"/>
    <n v="697"/>
    <n v="0"/>
  </r>
  <r>
    <x v="0"/>
    <x v="1"/>
    <s v=""/>
    <n v="0"/>
    <s v="DPSSNF3504"/>
    <n v="1"/>
    <s v=""/>
    <n v="0"/>
    <s v="DPSSNF3504MT"/>
    <n v="1"/>
    <x v="0"/>
    <x v="0"/>
    <x v="13"/>
    <x v="0"/>
    <x v="13"/>
    <x v="1"/>
    <s v="DPSSNF3504"/>
    <s v="DPSSNF3504MT"/>
    <x v="1"/>
    <n v="1200"/>
    <x v="42"/>
    <x v="581"/>
    <n v="8.253260709757388"/>
    <n v="1197"/>
    <n v="0"/>
  </r>
  <r>
    <x v="1"/>
    <x v="0"/>
    <s v="PLAUMF3411"/>
    <n v="1"/>
    <s v=""/>
    <n v="0"/>
    <s v="PLAUMF3411BK"/>
    <n v="1"/>
    <s v=""/>
    <n v="0"/>
    <x v="0"/>
    <x v="0"/>
    <x v="11"/>
    <x v="11"/>
    <x v="11"/>
    <x v="0"/>
    <s v="PLAUMF3411"/>
    <s v="PLAUMF3411BK"/>
    <x v="1"/>
    <n v="1500"/>
    <x v="26"/>
    <x v="582"/>
    <n v="7.817914154002306"/>
    <n v="1499"/>
    <n v="0"/>
  </r>
  <r>
    <x v="1"/>
    <x v="0"/>
    <s v="YGFSNF3302"/>
    <n v="1"/>
    <s v=""/>
    <n v="0"/>
    <s v="YGFSNF3302BK"/>
    <n v="1"/>
    <s v=""/>
    <n v="0"/>
    <x v="0"/>
    <x v="0"/>
    <x v="26"/>
    <x v="0"/>
    <x v="39"/>
    <x v="0"/>
    <s v="YGFSNF3302"/>
    <s v="YGFSNF3302BK"/>
    <x v="1"/>
    <n v="500"/>
    <x v="161"/>
    <x v="583"/>
    <n v="9.1912274438710426"/>
    <n v="499"/>
    <n v="0"/>
  </r>
  <r>
    <x v="1"/>
    <x v="0"/>
    <s v="YGFSNF3311"/>
    <n v="1"/>
    <s v=""/>
    <n v="0"/>
    <s v="YGFSNF3311BK"/>
    <n v="1"/>
    <s v=""/>
    <n v="0"/>
    <x v="0"/>
    <x v="0"/>
    <x v="26"/>
    <x v="0"/>
    <x v="39"/>
    <x v="0"/>
    <s v="YGFSNF3311"/>
    <s v="YGFSNF3311BK"/>
    <x v="1"/>
    <n v="1000"/>
    <x v="34"/>
    <x v="584"/>
    <n v="8.6968530958883701"/>
    <n v="999"/>
    <n v="0"/>
  </r>
  <r>
    <x v="0"/>
    <x v="0"/>
    <s v="URBSNF3002"/>
    <n v="1"/>
    <s v=""/>
    <n v="0"/>
    <s v="URBSNF3002BK"/>
    <n v="1"/>
    <s v=""/>
    <n v="0"/>
    <x v="0"/>
    <x v="0"/>
    <x v="10"/>
    <x v="0"/>
    <x v="10"/>
    <x v="0"/>
    <s v="URBSNF3002"/>
    <s v="URBSNF3002BK"/>
    <x v="1"/>
    <n v="1000"/>
    <x v="35"/>
    <x v="585"/>
    <n v="6.4414195430238204"/>
    <n v="1000"/>
    <n v="0"/>
  </r>
  <r>
    <x v="1"/>
    <x v="0"/>
    <s v="URBSNF3304"/>
    <n v="1"/>
    <s v=""/>
    <n v="0"/>
    <s v="URBSNF3304BK"/>
    <n v="1"/>
    <s v=""/>
    <n v="0"/>
    <x v="0"/>
    <x v="0"/>
    <x v="10"/>
    <x v="0"/>
    <x v="10"/>
    <x v="0"/>
    <s v="URBSNF3304"/>
    <s v="URBSNF3304BK"/>
    <x v="1"/>
    <n v="1500"/>
    <x v="27"/>
    <x v="586"/>
    <n v="5.9552746718522114"/>
    <n v="1500"/>
    <n v="0"/>
  </r>
  <r>
    <x v="1"/>
    <x v="0"/>
    <s v="URBSNF3410"/>
    <n v="1"/>
    <s v=""/>
    <n v="0"/>
    <s v="URBSNF3410BK"/>
    <n v="1"/>
    <s v=""/>
    <n v="0"/>
    <x v="0"/>
    <x v="0"/>
    <x v="10"/>
    <x v="0"/>
    <x v="10"/>
    <x v="0"/>
    <s v="URBSNF3410"/>
    <s v="URBSNF3410BK"/>
    <x v="1"/>
    <n v="1000"/>
    <x v="50"/>
    <x v="587"/>
    <n v="7.6461256405675107"/>
    <n v="999"/>
    <n v="0"/>
  </r>
  <r>
    <x v="1"/>
    <x v="0"/>
    <s v="URBSNF3411"/>
    <n v="1"/>
    <s v=""/>
    <n v="0"/>
    <s v="URBSNF3411BK"/>
    <n v="1"/>
    <s v=""/>
    <n v="0"/>
    <x v="0"/>
    <x v="0"/>
    <x v="10"/>
    <x v="0"/>
    <x v="10"/>
    <x v="0"/>
    <s v="URBSNF3411"/>
    <s v="URBSNF3411BK"/>
    <x v="1"/>
    <n v="1000"/>
    <x v="50"/>
    <x v="588"/>
    <n v="9.7644226312793663"/>
    <n v="995"/>
    <n v="0"/>
  </r>
  <r>
    <x v="1"/>
    <x v="0"/>
    <s v="URBSNF3412"/>
    <n v="1"/>
    <s v=""/>
    <n v="0"/>
    <s v="URBSNF3412BK"/>
    <n v="1"/>
    <s v=""/>
    <n v="0"/>
    <x v="0"/>
    <x v="0"/>
    <x v="10"/>
    <x v="0"/>
    <x v="10"/>
    <x v="0"/>
    <s v="URBSNF3412"/>
    <s v="URBSNF3412BK"/>
    <x v="1"/>
    <n v="1000"/>
    <x v="50"/>
    <x v="589"/>
    <n v="8.0383820404449491"/>
    <n v="999"/>
    <n v="0"/>
  </r>
  <r>
    <x v="0"/>
    <x v="0"/>
    <s v="DPSERF5509"/>
    <n v="1"/>
    <s v=""/>
    <n v="0"/>
    <s v="DPSERF5509PK"/>
    <n v="1"/>
    <s v=""/>
    <n v="0"/>
    <x v="1"/>
    <x v="0"/>
    <x v="13"/>
    <x v="10"/>
    <x v="13"/>
    <x v="1"/>
    <s v="DPSERF5509"/>
    <s v="DPSERF5509PK"/>
    <x v="1"/>
    <n v="1200"/>
    <x v="47"/>
    <x v="590"/>
    <n v="7.8138130993314245"/>
    <n v="1200"/>
    <n v="0"/>
  </r>
  <r>
    <x v="0"/>
    <x v="0"/>
    <s v="FFTSNF3004"/>
    <n v="1"/>
    <s v=""/>
    <n v="0"/>
    <s v="FFTSNF3004BU"/>
    <n v="1"/>
    <s v=""/>
    <n v="0"/>
    <x v="0"/>
    <x v="0"/>
    <x v="24"/>
    <x v="0"/>
    <x v="36"/>
    <x v="0"/>
    <s v="FFTSNF3004"/>
    <s v="FFTSNF3004BU"/>
    <x v="0"/>
    <n v="20"/>
    <x v="172"/>
    <x v="570"/>
    <n v="2.2222222222222223"/>
    <n v="20"/>
    <n v="0"/>
  </r>
  <r>
    <x v="0"/>
    <x v="0"/>
    <s v="FFTSNF3007"/>
    <n v="1"/>
    <s v=""/>
    <n v="0"/>
    <s v="FFTSNF3007RE"/>
    <n v="1"/>
    <s v=""/>
    <n v="0"/>
    <x v="0"/>
    <x v="0"/>
    <x v="24"/>
    <x v="0"/>
    <x v="36"/>
    <x v="0"/>
    <s v="FFTSNF3007"/>
    <s v="FFTSNF3007RE"/>
    <x v="0"/>
    <n v="150"/>
    <x v="178"/>
    <x v="591"/>
    <n v="2.2222222222222223"/>
    <n v="149"/>
    <n v="0"/>
  </r>
  <r>
    <x v="0"/>
    <x v="0"/>
    <s v="FFTSNF3009"/>
    <n v="1"/>
    <s v=""/>
    <n v="0"/>
    <s v="FFTSNF3009BU"/>
    <n v="1"/>
    <s v=""/>
    <n v="0"/>
    <x v="0"/>
    <x v="0"/>
    <x v="24"/>
    <x v="0"/>
    <x v="36"/>
    <x v="0"/>
    <s v="FFTSNF3009"/>
    <s v="FFTSNF3009BU"/>
    <x v="0"/>
    <n v="28"/>
    <x v="179"/>
    <x v="592"/>
    <n v="2.2222222222222223"/>
    <n v="28"/>
    <n v="0"/>
  </r>
  <r>
    <x v="0"/>
    <x v="0"/>
    <s v="FFTSNF5011"/>
    <n v="1"/>
    <s v=""/>
    <n v="0"/>
    <s v="FFTSNF5011BK"/>
    <n v="1"/>
    <s v=""/>
    <n v="0"/>
    <x v="1"/>
    <x v="0"/>
    <x v="24"/>
    <x v="0"/>
    <x v="36"/>
    <x v="0"/>
    <s v="FFTSNF5011"/>
    <s v="FFTSNF5011BK"/>
    <x v="0"/>
    <n v="200"/>
    <x v="164"/>
    <x v="556"/>
    <n v="2.2222222222222223"/>
    <n v="200"/>
    <n v="0"/>
  </r>
  <r>
    <x v="0"/>
    <x v="0"/>
    <s v="FFTSNF3022"/>
    <n v="1"/>
    <s v=""/>
    <n v="0"/>
    <s v="FFTSNF3022BK"/>
    <n v="1"/>
    <s v=""/>
    <n v="0"/>
    <x v="0"/>
    <x v="0"/>
    <x v="24"/>
    <x v="0"/>
    <x v="36"/>
    <x v="0"/>
    <s v="FFTSNF3022"/>
    <s v="FFTSNF3022BK"/>
    <x v="0"/>
    <n v="200"/>
    <x v="164"/>
    <x v="556"/>
    <n v="2.2222222222222223"/>
    <n v="200"/>
    <n v="0"/>
  </r>
  <r>
    <x v="0"/>
    <x v="0"/>
    <s v="FFTSNF3023"/>
    <n v="1"/>
    <s v=""/>
    <n v="0"/>
    <s v="FFTSNF3023BK"/>
    <n v="1"/>
    <s v=""/>
    <n v="0"/>
    <x v="0"/>
    <x v="0"/>
    <x v="24"/>
    <x v="0"/>
    <x v="36"/>
    <x v="0"/>
    <s v="FFTSNF3023"/>
    <s v="FFTSNF3023BK"/>
    <x v="0"/>
    <n v="200"/>
    <x v="180"/>
    <x v="593"/>
    <n v="2.2222222222222223"/>
    <n v="200"/>
    <n v="0"/>
  </r>
  <r>
    <x v="0"/>
    <x v="0"/>
    <s v="FFTSNF3024"/>
    <n v="1"/>
    <s v=""/>
    <n v="0"/>
    <s v="FFTSNF3024BK"/>
    <n v="1"/>
    <s v=""/>
    <n v="0"/>
    <x v="0"/>
    <x v="0"/>
    <x v="24"/>
    <x v="0"/>
    <x v="36"/>
    <x v="0"/>
    <s v="FFTSNF3024"/>
    <s v="FFTSNF3024BK"/>
    <x v="0"/>
    <n v="200"/>
    <x v="80"/>
    <x v="594"/>
    <n v="2.2222222222222223"/>
    <n v="200"/>
    <n v="0"/>
  </r>
  <r>
    <x v="0"/>
    <x v="1"/>
    <s v=""/>
    <n v="0"/>
    <s v="SBRFAF3075"/>
    <n v="1"/>
    <s v=""/>
    <n v="0"/>
    <s v="SBRFAF3075BK"/>
    <n v="1"/>
    <x v="0"/>
    <x v="0"/>
    <x v="17"/>
    <x v="5"/>
    <x v="19"/>
    <x v="0"/>
    <s v="SBRFAF3075"/>
    <s v="SBRFAF3075BK"/>
    <x v="1"/>
    <n v="1000"/>
    <x v="30"/>
    <x v="595"/>
    <n v="4.3062200956937797"/>
    <n v="1040"/>
    <n v="0"/>
  </r>
  <r>
    <x v="0"/>
    <x v="1"/>
    <s v=""/>
    <n v="0"/>
    <s v="FFTSNF3022"/>
    <n v="1"/>
    <s v=""/>
    <n v="0"/>
    <s v="FFTSNF3022BK"/>
    <n v="1"/>
    <x v="0"/>
    <x v="0"/>
    <x v="24"/>
    <x v="0"/>
    <x v="36"/>
    <x v="0"/>
    <s v="FFTSNF3022"/>
    <s v="FFTSNF3022BK"/>
    <x v="0"/>
    <n v="70"/>
    <x v="181"/>
    <x v="596"/>
    <n v="2.2222222222222223"/>
    <n v="70"/>
    <n v="0"/>
  </r>
  <r>
    <x v="0"/>
    <x v="1"/>
    <s v=""/>
    <n v="0"/>
    <s v="FFTSNF3024"/>
    <n v="1"/>
    <s v=""/>
    <n v="0"/>
    <s v="FFTSNF3024BK"/>
    <n v="1"/>
    <x v="0"/>
    <x v="0"/>
    <x v="24"/>
    <x v="0"/>
    <x v="36"/>
    <x v="0"/>
    <s v="FFTSNF3024"/>
    <s v="FFTSNF3024BK"/>
    <x v="0"/>
    <n v="70"/>
    <x v="182"/>
    <x v="597"/>
    <n v="2.2222222222222223"/>
    <n v="70"/>
    <n v="0"/>
  </r>
  <r>
    <x v="0"/>
    <x v="1"/>
    <s v=""/>
    <n v="0"/>
    <s v="BLLFEF5003"/>
    <n v="1"/>
    <s v=""/>
    <n v="0"/>
    <s v="BLLFEF5003BK"/>
    <n v="1"/>
    <x v="1"/>
    <x v="0"/>
    <x v="20"/>
    <x v="4"/>
    <x v="25"/>
    <x v="0"/>
    <s v="BLLFEF5003"/>
    <s v="BLLFEF5003BK"/>
    <x v="1"/>
    <n v="600"/>
    <x v="183"/>
    <x v="598"/>
    <n v="5.4747401045659485"/>
    <n v="600"/>
    <n v="0"/>
  </r>
  <r>
    <x v="0"/>
    <x v="1"/>
    <s v=""/>
    <n v="0"/>
    <s v="SBRFAF3076"/>
    <n v="1"/>
    <s v=""/>
    <n v="0"/>
    <s v="SBRFAF3076GY"/>
    <n v="1"/>
    <x v="0"/>
    <x v="0"/>
    <x v="17"/>
    <x v="5"/>
    <x v="19"/>
    <x v="0"/>
    <s v="SBRFAF3076"/>
    <s v="SBRFAF3076GY"/>
    <x v="1"/>
    <n v="800"/>
    <x v="76"/>
    <x v="43"/>
    <n v="4.1322314049586772"/>
    <n v="804"/>
    <n v="0"/>
  </r>
  <r>
    <x v="0"/>
    <x v="1"/>
    <s v=""/>
    <n v="0"/>
    <s v="SBRFAF5077"/>
    <n v="1"/>
    <s v=""/>
    <n v="0"/>
    <s v="SBRFAF5077BK"/>
    <n v="1"/>
    <x v="1"/>
    <x v="0"/>
    <x v="17"/>
    <x v="5"/>
    <x v="19"/>
    <x v="0"/>
    <s v="SBRFAF5077"/>
    <s v="SBRFAF5077BK"/>
    <x v="1"/>
    <n v="500"/>
    <x v="151"/>
    <x v="599"/>
    <n v="4.4995408631772271"/>
    <n v="502"/>
    <n v="0"/>
  </r>
  <r>
    <x v="0"/>
    <x v="1"/>
    <s v=""/>
    <n v="0"/>
    <s v="PLABPF3001"/>
    <n v="1"/>
    <s v=""/>
    <n v="0"/>
    <s v="PLABPF3001BW"/>
    <n v="1"/>
    <x v="0"/>
    <x v="3"/>
    <x v="11"/>
    <x v="25"/>
    <x v="30"/>
    <x v="0"/>
    <s v="PLABPF3001"/>
    <s v="PLABPF3001BW"/>
    <x v="1"/>
    <n v="900"/>
    <x v="184"/>
    <x v="600"/>
    <n v="3.8990945726697022"/>
    <n v="900"/>
    <n v="0"/>
  </r>
  <r>
    <x v="0"/>
    <x v="1"/>
    <s v=""/>
    <n v="0"/>
    <s v="URBSNF5029"/>
    <n v="1"/>
    <s v=""/>
    <n v="0"/>
    <s v="URBSNF5029GY"/>
    <n v="1"/>
    <x v="1"/>
    <x v="0"/>
    <x v="10"/>
    <x v="0"/>
    <x v="10"/>
    <x v="0"/>
    <s v="URBSNF5029"/>
    <s v="URBSNF5029GY"/>
    <x v="1"/>
    <n v="2000"/>
    <x v="45"/>
    <x v="601"/>
    <n v="9.0000635514691592"/>
    <n v="1811"/>
    <n v="0"/>
  </r>
  <r>
    <x v="0"/>
    <x v="0"/>
    <s v="SBRFAF5079"/>
    <n v="1"/>
    <s v=""/>
    <n v="0"/>
    <s v="SBRFAF5079BK"/>
    <n v="1"/>
    <s v=""/>
    <n v="0"/>
    <x v="1"/>
    <x v="0"/>
    <x v="17"/>
    <x v="5"/>
    <x v="19"/>
    <x v="0"/>
    <s v="SBRFAF5079"/>
    <s v="SBRFAF5079BK"/>
    <x v="1"/>
    <n v="1000"/>
    <x v="21"/>
    <x v="567"/>
    <n v="5.0619834710743801"/>
    <n v="993"/>
    <n v="0"/>
  </r>
  <r>
    <x v="0"/>
    <x v="0"/>
    <s v="SBRFAF5080"/>
    <n v="1"/>
    <s v=""/>
    <n v="0"/>
    <s v="SBRFAF5080BK"/>
    <n v="1"/>
    <s v=""/>
    <n v="0"/>
    <x v="1"/>
    <x v="0"/>
    <x v="17"/>
    <x v="5"/>
    <x v="19"/>
    <x v="0"/>
    <s v="SBRFAF5080"/>
    <s v="SBRFAF5080BK"/>
    <x v="1"/>
    <n v="500"/>
    <x v="151"/>
    <x v="602"/>
    <n v="4.5454545454545459"/>
    <n v="504"/>
    <n v="0"/>
  </r>
  <r>
    <x v="0"/>
    <x v="0"/>
    <s v="SBRFAF5081"/>
    <n v="1"/>
    <s v=""/>
    <n v="0"/>
    <s v="SBRFAF5081BK"/>
    <n v="1"/>
    <s v=""/>
    <n v="0"/>
    <x v="1"/>
    <x v="0"/>
    <x v="17"/>
    <x v="5"/>
    <x v="19"/>
    <x v="0"/>
    <s v="SBRFAF5081"/>
    <s v="SBRFAF5081BK"/>
    <x v="1"/>
    <n v="500"/>
    <x v="151"/>
    <x v="603"/>
    <n v="4.6401515151515156"/>
    <n v="500"/>
    <n v="0"/>
  </r>
  <r>
    <x v="0"/>
    <x v="1"/>
    <s v=""/>
    <n v="0"/>
    <s v="SBRFAF5080"/>
    <n v="1"/>
    <s v=""/>
    <n v="0"/>
    <s v="SBRFAF5080BK"/>
    <n v="1"/>
    <x v="1"/>
    <x v="0"/>
    <x v="17"/>
    <x v="5"/>
    <x v="19"/>
    <x v="0"/>
    <s v="SBRFAF5080"/>
    <s v="SBRFAF5080BK"/>
    <x v="1"/>
    <n v="500"/>
    <x v="151"/>
    <x v="604"/>
    <n v="6.6565830753794168"/>
    <n v="501"/>
    <n v="0"/>
  </r>
  <r>
    <x v="0"/>
    <x v="1"/>
    <s v=""/>
    <n v="0"/>
    <s v="SBRFAF5081"/>
    <n v="1"/>
    <s v=""/>
    <n v="0"/>
    <s v="SBRFAF5081BK"/>
    <n v="1"/>
    <x v="1"/>
    <x v="0"/>
    <x v="17"/>
    <x v="5"/>
    <x v="19"/>
    <x v="0"/>
    <s v="SBRFAF5081"/>
    <s v="SBRFAF5081BK"/>
    <x v="1"/>
    <n v="500"/>
    <x v="151"/>
    <x v="605"/>
    <n v="6.3470072047598922"/>
    <n v="496"/>
    <n v="0"/>
  </r>
  <r>
    <x v="0"/>
    <x v="0"/>
    <s v="FFTBEF5025"/>
    <n v="1"/>
    <s v=""/>
    <n v="0"/>
    <s v="FFTBEF5025GY"/>
    <n v="1"/>
    <s v=""/>
    <n v="0"/>
    <x v="1"/>
    <x v="0"/>
    <x v="24"/>
    <x v="21"/>
    <x v="36"/>
    <x v="0"/>
    <s v="FFTBEF5025"/>
    <s v="FFTBEF5025GY"/>
    <x v="0"/>
    <n v="200"/>
    <x v="185"/>
    <x v="606"/>
    <n v="2.2222222222222223"/>
    <n v="200"/>
    <n v="0"/>
  </r>
  <r>
    <x v="0"/>
    <x v="0"/>
    <s v="FFTBEF5026"/>
    <n v="1"/>
    <s v=""/>
    <n v="0"/>
    <s v="FFTBEF5026BK"/>
    <n v="1"/>
    <s v=""/>
    <n v="0"/>
    <x v="1"/>
    <x v="0"/>
    <x v="24"/>
    <x v="21"/>
    <x v="36"/>
    <x v="0"/>
    <s v="FFTBEF5026"/>
    <s v="FFTBEF5026BK"/>
    <x v="0"/>
    <n v="150"/>
    <x v="186"/>
    <x v="607"/>
    <n v="2.2222222222222223"/>
    <n v="150"/>
    <n v="0"/>
  </r>
  <r>
    <x v="1"/>
    <x v="1"/>
    <s v=""/>
    <n v="0"/>
    <s v="PLABPF3404"/>
    <n v="1"/>
    <s v=""/>
    <n v="0"/>
    <s v="PLABPF3404BK"/>
    <n v="1"/>
    <x v="0"/>
    <x v="3"/>
    <x v="11"/>
    <x v="25"/>
    <x v="30"/>
    <x v="0"/>
    <s v="PLABPF3404"/>
    <s v="PLABPF3404BK"/>
    <x v="1"/>
    <n v="300"/>
    <x v="187"/>
    <x v="608"/>
    <n v="4.5093795093795093"/>
    <n v="300"/>
    <n v="0"/>
  </r>
  <r>
    <x v="0"/>
    <x v="0"/>
    <s v="ZZZSNF3021"/>
    <n v="1"/>
    <s v=""/>
    <n v="0"/>
    <s v="ZZZSNF3021NY"/>
    <n v="1"/>
    <s v=""/>
    <n v="0"/>
    <x v="0"/>
    <x v="0"/>
    <x v="25"/>
    <x v="0"/>
    <x v="38"/>
    <x v="0"/>
    <s v="ZZZSNF3021"/>
    <s v="ZZZSNF3021NY"/>
    <x v="1"/>
    <n v="150"/>
    <x v="81"/>
    <x v="609"/>
    <n v="3.5033782576055481"/>
    <n v="150"/>
    <n v="0"/>
  </r>
  <r>
    <x v="0"/>
    <x v="0"/>
    <s v="ZZZSNF3022"/>
    <n v="1"/>
    <s v=""/>
    <n v="0"/>
    <s v="ZZZSNF3022PK"/>
    <n v="1"/>
    <s v=""/>
    <n v="0"/>
    <x v="0"/>
    <x v="0"/>
    <x v="25"/>
    <x v="0"/>
    <x v="38"/>
    <x v="0"/>
    <s v="ZZZSNF3022"/>
    <s v="ZZZSNF3022PK"/>
    <x v="1"/>
    <n v="150"/>
    <x v="81"/>
    <x v="610"/>
    <n v="3.5311497856087626"/>
    <n v="150"/>
    <n v="0"/>
  </r>
  <r>
    <x v="0"/>
    <x v="0"/>
    <s v="ZZZSNF3023"/>
    <n v="1"/>
    <s v=""/>
    <n v="0"/>
    <s v="ZZZSNF3023YE"/>
    <n v="1"/>
    <s v=""/>
    <n v="0"/>
    <x v="0"/>
    <x v="0"/>
    <x v="25"/>
    <x v="0"/>
    <x v="38"/>
    <x v="0"/>
    <s v="ZZZSNF3023"/>
    <s v="ZZZSNF3023YE"/>
    <x v="1"/>
    <n v="150"/>
    <x v="81"/>
    <x v="611"/>
    <n v="3.4226242447525581"/>
    <n v="150"/>
    <n v="0"/>
  </r>
  <r>
    <x v="0"/>
    <x v="0"/>
    <s v="ZZZSNF3024"/>
    <n v="1"/>
    <s v=""/>
    <n v="0"/>
    <s v="ZZZSNF3024BK"/>
    <n v="1"/>
    <s v=""/>
    <n v="0"/>
    <x v="0"/>
    <x v="0"/>
    <x v="25"/>
    <x v="0"/>
    <x v="38"/>
    <x v="0"/>
    <s v="ZZZSNF3024"/>
    <s v="ZZZSNF3024BK"/>
    <x v="1"/>
    <n v="150"/>
    <x v="81"/>
    <x v="612"/>
    <n v="3.8024288984596279"/>
    <n v="150"/>
    <n v="0"/>
  </r>
  <r>
    <x v="0"/>
    <x v="0"/>
    <s v="ZZZSNF3031"/>
    <n v="1"/>
    <s v=""/>
    <n v="0"/>
    <s v="ZZZSNF3031NY"/>
    <n v="1"/>
    <s v=""/>
    <n v="0"/>
    <x v="0"/>
    <x v="0"/>
    <x v="25"/>
    <x v="0"/>
    <x v="38"/>
    <x v="0"/>
    <s v="ZZZSNF3031"/>
    <s v="ZZZSNF3031NY"/>
    <x v="1"/>
    <n v="300"/>
    <x v="115"/>
    <x v="613"/>
    <n v="3.508897561674245"/>
    <n v="300"/>
    <n v="0"/>
  </r>
  <r>
    <x v="0"/>
    <x v="0"/>
    <s v="ZZZSNF3032"/>
    <n v="1"/>
    <s v=""/>
    <n v="0"/>
    <s v="ZZZSNF3032PK"/>
    <n v="1"/>
    <s v=""/>
    <n v="0"/>
    <x v="0"/>
    <x v="0"/>
    <x v="25"/>
    <x v="0"/>
    <x v="38"/>
    <x v="0"/>
    <s v="ZZZSNF3032"/>
    <s v="ZZZSNF3032PK"/>
    <x v="1"/>
    <n v="300"/>
    <x v="115"/>
    <x v="614"/>
    <n v="3.5367570103576451"/>
    <n v="300"/>
    <n v="0"/>
  </r>
  <r>
    <x v="0"/>
    <x v="0"/>
    <s v="ZZZSNF3033"/>
    <n v="1"/>
    <s v=""/>
    <n v="0"/>
    <s v="ZZZSNF3033YE"/>
    <n v="1"/>
    <s v=""/>
    <n v="0"/>
    <x v="0"/>
    <x v="0"/>
    <x v="25"/>
    <x v="0"/>
    <x v="38"/>
    <x v="0"/>
    <s v="ZZZSNF3033"/>
    <s v="ZZZSNF3033YE"/>
    <x v="1"/>
    <n v="300"/>
    <x v="115"/>
    <x v="615"/>
    <n v="3.4278918465143935"/>
    <n v="300"/>
    <n v="0"/>
  </r>
  <r>
    <x v="0"/>
    <x v="0"/>
    <s v="ZZZSNF3034"/>
    <n v="1"/>
    <s v=""/>
    <n v="0"/>
    <s v="ZZZSNF3034BK"/>
    <n v="1"/>
    <s v=""/>
    <n v="0"/>
    <x v="0"/>
    <x v="0"/>
    <x v="25"/>
    <x v="0"/>
    <x v="38"/>
    <x v="0"/>
    <s v="ZZZSNF3034"/>
    <s v="ZZZSNF3034BK"/>
    <x v="1"/>
    <n v="300"/>
    <x v="115"/>
    <x v="616"/>
    <n v="3.8089315558319403"/>
    <n v="300"/>
    <n v="0"/>
  </r>
  <r>
    <x v="0"/>
    <x v="0"/>
    <s v="FFTSNF5027"/>
    <n v="1"/>
    <s v=""/>
    <n v="0"/>
    <s v="FFTSNF5027BK"/>
    <n v="1"/>
    <s v=""/>
    <n v="0"/>
    <x v="1"/>
    <x v="0"/>
    <x v="24"/>
    <x v="0"/>
    <x v="36"/>
    <x v="0"/>
    <s v="FFTSNF5027"/>
    <s v="FFTSNF5027BK"/>
    <x v="0"/>
    <n v="100"/>
    <x v="163"/>
    <x v="555"/>
    <n v="2.2222222222222223"/>
    <n v="100"/>
    <n v="0"/>
  </r>
  <r>
    <x v="0"/>
    <x v="0"/>
    <s v="FFTSNF3028"/>
    <n v="1"/>
    <s v=""/>
    <n v="0"/>
    <s v="FFTSNF3028BK"/>
    <n v="1"/>
    <s v=""/>
    <n v="0"/>
    <x v="0"/>
    <x v="0"/>
    <x v="24"/>
    <x v="0"/>
    <x v="36"/>
    <x v="0"/>
    <s v="FFTSNF3028"/>
    <s v="FFTSNF3028BK"/>
    <x v="0"/>
    <n v="100"/>
    <x v="163"/>
    <x v="555"/>
    <n v="2.2222222222222223"/>
    <n v="100"/>
    <n v="0"/>
  </r>
  <r>
    <x v="0"/>
    <x v="0"/>
    <s v="FFTSNF3029"/>
    <n v="1"/>
    <s v=""/>
    <n v="0"/>
    <s v="FFTSNF3029RE"/>
    <n v="1"/>
    <s v=""/>
    <n v="0"/>
    <x v="0"/>
    <x v="0"/>
    <x v="24"/>
    <x v="0"/>
    <x v="36"/>
    <x v="0"/>
    <s v="FFTSNF3029"/>
    <s v="FFTSNF3029RE"/>
    <x v="0"/>
    <n v="100"/>
    <x v="85"/>
    <x v="617"/>
    <n v="2.2222222222222223"/>
    <n v="100"/>
    <n v="0"/>
  </r>
  <r>
    <x v="0"/>
    <x v="0"/>
    <s v="FFTSNF5030"/>
    <n v="1"/>
    <s v=""/>
    <n v="0"/>
    <s v="FFTSNF5030BK"/>
    <n v="1"/>
    <s v=""/>
    <n v="0"/>
    <x v="1"/>
    <x v="0"/>
    <x v="24"/>
    <x v="0"/>
    <x v="36"/>
    <x v="0"/>
    <s v="FFTSNF5030"/>
    <s v="FFTSNF5030BK"/>
    <x v="0"/>
    <n v="150"/>
    <x v="81"/>
    <x v="618"/>
    <n v="2.2222222222222223"/>
    <n v="150"/>
    <n v="0"/>
  </r>
  <r>
    <x v="0"/>
    <x v="0"/>
    <s v="FFTSNF3031"/>
    <n v="1"/>
    <s v=""/>
    <n v="0"/>
    <s v="FFTSNF3031KH"/>
    <n v="1"/>
    <s v=""/>
    <n v="0"/>
    <x v="0"/>
    <x v="0"/>
    <x v="24"/>
    <x v="0"/>
    <x v="36"/>
    <x v="0"/>
    <s v="FFTSNF3031"/>
    <s v="FFTSNF3031KH"/>
    <x v="0"/>
    <n v="100"/>
    <x v="163"/>
    <x v="555"/>
    <n v="2.2222222222222223"/>
    <n v="100"/>
    <n v="0"/>
  </r>
  <r>
    <x v="0"/>
    <x v="0"/>
    <s v="FFTBEF5032"/>
    <n v="1"/>
    <s v=""/>
    <n v="0"/>
    <s v="FFTBEF5032RE"/>
    <n v="1"/>
    <s v=""/>
    <n v="0"/>
    <x v="1"/>
    <x v="0"/>
    <x v="24"/>
    <x v="21"/>
    <x v="36"/>
    <x v="0"/>
    <s v="FFTBEF5032"/>
    <s v="FFTBEF5032RE"/>
    <x v="0"/>
    <n v="100"/>
    <x v="188"/>
    <x v="619"/>
    <n v="2.2222222222222223"/>
    <n v="100"/>
    <n v="0"/>
  </r>
  <r>
    <x v="0"/>
    <x v="0"/>
    <s v="FFTBEF5033"/>
    <n v="1"/>
    <s v=""/>
    <n v="0"/>
    <s v="FFTBEF5033BK"/>
    <n v="1"/>
    <s v=""/>
    <n v="0"/>
    <x v="1"/>
    <x v="0"/>
    <x v="24"/>
    <x v="21"/>
    <x v="36"/>
    <x v="0"/>
    <s v="FFTBEF5033"/>
    <s v="FFTBEF5033BK"/>
    <x v="0"/>
    <n v="150"/>
    <x v="186"/>
    <x v="607"/>
    <n v="2.2222222222222223"/>
    <n v="150"/>
    <n v="0"/>
  </r>
  <r>
    <x v="0"/>
    <x v="0"/>
    <s v="FFTBEF5034"/>
    <n v="1"/>
    <s v=""/>
    <n v="0"/>
    <s v="FFTBEF5034GY"/>
    <n v="1"/>
    <s v=""/>
    <n v="0"/>
    <x v="1"/>
    <x v="0"/>
    <x v="24"/>
    <x v="21"/>
    <x v="36"/>
    <x v="0"/>
    <s v="FFTBEF5034"/>
    <s v="FFTBEF5034GY"/>
    <x v="0"/>
    <n v="150"/>
    <x v="186"/>
    <x v="607"/>
    <n v="2.2222222222222223"/>
    <n v="150"/>
    <n v="0"/>
  </r>
  <r>
    <x v="0"/>
    <x v="1"/>
    <s v=""/>
    <n v="0"/>
    <s v="POLEBF5503"/>
    <n v="1"/>
    <s v=""/>
    <n v="0"/>
    <s v="POLEBF5503PK"/>
    <n v="1"/>
    <x v="1"/>
    <x v="0"/>
    <x v="21"/>
    <x v="8"/>
    <x v="27"/>
    <x v="1"/>
    <s v="POLEBF5503"/>
    <s v="POLEBF5503PK"/>
    <x v="1"/>
    <n v="1000"/>
    <x v="34"/>
    <x v="620"/>
    <n v="4.0422790045645396"/>
    <n v="1000"/>
    <n v="0"/>
  </r>
  <r>
    <x v="0"/>
    <x v="1"/>
    <s v=""/>
    <n v="0"/>
    <s v="POLEBF5504"/>
    <n v="1"/>
    <s v=""/>
    <n v="0"/>
    <s v="POLEBF5504BL"/>
    <n v="1"/>
    <x v="1"/>
    <x v="0"/>
    <x v="21"/>
    <x v="8"/>
    <x v="27"/>
    <x v="1"/>
    <s v="POLEBF5504"/>
    <s v="POLEBF5504BL"/>
    <x v="1"/>
    <n v="1000"/>
    <x v="34"/>
    <x v="620"/>
    <n v="4.0422790045645396"/>
    <n v="1000"/>
    <n v="0"/>
  </r>
  <r>
    <x v="0"/>
    <x v="1"/>
    <s v=""/>
    <n v="0"/>
    <s v="SMBBEF5012"/>
    <n v="0.5"/>
    <s v=""/>
    <n v="0"/>
    <s v="SMBBEF5012BK"/>
    <n v="1"/>
    <x v="1"/>
    <x v="0"/>
    <x v="4"/>
    <x v="21"/>
    <x v="4"/>
    <x v="0"/>
    <s v="SMBBEF5012"/>
    <s v="SMBBEF5012BK"/>
    <x v="1"/>
    <n v="500"/>
    <x v="136"/>
    <x v="621"/>
    <n v="7.8023490384638068"/>
    <n v="500"/>
    <n v="0"/>
  </r>
  <r>
    <x v="0"/>
    <x v="1"/>
    <s v=""/>
    <n v="0"/>
    <s v="SMBBEF5012"/>
    <n v="0.5"/>
    <s v=""/>
    <n v="0"/>
    <s v="SMBBEF5012RE"/>
    <n v="1"/>
    <x v="1"/>
    <x v="0"/>
    <x v="4"/>
    <x v="21"/>
    <x v="4"/>
    <x v="0"/>
    <s v="SMBBEF5012"/>
    <s v="SMBBEF5012RE"/>
    <x v="1"/>
    <n v="500"/>
    <x v="136"/>
    <x v="621"/>
    <n v="7.8023490384638068"/>
    <n v="500"/>
    <n v="0"/>
  </r>
  <r>
    <x v="0"/>
    <x v="1"/>
    <s v=""/>
    <n v="0"/>
    <s v="ELSERF5511"/>
    <n v="1"/>
    <s v=""/>
    <n v="0"/>
    <s v="ELSERF5511GR"/>
    <n v="1"/>
    <x v="1"/>
    <x v="0"/>
    <x v="6"/>
    <x v="10"/>
    <x v="6"/>
    <x v="1"/>
    <s v="ELSERF5511"/>
    <s v="ELSERF5511GR"/>
    <x v="1"/>
    <n v="500"/>
    <x v="189"/>
    <x v="622"/>
    <n v="5.3977843174933531"/>
    <n v="510"/>
    <n v="0"/>
  </r>
  <r>
    <x v="0"/>
    <x v="1"/>
    <s v=""/>
    <n v="0"/>
    <s v="ELSERF5512"/>
    <n v="1"/>
    <s v=""/>
    <n v="0"/>
    <s v="ELSERF5512RE"/>
    <n v="1"/>
    <x v="1"/>
    <x v="0"/>
    <x v="6"/>
    <x v="10"/>
    <x v="6"/>
    <x v="1"/>
    <s v="ELSERF5512"/>
    <s v="ELSERF5512RE"/>
    <x v="1"/>
    <n v="500"/>
    <x v="189"/>
    <x v="623"/>
    <n v="5.3068415801651474"/>
    <n v="490"/>
    <n v="0"/>
  </r>
  <r>
    <x v="0"/>
    <x v="1"/>
    <s v=""/>
    <n v="0"/>
    <s v="SMBBAF5026"/>
    <n v="1"/>
    <s v=""/>
    <n v="0"/>
    <s v="SMBBAF5026GY"/>
    <n v="1"/>
    <x v="1"/>
    <x v="0"/>
    <x v="4"/>
    <x v="6"/>
    <x v="4"/>
    <x v="0"/>
    <s v="SMBBAF5026"/>
    <s v="SMBBAF5026GY"/>
    <x v="1"/>
    <n v="500"/>
    <x v="107"/>
    <x v="624"/>
    <n v="6.2874382014685199"/>
    <n v="497"/>
    <n v="0"/>
  </r>
  <r>
    <x v="0"/>
    <x v="1"/>
    <s v=""/>
    <n v="0"/>
    <s v="SMBBAF5526"/>
    <n v="1"/>
    <s v=""/>
    <n v="0"/>
    <s v="SMBBAF5526GY"/>
    <n v="1"/>
    <x v="1"/>
    <x v="0"/>
    <x v="4"/>
    <x v="6"/>
    <x v="4"/>
    <x v="1"/>
    <s v="SMBBAF5526"/>
    <s v="SMBBAF5526GY"/>
    <x v="1"/>
    <n v="200"/>
    <x v="83"/>
    <x v="625"/>
    <n v="5.846261275126686"/>
    <n v="203"/>
    <n v="0"/>
  </r>
  <r>
    <x v="0"/>
    <x v="0"/>
    <s v="SBRBEF5082"/>
    <n v="0.33333333333333331"/>
    <s v=""/>
    <n v="0"/>
    <s v="SBRBEF5082GY"/>
    <n v="1"/>
    <s v=""/>
    <n v="0"/>
    <x v="1"/>
    <x v="0"/>
    <x v="17"/>
    <x v="21"/>
    <x v="19"/>
    <x v="0"/>
    <s v="SBRBEF5082"/>
    <s v="SBRBEF5082GY"/>
    <x v="1"/>
    <n v="600"/>
    <x v="190"/>
    <x v="626"/>
    <n v="4.0559440559440558"/>
    <n v="600"/>
    <n v="0"/>
  </r>
  <r>
    <x v="0"/>
    <x v="0"/>
    <s v="SBRBEF5082"/>
    <n v="0.33333333333333331"/>
    <s v=""/>
    <n v="0"/>
    <s v="SBRBEF5082PK"/>
    <n v="1"/>
    <s v=""/>
    <n v="0"/>
    <x v="1"/>
    <x v="0"/>
    <x v="17"/>
    <x v="21"/>
    <x v="19"/>
    <x v="0"/>
    <s v="SBRBEF5082"/>
    <s v="SBRBEF5082PK"/>
    <x v="1"/>
    <n v="600"/>
    <x v="190"/>
    <x v="626"/>
    <n v="4.0559440559440558"/>
    <n v="600"/>
    <n v="0"/>
  </r>
  <r>
    <x v="0"/>
    <x v="0"/>
    <s v="SBRBEF5082"/>
    <n v="0.33333333333333331"/>
    <s v=""/>
    <n v="0"/>
    <s v="SBRBEF5082WH"/>
    <n v="1"/>
    <s v=""/>
    <n v="0"/>
    <x v="1"/>
    <x v="0"/>
    <x v="17"/>
    <x v="21"/>
    <x v="19"/>
    <x v="0"/>
    <s v="SBRBEF5082"/>
    <s v="SBRBEF5082WH"/>
    <x v="1"/>
    <n v="800"/>
    <x v="95"/>
    <x v="627"/>
    <n v="4.0559440559440558"/>
    <n v="800"/>
    <n v="0"/>
  </r>
  <r>
    <x v="0"/>
    <x v="1"/>
    <s v=""/>
    <n v="0"/>
    <s v="FFTSNF5027"/>
    <n v="1"/>
    <s v=""/>
    <n v="0"/>
    <s v="FFTSNF5027BK"/>
    <n v="1"/>
    <x v="1"/>
    <x v="0"/>
    <x v="24"/>
    <x v="0"/>
    <x v="36"/>
    <x v="0"/>
    <s v="FFTSNF5027"/>
    <s v="FFTSNF5027BK"/>
    <x v="0"/>
    <n v="150"/>
    <x v="178"/>
    <x v="591"/>
    <n v="2.2222222222222223"/>
    <n v="150"/>
    <n v="0"/>
  </r>
  <r>
    <x v="0"/>
    <x v="1"/>
    <s v=""/>
    <n v="0"/>
    <s v="FFTBEF5033"/>
    <n v="1"/>
    <s v=""/>
    <n v="0"/>
    <s v="FFTBEF5033BK"/>
    <n v="1"/>
    <x v="1"/>
    <x v="0"/>
    <x v="24"/>
    <x v="21"/>
    <x v="36"/>
    <x v="0"/>
    <s v="FFTBEF5033"/>
    <s v="FFTBEF5033BK"/>
    <x v="0"/>
    <n v="200"/>
    <x v="185"/>
    <x v="606"/>
    <n v="2.2222222222222223"/>
    <n v="200"/>
    <n v="0"/>
  </r>
  <r>
    <x v="0"/>
    <x v="1"/>
    <s v=""/>
    <n v="0"/>
    <s v="FFTBEF5034"/>
    <n v="1"/>
    <s v=""/>
    <n v="0"/>
    <s v="FFTBEF5034GY"/>
    <n v="1"/>
    <x v="1"/>
    <x v="0"/>
    <x v="24"/>
    <x v="21"/>
    <x v="36"/>
    <x v="0"/>
    <s v="FFTBEF5034"/>
    <s v="FFTBEF5034GY"/>
    <x v="0"/>
    <n v="150"/>
    <x v="186"/>
    <x v="607"/>
    <n v="2.2222222222222223"/>
    <n v="150"/>
    <n v="0"/>
  </r>
  <r>
    <x v="0"/>
    <x v="0"/>
    <s v="FFTSNF3035"/>
    <n v="1"/>
    <s v=""/>
    <n v="0"/>
    <s v="FFTSNF3035PP"/>
    <n v="1"/>
    <s v=""/>
    <n v="0"/>
    <x v="0"/>
    <x v="0"/>
    <x v="24"/>
    <x v="0"/>
    <x v="36"/>
    <x v="0"/>
    <s v="FFTSNF3035"/>
    <s v="FFTSNF3035PP"/>
    <x v="0"/>
    <n v="200"/>
    <x v="164"/>
    <x v="556"/>
    <n v="2.2222222222222223"/>
    <n v="200"/>
    <n v="0"/>
  </r>
  <r>
    <x v="0"/>
    <x v="0"/>
    <s v="FFTSNF3036"/>
    <n v="1"/>
    <s v=""/>
    <n v="0"/>
    <s v="FFTSNF3036BK"/>
    <n v="1"/>
    <s v=""/>
    <n v="0"/>
    <x v="0"/>
    <x v="0"/>
    <x v="24"/>
    <x v="0"/>
    <x v="36"/>
    <x v="0"/>
    <s v="FFTSNF3036"/>
    <s v="FFTSNF3036BK"/>
    <x v="0"/>
    <n v="300"/>
    <x v="162"/>
    <x v="628"/>
    <n v="2.2222222222222223"/>
    <n v="300"/>
    <n v="0"/>
  </r>
  <r>
    <x v="0"/>
    <x v="0"/>
    <s v="FFTFEF5050"/>
    <n v="1"/>
    <s v=""/>
    <n v="0"/>
    <s v="FFTFEF5050BK"/>
    <n v="1"/>
    <s v=""/>
    <n v="0"/>
    <x v="1"/>
    <x v="0"/>
    <x v="24"/>
    <x v="4"/>
    <x v="36"/>
    <x v="0"/>
    <s v="FFTFEF5050"/>
    <s v="FFTFEF5050BK"/>
    <x v="0"/>
    <n v="100"/>
    <x v="141"/>
    <x v="629"/>
    <n v="2.2222222222222223"/>
    <n v="100"/>
    <n v="0"/>
  </r>
  <r>
    <x v="0"/>
    <x v="0"/>
    <s v="FFTFEF5051"/>
    <n v="0.5"/>
    <s v=""/>
    <n v="0"/>
    <s v="FFTFEF5051BK"/>
    <n v="1"/>
    <s v=""/>
    <n v="0"/>
    <x v="1"/>
    <x v="0"/>
    <x v="24"/>
    <x v="4"/>
    <x v="36"/>
    <x v="0"/>
    <s v="FFTFEF5051"/>
    <s v="FFTFEF5051BK"/>
    <x v="0"/>
    <n v="50"/>
    <x v="191"/>
    <x v="630"/>
    <n v="2.2222222222222223"/>
    <n v="50"/>
    <n v="0"/>
  </r>
  <r>
    <x v="0"/>
    <x v="0"/>
    <s v="FFTFEF5051"/>
    <n v="0.5"/>
    <s v=""/>
    <n v="0"/>
    <s v="FFTFEF5051BU"/>
    <n v="1"/>
    <s v=""/>
    <n v="0"/>
    <x v="1"/>
    <x v="0"/>
    <x v="24"/>
    <x v="4"/>
    <x v="36"/>
    <x v="0"/>
    <s v="FFTFEF5051"/>
    <s v="FFTFEF5051BU"/>
    <x v="0"/>
    <n v="100"/>
    <x v="163"/>
    <x v="555"/>
    <n v="2.2222222222222223"/>
    <n v="100"/>
    <n v="0"/>
  </r>
  <r>
    <x v="0"/>
    <x v="0"/>
    <s v="FFTFEF5052"/>
    <n v="1"/>
    <s v=""/>
    <n v="0"/>
    <s v="FFTFEF5052BG"/>
    <n v="1"/>
    <s v=""/>
    <n v="0"/>
    <x v="1"/>
    <x v="0"/>
    <x v="24"/>
    <x v="4"/>
    <x v="36"/>
    <x v="0"/>
    <s v="FFTFEF5052"/>
    <s v="FFTFEF5052BG"/>
    <x v="0"/>
    <n v="100"/>
    <x v="192"/>
    <x v="631"/>
    <n v="2.2222222222222223"/>
    <n v="100"/>
    <n v="0"/>
  </r>
  <r>
    <x v="0"/>
    <x v="0"/>
    <s v="FFTFEF5053"/>
    <n v="1"/>
    <s v=""/>
    <n v="0"/>
    <s v="FFTFEF5053BK"/>
    <n v="1"/>
    <s v=""/>
    <n v="0"/>
    <x v="1"/>
    <x v="0"/>
    <x v="24"/>
    <x v="4"/>
    <x v="36"/>
    <x v="0"/>
    <s v="FFTFEF5053"/>
    <s v="FFTFEF5053BK"/>
    <x v="0"/>
    <n v="50"/>
    <x v="191"/>
    <x v="630"/>
    <n v="2.2222222222222223"/>
    <n v="50"/>
    <n v="0"/>
  </r>
  <r>
    <x v="0"/>
    <x v="0"/>
    <s v="SHLFAF5001"/>
    <n v="1"/>
    <s v=""/>
    <n v="0"/>
    <s v="SHLFAF5001BG"/>
    <n v="1"/>
    <s v=""/>
    <n v="0"/>
    <x v="1"/>
    <x v="0"/>
    <x v="27"/>
    <x v="5"/>
    <x v="40"/>
    <x v="0"/>
    <s v="SHLFAF5001"/>
    <s v="SHLFAF5001BG"/>
    <x v="0"/>
    <n v="40"/>
    <x v="193"/>
    <x v="632"/>
    <n v="2.2203823573686585"/>
    <n v="40"/>
    <n v="0"/>
  </r>
  <r>
    <x v="0"/>
    <x v="0"/>
    <s v="SHLFAF5002"/>
    <n v="1"/>
    <s v=""/>
    <n v="0"/>
    <s v="SHLFAF5002BW"/>
    <n v="1"/>
    <s v=""/>
    <n v="0"/>
    <x v="1"/>
    <x v="0"/>
    <x v="27"/>
    <x v="5"/>
    <x v="40"/>
    <x v="0"/>
    <s v="SHLFAF5002"/>
    <s v="SHLFAF5002BW"/>
    <x v="0"/>
    <n v="40"/>
    <x v="193"/>
    <x v="632"/>
    <n v="2.2203823573686585"/>
    <n v="40"/>
    <n v="0"/>
  </r>
  <r>
    <x v="0"/>
    <x v="0"/>
    <s v="SHLFAF5003"/>
    <n v="1"/>
    <s v=""/>
    <n v="0"/>
    <s v="SHLFAF5003GY"/>
    <n v="1"/>
    <s v=""/>
    <n v="0"/>
    <x v="1"/>
    <x v="0"/>
    <x v="27"/>
    <x v="5"/>
    <x v="40"/>
    <x v="0"/>
    <s v="SHLFAF5003"/>
    <s v="SHLFAF5003GY"/>
    <x v="0"/>
    <n v="40"/>
    <x v="193"/>
    <x v="632"/>
    <n v="2.2203823573686585"/>
    <n v="40"/>
    <n v="0"/>
  </r>
  <r>
    <x v="0"/>
    <x v="0"/>
    <s v="SHLFAF5004"/>
    <n v="1"/>
    <s v=""/>
    <n v="0"/>
    <s v="SHLFAF5004GY"/>
    <n v="1"/>
    <s v=""/>
    <n v="0"/>
    <x v="1"/>
    <x v="0"/>
    <x v="27"/>
    <x v="5"/>
    <x v="40"/>
    <x v="0"/>
    <s v="SHLFAF5004"/>
    <s v="SHLFAF5004GY"/>
    <x v="0"/>
    <n v="40"/>
    <x v="193"/>
    <x v="632"/>
    <n v="2.2203823573686585"/>
    <n v="40"/>
    <n v="0"/>
  </r>
  <r>
    <x v="0"/>
    <x v="0"/>
    <s v="SHLFAF5005"/>
    <n v="1"/>
    <s v=""/>
    <n v="0"/>
    <s v="SHLFAF5005BK"/>
    <n v="1"/>
    <s v=""/>
    <n v="0"/>
    <x v="1"/>
    <x v="0"/>
    <x v="27"/>
    <x v="5"/>
    <x v="40"/>
    <x v="0"/>
    <s v="SHLFAF5005"/>
    <s v="SHLFAF5005BK"/>
    <x v="0"/>
    <n v="40"/>
    <x v="193"/>
    <x v="632"/>
    <n v="2.2203823573686585"/>
    <n v="40"/>
    <n v="0"/>
  </r>
  <r>
    <x v="0"/>
    <x v="0"/>
    <s v="FFTSNF3037"/>
    <n v="1"/>
    <s v=""/>
    <n v="0"/>
    <s v="FFTSNF3037BK"/>
    <n v="1"/>
    <s v=""/>
    <n v="0"/>
    <x v="0"/>
    <x v="0"/>
    <x v="24"/>
    <x v="0"/>
    <x v="36"/>
    <x v="0"/>
    <s v="FFTSNF3037"/>
    <s v="FFTSNF3037BK"/>
    <x v="0"/>
    <n v="100"/>
    <x v="194"/>
    <x v="633"/>
    <n v="2.2222222222222223"/>
    <n v="100"/>
    <n v="0"/>
  </r>
  <r>
    <x v="0"/>
    <x v="0"/>
    <s v="FFTSNF3038"/>
    <n v="1"/>
    <s v=""/>
    <n v="0"/>
    <s v="FFTSNF3038BK"/>
    <n v="1"/>
    <s v=""/>
    <n v="0"/>
    <x v="0"/>
    <x v="0"/>
    <x v="24"/>
    <x v="0"/>
    <x v="36"/>
    <x v="0"/>
    <s v="FFTSNF3038"/>
    <s v="FFTSNF3038BK"/>
    <x v="0"/>
    <n v="100"/>
    <x v="194"/>
    <x v="633"/>
    <n v="2.2222222222222223"/>
    <n v="100"/>
    <n v="0"/>
  </r>
  <r>
    <x v="0"/>
    <x v="0"/>
    <s v="FFTSNF3039"/>
    <n v="1"/>
    <s v=""/>
    <n v="0"/>
    <s v="FFTSNF3039BK"/>
    <n v="1"/>
    <s v=""/>
    <n v="0"/>
    <x v="0"/>
    <x v="0"/>
    <x v="24"/>
    <x v="0"/>
    <x v="36"/>
    <x v="0"/>
    <s v="FFTSNF3039"/>
    <s v="FFTSNF3039BK"/>
    <x v="0"/>
    <n v="100"/>
    <x v="194"/>
    <x v="633"/>
    <n v="2.2222222222222223"/>
    <n v="100"/>
    <n v="0"/>
  </r>
  <r>
    <x v="0"/>
    <x v="0"/>
    <s v="FFTBEF5040"/>
    <n v="1"/>
    <s v=""/>
    <n v="0"/>
    <s v="FFTBEF5040NY"/>
    <n v="1"/>
    <s v=""/>
    <n v="0"/>
    <x v="1"/>
    <x v="0"/>
    <x v="24"/>
    <x v="21"/>
    <x v="36"/>
    <x v="0"/>
    <s v="FFTBEF5040"/>
    <s v="FFTBEF5040NY"/>
    <x v="0"/>
    <n v="100"/>
    <x v="188"/>
    <x v="619"/>
    <n v="2.2222222222222223"/>
    <n v="100"/>
    <n v="0"/>
  </r>
  <r>
    <x v="0"/>
    <x v="0"/>
    <s v="FFTBEF5041"/>
    <n v="1"/>
    <s v=""/>
    <n v="0"/>
    <s v="FFTBEF5041BK"/>
    <n v="1"/>
    <s v=""/>
    <n v="0"/>
    <x v="1"/>
    <x v="0"/>
    <x v="24"/>
    <x v="21"/>
    <x v="36"/>
    <x v="0"/>
    <s v="FFTBEF5041"/>
    <s v="FFTBEF5041BK"/>
    <x v="0"/>
    <n v="100"/>
    <x v="188"/>
    <x v="619"/>
    <n v="2.2222222222222223"/>
    <n v="100"/>
    <n v="0"/>
  </r>
  <r>
    <x v="0"/>
    <x v="1"/>
    <s v=""/>
    <n v="0"/>
    <s v="SHLFAF5001"/>
    <n v="1"/>
    <s v=""/>
    <n v="0"/>
    <s v="SHLFAF5001BG"/>
    <n v="1"/>
    <x v="1"/>
    <x v="0"/>
    <x v="27"/>
    <x v="5"/>
    <x v="40"/>
    <x v="0"/>
    <s v="SHLFAF5001"/>
    <s v="SHLFAF5001BG"/>
    <x v="0"/>
    <n v="5"/>
    <x v="195"/>
    <x v="634"/>
    <n v="2.2203823573686585"/>
    <n v="5"/>
    <n v="0"/>
  </r>
  <r>
    <x v="0"/>
    <x v="1"/>
    <s v=""/>
    <n v="0"/>
    <s v="SHLFAF5002"/>
    <n v="1"/>
    <s v=""/>
    <n v="0"/>
    <s v="SHLFAF5002BW"/>
    <n v="1"/>
    <x v="1"/>
    <x v="0"/>
    <x v="27"/>
    <x v="5"/>
    <x v="40"/>
    <x v="0"/>
    <s v="SHLFAF5002"/>
    <s v="SHLFAF5002BW"/>
    <x v="0"/>
    <n v="5"/>
    <x v="195"/>
    <x v="634"/>
    <n v="2.2203823573686585"/>
    <n v="5"/>
    <n v="0"/>
  </r>
  <r>
    <x v="0"/>
    <x v="1"/>
    <s v=""/>
    <n v="0"/>
    <s v="SHLFAF5003"/>
    <n v="1"/>
    <s v=""/>
    <n v="0"/>
    <s v="SHLFAF5003GY"/>
    <n v="1"/>
    <x v="1"/>
    <x v="0"/>
    <x v="27"/>
    <x v="5"/>
    <x v="40"/>
    <x v="0"/>
    <s v="SHLFAF5003"/>
    <s v="SHLFAF5003GY"/>
    <x v="0"/>
    <n v="5"/>
    <x v="195"/>
    <x v="634"/>
    <n v="2.2203823573686585"/>
    <n v="5"/>
    <n v="0"/>
  </r>
  <r>
    <x v="0"/>
    <x v="1"/>
    <s v=""/>
    <n v="0"/>
    <s v="SHLFAF5004"/>
    <n v="1"/>
    <s v=""/>
    <n v="0"/>
    <s v="SHLFAF5004GY"/>
    <n v="1"/>
    <x v="1"/>
    <x v="0"/>
    <x v="27"/>
    <x v="5"/>
    <x v="40"/>
    <x v="0"/>
    <s v="SHLFAF5004"/>
    <s v="SHLFAF5004GY"/>
    <x v="0"/>
    <n v="5"/>
    <x v="195"/>
    <x v="634"/>
    <n v="2.2203823573686585"/>
    <n v="5"/>
    <n v="0"/>
  </r>
  <r>
    <x v="0"/>
    <x v="1"/>
    <s v=""/>
    <n v="0"/>
    <s v="SHLFAF5005"/>
    <n v="1"/>
    <s v=""/>
    <n v="0"/>
    <s v="SHLFAF5005BK"/>
    <n v="1"/>
    <x v="1"/>
    <x v="0"/>
    <x v="27"/>
    <x v="5"/>
    <x v="40"/>
    <x v="0"/>
    <s v="SHLFAF5005"/>
    <s v="SHLFAF5005BK"/>
    <x v="0"/>
    <n v="5"/>
    <x v="195"/>
    <x v="634"/>
    <n v="2.2203823573686585"/>
    <n v="5"/>
    <n v="0"/>
  </r>
  <r>
    <x v="2"/>
    <x v="2"/>
    <m/>
    <m/>
    <m/>
    <m/>
    <m/>
    <m/>
    <m/>
    <m/>
    <x v="3"/>
    <x v="4"/>
    <x v="28"/>
    <x v="27"/>
    <x v="41"/>
    <x v="2"/>
    <m/>
    <m/>
    <x v="2"/>
    <m/>
    <x v="196"/>
    <x v="635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피벗 테이블1" cacheId="161" applyNumberFormats="0" applyBorderFormats="0" applyFontFormats="0" applyPatternFormats="0" applyAlignmentFormats="0" applyWidthHeightFormats="1" dataCaption="데이터" updatedVersion="4" minRefreshableVersion="3" asteriskTotals="1" showMemberPropertyTips="0" useAutoFormatting="1" itemPrintTitles="1" createdVersion="3" indent="0" compact="0" compactData="0" gridDropZones="1">
  <location ref="A3:I835" firstHeaderRow="1" firstDataRow="2" firstDataCol="3"/>
  <pivotFields count="11">
    <pivotField compact="0" outline="0" subtotalTop="0" showAll="0" includeNewItemsInFilter="1" defaultSubtotal="0"/>
    <pivotField axis="axisRow" compact="0" outline="0" showAll="0" defaultSubtotal="0">
      <items count="13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m="1" x="1206"/>
        <item m="1" x="1067"/>
        <item m="1" x="1211"/>
        <item m="1" x="1072"/>
        <item m="1" x="1216"/>
        <item m="1" x="1077"/>
        <item m="1" x="1221"/>
        <item m="1" x="1082"/>
        <item m="1" x="1226"/>
        <item m="1" x="1087"/>
        <item m="1" x="1231"/>
        <item m="1" x="1092"/>
        <item m="1" x="1236"/>
        <item m="1" x="1097"/>
        <item m="1" x="1241"/>
        <item m="1" x="1102"/>
        <item m="1" x="1246"/>
        <item m="1" x="1107"/>
        <item m="1" x="1251"/>
        <item m="1" x="1112"/>
        <item m="1" x="1256"/>
        <item m="1" x="1117"/>
        <item m="1" x="1261"/>
        <item m="1" x="1121"/>
        <item m="1" x="1265"/>
        <item m="1" x="1125"/>
        <item m="1" x="1269"/>
        <item m="1" x="1129"/>
        <item m="1" x="1273"/>
        <item m="1" x="1133"/>
        <item m="1" x="1277"/>
        <item m="1" x="1137"/>
        <item m="1" x="1281"/>
        <item m="1" x="1141"/>
        <item m="1" x="1285"/>
        <item m="1" x="1145"/>
        <item m="1" x="1289"/>
        <item m="1" x="1149"/>
        <item m="1" x="1293"/>
        <item m="1" x="1153"/>
        <item m="1" x="1297"/>
        <item m="1" x="1157"/>
        <item m="1" x="1301"/>
        <item m="1" x="1161"/>
        <item m="1" x="1305"/>
        <item m="1" x="1165"/>
        <item m="1" x="1309"/>
        <item m="1" x="1169"/>
        <item m="1" x="1313"/>
        <item m="1" x="1173"/>
        <item m="1" x="1317"/>
        <item m="1" x="1177"/>
        <item m="1" x="1321"/>
        <item m="1" x="1181"/>
        <item m="1" x="1325"/>
        <item m="1" x="1185"/>
        <item m="1" x="1329"/>
        <item m="1" x="1189"/>
        <item m="1" x="1333"/>
        <item m="1" x="1193"/>
        <item m="1" x="1337"/>
        <item m="1" x="1197"/>
        <item m="1" x="1058"/>
        <item m="1" x="1201"/>
        <item m="1" x="1062"/>
        <item m="1" x="1205"/>
        <item m="1" x="1066"/>
        <item m="1" x="1210"/>
        <item m="1" x="1071"/>
        <item m="1" x="1215"/>
        <item m="1" x="1076"/>
        <item m="1" x="1220"/>
        <item m="1" x="1081"/>
        <item m="1" x="1225"/>
        <item m="1" x="1086"/>
        <item m="1" x="1230"/>
        <item m="1" x="1091"/>
        <item m="1" x="1235"/>
        <item m="1" x="1096"/>
        <item m="1" x="1240"/>
        <item m="1" x="1101"/>
        <item x="1054"/>
        <item m="1" x="1245"/>
        <item m="1" x="1106"/>
        <item m="1" x="1250"/>
        <item m="1" x="1111"/>
        <item m="1" x="1255"/>
        <item m="1" x="1116"/>
        <item m="1" x="1260"/>
        <item m="1" x="1120"/>
        <item m="1" x="1264"/>
        <item m="1" x="1124"/>
        <item m="1" x="1268"/>
        <item m="1" x="1128"/>
        <item m="1" x="1272"/>
        <item m="1" x="1132"/>
        <item m="1" x="1276"/>
        <item m="1" x="1136"/>
        <item m="1" x="1280"/>
        <item m="1" x="1140"/>
        <item m="1" x="1284"/>
        <item m="1" x="1144"/>
        <item m="1" x="1288"/>
        <item m="1" x="1148"/>
        <item m="1" x="1292"/>
        <item m="1" x="1152"/>
        <item m="1" x="1296"/>
        <item m="1" x="1156"/>
        <item m="1" x="1300"/>
        <item m="1" x="1160"/>
        <item m="1" x="1304"/>
        <item m="1" x="1164"/>
        <item m="1" x="1308"/>
        <item m="1" x="1168"/>
        <item m="1" x="1312"/>
        <item m="1" x="1172"/>
        <item m="1" x="1316"/>
        <item m="1" x="1176"/>
        <item m="1" x="1320"/>
        <item m="1" x="1180"/>
        <item m="1" x="1324"/>
        <item m="1" x="1184"/>
        <item m="1" x="1328"/>
        <item m="1" x="1188"/>
        <item m="1" x="1332"/>
        <item m="1" x="1192"/>
        <item m="1" x="1336"/>
        <item m="1" x="1196"/>
        <item m="1" x="1057"/>
        <item m="1" x="1200"/>
        <item m="1" x="1061"/>
        <item m="1" x="1204"/>
        <item m="1" x="1065"/>
        <item m="1" x="1209"/>
        <item m="1" x="1070"/>
        <item m="1" x="1214"/>
        <item m="1" x="1075"/>
        <item m="1" x="1219"/>
        <item m="1" x="1080"/>
        <item m="1" x="1224"/>
        <item m="1" x="1085"/>
        <item m="1" x="1229"/>
        <item m="1" x="1090"/>
        <item m="1" x="1234"/>
        <item m="1" x="1095"/>
        <item m="1" x="1239"/>
        <item m="1" x="1100"/>
        <item m="1" x="1244"/>
        <item m="1" x="1105"/>
        <item m="1" x="1249"/>
        <item m="1" x="1110"/>
        <item m="1" x="1254"/>
        <item m="1" x="1115"/>
        <item m="1" x="1259"/>
        <item m="1" x="1119"/>
        <item m="1" x="1263"/>
        <item m="1" x="1123"/>
        <item m="1" x="1267"/>
        <item m="1" x="1127"/>
        <item m="1" x="1271"/>
        <item m="1" x="1131"/>
        <item m="1" x="1275"/>
        <item m="1" x="1135"/>
        <item m="1" x="1279"/>
        <item m="1" x="1139"/>
        <item m="1" x="1283"/>
        <item m="1" x="1143"/>
        <item m="1" x="1287"/>
        <item m="1" x="1147"/>
        <item m="1" x="1291"/>
        <item m="1" x="1151"/>
        <item m="1" x="1295"/>
        <item m="1" x="1155"/>
        <item m="1" x="1299"/>
        <item m="1" x="1159"/>
        <item m="1" x="1303"/>
        <item m="1" x="1163"/>
        <item m="1" x="1307"/>
        <item m="1" x="1167"/>
        <item m="1" x="1311"/>
        <item m="1" x="1171"/>
        <item m="1" x="1315"/>
        <item m="1" x="1175"/>
        <item m="1" x="1319"/>
        <item m="1" x="1179"/>
        <item m="1" x="1323"/>
        <item m="1" x="1183"/>
        <item m="1" x="1327"/>
        <item m="1" x="1187"/>
        <item m="1" x="1331"/>
        <item m="1" x="1191"/>
        <item m="1" x="1335"/>
        <item m="1" x="1195"/>
        <item m="1" x="1056"/>
        <item m="1" x="1199"/>
        <item m="1" x="1060"/>
        <item m="1" x="1203"/>
        <item m="1" x="1064"/>
        <item m="1" x="1208"/>
        <item m="1" x="1069"/>
        <item m="1" x="1213"/>
        <item m="1" x="1074"/>
        <item m="1" x="1218"/>
        <item m="1" x="1079"/>
        <item m="1" x="1223"/>
        <item m="1" x="1084"/>
        <item m="1" x="1228"/>
        <item m="1" x="1089"/>
        <item m="1" x="1233"/>
        <item m="1" x="1094"/>
        <item m="1" x="1238"/>
        <item m="1" x="1099"/>
        <item m="1" x="1243"/>
        <item m="1" x="1104"/>
        <item m="1" x="1248"/>
        <item m="1" x="1109"/>
        <item m="1" x="1253"/>
        <item m="1" x="1114"/>
        <item m="1" x="1258"/>
        <item m="1" x="1118"/>
        <item m="1" x="1262"/>
        <item m="1" x="1122"/>
        <item m="1" x="1266"/>
        <item m="1" x="1126"/>
        <item m="1" x="1270"/>
        <item m="1" x="1130"/>
        <item m="1" x="1274"/>
        <item m="1" x="1134"/>
        <item m="1" x="1278"/>
        <item m="1" x="1138"/>
        <item m="1" x="1282"/>
        <item m="1" x="1142"/>
        <item m="1" x="1286"/>
        <item m="1" x="1146"/>
        <item m="1" x="1290"/>
        <item m="1" x="1150"/>
        <item m="1" x="1294"/>
        <item m="1" x="1154"/>
        <item m="1" x="1298"/>
        <item m="1" x="1158"/>
        <item m="1" x="1302"/>
        <item m="1" x="1162"/>
        <item m="1" x="1306"/>
        <item m="1" x="1166"/>
        <item m="1" x="1310"/>
        <item m="1" x="1170"/>
        <item m="1" x="1314"/>
        <item m="1" x="1174"/>
        <item m="1" x="1318"/>
        <item m="1" x="1178"/>
        <item m="1" x="1322"/>
        <item m="1" x="1182"/>
        <item m="1" x="1326"/>
        <item m="1" x="1186"/>
        <item m="1" x="1330"/>
        <item m="1" x="1190"/>
        <item m="1" x="1334"/>
        <item m="1" x="1194"/>
        <item m="1" x="1055"/>
        <item m="1" x="1198"/>
        <item m="1" x="1059"/>
        <item m="1" x="1202"/>
        <item m="1" x="1063"/>
        <item m="1" x="1207"/>
        <item m="1" x="1068"/>
        <item m="1" x="1212"/>
        <item m="1" x="1073"/>
        <item m="1" x="1217"/>
        <item m="1" x="1078"/>
        <item m="1" x="1222"/>
        <item m="1" x="1083"/>
        <item m="1" x="1227"/>
        <item m="1" x="1088"/>
        <item m="1" x="1232"/>
        <item m="1" x="1093"/>
        <item m="1" x="1237"/>
        <item m="1" x="1098"/>
        <item m="1" x="1242"/>
        <item m="1" x="1103"/>
        <item m="1" x="1247"/>
        <item m="1" x="1108"/>
        <item m="1" x="1252"/>
        <item m="1" x="1113"/>
        <item m="1" x="1257"/>
      </items>
    </pivotField>
    <pivotField axis="axisRow" compact="0" outline="0" subtotalTop="0" showAll="0" includeNewItemsInFilter="1" defaultSubtotal="0">
      <items count="2552">
        <item m="1" x="1065"/>
        <item m="1" x="2433"/>
        <item m="1" x="2490"/>
        <item m="1" x="1198"/>
        <item m="1" x="1294"/>
        <item m="1" x="1389"/>
        <item m="1" x="1949"/>
        <item m="1" x="1146"/>
        <item m="1" x="2478"/>
        <item m="1" x="1328"/>
        <item m="1" x="944"/>
        <item m="1" x="2196"/>
        <item m="1" x="2175"/>
        <item m="1" x="1937"/>
        <item m="1" x="2260"/>
        <item m="1" x="2270"/>
        <item m="1" x="1384"/>
        <item m="1" x="1682"/>
        <item m="1" x="1403"/>
        <item m="1" x="1144"/>
        <item m="1" x="1225"/>
        <item m="1" x="1062"/>
        <item m="1" x="1807"/>
        <item m="1" x="1560"/>
        <item m="1" x="2475"/>
        <item m="1" x="2522"/>
        <item m="1" x="1395"/>
        <item m="1" x="1367"/>
        <item m="1" x="1111"/>
        <item m="1" x="1248"/>
        <item m="1" x="1650"/>
        <item m="1" x="1766"/>
        <item m="1" x="947"/>
        <item m="1" x="1617"/>
        <item m="1" x="891"/>
        <item m="1" x="2540"/>
        <item m="1" x="844"/>
        <item m="1" x="860"/>
        <item m="1" x="1219"/>
        <item m="1" x="2369"/>
        <item m="1" x="2252"/>
        <item m="1" x="2028"/>
        <item m="1" x="2184"/>
        <item m="1" x="958"/>
        <item m="1" x="1999"/>
        <item m="1" x="1899"/>
        <item m="1" x="1035"/>
        <item m="1" x="1635"/>
        <item m="1" x="787"/>
        <item m="1" x="855"/>
        <item m="1" x="878"/>
        <item m="1" x="2404"/>
        <item m="1" x="1133"/>
        <item m="1" x="963"/>
        <item m="1" x="1533"/>
        <item m="1" x="2183"/>
        <item m="1" x="1666"/>
        <item m="1" x="1842"/>
        <item m="1" x="1413"/>
        <item m="1" x="1514"/>
        <item m="1" x="1951"/>
        <item m="1" x="1824"/>
        <item m="1" x="1659"/>
        <item m="1" x="1786"/>
        <item m="1" x="1680"/>
        <item m="1" x="1661"/>
        <item m="1" x="1220"/>
        <item m="1" x="1475"/>
        <item m="1" x="1439"/>
        <item m="1" x="1401"/>
        <item m="1" x="1254"/>
        <item m="1" x="1568"/>
        <item m="1" x="1772"/>
        <item m="1" x="1815"/>
        <item m="1" x="1414"/>
        <item m="1" x="1758"/>
        <item m="1" x="1490"/>
        <item m="1" x="1317"/>
        <item m="1" x="2408"/>
        <item m="1" x="2450"/>
        <item m="1" x="2425"/>
        <item m="1" x="2058"/>
        <item m="1" x="2395"/>
        <item m="1" x="1361"/>
        <item m="1" x="1672"/>
        <item m="1" x="1043"/>
        <item m="1" x="1157"/>
        <item m="1" x="1713"/>
        <item m="1" x="1515"/>
        <item m="1" x="1284"/>
        <item m="1" x="1662"/>
        <item m="1" x="1550"/>
        <item m="1" x="2508"/>
        <item m="1" x="2381"/>
        <item m="1" x="2371"/>
        <item m="1" x="1625"/>
        <item m="1" x="802"/>
        <item m="1" x="1869"/>
        <item m="1" x="1747"/>
        <item m="1" x="1564"/>
        <item m="1" x="1694"/>
        <item m="1" x="2402"/>
        <item m="1" x="1491"/>
        <item m="1" x="903"/>
        <item m="1" x="1132"/>
        <item m="1" x="1046"/>
        <item m="1" x="1782"/>
        <item m="1" x="2041"/>
        <item m="1" x="2168"/>
        <item m="1" x="1889"/>
        <item m="1" x="2499"/>
        <item m="1" x="2511"/>
        <item m="1" x="845"/>
        <item m="1" x="1853"/>
        <item m="1" x="1704"/>
        <item m="1" x="1727"/>
        <item m="1" x="909"/>
        <item m="1" x="1968"/>
        <item m="1" x="1845"/>
        <item m="1" x="1670"/>
        <item m="1" x="1791"/>
        <item m="1" x="1596"/>
        <item m="1" x="1017"/>
        <item m="1" x="1243"/>
        <item m="1" x="1153"/>
        <item m="1" x="1882"/>
        <item m="1" x="2153"/>
        <item m="1" x="2255"/>
        <item m="1" x="1978"/>
        <item m="1" x="2073"/>
        <item m="1" x="1645"/>
        <item m="1" x="1877"/>
        <item m="1" x="1607"/>
        <item m="1" x="1019"/>
        <item m="1" x="1486"/>
        <item m="1" x="1504"/>
        <item m="1" x="1973"/>
        <item m="1" x="1710"/>
        <item m="1" x="1129"/>
        <item m="1" x="1590"/>
        <item m="1" x="1614"/>
        <item m="1" x="1858"/>
        <item m="1" x="1878"/>
        <item m="1" x="1253"/>
        <item m="1" x="1006"/>
        <item m="1" x="1959"/>
        <item m="1" x="1975"/>
        <item m="1" x="1357"/>
        <item m="1" x="1117"/>
        <item m="1" x="866"/>
        <item m="1" x="1366"/>
        <item m="1" x="2068"/>
        <item m="1" x="2140"/>
        <item m="1" x="837"/>
        <item m="1" x="2529"/>
        <item m="1" x="1463"/>
        <item m="1" x="2174"/>
        <item m="1" x="2231"/>
        <item m="1" x="949"/>
        <item m="1" x="870"/>
        <item m="1" x="1025"/>
        <item m="1" x="852"/>
        <item m="1" x="2484"/>
        <item m="1" x="2321"/>
        <item m="1" x="2276"/>
        <item m="1" x="2097"/>
        <item m="1" x="1737"/>
        <item m="1" x="2152"/>
        <item m="1" x="1334"/>
        <item m="1" x="1343"/>
        <item m="1" x="1412"/>
        <item m="1" x="1137"/>
        <item m="1" x="967"/>
        <item m="1" x="824"/>
        <item m="1" x="2407"/>
        <item m="1" x="2377"/>
        <item m="1" x="2195"/>
        <item m="1" x="1833"/>
        <item m="1" x="2244"/>
        <item m="1" x="1444"/>
        <item m="1" x="1452"/>
        <item m="1" x="1512"/>
        <item m="1" x="1335"/>
        <item m="1" x="1429"/>
        <item m="1" x="1552"/>
        <item m="1" x="2216"/>
        <item m="1" x="1570"/>
        <item m="1" x="1445"/>
        <item m="1" x="1525"/>
        <item m="1" x="1657"/>
        <item m="1" x="2312"/>
        <item m="1" x="1678"/>
        <item m="1" x="987"/>
        <item m="1" x="1396"/>
        <item m="1" x="1148"/>
        <item m="1" x="1126"/>
        <item m="1" x="1376"/>
        <item m="1" x="890"/>
        <item m="1" x="1344"/>
        <item m="1" x="1209"/>
        <item m="1" x="2248"/>
        <item m="1" x="2057"/>
        <item m="1" x="1922"/>
        <item m="1" x="1905"/>
        <item m="1" x="953"/>
        <item m="1" x="1067"/>
        <item m="1" x="1147"/>
        <item m="1" x="1105"/>
        <item m="1" x="1487"/>
        <item m="1" x="1259"/>
        <item m="1" x="1236"/>
        <item m="1" x="1474"/>
        <item m="1" x="1009"/>
        <item m="1" x="1453"/>
        <item m="1" x="1304"/>
        <item m="1" x="2015"/>
        <item m="1" x="1998"/>
        <item m="1" x="1072"/>
        <item m="1" x="889"/>
        <item m="1" x="796"/>
        <item m="1" x="1020"/>
        <item m="1" x="939"/>
        <item m="1" x="2118"/>
        <item m="1" x="2362"/>
        <item m="1" x="2208"/>
        <item m="1" x="1781"/>
        <item m="1" x="1654"/>
        <item m="1" x="1346"/>
        <item m="1" x="827"/>
        <item m="1" x="2341"/>
        <item m="1" x="2415"/>
        <item m="1" x="2548"/>
        <item m="1" x="2038"/>
        <item m="1" x="1930"/>
        <item m="1" x="1819"/>
        <item m="1" x="2076"/>
        <item m="1" x="1913"/>
        <item m="1" x="1131"/>
        <item m="1" x="1055"/>
        <item m="1" x="2212"/>
        <item m="1" x="2455"/>
        <item m="1" x="2304"/>
        <item m="1" x="1880"/>
        <item m="1" x="1755"/>
        <item m="1" x="1454"/>
        <item m="1" x="936"/>
        <item m="1" x="2426"/>
        <item m="1" x="2520"/>
        <item m="1" x="883"/>
        <item m="1" x="2150"/>
        <item m="1" x="1917"/>
        <item m="1" x="2180"/>
        <item m="1" x="2007"/>
        <item m="1" x="1053"/>
        <item m="1" x="948"/>
        <item m="1" x="1312"/>
        <item m="1" x="1210"/>
        <item m="1" x="1092"/>
        <item m="1" x="1149"/>
        <item m="1" x="1297"/>
        <item m="1" x="834"/>
        <item m="1" x="1075"/>
        <item m="1" x="2283"/>
        <item m="1" x="2148"/>
        <item m="1" x="2360"/>
        <item m="1" x="1852"/>
        <item m="1" x="1901"/>
        <item m="1" x="2253"/>
        <item m="1" x="1599"/>
        <item m="1" x="1448"/>
        <item m="1" x="2091"/>
        <item m="1" x="1569"/>
        <item m="1" x="1201"/>
        <item m="1" x="1535"/>
        <item m="1" x="1469"/>
        <item m="1" x="2466"/>
        <item m="1" x="1611"/>
        <item m="1" x="2495"/>
        <item m="1" x="2233"/>
        <item m="1" x="2096"/>
        <item m="1" x="2439"/>
        <item m="1" x="1543"/>
        <item m="1" x="1920"/>
        <item m="1" x="1319"/>
        <item m="1" x="1437"/>
        <item m="1" x="1321"/>
        <item m="1" x="1411"/>
        <item m="1" x="1537"/>
        <item m="1" x="1745"/>
        <item m="1" x="1669"/>
        <item m="1" x="1644"/>
        <item m="1" x="2410"/>
        <item m="1" x="1332"/>
        <item m="1" x="1418"/>
        <item m="1" x="1305"/>
        <item m="1" x="1186"/>
        <item m="1" x="1260"/>
        <item m="1" x="946"/>
        <item m="1" x="1178"/>
        <item m="1" x="2383"/>
        <item m="1" x="2243"/>
        <item m="1" x="2452"/>
        <item m="1" x="1950"/>
        <item m="1" x="1996"/>
        <item m="1" x="2358"/>
        <item m="1" x="1705"/>
        <item m="1" x="1544"/>
        <item m="1" x="2189"/>
        <item m="1" x="1673"/>
        <item m="1" x="1301"/>
        <item m="1" x="1638"/>
        <item m="1" x="1563"/>
        <item m="1" x="803"/>
        <item m="1" x="1714"/>
        <item m="1" x="838"/>
        <item m="1" x="2194"/>
        <item m="1" x="2536"/>
        <item m="1" x="1649"/>
        <item m="1" x="2013"/>
        <item m="1" x="1423"/>
        <item m="1" x="1532"/>
        <item m="1" x="1425"/>
        <item m="1" x="1507"/>
        <item m="1" x="1844"/>
        <item m="1" x="1763"/>
        <item m="1" x="1746"/>
        <item m="1" x="2512"/>
        <item m="1" x="1443"/>
        <item m="1" x="1081"/>
        <item m="1" x="1641"/>
        <item m="1" x="1387"/>
        <item m="1" x="1451"/>
        <item m="1" x="1489"/>
        <item m="1" x="1860"/>
        <item m="1" x="1722"/>
        <item m="1" x="2488"/>
        <item m="1" x="854"/>
        <item m="1" x="799"/>
        <item m="1" x="2411"/>
        <item m="1" x="2313"/>
        <item m="1" x="2265"/>
        <item m="1" x="2167"/>
        <item m="1" x="2177"/>
        <item m="1" x="2128"/>
        <item m="1" x="2018"/>
        <item m="1" x="2386"/>
        <item m="1" x="2017"/>
        <item m="1" x="1939"/>
        <item m="1" x="1640"/>
        <item m="1" x="2061"/>
        <item m="1" x="1330"/>
        <item m="1" x="1085"/>
        <item m="1" x="1011"/>
        <item m="1" x="1876"/>
        <item m="1" x="1794"/>
        <item m="1" x="1280"/>
        <item m="1" x="810"/>
        <item m="1" x="2461"/>
        <item m="1" x="790"/>
        <item m="1" x="2176"/>
        <item m="1" x="2539"/>
        <item m="1" x="1827"/>
        <item m="1" x="1584"/>
        <item m="1" x="1987"/>
        <item m="1" x="1593"/>
        <item m="1" x="1430"/>
        <item m="1" x="1777"/>
        <item m="1" x="1115"/>
        <item m="1" x="1771"/>
        <item m="1" x="1073"/>
        <item m="1" x="1267"/>
        <item m="1" x="2457"/>
        <item m="1" x="2107"/>
        <item m="1" x="822"/>
        <item m="1" x="1278"/>
        <item m="1" x="808"/>
        <item m="1" x="1953"/>
        <item m="1" x="1803"/>
        <item m="1" x="2016"/>
        <item m="1" x="1832"/>
        <item m="1" x="1984"/>
        <item m="1" x="789"/>
        <item m="1" x="1881"/>
        <item m="1" x="1965"/>
        <item m="1" x="1908"/>
        <item m="1" x="1224"/>
        <item m="1" x="1612"/>
        <item m="1" x="2187"/>
        <item m="1" x="2026"/>
        <item m="1" x="988"/>
        <item m="1" x="1416"/>
        <item m="1" x="2541"/>
        <item m="1" x="2300"/>
        <item m="1" x="1555"/>
        <item m="1" x="1995"/>
        <item m="1" x="1838"/>
        <item m="1" x="1421"/>
        <item m="1" x="1392"/>
        <item m="1" x="1183"/>
        <item m="1" x="1932"/>
        <item m="1" x="1182"/>
        <item m="1" x="1016"/>
        <item m="1" x="1036"/>
        <item m="1" x="1218"/>
        <item m="1" x="1790"/>
        <item m="1" x="861"/>
        <item m="1" x="1049"/>
        <item m="1" x="872"/>
        <item m="1" x="1406"/>
        <item m="1" x="2087"/>
        <item m="1" x="1761"/>
        <item m="1" x="2337"/>
        <item m="1" x="1424"/>
        <item m="1" x="2462"/>
        <item m="1" x="884"/>
        <item m="1" x="1970"/>
        <item m="1" x="2271"/>
        <item m="1" x="2173"/>
        <item m="1" x="1942"/>
        <item m="1" x="2116"/>
        <item m="1" x="1991"/>
        <item m="1" x="1952"/>
        <item m="1" x="1698"/>
        <item m="1" x="1542"/>
        <item m="1" x="1399"/>
        <item m="1" x="1345"/>
        <item m="1" x="1919"/>
        <item m="1" x="1235"/>
        <item m="1" x="1233"/>
        <item m="1" x="1773"/>
        <item m="1" x="841"/>
        <item m="1" x="898"/>
        <item m="1" x="848"/>
        <item m="1" x="2509"/>
        <item m="1" x="1158"/>
        <item m="1" x="1744"/>
        <item m="1" x="1754"/>
        <item m="1" x="2048"/>
        <item m="1" x="2106"/>
        <item m="1" x="2060"/>
        <item m="1" x="1648"/>
        <item m="1" x="1033"/>
        <item m="1" x="1120"/>
        <item m="1" x="2032"/>
        <item m="1" x="1735"/>
        <item m="1" x="1272"/>
        <item m="1" x="2084"/>
        <item m="1" x="1112"/>
        <item m="1" x="938"/>
        <item m="1" x="907"/>
        <item m="1" x="1472"/>
        <item m="1" x="1194"/>
        <item m="1" x="2370"/>
        <item m="1" x="1843"/>
        <item m="1" x="1696"/>
        <item m="1" x="1637"/>
        <item m="1" x="1941"/>
        <item m="1" x="2419"/>
        <item m="1" x="2284"/>
        <item m="1" x="1441"/>
        <item m="1" x="954"/>
        <item m="1" x="2382"/>
        <item m="1" x="1630"/>
        <item m="1" x="1549"/>
        <item m="1" x="1954"/>
        <item m="1" x="2519"/>
        <item m="1" x="1918"/>
        <item m="1" x="1624"/>
        <item m="1" x="2192"/>
        <item m="1" x="1484"/>
        <item m="1" x="1207"/>
        <item m="1" x="969"/>
        <item m="1" x="977"/>
        <item m="1" x="2343"/>
        <item m="1" x="2414"/>
        <item m="1" x="1056"/>
        <item m="1" x="923"/>
        <item m="1" x="1427"/>
        <item m="1" x="1762"/>
        <item m="1" x="2339"/>
        <item m="1" x="1658"/>
        <item m="1" x="1503"/>
        <item m="1" x="1467"/>
        <item m="1" x="2034"/>
        <item m="1" x="1351"/>
        <item m="1" x="1888"/>
        <item m="1" x="1627"/>
        <item m="1" x="1684"/>
        <item m="1" x="2364"/>
        <item m="1" x="2092"/>
        <item m="1" x="1800"/>
        <item m="1" x="2201"/>
        <item m="1" x="1023"/>
        <item m="1" x="2095"/>
        <item m="1" x="850"/>
        <item m="1" x="1894"/>
        <item m="1" x="1676"/>
        <item m="1" x="1530"/>
        <item m="1" x="2078"/>
        <item m="1" x="1447"/>
        <item m="1" x="1329"/>
        <item m="1" x="1282"/>
        <item m="1" x="1170"/>
        <item m="1" x="1125"/>
        <item m="1" x="1716"/>
        <item m="1" x="2417"/>
        <item m="1" x="1232"/>
        <item m="1" x="920"/>
        <item m="1" x="1074"/>
        <item m="1" x="892"/>
        <item m="1" x="1728"/>
        <item m="1" x="2259"/>
        <item m="1" x="2086"/>
        <item m="1" x="1702"/>
        <item m="1" x="982"/>
        <item m="1" x="1295"/>
        <item m="1" x="1583"/>
        <item m="1" x="1594"/>
        <item m="1" x="1007"/>
        <item m="1" x="2227"/>
        <item m="1" x="2418"/>
        <item m="1" x="1432"/>
        <item m="1" x="1457"/>
        <item m="1" x="2516"/>
        <item m="1" x="960"/>
        <item m="1" x="2441"/>
        <item m="1" x="2323"/>
        <item m="1" x="2292"/>
        <item m="1" x="1176"/>
        <item m="1" x="1266"/>
        <item m="1" x="1010"/>
        <item m="1" x="1405"/>
        <item m="1" x="1523"/>
        <item m="1" x="2454"/>
        <item m="1" x="1136"/>
        <item m="1" x="2050"/>
        <item m="1" x="975"/>
        <item m="1" x="2047"/>
        <item m="1" x="1865"/>
        <item m="1" x="1539"/>
        <item m="1" x="1742"/>
        <item m="1" x="1546"/>
        <item m="1" x="1326"/>
        <item m="1" x="1164"/>
        <item m="1" x="1817"/>
        <item m="1" x="1311"/>
        <item m="1" x="1052"/>
        <item m="1" x="1223"/>
        <item m="1" x="2326"/>
        <item m="1" x="2103"/>
        <item m="1" x="1653"/>
        <item m="1" x="931"/>
        <item m="1" x="2236"/>
        <item m="1" x="2353"/>
        <item m="1" x="2486"/>
        <item m="1" x="1955"/>
        <item m="1" x="1802"/>
        <item m="1" x="1362"/>
        <item m="1" x="2354"/>
        <item m="1" x="2249"/>
        <item m="1" x="2209"/>
        <item m="1" x="2247"/>
        <item m="1" x="2123"/>
        <item m="1" x="2056"/>
        <item m="1" x="1835"/>
        <item m="1" x="2338"/>
        <item m="1" x="2430"/>
        <item m="1" x="1360"/>
        <item m="1" x="2390"/>
        <item m="1" x="914"/>
        <item m="1" x="2245"/>
        <item m="1" x="2368"/>
        <item m="1" x="1303"/>
        <item m="1" x="1029"/>
        <item m="1" x="2346"/>
        <item m="1" x="2458"/>
        <item m="1" x="2186"/>
        <item m="1" x="869"/>
        <item m="1" x="1063"/>
        <item m="1" x="955"/>
        <item m="1" x="981"/>
        <item m="1" x="991"/>
        <item m="1" x="1162"/>
        <item m="1" x="1104"/>
        <item m="1" x="2424"/>
        <item m="1" x="823"/>
        <item m="1" x="2438"/>
        <item m="1" x="2225"/>
        <item m="1" x="1258"/>
        <item m="1" x="2493"/>
        <item m="1" x="2102"/>
        <item m="1" x="984"/>
        <item m="1" x="2234"/>
        <item m="1" x="2525"/>
        <item m="1" x="933"/>
        <item m="1" x="2535"/>
        <item m="1" x="2332"/>
        <item m="1" x="1371"/>
        <item m="1" x="832"/>
        <item m="1" x="2197"/>
        <item m="1" x="1867"/>
        <item m="1" x="1116"/>
        <item m="1" x="983"/>
        <item m="1" x="2331"/>
        <item m="1" x="2035"/>
        <item m="1" x="1205"/>
        <item m="1" x="1983"/>
        <item m="1" x="2055"/>
        <item m="1" x="1730"/>
        <item m="1" x="2503"/>
        <item m="1" x="1217"/>
        <item m="1" x="2254"/>
        <item m="1" x="2282"/>
        <item m="1" x="2129"/>
        <item m="1" x="833"/>
        <item m="1" x="1095"/>
        <item m="1" x="2235"/>
        <item m="1" x="2040"/>
        <item m="1" x="964"/>
        <item m="1" x="2544"/>
        <item m="1" x="2376"/>
        <item m="1" x="2010"/>
        <item m="1" x="2083"/>
        <item m="1" x="1943"/>
        <item m="1" x="2075"/>
        <item m="1" x="1912"/>
        <item m="1" x="1096"/>
        <item m="1" x="2472"/>
        <item m="1" x="2131"/>
        <item m="1" x="2179"/>
        <item m="1" x="2006"/>
        <item m="1" x="1976"/>
        <item m="1" x="2505"/>
        <item m="1" x="2515"/>
        <item m="1" x="1834"/>
        <item m="1" x="2359"/>
        <item m="1" x="2367"/>
        <item m="1" x="2008"/>
        <item m="1" x="1936"/>
        <item m="1" x="1526"/>
        <item m="1" x="1785"/>
        <item m="1" x="1906"/>
        <item m="1" x="1350"/>
        <item m="1" x="1756"/>
        <item m="1" x="1202"/>
        <item m="1" x="1619"/>
        <item m="1" x="1462"/>
        <item m="1" x="1195"/>
        <item m="1" x="1166"/>
        <item m="1" x="1024"/>
        <item m="1" x="811"/>
        <item m="1" x="2422"/>
        <item m="1" x="2279"/>
        <item m="1" x="2143"/>
        <item m="1" x="1866"/>
        <item m="1" x="1623"/>
        <item m="1" x="1960"/>
        <item m="1" x="1562"/>
        <item m="1" x="2090"/>
        <item m="1" x="840"/>
        <item m="1" x="846"/>
        <item m="1" x="1191"/>
        <item m="1" x="1264"/>
        <item m="1" x="1972"/>
        <item m="1" x="1981"/>
        <item m="1" x="1718"/>
        <item m="1" x="1481"/>
        <item m="1" x="2132"/>
        <item m="1" x="1316"/>
        <item m="1" x="1431"/>
        <item m="1" x="1806"/>
        <item m="1" x="1077"/>
        <item m="1" x="895"/>
        <item m="1" x="1368"/>
        <item m="1" x="1212"/>
        <item m="1" x="2230"/>
        <item m="1" x="1021"/>
        <item m="1" x="849"/>
        <item m="1" x="1163"/>
        <item m="1" x="2190"/>
        <item m="1" x="2033"/>
        <item m="1" x="1879"/>
        <item m="1" x="1736"/>
        <item m="1" x="1576"/>
        <item m="1" x="1428"/>
        <item m="1" x="1854"/>
        <item m="1" x="1130"/>
        <item m="1" x="800"/>
        <item m="1" x="1977"/>
        <item m="1" x="2532"/>
        <item m="1" x="1874"/>
        <item m="1" x="1293"/>
        <item m="1" x="1375"/>
        <item m="1" x="2085"/>
        <item m="1" x="2099"/>
        <item m="1" x="1808"/>
        <item m="1" x="1580"/>
        <item m="1" x="2219"/>
        <item m="1" x="1420"/>
        <item m="1" x="1529"/>
        <item m="1" x="1910"/>
        <item m="1" x="1179"/>
        <item m="1" x="1466"/>
        <item m="1" x="1308"/>
        <item m="1" x="2335"/>
        <item m="1" x="1238"/>
        <item m="1" x="1252"/>
        <item m="1" x="932"/>
        <item m="1" x="1353"/>
        <item m="1" x="1203"/>
        <item m="1" x="1030"/>
        <item m="1" x="856"/>
        <item m="1" x="2456"/>
        <item m="1" x="2320"/>
        <item m="1" x="1602"/>
        <item m="1" x="1927"/>
        <item m="1" x="1961"/>
        <item m="1" x="1818"/>
        <item m="1" x="1770"/>
        <item m="1" x="1814"/>
        <item m="1" x="1668"/>
        <item m="1" x="1464"/>
        <item m="1" x="2204"/>
        <item m="1" x="1307"/>
        <item m="1" x="2054"/>
        <item m="1" x="1615"/>
        <item m="1" x="1900"/>
        <item m="1" x="1099"/>
        <item m="1" x="1459"/>
        <item m="1" x="1749"/>
        <item m="1" x="908"/>
        <item m="1" x="992"/>
        <item m="1" x="820"/>
        <item m="1" x="1285"/>
        <item m="1" x="1128"/>
        <item m="1" x="797"/>
        <item m="1" x="2405"/>
        <item m="1" x="2263"/>
        <item m="1" x="2144"/>
        <item m="1" x="1893"/>
        <item m="1" x="1958"/>
        <item m="1" x="2111"/>
        <item m="1" x="1831"/>
        <item m="1" x="1946"/>
        <item m="1" x="1957"/>
        <item m="1" x="1524"/>
        <item m="1" x="1050"/>
        <item m="1" x="1142"/>
        <item m="1" x="2022"/>
        <item m="1" x="2069"/>
        <item m="1" x="1916"/>
        <item m="1" x="1559"/>
        <item m="1" x="2298"/>
        <item m="1" x="1717"/>
        <item m="1" x="1994"/>
        <item m="1" x="1192"/>
        <item m="1" x="1629"/>
        <item m="1" x="1557"/>
        <item m="1" x="1026"/>
        <item m="1" x="2546"/>
        <item m="1" x="2394"/>
        <item m="1" x="1370"/>
        <item m="1" x="2286"/>
        <item m="1" x="2406"/>
        <item m="1" x="2297"/>
        <item m="1" x="867"/>
        <item m="1" x="2392"/>
        <item m="1" x="2289"/>
        <item m="1" x="888"/>
        <item m="1" x="2264"/>
        <item m="1" x="1037"/>
        <item m="1" x="1979"/>
        <item m="1" x="2345"/>
        <item m="1" x="2064"/>
        <item m="1" x="2108"/>
        <item m="1" x="862"/>
        <item m="1" x="2355"/>
        <item m="1" x="2079"/>
        <item m="1" x="2272"/>
        <item m="1" x="2465"/>
        <item m="1" x="2474"/>
        <item m="1" x="2210"/>
        <item m="1" x="2139"/>
        <item m="1" x="1812"/>
        <item m="1" x="1796"/>
        <item m="1" x="1374"/>
        <item m="1" x="1885"/>
        <item m="1" x="1509"/>
        <item m="1" x="1336"/>
        <item m="1" x="2030"/>
        <item m="1" x="1359"/>
        <item m="1" x="1521"/>
        <item m="1" x="1068"/>
        <item m="1" x="1578"/>
        <item m="1" x="2160"/>
        <item m="1" x="1513"/>
        <item m="1" x="1358"/>
        <item m="1" x="1724"/>
        <item m="1" x="2479"/>
        <item m="1" x="2237"/>
        <item m="1" x="2513"/>
        <item m="1" x="1058"/>
        <item m="1" x="2138"/>
        <item m="1" x="2251"/>
        <item m="1" x="2003"/>
        <item m="1" x="1119"/>
        <item m="1" x="2549"/>
        <item m="1" x="2166"/>
        <item m="1" x="1780"/>
        <item m="1" x="2288"/>
        <item m="1" x="2155"/>
        <item m="1" x="1139"/>
        <item m="1" x="1677"/>
        <item m="1" x="1071"/>
        <item m="1" x="1510"/>
        <item m="1" x="2498"/>
        <item m="1" x="2149"/>
        <item m="1" x="835"/>
        <item m="1" x="974"/>
        <item m="1" x="1372"/>
        <item m="1" x="1674"/>
        <item m="1" x="1150"/>
        <item m="1" x="2273"/>
        <item m="1" x="1603"/>
        <item m="1" x="1783"/>
        <item m="1" x="915"/>
        <item m="1" x="961"/>
        <item m="1" x="1528"/>
        <item m="1" x="2449"/>
        <item m="1" x="1385"/>
        <item m="1" x="897"/>
        <item m="1" x="2385"/>
        <item m="1" x="2066"/>
        <item m="1" x="2492"/>
        <item m="1" x="2351"/>
        <item m="1" x="2205"/>
        <item m="1" x="2100"/>
        <item m="1" x="2137"/>
        <item m="1" x="1522"/>
        <item m="1" x="1598"/>
        <item m="1" x="1743"/>
        <item m="1" x="1306"/>
        <item m="1" x="1172"/>
        <item m="1" x="1709"/>
        <item m="1" x="1480"/>
        <item m="1" x="1014"/>
        <item m="1" x="2481"/>
        <item m="1" x="2172"/>
        <item m="1" x="1134"/>
        <item m="1" x="1691"/>
        <item m="1" x="1244"/>
        <item m="1" x="1022"/>
        <item m="1" x="1339"/>
        <item m="1" x="1138"/>
        <item m="1" x="2352"/>
        <item m="1" x="1479"/>
        <item m="1" x="1764"/>
        <item m="1" x="1872"/>
        <item m="1" x="2318"/>
        <item m="1" x="2464"/>
        <item m="1" x="1577"/>
        <item m="1" x="1863"/>
        <item m="1" x="1502"/>
        <item m="1" x="1059"/>
        <item m="1" x="1890"/>
        <item m="1" x="2000"/>
        <item m="1" x="1168"/>
        <item m="1" x="2277"/>
        <item m="1" x="2130"/>
        <item m="1" x="1963"/>
        <item m="1" x="1028"/>
        <item m="1" x="1792"/>
        <item m="1" x="910"/>
        <item x="786"/>
        <item x="18"/>
        <item m="1" x="2157"/>
        <item m="1" x="1982"/>
        <item m="1" x="1839"/>
        <item m="1" x="1693"/>
        <item m="1" x="1573"/>
        <item m="1" x="2011"/>
        <item m="1" x="985"/>
        <item m="1" x="1283"/>
        <item m="1" x="1261"/>
        <item m="1" x="1247"/>
        <item m="1" x="905"/>
        <item m="1" x="950"/>
        <item m="1" x="2309"/>
        <item m="1" x="2380"/>
        <item m="1" x="2448"/>
        <item m="1" x="1741"/>
        <item m="1" x="2310"/>
        <item m="1" x="1631"/>
        <item m="1" x="1997"/>
        <item m="1" x="1753"/>
        <item m="1" x="1664"/>
        <item m="1" x="2081"/>
        <item m="1" x="1915"/>
        <item m="1" x="1621"/>
        <item m="1" x="1434"/>
        <item m="1" x="1393"/>
        <item m="1" x="1273"/>
        <item m="1" x="1089"/>
        <item m="1" x="2421"/>
        <item m="1" x="1094"/>
        <item m="1" x="1349"/>
        <item m="1" x="1141"/>
        <item m="1" x="1567"/>
        <item m="1" x="1898"/>
        <item m="1" x="2317"/>
        <item m="1" x="1200"/>
        <item m="1" x="1300"/>
        <item m="1" x="2185"/>
        <item m="1" x="2551"/>
        <item m="1" x="971"/>
        <item m="1" x="1566"/>
        <item m="1" x="2497"/>
        <item m="1" x="1813"/>
        <item m="1" x="2315"/>
        <item m="1" x="2101"/>
        <item m="1" x="1461"/>
        <item m="1" x="1341"/>
        <item m="1" x="1828"/>
        <item m="1" x="1592"/>
        <item m="1" x="2435"/>
        <item m="1" x="2161"/>
        <item m="1" x="1369"/>
        <item m="1" x="2001"/>
        <item m="1" x="2232"/>
        <item m="1" x="2164"/>
        <item m="1" x="2202"/>
        <item m="1" x="2526"/>
        <item m="1" x="864"/>
        <item m="1" x="1060"/>
        <item m="1" x="791"/>
        <item m="1" x="2502"/>
        <item m="1" x="1161"/>
        <item m="1" x="2527"/>
        <item m="1" x="1173"/>
        <item m="1" x="2470"/>
        <item m="1" x="1082"/>
        <item m="1" x="1262"/>
        <item m="1" x="1548"/>
        <item m="1" x="2316"/>
        <item m="1" x="2171"/>
        <item m="1" x="2378"/>
        <item m="1" x="2267"/>
        <item m="1" x="2002"/>
        <item m="1" x="2250"/>
        <item m="1" x="2135"/>
        <item m="1" x="886"/>
        <item m="1" x="1857"/>
        <item m="1" x="1667"/>
        <item m="1" x="817"/>
        <item m="1" x="830"/>
        <item m="1" x="1076"/>
        <item m="1" x="1516"/>
        <item m="1" x="2432"/>
        <item m="1" x="1231"/>
        <item m="1" x="2220"/>
        <item m="1" x="2477"/>
        <item m="1" x="2211"/>
        <item m="1" x="1712"/>
        <item m="1" x="941"/>
        <item m="1" x="1189"/>
        <item m="1" x="1290"/>
        <item m="1" x="2344"/>
        <item m="1" x="2429"/>
        <item m="1" x="1553"/>
        <item m="1" x="1825"/>
        <item m="1" x="1926"/>
        <item m="1" x="2261"/>
        <item m="1" x="2489"/>
        <item m="1" x="2029"/>
        <item m="1" x="2142"/>
        <item m="1" x="1582"/>
        <item m="1" x="1688"/>
        <item m="1" x="1211"/>
        <item m="1" x="1314"/>
        <item m="1" x="865"/>
        <item m="1" x="1327"/>
        <item m="1" x="1687"/>
        <item m="1" x="1269"/>
        <item m="1" x="929"/>
        <item m="1" x="1325"/>
        <item m="1" x="1315"/>
        <item m="1" x="2530"/>
        <item m="1" x="871"/>
        <item m="1" x="1003"/>
        <item m="1" x="2178"/>
        <item m="1" x="2324"/>
        <item m="1" x="2413"/>
        <item m="1" x="1798"/>
        <item m="1" x="2043"/>
        <item m="1" x="2156"/>
        <item m="1" x="2314"/>
        <item m="1" x="2141"/>
        <item m="1" x="2012"/>
        <item m="1" x="1971"/>
        <item m="1" x="2534"/>
        <item m="1" x="1826"/>
        <item m="1" x="1726"/>
        <item m="1" x="1124"/>
        <item m="1" x="1721"/>
        <item m="1" x="952"/>
        <item m="1" x="831"/>
        <item m="1" x="2401"/>
        <item m="1" x="2295"/>
        <item m="1" x="788"/>
        <item m="1" x="2444"/>
        <item m="1" x="1600"/>
        <item m="1" x="1373"/>
        <item m="1" x="2356"/>
        <item m="1" x="1482"/>
        <item m="1" x="1581"/>
        <item m="1" x="1318"/>
        <item m="1" x="937"/>
        <item m="1" x="1054"/>
        <item m="1" x="2459"/>
        <item m="1" x="1921"/>
        <item m="1" x="1720"/>
        <item m="1" x="1292"/>
        <item m="1" x="2357"/>
        <item m="1" x="2206"/>
        <item m="1" x="2299"/>
        <item m="1" x="1652"/>
        <item m="1" x="1769"/>
        <item m="1" x="1323"/>
        <item m="1" x="1426"/>
        <item m="1" x="1628"/>
        <item m="1" x="1956"/>
        <item m="1" x="2062"/>
        <item m="1" x="2391"/>
        <item m="1" x="2487"/>
        <item m="1" x="1966"/>
        <item m="1" x="1159"/>
        <item m="1" x="1622"/>
        <item m="1" x="2400"/>
        <item m="1" x="2070"/>
        <item m="1" x="2009"/>
        <item m="1" x="2285"/>
        <item m="1" x="1322"/>
        <item m="1" x="2198"/>
        <item m="1" x="1446"/>
        <item m="1" x="1610"/>
        <item m="1" x="1214"/>
        <item m="1" x="1206"/>
        <item m="1" x="2363"/>
        <item m="1" x="1291"/>
        <item m="1" x="1066"/>
        <item m="1" x="956"/>
        <item m="1" x="1013"/>
        <item m="1" x="2275"/>
        <item m="1" x="917"/>
        <item m="1" x="1407"/>
        <item m="1" x="1729"/>
        <item m="1" x="2005"/>
        <item m="1" x="2059"/>
        <item m="1" x="1109"/>
        <item m="1" x="2088"/>
        <item m="1" x="859"/>
        <item m="1" x="2537"/>
        <item m="1" x="973"/>
        <item m="1" x="2025"/>
        <item m="1" x="1113"/>
        <item m="1" x="980"/>
        <item m="1" x="812"/>
        <item m="1" x="2423"/>
        <item m="1" x="1494"/>
        <item m="1" x="968"/>
        <item m="1" x="1048"/>
        <item m="1" x="1154"/>
        <item m="1" x="2071"/>
        <item m="1" x="2473"/>
        <item m="1" x="2093"/>
        <item m="1" x="1811"/>
        <item m="1" x="2065"/>
        <item m="1" x="1114"/>
        <item m="1" x="2366"/>
        <item m="1" x="1005"/>
        <item m="1" x="816"/>
        <item m="1" x="2431"/>
        <item m="1" x="2443"/>
        <item m="1" x="2294"/>
        <item m="1" x="1861"/>
        <item m="1" x="1188"/>
        <item m="1" x="1151"/>
        <item m="1" x="1681"/>
        <item m="1" x="2274"/>
        <item m="1" x="2014"/>
        <item m="1" x="1556"/>
        <item m="1" x="829"/>
        <item m="1" x="943"/>
        <item m="1" x="2291"/>
        <item m="1" x="2042"/>
        <item m="1" x="2053"/>
        <item m="1" x="873"/>
        <item m="1" x="1245"/>
        <item m="1" x="2268"/>
        <item m="1" x="1175"/>
        <item m="1" x="1018"/>
        <item m="1" x="868"/>
        <item m="1" x="2469"/>
        <item m="1" x="806"/>
        <item m="1" x="1768"/>
        <item m="1" x="1870"/>
        <item m="1" x="1380"/>
        <item m="1" x="1476"/>
        <item m="1" x="1174"/>
        <item m="1" x="1471"/>
        <item m="1" x="1193"/>
        <item m="1" x="1470"/>
        <item m="1" x="1605"/>
        <item m="1" x="1887"/>
        <item m="1" x="1527"/>
        <item m="1" x="1639"/>
        <item m="1" x="1383"/>
        <item m="1" x="2494"/>
        <item m="1" x="2389"/>
        <item m="1" x="1342"/>
        <item m="1" x="1723"/>
        <item m="1" x="2280"/>
        <item m="1" x="1497"/>
        <item m="1" x="1962"/>
        <item m="1" x="2146"/>
        <item m="1" x="1873"/>
        <item m="1" x="1969"/>
        <item m="1" x="1846"/>
        <item m="1" x="1671"/>
        <item m="1" x="919"/>
        <item m="1" x="1788"/>
        <item m="1" x="885"/>
        <item m="1" x="875"/>
        <item m="1" x="1616"/>
        <item m="1" x="1331"/>
        <item m="1" x="1190"/>
        <item m="1" x="881"/>
        <item m="1" x="1004"/>
        <item m="1" x="979"/>
        <item m="1" x="1102"/>
        <item m="1" x="1419"/>
        <item m="1" x="1520"/>
        <item m="1" x="1468"/>
        <item m="1" x="1634"/>
        <item m="1" x="1242"/>
        <item m="1" x="1340"/>
        <item m="1" x="1478"/>
        <item m="1" x="1572"/>
        <item m="1" x="1586"/>
        <item m="1" x="2322"/>
        <item m="1" x="2409"/>
        <item m="1" x="1840"/>
        <item m="1" x="2538"/>
        <item m="1" x="1442"/>
        <item m="1" x="2504"/>
        <item m="1" x="2514"/>
        <item m="1" x="807"/>
        <item m="1" x="1083"/>
        <item m="1" x="1422"/>
        <item m="1" x="1180"/>
        <item m="1" x="2303"/>
        <item m="1" x="1633"/>
        <item m="1" x="1365"/>
        <item m="1" x="1700"/>
        <item m="1" x="1795"/>
        <item m="1" x="2246"/>
        <item m="1" x="2348"/>
        <item m="1" x="1823"/>
        <item m="1" x="1547"/>
        <item m="1" x="2524"/>
        <item m="1" x="2305"/>
        <item m="1" x="1222"/>
        <item m="1" x="1324"/>
        <item m="1" x="2224"/>
        <item m="1" x="2329"/>
        <item m="1" x="2124"/>
        <item m="1" x="2217"/>
        <item m="1" x="1699"/>
        <item m="1" x="1106"/>
        <item m="1" x="930"/>
        <item m="1" x="2242"/>
        <item m="1" x="2340"/>
        <item m="1" x="882"/>
        <item m="1" x="1989"/>
        <item m="1" x="2521"/>
        <item m="1" x="1847"/>
        <item m="1" x="1701"/>
        <item m="1" x="2222"/>
        <item m="1" x="1931"/>
        <item m="1" x="2082"/>
        <item m="1" x="1925"/>
        <item m="1" x="1518"/>
        <item m="1" x="1103"/>
        <item m="1" x="913"/>
        <item m="1" x="1000"/>
        <item m="1" x="1347"/>
        <item m="1" x="966"/>
        <item m="1" x="1706"/>
        <item m="1" x="2239"/>
        <item m="1" x="2501"/>
        <item m="1" x="1779"/>
        <item m="1" x="2215"/>
        <item m="1" x="1929"/>
        <item m="1" x="1271"/>
        <item m="1" x="1381"/>
        <item m="1" x="2480"/>
        <item m="1" x="819"/>
        <item m="1" x="793"/>
        <item m="1" x="893"/>
        <item m="1" x="2301"/>
        <item m="1" x="1100"/>
        <item m="1" x="2121"/>
        <item m="1" x="1993"/>
        <item m="1" x="1778"/>
        <item m="1" x="1379"/>
        <item m="1" x="1160"/>
        <item m="1" x="1707"/>
        <item m="1" x="1087"/>
        <item m="1" x="976"/>
        <item m="1" x="1097"/>
        <item m="1" x="2238"/>
        <item m="1" x="1776"/>
        <item m="1" x="1821"/>
        <item m="1" x="1492"/>
        <item m="1" x="2412"/>
        <item m="1" x="2453"/>
        <item m="1" x="2398"/>
        <item m="1" x="1388"/>
        <item m="1" x="1404"/>
        <item m="1" x="1675"/>
        <item m="1" x="2112"/>
        <item m="1" x="1257"/>
        <item m="1" x="1378"/>
        <item m="1" x="1789"/>
        <item m="1" x="2051"/>
        <item m="1" x="2163"/>
        <item m="1" x="996"/>
        <item m="1" x="801"/>
        <item m="1" x="1810"/>
        <item m="1" x="894"/>
        <item m="1" x="2223"/>
        <item m="1" x="2328"/>
        <item m="1" x="1760"/>
        <item m="1" x="1230"/>
        <item m="1" x="2372"/>
        <item m="1" x="2467"/>
        <item m="1" x="2226"/>
        <item m="1" x="2333"/>
        <item m="1" x="1227"/>
        <item m="1" x="1064"/>
        <item m="1" x="1165"/>
        <item m="1" x="2074"/>
        <item m="1" x="1711"/>
        <item m="1" x="1797"/>
        <item m="1" x="926"/>
        <item m="1" x="1045"/>
        <item m="1" x="1213"/>
        <item m="1" x="1309"/>
        <item m="1" x="1275"/>
        <item m="1" x="1391"/>
        <item m="1" x="876"/>
        <item m="1" x="994"/>
        <item m="1" x="1561"/>
        <item m="1" x="1239"/>
        <item m="1" x="1337"/>
        <item m="1" x="1216"/>
        <item m="1" x="1313"/>
        <item m="1" x="1450"/>
        <item m="1" x="1545"/>
        <item m="1" x="1177"/>
        <item m="1" x="1279"/>
        <item m="1" x="1251"/>
        <item m="1" x="2440"/>
        <item m="1" x="2306"/>
        <item m="1" x="1822"/>
        <item m="1" x="1923"/>
        <item m="1" x="925"/>
        <item m="1" x="1042"/>
        <item m="1" x="1967"/>
        <item m="1" x="2072"/>
        <item m="1" x="843"/>
        <item m="1" x="1488"/>
        <item m="1" x="1571"/>
        <item m="1" x="1679"/>
        <item m="1" x="1012"/>
        <item m="1" x="1123"/>
        <item m="1" x="1455"/>
        <item m="1" x="2451"/>
        <item m="1" x="842"/>
        <item m="1" x="959"/>
        <item m="1" x="1256"/>
        <item m="1" x="1460"/>
        <item m="1" x="1837"/>
        <item m="1" x="1934"/>
        <item m="1" x="2307"/>
        <item m="1" x="2399"/>
        <item m="1" x="1382"/>
        <item m="1" x="1689"/>
        <item m="1" x="1226"/>
        <item m="1" x="2528"/>
        <item m="1" x="1348"/>
        <item m="1" x="1456"/>
        <item m="1" x="1483"/>
        <item m="1" x="879"/>
        <item m="1" x="2350"/>
        <item m="1" x="2077"/>
        <item m="1" x="839"/>
        <item m="1" x="2052"/>
        <item m="1" x="957"/>
        <item m="1" x="1765"/>
        <item m="1" x="2287"/>
        <item m="1" x="1508"/>
        <item m="1" x="2241"/>
        <item m="1" x="1609"/>
        <item m="1" x="1750"/>
        <item m="1" x="1289"/>
        <item m="1" x="2203"/>
        <item m="1" x="2296"/>
        <item m="1" x="1215"/>
        <item m="1" x="874"/>
        <item m="1" x="993"/>
        <item m="1" x="2427"/>
        <item m="1" x="2442"/>
        <item m="1" x="2229"/>
        <item m="1" x="2334"/>
        <item m="1" x="863"/>
        <item m="1" x="1122"/>
        <item m="1" x="1685"/>
        <item m="1" x="2379"/>
        <item m="1" x="1914"/>
        <item m="1" x="978"/>
        <item m="1" x="853"/>
        <item m="1" x="1449"/>
        <item m="1" x="1732"/>
        <item m="1" x="2256"/>
        <item m="1" x="1363"/>
        <item m="1" x="2319"/>
        <item m="1" x="2517"/>
        <item m="1" x="847"/>
        <item m="1" x="815"/>
        <item m="1" x="1849"/>
        <item m="1" x="1945"/>
        <item m="1" x="1655"/>
        <item m="1" x="1757"/>
        <item m="1" x="1541"/>
        <item m="1" x="1647"/>
        <item m="1" x="1690"/>
        <item m="1" x="1228"/>
        <item m="1" x="1498"/>
        <item m="1" x="1604"/>
        <item m="1" x="1302"/>
        <item m="1" x="1409"/>
        <item m="1" x="1352"/>
        <item m="1" x="1458"/>
        <item m="1" x="1140"/>
        <item m="1" x="1249"/>
        <item m="1" x="2533"/>
        <item m="1" x="877"/>
        <item m="1" x="1093"/>
        <item m="1" x="1187"/>
        <item m="1" x="1276"/>
        <item m="1" x="1565"/>
        <item m="1" x="1296"/>
        <item m="1" x="2302"/>
        <item m="1" x="2104"/>
        <item m="1" x="2199"/>
        <item m="1" x="1801"/>
        <item m="1" x="1907"/>
        <item m="1" x="1938"/>
        <item m="1" x="2039"/>
        <item m="1" x="962"/>
        <item m="1" x="1090"/>
        <item m="1" x="1595"/>
        <item m="1" x="1697"/>
        <item m="1" x="1041"/>
        <item m="1" x="1642"/>
        <item m="1" x="1636"/>
        <item m="1" x="1069"/>
        <item m="1" x="2120"/>
        <item m="1" x="1715"/>
        <item m="1" x="1496"/>
        <item m="1" x="2213"/>
        <item m="1" x="1733"/>
        <item m="1" x="851"/>
        <item m="1" x="1167"/>
        <item m="1" x="2373"/>
        <item m="1" x="2342"/>
        <item m="1" x="2127"/>
        <item m="1" x="2374"/>
        <item m="1" x="2191"/>
        <item m="1" x="2281"/>
        <item m="1" x="2004"/>
        <item m="1" x="2125"/>
        <item m="1" x="2119"/>
        <item m="1" x="2214"/>
        <item m="1" x="2169"/>
        <item m="1" x="972"/>
        <item m="1" x="2311"/>
        <item m="1" x="2293"/>
        <item m="1" x="1500"/>
        <item m="1" x="1485"/>
        <item m="1" x="1589"/>
        <item m="1" x="1601"/>
        <item m="1" x="1708"/>
        <item m="1" x="1551"/>
        <item m="1" x="1656"/>
        <item m="1" x="2147"/>
        <item m="1" x="2240"/>
        <item m="1" x="1933"/>
        <item m="1" x="2031"/>
        <item m="1" x="2162"/>
        <item m="1" x="2159"/>
        <item m="1" x="2049"/>
        <item m="1" x="836"/>
        <item m="1" x="1588"/>
        <item m="1" x="986"/>
        <item m="1" x="1850"/>
        <item m="1" x="2269"/>
        <item m="1" x="2136"/>
        <item m="1" x="1156"/>
        <item m="1" x="1402"/>
        <item m="1" x="997"/>
        <item m="1" x="1088"/>
        <item m="1" x="2437"/>
        <item m="1" x="945"/>
        <item m="1" x="901"/>
        <item m="1" x="1356"/>
        <item m="1" x="1204"/>
        <item m="1" x="916"/>
        <item m="1" x="1038"/>
        <item m="1" x="2550"/>
        <item m="1" x="904"/>
        <item m="1" x="2037"/>
        <item m="1" x="1886"/>
        <item m="1" x="1740"/>
        <item m="1" x="1585"/>
        <item m="1" x="1433"/>
        <item m="1" x="1044"/>
        <item m="1" x="1338"/>
        <item m="1" x="1410"/>
        <item m="1" x="1836"/>
        <item m="1" x="924"/>
        <item m="1" x="1078"/>
        <item m="1" x="2262"/>
        <item m="1" x="2089"/>
        <item m="1" x="1027"/>
        <item m="1" x="2485"/>
        <item m="1" x="1277"/>
        <item m="1" x="1394"/>
        <item m="1" x="1127"/>
        <item m="1" x="1237"/>
        <item m="1" x="1928"/>
        <item m="1" x="2023"/>
        <item m="1" x="826"/>
        <item m="1" x="935"/>
        <item m="1" x="1787"/>
        <item m="1" x="1804"/>
        <item m="1" x="2468"/>
        <item m="1" x="2393"/>
        <item m="1" x="2349"/>
        <item m="1" x="2436"/>
        <item m="1" x="1390"/>
        <item m="1" x="2542"/>
        <item m="1" x="2496"/>
        <item m="1" x="1992"/>
        <item m="1" x="1767"/>
        <item m="1" x="1868"/>
        <item m="1" x="2113"/>
        <item m="1" x="2207"/>
        <item m="1" x="2193"/>
        <item m="1" x="1536"/>
        <item m="1" x="1287"/>
        <item m="1" x="1517"/>
        <item m="1" x="1299"/>
        <item m="1" x="1665"/>
        <item m="1" x="805"/>
        <item m="1" x="911"/>
        <item m="1" x="1793"/>
        <item m="1" x="1784"/>
        <item m="1" x="1155"/>
        <item m="1" x="1246"/>
        <item m="1" x="1051"/>
        <item m="1" x="1884"/>
        <item m="1" x="2361"/>
        <item m="1" x="1354"/>
        <item m="1" x="2145"/>
        <item m="1" x="1436"/>
        <item m="1" x="1531"/>
        <item m="1" x="2036"/>
        <item m="1" x="1856"/>
        <item m="1" x="1199"/>
        <item m="1" x="1145"/>
        <item m="1" x="2523"/>
        <item m="1" x="2476"/>
        <item m="1" x="1031"/>
        <item m="1" x="2447"/>
        <item m="1" x="1924"/>
        <item m="1" x="2325"/>
        <item m="1" x="1891"/>
        <item m="1" x="2024"/>
        <item m="1" x="1875"/>
        <item m="1" x="1440"/>
        <item m="1" x="1703"/>
        <item m="1" x="1620"/>
        <item m="1" x="2228"/>
        <item m="1" x="1748"/>
        <item m="1" x="2117"/>
        <item m="1" x="1400"/>
        <item m="1" x="1408"/>
        <item m="1" x="1829"/>
        <item m="1" x="1397"/>
        <item m="1" x="1519"/>
        <item m="1" x="2330"/>
        <item m="1" x="965"/>
        <item m="1" x="1738"/>
        <item m="1" x="1579"/>
        <item m="1" x="1864"/>
        <item m="1" x="1911"/>
        <item m="1" x="858"/>
        <item m="1" x="1477"/>
        <item m="1" x="2518"/>
        <item m="1" x="2471"/>
        <item m="1" x="942"/>
        <item m="1" x="1002"/>
        <item m="1" x="2027"/>
        <item m="1" x="2506"/>
        <item m="1" x="1986"/>
        <item m="1" x="798"/>
        <item m="1" x="1883"/>
        <item m="1" x="792"/>
        <item m="1" x="990"/>
        <item m="1" x="1240"/>
        <item m="1" x="1719"/>
        <item m="1" x="2115"/>
        <item m="1" x="1574"/>
        <item m="1" x="1651"/>
        <item m="1" x="1632"/>
        <item m="1" x="1859"/>
        <item m="1" x="999"/>
        <item m="1" x="804"/>
        <item m="1" x="1940"/>
        <item m="1" x="1862"/>
        <item m="1" x="2181"/>
        <item m="1" x="2266"/>
        <item m="1" x="2170"/>
        <item m="1" x="2020"/>
        <item m="1" x="2133"/>
        <item m="1" x="2019"/>
        <item m="1" x="2308"/>
        <item m="1" x="1626"/>
        <item m="1" x="1775"/>
        <item m="1" x="1118"/>
        <item m="1" x="2158"/>
        <item m="1" x="1473"/>
        <item m="1" x="1070"/>
        <item m="1" x="934"/>
        <item m="1" x="1897"/>
        <item m="1" x="2396"/>
        <item m="1" x="2543"/>
        <item m="1" x="809"/>
        <item m="1" x="1855"/>
        <item m="1" x="1948"/>
        <item m="1" x="2044"/>
        <item m="1" x="1511"/>
        <item m="1" x="2067"/>
        <item m="1" x="1534"/>
        <item m="1" x="1799"/>
        <item m="1" x="1270"/>
        <item m="1" x="2021"/>
        <item m="1" x="1493"/>
        <item m="1" x="1734"/>
        <item m="1" x="1185"/>
        <item m="1" x="1947"/>
        <item m="1" x="1417"/>
        <item m="1" x="2420"/>
        <item m="1" x="1903"/>
        <item m="1" x="1197"/>
        <item m="1" x="1298"/>
        <item m="1" x="1268"/>
        <item m="1" x="1377"/>
        <item m="1" x="899"/>
        <item m="1" x="1739"/>
        <item m="1" x="927"/>
        <item m="1" x="1895"/>
        <item m="1" x="2258"/>
        <item m="1" x="2045"/>
        <item m="1" x="1575"/>
        <item m="1" x="1558"/>
        <item m="1" x="1591"/>
        <item m="1" x="1255"/>
        <item m="1" x="921"/>
        <item m="1" x="918"/>
        <item m="1" x="951"/>
        <item m="1" x="2500"/>
        <item m="1" x="2347"/>
        <item m="1" x="1110"/>
        <item m="1" x="1902"/>
        <item m="1" x="1909"/>
        <item m="1" x="1896"/>
        <item m="1" x="2463"/>
        <item m="1" x="2416"/>
        <item m="1" x="1386"/>
        <item m="1" x="1398"/>
        <item m="1" x="1892"/>
        <item m="1" x="912"/>
        <item m="1" x="998"/>
        <item m="1" x="1108"/>
        <item m="1" x="970"/>
        <item m="1" x="2545"/>
        <item m="1" x="2290"/>
        <item m="1" x="1152"/>
        <item m="1" x="1265"/>
        <item m="1" x="896"/>
        <item m="1" x="1695"/>
        <item m="1" x="1135"/>
        <item m="1" x="1061"/>
        <item m="1" x="887"/>
        <item m="1" x="1008"/>
        <item m="1" x="1499"/>
        <item m="1" x="1608"/>
        <item m="1" x="2134"/>
        <item m="1" x="2388"/>
        <item m="1" x="2110"/>
        <item m="1" x="794"/>
        <item m="1" x="1830"/>
        <item m="1" x="1435"/>
        <item m="1" x="1988"/>
        <item m="1" x="1587"/>
        <item m="1" x="1841"/>
        <item m="1" x="1286"/>
        <item m="1" x="828"/>
        <item m="1" x="1263"/>
        <item m="1" x="1098"/>
        <item m="1" x="1281"/>
        <item m="1" x="1597"/>
        <item m="1" x="2491"/>
        <item m="1" x="906"/>
        <item m="1" x="1032"/>
        <item m="1" x="818"/>
        <item m="1" x="2221"/>
        <item m="1" x="2200"/>
        <item m="1" x="2151"/>
        <item m="1" x="2327"/>
        <item m="1" x="2126"/>
        <item m="1" x="2384"/>
        <item m="1" x="1660"/>
        <item m="1" x="1101"/>
        <item m="1" x="2507"/>
        <item m="1" x="1208"/>
        <item m="1" x="857"/>
        <item m="1" x="1606"/>
        <item m="1" x="1774"/>
        <item m="1" x="1495"/>
        <item m="1" x="813"/>
        <item m="1" x="1805"/>
        <item m="1" x="1686"/>
        <item m="1" x="2365"/>
        <item m="1" x="1683"/>
        <item m="1" x="1221"/>
        <item m="1" x="1320"/>
        <item m="1" x="1415"/>
        <item m="1" x="1663"/>
        <item m="1" x="1759"/>
        <item m="1" x="2428"/>
        <item m="1" x="1364"/>
        <item m="1" x="1091"/>
        <item m="1" x="1505"/>
        <item m="1" x="1355"/>
        <item m="1" x="2460"/>
        <item m="1" x="1985"/>
        <item m="1" x="1241"/>
        <item m="1" x="1904"/>
        <item m="1" x="1465"/>
        <item m="1" x="1169"/>
        <item m="1" x="1310"/>
        <item m="1" x="2336"/>
        <item m="1" x="2063"/>
        <item m="1" x="2165"/>
        <item m="1" x="928"/>
        <item m="1" x="1047"/>
        <item m="1" x="2531"/>
        <item m="1" x="1143"/>
        <item m="1" x="1250"/>
        <item m="1" x="2387"/>
        <item m="1" x="2483"/>
        <item m="1" x="1725"/>
        <item m="1" x="1816"/>
        <item m="1" x="1990"/>
        <item m="1" x="2105"/>
        <item m="1" x="1540"/>
        <item m="1" x="1646"/>
        <item m="1" x="2482"/>
        <item m="1" x="821"/>
        <item m="1" x="1234"/>
        <item m="1" x="1333"/>
        <item m="1" x="2446"/>
        <item m="1" x="2257"/>
        <item m="1" x="922"/>
        <item m="1" x="1040"/>
        <item m="1" x="1229"/>
        <item m="1" x="1080"/>
        <item m="1" x="1848"/>
        <item m="1" x="1944"/>
        <item m="1" x="1935"/>
        <item m="1" x="1196"/>
        <item m="1" x="1554"/>
        <item m="1" x="1692"/>
        <item m="1" x="1538"/>
        <item m="1" x="900"/>
        <item m="1" x="1015"/>
        <item m="1" x="1613"/>
        <item m="1" x="1871"/>
        <item m="1" x="1731"/>
        <item m="1" x="1184"/>
        <item m="1" x="1288"/>
        <item m="1" x="940"/>
        <item m="1" x="105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m="1" x="2445"/>
        <item x="77"/>
        <item x="78"/>
        <item x="79"/>
        <item x="80"/>
        <item x="81"/>
        <item x="82"/>
        <item x="83"/>
        <item m="1" x="902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m="1" x="1086"/>
        <item m="1" x="880"/>
        <item m="1" x="2218"/>
        <item m="1" x="2098"/>
        <item m="1" x="2375"/>
        <item m="1" x="814"/>
        <item m="1" x="1438"/>
        <item m="1" x="1751"/>
        <item m="1" x="1171"/>
        <item m="1" x="2080"/>
        <item m="1" x="2510"/>
        <item x="180"/>
        <item m="1" x="2397"/>
        <item x="182"/>
        <item x="183"/>
        <item m="1" x="1974"/>
        <item m="1" x="1980"/>
        <item x="186"/>
        <item x="187"/>
        <item x="188"/>
        <item x="189"/>
        <item x="190"/>
        <item x="191"/>
        <item x="192"/>
        <item x="193"/>
        <item x="194"/>
        <item m="1" x="989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m="1" x="2109"/>
        <item m="1" x="2122"/>
        <item m="1" x="2114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m="1" x="1506"/>
        <item m="1" x="1618"/>
        <item m="1" x="995"/>
        <item m="1" x="2046"/>
        <item m="1" x="2278"/>
        <item m="1" x="2434"/>
        <item m="1" x="1121"/>
        <item m="1" x="1643"/>
        <item m="1" x="1964"/>
        <item m="1" x="1752"/>
        <item m="1" x="1809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67"/>
        <item x="468"/>
        <item x="469"/>
        <item x="458"/>
        <item x="459"/>
        <item x="460"/>
        <item x="470"/>
        <item x="471"/>
        <item x="472"/>
        <item x="461"/>
        <item x="462"/>
        <item x="463"/>
        <item x="464"/>
        <item x="465"/>
        <item x="466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m="1" x="1181"/>
        <item m="1" x="1001"/>
        <item m="1" x="1851"/>
        <item m="1" x="1274"/>
        <item m="1" x="2094"/>
        <item m="1" x="2182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m="1" x="1107"/>
        <item m="1" x="825"/>
        <item m="1" x="2188"/>
        <item x="508"/>
        <item x="509"/>
        <item x="510"/>
        <item x="511"/>
        <item m="1" x="795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m="1" x="1034"/>
        <item m="1" x="2403"/>
        <item x="553"/>
        <item m="1" x="1820"/>
        <item m="1" x="1079"/>
        <item m="1" x="1501"/>
        <item m="1" x="2547"/>
        <item m="1" x="2154"/>
        <item m="1" x="1039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1"/>
        <item x="184"/>
        <item x="185"/>
        <item x="488"/>
        <item x="489"/>
        <item x="490"/>
        <item x="491"/>
        <item x="492"/>
        <item x="493"/>
        <item x="554"/>
        <item x="555"/>
        <item x="556"/>
        <item x="587"/>
        <item x="588"/>
        <item x="589"/>
        <item x="590"/>
        <item x="591"/>
        <item x="592"/>
        <item x="593"/>
        <item x="594"/>
        <item m="1" x="108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6"/>
        <item x="627"/>
        <item x="632"/>
        <item x="633"/>
        <item x="628"/>
        <item x="629"/>
        <item x="630"/>
        <item x="631"/>
        <item x="634"/>
        <item x="635"/>
        <item x="636"/>
        <item x="637"/>
        <item x="638"/>
        <item x="639"/>
        <item x="640"/>
        <item x="312"/>
        <item x="313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505"/>
        <item x="506"/>
        <item x="507"/>
        <item x="625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195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</items>
    </pivotField>
    <pivotField compact="0" outline="0" subtotalTop="0" showAll="0" includeNewItemsInFilter="1"/>
    <pivotField axis="axisRow" compact="0" outline="0" subtotalTop="0" multipleItemSelectionAllowed="1" showAll="0" includeNewItemsInFilter="1">
      <items count="4">
        <item x="0"/>
        <item x="2"/>
        <item h="1" x="1"/>
        <item t="default"/>
      </items>
    </pivotField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dragToRow="0" dragToCol="0" dragToPage="0" showAll="0" defaultSubtotal="0"/>
  </pivotFields>
  <rowFields count="3">
    <field x="1"/>
    <field x="2"/>
    <field x="4"/>
  </rowFields>
  <rowItems count="831">
    <i>
      <x/>
      <x v="1717"/>
      <x/>
    </i>
    <i>
      <x v="1"/>
      <x v="1718"/>
      <x/>
    </i>
    <i>
      <x v="2"/>
      <x v="1719"/>
      <x/>
    </i>
    <i>
      <x v="3"/>
      <x v="1720"/>
      <x/>
    </i>
    <i>
      <x v="4"/>
      <x v="1721"/>
      <x/>
    </i>
    <i>
      <x v="5"/>
      <x v="1722"/>
      <x/>
    </i>
    <i>
      <x v="6"/>
      <x v="1723"/>
      <x/>
    </i>
    <i>
      <x v="7"/>
      <x v="1724"/>
      <x/>
    </i>
    <i>
      <x v="8"/>
      <x v="1725"/>
      <x/>
    </i>
    <i>
      <x v="9"/>
      <x v="1726"/>
      <x/>
    </i>
    <i>
      <x v="10"/>
      <x v="1727"/>
      <x/>
    </i>
    <i>
      <x v="11"/>
      <x v="1728"/>
      <x/>
    </i>
    <i>
      <x v="12"/>
      <x v="1729"/>
      <x/>
    </i>
    <i>
      <x v="13"/>
      <x v="1730"/>
      <x/>
    </i>
    <i>
      <x v="14"/>
      <x v="1731"/>
      <x/>
    </i>
    <i>
      <x v="15"/>
      <x v="1732"/>
      <x/>
    </i>
    <i>
      <x v="16"/>
      <x v="1733"/>
      <x/>
    </i>
    <i>
      <x v="17"/>
      <x v="1734"/>
      <x/>
    </i>
    <i>
      <x v="19"/>
      <x v="1735"/>
      <x/>
    </i>
    <i>
      <x v="20"/>
      <x v="1736"/>
      <x/>
    </i>
    <i>
      <x v="21"/>
      <x v="1737"/>
      <x/>
    </i>
    <i>
      <x v="22"/>
      <x v="1738"/>
      <x/>
    </i>
    <i>
      <x v="24"/>
      <x v="1739"/>
      <x/>
    </i>
    <i>
      <x v="25"/>
      <x v="1740"/>
      <x/>
    </i>
    <i>
      <x v="26"/>
      <x v="1741"/>
      <x/>
    </i>
    <i>
      <x v="27"/>
      <x v="1742"/>
      <x/>
    </i>
    <i>
      <x v="28"/>
      <x v="1743"/>
      <x/>
    </i>
    <i>
      <x v="29"/>
      <x v="1744"/>
      <x/>
    </i>
    <i>
      <x v="30"/>
      <x v="1745"/>
      <x/>
    </i>
    <i>
      <x v="32"/>
      <x v="1746"/>
      <x/>
    </i>
    <i>
      <x v="33"/>
      <x v="1747"/>
      <x/>
    </i>
    <i>
      <x v="34"/>
      <x v="1748"/>
      <x/>
    </i>
    <i>
      <x v="35"/>
      <x v="1749"/>
      <x/>
    </i>
    <i>
      <x v="36"/>
      <x v="1750"/>
      <x/>
    </i>
    <i>
      <x v="37"/>
      <x v="1751"/>
      <x/>
    </i>
    <i>
      <x v="38"/>
      <x v="1752"/>
      <x/>
    </i>
    <i>
      <x v="39"/>
      <x v="1753"/>
      <x/>
    </i>
    <i>
      <x v="40"/>
      <x v="1754"/>
      <x/>
    </i>
    <i>
      <x v="41"/>
      <x v="1755"/>
      <x/>
    </i>
    <i>
      <x v="42"/>
      <x v="1756"/>
      <x/>
    </i>
    <i>
      <x v="43"/>
      <x v="1757"/>
      <x/>
    </i>
    <i>
      <x v="45"/>
      <x v="1758"/>
      <x v="1"/>
    </i>
    <i>
      <x v="46"/>
      <x v="1759"/>
      <x v="1"/>
    </i>
    <i>
      <x v="48"/>
      <x v="1760"/>
      <x v="1"/>
    </i>
    <i>
      <x v="49"/>
      <x v="1761"/>
      <x v="1"/>
    </i>
    <i>
      <x v="50"/>
      <x v="1762"/>
      <x v="1"/>
    </i>
    <i>
      <x v="52"/>
      <x v="1763"/>
      <x v="1"/>
    </i>
    <i>
      <x v="54"/>
      <x v="1764"/>
      <x v="1"/>
    </i>
    <i>
      <x v="56"/>
      <x v="1765"/>
      <x v="1"/>
    </i>
    <i>
      <x v="57"/>
      <x v="1766"/>
      <x v="1"/>
    </i>
    <i>
      <x v="58"/>
      <x v="1767"/>
      <x v="1"/>
    </i>
    <i>
      <x v="59"/>
      <x v="1768"/>
      <x v="1"/>
    </i>
    <i>
      <x v="61"/>
      <x v="1769"/>
      <x v="1"/>
    </i>
    <i>
      <x v="62"/>
      <x v="1770"/>
      <x v="1"/>
    </i>
    <i>
      <x v="63"/>
      <x v="1771"/>
      <x v="1"/>
    </i>
    <i>
      <x v="64"/>
      <x v="1772"/>
      <x v="1"/>
    </i>
    <i>
      <x v="66"/>
      <x v="1773"/>
      <x v="1"/>
    </i>
    <i>
      <x v="67"/>
      <x v="1774"/>
      <x v="1"/>
    </i>
    <i>
      <x v="69"/>
      <x v="1775"/>
      <x v="1"/>
    </i>
    <i>
      <x v="70"/>
      <x v="1776"/>
      <x v="1"/>
    </i>
    <i>
      <x v="71"/>
      <x v="1777"/>
      <x v="1"/>
    </i>
    <i>
      <x v="73"/>
      <x v="1778"/>
      <x v="1"/>
    </i>
    <i>
      <x v="74"/>
      <x v="1779"/>
      <x v="1"/>
    </i>
    <i>
      <x v="75"/>
      <x v="1780"/>
      <x v="1"/>
    </i>
    <i>
      <x v="76"/>
      <x v="1781"/>
      <x v="1"/>
    </i>
    <i>
      <x v="77"/>
      <x v="1782"/>
      <x v="1"/>
    </i>
    <i>
      <x v="78"/>
      <x v="1783"/>
      <x v="1"/>
    </i>
    <i>
      <x v="80"/>
      <x v="1784"/>
      <x v="1"/>
    </i>
    <i>
      <x v="81"/>
      <x v="1785"/>
      <x v="1"/>
    </i>
    <i>
      <x v="82"/>
      <x v="1786"/>
      <x v="1"/>
    </i>
    <i>
      <x v="83"/>
      <x v="1787"/>
      <x v="1"/>
    </i>
    <i>
      <x v="85"/>
      <x v="1788"/>
      <x v="1"/>
    </i>
    <i>
      <x v="86"/>
      <x v="1789"/>
      <x v="1"/>
    </i>
    <i>
      <x v="88"/>
      <x v="1790"/>
      <x v="1"/>
    </i>
    <i>
      <x v="89"/>
      <x v="1791"/>
      <x v="1"/>
    </i>
    <i>
      <x v="91"/>
      <x v="1792"/>
      <x v="1"/>
    </i>
    <i>
      <x v="92"/>
      <x v="1794"/>
      <x v="1"/>
    </i>
    <i>
      <x v="93"/>
      <x v="1795"/>
      <x v="1"/>
    </i>
    <i>
      <x v="94"/>
      <x v="1796"/>
      <x v="1"/>
    </i>
    <i>
      <x v="96"/>
      <x v="1797"/>
      <x v="1"/>
    </i>
    <i>
      <x v="97"/>
      <x v="1798"/>
      <x v="1"/>
    </i>
    <i>
      <x v="99"/>
      <x v="1799"/>
      <x v="1"/>
    </i>
    <i>
      <x v="100"/>
      <x v="1800"/>
      <x v="1"/>
    </i>
    <i>
      <x v="102"/>
      <x v="1802"/>
      <x v="1"/>
    </i>
    <i>
      <x v="103"/>
      <x v="1803"/>
      <x v="1"/>
    </i>
    <i>
      <x v="104"/>
      <x v="1804"/>
      <x v="1"/>
    </i>
    <i>
      <x v="106"/>
      <x v="1805"/>
      <x v="1"/>
    </i>
    <i>
      <x v="107"/>
      <x v="1806"/>
      <x v="1"/>
    </i>
    <i>
      <x v="108"/>
      <x v="1807"/>
      <x v="1"/>
    </i>
    <i>
      <x v="109"/>
      <x v="1808"/>
      <x v="1"/>
    </i>
    <i>
      <x v="110"/>
      <x v="1809"/>
      <x v="1"/>
    </i>
    <i>
      <x v="111"/>
      <x v="1810"/>
      <x v="1"/>
    </i>
    <i>
      <x v="112"/>
      <x v="1811"/>
      <x v="1"/>
    </i>
    <i>
      <x v="113"/>
      <x v="1812"/>
      <x v="1"/>
    </i>
    <i>
      <x v="115"/>
      <x v="1813"/>
      <x v="1"/>
    </i>
    <i>
      <x v="116"/>
      <x v="1814"/>
      <x v="1"/>
    </i>
    <i>
      <x v="117"/>
      <x v="1815"/>
      <x v="1"/>
    </i>
    <i>
      <x v="119"/>
      <x v="1816"/>
      <x v="1"/>
    </i>
    <i>
      <x v="120"/>
      <x v="1817"/>
      <x v="1"/>
    </i>
    <i>
      <x v="121"/>
      <x v="1818"/>
      <x v="1"/>
    </i>
    <i>
      <x v="122"/>
      <x v="1819"/>
      <x v="1"/>
    </i>
    <i>
      <x v="124"/>
      <x v="1820"/>
      <x v="1"/>
    </i>
    <i>
      <x v="125"/>
      <x v="1821"/>
      <x v="1"/>
    </i>
    <i>
      <x v="127"/>
      <x v="1822"/>
      <x v="1"/>
    </i>
    <i>
      <x v="129"/>
      <x v="1823"/>
      <x v="1"/>
    </i>
    <i>
      <x v="131"/>
      <x v="1824"/>
      <x v="1"/>
    </i>
    <i>
      <x v="132"/>
      <x v="1825"/>
      <x v="1"/>
    </i>
    <i>
      <x v="133"/>
      <x v="1826"/>
      <x v="1"/>
    </i>
    <i>
      <x v="134"/>
      <x v="1827"/>
      <x v="1"/>
    </i>
    <i>
      <x v="135"/>
      <x v="1828"/>
      <x v="1"/>
    </i>
    <i>
      <x v="136"/>
      <x v="1829"/>
      <x v="1"/>
    </i>
    <i>
      <x v="138"/>
      <x v="1830"/>
      <x v="1"/>
    </i>
    <i>
      <x v="139"/>
      <x v="1831"/>
      <x v="1"/>
    </i>
    <i>
      <x v="140"/>
      <x v="1832"/>
      <x v="1"/>
    </i>
    <i>
      <x v="141"/>
      <x v="1833"/>
      <x v="1"/>
    </i>
    <i>
      <x v="142"/>
      <x v="1834"/>
      <x v="1"/>
    </i>
    <i>
      <x v="143"/>
      <x v="1835"/>
      <x v="1"/>
    </i>
    <i>
      <x v="145"/>
      <x v="1836"/>
      <x v="1"/>
    </i>
    <i>
      <x v="146"/>
      <x v="1837"/>
      <x v="1"/>
    </i>
    <i>
      <x v="147"/>
      <x v="1838"/>
      <x v="1"/>
    </i>
    <i>
      <x v="148"/>
      <x v="1839"/>
      <x v="1"/>
    </i>
    <i>
      <x v="149"/>
      <x v="1840"/>
      <x v="1"/>
    </i>
    <i>
      <x v="151"/>
      <x v="1841"/>
      <x v="1"/>
    </i>
    <i>
      <x v="152"/>
      <x v="1842"/>
      <x v="1"/>
    </i>
    <i>
      <x v="153"/>
      <x v="1843"/>
      <x v="1"/>
    </i>
    <i>
      <x v="154"/>
      <x v="1844"/>
      <x v="1"/>
    </i>
    <i>
      <x v="156"/>
      <x v="1845"/>
      <x v="1"/>
    </i>
    <i>
      <x v="157"/>
      <x v="1846"/>
      <x v="1"/>
    </i>
    <i>
      <x v="158"/>
      <x v="1847"/>
      <x v="1"/>
    </i>
    <i>
      <x v="160"/>
      <x v="1848"/>
      <x v="1"/>
    </i>
    <i>
      <x v="161"/>
      <x v="1849"/>
      <x v="1"/>
    </i>
    <i>
      <x v="162"/>
      <x v="1850"/>
      <x v="1"/>
    </i>
    <i>
      <x v="164"/>
      <x v="1851"/>
      <x v="1"/>
    </i>
    <i>
      <x v="165"/>
      <x v="1852"/>
      <x v="1"/>
    </i>
    <i>
      <x v="166"/>
      <x v="1853"/>
      <x v="1"/>
    </i>
    <i>
      <x v="167"/>
      <x v="1854"/>
      <x v="1"/>
    </i>
    <i>
      <x v="168"/>
      <x v="1855"/>
      <x v="1"/>
    </i>
    <i>
      <x v="169"/>
      <x v="1856"/>
      <x v="1"/>
    </i>
    <i>
      <x v="170"/>
      <x v="1857"/>
      <x v="1"/>
    </i>
    <i>
      <x v="171"/>
      <x v="1858"/>
      <x v="1"/>
    </i>
    <i>
      <x v="173"/>
      <x v="1859"/>
      <x v="1"/>
    </i>
    <i>
      <x v="174"/>
      <x v="1860"/>
      <x v="1"/>
    </i>
    <i>
      <x v="176"/>
      <x v="1861"/>
      <x v="1"/>
    </i>
    <i>
      <x v="177"/>
      <x v="1862"/>
      <x v="1"/>
    </i>
    <i>
      <x v="179"/>
      <x v="1863"/>
      <x v="1"/>
    </i>
    <i>
      <x v="180"/>
      <x v="1864"/>
      <x v="1"/>
    </i>
    <i>
      <x v="181"/>
      <x v="1865"/>
      <x v="1"/>
    </i>
    <i>
      <x v="182"/>
      <x v="1866"/>
      <x v="1"/>
    </i>
    <i>
      <x v="183"/>
      <x v="1867"/>
      <x v="1"/>
    </i>
    <i>
      <x v="185"/>
      <x v="1868"/>
      <x v="1"/>
    </i>
    <i>
      <x v="186"/>
      <x v="1869"/>
      <x v="1"/>
    </i>
    <i>
      <x v="187"/>
      <x v="1870"/>
      <x v="1"/>
    </i>
    <i>
      <x v="188"/>
      <x v="1871"/>
      <x v="1"/>
    </i>
    <i>
      <x v="189"/>
      <x v="1872"/>
      <x v="1"/>
    </i>
    <i>
      <x v="191"/>
      <x v="1873"/>
      <x v="1"/>
    </i>
    <i>
      <x v="192"/>
      <x v="1874"/>
      <x v="1"/>
    </i>
    <i>
      <x v="194"/>
      <x v="1875"/>
      <x v="1"/>
    </i>
    <i>
      <x v="195"/>
      <x v="1876"/>
      <x v="1"/>
    </i>
    <i>
      <x v="197"/>
      <x v="1877"/>
      <x v="1"/>
    </i>
    <i>
      <x v="198"/>
      <x v="1878"/>
      <x v="1"/>
    </i>
    <i>
      <x v="199"/>
      <x v="1879"/>
      <x v="1"/>
    </i>
    <i>
      <x v="200"/>
      <x v="1880"/>
      <x v="1"/>
    </i>
    <i>
      <x v="201"/>
      <x v="1881"/>
      <x v="1"/>
    </i>
    <i>
      <x v="202"/>
      <x v="1882"/>
      <x v="1"/>
    </i>
    <i>
      <x v="203"/>
      <x v="1883"/>
      <x v="1"/>
    </i>
    <i>
      <x v="204"/>
      <x v="1884"/>
      <x v="1"/>
    </i>
    <i>
      <x v="205"/>
      <x v="1885"/>
      <x v="1"/>
    </i>
    <i>
      <x v="206"/>
      <x v="1886"/>
      <x v="1"/>
    </i>
    <i>
      <x v="208"/>
      <x v="2312"/>
      <x v="1"/>
    </i>
    <i>
      <x v="209"/>
      <x v="2313"/>
      <x v="1"/>
    </i>
    <i>
      <x v="210"/>
      <x v="2314"/>
      <x v="1"/>
    </i>
    <i>
      <x v="212"/>
      <x v="2315"/>
      <x v="1"/>
    </i>
    <i>
      <x v="213"/>
      <x v="2316"/>
      <x v="1"/>
    </i>
    <i>
      <x v="214"/>
      <x v="2317"/>
      <x v="1"/>
    </i>
    <i>
      <x v="215"/>
      <x v="2318"/>
      <x v="1"/>
    </i>
    <i>
      <x v="216"/>
      <x v="2319"/>
      <x v="1"/>
    </i>
    <i>
      <x v="217"/>
      <x v="2320"/>
      <x v="1"/>
    </i>
    <i>
      <x v="219"/>
      <x v="2321"/>
      <x v="1"/>
    </i>
    <i>
      <x v="221"/>
      <x v="2322"/>
      <x v="1"/>
    </i>
    <i>
      <x v="223"/>
      <x v="1898"/>
      <x v="1"/>
    </i>
    <i>
      <x v="224"/>
      <x v="2323"/>
      <x v="1"/>
    </i>
    <i>
      <x v="225"/>
      <x v="1900"/>
      <x v="1"/>
    </i>
    <i>
      <x v="226"/>
      <x v="1901"/>
      <x v="1"/>
    </i>
    <i>
      <x v="227"/>
      <x v="2324"/>
      <x v="1"/>
    </i>
    <i>
      <x v="228"/>
      <x v="2325"/>
      <x v="1"/>
    </i>
    <i>
      <x v="230"/>
      <x v="1904"/>
      <x v="1"/>
    </i>
    <i>
      <x v="232"/>
      <x v="1905"/>
      <x v="1"/>
    </i>
    <i>
      <x v="233"/>
      <x v="1906"/>
      <x v="1"/>
    </i>
    <i>
      <x v="234"/>
      <x v="1907"/>
      <x v="1"/>
    </i>
    <i>
      <x v="235"/>
      <x v="1908"/>
      <x v="1"/>
    </i>
    <i>
      <x v="236"/>
      <x v="1909"/>
      <x v="1"/>
    </i>
    <i>
      <x v="237"/>
      <x v="1910"/>
      <x v="1"/>
    </i>
    <i>
      <x v="239"/>
      <x v="1911"/>
      <x v="1"/>
    </i>
    <i>
      <x v="240"/>
      <x v="1912"/>
      <x v="1"/>
    </i>
    <i>
      <x v="241"/>
      <x v="2510"/>
      <x v="1"/>
    </i>
    <i>
      <x v="242"/>
      <x v="1914"/>
      <x v="1"/>
    </i>
    <i>
      <x v="243"/>
      <x v="1915"/>
      <x v="1"/>
    </i>
    <i>
      <x v="244"/>
      <x v="1916"/>
      <x v="1"/>
    </i>
    <i>
      <x v="245"/>
      <x v="1917"/>
      <x v="1"/>
    </i>
    <i>
      <x v="246"/>
      <x v="1918"/>
      <x v="1"/>
    </i>
    <i>
      <x v="248"/>
      <x v="1919"/>
      <x v="1"/>
    </i>
    <i>
      <x v="249"/>
      <x v="1920"/>
      <x v="1"/>
    </i>
    <i>
      <x v="250"/>
      <x v="1921"/>
      <x v="1"/>
    </i>
    <i>
      <x v="251"/>
      <x v="1922"/>
      <x v="1"/>
    </i>
    <i>
      <x v="253"/>
      <x v="1923"/>
      <x v="1"/>
    </i>
    <i>
      <x v="254"/>
      <x v="1924"/>
      <x v="1"/>
    </i>
    <i>
      <x v="255"/>
      <x v="1925"/>
      <x v="1"/>
    </i>
    <i>
      <x v="256"/>
      <x v="1926"/>
      <x v="1"/>
    </i>
    <i>
      <x v="257"/>
      <x v="1927"/>
      <x v="1"/>
    </i>
    <i>
      <x v="259"/>
      <x v="1928"/>
      <x v="1"/>
    </i>
    <i>
      <x v="260"/>
      <x v="1929"/>
      <x v="1"/>
    </i>
    <i>
      <x v="261"/>
      <x v="1930"/>
      <x v="1"/>
    </i>
    <i>
      <x v="263"/>
      <x v="1931"/>
      <x v="1"/>
    </i>
    <i>
      <x v="264"/>
      <x v="1932"/>
      <x v="1"/>
    </i>
    <i>
      <x v="265"/>
      <x v="1933"/>
      <x v="1"/>
    </i>
    <i>
      <x v="266"/>
      <x v="1934"/>
      <x v="1"/>
    </i>
    <i>
      <x v="268"/>
      <x v="1935"/>
      <x v="1"/>
    </i>
    <i>
      <x v="269"/>
      <x v="1936"/>
      <x v="1"/>
    </i>
    <i>
      <x v="270"/>
      <x v="1937"/>
      <x v="1"/>
    </i>
    <i>
      <x v="271"/>
      <x v="1938"/>
      <x v="1"/>
    </i>
    <i>
      <x v="273"/>
      <x v="1939"/>
      <x v="1"/>
    </i>
    <i>
      <x v="274"/>
      <x v="1940"/>
      <x v="1"/>
    </i>
    <i>
      <x v="275"/>
      <x v="1941"/>
      <x v="1"/>
    </i>
    <i>
      <x v="276"/>
      <x v="1942"/>
      <x v="1"/>
    </i>
    <i>
      <x v="277"/>
      <x v="1943"/>
      <x v="1"/>
    </i>
    <i>
      <x v="278"/>
      <x v="1944"/>
      <x v="1"/>
    </i>
    <i>
      <x v="280"/>
      <x v="1945"/>
      <x v="1"/>
    </i>
    <i>
      <x v="281"/>
      <x v="1946"/>
      <x v="1"/>
    </i>
    <i>
      <x v="282"/>
      <x v="1947"/>
      <x v="1"/>
    </i>
    <i>
      <x v="283"/>
      <x v="1948"/>
      <x v="1"/>
    </i>
    <i>
      <x v="285"/>
      <x v="1949"/>
      <x v="1"/>
    </i>
    <i>
      <x v="286"/>
      <x v="1950"/>
      <x v="1"/>
    </i>
    <i>
      <x v="287"/>
      <x v="1951"/>
      <x v="1"/>
    </i>
    <i>
      <x v="288"/>
      <x v="1952"/>
      <x v="1"/>
    </i>
    <i>
      <x v="289"/>
      <x v="1953"/>
      <x v="1"/>
    </i>
    <i>
      <x v="290"/>
      <x v="1954"/>
      <x v="1"/>
    </i>
    <i>
      <x v="291"/>
      <x v="1955"/>
      <x v="1"/>
    </i>
    <i>
      <x v="292"/>
      <x v="1956"/>
      <x v="1"/>
    </i>
    <i>
      <x v="293"/>
      <x v="1957"/>
      <x v="1"/>
    </i>
    <i>
      <x v="294"/>
      <x v="1958"/>
      <x v="1"/>
    </i>
    <i>
      <x v="295"/>
      <x v="1959"/>
      <x v="1"/>
    </i>
    <i>
      <x v="296"/>
      <x v="1960"/>
      <x v="1"/>
    </i>
    <i>
      <x v="297"/>
      <x v="1961"/>
      <x v="1"/>
    </i>
    <i>
      <x v="298"/>
      <x v="1962"/>
      <x v="1"/>
    </i>
    <i>
      <x v="299"/>
      <x v="1963"/>
      <x v="1"/>
    </i>
    <i>
      <x v="300"/>
      <x v="1964"/>
      <x v="1"/>
    </i>
    <i>
      <x v="301"/>
      <x v="1965"/>
      <x v="1"/>
    </i>
    <i>
      <x v="302"/>
      <x v="1966"/>
      <x v="1"/>
    </i>
    <i>
      <x v="304"/>
      <x v="1967"/>
      <x v="1"/>
    </i>
    <i>
      <x v="305"/>
      <x v="1968"/>
      <x v="1"/>
    </i>
    <i>
      <x v="306"/>
      <x v="1969"/>
      <x v="1"/>
    </i>
    <i>
      <x v="307"/>
      <x v="1970"/>
      <x v="1"/>
    </i>
    <i>
      <x v="308"/>
      <x v="1971"/>
      <x v="1"/>
    </i>
    <i>
      <x v="310"/>
      <x v="1972"/>
      <x v="1"/>
    </i>
    <i>
      <x v="311"/>
      <x v="1973"/>
      <x v="1"/>
    </i>
    <i>
      <x v="312"/>
      <x v="1974"/>
      <x v="1"/>
    </i>
    <i>
      <x v="313"/>
      <x v="1975"/>
      <x v="1"/>
    </i>
    <i>
      <x v="314"/>
      <x v="1976"/>
      <x v="1"/>
    </i>
    <i>
      <x v="315"/>
      <x v="1977"/>
      <x v="1"/>
    </i>
    <i>
      <x v="316"/>
      <x v="1978"/>
      <x v="1"/>
    </i>
    <i>
      <x v="317"/>
      <x v="1979"/>
      <x v="1"/>
    </i>
    <i>
      <x v="318"/>
      <x v="1980"/>
      <x v="1"/>
    </i>
    <i>
      <x v="320"/>
      <x v="1981"/>
      <x v="1"/>
    </i>
    <i>
      <x v="321"/>
      <x v="1982"/>
      <x v="1"/>
    </i>
    <i>
      <x v="322"/>
      <x v="1983"/>
      <x v="1"/>
    </i>
    <i>
      <x v="323"/>
      <x v="1984"/>
      <x v="1"/>
    </i>
    <i>
      <x v="324"/>
      <x v="1985"/>
      <x v="1"/>
    </i>
    <i>
      <x v="325"/>
      <x v="1986"/>
      <x v="1"/>
    </i>
    <i>
      <x v="327"/>
      <x v="1987"/>
      <x/>
    </i>
    <i>
      <x v="328"/>
      <x v="1988"/>
      <x/>
    </i>
    <i>
      <x v="329"/>
      <x v="1989"/>
      <x/>
    </i>
    <i>
      <x v="330"/>
      <x v="1990"/>
      <x/>
    </i>
    <i>
      <x v="331"/>
      <x v="1991"/>
      <x/>
    </i>
    <i>
      <x v="332"/>
      <x v="1992"/>
      <x/>
    </i>
    <i>
      <x v="333"/>
      <x v="1993"/>
      <x/>
    </i>
    <i>
      <x v="334"/>
      <x v="1994"/>
      <x/>
    </i>
    <i>
      <x v="335"/>
      <x v="1995"/>
      <x/>
    </i>
    <i>
      <x v="336"/>
      <x v="1996"/>
      <x/>
    </i>
    <i>
      <x v="337"/>
      <x v="1997"/>
      <x/>
    </i>
    <i>
      <x v="338"/>
      <x v="1998"/>
      <x/>
    </i>
    <i>
      <x v="339"/>
      <x v="1999"/>
      <x/>
    </i>
    <i>
      <x v="340"/>
      <x v="2000"/>
      <x/>
    </i>
    <i>
      <x v="341"/>
      <x v="2001"/>
      <x/>
    </i>
    <i>
      <x v="342"/>
      <x v="2002"/>
      <x/>
    </i>
    <i>
      <x v="343"/>
      <x v="2003"/>
      <x/>
    </i>
    <i>
      <x v="344"/>
      <x v="2004"/>
      <x/>
    </i>
    <i>
      <x v="345"/>
      <x v="2005"/>
      <x/>
    </i>
    <i>
      <x v="346"/>
      <x v="2006"/>
      <x/>
    </i>
    <i>
      <x v="347"/>
      <x v="2007"/>
      <x/>
    </i>
    <i>
      <x v="348"/>
      <x v="2008"/>
      <x/>
    </i>
    <i>
      <x v="349"/>
      <x v="2009"/>
      <x/>
    </i>
    <i>
      <x v="350"/>
      <x v="2010"/>
      <x/>
    </i>
    <i>
      <x v="351"/>
      <x v="2011"/>
      <x/>
    </i>
    <i>
      <x v="352"/>
      <x v="2012"/>
      <x/>
    </i>
    <i>
      <x v="353"/>
      <x v="2013"/>
      <x/>
    </i>
    <i>
      <x v="354"/>
      <x v="2014"/>
      <x/>
    </i>
    <i>
      <x v="355"/>
      <x v="2015"/>
      <x/>
    </i>
    <i>
      <x v="356"/>
      <x v="2016"/>
      <x/>
    </i>
    <i>
      <x v="357"/>
      <x v="2017"/>
      <x/>
    </i>
    <i>
      <x v="358"/>
      <x v="2018"/>
      <x/>
    </i>
    <i>
      <x v="359"/>
      <x v="2019"/>
      <x/>
    </i>
    <i>
      <x v="360"/>
      <x v="2020"/>
      <x/>
    </i>
    <i>
      <x v="361"/>
      <x v="2021"/>
      <x/>
    </i>
    <i>
      <x v="362"/>
      <x v="2022"/>
      <x/>
    </i>
    <i>
      <x v="363"/>
      <x v="2023"/>
      <x/>
    </i>
    <i>
      <x v="364"/>
      <x v="2024"/>
      <x/>
    </i>
    <i>
      <x v="365"/>
      <x v="2025"/>
      <x/>
    </i>
    <i>
      <x v="366"/>
      <x v="2026"/>
      <x/>
    </i>
    <i>
      <x v="367"/>
      <x v="2027"/>
      <x/>
    </i>
    <i>
      <x v="368"/>
      <x v="2028"/>
      <x/>
    </i>
    <i>
      <x v="369"/>
      <x v="2029"/>
      <x/>
    </i>
    <i>
      <x v="370"/>
      <x v="2389"/>
      <x/>
    </i>
    <i>
      <x v="371"/>
      <x v="2390"/>
      <x/>
    </i>
    <i>
      <x v="373"/>
      <x v="2030"/>
      <x v="1"/>
    </i>
    <i>
      <x v="374"/>
      <x v="2031"/>
      <x v="1"/>
    </i>
    <i>
      <x v="375"/>
      <x v="2032"/>
      <x v="1"/>
    </i>
    <i>
      <x v="376"/>
      <x v="2033"/>
      <x v="1"/>
    </i>
    <i>
      <x v="377"/>
      <x v="2034"/>
      <x v="1"/>
    </i>
    <i>
      <x v="378"/>
      <x v="2035"/>
      <x v="1"/>
    </i>
    <i>
      <x v="379"/>
      <x v="2036"/>
      <x v="1"/>
    </i>
    <i>
      <x v="381"/>
      <x v="2037"/>
      <x v="1"/>
    </i>
    <i>
      <x v="382"/>
      <x v="2038"/>
      <x v="1"/>
    </i>
    <i>
      <x v="383"/>
      <x v="2039"/>
      <x v="1"/>
    </i>
    <i>
      <x v="385"/>
      <x v="2040"/>
      <x v="1"/>
    </i>
    <i>
      <x v="386"/>
      <x v="2041"/>
      <x v="1"/>
    </i>
    <i>
      <x v="388"/>
      <x v="2042"/>
      <x v="1"/>
    </i>
    <i>
      <x v="389"/>
      <x v="2043"/>
      <x v="1"/>
    </i>
    <i>
      <x v="390"/>
      <x v="2044"/>
      <x v="1"/>
    </i>
    <i>
      <x v="391"/>
      <x v="2045"/>
      <x v="1"/>
    </i>
    <i>
      <x v="392"/>
      <x v="2046"/>
      <x v="1"/>
    </i>
    <i>
      <x v="393"/>
      <x v="2047"/>
      <x v="1"/>
    </i>
    <i>
      <x v="395"/>
      <x v="2048"/>
      <x v="1"/>
    </i>
    <i>
      <x v="396"/>
      <x v="2049"/>
      <x v="1"/>
    </i>
    <i>
      <x v="397"/>
      <x v="2050"/>
      <x v="1"/>
    </i>
    <i>
      <x v="398"/>
      <x v="2051"/>
      <x v="1"/>
    </i>
    <i>
      <x v="399"/>
      <x v="2052"/>
      <x v="1"/>
    </i>
    <i>
      <x v="400"/>
      <x v="2053"/>
      <x v="1"/>
    </i>
    <i>
      <x v="402"/>
      <x v="2054"/>
      <x v="1"/>
    </i>
    <i>
      <x v="404"/>
      <x v="2055"/>
      <x v="1"/>
    </i>
    <i>
      <x v="405"/>
      <x v="2056"/>
      <x v="1"/>
    </i>
    <i>
      <x v="406"/>
      <x v="2057"/>
      <x v="1"/>
    </i>
    <i>
      <x v="407"/>
      <x v="2058"/>
      <x v="1"/>
    </i>
    <i>
      <x v="408"/>
      <x v="2059"/>
      <x v="1"/>
    </i>
    <i>
      <x v="409"/>
      <x v="2060"/>
      <x v="1"/>
    </i>
    <i>
      <x v="410"/>
      <x v="2061"/>
      <x v="1"/>
    </i>
    <i>
      <x v="412"/>
      <x v="2065"/>
      <x v="1"/>
    </i>
    <i>
      <x v="413"/>
      <x v="2066"/>
      <x v="1"/>
    </i>
    <i>
      <x v="414"/>
      <x v="2067"/>
      <x v="1"/>
    </i>
    <i>
      <x v="416"/>
      <x v="2068"/>
      <x v="1"/>
    </i>
    <i>
      <x v="417"/>
      <x v="2069"/>
      <x v="1"/>
    </i>
    <i>
      <x v="418"/>
      <x v="2070"/>
      <x v="1"/>
    </i>
    <i>
      <x v="420"/>
      <x v="2071"/>
      <x v="1"/>
    </i>
    <i>
      <x v="421"/>
      <x v="2072"/>
      <x v="1"/>
    </i>
    <i>
      <x v="423"/>
      <x v="2073"/>
      <x v="1"/>
    </i>
    <i>
      <x v="425"/>
      <x v="2074"/>
      <x v="1"/>
    </i>
    <i>
      <x v="426"/>
      <x v="2075"/>
      <x v="1"/>
    </i>
    <i>
      <x v="428"/>
      <x v="2076"/>
      <x v="1"/>
    </i>
    <i>
      <x v="429"/>
      <x v="2077"/>
      <x v="1"/>
    </i>
    <i>
      <x v="430"/>
      <x v="2078"/>
      <x v="1"/>
    </i>
    <i>
      <x v="431"/>
      <x v="2079"/>
      <x v="1"/>
    </i>
    <i>
      <x v="432"/>
      <x v="2080"/>
      <x v="1"/>
    </i>
    <i>
      <x v="433"/>
      <x v="2081"/>
      <x v="1"/>
    </i>
    <i>
      <x v="434"/>
      <x v="2082"/>
      <x v="1"/>
    </i>
    <i>
      <x v="435"/>
      <x v="2083"/>
      <x v="1"/>
    </i>
    <i>
      <x v="436"/>
      <x v="2084"/>
      <x v="1"/>
    </i>
    <i>
      <x v="437"/>
      <x v="2085"/>
      <x v="1"/>
    </i>
    <i>
      <x v="438"/>
      <x v="2086"/>
      <x v="1"/>
    </i>
    <i>
      <x v="439"/>
      <x v="2087"/>
      <x v="1"/>
    </i>
    <i>
      <x v="440"/>
      <x v="2088"/>
      <x v="1"/>
    </i>
    <i>
      <x v="441"/>
      <x v="2089"/>
      <x v="1"/>
    </i>
    <i>
      <x v="443"/>
      <x v="2090"/>
      <x v="1"/>
    </i>
    <i>
      <x v="444"/>
      <x v="2091"/>
      <x v="1"/>
    </i>
    <i>
      <x v="445"/>
      <x v="2092"/>
      <x v="1"/>
    </i>
    <i>
      <x v="446"/>
      <x v="2093"/>
      <x v="1"/>
    </i>
    <i>
      <x v="447"/>
      <x v="2094"/>
      <x v="1"/>
    </i>
    <i>
      <x v="448"/>
      <x v="2095"/>
      <x v="1"/>
    </i>
    <i>
      <x v="449"/>
      <x v="2096"/>
      <x v="1"/>
    </i>
    <i>
      <x v="450"/>
      <x v="2097"/>
      <x v="1"/>
    </i>
    <i>
      <x v="451"/>
      <x v="2098"/>
      <x v="1"/>
    </i>
    <i>
      <x v="452"/>
      <x v="2099"/>
      <x v="1"/>
    </i>
    <i>
      <x v="453"/>
      <x v="2100"/>
      <x v="1"/>
    </i>
    <i>
      <x v="454"/>
      <x v="2101"/>
      <x v="1"/>
    </i>
    <i>
      <x v="455"/>
      <x v="2102"/>
      <x v="1"/>
    </i>
    <i>
      <x v="456"/>
      <x v="2103"/>
      <x v="1"/>
    </i>
    <i>
      <x v="457"/>
      <x v="2104"/>
      <x v="1"/>
    </i>
    <i>
      <x v="458"/>
      <x v="2105"/>
      <x v="1"/>
    </i>
    <i>
      <x v="460"/>
      <x v="2106"/>
      <x v="1"/>
    </i>
    <i>
      <x v="461"/>
      <x v="2107"/>
      <x v="1"/>
    </i>
    <i>
      <x v="462"/>
      <x v="2108"/>
      <x v="1"/>
    </i>
    <i>
      <x v="463"/>
      <x v="2109"/>
      <x v="1"/>
    </i>
    <i>
      <x v="464"/>
      <x v="2110"/>
      <x v="1"/>
    </i>
    <i>
      <x v="466"/>
      <x v="2111"/>
      <x v="1"/>
    </i>
    <i>
      <x v="467"/>
      <x v="2112"/>
      <x v="1"/>
    </i>
    <i>
      <x v="469"/>
      <x v="2113"/>
      <x v="1"/>
    </i>
    <i>
      <x v="470"/>
      <x v="2114"/>
      <x v="1"/>
    </i>
    <i>
      <x v="471"/>
      <x v="2115"/>
      <x v="1"/>
    </i>
    <i>
      <x v="473"/>
      <x v="2116"/>
      <x v="1"/>
    </i>
    <i>
      <x v="474"/>
      <x v="2117"/>
      <x v="1"/>
    </i>
    <i>
      <x v="475"/>
      <x v="2118"/>
      <x v="1"/>
    </i>
    <i>
      <x v="477"/>
      <x v="2119"/>
      <x v="1"/>
    </i>
    <i>
      <x v="478"/>
      <x v="2120"/>
      <x v="1"/>
    </i>
    <i>
      <x v="479"/>
      <x v="2121"/>
      <x v="1"/>
    </i>
    <i>
      <x v="480"/>
      <x v="2122"/>
      <x v="1"/>
    </i>
    <i>
      <x v="482"/>
      <x v="2123"/>
      <x v="1"/>
    </i>
    <i>
      <x v="483"/>
      <x v="2124"/>
      <x v="1"/>
    </i>
    <i>
      <x v="484"/>
      <x v="2125"/>
      <x v="1"/>
    </i>
    <i>
      <x v="485"/>
      <x v="2126"/>
      <x v="1"/>
    </i>
    <i>
      <x v="487"/>
      <x v="2127"/>
      <x v="1"/>
    </i>
    <i>
      <x v="488"/>
      <x v="2128"/>
      <x v="1"/>
    </i>
    <i>
      <x v="490"/>
      <x v="2129"/>
      <x v="1"/>
    </i>
    <i>
      <x v="491"/>
      <x v="2130"/>
      <x v="1"/>
    </i>
    <i>
      <x v="492"/>
      <x v="2131"/>
      <x v="1"/>
    </i>
    <i>
      <x v="493"/>
      <x v="2132"/>
      <x v="1"/>
    </i>
    <i>
      <x v="494"/>
      <x v="2133"/>
      <x v="1"/>
    </i>
    <i>
      <x v="496"/>
      <x v="2134"/>
      <x v="1"/>
    </i>
    <i>
      <x v="497"/>
      <x v="2135"/>
      <x v="1"/>
    </i>
    <i>
      <x v="499"/>
      <x v="2136"/>
      <x v="1"/>
    </i>
    <i>
      <x v="500"/>
      <x v="2137"/>
      <x v="1"/>
    </i>
    <i>
      <x v="501"/>
      <x v="2138"/>
      <x v="1"/>
    </i>
    <i>
      <x v="502"/>
      <x v="2139"/>
      <x v="1"/>
    </i>
    <i>
      <x v="503"/>
      <x v="2140"/>
      <x v="1"/>
    </i>
    <i>
      <x v="504"/>
      <x v="2141"/>
      <x v="1"/>
    </i>
    <i>
      <x v="505"/>
      <x v="2142"/>
      <x v="1"/>
    </i>
    <i>
      <x v="506"/>
      <x v="2143"/>
      <x v="1"/>
    </i>
    <i>
      <x v="507"/>
      <x v="2144"/>
      <x v="1"/>
    </i>
    <i>
      <x v="509"/>
      <x v="2391"/>
      <x v="1"/>
    </i>
    <i>
      <x v="511"/>
      <x v="2392"/>
      <x v="1"/>
    </i>
    <i>
      <x v="512"/>
      <x v="2393"/>
      <x v="1"/>
    </i>
    <i>
      <x v="513"/>
      <x v="2394"/>
      <x v="1"/>
    </i>
    <i>
      <x v="514"/>
      <x v="2395"/>
      <x v="1"/>
    </i>
    <i>
      <x v="515"/>
      <x v="2396"/>
      <x v="1"/>
    </i>
    <i>
      <x v="516"/>
      <x v="2397"/>
      <x v="1"/>
    </i>
    <i>
      <x v="517"/>
      <x v="2398"/>
      <x v="1"/>
    </i>
    <i>
      <x v="518"/>
      <x v="2399"/>
      <x v="1"/>
    </i>
    <i>
      <x v="519"/>
      <x v="2400"/>
      <x v="1"/>
    </i>
    <i>
      <x v="520"/>
      <x v="2401"/>
      <x v="1"/>
    </i>
    <i>
      <x v="522"/>
      <x v="2156"/>
      <x v="1"/>
    </i>
    <i>
      <x v="523"/>
      <x v="2157"/>
      <x v="1"/>
    </i>
    <i>
      <x v="524"/>
      <x v="2158"/>
      <x v="1"/>
    </i>
    <i>
      <x v="525"/>
      <x v="2159"/>
      <x v="1"/>
    </i>
    <i>
      <x v="526"/>
      <x v="2160"/>
      <x v="1"/>
    </i>
    <i>
      <x v="528"/>
      <x v="2161"/>
      <x v="1"/>
    </i>
    <i>
      <x v="529"/>
      <x v="2162"/>
      <x v="1"/>
    </i>
    <i>
      <x v="531"/>
      <x v="2163"/>
      <x v="1"/>
    </i>
    <i>
      <x v="532"/>
      <x v="2164"/>
      <x v="1"/>
    </i>
    <i>
      <x v="533"/>
      <x v="2165"/>
      <x v="1"/>
    </i>
    <i>
      <x v="535"/>
      <x v="2166"/>
      <x v="1"/>
    </i>
    <i>
      <x v="536"/>
      <x v="2167"/>
      <x v="1"/>
    </i>
    <i>
      <x v="538"/>
      <x v="2168"/>
      <x v="1"/>
    </i>
    <i>
      <x v="539"/>
      <x v="2169"/>
      <x v="1"/>
    </i>
    <i>
      <x v="540"/>
      <x v="2170"/>
      <x v="1"/>
    </i>
    <i>
      <x v="541"/>
      <x v="2171"/>
      <x v="1"/>
    </i>
    <i>
      <x v="542"/>
      <x v="2172"/>
      <x v="1"/>
    </i>
    <i>
      <x v="543"/>
      <x v="2173"/>
      <x v="1"/>
    </i>
    <i>
      <x v="544"/>
      <x v="2174"/>
      <x v="1"/>
    </i>
    <i>
      <x v="545"/>
      <x v="2175"/>
      <x v="1"/>
    </i>
    <i>
      <x v="546"/>
      <x v="2176"/>
      <x v="1"/>
    </i>
    <i>
      <x v="547"/>
      <x v="2180"/>
      <x v="1"/>
    </i>
    <i>
      <x v="548"/>
      <x v="2181"/>
      <x v="1"/>
    </i>
    <i>
      <x v="549"/>
      <x v="2182"/>
      <x v="1"/>
    </i>
    <i>
      <x v="550"/>
      <x v="2186"/>
      <x v="1"/>
    </i>
    <i>
      <x v="551"/>
      <x v="2187"/>
      <x v="1"/>
    </i>
    <i>
      <x v="552"/>
      <x v="2188"/>
      <x v="1"/>
    </i>
    <i>
      <x v="553"/>
      <x v="2189"/>
      <x v="1"/>
    </i>
    <i>
      <x v="554"/>
      <x v="2190"/>
      <x v="1"/>
    </i>
    <i>
      <x v="555"/>
      <x v="2191"/>
      <x v="1"/>
    </i>
    <i>
      <x v="557"/>
      <x v="2177"/>
      <x v="1"/>
    </i>
    <i>
      <x v="558"/>
      <x v="2178"/>
      <x v="1"/>
    </i>
    <i>
      <x v="559"/>
      <x v="2179"/>
      <x v="1"/>
    </i>
    <i>
      <x v="561"/>
      <x v="2183"/>
      <x v="1"/>
    </i>
    <i>
      <x v="562"/>
      <x v="2184"/>
      <x v="1"/>
    </i>
    <i>
      <x v="563"/>
      <x v="2185"/>
      <x v="1"/>
    </i>
    <i>
      <x v="564"/>
      <x v="2192"/>
      <x v="1"/>
    </i>
    <i>
      <x v="565"/>
      <x v="2193"/>
      <x v="1"/>
    </i>
    <i>
      <x v="566"/>
      <x v="2194"/>
      <x v="1"/>
    </i>
    <i>
      <x v="567"/>
      <x v="2195"/>
      <x v="1"/>
    </i>
    <i>
      <x v="569"/>
      <x v="2196"/>
      <x v="1"/>
    </i>
    <i>
      <x v="570"/>
      <x v="2197"/>
      <x v="1"/>
    </i>
    <i>
      <x v="571"/>
      <x v="2198"/>
      <x v="1"/>
    </i>
    <i>
      <x v="572"/>
      <x v="2199"/>
      <x v="1"/>
    </i>
    <i>
      <x v="573"/>
      <x v="2200"/>
      <x v="1"/>
    </i>
    <i>
      <x v="574"/>
      <x v="2201"/>
      <x v="1"/>
    </i>
    <i>
      <x v="575"/>
      <x v="2202"/>
      <x v="1"/>
    </i>
    <i>
      <x v="576"/>
      <x v="2203"/>
      <x v="1"/>
    </i>
    <i>
      <x v="577"/>
      <x v="2204"/>
      <x v="1"/>
    </i>
    <i>
      <x v="578"/>
      <x v="2205"/>
      <x v="1"/>
    </i>
    <i>
      <x v="579"/>
      <x v="2206"/>
      <x v="1"/>
    </i>
    <i>
      <x v="581"/>
      <x v="2326"/>
      <x v="1"/>
    </i>
    <i>
      <x v="582"/>
      <x v="2327"/>
      <x v="1"/>
    </i>
    <i>
      <x v="584"/>
      <x v="2328"/>
      <x v="1"/>
    </i>
    <i>
      <x v="585"/>
      <x v="2329"/>
      <x v="1"/>
    </i>
    <i>
      <x v="586"/>
      <x v="2330"/>
      <x v="1"/>
    </i>
    <i>
      <x v="588"/>
      <x v="2331"/>
      <x v="1"/>
    </i>
    <i>
      <x v="590"/>
      <x v="2213"/>
      <x v="1"/>
    </i>
    <i>
      <x v="591"/>
      <x v="2214"/>
      <x v="1"/>
    </i>
    <i>
      <x v="592"/>
      <x v="2215"/>
      <x v="1"/>
    </i>
    <i>
      <x v="593"/>
      <x v="2216"/>
      <x v="1"/>
    </i>
    <i>
      <x v="594"/>
      <x v="2217"/>
      <x v="1"/>
    </i>
    <i>
      <x v="595"/>
      <x v="2218"/>
      <x v="1"/>
    </i>
    <i>
      <x v="596"/>
      <x v="2219"/>
      <x v="1"/>
    </i>
    <i>
      <x v="597"/>
      <x v="2220"/>
      <x v="1"/>
    </i>
    <i>
      <x v="598"/>
      <x v="2221"/>
      <x v="1"/>
    </i>
    <i>
      <x v="600"/>
      <x v="2222"/>
      <x v="1"/>
    </i>
    <i>
      <x v="601"/>
      <x v="2223"/>
      <x v="1"/>
    </i>
    <i>
      <x v="603"/>
      <x v="2402"/>
      <x v="1"/>
    </i>
    <i>
      <x v="604"/>
      <x v="2403"/>
      <x v="1"/>
    </i>
    <i>
      <x v="605"/>
      <x v="2404"/>
      <x v="1"/>
    </i>
    <i>
      <x v="607"/>
      <x v="2227"/>
      <x v="1"/>
    </i>
    <i>
      <x v="608"/>
      <x v="2228"/>
      <x v="1"/>
    </i>
    <i>
      <x v="609"/>
      <x v="2229"/>
      <x v="1"/>
    </i>
    <i>
      <x v="610"/>
      <x v="2230"/>
      <x v="1"/>
    </i>
    <i>
      <x v="611"/>
      <x v="2232"/>
      <x v="1"/>
    </i>
    <i>
      <x v="613"/>
      <x v="2233"/>
      <x v="1"/>
    </i>
    <i>
      <x v="614"/>
      <x v="2234"/>
      <x v="1"/>
    </i>
    <i>
      <x v="615"/>
      <x v="2235"/>
      <x v="1"/>
    </i>
    <i>
      <x v="616"/>
      <x v="2236"/>
      <x v="1"/>
    </i>
    <i>
      <x v="617"/>
      <x v="2237"/>
      <x v="1"/>
    </i>
    <i>
      <x v="618"/>
      <x v="2238"/>
      <x v="1"/>
    </i>
    <i>
      <x v="619"/>
      <x v="2239"/>
      <x v="1"/>
    </i>
    <i>
      <x v="620"/>
      <x v="2240"/>
      <x v="1"/>
    </i>
    <i>
      <x v="622"/>
      <x v="2241"/>
      <x v="1"/>
    </i>
    <i>
      <x v="623"/>
      <x v="2242"/>
      <x v="1"/>
    </i>
    <i>
      <x v="624"/>
      <x v="2243"/>
      <x v="1"/>
    </i>
    <i>
      <x v="625"/>
      <x v="2244"/>
      <x v="1"/>
    </i>
    <i>
      <x v="627"/>
      <x v="2245"/>
      <x v="1"/>
    </i>
    <i>
      <x v="629"/>
      <x v="2246"/>
      <x v="1"/>
    </i>
    <i>
      <x v="630"/>
      <x v="2247"/>
      <x v="1"/>
    </i>
    <i>
      <x v="631"/>
      <x v="2248"/>
      <x v="1"/>
    </i>
    <i>
      <x v="632"/>
      <x v="2249"/>
      <x v="1"/>
    </i>
    <i>
      <x v="633"/>
      <x v="2250"/>
      <x v="1"/>
    </i>
    <i>
      <x v="635"/>
      <x v="2251"/>
      <x v="1"/>
    </i>
    <i>
      <x v="636"/>
      <x v="2252"/>
      <x v="1"/>
    </i>
    <i>
      <x v="637"/>
      <x v="2253"/>
      <x v="1"/>
    </i>
    <i>
      <x v="638"/>
      <x v="2254"/>
      <x v="1"/>
    </i>
    <i>
      <x v="639"/>
      <x v="2255"/>
      <x v="1"/>
    </i>
    <i>
      <x v="640"/>
      <x v="2256"/>
      <x v="1"/>
    </i>
    <i>
      <x v="641"/>
      <x v="2257"/>
      <x v="1"/>
    </i>
    <i>
      <x v="642"/>
      <x v="2258"/>
      <x v="1"/>
    </i>
    <i>
      <x v="643"/>
      <x v="2259"/>
      <x v="1"/>
    </i>
    <i>
      <x v="644"/>
      <x v="2260"/>
      <x v="1"/>
    </i>
    <i>
      <x v="646"/>
      <x v="2261"/>
      <x v="1"/>
    </i>
    <i>
      <x v="647"/>
      <x v="2262"/>
      <x v="1"/>
    </i>
    <i>
      <x v="648"/>
      <x v="2263"/>
      <x v="1"/>
    </i>
    <i>
      <x v="650"/>
      <x v="2264"/>
      <x v="1"/>
    </i>
    <i>
      <x v="651"/>
      <x v="2265"/>
      <x v="1"/>
    </i>
    <i>
      <x v="652"/>
      <x v="2266"/>
      <x v="1"/>
    </i>
    <i>
      <x v="653"/>
      <x v="2267"/>
      <x v="1"/>
    </i>
    <i>
      <x v="655"/>
      <x v="2268"/>
      <x v="1"/>
    </i>
    <i>
      <x v="656"/>
      <x v="2269"/>
      <x v="1"/>
    </i>
    <i>
      <x v="657"/>
      <x v="2270"/>
      <x v="1"/>
    </i>
    <i>
      <x v="658"/>
      <x v="2271"/>
      <x v="1"/>
    </i>
    <i>
      <x v="660"/>
      <x v="2272"/>
      <x v="1"/>
    </i>
    <i>
      <x v="662"/>
      <x v="2275"/>
      <x v="1"/>
    </i>
    <i>
      <x v="664"/>
      <x v="2332"/>
      <x v="1"/>
    </i>
    <i>
      <x v="665"/>
      <x v="2333"/>
      <x v="1"/>
    </i>
    <i>
      <x v="666"/>
      <x v="2334"/>
      <x v="1"/>
    </i>
    <i>
      <x v="668"/>
      <x v="2282"/>
      <x v="1"/>
    </i>
    <i>
      <x v="669"/>
      <x v="2283"/>
      <x v="1"/>
    </i>
    <i>
      <x v="670"/>
      <x v="2284"/>
      <x v="1"/>
    </i>
    <i>
      <x v="672"/>
      <x v="2285"/>
      <x v="1"/>
    </i>
    <i>
      <x v="673"/>
      <x v="2286"/>
      <x v="1"/>
    </i>
    <i>
      <x v="674"/>
      <x v="2287"/>
      <x v="1"/>
    </i>
    <i>
      <x v="675"/>
      <x v="2288"/>
      <x v="1"/>
    </i>
    <i>
      <x v="677"/>
      <x v="2289"/>
      <x v="1"/>
    </i>
    <i>
      <x v="678"/>
      <x v="2290"/>
      <x v="1"/>
    </i>
    <i>
      <x v="680"/>
      <x v="2291"/>
      <x v="1"/>
    </i>
    <i>
      <x v="682"/>
      <x v="2292"/>
      <x v="1"/>
    </i>
    <i>
      <x v="684"/>
      <x v="2293"/>
      <x v="1"/>
    </i>
    <i>
      <x v="685"/>
      <x v="2294"/>
      <x v="1"/>
    </i>
    <i>
      <x v="686"/>
      <x v="2295"/>
      <x v="1"/>
    </i>
    <i>
      <x v="687"/>
      <x v="2296"/>
      <x v="1"/>
    </i>
    <i>
      <x v="688"/>
      <x v="2297"/>
      <x v="1"/>
    </i>
    <i>
      <x v="689"/>
      <x v="2298"/>
      <x v="1"/>
    </i>
    <i>
      <x v="690"/>
      <x v="2299"/>
      <x v="1"/>
    </i>
    <i>
      <x v="692"/>
      <x v="2300"/>
      <x v="1"/>
    </i>
    <i>
      <x v="693"/>
      <x v="2301"/>
      <x v="1"/>
    </i>
    <i>
      <x v="694"/>
      <x v="2302"/>
      <x v="1"/>
    </i>
    <i>
      <x v="695"/>
      <x v="2303"/>
      <x v="1"/>
    </i>
    <i>
      <x v="697"/>
      <x v="1851"/>
      <x v="1"/>
    </i>
    <i>
      <x v="699"/>
      <x v="2304"/>
      <x v="1"/>
    </i>
    <i>
      <x v="701"/>
      <x v="2305"/>
      <x v="1"/>
    </i>
    <i>
      <x v="703"/>
      <x v="2306"/>
      <x v="1"/>
    </i>
    <i>
      <x v="705"/>
      <x v="2307"/>
      <x v="1"/>
    </i>
    <i>
      <x v="707"/>
      <x v="2308"/>
      <x v="1"/>
    </i>
    <i>
      <x v="708"/>
      <x v="2309"/>
      <x v="1"/>
    </i>
    <i>
      <x v="710"/>
      <x v="2310"/>
      <x v="1"/>
    </i>
    <i>
      <x v="712"/>
      <x v="2311"/>
      <x v="1"/>
    </i>
    <i>
      <x v="714"/>
      <x v="2335"/>
      <x v="1"/>
    </i>
    <i>
      <x v="715"/>
      <x v="2336"/>
      <x v="1"/>
    </i>
    <i>
      <x v="716"/>
      <x v="2337"/>
      <x v="1"/>
    </i>
    <i>
      <x v="717"/>
      <x v="2338"/>
      <x v="1"/>
    </i>
    <i>
      <x v="718"/>
      <x v="2339"/>
      <x v="1"/>
    </i>
    <i>
      <x v="720"/>
      <x v="2340"/>
      <x v="1"/>
    </i>
    <i>
      <x v="721"/>
      <x v="2341"/>
      <x v="1"/>
    </i>
    <i>
      <x v="723"/>
      <x v="2342"/>
      <x v="1"/>
    </i>
    <i>
      <x v="725"/>
      <x v="2344"/>
      <x v="1"/>
    </i>
    <i>
      <x v="726"/>
      <x v="2345"/>
      <x v="1"/>
    </i>
    <i>
      <x v="728"/>
      <x v="2346"/>
      <x v="1"/>
    </i>
    <i>
      <x v="729"/>
      <x v="2347"/>
      <x v="1"/>
    </i>
    <i>
      <x v="730"/>
      <x v="2348"/>
      <x v="1"/>
    </i>
    <i>
      <x v="732"/>
      <x v="2349"/>
      <x v="1"/>
    </i>
    <i>
      <x v="734"/>
      <x v="2350"/>
      <x v="1"/>
    </i>
    <i>
      <x v="735"/>
      <x v="2351"/>
      <x v="1"/>
    </i>
    <i>
      <x v="737"/>
      <x v="2352"/>
      <x v="1"/>
    </i>
    <i>
      <x v="738"/>
      <x v="2353"/>
      <x v="1"/>
    </i>
    <i>
      <x v="740"/>
      <x v="2354"/>
      <x v="1"/>
    </i>
    <i>
      <x v="741"/>
      <x v="2355"/>
      <x v="1"/>
    </i>
    <i>
      <x v="742"/>
      <x v="2356"/>
      <x v="1"/>
    </i>
    <i>
      <x v="744"/>
      <x v="2357"/>
      <x/>
    </i>
    <i>
      <x v="745"/>
      <x v="2358"/>
      <x/>
    </i>
    <i>
      <x v="746"/>
      <x v="2359"/>
      <x/>
    </i>
    <i>
      <x v="747"/>
      <x v="2360"/>
      <x/>
    </i>
    <i>
      <x v="748"/>
      <x v="2361"/>
      <x/>
    </i>
    <i>
      <x v="749"/>
      <x v="2362"/>
      <x/>
    </i>
    <i>
      <x v="750"/>
      <x v="2363"/>
      <x/>
    </i>
    <i>
      <x v="751"/>
      <x v="2364"/>
      <x/>
    </i>
    <i>
      <x v="752"/>
      <x v="2365"/>
      <x/>
    </i>
    <i>
      <x v="753"/>
      <x v="2366"/>
      <x/>
    </i>
    <i>
      <x v="754"/>
      <x v="2367"/>
      <x/>
    </i>
    <i>
      <x v="755"/>
      <x v="2368"/>
      <x/>
    </i>
    <i>
      <x v="756"/>
      <x v="2369"/>
      <x/>
    </i>
    <i>
      <x v="757"/>
      <x v="2370"/>
      <x/>
    </i>
    <i>
      <x v="759"/>
      <x v="2371"/>
      <x v="1"/>
    </i>
    <i>
      <x v="760"/>
      <x v="2372"/>
      <x v="1"/>
    </i>
    <i>
      <x v="761"/>
      <x v="2373"/>
      <x v="1"/>
    </i>
    <i>
      <x v="762"/>
      <x v="2405"/>
      <x v="1"/>
    </i>
    <i>
      <x v="764"/>
      <x v="2374"/>
      <x v="1"/>
    </i>
    <i>
      <x v="765"/>
      <x v="2375"/>
      <x v="1"/>
    </i>
    <i>
      <x v="766"/>
      <x v="2378"/>
      <x v="1"/>
    </i>
    <i>
      <x v="767"/>
      <x v="2379"/>
      <x v="1"/>
    </i>
    <i>
      <x v="768"/>
      <x v="2380"/>
      <x v="1"/>
    </i>
    <i>
      <x v="769"/>
      <x v="2381"/>
      <x v="1"/>
    </i>
    <i>
      <x v="771"/>
      <x v="2376"/>
      <x v="1"/>
    </i>
    <i>
      <x v="772"/>
      <x v="2377"/>
      <x v="1"/>
    </i>
    <i>
      <x v="774"/>
      <x v="2382"/>
      <x v="1"/>
    </i>
    <i>
      <x v="776"/>
      <x v="2383"/>
      <x v="1"/>
    </i>
    <i>
      <x v="778"/>
      <x v="2384"/>
      <x v="1"/>
    </i>
    <i>
      <x v="780"/>
      <x v="2385"/>
      <x v="1"/>
    </i>
    <i>
      <x v="781"/>
      <x v="2386"/>
      <x v="1"/>
    </i>
    <i>
      <x v="782"/>
      <x v="2354"/>
      <x v="1"/>
    </i>
    <i>
      <x v="784"/>
      <x v="2387"/>
      <x v="1"/>
    </i>
    <i>
      <x v="785"/>
      <x v="2388"/>
      <x v="1"/>
    </i>
    <i>
      <x v="787"/>
      <x v="2406"/>
      <x v="1"/>
    </i>
    <i>
      <x v="788"/>
      <x v="2407"/>
      <x v="1"/>
    </i>
    <i>
      <x v="790"/>
      <x v="2408"/>
      <x v="1"/>
    </i>
    <i>
      <x v="791"/>
      <x v="2409"/>
      <x v="1"/>
    </i>
    <i>
      <x v="792"/>
      <x v="2410"/>
      <x v="1"/>
    </i>
    <i>
      <x v="794"/>
      <x v="1780"/>
      <x v="1"/>
    </i>
    <i>
      <x v="796"/>
      <x v="1789"/>
      <x v="1"/>
    </i>
    <i>
      <x v="798"/>
      <x v="2411"/>
      <x v="1"/>
    </i>
    <i>
      <x v="800"/>
      <x v="2412"/>
      <x v="1"/>
    </i>
    <i>
      <x v="801"/>
      <x v="2413"/>
      <x v="1"/>
    </i>
    <i>
      <x v="803"/>
      <x v="2414"/>
      <x v="1"/>
    </i>
    <i>
      <x v="805"/>
      <x v="2415"/>
      <x v="1"/>
    </i>
    <i>
      <x v="806"/>
      <x v="2416"/>
      <x v="1"/>
    </i>
    <i>
      <x v="807"/>
      <x v="2417"/>
      <x v="1"/>
    </i>
    <i>
      <x v="808"/>
      <x v="2418"/>
      <x v="1"/>
    </i>
    <i>
      <x v="809"/>
      <x v="2419"/>
      <x v="1"/>
    </i>
    <i>
      <x v="810"/>
      <x v="2420"/>
      <x v="1"/>
    </i>
    <i>
      <x v="811"/>
      <x v="2421"/>
      <x v="1"/>
    </i>
    <i>
      <x v="813"/>
      <x v="2422"/>
      <x v="1"/>
    </i>
    <i>
      <x v="815"/>
      <x v="2423"/>
      <x v="1"/>
    </i>
    <i>
      <x v="817"/>
      <x v="2424"/>
      <x v="1"/>
    </i>
    <i>
      <x v="819"/>
      <x v="2425"/>
      <x v="1"/>
    </i>
    <i>
      <x v="821"/>
      <x v="2426"/>
      <x v="1"/>
    </i>
    <i>
      <x v="823"/>
      <x v="2427"/>
      <x v="1"/>
    </i>
    <i>
      <x v="824"/>
      <x v="2428"/>
      <x v="1"/>
    </i>
    <i>
      <x v="826"/>
      <x v="1858"/>
      <x v="1"/>
    </i>
    <i>
      <x v="828"/>
      <x v="1781"/>
      <x v="1"/>
    </i>
    <i>
      <x v="830"/>
      <x v="2429"/>
      <x/>
    </i>
    <i>
      <x v="831"/>
      <x v="2430"/>
      <x/>
    </i>
    <i>
      <x v="832"/>
      <x v="2431"/>
      <x/>
    </i>
    <i>
      <x v="834"/>
      <x v="2432"/>
      <x v="1"/>
    </i>
    <i>
      <x v="835"/>
      <x v="2433"/>
      <x v="1"/>
    </i>
    <i>
      <x v="836"/>
      <x v="2434"/>
      <x v="1"/>
    </i>
    <i>
      <x v="838"/>
      <x v="2435"/>
      <x v="1"/>
    </i>
    <i>
      <x v="839"/>
      <x v="2436"/>
      <x v="1"/>
    </i>
    <i>
      <x v="841"/>
      <x v="2427"/>
      <x v="1"/>
    </i>
    <i>
      <x v="842"/>
      <x v="2428"/>
      <x v="1"/>
    </i>
    <i>
      <x v="844"/>
      <x v="2437"/>
      <x v="1"/>
    </i>
    <i>
      <x v="845"/>
      <x v="2438"/>
      <x v="1"/>
    </i>
    <i>
      <x v="846"/>
      <x v="2439"/>
      <x v="1"/>
    </i>
    <i>
      <x v="847"/>
      <x v="2440"/>
      <x v="1"/>
    </i>
    <i>
      <x v="848"/>
      <x v="2441"/>
      <x v="1"/>
    </i>
    <i>
      <x v="850"/>
      <x v="2442"/>
      <x v="1"/>
    </i>
    <i>
      <x v="852"/>
      <x v="2443"/>
      <x v="1"/>
    </i>
    <i>
      <x v="853"/>
      <x v="2444"/>
      <x v="1"/>
    </i>
    <i>
      <x v="854"/>
      <x v="2445"/>
      <x v="1"/>
    </i>
    <i>
      <x v="856"/>
      <x v="2446"/>
      <x v="1"/>
    </i>
    <i>
      <x v="857"/>
      <x v="2447"/>
      <x v="1"/>
    </i>
    <i>
      <x v="859"/>
      <x v="2448"/>
      <x v="1"/>
    </i>
    <i>
      <x v="861"/>
      <x v="2449"/>
      <x v="1"/>
    </i>
    <i>
      <x v="862"/>
      <x v="2450"/>
      <x v="1"/>
    </i>
    <i>
      <x v="864"/>
      <x v="2451"/>
      <x v="1"/>
    </i>
    <i>
      <x v="866"/>
      <x v="1778"/>
      <x v="1"/>
    </i>
    <i>
      <x v="868"/>
      <x v="1788"/>
      <x v="1"/>
    </i>
    <i>
      <x v="870"/>
      <x v="2452"/>
      <x v="1"/>
    </i>
    <i>
      <x v="871"/>
      <x v="2453"/>
      <x v="1"/>
    </i>
    <i>
      <x v="873"/>
      <x v="2454"/>
      <x v="1"/>
    </i>
    <i>
      <x v="874"/>
      <x v="2455"/>
      <x v="1"/>
    </i>
    <i>
      <x v="875"/>
      <x v="2456"/>
      <x v="1"/>
    </i>
    <i>
      <x v="877"/>
      <x v="2457"/>
      <x v="1"/>
    </i>
    <i>
      <x v="878"/>
      <x v="2458"/>
      <x v="1"/>
    </i>
    <i>
      <x v="879"/>
      <x v="2459"/>
      <x v="1"/>
    </i>
    <i>
      <x v="880"/>
      <x v="2460"/>
      <x v="1"/>
    </i>
    <i>
      <x v="882"/>
      <x v="2461"/>
      <x v="1"/>
    </i>
    <i>
      <x v="883"/>
      <x v="2462"/>
      <x v="1"/>
    </i>
    <i>
      <x v="885"/>
      <x v="2463"/>
      <x v="1"/>
    </i>
    <i>
      <x v="887"/>
      <x v="2464"/>
      <x v="1"/>
    </i>
    <i>
      <x v="888"/>
      <x v="2465"/>
      <x v="1"/>
    </i>
    <i>
      <x v="889"/>
      <x v="2466"/>
      <x v="1"/>
    </i>
    <i>
      <x v="891"/>
      <x v="2467"/>
      <x v="1"/>
    </i>
    <i>
      <x v="892"/>
      <x v="2468"/>
      <x v="1"/>
    </i>
    <i>
      <x v="894"/>
      <x v="2469"/>
      <x v="1"/>
    </i>
    <i>
      <x v="896"/>
      <x v="2310"/>
      <x v="1"/>
    </i>
    <i>
      <x v="898"/>
      <x v="2470"/>
      <x/>
    </i>
    <i>
      <x v="899"/>
      <x v="2471"/>
      <x/>
    </i>
    <i>
      <x v="900"/>
      <x v="2472"/>
      <x/>
    </i>
    <i>
      <x v="901"/>
      <x v="2473"/>
      <x/>
    </i>
    <i>
      <x v="902"/>
      <x v="2474"/>
      <x/>
    </i>
    <i>
      <x v="903"/>
      <x v="2475"/>
      <x/>
    </i>
    <i>
      <x v="905"/>
      <x v="2476"/>
      <x v="1"/>
    </i>
    <i>
      <x v="906"/>
      <x v="2477"/>
      <x v="1"/>
    </i>
    <i>
      <x v="907"/>
      <x v="2478"/>
      <x v="1"/>
    </i>
    <i>
      <x v="909"/>
      <x v="1914"/>
      <x v="1"/>
    </i>
    <i>
      <x v="910"/>
      <x v="1915"/>
      <x v="1"/>
    </i>
    <i>
      <x v="911"/>
      <x v="1917"/>
      <x v="1"/>
    </i>
    <i>
      <x v="913"/>
      <x v="1859"/>
      <x v="1"/>
    </i>
    <i>
      <x v="915"/>
      <x v="2295"/>
      <x v="1"/>
    </i>
    <i>
      <x v="917"/>
      <x v="2479"/>
      <x v="1"/>
    </i>
    <i>
      <x v="919"/>
      <x v="2480"/>
      <x v="1"/>
    </i>
    <i>
      <x v="920"/>
      <x v="2481"/>
      <x v="1"/>
    </i>
    <i>
      <x v="922"/>
      <x v="2482"/>
      <x v="1"/>
    </i>
    <i>
      <x v="924"/>
      <x v="2483"/>
      <x v="1"/>
    </i>
    <i>
      <x v="925"/>
      <x v="2484"/>
      <x v="1"/>
    </i>
    <i>
      <x v="926"/>
      <x v="2485"/>
      <x v="1"/>
    </i>
    <i>
      <x v="927"/>
      <x v="2486"/>
      <x v="1"/>
    </i>
    <i>
      <x v="928"/>
      <x v="2487"/>
      <x v="1"/>
    </i>
    <i>
      <x v="929"/>
      <x v="2488"/>
      <x v="1"/>
    </i>
    <i>
      <x v="930"/>
      <x v="2489"/>
      <x v="1"/>
    </i>
    <i>
      <x v="931"/>
      <x v="2490"/>
      <x v="1"/>
    </i>
    <i>
      <x v="933"/>
      <x v="2491"/>
      <x v="1"/>
    </i>
    <i>
      <x v="934"/>
      <x v="2492"/>
      <x v="1"/>
    </i>
    <i>
      <x v="935"/>
      <x v="2493"/>
      <x v="1"/>
    </i>
    <i>
      <x v="937"/>
      <x v="1855"/>
      <x v="1"/>
    </i>
    <i>
      <x v="938"/>
      <x v="1856"/>
      <x v="1"/>
    </i>
    <i>
      <x v="940"/>
      <x v="2494"/>
      <x v="1"/>
    </i>
    <i>
      <x v="942"/>
      <x v="2495"/>
      <x v="1"/>
    </i>
    <i>
      <x v="943"/>
      <x v="2496"/>
      <x v="1"/>
    </i>
    <i>
      <x v="945"/>
      <x v="2497"/>
      <x v="1"/>
    </i>
    <i>
      <x v="946"/>
      <x v="2498"/>
      <x v="1"/>
    </i>
    <i>
      <x v="948"/>
      <x v="2499"/>
      <x v="1"/>
    </i>
    <i>
      <x v="949"/>
      <x v="2500"/>
      <x v="1"/>
    </i>
    <i>
      <x v="950"/>
      <x v="2501"/>
      <x v="1"/>
    </i>
    <i>
      <x v="952"/>
      <x v="2502"/>
      <x v="1"/>
    </i>
    <i>
      <x v="954"/>
      <x v="2503"/>
      <x/>
    </i>
    <i>
      <x v="955"/>
      <x v="2504"/>
      <x/>
    </i>
    <i>
      <x v="956"/>
      <x v="2505"/>
      <x/>
    </i>
    <i>
      <x v="957"/>
      <x v="2506"/>
      <x/>
    </i>
    <i>
      <x v="959"/>
      <x v="2507"/>
      <x/>
    </i>
    <i>
      <x v="960"/>
      <x v="2508"/>
      <x/>
    </i>
    <i>
      <x v="961"/>
      <x v="2509"/>
      <x/>
    </i>
    <i>
      <x v="963"/>
      <x v="2464"/>
      <x v="1"/>
    </i>
    <i>
      <x v="965"/>
      <x v="2507"/>
      <x/>
    </i>
    <i>
      <x v="966"/>
      <x v="2509"/>
      <x/>
    </i>
    <i>
      <x v="968"/>
      <x v="2393"/>
      <x v="1"/>
    </i>
    <i>
      <x v="970"/>
      <x v="2465"/>
      <x v="1"/>
    </i>
    <i>
      <x v="971"/>
      <x v="2466"/>
      <x v="1"/>
    </i>
    <i>
      <x v="973"/>
      <x v="2349"/>
      <x v="1"/>
    </i>
    <i>
      <x v="975"/>
      <x v="2413"/>
      <x v="1"/>
    </i>
    <i>
      <x v="977"/>
      <x v="2511"/>
      <x v="1"/>
    </i>
    <i>
      <x v="978"/>
      <x v="2512"/>
      <x v="1"/>
    </i>
    <i>
      <x v="979"/>
      <x v="2513"/>
      <x v="1"/>
    </i>
    <i>
      <x v="981"/>
      <x v="2512"/>
      <x v="1"/>
    </i>
    <i>
      <x v="982"/>
      <x v="2513"/>
      <x v="1"/>
    </i>
    <i>
      <x v="984"/>
      <x v="2514"/>
      <x/>
    </i>
    <i>
      <x v="985"/>
      <x v="2515"/>
      <x/>
    </i>
    <i>
      <x v="987"/>
      <x v="2311"/>
      <x v="1"/>
    </i>
    <i>
      <x v="989"/>
      <x v="2516"/>
      <x v="1"/>
    </i>
    <i>
      <x v="990"/>
      <x v="2517"/>
      <x v="1"/>
    </i>
    <i>
      <x v="991"/>
      <x v="2518"/>
      <x v="1"/>
    </i>
    <i>
      <x v="992"/>
      <x v="2519"/>
      <x v="1"/>
    </i>
    <i>
      <x v="994"/>
      <x v="2520"/>
      <x v="1"/>
    </i>
    <i>
      <x v="995"/>
      <x v="2521"/>
      <x v="1"/>
    </i>
    <i>
      <x v="996"/>
      <x v="2522"/>
      <x v="1"/>
    </i>
    <i>
      <x v="997"/>
      <x v="2523"/>
      <x v="1"/>
    </i>
    <i>
      <x v="999"/>
      <x v="2524"/>
      <x/>
    </i>
    <i>
      <x v="1000"/>
      <x v="2525"/>
      <x/>
    </i>
    <i>
      <x v="1001"/>
      <x v="2526"/>
      <x/>
    </i>
    <i>
      <x v="1002"/>
      <x v="2527"/>
      <x/>
    </i>
    <i>
      <x v="1003"/>
      <x v="2528"/>
      <x/>
    </i>
    <i>
      <x v="1004"/>
      <x v="2529"/>
      <x/>
    </i>
    <i>
      <x v="1005"/>
      <x v="2530"/>
      <x/>
    </i>
    <i>
      <x v="1006"/>
      <x v="2531"/>
      <x/>
    </i>
    <i>
      <x v="1008"/>
      <x v="2340"/>
      <x v="1"/>
    </i>
    <i>
      <x v="1009"/>
      <x v="2341"/>
      <x v="1"/>
    </i>
    <i>
      <x v="1011"/>
      <x v="2344"/>
      <x v="1"/>
    </i>
    <i>
      <x v="1012"/>
      <x v="2345"/>
      <x v="1"/>
    </i>
    <i>
      <x v="1014"/>
      <x v="1870"/>
      <x v="1"/>
    </i>
    <i>
      <x v="1015"/>
      <x v="1871"/>
      <x v="1"/>
    </i>
    <i>
      <x v="1017"/>
      <x v="2261"/>
      <x v="1"/>
    </i>
    <i>
      <x v="1018"/>
      <x v="2262"/>
      <x v="1"/>
    </i>
    <i>
      <x v="1020"/>
      <x v="2532"/>
      <x v="1"/>
    </i>
    <i>
      <x v="1021"/>
      <x v="2533"/>
      <x v="1"/>
    </i>
    <i>
      <x v="1022"/>
      <x v="2534"/>
      <x v="1"/>
    </i>
    <i>
      <x v="1024"/>
      <x v="2524"/>
      <x/>
    </i>
    <i>
      <x v="1025"/>
      <x v="2530"/>
      <x/>
    </i>
    <i>
      <x v="1026"/>
      <x v="2531"/>
      <x/>
    </i>
    <i>
      <x v="1027"/>
      <x v="2535"/>
      <x/>
    </i>
    <i>
      <x v="1028"/>
      <x v="2536"/>
      <x/>
    </i>
    <i>
      <x v="1030"/>
      <x v="2537"/>
      <x/>
    </i>
    <i>
      <x v="1031"/>
      <x v="2538"/>
      <x/>
    </i>
    <i>
      <x v="1032"/>
      <x v="2539"/>
      <x/>
    </i>
    <i>
      <x v="1033"/>
      <x v="2540"/>
      <x/>
    </i>
    <i>
      <x v="1034"/>
      <x v="2541"/>
      <x/>
    </i>
    <i>
      <x v="1036"/>
      <x v="2542"/>
      <x/>
    </i>
    <i>
      <x v="1037"/>
      <x v="2543"/>
      <x/>
    </i>
    <i>
      <x v="1038"/>
      <x v="2544"/>
      <x/>
    </i>
    <i>
      <x v="1039"/>
      <x v="2545"/>
      <x/>
    </i>
    <i>
      <x v="1040"/>
      <x v="2546"/>
      <x/>
    </i>
    <i>
      <x v="1042"/>
      <x v="2547"/>
      <x/>
    </i>
    <i>
      <x v="1043"/>
      <x v="2548"/>
      <x/>
    </i>
    <i>
      <x v="1044"/>
      <x v="2549"/>
      <x/>
    </i>
    <i>
      <x v="1045"/>
      <x v="2550"/>
      <x/>
    </i>
    <i>
      <x v="1046"/>
      <x v="2551"/>
      <x/>
    </i>
    <i>
      <x v="1048"/>
      <x v="2542"/>
      <x/>
    </i>
    <i>
      <x v="1049"/>
      <x v="2543"/>
      <x/>
    </i>
    <i>
      <x v="1050"/>
      <x v="2544"/>
      <x/>
    </i>
    <i>
      <x v="1051"/>
      <x v="2545"/>
      <x/>
    </i>
    <i>
      <x v="1052"/>
      <x v="2546"/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 기획수량" fld="7" baseField="0" baseItem="0"/>
    <dataField name=" TAG가" fld="9" baseField="0" baseItem="0"/>
    <dataField name=" 원가" fld="8" baseField="0" baseItem="0"/>
    <dataField name=" 배수" fld="10" baseField="0" baseItem="0"/>
    <dataField name=" 입고수량" fld="5" baseField="0" baseItem="0"/>
    <dataField name=" 미입고수량" fld="6" baseField="0" baseItem="0"/>
  </dataFields>
  <formats count="11">
    <format dxfId="419">
      <pivotArea type="all" dataOnly="0" outline="0" fieldPosition="0"/>
    </format>
    <format dxfId="418">
      <pivotArea type="all" dataOnly="0" outline="0" fieldPosition="0"/>
    </format>
    <format dxfId="417">
      <pivotArea dataOnly="0" grandRow="1" outline="0" fieldPosition="0"/>
    </format>
    <format dxfId="416">
      <pivotArea type="topRight" dataOnly="0" labelOnly="1" outline="0" offset="B1" fieldPosition="0"/>
    </format>
    <format dxfId="415">
      <pivotArea grandRow="1" outline="0" fieldPosition="0"/>
    </format>
    <format dxfId="414">
      <pivotArea dataOnly="0" labelOnly="1" grandRow="1" outline="0" fieldPosition="0"/>
    </format>
    <format dxfId="413">
      <pivotArea type="origin" dataOnly="0" labelOnly="1" outline="0" fieldPosition="0"/>
    </format>
    <format dxfId="412">
      <pivotArea field="-2" type="button" dataOnly="0" labelOnly="1" outline="0" axis="axisCol" fieldPosition="0"/>
    </format>
    <format dxfId="411">
      <pivotArea type="topRight" dataOnly="0" labelOnly="1" outline="0" fieldPosition="0"/>
    </format>
    <format dxfId="410">
      <pivotArea type="all" dataOnly="0" outline="0" fieldPosition="0"/>
    </format>
    <format dxfId="409">
      <pivotArea type="all" dataOnly="0" outline="0" fieldPosition="0"/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피벗 테이블1" cacheId="175" applyNumberFormats="0" applyBorderFormats="0" applyFontFormats="0" applyPatternFormats="0" applyAlignmentFormats="0" applyWidthHeightFormats="1" dataCaption="데이터" updatedVersion="4" minRefreshableVersion="3" showMemberPropertyTips="0" useAutoFormatting="1" itemPrintTitles="1" createdVersion="3" indent="0" compact="0" compactData="0" gridDropZones="1">
  <location ref="B6:P81" firstHeaderRow="1" firstDataRow="2" firstDataCol="4"/>
  <pivotFields count="27">
    <pivotField axis="axisRow" compact="0" outline="0" showAll="0" defaultSubtotal="0">
      <items count="3">
        <item x="0"/>
        <item x="1"/>
        <item x="2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/>
    <pivotField compact="0" outline="0" showAll="0" defaultSubtotal="0"/>
    <pivotField compact="0" outline="0" showAll="0" defaultSubtotal="0"/>
    <pivotField axis="axisRow" compact="0" outline="0" showAll="0" defaultSubtotal="0">
      <items count="59">
        <item x="6"/>
        <item x="28"/>
        <item x="15"/>
        <item x="4"/>
        <item x="29"/>
        <item x="17"/>
        <item x="5"/>
        <item x="11"/>
        <item m="1" x="51"/>
        <item x="3"/>
        <item x="18"/>
        <item x="21"/>
        <item x="8"/>
        <item m="1" x="58"/>
        <item x="7"/>
        <item m="1" x="52"/>
        <item x="36"/>
        <item x="2"/>
        <item x="20"/>
        <item m="1" x="55"/>
        <item m="1" x="53"/>
        <item m="1" x="48"/>
        <item x="0"/>
        <item m="1" x="50"/>
        <item x="33"/>
        <item m="1" x="49"/>
        <item m="1" x="44"/>
        <item m="1" x="43"/>
        <item m="1" x="54"/>
        <item m="1" x="57"/>
        <item x="41"/>
        <item m="1" x="46"/>
        <item x="24"/>
        <item m="1" x="47"/>
        <item m="1" x="56"/>
        <item x="22"/>
        <item x="30"/>
        <item x="10"/>
        <item m="1" x="42"/>
        <item x="1"/>
        <item x="9"/>
        <item x="12"/>
        <item x="13"/>
        <item x="14"/>
        <item x="19"/>
        <item x="23"/>
        <item m="1" x="45"/>
        <item x="26"/>
        <item x="27"/>
        <item x="16"/>
        <item x="31"/>
        <item x="32"/>
        <item x="34"/>
        <item x="35"/>
        <item x="37"/>
        <item x="38"/>
        <item x="39"/>
        <item x="25"/>
        <item x="40"/>
      </items>
    </pivotField>
    <pivotField compact="0" outline="0" showAll="0" defaultSubtotal="0"/>
    <pivotField compact="0" outline="0" showAll="0" defaultSubtotal="0"/>
    <pivotField compact="0" outline="0" subtotalTop="0" showAll="0" includeNewItemsInFilter="1" defaultSubtotal="0"/>
    <pivotField axis="axisRow" compact="0" outline="0" subtotalTop="0" multipleItemSelectionAllowed="1" showAll="0" includeNewItemsInFilter="1">
      <items count="4">
        <item x="1"/>
        <item x="0"/>
        <item h="1" x="2"/>
        <item t="default"/>
      </items>
    </pivotField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name=" 입고수량2" dataField="1" compact="0" outline="0" showAll="0" defaultSubtotal="0"/>
    <pivotField name=" 미입고수량2" dataField="1" compact="0" outlin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</pivotFields>
  <rowFields count="4">
    <field x="18"/>
    <field x="14"/>
    <field x="0"/>
    <field x="1"/>
  </rowFields>
  <rowItems count="74">
    <i>
      <x/>
      <x/>
      <x/>
      <x/>
    </i>
    <i r="3">
      <x v="1"/>
    </i>
    <i r="2">
      <x v="1"/>
      <x/>
    </i>
    <i r="1">
      <x v="1"/>
      <x/>
      <x/>
    </i>
    <i r="2">
      <x v="1"/>
      <x/>
    </i>
    <i r="1">
      <x v="2"/>
      <x/>
      <x/>
    </i>
    <i r="1">
      <x v="3"/>
      <x/>
      <x/>
    </i>
    <i r="3">
      <x v="1"/>
    </i>
    <i r="2">
      <x v="1"/>
      <x/>
    </i>
    <i r="1">
      <x v="4"/>
      <x/>
      <x/>
    </i>
    <i r="1">
      <x v="5"/>
      <x/>
      <x/>
    </i>
    <i r="3">
      <x v="1"/>
    </i>
    <i r="1">
      <x v="6"/>
      <x/>
      <x/>
    </i>
    <i r="2">
      <x v="1"/>
      <x/>
    </i>
    <i r="1">
      <x v="7"/>
      <x/>
      <x/>
    </i>
    <i r="2">
      <x v="1"/>
      <x/>
    </i>
    <i r="3">
      <x v="1"/>
    </i>
    <i r="1">
      <x v="9"/>
      <x/>
      <x/>
    </i>
    <i r="2">
      <x v="1"/>
      <x/>
    </i>
    <i r="1">
      <x v="10"/>
      <x/>
      <x/>
    </i>
    <i r="1">
      <x v="11"/>
      <x/>
      <x/>
    </i>
    <i r="2">
      <x v="1"/>
      <x/>
    </i>
    <i r="1">
      <x v="12"/>
      <x/>
      <x/>
    </i>
    <i r="2">
      <x v="1"/>
      <x/>
    </i>
    <i r="1">
      <x v="14"/>
      <x/>
      <x/>
    </i>
    <i r="2">
      <x v="1"/>
      <x/>
    </i>
    <i r="1">
      <x v="16"/>
      <x/>
      <x/>
    </i>
    <i r="1">
      <x v="32"/>
      <x/>
      <x/>
    </i>
    <i r="1">
      <x v="35"/>
      <x/>
      <x/>
    </i>
    <i r="1">
      <x v="36"/>
      <x/>
      <x/>
    </i>
    <i r="3">
      <x v="1"/>
    </i>
    <i r="2">
      <x v="1"/>
      <x/>
    </i>
    <i r="3">
      <x v="1"/>
    </i>
    <i r="1">
      <x v="37"/>
      <x/>
      <x/>
    </i>
    <i r="3">
      <x v="1"/>
    </i>
    <i r="2">
      <x v="1"/>
      <x/>
    </i>
    <i r="3">
      <x v="1"/>
    </i>
    <i r="1">
      <x v="40"/>
      <x/>
      <x/>
    </i>
    <i r="3">
      <x v="1"/>
    </i>
    <i r="1">
      <x v="41"/>
      <x/>
      <x/>
    </i>
    <i r="1">
      <x v="42"/>
      <x/>
      <x/>
    </i>
    <i r="3">
      <x v="1"/>
    </i>
    <i r="2">
      <x v="1"/>
      <x/>
    </i>
    <i r="1">
      <x v="43"/>
      <x/>
      <x/>
    </i>
    <i r="1">
      <x v="44"/>
      <x/>
      <x/>
    </i>
    <i r="3">
      <x v="1"/>
    </i>
    <i r="1">
      <x v="45"/>
      <x/>
      <x/>
    </i>
    <i r="1">
      <x v="47"/>
      <x/>
      <x/>
    </i>
    <i r="1">
      <x v="48"/>
      <x/>
      <x/>
    </i>
    <i r="3">
      <x v="1"/>
    </i>
    <i r="2">
      <x v="1"/>
      <x/>
    </i>
    <i r="1">
      <x v="49"/>
      <x/>
      <x/>
    </i>
    <i r="1">
      <x v="50"/>
      <x/>
      <x/>
    </i>
    <i r="1">
      <x v="51"/>
      <x/>
      <x/>
    </i>
    <i r="1">
      <x v="52"/>
      <x/>
      <x/>
    </i>
    <i r="1">
      <x v="53"/>
      <x/>
      <x/>
    </i>
    <i r="1">
      <x v="54"/>
      <x/>
      <x/>
    </i>
    <i r="1">
      <x v="55"/>
      <x/>
      <x/>
    </i>
    <i r="2">
      <x v="1"/>
      <x/>
    </i>
    <i r="1">
      <x v="56"/>
      <x v="1"/>
      <x/>
    </i>
    <i r="1">
      <x v="57"/>
      <x/>
      <x/>
    </i>
    <i r="3">
      <x v="1"/>
    </i>
    <i t="default">
      <x/>
    </i>
    <i>
      <x v="1"/>
      <x v="16"/>
      <x/>
      <x/>
    </i>
    <i r="3">
      <x v="1"/>
    </i>
    <i r="1">
      <x v="17"/>
      <x/>
      <x/>
    </i>
    <i r="1">
      <x v="18"/>
      <x/>
      <x/>
    </i>
    <i r="1">
      <x v="22"/>
      <x/>
      <x/>
    </i>
    <i r="1">
      <x v="24"/>
      <x/>
      <x/>
    </i>
    <i r="1">
      <x v="39"/>
      <x/>
      <x/>
    </i>
    <i r="1">
      <x v="58"/>
      <x/>
      <x/>
    </i>
    <i r="3">
      <x v="1"/>
    </i>
    <i t="default">
      <x v="1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name=" 품번수" fld="3" baseField="0" baseItem="0" numFmtId="3"/>
    <dataField name=" 품번수(리오더)" fld="5" baseField="0" baseItem="0" numFmtId="3"/>
    <dataField name=" 색상수" fld="7" baseField="0" baseItem="0" numFmtId="3"/>
    <dataField name=" 색상수(리오더)" fld="9" baseField="0" baseItem="0" numFmtId="3"/>
    <dataField name=" 기획수량" fld="19" baseField="0" baseItem="0" numFmtId="3"/>
    <dataField name=" LOT" fld="26" baseField="0" baseItem="0" numFmtId="3"/>
    <dataField name=" TAG가" fld="20" baseField="0" baseItem="0" numFmtId="182"/>
    <dataField name=" 원가(-V)" fld="21" baseField="0" baseItem="0" numFmtId="182"/>
    <dataField name=" 배수" fld="25" baseField="0" baseItem="0" numFmtId="4"/>
    <dataField name=" 입고수량" fld="23" baseField="0" baseItem="0" numFmtId="3"/>
    <dataField name=" 미입고수량" fld="24" baseField="0" baseItem="0" numFmtId="3"/>
  </dataFields>
  <formats count="80">
    <format dxfId="408">
      <pivotArea type="all" dataOnly="0" outline="0" fieldPosition="0"/>
    </format>
    <format dxfId="407">
      <pivotArea type="all" dataOnly="0" outline="0" fieldPosition="0"/>
    </format>
    <format dxfId="406">
      <pivotArea dataOnly="0" grandRow="1" outline="0" fieldPosition="0"/>
    </format>
    <format dxfId="405">
      <pivotArea type="topRight" dataOnly="0" labelOnly="1" outline="0" offset="B1" fieldPosition="0"/>
    </format>
    <format dxfId="404">
      <pivotArea grandRow="1" outline="0" fieldPosition="0"/>
    </format>
    <format dxfId="403">
      <pivotArea dataOnly="0" labelOnly="1" grandRow="1" outline="0" fieldPosition="0"/>
    </format>
    <format dxfId="402">
      <pivotArea type="origin" dataOnly="0" labelOnly="1" outline="0" fieldPosition="0"/>
    </format>
    <format dxfId="401">
      <pivotArea field="-2" type="button" dataOnly="0" labelOnly="1" outline="0" axis="axisCol" fieldPosition="0"/>
    </format>
    <format dxfId="400">
      <pivotArea type="topRight" dataOnly="0" labelOnly="1" outline="0" fieldPosition="0"/>
    </format>
    <format dxfId="399">
      <pivotArea type="all" dataOnly="0" outline="0" fieldPosition="0"/>
    </format>
    <format dxfId="398">
      <pivotArea type="all" dataOnly="0" outline="0" fieldPosition="0"/>
    </format>
    <format dxfId="397">
      <pivotArea dataOnly="0" labelOnly="1" outline="0" fieldPosition="0">
        <references count="1">
          <reference field="14" count="3">
            <x v="0"/>
            <x v="1"/>
            <x v="2"/>
          </reference>
        </references>
      </pivotArea>
    </format>
    <format dxfId="396">
      <pivotArea dataOnly="0" labelOnly="1" outline="0" fieldPosition="0">
        <references count="1">
          <reference field="14" count="6">
            <x v="3"/>
            <x v="4"/>
            <x v="5"/>
            <x v="6"/>
            <x v="7"/>
            <x v="13"/>
          </reference>
        </references>
      </pivotArea>
    </format>
    <format dxfId="395">
      <pivotArea dataOnly="0" outline="0" fieldPosition="0">
        <references count="1">
          <reference field="18" count="0" defaultSubtotal="1"/>
        </references>
      </pivotArea>
    </format>
    <format dxfId="394">
      <pivotArea dataOnly="0" labelOnly="1" outline="0" fieldPosition="0">
        <references count="2">
          <reference field="1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  <reference field="18" count="1" selected="0">
            <x v="0"/>
          </reference>
        </references>
      </pivotArea>
    </format>
    <format dxfId="393">
      <pivotArea outline="0" fieldPosition="0">
        <references count="1">
          <reference field="4294967294" count="1">
            <x v="0"/>
          </reference>
        </references>
      </pivotArea>
    </format>
    <format dxfId="392">
      <pivotArea outline="0" fieldPosition="0">
        <references count="1">
          <reference field="4294967294" count="1">
            <x v="1"/>
          </reference>
        </references>
      </pivotArea>
    </format>
    <format dxfId="391">
      <pivotArea outline="0" fieldPosition="0">
        <references count="1">
          <reference field="4294967294" count="1">
            <x v="2"/>
          </reference>
        </references>
      </pivotArea>
    </format>
    <format dxfId="390">
      <pivotArea outline="0" fieldPosition="0">
        <references count="1">
          <reference field="4294967294" count="1">
            <x v="3"/>
          </reference>
        </references>
      </pivotArea>
    </format>
    <format dxfId="389">
      <pivotArea outline="0" fieldPosition="0">
        <references count="1">
          <reference field="4294967294" count="1">
            <x v="4"/>
          </reference>
        </references>
      </pivotArea>
    </format>
    <format dxfId="388">
      <pivotArea outline="0" fieldPosition="0">
        <references count="1">
          <reference field="4294967294" count="1">
            <x v="6"/>
          </reference>
        </references>
      </pivotArea>
    </format>
    <format dxfId="387">
      <pivotArea outline="0" fieldPosition="0">
        <references count="1">
          <reference field="4294967294" count="1">
            <x v="7"/>
          </reference>
        </references>
      </pivotArea>
    </format>
    <format dxfId="386">
      <pivotArea outline="0" fieldPosition="0">
        <references count="1">
          <reference field="4294967294" count="1">
            <x v="8"/>
          </reference>
        </references>
      </pivotArea>
    </format>
    <format dxfId="385">
      <pivotArea outline="0" fieldPosition="0">
        <references count="1">
          <reference field="4294967294" count="1">
            <x v="9"/>
          </reference>
        </references>
      </pivotArea>
    </format>
    <format dxfId="384">
      <pivotArea outline="0" fieldPosition="0">
        <references count="1">
          <reference field="4294967294" count="1">
            <x v="10"/>
          </reference>
        </references>
      </pivotArea>
    </format>
    <format dxfId="383">
      <pivotArea outline="0" collapsedLevelsAreSubtotals="1" fieldPosition="0"/>
    </format>
    <format dxfId="382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6"/>
            <x v="7"/>
            <x v="8"/>
            <x v="9"/>
            <x v="10"/>
          </reference>
        </references>
      </pivotArea>
    </format>
    <format dxfId="381">
      <pivotArea type="origin" dataOnly="0" labelOnly="1" outline="0" fieldPosition="0"/>
    </format>
    <format dxfId="380">
      <pivotArea field="18" type="button" dataOnly="0" labelOnly="1" outline="0" axis="axisRow" fieldPosition="0"/>
    </format>
    <format dxfId="379">
      <pivotArea field="14" type="button" dataOnly="0" labelOnly="1" outline="0" axis="axisRow" fieldPosition="1"/>
    </format>
    <format dxfId="378">
      <pivotArea field="1" type="button" dataOnly="0" labelOnly="1" outline="0" axis="axisRow" fieldPosition="3"/>
    </format>
    <format dxfId="377">
      <pivotArea dataOnly="0" labelOnly="1" outline="0" fieldPosition="0">
        <references count="1">
          <reference field="18" count="0"/>
        </references>
      </pivotArea>
    </format>
    <format dxfId="376">
      <pivotArea dataOnly="0" labelOnly="1" outline="0" fieldPosition="0">
        <references count="1">
          <reference field="18" count="0" defaultSubtotal="1"/>
        </references>
      </pivotArea>
    </format>
    <format dxfId="375">
      <pivotArea dataOnly="0" labelOnly="1" grandRow="1" outline="0" fieldPosition="0"/>
    </format>
    <format dxfId="374">
      <pivotArea dataOnly="0" labelOnly="1" outline="0" fieldPosition="0">
        <references count="2">
          <reference field="1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  <reference field="18" count="1" selected="0">
            <x v="0"/>
          </reference>
        </references>
      </pivotArea>
    </format>
    <format dxfId="373">
      <pivotArea dataOnly="0" labelOnly="1" outline="0" fieldPosition="0">
        <references count="2">
          <reference field="14" count="15"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  <reference field="18" count="1" selected="0">
            <x v="1"/>
          </reference>
        </references>
      </pivotArea>
    </format>
    <format dxfId="372">
      <pivotArea dataOnly="0" labelOnly="1" outline="0" fieldPosition="0">
        <references count="3">
          <reference field="1" count="2">
            <x v="0"/>
            <x v="1"/>
          </reference>
          <reference field="14" count="1" selected="0">
            <x v="0"/>
          </reference>
          <reference field="18" count="1" selected="0">
            <x v="0"/>
          </reference>
        </references>
      </pivotArea>
    </format>
    <format dxfId="371">
      <pivotArea dataOnly="0" labelOnly="1" outline="0" fieldPosition="0">
        <references count="3">
          <reference field="1" count="2">
            <x v="0"/>
            <x v="1"/>
          </reference>
          <reference field="14" count="1" selected="0">
            <x v="1"/>
          </reference>
          <reference field="18" count="1" selected="0">
            <x v="0"/>
          </reference>
        </references>
      </pivotArea>
    </format>
    <format dxfId="370">
      <pivotArea dataOnly="0" labelOnly="1" outline="0" fieldPosition="0">
        <references count="3">
          <reference field="1" count="2">
            <x v="0"/>
            <x v="1"/>
          </reference>
          <reference field="14" count="1" selected="0">
            <x v="2"/>
          </reference>
          <reference field="18" count="1" selected="0">
            <x v="0"/>
          </reference>
        </references>
      </pivotArea>
    </format>
    <format dxfId="369">
      <pivotArea dataOnly="0" labelOnly="1" outline="0" fieldPosition="0">
        <references count="3">
          <reference field="1" count="2">
            <x v="0"/>
            <x v="1"/>
          </reference>
          <reference field="14" count="1" selected="0">
            <x v="3"/>
          </reference>
          <reference field="18" count="1" selected="0">
            <x v="0"/>
          </reference>
        </references>
      </pivotArea>
    </format>
    <format dxfId="368">
      <pivotArea dataOnly="0" labelOnly="1" outline="0" fieldPosition="0">
        <references count="3">
          <reference field="1" count="1">
            <x v="0"/>
          </reference>
          <reference field="14" count="1" selected="0">
            <x v="4"/>
          </reference>
          <reference field="18" count="1" selected="0">
            <x v="0"/>
          </reference>
        </references>
      </pivotArea>
    </format>
    <format dxfId="367">
      <pivotArea dataOnly="0" labelOnly="1" outline="0" fieldPosition="0">
        <references count="3">
          <reference field="1" count="2">
            <x v="0"/>
            <x v="1"/>
          </reference>
          <reference field="14" count="1" selected="0">
            <x v="5"/>
          </reference>
          <reference field="18" count="1" selected="0">
            <x v="0"/>
          </reference>
        </references>
      </pivotArea>
    </format>
    <format dxfId="366">
      <pivotArea dataOnly="0" labelOnly="1" outline="0" fieldPosition="0">
        <references count="3">
          <reference field="1" count="2">
            <x v="0"/>
            <x v="1"/>
          </reference>
          <reference field="14" count="1" selected="0">
            <x v="6"/>
          </reference>
          <reference field="18" count="1" selected="0">
            <x v="0"/>
          </reference>
        </references>
      </pivotArea>
    </format>
    <format dxfId="365">
      <pivotArea dataOnly="0" labelOnly="1" outline="0" fieldPosition="0">
        <references count="3">
          <reference field="1" count="2">
            <x v="0"/>
            <x v="1"/>
          </reference>
          <reference field="14" count="1" selected="0">
            <x v="7"/>
          </reference>
          <reference field="18" count="1" selected="0">
            <x v="0"/>
          </reference>
        </references>
      </pivotArea>
    </format>
    <format dxfId="364">
      <pivotArea dataOnly="0" labelOnly="1" outline="0" fieldPosition="0">
        <references count="3">
          <reference field="1" count="2">
            <x v="0"/>
            <x v="1"/>
          </reference>
          <reference field="14" count="1" selected="0">
            <x v="8"/>
          </reference>
          <reference field="18" count="1" selected="0">
            <x v="0"/>
          </reference>
        </references>
      </pivotArea>
    </format>
    <format dxfId="363">
      <pivotArea dataOnly="0" labelOnly="1" outline="0" fieldPosition="0">
        <references count="3">
          <reference field="1" count="2">
            <x v="0"/>
            <x v="1"/>
          </reference>
          <reference field="14" count="1" selected="0">
            <x v="9"/>
          </reference>
          <reference field="18" count="1" selected="0">
            <x v="0"/>
          </reference>
        </references>
      </pivotArea>
    </format>
    <format dxfId="362">
      <pivotArea dataOnly="0" labelOnly="1" outline="0" fieldPosition="0">
        <references count="3">
          <reference field="1" count="1">
            <x v="0"/>
          </reference>
          <reference field="14" count="1" selected="0">
            <x v="10"/>
          </reference>
          <reference field="18" count="1" selected="0">
            <x v="0"/>
          </reference>
        </references>
      </pivotArea>
    </format>
    <format dxfId="361">
      <pivotArea dataOnly="0" labelOnly="1" outline="0" fieldPosition="0">
        <references count="3">
          <reference field="1" count="2">
            <x v="0"/>
            <x v="1"/>
          </reference>
          <reference field="14" count="1" selected="0">
            <x v="11"/>
          </reference>
          <reference field="18" count="1" selected="0">
            <x v="0"/>
          </reference>
        </references>
      </pivotArea>
    </format>
    <format dxfId="360">
      <pivotArea dataOnly="0" labelOnly="1" outline="0" fieldPosition="0">
        <references count="3">
          <reference field="1" count="2">
            <x v="0"/>
            <x v="1"/>
          </reference>
          <reference field="14" count="1" selected="0">
            <x v="12"/>
          </reference>
          <reference field="18" count="1" selected="0">
            <x v="0"/>
          </reference>
        </references>
      </pivotArea>
    </format>
    <format dxfId="359">
      <pivotArea dataOnly="0" labelOnly="1" outline="0" fieldPosition="0">
        <references count="3">
          <reference field="1" count="2">
            <x v="0"/>
            <x v="1"/>
          </reference>
          <reference field="14" count="1" selected="0">
            <x v="13"/>
          </reference>
          <reference field="18" count="1" selected="0">
            <x v="0"/>
          </reference>
        </references>
      </pivotArea>
    </format>
    <format dxfId="358">
      <pivotArea dataOnly="0" labelOnly="1" outline="0" fieldPosition="0">
        <references count="3">
          <reference field="1" count="1">
            <x v="0"/>
          </reference>
          <reference field="14" count="1" selected="0">
            <x v="14"/>
          </reference>
          <reference field="18" count="1" selected="0">
            <x v="0"/>
          </reference>
        </references>
      </pivotArea>
    </format>
    <format dxfId="357">
      <pivotArea dataOnly="0" labelOnly="1" outline="0" fieldPosition="0">
        <references count="3">
          <reference field="1" count="1">
            <x v="0"/>
          </reference>
          <reference field="14" count="1" selected="0">
            <x v="15"/>
          </reference>
          <reference field="18" count="1" selected="0">
            <x v="1"/>
          </reference>
        </references>
      </pivotArea>
    </format>
    <format dxfId="356">
      <pivotArea dataOnly="0" labelOnly="1" outline="0" fieldPosition="0">
        <references count="3">
          <reference field="1" count="2">
            <x v="0"/>
            <x v="1"/>
          </reference>
          <reference field="14" count="1" selected="0">
            <x v="16"/>
          </reference>
          <reference field="18" count="1" selected="0">
            <x v="1"/>
          </reference>
        </references>
      </pivotArea>
    </format>
    <format dxfId="355">
      <pivotArea dataOnly="0" labelOnly="1" outline="0" fieldPosition="0">
        <references count="3">
          <reference field="1" count="1">
            <x v="0"/>
          </reference>
          <reference field="14" count="1" selected="0">
            <x v="17"/>
          </reference>
          <reference field="18" count="1" selected="0">
            <x v="1"/>
          </reference>
        </references>
      </pivotArea>
    </format>
    <format dxfId="354">
      <pivotArea dataOnly="0" labelOnly="1" outline="0" fieldPosition="0">
        <references count="3">
          <reference field="1" count="1">
            <x v="0"/>
          </reference>
          <reference field="14" count="1" selected="0">
            <x v="18"/>
          </reference>
          <reference field="18" count="1" selected="0">
            <x v="1"/>
          </reference>
        </references>
      </pivotArea>
    </format>
    <format dxfId="353">
      <pivotArea dataOnly="0" labelOnly="1" outline="0" fieldPosition="0">
        <references count="3">
          <reference field="1" count="1">
            <x v="0"/>
          </reference>
          <reference field="14" count="1" selected="0">
            <x v="19"/>
          </reference>
          <reference field="18" count="1" selected="0">
            <x v="1"/>
          </reference>
        </references>
      </pivotArea>
    </format>
    <format dxfId="352">
      <pivotArea dataOnly="0" labelOnly="1" outline="0" fieldPosition="0">
        <references count="3">
          <reference field="1" count="1">
            <x v="0"/>
          </reference>
          <reference field="14" count="1" selected="0">
            <x v="20"/>
          </reference>
          <reference field="18" count="1" selected="0">
            <x v="1"/>
          </reference>
        </references>
      </pivotArea>
    </format>
    <format dxfId="351">
      <pivotArea dataOnly="0" labelOnly="1" outline="0" fieldPosition="0">
        <references count="3">
          <reference field="1" count="1">
            <x v="0"/>
          </reference>
          <reference field="14" count="1" selected="0">
            <x v="21"/>
          </reference>
          <reference field="18" count="1" selected="0">
            <x v="1"/>
          </reference>
        </references>
      </pivotArea>
    </format>
    <format dxfId="350">
      <pivotArea dataOnly="0" labelOnly="1" outline="0" fieldPosition="0">
        <references count="3">
          <reference field="1" count="1">
            <x v="0"/>
          </reference>
          <reference field="14" count="1" selected="0">
            <x v="22"/>
          </reference>
          <reference field="18" count="1" selected="0">
            <x v="1"/>
          </reference>
        </references>
      </pivotArea>
    </format>
    <format dxfId="349">
      <pivotArea dataOnly="0" labelOnly="1" outline="0" fieldPosition="0">
        <references count="3">
          <reference field="1" count="1">
            <x v="0"/>
          </reference>
          <reference field="14" count="1" selected="0">
            <x v="23"/>
          </reference>
          <reference field="18" count="1" selected="0">
            <x v="1"/>
          </reference>
        </references>
      </pivotArea>
    </format>
    <format dxfId="348">
      <pivotArea dataOnly="0" labelOnly="1" outline="0" fieldPosition="0">
        <references count="3">
          <reference field="1" count="1">
            <x v="0"/>
          </reference>
          <reference field="14" count="1" selected="0">
            <x v="24"/>
          </reference>
          <reference field="18" count="1" selected="0">
            <x v="1"/>
          </reference>
        </references>
      </pivotArea>
    </format>
    <format dxfId="347">
      <pivotArea dataOnly="0" labelOnly="1" outline="0" fieldPosition="0">
        <references count="3">
          <reference field="1" count="1">
            <x v="0"/>
          </reference>
          <reference field="14" count="1" selected="0">
            <x v="25"/>
          </reference>
          <reference field="18" count="1" selected="0">
            <x v="1"/>
          </reference>
        </references>
      </pivotArea>
    </format>
    <format dxfId="346">
      <pivotArea dataOnly="0" labelOnly="1" outline="0" fieldPosition="0">
        <references count="3">
          <reference field="1" count="1">
            <x v="0"/>
          </reference>
          <reference field="14" count="1" selected="0">
            <x v="26"/>
          </reference>
          <reference field="18" count="1" selected="0">
            <x v="1"/>
          </reference>
        </references>
      </pivotArea>
    </format>
    <format dxfId="345">
      <pivotArea dataOnly="0" labelOnly="1" outline="0" fieldPosition="0">
        <references count="3">
          <reference field="1" count="1">
            <x v="0"/>
          </reference>
          <reference field="14" count="1" selected="0">
            <x v="27"/>
          </reference>
          <reference field="18" count="1" selected="0">
            <x v="1"/>
          </reference>
        </references>
      </pivotArea>
    </format>
    <format dxfId="344">
      <pivotArea dataOnly="0" labelOnly="1" outline="0" fieldPosition="0">
        <references count="3">
          <reference field="1" count="1">
            <x v="0"/>
          </reference>
          <reference field="14" count="1" selected="0">
            <x v="28"/>
          </reference>
          <reference field="18" count="1" selected="0">
            <x v="1"/>
          </reference>
        </references>
      </pivotArea>
    </format>
    <format dxfId="343">
      <pivotArea dataOnly="0" labelOnly="1" outline="0" fieldPosition="0">
        <references count="3">
          <reference field="1" count="1">
            <x v="0"/>
          </reference>
          <reference field="14" count="1" selected="0">
            <x v="29"/>
          </reference>
          <reference field="18" count="1" selected="0">
            <x v="1"/>
          </reference>
        </references>
      </pivotArea>
    </format>
    <format dxfId="342">
      <pivotArea outline="0" collapsedLevelsAreSubtotals="1" fieldPosition="0">
        <references count="1">
          <reference field="4294967294" count="4" selected="0">
            <x v="0"/>
            <x v="1"/>
            <x v="2"/>
            <x v="3"/>
          </reference>
        </references>
      </pivotArea>
    </format>
    <format dxfId="341">
      <pivotArea field="-2" type="button" dataOnly="0" labelOnly="1" outline="0" axis="axisCol" fieldPosition="0"/>
    </format>
    <format dxfId="340">
      <pivotArea type="topRight" dataOnly="0" labelOnly="1" outline="0" fieldPosition="0"/>
    </format>
    <format dxfId="33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38">
      <pivotArea outline="0" collapsedLevelsAreSubtotals="1" fieldPosition="0">
        <references count="1">
          <reference field="4294967294" count="4" selected="0">
            <x v="4"/>
            <x v="6"/>
            <x v="7"/>
            <x v="8"/>
          </reference>
        </references>
      </pivotArea>
    </format>
    <format dxfId="337">
      <pivotArea type="topRight" dataOnly="0" labelOnly="1" outline="0" offset="D1:G1" fieldPosition="0"/>
    </format>
    <format dxfId="336">
      <pivotArea dataOnly="0" labelOnly="1" outline="0" fieldPosition="0">
        <references count="1">
          <reference field="4294967294" count="4">
            <x v="4"/>
            <x v="6"/>
            <x v="7"/>
            <x v="8"/>
          </reference>
        </references>
      </pivotArea>
    </format>
    <format dxfId="335">
      <pivotArea outline="0" collapsedLevelsAreSubtotals="1" fieldPosition="0">
        <references count="1">
          <reference field="4294967294" count="2" selected="0">
            <x v="9"/>
            <x v="10"/>
          </reference>
        </references>
      </pivotArea>
    </format>
    <format dxfId="334">
      <pivotArea type="topRight" dataOnly="0" labelOnly="1" outline="0" offset="H1:I1" fieldPosition="0"/>
    </format>
    <format dxfId="333">
      <pivotArea dataOnly="0" labelOnly="1" outline="0" fieldPosition="0">
        <references count="1">
          <reference field="4294967294" count="2">
            <x v="9"/>
            <x v="10"/>
          </reference>
        </references>
      </pivotArea>
    </format>
    <format dxfId="332">
      <pivotArea dataOnly="0" outline="0" fieldPosition="0">
        <references count="1">
          <reference field="1" count="1">
            <x v="1"/>
          </reference>
        </references>
      </pivotArea>
    </format>
    <format dxfId="331">
      <pivotArea dataOnly="0" outline="0" fieldPosition="0">
        <references count="1">
          <reference field="1" count="1">
            <x v="1"/>
          </reference>
        </references>
      </pivotArea>
    </format>
    <format dxfId="330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29">
      <pivotArea type="all" dataOnly="0" outline="0" fieldPosition="0"/>
    </format>
  </formats>
  <pivotTableStyleInfo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피벗 테이블1" cacheId="175" applyNumberFormats="0" applyBorderFormats="0" applyFontFormats="0" applyPatternFormats="0" applyAlignmentFormats="0" applyWidthHeightFormats="1" dataCaption="데이터" updatedVersion="4" minRefreshableVersion="3" showMemberPropertyTips="0" useAutoFormatting="1" itemPrintTitles="1" createdVersion="3" indent="0" compact="0" compactData="0" gridDropZones="1">
  <location ref="B5:N84" firstHeaderRow="1" firstDataRow="2" firstDataCol="4"/>
  <pivotFields count="27">
    <pivotField compact="0" outline="0" showAll="0" defaultSubtotal="0"/>
    <pivotField compact="0" outline="0" showAll="0">
      <items count="4">
        <item x="0"/>
        <item x="1"/>
        <item x="2"/>
        <item t="default"/>
      </items>
    </pivotField>
    <pivotField compact="0" outline="0" showAll="0" defaultSubtotal="0"/>
    <pivotField dataField="1" compact="0" outline="0" showAll="0" sumSubtotal="1" countASubtotal="1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axis="axisRow" compact="0" outline="0" showAll="0" sortType="ascending" sumSubtotal="1">
      <items count="5">
        <item x="0"/>
        <item x="2"/>
        <item x="1"/>
        <item x="3"/>
        <item t="sum"/>
      </items>
    </pivotField>
    <pivotField axis="axisRow" compact="0" outline="0" showAll="0">
      <items count="6">
        <item x="2"/>
        <item x="3"/>
        <item x="0"/>
        <item x="1"/>
        <item x="4"/>
        <item t="default"/>
      </items>
    </pivotField>
    <pivotField axis="axisRow" compact="0" outline="0" showAll="0" defaultSubtotal="0">
      <items count="31">
        <item x="15"/>
        <item m="1" x="29"/>
        <item x="19"/>
        <item x="16"/>
        <item x="13"/>
        <item x="6"/>
        <item x="2"/>
        <item x="18"/>
        <item x="3"/>
        <item x="7"/>
        <item x="9"/>
        <item x="1"/>
        <item x="22"/>
        <item x="0"/>
        <item x="11"/>
        <item x="21"/>
        <item x="17"/>
        <item x="4"/>
        <item x="12"/>
        <item x="10"/>
        <item x="5"/>
        <item x="8"/>
        <item x="28"/>
        <item x="14"/>
        <item x="23"/>
        <item m="1" x="30"/>
        <item x="24"/>
        <item x="25"/>
        <item x="26"/>
        <item x="20"/>
        <item x="27"/>
      </items>
    </pivotField>
    <pivotField compact="0" outline="0" showAll="0" defaultSubtotal="0"/>
    <pivotField compact="0" outline="0" showAll="0" sortType="ascending" defaultSubtotal="0">
      <items count="59">
        <item x="17"/>
        <item m="1" x="42"/>
        <item m="1" x="58"/>
        <item m="1" x="45"/>
        <item m="1" x="52"/>
        <item x="25"/>
        <item x="21"/>
        <item x="18"/>
        <item m="1" x="46"/>
        <item x="13"/>
        <item x="34"/>
        <item x="6"/>
        <item x="24"/>
        <item x="28"/>
        <item x="15"/>
        <item x="36"/>
        <item x="2"/>
        <item x="20"/>
        <item x="3"/>
        <item m="1" x="51"/>
        <item m="1" x="47"/>
        <item x="7"/>
        <item x="22"/>
        <item x="9"/>
        <item x="37"/>
        <item x="1"/>
        <item x="29"/>
        <item m="1" x="55"/>
        <item m="1" x="53"/>
        <item m="1" x="48"/>
        <item x="0"/>
        <item m="1" x="50"/>
        <item x="33"/>
        <item x="26"/>
        <item m="1" x="49"/>
        <item m="1" x="44"/>
        <item m="1" x="43"/>
        <item x="11"/>
        <item x="30"/>
        <item m="1" x="56"/>
        <item x="35"/>
        <item x="32"/>
        <item x="16"/>
        <item x="27"/>
        <item x="19"/>
        <item x="40"/>
        <item x="4"/>
        <item x="12"/>
        <item m="1" x="54"/>
        <item m="1" x="57"/>
        <item x="10"/>
        <item x="31"/>
        <item x="23"/>
        <item x="5"/>
        <item x="14"/>
        <item x="8"/>
        <item x="39"/>
        <item x="38"/>
        <item x="41"/>
      </items>
    </pivotField>
    <pivotField compact="0" outline="0" showAll="0" defaultSubtotal="0"/>
    <pivotField compact="0" outline="0" showAll="0" defaultSubtotal="0"/>
    <pivotField compact="0" outline="0" subtotalTop="0" showAll="0" includeNewItemsInFilter="1" defaultSubtotal="0"/>
    <pivotField axis="axisRow" compact="0" outline="0" subtotalTop="0" multipleItemSelectionAllowed="1" showAll="0" includeNewItemsInFilter="1">
      <items count="4">
        <item x="1"/>
        <item x="0"/>
        <item h="1" x="2"/>
        <item t="default"/>
      </items>
    </pivotField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name=" 입고수량2" dataField="1" compact="0" outline="0" showAll="0" defaultSubtotal="0"/>
    <pivotField name=" 미입고수량2" dataField="1" compact="0" outlin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4">
    <field x="18"/>
    <field x="10"/>
    <field x="11"/>
    <field x="12"/>
  </rowFields>
  <rowItems count="78">
    <i>
      <x/>
      <x/>
      <x/>
      <x/>
    </i>
    <i t="default" r="2">
      <x/>
    </i>
    <i r="2">
      <x v="1"/>
      <x v="4"/>
    </i>
    <i r="3">
      <x v="5"/>
    </i>
    <i r="3">
      <x v="10"/>
    </i>
    <i r="3">
      <x v="14"/>
    </i>
    <i r="3">
      <x v="19"/>
    </i>
    <i r="3">
      <x v="23"/>
    </i>
    <i t="default" r="2">
      <x v="1"/>
    </i>
    <i r="2">
      <x v="2"/>
      <x v="2"/>
    </i>
    <i r="3">
      <x v="4"/>
    </i>
    <i r="3">
      <x v="5"/>
    </i>
    <i r="3">
      <x v="8"/>
    </i>
    <i r="3">
      <x v="9"/>
    </i>
    <i r="3">
      <x v="10"/>
    </i>
    <i r="3">
      <x v="12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3">
      <x v="21"/>
    </i>
    <i r="3">
      <x v="26"/>
    </i>
    <i r="3">
      <x v="27"/>
    </i>
    <i r="3">
      <x v="28"/>
    </i>
    <i t="default" r="2">
      <x v="2"/>
    </i>
    <i t="sum" r="1">
      <x/>
    </i>
    <i r="1">
      <x v="1"/>
      <x v="3"/>
      <x v="5"/>
    </i>
    <i r="3">
      <x v="20"/>
    </i>
    <i r="3">
      <x v="23"/>
    </i>
    <i t="default" r="2">
      <x v="3"/>
    </i>
    <i t="sum" r="1">
      <x v="1"/>
    </i>
    <i r="1">
      <x v="2"/>
      <x/>
      <x v="5"/>
    </i>
    <i r="3">
      <x v="9"/>
    </i>
    <i t="default" r="2">
      <x/>
    </i>
    <i r="2">
      <x v="2"/>
      <x/>
    </i>
    <i r="3">
      <x v="2"/>
    </i>
    <i r="3">
      <x v="3"/>
    </i>
    <i r="3">
      <x v="4"/>
    </i>
    <i r="3">
      <x v="5"/>
    </i>
    <i r="3">
      <x v="8"/>
    </i>
    <i r="3">
      <x v="9"/>
    </i>
    <i r="3">
      <x v="10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3">
      <x v="21"/>
    </i>
    <i r="3">
      <x v="23"/>
    </i>
    <i r="3">
      <x v="29"/>
    </i>
    <i t="default" r="2">
      <x v="2"/>
    </i>
    <i r="2">
      <x v="3"/>
      <x v="5"/>
    </i>
    <i r="3">
      <x v="19"/>
    </i>
    <i r="3">
      <x v="23"/>
    </i>
    <i t="default" r="2">
      <x v="3"/>
    </i>
    <i t="sum" r="1">
      <x v="2"/>
    </i>
    <i t="default">
      <x/>
    </i>
    <i>
      <x v="1"/>
      <x/>
      <x v="2"/>
      <x v="6"/>
    </i>
    <i r="3">
      <x v="7"/>
    </i>
    <i r="3">
      <x v="11"/>
    </i>
    <i r="3">
      <x v="13"/>
    </i>
    <i r="3">
      <x v="24"/>
    </i>
    <i r="3">
      <x v="26"/>
    </i>
    <i t="default" r="2">
      <x v="2"/>
    </i>
    <i t="sum" r="1">
      <x/>
    </i>
    <i r="1">
      <x v="2"/>
      <x v="2"/>
      <x v="7"/>
    </i>
    <i r="3">
      <x v="24"/>
    </i>
    <i r="3">
      <x v="26"/>
    </i>
    <i r="3">
      <x v="30"/>
    </i>
    <i t="default" r="2">
      <x v="2"/>
    </i>
    <i t="sum" r="1">
      <x v="2"/>
    </i>
    <i t="default">
      <x v="1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최초품번" fld="3" baseField="12" baseItem="5"/>
    <dataField name="최초색상" fld="7" baseField="12" baseItem="5"/>
    <dataField name="리오더품번" fld="5" baseField="12" baseItem="5"/>
    <dataField name="리오더색상" fld="9" baseField="12" baseItem="5"/>
    <dataField name=" 기획수량" fld="19" baseField="0" baseItem="0" numFmtId="185"/>
    <dataField name="총TAG가" fld="20" baseField="12" baseItem="5" numFmtId="184"/>
    <dataField name="총원가(-V)" fld="21" baseField="12" baseItem="5" numFmtId="184"/>
    <dataField name="입고수량" fld="23" baseField="12" baseItem="5"/>
    <dataField name="미입고수량" fld="24" baseField="12" baseItem="5"/>
  </dataFields>
  <formats count="29">
    <format dxfId="52">
      <pivotArea type="all" dataOnly="0" outline="0" fieldPosition="0"/>
    </format>
    <format dxfId="51">
      <pivotArea type="all" dataOnly="0" outline="0" fieldPosition="0"/>
    </format>
    <format dxfId="50">
      <pivotArea dataOnly="0" grandRow="1" outline="0" fieldPosition="0"/>
    </format>
    <format dxfId="49">
      <pivotArea type="topRight" dataOnly="0" labelOnly="1" outline="0" offset="B1" fieldPosition="0"/>
    </format>
    <format dxfId="48">
      <pivotArea grandRow="1" outline="0" fieldPosition="0"/>
    </format>
    <format dxfId="47">
      <pivotArea dataOnly="0" labelOnly="1" grandRow="1" outline="0" fieldPosition="0"/>
    </format>
    <format dxfId="46">
      <pivotArea type="origin" dataOnly="0" labelOnly="1" outline="0" fieldPosition="0"/>
    </format>
    <format dxfId="45">
      <pivotArea field="-2" type="button" dataOnly="0" labelOnly="1" outline="0" axis="axisCol" fieldPosition="0"/>
    </format>
    <format dxfId="44">
      <pivotArea type="topRight" dataOnly="0" labelOnly="1" outline="0" fieldPosition="0"/>
    </format>
    <format dxfId="43">
      <pivotArea type="all" dataOnly="0" outline="0" fieldPosition="0"/>
    </format>
    <format dxfId="42">
      <pivotArea type="all" dataOnly="0" outline="0" fieldPosition="0"/>
    </format>
    <format dxfId="41">
      <pivotArea dataOnly="0" outline="0" fieldPosition="0">
        <references count="1">
          <reference field="18" count="0" defaultSubtotal="1"/>
        </references>
      </pivotArea>
    </format>
    <format dxfId="40">
      <pivotArea outline="0" collapsedLevelsAreSubtotals="1" fieldPosition="0"/>
    </format>
    <format dxfId="39">
      <pivotArea type="origin" dataOnly="0" labelOnly="1" outline="0" fieldPosition="0"/>
    </format>
    <format dxfId="38">
      <pivotArea field="18" type="button" dataOnly="0" labelOnly="1" outline="0" axis="axisRow" fieldPosition="0"/>
    </format>
    <format dxfId="37">
      <pivotArea field="14" type="button" dataOnly="0" labelOnly="1" outline="0"/>
    </format>
    <format dxfId="36">
      <pivotArea field="1" type="button" dataOnly="0" labelOnly="1" outline="0"/>
    </format>
    <format dxfId="35">
      <pivotArea dataOnly="0" labelOnly="1" outline="0" fieldPosition="0">
        <references count="1">
          <reference field="18" count="0"/>
        </references>
      </pivotArea>
    </format>
    <format dxfId="34">
      <pivotArea dataOnly="0" labelOnly="1" outline="0" fieldPosition="0">
        <references count="1">
          <reference field="18" count="0" defaultSubtotal="1"/>
        </references>
      </pivotArea>
    </format>
    <format dxfId="33">
      <pivotArea dataOnly="0" labelOnly="1" grandRow="1" outline="0" fieldPosition="0"/>
    </format>
    <format dxfId="32">
      <pivotArea field="-2" type="button" dataOnly="0" labelOnly="1" outline="0" axis="axisCol" fieldPosition="0"/>
    </format>
    <format dxfId="31">
      <pivotArea type="topRight" dataOnly="0" labelOnly="1" outline="0" fieldPosition="0"/>
    </format>
    <format dxfId="30">
      <pivotArea type="topRight" dataOnly="0" labelOnly="1" outline="0" offset="D1:G1" fieldPosition="0"/>
    </format>
    <format dxfId="29">
      <pivotArea type="topRight" dataOnly="0" labelOnly="1" outline="0" offset="H1:I1" fieldPosition="0"/>
    </format>
    <format dxfId="28">
      <pivotArea outline="0" collapsedLevelsAreSubtotals="1" fieldPosition="0">
        <references count="1">
          <reference field="4294967294" count="2" selected="0">
            <x v="5"/>
            <x v="6"/>
          </reference>
        </references>
      </pivotArea>
    </format>
    <format dxfId="27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26">
      <pivotArea type="all" dataOnly="0" outline="0" fieldPosition="0"/>
    </format>
    <format dxfId="25">
      <pivotArea dataOnly="0" outline="0" fieldPosition="0">
        <references count="1">
          <reference field="10" count="0" sumSubtotal="1"/>
        </references>
      </pivotArea>
    </format>
    <format dxfId="24">
      <pivotArea dataOnly="0" outline="0" fieldPosition="0">
        <references count="1">
          <reference field="11" count="0" defaultSubtotal="1"/>
        </references>
      </pivotArea>
    </format>
  </formats>
  <pivotTableStyleInfo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피벗 테이블1" cacheId="175" applyNumberFormats="0" applyBorderFormats="0" applyFontFormats="0" applyPatternFormats="0" applyAlignmentFormats="0" applyWidthHeightFormats="1" dataCaption="데이터" updatedVersion="4" minRefreshableVersion="3" showMemberPropertyTips="0" useAutoFormatting="1" itemPrintTitles="1" createdVersion="3" indent="0" compact="0" compactData="0" gridDropZones="1">
  <location ref="B5:N83" firstHeaderRow="1" firstDataRow="2" firstDataCol="4"/>
  <pivotFields count="27">
    <pivotField compact="0" outline="0" showAll="0" defaultSubtotal="0"/>
    <pivotField compact="0" outline="0" showAll="0">
      <items count="4">
        <item x="0"/>
        <item x="1"/>
        <item x="2"/>
        <item t="default"/>
      </items>
    </pivotField>
    <pivotField compact="0" outline="0" showAll="0" defaultSubtotal="0"/>
    <pivotField dataField="1" compact="0" outline="0" showAll="0" sumSubtotal="1" countASubtotal="1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axis="axisRow" compact="0" outline="0" showAll="0" sortType="ascending" sumSubtotal="1">
      <items count="5">
        <item x="0"/>
        <item x="2"/>
        <item x="1"/>
        <item x="3"/>
        <item t="sum"/>
      </items>
    </pivotField>
    <pivotField axis="axisRow" compact="0" outline="0" showAll="0">
      <items count="6">
        <item x="2"/>
        <item x="3"/>
        <item x="0"/>
        <item x="1"/>
        <item x="4"/>
        <item t="default"/>
      </items>
    </pivotField>
    <pivotField compact="0" outline="0" showAll="0" defaultSubtotal="0"/>
    <pivotField axis="axisRow" compact="0" outline="0" showAll="0" defaultSubtotal="0">
      <items count="28">
        <item x="24"/>
        <item x="6"/>
        <item x="21"/>
        <item x="25"/>
        <item x="20"/>
        <item x="19"/>
        <item x="8"/>
        <item x="23"/>
        <item x="10"/>
        <item x="5"/>
        <item x="4"/>
        <item x="1"/>
        <item x="12"/>
        <item x="17"/>
        <item x="2"/>
        <item x="14"/>
        <item x="3"/>
        <item x="22"/>
        <item x="15"/>
        <item x="0"/>
        <item x="18"/>
        <item x="13"/>
        <item x="7"/>
        <item x="11"/>
        <item x="9"/>
        <item x="16"/>
        <item x="27"/>
        <item x="26"/>
      </items>
    </pivotField>
    <pivotField compact="0" outline="0" showAll="0" sortType="ascending" defaultSubtotal="0">
      <items count="59">
        <item x="17"/>
        <item m="1" x="42"/>
        <item m="1" x="58"/>
        <item m="1" x="45"/>
        <item m="1" x="52"/>
        <item x="25"/>
        <item x="21"/>
        <item x="18"/>
        <item m="1" x="46"/>
        <item x="13"/>
        <item x="34"/>
        <item x="6"/>
        <item x="24"/>
        <item x="28"/>
        <item x="15"/>
        <item x="36"/>
        <item x="2"/>
        <item x="20"/>
        <item x="3"/>
        <item m="1" x="51"/>
        <item m="1" x="47"/>
        <item x="7"/>
        <item x="22"/>
        <item x="9"/>
        <item x="37"/>
        <item x="1"/>
        <item x="29"/>
        <item m="1" x="55"/>
        <item m="1" x="53"/>
        <item m="1" x="48"/>
        <item x="0"/>
        <item m="1" x="50"/>
        <item x="33"/>
        <item x="26"/>
        <item m="1" x="49"/>
        <item m="1" x="44"/>
        <item m="1" x="43"/>
        <item x="11"/>
        <item x="30"/>
        <item m="1" x="56"/>
        <item x="35"/>
        <item x="32"/>
        <item x="16"/>
        <item x="27"/>
        <item x="19"/>
        <item x="40"/>
        <item x="4"/>
        <item x="12"/>
        <item m="1" x="54"/>
        <item m="1" x="57"/>
        <item x="10"/>
        <item x="31"/>
        <item x="23"/>
        <item x="5"/>
        <item x="14"/>
        <item x="8"/>
        <item x="39"/>
        <item x="38"/>
        <item x="41"/>
      </items>
    </pivotField>
    <pivotField axis="axisRow" compact="0" outline="0" showAll="0" defaultSubtotal="0">
      <items count="3">
        <item x="0"/>
        <item x="1"/>
        <item x="2"/>
      </items>
    </pivotField>
    <pivotField compact="0" outline="0" showAll="0" defaultSubtotal="0"/>
    <pivotField compact="0" outline="0" subtotalTop="0" showAll="0" includeNewItemsInFilter="1" defaultSubtotal="0"/>
    <pivotField compact="0" outline="0" subtotalTop="0" multipleItemSelectionAllowed="1" showAll="0" includeNewItemsInFilter="1">
      <items count="4">
        <item x="1"/>
        <item x="0"/>
        <item h="1" x="2"/>
        <item t="default"/>
      </items>
    </pivotField>
    <pivotField dataField="1" compact="0" outline="0" showAll="0" defaultSubtotal="0"/>
    <pivotField dataField="1" compact="0" outline="0" showAll="0" defaultSubtotal="0">
      <items count="197">
        <item x="195"/>
        <item x="175"/>
        <item x="160"/>
        <item x="165"/>
        <item x="173"/>
        <item x="159"/>
        <item x="174"/>
        <item x="176"/>
        <item x="172"/>
        <item x="167"/>
        <item x="166"/>
        <item x="179"/>
        <item x="191"/>
        <item x="193"/>
        <item x="181"/>
        <item x="182"/>
        <item x="188"/>
        <item x="140"/>
        <item x="154"/>
        <item x="163"/>
        <item x="194"/>
        <item x="85"/>
        <item x="89"/>
        <item x="186"/>
        <item x="145"/>
        <item x="139"/>
        <item x="192"/>
        <item x="90"/>
        <item x="82"/>
        <item x="144"/>
        <item x="79"/>
        <item x="84"/>
        <item x="178"/>
        <item x="141"/>
        <item x="87"/>
        <item x="185"/>
        <item x="119"/>
        <item x="81"/>
        <item x="146"/>
        <item x="88"/>
        <item x="156"/>
        <item x="142"/>
        <item x="91"/>
        <item x="83"/>
        <item x="86"/>
        <item x="164"/>
        <item x="143"/>
        <item x="120"/>
        <item x="80"/>
        <item x="180"/>
        <item x="155"/>
        <item x="14"/>
        <item x="162"/>
        <item x="168"/>
        <item x="12"/>
        <item x="7"/>
        <item x="115"/>
        <item x="13"/>
        <item x="118"/>
        <item x="9"/>
        <item x="190"/>
        <item x="169"/>
        <item x="8"/>
        <item x="106"/>
        <item x="136"/>
        <item x="114"/>
        <item x="16"/>
        <item x="117"/>
        <item x="92"/>
        <item x="10"/>
        <item x="15"/>
        <item x="112"/>
        <item x="127"/>
        <item x="150"/>
        <item x="11"/>
        <item x="107"/>
        <item x="95"/>
        <item x="151"/>
        <item x="113"/>
        <item x="3"/>
        <item x="189"/>
        <item x="116"/>
        <item x="124"/>
        <item x="1"/>
        <item x="101"/>
        <item x="126"/>
        <item x="122"/>
        <item x="161"/>
        <item x="74"/>
        <item x="149"/>
        <item x="38"/>
        <item x="0"/>
        <item x="123"/>
        <item x="102"/>
        <item x="18"/>
        <item x="4"/>
        <item x="76"/>
        <item x="187"/>
        <item x="177"/>
        <item x="75"/>
        <item x="70"/>
        <item x="183"/>
        <item x="37"/>
        <item x="32"/>
        <item x="6"/>
        <item x="50"/>
        <item x="100"/>
        <item x="110"/>
        <item x="2"/>
        <item x="30"/>
        <item x="40"/>
        <item x="5"/>
        <item x="51"/>
        <item x="108"/>
        <item x="121"/>
        <item x="21"/>
        <item x="157"/>
        <item x="109"/>
        <item x="111"/>
        <item x="42"/>
        <item x="147"/>
        <item x="103"/>
        <item x="35"/>
        <item x="153"/>
        <item x="31"/>
        <item x="34"/>
        <item x="68"/>
        <item x="170"/>
        <item x="52"/>
        <item x="73"/>
        <item x="39"/>
        <item x="47"/>
        <item x="72"/>
        <item x="48"/>
        <item x="148"/>
        <item x="36"/>
        <item x="69"/>
        <item x="43"/>
        <item x="41"/>
        <item x="67"/>
        <item x="33"/>
        <item x="29"/>
        <item x="54"/>
        <item x="104"/>
        <item x="71"/>
        <item x="49"/>
        <item x="27"/>
        <item x="64"/>
        <item x="138"/>
        <item x="66"/>
        <item x="28"/>
        <item x="19"/>
        <item x="93"/>
        <item x="134"/>
        <item x="44"/>
        <item x="105"/>
        <item x="46"/>
        <item x="26"/>
        <item x="58"/>
        <item x="137"/>
        <item x="22"/>
        <item x="53"/>
        <item x="45"/>
        <item x="77"/>
        <item x="135"/>
        <item x="131"/>
        <item x="171"/>
        <item x="57"/>
        <item x="62"/>
        <item x="24"/>
        <item x="65"/>
        <item x="152"/>
        <item x="94"/>
        <item x="23"/>
        <item x="61"/>
        <item x="125"/>
        <item x="59"/>
        <item x="133"/>
        <item x="78"/>
        <item x="184"/>
        <item x="25"/>
        <item x="96"/>
        <item x="60"/>
        <item x="17"/>
        <item x="158"/>
        <item x="20"/>
        <item x="129"/>
        <item x="63"/>
        <item x="99"/>
        <item x="132"/>
        <item x="130"/>
        <item x="128"/>
        <item x="56"/>
        <item x="55"/>
        <item x="98"/>
        <item x="97"/>
        <item x="196"/>
      </items>
    </pivotField>
    <pivotField dataField="1" compact="0" outline="0" showAll="0" defaultSubtotal="0">
      <items count="636">
        <item x="526"/>
        <item x="525"/>
        <item x="634"/>
        <item x="573"/>
        <item x="557"/>
        <item x="571"/>
        <item x="576"/>
        <item x="572"/>
        <item x="575"/>
        <item x="574"/>
        <item x="570"/>
        <item x="559"/>
        <item x="558"/>
        <item x="592"/>
        <item x="630"/>
        <item x="632"/>
        <item x="209"/>
        <item x="218"/>
        <item x="223"/>
        <item x="221"/>
        <item x="332"/>
        <item x="230"/>
        <item x="464"/>
        <item x="596"/>
        <item x="220"/>
        <item x="334"/>
        <item x="212"/>
        <item x="625"/>
        <item x="226"/>
        <item x="232"/>
        <item x="597"/>
        <item x="224"/>
        <item x="619"/>
        <item x="214"/>
        <item x="333"/>
        <item x="231"/>
        <item x="235"/>
        <item x="234"/>
        <item x="515"/>
        <item x="222"/>
        <item x="233"/>
        <item x="217"/>
        <item x="612"/>
        <item x="211"/>
        <item x="236"/>
        <item x="229"/>
        <item x="555"/>
        <item x="610"/>
        <item x="609"/>
        <item x="213"/>
        <item x="469"/>
        <item x="216"/>
        <item x="463"/>
        <item x="611"/>
        <item x="633"/>
        <item x="502"/>
        <item x="617"/>
        <item x="237"/>
        <item x="453"/>
        <item x="227"/>
        <item x="468"/>
        <item x="501"/>
        <item x="228"/>
        <item x="607"/>
        <item x="219"/>
        <item x="621"/>
        <item x="225"/>
        <item x="631"/>
        <item x="465"/>
        <item x="210"/>
        <item x="470"/>
        <item x="215"/>
        <item x="329"/>
        <item x="325"/>
        <item x="478"/>
        <item x="591"/>
        <item x="466"/>
        <item x="629"/>
        <item x="560"/>
        <item x="606"/>
        <item x="354"/>
        <item x="330"/>
        <item x="488"/>
        <item x="479"/>
        <item x="583"/>
        <item x="16"/>
        <item x="480"/>
        <item x="331"/>
        <item x="618"/>
        <item x="18"/>
        <item x="482"/>
        <item x="355"/>
        <item x="275"/>
        <item x="316"/>
        <item x="517"/>
        <item x="324"/>
        <item x="238"/>
        <item x="467"/>
        <item x="624"/>
        <item x="481"/>
        <item x="315"/>
        <item x="327"/>
        <item x="604"/>
        <item x="13"/>
        <item x="579"/>
        <item x="328"/>
        <item x="616"/>
        <item x="259"/>
        <item x="605"/>
        <item x="561"/>
        <item x="377"/>
        <item x="523"/>
        <item x="17"/>
        <item x="12"/>
        <item x="48"/>
        <item x="556"/>
        <item x="290"/>
        <item x="280"/>
        <item x="524"/>
        <item x="614"/>
        <item x="613"/>
        <item x="580"/>
        <item x="510"/>
        <item x="282"/>
        <item x="615"/>
        <item x="626"/>
        <item x="273"/>
        <item x="506"/>
        <item x="588"/>
        <item x="594"/>
        <item x="532"/>
        <item x="477"/>
        <item x="535"/>
        <item x="491"/>
        <item x="507"/>
        <item x="49"/>
        <item x="578"/>
        <item x="317"/>
        <item x="492"/>
        <item x="344"/>
        <item x="14"/>
        <item x="19"/>
        <item x="514"/>
        <item x="500"/>
        <item x="531"/>
        <item x="546"/>
        <item x="414"/>
        <item x="345"/>
        <item x="279"/>
        <item x="593"/>
        <item x="10"/>
        <item x="366"/>
        <item x="68"/>
        <item x="357"/>
        <item x="516"/>
        <item x="339"/>
        <item x="622"/>
        <item x="291"/>
        <item x="548"/>
        <item x="368"/>
        <item x="20"/>
        <item x="343"/>
        <item x="71"/>
        <item x="326"/>
        <item x="371"/>
        <item x="623"/>
        <item x="503"/>
        <item x="443"/>
        <item x="274"/>
        <item x="353"/>
        <item x="154"/>
        <item x="347"/>
        <item x="547"/>
        <item x="603"/>
        <item x="70"/>
        <item x="276"/>
        <item x="342"/>
        <item x="9"/>
        <item x="367"/>
        <item x="589"/>
        <item x="15"/>
        <item x="528"/>
        <item x="258"/>
        <item x="413"/>
        <item x="602"/>
        <item x="340"/>
        <item x="599"/>
        <item x="77"/>
        <item x="415"/>
        <item x="22"/>
        <item x="372"/>
        <item x="286"/>
        <item x="587"/>
        <item x="64"/>
        <item x="292"/>
        <item x="349"/>
        <item x="627"/>
        <item x="80"/>
        <item x="67"/>
        <item x="577"/>
        <item x="376"/>
        <item x="375"/>
        <item x="156"/>
        <item x="271"/>
        <item x="476"/>
        <item x="365"/>
        <item x="293"/>
        <item x="348"/>
        <item x="370"/>
        <item x="173"/>
        <item x="369"/>
        <item x="364"/>
        <item x="540"/>
        <item x="628"/>
        <item x="94"/>
        <item x="505"/>
        <item x="350"/>
        <item x="277"/>
        <item x="475"/>
        <item x="288"/>
        <item x="504"/>
        <item x="59"/>
        <item x="581"/>
        <item x="186"/>
        <item x="356"/>
        <item x="584"/>
        <item x="549"/>
        <item x="352"/>
        <item x="69"/>
        <item x="62"/>
        <item x="529"/>
        <item x="180"/>
        <item x="551"/>
        <item x="452"/>
        <item x="272"/>
        <item x="403"/>
        <item x="296"/>
        <item x="50"/>
        <item x="420"/>
        <item x="25"/>
        <item x="530"/>
        <item x="285"/>
        <item x="341"/>
        <item x="550"/>
        <item x="287"/>
        <item x="88"/>
        <item x="63"/>
        <item x="294"/>
        <item x="187"/>
        <item x="374"/>
        <item x="183"/>
        <item x="193"/>
        <item x="541"/>
        <item x="399"/>
        <item x="485"/>
        <item x="398"/>
        <item x="351"/>
        <item x="78"/>
        <item x="76"/>
        <item x="11"/>
        <item x="396"/>
        <item x="188"/>
        <item x="419"/>
        <item x="346"/>
        <item x="460"/>
        <item x="295"/>
        <item x="189"/>
        <item x="66"/>
        <item x="441"/>
        <item x="305"/>
        <item x="72"/>
        <item x="425"/>
        <item x="487"/>
        <item x="397"/>
        <item x="304"/>
        <item x="47"/>
        <item x="192"/>
        <item x="191"/>
        <item x="55"/>
        <item x="174"/>
        <item x="46"/>
        <item x="439"/>
        <item x="61"/>
        <item x="58"/>
        <item x="26"/>
        <item x="590"/>
        <item x="196"/>
        <item x="54"/>
        <item x="163"/>
        <item x="598"/>
        <item x="498"/>
        <item x="298"/>
        <item x="440"/>
        <item x="302"/>
        <item x="392"/>
        <item x="438"/>
        <item x="394"/>
        <item x="289"/>
        <item x="430"/>
        <item x="40"/>
        <item x="383"/>
        <item x="543"/>
        <item x="79"/>
        <item x="421"/>
        <item x="393"/>
        <item x="405"/>
        <item x="301"/>
        <item x="155"/>
        <item x="105"/>
        <item x="542"/>
        <item x="395"/>
        <item x="387"/>
        <item x="60"/>
        <item x="52"/>
        <item x="473"/>
        <item x="309"/>
        <item x="462"/>
        <item x="384"/>
        <item x="308"/>
        <item x="378"/>
        <item x="307"/>
        <item x="373"/>
        <item x="86"/>
        <item x="486"/>
        <item x="164"/>
        <item x="404"/>
        <item x="534"/>
        <item x="3"/>
        <item x="278"/>
        <item x="181"/>
        <item x="429"/>
        <item x="585"/>
        <item x="471"/>
        <item x="527"/>
        <item x="335"/>
        <item x="87"/>
        <item x="552"/>
        <item x="85"/>
        <item x="461"/>
        <item x="422"/>
        <item x="300"/>
        <item x="608"/>
        <item x="388"/>
        <item x="428"/>
        <item x="151"/>
        <item x="153"/>
        <item x="42"/>
        <item x="162"/>
        <item x="165"/>
        <item x="261"/>
        <item x="108"/>
        <item x="499"/>
        <item x="73"/>
        <item x="284"/>
        <item x="177"/>
        <item x="401"/>
        <item x="194"/>
        <item x="75"/>
        <item x="44"/>
        <item x="83"/>
        <item x="312"/>
        <item x="379"/>
        <item x="564"/>
        <item x="544"/>
        <item x="43"/>
        <item x="53"/>
        <item x="45"/>
        <item x="400"/>
        <item x="249"/>
        <item x="496"/>
        <item x="336"/>
        <item x="157"/>
        <item x="270"/>
        <item x="402"/>
        <item x="190"/>
        <item x="182"/>
        <item x="563"/>
        <item x="107"/>
        <item x="158"/>
        <item x="410"/>
        <item x="1"/>
        <item x="303"/>
        <item x="407"/>
        <item x="545"/>
        <item x="490"/>
        <item x="497"/>
        <item x="385"/>
        <item x="65"/>
        <item x="178"/>
        <item x="185"/>
        <item x="427"/>
        <item x="562"/>
        <item x="166"/>
        <item x="51"/>
        <item x="483"/>
        <item x="84"/>
        <item x="247"/>
        <item x="95"/>
        <item x="41"/>
        <item x="458"/>
        <item x="323"/>
        <item x="160"/>
        <item x="34"/>
        <item x="176"/>
        <item x="536"/>
        <item x="82"/>
        <item x="567"/>
        <item x="299"/>
        <item x="406"/>
        <item x="74"/>
        <item x="459"/>
        <item x="103"/>
        <item x="159"/>
        <item x="161"/>
        <item x="297"/>
        <item x="0"/>
        <item x="168"/>
        <item x="81"/>
        <item x="320"/>
        <item x="474"/>
        <item x="314"/>
        <item x="448"/>
        <item x="8"/>
        <item x="281"/>
        <item x="322"/>
        <item x="167"/>
        <item x="23"/>
        <item x="104"/>
        <item x="319"/>
        <item x="175"/>
        <item x="382"/>
        <item x="171"/>
        <item x="248"/>
        <item x="595"/>
        <item x="381"/>
        <item x="169"/>
        <item x="56"/>
        <item x="260"/>
        <item x="380"/>
        <item x="283"/>
        <item x="257"/>
        <item x="57"/>
        <item x="4"/>
        <item x="5"/>
        <item x="149"/>
        <item x="508"/>
        <item x="250"/>
        <item x="451"/>
        <item x="601"/>
        <item x="91"/>
        <item x="390"/>
        <item x="172"/>
        <item x="512"/>
        <item x="539"/>
        <item x="267"/>
        <item x="150"/>
        <item x="513"/>
        <item x="449"/>
        <item x="152"/>
        <item x="582"/>
        <item x="142"/>
        <item x="472"/>
        <item x="147"/>
        <item x="444"/>
        <item x="148"/>
        <item x="386"/>
        <item x="411"/>
        <item x="96"/>
        <item x="426"/>
        <item x="408"/>
        <item x="537"/>
        <item x="106"/>
        <item x="495"/>
        <item x="409"/>
        <item x="450"/>
        <item x="311"/>
        <item x="143"/>
        <item x="197"/>
        <item x="146"/>
        <item x="568"/>
        <item x="144"/>
        <item x="432"/>
        <item x="179"/>
        <item x="39"/>
        <item x="195"/>
        <item x="111"/>
        <item x="586"/>
        <item x="99"/>
        <item x="109"/>
        <item x="337"/>
        <item x="306"/>
        <item x="255"/>
        <item x="38"/>
        <item x="7"/>
        <item x="110"/>
        <item x="145"/>
        <item x="569"/>
        <item x="33"/>
        <item x="97"/>
        <item x="391"/>
        <item x="520"/>
        <item x="389"/>
        <item x="565"/>
        <item x="442"/>
        <item x="318"/>
        <item x="511"/>
        <item x="446"/>
        <item x="101"/>
        <item x="310"/>
        <item x="518"/>
        <item x="2"/>
        <item x="620"/>
        <item x="35"/>
        <item x="170"/>
        <item x="98"/>
        <item x="36"/>
        <item x="102"/>
        <item x="447"/>
        <item x="566"/>
        <item x="519"/>
        <item x="338"/>
        <item x="431"/>
        <item x="112"/>
        <item x="416"/>
        <item x="484"/>
        <item x="141"/>
        <item x="27"/>
        <item x="31"/>
        <item x="6"/>
        <item x="30"/>
        <item x="100"/>
        <item x="114"/>
        <item x="434"/>
        <item x="120"/>
        <item x="119"/>
        <item x="253"/>
        <item x="115"/>
        <item x="554"/>
        <item x="92"/>
        <item x="116"/>
        <item x="553"/>
        <item x="417"/>
        <item x="268"/>
        <item x="93"/>
        <item x="256"/>
        <item x="251"/>
        <item x="113"/>
        <item x="184"/>
        <item x="37"/>
        <item x="90"/>
        <item x="138"/>
        <item x="32"/>
        <item x="533"/>
        <item x="521"/>
        <item x="321"/>
        <item x="139"/>
        <item x="313"/>
        <item x="130"/>
        <item x="254"/>
        <item x="29"/>
        <item x="436"/>
        <item x="133"/>
        <item x="242"/>
        <item x="362"/>
        <item x="89"/>
        <item x="240"/>
        <item x="239"/>
        <item x="28"/>
        <item x="493"/>
        <item x="243"/>
        <item x="456"/>
        <item x="489"/>
        <item x="494"/>
        <item x="418"/>
        <item x="509"/>
        <item x="131"/>
        <item x="252"/>
        <item x="361"/>
        <item x="457"/>
        <item x="360"/>
        <item x="127"/>
        <item x="140"/>
        <item x="117"/>
        <item x="118"/>
        <item x="245"/>
        <item x="358"/>
        <item x="424"/>
        <item x="198"/>
        <item x="244"/>
        <item x="538"/>
        <item x="205"/>
        <item x="445"/>
        <item x="454"/>
        <item x="135"/>
        <item x="206"/>
        <item x="359"/>
        <item x="455"/>
        <item x="21"/>
        <item x="437"/>
        <item x="134"/>
        <item x="207"/>
        <item x="24"/>
        <item x="201"/>
        <item x="200"/>
        <item x="262"/>
        <item x="123"/>
        <item x="132"/>
        <item x="136"/>
        <item x="203"/>
        <item x="126"/>
        <item x="269"/>
        <item x="128"/>
        <item x="204"/>
        <item x="435"/>
        <item x="363"/>
        <item x="246"/>
        <item x="241"/>
        <item x="423"/>
        <item x="600"/>
        <item x="208"/>
        <item x="522"/>
        <item x="412"/>
        <item x="263"/>
        <item x="202"/>
        <item x="199"/>
        <item x="129"/>
        <item x="264"/>
        <item x="433"/>
        <item x="137"/>
        <item x="122"/>
        <item x="124"/>
        <item x="125"/>
        <item x="121"/>
        <item x="266"/>
        <item x="265"/>
        <item x="635"/>
      </items>
    </pivotField>
    <pivotField compact="0" outline="0" showAll="0" defaultSubtotal="0"/>
    <pivotField name=" 입고수량2" dataField="1" compact="0" outline="0" showAll="0" defaultSubtotal="0"/>
    <pivotField name=" 미입고수량2" dataField="1" compact="0" outlin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4">
    <field x="10"/>
    <field x="15"/>
    <field x="11"/>
    <field x="13"/>
  </rowFields>
  <rowItems count="77">
    <i>
      <x/>
      <x/>
      <x/>
      <x/>
    </i>
    <i t="default" r="2">
      <x/>
    </i>
    <i r="2">
      <x v="1"/>
      <x v="3"/>
    </i>
    <i t="default" r="2">
      <x v="1"/>
    </i>
    <i r="2">
      <x v="2"/>
      <x v="1"/>
    </i>
    <i r="3">
      <x v="5"/>
    </i>
    <i r="3">
      <x v="9"/>
    </i>
    <i r="3">
      <x v="10"/>
    </i>
    <i r="3">
      <x v="11"/>
    </i>
    <i r="3">
      <x v="12"/>
    </i>
    <i r="3">
      <x v="14"/>
    </i>
    <i r="3">
      <x v="16"/>
    </i>
    <i r="3">
      <x v="19"/>
    </i>
    <i r="3">
      <x v="23"/>
    </i>
    <i t="default" r="2">
      <x v="2"/>
    </i>
    <i r="1">
      <x v="1"/>
      <x v="1"/>
      <x v="3"/>
    </i>
    <i r="3">
      <x v="27"/>
    </i>
    <i t="default" r="2">
      <x v="1"/>
    </i>
    <i r="2">
      <x v="2"/>
      <x v="1"/>
    </i>
    <i r="3">
      <x v="11"/>
    </i>
    <i r="3">
      <x v="12"/>
    </i>
    <i r="3">
      <x v="19"/>
    </i>
    <i t="default" r="2">
      <x v="2"/>
    </i>
    <i t="sum">
      <x/>
    </i>
    <i>
      <x v="1"/>
      <x/>
      <x v="3"/>
      <x v="18"/>
    </i>
    <i r="3">
      <x v="20"/>
    </i>
    <i r="3">
      <x v="21"/>
    </i>
    <i t="default" r="2">
      <x v="3"/>
    </i>
    <i r="1">
      <x v="1"/>
      <x v="3"/>
      <x v="18"/>
    </i>
    <i r="3">
      <x v="21"/>
    </i>
    <i t="default" r="2">
      <x v="3"/>
    </i>
    <i t="sum">
      <x v="1"/>
    </i>
    <i>
      <x v="2"/>
      <x/>
      <x v="2"/>
      <x v="1"/>
    </i>
    <i r="3">
      <x v="2"/>
    </i>
    <i r="3">
      <x v="4"/>
    </i>
    <i r="3">
      <x v="5"/>
    </i>
    <i r="3">
      <x v="6"/>
    </i>
    <i r="3">
      <x v="8"/>
    </i>
    <i r="3">
      <x v="9"/>
    </i>
    <i r="3">
      <x v="10"/>
    </i>
    <i r="3">
      <x v="11"/>
    </i>
    <i r="3">
      <x v="14"/>
    </i>
    <i r="3">
      <x v="16"/>
    </i>
    <i r="3">
      <x v="19"/>
    </i>
    <i r="3">
      <x v="22"/>
    </i>
    <i r="3">
      <x v="23"/>
    </i>
    <i t="default" r="2">
      <x v="2"/>
    </i>
    <i r="2">
      <x v="3"/>
      <x v="13"/>
    </i>
    <i r="3">
      <x v="15"/>
    </i>
    <i r="3">
      <x v="18"/>
    </i>
    <i r="3">
      <x v="20"/>
    </i>
    <i r="3">
      <x v="21"/>
    </i>
    <i t="default" r="2">
      <x v="3"/>
    </i>
    <i r="1">
      <x v="1"/>
      <x/>
      <x v="7"/>
    </i>
    <i r="3">
      <x v="17"/>
    </i>
    <i t="default" r="2">
      <x/>
    </i>
    <i r="2">
      <x v="2"/>
      <x v="1"/>
    </i>
    <i r="3">
      <x v="2"/>
    </i>
    <i r="3">
      <x v="6"/>
    </i>
    <i r="3">
      <x v="8"/>
    </i>
    <i r="3">
      <x v="19"/>
    </i>
    <i r="3">
      <x v="22"/>
    </i>
    <i r="3">
      <x v="23"/>
    </i>
    <i r="3">
      <x v="24"/>
    </i>
    <i t="default" r="2">
      <x v="2"/>
    </i>
    <i r="2">
      <x v="3"/>
      <x v="13"/>
    </i>
    <i r="3">
      <x v="15"/>
    </i>
    <i r="3">
      <x v="18"/>
    </i>
    <i r="3">
      <x v="20"/>
    </i>
    <i r="3">
      <x v="21"/>
    </i>
    <i r="3">
      <x v="25"/>
    </i>
    <i t="default" r="2">
      <x v="3"/>
    </i>
    <i t="sum">
      <x v="2"/>
    </i>
    <i>
      <x v="3"/>
      <x v="2"/>
      <x v="4"/>
      <x v="26"/>
    </i>
    <i t="default" r="2">
      <x v="4"/>
    </i>
    <i t="sum">
      <x v="3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최초품번" fld="3" baseField="12" baseItem="5"/>
    <dataField name="최초색상" fld="7" baseField="12" baseItem="5"/>
    <dataField name="리오더품번" fld="5" baseField="12" baseItem="5"/>
    <dataField name="리오더색상" fld="9" baseField="12" baseItem="5"/>
    <dataField name=" 기획수량" fld="19" baseField="0" baseItem="0" numFmtId="185"/>
    <dataField name="입고수량" fld="23" baseField="12" baseItem="5"/>
    <dataField name="미입고수량" fld="24" baseField="12" baseItem="5"/>
    <dataField name="합계 : 원가(-V)" fld="21" baseField="13" baseItem="3"/>
    <dataField name="합계 : TAG가" fld="20" baseField="13" baseItem="3"/>
  </dataFields>
  <formats count="24">
    <format dxfId="23">
      <pivotArea type="all" dataOnly="0" outline="0" fieldPosition="0"/>
    </format>
    <format dxfId="22">
      <pivotArea type="all" dataOnly="0" outline="0" fieldPosition="0"/>
    </format>
    <format dxfId="21">
      <pivotArea dataOnly="0" grandRow="1" outline="0" fieldPosition="0"/>
    </format>
    <format dxfId="20">
      <pivotArea type="topRight" dataOnly="0" labelOnly="1" outline="0" offset="B1" fieldPosition="0"/>
    </format>
    <format dxfId="19">
      <pivotArea grandRow="1" outline="0" fieldPosition="0"/>
    </format>
    <format dxfId="18">
      <pivotArea dataOnly="0" labelOnly="1" grandRow="1" outline="0" fieldPosition="0"/>
    </format>
    <format dxfId="17">
      <pivotArea type="origin" dataOnly="0" labelOnly="1" outline="0" fieldPosition="0"/>
    </format>
    <format dxfId="16">
      <pivotArea field="-2" type="button" dataOnly="0" labelOnly="1" outline="0" axis="axisCol" fieldPosition="0"/>
    </format>
    <format dxfId="15">
      <pivotArea type="topRight" dataOnly="0" labelOnly="1" outline="0" fieldPosition="0"/>
    </format>
    <format dxfId="14">
      <pivotArea type="all" dataOnly="0" outline="0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type="origin" dataOnly="0" labelOnly="1" outline="0" fieldPosition="0"/>
    </format>
    <format dxfId="10">
      <pivotArea field="18" type="button" dataOnly="0" labelOnly="1" outline="0"/>
    </format>
    <format dxfId="9">
      <pivotArea field="14" type="button" dataOnly="0" labelOnly="1" outline="0"/>
    </format>
    <format dxfId="8">
      <pivotArea field="1" type="button" dataOnly="0" labelOnly="1" outline="0"/>
    </format>
    <format dxfId="7">
      <pivotArea dataOnly="0" labelOnly="1" grandRow="1" outline="0" fieldPosition="0"/>
    </format>
    <format dxfId="6">
      <pivotArea field="-2" type="button" dataOnly="0" labelOnly="1" outline="0" axis="axisCol" fieldPosition="0"/>
    </format>
    <format dxfId="5">
      <pivotArea type="topRight" dataOnly="0" labelOnly="1" outline="0" fieldPosition="0"/>
    </format>
    <format dxfId="4">
      <pivotArea type="topRight" dataOnly="0" labelOnly="1" outline="0" offset="D1:G1" fieldPosition="0"/>
    </format>
    <format dxfId="3">
      <pivotArea type="topRight" dataOnly="0" labelOnly="1" outline="0" offset="H1:I1" fieldPosition="0"/>
    </format>
    <format dxfId="2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1">
      <pivotArea type="all" dataOnly="0" outline="0" fieldPosition="0"/>
    </format>
    <format dxfId="0">
      <pivotArea dataOnly="0" outline="0" fieldPosition="0">
        <references count="1">
          <reference field="11" count="0" defaultSubtotal="1"/>
        </references>
      </pivotArea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99"/>
  <sheetViews>
    <sheetView zoomScale="80" zoomScaleNormal="80" workbookViewId="0">
      <pane xSplit="4" ySplit="3" topLeftCell="E1464" activePane="bottomRight" state="frozen"/>
      <selection pane="topRight" activeCell="E1" sqref="E1"/>
      <selection pane="bottomLeft" activeCell="A3" sqref="A3"/>
      <selection pane="bottomRight" activeCell="A1492" sqref="A1492:B1504"/>
    </sheetView>
  </sheetViews>
  <sheetFormatPr defaultRowHeight="13.5"/>
  <cols>
    <col min="1" max="1" width="5.625" style="1" bestFit="1" customWidth="1"/>
    <col min="2" max="2" width="5.625" style="1" customWidth="1"/>
    <col min="3" max="3" width="15.75" style="1" bestFit="1" customWidth="1"/>
    <col min="4" max="4" width="7" style="1" bestFit="1" customWidth="1"/>
    <col min="5" max="5" width="5.25" style="1" bestFit="1" customWidth="1"/>
    <col min="6" max="6" width="8.875" style="26" bestFit="1" customWidth="1"/>
    <col min="7" max="7" width="10.625" style="26" bestFit="1" customWidth="1"/>
    <col min="8" max="8" width="8.875" style="26" bestFit="1" customWidth="1"/>
    <col min="9" max="9" width="12.5" style="26" bestFit="1" customWidth="1"/>
    <col min="10" max="10" width="12.375" style="26" bestFit="1" customWidth="1"/>
    <col min="11" max="16384" width="9" style="1"/>
  </cols>
  <sheetData>
    <row r="1" spans="1:10">
      <c r="F1" s="26">
        <f>SUBTOTAL(9,F3:F1048576)</f>
        <v>1555100</v>
      </c>
      <c r="G1" s="26">
        <f>SUBTOTAL(9,G3:G1048576)</f>
        <v>0</v>
      </c>
      <c r="H1" s="26">
        <f>SUBTOTAL(9,H3:H1048576)</f>
        <v>1560808</v>
      </c>
      <c r="I1" s="26">
        <f>SUBTOTAL(9,I3:I1048576)</f>
        <v>15275375467.589085</v>
      </c>
      <c r="J1" s="26">
        <f>SUBTOTAL(9,J3:J1048576)</f>
        <v>87189840000</v>
      </c>
    </row>
    <row r="2" spans="1:10">
      <c r="A2" s="23" t="s">
        <v>16</v>
      </c>
      <c r="B2" s="23">
        <v>0</v>
      </c>
      <c r="C2" s="23" t="s">
        <v>0</v>
      </c>
      <c r="D2" s="23" t="s">
        <v>1</v>
      </c>
      <c r="E2" s="23" t="s">
        <v>13</v>
      </c>
      <c r="F2" s="25" t="s">
        <v>772</v>
      </c>
      <c r="G2" s="25" t="s">
        <v>773</v>
      </c>
      <c r="H2" s="25" t="s">
        <v>774</v>
      </c>
      <c r="I2" s="25" t="s">
        <v>770</v>
      </c>
      <c r="J2" s="25" t="s">
        <v>771</v>
      </c>
    </row>
    <row r="3" spans="1:10">
      <c r="A3" s="24">
        <v>1</v>
      </c>
      <c r="B3" s="24">
        <f>IF(C2=C3,B2,B2+1)</f>
        <v>1</v>
      </c>
      <c r="C3" s="1" t="s">
        <v>813</v>
      </c>
      <c r="D3" s="1" t="s">
        <v>4</v>
      </c>
      <c r="E3" s="1" t="s">
        <v>15</v>
      </c>
      <c r="F3" s="26">
        <v>792</v>
      </c>
      <c r="G3" s="26">
        <v>0</v>
      </c>
      <c r="H3" s="26">
        <v>792</v>
      </c>
      <c r="I3" s="26">
        <v>8990261.2799999993</v>
      </c>
      <c r="J3" s="26">
        <v>34056000</v>
      </c>
    </row>
    <row r="4" spans="1:10">
      <c r="A4" s="24">
        <v>2</v>
      </c>
      <c r="B4" s="24">
        <f>IF(C3=C4,B3,B3+1)</f>
        <v>2</v>
      </c>
      <c r="C4" s="1" t="s">
        <v>814</v>
      </c>
      <c r="D4" s="1" t="s">
        <v>4</v>
      </c>
      <c r="E4" s="1" t="s">
        <v>15</v>
      </c>
      <c r="F4" s="26">
        <v>792</v>
      </c>
      <c r="G4" s="26">
        <v>0</v>
      </c>
      <c r="H4" s="26">
        <v>792</v>
      </c>
      <c r="I4" s="26">
        <v>8990261.2799999993</v>
      </c>
      <c r="J4" s="26">
        <v>34056000</v>
      </c>
    </row>
    <row r="5" spans="1:10">
      <c r="A5" s="24">
        <v>3</v>
      </c>
      <c r="B5" s="24">
        <f t="shared" ref="B5:B67" si="0">IF(C4=C5,B4,B4+1)</f>
        <v>3</v>
      </c>
      <c r="C5" s="1" t="s">
        <v>815</v>
      </c>
      <c r="D5" s="1" t="s">
        <v>4</v>
      </c>
      <c r="E5" s="1" t="s">
        <v>15</v>
      </c>
      <c r="F5" s="26">
        <v>792</v>
      </c>
      <c r="G5" s="26">
        <v>0</v>
      </c>
      <c r="H5" s="26">
        <v>792</v>
      </c>
      <c r="I5" s="26">
        <v>8990261.2799999993</v>
      </c>
      <c r="J5" s="26">
        <v>34056000</v>
      </c>
    </row>
    <row r="6" spans="1:10">
      <c r="A6" s="24">
        <v>4</v>
      </c>
      <c r="B6" s="24">
        <f t="shared" si="0"/>
        <v>4</v>
      </c>
      <c r="C6" s="1" t="s">
        <v>816</v>
      </c>
      <c r="D6" s="1" t="s">
        <v>4</v>
      </c>
      <c r="E6" s="1" t="s">
        <v>15</v>
      </c>
      <c r="F6" s="26">
        <v>600</v>
      </c>
      <c r="G6" s="26">
        <v>0</v>
      </c>
      <c r="H6" s="26">
        <v>600</v>
      </c>
      <c r="I6" s="26">
        <v>8180449.2000000002</v>
      </c>
      <c r="J6" s="26">
        <v>28200000</v>
      </c>
    </row>
    <row r="7" spans="1:10">
      <c r="A7" s="24">
        <v>5</v>
      </c>
      <c r="B7" s="24">
        <f t="shared" si="0"/>
        <v>5</v>
      </c>
      <c r="C7" s="1" t="s">
        <v>817</v>
      </c>
      <c r="D7" s="1" t="s">
        <v>4</v>
      </c>
      <c r="E7" s="1" t="s">
        <v>15</v>
      </c>
      <c r="F7" s="26">
        <v>996</v>
      </c>
      <c r="G7" s="26">
        <v>0</v>
      </c>
      <c r="H7" s="26">
        <v>996</v>
      </c>
      <c r="I7" s="26">
        <v>12337135.272</v>
      </c>
      <c r="J7" s="26">
        <v>44820000</v>
      </c>
    </row>
    <row r="8" spans="1:10">
      <c r="A8" s="24">
        <v>6</v>
      </c>
      <c r="B8" s="24">
        <f t="shared" si="0"/>
        <v>6</v>
      </c>
      <c r="C8" s="1" t="s">
        <v>818</v>
      </c>
      <c r="D8" s="1" t="s">
        <v>4</v>
      </c>
      <c r="E8" s="1" t="s">
        <v>15</v>
      </c>
      <c r="F8" s="26">
        <v>600</v>
      </c>
      <c r="G8" s="26">
        <v>0</v>
      </c>
      <c r="H8" s="26">
        <v>600</v>
      </c>
      <c r="I8" s="26">
        <v>7432009.2000000002</v>
      </c>
      <c r="J8" s="26">
        <v>27000000</v>
      </c>
    </row>
    <row r="9" spans="1:10">
      <c r="A9" s="24">
        <v>7</v>
      </c>
      <c r="B9" s="24">
        <f t="shared" si="0"/>
        <v>7</v>
      </c>
      <c r="C9" s="1" t="s">
        <v>819</v>
      </c>
      <c r="D9" s="1" t="s">
        <v>4</v>
      </c>
      <c r="E9" s="1" t="s">
        <v>15</v>
      </c>
      <c r="F9" s="26">
        <v>600</v>
      </c>
      <c r="G9" s="26">
        <v>0</v>
      </c>
      <c r="H9" s="26">
        <v>600</v>
      </c>
      <c r="I9" s="26">
        <v>7432009.2000000002</v>
      </c>
      <c r="J9" s="26">
        <v>27000000</v>
      </c>
    </row>
    <row r="10" spans="1:10">
      <c r="A10" s="24">
        <v>8</v>
      </c>
      <c r="B10" s="24">
        <f t="shared" si="0"/>
        <v>8</v>
      </c>
      <c r="C10" s="1" t="s">
        <v>820</v>
      </c>
      <c r="D10" s="1" t="s">
        <v>4</v>
      </c>
      <c r="E10" s="1" t="s">
        <v>15</v>
      </c>
      <c r="F10" s="26">
        <v>600</v>
      </c>
      <c r="G10" s="26">
        <v>0</v>
      </c>
      <c r="H10" s="26">
        <v>600</v>
      </c>
      <c r="I10" s="26">
        <v>7432009.2000000002</v>
      </c>
      <c r="J10" s="26">
        <v>27000000</v>
      </c>
    </row>
    <row r="11" spans="1:10">
      <c r="A11" s="24">
        <v>9</v>
      </c>
      <c r="B11" s="24">
        <f t="shared" si="0"/>
        <v>9</v>
      </c>
      <c r="C11" s="1" t="s">
        <v>821</v>
      </c>
      <c r="D11" s="1">
        <v>714</v>
      </c>
      <c r="E11" s="1" t="s">
        <v>15</v>
      </c>
      <c r="F11" s="26">
        <v>120</v>
      </c>
      <c r="G11" s="26">
        <v>0</v>
      </c>
      <c r="H11" s="26">
        <v>120</v>
      </c>
      <c r="I11" s="26">
        <v>1486401.84</v>
      </c>
      <c r="J11" s="26">
        <v>5400000</v>
      </c>
    </row>
    <row r="12" spans="1:10">
      <c r="A12" s="24">
        <v>10</v>
      </c>
      <c r="B12" s="24">
        <f t="shared" si="0"/>
        <v>9</v>
      </c>
      <c r="C12" s="1" t="s">
        <v>821</v>
      </c>
      <c r="D12" s="1">
        <v>738</v>
      </c>
      <c r="E12" s="1" t="s">
        <v>15</v>
      </c>
      <c r="F12" s="26">
        <v>192</v>
      </c>
      <c r="G12" s="26">
        <v>0</v>
      </c>
      <c r="H12" s="26">
        <v>192</v>
      </c>
      <c r="I12" s="26">
        <v>2378242.9440000001</v>
      </c>
      <c r="J12" s="26">
        <v>8640000</v>
      </c>
    </row>
    <row r="13" spans="1:10">
      <c r="A13" s="24">
        <v>11</v>
      </c>
      <c r="B13" s="24">
        <f t="shared" si="0"/>
        <v>9</v>
      </c>
      <c r="C13" s="1" t="s">
        <v>821</v>
      </c>
      <c r="D13" s="1">
        <v>712</v>
      </c>
      <c r="E13" s="1" t="s">
        <v>15</v>
      </c>
      <c r="F13" s="26">
        <v>192</v>
      </c>
      <c r="G13" s="26">
        <v>0</v>
      </c>
      <c r="H13" s="26">
        <v>192</v>
      </c>
      <c r="I13" s="26">
        <v>2378242.9440000001</v>
      </c>
      <c r="J13" s="26">
        <v>8640000</v>
      </c>
    </row>
    <row r="14" spans="1:10">
      <c r="A14" s="24">
        <v>12</v>
      </c>
      <c r="B14" s="24">
        <f t="shared" si="0"/>
        <v>9</v>
      </c>
      <c r="C14" s="1" t="s">
        <v>821</v>
      </c>
      <c r="D14" s="1">
        <v>758</v>
      </c>
      <c r="E14" s="1" t="s">
        <v>15</v>
      </c>
      <c r="F14" s="26">
        <v>108</v>
      </c>
      <c r="G14" s="26">
        <v>0</v>
      </c>
      <c r="H14" s="26">
        <v>108</v>
      </c>
      <c r="I14" s="26">
        <v>1337761.656</v>
      </c>
      <c r="J14" s="26">
        <v>4860000</v>
      </c>
    </row>
    <row r="15" spans="1:10">
      <c r="A15" s="24">
        <v>13</v>
      </c>
      <c r="B15" s="24">
        <f t="shared" si="0"/>
        <v>9</v>
      </c>
      <c r="C15" s="1" t="s">
        <v>821</v>
      </c>
      <c r="D15" s="1">
        <v>734</v>
      </c>
      <c r="E15" s="1" t="s">
        <v>15</v>
      </c>
      <c r="F15" s="26">
        <v>96</v>
      </c>
      <c r="G15" s="26">
        <v>0</v>
      </c>
      <c r="H15" s="26">
        <v>96</v>
      </c>
      <c r="I15" s="26">
        <v>1189121.4720000001</v>
      </c>
      <c r="J15" s="26">
        <v>4320000</v>
      </c>
    </row>
    <row r="16" spans="1:10">
      <c r="A16" s="24">
        <v>14</v>
      </c>
      <c r="B16" s="24">
        <f t="shared" si="0"/>
        <v>9</v>
      </c>
      <c r="C16" s="1" t="s">
        <v>821</v>
      </c>
      <c r="D16" s="1">
        <v>778</v>
      </c>
      <c r="E16" s="1" t="s">
        <v>15</v>
      </c>
      <c r="F16" s="26">
        <v>84</v>
      </c>
      <c r="G16" s="26">
        <v>0</v>
      </c>
      <c r="H16" s="26">
        <v>84</v>
      </c>
      <c r="I16" s="26">
        <v>1040481.2880000001</v>
      </c>
      <c r="J16" s="26">
        <v>3780000</v>
      </c>
    </row>
    <row r="17" spans="1:10">
      <c r="A17" s="24">
        <v>15</v>
      </c>
      <c r="B17" s="24">
        <f t="shared" si="0"/>
        <v>10</v>
      </c>
      <c r="C17" s="1" t="s">
        <v>822</v>
      </c>
      <c r="D17" s="1">
        <v>714</v>
      </c>
      <c r="E17" s="1" t="s">
        <v>15</v>
      </c>
      <c r="F17" s="26">
        <v>120</v>
      </c>
      <c r="G17" s="26">
        <v>0</v>
      </c>
      <c r="H17" s="26">
        <v>120</v>
      </c>
      <c r="I17" s="26">
        <v>1486401.84</v>
      </c>
      <c r="J17" s="26">
        <v>5400000</v>
      </c>
    </row>
    <row r="18" spans="1:10">
      <c r="A18" s="24">
        <v>16</v>
      </c>
      <c r="B18" s="24">
        <f t="shared" si="0"/>
        <v>10</v>
      </c>
      <c r="C18" s="1" t="s">
        <v>822</v>
      </c>
      <c r="D18" s="1">
        <v>738</v>
      </c>
      <c r="E18" s="1" t="s">
        <v>15</v>
      </c>
      <c r="F18" s="26">
        <v>192</v>
      </c>
      <c r="G18" s="26">
        <v>0</v>
      </c>
      <c r="H18" s="26">
        <v>192</v>
      </c>
      <c r="I18" s="26">
        <v>2378242.9440000001</v>
      </c>
      <c r="J18" s="26">
        <v>8640000</v>
      </c>
    </row>
    <row r="19" spans="1:10">
      <c r="A19" s="24">
        <v>17</v>
      </c>
      <c r="B19" s="24">
        <f t="shared" si="0"/>
        <v>10</v>
      </c>
      <c r="C19" s="1" t="s">
        <v>822</v>
      </c>
      <c r="D19" s="1">
        <v>712</v>
      </c>
      <c r="E19" s="1" t="s">
        <v>15</v>
      </c>
      <c r="F19" s="26">
        <v>192</v>
      </c>
      <c r="G19" s="26">
        <v>0</v>
      </c>
      <c r="H19" s="26">
        <v>192</v>
      </c>
      <c r="I19" s="26">
        <v>2378242.9440000001</v>
      </c>
      <c r="J19" s="26">
        <v>8640000</v>
      </c>
    </row>
    <row r="20" spans="1:10">
      <c r="A20" s="24">
        <v>18</v>
      </c>
      <c r="B20" s="24">
        <f t="shared" si="0"/>
        <v>10</v>
      </c>
      <c r="C20" s="1" t="s">
        <v>822</v>
      </c>
      <c r="D20" s="1">
        <v>758</v>
      </c>
      <c r="E20" s="1" t="s">
        <v>15</v>
      </c>
      <c r="F20" s="26">
        <v>108</v>
      </c>
      <c r="G20" s="26">
        <v>0</v>
      </c>
      <c r="H20" s="26">
        <v>108</v>
      </c>
      <c r="I20" s="26">
        <v>1337761.656</v>
      </c>
      <c r="J20" s="26">
        <v>4860000</v>
      </c>
    </row>
    <row r="21" spans="1:10">
      <c r="A21" s="24">
        <v>19</v>
      </c>
      <c r="B21" s="24">
        <f t="shared" si="0"/>
        <v>10</v>
      </c>
      <c r="C21" s="1" t="s">
        <v>822</v>
      </c>
      <c r="D21" s="1">
        <v>734</v>
      </c>
      <c r="E21" s="1" t="s">
        <v>15</v>
      </c>
      <c r="F21" s="26">
        <v>96</v>
      </c>
      <c r="G21" s="26">
        <v>0</v>
      </c>
      <c r="H21" s="26">
        <v>96</v>
      </c>
      <c r="I21" s="26">
        <v>1189121.4720000001</v>
      </c>
      <c r="J21" s="26">
        <v>4320000</v>
      </c>
    </row>
    <row r="22" spans="1:10">
      <c r="A22" s="24">
        <v>20</v>
      </c>
      <c r="B22" s="24">
        <f t="shared" si="0"/>
        <v>10</v>
      </c>
      <c r="C22" s="1" t="s">
        <v>822</v>
      </c>
      <c r="D22" s="1">
        <v>778</v>
      </c>
      <c r="E22" s="1" t="s">
        <v>15</v>
      </c>
      <c r="F22" s="26">
        <v>84</v>
      </c>
      <c r="G22" s="26">
        <v>0</v>
      </c>
      <c r="H22" s="26">
        <v>84</v>
      </c>
      <c r="I22" s="26">
        <v>1040481.2880000001</v>
      </c>
      <c r="J22" s="26">
        <v>3780000</v>
      </c>
    </row>
    <row r="23" spans="1:10">
      <c r="A23" s="24">
        <v>21</v>
      </c>
      <c r="B23" s="24">
        <f t="shared" si="0"/>
        <v>11</v>
      </c>
      <c r="C23" s="1" t="s">
        <v>823</v>
      </c>
      <c r="D23" s="1" t="s">
        <v>4</v>
      </c>
      <c r="E23" s="1" t="s">
        <v>15</v>
      </c>
      <c r="F23" s="26">
        <v>780</v>
      </c>
      <c r="G23" s="26">
        <v>0</v>
      </c>
      <c r="H23" s="26">
        <v>792</v>
      </c>
      <c r="I23" s="26">
        <v>9810252.1440000013</v>
      </c>
      <c r="J23" s="26">
        <v>35640000</v>
      </c>
    </row>
    <row r="24" spans="1:10">
      <c r="A24" s="24">
        <v>22</v>
      </c>
      <c r="B24" s="24">
        <f t="shared" si="0"/>
        <v>12</v>
      </c>
      <c r="C24" s="1" t="s">
        <v>824</v>
      </c>
      <c r="D24" s="1" t="s">
        <v>4</v>
      </c>
      <c r="E24" s="1" t="s">
        <v>15</v>
      </c>
      <c r="F24" s="26">
        <v>792</v>
      </c>
      <c r="G24" s="26">
        <v>0</v>
      </c>
      <c r="H24" s="26">
        <v>792</v>
      </c>
      <c r="I24" s="26">
        <v>9810252.1440000013</v>
      </c>
      <c r="J24" s="26">
        <v>35640000</v>
      </c>
    </row>
    <row r="25" spans="1:10">
      <c r="A25" s="24">
        <v>23</v>
      </c>
      <c r="B25" s="24">
        <f t="shared" si="0"/>
        <v>13</v>
      </c>
      <c r="C25" s="1" t="s">
        <v>825</v>
      </c>
      <c r="D25" s="1" t="s">
        <v>4</v>
      </c>
      <c r="E25" s="1" t="s">
        <v>15</v>
      </c>
      <c r="F25" s="26">
        <v>996</v>
      </c>
      <c r="G25" s="26">
        <v>0</v>
      </c>
      <c r="H25" s="26">
        <v>996</v>
      </c>
      <c r="I25" s="26">
        <v>13219246.656000001</v>
      </c>
      <c r="J25" s="26">
        <v>46812000</v>
      </c>
    </row>
    <row r="26" spans="1:10">
      <c r="A26" s="24">
        <v>24</v>
      </c>
      <c r="B26" s="24">
        <f t="shared" si="0"/>
        <v>14</v>
      </c>
      <c r="C26" s="1" t="s">
        <v>826</v>
      </c>
      <c r="D26" s="1" t="s">
        <v>4</v>
      </c>
      <c r="E26" s="1" t="s">
        <v>15</v>
      </c>
      <c r="F26" s="26">
        <v>996</v>
      </c>
      <c r="G26" s="26">
        <v>0</v>
      </c>
      <c r="H26" s="26">
        <v>996</v>
      </c>
      <c r="I26" s="26">
        <v>13219246.656000001</v>
      </c>
      <c r="J26" s="26">
        <v>46812000</v>
      </c>
    </row>
    <row r="27" spans="1:10">
      <c r="A27" s="24">
        <v>25</v>
      </c>
      <c r="B27" s="24">
        <f t="shared" si="0"/>
        <v>15</v>
      </c>
      <c r="C27" s="1" t="s">
        <v>827</v>
      </c>
      <c r="D27" s="1" t="s">
        <v>4</v>
      </c>
      <c r="E27" s="1" t="s">
        <v>15</v>
      </c>
      <c r="F27" s="26">
        <v>996</v>
      </c>
      <c r="G27" s="26">
        <v>0</v>
      </c>
      <c r="H27" s="26">
        <v>996</v>
      </c>
      <c r="I27" s="26">
        <v>11492296.200000001</v>
      </c>
      <c r="J27" s="26">
        <v>42828000</v>
      </c>
    </row>
    <row r="28" spans="1:10">
      <c r="A28" s="24">
        <v>26</v>
      </c>
      <c r="B28" s="24">
        <f t="shared" si="0"/>
        <v>16</v>
      </c>
      <c r="C28" s="1" t="s">
        <v>828</v>
      </c>
      <c r="D28" s="1" t="s">
        <v>4</v>
      </c>
      <c r="E28" s="1" t="s">
        <v>15</v>
      </c>
      <c r="F28" s="26">
        <v>996</v>
      </c>
      <c r="G28" s="26">
        <v>0</v>
      </c>
      <c r="H28" s="26">
        <v>996</v>
      </c>
      <c r="I28" s="26">
        <v>11492296.200000001</v>
      </c>
      <c r="J28" s="26">
        <v>42828000</v>
      </c>
    </row>
    <row r="29" spans="1:10">
      <c r="A29" s="24">
        <v>27</v>
      </c>
      <c r="B29" s="24">
        <f t="shared" si="0"/>
        <v>17</v>
      </c>
      <c r="C29" s="1" t="s">
        <v>829</v>
      </c>
      <c r="D29" s="1">
        <v>714</v>
      </c>
      <c r="E29" s="1" t="s">
        <v>15</v>
      </c>
      <c r="F29" s="26">
        <v>120</v>
      </c>
      <c r="G29" s="26">
        <v>0</v>
      </c>
      <c r="H29" s="26">
        <v>120</v>
      </c>
      <c r="I29" s="26">
        <v>1486401.84</v>
      </c>
      <c r="J29" s="26">
        <v>5400000</v>
      </c>
    </row>
    <row r="30" spans="1:10">
      <c r="A30" s="24">
        <v>28</v>
      </c>
      <c r="B30" s="24">
        <f t="shared" si="0"/>
        <v>17</v>
      </c>
      <c r="C30" s="1" t="s">
        <v>829</v>
      </c>
      <c r="D30" s="1">
        <v>738</v>
      </c>
      <c r="E30" s="1" t="s">
        <v>15</v>
      </c>
      <c r="F30" s="26">
        <v>192</v>
      </c>
      <c r="G30" s="26">
        <v>0</v>
      </c>
      <c r="H30" s="26">
        <v>192</v>
      </c>
      <c r="I30" s="26">
        <v>2378242.9440000001</v>
      </c>
      <c r="J30" s="26">
        <v>8640000</v>
      </c>
    </row>
    <row r="31" spans="1:10">
      <c r="A31" s="24">
        <v>29</v>
      </c>
      <c r="B31" s="24">
        <f t="shared" si="0"/>
        <v>17</v>
      </c>
      <c r="C31" s="1" t="s">
        <v>829</v>
      </c>
      <c r="D31" s="1">
        <v>712</v>
      </c>
      <c r="E31" s="1" t="s">
        <v>15</v>
      </c>
      <c r="F31" s="26">
        <v>192</v>
      </c>
      <c r="G31" s="26">
        <v>0</v>
      </c>
      <c r="H31" s="26">
        <v>192</v>
      </c>
      <c r="I31" s="26">
        <v>2378242.9440000001</v>
      </c>
      <c r="J31" s="26">
        <v>8640000</v>
      </c>
    </row>
    <row r="32" spans="1:10">
      <c r="A32" s="24">
        <v>30</v>
      </c>
      <c r="B32" s="24">
        <f t="shared" si="0"/>
        <v>17</v>
      </c>
      <c r="C32" s="1" t="s">
        <v>829</v>
      </c>
      <c r="D32" s="1">
        <v>758</v>
      </c>
      <c r="E32" s="1" t="s">
        <v>15</v>
      </c>
      <c r="F32" s="26">
        <v>96</v>
      </c>
      <c r="G32" s="26">
        <v>0</v>
      </c>
      <c r="H32" s="26">
        <v>96</v>
      </c>
      <c r="I32" s="26">
        <v>1189121.4720000001</v>
      </c>
      <c r="J32" s="26">
        <v>4320000</v>
      </c>
    </row>
    <row r="33" spans="1:10">
      <c r="A33" s="24">
        <v>31</v>
      </c>
      <c r="B33" s="24">
        <f t="shared" si="0"/>
        <v>18</v>
      </c>
      <c r="C33" s="1" t="s">
        <v>830</v>
      </c>
      <c r="D33" s="1">
        <v>714</v>
      </c>
      <c r="E33" s="1" t="s">
        <v>15</v>
      </c>
      <c r="F33" s="26">
        <v>120</v>
      </c>
      <c r="G33" s="26">
        <v>0</v>
      </c>
      <c r="H33" s="26">
        <v>120</v>
      </c>
      <c r="I33" s="26">
        <v>1486401.84</v>
      </c>
      <c r="J33" s="26">
        <v>5400000</v>
      </c>
    </row>
    <row r="34" spans="1:10">
      <c r="A34" s="24">
        <v>32</v>
      </c>
      <c r="B34" s="24">
        <f t="shared" si="0"/>
        <v>18</v>
      </c>
      <c r="C34" s="1" t="s">
        <v>830</v>
      </c>
      <c r="D34" s="1">
        <v>738</v>
      </c>
      <c r="E34" s="1" t="s">
        <v>15</v>
      </c>
      <c r="F34" s="26">
        <v>192</v>
      </c>
      <c r="G34" s="26">
        <v>0</v>
      </c>
      <c r="H34" s="26">
        <v>192</v>
      </c>
      <c r="I34" s="26">
        <v>2378242.9440000001</v>
      </c>
      <c r="J34" s="26">
        <v>8640000</v>
      </c>
    </row>
    <row r="35" spans="1:10">
      <c r="A35" s="24">
        <v>33</v>
      </c>
      <c r="B35" s="24">
        <f t="shared" si="0"/>
        <v>18</v>
      </c>
      <c r="C35" s="1" t="s">
        <v>830</v>
      </c>
      <c r="D35" s="1">
        <v>712</v>
      </c>
      <c r="E35" s="1" t="s">
        <v>15</v>
      </c>
      <c r="F35" s="26">
        <v>192</v>
      </c>
      <c r="G35" s="26">
        <v>0</v>
      </c>
      <c r="H35" s="26">
        <v>192</v>
      </c>
      <c r="I35" s="26">
        <v>2378242.9440000001</v>
      </c>
      <c r="J35" s="26">
        <v>8640000</v>
      </c>
    </row>
    <row r="36" spans="1:10">
      <c r="A36" s="24">
        <v>34</v>
      </c>
      <c r="B36" s="24">
        <f t="shared" si="0"/>
        <v>18</v>
      </c>
      <c r="C36" s="1" t="s">
        <v>830</v>
      </c>
      <c r="D36" s="1">
        <v>758</v>
      </c>
      <c r="E36" s="1" t="s">
        <v>15</v>
      </c>
      <c r="F36" s="26">
        <v>96</v>
      </c>
      <c r="G36" s="26">
        <v>0</v>
      </c>
      <c r="H36" s="26">
        <v>96</v>
      </c>
      <c r="I36" s="26">
        <v>1189121.4720000001</v>
      </c>
      <c r="J36" s="26">
        <v>4320000</v>
      </c>
    </row>
    <row r="37" spans="1:10">
      <c r="A37" s="24">
        <v>35</v>
      </c>
      <c r="B37" s="24">
        <f t="shared" si="0"/>
        <v>19</v>
      </c>
      <c r="C37" s="1" t="s">
        <v>775</v>
      </c>
      <c r="F37" s="26">
        <v>14112</v>
      </c>
      <c r="G37" s="26">
        <v>0</v>
      </c>
      <c r="H37" s="26">
        <v>14124</v>
      </c>
      <c r="I37" s="26">
        <v>173312508.60000005</v>
      </c>
      <c r="J37" s="26">
        <v>632028000</v>
      </c>
    </row>
    <row r="38" spans="1:10">
      <c r="A38" s="24">
        <v>36</v>
      </c>
      <c r="B38" s="24">
        <f t="shared" si="0"/>
        <v>20</v>
      </c>
      <c r="C38" s="1" t="s">
        <v>831</v>
      </c>
      <c r="D38" s="1" t="s">
        <v>4</v>
      </c>
      <c r="E38" s="1" t="s">
        <v>15</v>
      </c>
      <c r="F38" s="26">
        <v>996</v>
      </c>
      <c r="G38" s="26">
        <v>0</v>
      </c>
      <c r="H38" s="26">
        <v>996</v>
      </c>
      <c r="I38" s="26">
        <v>11492296.200000001</v>
      </c>
      <c r="J38" s="26">
        <v>42828000</v>
      </c>
    </row>
    <row r="39" spans="1:10">
      <c r="A39" s="24">
        <v>37</v>
      </c>
      <c r="B39" s="24">
        <f t="shared" si="0"/>
        <v>21</v>
      </c>
      <c r="C39" s="1" t="s">
        <v>832</v>
      </c>
      <c r="D39" s="1" t="s">
        <v>4</v>
      </c>
      <c r="E39" s="1" t="s">
        <v>15</v>
      </c>
      <c r="F39" s="26">
        <v>996</v>
      </c>
      <c r="G39" s="26">
        <v>0</v>
      </c>
      <c r="H39" s="26">
        <v>996</v>
      </c>
      <c r="I39" s="26">
        <v>11492296.200000001</v>
      </c>
      <c r="J39" s="26">
        <v>42828000</v>
      </c>
    </row>
    <row r="40" spans="1:10">
      <c r="A40" s="24">
        <v>38</v>
      </c>
      <c r="B40" s="24">
        <f t="shared" si="0"/>
        <v>22</v>
      </c>
      <c r="C40" s="1" t="s">
        <v>833</v>
      </c>
      <c r="D40" s="1" t="s">
        <v>4</v>
      </c>
      <c r="E40" s="1" t="s">
        <v>15</v>
      </c>
      <c r="F40" s="26">
        <v>792</v>
      </c>
      <c r="G40" s="26">
        <v>0</v>
      </c>
      <c r="H40" s="26">
        <v>792</v>
      </c>
      <c r="I40" s="26">
        <v>9138452.4000000004</v>
      </c>
      <c r="J40" s="26">
        <v>34056000</v>
      </c>
    </row>
    <row r="41" spans="1:10">
      <c r="A41" s="24">
        <v>39</v>
      </c>
      <c r="B41" s="24">
        <f t="shared" si="0"/>
        <v>23</v>
      </c>
      <c r="C41" s="1" t="s">
        <v>834</v>
      </c>
      <c r="D41" s="1" t="s">
        <v>4</v>
      </c>
      <c r="E41" s="1" t="s">
        <v>15</v>
      </c>
      <c r="F41" s="26">
        <v>792</v>
      </c>
      <c r="G41" s="26">
        <v>0</v>
      </c>
      <c r="H41" s="26">
        <v>792</v>
      </c>
      <c r="I41" s="26">
        <v>9138452.4000000004</v>
      </c>
      <c r="J41" s="26">
        <v>34056000</v>
      </c>
    </row>
    <row r="42" spans="1:10">
      <c r="A42" s="24">
        <v>40</v>
      </c>
      <c r="B42" s="24">
        <f t="shared" si="0"/>
        <v>24</v>
      </c>
      <c r="C42" s="1" t="s">
        <v>775</v>
      </c>
      <c r="F42" s="26">
        <v>3576</v>
      </c>
      <c r="G42" s="26">
        <v>0</v>
      </c>
      <c r="H42" s="26">
        <v>3576</v>
      </c>
      <c r="I42" s="26">
        <v>41261497.200000003</v>
      </c>
      <c r="J42" s="26">
        <v>153768000</v>
      </c>
    </row>
    <row r="43" spans="1:10">
      <c r="A43" s="24">
        <v>41</v>
      </c>
      <c r="B43" s="24">
        <f t="shared" si="0"/>
        <v>25</v>
      </c>
      <c r="C43" s="1" t="s">
        <v>835</v>
      </c>
      <c r="D43" s="1" t="s">
        <v>4</v>
      </c>
      <c r="E43" s="1" t="s">
        <v>15</v>
      </c>
      <c r="F43" s="26">
        <v>288</v>
      </c>
      <c r="G43" s="26">
        <v>0</v>
      </c>
      <c r="H43" s="26">
        <v>288</v>
      </c>
      <c r="I43" s="26">
        <v>4849891.2</v>
      </c>
      <c r="J43" s="26">
        <v>14112000</v>
      </c>
    </row>
    <row r="44" spans="1:10">
      <c r="A44" s="24">
        <v>42</v>
      </c>
      <c r="B44" s="24">
        <f t="shared" si="0"/>
        <v>26</v>
      </c>
      <c r="C44" s="1" t="s">
        <v>836</v>
      </c>
      <c r="D44" s="1" t="s">
        <v>4</v>
      </c>
      <c r="E44" s="1" t="s">
        <v>15</v>
      </c>
      <c r="F44" s="26">
        <v>288</v>
      </c>
      <c r="G44" s="26">
        <v>0</v>
      </c>
      <c r="H44" s="26">
        <v>288</v>
      </c>
      <c r="I44" s="26">
        <v>4526565.12</v>
      </c>
      <c r="J44" s="26">
        <v>14112000</v>
      </c>
    </row>
    <row r="45" spans="1:10">
      <c r="A45" s="24">
        <v>43</v>
      </c>
      <c r="B45" s="24">
        <f t="shared" si="0"/>
        <v>27</v>
      </c>
      <c r="C45" s="1" t="s">
        <v>837</v>
      </c>
      <c r="D45" s="1" t="s">
        <v>4</v>
      </c>
      <c r="E45" s="1" t="s">
        <v>15</v>
      </c>
      <c r="F45" s="26">
        <v>288</v>
      </c>
      <c r="G45" s="26">
        <v>0</v>
      </c>
      <c r="H45" s="26">
        <v>288</v>
      </c>
      <c r="I45" s="26">
        <v>4526565.12</v>
      </c>
      <c r="J45" s="26">
        <v>14112000</v>
      </c>
    </row>
    <row r="46" spans="1:10">
      <c r="A46" s="24">
        <v>44</v>
      </c>
      <c r="B46" s="24">
        <f t="shared" si="0"/>
        <v>28</v>
      </c>
      <c r="C46" s="1" t="s">
        <v>838</v>
      </c>
      <c r="D46" s="1">
        <v>714</v>
      </c>
      <c r="E46" s="1" t="s">
        <v>15</v>
      </c>
      <c r="F46" s="26">
        <v>10</v>
      </c>
      <c r="G46" s="26">
        <v>0</v>
      </c>
      <c r="H46" s="26">
        <v>48</v>
      </c>
      <c r="I46" s="26">
        <v>862202.88000000012</v>
      </c>
      <c r="J46" s="26">
        <v>2352000</v>
      </c>
    </row>
    <row r="47" spans="1:10">
      <c r="A47" s="24">
        <v>45</v>
      </c>
      <c r="B47" s="24">
        <f t="shared" si="0"/>
        <v>28</v>
      </c>
      <c r="C47" s="1" t="s">
        <v>838</v>
      </c>
      <c r="D47" s="1">
        <v>738</v>
      </c>
      <c r="E47" s="1" t="s">
        <v>15</v>
      </c>
      <c r="F47" s="26">
        <v>84</v>
      </c>
      <c r="G47" s="26">
        <v>0</v>
      </c>
      <c r="H47" s="26">
        <v>84</v>
      </c>
      <c r="I47" s="26">
        <v>1508855.04</v>
      </c>
      <c r="J47" s="26">
        <v>4116000</v>
      </c>
    </row>
    <row r="48" spans="1:10">
      <c r="A48" s="24">
        <v>46</v>
      </c>
      <c r="B48" s="24">
        <f t="shared" si="0"/>
        <v>28</v>
      </c>
      <c r="C48" s="1" t="s">
        <v>838</v>
      </c>
      <c r="D48" s="1">
        <v>712</v>
      </c>
      <c r="E48" s="1" t="s">
        <v>15</v>
      </c>
      <c r="F48" s="26">
        <v>0</v>
      </c>
      <c r="G48" s="26">
        <v>0</v>
      </c>
      <c r="H48" s="26">
        <v>84</v>
      </c>
      <c r="I48" s="26">
        <v>1508855.04</v>
      </c>
      <c r="J48" s="26">
        <v>4116000</v>
      </c>
    </row>
    <row r="49" spans="1:10">
      <c r="A49" s="24">
        <v>47</v>
      </c>
      <c r="B49" s="24">
        <f t="shared" si="0"/>
        <v>28</v>
      </c>
      <c r="C49" s="1" t="s">
        <v>838</v>
      </c>
      <c r="D49" s="1">
        <v>758</v>
      </c>
      <c r="E49" s="1" t="s">
        <v>15</v>
      </c>
      <c r="F49" s="26">
        <v>0</v>
      </c>
      <c r="G49" s="26">
        <v>0</v>
      </c>
      <c r="H49" s="26">
        <v>60</v>
      </c>
      <c r="I49" s="26">
        <v>1077753.6000000001</v>
      </c>
      <c r="J49" s="26">
        <v>2940000</v>
      </c>
    </row>
    <row r="50" spans="1:10">
      <c r="A50" s="24">
        <v>48</v>
      </c>
      <c r="B50" s="24">
        <f t="shared" si="0"/>
        <v>28</v>
      </c>
      <c r="C50" s="1" t="s">
        <v>838</v>
      </c>
      <c r="D50" s="1">
        <v>734</v>
      </c>
      <c r="E50" s="1" t="s">
        <v>15</v>
      </c>
      <c r="F50" s="26">
        <v>1</v>
      </c>
      <c r="G50" s="26">
        <v>0</v>
      </c>
      <c r="H50" s="26">
        <v>48</v>
      </c>
      <c r="I50" s="26">
        <v>862202.88000000012</v>
      </c>
      <c r="J50" s="26">
        <v>2352000</v>
      </c>
    </row>
    <row r="51" spans="1:10">
      <c r="A51" s="24">
        <v>49</v>
      </c>
      <c r="B51" s="24">
        <f t="shared" si="0"/>
        <v>28</v>
      </c>
      <c r="C51" s="1" t="s">
        <v>838</v>
      </c>
      <c r="D51" s="1">
        <v>778</v>
      </c>
      <c r="E51" s="1" t="s">
        <v>15</v>
      </c>
      <c r="F51" s="26">
        <v>36</v>
      </c>
      <c r="G51" s="26">
        <v>0</v>
      </c>
      <c r="H51" s="26">
        <v>36</v>
      </c>
      <c r="I51" s="26">
        <v>646652.16000000003</v>
      </c>
      <c r="J51" s="26">
        <v>1764000</v>
      </c>
    </row>
    <row r="52" spans="1:10">
      <c r="A52" s="24">
        <v>50</v>
      </c>
      <c r="B52" s="24">
        <f t="shared" si="0"/>
        <v>29</v>
      </c>
      <c r="C52" s="1" t="s">
        <v>839</v>
      </c>
      <c r="D52" s="1">
        <v>714</v>
      </c>
      <c r="E52" s="1" t="s">
        <v>15</v>
      </c>
      <c r="F52" s="26">
        <v>0</v>
      </c>
      <c r="G52" s="26">
        <v>0</v>
      </c>
      <c r="H52" s="26">
        <v>48</v>
      </c>
      <c r="I52" s="26">
        <v>862202.88000000012</v>
      </c>
      <c r="J52" s="26">
        <v>2352000</v>
      </c>
    </row>
    <row r="53" spans="1:10">
      <c r="A53" s="24">
        <v>51</v>
      </c>
      <c r="B53" s="24">
        <f t="shared" si="0"/>
        <v>29</v>
      </c>
      <c r="C53" s="1" t="s">
        <v>839</v>
      </c>
      <c r="D53" s="1">
        <v>738</v>
      </c>
      <c r="E53" s="1" t="s">
        <v>15</v>
      </c>
      <c r="F53" s="26">
        <v>0</v>
      </c>
      <c r="G53" s="26">
        <v>0</v>
      </c>
      <c r="H53" s="26">
        <v>84</v>
      </c>
      <c r="I53" s="26">
        <v>1508855.04</v>
      </c>
      <c r="J53" s="26">
        <v>4116000</v>
      </c>
    </row>
    <row r="54" spans="1:10">
      <c r="A54" s="24">
        <v>52</v>
      </c>
      <c r="B54" s="24">
        <f t="shared" si="0"/>
        <v>29</v>
      </c>
      <c r="C54" s="1" t="s">
        <v>839</v>
      </c>
      <c r="D54" s="1">
        <v>712</v>
      </c>
      <c r="E54" s="1" t="s">
        <v>15</v>
      </c>
      <c r="F54" s="26">
        <v>0</v>
      </c>
      <c r="G54" s="26">
        <v>0</v>
      </c>
      <c r="H54" s="26">
        <v>84</v>
      </c>
      <c r="I54" s="26">
        <v>1508855.04</v>
      </c>
      <c r="J54" s="26">
        <v>4116000</v>
      </c>
    </row>
    <row r="55" spans="1:10">
      <c r="A55" s="24">
        <v>53</v>
      </c>
      <c r="B55" s="24">
        <f t="shared" si="0"/>
        <v>29</v>
      </c>
      <c r="C55" s="1" t="s">
        <v>839</v>
      </c>
      <c r="D55" s="1">
        <v>758</v>
      </c>
      <c r="E55" s="1" t="s">
        <v>15</v>
      </c>
      <c r="F55" s="26">
        <v>0</v>
      </c>
      <c r="G55" s="26">
        <v>0</v>
      </c>
      <c r="H55" s="26">
        <v>60</v>
      </c>
      <c r="I55" s="26">
        <v>1077753.6000000001</v>
      </c>
      <c r="J55" s="26">
        <v>2940000</v>
      </c>
    </row>
    <row r="56" spans="1:10">
      <c r="A56" s="24">
        <v>54</v>
      </c>
      <c r="B56" s="24">
        <f t="shared" si="0"/>
        <v>29</v>
      </c>
      <c r="C56" s="1" t="s">
        <v>839</v>
      </c>
      <c r="D56" s="1">
        <v>734</v>
      </c>
      <c r="E56" s="1" t="s">
        <v>15</v>
      </c>
      <c r="F56" s="26">
        <v>0</v>
      </c>
      <c r="G56" s="26">
        <v>0</v>
      </c>
      <c r="H56" s="26">
        <v>48</v>
      </c>
      <c r="I56" s="26">
        <v>862202.88000000012</v>
      </c>
      <c r="J56" s="26">
        <v>2352000</v>
      </c>
    </row>
    <row r="57" spans="1:10">
      <c r="A57" s="24">
        <v>55</v>
      </c>
      <c r="B57" s="24">
        <f t="shared" si="0"/>
        <v>29</v>
      </c>
      <c r="C57" s="1" t="s">
        <v>839</v>
      </c>
      <c r="D57" s="1">
        <v>778</v>
      </c>
      <c r="E57" s="1" t="s">
        <v>15</v>
      </c>
      <c r="F57" s="26">
        <v>0</v>
      </c>
      <c r="G57" s="26">
        <v>0</v>
      </c>
      <c r="H57" s="26">
        <v>36</v>
      </c>
      <c r="I57" s="26">
        <v>646652.16000000003</v>
      </c>
      <c r="J57" s="26">
        <v>1764000</v>
      </c>
    </row>
    <row r="58" spans="1:10">
      <c r="A58" s="24">
        <v>56</v>
      </c>
      <c r="B58" s="24">
        <f t="shared" si="0"/>
        <v>30</v>
      </c>
      <c r="C58" s="1" t="s">
        <v>840</v>
      </c>
      <c r="D58" s="1">
        <v>714</v>
      </c>
      <c r="E58" s="1" t="s">
        <v>15</v>
      </c>
      <c r="F58" s="26">
        <v>0</v>
      </c>
      <c r="G58" s="26">
        <v>0</v>
      </c>
      <c r="H58" s="26">
        <v>48</v>
      </c>
      <c r="I58" s="26">
        <v>862202.88000000012</v>
      </c>
      <c r="J58" s="26">
        <v>2352000</v>
      </c>
    </row>
    <row r="59" spans="1:10">
      <c r="A59" s="24">
        <v>57</v>
      </c>
      <c r="B59" s="24">
        <f t="shared" si="0"/>
        <v>30</v>
      </c>
      <c r="C59" s="1" t="s">
        <v>840</v>
      </c>
      <c r="D59" s="1">
        <v>738</v>
      </c>
      <c r="E59" s="1" t="s">
        <v>15</v>
      </c>
      <c r="F59" s="26">
        <v>0</v>
      </c>
      <c r="G59" s="26">
        <v>0</v>
      </c>
      <c r="H59" s="26">
        <v>84</v>
      </c>
      <c r="I59" s="26">
        <v>1508855.04</v>
      </c>
      <c r="J59" s="26">
        <v>4116000</v>
      </c>
    </row>
    <row r="60" spans="1:10">
      <c r="A60" s="24">
        <v>58</v>
      </c>
      <c r="B60" s="24">
        <f t="shared" si="0"/>
        <v>30</v>
      </c>
      <c r="C60" s="1" t="s">
        <v>840</v>
      </c>
      <c r="D60" s="1">
        <v>712</v>
      </c>
      <c r="E60" s="1" t="s">
        <v>15</v>
      </c>
      <c r="F60" s="26">
        <v>0</v>
      </c>
      <c r="G60" s="26">
        <v>0</v>
      </c>
      <c r="H60" s="26">
        <v>84</v>
      </c>
      <c r="I60" s="26">
        <v>1508855.04</v>
      </c>
      <c r="J60" s="26">
        <v>4116000</v>
      </c>
    </row>
    <row r="61" spans="1:10">
      <c r="A61" s="24">
        <v>59</v>
      </c>
      <c r="B61" s="24">
        <f t="shared" si="0"/>
        <v>30</v>
      </c>
      <c r="C61" s="1" t="s">
        <v>840</v>
      </c>
      <c r="D61" s="1">
        <v>758</v>
      </c>
      <c r="E61" s="1" t="s">
        <v>15</v>
      </c>
      <c r="F61" s="26">
        <v>0</v>
      </c>
      <c r="G61" s="26">
        <v>0</v>
      </c>
      <c r="H61" s="26">
        <v>60</v>
      </c>
      <c r="I61" s="26">
        <v>1077753.6000000001</v>
      </c>
      <c r="J61" s="26">
        <v>2940000</v>
      </c>
    </row>
    <row r="62" spans="1:10">
      <c r="A62" s="24">
        <v>60</v>
      </c>
      <c r="B62" s="24">
        <f t="shared" si="0"/>
        <v>30</v>
      </c>
      <c r="C62" s="1" t="s">
        <v>840</v>
      </c>
      <c r="D62" s="1">
        <v>734</v>
      </c>
      <c r="E62" s="1" t="s">
        <v>15</v>
      </c>
      <c r="F62" s="26">
        <v>0</v>
      </c>
      <c r="G62" s="26">
        <v>0</v>
      </c>
      <c r="H62" s="26">
        <v>48</v>
      </c>
      <c r="I62" s="26">
        <v>862202.88000000012</v>
      </c>
      <c r="J62" s="26">
        <v>2352000</v>
      </c>
    </row>
    <row r="63" spans="1:10">
      <c r="A63" s="24">
        <v>61</v>
      </c>
      <c r="B63" s="24">
        <f t="shared" si="0"/>
        <v>30</v>
      </c>
      <c r="C63" s="1" t="s">
        <v>840</v>
      </c>
      <c r="D63" s="1">
        <v>778</v>
      </c>
      <c r="E63" s="1" t="s">
        <v>15</v>
      </c>
      <c r="F63" s="26">
        <v>0</v>
      </c>
      <c r="G63" s="26">
        <v>0</v>
      </c>
      <c r="H63" s="26">
        <v>36</v>
      </c>
      <c r="I63" s="26">
        <v>646652.16000000003</v>
      </c>
      <c r="J63" s="26">
        <v>1764000</v>
      </c>
    </row>
    <row r="64" spans="1:10">
      <c r="A64" s="24">
        <v>62</v>
      </c>
      <c r="B64" s="24">
        <f t="shared" si="0"/>
        <v>31</v>
      </c>
      <c r="C64" s="1" t="s">
        <v>841</v>
      </c>
      <c r="D64" s="1">
        <v>714</v>
      </c>
      <c r="E64" s="1" t="s">
        <v>15</v>
      </c>
      <c r="F64" s="26">
        <v>0</v>
      </c>
      <c r="G64" s="26">
        <v>0</v>
      </c>
      <c r="H64" s="26">
        <v>48</v>
      </c>
      <c r="I64" s="26">
        <v>862202.88000000012</v>
      </c>
      <c r="J64" s="26">
        <v>2352000</v>
      </c>
    </row>
    <row r="65" spans="1:10">
      <c r="A65" s="24">
        <v>63</v>
      </c>
      <c r="B65" s="24">
        <f t="shared" si="0"/>
        <v>31</v>
      </c>
      <c r="C65" s="1" t="s">
        <v>841</v>
      </c>
      <c r="D65" s="1">
        <v>738</v>
      </c>
      <c r="E65" s="1" t="s">
        <v>15</v>
      </c>
      <c r="F65" s="26">
        <v>0</v>
      </c>
      <c r="G65" s="26">
        <v>0</v>
      </c>
      <c r="H65" s="26">
        <v>84</v>
      </c>
      <c r="I65" s="26">
        <v>1508855.04</v>
      </c>
      <c r="J65" s="26">
        <v>4116000</v>
      </c>
    </row>
    <row r="66" spans="1:10">
      <c r="A66" s="24">
        <v>64</v>
      </c>
      <c r="B66" s="24">
        <f t="shared" si="0"/>
        <v>31</v>
      </c>
      <c r="C66" s="1" t="s">
        <v>841</v>
      </c>
      <c r="D66" s="1">
        <v>712</v>
      </c>
      <c r="E66" s="1" t="s">
        <v>15</v>
      </c>
      <c r="F66" s="26">
        <v>0</v>
      </c>
      <c r="G66" s="26">
        <v>0</v>
      </c>
      <c r="H66" s="26">
        <v>84</v>
      </c>
      <c r="I66" s="26">
        <v>1508855.04</v>
      </c>
      <c r="J66" s="26">
        <v>4116000</v>
      </c>
    </row>
    <row r="67" spans="1:10">
      <c r="A67" s="24">
        <v>65</v>
      </c>
      <c r="B67" s="24">
        <f t="shared" si="0"/>
        <v>31</v>
      </c>
      <c r="C67" s="1" t="s">
        <v>841</v>
      </c>
      <c r="D67" s="1">
        <v>758</v>
      </c>
      <c r="E67" s="1" t="s">
        <v>15</v>
      </c>
      <c r="F67" s="26">
        <v>0</v>
      </c>
      <c r="G67" s="26">
        <v>0</v>
      </c>
      <c r="H67" s="26">
        <v>60</v>
      </c>
      <c r="I67" s="26">
        <v>1077753.6000000001</v>
      </c>
      <c r="J67" s="26">
        <v>2940000</v>
      </c>
    </row>
    <row r="68" spans="1:10">
      <c r="A68" s="24">
        <v>66</v>
      </c>
      <c r="B68" s="24">
        <f t="shared" ref="B68:B131" si="1">IF(C67=C68,B67,B67+1)</f>
        <v>31</v>
      </c>
      <c r="C68" s="1" t="s">
        <v>841</v>
      </c>
      <c r="D68" s="1">
        <v>734</v>
      </c>
      <c r="E68" s="1" t="s">
        <v>15</v>
      </c>
      <c r="F68" s="26">
        <v>0</v>
      </c>
      <c r="G68" s="26">
        <v>0</v>
      </c>
      <c r="H68" s="26">
        <v>48</v>
      </c>
      <c r="I68" s="26">
        <v>862202.88000000012</v>
      </c>
      <c r="J68" s="26">
        <v>2352000</v>
      </c>
    </row>
    <row r="69" spans="1:10">
      <c r="A69" s="24">
        <v>67</v>
      </c>
      <c r="B69" s="24">
        <f t="shared" si="1"/>
        <v>31</v>
      </c>
      <c r="C69" s="1" t="s">
        <v>841</v>
      </c>
      <c r="D69" s="1">
        <v>778</v>
      </c>
      <c r="E69" s="1" t="s">
        <v>15</v>
      </c>
      <c r="F69" s="26">
        <v>0</v>
      </c>
      <c r="G69" s="26">
        <v>0</v>
      </c>
      <c r="H69" s="26">
        <v>36</v>
      </c>
      <c r="I69" s="26">
        <v>646652.16000000003</v>
      </c>
      <c r="J69" s="26">
        <v>1764000</v>
      </c>
    </row>
    <row r="70" spans="1:10">
      <c r="A70" s="24">
        <v>68</v>
      </c>
      <c r="B70" s="24">
        <f t="shared" si="1"/>
        <v>32</v>
      </c>
      <c r="C70" s="1" t="s">
        <v>775</v>
      </c>
      <c r="F70" s="26">
        <v>995</v>
      </c>
      <c r="G70" s="26">
        <v>0</v>
      </c>
      <c r="H70" s="26">
        <v>2304</v>
      </c>
      <c r="I70" s="26">
        <v>39769107.839999996</v>
      </c>
      <c r="J70" s="26">
        <v>112896000</v>
      </c>
    </row>
    <row r="71" spans="1:10">
      <c r="A71" s="24">
        <v>69</v>
      </c>
      <c r="B71" s="24">
        <f t="shared" si="1"/>
        <v>33</v>
      </c>
      <c r="C71" s="1" t="s">
        <v>842</v>
      </c>
      <c r="D71" s="1" t="s">
        <v>8</v>
      </c>
      <c r="E71" s="1" t="s">
        <v>15</v>
      </c>
      <c r="F71" s="26">
        <v>191</v>
      </c>
      <c r="G71" s="26">
        <v>0</v>
      </c>
      <c r="H71" s="26">
        <v>192</v>
      </c>
      <c r="I71" s="26">
        <v>1928486.4000000001</v>
      </c>
      <c r="J71" s="26">
        <v>9408000</v>
      </c>
    </row>
    <row r="72" spans="1:10">
      <c r="A72" s="24">
        <v>70</v>
      </c>
      <c r="B72" s="24">
        <f t="shared" si="1"/>
        <v>33</v>
      </c>
      <c r="C72" s="1" t="s">
        <v>842</v>
      </c>
      <c r="D72" s="1" t="s">
        <v>9</v>
      </c>
      <c r="E72" s="1" t="s">
        <v>15</v>
      </c>
      <c r="F72" s="26">
        <v>168</v>
      </c>
      <c r="G72" s="26">
        <v>0</v>
      </c>
      <c r="H72" s="26">
        <v>168</v>
      </c>
      <c r="I72" s="26">
        <v>1687425.6</v>
      </c>
      <c r="J72" s="26">
        <v>8232000</v>
      </c>
    </row>
    <row r="73" spans="1:10">
      <c r="A73" s="24">
        <v>71</v>
      </c>
      <c r="B73" s="24">
        <f t="shared" si="1"/>
        <v>34</v>
      </c>
      <c r="C73" s="1" t="s">
        <v>843</v>
      </c>
      <c r="D73" s="1" t="s">
        <v>8</v>
      </c>
      <c r="E73" s="1" t="s">
        <v>15</v>
      </c>
      <c r="F73" s="26">
        <v>192</v>
      </c>
      <c r="G73" s="26">
        <v>0</v>
      </c>
      <c r="H73" s="26">
        <v>192</v>
      </c>
      <c r="I73" s="26">
        <v>1808736</v>
      </c>
      <c r="J73" s="26">
        <v>8640000</v>
      </c>
    </row>
    <row r="74" spans="1:10">
      <c r="A74" s="24">
        <v>72</v>
      </c>
      <c r="B74" s="24">
        <f t="shared" si="1"/>
        <v>34</v>
      </c>
      <c r="C74" s="1" t="s">
        <v>843</v>
      </c>
      <c r="D74" s="1" t="s">
        <v>9</v>
      </c>
      <c r="E74" s="1" t="s">
        <v>15</v>
      </c>
      <c r="F74" s="26">
        <v>168</v>
      </c>
      <c r="G74" s="26">
        <v>0</v>
      </c>
      <c r="H74" s="26">
        <v>168</v>
      </c>
      <c r="I74" s="26">
        <v>1582644</v>
      </c>
      <c r="J74" s="26">
        <v>7560000</v>
      </c>
    </row>
    <row r="75" spans="1:10">
      <c r="A75" s="24">
        <v>73</v>
      </c>
      <c r="B75" s="24">
        <f t="shared" si="1"/>
        <v>35</v>
      </c>
      <c r="C75" s="1" t="s">
        <v>844</v>
      </c>
      <c r="D75" s="1" t="s">
        <v>8</v>
      </c>
      <c r="E75" s="1" t="s">
        <v>15</v>
      </c>
      <c r="F75" s="26">
        <v>191</v>
      </c>
      <c r="G75" s="26">
        <v>0</v>
      </c>
      <c r="H75" s="26">
        <v>192</v>
      </c>
      <c r="I75" s="26">
        <v>2287737.5999999996</v>
      </c>
      <c r="J75" s="26">
        <v>10560000</v>
      </c>
    </row>
    <row r="76" spans="1:10">
      <c r="A76" s="24">
        <v>74</v>
      </c>
      <c r="B76" s="24">
        <f t="shared" si="1"/>
        <v>35</v>
      </c>
      <c r="C76" s="1" t="s">
        <v>844</v>
      </c>
      <c r="D76" s="1" t="s">
        <v>9</v>
      </c>
      <c r="E76" s="1" t="s">
        <v>15</v>
      </c>
      <c r="F76" s="26">
        <v>168</v>
      </c>
      <c r="G76" s="26">
        <v>0</v>
      </c>
      <c r="H76" s="26">
        <v>168</v>
      </c>
      <c r="I76" s="26">
        <v>2001770.4</v>
      </c>
      <c r="J76" s="26">
        <v>9240000</v>
      </c>
    </row>
    <row r="77" spans="1:10">
      <c r="A77" s="24">
        <v>75</v>
      </c>
      <c r="B77" s="24">
        <f t="shared" si="1"/>
        <v>36</v>
      </c>
      <c r="C77" s="1" t="s">
        <v>845</v>
      </c>
      <c r="D77" s="1" t="s">
        <v>8</v>
      </c>
      <c r="E77" s="1" t="s">
        <v>15</v>
      </c>
      <c r="F77" s="26">
        <v>144</v>
      </c>
      <c r="G77" s="26">
        <v>0</v>
      </c>
      <c r="H77" s="26">
        <v>144</v>
      </c>
      <c r="I77" s="26">
        <v>2434305.6</v>
      </c>
      <c r="J77" s="26">
        <v>10800000</v>
      </c>
    </row>
    <row r="78" spans="1:10">
      <c r="A78" s="24">
        <v>76</v>
      </c>
      <c r="B78" s="24">
        <f t="shared" si="1"/>
        <v>36</v>
      </c>
      <c r="C78" s="1" t="s">
        <v>845</v>
      </c>
      <c r="D78" s="1" t="s">
        <v>9</v>
      </c>
      <c r="E78" s="1" t="s">
        <v>15</v>
      </c>
      <c r="F78" s="26">
        <v>144</v>
      </c>
      <c r="G78" s="26">
        <v>0</v>
      </c>
      <c r="H78" s="26">
        <v>144</v>
      </c>
      <c r="I78" s="26">
        <v>2434305.6</v>
      </c>
      <c r="J78" s="26">
        <v>10800000</v>
      </c>
    </row>
    <row r="79" spans="1:10">
      <c r="A79" s="24">
        <v>77</v>
      </c>
      <c r="B79" s="24">
        <f t="shared" si="1"/>
        <v>37</v>
      </c>
      <c r="C79" s="1" t="s">
        <v>846</v>
      </c>
      <c r="D79" s="1" t="s">
        <v>8</v>
      </c>
      <c r="E79" s="1" t="s">
        <v>15</v>
      </c>
      <c r="F79" s="26">
        <v>192</v>
      </c>
      <c r="G79" s="26">
        <v>0</v>
      </c>
      <c r="H79" s="26">
        <v>192</v>
      </c>
      <c r="I79" s="26">
        <v>1569235.2000000002</v>
      </c>
      <c r="J79" s="26">
        <v>7488000</v>
      </c>
    </row>
    <row r="80" spans="1:10">
      <c r="A80" s="24">
        <v>78</v>
      </c>
      <c r="B80" s="24">
        <f t="shared" si="1"/>
        <v>37</v>
      </c>
      <c r="C80" s="1" t="s">
        <v>846</v>
      </c>
      <c r="D80" s="1" t="s">
        <v>9</v>
      </c>
      <c r="E80" s="1" t="s">
        <v>15</v>
      </c>
      <c r="F80" s="26">
        <v>168</v>
      </c>
      <c r="G80" s="26">
        <v>0</v>
      </c>
      <c r="H80" s="26">
        <v>168</v>
      </c>
      <c r="I80" s="26">
        <v>1373080.8</v>
      </c>
      <c r="J80" s="26">
        <v>6552000</v>
      </c>
    </row>
    <row r="81" spans="1:10">
      <c r="A81" s="24">
        <v>79</v>
      </c>
      <c r="B81" s="24">
        <f t="shared" si="1"/>
        <v>38</v>
      </c>
      <c r="C81" s="1" t="s">
        <v>847</v>
      </c>
      <c r="D81" s="1" t="s">
        <v>8</v>
      </c>
      <c r="E81" s="1" t="s">
        <v>15</v>
      </c>
      <c r="F81" s="26">
        <v>192</v>
      </c>
      <c r="G81" s="26">
        <v>0</v>
      </c>
      <c r="H81" s="26">
        <v>192</v>
      </c>
      <c r="I81" s="26">
        <v>1569235.2000000002</v>
      </c>
      <c r="J81" s="26">
        <v>7488000</v>
      </c>
    </row>
    <row r="82" spans="1:10">
      <c r="A82" s="24">
        <v>80</v>
      </c>
      <c r="B82" s="24">
        <f t="shared" si="1"/>
        <v>38</v>
      </c>
      <c r="C82" s="1" t="s">
        <v>847</v>
      </c>
      <c r="D82" s="1" t="s">
        <v>9</v>
      </c>
      <c r="E82" s="1" t="s">
        <v>15</v>
      </c>
      <c r="F82" s="26">
        <v>168</v>
      </c>
      <c r="G82" s="26">
        <v>0</v>
      </c>
      <c r="H82" s="26">
        <v>168</v>
      </c>
      <c r="I82" s="26">
        <v>1373080.8</v>
      </c>
      <c r="J82" s="26">
        <v>6552000</v>
      </c>
    </row>
    <row r="83" spans="1:10">
      <c r="A83" s="24">
        <v>81</v>
      </c>
      <c r="B83" s="24">
        <f t="shared" si="1"/>
        <v>39</v>
      </c>
      <c r="C83" s="1" t="s">
        <v>848</v>
      </c>
      <c r="D83" s="1" t="s">
        <v>8</v>
      </c>
      <c r="E83" s="1" t="s">
        <v>15</v>
      </c>
      <c r="F83" s="26">
        <v>144</v>
      </c>
      <c r="G83" s="26">
        <v>0</v>
      </c>
      <c r="H83" s="26">
        <v>144</v>
      </c>
      <c r="I83" s="26">
        <v>1805616</v>
      </c>
      <c r="J83" s="26">
        <v>7920000</v>
      </c>
    </row>
    <row r="84" spans="1:10">
      <c r="A84" s="24">
        <v>82</v>
      </c>
      <c r="B84" s="24">
        <f t="shared" si="1"/>
        <v>39</v>
      </c>
      <c r="C84" s="1" t="s">
        <v>848</v>
      </c>
      <c r="D84" s="1" t="s">
        <v>9</v>
      </c>
      <c r="E84" s="1" t="s">
        <v>15</v>
      </c>
      <c r="F84" s="26">
        <v>144</v>
      </c>
      <c r="G84" s="26">
        <v>0</v>
      </c>
      <c r="H84" s="26">
        <v>144</v>
      </c>
      <c r="I84" s="26">
        <v>1805616</v>
      </c>
      <c r="J84" s="26">
        <v>7920000</v>
      </c>
    </row>
    <row r="85" spans="1:10">
      <c r="A85" s="24">
        <v>83</v>
      </c>
      <c r="B85" s="24">
        <f t="shared" si="1"/>
        <v>40</v>
      </c>
      <c r="C85" s="1" t="s">
        <v>849</v>
      </c>
      <c r="D85" s="1" t="s">
        <v>8</v>
      </c>
      <c r="E85" s="1" t="s">
        <v>15</v>
      </c>
      <c r="F85" s="26">
        <v>120</v>
      </c>
      <c r="G85" s="26">
        <v>0</v>
      </c>
      <c r="H85" s="26">
        <v>120</v>
      </c>
      <c r="I85" s="26">
        <v>1504680</v>
      </c>
      <c r="J85" s="26">
        <v>6600000</v>
      </c>
    </row>
    <row r="86" spans="1:10">
      <c r="A86" s="24">
        <v>84</v>
      </c>
      <c r="B86" s="24">
        <f t="shared" si="1"/>
        <v>40</v>
      </c>
      <c r="C86" s="1" t="s">
        <v>849</v>
      </c>
      <c r="D86" s="1" t="s">
        <v>9</v>
      </c>
      <c r="E86" s="1" t="s">
        <v>15</v>
      </c>
      <c r="F86" s="26">
        <v>120</v>
      </c>
      <c r="G86" s="26">
        <v>0</v>
      </c>
      <c r="H86" s="26">
        <v>120</v>
      </c>
      <c r="I86" s="26">
        <v>1504680</v>
      </c>
      <c r="J86" s="26">
        <v>6600000</v>
      </c>
    </row>
    <row r="87" spans="1:10">
      <c r="A87" s="24">
        <v>85</v>
      </c>
      <c r="B87" s="24">
        <f t="shared" si="1"/>
        <v>41</v>
      </c>
      <c r="C87" s="1" t="s">
        <v>850</v>
      </c>
      <c r="D87" s="1" t="s">
        <v>8</v>
      </c>
      <c r="E87" s="1" t="s">
        <v>15</v>
      </c>
      <c r="F87" s="26">
        <v>144</v>
      </c>
      <c r="G87" s="26">
        <v>0</v>
      </c>
      <c r="H87" s="26">
        <v>144</v>
      </c>
      <c r="I87" s="26">
        <v>1805616</v>
      </c>
      <c r="J87" s="26">
        <v>7920000</v>
      </c>
    </row>
    <row r="88" spans="1:10">
      <c r="A88" s="24">
        <v>86</v>
      </c>
      <c r="B88" s="24">
        <f t="shared" si="1"/>
        <v>41</v>
      </c>
      <c r="C88" s="1" t="s">
        <v>850</v>
      </c>
      <c r="D88" s="1" t="s">
        <v>9</v>
      </c>
      <c r="E88" s="1" t="s">
        <v>15</v>
      </c>
      <c r="F88" s="26">
        <v>144</v>
      </c>
      <c r="G88" s="26">
        <v>0</v>
      </c>
      <c r="H88" s="26">
        <v>144</v>
      </c>
      <c r="I88" s="26">
        <v>1805616</v>
      </c>
      <c r="J88" s="26">
        <v>7920000</v>
      </c>
    </row>
    <row r="89" spans="1:10">
      <c r="A89" s="24">
        <v>87</v>
      </c>
      <c r="B89" s="24">
        <f t="shared" si="1"/>
        <v>42</v>
      </c>
      <c r="C89" s="1" t="s">
        <v>851</v>
      </c>
      <c r="D89" s="1" t="s">
        <v>8</v>
      </c>
      <c r="E89" s="1" t="s">
        <v>15</v>
      </c>
      <c r="F89" s="26">
        <v>144</v>
      </c>
      <c r="G89" s="26">
        <v>0</v>
      </c>
      <c r="H89" s="26">
        <v>144</v>
      </c>
      <c r="I89" s="26">
        <v>2164867.2000000002</v>
      </c>
      <c r="J89" s="26">
        <v>9936000</v>
      </c>
    </row>
    <row r="90" spans="1:10">
      <c r="A90" s="24">
        <v>88</v>
      </c>
      <c r="B90" s="24">
        <f t="shared" si="1"/>
        <v>42</v>
      </c>
      <c r="C90" s="1" t="s">
        <v>851</v>
      </c>
      <c r="D90" s="1" t="s">
        <v>9</v>
      </c>
      <c r="E90" s="1" t="s">
        <v>15</v>
      </c>
      <c r="F90" s="26">
        <v>144</v>
      </c>
      <c r="G90" s="26">
        <v>0</v>
      </c>
      <c r="H90" s="26">
        <v>144</v>
      </c>
      <c r="I90" s="26">
        <v>2164867.2000000002</v>
      </c>
      <c r="J90" s="26">
        <v>9936000</v>
      </c>
    </row>
    <row r="91" spans="1:10">
      <c r="A91" s="24">
        <v>89</v>
      </c>
      <c r="B91" s="24">
        <f t="shared" si="1"/>
        <v>43</v>
      </c>
      <c r="C91" s="1" t="s">
        <v>852</v>
      </c>
      <c r="D91" s="1" t="s">
        <v>8</v>
      </c>
      <c r="E91" s="1" t="s">
        <v>15</v>
      </c>
      <c r="F91" s="26">
        <v>144</v>
      </c>
      <c r="G91" s="26">
        <v>0</v>
      </c>
      <c r="H91" s="26">
        <v>144</v>
      </c>
      <c r="I91" s="26">
        <v>2164867.2000000002</v>
      </c>
      <c r="J91" s="26">
        <v>9936000</v>
      </c>
    </row>
    <row r="92" spans="1:10">
      <c r="A92" s="24">
        <v>90</v>
      </c>
      <c r="B92" s="24">
        <f t="shared" si="1"/>
        <v>43</v>
      </c>
      <c r="C92" s="1" t="s">
        <v>852</v>
      </c>
      <c r="D92" s="1" t="s">
        <v>9</v>
      </c>
      <c r="E92" s="1" t="s">
        <v>15</v>
      </c>
      <c r="F92" s="26">
        <v>144</v>
      </c>
      <c r="G92" s="26">
        <v>0</v>
      </c>
      <c r="H92" s="26">
        <v>144</v>
      </c>
      <c r="I92" s="26">
        <v>2164867.2000000002</v>
      </c>
      <c r="J92" s="26">
        <v>9936000</v>
      </c>
    </row>
    <row r="93" spans="1:10">
      <c r="A93" s="24">
        <v>91</v>
      </c>
      <c r="B93" s="24">
        <f t="shared" si="1"/>
        <v>44</v>
      </c>
      <c r="C93" s="1" t="s">
        <v>853</v>
      </c>
      <c r="D93" s="1" t="s">
        <v>7</v>
      </c>
      <c r="E93" s="1" t="s">
        <v>15</v>
      </c>
      <c r="F93" s="26">
        <v>60</v>
      </c>
      <c r="G93" s="26">
        <v>0</v>
      </c>
      <c r="H93" s="26">
        <v>60</v>
      </c>
      <c r="I93" s="26">
        <v>1163982</v>
      </c>
      <c r="J93" s="26">
        <v>4740000</v>
      </c>
    </row>
    <row r="94" spans="1:10">
      <c r="A94" s="24">
        <v>92</v>
      </c>
      <c r="B94" s="24">
        <f t="shared" si="1"/>
        <v>44</v>
      </c>
      <c r="C94" s="1" t="s">
        <v>853</v>
      </c>
      <c r="D94" s="1" t="s">
        <v>8</v>
      </c>
      <c r="E94" s="1" t="s">
        <v>15</v>
      </c>
      <c r="F94" s="26">
        <v>120</v>
      </c>
      <c r="G94" s="26">
        <v>0</v>
      </c>
      <c r="H94" s="26">
        <v>120</v>
      </c>
      <c r="I94" s="26">
        <v>2327964</v>
      </c>
      <c r="J94" s="26">
        <v>9480000</v>
      </c>
    </row>
    <row r="95" spans="1:10">
      <c r="A95" s="24">
        <v>93</v>
      </c>
      <c r="B95" s="24">
        <f t="shared" si="1"/>
        <v>44</v>
      </c>
      <c r="C95" s="1" t="s">
        <v>853</v>
      </c>
      <c r="D95" s="1" t="s">
        <v>9</v>
      </c>
      <c r="E95" s="1" t="s">
        <v>15</v>
      </c>
      <c r="F95" s="26">
        <v>60</v>
      </c>
      <c r="G95" s="26">
        <v>0</v>
      </c>
      <c r="H95" s="26">
        <v>60</v>
      </c>
      <c r="I95" s="26">
        <v>1163982</v>
      </c>
      <c r="J95" s="26">
        <v>4740000</v>
      </c>
    </row>
    <row r="96" spans="1:10">
      <c r="A96" s="24">
        <v>94</v>
      </c>
      <c r="B96" s="24">
        <f t="shared" si="1"/>
        <v>45</v>
      </c>
      <c r="C96" s="1" t="s">
        <v>775</v>
      </c>
      <c r="F96" s="26">
        <v>3718</v>
      </c>
      <c r="G96" s="26">
        <v>0</v>
      </c>
      <c r="H96" s="26">
        <v>3720</v>
      </c>
      <c r="I96" s="26">
        <v>45597264.000000007</v>
      </c>
      <c r="J96" s="26">
        <v>206904000</v>
      </c>
    </row>
    <row r="97" spans="1:10">
      <c r="A97" s="24">
        <v>95</v>
      </c>
      <c r="B97" s="24">
        <f t="shared" si="1"/>
        <v>46</v>
      </c>
      <c r="C97" s="1" t="s">
        <v>854</v>
      </c>
      <c r="D97" s="1" t="s">
        <v>4</v>
      </c>
      <c r="E97" s="1" t="s">
        <v>14</v>
      </c>
      <c r="F97" s="26">
        <v>3000</v>
      </c>
      <c r="G97" s="26">
        <v>0</v>
      </c>
      <c r="H97" s="26">
        <v>3000</v>
      </c>
      <c r="I97" s="26">
        <v>23261640.000000004</v>
      </c>
      <c r="J97" s="26">
        <v>159000000</v>
      </c>
    </row>
    <row r="98" spans="1:10">
      <c r="A98" s="24">
        <v>96</v>
      </c>
      <c r="B98" s="24">
        <f t="shared" si="1"/>
        <v>47</v>
      </c>
      <c r="C98" s="1" t="s">
        <v>855</v>
      </c>
      <c r="D98" s="1" t="s">
        <v>4</v>
      </c>
      <c r="E98" s="1" t="s">
        <v>14</v>
      </c>
      <c r="F98" s="26">
        <v>999</v>
      </c>
      <c r="G98" s="26">
        <v>0</v>
      </c>
      <c r="H98" s="26">
        <v>1000</v>
      </c>
      <c r="I98" s="26">
        <v>5009600</v>
      </c>
      <c r="J98" s="26">
        <v>35000000</v>
      </c>
    </row>
    <row r="99" spans="1:10">
      <c r="A99" s="24">
        <v>97</v>
      </c>
      <c r="B99" s="24">
        <f t="shared" si="1"/>
        <v>48</v>
      </c>
      <c r="C99" s="1" t="s">
        <v>775</v>
      </c>
      <c r="F99" s="26">
        <v>3999</v>
      </c>
      <c r="G99" s="26">
        <v>0</v>
      </c>
      <c r="H99" s="26">
        <v>4000</v>
      </c>
      <c r="I99" s="26">
        <v>28271240.000000004</v>
      </c>
      <c r="J99" s="26">
        <v>194000000</v>
      </c>
    </row>
    <row r="100" spans="1:10">
      <c r="A100" s="24">
        <v>98</v>
      </c>
      <c r="B100" s="24">
        <f t="shared" si="1"/>
        <v>49</v>
      </c>
      <c r="C100" s="1" t="s">
        <v>856</v>
      </c>
      <c r="D100" s="1" t="s">
        <v>4</v>
      </c>
      <c r="E100" s="1" t="s">
        <v>14</v>
      </c>
      <c r="F100" s="26">
        <v>1507</v>
      </c>
      <c r="G100" s="26">
        <v>0</v>
      </c>
      <c r="H100" s="26">
        <v>1500</v>
      </c>
      <c r="I100" s="26">
        <v>9385500</v>
      </c>
      <c r="J100" s="26">
        <v>82500000</v>
      </c>
    </row>
    <row r="101" spans="1:10">
      <c r="A101" s="24">
        <v>99</v>
      </c>
      <c r="B101" s="24">
        <f t="shared" si="1"/>
        <v>50</v>
      </c>
      <c r="C101" s="1" t="s">
        <v>857</v>
      </c>
      <c r="D101" s="1" t="s">
        <v>4</v>
      </c>
      <c r="E101" s="1" t="s">
        <v>14</v>
      </c>
      <c r="F101" s="26">
        <v>1502</v>
      </c>
      <c r="G101" s="26">
        <v>0</v>
      </c>
      <c r="H101" s="26">
        <v>1500</v>
      </c>
      <c r="I101" s="26">
        <v>9385500</v>
      </c>
      <c r="J101" s="26">
        <v>82500000</v>
      </c>
    </row>
    <row r="102" spans="1:10">
      <c r="A102" s="24">
        <v>100</v>
      </c>
      <c r="B102" s="24">
        <f t="shared" si="1"/>
        <v>51</v>
      </c>
      <c r="C102" s="1" t="s">
        <v>858</v>
      </c>
      <c r="D102" s="1" t="s">
        <v>2</v>
      </c>
      <c r="E102" s="1" t="s">
        <v>14</v>
      </c>
      <c r="F102" s="26">
        <v>701</v>
      </c>
      <c r="G102" s="26">
        <v>0</v>
      </c>
      <c r="H102" s="26">
        <v>700</v>
      </c>
      <c r="I102" s="26">
        <v>4379900</v>
      </c>
      <c r="J102" s="26">
        <v>38500000</v>
      </c>
    </row>
    <row r="103" spans="1:10">
      <c r="A103" s="24">
        <v>101</v>
      </c>
      <c r="B103" s="24">
        <f t="shared" si="1"/>
        <v>51</v>
      </c>
      <c r="C103" s="1" t="s">
        <v>858</v>
      </c>
      <c r="D103" s="1" t="s">
        <v>3</v>
      </c>
      <c r="E103" s="1" t="s">
        <v>14</v>
      </c>
      <c r="F103" s="26">
        <v>803</v>
      </c>
      <c r="G103" s="26">
        <v>0</v>
      </c>
      <c r="H103" s="26">
        <v>800</v>
      </c>
      <c r="I103" s="26">
        <v>5005600</v>
      </c>
      <c r="J103" s="26">
        <v>44000000</v>
      </c>
    </row>
    <row r="104" spans="1:10">
      <c r="A104" s="24">
        <v>102</v>
      </c>
      <c r="B104" s="24">
        <f t="shared" si="1"/>
        <v>52</v>
      </c>
      <c r="C104" s="1" t="s">
        <v>775</v>
      </c>
      <c r="F104" s="26">
        <v>4513</v>
      </c>
      <c r="G104" s="26">
        <v>0</v>
      </c>
      <c r="H104" s="26">
        <v>4500</v>
      </c>
      <c r="I104" s="26">
        <v>28156500</v>
      </c>
      <c r="J104" s="26">
        <v>247500000</v>
      </c>
    </row>
    <row r="105" spans="1:10">
      <c r="A105" s="24">
        <v>103</v>
      </c>
      <c r="B105" s="24">
        <f t="shared" si="1"/>
        <v>53</v>
      </c>
      <c r="C105" s="1" t="s">
        <v>859</v>
      </c>
      <c r="D105" s="1" t="s">
        <v>2</v>
      </c>
      <c r="E105" s="1" t="s">
        <v>14</v>
      </c>
      <c r="F105" s="26">
        <v>2000</v>
      </c>
      <c r="G105" s="26">
        <v>0</v>
      </c>
      <c r="H105" s="26">
        <v>2000</v>
      </c>
      <c r="I105" s="26">
        <v>15944500.000000002</v>
      </c>
      <c r="J105" s="26">
        <v>110000000</v>
      </c>
    </row>
    <row r="106" spans="1:10">
      <c r="A106" s="24">
        <v>104</v>
      </c>
      <c r="B106" s="24">
        <f t="shared" si="1"/>
        <v>53</v>
      </c>
      <c r="C106" s="1" t="s">
        <v>859</v>
      </c>
      <c r="D106" s="1" t="s">
        <v>3</v>
      </c>
      <c r="E106" s="1" t="s">
        <v>14</v>
      </c>
      <c r="F106" s="26">
        <v>1000</v>
      </c>
      <c r="G106" s="26">
        <v>0</v>
      </c>
      <c r="H106" s="26">
        <v>1000</v>
      </c>
      <c r="I106" s="26">
        <v>7972250.0000000009</v>
      </c>
      <c r="J106" s="26">
        <v>55000000</v>
      </c>
    </row>
    <row r="107" spans="1:10">
      <c r="A107" s="24">
        <v>105</v>
      </c>
      <c r="B107" s="24">
        <f t="shared" si="1"/>
        <v>54</v>
      </c>
      <c r="C107" s="1" t="s">
        <v>775</v>
      </c>
      <c r="F107" s="26">
        <v>3000</v>
      </c>
      <c r="G107" s="26">
        <v>0</v>
      </c>
      <c r="H107" s="26">
        <v>3000</v>
      </c>
      <c r="I107" s="26">
        <v>23916750.000000004</v>
      </c>
      <c r="J107" s="26">
        <v>165000000</v>
      </c>
    </row>
    <row r="108" spans="1:10">
      <c r="A108" s="24">
        <v>106</v>
      </c>
      <c r="B108" s="24">
        <f t="shared" si="1"/>
        <v>55</v>
      </c>
      <c r="C108" s="1" t="s">
        <v>860</v>
      </c>
      <c r="D108" s="1" t="s">
        <v>4</v>
      </c>
      <c r="E108" s="1" t="s">
        <v>14</v>
      </c>
      <c r="F108" s="26">
        <v>1500</v>
      </c>
      <c r="G108" s="26">
        <v>0</v>
      </c>
      <c r="H108" s="26">
        <v>1500</v>
      </c>
      <c r="I108" s="26">
        <v>6017520</v>
      </c>
      <c r="J108" s="26">
        <v>82500000</v>
      </c>
    </row>
    <row r="109" spans="1:10">
      <c r="A109" s="24">
        <v>107</v>
      </c>
      <c r="B109" s="24">
        <f t="shared" si="1"/>
        <v>56</v>
      </c>
      <c r="C109" s="1" t="s">
        <v>775</v>
      </c>
      <c r="F109" s="26">
        <v>1500</v>
      </c>
      <c r="G109" s="26">
        <v>0</v>
      </c>
      <c r="H109" s="26">
        <v>1500</v>
      </c>
      <c r="I109" s="26">
        <v>6017520</v>
      </c>
      <c r="J109" s="26">
        <v>82500000</v>
      </c>
    </row>
    <row r="110" spans="1:10">
      <c r="A110" s="24">
        <v>108</v>
      </c>
      <c r="B110" s="24">
        <f t="shared" si="1"/>
        <v>57</v>
      </c>
      <c r="C110" s="1" t="s">
        <v>861</v>
      </c>
      <c r="D110" s="1" t="s">
        <v>4</v>
      </c>
      <c r="E110" s="1" t="s">
        <v>14</v>
      </c>
      <c r="F110" s="26">
        <v>1000</v>
      </c>
      <c r="G110" s="26">
        <v>0</v>
      </c>
      <c r="H110" s="26">
        <v>1000</v>
      </c>
      <c r="I110" s="26">
        <v>6822780.0000000009</v>
      </c>
      <c r="J110" s="26">
        <v>49000000</v>
      </c>
    </row>
    <row r="111" spans="1:10">
      <c r="A111" s="24">
        <v>109</v>
      </c>
      <c r="B111" s="24">
        <f t="shared" si="1"/>
        <v>58</v>
      </c>
      <c r="C111" s="1" t="s">
        <v>862</v>
      </c>
      <c r="D111" s="1" t="s">
        <v>4</v>
      </c>
      <c r="E111" s="1" t="s">
        <v>14</v>
      </c>
      <c r="F111" s="26">
        <v>2000</v>
      </c>
      <c r="G111" s="26">
        <v>0</v>
      </c>
      <c r="H111" s="26">
        <v>2000</v>
      </c>
      <c r="I111" s="26">
        <v>13076080</v>
      </c>
      <c r="J111" s="26">
        <v>90000000</v>
      </c>
    </row>
    <row r="112" spans="1:10">
      <c r="A112" s="24">
        <v>110</v>
      </c>
      <c r="B112" s="24">
        <f t="shared" si="1"/>
        <v>59</v>
      </c>
      <c r="C112" s="1" t="s">
        <v>863</v>
      </c>
      <c r="D112" s="1" t="s">
        <v>4</v>
      </c>
      <c r="E112" s="1" t="s">
        <v>14</v>
      </c>
      <c r="F112" s="26">
        <v>2000</v>
      </c>
      <c r="G112" s="26">
        <v>0</v>
      </c>
      <c r="H112" s="26">
        <v>2000</v>
      </c>
      <c r="I112" s="26">
        <v>16979480.000000004</v>
      </c>
      <c r="J112" s="26">
        <v>118000000</v>
      </c>
    </row>
    <row r="113" spans="1:10">
      <c r="A113" s="24">
        <v>111</v>
      </c>
      <c r="B113" s="24">
        <f t="shared" si="1"/>
        <v>60</v>
      </c>
      <c r="C113" s="1" t="s">
        <v>864</v>
      </c>
      <c r="D113" s="1" t="s">
        <v>4</v>
      </c>
      <c r="E113" s="1" t="s">
        <v>14</v>
      </c>
      <c r="F113" s="26">
        <v>2000</v>
      </c>
      <c r="G113" s="26">
        <v>0</v>
      </c>
      <c r="H113" s="26">
        <v>2000</v>
      </c>
      <c r="I113" s="26">
        <v>16196000</v>
      </c>
      <c r="J113" s="26">
        <v>110000000</v>
      </c>
    </row>
    <row r="114" spans="1:10">
      <c r="A114" s="24">
        <v>112</v>
      </c>
      <c r="B114" s="24">
        <f t="shared" si="1"/>
        <v>61</v>
      </c>
      <c r="C114" s="1" t="s">
        <v>775</v>
      </c>
      <c r="F114" s="26">
        <v>7000</v>
      </c>
      <c r="G114" s="26">
        <v>0</v>
      </c>
      <c r="H114" s="26">
        <v>7000</v>
      </c>
      <c r="I114" s="26">
        <v>53074340</v>
      </c>
      <c r="J114" s="26">
        <v>367000000</v>
      </c>
    </row>
    <row r="115" spans="1:10">
      <c r="A115" s="24">
        <v>113</v>
      </c>
      <c r="B115" s="24">
        <f t="shared" si="1"/>
        <v>62</v>
      </c>
      <c r="C115" s="1" t="s">
        <v>865</v>
      </c>
      <c r="D115" s="1" t="s">
        <v>4</v>
      </c>
      <c r="E115" s="1" t="s">
        <v>14</v>
      </c>
      <c r="F115" s="26">
        <v>1500</v>
      </c>
      <c r="G115" s="26">
        <v>0</v>
      </c>
      <c r="H115" s="26">
        <v>1500</v>
      </c>
      <c r="I115" s="26">
        <v>13484145.000000004</v>
      </c>
      <c r="J115" s="26">
        <v>82500000</v>
      </c>
    </row>
    <row r="116" spans="1:10">
      <c r="A116" s="24">
        <v>114</v>
      </c>
      <c r="B116" s="24">
        <f t="shared" si="1"/>
        <v>63</v>
      </c>
      <c r="C116" s="1" t="s">
        <v>866</v>
      </c>
      <c r="D116" s="1" t="s">
        <v>4</v>
      </c>
      <c r="E116" s="1" t="s">
        <v>14</v>
      </c>
      <c r="F116" s="26">
        <v>1498</v>
      </c>
      <c r="G116" s="26">
        <v>0</v>
      </c>
      <c r="H116" s="26">
        <v>1500</v>
      </c>
      <c r="I116" s="26">
        <v>13203480</v>
      </c>
      <c r="J116" s="26">
        <v>82500000</v>
      </c>
    </row>
    <row r="117" spans="1:10">
      <c r="A117" s="24">
        <v>115</v>
      </c>
      <c r="B117" s="24">
        <f t="shared" si="1"/>
        <v>64</v>
      </c>
      <c r="C117" s="1" t="s">
        <v>867</v>
      </c>
      <c r="D117" s="1" t="s">
        <v>4</v>
      </c>
      <c r="E117" s="1" t="s">
        <v>14</v>
      </c>
      <c r="F117" s="26">
        <v>1491</v>
      </c>
      <c r="G117" s="26">
        <v>0</v>
      </c>
      <c r="H117" s="26">
        <v>1500</v>
      </c>
      <c r="I117" s="26">
        <v>15074579.999999998</v>
      </c>
      <c r="J117" s="26">
        <v>82500000</v>
      </c>
    </row>
    <row r="118" spans="1:10">
      <c r="A118" s="24">
        <v>116</v>
      </c>
      <c r="B118" s="24">
        <f t="shared" si="1"/>
        <v>65</v>
      </c>
      <c r="C118" s="1" t="s">
        <v>868</v>
      </c>
      <c r="D118" s="1" t="s">
        <v>4</v>
      </c>
      <c r="E118" s="1" t="s">
        <v>14</v>
      </c>
      <c r="F118" s="26">
        <v>1492</v>
      </c>
      <c r="G118" s="26">
        <v>0</v>
      </c>
      <c r="H118" s="26">
        <v>1500</v>
      </c>
      <c r="I118" s="26">
        <v>15074579.999999998</v>
      </c>
      <c r="J118" s="26">
        <v>82500000</v>
      </c>
    </row>
    <row r="119" spans="1:10">
      <c r="A119" s="24">
        <v>117</v>
      </c>
      <c r="B119" s="24">
        <f t="shared" si="1"/>
        <v>66</v>
      </c>
      <c r="C119" s="1" t="s">
        <v>775</v>
      </c>
      <c r="F119" s="26">
        <v>5981</v>
      </c>
      <c r="G119" s="26">
        <v>0</v>
      </c>
      <c r="H119" s="26">
        <v>6000</v>
      </c>
      <c r="I119" s="26">
        <v>56836785</v>
      </c>
      <c r="J119" s="26">
        <v>330000000</v>
      </c>
    </row>
    <row r="120" spans="1:10">
      <c r="A120" s="24">
        <v>118</v>
      </c>
      <c r="B120" s="24">
        <f t="shared" si="1"/>
        <v>67</v>
      </c>
      <c r="C120" s="1" t="s">
        <v>869</v>
      </c>
      <c r="D120" s="1" t="s">
        <v>4</v>
      </c>
      <c r="E120" s="1" t="s">
        <v>14</v>
      </c>
      <c r="F120" s="26">
        <v>2498</v>
      </c>
      <c r="G120" s="26">
        <v>0</v>
      </c>
      <c r="H120" s="26">
        <v>2500</v>
      </c>
      <c r="I120" s="26">
        <v>11699575</v>
      </c>
      <c r="J120" s="26">
        <v>137500000</v>
      </c>
    </row>
    <row r="121" spans="1:10">
      <c r="A121" s="24">
        <v>119</v>
      </c>
      <c r="B121" s="24">
        <f t="shared" si="1"/>
        <v>68</v>
      </c>
      <c r="C121" s="1" t="s">
        <v>870</v>
      </c>
      <c r="D121" s="1" t="s">
        <v>4</v>
      </c>
      <c r="E121" s="1" t="s">
        <v>14</v>
      </c>
      <c r="F121" s="26">
        <v>1498</v>
      </c>
      <c r="G121" s="26">
        <v>0</v>
      </c>
      <c r="H121" s="26">
        <v>1500</v>
      </c>
      <c r="I121" s="26">
        <v>8741295.0000000019</v>
      </c>
      <c r="J121" s="26">
        <v>88500000</v>
      </c>
    </row>
    <row r="122" spans="1:10">
      <c r="A122" s="24">
        <v>120</v>
      </c>
      <c r="B122" s="24">
        <f t="shared" si="1"/>
        <v>69</v>
      </c>
      <c r="C122" s="1" t="s">
        <v>775</v>
      </c>
      <c r="F122" s="26">
        <v>3996</v>
      </c>
      <c r="G122" s="26">
        <v>0</v>
      </c>
      <c r="H122" s="26">
        <v>4000</v>
      </c>
      <c r="I122" s="26">
        <v>20440870</v>
      </c>
      <c r="J122" s="26">
        <v>226000000</v>
      </c>
    </row>
    <row r="123" spans="1:10">
      <c r="A123" s="24">
        <v>121</v>
      </c>
      <c r="B123" s="24">
        <f t="shared" si="1"/>
        <v>70</v>
      </c>
      <c r="C123" s="1" t="s">
        <v>871</v>
      </c>
      <c r="D123" s="1" t="s">
        <v>4</v>
      </c>
      <c r="E123" s="1" t="s">
        <v>14</v>
      </c>
      <c r="F123" s="26">
        <v>1496</v>
      </c>
      <c r="G123" s="26">
        <v>0</v>
      </c>
      <c r="H123" s="26">
        <v>1500</v>
      </c>
      <c r="I123" s="26">
        <v>12422160</v>
      </c>
      <c r="J123" s="26">
        <v>73500000</v>
      </c>
    </row>
    <row r="124" spans="1:10">
      <c r="A124" s="24">
        <v>122</v>
      </c>
      <c r="B124" s="24">
        <f t="shared" si="1"/>
        <v>71</v>
      </c>
      <c r="C124" s="1" t="s">
        <v>872</v>
      </c>
      <c r="D124" s="1" t="s">
        <v>4</v>
      </c>
      <c r="E124" s="1" t="s">
        <v>14</v>
      </c>
      <c r="F124" s="26">
        <v>1496</v>
      </c>
      <c r="G124" s="26">
        <v>0</v>
      </c>
      <c r="H124" s="26">
        <v>1500</v>
      </c>
      <c r="I124" s="26">
        <v>12548160</v>
      </c>
      <c r="J124" s="26">
        <v>73500000</v>
      </c>
    </row>
    <row r="125" spans="1:10">
      <c r="A125" s="24">
        <v>123</v>
      </c>
      <c r="B125" s="24">
        <f t="shared" si="1"/>
        <v>72</v>
      </c>
      <c r="C125" s="1" t="s">
        <v>873</v>
      </c>
      <c r="D125" s="1" t="s">
        <v>4</v>
      </c>
      <c r="E125" s="1" t="s">
        <v>14</v>
      </c>
      <c r="F125" s="26">
        <v>969</v>
      </c>
      <c r="G125" s="26">
        <v>0</v>
      </c>
      <c r="H125" s="26">
        <v>1000</v>
      </c>
      <c r="I125" s="26">
        <v>14555760</v>
      </c>
      <c r="J125" s="26">
        <v>79000000</v>
      </c>
    </row>
    <row r="126" spans="1:10">
      <c r="A126" s="24">
        <v>124</v>
      </c>
      <c r="B126" s="24">
        <f t="shared" si="1"/>
        <v>73</v>
      </c>
      <c r="C126" s="1" t="s">
        <v>775</v>
      </c>
      <c r="F126" s="26">
        <v>3961</v>
      </c>
      <c r="G126" s="26">
        <v>0</v>
      </c>
      <c r="H126" s="26">
        <v>4000</v>
      </c>
      <c r="I126" s="26">
        <v>39526080</v>
      </c>
      <c r="J126" s="26">
        <v>226000000</v>
      </c>
    </row>
    <row r="127" spans="1:10">
      <c r="A127" s="24">
        <v>125</v>
      </c>
      <c r="B127" s="24">
        <f t="shared" si="1"/>
        <v>74</v>
      </c>
      <c r="C127" s="1" t="s">
        <v>874</v>
      </c>
      <c r="D127" s="1" t="s">
        <v>4</v>
      </c>
      <c r="E127" s="1" t="s">
        <v>14</v>
      </c>
      <c r="F127" s="26">
        <v>1479</v>
      </c>
      <c r="G127" s="26">
        <v>0</v>
      </c>
      <c r="H127" s="26">
        <v>1500</v>
      </c>
      <c r="I127" s="26">
        <v>11467500</v>
      </c>
      <c r="J127" s="26">
        <v>67500000</v>
      </c>
    </row>
    <row r="128" spans="1:10">
      <c r="A128" s="24">
        <v>126</v>
      </c>
      <c r="B128" s="24">
        <f t="shared" si="1"/>
        <v>75</v>
      </c>
      <c r="C128" s="1" t="s">
        <v>875</v>
      </c>
      <c r="D128" s="1" t="s">
        <v>4</v>
      </c>
      <c r="E128" s="1" t="s">
        <v>14</v>
      </c>
      <c r="F128" s="26">
        <v>1500</v>
      </c>
      <c r="G128" s="26">
        <v>0</v>
      </c>
      <c r="H128" s="26">
        <v>1500</v>
      </c>
      <c r="I128" s="26">
        <v>10972500</v>
      </c>
      <c r="J128" s="26">
        <v>67500000</v>
      </c>
    </row>
    <row r="129" spans="1:10">
      <c r="A129" s="24">
        <v>127</v>
      </c>
      <c r="B129" s="24">
        <f t="shared" si="1"/>
        <v>76</v>
      </c>
      <c r="C129" s="1" t="s">
        <v>876</v>
      </c>
      <c r="D129" s="1" t="s">
        <v>4</v>
      </c>
      <c r="E129" s="1" t="s">
        <v>14</v>
      </c>
      <c r="F129" s="26">
        <v>1001</v>
      </c>
      <c r="G129" s="26">
        <v>0</v>
      </c>
      <c r="H129" s="26">
        <v>1000</v>
      </c>
      <c r="I129" s="26">
        <v>7095000</v>
      </c>
      <c r="J129" s="26">
        <v>45000000</v>
      </c>
    </row>
    <row r="130" spans="1:10">
      <c r="A130" s="24">
        <v>128</v>
      </c>
      <c r="B130" s="24">
        <f t="shared" si="1"/>
        <v>77</v>
      </c>
      <c r="C130" s="1" t="s">
        <v>877</v>
      </c>
      <c r="D130" s="1" t="s">
        <v>4</v>
      </c>
      <c r="E130" s="1" t="s">
        <v>14</v>
      </c>
      <c r="F130" s="26">
        <v>1188</v>
      </c>
      <c r="G130" s="26">
        <v>0</v>
      </c>
      <c r="H130" s="26">
        <v>1200</v>
      </c>
      <c r="I130" s="26">
        <v>8514000</v>
      </c>
      <c r="J130" s="26">
        <v>54000000</v>
      </c>
    </row>
    <row r="131" spans="1:10">
      <c r="A131" s="24">
        <v>129</v>
      </c>
      <c r="B131" s="24">
        <f t="shared" si="1"/>
        <v>78</v>
      </c>
      <c r="C131" s="1" t="s">
        <v>878</v>
      </c>
      <c r="D131" s="1" t="s">
        <v>4</v>
      </c>
      <c r="E131" s="1" t="s">
        <v>14</v>
      </c>
      <c r="F131" s="26">
        <v>1003</v>
      </c>
      <c r="G131" s="26">
        <v>0</v>
      </c>
      <c r="H131" s="26">
        <v>1000</v>
      </c>
      <c r="I131" s="26">
        <v>7645000</v>
      </c>
      <c r="J131" s="26">
        <v>45000000</v>
      </c>
    </row>
    <row r="132" spans="1:10">
      <c r="A132" s="24">
        <v>130</v>
      </c>
      <c r="B132" s="24">
        <f t="shared" ref="B132:B195" si="2">IF(C131=C132,B131,B131+1)</f>
        <v>79</v>
      </c>
      <c r="C132" s="1" t="s">
        <v>879</v>
      </c>
      <c r="D132" s="1" t="s">
        <v>4</v>
      </c>
      <c r="E132" s="1" t="s">
        <v>14</v>
      </c>
      <c r="F132" s="26">
        <v>977</v>
      </c>
      <c r="G132" s="26">
        <v>0</v>
      </c>
      <c r="H132" s="26">
        <v>1000</v>
      </c>
      <c r="I132" s="26">
        <v>7920000</v>
      </c>
      <c r="J132" s="26">
        <v>45000000</v>
      </c>
    </row>
    <row r="133" spans="1:10">
      <c r="A133" s="24">
        <v>131</v>
      </c>
      <c r="B133" s="24">
        <f t="shared" si="2"/>
        <v>80</v>
      </c>
      <c r="C133" s="1" t="s">
        <v>775</v>
      </c>
      <c r="F133" s="26">
        <v>7148</v>
      </c>
      <c r="G133" s="26">
        <v>0</v>
      </c>
      <c r="H133" s="26">
        <v>7200</v>
      </c>
      <c r="I133" s="26">
        <v>53614000</v>
      </c>
      <c r="J133" s="26">
        <v>324000000</v>
      </c>
    </row>
    <row r="134" spans="1:10">
      <c r="A134" s="24">
        <v>132</v>
      </c>
      <c r="B134" s="24">
        <f t="shared" si="2"/>
        <v>81</v>
      </c>
      <c r="C134" s="1" t="s">
        <v>880</v>
      </c>
      <c r="D134" s="1" t="s">
        <v>4</v>
      </c>
      <c r="E134" s="1" t="s">
        <v>14</v>
      </c>
      <c r="F134" s="26">
        <v>1176</v>
      </c>
      <c r="G134" s="26">
        <v>0</v>
      </c>
      <c r="H134" s="26">
        <v>1200</v>
      </c>
      <c r="I134" s="26">
        <v>7870272.0000000019</v>
      </c>
      <c r="J134" s="26">
        <v>54000000</v>
      </c>
    </row>
    <row r="135" spans="1:10">
      <c r="A135" s="24">
        <v>133</v>
      </c>
      <c r="B135" s="24">
        <f t="shared" si="2"/>
        <v>82</v>
      </c>
      <c r="C135" s="1" t="s">
        <v>881</v>
      </c>
      <c r="D135" s="1" t="s">
        <v>4</v>
      </c>
      <c r="E135" s="1" t="s">
        <v>14</v>
      </c>
      <c r="F135" s="26">
        <v>1199</v>
      </c>
      <c r="G135" s="26">
        <v>0</v>
      </c>
      <c r="H135" s="26">
        <v>1200</v>
      </c>
      <c r="I135" s="26">
        <v>7952130.0000000009</v>
      </c>
      <c r="J135" s="26">
        <v>54000000</v>
      </c>
    </row>
    <row r="136" spans="1:10">
      <c r="A136" s="24">
        <v>134</v>
      </c>
      <c r="B136" s="24">
        <f t="shared" si="2"/>
        <v>83</v>
      </c>
      <c r="C136" s="1" t="s">
        <v>882</v>
      </c>
      <c r="D136" s="1" t="s">
        <v>4</v>
      </c>
      <c r="E136" s="1" t="s">
        <v>14</v>
      </c>
      <c r="F136" s="26">
        <v>963</v>
      </c>
      <c r="G136" s="26">
        <v>0</v>
      </c>
      <c r="H136" s="26">
        <v>1000</v>
      </c>
      <c r="I136" s="26">
        <v>6780940.0000000009</v>
      </c>
      <c r="J136" s="26">
        <v>45000000</v>
      </c>
    </row>
    <row r="137" spans="1:10">
      <c r="A137" s="24">
        <v>135</v>
      </c>
      <c r="B137" s="24">
        <f t="shared" si="2"/>
        <v>84</v>
      </c>
      <c r="C137" s="1" t="s">
        <v>883</v>
      </c>
      <c r="D137" s="1" t="s">
        <v>4</v>
      </c>
      <c r="E137" s="1" t="s">
        <v>14</v>
      </c>
      <c r="F137" s="26">
        <v>931</v>
      </c>
      <c r="G137" s="26">
        <v>0</v>
      </c>
      <c r="H137" s="26">
        <v>1000</v>
      </c>
      <c r="I137" s="26">
        <v>6727590</v>
      </c>
      <c r="J137" s="26">
        <v>45000000</v>
      </c>
    </row>
    <row r="138" spans="1:10">
      <c r="A138" s="24">
        <v>136</v>
      </c>
      <c r="B138" s="24">
        <f t="shared" si="2"/>
        <v>85</v>
      </c>
      <c r="C138" s="1" t="s">
        <v>775</v>
      </c>
      <c r="F138" s="26">
        <v>4269</v>
      </c>
      <c r="G138" s="26">
        <v>0</v>
      </c>
      <c r="H138" s="26">
        <v>4400</v>
      </c>
      <c r="I138" s="26">
        <v>29330932.000000004</v>
      </c>
      <c r="J138" s="26">
        <v>198000000</v>
      </c>
    </row>
    <row r="139" spans="1:10">
      <c r="A139" s="24">
        <v>137</v>
      </c>
      <c r="B139" s="24">
        <f t="shared" si="2"/>
        <v>86</v>
      </c>
      <c r="C139" s="1" t="s">
        <v>884</v>
      </c>
      <c r="D139" s="1" t="s">
        <v>4</v>
      </c>
      <c r="E139" s="1" t="s">
        <v>14</v>
      </c>
      <c r="F139" s="26">
        <v>971</v>
      </c>
      <c r="G139" s="26">
        <v>0</v>
      </c>
      <c r="H139" s="26">
        <v>1000</v>
      </c>
      <c r="I139" s="26">
        <v>3668240.0000000005</v>
      </c>
      <c r="J139" s="26">
        <v>45000000</v>
      </c>
    </row>
    <row r="140" spans="1:10">
      <c r="A140" s="24">
        <v>138</v>
      </c>
      <c r="B140" s="24">
        <f t="shared" si="2"/>
        <v>87</v>
      </c>
      <c r="C140" s="1" t="s">
        <v>885</v>
      </c>
      <c r="D140" s="1" t="s">
        <v>4</v>
      </c>
      <c r="E140" s="1" t="s">
        <v>14</v>
      </c>
      <c r="F140" s="26">
        <v>950</v>
      </c>
      <c r="G140" s="26">
        <v>0</v>
      </c>
      <c r="H140" s="26">
        <v>1000</v>
      </c>
      <c r="I140" s="26">
        <v>4102540.0000000009</v>
      </c>
      <c r="J140" s="26">
        <v>45000000</v>
      </c>
    </row>
    <row r="141" spans="1:10">
      <c r="A141" s="24">
        <v>139</v>
      </c>
      <c r="B141" s="24">
        <f t="shared" si="2"/>
        <v>88</v>
      </c>
      <c r="C141" s="1" t="s">
        <v>775</v>
      </c>
      <c r="F141" s="26">
        <v>1921</v>
      </c>
      <c r="G141" s="26">
        <v>0</v>
      </c>
      <c r="H141" s="26">
        <v>2000</v>
      </c>
      <c r="I141" s="26">
        <v>7770780.0000000019</v>
      </c>
      <c r="J141" s="26">
        <v>90000000</v>
      </c>
    </row>
    <row r="142" spans="1:10">
      <c r="A142" s="24">
        <v>140</v>
      </c>
      <c r="B142" s="24">
        <f t="shared" si="2"/>
        <v>89</v>
      </c>
      <c r="C142" s="1" t="s">
        <v>886</v>
      </c>
      <c r="D142" s="1" t="s">
        <v>4</v>
      </c>
      <c r="E142" s="1" t="s">
        <v>14</v>
      </c>
      <c r="F142" s="26">
        <v>800</v>
      </c>
      <c r="G142" s="26">
        <v>0</v>
      </c>
      <c r="H142" s="26">
        <v>800</v>
      </c>
      <c r="I142" s="26">
        <v>5984000</v>
      </c>
      <c r="J142" s="26">
        <v>42400000</v>
      </c>
    </row>
    <row r="143" spans="1:10">
      <c r="A143" s="24">
        <v>141</v>
      </c>
      <c r="B143" s="24">
        <f t="shared" si="2"/>
        <v>90</v>
      </c>
      <c r="C143" s="1" t="s">
        <v>887</v>
      </c>
      <c r="D143" s="1" t="s">
        <v>4</v>
      </c>
      <c r="E143" s="1" t="s">
        <v>14</v>
      </c>
      <c r="F143" s="26">
        <v>800</v>
      </c>
      <c r="G143" s="26">
        <v>0</v>
      </c>
      <c r="H143" s="26">
        <v>800</v>
      </c>
      <c r="I143" s="26">
        <v>5984000</v>
      </c>
      <c r="J143" s="26">
        <v>42400000</v>
      </c>
    </row>
    <row r="144" spans="1:10">
      <c r="A144" s="24">
        <v>142</v>
      </c>
      <c r="B144" s="24">
        <f t="shared" si="2"/>
        <v>91</v>
      </c>
      <c r="C144" s="1" t="s">
        <v>775</v>
      </c>
      <c r="F144" s="26">
        <v>1600</v>
      </c>
      <c r="G144" s="26">
        <v>0</v>
      </c>
      <c r="H144" s="26">
        <v>1600</v>
      </c>
      <c r="I144" s="26">
        <v>11968000</v>
      </c>
      <c r="J144" s="26">
        <v>84800000</v>
      </c>
    </row>
    <row r="145" spans="1:10">
      <c r="A145" s="24">
        <v>143</v>
      </c>
      <c r="B145" s="24">
        <f t="shared" si="2"/>
        <v>92</v>
      </c>
      <c r="C145" s="1" t="s">
        <v>888</v>
      </c>
      <c r="D145" s="1" t="s">
        <v>4</v>
      </c>
      <c r="E145" s="1" t="s">
        <v>14</v>
      </c>
      <c r="F145" s="26">
        <v>1200</v>
      </c>
      <c r="G145" s="26">
        <v>0</v>
      </c>
      <c r="H145" s="26">
        <v>1200</v>
      </c>
      <c r="I145" s="26">
        <v>8382528.0000000009</v>
      </c>
      <c r="J145" s="26">
        <v>66000000</v>
      </c>
    </row>
    <row r="146" spans="1:10">
      <c r="A146" s="24">
        <v>144</v>
      </c>
      <c r="B146" s="24">
        <f t="shared" si="2"/>
        <v>93</v>
      </c>
      <c r="C146" s="1" t="s">
        <v>889</v>
      </c>
      <c r="D146" s="1" t="s">
        <v>4</v>
      </c>
      <c r="E146" s="1" t="s">
        <v>14</v>
      </c>
      <c r="F146" s="26">
        <v>1000</v>
      </c>
      <c r="G146" s="26">
        <v>0</v>
      </c>
      <c r="H146" s="26">
        <v>1000</v>
      </c>
      <c r="I146" s="26">
        <v>7234920</v>
      </c>
      <c r="J146" s="26">
        <v>55000000</v>
      </c>
    </row>
    <row r="147" spans="1:10">
      <c r="A147" s="24">
        <v>145</v>
      </c>
      <c r="B147" s="24">
        <f t="shared" si="2"/>
        <v>94</v>
      </c>
      <c r="C147" s="1" t="s">
        <v>890</v>
      </c>
      <c r="D147" s="1" t="s">
        <v>4</v>
      </c>
      <c r="E147" s="1" t="s">
        <v>14</v>
      </c>
      <c r="F147" s="26">
        <v>1005</v>
      </c>
      <c r="G147" s="26">
        <v>0</v>
      </c>
      <c r="H147" s="26">
        <v>1000</v>
      </c>
      <c r="I147" s="26">
        <v>7234920</v>
      </c>
      <c r="J147" s="26">
        <v>55000000</v>
      </c>
    </row>
    <row r="148" spans="1:10">
      <c r="A148" s="24">
        <v>146</v>
      </c>
      <c r="B148" s="24">
        <f t="shared" si="2"/>
        <v>95</v>
      </c>
      <c r="C148" s="1" t="s">
        <v>891</v>
      </c>
      <c r="D148" s="1" t="s">
        <v>4</v>
      </c>
      <c r="E148" s="1" t="s">
        <v>14</v>
      </c>
      <c r="F148" s="26">
        <v>1195</v>
      </c>
      <c r="G148" s="26">
        <v>0</v>
      </c>
      <c r="H148" s="26">
        <v>1200</v>
      </c>
      <c r="I148" s="26">
        <v>7933464.0000000019</v>
      </c>
      <c r="J148" s="26">
        <v>66000000</v>
      </c>
    </row>
    <row r="149" spans="1:10">
      <c r="A149" s="24">
        <v>147</v>
      </c>
      <c r="B149" s="24">
        <f t="shared" si="2"/>
        <v>96</v>
      </c>
      <c r="C149" s="1" t="s">
        <v>775</v>
      </c>
      <c r="F149" s="26">
        <v>4400</v>
      </c>
      <c r="G149" s="26">
        <v>0</v>
      </c>
      <c r="H149" s="26">
        <v>4400</v>
      </c>
      <c r="I149" s="26">
        <v>30785832</v>
      </c>
      <c r="J149" s="26">
        <v>242000000</v>
      </c>
    </row>
    <row r="150" spans="1:10">
      <c r="A150" s="24">
        <v>148</v>
      </c>
      <c r="B150" s="24">
        <f t="shared" si="2"/>
        <v>97</v>
      </c>
      <c r="C150" s="1" t="s">
        <v>892</v>
      </c>
      <c r="D150" s="1" t="s">
        <v>4</v>
      </c>
      <c r="E150" s="1" t="s">
        <v>14</v>
      </c>
      <c r="F150" s="26">
        <v>1000</v>
      </c>
      <c r="G150" s="26">
        <v>0</v>
      </c>
      <c r="H150" s="26">
        <v>1000</v>
      </c>
      <c r="I150" s="26">
        <v>6860700.0000000009</v>
      </c>
      <c r="J150" s="26">
        <v>53000000</v>
      </c>
    </row>
    <row r="151" spans="1:10">
      <c r="A151" s="24">
        <v>149</v>
      </c>
      <c r="B151" s="24">
        <f t="shared" si="2"/>
        <v>98</v>
      </c>
      <c r="C151" s="1" t="s">
        <v>893</v>
      </c>
      <c r="D151" s="1" t="s">
        <v>4</v>
      </c>
      <c r="E151" s="1" t="s">
        <v>14</v>
      </c>
      <c r="F151" s="26">
        <v>1000</v>
      </c>
      <c r="G151" s="26">
        <v>0</v>
      </c>
      <c r="H151" s="26">
        <v>1000</v>
      </c>
      <c r="I151" s="26">
        <v>6735960.0000000019</v>
      </c>
      <c r="J151" s="26">
        <v>53000000</v>
      </c>
    </row>
    <row r="152" spans="1:10">
      <c r="A152" s="24">
        <v>150</v>
      </c>
      <c r="B152" s="24">
        <f t="shared" si="2"/>
        <v>99</v>
      </c>
      <c r="C152" s="1" t="s">
        <v>775</v>
      </c>
      <c r="F152" s="26">
        <v>2000</v>
      </c>
      <c r="G152" s="26">
        <v>0</v>
      </c>
      <c r="H152" s="26">
        <v>2000</v>
      </c>
      <c r="I152" s="26">
        <v>13596660.000000004</v>
      </c>
      <c r="J152" s="26">
        <v>106000000</v>
      </c>
    </row>
    <row r="153" spans="1:10">
      <c r="A153" s="24">
        <v>151</v>
      </c>
      <c r="B153" s="24">
        <f t="shared" si="2"/>
        <v>100</v>
      </c>
      <c r="C153" s="1" t="s">
        <v>894</v>
      </c>
      <c r="D153" s="1" t="s">
        <v>2</v>
      </c>
      <c r="E153" s="1" t="s">
        <v>14</v>
      </c>
      <c r="F153" s="26">
        <v>488</v>
      </c>
      <c r="G153" s="26">
        <v>0</v>
      </c>
      <c r="H153" s="26">
        <v>500</v>
      </c>
      <c r="I153" s="26">
        <v>4797345</v>
      </c>
      <c r="J153" s="26">
        <v>31500000</v>
      </c>
    </row>
    <row r="154" spans="1:10">
      <c r="A154" s="24">
        <v>152</v>
      </c>
      <c r="B154" s="24">
        <f t="shared" si="2"/>
        <v>100</v>
      </c>
      <c r="C154" s="1" t="s">
        <v>894</v>
      </c>
      <c r="D154" s="1" t="s">
        <v>3</v>
      </c>
      <c r="E154" s="1" t="s">
        <v>14</v>
      </c>
      <c r="F154" s="26">
        <v>444</v>
      </c>
      <c r="G154" s="26">
        <v>0</v>
      </c>
      <c r="H154" s="26">
        <v>500</v>
      </c>
      <c r="I154" s="26">
        <v>4797345</v>
      </c>
      <c r="J154" s="26">
        <v>31500000</v>
      </c>
    </row>
    <row r="155" spans="1:10">
      <c r="A155" s="24">
        <v>153</v>
      </c>
      <c r="B155" s="24">
        <f t="shared" si="2"/>
        <v>101</v>
      </c>
      <c r="C155" s="1" t="s">
        <v>895</v>
      </c>
      <c r="D155" s="1" t="s">
        <v>2</v>
      </c>
      <c r="E155" s="1" t="s">
        <v>14</v>
      </c>
      <c r="F155" s="26">
        <v>500</v>
      </c>
      <c r="G155" s="26">
        <v>0</v>
      </c>
      <c r="H155" s="26">
        <v>500</v>
      </c>
      <c r="I155" s="26">
        <v>4872345</v>
      </c>
      <c r="J155" s="26">
        <v>31500000</v>
      </c>
    </row>
    <row r="156" spans="1:10">
      <c r="A156" s="24">
        <v>154</v>
      </c>
      <c r="B156" s="24">
        <f t="shared" si="2"/>
        <v>101</v>
      </c>
      <c r="C156" s="1" t="s">
        <v>895</v>
      </c>
      <c r="D156" s="1" t="s">
        <v>3</v>
      </c>
      <c r="E156" s="1" t="s">
        <v>14</v>
      </c>
      <c r="F156" s="26">
        <v>500</v>
      </c>
      <c r="G156" s="26">
        <v>0</v>
      </c>
      <c r="H156" s="26">
        <v>500</v>
      </c>
      <c r="I156" s="26">
        <v>4872345</v>
      </c>
      <c r="J156" s="26">
        <v>31500000</v>
      </c>
    </row>
    <row r="157" spans="1:10">
      <c r="A157" s="24">
        <v>155</v>
      </c>
      <c r="B157" s="24">
        <f t="shared" si="2"/>
        <v>102</v>
      </c>
      <c r="C157" s="1" t="s">
        <v>775</v>
      </c>
      <c r="F157" s="26">
        <v>1932</v>
      </c>
      <c r="G157" s="26">
        <v>0</v>
      </c>
      <c r="H157" s="26">
        <v>2000</v>
      </c>
      <c r="I157" s="26">
        <v>19339380</v>
      </c>
      <c r="J157" s="26">
        <v>126000000</v>
      </c>
    </row>
    <row r="158" spans="1:10">
      <c r="A158" s="24">
        <v>156</v>
      </c>
      <c r="B158" s="24">
        <f t="shared" si="2"/>
        <v>103</v>
      </c>
      <c r="C158" s="1" t="s">
        <v>896</v>
      </c>
      <c r="D158" s="1" t="s">
        <v>1359</v>
      </c>
      <c r="E158" s="1" t="s">
        <v>14</v>
      </c>
      <c r="F158" s="26">
        <v>250</v>
      </c>
      <c r="G158" s="26">
        <v>0</v>
      </c>
      <c r="H158" s="26">
        <v>250</v>
      </c>
      <c r="I158" s="26">
        <v>1419875.0000000002</v>
      </c>
      <c r="J158" s="26">
        <v>8750000</v>
      </c>
    </row>
    <row r="159" spans="1:10">
      <c r="A159" s="24">
        <v>157</v>
      </c>
      <c r="B159" s="24">
        <f t="shared" si="2"/>
        <v>103</v>
      </c>
      <c r="C159" s="1" t="s">
        <v>896</v>
      </c>
      <c r="D159" s="1" t="s">
        <v>2</v>
      </c>
      <c r="E159" s="1" t="s">
        <v>14</v>
      </c>
      <c r="F159" s="26">
        <v>400</v>
      </c>
      <c r="G159" s="26">
        <v>0</v>
      </c>
      <c r="H159" s="26">
        <v>400</v>
      </c>
      <c r="I159" s="26">
        <v>2271800.0000000005</v>
      </c>
      <c r="J159" s="26">
        <v>14000000</v>
      </c>
    </row>
    <row r="160" spans="1:10">
      <c r="A160" s="24">
        <v>158</v>
      </c>
      <c r="B160" s="24">
        <f t="shared" si="2"/>
        <v>103</v>
      </c>
      <c r="C160" s="1" t="s">
        <v>896</v>
      </c>
      <c r="D160" s="1" t="s">
        <v>3</v>
      </c>
      <c r="E160" s="1" t="s">
        <v>14</v>
      </c>
      <c r="F160" s="26">
        <v>299</v>
      </c>
      <c r="G160" s="26">
        <v>0</v>
      </c>
      <c r="H160" s="26">
        <v>300</v>
      </c>
      <c r="I160" s="26">
        <v>1703850.0000000002</v>
      </c>
      <c r="J160" s="26">
        <v>10500000</v>
      </c>
    </row>
    <row r="161" spans="1:10">
      <c r="A161" s="24">
        <v>159</v>
      </c>
      <c r="B161" s="24">
        <f t="shared" si="2"/>
        <v>103</v>
      </c>
      <c r="C161" s="1" t="s">
        <v>896</v>
      </c>
      <c r="D161" s="1" t="s">
        <v>5</v>
      </c>
      <c r="E161" s="1" t="s">
        <v>14</v>
      </c>
      <c r="F161" s="26">
        <v>250</v>
      </c>
      <c r="G161" s="26">
        <v>0</v>
      </c>
      <c r="H161" s="26">
        <v>250</v>
      </c>
      <c r="I161" s="26">
        <v>1419875.0000000002</v>
      </c>
      <c r="J161" s="26">
        <v>8750000</v>
      </c>
    </row>
    <row r="162" spans="1:10">
      <c r="A162" s="24">
        <v>160</v>
      </c>
      <c r="B162" s="24">
        <f t="shared" si="2"/>
        <v>104</v>
      </c>
      <c r="C162" s="1" t="s">
        <v>897</v>
      </c>
      <c r="D162" s="1" t="s">
        <v>2</v>
      </c>
      <c r="E162" s="1" t="s">
        <v>14</v>
      </c>
      <c r="F162" s="26">
        <v>500</v>
      </c>
      <c r="G162" s="26">
        <v>0</v>
      </c>
      <c r="H162" s="26">
        <v>500</v>
      </c>
      <c r="I162" s="26">
        <v>2839750.0000000005</v>
      </c>
      <c r="J162" s="26">
        <v>16500000</v>
      </c>
    </row>
    <row r="163" spans="1:10">
      <c r="A163" s="24">
        <v>161</v>
      </c>
      <c r="B163" s="24">
        <f t="shared" si="2"/>
        <v>104</v>
      </c>
      <c r="C163" s="1" t="s">
        <v>897</v>
      </c>
      <c r="D163" s="1" t="s">
        <v>3</v>
      </c>
      <c r="E163" s="1" t="s">
        <v>14</v>
      </c>
      <c r="F163" s="26">
        <v>500</v>
      </c>
      <c r="G163" s="26">
        <v>0</v>
      </c>
      <c r="H163" s="26">
        <v>500</v>
      </c>
      <c r="I163" s="26">
        <v>2839750.0000000005</v>
      </c>
      <c r="J163" s="26">
        <v>16500000</v>
      </c>
    </row>
    <row r="164" spans="1:10">
      <c r="A164" s="24">
        <v>162</v>
      </c>
      <c r="B164" s="24">
        <f t="shared" si="2"/>
        <v>105</v>
      </c>
      <c r="C164" s="1" t="s">
        <v>898</v>
      </c>
      <c r="D164" s="1" t="s">
        <v>1359</v>
      </c>
      <c r="E164" s="1" t="s">
        <v>14</v>
      </c>
      <c r="F164" s="26">
        <v>250</v>
      </c>
      <c r="G164" s="26">
        <v>0</v>
      </c>
      <c r="H164" s="26">
        <v>250</v>
      </c>
      <c r="I164" s="26">
        <v>1506500.0000000002</v>
      </c>
      <c r="J164" s="26">
        <v>8750000</v>
      </c>
    </row>
    <row r="165" spans="1:10">
      <c r="A165" s="24">
        <v>163</v>
      </c>
      <c r="B165" s="24">
        <f t="shared" si="2"/>
        <v>105</v>
      </c>
      <c r="C165" s="1" t="s">
        <v>898</v>
      </c>
      <c r="D165" s="1" t="s">
        <v>2</v>
      </c>
      <c r="E165" s="1" t="s">
        <v>14</v>
      </c>
      <c r="F165" s="26">
        <v>350</v>
      </c>
      <c r="G165" s="26">
        <v>0</v>
      </c>
      <c r="H165" s="26">
        <v>350</v>
      </c>
      <c r="I165" s="26">
        <v>2109100.0000000005</v>
      </c>
      <c r="J165" s="26">
        <v>12250000</v>
      </c>
    </row>
    <row r="166" spans="1:10">
      <c r="A166" s="24">
        <v>164</v>
      </c>
      <c r="B166" s="24">
        <f t="shared" si="2"/>
        <v>105</v>
      </c>
      <c r="C166" s="1" t="s">
        <v>898</v>
      </c>
      <c r="D166" s="1" t="s">
        <v>3</v>
      </c>
      <c r="E166" s="1" t="s">
        <v>14</v>
      </c>
      <c r="F166" s="26">
        <v>300</v>
      </c>
      <c r="G166" s="26">
        <v>0</v>
      </c>
      <c r="H166" s="26">
        <v>300</v>
      </c>
      <c r="I166" s="26">
        <v>1807800.0000000002</v>
      </c>
      <c r="J166" s="26">
        <v>10500000</v>
      </c>
    </row>
    <row r="167" spans="1:10">
      <c r="A167" s="24">
        <v>165</v>
      </c>
      <c r="B167" s="24">
        <f t="shared" si="2"/>
        <v>105</v>
      </c>
      <c r="C167" s="1" t="s">
        <v>898</v>
      </c>
      <c r="D167" s="1" t="s">
        <v>5</v>
      </c>
      <c r="E167" s="1" t="s">
        <v>14</v>
      </c>
      <c r="F167" s="26">
        <v>300</v>
      </c>
      <c r="G167" s="26">
        <v>0</v>
      </c>
      <c r="H167" s="26">
        <v>300</v>
      </c>
      <c r="I167" s="26">
        <v>1807800.0000000002</v>
      </c>
      <c r="J167" s="26">
        <v>10500000</v>
      </c>
    </row>
    <row r="168" spans="1:10">
      <c r="A168" s="24">
        <v>166</v>
      </c>
      <c r="B168" s="24">
        <f t="shared" si="2"/>
        <v>106</v>
      </c>
      <c r="C168" s="1" t="s">
        <v>775</v>
      </c>
      <c r="F168" s="26">
        <v>3399</v>
      </c>
      <c r="G168" s="26">
        <v>0</v>
      </c>
      <c r="H168" s="26">
        <v>3400</v>
      </c>
      <c r="I168" s="26">
        <v>19726100.000000004</v>
      </c>
      <c r="J168" s="26">
        <v>117000000</v>
      </c>
    </row>
    <row r="169" spans="1:10">
      <c r="A169" s="24">
        <v>167</v>
      </c>
      <c r="B169" s="24">
        <f t="shared" si="2"/>
        <v>107</v>
      </c>
      <c r="C169" s="1" t="s">
        <v>899</v>
      </c>
      <c r="D169" s="1" t="s">
        <v>4</v>
      </c>
      <c r="E169" s="1" t="s">
        <v>14</v>
      </c>
      <c r="F169" s="26">
        <v>1185</v>
      </c>
      <c r="G169" s="26">
        <v>0</v>
      </c>
      <c r="H169" s="26">
        <v>1200</v>
      </c>
      <c r="I169" s="26">
        <v>6810208</v>
      </c>
      <c r="J169" s="26">
        <v>42000000</v>
      </c>
    </row>
    <row r="170" spans="1:10">
      <c r="A170" s="24">
        <v>168</v>
      </c>
      <c r="B170" s="24">
        <f t="shared" si="2"/>
        <v>108</v>
      </c>
      <c r="C170" s="1" t="s">
        <v>900</v>
      </c>
      <c r="D170" s="1" t="s">
        <v>2</v>
      </c>
      <c r="E170" s="1" t="s">
        <v>14</v>
      </c>
      <c r="F170" s="26">
        <v>455</v>
      </c>
      <c r="G170" s="26">
        <v>0</v>
      </c>
      <c r="H170" s="26">
        <v>500</v>
      </c>
      <c r="I170" s="26">
        <v>2925620</v>
      </c>
      <c r="J170" s="26">
        <v>16500000</v>
      </c>
    </row>
    <row r="171" spans="1:10">
      <c r="A171" s="24">
        <v>169</v>
      </c>
      <c r="B171" s="24">
        <f t="shared" si="2"/>
        <v>108</v>
      </c>
      <c r="C171" s="1" t="s">
        <v>900</v>
      </c>
      <c r="D171" s="1" t="s">
        <v>3</v>
      </c>
      <c r="E171" s="1" t="s">
        <v>14</v>
      </c>
      <c r="F171" s="26">
        <v>497</v>
      </c>
      <c r="G171" s="26">
        <v>0</v>
      </c>
      <c r="H171" s="26">
        <v>500</v>
      </c>
      <c r="I171" s="26">
        <v>2925620</v>
      </c>
      <c r="J171" s="26">
        <v>16500000</v>
      </c>
    </row>
    <row r="172" spans="1:10">
      <c r="A172" s="24">
        <v>170</v>
      </c>
      <c r="B172" s="24">
        <f t="shared" si="2"/>
        <v>109</v>
      </c>
      <c r="C172" s="1" t="s">
        <v>901</v>
      </c>
      <c r="D172" s="1" t="s">
        <v>4</v>
      </c>
      <c r="E172" s="1" t="s">
        <v>14</v>
      </c>
      <c r="F172" s="26">
        <v>1188</v>
      </c>
      <c r="G172" s="26">
        <v>0</v>
      </c>
      <c r="H172" s="26">
        <v>1200</v>
      </c>
      <c r="I172" s="26">
        <v>6810208</v>
      </c>
      <c r="J172" s="26">
        <v>42000000</v>
      </c>
    </row>
    <row r="173" spans="1:10">
      <c r="A173" s="24">
        <v>171</v>
      </c>
      <c r="B173" s="24">
        <f t="shared" si="2"/>
        <v>110</v>
      </c>
      <c r="C173" s="1" t="s">
        <v>902</v>
      </c>
      <c r="D173" s="1" t="s">
        <v>2</v>
      </c>
      <c r="E173" s="1" t="s">
        <v>14</v>
      </c>
      <c r="F173" s="26">
        <v>493</v>
      </c>
      <c r="G173" s="26">
        <v>0</v>
      </c>
      <c r="H173" s="26">
        <v>500</v>
      </c>
      <c r="I173" s="26">
        <v>2925620</v>
      </c>
      <c r="J173" s="26">
        <v>16500000</v>
      </c>
    </row>
    <row r="174" spans="1:10">
      <c r="A174" s="24">
        <v>172</v>
      </c>
      <c r="B174" s="24">
        <f t="shared" si="2"/>
        <v>110</v>
      </c>
      <c r="C174" s="1" t="s">
        <v>902</v>
      </c>
      <c r="D174" s="1" t="s">
        <v>3</v>
      </c>
      <c r="E174" s="1" t="s">
        <v>14</v>
      </c>
      <c r="F174" s="26">
        <v>498</v>
      </c>
      <c r="G174" s="26">
        <v>0</v>
      </c>
      <c r="H174" s="26">
        <v>500</v>
      </c>
      <c r="I174" s="26">
        <v>2925620</v>
      </c>
      <c r="J174" s="26">
        <v>16500000</v>
      </c>
    </row>
    <row r="175" spans="1:10">
      <c r="A175" s="24">
        <v>173</v>
      </c>
      <c r="B175" s="24">
        <f t="shared" si="2"/>
        <v>111</v>
      </c>
      <c r="C175" s="1" t="s">
        <v>903</v>
      </c>
      <c r="D175" s="1" t="s">
        <v>4</v>
      </c>
      <c r="E175" s="1" t="s">
        <v>14</v>
      </c>
      <c r="F175" s="26">
        <v>1129</v>
      </c>
      <c r="G175" s="26">
        <v>0</v>
      </c>
      <c r="H175" s="26">
        <v>1200</v>
      </c>
      <c r="I175" s="26">
        <v>6161208</v>
      </c>
      <c r="J175" s="26">
        <v>42000000</v>
      </c>
    </row>
    <row r="176" spans="1:10">
      <c r="A176" s="24">
        <v>174</v>
      </c>
      <c r="B176" s="24">
        <f t="shared" si="2"/>
        <v>112</v>
      </c>
      <c r="C176" s="1" t="s">
        <v>904</v>
      </c>
      <c r="D176" s="1" t="s">
        <v>4</v>
      </c>
      <c r="E176" s="1" t="s">
        <v>14</v>
      </c>
      <c r="F176" s="26">
        <v>981</v>
      </c>
      <c r="G176" s="26">
        <v>0</v>
      </c>
      <c r="H176" s="26">
        <v>1000</v>
      </c>
      <c r="I176" s="26">
        <v>5134340</v>
      </c>
      <c r="J176" s="26">
        <v>35000000</v>
      </c>
    </row>
    <row r="177" spans="1:10">
      <c r="A177" s="24">
        <v>175</v>
      </c>
      <c r="B177" s="24">
        <f t="shared" si="2"/>
        <v>113</v>
      </c>
      <c r="C177" s="1" t="s">
        <v>905</v>
      </c>
      <c r="D177" s="1" t="s">
        <v>4</v>
      </c>
      <c r="E177" s="1" t="s">
        <v>14</v>
      </c>
      <c r="F177" s="26">
        <v>1509</v>
      </c>
      <c r="G177" s="26">
        <v>0</v>
      </c>
      <c r="H177" s="26">
        <v>1500</v>
      </c>
      <c r="I177" s="26">
        <v>8240295.0000000009</v>
      </c>
      <c r="J177" s="26">
        <v>58500000</v>
      </c>
    </row>
    <row r="178" spans="1:10">
      <c r="A178" s="24">
        <v>176</v>
      </c>
      <c r="B178" s="24">
        <f t="shared" si="2"/>
        <v>114</v>
      </c>
      <c r="C178" s="1" t="s">
        <v>906</v>
      </c>
      <c r="D178" s="1" t="s">
        <v>4</v>
      </c>
      <c r="E178" s="1" t="s">
        <v>14</v>
      </c>
      <c r="F178" s="26">
        <v>1192</v>
      </c>
      <c r="G178" s="26">
        <v>0</v>
      </c>
      <c r="H178" s="26">
        <v>1200</v>
      </c>
      <c r="I178" s="26">
        <v>6598236.0000000009</v>
      </c>
      <c r="J178" s="26">
        <v>46800000</v>
      </c>
    </row>
    <row r="179" spans="1:10">
      <c r="A179" s="24">
        <v>177</v>
      </c>
      <c r="B179" s="24">
        <f t="shared" si="2"/>
        <v>115</v>
      </c>
      <c r="C179" s="1" t="s">
        <v>775</v>
      </c>
      <c r="F179" s="26">
        <v>9127</v>
      </c>
      <c r="G179" s="26">
        <v>0</v>
      </c>
      <c r="H179" s="26">
        <v>9300</v>
      </c>
      <c r="I179" s="26">
        <v>51456975</v>
      </c>
      <c r="J179" s="26">
        <v>332300000</v>
      </c>
    </row>
    <row r="180" spans="1:10">
      <c r="A180" s="24">
        <v>178</v>
      </c>
      <c r="B180" s="24">
        <f t="shared" si="2"/>
        <v>116</v>
      </c>
      <c r="C180" s="1" t="s">
        <v>907</v>
      </c>
      <c r="D180" s="1" t="s">
        <v>4</v>
      </c>
      <c r="E180" s="1" t="s">
        <v>14</v>
      </c>
      <c r="F180" s="26">
        <v>1196</v>
      </c>
      <c r="G180" s="26">
        <v>0</v>
      </c>
      <c r="H180" s="26">
        <v>1200</v>
      </c>
      <c r="I180" s="26">
        <v>5263080.0000000009</v>
      </c>
      <c r="J180" s="26">
        <v>46800000</v>
      </c>
    </row>
    <row r="181" spans="1:10">
      <c r="A181" s="24">
        <v>179</v>
      </c>
      <c r="B181" s="24">
        <f t="shared" si="2"/>
        <v>117</v>
      </c>
      <c r="C181" s="1" t="s">
        <v>908</v>
      </c>
      <c r="D181" s="1" t="s">
        <v>2</v>
      </c>
      <c r="E181" s="1" t="s">
        <v>14</v>
      </c>
      <c r="F181" s="26">
        <v>500</v>
      </c>
      <c r="G181" s="26">
        <v>0</v>
      </c>
      <c r="H181" s="26">
        <v>500</v>
      </c>
      <c r="I181" s="26">
        <v>2282950.0000000005</v>
      </c>
      <c r="J181" s="26">
        <v>17500000</v>
      </c>
    </row>
    <row r="182" spans="1:10">
      <c r="A182" s="24">
        <v>180</v>
      </c>
      <c r="B182" s="24">
        <f t="shared" si="2"/>
        <v>117</v>
      </c>
      <c r="C182" s="1" t="s">
        <v>908</v>
      </c>
      <c r="D182" s="1" t="s">
        <v>3</v>
      </c>
      <c r="E182" s="1" t="s">
        <v>14</v>
      </c>
      <c r="F182" s="26">
        <v>500</v>
      </c>
      <c r="G182" s="26">
        <v>0</v>
      </c>
      <c r="H182" s="26">
        <v>500</v>
      </c>
      <c r="I182" s="26">
        <v>2282950.0000000005</v>
      </c>
      <c r="J182" s="26">
        <v>17500000</v>
      </c>
    </row>
    <row r="183" spans="1:10">
      <c r="A183" s="24">
        <v>181</v>
      </c>
      <c r="B183" s="24">
        <f t="shared" si="2"/>
        <v>118</v>
      </c>
      <c r="C183" s="1" t="s">
        <v>909</v>
      </c>
      <c r="D183" s="1" t="s">
        <v>4</v>
      </c>
      <c r="E183" s="1" t="s">
        <v>14</v>
      </c>
      <c r="F183" s="26">
        <v>900</v>
      </c>
      <c r="G183" s="26">
        <v>0</v>
      </c>
      <c r="H183" s="26">
        <v>1200</v>
      </c>
      <c r="I183" s="26">
        <v>5263080.0000000009</v>
      </c>
      <c r="J183" s="26">
        <v>46800000</v>
      </c>
    </row>
    <row r="184" spans="1:10">
      <c r="A184" s="24">
        <v>182</v>
      </c>
      <c r="B184" s="24">
        <f t="shared" si="2"/>
        <v>119</v>
      </c>
      <c r="C184" s="1" t="s">
        <v>775</v>
      </c>
      <c r="F184" s="26">
        <v>3096</v>
      </c>
      <c r="G184" s="26">
        <v>0</v>
      </c>
      <c r="H184" s="26">
        <v>3400</v>
      </c>
      <c r="I184" s="26">
        <v>15092060.000000004</v>
      </c>
      <c r="J184" s="26">
        <v>128600000</v>
      </c>
    </row>
    <row r="185" spans="1:10">
      <c r="A185" s="24">
        <v>183</v>
      </c>
      <c r="B185" s="24">
        <f t="shared" si="2"/>
        <v>120</v>
      </c>
      <c r="C185" s="1" t="s">
        <v>910</v>
      </c>
      <c r="D185" s="1" t="s">
        <v>1359</v>
      </c>
      <c r="E185" s="1" t="s">
        <v>14</v>
      </c>
      <c r="F185" s="26">
        <v>299</v>
      </c>
      <c r="G185" s="26">
        <v>0</v>
      </c>
      <c r="H185" s="26">
        <v>300</v>
      </c>
      <c r="I185" s="26">
        <v>1166082.0000000002</v>
      </c>
      <c r="J185" s="26">
        <v>12900000</v>
      </c>
    </row>
    <row r="186" spans="1:10">
      <c r="A186" s="24">
        <v>184</v>
      </c>
      <c r="B186" s="24">
        <f t="shared" si="2"/>
        <v>120</v>
      </c>
      <c r="C186" s="1" t="s">
        <v>910</v>
      </c>
      <c r="D186" s="1" t="s">
        <v>2</v>
      </c>
      <c r="E186" s="1" t="s">
        <v>14</v>
      </c>
      <c r="F186" s="26">
        <v>450</v>
      </c>
      <c r="G186" s="26">
        <v>0</v>
      </c>
      <c r="H186" s="26">
        <v>450</v>
      </c>
      <c r="I186" s="26">
        <v>1749123.0000000002</v>
      </c>
      <c r="J186" s="26">
        <v>19350000</v>
      </c>
    </row>
    <row r="187" spans="1:10">
      <c r="A187" s="24">
        <v>185</v>
      </c>
      <c r="B187" s="24">
        <f t="shared" si="2"/>
        <v>120</v>
      </c>
      <c r="C187" s="1" t="s">
        <v>910</v>
      </c>
      <c r="D187" s="1" t="s">
        <v>3</v>
      </c>
      <c r="E187" s="1" t="s">
        <v>14</v>
      </c>
      <c r="F187" s="26">
        <v>450</v>
      </c>
      <c r="G187" s="26">
        <v>0</v>
      </c>
      <c r="H187" s="26">
        <v>450</v>
      </c>
      <c r="I187" s="26">
        <v>1749123.0000000002</v>
      </c>
      <c r="J187" s="26">
        <v>19350000</v>
      </c>
    </row>
    <row r="188" spans="1:10">
      <c r="A188" s="24">
        <v>186</v>
      </c>
      <c r="B188" s="24">
        <f t="shared" si="2"/>
        <v>120</v>
      </c>
      <c r="C188" s="1" t="s">
        <v>910</v>
      </c>
      <c r="D188" s="1" t="s">
        <v>5</v>
      </c>
      <c r="E188" s="1" t="s">
        <v>14</v>
      </c>
      <c r="F188" s="26">
        <v>300</v>
      </c>
      <c r="G188" s="26">
        <v>0</v>
      </c>
      <c r="H188" s="26">
        <v>300</v>
      </c>
      <c r="I188" s="26">
        <v>1166082.0000000002</v>
      </c>
      <c r="J188" s="26">
        <v>12900000</v>
      </c>
    </row>
    <row r="189" spans="1:10">
      <c r="A189" s="24">
        <v>187</v>
      </c>
      <c r="B189" s="24">
        <f t="shared" si="2"/>
        <v>121</v>
      </c>
      <c r="C189" s="1" t="s">
        <v>911</v>
      </c>
      <c r="D189" s="1" t="s">
        <v>1359</v>
      </c>
      <c r="E189" s="1" t="s">
        <v>14</v>
      </c>
      <c r="F189" s="26">
        <v>250</v>
      </c>
      <c r="G189" s="26">
        <v>0</v>
      </c>
      <c r="H189" s="26">
        <v>250</v>
      </c>
      <c r="I189" s="26">
        <v>1002920.0000000001</v>
      </c>
      <c r="J189" s="26">
        <v>10750000</v>
      </c>
    </row>
    <row r="190" spans="1:10">
      <c r="A190" s="24">
        <v>188</v>
      </c>
      <c r="B190" s="24">
        <f t="shared" si="2"/>
        <v>121</v>
      </c>
      <c r="C190" s="1" t="s">
        <v>911</v>
      </c>
      <c r="D190" s="1" t="s">
        <v>2</v>
      </c>
      <c r="E190" s="1" t="s">
        <v>14</v>
      </c>
      <c r="F190" s="26">
        <v>350</v>
      </c>
      <c r="G190" s="26">
        <v>0</v>
      </c>
      <c r="H190" s="26">
        <v>350</v>
      </c>
      <c r="I190" s="26">
        <v>1404088</v>
      </c>
      <c r="J190" s="26">
        <v>15050000</v>
      </c>
    </row>
    <row r="191" spans="1:10">
      <c r="A191" s="24">
        <v>189</v>
      </c>
      <c r="B191" s="24">
        <f t="shared" si="2"/>
        <v>121</v>
      </c>
      <c r="C191" s="1" t="s">
        <v>911</v>
      </c>
      <c r="D191" s="1" t="s">
        <v>3</v>
      </c>
      <c r="E191" s="1" t="s">
        <v>14</v>
      </c>
      <c r="F191" s="26">
        <v>350</v>
      </c>
      <c r="G191" s="26">
        <v>0</v>
      </c>
      <c r="H191" s="26">
        <v>350</v>
      </c>
      <c r="I191" s="26">
        <v>1404088</v>
      </c>
      <c r="J191" s="26">
        <v>15050000</v>
      </c>
    </row>
    <row r="192" spans="1:10">
      <c r="A192" s="24">
        <v>190</v>
      </c>
      <c r="B192" s="24">
        <f t="shared" si="2"/>
        <v>121</v>
      </c>
      <c r="C192" s="1" t="s">
        <v>911</v>
      </c>
      <c r="D192" s="1" t="s">
        <v>5</v>
      </c>
      <c r="E192" s="1" t="s">
        <v>14</v>
      </c>
      <c r="F192" s="26">
        <v>250</v>
      </c>
      <c r="G192" s="26">
        <v>0</v>
      </c>
      <c r="H192" s="26">
        <v>250</v>
      </c>
      <c r="I192" s="26">
        <v>1002920.0000000001</v>
      </c>
      <c r="J192" s="26">
        <v>10750000</v>
      </c>
    </row>
    <row r="193" spans="1:10">
      <c r="A193" s="24">
        <v>191</v>
      </c>
      <c r="B193" s="24">
        <f t="shared" si="2"/>
        <v>122</v>
      </c>
      <c r="C193" s="1" t="s">
        <v>912</v>
      </c>
      <c r="D193" s="1" t="s">
        <v>1359</v>
      </c>
      <c r="E193" s="1" t="s">
        <v>14</v>
      </c>
      <c r="F193" s="26">
        <v>300</v>
      </c>
      <c r="G193" s="26">
        <v>0</v>
      </c>
      <c r="H193" s="26">
        <v>300</v>
      </c>
      <c r="I193" s="26">
        <v>1166082.0000000002</v>
      </c>
      <c r="J193" s="26">
        <v>12900000</v>
      </c>
    </row>
    <row r="194" spans="1:10">
      <c r="A194" s="24">
        <v>192</v>
      </c>
      <c r="B194" s="24">
        <f t="shared" si="2"/>
        <v>122</v>
      </c>
      <c r="C194" s="1" t="s">
        <v>912</v>
      </c>
      <c r="D194" s="1" t="s">
        <v>2</v>
      </c>
      <c r="E194" s="1" t="s">
        <v>14</v>
      </c>
      <c r="F194" s="26">
        <v>400</v>
      </c>
      <c r="G194" s="26">
        <v>0</v>
      </c>
      <c r="H194" s="26">
        <v>400</v>
      </c>
      <c r="I194" s="26">
        <v>1554776.0000000002</v>
      </c>
      <c r="J194" s="26">
        <v>17200000</v>
      </c>
    </row>
    <row r="195" spans="1:10">
      <c r="A195" s="24">
        <v>193</v>
      </c>
      <c r="B195" s="24">
        <f t="shared" si="2"/>
        <v>122</v>
      </c>
      <c r="C195" s="1" t="s">
        <v>912</v>
      </c>
      <c r="D195" s="1" t="s">
        <v>3</v>
      </c>
      <c r="E195" s="1" t="s">
        <v>14</v>
      </c>
      <c r="F195" s="26">
        <v>300</v>
      </c>
      <c r="G195" s="26">
        <v>0</v>
      </c>
      <c r="H195" s="26">
        <v>300</v>
      </c>
      <c r="I195" s="26">
        <v>1166082.0000000002</v>
      </c>
      <c r="J195" s="26">
        <v>12900000</v>
      </c>
    </row>
    <row r="196" spans="1:10">
      <c r="A196" s="24">
        <v>194</v>
      </c>
      <c r="B196" s="24">
        <f t="shared" ref="B196:B259" si="3">IF(C195=C196,B195,B195+1)</f>
        <v>122</v>
      </c>
      <c r="C196" s="1" t="s">
        <v>912</v>
      </c>
      <c r="D196" s="1" t="s">
        <v>5</v>
      </c>
      <c r="E196" s="1" t="s">
        <v>14</v>
      </c>
      <c r="F196" s="26">
        <v>200</v>
      </c>
      <c r="G196" s="26">
        <v>0</v>
      </c>
      <c r="H196" s="26">
        <v>200</v>
      </c>
      <c r="I196" s="26">
        <v>777388.00000000012</v>
      </c>
      <c r="J196" s="26">
        <v>8600000</v>
      </c>
    </row>
    <row r="197" spans="1:10">
      <c r="A197" s="24">
        <v>195</v>
      </c>
      <c r="B197" s="24">
        <f t="shared" si="3"/>
        <v>123</v>
      </c>
      <c r="C197" s="1" t="s">
        <v>913</v>
      </c>
      <c r="D197" s="1" t="s">
        <v>4</v>
      </c>
      <c r="E197" s="1" t="s">
        <v>14</v>
      </c>
      <c r="F197" s="26">
        <v>1198</v>
      </c>
      <c r="G197" s="26">
        <v>0</v>
      </c>
      <c r="H197" s="26">
        <v>1200</v>
      </c>
      <c r="I197" s="26">
        <v>6610272.0000000019</v>
      </c>
      <c r="J197" s="26">
        <v>63600000</v>
      </c>
    </row>
    <row r="198" spans="1:10">
      <c r="A198" s="24">
        <v>196</v>
      </c>
      <c r="B198" s="24">
        <f t="shared" si="3"/>
        <v>124</v>
      </c>
      <c r="C198" s="1" t="s">
        <v>775</v>
      </c>
      <c r="F198" s="26">
        <v>5097</v>
      </c>
      <c r="G198" s="26">
        <v>0</v>
      </c>
      <c r="H198" s="26">
        <v>5100</v>
      </c>
      <c r="I198" s="26">
        <v>21919026</v>
      </c>
      <c r="J198" s="26">
        <v>231300000</v>
      </c>
    </row>
    <row r="199" spans="1:10">
      <c r="A199" s="24">
        <v>197</v>
      </c>
      <c r="B199" s="24">
        <f t="shared" si="3"/>
        <v>125</v>
      </c>
      <c r="C199" s="1" t="s">
        <v>914</v>
      </c>
      <c r="D199" s="1" t="s">
        <v>2</v>
      </c>
      <c r="E199" s="1" t="s">
        <v>14</v>
      </c>
      <c r="F199" s="26">
        <v>1000</v>
      </c>
      <c r="G199" s="26">
        <v>0</v>
      </c>
      <c r="H199" s="26">
        <v>1000</v>
      </c>
      <c r="I199" s="26">
        <v>5171680</v>
      </c>
      <c r="J199" s="26">
        <v>45000000</v>
      </c>
    </row>
    <row r="200" spans="1:10">
      <c r="A200" s="24">
        <v>198</v>
      </c>
      <c r="B200" s="24">
        <f t="shared" si="3"/>
        <v>125</v>
      </c>
      <c r="C200" s="1" t="s">
        <v>914</v>
      </c>
      <c r="D200" s="1" t="s">
        <v>3</v>
      </c>
      <c r="E200" s="1" t="s">
        <v>14</v>
      </c>
      <c r="F200" s="26">
        <v>500</v>
      </c>
      <c r="G200" s="26">
        <v>0</v>
      </c>
      <c r="H200" s="26">
        <v>500</v>
      </c>
      <c r="I200" s="26">
        <v>2585840</v>
      </c>
      <c r="J200" s="26">
        <v>22500000</v>
      </c>
    </row>
    <row r="201" spans="1:10">
      <c r="A201" s="24">
        <v>199</v>
      </c>
      <c r="B201" s="24">
        <f t="shared" si="3"/>
        <v>126</v>
      </c>
      <c r="C201" s="1" t="s">
        <v>915</v>
      </c>
      <c r="D201" s="1" t="s">
        <v>2</v>
      </c>
      <c r="E201" s="1" t="s">
        <v>14</v>
      </c>
      <c r="F201" s="26">
        <v>1000</v>
      </c>
      <c r="G201" s="26">
        <v>0</v>
      </c>
      <c r="H201" s="26">
        <v>1000</v>
      </c>
      <c r="I201" s="26">
        <v>5171680</v>
      </c>
      <c r="J201" s="26">
        <v>45000000</v>
      </c>
    </row>
    <row r="202" spans="1:10">
      <c r="A202" s="24">
        <v>200</v>
      </c>
      <c r="B202" s="24">
        <f t="shared" si="3"/>
        <v>126</v>
      </c>
      <c r="C202" s="1" t="s">
        <v>915</v>
      </c>
      <c r="D202" s="1" t="s">
        <v>3</v>
      </c>
      <c r="E202" s="1" t="s">
        <v>14</v>
      </c>
      <c r="F202" s="26">
        <v>500</v>
      </c>
      <c r="G202" s="26">
        <v>0</v>
      </c>
      <c r="H202" s="26">
        <v>500</v>
      </c>
      <c r="I202" s="26">
        <v>2585840</v>
      </c>
      <c r="J202" s="26">
        <v>22500000</v>
      </c>
    </row>
    <row r="203" spans="1:10">
      <c r="A203" s="24">
        <v>201</v>
      </c>
      <c r="B203" s="24">
        <f t="shared" si="3"/>
        <v>127</v>
      </c>
      <c r="C203" s="1" t="s">
        <v>775</v>
      </c>
      <c r="F203" s="26">
        <v>3000</v>
      </c>
      <c r="G203" s="26">
        <v>0</v>
      </c>
      <c r="H203" s="26">
        <v>3000</v>
      </c>
      <c r="I203" s="26">
        <v>15515040</v>
      </c>
      <c r="J203" s="26">
        <v>135000000</v>
      </c>
    </row>
    <row r="204" spans="1:10">
      <c r="A204" s="24">
        <v>202</v>
      </c>
      <c r="B204" s="24">
        <f t="shared" si="3"/>
        <v>128</v>
      </c>
      <c r="C204" s="1" t="s">
        <v>916</v>
      </c>
      <c r="D204" s="1" t="s">
        <v>4</v>
      </c>
      <c r="E204" s="1" t="s">
        <v>14</v>
      </c>
      <c r="F204" s="26">
        <v>985</v>
      </c>
      <c r="G204" s="26">
        <v>0</v>
      </c>
      <c r="H204" s="26">
        <v>1000</v>
      </c>
      <c r="I204" s="26">
        <v>8820000</v>
      </c>
      <c r="J204" s="26">
        <v>49000000</v>
      </c>
    </row>
    <row r="205" spans="1:10">
      <c r="A205" s="24">
        <v>203</v>
      </c>
      <c r="B205" s="24">
        <f t="shared" si="3"/>
        <v>129</v>
      </c>
      <c r="C205" s="1" t="s">
        <v>775</v>
      </c>
      <c r="F205" s="26">
        <v>985</v>
      </c>
      <c r="G205" s="26">
        <v>0</v>
      </c>
      <c r="H205" s="26">
        <v>1000</v>
      </c>
      <c r="I205" s="26">
        <v>8820000</v>
      </c>
      <c r="J205" s="26">
        <v>49000000</v>
      </c>
    </row>
    <row r="206" spans="1:10">
      <c r="A206" s="24">
        <v>204</v>
      </c>
      <c r="B206" s="24">
        <f t="shared" si="3"/>
        <v>130</v>
      </c>
      <c r="C206" s="1" t="s">
        <v>917</v>
      </c>
      <c r="D206" s="1" t="s">
        <v>4</v>
      </c>
      <c r="E206" s="1" t="s">
        <v>14</v>
      </c>
      <c r="F206" s="26">
        <v>938</v>
      </c>
      <c r="G206" s="26">
        <v>0</v>
      </c>
      <c r="H206" s="26">
        <v>1000</v>
      </c>
      <c r="I206" s="26">
        <v>7855180.0000000009</v>
      </c>
      <c r="J206" s="26">
        <v>49000000</v>
      </c>
    </row>
    <row r="207" spans="1:10">
      <c r="A207" s="24">
        <v>205</v>
      </c>
      <c r="B207" s="24">
        <f t="shared" si="3"/>
        <v>131</v>
      </c>
      <c r="C207" s="1" t="s">
        <v>775</v>
      </c>
      <c r="F207" s="26">
        <v>938</v>
      </c>
      <c r="G207" s="26">
        <v>0</v>
      </c>
      <c r="H207" s="26">
        <v>1000</v>
      </c>
      <c r="I207" s="26">
        <v>7855180.0000000009</v>
      </c>
      <c r="J207" s="26">
        <v>49000000</v>
      </c>
    </row>
    <row r="208" spans="1:10">
      <c r="A208" s="24">
        <v>206</v>
      </c>
      <c r="B208" s="24">
        <f t="shared" si="3"/>
        <v>132</v>
      </c>
      <c r="C208" s="1" t="s">
        <v>918</v>
      </c>
      <c r="D208" s="1" t="s">
        <v>4</v>
      </c>
      <c r="E208" s="1" t="s">
        <v>14</v>
      </c>
      <c r="F208" s="26">
        <v>1500</v>
      </c>
      <c r="G208" s="26">
        <v>0</v>
      </c>
      <c r="H208" s="26">
        <v>1500</v>
      </c>
      <c r="I208" s="26">
        <v>6387255</v>
      </c>
      <c r="J208" s="26">
        <v>64500000</v>
      </c>
    </row>
    <row r="209" spans="1:10">
      <c r="A209" s="24">
        <v>207</v>
      </c>
      <c r="B209" s="24">
        <f t="shared" si="3"/>
        <v>133</v>
      </c>
      <c r="C209" s="1" t="s">
        <v>919</v>
      </c>
      <c r="D209" s="1" t="s">
        <v>2</v>
      </c>
      <c r="E209" s="1" t="s">
        <v>14</v>
      </c>
      <c r="F209" s="26">
        <v>800</v>
      </c>
      <c r="G209" s="26">
        <v>0</v>
      </c>
      <c r="H209" s="26">
        <v>800</v>
      </c>
      <c r="I209" s="26">
        <v>3307840</v>
      </c>
      <c r="J209" s="26">
        <v>31200000</v>
      </c>
    </row>
    <row r="210" spans="1:10">
      <c r="A210" s="24">
        <v>208</v>
      </c>
      <c r="B210" s="24">
        <f t="shared" si="3"/>
        <v>133</v>
      </c>
      <c r="C210" s="1" t="s">
        <v>919</v>
      </c>
      <c r="D210" s="1" t="s">
        <v>3</v>
      </c>
      <c r="E210" s="1" t="s">
        <v>14</v>
      </c>
      <c r="F210" s="26">
        <v>372</v>
      </c>
      <c r="G210" s="26">
        <v>0</v>
      </c>
      <c r="H210" s="26">
        <v>400</v>
      </c>
      <c r="I210" s="26">
        <v>1653920</v>
      </c>
      <c r="J210" s="26">
        <v>15600000</v>
      </c>
    </row>
    <row r="211" spans="1:10">
      <c r="A211" s="24">
        <v>209</v>
      </c>
      <c r="B211" s="24">
        <f t="shared" si="3"/>
        <v>134</v>
      </c>
      <c r="C211" s="1" t="s">
        <v>920</v>
      </c>
      <c r="D211" s="1" t="s">
        <v>4</v>
      </c>
      <c r="E211" s="1" t="s">
        <v>14</v>
      </c>
      <c r="F211" s="26">
        <v>1499</v>
      </c>
      <c r="G211" s="26">
        <v>0</v>
      </c>
      <c r="H211" s="26">
        <v>1500</v>
      </c>
      <c r="I211" s="26">
        <v>6381255</v>
      </c>
      <c r="J211" s="26">
        <v>64500000</v>
      </c>
    </row>
    <row r="212" spans="1:10">
      <c r="A212" s="24">
        <v>210</v>
      </c>
      <c r="B212" s="24">
        <f t="shared" si="3"/>
        <v>135</v>
      </c>
      <c r="C212" s="1" t="s">
        <v>921</v>
      </c>
      <c r="D212" s="1" t="s">
        <v>4</v>
      </c>
      <c r="E212" s="1" t="s">
        <v>14</v>
      </c>
      <c r="F212" s="26">
        <v>2000</v>
      </c>
      <c r="G212" s="26">
        <v>0</v>
      </c>
      <c r="H212" s="26">
        <v>2000</v>
      </c>
      <c r="I212" s="26">
        <v>7117520</v>
      </c>
      <c r="J212" s="26">
        <v>86000000</v>
      </c>
    </row>
    <row r="213" spans="1:10">
      <c r="A213" s="24">
        <v>211</v>
      </c>
      <c r="B213" s="24">
        <f t="shared" si="3"/>
        <v>136</v>
      </c>
      <c r="C213" s="1" t="s">
        <v>922</v>
      </c>
      <c r="D213" s="1" t="s">
        <v>2</v>
      </c>
      <c r="E213" s="1" t="s">
        <v>14</v>
      </c>
      <c r="F213" s="26">
        <v>999</v>
      </c>
      <c r="G213" s="26">
        <v>0</v>
      </c>
      <c r="H213" s="26">
        <v>1000</v>
      </c>
      <c r="I213" s="26">
        <v>3496390.0000000005</v>
      </c>
      <c r="J213" s="26">
        <v>39000000</v>
      </c>
    </row>
    <row r="214" spans="1:10">
      <c r="A214" s="24">
        <v>212</v>
      </c>
      <c r="B214" s="24">
        <f t="shared" si="3"/>
        <v>136</v>
      </c>
      <c r="C214" s="1" t="s">
        <v>922</v>
      </c>
      <c r="D214" s="1" t="s">
        <v>3</v>
      </c>
      <c r="E214" s="1" t="s">
        <v>14</v>
      </c>
      <c r="F214" s="26">
        <v>499</v>
      </c>
      <c r="G214" s="26">
        <v>0</v>
      </c>
      <c r="H214" s="26">
        <v>500</v>
      </c>
      <c r="I214" s="26">
        <v>1748195.0000000002</v>
      </c>
      <c r="J214" s="26">
        <v>19500000</v>
      </c>
    </row>
    <row r="215" spans="1:10">
      <c r="A215" s="24">
        <v>213</v>
      </c>
      <c r="B215" s="24">
        <f t="shared" si="3"/>
        <v>137</v>
      </c>
      <c r="C215" s="1" t="s">
        <v>923</v>
      </c>
      <c r="D215" s="1" t="s">
        <v>4</v>
      </c>
      <c r="E215" s="1" t="s">
        <v>14</v>
      </c>
      <c r="F215" s="26">
        <v>1500</v>
      </c>
      <c r="G215" s="26">
        <v>0</v>
      </c>
      <c r="H215" s="26">
        <v>1500</v>
      </c>
      <c r="I215" s="26">
        <v>6387255</v>
      </c>
      <c r="J215" s="26">
        <v>64500000</v>
      </c>
    </row>
    <row r="216" spans="1:10">
      <c r="A216" s="24">
        <v>214</v>
      </c>
      <c r="B216" s="24">
        <f t="shared" si="3"/>
        <v>138</v>
      </c>
      <c r="C216" s="1" t="s">
        <v>775</v>
      </c>
      <c r="F216" s="26">
        <v>9169</v>
      </c>
      <c r="G216" s="26">
        <v>0</v>
      </c>
      <c r="H216" s="26">
        <v>9200</v>
      </c>
      <c r="I216" s="26">
        <v>36479630</v>
      </c>
      <c r="J216" s="26">
        <v>384800000</v>
      </c>
    </row>
    <row r="217" spans="1:10">
      <c r="A217" s="24">
        <v>215</v>
      </c>
      <c r="B217" s="24">
        <f t="shared" si="3"/>
        <v>139</v>
      </c>
      <c r="C217" s="1" t="s">
        <v>924</v>
      </c>
      <c r="D217" s="1" t="s">
        <v>4</v>
      </c>
      <c r="E217" s="1" t="s">
        <v>14</v>
      </c>
      <c r="F217" s="26">
        <v>1500</v>
      </c>
      <c r="G217" s="26">
        <v>0</v>
      </c>
      <c r="H217" s="26">
        <v>1500</v>
      </c>
      <c r="I217" s="26">
        <v>9029460</v>
      </c>
      <c r="J217" s="26">
        <v>64500000</v>
      </c>
    </row>
    <row r="218" spans="1:10">
      <c r="A218" s="24">
        <v>216</v>
      </c>
      <c r="B218" s="24">
        <f t="shared" si="3"/>
        <v>140</v>
      </c>
      <c r="C218" s="1" t="s">
        <v>925</v>
      </c>
      <c r="D218" s="1" t="s">
        <v>2</v>
      </c>
      <c r="E218" s="1" t="s">
        <v>14</v>
      </c>
      <c r="F218" s="26">
        <v>998</v>
      </c>
      <c r="G218" s="26">
        <v>0</v>
      </c>
      <c r="H218" s="26">
        <v>1000</v>
      </c>
      <c r="I218" s="26">
        <v>6019640</v>
      </c>
      <c r="J218" s="26">
        <v>39000000</v>
      </c>
    </row>
    <row r="219" spans="1:10">
      <c r="A219" s="24">
        <v>217</v>
      </c>
      <c r="B219" s="24">
        <f t="shared" si="3"/>
        <v>140</v>
      </c>
      <c r="C219" s="1" t="s">
        <v>925</v>
      </c>
      <c r="D219" s="1" t="s">
        <v>3</v>
      </c>
      <c r="E219" s="1" t="s">
        <v>14</v>
      </c>
      <c r="F219" s="26">
        <v>500</v>
      </c>
      <c r="G219" s="26">
        <v>0</v>
      </c>
      <c r="H219" s="26">
        <v>500</v>
      </c>
      <c r="I219" s="26">
        <v>3009820</v>
      </c>
      <c r="J219" s="26">
        <v>19500000</v>
      </c>
    </row>
    <row r="220" spans="1:10">
      <c r="A220" s="24">
        <v>218</v>
      </c>
      <c r="B220" s="24">
        <f t="shared" si="3"/>
        <v>141</v>
      </c>
      <c r="C220" s="1" t="s">
        <v>926</v>
      </c>
      <c r="D220" s="1" t="s">
        <v>4</v>
      </c>
      <c r="E220" s="1" t="s">
        <v>14</v>
      </c>
      <c r="F220" s="26">
        <v>1500</v>
      </c>
      <c r="G220" s="26">
        <v>0</v>
      </c>
      <c r="H220" s="26">
        <v>1500</v>
      </c>
      <c r="I220" s="26">
        <v>8772510</v>
      </c>
      <c r="J220" s="26">
        <v>64500000</v>
      </c>
    </row>
    <row r="221" spans="1:10">
      <c r="A221" s="24">
        <v>219</v>
      </c>
      <c r="B221" s="24">
        <f t="shared" si="3"/>
        <v>142</v>
      </c>
      <c r="C221" s="1" t="s">
        <v>927</v>
      </c>
      <c r="D221" s="1" t="s">
        <v>2</v>
      </c>
      <c r="E221" s="1" t="s">
        <v>14</v>
      </c>
      <c r="F221" s="26">
        <v>1000</v>
      </c>
      <c r="G221" s="26">
        <v>0</v>
      </c>
      <c r="H221" s="26">
        <v>1000</v>
      </c>
      <c r="I221" s="26">
        <v>5848340</v>
      </c>
      <c r="J221" s="26">
        <v>39000000</v>
      </c>
    </row>
    <row r="222" spans="1:10">
      <c r="A222" s="24">
        <v>220</v>
      </c>
      <c r="B222" s="24">
        <f t="shared" si="3"/>
        <v>142</v>
      </c>
      <c r="C222" s="1" t="s">
        <v>927</v>
      </c>
      <c r="D222" s="1" t="s">
        <v>3</v>
      </c>
      <c r="E222" s="1" t="s">
        <v>14</v>
      </c>
      <c r="F222" s="26">
        <v>500</v>
      </c>
      <c r="G222" s="26">
        <v>0</v>
      </c>
      <c r="H222" s="26">
        <v>500</v>
      </c>
      <c r="I222" s="26">
        <v>2924170</v>
      </c>
      <c r="J222" s="26">
        <v>19500000</v>
      </c>
    </row>
    <row r="223" spans="1:10">
      <c r="A223" s="24">
        <v>221</v>
      </c>
      <c r="B223" s="24">
        <f t="shared" si="3"/>
        <v>143</v>
      </c>
      <c r="C223" s="1" t="s">
        <v>928</v>
      </c>
      <c r="D223" s="1" t="s">
        <v>4</v>
      </c>
      <c r="E223" s="1" t="s">
        <v>14</v>
      </c>
      <c r="F223" s="26">
        <v>1500</v>
      </c>
      <c r="G223" s="26">
        <v>0</v>
      </c>
      <c r="H223" s="26">
        <v>1500</v>
      </c>
      <c r="I223" s="26">
        <v>7874850.0000000009</v>
      </c>
      <c r="J223" s="26">
        <v>64500000</v>
      </c>
    </row>
    <row r="224" spans="1:10">
      <c r="A224" s="24">
        <v>222</v>
      </c>
      <c r="B224" s="24">
        <f t="shared" si="3"/>
        <v>144</v>
      </c>
      <c r="C224" s="1" t="s">
        <v>929</v>
      </c>
      <c r="D224" s="1" t="s">
        <v>4</v>
      </c>
      <c r="E224" s="1" t="s">
        <v>14</v>
      </c>
      <c r="F224" s="26">
        <v>1500</v>
      </c>
      <c r="G224" s="26">
        <v>0</v>
      </c>
      <c r="H224" s="26">
        <v>1500</v>
      </c>
      <c r="I224" s="26">
        <v>8436180</v>
      </c>
      <c r="J224" s="26">
        <v>64500000</v>
      </c>
    </row>
    <row r="225" spans="1:10">
      <c r="A225" s="24">
        <v>223</v>
      </c>
      <c r="B225" s="24">
        <f t="shared" si="3"/>
        <v>145</v>
      </c>
      <c r="C225" s="1" t="s">
        <v>775</v>
      </c>
      <c r="F225" s="26">
        <v>8998</v>
      </c>
      <c r="G225" s="26">
        <v>0</v>
      </c>
      <c r="H225" s="26">
        <v>9000</v>
      </c>
      <c r="I225" s="26">
        <v>51914970</v>
      </c>
      <c r="J225" s="26">
        <v>375000000</v>
      </c>
    </row>
    <row r="226" spans="1:10">
      <c r="A226" s="24">
        <v>224</v>
      </c>
      <c r="B226" s="24">
        <f t="shared" si="3"/>
        <v>146</v>
      </c>
      <c r="C226" s="1" t="s">
        <v>930</v>
      </c>
      <c r="D226" s="1" t="s">
        <v>4</v>
      </c>
      <c r="E226" s="1" t="s">
        <v>14</v>
      </c>
      <c r="F226" s="26">
        <v>1500</v>
      </c>
      <c r="G226" s="26">
        <v>0</v>
      </c>
      <c r="H226" s="26">
        <v>1500</v>
      </c>
      <c r="I226" s="26">
        <v>7504410.0000000009</v>
      </c>
      <c r="J226" s="26">
        <v>64500000</v>
      </c>
    </row>
    <row r="227" spans="1:10">
      <c r="A227" s="24">
        <v>225</v>
      </c>
      <c r="B227" s="24">
        <f t="shared" si="3"/>
        <v>147</v>
      </c>
      <c r="C227" s="1" t="s">
        <v>931</v>
      </c>
      <c r="D227" s="1" t="s">
        <v>4</v>
      </c>
      <c r="E227" s="1" t="s">
        <v>14</v>
      </c>
      <c r="F227" s="26">
        <v>1500</v>
      </c>
      <c r="G227" s="26">
        <v>0</v>
      </c>
      <c r="H227" s="26">
        <v>1500</v>
      </c>
      <c r="I227" s="26">
        <v>7320630</v>
      </c>
      <c r="J227" s="26">
        <v>64500000</v>
      </c>
    </row>
    <row r="228" spans="1:10">
      <c r="A228" s="24">
        <v>226</v>
      </c>
      <c r="B228" s="24">
        <f t="shared" si="3"/>
        <v>148</v>
      </c>
      <c r="C228" s="1" t="s">
        <v>932</v>
      </c>
      <c r="D228" s="1" t="s">
        <v>4</v>
      </c>
      <c r="E228" s="1" t="s">
        <v>14</v>
      </c>
      <c r="F228" s="26">
        <v>1500</v>
      </c>
      <c r="G228" s="26">
        <v>0</v>
      </c>
      <c r="H228" s="26">
        <v>1500</v>
      </c>
      <c r="I228" s="26">
        <v>7494300.0000000009</v>
      </c>
      <c r="J228" s="26">
        <v>64500000</v>
      </c>
    </row>
    <row r="229" spans="1:10">
      <c r="A229" s="24">
        <v>227</v>
      </c>
      <c r="B229" s="24">
        <f t="shared" si="3"/>
        <v>149</v>
      </c>
      <c r="C229" s="1" t="s">
        <v>933</v>
      </c>
      <c r="D229" s="1" t="s">
        <v>4</v>
      </c>
      <c r="E229" s="1" t="s">
        <v>14</v>
      </c>
      <c r="F229" s="26">
        <v>1200</v>
      </c>
      <c r="G229" s="26">
        <v>0</v>
      </c>
      <c r="H229" s="26">
        <v>1200</v>
      </c>
      <c r="I229" s="26">
        <v>6156504</v>
      </c>
      <c r="J229" s="26">
        <v>51600000</v>
      </c>
    </row>
    <row r="230" spans="1:10">
      <c r="A230" s="24">
        <v>228</v>
      </c>
      <c r="B230" s="24">
        <f t="shared" si="3"/>
        <v>150</v>
      </c>
      <c r="C230" s="1" t="s">
        <v>934</v>
      </c>
      <c r="D230" s="1" t="s">
        <v>2</v>
      </c>
      <c r="E230" s="1" t="s">
        <v>14</v>
      </c>
      <c r="F230" s="26">
        <v>800</v>
      </c>
      <c r="G230" s="26">
        <v>0</v>
      </c>
      <c r="H230" s="26">
        <v>800</v>
      </c>
      <c r="I230" s="26">
        <v>4104336</v>
      </c>
      <c r="J230" s="26">
        <v>31200000</v>
      </c>
    </row>
    <row r="231" spans="1:10">
      <c r="A231" s="24">
        <v>229</v>
      </c>
      <c r="B231" s="24">
        <f t="shared" si="3"/>
        <v>150</v>
      </c>
      <c r="C231" s="1" t="s">
        <v>934</v>
      </c>
      <c r="D231" s="1" t="s">
        <v>3</v>
      </c>
      <c r="E231" s="1" t="s">
        <v>14</v>
      </c>
      <c r="F231" s="26">
        <v>399</v>
      </c>
      <c r="G231" s="26">
        <v>0</v>
      </c>
      <c r="H231" s="26">
        <v>400</v>
      </c>
      <c r="I231" s="26">
        <v>2052168</v>
      </c>
      <c r="J231" s="26">
        <v>15600000</v>
      </c>
    </row>
    <row r="232" spans="1:10">
      <c r="A232" s="24">
        <v>230</v>
      </c>
      <c r="B232" s="24">
        <f t="shared" si="3"/>
        <v>151</v>
      </c>
      <c r="C232" s="1" t="s">
        <v>775</v>
      </c>
      <c r="F232" s="26">
        <v>6899</v>
      </c>
      <c r="G232" s="26">
        <v>0</v>
      </c>
      <c r="H232" s="26">
        <v>6900</v>
      </c>
      <c r="I232" s="26">
        <v>34632348</v>
      </c>
      <c r="J232" s="26">
        <v>291900000</v>
      </c>
    </row>
    <row r="233" spans="1:10">
      <c r="A233" s="24">
        <v>231</v>
      </c>
      <c r="B233" s="24">
        <f t="shared" si="3"/>
        <v>152</v>
      </c>
      <c r="C233" s="1" t="s">
        <v>935</v>
      </c>
      <c r="D233" s="1" t="s">
        <v>4</v>
      </c>
      <c r="E233" s="1" t="s">
        <v>14</v>
      </c>
      <c r="F233" s="26">
        <v>2000</v>
      </c>
      <c r="G233" s="26">
        <v>0</v>
      </c>
      <c r="H233" s="26">
        <v>2000</v>
      </c>
      <c r="I233" s="26">
        <v>16500000</v>
      </c>
      <c r="J233" s="26">
        <v>98000000</v>
      </c>
    </row>
    <row r="234" spans="1:10">
      <c r="A234" s="24">
        <v>232</v>
      </c>
      <c r="B234" s="24">
        <f t="shared" si="3"/>
        <v>153</v>
      </c>
      <c r="C234" s="1" t="s">
        <v>936</v>
      </c>
      <c r="D234" s="1" t="s">
        <v>4</v>
      </c>
      <c r="E234" s="1" t="s">
        <v>14</v>
      </c>
      <c r="F234" s="26">
        <v>1800</v>
      </c>
      <c r="G234" s="26">
        <v>0</v>
      </c>
      <c r="H234" s="26">
        <v>1800</v>
      </c>
      <c r="I234" s="26">
        <v>14850000</v>
      </c>
      <c r="J234" s="26">
        <v>88200000</v>
      </c>
    </row>
    <row r="235" spans="1:10">
      <c r="A235" s="24">
        <v>233</v>
      </c>
      <c r="B235" s="24">
        <f t="shared" si="3"/>
        <v>154</v>
      </c>
      <c r="C235" s="1" t="s">
        <v>937</v>
      </c>
      <c r="D235" s="1" t="s">
        <v>4</v>
      </c>
      <c r="E235" s="1" t="s">
        <v>14</v>
      </c>
      <c r="F235" s="26">
        <v>1199</v>
      </c>
      <c r="G235" s="26">
        <v>0</v>
      </c>
      <c r="H235" s="26">
        <v>1200</v>
      </c>
      <c r="I235" s="26">
        <v>9900000</v>
      </c>
      <c r="J235" s="26">
        <v>58800000</v>
      </c>
    </row>
    <row r="236" spans="1:10">
      <c r="A236" s="24">
        <v>234</v>
      </c>
      <c r="B236" s="24">
        <f t="shared" si="3"/>
        <v>155</v>
      </c>
      <c r="C236" s="1" t="s">
        <v>938</v>
      </c>
      <c r="D236" s="1" t="s">
        <v>4</v>
      </c>
      <c r="E236" s="1" t="s">
        <v>14</v>
      </c>
      <c r="F236" s="26">
        <v>1800</v>
      </c>
      <c r="G236" s="26">
        <v>0</v>
      </c>
      <c r="H236" s="26">
        <v>1800</v>
      </c>
      <c r="I236" s="26">
        <v>13860000</v>
      </c>
      <c r="J236" s="26">
        <v>88200000</v>
      </c>
    </row>
    <row r="237" spans="1:10">
      <c r="A237" s="24">
        <v>235</v>
      </c>
      <c r="B237" s="24">
        <f t="shared" si="3"/>
        <v>156</v>
      </c>
      <c r="C237" s="1" t="s">
        <v>775</v>
      </c>
      <c r="F237" s="26">
        <v>6799</v>
      </c>
      <c r="G237" s="26">
        <v>0</v>
      </c>
      <c r="H237" s="26">
        <v>6800</v>
      </c>
      <c r="I237" s="26">
        <v>55110000</v>
      </c>
      <c r="J237" s="26">
        <v>333200000</v>
      </c>
    </row>
    <row r="238" spans="1:10">
      <c r="A238" s="24">
        <v>236</v>
      </c>
      <c r="B238" s="24">
        <f t="shared" si="3"/>
        <v>157</v>
      </c>
      <c r="C238" s="1" t="s">
        <v>939</v>
      </c>
      <c r="D238" s="1" t="s">
        <v>4</v>
      </c>
      <c r="E238" s="1" t="s">
        <v>14</v>
      </c>
      <c r="F238" s="26">
        <v>603</v>
      </c>
      <c r="G238" s="26">
        <v>0</v>
      </c>
      <c r="H238" s="26">
        <v>600</v>
      </c>
      <c r="I238" s="26">
        <v>14100000</v>
      </c>
      <c r="J238" s="26">
        <v>59400000</v>
      </c>
    </row>
    <row r="239" spans="1:10">
      <c r="A239" s="24">
        <v>237</v>
      </c>
      <c r="B239" s="24">
        <f t="shared" si="3"/>
        <v>158</v>
      </c>
      <c r="C239" s="1" t="s">
        <v>940</v>
      </c>
      <c r="D239" s="1" t="s">
        <v>4</v>
      </c>
      <c r="E239" s="1" t="s">
        <v>14</v>
      </c>
      <c r="F239" s="26">
        <v>600</v>
      </c>
      <c r="G239" s="26">
        <v>0</v>
      </c>
      <c r="H239" s="26">
        <v>600</v>
      </c>
      <c r="I239" s="26">
        <v>16500000</v>
      </c>
      <c r="J239" s="26">
        <v>71400000</v>
      </c>
    </row>
    <row r="240" spans="1:10">
      <c r="A240" s="24">
        <v>238</v>
      </c>
      <c r="B240" s="24">
        <f t="shared" si="3"/>
        <v>159</v>
      </c>
      <c r="C240" s="1" t="s">
        <v>941</v>
      </c>
      <c r="D240" s="1" t="s">
        <v>4</v>
      </c>
      <c r="E240" s="1" t="s">
        <v>14</v>
      </c>
      <c r="F240" s="26">
        <v>600</v>
      </c>
      <c r="G240" s="26">
        <v>0</v>
      </c>
      <c r="H240" s="26">
        <v>600</v>
      </c>
      <c r="I240" s="26">
        <v>14100000</v>
      </c>
      <c r="J240" s="26">
        <v>59400000</v>
      </c>
    </row>
    <row r="241" spans="1:10">
      <c r="A241" s="24">
        <v>239</v>
      </c>
      <c r="B241" s="24">
        <f t="shared" si="3"/>
        <v>160</v>
      </c>
      <c r="C241" s="1" t="s">
        <v>775</v>
      </c>
      <c r="F241" s="26">
        <v>1803</v>
      </c>
      <c r="G241" s="26">
        <v>0</v>
      </c>
      <c r="H241" s="26">
        <v>1800</v>
      </c>
      <c r="I241" s="26">
        <v>44700000</v>
      </c>
      <c r="J241" s="26">
        <v>190200000</v>
      </c>
    </row>
    <row r="242" spans="1:10">
      <c r="A242" s="24">
        <v>240</v>
      </c>
      <c r="B242" s="24">
        <f t="shared" si="3"/>
        <v>161</v>
      </c>
      <c r="C242" s="1" t="s">
        <v>942</v>
      </c>
      <c r="D242" s="1" t="s">
        <v>4</v>
      </c>
      <c r="E242" s="1" t="s">
        <v>14</v>
      </c>
      <c r="F242" s="26">
        <v>1000</v>
      </c>
      <c r="G242" s="26">
        <v>0</v>
      </c>
      <c r="H242" s="26">
        <v>1000</v>
      </c>
      <c r="I242" s="26">
        <v>5527460</v>
      </c>
      <c r="J242" s="26">
        <v>43000000</v>
      </c>
    </row>
    <row r="243" spans="1:10">
      <c r="A243" s="24">
        <v>241</v>
      </c>
      <c r="B243" s="24">
        <f t="shared" si="3"/>
        <v>162</v>
      </c>
      <c r="C243" s="1" t="s">
        <v>943</v>
      </c>
      <c r="D243" s="1" t="s">
        <v>4</v>
      </c>
      <c r="E243" s="1" t="s">
        <v>14</v>
      </c>
      <c r="F243" s="26">
        <v>1199</v>
      </c>
      <c r="G243" s="26">
        <v>0</v>
      </c>
      <c r="H243" s="26">
        <v>1200</v>
      </c>
      <c r="I243" s="26">
        <v>8504184</v>
      </c>
      <c r="J243" s="26">
        <v>66000000</v>
      </c>
    </row>
    <row r="244" spans="1:10">
      <c r="A244" s="24">
        <v>242</v>
      </c>
      <c r="B244" s="24">
        <f t="shared" si="3"/>
        <v>163</v>
      </c>
      <c r="C244" s="1" t="s">
        <v>944</v>
      </c>
      <c r="D244" s="1" t="s">
        <v>4</v>
      </c>
      <c r="E244" s="1" t="s">
        <v>14</v>
      </c>
      <c r="F244" s="26">
        <v>1200</v>
      </c>
      <c r="G244" s="26">
        <v>0</v>
      </c>
      <c r="H244" s="26">
        <v>1200</v>
      </c>
      <c r="I244" s="26">
        <v>10501428</v>
      </c>
      <c r="J244" s="26">
        <v>66000000</v>
      </c>
    </row>
    <row r="245" spans="1:10">
      <c r="A245" s="24">
        <v>243</v>
      </c>
      <c r="B245" s="24">
        <f t="shared" si="3"/>
        <v>164</v>
      </c>
      <c r="C245" s="1" t="s">
        <v>775</v>
      </c>
      <c r="F245" s="26">
        <v>3399</v>
      </c>
      <c r="G245" s="26">
        <v>0</v>
      </c>
      <c r="H245" s="26">
        <v>3400</v>
      </c>
      <c r="I245" s="26">
        <v>24533072</v>
      </c>
      <c r="J245" s="26">
        <v>175000000</v>
      </c>
    </row>
    <row r="246" spans="1:10">
      <c r="A246" s="24">
        <v>244</v>
      </c>
      <c r="B246" s="24">
        <f t="shared" si="3"/>
        <v>165</v>
      </c>
      <c r="C246" s="1" t="s">
        <v>945</v>
      </c>
      <c r="D246" s="1" t="s">
        <v>2</v>
      </c>
      <c r="E246" s="1" t="s">
        <v>14</v>
      </c>
      <c r="F246" s="26">
        <v>600</v>
      </c>
      <c r="G246" s="26">
        <v>0</v>
      </c>
      <c r="H246" s="26">
        <v>600</v>
      </c>
      <c r="I246" s="26">
        <v>7020000</v>
      </c>
      <c r="J246" s="26">
        <v>27000000</v>
      </c>
    </row>
    <row r="247" spans="1:10">
      <c r="A247" s="24">
        <v>245</v>
      </c>
      <c r="B247" s="24">
        <f t="shared" si="3"/>
        <v>165</v>
      </c>
      <c r="C247" s="1" t="s">
        <v>945</v>
      </c>
      <c r="D247" s="1" t="s">
        <v>3</v>
      </c>
      <c r="E247" s="1" t="s">
        <v>14</v>
      </c>
      <c r="F247" s="26">
        <v>400</v>
      </c>
      <c r="G247" s="26">
        <v>0</v>
      </c>
      <c r="H247" s="26">
        <v>400</v>
      </c>
      <c r="I247" s="26">
        <v>4680000</v>
      </c>
      <c r="J247" s="26">
        <v>18000000</v>
      </c>
    </row>
    <row r="248" spans="1:10">
      <c r="A248" s="24">
        <v>246</v>
      </c>
      <c r="B248" s="24">
        <f t="shared" si="3"/>
        <v>166</v>
      </c>
      <c r="C248" s="1" t="s">
        <v>946</v>
      </c>
      <c r="D248" s="1" t="s">
        <v>2</v>
      </c>
      <c r="E248" s="1" t="s">
        <v>14</v>
      </c>
      <c r="F248" s="26">
        <v>600</v>
      </c>
      <c r="G248" s="26">
        <v>0</v>
      </c>
      <c r="H248" s="26">
        <v>600</v>
      </c>
      <c r="I248" s="26">
        <v>7500000</v>
      </c>
      <c r="J248" s="26">
        <v>27000000</v>
      </c>
    </row>
    <row r="249" spans="1:10">
      <c r="A249" s="24">
        <v>247</v>
      </c>
      <c r="B249" s="24">
        <f t="shared" si="3"/>
        <v>166</v>
      </c>
      <c r="C249" s="1" t="s">
        <v>946</v>
      </c>
      <c r="D249" s="1" t="s">
        <v>3</v>
      </c>
      <c r="E249" s="1" t="s">
        <v>14</v>
      </c>
      <c r="F249" s="26">
        <v>408</v>
      </c>
      <c r="G249" s="26">
        <v>0</v>
      </c>
      <c r="H249" s="26">
        <v>400</v>
      </c>
      <c r="I249" s="26">
        <v>5000000</v>
      </c>
      <c r="J249" s="26">
        <v>18000000</v>
      </c>
    </row>
    <row r="250" spans="1:10">
      <c r="A250" s="24">
        <v>248</v>
      </c>
      <c r="B250" s="24">
        <f t="shared" si="3"/>
        <v>167</v>
      </c>
      <c r="C250" s="1" t="s">
        <v>947</v>
      </c>
      <c r="D250" s="1" t="s">
        <v>4</v>
      </c>
      <c r="E250" s="1" t="s">
        <v>14</v>
      </c>
      <c r="F250" s="26">
        <v>1014</v>
      </c>
      <c r="G250" s="26">
        <v>0</v>
      </c>
      <c r="H250" s="26">
        <v>1000</v>
      </c>
      <c r="I250" s="26">
        <v>11300000</v>
      </c>
      <c r="J250" s="26">
        <v>47000000</v>
      </c>
    </row>
    <row r="251" spans="1:10">
      <c r="A251" s="24">
        <v>249</v>
      </c>
      <c r="B251" s="24">
        <f t="shared" si="3"/>
        <v>168</v>
      </c>
      <c r="C251" s="1" t="s">
        <v>948</v>
      </c>
      <c r="D251" s="1" t="s">
        <v>2</v>
      </c>
      <c r="E251" s="1" t="s">
        <v>14</v>
      </c>
      <c r="F251" s="26">
        <v>600</v>
      </c>
      <c r="G251" s="26">
        <v>0</v>
      </c>
      <c r="H251" s="26">
        <v>600</v>
      </c>
      <c r="I251" s="26">
        <v>6780000</v>
      </c>
      <c r="J251" s="26">
        <v>25800000</v>
      </c>
    </row>
    <row r="252" spans="1:10">
      <c r="A252" s="24">
        <v>250</v>
      </c>
      <c r="B252" s="24">
        <f t="shared" si="3"/>
        <v>168</v>
      </c>
      <c r="C252" s="1" t="s">
        <v>948</v>
      </c>
      <c r="D252" s="1" t="s">
        <v>3</v>
      </c>
      <c r="E252" s="1" t="s">
        <v>14</v>
      </c>
      <c r="F252" s="26">
        <v>389</v>
      </c>
      <c r="G252" s="26">
        <v>0</v>
      </c>
      <c r="H252" s="26">
        <v>400</v>
      </c>
      <c r="I252" s="26">
        <v>4520000</v>
      </c>
      <c r="J252" s="26">
        <v>17200000</v>
      </c>
    </row>
    <row r="253" spans="1:10">
      <c r="A253" s="24">
        <v>251</v>
      </c>
      <c r="B253" s="24">
        <f t="shared" si="3"/>
        <v>169</v>
      </c>
      <c r="C253" s="1" t="s">
        <v>949</v>
      </c>
      <c r="D253" s="1" t="s">
        <v>4</v>
      </c>
      <c r="E253" s="1" t="s">
        <v>14</v>
      </c>
      <c r="F253" s="26">
        <v>1200</v>
      </c>
      <c r="G253" s="26">
        <v>0</v>
      </c>
      <c r="H253" s="26">
        <v>1200</v>
      </c>
      <c r="I253" s="26">
        <v>13560000</v>
      </c>
      <c r="J253" s="26">
        <v>56400000</v>
      </c>
    </row>
    <row r="254" spans="1:10">
      <c r="A254" s="24">
        <v>252</v>
      </c>
      <c r="B254" s="24">
        <f t="shared" si="3"/>
        <v>170</v>
      </c>
      <c r="C254" s="1" t="s">
        <v>950</v>
      </c>
      <c r="D254" s="1" t="s">
        <v>2</v>
      </c>
      <c r="E254" s="1" t="s">
        <v>14</v>
      </c>
      <c r="F254" s="26">
        <v>799</v>
      </c>
      <c r="G254" s="26">
        <v>0</v>
      </c>
      <c r="H254" s="26">
        <v>800</v>
      </c>
      <c r="I254" s="26">
        <v>9040000</v>
      </c>
      <c r="J254" s="26">
        <v>34400000</v>
      </c>
    </row>
    <row r="255" spans="1:10">
      <c r="A255" s="24">
        <v>253</v>
      </c>
      <c r="B255" s="24">
        <f t="shared" si="3"/>
        <v>170</v>
      </c>
      <c r="C255" s="1" t="s">
        <v>950</v>
      </c>
      <c r="D255" s="1" t="s">
        <v>3</v>
      </c>
      <c r="E255" s="1" t="s">
        <v>14</v>
      </c>
      <c r="F255" s="26">
        <v>400</v>
      </c>
      <c r="G255" s="26">
        <v>0</v>
      </c>
      <c r="H255" s="26">
        <v>400</v>
      </c>
      <c r="I255" s="26">
        <v>4520000</v>
      </c>
      <c r="J255" s="26">
        <v>17200000</v>
      </c>
    </row>
    <row r="256" spans="1:10">
      <c r="A256" s="24">
        <v>254</v>
      </c>
      <c r="B256" s="24">
        <f t="shared" si="3"/>
        <v>171</v>
      </c>
      <c r="C256" s="1" t="s">
        <v>951</v>
      </c>
      <c r="D256" s="1" t="s">
        <v>4</v>
      </c>
      <c r="E256" s="1" t="s">
        <v>14</v>
      </c>
      <c r="F256" s="26">
        <v>1210</v>
      </c>
      <c r="G256" s="26">
        <v>0</v>
      </c>
      <c r="H256" s="26">
        <v>1200</v>
      </c>
      <c r="I256" s="26">
        <v>12120000</v>
      </c>
      <c r="J256" s="26">
        <v>56400000</v>
      </c>
    </row>
    <row r="257" spans="1:10">
      <c r="A257" s="24">
        <v>255</v>
      </c>
      <c r="B257" s="24">
        <f t="shared" si="3"/>
        <v>172</v>
      </c>
      <c r="C257" s="1" t="s">
        <v>952</v>
      </c>
      <c r="D257" s="1" t="s">
        <v>4</v>
      </c>
      <c r="E257" s="1" t="s">
        <v>14</v>
      </c>
      <c r="F257" s="26">
        <v>1182</v>
      </c>
      <c r="G257" s="26">
        <v>0</v>
      </c>
      <c r="H257" s="26">
        <v>1200</v>
      </c>
      <c r="I257" s="26">
        <v>12600000</v>
      </c>
      <c r="J257" s="26">
        <v>56400000</v>
      </c>
    </row>
    <row r="258" spans="1:10">
      <c r="A258" s="24">
        <v>256</v>
      </c>
      <c r="B258" s="24">
        <f t="shared" si="3"/>
        <v>173</v>
      </c>
      <c r="C258" s="1" t="s">
        <v>775</v>
      </c>
      <c r="F258" s="26">
        <v>8802</v>
      </c>
      <c r="G258" s="26">
        <v>0</v>
      </c>
      <c r="H258" s="26">
        <v>8800</v>
      </c>
      <c r="I258" s="26">
        <v>98640000</v>
      </c>
      <c r="J258" s="26">
        <v>400800000</v>
      </c>
    </row>
    <row r="259" spans="1:10">
      <c r="A259" s="24">
        <v>257</v>
      </c>
      <c r="B259" s="24">
        <f t="shared" si="3"/>
        <v>174</v>
      </c>
      <c r="C259" s="1" t="s">
        <v>953</v>
      </c>
      <c r="D259" s="1" t="s">
        <v>4</v>
      </c>
      <c r="E259" s="1" t="s">
        <v>14</v>
      </c>
      <c r="F259" s="26">
        <v>1497</v>
      </c>
      <c r="G259" s="26">
        <v>0</v>
      </c>
      <c r="H259" s="26">
        <v>1500</v>
      </c>
      <c r="I259" s="26">
        <v>8865749.9999999981</v>
      </c>
      <c r="J259" s="26">
        <v>67500000</v>
      </c>
    </row>
    <row r="260" spans="1:10">
      <c r="A260" s="24">
        <v>258</v>
      </c>
      <c r="B260" s="24">
        <f t="shared" ref="B260:B323" si="4">IF(C259=C260,B259,B259+1)</f>
        <v>175</v>
      </c>
      <c r="C260" s="1" t="s">
        <v>954</v>
      </c>
      <c r="D260" s="1" t="s">
        <v>4</v>
      </c>
      <c r="E260" s="1" t="s">
        <v>14</v>
      </c>
      <c r="F260" s="26">
        <v>1500</v>
      </c>
      <c r="G260" s="26">
        <v>0</v>
      </c>
      <c r="H260" s="26">
        <v>1500</v>
      </c>
      <c r="I260" s="26">
        <v>9385500.0000000019</v>
      </c>
      <c r="J260" s="26">
        <v>67500000</v>
      </c>
    </row>
    <row r="261" spans="1:10">
      <c r="A261" s="24">
        <v>259</v>
      </c>
      <c r="B261" s="24">
        <f t="shared" si="4"/>
        <v>176</v>
      </c>
      <c r="C261" s="1" t="s">
        <v>775</v>
      </c>
      <c r="F261" s="26">
        <v>2997</v>
      </c>
      <c r="G261" s="26">
        <v>0</v>
      </c>
      <c r="H261" s="26">
        <v>3000</v>
      </c>
      <c r="I261" s="26">
        <v>18251250</v>
      </c>
      <c r="J261" s="26">
        <v>135000000</v>
      </c>
    </row>
    <row r="262" spans="1:10">
      <c r="A262" s="24">
        <v>260</v>
      </c>
      <c r="B262" s="24">
        <f t="shared" si="4"/>
        <v>177</v>
      </c>
      <c r="C262" s="1" t="s">
        <v>955</v>
      </c>
      <c r="D262" s="1" t="s">
        <v>4</v>
      </c>
      <c r="E262" s="1" t="s">
        <v>14</v>
      </c>
      <c r="F262" s="26">
        <v>1000</v>
      </c>
      <c r="G262" s="26">
        <v>0</v>
      </c>
      <c r="H262" s="26">
        <v>1000</v>
      </c>
      <c r="I262" s="26">
        <v>7181000.0000000009</v>
      </c>
      <c r="J262" s="26">
        <v>49000000</v>
      </c>
    </row>
    <row r="263" spans="1:10">
      <c r="A263" s="24">
        <v>261</v>
      </c>
      <c r="B263" s="24">
        <f t="shared" si="4"/>
        <v>178</v>
      </c>
      <c r="C263" s="1" t="s">
        <v>956</v>
      </c>
      <c r="D263" s="1" t="s">
        <v>2</v>
      </c>
      <c r="E263" s="1" t="s">
        <v>14</v>
      </c>
      <c r="F263" s="26">
        <v>1000</v>
      </c>
      <c r="G263" s="26">
        <v>0</v>
      </c>
      <c r="H263" s="26">
        <v>1000</v>
      </c>
      <c r="I263" s="26">
        <v>7065500</v>
      </c>
      <c r="J263" s="26">
        <v>45000000</v>
      </c>
    </row>
    <row r="264" spans="1:10">
      <c r="A264" s="24">
        <v>262</v>
      </c>
      <c r="B264" s="24">
        <f t="shared" si="4"/>
        <v>178</v>
      </c>
      <c r="C264" s="1" t="s">
        <v>956</v>
      </c>
      <c r="D264" s="1" t="s">
        <v>3</v>
      </c>
      <c r="E264" s="1" t="s">
        <v>14</v>
      </c>
      <c r="F264" s="26">
        <v>999</v>
      </c>
      <c r="G264" s="26">
        <v>0</v>
      </c>
      <c r="H264" s="26">
        <v>500</v>
      </c>
      <c r="I264" s="26">
        <v>3532750</v>
      </c>
      <c r="J264" s="26">
        <v>22500000</v>
      </c>
    </row>
    <row r="265" spans="1:10">
      <c r="A265" s="24">
        <v>263</v>
      </c>
      <c r="B265" s="24">
        <f t="shared" si="4"/>
        <v>179</v>
      </c>
      <c r="C265" s="1" t="s">
        <v>775</v>
      </c>
      <c r="F265" s="26">
        <v>2999</v>
      </c>
      <c r="G265" s="26">
        <v>0</v>
      </c>
      <c r="H265" s="26">
        <v>2500</v>
      </c>
      <c r="I265" s="26">
        <v>17779250</v>
      </c>
      <c r="J265" s="26">
        <v>116500000</v>
      </c>
    </row>
    <row r="266" spans="1:10">
      <c r="A266" s="24">
        <v>264</v>
      </c>
      <c r="B266" s="24">
        <f t="shared" si="4"/>
        <v>180</v>
      </c>
      <c r="C266" s="1" t="s">
        <v>957</v>
      </c>
      <c r="D266" s="1" t="s">
        <v>4</v>
      </c>
      <c r="E266" s="1" t="s">
        <v>14</v>
      </c>
      <c r="F266" s="26">
        <v>1185</v>
      </c>
      <c r="G266" s="26">
        <v>0</v>
      </c>
      <c r="H266" s="26">
        <v>1200</v>
      </c>
      <c r="I266" s="26">
        <v>8107152.0000000019</v>
      </c>
      <c r="J266" s="26">
        <v>54000000</v>
      </c>
    </row>
    <row r="267" spans="1:10">
      <c r="A267" s="24">
        <v>265</v>
      </c>
      <c r="B267" s="24">
        <f t="shared" si="4"/>
        <v>181</v>
      </c>
      <c r="C267" s="1" t="s">
        <v>958</v>
      </c>
      <c r="D267" s="1" t="s">
        <v>4</v>
      </c>
      <c r="E267" s="1" t="s">
        <v>14</v>
      </c>
      <c r="F267" s="26">
        <v>1199</v>
      </c>
      <c r="G267" s="26">
        <v>0</v>
      </c>
      <c r="H267" s="26">
        <v>1200</v>
      </c>
      <c r="I267" s="26">
        <v>7741248</v>
      </c>
      <c r="J267" s="26">
        <v>54000000</v>
      </c>
    </row>
    <row r="268" spans="1:10">
      <c r="A268" s="24">
        <v>266</v>
      </c>
      <c r="B268" s="24">
        <f t="shared" si="4"/>
        <v>182</v>
      </c>
      <c r="C268" s="1" t="s">
        <v>959</v>
      </c>
      <c r="D268" s="1" t="s">
        <v>2</v>
      </c>
      <c r="E268" s="1" t="s">
        <v>14</v>
      </c>
      <c r="F268" s="26">
        <v>1002</v>
      </c>
      <c r="G268" s="26">
        <v>0</v>
      </c>
      <c r="H268" s="26">
        <v>1000</v>
      </c>
      <c r="I268" s="26">
        <v>7582920</v>
      </c>
      <c r="J268" s="26">
        <v>45000000</v>
      </c>
    </row>
    <row r="269" spans="1:10">
      <c r="A269" s="24">
        <v>267</v>
      </c>
      <c r="B269" s="24">
        <f t="shared" si="4"/>
        <v>182</v>
      </c>
      <c r="C269" s="1" t="s">
        <v>959</v>
      </c>
      <c r="D269" s="1" t="s">
        <v>3</v>
      </c>
      <c r="E269" s="1" t="s">
        <v>14</v>
      </c>
      <c r="F269" s="26">
        <v>506</v>
      </c>
      <c r="G269" s="26">
        <v>0</v>
      </c>
      <c r="H269" s="26">
        <v>500</v>
      </c>
      <c r="I269" s="26">
        <v>3791460</v>
      </c>
      <c r="J269" s="26">
        <v>22500000</v>
      </c>
    </row>
    <row r="270" spans="1:10">
      <c r="A270" s="24">
        <v>268</v>
      </c>
      <c r="B270" s="24">
        <f t="shared" si="4"/>
        <v>183</v>
      </c>
      <c r="C270" s="1" t="s">
        <v>960</v>
      </c>
      <c r="D270" s="1" t="s">
        <v>2</v>
      </c>
      <c r="E270" s="1" t="s">
        <v>14</v>
      </c>
      <c r="F270" s="26">
        <v>999</v>
      </c>
      <c r="G270" s="26">
        <v>0</v>
      </c>
      <c r="H270" s="26">
        <v>1000</v>
      </c>
      <c r="I270" s="26">
        <v>7743660.0000000009</v>
      </c>
      <c r="J270" s="26">
        <v>45000000</v>
      </c>
    </row>
    <row r="271" spans="1:10">
      <c r="A271" s="24">
        <v>269</v>
      </c>
      <c r="B271" s="24">
        <f t="shared" si="4"/>
        <v>183</v>
      </c>
      <c r="C271" s="1" t="s">
        <v>960</v>
      </c>
      <c r="D271" s="1" t="s">
        <v>3</v>
      </c>
      <c r="E271" s="1" t="s">
        <v>14</v>
      </c>
      <c r="F271" s="26">
        <v>501</v>
      </c>
      <c r="G271" s="26">
        <v>0</v>
      </c>
      <c r="H271" s="26">
        <v>500</v>
      </c>
      <c r="I271" s="26">
        <v>3871830.0000000005</v>
      </c>
      <c r="J271" s="26">
        <v>22500000</v>
      </c>
    </row>
    <row r="272" spans="1:10">
      <c r="A272" s="24">
        <v>270</v>
      </c>
      <c r="B272" s="24">
        <f t="shared" si="4"/>
        <v>184</v>
      </c>
      <c r="C272" s="1" t="s">
        <v>961</v>
      </c>
      <c r="D272" s="1" t="s">
        <v>2</v>
      </c>
      <c r="E272" s="1" t="s">
        <v>14</v>
      </c>
      <c r="F272" s="26">
        <v>1000</v>
      </c>
      <c r="G272" s="26">
        <v>0</v>
      </c>
      <c r="H272" s="26">
        <v>1000</v>
      </c>
      <c r="I272" s="26">
        <v>7458440.0000000009</v>
      </c>
      <c r="J272" s="26">
        <v>45000000</v>
      </c>
    </row>
    <row r="273" spans="1:10">
      <c r="A273" s="24">
        <v>271</v>
      </c>
      <c r="B273" s="24">
        <f t="shared" si="4"/>
        <v>184</v>
      </c>
      <c r="C273" s="1" t="s">
        <v>961</v>
      </c>
      <c r="D273" s="1" t="s">
        <v>3</v>
      </c>
      <c r="E273" s="1" t="s">
        <v>14</v>
      </c>
      <c r="F273" s="26">
        <v>510</v>
      </c>
      <c r="G273" s="26">
        <v>0</v>
      </c>
      <c r="H273" s="26">
        <v>500</v>
      </c>
      <c r="I273" s="26">
        <v>3729220.0000000005</v>
      </c>
      <c r="J273" s="26">
        <v>22500000</v>
      </c>
    </row>
    <row r="274" spans="1:10">
      <c r="A274" s="24">
        <v>272</v>
      </c>
      <c r="B274" s="24">
        <f t="shared" si="4"/>
        <v>185</v>
      </c>
      <c r="C274" s="1" t="s">
        <v>775</v>
      </c>
      <c r="F274" s="26">
        <v>6902</v>
      </c>
      <c r="G274" s="26">
        <v>0</v>
      </c>
      <c r="H274" s="26">
        <v>6900</v>
      </c>
      <c r="I274" s="26">
        <v>50025930</v>
      </c>
      <c r="J274" s="26">
        <v>310500000</v>
      </c>
    </row>
    <row r="275" spans="1:10">
      <c r="A275" s="24">
        <v>273</v>
      </c>
      <c r="B275" s="24">
        <f t="shared" si="4"/>
        <v>186</v>
      </c>
      <c r="C275" s="1" t="s">
        <v>962</v>
      </c>
      <c r="D275" s="1" t="s">
        <v>4</v>
      </c>
      <c r="E275" s="1" t="s">
        <v>14</v>
      </c>
      <c r="F275" s="26">
        <v>1493</v>
      </c>
      <c r="G275" s="26">
        <v>0</v>
      </c>
      <c r="H275" s="26">
        <v>1500</v>
      </c>
      <c r="I275" s="26">
        <v>12937770</v>
      </c>
      <c r="J275" s="26">
        <v>82500000</v>
      </c>
    </row>
    <row r="276" spans="1:10">
      <c r="A276" s="24">
        <v>274</v>
      </c>
      <c r="B276" s="24">
        <f t="shared" si="4"/>
        <v>187</v>
      </c>
      <c r="C276" s="1" t="s">
        <v>963</v>
      </c>
      <c r="D276" s="1" t="s">
        <v>4</v>
      </c>
      <c r="E276" s="1" t="s">
        <v>14</v>
      </c>
      <c r="F276" s="26">
        <v>1486</v>
      </c>
      <c r="G276" s="26">
        <v>0</v>
      </c>
      <c r="H276" s="26">
        <v>1500</v>
      </c>
      <c r="I276" s="26">
        <v>14428035</v>
      </c>
      <c r="J276" s="26">
        <v>82500000</v>
      </c>
    </row>
    <row r="277" spans="1:10">
      <c r="A277" s="24">
        <v>275</v>
      </c>
      <c r="B277" s="24">
        <f t="shared" si="4"/>
        <v>188</v>
      </c>
      <c r="C277" s="1" t="s">
        <v>964</v>
      </c>
      <c r="D277" s="1" t="s">
        <v>2</v>
      </c>
      <c r="E277" s="1" t="s">
        <v>14</v>
      </c>
      <c r="F277" s="26">
        <v>1002</v>
      </c>
      <c r="G277" s="26">
        <v>0</v>
      </c>
      <c r="H277" s="26">
        <v>1000</v>
      </c>
      <c r="I277" s="26">
        <v>9067060.0000000019</v>
      </c>
      <c r="J277" s="26">
        <v>55000000</v>
      </c>
    </row>
    <row r="278" spans="1:10">
      <c r="A278" s="24">
        <v>276</v>
      </c>
      <c r="B278" s="24">
        <f t="shared" si="4"/>
        <v>188</v>
      </c>
      <c r="C278" s="1" t="s">
        <v>964</v>
      </c>
      <c r="D278" s="1" t="s">
        <v>3</v>
      </c>
      <c r="E278" s="1" t="s">
        <v>14</v>
      </c>
      <c r="F278" s="26">
        <v>507</v>
      </c>
      <c r="G278" s="26">
        <v>0</v>
      </c>
      <c r="H278" s="26">
        <v>500</v>
      </c>
      <c r="I278" s="26">
        <v>4533530.0000000009</v>
      </c>
      <c r="J278" s="26">
        <v>27500000</v>
      </c>
    </row>
    <row r="279" spans="1:10">
      <c r="A279" s="24">
        <v>277</v>
      </c>
      <c r="B279" s="24">
        <f t="shared" si="4"/>
        <v>189</v>
      </c>
      <c r="C279" s="1" t="s">
        <v>965</v>
      </c>
      <c r="D279" s="1" t="s">
        <v>2</v>
      </c>
      <c r="E279" s="1" t="s">
        <v>14</v>
      </c>
      <c r="F279" s="26">
        <v>997</v>
      </c>
      <c r="G279" s="26">
        <v>0</v>
      </c>
      <c r="H279" s="26">
        <v>1000</v>
      </c>
      <c r="I279" s="26">
        <v>9218800.0000000019</v>
      </c>
      <c r="J279" s="26">
        <v>55000000</v>
      </c>
    </row>
    <row r="280" spans="1:10">
      <c r="A280" s="24">
        <v>278</v>
      </c>
      <c r="B280" s="24">
        <f t="shared" si="4"/>
        <v>189</v>
      </c>
      <c r="C280" s="1" t="s">
        <v>965</v>
      </c>
      <c r="D280" s="1" t="s">
        <v>3</v>
      </c>
      <c r="E280" s="1" t="s">
        <v>14</v>
      </c>
      <c r="F280" s="26">
        <v>492</v>
      </c>
      <c r="G280" s="26">
        <v>0</v>
      </c>
      <c r="H280" s="26">
        <v>500</v>
      </c>
      <c r="I280" s="26">
        <v>4609400.0000000009</v>
      </c>
      <c r="J280" s="26">
        <v>27500000</v>
      </c>
    </row>
    <row r="281" spans="1:10">
      <c r="A281" s="24">
        <v>279</v>
      </c>
      <c r="B281" s="24">
        <f t="shared" si="4"/>
        <v>190</v>
      </c>
      <c r="C281" s="1" t="s">
        <v>966</v>
      </c>
      <c r="D281" s="1" t="s">
        <v>2</v>
      </c>
      <c r="E281" s="1" t="s">
        <v>14</v>
      </c>
      <c r="F281" s="26">
        <v>1019</v>
      </c>
      <c r="G281" s="26">
        <v>0</v>
      </c>
      <c r="H281" s="26">
        <v>1000</v>
      </c>
      <c r="I281" s="26">
        <v>9284060.0000000019</v>
      </c>
      <c r="J281" s="26">
        <v>55000000</v>
      </c>
    </row>
    <row r="282" spans="1:10">
      <c r="A282" s="24">
        <v>280</v>
      </c>
      <c r="B282" s="24">
        <f t="shared" si="4"/>
        <v>190</v>
      </c>
      <c r="C282" s="1" t="s">
        <v>966</v>
      </c>
      <c r="D282" s="1" t="s">
        <v>3</v>
      </c>
      <c r="E282" s="1" t="s">
        <v>14</v>
      </c>
      <c r="F282" s="26">
        <v>498</v>
      </c>
      <c r="G282" s="26">
        <v>0</v>
      </c>
      <c r="H282" s="26">
        <v>500</v>
      </c>
      <c r="I282" s="26">
        <v>4642030.0000000009</v>
      </c>
      <c r="J282" s="26">
        <v>27500000</v>
      </c>
    </row>
    <row r="283" spans="1:10">
      <c r="A283" s="24">
        <v>281</v>
      </c>
      <c r="B283" s="24">
        <f t="shared" si="4"/>
        <v>191</v>
      </c>
      <c r="C283" s="1" t="s">
        <v>775</v>
      </c>
      <c r="F283" s="26">
        <v>7494</v>
      </c>
      <c r="G283" s="26">
        <v>0</v>
      </c>
      <c r="H283" s="26">
        <v>7500</v>
      </c>
      <c r="I283" s="26">
        <v>68720685</v>
      </c>
      <c r="J283" s="26">
        <v>412500000</v>
      </c>
    </row>
    <row r="284" spans="1:10">
      <c r="A284" s="24">
        <v>282</v>
      </c>
      <c r="B284" s="24">
        <f t="shared" si="4"/>
        <v>192</v>
      </c>
      <c r="C284" s="1" t="s">
        <v>967</v>
      </c>
      <c r="D284" s="1" t="s">
        <v>7</v>
      </c>
      <c r="E284" s="1" t="s">
        <v>14</v>
      </c>
      <c r="F284" s="26">
        <v>241</v>
      </c>
      <c r="G284" s="26">
        <v>0</v>
      </c>
      <c r="H284" s="26">
        <v>250</v>
      </c>
      <c r="I284" s="26">
        <v>4125000</v>
      </c>
      <c r="J284" s="26">
        <v>19750000</v>
      </c>
    </row>
    <row r="285" spans="1:10">
      <c r="A285" s="24">
        <v>283</v>
      </c>
      <c r="B285" s="24">
        <f t="shared" si="4"/>
        <v>192</v>
      </c>
      <c r="C285" s="1" t="s">
        <v>967</v>
      </c>
      <c r="D285" s="1" t="s">
        <v>8</v>
      </c>
      <c r="E285" s="1" t="s">
        <v>14</v>
      </c>
      <c r="F285" s="26">
        <v>369</v>
      </c>
      <c r="G285" s="26">
        <v>0</v>
      </c>
      <c r="H285" s="26">
        <v>350</v>
      </c>
      <c r="I285" s="26">
        <v>5775000</v>
      </c>
      <c r="J285" s="26">
        <v>27650000</v>
      </c>
    </row>
    <row r="286" spans="1:10">
      <c r="A286" s="24">
        <v>284</v>
      </c>
      <c r="B286" s="24">
        <f t="shared" si="4"/>
        <v>192</v>
      </c>
      <c r="C286" s="1" t="s">
        <v>967</v>
      </c>
      <c r="D286" s="1" t="s">
        <v>9</v>
      </c>
      <c r="E286" s="1" t="s">
        <v>14</v>
      </c>
      <c r="F286" s="26">
        <v>368</v>
      </c>
      <c r="G286" s="26">
        <v>0</v>
      </c>
      <c r="H286" s="26">
        <v>350</v>
      </c>
      <c r="I286" s="26">
        <v>5775000</v>
      </c>
      <c r="J286" s="26">
        <v>27650000</v>
      </c>
    </row>
    <row r="287" spans="1:10">
      <c r="A287" s="24">
        <v>285</v>
      </c>
      <c r="B287" s="24">
        <f t="shared" si="4"/>
        <v>192</v>
      </c>
      <c r="C287" s="1" t="s">
        <v>967</v>
      </c>
      <c r="D287" s="1" t="s">
        <v>10</v>
      </c>
      <c r="E287" s="1" t="s">
        <v>14</v>
      </c>
      <c r="F287" s="26">
        <v>258</v>
      </c>
      <c r="G287" s="26">
        <v>0</v>
      </c>
      <c r="H287" s="26">
        <v>250</v>
      </c>
      <c r="I287" s="26">
        <v>4125000</v>
      </c>
      <c r="J287" s="26">
        <v>19750000</v>
      </c>
    </row>
    <row r="288" spans="1:10">
      <c r="A288" s="24">
        <v>286</v>
      </c>
      <c r="B288" s="24">
        <f t="shared" si="4"/>
        <v>193</v>
      </c>
      <c r="C288" s="1" t="s">
        <v>968</v>
      </c>
      <c r="D288" s="1" t="s">
        <v>7</v>
      </c>
      <c r="E288" s="1" t="s">
        <v>14</v>
      </c>
      <c r="F288" s="26">
        <v>243</v>
      </c>
      <c r="G288" s="26">
        <v>0</v>
      </c>
      <c r="H288" s="26">
        <v>250</v>
      </c>
      <c r="I288" s="26">
        <v>4237500</v>
      </c>
      <c r="J288" s="26">
        <v>19750000</v>
      </c>
    </row>
    <row r="289" spans="1:10">
      <c r="A289" s="24">
        <v>287</v>
      </c>
      <c r="B289" s="24">
        <f t="shared" si="4"/>
        <v>193</v>
      </c>
      <c r="C289" s="1" t="s">
        <v>968</v>
      </c>
      <c r="D289" s="1" t="s">
        <v>8</v>
      </c>
      <c r="E289" s="1" t="s">
        <v>14</v>
      </c>
      <c r="F289" s="26">
        <v>372</v>
      </c>
      <c r="G289" s="26">
        <v>0</v>
      </c>
      <c r="H289" s="26">
        <v>350</v>
      </c>
      <c r="I289" s="26">
        <v>5932500</v>
      </c>
      <c r="J289" s="26">
        <v>27650000</v>
      </c>
    </row>
    <row r="290" spans="1:10">
      <c r="A290" s="24">
        <v>288</v>
      </c>
      <c r="B290" s="24">
        <f t="shared" si="4"/>
        <v>193</v>
      </c>
      <c r="C290" s="1" t="s">
        <v>968</v>
      </c>
      <c r="D290" s="1" t="s">
        <v>9</v>
      </c>
      <c r="E290" s="1" t="s">
        <v>14</v>
      </c>
      <c r="F290" s="26">
        <v>364</v>
      </c>
      <c r="G290" s="26">
        <v>0</v>
      </c>
      <c r="H290" s="26">
        <v>350</v>
      </c>
      <c r="I290" s="26">
        <v>5932500</v>
      </c>
      <c r="J290" s="26">
        <v>27650000</v>
      </c>
    </row>
    <row r="291" spans="1:10">
      <c r="A291" s="24">
        <v>289</v>
      </c>
      <c r="B291" s="24">
        <f t="shared" si="4"/>
        <v>193</v>
      </c>
      <c r="C291" s="1" t="s">
        <v>968</v>
      </c>
      <c r="D291" s="1" t="s">
        <v>10</v>
      </c>
      <c r="E291" s="1" t="s">
        <v>14</v>
      </c>
      <c r="F291" s="26">
        <v>269</v>
      </c>
      <c r="G291" s="26">
        <v>0</v>
      </c>
      <c r="H291" s="26">
        <v>250</v>
      </c>
      <c r="I291" s="26">
        <v>4237500</v>
      </c>
      <c r="J291" s="26">
        <v>19750000</v>
      </c>
    </row>
    <row r="292" spans="1:10">
      <c r="A292" s="24">
        <v>290</v>
      </c>
      <c r="B292" s="24">
        <f t="shared" si="4"/>
        <v>194</v>
      </c>
      <c r="C292" s="1" t="s">
        <v>775</v>
      </c>
      <c r="F292" s="26">
        <v>2484</v>
      </c>
      <c r="G292" s="26">
        <v>0</v>
      </c>
      <c r="H292" s="26">
        <v>2400</v>
      </c>
      <c r="I292" s="26">
        <v>40140000</v>
      </c>
      <c r="J292" s="26">
        <v>189600000</v>
      </c>
    </row>
    <row r="293" spans="1:10">
      <c r="A293" s="24">
        <v>291</v>
      </c>
      <c r="B293" s="24">
        <f t="shared" si="4"/>
        <v>195</v>
      </c>
      <c r="C293" s="1" t="s">
        <v>969</v>
      </c>
      <c r="D293" s="1" t="s">
        <v>7</v>
      </c>
      <c r="E293" s="1" t="s">
        <v>14</v>
      </c>
      <c r="F293" s="26">
        <v>207</v>
      </c>
      <c r="G293" s="26">
        <v>0</v>
      </c>
      <c r="H293" s="26">
        <v>200</v>
      </c>
      <c r="I293" s="26">
        <v>2750815</v>
      </c>
      <c r="J293" s="26">
        <v>13800000</v>
      </c>
    </row>
    <row r="294" spans="1:10">
      <c r="A294" s="24">
        <v>292</v>
      </c>
      <c r="B294" s="24">
        <f t="shared" si="4"/>
        <v>195</v>
      </c>
      <c r="C294" s="1" t="s">
        <v>969</v>
      </c>
      <c r="D294" s="1" t="s">
        <v>8</v>
      </c>
      <c r="E294" s="1" t="s">
        <v>14</v>
      </c>
      <c r="F294" s="26">
        <v>305</v>
      </c>
      <c r="G294" s="26">
        <v>0</v>
      </c>
      <c r="H294" s="26">
        <v>300</v>
      </c>
      <c r="I294" s="26">
        <v>4126222.4999999995</v>
      </c>
      <c r="J294" s="26">
        <v>20700000</v>
      </c>
    </row>
    <row r="295" spans="1:10">
      <c r="A295" s="24">
        <v>293</v>
      </c>
      <c r="B295" s="24">
        <f t="shared" si="4"/>
        <v>195</v>
      </c>
      <c r="C295" s="1" t="s">
        <v>969</v>
      </c>
      <c r="D295" s="1" t="s">
        <v>9</v>
      </c>
      <c r="E295" s="1" t="s">
        <v>14</v>
      </c>
      <c r="F295" s="26">
        <v>295</v>
      </c>
      <c r="G295" s="26">
        <v>0</v>
      </c>
      <c r="H295" s="26">
        <v>300</v>
      </c>
      <c r="I295" s="26">
        <v>4126222.4999999995</v>
      </c>
      <c r="J295" s="26">
        <v>20700000</v>
      </c>
    </row>
    <row r="296" spans="1:10">
      <c r="A296" s="24">
        <v>294</v>
      </c>
      <c r="B296" s="24">
        <f t="shared" si="4"/>
        <v>195</v>
      </c>
      <c r="C296" s="1" t="s">
        <v>969</v>
      </c>
      <c r="D296" s="1" t="s">
        <v>10</v>
      </c>
      <c r="E296" s="1" t="s">
        <v>14</v>
      </c>
      <c r="F296" s="26">
        <v>201</v>
      </c>
      <c r="G296" s="26">
        <v>0</v>
      </c>
      <c r="H296" s="26">
        <v>200</v>
      </c>
      <c r="I296" s="26">
        <v>2750815</v>
      </c>
      <c r="J296" s="26">
        <v>13800000</v>
      </c>
    </row>
    <row r="297" spans="1:10">
      <c r="A297" s="24">
        <v>295</v>
      </c>
      <c r="B297" s="24">
        <f t="shared" si="4"/>
        <v>196</v>
      </c>
      <c r="C297" s="1" t="s">
        <v>970</v>
      </c>
      <c r="D297" s="1" t="s">
        <v>7</v>
      </c>
      <c r="E297" s="1" t="s">
        <v>14</v>
      </c>
      <c r="F297" s="26">
        <v>249</v>
      </c>
      <c r="G297" s="26">
        <v>0</v>
      </c>
      <c r="H297" s="26">
        <v>250</v>
      </c>
      <c r="I297" s="26">
        <v>3438518.7499999995</v>
      </c>
      <c r="J297" s="26">
        <v>17250000</v>
      </c>
    </row>
    <row r="298" spans="1:10">
      <c r="A298" s="24">
        <v>296</v>
      </c>
      <c r="B298" s="24">
        <f t="shared" si="4"/>
        <v>196</v>
      </c>
      <c r="C298" s="1" t="s">
        <v>970</v>
      </c>
      <c r="D298" s="1" t="s">
        <v>8</v>
      </c>
      <c r="E298" s="1" t="s">
        <v>14</v>
      </c>
      <c r="F298" s="26">
        <v>302</v>
      </c>
      <c r="G298" s="26">
        <v>0</v>
      </c>
      <c r="H298" s="26">
        <v>300</v>
      </c>
      <c r="I298" s="26">
        <v>4126222.4999999995</v>
      </c>
      <c r="J298" s="26">
        <v>20700000</v>
      </c>
    </row>
    <row r="299" spans="1:10">
      <c r="A299" s="24">
        <v>297</v>
      </c>
      <c r="B299" s="24">
        <f t="shared" si="4"/>
        <v>196</v>
      </c>
      <c r="C299" s="1" t="s">
        <v>970</v>
      </c>
      <c r="D299" s="1" t="s">
        <v>9</v>
      </c>
      <c r="E299" s="1" t="s">
        <v>14</v>
      </c>
      <c r="F299" s="26">
        <v>260</v>
      </c>
      <c r="G299" s="26">
        <v>0</v>
      </c>
      <c r="H299" s="26">
        <v>250</v>
      </c>
      <c r="I299" s="26">
        <v>3438518.7499999995</v>
      </c>
      <c r="J299" s="26">
        <v>17250000</v>
      </c>
    </row>
    <row r="300" spans="1:10">
      <c r="A300" s="24">
        <v>298</v>
      </c>
      <c r="B300" s="24">
        <f t="shared" si="4"/>
        <v>196</v>
      </c>
      <c r="C300" s="1" t="s">
        <v>970</v>
      </c>
      <c r="D300" s="1" t="s">
        <v>10</v>
      </c>
      <c r="E300" s="1" t="s">
        <v>14</v>
      </c>
      <c r="F300" s="26">
        <v>196</v>
      </c>
      <c r="G300" s="26">
        <v>0</v>
      </c>
      <c r="H300" s="26">
        <v>200</v>
      </c>
      <c r="I300" s="26">
        <v>2750815</v>
      </c>
      <c r="J300" s="26">
        <v>13800000</v>
      </c>
    </row>
    <row r="301" spans="1:10">
      <c r="A301" s="24">
        <v>299</v>
      </c>
      <c r="B301" s="24">
        <f t="shared" si="4"/>
        <v>197</v>
      </c>
      <c r="C301" s="1" t="s">
        <v>775</v>
      </c>
      <c r="F301" s="26">
        <v>2015</v>
      </c>
      <c r="G301" s="26">
        <v>0</v>
      </c>
      <c r="H301" s="26">
        <v>2000</v>
      </c>
      <c r="I301" s="26">
        <v>27508150</v>
      </c>
      <c r="J301" s="26">
        <v>138000000</v>
      </c>
    </row>
    <row r="302" spans="1:10">
      <c r="A302" s="24">
        <v>300</v>
      </c>
      <c r="B302" s="24">
        <f t="shared" si="4"/>
        <v>198</v>
      </c>
      <c r="C302" s="1" t="s">
        <v>971</v>
      </c>
      <c r="D302" s="1" t="s">
        <v>6</v>
      </c>
      <c r="E302" s="1" t="s">
        <v>14</v>
      </c>
      <c r="F302" s="26">
        <v>215</v>
      </c>
      <c r="G302" s="26">
        <v>0</v>
      </c>
      <c r="H302" s="26">
        <v>200</v>
      </c>
      <c r="I302" s="26">
        <v>11403850</v>
      </c>
      <c r="J302" s="26">
        <v>47600000</v>
      </c>
    </row>
    <row r="303" spans="1:10">
      <c r="A303" s="24">
        <v>301</v>
      </c>
      <c r="B303" s="24">
        <f t="shared" si="4"/>
        <v>198</v>
      </c>
      <c r="C303" s="1" t="s">
        <v>971</v>
      </c>
      <c r="D303" s="1" t="s">
        <v>7</v>
      </c>
      <c r="E303" s="1" t="s">
        <v>14</v>
      </c>
      <c r="F303" s="26">
        <v>430</v>
      </c>
      <c r="G303" s="26">
        <v>0</v>
      </c>
      <c r="H303" s="26">
        <v>400</v>
      </c>
      <c r="I303" s="26">
        <v>22807700</v>
      </c>
      <c r="J303" s="26">
        <v>95200000</v>
      </c>
    </row>
    <row r="304" spans="1:10">
      <c r="A304" s="24">
        <v>302</v>
      </c>
      <c r="B304" s="24">
        <f t="shared" si="4"/>
        <v>198</v>
      </c>
      <c r="C304" s="1" t="s">
        <v>971</v>
      </c>
      <c r="D304" s="1" t="s">
        <v>8</v>
      </c>
      <c r="E304" s="1" t="s">
        <v>14</v>
      </c>
      <c r="F304" s="26">
        <v>486</v>
      </c>
      <c r="G304" s="26">
        <v>0</v>
      </c>
      <c r="H304" s="26">
        <v>450</v>
      </c>
      <c r="I304" s="26">
        <v>25658662.5</v>
      </c>
      <c r="J304" s="26">
        <v>107100000</v>
      </c>
    </row>
    <row r="305" spans="1:10">
      <c r="A305" s="24">
        <v>303</v>
      </c>
      <c r="B305" s="24">
        <f t="shared" si="4"/>
        <v>198</v>
      </c>
      <c r="C305" s="1" t="s">
        <v>971</v>
      </c>
      <c r="D305" s="1" t="s">
        <v>9</v>
      </c>
      <c r="E305" s="1" t="s">
        <v>14</v>
      </c>
      <c r="F305" s="26">
        <v>266</v>
      </c>
      <c r="G305" s="26">
        <v>0</v>
      </c>
      <c r="H305" s="26">
        <v>250</v>
      </c>
      <c r="I305" s="26">
        <v>14254812.5</v>
      </c>
      <c r="J305" s="26">
        <v>59500000</v>
      </c>
    </row>
    <row r="306" spans="1:10">
      <c r="A306" s="24">
        <v>304</v>
      </c>
      <c r="B306" s="24">
        <f t="shared" si="4"/>
        <v>198</v>
      </c>
      <c r="C306" s="1" t="s">
        <v>971</v>
      </c>
      <c r="D306" s="1" t="s">
        <v>10</v>
      </c>
      <c r="E306" s="1" t="s">
        <v>14</v>
      </c>
      <c r="F306" s="26">
        <v>216</v>
      </c>
      <c r="G306" s="26">
        <v>0</v>
      </c>
      <c r="H306" s="26">
        <v>200</v>
      </c>
      <c r="I306" s="26">
        <v>11403850</v>
      </c>
      <c r="J306" s="26">
        <v>47600000</v>
      </c>
    </row>
    <row r="307" spans="1:10">
      <c r="A307" s="24">
        <v>305</v>
      </c>
      <c r="B307" s="24">
        <f t="shared" si="4"/>
        <v>199</v>
      </c>
      <c r="C307" s="1" t="s">
        <v>972</v>
      </c>
      <c r="D307" s="1" t="s">
        <v>6</v>
      </c>
      <c r="E307" s="1" t="s">
        <v>14</v>
      </c>
      <c r="F307" s="26">
        <v>210</v>
      </c>
      <c r="G307" s="26">
        <v>0</v>
      </c>
      <c r="H307" s="26">
        <v>200</v>
      </c>
      <c r="I307" s="26">
        <v>11403850</v>
      </c>
      <c r="J307" s="26">
        <v>47600000</v>
      </c>
    </row>
    <row r="308" spans="1:10">
      <c r="A308" s="24">
        <v>306</v>
      </c>
      <c r="B308" s="24">
        <f t="shared" si="4"/>
        <v>199</v>
      </c>
      <c r="C308" s="1" t="s">
        <v>972</v>
      </c>
      <c r="D308" s="1" t="s">
        <v>7</v>
      </c>
      <c r="E308" s="1" t="s">
        <v>14</v>
      </c>
      <c r="F308" s="26">
        <v>384</v>
      </c>
      <c r="G308" s="26">
        <v>0</v>
      </c>
      <c r="H308" s="26">
        <v>400</v>
      </c>
      <c r="I308" s="26">
        <v>22807700</v>
      </c>
      <c r="J308" s="26">
        <v>95200000</v>
      </c>
    </row>
    <row r="309" spans="1:10">
      <c r="A309" s="24">
        <v>307</v>
      </c>
      <c r="B309" s="24">
        <f t="shared" si="4"/>
        <v>199</v>
      </c>
      <c r="C309" s="1" t="s">
        <v>972</v>
      </c>
      <c r="D309" s="1" t="s">
        <v>8</v>
      </c>
      <c r="E309" s="1" t="s">
        <v>14</v>
      </c>
      <c r="F309" s="26">
        <v>431</v>
      </c>
      <c r="G309" s="26">
        <v>0</v>
      </c>
      <c r="H309" s="26">
        <v>450</v>
      </c>
      <c r="I309" s="26">
        <v>25658662.5</v>
      </c>
      <c r="J309" s="26">
        <v>107100000</v>
      </c>
    </row>
    <row r="310" spans="1:10">
      <c r="A310" s="24">
        <v>308</v>
      </c>
      <c r="B310" s="24">
        <f t="shared" si="4"/>
        <v>199</v>
      </c>
      <c r="C310" s="1" t="s">
        <v>972</v>
      </c>
      <c r="D310" s="1" t="s">
        <v>9</v>
      </c>
      <c r="E310" s="1" t="s">
        <v>14</v>
      </c>
      <c r="F310" s="26">
        <v>241</v>
      </c>
      <c r="G310" s="26">
        <v>0</v>
      </c>
      <c r="H310" s="26">
        <v>250</v>
      </c>
      <c r="I310" s="26">
        <v>14254812.5</v>
      </c>
      <c r="J310" s="26">
        <v>59500000</v>
      </c>
    </row>
    <row r="311" spans="1:10">
      <c r="A311" s="24">
        <v>309</v>
      </c>
      <c r="B311" s="24">
        <f t="shared" si="4"/>
        <v>199</v>
      </c>
      <c r="C311" s="1" t="s">
        <v>972</v>
      </c>
      <c r="D311" s="1" t="s">
        <v>10</v>
      </c>
      <c r="E311" s="1" t="s">
        <v>14</v>
      </c>
      <c r="F311" s="26">
        <v>189</v>
      </c>
      <c r="G311" s="26">
        <v>0</v>
      </c>
      <c r="H311" s="26">
        <v>200</v>
      </c>
      <c r="I311" s="26">
        <v>11403850</v>
      </c>
      <c r="J311" s="26">
        <v>47600000</v>
      </c>
    </row>
    <row r="312" spans="1:10">
      <c r="A312" s="24">
        <v>310</v>
      </c>
      <c r="B312" s="24">
        <f t="shared" si="4"/>
        <v>200</v>
      </c>
      <c r="C312" s="1" t="s">
        <v>973</v>
      </c>
      <c r="D312" s="1" t="s">
        <v>6</v>
      </c>
      <c r="E312" s="1" t="s">
        <v>14</v>
      </c>
      <c r="F312" s="26">
        <v>372</v>
      </c>
      <c r="G312" s="26">
        <v>0</v>
      </c>
      <c r="H312" s="26">
        <v>350</v>
      </c>
      <c r="I312" s="26">
        <v>18501437.5</v>
      </c>
      <c r="J312" s="26">
        <v>76300000</v>
      </c>
    </row>
    <row r="313" spans="1:10">
      <c r="A313" s="24">
        <v>311</v>
      </c>
      <c r="B313" s="24">
        <f t="shared" si="4"/>
        <v>200</v>
      </c>
      <c r="C313" s="1" t="s">
        <v>973</v>
      </c>
      <c r="D313" s="1" t="s">
        <v>7</v>
      </c>
      <c r="E313" s="1" t="s">
        <v>14</v>
      </c>
      <c r="F313" s="26">
        <v>480</v>
      </c>
      <c r="G313" s="26">
        <v>0</v>
      </c>
      <c r="H313" s="26">
        <v>450</v>
      </c>
      <c r="I313" s="26">
        <v>23787562.5</v>
      </c>
      <c r="J313" s="26">
        <v>98100000</v>
      </c>
    </row>
    <row r="314" spans="1:10">
      <c r="A314" s="24">
        <v>312</v>
      </c>
      <c r="B314" s="24">
        <f t="shared" si="4"/>
        <v>200</v>
      </c>
      <c r="C314" s="1" t="s">
        <v>973</v>
      </c>
      <c r="D314" s="1" t="s">
        <v>8</v>
      </c>
      <c r="E314" s="1" t="s">
        <v>14</v>
      </c>
      <c r="F314" s="26">
        <v>424</v>
      </c>
      <c r="G314" s="26">
        <v>0</v>
      </c>
      <c r="H314" s="26">
        <v>400</v>
      </c>
      <c r="I314" s="26">
        <v>21144500</v>
      </c>
      <c r="J314" s="26">
        <v>87200000</v>
      </c>
    </row>
    <row r="315" spans="1:10">
      <c r="A315" s="24">
        <v>313</v>
      </c>
      <c r="B315" s="24">
        <f t="shared" si="4"/>
        <v>200</v>
      </c>
      <c r="C315" s="1" t="s">
        <v>973</v>
      </c>
      <c r="D315" s="1" t="s">
        <v>9</v>
      </c>
      <c r="E315" s="1" t="s">
        <v>14</v>
      </c>
      <c r="F315" s="26">
        <v>318</v>
      </c>
      <c r="G315" s="26">
        <v>0</v>
      </c>
      <c r="H315" s="26">
        <v>300</v>
      </c>
      <c r="I315" s="26">
        <v>15858375</v>
      </c>
      <c r="J315" s="26">
        <v>65400000</v>
      </c>
    </row>
    <row r="316" spans="1:10">
      <c r="A316" s="24">
        <v>314</v>
      </c>
      <c r="B316" s="24">
        <f t="shared" si="4"/>
        <v>201</v>
      </c>
      <c r="C316" s="1" t="s">
        <v>974</v>
      </c>
      <c r="D316" s="1" t="s">
        <v>6</v>
      </c>
      <c r="E316" s="1" t="s">
        <v>14</v>
      </c>
      <c r="F316" s="26">
        <v>375</v>
      </c>
      <c r="G316" s="26">
        <v>0</v>
      </c>
      <c r="H316" s="26">
        <v>350</v>
      </c>
      <c r="I316" s="26">
        <v>18501437.5</v>
      </c>
      <c r="J316" s="26">
        <v>76300000</v>
      </c>
    </row>
    <row r="317" spans="1:10">
      <c r="A317" s="24">
        <v>315</v>
      </c>
      <c r="B317" s="24">
        <f t="shared" si="4"/>
        <v>201</v>
      </c>
      <c r="C317" s="1" t="s">
        <v>974</v>
      </c>
      <c r="D317" s="1" t="s">
        <v>7</v>
      </c>
      <c r="E317" s="1" t="s">
        <v>14</v>
      </c>
      <c r="F317" s="26">
        <v>478</v>
      </c>
      <c r="G317" s="26">
        <v>0</v>
      </c>
      <c r="H317" s="26">
        <v>450</v>
      </c>
      <c r="I317" s="26">
        <v>23787562.5</v>
      </c>
      <c r="J317" s="26">
        <v>98100000</v>
      </c>
    </row>
    <row r="318" spans="1:10">
      <c r="A318" s="24">
        <v>316</v>
      </c>
      <c r="B318" s="24">
        <f t="shared" si="4"/>
        <v>201</v>
      </c>
      <c r="C318" s="1" t="s">
        <v>974</v>
      </c>
      <c r="D318" s="1" t="s">
        <v>8</v>
      </c>
      <c r="E318" s="1" t="s">
        <v>14</v>
      </c>
      <c r="F318" s="26">
        <v>428</v>
      </c>
      <c r="G318" s="26">
        <v>0</v>
      </c>
      <c r="H318" s="26">
        <v>400</v>
      </c>
      <c r="I318" s="26">
        <v>21144500</v>
      </c>
      <c r="J318" s="26">
        <v>87200000</v>
      </c>
    </row>
    <row r="319" spans="1:10">
      <c r="A319" s="24">
        <v>317</v>
      </c>
      <c r="B319" s="24">
        <f t="shared" si="4"/>
        <v>201</v>
      </c>
      <c r="C319" s="1" t="s">
        <v>974</v>
      </c>
      <c r="D319" s="1" t="s">
        <v>9</v>
      </c>
      <c r="E319" s="1" t="s">
        <v>14</v>
      </c>
      <c r="F319" s="26">
        <v>322</v>
      </c>
      <c r="G319" s="26">
        <v>0</v>
      </c>
      <c r="H319" s="26">
        <v>300</v>
      </c>
      <c r="I319" s="26">
        <v>15858375</v>
      </c>
      <c r="J319" s="26">
        <v>65400000</v>
      </c>
    </row>
    <row r="320" spans="1:10">
      <c r="A320" s="24">
        <v>318</v>
      </c>
      <c r="B320" s="24">
        <f t="shared" si="4"/>
        <v>202</v>
      </c>
      <c r="C320" s="1" t="s">
        <v>975</v>
      </c>
      <c r="D320" s="1" t="s">
        <v>6</v>
      </c>
      <c r="E320" s="1" t="s">
        <v>14</v>
      </c>
      <c r="F320" s="26">
        <v>371</v>
      </c>
      <c r="G320" s="26">
        <v>0</v>
      </c>
      <c r="H320" s="26">
        <v>350</v>
      </c>
      <c r="I320" s="26">
        <v>18501437.5</v>
      </c>
      <c r="J320" s="26">
        <v>76300000</v>
      </c>
    </row>
    <row r="321" spans="1:10">
      <c r="A321" s="24">
        <v>319</v>
      </c>
      <c r="B321" s="24">
        <f t="shared" si="4"/>
        <v>202</v>
      </c>
      <c r="C321" s="1" t="s">
        <v>975</v>
      </c>
      <c r="D321" s="1" t="s">
        <v>7</v>
      </c>
      <c r="E321" s="1" t="s">
        <v>14</v>
      </c>
      <c r="F321" s="26">
        <v>479</v>
      </c>
      <c r="G321" s="26">
        <v>0</v>
      </c>
      <c r="H321" s="26">
        <v>450</v>
      </c>
      <c r="I321" s="26">
        <v>23787562.5</v>
      </c>
      <c r="J321" s="26">
        <v>98100000</v>
      </c>
    </row>
    <row r="322" spans="1:10">
      <c r="A322" s="24">
        <v>320</v>
      </c>
      <c r="B322" s="24">
        <f t="shared" si="4"/>
        <v>202</v>
      </c>
      <c r="C322" s="1" t="s">
        <v>975</v>
      </c>
      <c r="D322" s="1" t="s">
        <v>8</v>
      </c>
      <c r="E322" s="1" t="s">
        <v>14</v>
      </c>
      <c r="F322" s="26">
        <v>424</v>
      </c>
      <c r="G322" s="26">
        <v>0</v>
      </c>
      <c r="H322" s="26">
        <v>400</v>
      </c>
      <c r="I322" s="26">
        <v>21144500</v>
      </c>
      <c r="J322" s="26">
        <v>87200000</v>
      </c>
    </row>
    <row r="323" spans="1:10">
      <c r="A323" s="24">
        <v>321</v>
      </c>
      <c r="B323" s="24">
        <f t="shared" si="4"/>
        <v>202</v>
      </c>
      <c r="C323" s="1" t="s">
        <v>975</v>
      </c>
      <c r="D323" s="1" t="s">
        <v>9</v>
      </c>
      <c r="E323" s="1" t="s">
        <v>14</v>
      </c>
      <c r="F323" s="26">
        <v>316</v>
      </c>
      <c r="G323" s="26">
        <v>0</v>
      </c>
      <c r="H323" s="26">
        <v>300</v>
      </c>
      <c r="I323" s="26">
        <v>15858375</v>
      </c>
      <c r="J323" s="26">
        <v>65400000</v>
      </c>
    </row>
    <row r="324" spans="1:10">
      <c r="A324" s="24">
        <v>322</v>
      </c>
      <c r="B324" s="24">
        <f t="shared" ref="B324:B387" si="5">IF(C323=C324,B323,B323+1)</f>
        <v>203</v>
      </c>
      <c r="C324" s="1" t="s">
        <v>976</v>
      </c>
      <c r="D324" s="1" t="s">
        <v>6</v>
      </c>
      <c r="E324" s="1" t="s">
        <v>14</v>
      </c>
      <c r="F324" s="26">
        <v>270</v>
      </c>
      <c r="G324" s="26">
        <v>0</v>
      </c>
      <c r="H324" s="26">
        <v>250</v>
      </c>
      <c r="I324" s="26">
        <v>5072562.5000000009</v>
      </c>
      <c r="J324" s="26">
        <v>22250000</v>
      </c>
    </row>
    <row r="325" spans="1:10">
      <c r="A325" s="24">
        <v>323</v>
      </c>
      <c r="B325" s="24">
        <f t="shared" si="5"/>
        <v>203</v>
      </c>
      <c r="C325" s="1" t="s">
        <v>976</v>
      </c>
      <c r="D325" s="1" t="s">
        <v>7</v>
      </c>
      <c r="E325" s="1" t="s">
        <v>14</v>
      </c>
      <c r="F325" s="26">
        <v>323</v>
      </c>
      <c r="G325" s="26">
        <v>0</v>
      </c>
      <c r="H325" s="26">
        <v>300</v>
      </c>
      <c r="I325" s="26">
        <v>6087075.0000000009</v>
      </c>
      <c r="J325" s="26">
        <v>26700000</v>
      </c>
    </row>
    <row r="326" spans="1:10">
      <c r="A326" s="24">
        <v>324</v>
      </c>
      <c r="B326" s="24">
        <f t="shared" si="5"/>
        <v>203</v>
      </c>
      <c r="C326" s="1" t="s">
        <v>976</v>
      </c>
      <c r="D326" s="1" t="s">
        <v>8</v>
      </c>
      <c r="E326" s="1" t="s">
        <v>14</v>
      </c>
      <c r="F326" s="26">
        <v>268</v>
      </c>
      <c r="G326" s="26">
        <v>0</v>
      </c>
      <c r="H326" s="26">
        <v>250</v>
      </c>
      <c r="I326" s="26">
        <v>5072562.5000000009</v>
      </c>
      <c r="J326" s="26">
        <v>22250000</v>
      </c>
    </row>
    <row r="327" spans="1:10">
      <c r="A327" s="24">
        <v>325</v>
      </c>
      <c r="B327" s="24">
        <f t="shared" si="5"/>
        <v>203</v>
      </c>
      <c r="C327" s="1" t="s">
        <v>976</v>
      </c>
      <c r="D327" s="1" t="s">
        <v>9</v>
      </c>
      <c r="E327" s="1" t="s">
        <v>14</v>
      </c>
      <c r="F327" s="26">
        <v>215</v>
      </c>
      <c r="G327" s="26">
        <v>0</v>
      </c>
      <c r="H327" s="26">
        <v>200</v>
      </c>
      <c r="I327" s="26">
        <v>4058050.0000000009</v>
      </c>
      <c r="J327" s="26">
        <v>17800000</v>
      </c>
    </row>
    <row r="328" spans="1:10">
      <c r="A328" s="24">
        <v>326</v>
      </c>
      <c r="B328" s="24">
        <f t="shared" si="5"/>
        <v>203</v>
      </c>
      <c r="C328" s="1" t="s">
        <v>976</v>
      </c>
      <c r="D328" s="1" t="s">
        <v>10</v>
      </c>
      <c r="E328" s="1" t="s">
        <v>14</v>
      </c>
      <c r="F328" s="26">
        <v>215</v>
      </c>
      <c r="G328" s="26">
        <v>0</v>
      </c>
      <c r="H328" s="26">
        <v>200</v>
      </c>
      <c r="I328" s="26">
        <v>4058050.0000000009</v>
      </c>
      <c r="J328" s="26">
        <v>17800000</v>
      </c>
    </row>
    <row r="329" spans="1:10">
      <c r="A329" s="24">
        <v>327</v>
      </c>
      <c r="B329" s="24">
        <f t="shared" si="5"/>
        <v>204</v>
      </c>
      <c r="C329" s="1" t="s">
        <v>977</v>
      </c>
      <c r="D329" s="1" t="s">
        <v>6</v>
      </c>
      <c r="E329" s="1" t="s">
        <v>14</v>
      </c>
      <c r="F329" s="26">
        <v>216</v>
      </c>
      <c r="G329" s="26">
        <v>0</v>
      </c>
      <c r="H329" s="26">
        <v>200</v>
      </c>
      <c r="I329" s="26">
        <v>10630000.000000002</v>
      </c>
      <c r="J329" s="26">
        <v>43600000</v>
      </c>
    </row>
    <row r="330" spans="1:10">
      <c r="A330" s="24">
        <v>328</v>
      </c>
      <c r="B330" s="24">
        <f t="shared" si="5"/>
        <v>204</v>
      </c>
      <c r="C330" s="1" t="s">
        <v>977</v>
      </c>
      <c r="D330" s="1" t="s">
        <v>7</v>
      </c>
      <c r="E330" s="1" t="s">
        <v>14</v>
      </c>
      <c r="F330" s="26">
        <v>430</v>
      </c>
      <c r="G330" s="26">
        <v>0</v>
      </c>
      <c r="H330" s="26">
        <v>400</v>
      </c>
      <c r="I330" s="26">
        <v>21260000.000000004</v>
      </c>
      <c r="J330" s="26">
        <v>87200000</v>
      </c>
    </row>
    <row r="331" spans="1:10">
      <c r="A331" s="24">
        <v>329</v>
      </c>
      <c r="B331" s="24">
        <f t="shared" si="5"/>
        <v>204</v>
      </c>
      <c r="C331" s="1" t="s">
        <v>977</v>
      </c>
      <c r="D331" s="1" t="s">
        <v>8</v>
      </c>
      <c r="E331" s="1" t="s">
        <v>14</v>
      </c>
      <c r="F331" s="26">
        <v>479</v>
      </c>
      <c r="G331" s="26">
        <v>0</v>
      </c>
      <c r="H331" s="26">
        <v>450</v>
      </c>
      <c r="I331" s="26">
        <v>23917500.000000004</v>
      </c>
      <c r="J331" s="26">
        <v>98100000</v>
      </c>
    </row>
    <row r="332" spans="1:10">
      <c r="A332" s="24">
        <v>330</v>
      </c>
      <c r="B332" s="24">
        <f t="shared" si="5"/>
        <v>204</v>
      </c>
      <c r="C332" s="1" t="s">
        <v>977</v>
      </c>
      <c r="D332" s="1" t="s">
        <v>9</v>
      </c>
      <c r="E332" s="1" t="s">
        <v>14</v>
      </c>
      <c r="F332" s="26">
        <v>271</v>
      </c>
      <c r="G332" s="26">
        <v>0</v>
      </c>
      <c r="H332" s="26">
        <v>250</v>
      </c>
      <c r="I332" s="26">
        <v>13287500.000000002</v>
      </c>
      <c r="J332" s="26">
        <v>54500000</v>
      </c>
    </row>
    <row r="333" spans="1:10">
      <c r="A333" s="24">
        <v>331</v>
      </c>
      <c r="B333" s="24">
        <f t="shared" si="5"/>
        <v>204</v>
      </c>
      <c r="C333" s="1" t="s">
        <v>977</v>
      </c>
      <c r="D333" s="1" t="s">
        <v>10</v>
      </c>
      <c r="E333" s="1" t="s">
        <v>14</v>
      </c>
      <c r="F333" s="26">
        <v>214</v>
      </c>
      <c r="G333" s="26">
        <v>0</v>
      </c>
      <c r="H333" s="26">
        <v>200</v>
      </c>
      <c r="I333" s="26">
        <v>10630000.000000002</v>
      </c>
      <c r="J333" s="26">
        <v>43600000</v>
      </c>
    </row>
    <row r="334" spans="1:10">
      <c r="A334" s="24">
        <v>332</v>
      </c>
      <c r="B334" s="24">
        <f t="shared" si="5"/>
        <v>205</v>
      </c>
      <c r="C334" s="1" t="s">
        <v>978</v>
      </c>
      <c r="D334" s="1" t="s">
        <v>6</v>
      </c>
      <c r="E334" s="1" t="s">
        <v>14</v>
      </c>
      <c r="F334" s="26">
        <v>375</v>
      </c>
      <c r="G334" s="26">
        <v>0</v>
      </c>
      <c r="H334" s="26">
        <v>350</v>
      </c>
      <c r="I334" s="26">
        <v>19249300.000000004</v>
      </c>
      <c r="J334" s="26">
        <v>76300000</v>
      </c>
    </row>
    <row r="335" spans="1:10">
      <c r="A335" s="24">
        <v>333</v>
      </c>
      <c r="B335" s="24">
        <f t="shared" si="5"/>
        <v>205</v>
      </c>
      <c r="C335" s="1" t="s">
        <v>978</v>
      </c>
      <c r="D335" s="1" t="s">
        <v>7</v>
      </c>
      <c r="E335" s="1" t="s">
        <v>14</v>
      </c>
      <c r="F335" s="26">
        <v>481</v>
      </c>
      <c r="G335" s="26">
        <v>0</v>
      </c>
      <c r="H335" s="26">
        <v>450</v>
      </c>
      <c r="I335" s="26">
        <v>24749100.000000004</v>
      </c>
      <c r="J335" s="26">
        <v>98100000</v>
      </c>
    </row>
    <row r="336" spans="1:10">
      <c r="A336" s="24">
        <v>334</v>
      </c>
      <c r="B336" s="24">
        <f t="shared" si="5"/>
        <v>205</v>
      </c>
      <c r="C336" s="1" t="s">
        <v>978</v>
      </c>
      <c r="D336" s="1" t="s">
        <v>8</v>
      </c>
      <c r="E336" s="1" t="s">
        <v>14</v>
      </c>
      <c r="F336" s="26">
        <v>430</v>
      </c>
      <c r="G336" s="26">
        <v>0</v>
      </c>
      <c r="H336" s="26">
        <v>400</v>
      </c>
      <c r="I336" s="26">
        <v>21999200.000000004</v>
      </c>
      <c r="J336" s="26">
        <v>87200000</v>
      </c>
    </row>
    <row r="337" spans="1:10">
      <c r="A337" s="24">
        <v>335</v>
      </c>
      <c r="B337" s="24">
        <f t="shared" si="5"/>
        <v>205</v>
      </c>
      <c r="C337" s="1" t="s">
        <v>978</v>
      </c>
      <c r="D337" s="1" t="s">
        <v>9</v>
      </c>
      <c r="E337" s="1" t="s">
        <v>14</v>
      </c>
      <c r="F337" s="26">
        <v>316</v>
      </c>
      <c r="G337" s="26">
        <v>0</v>
      </c>
      <c r="H337" s="26">
        <v>300</v>
      </c>
      <c r="I337" s="26">
        <v>16499400.000000002</v>
      </c>
      <c r="J337" s="26">
        <v>65400000</v>
      </c>
    </row>
    <row r="338" spans="1:10">
      <c r="A338" s="24">
        <v>336</v>
      </c>
      <c r="B338" s="24">
        <f t="shared" si="5"/>
        <v>206</v>
      </c>
      <c r="C338" s="1" t="s">
        <v>979</v>
      </c>
      <c r="D338" s="1" t="s">
        <v>6</v>
      </c>
      <c r="E338" s="1" t="s">
        <v>14</v>
      </c>
      <c r="F338" s="26">
        <v>378</v>
      </c>
      <c r="G338" s="26">
        <v>0</v>
      </c>
      <c r="H338" s="26">
        <v>350</v>
      </c>
      <c r="I338" s="26">
        <v>19249300.000000004</v>
      </c>
      <c r="J338" s="26">
        <v>76300000</v>
      </c>
    </row>
    <row r="339" spans="1:10">
      <c r="A339" s="24">
        <v>337</v>
      </c>
      <c r="B339" s="24">
        <f t="shared" si="5"/>
        <v>206</v>
      </c>
      <c r="C339" s="1" t="s">
        <v>979</v>
      </c>
      <c r="D339" s="1" t="s">
        <v>7</v>
      </c>
      <c r="E339" s="1" t="s">
        <v>14</v>
      </c>
      <c r="F339" s="26">
        <v>471</v>
      </c>
      <c r="G339" s="26">
        <v>0</v>
      </c>
      <c r="H339" s="26">
        <v>450</v>
      </c>
      <c r="I339" s="26">
        <v>24749100.000000004</v>
      </c>
      <c r="J339" s="26">
        <v>98100000</v>
      </c>
    </row>
    <row r="340" spans="1:10">
      <c r="A340" s="24">
        <v>338</v>
      </c>
      <c r="B340" s="24">
        <f t="shared" si="5"/>
        <v>206</v>
      </c>
      <c r="C340" s="1" t="s">
        <v>979</v>
      </c>
      <c r="D340" s="1" t="s">
        <v>8</v>
      </c>
      <c r="E340" s="1" t="s">
        <v>14</v>
      </c>
      <c r="F340" s="26">
        <v>443</v>
      </c>
      <c r="G340" s="26">
        <v>0</v>
      </c>
      <c r="H340" s="26">
        <v>400</v>
      </c>
      <c r="I340" s="26">
        <v>21999200.000000004</v>
      </c>
      <c r="J340" s="26">
        <v>87200000</v>
      </c>
    </row>
    <row r="341" spans="1:10">
      <c r="A341" s="24">
        <v>339</v>
      </c>
      <c r="B341" s="24">
        <f t="shared" si="5"/>
        <v>206</v>
      </c>
      <c r="C341" s="1" t="s">
        <v>979</v>
      </c>
      <c r="D341" s="1" t="s">
        <v>9</v>
      </c>
      <c r="E341" s="1" t="s">
        <v>14</v>
      </c>
      <c r="F341" s="26">
        <v>322</v>
      </c>
      <c r="G341" s="26">
        <v>0</v>
      </c>
      <c r="H341" s="26">
        <v>300</v>
      </c>
      <c r="I341" s="26">
        <v>16499400.000000002</v>
      </c>
      <c r="J341" s="26">
        <v>65400000</v>
      </c>
    </row>
    <row r="342" spans="1:10">
      <c r="A342" s="24">
        <v>340</v>
      </c>
      <c r="B342" s="24">
        <f t="shared" si="5"/>
        <v>207</v>
      </c>
      <c r="C342" s="1" t="s">
        <v>980</v>
      </c>
      <c r="D342" s="1" t="s">
        <v>6</v>
      </c>
      <c r="E342" s="1" t="s">
        <v>14</v>
      </c>
      <c r="F342" s="26">
        <v>216</v>
      </c>
      <c r="G342" s="26">
        <v>0</v>
      </c>
      <c r="H342" s="26">
        <v>200</v>
      </c>
      <c r="I342" s="26">
        <v>4970500</v>
      </c>
      <c r="J342" s="26">
        <v>19600000</v>
      </c>
    </row>
    <row r="343" spans="1:10">
      <c r="A343" s="24">
        <v>341</v>
      </c>
      <c r="B343" s="24">
        <f t="shared" si="5"/>
        <v>207</v>
      </c>
      <c r="C343" s="1" t="s">
        <v>980</v>
      </c>
      <c r="D343" s="1" t="s">
        <v>7</v>
      </c>
      <c r="E343" s="1" t="s">
        <v>14</v>
      </c>
      <c r="F343" s="26">
        <v>323</v>
      </c>
      <c r="G343" s="26">
        <v>0</v>
      </c>
      <c r="H343" s="26">
        <v>300</v>
      </c>
      <c r="I343" s="26">
        <v>7455750</v>
      </c>
      <c r="J343" s="26">
        <v>29400000</v>
      </c>
    </row>
    <row r="344" spans="1:10">
      <c r="A344" s="24">
        <v>342</v>
      </c>
      <c r="B344" s="24">
        <f t="shared" si="5"/>
        <v>207</v>
      </c>
      <c r="C344" s="1" t="s">
        <v>980</v>
      </c>
      <c r="D344" s="1" t="s">
        <v>8</v>
      </c>
      <c r="E344" s="1" t="s">
        <v>14</v>
      </c>
      <c r="F344" s="26">
        <v>320</v>
      </c>
      <c r="G344" s="26">
        <v>0</v>
      </c>
      <c r="H344" s="26">
        <v>300</v>
      </c>
      <c r="I344" s="26">
        <v>7455750</v>
      </c>
      <c r="J344" s="26">
        <v>29400000</v>
      </c>
    </row>
    <row r="345" spans="1:10">
      <c r="A345" s="24">
        <v>343</v>
      </c>
      <c r="B345" s="24">
        <f t="shared" si="5"/>
        <v>207</v>
      </c>
      <c r="C345" s="1" t="s">
        <v>980</v>
      </c>
      <c r="D345" s="1" t="s">
        <v>9</v>
      </c>
      <c r="E345" s="1" t="s">
        <v>14</v>
      </c>
      <c r="F345" s="26">
        <v>219</v>
      </c>
      <c r="G345" s="26">
        <v>0</v>
      </c>
      <c r="H345" s="26">
        <v>200</v>
      </c>
      <c r="I345" s="26">
        <v>4970500</v>
      </c>
      <c r="J345" s="26">
        <v>19600000</v>
      </c>
    </row>
    <row r="346" spans="1:10">
      <c r="A346" s="24">
        <v>344</v>
      </c>
      <c r="B346" s="24">
        <f t="shared" si="5"/>
        <v>208</v>
      </c>
      <c r="C346" s="1" t="s">
        <v>775</v>
      </c>
      <c r="F346" s="26">
        <v>15050</v>
      </c>
      <c r="G346" s="26">
        <v>0</v>
      </c>
      <c r="H346" s="26">
        <v>14200</v>
      </c>
      <c r="I346" s="26">
        <v>702853175</v>
      </c>
      <c r="J346" s="26">
        <v>2880800000</v>
      </c>
    </row>
    <row r="347" spans="1:10">
      <c r="A347" s="24">
        <v>345</v>
      </c>
      <c r="B347" s="24">
        <f t="shared" si="5"/>
        <v>209</v>
      </c>
      <c r="C347" s="1" t="s">
        <v>1403</v>
      </c>
      <c r="D347" s="1" t="s">
        <v>7</v>
      </c>
      <c r="E347" s="1" t="s">
        <v>14</v>
      </c>
      <c r="F347" s="26">
        <v>224</v>
      </c>
      <c r="G347" s="26">
        <v>0</v>
      </c>
      <c r="H347" s="26">
        <v>250</v>
      </c>
      <c r="I347" s="26">
        <v>4798250.0000000009</v>
      </c>
      <c r="J347" s="26">
        <v>22250000</v>
      </c>
    </row>
    <row r="348" spans="1:10">
      <c r="A348" s="24">
        <v>346</v>
      </c>
      <c r="B348" s="24">
        <f t="shared" si="5"/>
        <v>209</v>
      </c>
      <c r="C348" s="1" t="s">
        <v>1403</v>
      </c>
      <c r="D348" s="1" t="s">
        <v>8</v>
      </c>
      <c r="E348" s="1" t="s">
        <v>14</v>
      </c>
      <c r="F348" s="26">
        <v>360</v>
      </c>
      <c r="G348" s="26">
        <v>0</v>
      </c>
      <c r="H348" s="26">
        <v>350</v>
      </c>
      <c r="I348" s="26">
        <v>6717550.0000000009</v>
      </c>
      <c r="J348" s="26">
        <v>31150000</v>
      </c>
    </row>
    <row r="349" spans="1:10">
      <c r="A349" s="24">
        <v>347</v>
      </c>
      <c r="B349" s="24">
        <f t="shared" si="5"/>
        <v>209</v>
      </c>
      <c r="C349" s="1" t="s">
        <v>1403</v>
      </c>
      <c r="D349" s="1" t="s">
        <v>9</v>
      </c>
      <c r="E349" s="1" t="s">
        <v>14</v>
      </c>
      <c r="F349" s="26">
        <v>199</v>
      </c>
      <c r="G349" s="26">
        <v>0</v>
      </c>
      <c r="H349" s="26">
        <v>200</v>
      </c>
      <c r="I349" s="26">
        <v>3838600.0000000009</v>
      </c>
      <c r="J349" s="26">
        <v>17800000</v>
      </c>
    </row>
    <row r="350" spans="1:10">
      <c r="A350" s="24">
        <v>348</v>
      </c>
      <c r="B350" s="24">
        <f t="shared" si="5"/>
        <v>209</v>
      </c>
      <c r="C350" s="1" t="s">
        <v>1403</v>
      </c>
      <c r="D350" s="1" t="s">
        <v>10</v>
      </c>
      <c r="E350" s="1" t="s">
        <v>14</v>
      </c>
      <c r="F350" s="26">
        <v>208</v>
      </c>
      <c r="G350" s="26">
        <v>0</v>
      </c>
      <c r="H350" s="26">
        <v>200</v>
      </c>
      <c r="I350" s="26">
        <v>3838600.0000000009</v>
      </c>
      <c r="J350" s="26">
        <v>17800000</v>
      </c>
    </row>
    <row r="351" spans="1:10">
      <c r="A351" s="24">
        <v>349</v>
      </c>
      <c r="B351" s="24">
        <f t="shared" si="5"/>
        <v>210</v>
      </c>
      <c r="C351" s="1" t="s">
        <v>1404</v>
      </c>
      <c r="D351" s="1" t="s">
        <v>7</v>
      </c>
      <c r="E351" s="1" t="s">
        <v>14</v>
      </c>
      <c r="F351" s="26">
        <v>262</v>
      </c>
      <c r="G351" s="26">
        <v>0</v>
      </c>
      <c r="H351" s="26">
        <v>250</v>
      </c>
      <c r="I351" s="26">
        <v>6270875</v>
      </c>
      <c r="J351" s="26">
        <v>29750000</v>
      </c>
    </row>
    <row r="352" spans="1:10">
      <c r="A352" s="24">
        <v>350</v>
      </c>
      <c r="B352" s="24">
        <f t="shared" si="5"/>
        <v>210</v>
      </c>
      <c r="C352" s="1" t="s">
        <v>1404</v>
      </c>
      <c r="D352" s="1" t="s">
        <v>8</v>
      </c>
      <c r="E352" s="1" t="s">
        <v>14</v>
      </c>
      <c r="F352" s="26">
        <v>363</v>
      </c>
      <c r="G352" s="26">
        <v>0</v>
      </c>
      <c r="H352" s="26">
        <v>350</v>
      </c>
      <c r="I352" s="26">
        <v>8779225</v>
      </c>
      <c r="J352" s="26">
        <v>41650000</v>
      </c>
    </row>
    <row r="353" spans="1:10">
      <c r="A353" s="24">
        <v>351</v>
      </c>
      <c r="B353" s="24">
        <f t="shared" si="5"/>
        <v>210</v>
      </c>
      <c r="C353" s="1" t="s">
        <v>1404</v>
      </c>
      <c r="D353" s="1" t="s">
        <v>9</v>
      </c>
      <c r="E353" s="1" t="s">
        <v>14</v>
      </c>
      <c r="F353" s="26">
        <v>209</v>
      </c>
      <c r="G353" s="26">
        <v>0</v>
      </c>
      <c r="H353" s="26">
        <v>200</v>
      </c>
      <c r="I353" s="26">
        <v>5016700</v>
      </c>
      <c r="J353" s="26">
        <v>23800000</v>
      </c>
    </row>
    <row r="354" spans="1:10">
      <c r="A354" s="24">
        <v>352</v>
      </c>
      <c r="B354" s="24">
        <f t="shared" si="5"/>
        <v>210</v>
      </c>
      <c r="C354" s="1" t="s">
        <v>1404</v>
      </c>
      <c r="D354" s="1" t="s">
        <v>10</v>
      </c>
      <c r="E354" s="1" t="s">
        <v>14</v>
      </c>
      <c r="F354" s="26">
        <v>210</v>
      </c>
      <c r="G354" s="26">
        <v>0</v>
      </c>
      <c r="H354" s="26">
        <v>200</v>
      </c>
      <c r="I354" s="26">
        <v>5016700</v>
      </c>
      <c r="J354" s="26">
        <v>23800000</v>
      </c>
    </row>
    <row r="355" spans="1:10">
      <c r="A355" s="24">
        <v>353</v>
      </c>
      <c r="B355" s="24">
        <f t="shared" si="5"/>
        <v>211</v>
      </c>
      <c r="C355" s="1" t="s">
        <v>1405</v>
      </c>
      <c r="D355" s="1" t="s">
        <v>7</v>
      </c>
      <c r="E355" s="1" t="s">
        <v>14</v>
      </c>
      <c r="F355" s="26">
        <v>209</v>
      </c>
      <c r="G355" s="26">
        <v>0</v>
      </c>
      <c r="H355" s="26">
        <v>200</v>
      </c>
      <c r="I355" s="26">
        <v>7465300</v>
      </c>
      <c r="J355" s="26">
        <v>31600000</v>
      </c>
    </row>
    <row r="356" spans="1:10">
      <c r="A356" s="24">
        <v>354</v>
      </c>
      <c r="B356" s="24">
        <f t="shared" si="5"/>
        <v>211</v>
      </c>
      <c r="C356" s="1" t="s">
        <v>1405</v>
      </c>
      <c r="D356" s="1" t="s">
        <v>8</v>
      </c>
      <c r="E356" s="1" t="s">
        <v>14</v>
      </c>
      <c r="F356" s="26">
        <v>320</v>
      </c>
      <c r="G356" s="26">
        <v>0</v>
      </c>
      <c r="H356" s="26">
        <v>300</v>
      </c>
      <c r="I356" s="26">
        <v>11197950</v>
      </c>
      <c r="J356" s="26">
        <v>47400000</v>
      </c>
    </row>
    <row r="357" spans="1:10">
      <c r="A357" s="24">
        <v>355</v>
      </c>
      <c r="B357" s="24">
        <f t="shared" si="5"/>
        <v>211</v>
      </c>
      <c r="C357" s="1" t="s">
        <v>1405</v>
      </c>
      <c r="D357" s="1" t="s">
        <v>9</v>
      </c>
      <c r="E357" s="1" t="s">
        <v>14</v>
      </c>
      <c r="F357" s="26">
        <v>315</v>
      </c>
      <c r="G357" s="26">
        <v>0</v>
      </c>
      <c r="H357" s="26">
        <v>300</v>
      </c>
      <c r="I357" s="26">
        <v>11197950</v>
      </c>
      <c r="J357" s="26">
        <v>47400000</v>
      </c>
    </row>
    <row r="358" spans="1:10">
      <c r="A358" s="24">
        <v>356</v>
      </c>
      <c r="B358" s="24">
        <f t="shared" si="5"/>
        <v>211</v>
      </c>
      <c r="C358" s="1" t="s">
        <v>1405</v>
      </c>
      <c r="D358" s="1" t="s">
        <v>10</v>
      </c>
      <c r="E358" s="1" t="s">
        <v>14</v>
      </c>
      <c r="F358" s="26">
        <v>207</v>
      </c>
      <c r="G358" s="26">
        <v>0</v>
      </c>
      <c r="H358" s="26">
        <v>200</v>
      </c>
      <c r="I358" s="26">
        <v>7465300</v>
      </c>
      <c r="J358" s="26">
        <v>31600000</v>
      </c>
    </row>
    <row r="359" spans="1:10">
      <c r="A359" s="24">
        <v>357</v>
      </c>
      <c r="B359" s="24">
        <f t="shared" si="5"/>
        <v>212</v>
      </c>
      <c r="C359" s="1" t="s">
        <v>775</v>
      </c>
      <c r="F359" s="26">
        <v>3086</v>
      </c>
      <c r="G359" s="26">
        <v>0</v>
      </c>
      <c r="H359" s="26">
        <v>3000</v>
      </c>
      <c r="I359" s="26">
        <v>81603000</v>
      </c>
      <c r="J359" s="26">
        <v>366000000</v>
      </c>
    </row>
    <row r="360" spans="1:10">
      <c r="A360" s="24">
        <v>358</v>
      </c>
      <c r="B360" s="24">
        <f t="shared" si="5"/>
        <v>213</v>
      </c>
      <c r="C360" s="1" t="s">
        <v>1406</v>
      </c>
      <c r="D360" s="1" t="s">
        <v>7</v>
      </c>
      <c r="E360" s="1" t="s">
        <v>14</v>
      </c>
      <c r="F360" s="26">
        <v>287</v>
      </c>
      <c r="G360" s="26">
        <v>0</v>
      </c>
      <c r="H360" s="26">
        <v>300</v>
      </c>
      <c r="I360" s="26">
        <v>4831003.5</v>
      </c>
      <c r="J360" s="26">
        <v>23700000</v>
      </c>
    </row>
    <row r="361" spans="1:10">
      <c r="A361" s="24">
        <v>359</v>
      </c>
      <c r="B361" s="24">
        <f t="shared" si="5"/>
        <v>213</v>
      </c>
      <c r="C361" s="1" t="s">
        <v>1406</v>
      </c>
      <c r="D361" s="1" t="s">
        <v>8</v>
      </c>
      <c r="E361" s="1" t="s">
        <v>14</v>
      </c>
      <c r="F361" s="26">
        <v>305</v>
      </c>
      <c r="G361" s="26">
        <v>0</v>
      </c>
      <c r="H361" s="26">
        <v>300</v>
      </c>
      <c r="I361" s="26">
        <v>4831003.5</v>
      </c>
      <c r="J361" s="26">
        <v>23700000</v>
      </c>
    </row>
    <row r="362" spans="1:10">
      <c r="A362" s="24">
        <v>360</v>
      </c>
      <c r="B362" s="24">
        <f t="shared" si="5"/>
        <v>213</v>
      </c>
      <c r="C362" s="1" t="s">
        <v>1406</v>
      </c>
      <c r="D362" s="1" t="s">
        <v>9</v>
      </c>
      <c r="E362" s="1" t="s">
        <v>14</v>
      </c>
      <c r="F362" s="26">
        <v>198</v>
      </c>
      <c r="G362" s="26">
        <v>0</v>
      </c>
      <c r="H362" s="26">
        <v>200</v>
      </c>
      <c r="I362" s="26">
        <v>3220669</v>
      </c>
      <c r="J362" s="26">
        <v>15800000</v>
      </c>
    </row>
    <row r="363" spans="1:10">
      <c r="A363" s="24">
        <v>361</v>
      </c>
      <c r="B363" s="24">
        <f t="shared" si="5"/>
        <v>213</v>
      </c>
      <c r="C363" s="1" t="s">
        <v>1406</v>
      </c>
      <c r="D363" s="1" t="s">
        <v>10</v>
      </c>
      <c r="E363" s="1" t="s">
        <v>14</v>
      </c>
      <c r="F363" s="26">
        <v>203</v>
      </c>
      <c r="G363" s="26">
        <v>0</v>
      </c>
      <c r="H363" s="26">
        <v>200</v>
      </c>
      <c r="I363" s="26">
        <v>3220669</v>
      </c>
      <c r="J363" s="26">
        <v>15800000</v>
      </c>
    </row>
    <row r="364" spans="1:10">
      <c r="A364" s="24">
        <v>362</v>
      </c>
      <c r="B364" s="24">
        <f t="shared" si="5"/>
        <v>214</v>
      </c>
      <c r="C364" s="1" t="s">
        <v>1407</v>
      </c>
      <c r="D364" s="1" t="s">
        <v>7</v>
      </c>
      <c r="E364" s="1" t="s">
        <v>14</v>
      </c>
      <c r="F364" s="26">
        <v>172</v>
      </c>
      <c r="G364" s="26">
        <v>0</v>
      </c>
      <c r="H364" s="26">
        <v>200</v>
      </c>
      <c r="I364" s="26">
        <v>3612214</v>
      </c>
      <c r="J364" s="26">
        <v>17800000</v>
      </c>
    </row>
    <row r="365" spans="1:10">
      <c r="A365" s="24">
        <v>363</v>
      </c>
      <c r="B365" s="24">
        <f t="shared" si="5"/>
        <v>214</v>
      </c>
      <c r="C365" s="1" t="s">
        <v>1407</v>
      </c>
      <c r="D365" s="1" t="s">
        <v>8</v>
      </c>
      <c r="E365" s="1" t="s">
        <v>14</v>
      </c>
      <c r="F365" s="26">
        <v>318</v>
      </c>
      <c r="G365" s="26">
        <v>0</v>
      </c>
      <c r="H365" s="26">
        <v>300</v>
      </c>
      <c r="I365" s="26">
        <v>5418321</v>
      </c>
      <c r="J365" s="26">
        <v>26700000</v>
      </c>
    </row>
    <row r="366" spans="1:10">
      <c r="A366" s="24">
        <v>364</v>
      </c>
      <c r="B366" s="24">
        <f t="shared" si="5"/>
        <v>214</v>
      </c>
      <c r="C366" s="1" t="s">
        <v>1407</v>
      </c>
      <c r="D366" s="1" t="s">
        <v>9</v>
      </c>
      <c r="E366" s="1" t="s">
        <v>14</v>
      </c>
      <c r="F366" s="26">
        <v>272</v>
      </c>
      <c r="G366" s="26">
        <v>0</v>
      </c>
      <c r="H366" s="26">
        <v>300</v>
      </c>
      <c r="I366" s="26">
        <v>5418321</v>
      </c>
      <c r="J366" s="26">
        <v>26700000</v>
      </c>
    </row>
    <row r="367" spans="1:10">
      <c r="A367" s="24">
        <v>365</v>
      </c>
      <c r="B367" s="24">
        <f t="shared" si="5"/>
        <v>214</v>
      </c>
      <c r="C367" s="1" t="s">
        <v>1407</v>
      </c>
      <c r="D367" s="1" t="s">
        <v>10</v>
      </c>
      <c r="E367" s="1" t="s">
        <v>14</v>
      </c>
      <c r="F367" s="26">
        <v>194</v>
      </c>
      <c r="G367" s="26">
        <v>0</v>
      </c>
      <c r="H367" s="26">
        <v>200</v>
      </c>
      <c r="I367" s="26">
        <v>3612214</v>
      </c>
      <c r="J367" s="26">
        <v>17800000</v>
      </c>
    </row>
    <row r="368" spans="1:10">
      <c r="A368" s="24">
        <v>366</v>
      </c>
      <c r="B368" s="24">
        <f t="shared" si="5"/>
        <v>215</v>
      </c>
      <c r="C368" s="1" t="s">
        <v>1408</v>
      </c>
      <c r="D368" s="1" t="s">
        <v>7</v>
      </c>
      <c r="E368" s="1" t="s">
        <v>14</v>
      </c>
      <c r="F368" s="26">
        <v>600</v>
      </c>
      <c r="G368" s="26">
        <v>0</v>
      </c>
      <c r="H368" s="26">
        <v>600</v>
      </c>
      <c r="I368" s="26">
        <v>9818624.9999999981</v>
      </c>
      <c r="J368" s="26">
        <v>47400000</v>
      </c>
    </row>
    <row r="369" spans="1:10">
      <c r="A369" s="24">
        <v>367</v>
      </c>
      <c r="B369" s="24">
        <f t="shared" si="5"/>
        <v>215</v>
      </c>
      <c r="C369" s="1" t="s">
        <v>1408</v>
      </c>
      <c r="D369" s="1" t="s">
        <v>8</v>
      </c>
      <c r="E369" s="1" t="s">
        <v>14</v>
      </c>
      <c r="F369" s="26">
        <v>446</v>
      </c>
      <c r="G369" s="26">
        <v>0</v>
      </c>
      <c r="H369" s="26">
        <v>450</v>
      </c>
      <c r="I369" s="26">
        <v>7363968.7499999991</v>
      </c>
      <c r="J369" s="26">
        <v>35550000</v>
      </c>
    </row>
    <row r="370" spans="1:10">
      <c r="A370" s="24">
        <v>368</v>
      </c>
      <c r="B370" s="24">
        <f t="shared" si="5"/>
        <v>215</v>
      </c>
      <c r="C370" s="1" t="s">
        <v>1408</v>
      </c>
      <c r="D370" s="1" t="s">
        <v>9</v>
      </c>
      <c r="E370" s="1" t="s">
        <v>14</v>
      </c>
      <c r="F370" s="26">
        <v>454</v>
      </c>
      <c r="G370" s="26">
        <v>0</v>
      </c>
      <c r="H370" s="26">
        <v>450</v>
      </c>
      <c r="I370" s="26">
        <v>7363968.7499999991</v>
      </c>
      <c r="J370" s="26">
        <v>35550000</v>
      </c>
    </row>
    <row r="371" spans="1:10">
      <c r="A371" s="24">
        <v>369</v>
      </c>
      <c r="B371" s="24">
        <f t="shared" si="5"/>
        <v>216</v>
      </c>
      <c r="C371" s="1" t="s">
        <v>1409</v>
      </c>
      <c r="D371" s="1" t="s">
        <v>7</v>
      </c>
      <c r="E371" s="1" t="s">
        <v>14</v>
      </c>
      <c r="F371" s="26">
        <v>398</v>
      </c>
      <c r="G371" s="26">
        <v>0</v>
      </c>
      <c r="H371" s="26">
        <v>400</v>
      </c>
      <c r="I371" s="26">
        <v>6545749.9999999991</v>
      </c>
      <c r="J371" s="26">
        <v>31600000</v>
      </c>
    </row>
    <row r="372" spans="1:10">
      <c r="A372" s="24">
        <v>370</v>
      </c>
      <c r="B372" s="24">
        <f t="shared" si="5"/>
        <v>216</v>
      </c>
      <c r="C372" s="1" t="s">
        <v>1409</v>
      </c>
      <c r="D372" s="1" t="s">
        <v>8</v>
      </c>
      <c r="E372" s="1" t="s">
        <v>14</v>
      </c>
      <c r="F372" s="26">
        <v>324</v>
      </c>
      <c r="G372" s="26">
        <v>0</v>
      </c>
      <c r="H372" s="26">
        <v>300</v>
      </c>
      <c r="I372" s="26">
        <v>4909312.4999999991</v>
      </c>
      <c r="J372" s="26">
        <v>23700000</v>
      </c>
    </row>
    <row r="373" spans="1:10">
      <c r="A373" s="24">
        <v>371</v>
      </c>
      <c r="B373" s="24">
        <f t="shared" si="5"/>
        <v>216</v>
      </c>
      <c r="C373" s="1" t="s">
        <v>1409</v>
      </c>
      <c r="D373" s="1" t="s">
        <v>9</v>
      </c>
      <c r="E373" s="1" t="s">
        <v>14</v>
      </c>
      <c r="F373" s="26">
        <v>275</v>
      </c>
      <c r="G373" s="26">
        <v>0</v>
      </c>
      <c r="H373" s="26">
        <v>300</v>
      </c>
      <c r="I373" s="26">
        <v>4909312.4999999991</v>
      </c>
      <c r="J373" s="26">
        <v>23700000</v>
      </c>
    </row>
    <row r="374" spans="1:10">
      <c r="A374" s="24">
        <v>372</v>
      </c>
      <c r="B374" s="24">
        <f t="shared" si="5"/>
        <v>217</v>
      </c>
      <c r="C374" s="1" t="s">
        <v>1410</v>
      </c>
      <c r="D374" s="1" t="s">
        <v>7</v>
      </c>
      <c r="E374" s="1" t="s">
        <v>14</v>
      </c>
      <c r="F374" s="26">
        <v>362</v>
      </c>
      <c r="G374" s="26">
        <v>0</v>
      </c>
      <c r="H374" s="26">
        <v>350</v>
      </c>
      <c r="I374" s="26">
        <v>5499130</v>
      </c>
      <c r="J374" s="26">
        <v>27650000</v>
      </c>
    </row>
    <row r="375" spans="1:10">
      <c r="A375" s="24">
        <v>373</v>
      </c>
      <c r="B375" s="24">
        <f t="shared" si="5"/>
        <v>217</v>
      </c>
      <c r="C375" s="1" t="s">
        <v>1410</v>
      </c>
      <c r="D375" s="1" t="s">
        <v>8</v>
      </c>
      <c r="E375" s="1" t="s">
        <v>14</v>
      </c>
      <c r="F375" s="26">
        <v>470</v>
      </c>
      <c r="G375" s="26">
        <v>0</v>
      </c>
      <c r="H375" s="26">
        <v>450</v>
      </c>
      <c r="I375" s="26">
        <v>7070310</v>
      </c>
      <c r="J375" s="26">
        <v>35550000</v>
      </c>
    </row>
    <row r="376" spans="1:10">
      <c r="A376" s="24">
        <v>374</v>
      </c>
      <c r="B376" s="24">
        <f t="shared" si="5"/>
        <v>217</v>
      </c>
      <c r="C376" s="1" t="s">
        <v>1410</v>
      </c>
      <c r="D376" s="1" t="s">
        <v>9</v>
      </c>
      <c r="E376" s="1" t="s">
        <v>14</v>
      </c>
      <c r="F376" s="26">
        <v>421</v>
      </c>
      <c r="G376" s="26">
        <v>0</v>
      </c>
      <c r="H376" s="26">
        <v>400</v>
      </c>
      <c r="I376" s="26">
        <v>6284720</v>
      </c>
      <c r="J376" s="26">
        <v>31600000</v>
      </c>
    </row>
    <row r="377" spans="1:10">
      <c r="A377" s="24">
        <v>375</v>
      </c>
      <c r="B377" s="24">
        <f t="shared" si="5"/>
        <v>217</v>
      </c>
      <c r="C377" s="1" t="s">
        <v>1410</v>
      </c>
      <c r="D377" s="1" t="s">
        <v>10</v>
      </c>
      <c r="E377" s="1" t="s">
        <v>14</v>
      </c>
      <c r="F377" s="26">
        <v>300</v>
      </c>
      <c r="G377" s="26">
        <v>0</v>
      </c>
      <c r="H377" s="26">
        <v>300</v>
      </c>
      <c r="I377" s="26">
        <v>4713540</v>
      </c>
      <c r="J377" s="26">
        <v>23700000</v>
      </c>
    </row>
    <row r="378" spans="1:10">
      <c r="A378" s="24">
        <v>376</v>
      </c>
      <c r="B378" s="24">
        <f t="shared" si="5"/>
        <v>218</v>
      </c>
      <c r="C378" s="1" t="s">
        <v>1411</v>
      </c>
      <c r="D378" s="1" t="s">
        <v>7</v>
      </c>
      <c r="E378" s="1" t="s">
        <v>14</v>
      </c>
      <c r="F378" s="26">
        <v>351</v>
      </c>
      <c r="G378" s="26">
        <v>0</v>
      </c>
      <c r="H378" s="26">
        <v>350</v>
      </c>
      <c r="I378" s="26">
        <v>5270728.75</v>
      </c>
      <c r="J378" s="26">
        <v>27650000</v>
      </c>
    </row>
    <row r="379" spans="1:10">
      <c r="A379" s="24">
        <v>377</v>
      </c>
      <c r="B379" s="24">
        <f t="shared" si="5"/>
        <v>218</v>
      </c>
      <c r="C379" s="1" t="s">
        <v>1411</v>
      </c>
      <c r="D379" s="1" t="s">
        <v>8</v>
      </c>
      <c r="E379" s="1" t="s">
        <v>14</v>
      </c>
      <c r="F379" s="26">
        <v>462</v>
      </c>
      <c r="G379" s="26">
        <v>0</v>
      </c>
      <c r="H379" s="26">
        <v>450</v>
      </c>
      <c r="I379" s="26">
        <v>6776651.25</v>
      </c>
      <c r="J379" s="26">
        <v>35550000</v>
      </c>
    </row>
    <row r="380" spans="1:10">
      <c r="A380" s="24">
        <v>378</v>
      </c>
      <c r="B380" s="24">
        <f t="shared" si="5"/>
        <v>218</v>
      </c>
      <c r="C380" s="1" t="s">
        <v>1411</v>
      </c>
      <c r="D380" s="1" t="s">
        <v>9</v>
      </c>
      <c r="E380" s="1" t="s">
        <v>14</v>
      </c>
      <c r="F380" s="26">
        <v>414</v>
      </c>
      <c r="G380" s="26">
        <v>0</v>
      </c>
      <c r="H380" s="26">
        <v>400</v>
      </c>
      <c r="I380" s="26">
        <v>6023690</v>
      </c>
      <c r="J380" s="26">
        <v>31600000</v>
      </c>
    </row>
    <row r="381" spans="1:10">
      <c r="A381" s="24">
        <v>379</v>
      </c>
      <c r="B381" s="24">
        <f t="shared" si="5"/>
        <v>218</v>
      </c>
      <c r="C381" s="1" t="s">
        <v>1411</v>
      </c>
      <c r="D381" s="1" t="s">
        <v>10</v>
      </c>
      <c r="E381" s="1" t="s">
        <v>14</v>
      </c>
      <c r="F381" s="26">
        <v>300</v>
      </c>
      <c r="G381" s="26">
        <v>0</v>
      </c>
      <c r="H381" s="26">
        <v>300</v>
      </c>
      <c r="I381" s="26">
        <v>4517767.5</v>
      </c>
      <c r="J381" s="26">
        <v>23700000</v>
      </c>
    </row>
    <row r="382" spans="1:10">
      <c r="A382" s="24">
        <v>380</v>
      </c>
      <c r="B382" s="24">
        <f t="shared" si="5"/>
        <v>219</v>
      </c>
      <c r="C382" s="1" t="s">
        <v>775</v>
      </c>
      <c r="F382" s="26">
        <v>7526</v>
      </c>
      <c r="G382" s="26">
        <v>0</v>
      </c>
      <c r="H382" s="26">
        <v>7500</v>
      </c>
      <c r="I382" s="26">
        <v>121231890</v>
      </c>
      <c r="J382" s="26">
        <v>602500000</v>
      </c>
    </row>
    <row r="383" spans="1:10">
      <c r="A383" s="24">
        <v>381</v>
      </c>
      <c r="B383" s="24">
        <f t="shared" si="5"/>
        <v>220</v>
      </c>
      <c r="C383" s="1" t="s">
        <v>1412</v>
      </c>
      <c r="D383" s="1" t="s">
        <v>7</v>
      </c>
      <c r="E383" s="1" t="s">
        <v>14</v>
      </c>
      <c r="F383" s="26">
        <v>251</v>
      </c>
      <c r="G383" s="26">
        <v>0</v>
      </c>
      <c r="H383" s="26">
        <v>250</v>
      </c>
      <c r="I383" s="26">
        <v>6175000</v>
      </c>
      <c r="J383" s="26">
        <v>27250000</v>
      </c>
    </row>
    <row r="384" spans="1:10">
      <c r="A384" s="24">
        <v>382</v>
      </c>
      <c r="B384" s="24">
        <f t="shared" si="5"/>
        <v>220</v>
      </c>
      <c r="C384" s="1" t="s">
        <v>1412</v>
      </c>
      <c r="D384" s="1" t="s">
        <v>8</v>
      </c>
      <c r="E384" s="1" t="s">
        <v>14</v>
      </c>
      <c r="F384" s="26">
        <v>357</v>
      </c>
      <c r="G384" s="26">
        <v>0</v>
      </c>
      <c r="H384" s="26">
        <v>350</v>
      </c>
      <c r="I384" s="26">
        <v>8645000</v>
      </c>
      <c r="J384" s="26">
        <v>38150000</v>
      </c>
    </row>
    <row r="385" spans="1:10">
      <c r="A385" s="24">
        <v>383</v>
      </c>
      <c r="B385" s="24">
        <f t="shared" si="5"/>
        <v>220</v>
      </c>
      <c r="C385" s="1" t="s">
        <v>1412</v>
      </c>
      <c r="D385" s="1" t="s">
        <v>9</v>
      </c>
      <c r="E385" s="1" t="s">
        <v>14</v>
      </c>
      <c r="F385" s="26">
        <v>253</v>
      </c>
      <c r="G385" s="26">
        <v>0</v>
      </c>
      <c r="H385" s="26">
        <v>250</v>
      </c>
      <c r="I385" s="26">
        <v>6175000</v>
      </c>
      <c r="J385" s="26">
        <v>27250000</v>
      </c>
    </row>
    <row r="386" spans="1:10">
      <c r="A386" s="24">
        <v>384</v>
      </c>
      <c r="B386" s="24">
        <f t="shared" si="5"/>
        <v>220</v>
      </c>
      <c r="C386" s="1" t="s">
        <v>1412</v>
      </c>
      <c r="D386" s="1" t="s">
        <v>10</v>
      </c>
      <c r="E386" s="1" t="s">
        <v>14</v>
      </c>
      <c r="F386" s="26">
        <v>158</v>
      </c>
      <c r="G386" s="26">
        <v>0</v>
      </c>
      <c r="H386" s="26">
        <v>150</v>
      </c>
      <c r="I386" s="26">
        <v>3705000</v>
      </c>
      <c r="J386" s="26">
        <v>16350000</v>
      </c>
    </row>
    <row r="387" spans="1:10">
      <c r="A387" s="24">
        <v>385</v>
      </c>
      <c r="B387" s="24">
        <f t="shared" si="5"/>
        <v>221</v>
      </c>
      <c r="C387" s="1" t="s">
        <v>775</v>
      </c>
      <c r="F387" s="26">
        <v>1019</v>
      </c>
      <c r="G387" s="26">
        <v>0</v>
      </c>
      <c r="H387" s="26">
        <v>1000</v>
      </c>
      <c r="I387" s="26">
        <v>24700000</v>
      </c>
      <c r="J387" s="26">
        <v>109000000</v>
      </c>
    </row>
    <row r="388" spans="1:10">
      <c r="A388" s="24">
        <v>386</v>
      </c>
      <c r="B388" s="24">
        <f t="shared" ref="B388:B451" si="6">IF(C387=C388,B387,B387+1)</f>
        <v>222</v>
      </c>
      <c r="C388" s="1" t="s">
        <v>1413</v>
      </c>
      <c r="D388" s="1" t="s">
        <v>8</v>
      </c>
      <c r="E388" s="1" t="s">
        <v>14</v>
      </c>
      <c r="F388" s="26">
        <v>401</v>
      </c>
      <c r="G388" s="26">
        <v>0</v>
      </c>
      <c r="H388" s="26">
        <v>400</v>
      </c>
      <c r="I388" s="26">
        <v>28808000</v>
      </c>
      <c r="J388" s="26">
        <v>119200000</v>
      </c>
    </row>
    <row r="389" spans="1:10">
      <c r="A389" s="24">
        <v>387</v>
      </c>
      <c r="B389" s="24">
        <f t="shared" si="6"/>
        <v>222</v>
      </c>
      <c r="C389" s="1" t="s">
        <v>1413</v>
      </c>
      <c r="D389" s="1" t="s">
        <v>9</v>
      </c>
      <c r="E389" s="1" t="s">
        <v>14</v>
      </c>
      <c r="F389" s="26">
        <v>197</v>
      </c>
      <c r="G389" s="26">
        <v>0</v>
      </c>
      <c r="H389" s="26">
        <v>200</v>
      </c>
      <c r="I389" s="26">
        <v>14404000</v>
      </c>
      <c r="J389" s="26">
        <v>59600000</v>
      </c>
    </row>
    <row r="390" spans="1:10">
      <c r="A390" s="24">
        <v>388</v>
      </c>
      <c r="B390" s="24">
        <f t="shared" si="6"/>
        <v>223</v>
      </c>
      <c r="C390" s="1" t="s">
        <v>775</v>
      </c>
      <c r="F390" s="26">
        <v>598</v>
      </c>
      <c r="G390" s="26">
        <v>0</v>
      </c>
      <c r="H390" s="26">
        <v>600</v>
      </c>
      <c r="I390" s="26">
        <v>43212000</v>
      </c>
      <c r="J390" s="26">
        <v>178800000</v>
      </c>
    </row>
    <row r="391" spans="1:10">
      <c r="A391" s="24">
        <v>389</v>
      </c>
      <c r="B391" s="24">
        <f t="shared" si="6"/>
        <v>224</v>
      </c>
      <c r="C391" s="1" t="s">
        <v>981</v>
      </c>
      <c r="D391" s="1" t="s">
        <v>6</v>
      </c>
      <c r="E391" s="1" t="s">
        <v>14</v>
      </c>
      <c r="F391" s="26">
        <v>173</v>
      </c>
      <c r="G391" s="26">
        <v>0</v>
      </c>
      <c r="H391" s="26">
        <v>200</v>
      </c>
      <c r="I391" s="26">
        <v>3011845</v>
      </c>
      <c r="J391" s="26">
        <v>15000000</v>
      </c>
    </row>
    <row r="392" spans="1:10">
      <c r="A392" s="24">
        <v>390</v>
      </c>
      <c r="B392" s="24">
        <f t="shared" si="6"/>
        <v>224</v>
      </c>
      <c r="C392" s="1" t="s">
        <v>981</v>
      </c>
      <c r="D392" s="1" t="s">
        <v>7</v>
      </c>
      <c r="E392" s="1" t="s">
        <v>14</v>
      </c>
      <c r="F392" s="26">
        <v>191</v>
      </c>
      <c r="G392" s="26">
        <v>0</v>
      </c>
      <c r="H392" s="26">
        <v>250</v>
      </c>
      <c r="I392" s="26">
        <v>3764806.25</v>
      </c>
      <c r="J392" s="26">
        <v>18750000</v>
      </c>
    </row>
    <row r="393" spans="1:10">
      <c r="A393" s="24">
        <v>391</v>
      </c>
      <c r="B393" s="24">
        <f t="shared" si="6"/>
        <v>224</v>
      </c>
      <c r="C393" s="1" t="s">
        <v>981</v>
      </c>
      <c r="D393" s="1" t="s">
        <v>8</v>
      </c>
      <c r="E393" s="1" t="s">
        <v>14</v>
      </c>
      <c r="F393" s="26">
        <v>225</v>
      </c>
      <c r="G393" s="26">
        <v>0</v>
      </c>
      <c r="H393" s="26">
        <v>250</v>
      </c>
      <c r="I393" s="26">
        <v>3764806.25</v>
      </c>
      <c r="J393" s="26">
        <v>18750000</v>
      </c>
    </row>
    <row r="394" spans="1:10">
      <c r="A394" s="24">
        <v>392</v>
      </c>
      <c r="B394" s="24">
        <f t="shared" si="6"/>
        <v>224</v>
      </c>
      <c r="C394" s="1" t="s">
        <v>981</v>
      </c>
      <c r="D394" s="1" t="s">
        <v>9</v>
      </c>
      <c r="E394" s="1" t="s">
        <v>14</v>
      </c>
      <c r="F394" s="26">
        <v>161</v>
      </c>
      <c r="G394" s="26">
        <v>0</v>
      </c>
      <c r="H394" s="26">
        <v>200</v>
      </c>
      <c r="I394" s="26">
        <v>3011845</v>
      </c>
      <c r="J394" s="26">
        <v>15000000</v>
      </c>
    </row>
    <row r="395" spans="1:10">
      <c r="A395" s="24">
        <v>393</v>
      </c>
      <c r="B395" s="24">
        <f t="shared" si="6"/>
        <v>224</v>
      </c>
      <c r="C395" s="1" t="s">
        <v>981</v>
      </c>
      <c r="D395" s="1" t="s">
        <v>10</v>
      </c>
      <c r="E395" s="1" t="s">
        <v>14</v>
      </c>
      <c r="F395" s="26">
        <v>80</v>
      </c>
      <c r="G395" s="26">
        <v>0</v>
      </c>
      <c r="H395" s="26">
        <v>100</v>
      </c>
      <c r="I395" s="26">
        <v>1505922.5</v>
      </c>
      <c r="J395" s="26">
        <v>7500000</v>
      </c>
    </row>
    <row r="396" spans="1:10">
      <c r="A396" s="24">
        <v>394</v>
      </c>
      <c r="B396" s="24">
        <f t="shared" si="6"/>
        <v>225</v>
      </c>
      <c r="C396" s="1" t="s">
        <v>1414</v>
      </c>
      <c r="D396" s="1" t="s">
        <v>7</v>
      </c>
      <c r="E396" s="1" t="s">
        <v>14</v>
      </c>
      <c r="F396" s="26">
        <v>682</v>
      </c>
      <c r="G396" s="26">
        <v>0</v>
      </c>
      <c r="H396" s="26">
        <v>700</v>
      </c>
      <c r="I396" s="26">
        <v>10998260</v>
      </c>
      <c r="J396" s="26">
        <v>52500000</v>
      </c>
    </row>
    <row r="397" spans="1:10">
      <c r="A397" s="24">
        <v>395</v>
      </c>
      <c r="B397" s="24">
        <f t="shared" si="6"/>
        <v>225</v>
      </c>
      <c r="C397" s="1" t="s">
        <v>1414</v>
      </c>
      <c r="D397" s="1" t="s">
        <v>8</v>
      </c>
      <c r="E397" s="1" t="s">
        <v>14</v>
      </c>
      <c r="F397" s="26">
        <v>426</v>
      </c>
      <c r="G397" s="26">
        <v>0</v>
      </c>
      <c r="H397" s="26">
        <v>500</v>
      </c>
      <c r="I397" s="26">
        <v>7855900</v>
      </c>
      <c r="J397" s="26">
        <v>37500000</v>
      </c>
    </row>
    <row r="398" spans="1:10">
      <c r="A398" s="24">
        <v>396</v>
      </c>
      <c r="B398" s="24">
        <f t="shared" si="6"/>
        <v>225</v>
      </c>
      <c r="C398" s="1" t="s">
        <v>1414</v>
      </c>
      <c r="D398" s="1" t="s">
        <v>9</v>
      </c>
      <c r="E398" s="1" t="s">
        <v>14</v>
      </c>
      <c r="F398" s="26">
        <v>280</v>
      </c>
      <c r="G398" s="26">
        <v>0</v>
      </c>
      <c r="H398" s="26">
        <v>300</v>
      </c>
      <c r="I398" s="26">
        <v>4713540</v>
      </c>
      <c r="J398" s="26">
        <v>22500000</v>
      </c>
    </row>
    <row r="399" spans="1:10">
      <c r="A399" s="24">
        <v>397</v>
      </c>
      <c r="B399" s="24">
        <f t="shared" si="6"/>
        <v>226</v>
      </c>
      <c r="C399" s="1" t="s">
        <v>982</v>
      </c>
      <c r="D399" s="1" t="s">
        <v>6</v>
      </c>
      <c r="E399" s="1" t="s">
        <v>14</v>
      </c>
      <c r="F399" s="26">
        <v>198</v>
      </c>
      <c r="G399" s="26">
        <v>0</v>
      </c>
      <c r="H399" s="26">
        <v>200</v>
      </c>
      <c r="I399" s="26">
        <v>2620299.9999999995</v>
      </c>
      <c r="J399" s="26">
        <v>13000000</v>
      </c>
    </row>
    <row r="400" spans="1:10">
      <c r="A400" s="24">
        <v>398</v>
      </c>
      <c r="B400" s="24">
        <f t="shared" si="6"/>
        <v>226</v>
      </c>
      <c r="C400" s="1" t="s">
        <v>982</v>
      </c>
      <c r="D400" s="1" t="s">
        <v>7</v>
      </c>
      <c r="E400" s="1" t="s">
        <v>14</v>
      </c>
      <c r="F400" s="26">
        <v>306</v>
      </c>
      <c r="G400" s="26">
        <v>0</v>
      </c>
      <c r="H400" s="26">
        <v>300</v>
      </c>
      <c r="I400" s="26">
        <v>3930449.9999999995</v>
      </c>
      <c r="J400" s="26">
        <v>19500000</v>
      </c>
    </row>
    <row r="401" spans="1:10">
      <c r="A401" s="24">
        <v>399</v>
      </c>
      <c r="B401" s="24">
        <f t="shared" si="6"/>
        <v>226</v>
      </c>
      <c r="C401" s="1" t="s">
        <v>982</v>
      </c>
      <c r="D401" s="1" t="s">
        <v>8</v>
      </c>
      <c r="E401" s="1" t="s">
        <v>14</v>
      </c>
      <c r="F401" s="26">
        <v>328</v>
      </c>
      <c r="G401" s="26">
        <v>0</v>
      </c>
      <c r="H401" s="26">
        <v>300</v>
      </c>
      <c r="I401" s="26">
        <v>3930449.9999999995</v>
      </c>
      <c r="J401" s="26">
        <v>19500000</v>
      </c>
    </row>
    <row r="402" spans="1:10">
      <c r="A402" s="24">
        <v>400</v>
      </c>
      <c r="B402" s="24">
        <f t="shared" si="6"/>
        <v>226</v>
      </c>
      <c r="C402" s="1" t="s">
        <v>982</v>
      </c>
      <c r="D402" s="1" t="s">
        <v>9</v>
      </c>
      <c r="E402" s="1" t="s">
        <v>14</v>
      </c>
      <c r="F402" s="26">
        <v>218</v>
      </c>
      <c r="G402" s="26">
        <v>0</v>
      </c>
      <c r="H402" s="26">
        <v>200</v>
      </c>
      <c r="I402" s="26">
        <v>2620299.9999999995</v>
      </c>
      <c r="J402" s="26">
        <v>13000000</v>
      </c>
    </row>
    <row r="403" spans="1:10">
      <c r="A403" s="24">
        <v>401</v>
      </c>
      <c r="B403" s="24">
        <f t="shared" si="6"/>
        <v>226</v>
      </c>
      <c r="C403" s="1" t="s">
        <v>982</v>
      </c>
      <c r="D403" s="1" t="s">
        <v>10</v>
      </c>
      <c r="E403" s="1" t="s">
        <v>14</v>
      </c>
      <c r="F403" s="26">
        <v>204</v>
      </c>
      <c r="G403" s="26">
        <v>0</v>
      </c>
      <c r="H403" s="26">
        <v>200</v>
      </c>
      <c r="I403" s="26">
        <v>2620299.9999999995</v>
      </c>
      <c r="J403" s="26">
        <v>13000000</v>
      </c>
    </row>
    <row r="404" spans="1:10">
      <c r="A404" s="24">
        <v>402</v>
      </c>
      <c r="B404" s="24">
        <f t="shared" si="6"/>
        <v>227</v>
      </c>
      <c r="C404" s="1" t="s">
        <v>983</v>
      </c>
      <c r="D404" s="1" t="s">
        <v>6</v>
      </c>
      <c r="E404" s="1" t="s">
        <v>14</v>
      </c>
      <c r="F404" s="26">
        <v>145</v>
      </c>
      <c r="G404" s="26">
        <v>0</v>
      </c>
      <c r="H404" s="26">
        <v>200</v>
      </c>
      <c r="I404" s="26">
        <v>2620299.9999999995</v>
      </c>
      <c r="J404" s="26">
        <v>13000000</v>
      </c>
    </row>
    <row r="405" spans="1:10">
      <c r="A405" s="24">
        <v>403</v>
      </c>
      <c r="B405" s="24">
        <f t="shared" si="6"/>
        <v>227</v>
      </c>
      <c r="C405" s="1" t="s">
        <v>983</v>
      </c>
      <c r="D405" s="1" t="s">
        <v>7</v>
      </c>
      <c r="E405" s="1" t="s">
        <v>14</v>
      </c>
      <c r="F405" s="26">
        <v>241</v>
      </c>
      <c r="G405" s="26">
        <v>0</v>
      </c>
      <c r="H405" s="26">
        <v>300</v>
      </c>
      <c r="I405" s="26">
        <v>3930449.9999999995</v>
      </c>
      <c r="J405" s="26">
        <v>19500000</v>
      </c>
    </row>
    <row r="406" spans="1:10">
      <c r="A406" s="24">
        <v>404</v>
      </c>
      <c r="B406" s="24">
        <f t="shared" si="6"/>
        <v>227</v>
      </c>
      <c r="C406" s="1" t="s">
        <v>983</v>
      </c>
      <c r="D406" s="1" t="s">
        <v>8</v>
      </c>
      <c r="E406" s="1" t="s">
        <v>14</v>
      </c>
      <c r="F406" s="26">
        <v>233</v>
      </c>
      <c r="G406" s="26">
        <v>0</v>
      </c>
      <c r="H406" s="26">
        <v>300</v>
      </c>
      <c r="I406" s="26">
        <v>3930449.9999999995</v>
      </c>
      <c r="J406" s="26">
        <v>19500000</v>
      </c>
    </row>
    <row r="407" spans="1:10">
      <c r="A407" s="24">
        <v>405</v>
      </c>
      <c r="B407" s="24">
        <f t="shared" si="6"/>
        <v>227</v>
      </c>
      <c r="C407" s="1" t="s">
        <v>983</v>
      </c>
      <c r="D407" s="1" t="s">
        <v>9</v>
      </c>
      <c r="E407" s="1" t="s">
        <v>14</v>
      </c>
      <c r="F407" s="26">
        <v>170</v>
      </c>
      <c r="G407" s="26">
        <v>0</v>
      </c>
      <c r="H407" s="26">
        <v>200</v>
      </c>
      <c r="I407" s="26">
        <v>2620299.9999999995</v>
      </c>
      <c r="J407" s="26">
        <v>13000000</v>
      </c>
    </row>
    <row r="408" spans="1:10">
      <c r="A408" s="24">
        <v>406</v>
      </c>
      <c r="B408" s="24">
        <f t="shared" si="6"/>
        <v>227</v>
      </c>
      <c r="C408" s="1" t="s">
        <v>983</v>
      </c>
      <c r="D408" s="1" t="s">
        <v>10</v>
      </c>
      <c r="E408" s="1" t="s">
        <v>14</v>
      </c>
      <c r="F408" s="26">
        <v>163</v>
      </c>
      <c r="G408" s="26">
        <v>0</v>
      </c>
      <c r="H408" s="26">
        <v>200</v>
      </c>
      <c r="I408" s="26">
        <v>2620299.9999999995</v>
      </c>
      <c r="J408" s="26">
        <v>13000000</v>
      </c>
    </row>
    <row r="409" spans="1:10">
      <c r="A409" s="24">
        <v>407</v>
      </c>
      <c r="B409" s="24">
        <f t="shared" si="6"/>
        <v>228</v>
      </c>
      <c r="C409" s="1" t="s">
        <v>1415</v>
      </c>
      <c r="D409" s="1" t="s">
        <v>6</v>
      </c>
      <c r="E409" s="1" t="s">
        <v>14</v>
      </c>
      <c r="F409" s="26">
        <v>212</v>
      </c>
      <c r="G409" s="26">
        <v>0</v>
      </c>
      <c r="H409" s="26">
        <v>250</v>
      </c>
      <c r="I409" s="26">
        <v>3438518.7499999995</v>
      </c>
      <c r="J409" s="26">
        <v>16250000</v>
      </c>
    </row>
    <row r="410" spans="1:10">
      <c r="A410" s="24">
        <v>408</v>
      </c>
      <c r="B410" s="24">
        <f t="shared" si="6"/>
        <v>228</v>
      </c>
      <c r="C410" s="1" t="s">
        <v>1415</v>
      </c>
      <c r="D410" s="1" t="s">
        <v>7</v>
      </c>
      <c r="E410" s="1" t="s">
        <v>14</v>
      </c>
      <c r="F410" s="26">
        <v>227</v>
      </c>
      <c r="G410" s="26">
        <v>0</v>
      </c>
      <c r="H410" s="26">
        <v>250</v>
      </c>
      <c r="I410" s="26">
        <v>3438518.7499999995</v>
      </c>
      <c r="J410" s="26">
        <v>16250000</v>
      </c>
    </row>
    <row r="411" spans="1:10">
      <c r="A411" s="24">
        <v>409</v>
      </c>
      <c r="B411" s="24">
        <f t="shared" si="6"/>
        <v>228</v>
      </c>
      <c r="C411" s="1" t="s">
        <v>1415</v>
      </c>
      <c r="D411" s="1" t="s">
        <v>8</v>
      </c>
      <c r="E411" s="1" t="s">
        <v>14</v>
      </c>
      <c r="F411" s="26">
        <v>206</v>
      </c>
      <c r="G411" s="26">
        <v>0</v>
      </c>
      <c r="H411" s="26">
        <v>200</v>
      </c>
      <c r="I411" s="26">
        <v>2750815</v>
      </c>
      <c r="J411" s="26">
        <v>13000000</v>
      </c>
    </row>
    <row r="412" spans="1:10">
      <c r="A412" s="24">
        <v>410</v>
      </c>
      <c r="B412" s="24">
        <f t="shared" si="6"/>
        <v>228</v>
      </c>
      <c r="C412" s="1" t="s">
        <v>1415</v>
      </c>
      <c r="D412" s="1" t="s">
        <v>9</v>
      </c>
      <c r="E412" s="1" t="s">
        <v>14</v>
      </c>
      <c r="F412" s="26">
        <v>162</v>
      </c>
      <c r="G412" s="26">
        <v>0</v>
      </c>
      <c r="H412" s="26">
        <v>150</v>
      </c>
      <c r="I412" s="26">
        <v>2063111.2499999998</v>
      </c>
      <c r="J412" s="26">
        <v>9750000</v>
      </c>
    </row>
    <row r="413" spans="1:10">
      <c r="A413" s="24">
        <v>411</v>
      </c>
      <c r="B413" s="24">
        <f t="shared" si="6"/>
        <v>228</v>
      </c>
      <c r="C413" s="1" t="s">
        <v>1415</v>
      </c>
      <c r="D413" s="1" t="s">
        <v>10</v>
      </c>
      <c r="E413" s="1" t="s">
        <v>14</v>
      </c>
      <c r="F413" s="26">
        <v>156</v>
      </c>
      <c r="G413" s="26">
        <v>0</v>
      </c>
      <c r="H413" s="26">
        <v>150</v>
      </c>
      <c r="I413" s="26">
        <v>2063111.2499999998</v>
      </c>
      <c r="J413" s="26">
        <v>9750000</v>
      </c>
    </row>
    <row r="414" spans="1:10">
      <c r="A414" s="24">
        <v>412</v>
      </c>
      <c r="B414" s="24">
        <f t="shared" si="6"/>
        <v>229</v>
      </c>
      <c r="C414" s="1" t="s">
        <v>1416</v>
      </c>
      <c r="D414" s="1" t="s">
        <v>6</v>
      </c>
      <c r="E414" s="1" t="s">
        <v>14</v>
      </c>
      <c r="F414" s="26">
        <v>236</v>
      </c>
      <c r="G414" s="26">
        <v>0</v>
      </c>
      <c r="H414" s="26">
        <v>250</v>
      </c>
      <c r="I414" s="26">
        <v>3438518.7499999995</v>
      </c>
      <c r="J414" s="26">
        <v>16250000</v>
      </c>
    </row>
    <row r="415" spans="1:10">
      <c r="A415" s="24">
        <v>413</v>
      </c>
      <c r="B415" s="24">
        <f t="shared" si="6"/>
        <v>229</v>
      </c>
      <c r="C415" s="1" t="s">
        <v>1416</v>
      </c>
      <c r="D415" s="1" t="s">
        <v>7</v>
      </c>
      <c r="E415" s="1" t="s">
        <v>14</v>
      </c>
      <c r="F415" s="26">
        <v>267</v>
      </c>
      <c r="G415" s="26">
        <v>0</v>
      </c>
      <c r="H415" s="26">
        <v>250</v>
      </c>
      <c r="I415" s="26">
        <v>3438518.7499999995</v>
      </c>
      <c r="J415" s="26">
        <v>16250000</v>
      </c>
    </row>
    <row r="416" spans="1:10">
      <c r="A416" s="24">
        <v>414</v>
      </c>
      <c r="B416" s="24">
        <f t="shared" si="6"/>
        <v>229</v>
      </c>
      <c r="C416" s="1" t="s">
        <v>1416</v>
      </c>
      <c r="D416" s="1" t="s">
        <v>8</v>
      </c>
      <c r="E416" s="1" t="s">
        <v>14</v>
      </c>
      <c r="F416" s="26">
        <v>211</v>
      </c>
      <c r="G416" s="26">
        <v>0</v>
      </c>
      <c r="H416" s="26">
        <v>200</v>
      </c>
      <c r="I416" s="26">
        <v>2750815</v>
      </c>
      <c r="J416" s="26">
        <v>13000000</v>
      </c>
    </row>
    <row r="417" spans="1:10">
      <c r="A417" s="24">
        <v>415</v>
      </c>
      <c r="B417" s="24">
        <f t="shared" si="6"/>
        <v>229</v>
      </c>
      <c r="C417" s="1" t="s">
        <v>1416</v>
      </c>
      <c r="D417" s="1" t="s">
        <v>9</v>
      </c>
      <c r="E417" s="1" t="s">
        <v>14</v>
      </c>
      <c r="F417" s="26">
        <v>138</v>
      </c>
      <c r="G417" s="26">
        <v>0</v>
      </c>
      <c r="H417" s="26">
        <v>150</v>
      </c>
      <c r="I417" s="26">
        <v>2063111.2499999998</v>
      </c>
      <c r="J417" s="26">
        <v>9750000</v>
      </c>
    </row>
    <row r="418" spans="1:10">
      <c r="A418" s="24">
        <v>416</v>
      </c>
      <c r="B418" s="24">
        <f t="shared" si="6"/>
        <v>229</v>
      </c>
      <c r="C418" s="1" t="s">
        <v>1416</v>
      </c>
      <c r="D418" s="1" t="s">
        <v>10</v>
      </c>
      <c r="E418" s="1" t="s">
        <v>14</v>
      </c>
      <c r="F418" s="26">
        <v>159</v>
      </c>
      <c r="G418" s="26">
        <v>0</v>
      </c>
      <c r="H418" s="26">
        <v>150</v>
      </c>
      <c r="I418" s="26">
        <v>2063111.2499999998</v>
      </c>
      <c r="J418" s="26">
        <v>9750000</v>
      </c>
    </row>
    <row r="419" spans="1:10">
      <c r="A419" s="24">
        <v>417</v>
      </c>
      <c r="B419" s="24">
        <f t="shared" si="6"/>
        <v>230</v>
      </c>
      <c r="C419" s="1" t="s">
        <v>775</v>
      </c>
      <c r="F419" s="26">
        <v>6398</v>
      </c>
      <c r="G419" s="26">
        <v>0</v>
      </c>
      <c r="H419" s="26">
        <v>6900</v>
      </c>
      <c r="I419" s="26">
        <v>97578675</v>
      </c>
      <c r="J419" s="26">
        <v>473500000</v>
      </c>
    </row>
    <row r="420" spans="1:10">
      <c r="A420" s="24">
        <v>418</v>
      </c>
      <c r="B420" s="24">
        <f t="shared" si="6"/>
        <v>231</v>
      </c>
      <c r="C420" s="1" t="s">
        <v>984</v>
      </c>
      <c r="D420" s="1" t="s">
        <v>7</v>
      </c>
      <c r="E420" s="1" t="s">
        <v>14</v>
      </c>
      <c r="F420" s="26">
        <v>207</v>
      </c>
      <c r="G420" s="26">
        <v>0</v>
      </c>
      <c r="H420" s="26">
        <v>200</v>
      </c>
      <c r="I420" s="26">
        <v>3931000</v>
      </c>
      <c r="J420" s="26">
        <v>17800000</v>
      </c>
    </row>
    <row r="421" spans="1:10">
      <c r="A421" s="24">
        <v>419</v>
      </c>
      <c r="B421" s="24">
        <f t="shared" si="6"/>
        <v>231</v>
      </c>
      <c r="C421" s="1" t="s">
        <v>984</v>
      </c>
      <c r="D421" s="1" t="s">
        <v>8</v>
      </c>
      <c r="E421" s="1" t="s">
        <v>14</v>
      </c>
      <c r="F421" s="26">
        <v>320</v>
      </c>
      <c r="G421" s="26">
        <v>0</v>
      </c>
      <c r="H421" s="26">
        <v>300</v>
      </c>
      <c r="I421" s="26">
        <v>5896500</v>
      </c>
      <c r="J421" s="26">
        <v>26700000</v>
      </c>
    </row>
    <row r="422" spans="1:10">
      <c r="A422" s="24">
        <v>420</v>
      </c>
      <c r="B422" s="24">
        <f t="shared" si="6"/>
        <v>231</v>
      </c>
      <c r="C422" s="1" t="s">
        <v>984</v>
      </c>
      <c r="D422" s="1" t="s">
        <v>9</v>
      </c>
      <c r="E422" s="1" t="s">
        <v>14</v>
      </c>
      <c r="F422" s="26">
        <v>312</v>
      </c>
      <c r="G422" s="26">
        <v>0</v>
      </c>
      <c r="H422" s="26">
        <v>300</v>
      </c>
      <c r="I422" s="26">
        <v>5896500</v>
      </c>
      <c r="J422" s="26">
        <v>26700000</v>
      </c>
    </row>
    <row r="423" spans="1:10">
      <c r="A423" s="24">
        <v>421</v>
      </c>
      <c r="B423" s="24">
        <f t="shared" si="6"/>
        <v>231</v>
      </c>
      <c r="C423" s="1" t="s">
        <v>984</v>
      </c>
      <c r="D423" s="1" t="s">
        <v>10</v>
      </c>
      <c r="E423" s="1" t="s">
        <v>14</v>
      </c>
      <c r="F423" s="26">
        <v>209</v>
      </c>
      <c r="G423" s="26">
        <v>0</v>
      </c>
      <c r="H423" s="26">
        <v>200</v>
      </c>
      <c r="I423" s="26">
        <v>3931000</v>
      </c>
      <c r="J423" s="26">
        <v>17800000</v>
      </c>
    </row>
    <row r="424" spans="1:10">
      <c r="A424" s="24">
        <v>422</v>
      </c>
      <c r="B424" s="24">
        <f t="shared" si="6"/>
        <v>232</v>
      </c>
      <c r="C424" s="1" t="s">
        <v>775</v>
      </c>
      <c r="F424" s="26">
        <v>1048</v>
      </c>
      <c r="G424" s="26">
        <v>0</v>
      </c>
      <c r="H424" s="26">
        <v>1000</v>
      </c>
      <c r="I424" s="26">
        <v>19655000</v>
      </c>
      <c r="J424" s="26">
        <v>89000000</v>
      </c>
    </row>
    <row r="425" spans="1:10">
      <c r="A425" s="24">
        <v>423</v>
      </c>
      <c r="B425" s="24">
        <f t="shared" si="6"/>
        <v>233</v>
      </c>
      <c r="C425" s="1" t="s">
        <v>985</v>
      </c>
      <c r="D425" s="1" t="s">
        <v>4</v>
      </c>
      <c r="E425" s="1" t="s">
        <v>14</v>
      </c>
      <c r="F425" s="26">
        <v>999</v>
      </c>
      <c r="G425" s="26">
        <v>0</v>
      </c>
      <c r="H425" s="26">
        <v>1000</v>
      </c>
      <c r="I425" s="26">
        <v>13052520</v>
      </c>
      <c r="J425" s="26">
        <v>69000000</v>
      </c>
    </row>
    <row r="426" spans="1:10">
      <c r="A426" s="24">
        <v>424</v>
      </c>
      <c r="B426" s="24">
        <f t="shared" si="6"/>
        <v>234</v>
      </c>
      <c r="C426" s="1" t="s">
        <v>986</v>
      </c>
      <c r="D426" s="1" t="s">
        <v>4</v>
      </c>
      <c r="E426" s="1" t="s">
        <v>14</v>
      </c>
      <c r="F426" s="26">
        <v>1000</v>
      </c>
      <c r="G426" s="26">
        <v>0</v>
      </c>
      <c r="H426" s="26">
        <v>1000</v>
      </c>
      <c r="I426" s="26">
        <v>13052520</v>
      </c>
      <c r="J426" s="26">
        <v>69000000</v>
      </c>
    </row>
    <row r="427" spans="1:10">
      <c r="A427" s="24">
        <v>425</v>
      </c>
      <c r="B427" s="24">
        <f t="shared" si="6"/>
        <v>235</v>
      </c>
      <c r="C427" s="1" t="s">
        <v>987</v>
      </c>
      <c r="D427" s="1" t="s">
        <v>4</v>
      </c>
      <c r="E427" s="1" t="s">
        <v>14</v>
      </c>
      <c r="F427" s="26">
        <v>785</v>
      </c>
      <c r="G427" s="26">
        <v>0</v>
      </c>
      <c r="H427" s="26">
        <v>800</v>
      </c>
      <c r="I427" s="26">
        <v>10292344</v>
      </c>
      <c r="J427" s="26">
        <v>55200000</v>
      </c>
    </row>
    <row r="428" spans="1:10">
      <c r="A428" s="24">
        <v>426</v>
      </c>
      <c r="B428" s="24">
        <f t="shared" si="6"/>
        <v>236</v>
      </c>
      <c r="C428" s="1" t="s">
        <v>988</v>
      </c>
      <c r="D428" s="1" t="s">
        <v>4</v>
      </c>
      <c r="E428" s="1" t="s">
        <v>14</v>
      </c>
      <c r="F428" s="26">
        <v>800</v>
      </c>
      <c r="G428" s="26">
        <v>0</v>
      </c>
      <c r="H428" s="26">
        <v>800</v>
      </c>
      <c r="I428" s="26">
        <v>10691512</v>
      </c>
      <c r="J428" s="26">
        <v>55200000</v>
      </c>
    </row>
    <row r="429" spans="1:10">
      <c r="A429" s="24">
        <v>427</v>
      </c>
      <c r="B429" s="24">
        <f t="shared" si="6"/>
        <v>237</v>
      </c>
      <c r="C429" s="1" t="s">
        <v>989</v>
      </c>
      <c r="D429" s="1" t="s">
        <v>4</v>
      </c>
      <c r="E429" s="1" t="s">
        <v>14</v>
      </c>
      <c r="F429" s="26">
        <v>800</v>
      </c>
      <c r="G429" s="26">
        <v>0</v>
      </c>
      <c r="H429" s="26">
        <v>800</v>
      </c>
      <c r="I429" s="26">
        <v>10835512</v>
      </c>
      <c r="J429" s="26">
        <v>55200000</v>
      </c>
    </row>
    <row r="430" spans="1:10">
      <c r="A430" s="24">
        <v>428</v>
      </c>
      <c r="B430" s="24">
        <f t="shared" si="6"/>
        <v>238</v>
      </c>
      <c r="C430" s="1" t="s">
        <v>990</v>
      </c>
      <c r="D430" s="1" t="s">
        <v>4</v>
      </c>
      <c r="E430" s="1" t="s">
        <v>14</v>
      </c>
      <c r="F430" s="26">
        <v>992</v>
      </c>
      <c r="G430" s="26">
        <v>0</v>
      </c>
      <c r="H430" s="26">
        <v>1000</v>
      </c>
      <c r="I430" s="26">
        <v>11623270.000000002</v>
      </c>
      <c r="J430" s="26">
        <v>65000000</v>
      </c>
    </row>
    <row r="431" spans="1:10">
      <c r="A431" s="24">
        <v>429</v>
      </c>
      <c r="B431" s="24">
        <f t="shared" si="6"/>
        <v>239</v>
      </c>
      <c r="C431" s="1" t="s">
        <v>775</v>
      </c>
      <c r="F431" s="26">
        <v>5376</v>
      </c>
      <c r="G431" s="26">
        <v>0</v>
      </c>
      <c r="H431" s="26">
        <v>5400</v>
      </c>
      <c r="I431" s="26">
        <v>69547678</v>
      </c>
      <c r="J431" s="26">
        <v>368600000</v>
      </c>
    </row>
    <row r="432" spans="1:10">
      <c r="A432" s="24">
        <v>430</v>
      </c>
      <c r="B432" s="24">
        <f t="shared" si="6"/>
        <v>240</v>
      </c>
      <c r="C432" s="1" t="s">
        <v>991</v>
      </c>
      <c r="D432" s="1" t="s">
        <v>4</v>
      </c>
      <c r="E432" s="1" t="s">
        <v>14</v>
      </c>
      <c r="F432" s="26">
        <v>800</v>
      </c>
      <c r="G432" s="26">
        <v>0</v>
      </c>
      <c r="H432" s="26">
        <v>800</v>
      </c>
      <c r="I432" s="26">
        <v>10721906.000000002</v>
      </c>
      <c r="J432" s="26">
        <v>63200000</v>
      </c>
    </row>
    <row r="433" spans="1:10">
      <c r="A433" s="24">
        <v>431</v>
      </c>
      <c r="B433" s="24">
        <f t="shared" si="6"/>
        <v>241</v>
      </c>
      <c r="C433" s="1" t="s">
        <v>992</v>
      </c>
      <c r="D433" s="1" t="s">
        <v>4</v>
      </c>
      <c r="E433" s="1" t="s">
        <v>14</v>
      </c>
      <c r="F433" s="26">
        <v>800</v>
      </c>
      <c r="G433" s="26">
        <v>0</v>
      </c>
      <c r="H433" s="26">
        <v>800</v>
      </c>
      <c r="I433" s="26">
        <v>10362656.000000002</v>
      </c>
      <c r="J433" s="26">
        <v>63200000</v>
      </c>
    </row>
    <row r="434" spans="1:10">
      <c r="A434" s="24">
        <v>432</v>
      </c>
      <c r="B434" s="24">
        <f t="shared" si="6"/>
        <v>242</v>
      </c>
      <c r="C434" s="1" t="s">
        <v>1617</v>
      </c>
      <c r="D434" s="1" t="s">
        <v>4</v>
      </c>
      <c r="E434" s="1" t="s">
        <v>14</v>
      </c>
      <c r="F434" s="26">
        <v>800</v>
      </c>
      <c r="G434" s="26">
        <v>0</v>
      </c>
      <c r="H434" s="26">
        <v>800</v>
      </c>
      <c r="I434" s="26">
        <v>10450672</v>
      </c>
      <c r="J434" s="26">
        <v>63200000</v>
      </c>
    </row>
    <row r="435" spans="1:10">
      <c r="A435" s="24">
        <v>433</v>
      </c>
      <c r="B435" s="24">
        <f t="shared" si="6"/>
        <v>243</v>
      </c>
      <c r="C435" s="1" t="s">
        <v>993</v>
      </c>
      <c r="D435" s="1" t="s">
        <v>4</v>
      </c>
      <c r="E435" s="1" t="s">
        <v>14</v>
      </c>
      <c r="F435" s="26">
        <v>800</v>
      </c>
      <c r="G435" s="26">
        <v>0</v>
      </c>
      <c r="H435" s="26">
        <v>800</v>
      </c>
      <c r="I435" s="26">
        <v>9812032</v>
      </c>
      <c r="J435" s="26">
        <v>63200000</v>
      </c>
    </row>
    <row r="436" spans="1:10">
      <c r="A436" s="24">
        <v>434</v>
      </c>
      <c r="B436" s="24">
        <f t="shared" si="6"/>
        <v>244</v>
      </c>
      <c r="C436" s="1" t="s">
        <v>994</v>
      </c>
      <c r="D436" s="1" t="s">
        <v>4</v>
      </c>
      <c r="E436" s="1" t="s">
        <v>14</v>
      </c>
      <c r="F436" s="26">
        <v>800</v>
      </c>
      <c r="G436" s="26">
        <v>0</v>
      </c>
      <c r="H436" s="26">
        <v>800</v>
      </c>
      <c r="I436" s="26">
        <v>10212656.000000002</v>
      </c>
      <c r="J436" s="26">
        <v>63200000</v>
      </c>
    </row>
    <row r="437" spans="1:10">
      <c r="A437" s="24">
        <v>435</v>
      </c>
      <c r="B437" s="24">
        <f t="shared" si="6"/>
        <v>245</v>
      </c>
      <c r="C437" s="1" t="s">
        <v>995</v>
      </c>
      <c r="D437" s="1" t="s">
        <v>4</v>
      </c>
      <c r="E437" s="1" t="s">
        <v>14</v>
      </c>
      <c r="F437" s="26">
        <v>596</v>
      </c>
      <c r="G437" s="26">
        <v>0</v>
      </c>
      <c r="H437" s="26">
        <v>600</v>
      </c>
      <c r="I437" s="26">
        <v>7614492.0000000009</v>
      </c>
      <c r="J437" s="26">
        <v>45000000</v>
      </c>
    </row>
    <row r="438" spans="1:10">
      <c r="A438" s="24">
        <v>436</v>
      </c>
      <c r="B438" s="24">
        <f t="shared" si="6"/>
        <v>246</v>
      </c>
      <c r="C438" s="1" t="s">
        <v>996</v>
      </c>
      <c r="D438" s="1" t="s">
        <v>4</v>
      </c>
      <c r="E438" s="1" t="s">
        <v>14</v>
      </c>
      <c r="F438" s="26">
        <v>800</v>
      </c>
      <c r="G438" s="26">
        <v>0</v>
      </c>
      <c r="H438" s="26">
        <v>800</v>
      </c>
      <c r="I438" s="26">
        <v>10275572</v>
      </c>
      <c r="J438" s="26">
        <v>63200000</v>
      </c>
    </row>
    <row r="439" spans="1:10">
      <c r="A439" s="24">
        <v>437</v>
      </c>
      <c r="B439" s="24">
        <f t="shared" si="6"/>
        <v>247</v>
      </c>
      <c r="C439" s="1" t="s">
        <v>997</v>
      </c>
      <c r="D439" s="1" t="s">
        <v>4</v>
      </c>
      <c r="E439" s="1" t="s">
        <v>14</v>
      </c>
      <c r="F439" s="26">
        <v>596</v>
      </c>
      <c r="G439" s="26">
        <v>0</v>
      </c>
      <c r="H439" s="26">
        <v>600</v>
      </c>
      <c r="I439" s="26">
        <v>7644804</v>
      </c>
      <c r="J439" s="26">
        <v>45000000</v>
      </c>
    </row>
    <row r="440" spans="1:10">
      <c r="A440" s="24">
        <v>438</v>
      </c>
      <c r="B440" s="24">
        <f t="shared" si="6"/>
        <v>248</v>
      </c>
      <c r="C440" s="1" t="s">
        <v>775</v>
      </c>
      <c r="F440" s="26">
        <v>5992</v>
      </c>
      <c r="G440" s="26">
        <v>0</v>
      </c>
      <c r="H440" s="26">
        <v>6000</v>
      </c>
      <c r="I440" s="26">
        <v>77094790</v>
      </c>
      <c r="J440" s="26">
        <v>469200000</v>
      </c>
    </row>
    <row r="441" spans="1:10">
      <c r="A441" s="24">
        <v>439</v>
      </c>
      <c r="B441" s="24">
        <f t="shared" si="6"/>
        <v>249</v>
      </c>
      <c r="C441" s="1" t="s">
        <v>998</v>
      </c>
      <c r="D441" s="1" t="s">
        <v>4</v>
      </c>
      <c r="E441" s="1" t="s">
        <v>14</v>
      </c>
      <c r="F441" s="26">
        <v>800</v>
      </c>
      <c r="G441" s="26">
        <v>0</v>
      </c>
      <c r="H441" s="26">
        <v>800</v>
      </c>
      <c r="I441" s="26">
        <v>4756120</v>
      </c>
      <c r="J441" s="26">
        <v>39200000</v>
      </c>
    </row>
    <row r="442" spans="1:10">
      <c r="A442" s="24">
        <v>440</v>
      </c>
      <c r="B442" s="24">
        <f t="shared" si="6"/>
        <v>250</v>
      </c>
      <c r="C442" s="1" t="s">
        <v>999</v>
      </c>
      <c r="D442" s="1" t="s">
        <v>4</v>
      </c>
      <c r="E442" s="1" t="s">
        <v>14</v>
      </c>
      <c r="F442" s="26">
        <v>1200</v>
      </c>
      <c r="G442" s="26">
        <v>0</v>
      </c>
      <c r="H442" s="26">
        <v>1200</v>
      </c>
      <c r="I442" s="26">
        <v>7164768</v>
      </c>
      <c r="J442" s="26">
        <v>58800000</v>
      </c>
    </row>
    <row r="443" spans="1:10">
      <c r="A443" s="24">
        <v>441</v>
      </c>
      <c r="B443" s="24">
        <f t="shared" si="6"/>
        <v>251</v>
      </c>
      <c r="C443" s="1" t="s">
        <v>1000</v>
      </c>
      <c r="D443" s="1" t="s">
        <v>4</v>
      </c>
      <c r="E443" s="1" t="s">
        <v>14</v>
      </c>
      <c r="F443" s="26">
        <v>800</v>
      </c>
      <c r="G443" s="26">
        <v>0</v>
      </c>
      <c r="H443" s="26">
        <v>800</v>
      </c>
      <c r="I443" s="26">
        <v>5304976.0000000009</v>
      </c>
      <c r="J443" s="26">
        <v>39200000</v>
      </c>
    </row>
    <row r="444" spans="1:10">
      <c r="A444" s="24">
        <v>442</v>
      </c>
      <c r="B444" s="24">
        <f t="shared" si="6"/>
        <v>252</v>
      </c>
      <c r="C444" s="1" t="s">
        <v>1001</v>
      </c>
      <c r="D444" s="1" t="s">
        <v>4</v>
      </c>
      <c r="E444" s="1" t="s">
        <v>14</v>
      </c>
      <c r="F444" s="26">
        <v>1199</v>
      </c>
      <c r="G444" s="26">
        <v>0</v>
      </c>
      <c r="H444" s="26">
        <v>1200</v>
      </c>
      <c r="I444" s="26">
        <v>7999020.0000000019</v>
      </c>
      <c r="J444" s="26">
        <v>58800000</v>
      </c>
    </row>
    <row r="445" spans="1:10">
      <c r="A445" s="24">
        <v>443</v>
      </c>
      <c r="B445" s="24">
        <f t="shared" si="6"/>
        <v>253</v>
      </c>
      <c r="C445" s="1" t="s">
        <v>775</v>
      </c>
      <c r="F445" s="26">
        <v>3999</v>
      </c>
      <c r="G445" s="26">
        <v>0</v>
      </c>
      <c r="H445" s="26">
        <v>4000</v>
      </c>
      <c r="I445" s="26">
        <v>25224884</v>
      </c>
      <c r="J445" s="26">
        <v>196000000</v>
      </c>
    </row>
    <row r="446" spans="1:10">
      <c r="A446" s="24">
        <v>444</v>
      </c>
      <c r="B446" s="24">
        <f t="shared" si="6"/>
        <v>254</v>
      </c>
      <c r="C446" s="1" t="s">
        <v>1002</v>
      </c>
      <c r="D446" s="1" t="s">
        <v>4</v>
      </c>
      <c r="E446" s="1" t="s">
        <v>14</v>
      </c>
      <c r="F446" s="26">
        <v>1200</v>
      </c>
      <c r="G446" s="26">
        <v>0</v>
      </c>
      <c r="H446" s="26">
        <v>1200</v>
      </c>
      <c r="I446" s="26">
        <v>8125824.0000000009</v>
      </c>
      <c r="J446" s="26">
        <v>66000000</v>
      </c>
    </row>
    <row r="447" spans="1:10">
      <c r="A447" s="24">
        <v>445</v>
      </c>
      <c r="B447" s="24">
        <f t="shared" si="6"/>
        <v>255</v>
      </c>
      <c r="C447" s="1" t="s">
        <v>1003</v>
      </c>
      <c r="D447" s="1" t="s">
        <v>4</v>
      </c>
      <c r="E447" s="1" t="s">
        <v>14</v>
      </c>
      <c r="F447" s="26">
        <v>1014</v>
      </c>
      <c r="G447" s="26">
        <v>0</v>
      </c>
      <c r="H447" s="26">
        <v>1200</v>
      </c>
      <c r="I447" s="26">
        <v>8867244.0000000019</v>
      </c>
      <c r="J447" s="26">
        <v>70800000</v>
      </c>
    </row>
    <row r="448" spans="1:10">
      <c r="A448" s="24">
        <v>446</v>
      </c>
      <c r="B448" s="24">
        <f t="shared" si="6"/>
        <v>256</v>
      </c>
      <c r="C448" s="1" t="s">
        <v>1004</v>
      </c>
      <c r="D448" s="1" t="s">
        <v>2</v>
      </c>
      <c r="E448" s="1" t="s">
        <v>14</v>
      </c>
      <c r="F448" s="26">
        <v>884</v>
      </c>
      <c r="G448" s="26">
        <v>0</v>
      </c>
      <c r="H448" s="26">
        <v>900</v>
      </c>
      <c r="I448" s="26">
        <v>6523533.0000000009</v>
      </c>
      <c r="J448" s="26">
        <v>49500000</v>
      </c>
    </row>
    <row r="449" spans="1:10">
      <c r="A449" s="24">
        <v>447</v>
      </c>
      <c r="B449" s="24">
        <f t="shared" si="6"/>
        <v>256</v>
      </c>
      <c r="C449" s="1" t="s">
        <v>1004</v>
      </c>
      <c r="D449" s="1" t="s">
        <v>3</v>
      </c>
      <c r="E449" s="1" t="s">
        <v>14</v>
      </c>
      <c r="F449" s="26">
        <v>299</v>
      </c>
      <c r="G449" s="26">
        <v>0</v>
      </c>
      <c r="H449" s="26">
        <v>300</v>
      </c>
      <c r="I449" s="26">
        <v>2174511.0000000005</v>
      </c>
      <c r="J449" s="26">
        <v>16500000</v>
      </c>
    </row>
    <row r="450" spans="1:10">
      <c r="A450" s="24">
        <v>448</v>
      </c>
      <c r="B450" s="24">
        <f t="shared" si="6"/>
        <v>257</v>
      </c>
      <c r="C450" s="1" t="s">
        <v>1005</v>
      </c>
      <c r="D450" s="1" t="s">
        <v>4</v>
      </c>
      <c r="E450" s="1" t="s">
        <v>14</v>
      </c>
      <c r="F450" s="26">
        <v>1198</v>
      </c>
      <c r="G450" s="26">
        <v>0</v>
      </c>
      <c r="H450" s="26">
        <v>1200</v>
      </c>
      <c r="I450" s="26">
        <v>8897148.0000000019</v>
      </c>
      <c r="J450" s="26">
        <v>70800000</v>
      </c>
    </row>
    <row r="451" spans="1:10">
      <c r="A451" s="24">
        <v>449</v>
      </c>
      <c r="B451" s="24">
        <f t="shared" si="6"/>
        <v>258</v>
      </c>
      <c r="C451" s="1" t="s">
        <v>1006</v>
      </c>
      <c r="D451" s="1" t="s">
        <v>2</v>
      </c>
      <c r="E451" s="1" t="s">
        <v>14</v>
      </c>
      <c r="F451" s="26">
        <v>899</v>
      </c>
      <c r="G451" s="26">
        <v>0</v>
      </c>
      <c r="H451" s="26">
        <v>900</v>
      </c>
      <c r="I451" s="26">
        <v>6672861.0000000009</v>
      </c>
      <c r="J451" s="26">
        <v>49500000</v>
      </c>
    </row>
    <row r="452" spans="1:10">
      <c r="A452" s="24">
        <v>450</v>
      </c>
      <c r="B452" s="24">
        <f t="shared" ref="B452:B515" si="7">IF(C451=C452,B451,B451+1)</f>
        <v>258</v>
      </c>
      <c r="C452" s="1" t="s">
        <v>1006</v>
      </c>
      <c r="D452" s="1" t="s">
        <v>3</v>
      </c>
      <c r="E452" s="1" t="s">
        <v>14</v>
      </c>
      <c r="F452" s="26">
        <v>299</v>
      </c>
      <c r="G452" s="26">
        <v>0</v>
      </c>
      <c r="H452" s="26">
        <v>300</v>
      </c>
      <c r="I452" s="26">
        <v>2224287.0000000005</v>
      </c>
      <c r="J452" s="26">
        <v>16500000</v>
      </c>
    </row>
    <row r="453" spans="1:10">
      <c r="A453" s="24">
        <v>451</v>
      </c>
      <c r="B453" s="24">
        <f t="shared" si="7"/>
        <v>259</v>
      </c>
      <c r="C453" s="1" t="s">
        <v>775</v>
      </c>
      <c r="F453" s="26">
        <v>5793</v>
      </c>
      <c r="G453" s="26">
        <v>0</v>
      </c>
      <c r="H453" s="26">
        <v>6000</v>
      </c>
      <c r="I453" s="26">
        <v>43485408.000000007</v>
      </c>
      <c r="J453" s="26">
        <v>339600000</v>
      </c>
    </row>
    <row r="454" spans="1:10">
      <c r="A454" s="24">
        <v>452</v>
      </c>
      <c r="B454" s="24">
        <f t="shared" si="7"/>
        <v>260</v>
      </c>
      <c r="C454" s="1" t="s">
        <v>1007</v>
      </c>
      <c r="D454" s="1" t="s">
        <v>4</v>
      </c>
      <c r="E454" s="1" t="s">
        <v>14</v>
      </c>
      <c r="F454" s="26">
        <v>1010</v>
      </c>
      <c r="G454" s="26">
        <v>0</v>
      </c>
      <c r="H454" s="26">
        <v>1000</v>
      </c>
      <c r="I454" s="26">
        <v>7678520</v>
      </c>
      <c r="J454" s="26">
        <v>53000000</v>
      </c>
    </row>
    <row r="455" spans="1:10">
      <c r="A455" s="24">
        <v>453</v>
      </c>
      <c r="B455" s="24">
        <f t="shared" si="7"/>
        <v>261</v>
      </c>
      <c r="C455" s="1" t="s">
        <v>1008</v>
      </c>
      <c r="D455" s="1" t="s">
        <v>4</v>
      </c>
      <c r="E455" s="1" t="s">
        <v>14</v>
      </c>
      <c r="F455" s="26">
        <v>994</v>
      </c>
      <c r="G455" s="26">
        <v>0</v>
      </c>
      <c r="H455" s="26">
        <v>1000</v>
      </c>
      <c r="I455" s="26">
        <v>7678520</v>
      </c>
      <c r="J455" s="26">
        <v>53000000</v>
      </c>
    </row>
    <row r="456" spans="1:10">
      <c r="A456" s="24">
        <v>454</v>
      </c>
      <c r="B456" s="24">
        <f t="shared" si="7"/>
        <v>262</v>
      </c>
      <c r="C456" s="1" t="s">
        <v>1009</v>
      </c>
      <c r="D456" s="1" t="s">
        <v>4</v>
      </c>
      <c r="E456" s="1" t="s">
        <v>14</v>
      </c>
      <c r="F456" s="26">
        <v>1006</v>
      </c>
      <c r="G456" s="26">
        <v>0</v>
      </c>
      <c r="H456" s="26">
        <v>1000</v>
      </c>
      <c r="I456" s="26">
        <v>6865520</v>
      </c>
      <c r="J456" s="26">
        <v>53000000</v>
      </c>
    </row>
    <row r="457" spans="1:10">
      <c r="A457" s="24">
        <v>455</v>
      </c>
      <c r="B457" s="24">
        <f t="shared" si="7"/>
        <v>263</v>
      </c>
      <c r="C457" s="1" t="s">
        <v>775</v>
      </c>
      <c r="F457" s="26">
        <v>3010</v>
      </c>
      <c r="G457" s="26">
        <v>0</v>
      </c>
      <c r="H457" s="26">
        <v>3000</v>
      </c>
      <c r="I457" s="26">
        <v>22222560</v>
      </c>
      <c r="J457" s="26">
        <v>159000000</v>
      </c>
    </row>
    <row r="458" spans="1:10">
      <c r="A458" s="24">
        <v>456</v>
      </c>
      <c r="B458" s="24">
        <f t="shared" si="7"/>
        <v>264</v>
      </c>
      <c r="C458" s="1" t="s">
        <v>1010</v>
      </c>
      <c r="D458" s="1" t="s">
        <v>4</v>
      </c>
      <c r="E458" s="1" t="s">
        <v>14</v>
      </c>
      <c r="F458" s="26">
        <v>1013</v>
      </c>
      <c r="G458" s="26">
        <v>0</v>
      </c>
      <c r="H458" s="26">
        <v>1000</v>
      </c>
      <c r="I458" s="26">
        <v>7379660.0000000009</v>
      </c>
      <c r="J458" s="26">
        <v>49000000</v>
      </c>
    </row>
    <row r="459" spans="1:10">
      <c r="A459" s="24">
        <v>457</v>
      </c>
      <c r="B459" s="24">
        <f t="shared" si="7"/>
        <v>265</v>
      </c>
      <c r="C459" s="1" t="s">
        <v>1011</v>
      </c>
      <c r="D459" s="1" t="s">
        <v>4</v>
      </c>
      <c r="E459" s="1" t="s">
        <v>14</v>
      </c>
      <c r="F459" s="26">
        <v>983</v>
      </c>
      <c r="G459" s="26">
        <v>0</v>
      </c>
      <c r="H459" s="26">
        <v>1000</v>
      </c>
      <c r="I459" s="26">
        <v>7379660.0000000009</v>
      </c>
      <c r="J459" s="26">
        <v>49000000</v>
      </c>
    </row>
    <row r="460" spans="1:10">
      <c r="A460" s="24">
        <v>458</v>
      </c>
      <c r="B460" s="24">
        <f t="shared" si="7"/>
        <v>266</v>
      </c>
      <c r="C460" s="1" t="s">
        <v>1012</v>
      </c>
      <c r="D460" s="1" t="s">
        <v>4</v>
      </c>
      <c r="E460" s="1" t="s">
        <v>14</v>
      </c>
      <c r="F460" s="26">
        <v>998</v>
      </c>
      <c r="G460" s="26">
        <v>0</v>
      </c>
      <c r="H460" s="26">
        <v>1000</v>
      </c>
      <c r="I460" s="26">
        <v>7691510.0000000009</v>
      </c>
      <c r="J460" s="26">
        <v>49000000</v>
      </c>
    </row>
    <row r="461" spans="1:10">
      <c r="A461" s="24">
        <v>459</v>
      </c>
      <c r="B461" s="24">
        <f t="shared" si="7"/>
        <v>267</v>
      </c>
      <c r="C461" s="1" t="s">
        <v>1013</v>
      </c>
      <c r="D461" s="1" t="s">
        <v>4</v>
      </c>
      <c r="E461" s="1" t="s">
        <v>14</v>
      </c>
      <c r="F461" s="26">
        <v>997</v>
      </c>
      <c r="G461" s="26">
        <v>0</v>
      </c>
      <c r="H461" s="26">
        <v>1000</v>
      </c>
      <c r="I461" s="26">
        <v>8375730.0000000009</v>
      </c>
      <c r="J461" s="26">
        <v>49000000</v>
      </c>
    </row>
    <row r="462" spans="1:10">
      <c r="A462" s="24">
        <v>460</v>
      </c>
      <c r="B462" s="24">
        <f t="shared" si="7"/>
        <v>268</v>
      </c>
      <c r="C462" s="1" t="s">
        <v>775</v>
      </c>
      <c r="F462" s="26">
        <v>3991</v>
      </c>
      <c r="G462" s="26">
        <v>0</v>
      </c>
      <c r="H462" s="26">
        <v>4000</v>
      </c>
      <c r="I462" s="26">
        <v>30826560.000000004</v>
      </c>
      <c r="J462" s="26">
        <v>196000000</v>
      </c>
    </row>
    <row r="463" spans="1:10">
      <c r="A463" s="24">
        <v>461</v>
      </c>
      <c r="B463" s="24">
        <f t="shared" si="7"/>
        <v>269</v>
      </c>
      <c r="C463" s="1" t="s">
        <v>1014</v>
      </c>
      <c r="D463" s="1" t="s">
        <v>4</v>
      </c>
      <c r="E463" s="1" t="s">
        <v>14</v>
      </c>
      <c r="F463" s="26">
        <v>975</v>
      </c>
      <c r="G463" s="26">
        <v>0</v>
      </c>
      <c r="H463" s="26">
        <v>1000</v>
      </c>
      <c r="I463" s="26">
        <v>9375500</v>
      </c>
      <c r="J463" s="26">
        <v>59000000</v>
      </c>
    </row>
    <row r="464" spans="1:10">
      <c r="A464" s="24">
        <v>462</v>
      </c>
      <c r="B464" s="24">
        <f t="shared" si="7"/>
        <v>270</v>
      </c>
      <c r="C464" s="1" t="s">
        <v>1015</v>
      </c>
      <c r="D464" s="1" t="s">
        <v>2</v>
      </c>
      <c r="E464" s="1" t="s">
        <v>14</v>
      </c>
      <c r="F464" s="26">
        <v>619</v>
      </c>
      <c r="G464" s="26">
        <v>0</v>
      </c>
      <c r="H464" s="26">
        <v>700</v>
      </c>
      <c r="I464" s="26">
        <v>6562850</v>
      </c>
      <c r="J464" s="26">
        <v>38500000</v>
      </c>
    </row>
    <row r="465" spans="1:10">
      <c r="A465" s="24">
        <v>463</v>
      </c>
      <c r="B465" s="24">
        <f t="shared" si="7"/>
        <v>270</v>
      </c>
      <c r="C465" s="1" t="s">
        <v>1015</v>
      </c>
      <c r="D465" s="1" t="s">
        <v>3</v>
      </c>
      <c r="E465" s="1" t="s">
        <v>14</v>
      </c>
      <c r="F465" s="26">
        <v>284</v>
      </c>
      <c r="G465" s="26">
        <v>0</v>
      </c>
      <c r="H465" s="26">
        <v>300</v>
      </c>
      <c r="I465" s="26">
        <v>2812650</v>
      </c>
      <c r="J465" s="26">
        <v>16500000</v>
      </c>
    </row>
    <row r="466" spans="1:10">
      <c r="A466" s="24">
        <v>464</v>
      </c>
      <c r="B466" s="24">
        <f t="shared" si="7"/>
        <v>271</v>
      </c>
      <c r="C466" s="1" t="s">
        <v>1016</v>
      </c>
      <c r="D466" s="1" t="s">
        <v>4</v>
      </c>
      <c r="E466" s="1" t="s">
        <v>14</v>
      </c>
      <c r="F466" s="26">
        <v>1015</v>
      </c>
      <c r="G466" s="26">
        <v>0</v>
      </c>
      <c r="H466" s="26">
        <v>1000</v>
      </c>
      <c r="I466" s="26">
        <v>9001280</v>
      </c>
      <c r="J466" s="26">
        <v>59000000</v>
      </c>
    </row>
    <row r="467" spans="1:10">
      <c r="A467" s="24">
        <v>465</v>
      </c>
      <c r="B467" s="24">
        <f t="shared" si="7"/>
        <v>272</v>
      </c>
      <c r="C467" s="1" t="s">
        <v>1017</v>
      </c>
      <c r="D467" s="1" t="s">
        <v>4</v>
      </c>
      <c r="E467" s="1" t="s">
        <v>14</v>
      </c>
      <c r="F467" s="26">
        <v>987</v>
      </c>
      <c r="G467" s="26">
        <v>0</v>
      </c>
      <c r="H467" s="26">
        <v>1000</v>
      </c>
      <c r="I467" s="26">
        <v>9562610</v>
      </c>
      <c r="J467" s="26">
        <v>59000000</v>
      </c>
    </row>
    <row r="468" spans="1:10">
      <c r="A468" s="24">
        <v>466</v>
      </c>
      <c r="B468" s="24">
        <f t="shared" si="7"/>
        <v>273</v>
      </c>
      <c r="C468" s="1" t="s">
        <v>775</v>
      </c>
      <c r="F468" s="26">
        <v>3880</v>
      </c>
      <c r="G468" s="26">
        <v>0</v>
      </c>
      <c r="H468" s="26">
        <v>4000</v>
      </c>
      <c r="I468" s="26">
        <v>37314890</v>
      </c>
      <c r="J468" s="26">
        <v>232000000</v>
      </c>
    </row>
    <row r="469" spans="1:10">
      <c r="A469" s="24">
        <v>467</v>
      </c>
      <c r="B469" s="24">
        <f t="shared" si="7"/>
        <v>274</v>
      </c>
      <c r="C469" s="1" t="s">
        <v>1018</v>
      </c>
      <c r="D469" s="1" t="s">
        <v>4</v>
      </c>
      <c r="E469" s="1" t="s">
        <v>14</v>
      </c>
      <c r="F469" s="26">
        <v>2000</v>
      </c>
      <c r="G469" s="26">
        <v>0</v>
      </c>
      <c r="H469" s="26">
        <v>2000</v>
      </c>
      <c r="I469" s="26">
        <v>12449052.000000004</v>
      </c>
      <c r="J469" s="26">
        <v>90000000</v>
      </c>
    </row>
    <row r="470" spans="1:10">
      <c r="A470" s="24">
        <v>468</v>
      </c>
      <c r="B470" s="24">
        <f t="shared" si="7"/>
        <v>275</v>
      </c>
      <c r="C470" s="1" t="s">
        <v>1019</v>
      </c>
      <c r="D470" s="1" t="s">
        <v>4</v>
      </c>
      <c r="E470" s="1" t="s">
        <v>14</v>
      </c>
      <c r="F470" s="26">
        <v>2000</v>
      </c>
      <c r="G470" s="26">
        <v>0</v>
      </c>
      <c r="H470" s="26">
        <v>2000</v>
      </c>
      <c r="I470" s="26">
        <v>9473660</v>
      </c>
      <c r="J470" s="26">
        <v>58000000</v>
      </c>
    </row>
    <row r="471" spans="1:10">
      <c r="A471" s="24">
        <v>469</v>
      </c>
      <c r="B471" s="24">
        <f t="shared" si="7"/>
        <v>276</v>
      </c>
      <c r="C471" s="1" t="s">
        <v>1020</v>
      </c>
      <c r="D471" s="1" t="s">
        <v>4</v>
      </c>
      <c r="E471" s="1" t="s">
        <v>14</v>
      </c>
      <c r="F471" s="26">
        <v>2000</v>
      </c>
      <c r="G471" s="26">
        <v>0</v>
      </c>
      <c r="H471" s="26">
        <v>2000</v>
      </c>
      <c r="I471" s="26">
        <v>9989660</v>
      </c>
      <c r="J471" s="26">
        <v>58000000</v>
      </c>
    </row>
    <row r="472" spans="1:10">
      <c r="A472" s="24">
        <v>470</v>
      </c>
      <c r="B472" s="24">
        <f t="shared" si="7"/>
        <v>277</v>
      </c>
      <c r="C472" s="1" t="s">
        <v>1021</v>
      </c>
      <c r="D472" s="1" t="s">
        <v>2</v>
      </c>
      <c r="E472" s="1" t="s">
        <v>14</v>
      </c>
      <c r="F472" s="26">
        <v>504</v>
      </c>
      <c r="G472" s="26">
        <v>0</v>
      </c>
      <c r="H472" s="26">
        <v>500</v>
      </c>
      <c r="I472" s="26">
        <v>3399765.0000000005</v>
      </c>
      <c r="J472" s="26">
        <v>19500000</v>
      </c>
    </row>
    <row r="473" spans="1:10">
      <c r="A473" s="24">
        <v>471</v>
      </c>
      <c r="B473" s="24">
        <f t="shared" si="7"/>
        <v>277</v>
      </c>
      <c r="C473" s="1" t="s">
        <v>1021</v>
      </c>
      <c r="D473" s="1" t="s">
        <v>3</v>
      </c>
      <c r="E473" s="1" t="s">
        <v>14</v>
      </c>
      <c r="F473" s="26">
        <v>291</v>
      </c>
      <c r="G473" s="26">
        <v>0</v>
      </c>
      <c r="H473" s="26">
        <v>300</v>
      </c>
      <c r="I473" s="26">
        <v>2039859.0000000002</v>
      </c>
      <c r="J473" s="26">
        <v>11700000</v>
      </c>
    </row>
    <row r="474" spans="1:10">
      <c r="A474" s="24">
        <v>472</v>
      </c>
      <c r="B474" s="24">
        <f t="shared" si="7"/>
        <v>278</v>
      </c>
      <c r="C474" s="1" t="s">
        <v>1022</v>
      </c>
      <c r="D474" s="1" t="s">
        <v>2</v>
      </c>
      <c r="E474" s="1" t="s">
        <v>14</v>
      </c>
      <c r="F474" s="26">
        <v>500</v>
      </c>
      <c r="G474" s="26">
        <v>0</v>
      </c>
      <c r="H474" s="26">
        <v>500</v>
      </c>
      <c r="I474" s="26">
        <v>3399765.0000000005</v>
      </c>
      <c r="J474" s="26">
        <v>19500000</v>
      </c>
    </row>
    <row r="475" spans="1:10">
      <c r="A475" s="24">
        <v>473</v>
      </c>
      <c r="B475" s="24">
        <f t="shared" si="7"/>
        <v>278</v>
      </c>
      <c r="C475" s="1" t="s">
        <v>1022</v>
      </c>
      <c r="D475" s="1" t="s">
        <v>3</v>
      </c>
      <c r="E475" s="1" t="s">
        <v>14</v>
      </c>
      <c r="F475" s="26">
        <v>300</v>
      </c>
      <c r="G475" s="26">
        <v>0</v>
      </c>
      <c r="H475" s="26">
        <v>300</v>
      </c>
      <c r="I475" s="26">
        <v>2039859.0000000002</v>
      </c>
      <c r="J475" s="26">
        <v>11700000</v>
      </c>
    </row>
    <row r="476" spans="1:10">
      <c r="A476" s="24">
        <v>474</v>
      </c>
      <c r="B476" s="24">
        <f t="shared" si="7"/>
        <v>279</v>
      </c>
      <c r="C476" s="1" t="s">
        <v>1023</v>
      </c>
      <c r="D476" s="1" t="s">
        <v>2</v>
      </c>
      <c r="E476" s="1" t="s">
        <v>14</v>
      </c>
      <c r="F476" s="26">
        <v>597</v>
      </c>
      <c r="G476" s="26">
        <v>0</v>
      </c>
      <c r="H476" s="26">
        <v>600</v>
      </c>
      <c r="I476" s="26">
        <v>4067538.0000000005</v>
      </c>
      <c r="J476" s="26">
        <v>23400000</v>
      </c>
    </row>
    <row r="477" spans="1:10">
      <c r="A477" s="24">
        <v>475</v>
      </c>
      <c r="B477" s="24">
        <f t="shared" si="7"/>
        <v>279</v>
      </c>
      <c r="C477" s="1" t="s">
        <v>1023</v>
      </c>
      <c r="D477" s="1" t="s">
        <v>3</v>
      </c>
      <c r="E477" s="1" t="s">
        <v>14</v>
      </c>
      <c r="F477" s="26">
        <v>397</v>
      </c>
      <c r="G477" s="26">
        <v>0</v>
      </c>
      <c r="H477" s="26">
        <v>400</v>
      </c>
      <c r="I477" s="26">
        <v>2711692</v>
      </c>
      <c r="J477" s="26">
        <v>15600000</v>
      </c>
    </row>
    <row r="478" spans="1:10">
      <c r="A478" s="24">
        <v>476</v>
      </c>
      <c r="B478" s="24">
        <f t="shared" si="7"/>
        <v>280</v>
      </c>
      <c r="C478" s="1" t="s">
        <v>775</v>
      </c>
      <c r="F478" s="26">
        <v>8589</v>
      </c>
      <c r="G478" s="26">
        <v>0</v>
      </c>
      <c r="H478" s="26">
        <v>8600</v>
      </c>
      <c r="I478" s="26">
        <v>49570850.000000007</v>
      </c>
      <c r="J478" s="26">
        <v>307400000</v>
      </c>
    </row>
    <row r="479" spans="1:10">
      <c r="A479" s="24">
        <v>477</v>
      </c>
      <c r="B479" s="24">
        <f t="shared" si="7"/>
        <v>281</v>
      </c>
      <c r="C479" s="1" t="s">
        <v>1024</v>
      </c>
      <c r="D479" s="1" t="s">
        <v>2</v>
      </c>
      <c r="E479" s="1" t="s">
        <v>14</v>
      </c>
      <c r="F479" s="26">
        <v>694</v>
      </c>
      <c r="G479" s="26">
        <v>0</v>
      </c>
      <c r="H479" s="26">
        <v>700</v>
      </c>
      <c r="I479" s="26">
        <v>5501615.0000000009</v>
      </c>
      <c r="J479" s="26">
        <v>31500000</v>
      </c>
    </row>
    <row r="480" spans="1:10">
      <c r="A480" s="24">
        <v>478</v>
      </c>
      <c r="B480" s="24">
        <f t="shared" si="7"/>
        <v>281</v>
      </c>
      <c r="C480" s="1" t="s">
        <v>1024</v>
      </c>
      <c r="D480" s="1" t="s">
        <v>3</v>
      </c>
      <c r="E480" s="1" t="s">
        <v>14</v>
      </c>
      <c r="F480" s="26">
        <v>495</v>
      </c>
      <c r="G480" s="26">
        <v>0</v>
      </c>
      <c r="H480" s="26">
        <v>500</v>
      </c>
      <c r="I480" s="26">
        <v>3929725.0000000005</v>
      </c>
      <c r="J480" s="26">
        <v>22500000</v>
      </c>
    </row>
    <row r="481" spans="1:10">
      <c r="A481" s="24">
        <v>479</v>
      </c>
      <c r="B481" s="24">
        <f t="shared" si="7"/>
        <v>282</v>
      </c>
      <c r="C481" s="1" t="s">
        <v>1025</v>
      </c>
      <c r="D481" s="1" t="s">
        <v>2</v>
      </c>
      <c r="E481" s="1" t="s">
        <v>14</v>
      </c>
      <c r="F481" s="26">
        <v>720</v>
      </c>
      <c r="G481" s="26">
        <v>0</v>
      </c>
      <c r="H481" s="26">
        <v>700</v>
      </c>
      <c r="I481" s="26">
        <v>5113115.0000000009</v>
      </c>
      <c r="J481" s="26">
        <v>31500000</v>
      </c>
    </row>
    <row r="482" spans="1:10">
      <c r="A482" s="24">
        <v>480</v>
      </c>
      <c r="B482" s="24">
        <f t="shared" si="7"/>
        <v>282</v>
      </c>
      <c r="C482" s="1" t="s">
        <v>1025</v>
      </c>
      <c r="D482" s="1" t="s">
        <v>3</v>
      </c>
      <c r="E482" s="1" t="s">
        <v>14</v>
      </c>
      <c r="F482" s="26">
        <v>469</v>
      </c>
      <c r="G482" s="26">
        <v>0</v>
      </c>
      <c r="H482" s="26">
        <v>500</v>
      </c>
      <c r="I482" s="26">
        <v>3652225.0000000005</v>
      </c>
      <c r="J482" s="26">
        <v>22500000</v>
      </c>
    </row>
    <row r="483" spans="1:10">
      <c r="A483" s="24">
        <v>481</v>
      </c>
      <c r="B483" s="24">
        <f t="shared" si="7"/>
        <v>283</v>
      </c>
      <c r="C483" s="1" t="s">
        <v>1026</v>
      </c>
      <c r="D483" s="1" t="s">
        <v>2</v>
      </c>
      <c r="E483" s="1" t="s">
        <v>14</v>
      </c>
      <c r="F483" s="26">
        <v>683</v>
      </c>
      <c r="G483" s="26">
        <v>0</v>
      </c>
      <c r="H483" s="26">
        <v>700</v>
      </c>
      <c r="I483" s="26">
        <v>4545233</v>
      </c>
      <c r="J483" s="26">
        <v>27300000</v>
      </c>
    </row>
    <row r="484" spans="1:10">
      <c r="A484" s="24">
        <v>482</v>
      </c>
      <c r="B484" s="24">
        <f t="shared" si="7"/>
        <v>283</v>
      </c>
      <c r="C484" s="1" t="s">
        <v>1026</v>
      </c>
      <c r="D484" s="1" t="s">
        <v>3</v>
      </c>
      <c r="E484" s="1" t="s">
        <v>14</v>
      </c>
      <c r="F484" s="26">
        <v>505</v>
      </c>
      <c r="G484" s="26">
        <v>0</v>
      </c>
      <c r="H484" s="26">
        <v>500</v>
      </c>
      <c r="I484" s="26">
        <v>3246595.0000000005</v>
      </c>
      <c r="J484" s="26">
        <v>19500000</v>
      </c>
    </row>
    <row r="485" spans="1:10">
      <c r="A485" s="24">
        <v>483</v>
      </c>
      <c r="B485" s="24">
        <f t="shared" si="7"/>
        <v>284</v>
      </c>
      <c r="C485" s="1" t="s">
        <v>1027</v>
      </c>
      <c r="D485" s="1" t="s">
        <v>2</v>
      </c>
      <c r="E485" s="1" t="s">
        <v>14</v>
      </c>
      <c r="F485" s="26">
        <v>707</v>
      </c>
      <c r="G485" s="26">
        <v>0</v>
      </c>
      <c r="H485" s="26">
        <v>700</v>
      </c>
      <c r="I485" s="26">
        <v>4809133</v>
      </c>
      <c r="J485" s="26">
        <v>27300000</v>
      </c>
    </row>
    <row r="486" spans="1:10">
      <c r="A486" s="24">
        <v>484</v>
      </c>
      <c r="B486" s="24">
        <f t="shared" si="7"/>
        <v>284</v>
      </c>
      <c r="C486" s="1" t="s">
        <v>1027</v>
      </c>
      <c r="D486" s="1" t="s">
        <v>3</v>
      </c>
      <c r="E486" s="1" t="s">
        <v>14</v>
      </c>
      <c r="F486" s="26">
        <v>466</v>
      </c>
      <c r="G486" s="26">
        <v>0</v>
      </c>
      <c r="H486" s="26">
        <v>500</v>
      </c>
      <c r="I486" s="26">
        <v>3435095.0000000005</v>
      </c>
      <c r="J486" s="26">
        <v>19500000</v>
      </c>
    </row>
    <row r="487" spans="1:10">
      <c r="A487" s="24">
        <v>485</v>
      </c>
      <c r="B487" s="24">
        <f t="shared" si="7"/>
        <v>285</v>
      </c>
      <c r="C487" s="1" t="s">
        <v>775</v>
      </c>
      <c r="F487" s="26">
        <v>4739</v>
      </c>
      <c r="G487" s="26">
        <v>0</v>
      </c>
      <c r="H487" s="26">
        <v>4800</v>
      </c>
      <c r="I487" s="26">
        <v>34232736.000000007</v>
      </c>
      <c r="J487" s="26">
        <v>201600000</v>
      </c>
    </row>
    <row r="488" spans="1:10">
      <c r="A488" s="24">
        <v>486</v>
      </c>
      <c r="B488" s="24">
        <f t="shared" si="7"/>
        <v>286</v>
      </c>
      <c r="C488" s="1" t="s">
        <v>1028</v>
      </c>
      <c r="D488" s="1" t="s">
        <v>4</v>
      </c>
      <c r="E488" s="1" t="s">
        <v>14</v>
      </c>
      <c r="F488" s="26">
        <v>2000</v>
      </c>
      <c r="G488" s="26">
        <v>0</v>
      </c>
      <c r="H488" s="26">
        <v>2000</v>
      </c>
      <c r="I488" s="26">
        <v>10925500</v>
      </c>
      <c r="J488" s="26">
        <v>78000000</v>
      </c>
    </row>
    <row r="489" spans="1:10">
      <c r="A489" s="24">
        <v>487</v>
      </c>
      <c r="B489" s="24">
        <f t="shared" si="7"/>
        <v>287</v>
      </c>
      <c r="C489" s="1" t="s">
        <v>1029</v>
      </c>
      <c r="D489" s="1" t="s">
        <v>4</v>
      </c>
      <c r="E489" s="1" t="s">
        <v>14</v>
      </c>
      <c r="F489" s="26">
        <v>998</v>
      </c>
      <c r="G489" s="26">
        <v>0</v>
      </c>
      <c r="H489" s="26">
        <v>1000</v>
      </c>
      <c r="I489" s="26">
        <v>5865640</v>
      </c>
      <c r="J489" s="26">
        <v>39000000</v>
      </c>
    </row>
    <row r="490" spans="1:10">
      <c r="A490" s="24">
        <v>488</v>
      </c>
      <c r="B490" s="24">
        <f t="shared" si="7"/>
        <v>288</v>
      </c>
      <c r="C490" s="1" t="s">
        <v>1030</v>
      </c>
      <c r="D490" s="1" t="s">
        <v>4</v>
      </c>
      <c r="E490" s="1" t="s">
        <v>14</v>
      </c>
      <c r="F490" s="26">
        <v>998</v>
      </c>
      <c r="G490" s="26">
        <v>0</v>
      </c>
      <c r="H490" s="26">
        <v>1000</v>
      </c>
      <c r="I490" s="26">
        <v>7467850.0000000009</v>
      </c>
      <c r="J490" s="26">
        <v>45000000</v>
      </c>
    </row>
    <row r="491" spans="1:10">
      <c r="A491" s="24">
        <v>489</v>
      </c>
      <c r="B491" s="24">
        <f t="shared" si="7"/>
        <v>289</v>
      </c>
      <c r="C491" s="1" t="s">
        <v>1031</v>
      </c>
      <c r="D491" s="1" t="s">
        <v>4</v>
      </c>
      <c r="E491" s="1" t="s">
        <v>14</v>
      </c>
      <c r="F491" s="26">
        <v>1000</v>
      </c>
      <c r="G491" s="26">
        <v>0</v>
      </c>
      <c r="H491" s="26">
        <v>1000</v>
      </c>
      <c r="I491" s="26">
        <v>7467850.0000000009</v>
      </c>
      <c r="J491" s="26">
        <v>45000000</v>
      </c>
    </row>
    <row r="492" spans="1:10">
      <c r="A492" s="24">
        <v>490</v>
      </c>
      <c r="B492" s="24">
        <f t="shared" si="7"/>
        <v>290</v>
      </c>
      <c r="C492" s="1" t="s">
        <v>1032</v>
      </c>
      <c r="D492" s="1" t="s">
        <v>4</v>
      </c>
      <c r="E492" s="1" t="s">
        <v>14</v>
      </c>
      <c r="F492" s="26">
        <v>921</v>
      </c>
      <c r="G492" s="26">
        <v>0</v>
      </c>
      <c r="H492" s="26">
        <v>1000</v>
      </c>
      <c r="I492" s="26">
        <v>8063150</v>
      </c>
      <c r="J492" s="26">
        <v>49000000</v>
      </c>
    </row>
    <row r="493" spans="1:10">
      <c r="A493" s="24">
        <v>491</v>
      </c>
      <c r="B493" s="24">
        <f t="shared" si="7"/>
        <v>291</v>
      </c>
      <c r="C493" s="1" t="s">
        <v>1033</v>
      </c>
      <c r="D493" s="1" t="s">
        <v>2</v>
      </c>
      <c r="E493" s="1" t="s">
        <v>14</v>
      </c>
      <c r="F493" s="26">
        <v>595</v>
      </c>
      <c r="G493" s="26">
        <v>0</v>
      </c>
      <c r="H493" s="26">
        <v>600</v>
      </c>
      <c r="I493" s="26">
        <v>4657890</v>
      </c>
      <c r="J493" s="26">
        <v>27000000</v>
      </c>
    </row>
    <row r="494" spans="1:10">
      <c r="A494" s="24">
        <v>492</v>
      </c>
      <c r="B494" s="24">
        <f t="shared" si="7"/>
        <v>291</v>
      </c>
      <c r="C494" s="1" t="s">
        <v>1033</v>
      </c>
      <c r="D494" s="1" t="s">
        <v>3</v>
      </c>
      <c r="E494" s="1" t="s">
        <v>14</v>
      </c>
      <c r="F494" s="26">
        <v>203</v>
      </c>
      <c r="G494" s="26">
        <v>0</v>
      </c>
      <c r="H494" s="26">
        <v>200</v>
      </c>
      <c r="I494" s="26">
        <v>1552630</v>
      </c>
      <c r="J494" s="26">
        <v>9000000</v>
      </c>
    </row>
    <row r="495" spans="1:10">
      <c r="A495" s="24">
        <v>493</v>
      </c>
      <c r="B495" s="24">
        <f t="shared" si="7"/>
        <v>292</v>
      </c>
      <c r="C495" s="1" t="s">
        <v>1034</v>
      </c>
      <c r="D495" s="1" t="s">
        <v>4</v>
      </c>
      <c r="E495" s="1" t="s">
        <v>14</v>
      </c>
      <c r="F495" s="26">
        <v>2000</v>
      </c>
      <c r="G495" s="26">
        <v>0</v>
      </c>
      <c r="H495" s="26">
        <v>2000</v>
      </c>
      <c r="I495" s="26">
        <v>14437780</v>
      </c>
      <c r="J495" s="26">
        <v>98000000</v>
      </c>
    </row>
    <row r="496" spans="1:10">
      <c r="A496" s="24">
        <v>494</v>
      </c>
      <c r="B496" s="24">
        <f t="shared" si="7"/>
        <v>293</v>
      </c>
      <c r="C496" s="1" t="s">
        <v>1035</v>
      </c>
      <c r="D496" s="1" t="s">
        <v>2</v>
      </c>
      <c r="E496" s="1" t="s">
        <v>14</v>
      </c>
      <c r="F496" s="26">
        <v>798</v>
      </c>
      <c r="G496" s="26">
        <v>0</v>
      </c>
      <c r="H496" s="26">
        <v>800</v>
      </c>
      <c r="I496" s="26">
        <v>5535112</v>
      </c>
      <c r="J496" s="26">
        <v>36000000</v>
      </c>
    </row>
    <row r="497" spans="1:10">
      <c r="A497" s="24">
        <v>495</v>
      </c>
      <c r="B497" s="24">
        <f t="shared" si="7"/>
        <v>293</v>
      </c>
      <c r="C497" s="1" t="s">
        <v>1035</v>
      </c>
      <c r="D497" s="1" t="s">
        <v>3</v>
      </c>
      <c r="E497" s="1" t="s">
        <v>14</v>
      </c>
      <c r="F497" s="26">
        <v>400</v>
      </c>
      <c r="G497" s="26">
        <v>0</v>
      </c>
      <c r="H497" s="26">
        <v>400</v>
      </c>
      <c r="I497" s="26">
        <v>2767556</v>
      </c>
      <c r="J497" s="26">
        <v>18000000</v>
      </c>
    </row>
    <row r="498" spans="1:10">
      <c r="A498" s="24">
        <v>496</v>
      </c>
      <c r="B498" s="24">
        <f t="shared" si="7"/>
        <v>294</v>
      </c>
      <c r="C498" s="1" t="s">
        <v>1036</v>
      </c>
      <c r="D498" s="1" t="s">
        <v>4</v>
      </c>
      <c r="E498" s="1" t="s">
        <v>14</v>
      </c>
      <c r="F498" s="26">
        <v>2000</v>
      </c>
      <c r="G498" s="26">
        <v>0</v>
      </c>
      <c r="H498" s="26">
        <v>2000</v>
      </c>
      <c r="I498" s="26">
        <v>14437780</v>
      </c>
      <c r="J498" s="26">
        <v>98000000</v>
      </c>
    </row>
    <row r="499" spans="1:10">
      <c r="A499" s="24">
        <v>497</v>
      </c>
      <c r="B499" s="24">
        <f t="shared" si="7"/>
        <v>295</v>
      </c>
      <c r="C499" s="1" t="s">
        <v>1037</v>
      </c>
      <c r="D499" s="1" t="s">
        <v>4</v>
      </c>
      <c r="E499" s="1" t="s">
        <v>14</v>
      </c>
      <c r="F499" s="26">
        <v>800</v>
      </c>
      <c r="G499" s="26">
        <v>0</v>
      </c>
      <c r="H499" s="26">
        <v>800</v>
      </c>
      <c r="I499" s="26">
        <v>5689304.0000000019</v>
      </c>
      <c r="J499" s="26">
        <v>36000000</v>
      </c>
    </row>
    <row r="500" spans="1:10">
      <c r="A500" s="24">
        <v>498</v>
      </c>
      <c r="B500" s="24">
        <f t="shared" si="7"/>
        <v>296</v>
      </c>
      <c r="C500" s="1" t="s">
        <v>1038</v>
      </c>
      <c r="D500" s="1" t="s">
        <v>4</v>
      </c>
      <c r="E500" s="1" t="s">
        <v>14</v>
      </c>
      <c r="F500" s="26">
        <v>800</v>
      </c>
      <c r="G500" s="26">
        <v>0</v>
      </c>
      <c r="H500" s="26">
        <v>800</v>
      </c>
      <c r="I500" s="26">
        <v>5689304.0000000019</v>
      </c>
      <c r="J500" s="26">
        <v>36000000</v>
      </c>
    </row>
    <row r="501" spans="1:10">
      <c r="A501" s="24">
        <v>499</v>
      </c>
      <c r="B501" s="24">
        <f t="shared" si="7"/>
        <v>297</v>
      </c>
      <c r="C501" s="1" t="s">
        <v>1039</v>
      </c>
      <c r="D501" s="1" t="s">
        <v>2</v>
      </c>
      <c r="E501" s="1" t="s">
        <v>14</v>
      </c>
      <c r="F501" s="26">
        <v>500</v>
      </c>
      <c r="G501" s="26">
        <v>0</v>
      </c>
      <c r="H501" s="26">
        <v>500</v>
      </c>
      <c r="I501" s="26">
        <v>3858350.0000000005</v>
      </c>
      <c r="J501" s="26">
        <v>22500000</v>
      </c>
    </row>
    <row r="502" spans="1:10">
      <c r="A502" s="24">
        <v>500</v>
      </c>
      <c r="B502" s="24">
        <f t="shared" si="7"/>
        <v>297</v>
      </c>
      <c r="C502" s="1" t="s">
        <v>1039</v>
      </c>
      <c r="D502" s="1" t="s">
        <v>3</v>
      </c>
      <c r="E502" s="1" t="s">
        <v>14</v>
      </c>
      <c r="F502" s="26">
        <v>300</v>
      </c>
      <c r="G502" s="26">
        <v>0</v>
      </c>
      <c r="H502" s="26">
        <v>300</v>
      </c>
      <c r="I502" s="26">
        <v>2315010</v>
      </c>
      <c r="J502" s="26">
        <v>13500000</v>
      </c>
    </row>
    <row r="503" spans="1:10">
      <c r="A503" s="24">
        <v>501</v>
      </c>
      <c r="B503" s="24">
        <f t="shared" si="7"/>
        <v>298</v>
      </c>
      <c r="C503" s="1" t="s">
        <v>1040</v>
      </c>
      <c r="D503" s="1" t="s">
        <v>2</v>
      </c>
      <c r="E503" s="1" t="s">
        <v>14</v>
      </c>
      <c r="F503" s="26">
        <v>599</v>
      </c>
      <c r="G503" s="26">
        <v>0</v>
      </c>
      <c r="H503" s="26">
        <v>600</v>
      </c>
      <c r="I503" s="26">
        <v>4630020</v>
      </c>
      <c r="J503" s="26">
        <v>27000000</v>
      </c>
    </row>
    <row r="504" spans="1:10">
      <c r="A504" s="24">
        <v>502</v>
      </c>
      <c r="B504" s="24">
        <f t="shared" si="7"/>
        <v>298</v>
      </c>
      <c r="C504" s="1" t="s">
        <v>1040</v>
      </c>
      <c r="D504" s="1" t="s">
        <v>3</v>
      </c>
      <c r="E504" s="1" t="s">
        <v>14</v>
      </c>
      <c r="F504" s="26">
        <v>200</v>
      </c>
      <c r="G504" s="26">
        <v>0</v>
      </c>
      <c r="H504" s="26">
        <v>200</v>
      </c>
      <c r="I504" s="26">
        <v>1543340.0000000002</v>
      </c>
      <c r="J504" s="26">
        <v>9000000</v>
      </c>
    </row>
    <row r="505" spans="1:10">
      <c r="A505" s="24">
        <v>503</v>
      </c>
      <c r="B505" s="24">
        <f t="shared" si="7"/>
        <v>299</v>
      </c>
      <c r="C505" s="1" t="s">
        <v>1041</v>
      </c>
      <c r="D505" s="1" t="s">
        <v>2</v>
      </c>
      <c r="E505" s="1" t="s">
        <v>14</v>
      </c>
      <c r="F505" s="26">
        <v>500</v>
      </c>
      <c r="G505" s="26">
        <v>0</v>
      </c>
      <c r="H505" s="26">
        <v>500</v>
      </c>
      <c r="I505" s="26">
        <v>4075185.0000000005</v>
      </c>
      <c r="J505" s="26">
        <v>24500000</v>
      </c>
    </row>
    <row r="506" spans="1:10">
      <c r="A506" s="24">
        <v>504</v>
      </c>
      <c r="B506" s="24">
        <f t="shared" si="7"/>
        <v>299</v>
      </c>
      <c r="C506" s="1" t="s">
        <v>1041</v>
      </c>
      <c r="D506" s="1" t="s">
        <v>3</v>
      </c>
      <c r="E506" s="1" t="s">
        <v>14</v>
      </c>
      <c r="F506" s="26">
        <v>300</v>
      </c>
      <c r="G506" s="26">
        <v>0</v>
      </c>
      <c r="H506" s="26">
        <v>300</v>
      </c>
      <c r="I506" s="26">
        <v>2445111.0000000005</v>
      </c>
      <c r="J506" s="26">
        <v>14700000</v>
      </c>
    </row>
    <row r="507" spans="1:10">
      <c r="A507" s="24">
        <v>505</v>
      </c>
      <c r="B507" s="24">
        <f t="shared" si="7"/>
        <v>300</v>
      </c>
      <c r="C507" s="1" t="s">
        <v>1042</v>
      </c>
      <c r="D507" s="1" t="s">
        <v>2</v>
      </c>
      <c r="E507" s="1" t="s">
        <v>14</v>
      </c>
      <c r="F507" s="26">
        <v>533</v>
      </c>
      <c r="G507" s="26">
        <v>0</v>
      </c>
      <c r="H507" s="26">
        <v>500</v>
      </c>
      <c r="I507" s="26">
        <v>4115185.0000000005</v>
      </c>
      <c r="J507" s="26">
        <v>24500000</v>
      </c>
    </row>
    <row r="508" spans="1:10">
      <c r="A508" s="24">
        <v>506</v>
      </c>
      <c r="B508" s="24">
        <f t="shared" si="7"/>
        <v>300</v>
      </c>
      <c r="C508" s="1" t="s">
        <v>1042</v>
      </c>
      <c r="D508" s="1" t="s">
        <v>3</v>
      </c>
      <c r="E508" s="1" t="s">
        <v>14</v>
      </c>
      <c r="F508" s="26">
        <v>265</v>
      </c>
      <c r="G508" s="26">
        <v>0</v>
      </c>
      <c r="H508" s="26">
        <v>300</v>
      </c>
      <c r="I508" s="26">
        <v>2469111.0000000005</v>
      </c>
      <c r="J508" s="26">
        <v>14700000</v>
      </c>
    </row>
    <row r="509" spans="1:10">
      <c r="A509" s="24">
        <v>507</v>
      </c>
      <c r="B509" s="24">
        <f t="shared" si="7"/>
        <v>301</v>
      </c>
      <c r="C509" s="1" t="s">
        <v>1043</v>
      </c>
      <c r="D509" s="1" t="s">
        <v>2</v>
      </c>
      <c r="E509" s="1" t="s">
        <v>14</v>
      </c>
      <c r="F509" s="26">
        <v>600</v>
      </c>
      <c r="G509" s="26">
        <v>0</v>
      </c>
      <c r="H509" s="26">
        <v>600</v>
      </c>
      <c r="I509" s="26">
        <v>4833420</v>
      </c>
      <c r="J509" s="26">
        <v>29400000</v>
      </c>
    </row>
    <row r="510" spans="1:10">
      <c r="A510" s="24">
        <v>508</v>
      </c>
      <c r="B510" s="24">
        <f t="shared" si="7"/>
        <v>301</v>
      </c>
      <c r="C510" s="1" t="s">
        <v>1043</v>
      </c>
      <c r="D510" s="1" t="s">
        <v>3</v>
      </c>
      <c r="E510" s="1" t="s">
        <v>14</v>
      </c>
      <c r="F510" s="26">
        <v>400</v>
      </c>
      <c r="G510" s="26">
        <v>0</v>
      </c>
      <c r="H510" s="26">
        <v>400</v>
      </c>
      <c r="I510" s="26">
        <v>3222280.0000000005</v>
      </c>
      <c r="J510" s="26">
        <v>19600000</v>
      </c>
    </row>
    <row r="511" spans="1:10">
      <c r="A511" s="24">
        <v>509</v>
      </c>
      <c r="B511" s="24">
        <f t="shared" si="7"/>
        <v>302</v>
      </c>
      <c r="C511" s="1" t="s">
        <v>1044</v>
      </c>
      <c r="D511" s="1" t="s">
        <v>4</v>
      </c>
      <c r="E511" s="1" t="s">
        <v>14</v>
      </c>
      <c r="F511" s="26">
        <v>1200</v>
      </c>
      <c r="G511" s="26">
        <v>0</v>
      </c>
      <c r="H511" s="26">
        <v>1200</v>
      </c>
      <c r="I511" s="26">
        <v>6735384</v>
      </c>
      <c r="J511" s="26">
        <v>46800000</v>
      </c>
    </row>
    <row r="512" spans="1:10">
      <c r="A512" s="24">
        <v>510</v>
      </c>
      <c r="B512" s="24">
        <f t="shared" si="7"/>
        <v>303</v>
      </c>
      <c r="C512" s="1" t="s">
        <v>1045</v>
      </c>
      <c r="D512" s="1" t="s">
        <v>4</v>
      </c>
      <c r="E512" s="1" t="s">
        <v>14</v>
      </c>
      <c r="F512" s="26">
        <v>1200</v>
      </c>
      <c r="G512" s="26">
        <v>0</v>
      </c>
      <c r="H512" s="26">
        <v>1200</v>
      </c>
      <c r="I512" s="26">
        <v>6729072.0000000019</v>
      </c>
      <c r="J512" s="26">
        <v>46800000</v>
      </c>
    </row>
    <row r="513" spans="1:10">
      <c r="A513" s="24">
        <v>511</v>
      </c>
      <c r="B513" s="24">
        <f t="shared" si="7"/>
        <v>304</v>
      </c>
      <c r="C513" s="1" t="s">
        <v>775</v>
      </c>
      <c r="F513" s="26">
        <v>20110</v>
      </c>
      <c r="G513" s="26">
        <v>0</v>
      </c>
      <c r="H513" s="26">
        <v>20200</v>
      </c>
      <c r="I513" s="26">
        <v>141528814</v>
      </c>
      <c r="J513" s="26">
        <v>907000000</v>
      </c>
    </row>
    <row r="514" spans="1:10">
      <c r="A514" s="24">
        <v>512</v>
      </c>
      <c r="B514" s="24">
        <f t="shared" si="7"/>
        <v>305</v>
      </c>
      <c r="C514" s="1" t="s">
        <v>1046</v>
      </c>
      <c r="D514" s="1" t="s">
        <v>4</v>
      </c>
      <c r="E514" s="1" t="s">
        <v>14</v>
      </c>
      <c r="F514" s="26">
        <v>999</v>
      </c>
      <c r="G514" s="26">
        <v>0</v>
      </c>
      <c r="H514" s="26">
        <v>1000</v>
      </c>
      <c r="I514" s="26">
        <v>6219400.0000000009</v>
      </c>
      <c r="J514" s="26">
        <v>55000000</v>
      </c>
    </row>
    <row r="515" spans="1:10">
      <c r="A515" s="24">
        <v>513</v>
      </c>
      <c r="B515" s="24">
        <f t="shared" si="7"/>
        <v>306</v>
      </c>
      <c r="C515" s="1" t="s">
        <v>1047</v>
      </c>
      <c r="D515" s="1" t="s">
        <v>4</v>
      </c>
      <c r="E515" s="1" t="s">
        <v>14</v>
      </c>
      <c r="F515" s="26">
        <v>988</v>
      </c>
      <c r="G515" s="26">
        <v>0</v>
      </c>
      <c r="H515" s="26">
        <v>1000</v>
      </c>
      <c r="I515" s="26">
        <v>7830780.0000000009</v>
      </c>
      <c r="J515" s="26">
        <v>49000000</v>
      </c>
    </row>
    <row r="516" spans="1:10">
      <c r="A516" s="24">
        <v>514</v>
      </c>
      <c r="B516" s="24">
        <f t="shared" ref="B516:B579" si="8">IF(C515=C516,B515,B515+1)</f>
        <v>307</v>
      </c>
      <c r="C516" s="1" t="s">
        <v>1048</v>
      </c>
      <c r="D516" s="1" t="s">
        <v>4</v>
      </c>
      <c r="E516" s="1" t="s">
        <v>14</v>
      </c>
      <c r="F516" s="26">
        <v>999</v>
      </c>
      <c r="G516" s="26">
        <v>0</v>
      </c>
      <c r="H516" s="26">
        <v>1000</v>
      </c>
      <c r="I516" s="26">
        <v>11095500</v>
      </c>
      <c r="J516" s="26">
        <v>59000000</v>
      </c>
    </row>
    <row r="517" spans="1:10">
      <c r="A517" s="24">
        <v>515</v>
      </c>
      <c r="B517" s="24">
        <f t="shared" si="8"/>
        <v>308</v>
      </c>
      <c r="C517" s="1" t="s">
        <v>1049</v>
      </c>
      <c r="D517" s="1" t="s">
        <v>4</v>
      </c>
      <c r="E517" s="1" t="s">
        <v>14</v>
      </c>
      <c r="F517" s="26">
        <v>776</v>
      </c>
      <c r="G517" s="26">
        <v>0</v>
      </c>
      <c r="H517" s="26">
        <v>800</v>
      </c>
      <c r="I517" s="26">
        <v>6844104.0000000009</v>
      </c>
      <c r="J517" s="26">
        <v>39200000</v>
      </c>
    </row>
    <row r="518" spans="1:10">
      <c r="A518" s="24">
        <v>516</v>
      </c>
      <c r="B518" s="24">
        <f t="shared" si="8"/>
        <v>309</v>
      </c>
      <c r="C518" s="1" t="s">
        <v>1050</v>
      </c>
      <c r="D518" s="1" t="s">
        <v>4</v>
      </c>
      <c r="E518" s="1" t="s">
        <v>14</v>
      </c>
      <c r="F518" s="26">
        <v>800</v>
      </c>
      <c r="G518" s="26">
        <v>0</v>
      </c>
      <c r="H518" s="26">
        <v>1200</v>
      </c>
      <c r="I518" s="26">
        <v>10709259.999999998</v>
      </c>
      <c r="J518" s="26">
        <v>58800000</v>
      </c>
    </row>
    <row r="519" spans="1:10">
      <c r="A519" s="24">
        <v>517</v>
      </c>
      <c r="B519" s="24">
        <f t="shared" si="8"/>
        <v>310</v>
      </c>
      <c r="C519" s="1" t="s">
        <v>775</v>
      </c>
      <c r="F519" s="26">
        <v>4562</v>
      </c>
      <c r="G519" s="26">
        <v>0</v>
      </c>
      <c r="H519" s="26">
        <v>5000</v>
      </c>
      <c r="I519" s="26">
        <v>42699044</v>
      </c>
      <c r="J519" s="26">
        <v>261000000</v>
      </c>
    </row>
    <row r="520" spans="1:10">
      <c r="A520" s="24">
        <v>518</v>
      </c>
      <c r="B520" s="24">
        <f t="shared" si="8"/>
        <v>311</v>
      </c>
      <c r="C520" s="1" t="s">
        <v>1051</v>
      </c>
      <c r="D520" s="1" t="s">
        <v>6</v>
      </c>
      <c r="E520" s="1" t="s">
        <v>14</v>
      </c>
      <c r="F520" s="26">
        <v>162</v>
      </c>
      <c r="G520" s="26">
        <v>0</v>
      </c>
      <c r="H520" s="26">
        <v>150</v>
      </c>
      <c r="I520" s="26">
        <v>2878950.0000000005</v>
      </c>
      <c r="J520" s="26">
        <v>13350000</v>
      </c>
    </row>
    <row r="521" spans="1:10">
      <c r="A521" s="24">
        <v>519</v>
      </c>
      <c r="B521" s="24">
        <f t="shared" si="8"/>
        <v>311</v>
      </c>
      <c r="C521" s="1" t="s">
        <v>1051</v>
      </c>
      <c r="D521" s="1" t="s">
        <v>7</v>
      </c>
      <c r="E521" s="1" t="s">
        <v>14</v>
      </c>
      <c r="F521" s="26">
        <v>310</v>
      </c>
      <c r="G521" s="26">
        <v>0</v>
      </c>
      <c r="H521" s="26">
        <v>300</v>
      </c>
      <c r="I521" s="26">
        <v>5757900.0000000009</v>
      </c>
      <c r="J521" s="26">
        <v>26700000</v>
      </c>
    </row>
    <row r="522" spans="1:10">
      <c r="A522" s="24">
        <v>520</v>
      </c>
      <c r="B522" s="24">
        <f t="shared" si="8"/>
        <v>311</v>
      </c>
      <c r="C522" s="1" t="s">
        <v>1051</v>
      </c>
      <c r="D522" s="1" t="s">
        <v>8</v>
      </c>
      <c r="E522" s="1" t="s">
        <v>14</v>
      </c>
      <c r="F522" s="26">
        <v>261</v>
      </c>
      <c r="G522" s="26">
        <v>0</v>
      </c>
      <c r="H522" s="26">
        <v>250</v>
      </c>
      <c r="I522" s="26">
        <v>4798250.0000000009</v>
      </c>
      <c r="J522" s="26">
        <v>22250000</v>
      </c>
    </row>
    <row r="523" spans="1:10">
      <c r="A523" s="24">
        <v>521</v>
      </c>
      <c r="B523" s="24">
        <f t="shared" si="8"/>
        <v>311</v>
      </c>
      <c r="C523" s="1" t="s">
        <v>1051</v>
      </c>
      <c r="D523" s="1" t="s">
        <v>9</v>
      </c>
      <c r="E523" s="1" t="s">
        <v>14</v>
      </c>
      <c r="F523" s="26">
        <v>209</v>
      </c>
      <c r="G523" s="26">
        <v>0</v>
      </c>
      <c r="H523" s="26">
        <v>200</v>
      </c>
      <c r="I523" s="26">
        <v>3838600.0000000009</v>
      </c>
      <c r="J523" s="26">
        <v>17800000</v>
      </c>
    </row>
    <row r="524" spans="1:10">
      <c r="A524" s="24">
        <v>522</v>
      </c>
      <c r="B524" s="24">
        <f t="shared" si="8"/>
        <v>311</v>
      </c>
      <c r="C524" s="1" t="s">
        <v>1051</v>
      </c>
      <c r="D524" s="1" t="s">
        <v>10</v>
      </c>
      <c r="E524" s="1" t="s">
        <v>14</v>
      </c>
      <c r="F524" s="26">
        <v>104</v>
      </c>
      <c r="G524" s="26">
        <v>0</v>
      </c>
      <c r="H524" s="26">
        <v>100</v>
      </c>
      <c r="I524" s="26">
        <v>1919300.0000000005</v>
      </c>
      <c r="J524" s="26">
        <v>8900000</v>
      </c>
    </row>
    <row r="525" spans="1:10">
      <c r="A525" s="24">
        <v>523</v>
      </c>
      <c r="B525" s="24">
        <f t="shared" si="8"/>
        <v>312</v>
      </c>
      <c r="C525" s="1" t="s">
        <v>1052</v>
      </c>
      <c r="D525" s="1" t="s">
        <v>6</v>
      </c>
      <c r="E525" s="1" t="s">
        <v>14</v>
      </c>
      <c r="F525" s="26">
        <v>213</v>
      </c>
      <c r="G525" s="26">
        <v>0</v>
      </c>
      <c r="H525" s="26">
        <v>200</v>
      </c>
      <c r="I525" s="26">
        <v>3549850</v>
      </c>
      <c r="J525" s="26">
        <v>15800000</v>
      </c>
    </row>
    <row r="526" spans="1:10">
      <c r="A526" s="24">
        <v>524</v>
      </c>
      <c r="B526" s="24">
        <f t="shared" si="8"/>
        <v>312</v>
      </c>
      <c r="C526" s="1" t="s">
        <v>1052</v>
      </c>
      <c r="D526" s="1" t="s">
        <v>7</v>
      </c>
      <c r="E526" s="1" t="s">
        <v>14</v>
      </c>
      <c r="F526" s="26">
        <v>309</v>
      </c>
      <c r="G526" s="26">
        <v>0</v>
      </c>
      <c r="H526" s="26">
        <v>300</v>
      </c>
      <c r="I526" s="26">
        <v>5324775</v>
      </c>
      <c r="J526" s="26">
        <v>23700000</v>
      </c>
    </row>
    <row r="527" spans="1:10">
      <c r="A527" s="24">
        <v>525</v>
      </c>
      <c r="B527" s="24">
        <f t="shared" si="8"/>
        <v>312</v>
      </c>
      <c r="C527" s="1" t="s">
        <v>1052</v>
      </c>
      <c r="D527" s="1" t="s">
        <v>8</v>
      </c>
      <c r="E527" s="1" t="s">
        <v>14</v>
      </c>
      <c r="F527" s="26">
        <v>319</v>
      </c>
      <c r="G527" s="26">
        <v>0</v>
      </c>
      <c r="H527" s="26">
        <v>300</v>
      </c>
      <c r="I527" s="26">
        <v>5324775</v>
      </c>
      <c r="J527" s="26">
        <v>23700000</v>
      </c>
    </row>
    <row r="528" spans="1:10">
      <c r="A528" s="24">
        <v>526</v>
      </c>
      <c r="B528" s="24">
        <f t="shared" si="8"/>
        <v>312</v>
      </c>
      <c r="C528" s="1" t="s">
        <v>1052</v>
      </c>
      <c r="D528" s="1" t="s">
        <v>9</v>
      </c>
      <c r="E528" s="1" t="s">
        <v>14</v>
      </c>
      <c r="F528" s="26">
        <v>193</v>
      </c>
      <c r="G528" s="26">
        <v>0</v>
      </c>
      <c r="H528" s="26">
        <v>200</v>
      </c>
      <c r="I528" s="26">
        <v>3549850</v>
      </c>
      <c r="J528" s="26">
        <v>15800000</v>
      </c>
    </row>
    <row r="529" spans="1:10">
      <c r="A529" s="24">
        <v>527</v>
      </c>
      <c r="B529" s="24">
        <f t="shared" si="8"/>
        <v>312</v>
      </c>
      <c r="C529" s="1" t="s">
        <v>1052</v>
      </c>
      <c r="D529" s="1" t="s">
        <v>10</v>
      </c>
      <c r="E529" s="1" t="s">
        <v>14</v>
      </c>
      <c r="F529" s="26">
        <v>218</v>
      </c>
      <c r="G529" s="26">
        <v>0</v>
      </c>
      <c r="H529" s="26">
        <v>200</v>
      </c>
      <c r="I529" s="26">
        <v>3549850</v>
      </c>
      <c r="J529" s="26">
        <v>15800000</v>
      </c>
    </row>
    <row r="530" spans="1:10">
      <c r="A530" s="24">
        <v>528</v>
      </c>
      <c r="B530" s="24">
        <f t="shared" si="8"/>
        <v>313</v>
      </c>
      <c r="C530" s="1" t="s">
        <v>1053</v>
      </c>
      <c r="D530" s="1" t="s">
        <v>6</v>
      </c>
      <c r="E530" s="1" t="s">
        <v>14</v>
      </c>
      <c r="F530" s="26">
        <v>210</v>
      </c>
      <c r="G530" s="26">
        <v>0</v>
      </c>
      <c r="H530" s="26">
        <v>200</v>
      </c>
      <c r="I530" s="26">
        <v>3549850</v>
      </c>
      <c r="J530" s="26">
        <v>15800000</v>
      </c>
    </row>
    <row r="531" spans="1:10">
      <c r="A531" s="24">
        <v>529</v>
      </c>
      <c r="B531" s="24">
        <f t="shared" si="8"/>
        <v>313</v>
      </c>
      <c r="C531" s="1" t="s">
        <v>1053</v>
      </c>
      <c r="D531" s="1" t="s">
        <v>7</v>
      </c>
      <c r="E531" s="1" t="s">
        <v>14</v>
      </c>
      <c r="F531" s="26">
        <v>300</v>
      </c>
      <c r="G531" s="26">
        <v>0</v>
      </c>
      <c r="H531" s="26">
        <v>300</v>
      </c>
      <c r="I531" s="26">
        <v>5324775</v>
      </c>
      <c r="J531" s="26">
        <v>23700000</v>
      </c>
    </row>
    <row r="532" spans="1:10">
      <c r="A532" s="24">
        <v>530</v>
      </c>
      <c r="B532" s="24">
        <f t="shared" si="8"/>
        <v>313</v>
      </c>
      <c r="C532" s="1" t="s">
        <v>1053</v>
      </c>
      <c r="D532" s="1" t="s">
        <v>8</v>
      </c>
      <c r="E532" s="1" t="s">
        <v>14</v>
      </c>
      <c r="F532" s="26">
        <v>322</v>
      </c>
      <c r="G532" s="26">
        <v>0</v>
      </c>
      <c r="H532" s="26">
        <v>300</v>
      </c>
      <c r="I532" s="26">
        <v>5324775</v>
      </c>
      <c r="J532" s="26">
        <v>23700000</v>
      </c>
    </row>
    <row r="533" spans="1:10">
      <c r="A533" s="24">
        <v>531</v>
      </c>
      <c r="B533" s="24">
        <f t="shared" si="8"/>
        <v>313</v>
      </c>
      <c r="C533" s="1" t="s">
        <v>1053</v>
      </c>
      <c r="D533" s="1" t="s">
        <v>9</v>
      </c>
      <c r="E533" s="1" t="s">
        <v>14</v>
      </c>
      <c r="F533" s="26">
        <v>222</v>
      </c>
      <c r="G533" s="26">
        <v>0</v>
      </c>
      <c r="H533" s="26">
        <v>200</v>
      </c>
      <c r="I533" s="26">
        <v>3549850</v>
      </c>
      <c r="J533" s="26">
        <v>15800000</v>
      </c>
    </row>
    <row r="534" spans="1:10">
      <c r="A534" s="24">
        <v>532</v>
      </c>
      <c r="B534" s="24">
        <f t="shared" si="8"/>
        <v>313</v>
      </c>
      <c r="C534" s="1" t="s">
        <v>1053</v>
      </c>
      <c r="D534" s="1" t="s">
        <v>10</v>
      </c>
      <c r="E534" s="1" t="s">
        <v>14</v>
      </c>
      <c r="F534" s="26">
        <v>205</v>
      </c>
      <c r="G534" s="26">
        <v>0</v>
      </c>
      <c r="H534" s="26">
        <v>200</v>
      </c>
      <c r="I534" s="26">
        <v>3549850</v>
      </c>
      <c r="J534" s="26">
        <v>15800000</v>
      </c>
    </row>
    <row r="535" spans="1:10">
      <c r="A535" s="24">
        <v>533</v>
      </c>
      <c r="B535" s="24">
        <f t="shared" si="8"/>
        <v>314</v>
      </c>
      <c r="C535" s="1" t="s">
        <v>1054</v>
      </c>
      <c r="D535" s="1" t="s">
        <v>7</v>
      </c>
      <c r="E535" s="1" t="s">
        <v>14</v>
      </c>
      <c r="F535" s="26">
        <v>202</v>
      </c>
      <c r="G535" s="26">
        <v>0</v>
      </c>
      <c r="H535" s="26">
        <v>200</v>
      </c>
      <c r="I535" s="26">
        <v>7199650</v>
      </c>
      <c r="J535" s="26">
        <v>31800000</v>
      </c>
    </row>
    <row r="536" spans="1:10">
      <c r="A536" s="24">
        <v>534</v>
      </c>
      <c r="B536" s="24">
        <f t="shared" si="8"/>
        <v>314</v>
      </c>
      <c r="C536" s="1" t="s">
        <v>1054</v>
      </c>
      <c r="D536" s="1" t="s">
        <v>8</v>
      </c>
      <c r="E536" s="1" t="s">
        <v>14</v>
      </c>
      <c r="F536" s="26">
        <v>306</v>
      </c>
      <c r="G536" s="26">
        <v>0</v>
      </c>
      <c r="H536" s="26">
        <v>300</v>
      </c>
      <c r="I536" s="26">
        <v>10799475</v>
      </c>
      <c r="J536" s="26">
        <v>47700000</v>
      </c>
    </row>
    <row r="537" spans="1:10">
      <c r="A537" s="24">
        <v>535</v>
      </c>
      <c r="B537" s="24">
        <f t="shared" si="8"/>
        <v>314</v>
      </c>
      <c r="C537" s="1" t="s">
        <v>1054</v>
      </c>
      <c r="D537" s="1" t="s">
        <v>9</v>
      </c>
      <c r="E537" s="1" t="s">
        <v>14</v>
      </c>
      <c r="F537" s="26">
        <v>310</v>
      </c>
      <c r="G537" s="26">
        <v>0</v>
      </c>
      <c r="H537" s="26">
        <v>300</v>
      </c>
      <c r="I537" s="26">
        <v>10799475</v>
      </c>
      <c r="J537" s="26">
        <v>47700000</v>
      </c>
    </row>
    <row r="538" spans="1:10">
      <c r="A538" s="24">
        <v>536</v>
      </c>
      <c r="B538" s="24">
        <f t="shared" si="8"/>
        <v>314</v>
      </c>
      <c r="C538" s="1" t="s">
        <v>1054</v>
      </c>
      <c r="D538" s="1" t="s">
        <v>10</v>
      </c>
      <c r="E538" s="1" t="s">
        <v>14</v>
      </c>
      <c r="F538" s="26">
        <v>203</v>
      </c>
      <c r="G538" s="26">
        <v>0</v>
      </c>
      <c r="H538" s="26">
        <v>200</v>
      </c>
      <c r="I538" s="26">
        <v>7199650</v>
      </c>
      <c r="J538" s="26">
        <v>31800000</v>
      </c>
    </row>
    <row r="539" spans="1:10">
      <c r="A539" s="24">
        <v>537</v>
      </c>
      <c r="B539" s="24">
        <f t="shared" si="8"/>
        <v>315</v>
      </c>
      <c r="C539" s="1" t="s">
        <v>1055</v>
      </c>
      <c r="D539" s="1" t="s">
        <v>6</v>
      </c>
      <c r="E539" s="1" t="s">
        <v>14</v>
      </c>
      <c r="F539" s="26">
        <v>210</v>
      </c>
      <c r="G539" s="26">
        <v>0</v>
      </c>
      <c r="H539" s="26">
        <v>200</v>
      </c>
      <c r="I539" s="26">
        <v>4808800.0000000009</v>
      </c>
      <c r="J539" s="26">
        <v>23800000</v>
      </c>
    </row>
    <row r="540" spans="1:10">
      <c r="A540" s="24">
        <v>538</v>
      </c>
      <c r="B540" s="24">
        <f t="shared" si="8"/>
        <v>315</v>
      </c>
      <c r="C540" s="1" t="s">
        <v>1055</v>
      </c>
      <c r="D540" s="1" t="s">
        <v>7</v>
      </c>
      <c r="E540" s="1" t="s">
        <v>14</v>
      </c>
      <c r="F540" s="26">
        <v>262</v>
      </c>
      <c r="G540" s="26">
        <v>0</v>
      </c>
      <c r="H540" s="26">
        <v>250</v>
      </c>
      <c r="I540" s="26">
        <v>6011000.0000000009</v>
      </c>
      <c r="J540" s="26">
        <v>29750000</v>
      </c>
    </row>
    <row r="541" spans="1:10">
      <c r="A541" s="24">
        <v>539</v>
      </c>
      <c r="B541" s="24">
        <f t="shared" si="8"/>
        <v>315</v>
      </c>
      <c r="C541" s="1" t="s">
        <v>1055</v>
      </c>
      <c r="D541" s="1" t="s">
        <v>8</v>
      </c>
      <c r="E541" s="1" t="s">
        <v>14</v>
      </c>
      <c r="F541" s="26">
        <v>210</v>
      </c>
      <c r="G541" s="26">
        <v>0</v>
      </c>
      <c r="H541" s="26">
        <v>200</v>
      </c>
      <c r="I541" s="26">
        <v>4808800.0000000009</v>
      </c>
      <c r="J541" s="26">
        <v>23800000</v>
      </c>
    </row>
    <row r="542" spans="1:10">
      <c r="A542" s="24">
        <v>540</v>
      </c>
      <c r="B542" s="24">
        <f t="shared" si="8"/>
        <v>315</v>
      </c>
      <c r="C542" s="1" t="s">
        <v>1055</v>
      </c>
      <c r="D542" s="1" t="s">
        <v>9</v>
      </c>
      <c r="E542" s="1" t="s">
        <v>14</v>
      </c>
      <c r="F542" s="26">
        <v>209</v>
      </c>
      <c r="G542" s="26">
        <v>0</v>
      </c>
      <c r="H542" s="26">
        <v>200</v>
      </c>
      <c r="I542" s="26">
        <v>4808800.0000000009</v>
      </c>
      <c r="J542" s="26">
        <v>23800000</v>
      </c>
    </row>
    <row r="543" spans="1:10">
      <c r="A543" s="24">
        <v>541</v>
      </c>
      <c r="B543" s="24">
        <f t="shared" si="8"/>
        <v>315</v>
      </c>
      <c r="C543" s="1" t="s">
        <v>1055</v>
      </c>
      <c r="D543" s="1" t="s">
        <v>10</v>
      </c>
      <c r="E543" s="1" t="s">
        <v>14</v>
      </c>
      <c r="F543" s="26">
        <v>160</v>
      </c>
      <c r="G543" s="26">
        <v>0</v>
      </c>
      <c r="H543" s="26">
        <v>150</v>
      </c>
      <c r="I543" s="26">
        <v>3606600.0000000005</v>
      </c>
      <c r="J543" s="26">
        <v>17850000</v>
      </c>
    </row>
    <row r="544" spans="1:10">
      <c r="A544" s="24">
        <v>542</v>
      </c>
      <c r="B544" s="24">
        <f t="shared" si="8"/>
        <v>316</v>
      </c>
      <c r="C544" s="1" t="s">
        <v>1056</v>
      </c>
      <c r="D544" s="1" t="s">
        <v>6</v>
      </c>
      <c r="E544" s="1" t="s">
        <v>14</v>
      </c>
      <c r="F544" s="26">
        <v>210</v>
      </c>
      <c r="G544" s="26">
        <v>0</v>
      </c>
      <c r="H544" s="26">
        <v>200</v>
      </c>
      <c r="I544" s="26">
        <v>4808800.0000000009</v>
      </c>
      <c r="J544" s="26">
        <v>23800000</v>
      </c>
    </row>
    <row r="545" spans="1:10">
      <c r="A545" s="24">
        <v>543</v>
      </c>
      <c r="B545" s="24">
        <f t="shared" si="8"/>
        <v>316</v>
      </c>
      <c r="C545" s="1" t="s">
        <v>1056</v>
      </c>
      <c r="D545" s="1" t="s">
        <v>7</v>
      </c>
      <c r="E545" s="1" t="s">
        <v>14</v>
      </c>
      <c r="F545" s="26">
        <v>262</v>
      </c>
      <c r="G545" s="26">
        <v>0</v>
      </c>
      <c r="H545" s="26">
        <v>250</v>
      </c>
      <c r="I545" s="26">
        <v>6011000.0000000009</v>
      </c>
      <c r="J545" s="26">
        <v>29750000</v>
      </c>
    </row>
    <row r="546" spans="1:10">
      <c r="A546" s="24">
        <v>544</v>
      </c>
      <c r="B546" s="24">
        <f t="shared" si="8"/>
        <v>316</v>
      </c>
      <c r="C546" s="1" t="s">
        <v>1056</v>
      </c>
      <c r="D546" s="1" t="s">
        <v>8</v>
      </c>
      <c r="E546" s="1" t="s">
        <v>14</v>
      </c>
      <c r="F546" s="26">
        <v>210</v>
      </c>
      <c r="G546" s="26">
        <v>0</v>
      </c>
      <c r="H546" s="26">
        <v>200</v>
      </c>
      <c r="I546" s="26">
        <v>4808800.0000000009</v>
      </c>
      <c r="J546" s="26">
        <v>23800000</v>
      </c>
    </row>
    <row r="547" spans="1:10">
      <c r="A547" s="24">
        <v>545</v>
      </c>
      <c r="B547" s="24">
        <f t="shared" si="8"/>
        <v>316</v>
      </c>
      <c r="C547" s="1" t="s">
        <v>1056</v>
      </c>
      <c r="D547" s="1" t="s">
        <v>9</v>
      </c>
      <c r="E547" s="1" t="s">
        <v>14</v>
      </c>
      <c r="F547" s="26">
        <v>210</v>
      </c>
      <c r="G547" s="26">
        <v>0</v>
      </c>
      <c r="H547" s="26">
        <v>200</v>
      </c>
      <c r="I547" s="26">
        <v>4808800.0000000009</v>
      </c>
      <c r="J547" s="26">
        <v>23800000</v>
      </c>
    </row>
    <row r="548" spans="1:10">
      <c r="A548" s="24">
        <v>546</v>
      </c>
      <c r="B548" s="24">
        <f t="shared" si="8"/>
        <v>316</v>
      </c>
      <c r="C548" s="1" t="s">
        <v>1056</v>
      </c>
      <c r="D548" s="1" t="s">
        <v>10</v>
      </c>
      <c r="E548" s="1" t="s">
        <v>14</v>
      </c>
      <c r="F548" s="26">
        <v>158</v>
      </c>
      <c r="G548" s="26">
        <v>0</v>
      </c>
      <c r="H548" s="26">
        <v>150</v>
      </c>
      <c r="I548" s="26">
        <v>3606600.0000000005</v>
      </c>
      <c r="J548" s="26">
        <v>17850000</v>
      </c>
    </row>
    <row r="549" spans="1:10">
      <c r="A549" s="24">
        <v>547</v>
      </c>
      <c r="B549" s="24">
        <f t="shared" si="8"/>
        <v>317</v>
      </c>
      <c r="C549" s="1" t="s">
        <v>1057</v>
      </c>
      <c r="D549" s="1" t="s">
        <v>6</v>
      </c>
      <c r="E549" s="1" t="s">
        <v>14</v>
      </c>
      <c r="F549" s="26">
        <v>209</v>
      </c>
      <c r="G549" s="26">
        <v>0</v>
      </c>
      <c r="H549" s="26">
        <v>200</v>
      </c>
      <c r="I549" s="26">
        <v>4785700</v>
      </c>
      <c r="J549" s="26">
        <v>23800000</v>
      </c>
    </row>
    <row r="550" spans="1:10">
      <c r="A550" s="24">
        <v>548</v>
      </c>
      <c r="B550" s="24">
        <f t="shared" si="8"/>
        <v>317</v>
      </c>
      <c r="C550" s="1" t="s">
        <v>1057</v>
      </c>
      <c r="D550" s="1" t="s">
        <v>7</v>
      </c>
      <c r="E550" s="1" t="s">
        <v>14</v>
      </c>
      <c r="F550" s="26">
        <v>263</v>
      </c>
      <c r="G550" s="26">
        <v>0</v>
      </c>
      <c r="H550" s="26">
        <v>250</v>
      </c>
      <c r="I550" s="26">
        <v>5982125</v>
      </c>
      <c r="J550" s="26">
        <v>29750000</v>
      </c>
    </row>
    <row r="551" spans="1:10">
      <c r="A551" s="24">
        <v>549</v>
      </c>
      <c r="B551" s="24">
        <f t="shared" si="8"/>
        <v>317</v>
      </c>
      <c r="C551" s="1" t="s">
        <v>1057</v>
      </c>
      <c r="D551" s="1" t="s">
        <v>8</v>
      </c>
      <c r="E551" s="1" t="s">
        <v>14</v>
      </c>
      <c r="F551" s="26">
        <v>210</v>
      </c>
      <c r="G551" s="26">
        <v>0</v>
      </c>
      <c r="H551" s="26">
        <v>200</v>
      </c>
      <c r="I551" s="26">
        <v>4785700</v>
      </c>
      <c r="J551" s="26">
        <v>23800000</v>
      </c>
    </row>
    <row r="552" spans="1:10">
      <c r="A552" s="24">
        <v>550</v>
      </c>
      <c r="B552" s="24">
        <f t="shared" si="8"/>
        <v>317</v>
      </c>
      <c r="C552" s="1" t="s">
        <v>1057</v>
      </c>
      <c r="D552" s="1" t="s">
        <v>9</v>
      </c>
      <c r="E552" s="1" t="s">
        <v>14</v>
      </c>
      <c r="F552" s="26">
        <v>209</v>
      </c>
      <c r="G552" s="26">
        <v>0</v>
      </c>
      <c r="H552" s="26">
        <v>200</v>
      </c>
      <c r="I552" s="26">
        <v>4785700</v>
      </c>
      <c r="J552" s="26">
        <v>23800000</v>
      </c>
    </row>
    <row r="553" spans="1:10">
      <c r="A553" s="24">
        <v>551</v>
      </c>
      <c r="B553" s="24">
        <f t="shared" si="8"/>
        <v>317</v>
      </c>
      <c r="C553" s="1" t="s">
        <v>1057</v>
      </c>
      <c r="D553" s="1" t="s">
        <v>10</v>
      </c>
      <c r="E553" s="1" t="s">
        <v>14</v>
      </c>
      <c r="F553" s="26">
        <v>159</v>
      </c>
      <c r="G553" s="26">
        <v>0</v>
      </c>
      <c r="H553" s="26">
        <v>150</v>
      </c>
      <c r="I553" s="26">
        <v>3589275</v>
      </c>
      <c r="J553" s="26">
        <v>17850000</v>
      </c>
    </row>
    <row r="554" spans="1:10">
      <c r="A554" s="24">
        <v>552</v>
      </c>
      <c r="B554" s="24">
        <f t="shared" si="8"/>
        <v>318</v>
      </c>
      <c r="C554" s="1" t="s">
        <v>1058</v>
      </c>
      <c r="D554" s="1" t="s">
        <v>6</v>
      </c>
      <c r="E554" s="1" t="s">
        <v>14</v>
      </c>
      <c r="F554" s="26">
        <v>211</v>
      </c>
      <c r="G554" s="26">
        <v>0</v>
      </c>
      <c r="H554" s="26">
        <v>200</v>
      </c>
      <c r="I554" s="26">
        <v>7165000.0000000019</v>
      </c>
      <c r="J554" s="26">
        <v>31800000</v>
      </c>
    </row>
    <row r="555" spans="1:10">
      <c r="A555" s="24">
        <v>553</v>
      </c>
      <c r="B555" s="24">
        <f t="shared" si="8"/>
        <v>318</v>
      </c>
      <c r="C555" s="1" t="s">
        <v>1058</v>
      </c>
      <c r="D555" s="1" t="s">
        <v>7</v>
      </c>
      <c r="E555" s="1" t="s">
        <v>14</v>
      </c>
      <c r="F555" s="26">
        <v>262</v>
      </c>
      <c r="G555" s="26">
        <v>0</v>
      </c>
      <c r="H555" s="26">
        <v>250</v>
      </c>
      <c r="I555" s="26">
        <v>8956250.0000000019</v>
      </c>
      <c r="J555" s="26">
        <v>39750000</v>
      </c>
    </row>
    <row r="556" spans="1:10">
      <c r="A556" s="24">
        <v>554</v>
      </c>
      <c r="B556" s="24">
        <f t="shared" si="8"/>
        <v>318</v>
      </c>
      <c r="C556" s="1" t="s">
        <v>1058</v>
      </c>
      <c r="D556" s="1" t="s">
        <v>8</v>
      </c>
      <c r="E556" s="1" t="s">
        <v>14</v>
      </c>
      <c r="F556" s="26">
        <v>210</v>
      </c>
      <c r="G556" s="26">
        <v>0</v>
      </c>
      <c r="H556" s="26">
        <v>200</v>
      </c>
      <c r="I556" s="26">
        <v>7165000.0000000019</v>
      </c>
      <c r="J556" s="26">
        <v>31800000</v>
      </c>
    </row>
    <row r="557" spans="1:10">
      <c r="A557" s="24">
        <v>555</v>
      </c>
      <c r="B557" s="24">
        <f t="shared" si="8"/>
        <v>318</v>
      </c>
      <c r="C557" s="1" t="s">
        <v>1058</v>
      </c>
      <c r="D557" s="1" t="s">
        <v>9</v>
      </c>
      <c r="E557" s="1" t="s">
        <v>14</v>
      </c>
      <c r="F557" s="26">
        <v>210</v>
      </c>
      <c r="G557" s="26">
        <v>0</v>
      </c>
      <c r="H557" s="26">
        <v>200</v>
      </c>
      <c r="I557" s="26">
        <v>7165000.0000000019</v>
      </c>
      <c r="J557" s="26">
        <v>31800000</v>
      </c>
    </row>
    <row r="558" spans="1:10">
      <c r="A558" s="24">
        <v>556</v>
      </c>
      <c r="B558" s="24">
        <f t="shared" si="8"/>
        <v>318</v>
      </c>
      <c r="C558" s="1" t="s">
        <v>1058</v>
      </c>
      <c r="D558" s="1" t="s">
        <v>10</v>
      </c>
      <c r="E558" s="1" t="s">
        <v>14</v>
      </c>
      <c r="F558" s="26">
        <v>160</v>
      </c>
      <c r="G558" s="26">
        <v>0</v>
      </c>
      <c r="H558" s="26">
        <v>150</v>
      </c>
      <c r="I558" s="26">
        <v>5373750.0000000009</v>
      </c>
      <c r="J558" s="26">
        <v>23850000</v>
      </c>
    </row>
    <row r="559" spans="1:10">
      <c r="A559" s="24">
        <v>557</v>
      </c>
      <c r="B559" s="24">
        <f t="shared" si="8"/>
        <v>319</v>
      </c>
      <c r="C559" s="1" t="s">
        <v>1059</v>
      </c>
      <c r="D559" s="1" t="s">
        <v>6</v>
      </c>
      <c r="E559" s="1" t="s">
        <v>14</v>
      </c>
      <c r="F559" s="26">
        <v>210</v>
      </c>
      <c r="G559" s="26">
        <v>0</v>
      </c>
      <c r="H559" s="26">
        <v>200</v>
      </c>
      <c r="I559" s="26">
        <v>7165000.0000000019</v>
      </c>
      <c r="J559" s="26">
        <v>31800000</v>
      </c>
    </row>
    <row r="560" spans="1:10">
      <c r="A560" s="24">
        <v>558</v>
      </c>
      <c r="B560" s="24">
        <f t="shared" si="8"/>
        <v>319</v>
      </c>
      <c r="C560" s="1" t="s">
        <v>1059</v>
      </c>
      <c r="D560" s="1" t="s">
        <v>7</v>
      </c>
      <c r="E560" s="1" t="s">
        <v>14</v>
      </c>
      <c r="F560" s="26">
        <v>265</v>
      </c>
      <c r="G560" s="26">
        <v>0</v>
      </c>
      <c r="H560" s="26">
        <v>250</v>
      </c>
      <c r="I560" s="26">
        <v>8956250.0000000019</v>
      </c>
      <c r="J560" s="26">
        <v>39750000</v>
      </c>
    </row>
    <row r="561" spans="1:10">
      <c r="A561" s="24">
        <v>559</v>
      </c>
      <c r="B561" s="24">
        <f t="shared" si="8"/>
        <v>319</v>
      </c>
      <c r="C561" s="1" t="s">
        <v>1059</v>
      </c>
      <c r="D561" s="1" t="s">
        <v>8</v>
      </c>
      <c r="E561" s="1" t="s">
        <v>14</v>
      </c>
      <c r="F561" s="26">
        <v>210</v>
      </c>
      <c r="G561" s="26">
        <v>0</v>
      </c>
      <c r="H561" s="26">
        <v>200</v>
      </c>
      <c r="I561" s="26">
        <v>7165000.0000000019</v>
      </c>
      <c r="J561" s="26">
        <v>31800000</v>
      </c>
    </row>
    <row r="562" spans="1:10">
      <c r="A562" s="24">
        <v>560</v>
      </c>
      <c r="B562" s="24">
        <f t="shared" si="8"/>
        <v>319</v>
      </c>
      <c r="C562" s="1" t="s">
        <v>1059</v>
      </c>
      <c r="D562" s="1" t="s">
        <v>9</v>
      </c>
      <c r="E562" s="1" t="s">
        <v>14</v>
      </c>
      <c r="F562" s="26">
        <v>209</v>
      </c>
      <c r="G562" s="26">
        <v>0</v>
      </c>
      <c r="H562" s="26">
        <v>200</v>
      </c>
      <c r="I562" s="26">
        <v>7165000.0000000019</v>
      </c>
      <c r="J562" s="26">
        <v>31800000</v>
      </c>
    </row>
    <row r="563" spans="1:10">
      <c r="A563" s="24">
        <v>561</v>
      </c>
      <c r="B563" s="24">
        <f t="shared" si="8"/>
        <v>319</v>
      </c>
      <c r="C563" s="1" t="s">
        <v>1059</v>
      </c>
      <c r="D563" s="1" t="s">
        <v>10</v>
      </c>
      <c r="E563" s="1" t="s">
        <v>14</v>
      </c>
      <c r="F563" s="26">
        <v>159</v>
      </c>
      <c r="G563" s="26">
        <v>0</v>
      </c>
      <c r="H563" s="26">
        <v>150</v>
      </c>
      <c r="I563" s="26">
        <v>5373750.0000000009</v>
      </c>
      <c r="J563" s="26">
        <v>23850000</v>
      </c>
    </row>
    <row r="564" spans="1:10">
      <c r="A564" s="24">
        <v>562</v>
      </c>
      <c r="B564" s="24">
        <f t="shared" si="8"/>
        <v>320</v>
      </c>
      <c r="C564" s="1" t="s">
        <v>775</v>
      </c>
      <c r="F564" s="26">
        <v>9835</v>
      </c>
      <c r="G564" s="26">
        <v>0</v>
      </c>
      <c r="H564" s="26">
        <v>9400</v>
      </c>
      <c r="I564" s="26">
        <v>241455950</v>
      </c>
      <c r="J564" s="26">
        <v>1112600000</v>
      </c>
    </row>
    <row r="565" spans="1:10">
      <c r="A565" s="24">
        <v>563</v>
      </c>
      <c r="B565" s="24">
        <f t="shared" si="8"/>
        <v>321</v>
      </c>
      <c r="C565" s="1" t="s">
        <v>1060</v>
      </c>
      <c r="D565" s="1" t="s">
        <v>7</v>
      </c>
      <c r="E565" s="1" t="s">
        <v>14</v>
      </c>
      <c r="F565" s="26">
        <v>256</v>
      </c>
      <c r="G565" s="26">
        <v>0</v>
      </c>
      <c r="H565" s="26">
        <v>250</v>
      </c>
      <c r="I565" s="26">
        <v>6201000</v>
      </c>
      <c r="J565" s="26">
        <v>27250000</v>
      </c>
    </row>
    <row r="566" spans="1:10">
      <c r="A566" s="24">
        <v>564</v>
      </c>
      <c r="B566" s="24">
        <f t="shared" si="8"/>
        <v>321</v>
      </c>
      <c r="C566" s="1" t="s">
        <v>1060</v>
      </c>
      <c r="D566" s="1" t="s">
        <v>8</v>
      </c>
      <c r="E566" s="1" t="s">
        <v>14</v>
      </c>
      <c r="F566" s="26">
        <v>306</v>
      </c>
      <c r="G566" s="26">
        <v>0</v>
      </c>
      <c r="H566" s="26">
        <v>300</v>
      </c>
      <c r="I566" s="26">
        <v>7441200</v>
      </c>
      <c r="J566" s="26">
        <v>32700000</v>
      </c>
    </row>
    <row r="567" spans="1:10">
      <c r="A567" s="24">
        <v>565</v>
      </c>
      <c r="B567" s="24">
        <f t="shared" si="8"/>
        <v>321</v>
      </c>
      <c r="C567" s="1" t="s">
        <v>1060</v>
      </c>
      <c r="D567" s="1" t="s">
        <v>9</v>
      </c>
      <c r="E567" s="1" t="s">
        <v>14</v>
      </c>
      <c r="F567" s="26">
        <v>256</v>
      </c>
      <c r="G567" s="26">
        <v>0</v>
      </c>
      <c r="H567" s="26">
        <v>250</v>
      </c>
      <c r="I567" s="26">
        <v>6201000</v>
      </c>
      <c r="J567" s="26">
        <v>27250000</v>
      </c>
    </row>
    <row r="568" spans="1:10">
      <c r="A568" s="24">
        <v>566</v>
      </c>
      <c r="B568" s="24">
        <f t="shared" si="8"/>
        <v>321</v>
      </c>
      <c r="C568" s="1" t="s">
        <v>1060</v>
      </c>
      <c r="D568" s="1" t="s">
        <v>10</v>
      </c>
      <c r="E568" s="1" t="s">
        <v>14</v>
      </c>
      <c r="F568" s="26">
        <v>206</v>
      </c>
      <c r="G568" s="26">
        <v>0</v>
      </c>
      <c r="H568" s="26">
        <v>200</v>
      </c>
      <c r="I568" s="26">
        <v>4960800</v>
      </c>
      <c r="J568" s="26">
        <v>21800000</v>
      </c>
    </row>
    <row r="569" spans="1:10">
      <c r="A569" s="24">
        <v>567</v>
      </c>
      <c r="B569" s="24">
        <f t="shared" si="8"/>
        <v>322</v>
      </c>
      <c r="C569" s="1" t="s">
        <v>1061</v>
      </c>
      <c r="D569" s="1" t="s">
        <v>6</v>
      </c>
      <c r="E569" s="1" t="s">
        <v>14</v>
      </c>
      <c r="F569" s="26">
        <v>234</v>
      </c>
      <c r="G569" s="26">
        <v>0</v>
      </c>
      <c r="H569" s="26">
        <v>250</v>
      </c>
      <c r="I569" s="26">
        <v>6282250</v>
      </c>
      <c r="J569" s="26">
        <v>27250000</v>
      </c>
    </row>
    <row r="570" spans="1:10">
      <c r="A570" s="24">
        <v>568</v>
      </c>
      <c r="B570" s="24">
        <f t="shared" si="8"/>
        <v>322</v>
      </c>
      <c r="C570" s="1" t="s">
        <v>1061</v>
      </c>
      <c r="D570" s="1" t="s">
        <v>7</v>
      </c>
      <c r="E570" s="1" t="s">
        <v>14</v>
      </c>
      <c r="F570" s="26">
        <v>301</v>
      </c>
      <c r="G570" s="26">
        <v>0</v>
      </c>
      <c r="H570" s="26">
        <v>300</v>
      </c>
      <c r="I570" s="26">
        <v>7538700</v>
      </c>
      <c r="J570" s="26">
        <v>32700000</v>
      </c>
    </row>
    <row r="571" spans="1:10">
      <c r="A571" s="24">
        <v>569</v>
      </c>
      <c r="B571" s="24">
        <f t="shared" si="8"/>
        <v>322</v>
      </c>
      <c r="C571" s="1" t="s">
        <v>1061</v>
      </c>
      <c r="D571" s="1" t="s">
        <v>8</v>
      </c>
      <c r="E571" s="1" t="s">
        <v>14</v>
      </c>
      <c r="F571" s="26">
        <v>250</v>
      </c>
      <c r="G571" s="26">
        <v>0</v>
      </c>
      <c r="H571" s="26">
        <v>250</v>
      </c>
      <c r="I571" s="26">
        <v>6282250</v>
      </c>
      <c r="J571" s="26">
        <v>27250000</v>
      </c>
    </row>
    <row r="572" spans="1:10">
      <c r="A572" s="24">
        <v>570</v>
      </c>
      <c r="B572" s="24">
        <f t="shared" si="8"/>
        <v>322</v>
      </c>
      <c r="C572" s="1" t="s">
        <v>1061</v>
      </c>
      <c r="D572" s="1" t="s">
        <v>9</v>
      </c>
      <c r="E572" s="1" t="s">
        <v>14</v>
      </c>
      <c r="F572" s="26">
        <v>204</v>
      </c>
      <c r="G572" s="26">
        <v>0</v>
      </c>
      <c r="H572" s="26">
        <v>200</v>
      </c>
      <c r="I572" s="26">
        <v>5025800</v>
      </c>
      <c r="J572" s="26">
        <v>21800000</v>
      </c>
    </row>
    <row r="573" spans="1:10">
      <c r="A573" s="24">
        <v>571</v>
      </c>
      <c r="B573" s="24">
        <f t="shared" si="8"/>
        <v>323</v>
      </c>
      <c r="C573" s="1" t="s">
        <v>1062</v>
      </c>
      <c r="D573" s="1" t="s">
        <v>6</v>
      </c>
      <c r="E573" s="1" t="s">
        <v>14</v>
      </c>
      <c r="F573" s="26">
        <v>202</v>
      </c>
      <c r="G573" s="26">
        <v>0</v>
      </c>
      <c r="H573" s="26">
        <v>200</v>
      </c>
      <c r="I573" s="26">
        <v>4465000</v>
      </c>
      <c r="J573" s="26">
        <v>19800000</v>
      </c>
    </row>
    <row r="574" spans="1:10">
      <c r="A574" s="24">
        <v>572</v>
      </c>
      <c r="B574" s="24">
        <f t="shared" si="8"/>
        <v>323</v>
      </c>
      <c r="C574" s="1" t="s">
        <v>1062</v>
      </c>
      <c r="D574" s="1" t="s">
        <v>7</v>
      </c>
      <c r="E574" s="1" t="s">
        <v>14</v>
      </c>
      <c r="F574" s="26">
        <v>256</v>
      </c>
      <c r="G574" s="26">
        <v>0</v>
      </c>
      <c r="H574" s="26">
        <v>250</v>
      </c>
      <c r="I574" s="26">
        <v>5581250</v>
      </c>
      <c r="J574" s="26">
        <v>24750000</v>
      </c>
    </row>
    <row r="575" spans="1:10">
      <c r="A575" s="24">
        <v>573</v>
      </c>
      <c r="B575" s="24">
        <f t="shared" si="8"/>
        <v>323</v>
      </c>
      <c r="C575" s="1" t="s">
        <v>1062</v>
      </c>
      <c r="D575" s="1" t="s">
        <v>8</v>
      </c>
      <c r="E575" s="1" t="s">
        <v>14</v>
      </c>
      <c r="F575" s="26">
        <v>200</v>
      </c>
      <c r="G575" s="26">
        <v>0</v>
      </c>
      <c r="H575" s="26">
        <v>200</v>
      </c>
      <c r="I575" s="26">
        <v>4465000</v>
      </c>
      <c r="J575" s="26">
        <v>19800000</v>
      </c>
    </row>
    <row r="576" spans="1:10">
      <c r="A576" s="24">
        <v>574</v>
      </c>
      <c r="B576" s="24">
        <f t="shared" si="8"/>
        <v>323</v>
      </c>
      <c r="C576" s="1" t="s">
        <v>1062</v>
      </c>
      <c r="D576" s="1" t="s">
        <v>9</v>
      </c>
      <c r="E576" s="1" t="s">
        <v>14</v>
      </c>
      <c r="F576" s="26">
        <v>200</v>
      </c>
      <c r="G576" s="26">
        <v>0</v>
      </c>
      <c r="H576" s="26">
        <v>200</v>
      </c>
      <c r="I576" s="26">
        <v>4465000</v>
      </c>
      <c r="J576" s="26">
        <v>19800000</v>
      </c>
    </row>
    <row r="577" spans="1:10">
      <c r="A577" s="24">
        <v>575</v>
      </c>
      <c r="B577" s="24">
        <f t="shared" si="8"/>
        <v>323</v>
      </c>
      <c r="C577" s="1" t="s">
        <v>1062</v>
      </c>
      <c r="D577" s="1" t="s">
        <v>10</v>
      </c>
      <c r="E577" s="1" t="s">
        <v>14</v>
      </c>
      <c r="F577" s="26">
        <v>156</v>
      </c>
      <c r="G577" s="26">
        <v>0</v>
      </c>
      <c r="H577" s="26">
        <v>150</v>
      </c>
      <c r="I577" s="26">
        <v>3348750</v>
      </c>
      <c r="J577" s="26">
        <v>14850000</v>
      </c>
    </row>
    <row r="578" spans="1:10">
      <c r="A578" s="24">
        <v>576</v>
      </c>
      <c r="B578" s="24">
        <f t="shared" si="8"/>
        <v>324</v>
      </c>
      <c r="C578" s="1" t="s">
        <v>1063</v>
      </c>
      <c r="D578" s="1" t="s">
        <v>6</v>
      </c>
      <c r="E578" s="1" t="s">
        <v>14</v>
      </c>
      <c r="F578" s="26">
        <v>195</v>
      </c>
      <c r="G578" s="26">
        <v>0</v>
      </c>
      <c r="H578" s="26">
        <v>200</v>
      </c>
      <c r="I578" s="26">
        <v>4524000</v>
      </c>
      <c r="J578" s="26">
        <v>19800000</v>
      </c>
    </row>
    <row r="579" spans="1:10">
      <c r="A579" s="24">
        <v>577</v>
      </c>
      <c r="B579" s="24">
        <f t="shared" si="8"/>
        <v>324</v>
      </c>
      <c r="C579" s="1" t="s">
        <v>1063</v>
      </c>
      <c r="D579" s="1" t="s">
        <v>7</v>
      </c>
      <c r="E579" s="1" t="s">
        <v>14</v>
      </c>
      <c r="F579" s="26">
        <v>253</v>
      </c>
      <c r="G579" s="26">
        <v>0</v>
      </c>
      <c r="H579" s="26">
        <v>250</v>
      </c>
      <c r="I579" s="26">
        <v>5655000</v>
      </c>
      <c r="J579" s="26">
        <v>24750000</v>
      </c>
    </row>
    <row r="580" spans="1:10">
      <c r="A580" s="24">
        <v>578</v>
      </c>
      <c r="B580" s="24">
        <f t="shared" ref="B580:B643" si="9">IF(C579=C580,B579,B579+1)</f>
        <v>324</v>
      </c>
      <c r="C580" s="1" t="s">
        <v>1063</v>
      </c>
      <c r="D580" s="1" t="s">
        <v>8</v>
      </c>
      <c r="E580" s="1" t="s">
        <v>14</v>
      </c>
      <c r="F580" s="26">
        <v>201</v>
      </c>
      <c r="G580" s="26">
        <v>0</v>
      </c>
      <c r="H580" s="26">
        <v>200</v>
      </c>
      <c r="I580" s="26">
        <v>4524000</v>
      </c>
      <c r="J580" s="26">
        <v>19800000</v>
      </c>
    </row>
    <row r="581" spans="1:10">
      <c r="A581" s="24">
        <v>579</v>
      </c>
      <c r="B581" s="24">
        <f t="shared" si="9"/>
        <v>324</v>
      </c>
      <c r="C581" s="1" t="s">
        <v>1063</v>
      </c>
      <c r="D581" s="1" t="s">
        <v>9</v>
      </c>
      <c r="E581" s="1" t="s">
        <v>14</v>
      </c>
      <c r="F581" s="26">
        <v>197</v>
      </c>
      <c r="G581" s="26">
        <v>0</v>
      </c>
      <c r="H581" s="26">
        <v>200</v>
      </c>
      <c r="I581" s="26">
        <v>4524000</v>
      </c>
      <c r="J581" s="26">
        <v>19800000</v>
      </c>
    </row>
    <row r="582" spans="1:10">
      <c r="A582" s="24">
        <v>580</v>
      </c>
      <c r="B582" s="24">
        <f t="shared" si="9"/>
        <v>324</v>
      </c>
      <c r="C582" s="1" t="s">
        <v>1063</v>
      </c>
      <c r="D582" s="1" t="s">
        <v>10</v>
      </c>
      <c r="E582" s="1" t="s">
        <v>14</v>
      </c>
      <c r="F582" s="26">
        <v>154</v>
      </c>
      <c r="G582" s="26">
        <v>0</v>
      </c>
      <c r="H582" s="26">
        <v>150</v>
      </c>
      <c r="I582" s="26">
        <v>3393000</v>
      </c>
      <c r="J582" s="26">
        <v>14850000</v>
      </c>
    </row>
    <row r="583" spans="1:10">
      <c r="A583" s="24">
        <v>581</v>
      </c>
      <c r="B583" s="24">
        <f t="shared" si="9"/>
        <v>325</v>
      </c>
      <c r="C583" s="1" t="s">
        <v>1064</v>
      </c>
      <c r="D583" s="1" t="s">
        <v>6</v>
      </c>
      <c r="E583" s="1" t="s">
        <v>14</v>
      </c>
      <c r="F583" s="26">
        <v>187</v>
      </c>
      <c r="G583" s="26">
        <v>0</v>
      </c>
      <c r="H583" s="26">
        <v>200</v>
      </c>
      <c r="I583" s="26">
        <v>4748000</v>
      </c>
      <c r="J583" s="26">
        <v>19800000</v>
      </c>
    </row>
    <row r="584" spans="1:10">
      <c r="A584" s="24">
        <v>582</v>
      </c>
      <c r="B584" s="24">
        <f t="shared" si="9"/>
        <v>325</v>
      </c>
      <c r="C584" s="1" t="s">
        <v>1064</v>
      </c>
      <c r="D584" s="1" t="s">
        <v>7</v>
      </c>
      <c r="E584" s="1" t="s">
        <v>14</v>
      </c>
      <c r="F584" s="26">
        <v>258</v>
      </c>
      <c r="G584" s="26">
        <v>0</v>
      </c>
      <c r="H584" s="26">
        <v>250</v>
      </c>
      <c r="I584" s="26">
        <v>5935000</v>
      </c>
      <c r="J584" s="26">
        <v>24750000</v>
      </c>
    </row>
    <row r="585" spans="1:10">
      <c r="A585" s="24">
        <v>583</v>
      </c>
      <c r="B585" s="24">
        <f t="shared" si="9"/>
        <v>325</v>
      </c>
      <c r="C585" s="1" t="s">
        <v>1064</v>
      </c>
      <c r="D585" s="1" t="s">
        <v>8</v>
      </c>
      <c r="E585" s="1" t="s">
        <v>14</v>
      </c>
      <c r="F585" s="26">
        <v>203</v>
      </c>
      <c r="G585" s="26">
        <v>0</v>
      </c>
      <c r="H585" s="26">
        <v>200</v>
      </c>
      <c r="I585" s="26">
        <v>4748000</v>
      </c>
      <c r="J585" s="26">
        <v>19800000</v>
      </c>
    </row>
    <row r="586" spans="1:10">
      <c r="A586" s="24">
        <v>584</v>
      </c>
      <c r="B586" s="24">
        <f t="shared" si="9"/>
        <v>325</v>
      </c>
      <c r="C586" s="1" t="s">
        <v>1064</v>
      </c>
      <c r="D586" s="1" t="s">
        <v>9</v>
      </c>
      <c r="E586" s="1" t="s">
        <v>14</v>
      </c>
      <c r="F586" s="26">
        <v>203</v>
      </c>
      <c r="G586" s="26">
        <v>0</v>
      </c>
      <c r="H586" s="26">
        <v>200</v>
      </c>
      <c r="I586" s="26">
        <v>4748000</v>
      </c>
      <c r="J586" s="26">
        <v>19800000</v>
      </c>
    </row>
    <row r="587" spans="1:10">
      <c r="A587" s="24">
        <v>585</v>
      </c>
      <c r="B587" s="24">
        <f t="shared" si="9"/>
        <v>325</v>
      </c>
      <c r="C587" s="1" t="s">
        <v>1064</v>
      </c>
      <c r="D587" s="1" t="s">
        <v>10</v>
      </c>
      <c r="E587" s="1" t="s">
        <v>14</v>
      </c>
      <c r="F587" s="26">
        <v>150</v>
      </c>
      <c r="G587" s="26">
        <v>0</v>
      </c>
      <c r="H587" s="26">
        <v>150</v>
      </c>
      <c r="I587" s="26">
        <v>3561000</v>
      </c>
      <c r="J587" s="26">
        <v>14850000</v>
      </c>
    </row>
    <row r="588" spans="1:10">
      <c r="A588" s="24">
        <v>586</v>
      </c>
      <c r="B588" s="24">
        <f t="shared" si="9"/>
        <v>326</v>
      </c>
      <c r="C588" s="1" t="s">
        <v>1065</v>
      </c>
      <c r="D588" s="1" t="s">
        <v>7</v>
      </c>
      <c r="E588" s="1" t="s">
        <v>14</v>
      </c>
      <c r="F588" s="26">
        <v>203</v>
      </c>
      <c r="G588" s="26">
        <v>0</v>
      </c>
      <c r="H588" s="26">
        <v>200</v>
      </c>
      <c r="I588" s="26">
        <v>6379000</v>
      </c>
      <c r="J588" s="26">
        <v>25800000</v>
      </c>
    </row>
    <row r="589" spans="1:10">
      <c r="A589" s="24">
        <v>587</v>
      </c>
      <c r="B589" s="24">
        <f t="shared" si="9"/>
        <v>326</v>
      </c>
      <c r="C589" s="1" t="s">
        <v>1065</v>
      </c>
      <c r="D589" s="1" t="s">
        <v>8</v>
      </c>
      <c r="E589" s="1" t="s">
        <v>14</v>
      </c>
      <c r="F589" s="26">
        <v>313</v>
      </c>
      <c r="G589" s="26">
        <v>0</v>
      </c>
      <c r="H589" s="26">
        <v>300</v>
      </c>
      <c r="I589" s="26">
        <v>9568500</v>
      </c>
      <c r="J589" s="26">
        <v>38700000</v>
      </c>
    </row>
    <row r="590" spans="1:10">
      <c r="A590" s="24">
        <v>588</v>
      </c>
      <c r="B590" s="24">
        <f t="shared" si="9"/>
        <v>326</v>
      </c>
      <c r="C590" s="1" t="s">
        <v>1065</v>
      </c>
      <c r="D590" s="1" t="s">
        <v>9</v>
      </c>
      <c r="E590" s="1" t="s">
        <v>14</v>
      </c>
      <c r="F590" s="26">
        <v>300</v>
      </c>
      <c r="G590" s="26">
        <v>0</v>
      </c>
      <c r="H590" s="26">
        <v>300</v>
      </c>
      <c r="I590" s="26">
        <v>9568500</v>
      </c>
      <c r="J590" s="26">
        <v>38700000</v>
      </c>
    </row>
    <row r="591" spans="1:10">
      <c r="A591" s="24">
        <v>589</v>
      </c>
      <c r="B591" s="24">
        <f t="shared" si="9"/>
        <v>326</v>
      </c>
      <c r="C591" s="1" t="s">
        <v>1065</v>
      </c>
      <c r="D591" s="1" t="s">
        <v>10</v>
      </c>
      <c r="E591" s="1" t="s">
        <v>14</v>
      </c>
      <c r="F591" s="26">
        <v>204</v>
      </c>
      <c r="G591" s="26">
        <v>0</v>
      </c>
      <c r="H591" s="26">
        <v>200</v>
      </c>
      <c r="I591" s="26">
        <v>6379000</v>
      </c>
      <c r="J591" s="26">
        <v>25800000</v>
      </c>
    </row>
    <row r="592" spans="1:10">
      <c r="A592" s="24">
        <v>590</v>
      </c>
      <c r="B592" s="24">
        <f t="shared" si="9"/>
        <v>327</v>
      </c>
      <c r="C592" s="1" t="s">
        <v>775</v>
      </c>
      <c r="F592" s="26">
        <v>6048</v>
      </c>
      <c r="G592" s="26">
        <v>0</v>
      </c>
      <c r="H592" s="26">
        <v>6000</v>
      </c>
      <c r="I592" s="26">
        <v>150513000</v>
      </c>
      <c r="J592" s="26">
        <v>644000000</v>
      </c>
    </row>
    <row r="593" spans="1:10">
      <c r="A593" s="24">
        <v>591</v>
      </c>
      <c r="B593" s="24">
        <f t="shared" si="9"/>
        <v>328</v>
      </c>
      <c r="C593" s="1" t="s">
        <v>1066</v>
      </c>
      <c r="D593" s="1" t="s">
        <v>4</v>
      </c>
      <c r="E593" s="1" t="s">
        <v>15</v>
      </c>
      <c r="F593" s="26">
        <v>100</v>
      </c>
      <c r="G593" s="26">
        <v>0</v>
      </c>
      <c r="H593" s="26">
        <v>100</v>
      </c>
      <c r="I593" s="26">
        <v>1135397.0000000002</v>
      </c>
      <c r="J593" s="26">
        <v>6300000</v>
      </c>
    </row>
    <row r="594" spans="1:10">
      <c r="A594" s="24">
        <v>592</v>
      </c>
      <c r="B594" s="24">
        <f t="shared" si="9"/>
        <v>329</v>
      </c>
      <c r="C594" s="1" t="s">
        <v>1067</v>
      </c>
      <c r="D594" s="1" t="s">
        <v>4</v>
      </c>
      <c r="E594" s="1" t="s">
        <v>15</v>
      </c>
      <c r="F594" s="26">
        <v>100</v>
      </c>
      <c r="G594" s="26">
        <v>0</v>
      </c>
      <c r="H594" s="26">
        <v>100</v>
      </c>
      <c r="I594" s="26">
        <v>1135397.0000000002</v>
      </c>
      <c r="J594" s="26">
        <v>6300000</v>
      </c>
    </row>
    <row r="595" spans="1:10">
      <c r="A595" s="24">
        <v>593</v>
      </c>
      <c r="B595" s="24">
        <f t="shared" si="9"/>
        <v>330</v>
      </c>
      <c r="C595" s="1" t="s">
        <v>1068</v>
      </c>
      <c r="D595" s="1" t="s">
        <v>4</v>
      </c>
      <c r="E595" s="1" t="s">
        <v>15</v>
      </c>
      <c r="F595" s="26">
        <v>200</v>
      </c>
      <c r="G595" s="26">
        <v>0</v>
      </c>
      <c r="H595" s="26">
        <v>200</v>
      </c>
      <c r="I595" s="26">
        <v>2378070.4000000004</v>
      </c>
      <c r="J595" s="26">
        <v>9800000</v>
      </c>
    </row>
    <row r="596" spans="1:10">
      <c r="A596" s="24">
        <v>594</v>
      </c>
      <c r="B596" s="24">
        <f t="shared" si="9"/>
        <v>331</v>
      </c>
      <c r="C596" s="1" t="s">
        <v>1069</v>
      </c>
      <c r="D596" s="1" t="s">
        <v>4</v>
      </c>
      <c r="E596" s="1" t="s">
        <v>15</v>
      </c>
      <c r="F596" s="26">
        <v>150</v>
      </c>
      <c r="G596" s="26">
        <v>0</v>
      </c>
      <c r="H596" s="26">
        <v>150</v>
      </c>
      <c r="I596" s="26">
        <v>1783552.8000000003</v>
      </c>
      <c r="J596" s="26">
        <v>7350000</v>
      </c>
    </row>
    <row r="597" spans="1:10">
      <c r="A597" s="24">
        <v>595</v>
      </c>
      <c r="B597" s="24">
        <f t="shared" si="9"/>
        <v>332</v>
      </c>
      <c r="C597" s="1" t="s">
        <v>1070</v>
      </c>
      <c r="D597" s="1" t="s">
        <v>4</v>
      </c>
      <c r="E597" s="1" t="s">
        <v>15</v>
      </c>
      <c r="F597" s="26">
        <v>100</v>
      </c>
      <c r="G597" s="26">
        <v>0</v>
      </c>
      <c r="H597" s="26">
        <v>100</v>
      </c>
      <c r="I597" s="26">
        <v>1296311.6000000001</v>
      </c>
      <c r="J597" s="26">
        <v>5900000</v>
      </c>
    </row>
    <row r="598" spans="1:10">
      <c r="A598" s="24">
        <v>596</v>
      </c>
      <c r="B598" s="24">
        <f t="shared" si="9"/>
        <v>333</v>
      </c>
      <c r="C598" s="1" t="s">
        <v>1071</v>
      </c>
      <c r="D598" s="1" t="s">
        <v>4</v>
      </c>
      <c r="E598" s="1" t="s">
        <v>15</v>
      </c>
      <c r="F598" s="26">
        <v>200</v>
      </c>
      <c r="G598" s="26">
        <v>0</v>
      </c>
      <c r="H598" s="26">
        <v>200</v>
      </c>
      <c r="I598" s="26">
        <v>1909510.0000000002</v>
      </c>
      <c r="J598" s="26">
        <v>8600000</v>
      </c>
    </row>
    <row r="599" spans="1:10">
      <c r="A599" s="24">
        <v>597</v>
      </c>
      <c r="B599" s="24">
        <f t="shared" si="9"/>
        <v>334</v>
      </c>
      <c r="C599" s="1" t="s">
        <v>1072</v>
      </c>
      <c r="D599" s="1" t="s">
        <v>4</v>
      </c>
      <c r="E599" s="1" t="s">
        <v>15</v>
      </c>
      <c r="F599" s="26">
        <v>150</v>
      </c>
      <c r="G599" s="26">
        <v>0</v>
      </c>
      <c r="H599" s="26">
        <v>150</v>
      </c>
      <c r="I599" s="26">
        <v>1432132.5000000002</v>
      </c>
      <c r="J599" s="26">
        <v>6450000</v>
      </c>
    </row>
    <row r="600" spans="1:10">
      <c r="A600" s="24">
        <v>598</v>
      </c>
      <c r="B600" s="24">
        <f t="shared" si="9"/>
        <v>335</v>
      </c>
      <c r="C600" s="1" t="s">
        <v>1073</v>
      </c>
      <c r="D600" s="1" t="s">
        <v>4</v>
      </c>
      <c r="E600" s="1" t="s">
        <v>15</v>
      </c>
      <c r="F600" s="26">
        <v>200</v>
      </c>
      <c r="G600" s="26">
        <v>0</v>
      </c>
      <c r="H600" s="26">
        <v>200</v>
      </c>
      <c r="I600" s="26">
        <v>2562685.6000000006</v>
      </c>
      <c r="J600" s="26">
        <v>9800000</v>
      </c>
    </row>
    <row r="601" spans="1:10">
      <c r="A601" s="24">
        <v>599</v>
      </c>
      <c r="B601" s="24">
        <f t="shared" si="9"/>
        <v>336</v>
      </c>
      <c r="C601" s="1" t="s">
        <v>1074</v>
      </c>
      <c r="D601" s="1" t="s">
        <v>4</v>
      </c>
      <c r="E601" s="1" t="s">
        <v>15</v>
      </c>
      <c r="F601" s="26">
        <v>150</v>
      </c>
      <c r="G601" s="26">
        <v>0</v>
      </c>
      <c r="H601" s="26">
        <v>150</v>
      </c>
      <c r="I601" s="26">
        <v>1922014.2000000002</v>
      </c>
      <c r="J601" s="26">
        <v>7350000</v>
      </c>
    </row>
    <row r="602" spans="1:10">
      <c r="A602" s="24">
        <v>600</v>
      </c>
      <c r="B602" s="24">
        <f t="shared" si="9"/>
        <v>337</v>
      </c>
      <c r="C602" s="1" t="s">
        <v>1075</v>
      </c>
      <c r="D602" s="1" t="s">
        <v>4</v>
      </c>
      <c r="E602" s="1" t="s">
        <v>15</v>
      </c>
      <c r="F602" s="26">
        <v>150</v>
      </c>
      <c r="G602" s="26">
        <v>0</v>
      </c>
      <c r="H602" s="26">
        <v>150</v>
      </c>
      <c r="I602" s="26">
        <v>1740517.5</v>
      </c>
      <c r="J602" s="26">
        <v>7350000</v>
      </c>
    </row>
    <row r="603" spans="1:10">
      <c r="A603" s="24">
        <v>601</v>
      </c>
      <c r="B603" s="24">
        <f t="shared" si="9"/>
        <v>338</v>
      </c>
      <c r="C603" s="1" t="s">
        <v>1076</v>
      </c>
      <c r="D603" s="1" t="s">
        <v>4</v>
      </c>
      <c r="E603" s="1" t="s">
        <v>15</v>
      </c>
      <c r="F603" s="26">
        <v>100</v>
      </c>
      <c r="G603" s="26">
        <v>0</v>
      </c>
      <c r="H603" s="26">
        <v>100</v>
      </c>
      <c r="I603" s="26">
        <v>1160345</v>
      </c>
      <c r="J603" s="26">
        <v>4900000</v>
      </c>
    </row>
    <row r="604" spans="1:10">
      <c r="A604" s="24">
        <v>602</v>
      </c>
      <c r="B604" s="24">
        <f t="shared" si="9"/>
        <v>339</v>
      </c>
      <c r="C604" s="1" t="s">
        <v>1077</v>
      </c>
      <c r="D604" s="1" t="s">
        <v>4</v>
      </c>
      <c r="E604" s="1" t="s">
        <v>15</v>
      </c>
      <c r="F604" s="26">
        <v>150</v>
      </c>
      <c r="G604" s="26">
        <v>0</v>
      </c>
      <c r="H604" s="26">
        <v>150</v>
      </c>
      <c r="I604" s="26">
        <v>2148417.3000000003</v>
      </c>
      <c r="J604" s="26">
        <v>8850000</v>
      </c>
    </row>
    <row r="605" spans="1:10">
      <c r="A605" s="24">
        <v>603</v>
      </c>
      <c r="B605" s="24">
        <f t="shared" si="9"/>
        <v>340</v>
      </c>
      <c r="C605" s="1" t="s">
        <v>1078</v>
      </c>
      <c r="D605" s="1" t="s">
        <v>4</v>
      </c>
      <c r="E605" s="1" t="s">
        <v>15</v>
      </c>
      <c r="F605" s="26">
        <v>150</v>
      </c>
      <c r="G605" s="26">
        <v>0</v>
      </c>
      <c r="H605" s="26">
        <v>150</v>
      </c>
      <c r="I605" s="26">
        <v>2148417.3000000003</v>
      </c>
      <c r="J605" s="26">
        <v>8850000</v>
      </c>
    </row>
    <row r="606" spans="1:10">
      <c r="A606" s="24">
        <v>604</v>
      </c>
      <c r="B606" s="24">
        <f t="shared" si="9"/>
        <v>341</v>
      </c>
      <c r="C606" s="1" t="s">
        <v>1079</v>
      </c>
      <c r="D606" s="1" t="s">
        <v>4</v>
      </c>
      <c r="E606" s="1" t="s">
        <v>15</v>
      </c>
      <c r="F606" s="26">
        <v>100</v>
      </c>
      <c r="G606" s="26">
        <v>0</v>
      </c>
      <c r="H606" s="26">
        <v>100</v>
      </c>
      <c r="I606" s="26">
        <v>1288827.2000000002</v>
      </c>
      <c r="J606" s="26">
        <v>6900000</v>
      </c>
    </row>
    <row r="607" spans="1:10">
      <c r="A607" s="24">
        <v>605</v>
      </c>
      <c r="B607" s="24">
        <f t="shared" si="9"/>
        <v>342</v>
      </c>
      <c r="C607" s="1" t="s">
        <v>1080</v>
      </c>
      <c r="D607" s="1" t="s">
        <v>4</v>
      </c>
      <c r="E607" s="1" t="s">
        <v>15</v>
      </c>
      <c r="F607" s="26">
        <v>100</v>
      </c>
      <c r="G607" s="26">
        <v>0</v>
      </c>
      <c r="H607" s="26">
        <v>100</v>
      </c>
      <c r="I607" s="26">
        <v>1288827.2000000002</v>
      </c>
      <c r="J607" s="26">
        <v>6900000</v>
      </c>
    </row>
    <row r="608" spans="1:10">
      <c r="A608" s="24">
        <v>606</v>
      </c>
      <c r="B608" s="24">
        <f t="shared" si="9"/>
        <v>343</v>
      </c>
      <c r="C608" s="1" t="s">
        <v>1081</v>
      </c>
      <c r="D608" s="1" t="s">
        <v>4</v>
      </c>
      <c r="E608" s="1" t="s">
        <v>15</v>
      </c>
      <c r="F608" s="26">
        <v>100</v>
      </c>
      <c r="G608" s="26">
        <v>0</v>
      </c>
      <c r="H608" s="26">
        <v>100</v>
      </c>
      <c r="I608" s="26">
        <v>1189035.2000000002</v>
      </c>
      <c r="J608" s="26">
        <v>4900000</v>
      </c>
    </row>
    <row r="609" spans="1:10">
      <c r="A609" s="24">
        <v>607</v>
      </c>
      <c r="B609" s="24">
        <f t="shared" si="9"/>
        <v>344</v>
      </c>
      <c r="C609" s="1" t="s">
        <v>1082</v>
      </c>
      <c r="D609" s="1" t="s">
        <v>4</v>
      </c>
      <c r="E609" s="1" t="s">
        <v>15</v>
      </c>
      <c r="F609" s="26">
        <v>100</v>
      </c>
      <c r="G609" s="26">
        <v>0</v>
      </c>
      <c r="H609" s="26">
        <v>100</v>
      </c>
      <c r="I609" s="26">
        <v>1189035.2000000002</v>
      </c>
      <c r="J609" s="26">
        <v>4900000</v>
      </c>
    </row>
    <row r="610" spans="1:10">
      <c r="A610" s="24">
        <v>608</v>
      </c>
      <c r="B610" s="24">
        <f t="shared" si="9"/>
        <v>345</v>
      </c>
      <c r="C610" s="1" t="s">
        <v>1083</v>
      </c>
      <c r="D610" s="1" t="s">
        <v>4</v>
      </c>
      <c r="E610" s="1" t="s">
        <v>15</v>
      </c>
      <c r="F610" s="26">
        <v>100</v>
      </c>
      <c r="G610" s="26">
        <v>0</v>
      </c>
      <c r="H610" s="26">
        <v>100</v>
      </c>
      <c r="I610" s="26">
        <v>1705458.8</v>
      </c>
      <c r="J610" s="26">
        <v>7500000</v>
      </c>
    </row>
    <row r="611" spans="1:10">
      <c r="A611" s="24">
        <v>609</v>
      </c>
      <c r="B611" s="24">
        <f t="shared" si="9"/>
        <v>346</v>
      </c>
      <c r="C611" s="1" t="s">
        <v>1084</v>
      </c>
      <c r="D611" s="1" t="s">
        <v>4</v>
      </c>
      <c r="E611" s="1" t="s">
        <v>15</v>
      </c>
      <c r="F611" s="26">
        <v>70</v>
      </c>
      <c r="G611" s="26">
        <v>0</v>
      </c>
      <c r="H611" s="26">
        <v>70</v>
      </c>
      <c r="I611" s="26">
        <v>1169372.1200000001</v>
      </c>
      <c r="J611" s="26">
        <v>5110000</v>
      </c>
    </row>
    <row r="612" spans="1:10">
      <c r="A612" s="24">
        <v>610</v>
      </c>
      <c r="B612" s="24">
        <f t="shared" si="9"/>
        <v>347</v>
      </c>
      <c r="C612" s="1" t="s">
        <v>1085</v>
      </c>
      <c r="D612" s="1" t="s">
        <v>4</v>
      </c>
      <c r="E612" s="1" t="s">
        <v>15</v>
      </c>
      <c r="F612" s="26">
        <v>70</v>
      </c>
      <c r="G612" s="26">
        <v>0</v>
      </c>
      <c r="H612" s="26">
        <v>70</v>
      </c>
      <c r="I612" s="26">
        <v>1169372.1200000001</v>
      </c>
      <c r="J612" s="26">
        <v>5110000</v>
      </c>
    </row>
    <row r="613" spans="1:10">
      <c r="A613" s="24">
        <v>611</v>
      </c>
      <c r="B613" s="24">
        <f t="shared" si="9"/>
        <v>348</v>
      </c>
      <c r="C613" s="1" t="s">
        <v>1086</v>
      </c>
      <c r="D613" s="1" t="s">
        <v>4</v>
      </c>
      <c r="E613" s="1" t="s">
        <v>15</v>
      </c>
      <c r="F613" s="26">
        <v>70</v>
      </c>
      <c r="G613" s="26">
        <v>0</v>
      </c>
      <c r="H613" s="26">
        <v>70</v>
      </c>
      <c r="I613" s="26">
        <v>1169372.1200000001</v>
      </c>
      <c r="J613" s="26">
        <v>5110000</v>
      </c>
    </row>
    <row r="614" spans="1:10">
      <c r="A614" s="24">
        <v>612</v>
      </c>
      <c r="B614" s="24">
        <f t="shared" si="9"/>
        <v>349</v>
      </c>
      <c r="C614" s="1" t="s">
        <v>1087</v>
      </c>
      <c r="D614" s="1" t="s">
        <v>4</v>
      </c>
      <c r="E614" s="1" t="s">
        <v>15</v>
      </c>
      <c r="F614" s="26">
        <v>100</v>
      </c>
      <c r="G614" s="26">
        <v>0</v>
      </c>
      <c r="H614" s="26">
        <v>100</v>
      </c>
      <c r="I614" s="26">
        <v>1419804.2000000004</v>
      </c>
      <c r="J614" s="26">
        <v>6300000</v>
      </c>
    </row>
    <row r="615" spans="1:10">
      <c r="A615" s="24">
        <v>613</v>
      </c>
      <c r="B615" s="24">
        <f t="shared" si="9"/>
        <v>350</v>
      </c>
      <c r="C615" s="1" t="s">
        <v>1088</v>
      </c>
      <c r="D615" s="1" t="s">
        <v>4</v>
      </c>
      <c r="E615" s="1" t="s">
        <v>15</v>
      </c>
      <c r="F615" s="26">
        <v>100</v>
      </c>
      <c r="G615" s="26">
        <v>0</v>
      </c>
      <c r="H615" s="26">
        <v>100</v>
      </c>
      <c r="I615" s="26">
        <v>1419804.2000000004</v>
      </c>
      <c r="J615" s="26">
        <v>6300000</v>
      </c>
    </row>
    <row r="616" spans="1:10">
      <c r="A616" s="24">
        <v>614</v>
      </c>
      <c r="B616" s="24">
        <f t="shared" si="9"/>
        <v>351</v>
      </c>
      <c r="C616" s="1" t="s">
        <v>1089</v>
      </c>
      <c r="D616" s="1" t="s">
        <v>4</v>
      </c>
      <c r="E616" s="1" t="s">
        <v>15</v>
      </c>
      <c r="F616" s="26">
        <v>100</v>
      </c>
      <c r="G616" s="26">
        <v>0</v>
      </c>
      <c r="H616" s="26">
        <v>100</v>
      </c>
      <c r="I616" s="26">
        <v>1419804.2000000004</v>
      </c>
      <c r="J616" s="26">
        <v>6300000</v>
      </c>
    </row>
    <row r="617" spans="1:10">
      <c r="A617" s="24">
        <v>615</v>
      </c>
      <c r="B617" s="24">
        <f t="shared" si="9"/>
        <v>352</v>
      </c>
      <c r="C617" s="1" t="s">
        <v>1090</v>
      </c>
      <c r="D617" s="1" t="s">
        <v>4</v>
      </c>
      <c r="E617" s="1" t="s">
        <v>15</v>
      </c>
      <c r="F617" s="26">
        <v>200</v>
      </c>
      <c r="G617" s="26">
        <v>0</v>
      </c>
      <c r="H617" s="26">
        <v>200</v>
      </c>
      <c r="I617" s="26">
        <v>2323184.8000000007</v>
      </c>
      <c r="J617" s="26">
        <v>9800000</v>
      </c>
    </row>
    <row r="618" spans="1:10">
      <c r="A618" s="24">
        <v>616</v>
      </c>
      <c r="B618" s="24">
        <f t="shared" si="9"/>
        <v>353</v>
      </c>
      <c r="C618" s="1" t="s">
        <v>1091</v>
      </c>
      <c r="D618" s="1" t="s">
        <v>4</v>
      </c>
      <c r="E618" s="1" t="s">
        <v>15</v>
      </c>
      <c r="F618" s="26">
        <v>120</v>
      </c>
      <c r="G618" s="26">
        <v>0</v>
      </c>
      <c r="H618" s="26">
        <v>120</v>
      </c>
      <c r="I618" s="26">
        <v>1368463.9200000002</v>
      </c>
      <c r="J618" s="26">
        <v>5880000</v>
      </c>
    </row>
    <row r="619" spans="1:10">
      <c r="A619" s="24">
        <v>617</v>
      </c>
      <c r="B619" s="24">
        <f t="shared" si="9"/>
        <v>354</v>
      </c>
      <c r="C619" s="1" t="s">
        <v>1092</v>
      </c>
      <c r="D619" s="1" t="s">
        <v>4</v>
      </c>
      <c r="E619" s="1" t="s">
        <v>15</v>
      </c>
      <c r="F619" s="26">
        <v>120</v>
      </c>
      <c r="G619" s="26">
        <v>0</v>
      </c>
      <c r="H619" s="26">
        <v>120</v>
      </c>
      <c r="I619" s="26">
        <v>1368463.9200000002</v>
      </c>
      <c r="J619" s="26">
        <v>5880000</v>
      </c>
    </row>
    <row r="620" spans="1:10">
      <c r="A620" s="24">
        <v>618</v>
      </c>
      <c r="B620" s="24">
        <f t="shared" si="9"/>
        <v>355</v>
      </c>
      <c r="C620" s="1" t="s">
        <v>1093</v>
      </c>
      <c r="D620" s="1" t="s">
        <v>4</v>
      </c>
      <c r="E620" s="1" t="s">
        <v>15</v>
      </c>
      <c r="F620" s="26">
        <v>200</v>
      </c>
      <c r="G620" s="26">
        <v>0</v>
      </c>
      <c r="H620" s="26">
        <v>200</v>
      </c>
      <c r="I620" s="26">
        <v>2071210.0000000002</v>
      </c>
      <c r="J620" s="26">
        <v>8600000</v>
      </c>
    </row>
    <row r="621" spans="1:10">
      <c r="A621" s="24">
        <v>619</v>
      </c>
      <c r="B621" s="24">
        <f t="shared" si="9"/>
        <v>356</v>
      </c>
      <c r="C621" s="1" t="s">
        <v>1094</v>
      </c>
      <c r="D621" s="1" t="s">
        <v>4</v>
      </c>
      <c r="E621" s="1" t="s">
        <v>15</v>
      </c>
      <c r="F621" s="26">
        <v>200</v>
      </c>
      <c r="G621" s="26">
        <v>0</v>
      </c>
      <c r="H621" s="26">
        <v>200</v>
      </c>
      <c r="I621" s="26">
        <v>2071210.0000000002</v>
      </c>
      <c r="J621" s="26">
        <v>8600000</v>
      </c>
    </row>
    <row r="622" spans="1:10">
      <c r="A622" s="24">
        <v>620</v>
      </c>
      <c r="B622" s="24">
        <f t="shared" si="9"/>
        <v>357</v>
      </c>
      <c r="C622" s="1" t="s">
        <v>1095</v>
      </c>
      <c r="D622" s="1" t="s">
        <v>4</v>
      </c>
      <c r="E622" s="1" t="s">
        <v>15</v>
      </c>
      <c r="F622" s="26">
        <v>200</v>
      </c>
      <c r="G622" s="26">
        <v>0</v>
      </c>
      <c r="H622" s="26">
        <v>200</v>
      </c>
      <c r="I622" s="26">
        <v>2098652.8000000007</v>
      </c>
      <c r="J622" s="26">
        <v>9800000</v>
      </c>
    </row>
    <row r="623" spans="1:10">
      <c r="A623" s="24">
        <v>621</v>
      </c>
      <c r="B623" s="24">
        <f t="shared" si="9"/>
        <v>358</v>
      </c>
      <c r="C623" s="1" t="s">
        <v>1096</v>
      </c>
      <c r="D623" s="1" t="s">
        <v>4</v>
      </c>
      <c r="E623" s="1" t="s">
        <v>15</v>
      </c>
      <c r="F623" s="26">
        <v>200</v>
      </c>
      <c r="G623" s="26">
        <v>0</v>
      </c>
      <c r="H623" s="26">
        <v>200</v>
      </c>
      <c r="I623" s="26">
        <v>2098652.8000000007</v>
      </c>
      <c r="J623" s="26">
        <v>9800000</v>
      </c>
    </row>
    <row r="624" spans="1:10">
      <c r="A624" s="24">
        <v>622</v>
      </c>
      <c r="B624" s="24">
        <f t="shared" si="9"/>
        <v>359</v>
      </c>
      <c r="C624" s="1" t="s">
        <v>1097</v>
      </c>
      <c r="D624" s="1" t="s">
        <v>4</v>
      </c>
      <c r="E624" s="1" t="s">
        <v>15</v>
      </c>
      <c r="F624" s="26">
        <v>150</v>
      </c>
      <c r="G624" s="26">
        <v>0</v>
      </c>
      <c r="H624" s="26">
        <v>150</v>
      </c>
      <c r="I624" s="26">
        <v>1834072.5000000002</v>
      </c>
      <c r="J624" s="26">
        <v>7350000</v>
      </c>
    </row>
    <row r="625" spans="1:10">
      <c r="A625" s="24">
        <v>623</v>
      </c>
      <c r="B625" s="24">
        <f t="shared" si="9"/>
        <v>360</v>
      </c>
      <c r="C625" s="1" t="s">
        <v>1098</v>
      </c>
      <c r="D625" s="1" t="s">
        <v>4</v>
      </c>
      <c r="E625" s="1" t="s">
        <v>15</v>
      </c>
      <c r="F625" s="26">
        <v>100</v>
      </c>
      <c r="G625" s="26">
        <v>0</v>
      </c>
      <c r="H625" s="26">
        <v>100</v>
      </c>
      <c r="I625" s="26">
        <v>1222715.0000000002</v>
      </c>
      <c r="J625" s="26">
        <v>4900000</v>
      </c>
    </row>
    <row r="626" spans="1:10">
      <c r="A626" s="24">
        <v>624</v>
      </c>
      <c r="B626" s="24">
        <f t="shared" si="9"/>
        <v>361</v>
      </c>
      <c r="C626" s="1" t="s">
        <v>1099</v>
      </c>
      <c r="D626" s="1" t="s">
        <v>4</v>
      </c>
      <c r="E626" s="1" t="s">
        <v>15</v>
      </c>
      <c r="F626" s="26">
        <v>150</v>
      </c>
      <c r="G626" s="26">
        <v>0</v>
      </c>
      <c r="H626" s="26">
        <v>150</v>
      </c>
      <c r="I626" s="26">
        <v>1542180.9</v>
      </c>
      <c r="J626" s="26">
        <v>8250000</v>
      </c>
    </row>
    <row r="627" spans="1:10">
      <c r="A627" s="24">
        <v>625</v>
      </c>
      <c r="B627" s="24">
        <f t="shared" si="9"/>
        <v>362</v>
      </c>
      <c r="C627" s="1" t="s">
        <v>1100</v>
      </c>
      <c r="D627" s="1" t="s">
        <v>4</v>
      </c>
      <c r="E627" s="1" t="s">
        <v>15</v>
      </c>
      <c r="F627" s="26">
        <v>150</v>
      </c>
      <c r="G627" s="26">
        <v>0</v>
      </c>
      <c r="H627" s="26">
        <v>150</v>
      </c>
      <c r="I627" s="26">
        <v>1381266.3000000005</v>
      </c>
      <c r="J627" s="26">
        <v>7350000</v>
      </c>
    </row>
    <row r="628" spans="1:10">
      <c r="A628" s="24">
        <v>626</v>
      </c>
      <c r="B628" s="24">
        <f t="shared" si="9"/>
        <v>363</v>
      </c>
      <c r="C628" s="1" t="s">
        <v>1101</v>
      </c>
      <c r="D628" s="1" t="s">
        <v>4</v>
      </c>
      <c r="E628" s="1" t="s">
        <v>15</v>
      </c>
      <c r="F628" s="26">
        <v>100</v>
      </c>
      <c r="G628" s="26">
        <v>0</v>
      </c>
      <c r="H628" s="26">
        <v>100</v>
      </c>
      <c r="I628" s="26">
        <v>1726664.6</v>
      </c>
      <c r="J628" s="26">
        <v>5900000</v>
      </c>
    </row>
    <row r="629" spans="1:10">
      <c r="A629" s="24">
        <v>627</v>
      </c>
      <c r="B629" s="24">
        <f t="shared" si="9"/>
        <v>364</v>
      </c>
      <c r="C629" s="1" t="s">
        <v>1102</v>
      </c>
      <c r="D629" s="1" t="s">
        <v>4</v>
      </c>
      <c r="E629" s="1" t="s">
        <v>15</v>
      </c>
      <c r="F629" s="26">
        <v>150</v>
      </c>
      <c r="G629" s="26">
        <v>0</v>
      </c>
      <c r="H629" s="26">
        <v>150</v>
      </c>
      <c r="I629" s="26">
        <v>1590829.5000000005</v>
      </c>
      <c r="J629" s="26">
        <v>6450000</v>
      </c>
    </row>
    <row r="630" spans="1:10">
      <c r="A630" s="24">
        <v>628</v>
      </c>
      <c r="B630" s="24">
        <f t="shared" si="9"/>
        <v>365</v>
      </c>
      <c r="C630" s="1" t="s">
        <v>1103</v>
      </c>
      <c r="D630" s="1" t="s">
        <v>4</v>
      </c>
      <c r="E630" s="1" t="s">
        <v>15</v>
      </c>
      <c r="F630" s="26">
        <v>150</v>
      </c>
      <c r="G630" s="26">
        <v>0</v>
      </c>
      <c r="H630" s="26">
        <v>150</v>
      </c>
      <c r="I630" s="26">
        <v>1553407.5000000002</v>
      </c>
      <c r="J630" s="26">
        <v>6450000</v>
      </c>
    </row>
    <row r="631" spans="1:10">
      <c r="A631" s="24">
        <v>629</v>
      </c>
      <c r="B631" s="24">
        <f t="shared" si="9"/>
        <v>366</v>
      </c>
      <c r="C631" s="1" t="s">
        <v>1104</v>
      </c>
      <c r="D631" s="1" t="s">
        <v>4</v>
      </c>
      <c r="E631" s="1" t="s">
        <v>15</v>
      </c>
      <c r="F631" s="26">
        <v>150</v>
      </c>
      <c r="G631" s="26">
        <v>0</v>
      </c>
      <c r="H631" s="26">
        <v>150</v>
      </c>
      <c r="I631" s="26">
        <v>1553407.5000000002</v>
      </c>
      <c r="J631" s="26">
        <v>6450000</v>
      </c>
    </row>
    <row r="632" spans="1:10">
      <c r="A632" s="24">
        <v>630</v>
      </c>
      <c r="B632" s="24">
        <f t="shared" si="9"/>
        <v>367</v>
      </c>
      <c r="C632" s="1" t="s">
        <v>1105</v>
      </c>
      <c r="D632" s="1" t="s">
        <v>4</v>
      </c>
      <c r="E632" s="1" t="s">
        <v>15</v>
      </c>
      <c r="F632" s="26">
        <v>150</v>
      </c>
      <c r="G632" s="26">
        <v>0</v>
      </c>
      <c r="H632" s="26">
        <v>150</v>
      </c>
      <c r="I632" s="26">
        <v>1813490.4000000006</v>
      </c>
      <c r="J632" s="26">
        <v>7350000</v>
      </c>
    </row>
    <row r="633" spans="1:10">
      <c r="A633" s="24">
        <v>631</v>
      </c>
      <c r="B633" s="24">
        <f t="shared" si="9"/>
        <v>368</v>
      </c>
      <c r="C633" s="1" t="s">
        <v>1106</v>
      </c>
      <c r="D633" s="1" t="s">
        <v>4</v>
      </c>
      <c r="E633" s="1" t="s">
        <v>15</v>
      </c>
      <c r="F633" s="26">
        <v>150</v>
      </c>
      <c r="G633" s="26">
        <v>0</v>
      </c>
      <c r="H633" s="26">
        <v>150</v>
      </c>
      <c r="I633" s="26">
        <v>1813490.4000000006</v>
      </c>
      <c r="J633" s="26">
        <v>7350000</v>
      </c>
    </row>
    <row r="634" spans="1:10">
      <c r="A634" s="24">
        <v>632</v>
      </c>
      <c r="B634" s="24">
        <f t="shared" si="9"/>
        <v>369</v>
      </c>
      <c r="C634" s="1" t="s">
        <v>1107</v>
      </c>
      <c r="D634" s="1" t="s">
        <v>4</v>
      </c>
      <c r="E634" s="1" t="s">
        <v>15</v>
      </c>
      <c r="F634" s="26">
        <v>150</v>
      </c>
      <c r="G634" s="26">
        <v>0</v>
      </c>
      <c r="H634" s="26">
        <v>150</v>
      </c>
      <c r="I634" s="26">
        <v>2021182.5</v>
      </c>
      <c r="J634" s="26">
        <v>8250000</v>
      </c>
    </row>
    <row r="635" spans="1:10">
      <c r="A635" s="24">
        <v>633</v>
      </c>
      <c r="B635" s="24">
        <f t="shared" si="9"/>
        <v>370</v>
      </c>
      <c r="C635" s="1" t="s">
        <v>1108</v>
      </c>
      <c r="D635" s="1" t="s">
        <v>4</v>
      </c>
      <c r="E635" s="1" t="s">
        <v>15</v>
      </c>
      <c r="F635" s="26">
        <v>150</v>
      </c>
      <c r="G635" s="26">
        <v>0</v>
      </c>
      <c r="H635" s="26">
        <v>150</v>
      </c>
      <c r="I635" s="26">
        <v>2021182.5</v>
      </c>
      <c r="J635" s="26">
        <v>8250000</v>
      </c>
    </row>
    <row r="636" spans="1:10">
      <c r="A636" s="24">
        <v>634</v>
      </c>
      <c r="B636" s="24">
        <f t="shared" si="9"/>
        <v>371</v>
      </c>
      <c r="C636" s="1" t="s">
        <v>1488</v>
      </c>
      <c r="D636" s="1" t="s">
        <v>4</v>
      </c>
      <c r="E636" s="1" t="s">
        <v>15</v>
      </c>
      <c r="F636" s="26">
        <v>400</v>
      </c>
      <c r="G636" s="26">
        <v>0</v>
      </c>
      <c r="H636" s="26">
        <v>400</v>
      </c>
      <c r="I636" s="26">
        <v>3227660</v>
      </c>
      <c r="J636" s="26">
        <v>19600000</v>
      </c>
    </row>
    <row r="637" spans="1:10">
      <c r="A637" s="24">
        <v>635</v>
      </c>
      <c r="B637" s="24">
        <f t="shared" si="9"/>
        <v>372</v>
      </c>
      <c r="C637" s="1" t="s">
        <v>1489</v>
      </c>
      <c r="D637" s="1" t="s">
        <v>4</v>
      </c>
      <c r="E637" s="1" t="s">
        <v>15</v>
      </c>
      <c r="F637" s="26">
        <v>400</v>
      </c>
      <c r="G637" s="26">
        <v>0</v>
      </c>
      <c r="H637" s="26">
        <v>400</v>
      </c>
      <c r="I637" s="26">
        <v>3227660</v>
      </c>
      <c r="J637" s="26">
        <v>19600000</v>
      </c>
    </row>
    <row r="638" spans="1:10">
      <c r="A638" s="24">
        <v>636</v>
      </c>
      <c r="B638" s="24">
        <f t="shared" si="9"/>
        <v>373</v>
      </c>
      <c r="C638" s="1" t="s">
        <v>775</v>
      </c>
      <c r="F638" s="26">
        <v>6650</v>
      </c>
      <c r="G638" s="26">
        <v>0</v>
      </c>
      <c r="H638" s="26">
        <v>6650</v>
      </c>
      <c r="I638" s="26">
        <v>77110528.600000009</v>
      </c>
      <c r="J638" s="26">
        <v>344990000</v>
      </c>
    </row>
    <row r="639" spans="1:10">
      <c r="A639" s="24">
        <v>637</v>
      </c>
      <c r="B639" s="24">
        <f t="shared" si="9"/>
        <v>374</v>
      </c>
      <c r="C639" s="1" t="s">
        <v>1109</v>
      </c>
      <c r="D639" s="1" t="s">
        <v>6</v>
      </c>
      <c r="E639" s="1" t="s">
        <v>14</v>
      </c>
      <c r="F639" s="26">
        <v>180</v>
      </c>
      <c r="G639" s="26">
        <v>0</v>
      </c>
      <c r="H639" s="26">
        <v>200</v>
      </c>
      <c r="I639" s="26">
        <v>2829124</v>
      </c>
      <c r="J639" s="26">
        <v>13800000</v>
      </c>
    </row>
    <row r="640" spans="1:10">
      <c r="A640" s="24">
        <v>638</v>
      </c>
      <c r="B640" s="24">
        <f t="shared" si="9"/>
        <v>374</v>
      </c>
      <c r="C640" s="1" t="s">
        <v>1109</v>
      </c>
      <c r="D640" s="1" t="s">
        <v>7</v>
      </c>
      <c r="E640" s="1" t="s">
        <v>14</v>
      </c>
      <c r="F640" s="26">
        <v>284</v>
      </c>
      <c r="G640" s="26">
        <v>0</v>
      </c>
      <c r="H640" s="26">
        <v>300</v>
      </c>
      <c r="I640" s="26">
        <v>4243686</v>
      </c>
      <c r="J640" s="26">
        <v>20700000</v>
      </c>
    </row>
    <row r="641" spans="1:10">
      <c r="A641" s="24">
        <v>639</v>
      </c>
      <c r="B641" s="24">
        <f t="shared" si="9"/>
        <v>374</v>
      </c>
      <c r="C641" s="1" t="s">
        <v>1109</v>
      </c>
      <c r="D641" s="1" t="s">
        <v>8</v>
      </c>
      <c r="E641" s="1" t="s">
        <v>14</v>
      </c>
      <c r="F641" s="26">
        <v>315</v>
      </c>
      <c r="G641" s="26">
        <v>0</v>
      </c>
      <c r="H641" s="26">
        <v>300</v>
      </c>
      <c r="I641" s="26">
        <v>4243686</v>
      </c>
      <c r="J641" s="26">
        <v>20700000</v>
      </c>
    </row>
    <row r="642" spans="1:10">
      <c r="A642" s="24">
        <v>640</v>
      </c>
      <c r="B642" s="24">
        <f t="shared" si="9"/>
        <v>374</v>
      </c>
      <c r="C642" s="1" t="s">
        <v>1109</v>
      </c>
      <c r="D642" s="1" t="s">
        <v>9</v>
      </c>
      <c r="E642" s="1" t="s">
        <v>14</v>
      </c>
      <c r="F642" s="26">
        <v>206</v>
      </c>
      <c r="G642" s="26">
        <v>0</v>
      </c>
      <c r="H642" s="26">
        <v>200</v>
      </c>
      <c r="I642" s="26">
        <v>2829124</v>
      </c>
      <c r="J642" s="26">
        <v>13800000</v>
      </c>
    </row>
    <row r="643" spans="1:10">
      <c r="A643" s="24">
        <v>641</v>
      </c>
      <c r="B643" s="24">
        <f t="shared" si="9"/>
        <v>374</v>
      </c>
      <c r="C643" s="1" t="s">
        <v>1109</v>
      </c>
      <c r="D643" s="1" t="s">
        <v>10</v>
      </c>
      <c r="E643" s="1" t="s">
        <v>14</v>
      </c>
      <c r="F643" s="26">
        <v>197</v>
      </c>
      <c r="G643" s="26">
        <v>0</v>
      </c>
      <c r="H643" s="26">
        <v>200</v>
      </c>
      <c r="I643" s="26">
        <v>2829124</v>
      </c>
      <c r="J643" s="26">
        <v>13800000</v>
      </c>
    </row>
    <row r="644" spans="1:10">
      <c r="A644" s="24">
        <v>642</v>
      </c>
      <c r="B644" s="24">
        <f t="shared" ref="B644:B707" si="10">IF(C643=C644,B643,B643+1)</f>
        <v>375</v>
      </c>
      <c r="C644" s="1" t="s">
        <v>1110</v>
      </c>
      <c r="D644" s="1" t="s">
        <v>6</v>
      </c>
      <c r="E644" s="1" t="s">
        <v>14</v>
      </c>
      <c r="F644" s="26">
        <v>182</v>
      </c>
      <c r="G644" s="26">
        <v>0</v>
      </c>
      <c r="H644" s="26">
        <v>200</v>
      </c>
      <c r="I644" s="26">
        <v>2750815</v>
      </c>
      <c r="J644" s="26">
        <v>13800000</v>
      </c>
    </row>
    <row r="645" spans="1:10">
      <c r="A645" s="24">
        <v>643</v>
      </c>
      <c r="B645" s="24">
        <f t="shared" si="10"/>
        <v>375</v>
      </c>
      <c r="C645" s="1" t="s">
        <v>1110</v>
      </c>
      <c r="D645" s="1" t="s">
        <v>7</v>
      </c>
      <c r="E645" s="1" t="s">
        <v>14</v>
      </c>
      <c r="F645" s="26">
        <v>272</v>
      </c>
      <c r="G645" s="26">
        <v>0</v>
      </c>
      <c r="H645" s="26">
        <v>300</v>
      </c>
      <c r="I645" s="26">
        <v>4126222.4999999995</v>
      </c>
      <c r="J645" s="26">
        <v>20700000</v>
      </c>
    </row>
    <row r="646" spans="1:10">
      <c r="A646" s="24">
        <v>644</v>
      </c>
      <c r="B646" s="24">
        <f t="shared" si="10"/>
        <v>375</v>
      </c>
      <c r="C646" s="1" t="s">
        <v>1110</v>
      </c>
      <c r="D646" s="1" t="s">
        <v>8</v>
      </c>
      <c r="E646" s="1" t="s">
        <v>14</v>
      </c>
      <c r="F646" s="26">
        <v>284</v>
      </c>
      <c r="G646" s="26">
        <v>0</v>
      </c>
      <c r="H646" s="26">
        <v>300</v>
      </c>
      <c r="I646" s="26">
        <v>4126222.4999999995</v>
      </c>
      <c r="J646" s="26">
        <v>20700000</v>
      </c>
    </row>
    <row r="647" spans="1:10">
      <c r="A647" s="24">
        <v>645</v>
      </c>
      <c r="B647" s="24">
        <f t="shared" si="10"/>
        <v>375</v>
      </c>
      <c r="C647" s="1" t="s">
        <v>1110</v>
      </c>
      <c r="D647" s="1" t="s">
        <v>9</v>
      </c>
      <c r="E647" s="1" t="s">
        <v>14</v>
      </c>
      <c r="F647" s="26">
        <v>187</v>
      </c>
      <c r="G647" s="26">
        <v>0</v>
      </c>
      <c r="H647" s="26">
        <v>200</v>
      </c>
      <c r="I647" s="26">
        <v>2750815</v>
      </c>
      <c r="J647" s="26">
        <v>13800000</v>
      </c>
    </row>
    <row r="648" spans="1:10">
      <c r="A648" s="24">
        <v>646</v>
      </c>
      <c r="B648" s="24">
        <f t="shared" si="10"/>
        <v>375</v>
      </c>
      <c r="C648" s="1" t="s">
        <v>1110</v>
      </c>
      <c r="D648" s="1" t="s">
        <v>10</v>
      </c>
      <c r="E648" s="1" t="s">
        <v>14</v>
      </c>
      <c r="F648" s="26">
        <v>184</v>
      </c>
      <c r="G648" s="26">
        <v>0</v>
      </c>
      <c r="H648" s="26">
        <v>200</v>
      </c>
      <c r="I648" s="26">
        <v>2750815</v>
      </c>
      <c r="J648" s="26">
        <v>13800000</v>
      </c>
    </row>
    <row r="649" spans="1:10">
      <c r="A649" s="24">
        <v>647</v>
      </c>
      <c r="B649" s="24">
        <f t="shared" si="10"/>
        <v>376</v>
      </c>
      <c r="C649" s="1" t="s">
        <v>1111</v>
      </c>
      <c r="D649" s="1" t="s">
        <v>6</v>
      </c>
      <c r="E649" s="1" t="s">
        <v>14</v>
      </c>
      <c r="F649" s="26">
        <v>209</v>
      </c>
      <c r="G649" s="26">
        <v>0</v>
      </c>
      <c r="H649" s="26">
        <v>200</v>
      </c>
      <c r="I649" s="26">
        <v>3011845</v>
      </c>
      <c r="J649" s="26">
        <v>15800000</v>
      </c>
    </row>
    <row r="650" spans="1:10">
      <c r="A650" s="24">
        <v>648</v>
      </c>
      <c r="B650" s="24">
        <f t="shared" si="10"/>
        <v>376</v>
      </c>
      <c r="C650" s="1" t="s">
        <v>1111</v>
      </c>
      <c r="D650" s="1" t="s">
        <v>7</v>
      </c>
      <c r="E650" s="1" t="s">
        <v>14</v>
      </c>
      <c r="F650" s="26">
        <v>255</v>
      </c>
      <c r="G650" s="26">
        <v>0</v>
      </c>
      <c r="H650" s="26">
        <v>250</v>
      </c>
      <c r="I650" s="26">
        <v>3764806.25</v>
      </c>
      <c r="J650" s="26">
        <v>19750000</v>
      </c>
    </row>
    <row r="651" spans="1:10">
      <c r="A651" s="24">
        <v>649</v>
      </c>
      <c r="B651" s="24">
        <f t="shared" si="10"/>
        <v>376</v>
      </c>
      <c r="C651" s="1" t="s">
        <v>1111</v>
      </c>
      <c r="D651" s="1" t="s">
        <v>8</v>
      </c>
      <c r="E651" s="1" t="s">
        <v>14</v>
      </c>
      <c r="F651" s="26">
        <v>205</v>
      </c>
      <c r="G651" s="26">
        <v>0</v>
      </c>
      <c r="H651" s="26">
        <v>200</v>
      </c>
      <c r="I651" s="26">
        <v>3011845</v>
      </c>
      <c r="J651" s="26">
        <v>15800000</v>
      </c>
    </row>
    <row r="652" spans="1:10">
      <c r="A652" s="24">
        <v>650</v>
      </c>
      <c r="B652" s="24">
        <f t="shared" si="10"/>
        <v>376</v>
      </c>
      <c r="C652" s="1" t="s">
        <v>1111</v>
      </c>
      <c r="D652" s="1" t="s">
        <v>9</v>
      </c>
      <c r="E652" s="1" t="s">
        <v>14</v>
      </c>
      <c r="F652" s="26">
        <v>200</v>
      </c>
      <c r="G652" s="26">
        <v>0</v>
      </c>
      <c r="H652" s="26">
        <v>200</v>
      </c>
      <c r="I652" s="26">
        <v>3011845</v>
      </c>
      <c r="J652" s="26">
        <v>15800000</v>
      </c>
    </row>
    <row r="653" spans="1:10">
      <c r="A653" s="24">
        <v>651</v>
      </c>
      <c r="B653" s="24">
        <f t="shared" si="10"/>
        <v>376</v>
      </c>
      <c r="C653" s="1" t="s">
        <v>1111</v>
      </c>
      <c r="D653" s="1" t="s">
        <v>10</v>
      </c>
      <c r="E653" s="1" t="s">
        <v>14</v>
      </c>
      <c r="F653" s="26">
        <v>150</v>
      </c>
      <c r="G653" s="26">
        <v>0</v>
      </c>
      <c r="H653" s="26">
        <v>150</v>
      </c>
      <c r="I653" s="26">
        <v>2258883.75</v>
      </c>
      <c r="J653" s="26">
        <v>11850000</v>
      </c>
    </row>
    <row r="654" spans="1:10">
      <c r="A654" s="24">
        <v>652</v>
      </c>
      <c r="B654" s="24">
        <f t="shared" si="10"/>
        <v>377</v>
      </c>
      <c r="C654" s="1" t="s">
        <v>1112</v>
      </c>
      <c r="D654" s="1" t="s">
        <v>6</v>
      </c>
      <c r="E654" s="1" t="s">
        <v>14</v>
      </c>
      <c r="F654" s="26">
        <v>187</v>
      </c>
      <c r="G654" s="26">
        <v>0</v>
      </c>
      <c r="H654" s="26">
        <v>200</v>
      </c>
      <c r="I654" s="26">
        <v>3011845</v>
      </c>
      <c r="J654" s="26">
        <v>15800000</v>
      </c>
    </row>
    <row r="655" spans="1:10">
      <c r="A655" s="24">
        <v>653</v>
      </c>
      <c r="B655" s="24">
        <f t="shared" si="10"/>
        <v>377</v>
      </c>
      <c r="C655" s="1" t="s">
        <v>1112</v>
      </c>
      <c r="D655" s="1" t="s">
        <v>7</v>
      </c>
      <c r="E655" s="1" t="s">
        <v>14</v>
      </c>
      <c r="F655" s="26">
        <v>248</v>
      </c>
      <c r="G655" s="26">
        <v>0</v>
      </c>
      <c r="H655" s="26">
        <v>250</v>
      </c>
      <c r="I655" s="26">
        <v>3764806.25</v>
      </c>
      <c r="J655" s="26">
        <v>19750000</v>
      </c>
    </row>
    <row r="656" spans="1:10">
      <c r="A656" s="24">
        <v>654</v>
      </c>
      <c r="B656" s="24">
        <f t="shared" si="10"/>
        <v>377</v>
      </c>
      <c r="C656" s="1" t="s">
        <v>1112</v>
      </c>
      <c r="D656" s="1" t="s">
        <v>8</v>
      </c>
      <c r="E656" s="1" t="s">
        <v>14</v>
      </c>
      <c r="F656" s="26">
        <v>205</v>
      </c>
      <c r="G656" s="26">
        <v>0</v>
      </c>
      <c r="H656" s="26">
        <v>200</v>
      </c>
      <c r="I656" s="26">
        <v>3011845</v>
      </c>
      <c r="J656" s="26">
        <v>15800000</v>
      </c>
    </row>
    <row r="657" spans="1:10">
      <c r="A657" s="24">
        <v>655</v>
      </c>
      <c r="B657" s="24">
        <f t="shared" si="10"/>
        <v>377</v>
      </c>
      <c r="C657" s="1" t="s">
        <v>1112</v>
      </c>
      <c r="D657" s="1" t="s">
        <v>9</v>
      </c>
      <c r="E657" s="1" t="s">
        <v>14</v>
      </c>
      <c r="F657" s="26">
        <v>199</v>
      </c>
      <c r="G657" s="26">
        <v>0</v>
      </c>
      <c r="H657" s="26">
        <v>200</v>
      </c>
      <c r="I657" s="26">
        <v>3011845</v>
      </c>
      <c r="J657" s="26">
        <v>15800000</v>
      </c>
    </row>
    <row r="658" spans="1:10">
      <c r="A658" s="24">
        <v>656</v>
      </c>
      <c r="B658" s="24">
        <f t="shared" si="10"/>
        <v>377</v>
      </c>
      <c r="C658" s="1" t="s">
        <v>1112</v>
      </c>
      <c r="D658" s="1" t="s">
        <v>10</v>
      </c>
      <c r="E658" s="1" t="s">
        <v>14</v>
      </c>
      <c r="F658" s="26">
        <v>153</v>
      </c>
      <c r="G658" s="26">
        <v>0</v>
      </c>
      <c r="H658" s="26">
        <v>150</v>
      </c>
      <c r="I658" s="26">
        <v>2258883.75</v>
      </c>
      <c r="J658" s="26">
        <v>11850000</v>
      </c>
    </row>
    <row r="659" spans="1:10">
      <c r="A659" s="24">
        <v>657</v>
      </c>
      <c r="B659" s="24">
        <f t="shared" si="10"/>
        <v>378</v>
      </c>
      <c r="C659" s="1" t="s">
        <v>1113</v>
      </c>
      <c r="D659" s="1" t="s">
        <v>7</v>
      </c>
      <c r="E659" s="1" t="s">
        <v>14</v>
      </c>
      <c r="F659" s="26">
        <v>557</v>
      </c>
      <c r="G659" s="26">
        <v>0</v>
      </c>
      <c r="H659" s="26">
        <v>600</v>
      </c>
      <c r="I659" s="26">
        <v>10836642</v>
      </c>
      <c r="J659" s="26">
        <v>47400000</v>
      </c>
    </row>
    <row r="660" spans="1:10">
      <c r="A660" s="24">
        <v>658</v>
      </c>
      <c r="B660" s="24">
        <f t="shared" si="10"/>
        <v>378</v>
      </c>
      <c r="C660" s="1" t="s">
        <v>1113</v>
      </c>
      <c r="D660" s="1" t="s">
        <v>8</v>
      </c>
      <c r="E660" s="1" t="s">
        <v>14</v>
      </c>
      <c r="F660" s="26">
        <v>492</v>
      </c>
      <c r="G660" s="26">
        <v>0</v>
      </c>
      <c r="H660" s="26">
        <v>500</v>
      </c>
      <c r="I660" s="26">
        <v>9030535</v>
      </c>
      <c r="J660" s="26">
        <v>39500000</v>
      </c>
    </row>
    <row r="661" spans="1:10">
      <c r="A661" s="24">
        <v>659</v>
      </c>
      <c r="B661" s="24">
        <f t="shared" si="10"/>
        <v>378</v>
      </c>
      <c r="C661" s="1" t="s">
        <v>1113</v>
      </c>
      <c r="D661" s="1" t="s">
        <v>9</v>
      </c>
      <c r="E661" s="1" t="s">
        <v>14</v>
      </c>
      <c r="F661" s="26">
        <v>408</v>
      </c>
      <c r="G661" s="26">
        <v>0</v>
      </c>
      <c r="H661" s="26">
        <v>400</v>
      </c>
      <c r="I661" s="26">
        <v>7224428</v>
      </c>
      <c r="J661" s="26">
        <v>31600000</v>
      </c>
    </row>
    <row r="662" spans="1:10">
      <c r="A662" s="24">
        <v>660</v>
      </c>
      <c r="B662" s="24">
        <f t="shared" si="10"/>
        <v>379</v>
      </c>
      <c r="C662" s="1" t="s">
        <v>1114</v>
      </c>
      <c r="D662" s="1" t="s">
        <v>6</v>
      </c>
      <c r="E662" s="1" t="s">
        <v>14</v>
      </c>
      <c r="F662" s="26">
        <v>252</v>
      </c>
      <c r="G662" s="26">
        <v>0</v>
      </c>
      <c r="H662" s="26">
        <v>250</v>
      </c>
      <c r="I662" s="26">
        <v>4091093.7499999995</v>
      </c>
      <c r="J662" s="26">
        <v>18750000</v>
      </c>
    </row>
    <row r="663" spans="1:10">
      <c r="A663" s="24">
        <v>661</v>
      </c>
      <c r="B663" s="24">
        <f t="shared" si="10"/>
        <v>379</v>
      </c>
      <c r="C663" s="1" t="s">
        <v>1114</v>
      </c>
      <c r="D663" s="1" t="s">
        <v>7</v>
      </c>
      <c r="E663" s="1" t="s">
        <v>14</v>
      </c>
      <c r="F663" s="26">
        <v>247</v>
      </c>
      <c r="G663" s="26">
        <v>0</v>
      </c>
      <c r="H663" s="26">
        <v>250</v>
      </c>
      <c r="I663" s="26">
        <v>4091093.7499999995</v>
      </c>
      <c r="J663" s="26">
        <v>18750000</v>
      </c>
    </row>
    <row r="664" spans="1:10">
      <c r="A664" s="24">
        <v>662</v>
      </c>
      <c r="B664" s="24">
        <f t="shared" si="10"/>
        <v>379</v>
      </c>
      <c r="C664" s="1" t="s">
        <v>1114</v>
      </c>
      <c r="D664" s="1" t="s">
        <v>8</v>
      </c>
      <c r="E664" s="1" t="s">
        <v>14</v>
      </c>
      <c r="F664" s="26">
        <v>193</v>
      </c>
      <c r="G664" s="26">
        <v>0</v>
      </c>
      <c r="H664" s="26">
        <v>200</v>
      </c>
      <c r="I664" s="26">
        <v>3272874.9999999995</v>
      </c>
      <c r="J664" s="26">
        <v>15000000</v>
      </c>
    </row>
    <row r="665" spans="1:10">
      <c r="A665" s="24">
        <v>663</v>
      </c>
      <c r="B665" s="24">
        <f t="shared" si="10"/>
        <v>379</v>
      </c>
      <c r="C665" s="1" t="s">
        <v>1114</v>
      </c>
      <c r="D665" s="1" t="s">
        <v>9</v>
      </c>
      <c r="E665" s="1" t="s">
        <v>14</v>
      </c>
      <c r="F665" s="26">
        <v>148</v>
      </c>
      <c r="G665" s="26">
        <v>0</v>
      </c>
      <c r="H665" s="26">
        <v>150</v>
      </c>
      <c r="I665" s="26">
        <v>2454656.2499999995</v>
      </c>
      <c r="J665" s="26">
        <v>11250000</v>
      </c>
    </row>
    <row r="666" spans="1:10">
      <c r="A666" s="24">
        <v>664</v>
      </c>
      <c r="B666" s="24">
        <f t="shared" si="10"/>
        <v>379</v>
      </c>
      <c r="C666" s="1" t="s">
        <v>1114</v>
      </c>
      <c r="D666" s="1" t="s">
        <v>10</v>
      </c>
      <c r="E666" s="1" t="s">
        <v>14</v>
      </c>
      <c r="F666" s="26">
        <v>135</v>
      </c>
      <c r="G666" s="26">
        <v>0</v>
      </c>
      <c r="H666" s="26">
        <v>150</v>
      </c>
      <c r="I666" s="26">
        <v>2454656.2499999995</v>
      </c>
      <c r="J666" s="26">
        <v>11250000</v>
      </c>
    </row>
    <row r="667" spans="1:10">
      <c r="A667" s="24">
        <v>665</v>
      </c>
      <c r="B667" s="24">
        <f t="shared" si="10"/>
        <v>380</v>
      </c>
      <c r="C667" s="1" t="s">
        <v>1115</v>
      </c>
      <c r="D667" s="1" t="s">
        <v>6</v>
      </c>
      <c r="E667" s="1" t="s">
        <v>14</v>
      </c>
      <c r="F667" s="26">
        <v>202</v>
      </c>
      <c r="G667" s="26">
        <v>0</v>
      </c>
      <c r="H667" s="26">
        <v>200</v>
      </c>
      <c r="I667" s="26">
        <v>3403389.9999999995</v>
      </c>
      <c r="J667" s="26">
        <v>15800000</v>
      </c>
    </row>
    <row r="668" spans="1:10">
      <c r="A668" s="24">
        <v>666</v>
      </c>
      <c r="B668" s="24">
        <f t="shared" si="10"/>
        <v>380</v>
      </c>
      <c r="C668" s="1" t="s">
        <v>1115</v>
      </c>
      <c r="D668" s="1" t="s">
        <v>7</v>
      </c>
      <c r="E668" s="1" t="s">
        <v>14</v>
      </c>
      <c r="F668" s="26">
        <v>243</v>
      </c>
      <c r="G668" s="26">
        <v>0</v>
      </c>
      <c r="H668" s="26">
        <v>250</v>
      </c>
      <c r="I668" s="26">
        <v>4254237.4999999991</v>
      </c>
      <c r="J668" s="26">
        <v>19750000</v>
      </c>
    </row>
    <row r="669" spans="1:10">
      <c r="A669" s="24">
        <v>667</v>
      </c>
      <c r="B669" s="24">
        <f t="shared" si="10"/>
        <v>380</v>
      </c>
      <c r="C669" s="1" t="s">
        <v>1115</v>
      </c>
      <c r="D669" s="1" t="s">
        <v>8</v>
      </c>
      <c r="E669" s="1" t="s">
        <v>14</v>
      </c>
      <c r="F669" s="26">
        <v>234</v>
      </c>
      <c r="G669" s="26">
        <v>0</v>
      </c>
      <c r="H669" s="26">
        <v>250</v>
      </c>
      <c r="I669" s="26">
        <v>4254237.4999999991</v>
      </c>
      <c r="J669" s="26">
        <v>19750000</v>
      </c>
    </row>
    <row r="670" spans="1:10">
      <c r="A670" s="24">
        <v>668</v>
      </c>
      <c r="B670" s="24">
        <f t="shared" si="10"/>
        <v>380</v>
      </c>
      <c r="C670" s="1" t="s">
        <v>1115</v>
      </c>
      <c r="D670" s="1" t="s">
        <v>9</v>
      </c>
      <c r="E670" s="1" t="s">
        <v>14</v>
      </c>
      <c r="F670" s="26">
        <v>165</v>
      </c>
      <c r="G670" s="26">
        <v>0</v>
      </c>
      <c r="H670" s="26">
        <v>200</v>
      </c>
      <c r="I670" s="26">
        <v>3403389.9999999995</v>
      </c>
      <c r="J670" s="26">
        <v>15800000</v>
      </c>
    </row>
    <row r="671" spans="1:10">
      <c r="A671" s="24">
        <v>669</v>
      </c>
      <c r="B671" s="24">
        <f t="shared" si="10"/>
        <v>380</v>
      </c>
      <c r="C671" s="1" t="s">
        <v>1115</v>
      </c>
      <c r="D671" s="1" t="s">
        <v>10</v>
      </c>
      <c r="E671" s="1" t="s">
        <v>14</v>
      </c>
      <c r="F671" s="26">
        <v>82</v>
      </c>
      <c r="G671" s="26">
        <v>0</v>
      </c>
      <c r="H671" s="26">
        <v>100</v>
      </c>
      <c r="I671" s="26">
        <v>1701694.9999999998</v>
      </c>
      <c r="J671" s="26">
        <v>7900000</v>
      </c>
    </row>
    <row r="672" spans="1:10">
      <c r="A672" s="24">
        <v>670</v>
      </c>
      <c r="B672" s="24">
        <f t="shared" si="10"/>
        <v>381</v>
      </c>
      <c r="C672" s="1" t="s">
        <v>775</v>
      </c>
      <c r="F672" s="26">
        <v>7660</v>
      </c>
      <c r="G672" s="26">
        <v>0</v>
      </c>
      <c r="H672" s="26">
        <v>7900</v>
      </c>
      <c r="I672" s="26">
        <v>124071014</v>
      </c>
      <c r="J672" s="26">
        <v>596100000</v>
      </c>
    </row>
    <row r="673" spans="1:10">
      <c r="A673" s="24">
        <v>671</v>
      </c>
      <c r="B673" s="24">
        <f t="shared" si="10"/>
        <v>382</v>
      </c>
      <c r="C673" s="1" t="s">
        <v>1116</v>
      </c>
      <c r="D673" s="1" t="s">
        <v>6</v>
      </c>
      <c r="E673" s="1" t="s">
        <v>14</v>
      </c>
      <c r="F673" s="26">
        <v>155</v>
      </c>
      <c r="G673" s="26">
        <v>0</v>
      </c>
      <c r="H673" s="26">
        <v>150</v>
      </c>
      <c r="I673" s="26">
        <v>3288000</v>
      </c>
      <c r="J673" s="26">
        <v>13350000</v>
      </c>
    </row>
    <row r="674" spans="1:10">
      <c r="A674" s="24">
        <v>672</v>
      </c>
      <c r="B674" s="24">
        <f t="shared" si="10"/>
        <v>382</v>
      </c>
      <c r="C674" s="1" t="s">
        <v>1116</v>
      </c>
      <c r="D674" s="1" t="s">
        <v>7</v>
      </c>
      <c r="E674" s="1" t="s">
        <v>14</v>
      </c>
      <c r="F674" s="26">
        <v>291</v>
      </c>
      <c r="G674" s="26">
        <v>0</v>
      </c>
      <c r="H674" s="26">
        <v>300</v>
      </c>
      <c r="I674" s="26">
        <v>6576000</v>
      </c>
      <c r="J674" s="26">
        <v>26700000</v>
      </c>
    </row>
    <row r="675" spans="1:10">
      <c r="A675" s="24">
        <v>673</v>
      </c>
      <c r="B675" s="24">
        <f t="shared" si="10"/>
        <v>382</v>
      </c>
      <c r="C675" s="1" t="s">
        <v>1116</v>
      </c>
      <c r="D675" s="1" t="s">
        <v>8</v>
      </c>
      <c r="E675" s="1" t="s">
        <v>14</v>
      </c>
      <c r="F675" s="26">
        <v>247</v>
      </c>
      <c r="G675" s="26">
        <v>0</v>
      </c>
      <c r="H675" s="26">
        <v>250</v>
      </c>
      <c r="I675" s="26">
        <v>5480000</v>
      </c>
      <c r="J675" s="26">
        <v>22250000</v>
      </c>
    </row>
    <row r="676" spans="1:10">
      <c r="A676" s="24">
        <v>674</v>
      </c>
      <c r="B676" s="24">
        <f t="shared" si="10"/>
        <v>382</v>
      </c>
      <c r="C676" s="1" t="s">
        <v>1116</v>
      </c>
      <c r="D676" s="1" t="s">
        <v>9</v>
      </c>
      <c r="E676" s="1" t="s">
        <v>14</v>
      </c>
      <c r="F676" s="26">
        <v>173</v>
      </c>
      <c r="G676" s="26">
        <v>0</v>
      </c>
      <c r="H676" s="26">
        <v>200</v>
      </c>
      <c r="I676" s="26">
        <v>4384000</v>
      </c>
      <c r="J676" s="26">
        <v>17800000</v>
      </c>
    </row>
    <row r="677" spans="1:10">
      <c r="A677" s="24">
        <v>675</v>
      </c>
      <c r="B677" s="24">
        <f t="shared" si="10"/>
        <v>382</v>
      </c>
      <c r="C677" s="1" t="s">
        <v>1116</v>
      </c>
      <c r="D677" s="1" t="s">
        <v>10</v>
      </c>
      <c r="E677" s="1" t="s">
        <v>14</v>
      </c>
      <c r="F677" s="26">
        <v>95</v>
      </c>
      <c r="G677" s="26">
        <v>0</v>
      </c>
      <c r="H677" s="26">
        <v>100</v>
      </c>
      <c r="I677" s="26">
        <v>2192000</v>
      </c>
      <c r="J677" s="26">
        <v>8900000</v>
      </c>
    </row>
    <row r="678" spans="1:10">
      <c r="A678" s="24">
        <v>676</v>
      </c>
      <c r="B678" s="24">
        <f t="shared" si="10"/>
        <v>383</v>
      </c>
      <c r="C678" s="1" t="s">
        <v>1117</v>
      </c>
      <c r="D678" s="1" t="s">
        <v>6</v>
      </c>
      <c r="E678" s="1" t="s">
        <v>14</v>
      </c>
      <c r="F678" s="26">
        <v>203</v>
      </c>
      <c r="G678" s="26">
        <v>0</v>
      </c>
      <c r="H678" s="26">
        <v>200</v>
      </c>
      <c r="I678" s="26">
        <v>3426000</v>
      </c>
      <c r="J678" s="26">
        <v>15800000</v>
      </c>
    </row>
    <row r="679" spans="1:10">
      <c r="A679" s="24">
        <v>677</v>
      </c>
      <c r="B679" s="24">
        <f t="shared" si="10"/>
        <v>383</v>
      </c>
      <c r="C679" s="1" t="s">
        <v>1117</v>
      </c>
      <c r="D679" s="1" t="s">
        <v>7</v>
      </c>
      <c r="E679" s="1" t="s">
        <v>14</v>
      </c>
      <c r="F679" s="26">
        <v>303</v>
      </c>
      <c r="G679" s="26">
        <v>0</v>
      </c>
      <c r="H679" s="26">
        <v>300</v>
      </c>
      <c r="I679" s="26">
        <v>5139000</v>
      </c>
      <c r="J679" s="26">
        <v>23700000</v>
      </c>
    </row>
    <row r="680" spans="1:10">
      <c r="A680" s="24">
        <v>678</v>
      </c>
      <c r="B680" s="24">
        <f t="shared" si="10"/>
        <v>383</v>
      </c>
      <c r="C680" s="1" t="s">
        <v>1117</v>
      </c>
      <c r="D680" s="1" t="s">
        <v>8</v>
      </c>
      <c r="E680" s="1" t="s">
        <v>14</v>
      </c>
      <c r="F680" s="26">
        <v>306</v>
      </c>
      <c r="G680" s="26">
        <v>0</v>
      </c>
      <c r="H680" s="26">
        <v>300</v>
      </c>
      <c r="I680" s="26">
        <v>5139000</v>
      </c>
      <c r="J680" s="26">
        <v>23700000</v>
      </c>
    </row>
    <row r="681" spans="1:10">
      <c r="A681" s="24">
        <v>679</v>
      </c>
      <c r="B681" s="24">
        <f t="shared" si="10"/>
        <v>383</v>
      </c>
      <c r="C681" s="1" t="s">
        <v>1117</v>
      </c>
      <c r="D681" s="1" t="s">
        <v>9</v>
      </c>
      <c r="E681" s="1" t="s">
        <v>14</v>
      </c>
      <c r="F681" s="26">
        <v>209</v>
      </c>
      <c r="G681" s="26">
        <v>0</v>
      </c>
      <c r="H681" s="26">
        <v>200</v>
      </c>
      <c r="I681" s="26">
        <v>3426000</v>
      </c>
      <c r="J681" s="26">
        <v>15800000</v>
      </c>
    </row>
    <row r="682" spans="1:10">
      <c r="A682" s="24">
        <v>680</v>
      </c>
      <c r="B682" s="24">
        <f t="shared" si="10"/>
        <v>383</v>
      </c>
      <c r="C682" s="1" t="s">
        <v>1117</v>
      </c>
      <c r="D682" s="1" t="s">
        <v>10</v>
      </c>
      <c r="E682" s="1" t="s">
        <v>14</v>
      </c>
      <c r="F682" s="26">
        <v>208</v>
      </c>
      <c r="G682" s="26">
        <v>0</v>
      </c>
      <c r="H682" s="26">
        <v>200</v>
      </c>
      <c r="I682" s="26">
        <v>3426000</v>
      </c>
      <c r="J682" s="26">
        <v>15800000</v>
      </c>
    </row>
    <row r="683" spans="1:10">
      <c r="A683" s="24">
        <v>681</v>
      </c>
      <c r="B683" s="24">
        <f t="shared" si="10"/>
        <v>384</v>
      </c>
      <c r="C683" s="1" t="s">
        <v>1118</v>
      </c>
      <c r="D683" s="1" t="s">
        <v>7</v>
      </c>
      <c r="E683" s="1" t="s">
        <v>14</v>
      </c>
      <c r="F683" s="26">
        <v>207</v>
      </c>
      <c r="G683" s="26">
        <v>0</v>
      </c>
      <c r="H683" s="26">
        <v>200</v>
      </c>
      <c r="I683" s="26">
        <v>5195000</v>
      </c>
      <c r="J683" s="26">
        <v>23800000</v>
      </c>
    </row>
    <row r="684" spans="1:10">
      <c r="A684" s="24">
        <v>682</v>
      </c>
      <c r="B684" s="24">
        <f t="shared" si="10"/>
        <v>384</v>
      </c>
      <c r="C684" s="1" t="s">
        <v>1118</v>
      </c>
      <c r="D684" s="1" t="s">
        <v>8</v>
      </c>
      <c r="E684" s="1" t="s">
        <v>14</v>
      </c>
      <c r="F684" s="26">
        <v>291</v>
      </c>
      <c r="G684" s="26">
        <v>0</v>
      </c>
      <c r="H684" s="26">
        <v>300</v>
      </c>
      <c r="I684" s="26">
        <v>7792500</v>
      </c>
      <c r="J684" s="26">
        <v>35700000</v>
      </c>
    </row>
    <row r="685" spans="1:10">
      <c r="A685" s="24">
        <v>683</v>
      </c>
      <c r="B685" s="24">
        <f t="shared" si="10"/>
        <v>384</v>
      </c>
      <c r="C685" s="1" t="s">
        <v>1118</v>
      </c>
      <c r="D685" s="1" t="s">
        <v>9</v>
      </c>
      <c r="E685" s="1" t="s">
        <v>14</v>
      </c>
      <c r="F685" s="26">
        <v>313</v>
      </c>
      <c r="G685" s="26">
        <v>0</v>
      </c>
      <c r="H685" s="26">
        <v>300</v>
      </c>
      <c r="I685" s="26">
        <v>7792500</v>
      </c>
      <c r="J685" s="26">
        <v>35700000</v>
      </c>
    </row>
    <row r="686" spans="1:10">
      <c r="A686" s="24">
        <v>684</v>
      </c>
      <c r="B686" s="24">
        <f t="shared" si="10"/>
        <v>384</v>
      </c>
      <c r="C686" s="1" t="s">
        <v>1118</v>
      </c>
      <c r="D686" s="1" t="s">
        <v>10</v>
      </c>
      <c r="E686" s="1" t="s">
        <v>14</v>
      </c>
      <c r="F686" s="26">
        <v>206</v>
      </c>
      <c r="G686" s="26">
        <v>0</v>
      </c>
      <c r="H686" s="26">
        <v>200</v>
      </c>
      <c r="I686" s="26">
        <v>5195000</v>
      </c>
      <c r="J686" s="26">
        <v>23800000</v>
      </c>
    </row>
    <row r="687" spans="1:10">
      <c r="A687" s="24">
        <v>685</v>
      </c>
      <c r="B687" s="24">
        <f t="shared" si="10"/>
        <v>385</v>
      </c>
      <c r="C687" s="1" t="s">
        <v>775</v>
      </c>
      <c r="F687" s="26">
        <v>3207</v>
      </c>
      <c r="G687" s="26">
        <v>0</v>
      </c>
      <c r="H687" s="26">
        <v>3200</v>
      </c>
      <c r="I687" s="26">
        <v>68451000</v>
      </c>
      <c r="J687" s="26">
        <v>302800000</v>
      </c>
    </row>
    <row r="688" spans="1:10">
      <c r="A688" s="24">
        <v>686</v>
      </c>
      <c r="B688" s="24">
        <f t="shared" si="10"/>
        <v>386</v>
      </c>
      <c r="C688" s="1" t="s">
        <v>1119</v>
      </c>
      <c r="D688" s="1" t="s">
        <v>4</v>
      </c>
      <c r="E688" s="1" t="s">
        <v>14</v>
      </c>
      <c r="F688" s="26">
        <v>995</v>
      </c>
      <c r="G688" s="26">
        <v>0</v>
      </c>
      <c r="H688" s="26">
        <v>1000</v>
      </c>
      <c r="I688" s="26">
        <v>8453360</v>
      </c>
      <c r="J688" s="26">
        <v>55000000</v>
      </c>
    </row>
    <row r="689" spans="1:10">
      <c r="A689" s="24">
        <v>687</v>
      </c>
      <c r="B689" s="24">
        <f t="shared" si="10"/>
        <v>387</v>
      </c>
      <c r="C689" s="1" t="s">
        <v>1120</v>
      </c>
      <c r="D689" s="1" t="s">
        <v>4</v>
      </c>
      <c r="E689" s="1" t="s">
        <v>14</v>
      </c>
      <c r="F689" s="26">
        <v>997</v>
      </c>
      <c r="G689" s="26">
        <v>0</v>
      </c>
      <c r="H689" s="26">
        <v>1000</v>
      </c>
      <c r="I689" s="26">
        <v>7379660.0000000009</v>
      </c>
      <c r="J689" s="26">
        <v>49000000</v>
      </c>
    </row>
    <row r="690" spans="1:10">
      <c r="A690" s="24">
        <v>688</v>
      </c>
      <c r="B690" s="24">
        <f t="shared" si="10"/>
        <v>388</v>
      </c>
      <c r="C690" s="1" t="s">
        <v>775</v>
      </c>
      <c r="F690" s="26">
        <v>1992</v>
      </c>
      <c r="G690" s="26">
        <v>0</v>
      </c>
      <c r="H690" s="26">
        <v>2000</v>
      </c>
      <c r="I690" s="26">
        <v>15833020</v>
      </c>
      <c r="J690" s="26">
        <v>104000000</v>
      </c>
    </row>
    <row r="691" spans="1:10">
      <c r="A691" s="24">
        <v>689</v>
      </c>
      <c r="B691" s="24">
        <f t="shared" si="10"/>
        <v>389</v>
      </c>
      <c r="C691" s="1" t="s">
        <v>1121</v>
      </c>
      <c r="D691" s="1" t="s">
        <v>4</v>
      </c>
      <c r="E691" s="1" t="s">
        <v>14</v>
      </c>
      <c r="F691" s="26">
        <v>2000</v>
      </c>
      <c r="G691" s="26">
        <v>0</v>
      </c>
      <c r="H691" s="26">
        <v>2000</v>
      </c>
      <c r="I691" s="26">
        <v>9480240</v>
      </c>
      <c r="J691" s="26">
        <v>78000000</v>
      </c>
    </row>
    <row r="692" spans="1:10">
      <c r="A692" s="24">
        <v>690</v>
      </c>
      <c r="B692" s="24">
        <f t="shared" si="10"/>
        <v>390</v>
      </c>
      <c r="C692" s="1" t="s">
        <v>1122</v>
      </c>
      <c r="D692" s="1" t="s">
        <v>4</v>
      </c>
      <c r="E692" s="1" t="s">
        <v>14</v>
      </c>
      <c r="F692" s="26">
        <v>1998</v>
      </c>
      <c r="G692" s="26">
        <v>0</v>
      </c>
      <c r="H692" s="26">
        <v>2000</v>
      </c>
      <c r="I692" s="26">
        <v>9480240</v>
      </c>
      <c r="J692" s="26">
        <v>78000000</v>
      </c>
    </row>
    <row r="693" spans="1:10">
      <c r="A693" s="24">
        <v>691</v>
      </c>
      <c r="B693" s="24">
        <f t="shared" si="10"/>
        <v>391</v>
      </c>
      <c r="C693" s="1" t="s">
        <v>1123</v>
      </c>
      <c r="D693" s="1" t="s">
        <v>4</v>
      </c>
      <c r="E693" s="1" t="s">
        <v>14</v>
      </c>
      <c r="F693" s="26">
        <v>1999</v>
      </c>
      <c r="G693" s="26">
        <v>0</v>
      </c>
      <c r="H693" s="26">
        <v>2000</v>
      </c>
      <c r="I693" s="26">
        <v>7983360.0000000009</v>
      </c>
      <c r="J693" s="26">
        <v>78000000</v>
      </c>
    </row>
    <row r="694" spans="1:10">
      <c r="A694" s="24">
        <v>692</v>
      </c>
      <c r="B694" s="24">
        <f t="shared" si="10"/>
        <v>392</v>
      </c>
      <c r="C694" s="1" t="s">
        <v>1124</v>
      </c>
      <c r="D694" s="1" t="s">
        <v>4</v>
      </c>
      <c r="E694" s="1" t="s">
        <v>14</v>
      </c>
      <c r="F694" s="26">
        <v>2000</v>
      </c>
      <c r="G694" s="26">
        <v>0</v>
      </c>
      <c r="H694" s="26">
        <v>2000</v>
      </c>
      <c r="I694" s="26">
        <v>9854460.0000000019</v>
      </c>
      <c r="J694" s="26">
        <v>78000000</v>
      </c>
    </row>
    <row r="695" spans="1:10">
      <c r="A695" s="24">
        <v>693</v>
      </c>
      <c r="B695" s="24">
        <f t="shared" si="10"/>
        <v>393</v>
      </c>
      <c r="C695" s="1" t="s">
        <v>1125</v>
      </c>
      <c r="D695" s="1" t="s">
        <v>4</v>
      </c>
      <c r="E695" s="1" t="s">
        <v>14</v>
      </c>
      <c r="F695" s="26">
        <v>2000</v>
      </c>
      <c r="G695" s="26">
        <v>0</v>
      </c>
      <c r="H695" s="26">
        <v>2000</v>
      </c>
      <c r="I695" s="26">
        <v>9854460.0000000019</v>
      </c>
      <c r="J695" s="26">
        <v>78000000</v>
      </c>
    </row>
    <row r="696" spans="1:10">
      <c r="A696" s="24">
        <v>694</v>
      </c>
      <c r="B696" s="24">
        <f t="shared" si="10"/>
        <v>394</v>
      </c>
      <c r="C696" s="1" t="s">
        <v>1126</v>
      </c>
      <c r="D696" s="1" t="s">
        <v>4</v>
      </c>
      <c r="E696" s="1" t="s">
        <v>14</v>
      </c>
      <c r="F696" s="26">
        <v>2000</v>
      </c>
      <c r="G696" s="26">
        <v>0</v>
      </c>
      <c r="H696" s="26">
        <v>2000</v>
      </c>
      <c r="I696" s="26">
        <v>14220360.000000002</v>
      </c>
      <c r="J696" s="26">
        <v>90000000</v>
      </c>
    </row>
    <row r="697" spans="1:10">
      <c r="A697" s="24">
        <v>695</v>
      </c>
      <c r="B697" s="24">
        <f t="shared" si="10"/>
        <v>395</v>
      </c>
      <c r="C697" s="1" t="s">
        <v>775</v>
      </c>
      <c r="F697" s="26">
        <v>11997</v>
      </c>
      <c r="G697" s="26">
        <v>0</v>
      </c>
      <c r="H697" s="26">
        <v>12000</v>
      </c>
      <c r="I697" s="26">
        <v>60873120</v>
      </c>
      <c r="J697" s="26">
        <v>480000000</v>
      </c>
    </row>
    <row r="698" spans="1:10">
      <c r="A698" s="24">
        <v>696</v>
      </c>
      <c r="B698" s="24">
        <f t="shared" si="10"/>
        <v>396</v>
      </c>
      <c r="C698" s="1" t="s">
        <v>1127</v>
      </c>
      <c r="D698" s="1" t="s">
        <v>4</v>
      </c>
      <c r="E698" s="1" t="s">
        <v>14</v>
      </c>
      <c r="F698" s="26">
        <v>1500</v>
      </c>
      <c r="G698" s="26">
        <v>0</v>
      </c>
      <c r="H698" s="26">
        <v>1500</v>
      </c>
      <c r="I698" s="26">
        <v>18188340.000000004</v>
      </c>
      <c r="J698" s="26">
        <v>88500000</v>
      </c>
    </row>
    <row r="699" spans="1:10">
      <c r="A699" s="24">
        <v>697</v>
      </c>
      <c r="B699" s="24">
        <f t="shared" si="10"/>
        <v>397</v>
      </c>
      <c r="C699" s="1" t="s">
        <v>1128</v>
      </c>
      <c r="D699" s="1" t="s">
        <v>4</v>
      </c>
      <c r="E699" s="1" t="s">
        <v>14</v>
      </c>
      <c r="F699" s="26">
        <v>1483</v>
      </c>
      <c r="G699" s="26">
        <v>0</v>
      </c>
      <c r="H699" s="26">
        <v>1500</v>
      </c>
      <c r="I699" s="26">
        <v>13756035</v>
      </c>
      <c r="J699" s="26">
        <v>73500000</v>
      </c>
    </row>
    <row r="700" spans="1:10">
      <c r="A700" s="24">
        <v>698</v>
      </c>
      <c r="B700" s="24">
        <f t="shared" si="10"/>
        <v>398</v>
      </c>
      <c r="C700" s="1" t="s">
        <v>1129</v>
      </c>
      <c r="D700" s="1" t="s">
        <v>4</v>
      </c>
      <c r="E700" s="1" t="s">
        <v>14</v>
      </c>
      <c r="F700" s="26">
        <v>1484</v>
      </c>
      <c r="G700" s="26">
        <v>0</v>
      </c>
      <c r="H700" s="26">
        <v>1500</v>
      </c>
      <c r="I700" s="26">
        <v>13756035</v>
      </c>
      <c r="J700" s="26">
        <v>73500000</v>
      </c>
    </row>
    <row r="701" spans="1:10">
      <c r="A701" s="24">
        <v>699</v>
      </c>
      <c r="B701" s="24">
        <f t="shared" si="10"/>
        <v>399</v>
      </c>
      <c r="C701" s="1" t="s">
        <v>1130</v>
      </c>
      <c r="D701" s="1" t="s">
        <v>4</v>
      </c>
      <c r="E701" s="1" t="s">
        <v>14</v>
      </c>
      <c r="F701" s="26">
        <v>1800</v>
      </c>
      <c r="G701" s="26">
        <v>0</v>
      </c>
      <c r="H701" s="26">
        <v>1800</v>
      </c>
      <c r="I701" s="26">
        <v>16107784.000000002</v>
      </c>
      <c r="J701" s="26">
        <v>117000000</v>
      </c>
    </row>
    <row r="702" spans="1:10">
      <c r="A702" s="24">
        <v>700</v>
      </c>
      <c r="B702" s="24">
        <f t="shared" si="10"/>
        <v>400</v>
      </c>
      <c r="C702" s="1" t="s">
        <v>1131</v>
      </c>
      <c r="D702" s="1" t="s">
        <v>4</v>
      </c>
      <c r="E702" s="1" t="s">
        <v>14</v>
      </c>
      <c r="F702" s="26">
        <v>1798</v>
      </c>
      <c r="G702" s="26">
        <v>0</v>
      </c>
      <c r="H702" s="26">
        <v>1800</v>
      </c>
      <c r="I702" s="26">
        <v>16107784.000000002</v>
      </c>
      <c r="J702" s="26">
        <v>117000000</v>
      </c>
    </row>
    <row r="703" spans="1:10">
      <c r="A703" s="24">
        <v>701</v>
      </c>
      <c r="B703" s="24">
        <f t="shared" si="10"/>
        <v>401</v>
      </c>
      <c r="C703" s="1" t="s">
        <v>1132</v>
      </c>
      <c r="D703" s="1" t="s">
        <v>4</v>
      </c>
      <c r="E703" s="1" t="s">
        <v>14</v>
      </c>
      <c r="F703" s="26">
        <v>1200</v>
      </c>
      <c r="G703" s="26">
        <v>0</v>
      </c>
      <c r="H703" s="26">
        <v>1200</v>
      </c>
      <c r="I703" s="26">
        <v>11463903.999999996</v>
      </c>
      <c r="J703" s="26">
        <v>82800000</v>
      </c>
    </row>
    <row r="704" spans="1:10">
      <c r="A704" s="24">
        <v>702</v>
      </c>
      <c r="B704" s="24">
        <f t="shared" si="10"/>
        <v>402</v>
      </c>
      <c r="C704" s="1" t="s">
        <v>775</v>
      </c>
      <c r="F704" s="26">
        <v>9265</v>
      </c>
      <c r="G704" s="26">
        <v>0</v>
      </c>
      <c r="H704" s="26">
        <v>9300</v>
      </c>
      <c r="I704" s="26">
        <v>89379882</v>
      </c>
      <c r="J704" s="26">
        <v>552300000</v>
      </c>
    </row>
    <row r="705" spans="1:10">
      <c r="A705" s="24">
        <v>703</v>
      </c>
      <c r="B705" s="24">
        <f t="shared" si="10"/>
        <v>403</v>
      </c>
      <c r="C705" s="1" t="s">
        <v>1133</v>
      </c>
      <c r="D705" s="1" t="s">
        <v>4</v>
      </c>
      <c r="E705" s="1" t="s">
        <v>14</v>
      </c>
      <c r="F705" s="26">
        <v>1499</v>
      </c>
      <c r="G705" s="26">
        <v>0</v>
      </c>
      <c r="H705" s="26">
        <v>1500</v>
      </c>
      <c r="I705" s="26">
        <v>14156805.000000002</v>
      </c>
      <c r="J705" s="26">
        <v>82500000</v>
      </c>
    </row>
    <row r="706" spans="1:10">
      <c r="A706" s="24">
        <v>704</v>
      </c>
      <c r="B706" s="24">
        <f t="shared" si="10"/>
        <v>404</v>
      </c>
      <c r="C706" s="1" t="s">
        <v>775</v>
      </c>
      <c r="F706" s="26">
        <v>1499</v>
      </c>
      <c r="G706" s="26">
        <v>0</v>
      </c>
      <c r="H706" s="26">
        <v>1500</v>
      </c>
      <c r="I706" s="26">
        <v>14156805.000000002</v>
      </c>
      <c r="J706" s="26">
        <v>82500000</v>
      </c>
    </row>
    <row r="707" spans="1:10">
      <c r="A707" s="24">
        <v>705</v>
      </c>
      <c r="B707" s="24">
        <f t="shared" si="10"/>
        <v>405</v>
      </c>
      <c r="C707" s="1" t="s">
        <v>1134</v>
      </c>
      <c r="D707" s="1" t="s">
        <v>4</v>
      </c>
      <c r="E707" s="1" t="s">
        <v>14</v>
      </c>
      <c r="F707" s="26">
        <v>1200</v>
      </c>
      <c r="G707" s="26">
        <v>0</v>
      </c>
      <c r="H707" s="26">
        <v>1200</v>
      </c>
      <c r="I707" s="26">
        <v>9730212.0000000019</v>
      </c>
      <c r="J707" s="26">
        <v>58800000</v>
      </c>
    </row>
    <row r="708" spans="1:10">
      <c r="A708" s="24">
        <v>706</v>
      </c>
      <c r="B708" s="24">
        <f t="shared" ref="B708:B771" si="11">IF(C707=C708,B707,B707+1)</f>
        <v>406</v>
      </c>
      <c r="C708" s="1" t="s">
        <v>1135</v>
      </c>
      <c r="D708" s="1" t="s">
        <v>4</v>
      </c>
      <c r="E708" s="1" t="s">
        <v>14</v>
      </c>
      <c r="F708" s="26">
        <v>800</v>
      </c>
      <c r="G708" s="26">
        <v>0</v>
      </c>
      <c r="H708" s="26">
        <v>800</v>
      </c>
      <c r="I708" s="26">
        <v>4895828.8000000007</v>
      </c>
      <c r="J708" s="26">
        <v>36000000</v>
      </c>
    </row>
    <row r="709" spans="1:10">
      <c r="A709" s="24">
        <v>707</v>
      </c>
      <c r="B709" s="24">
        <f t="shared" si="11"/>
        <v>407</v>
      </c>
      <c r="C709" s="1" t="s">
        <v>1136</v>
      </c>
      <c r="D709" s="1" t="s">
        <v>2</v>
      </c>
      <c r="E709" s="1" t="s">
        <v>14</v>
      </c>
      <c r="F709" s="26">
        <v>399</v>
      </c>
      <c r="G709" s="26">
        <v>0</v>
      </c>
      <c r="H709" s="26">
        <v>400</v>
      </c>
      <c r="I709" s="26">
        <v>1754360.0000000002</v>
      </c>
      <c r="J709" s="26">
        <v>11600000</v>
      </c>
    </row>
    <row r="710" spans="1:10">
      <c r="A710" s="24">
        <v>708</v>
      </c>
      <c r="B710" s="24">
        <f t="shared" si="11"/>
        <v>407</v>
      </c>
      <c r="C710" s="1" t="s">
        <v>1136</v>
      </c>
      <c r="D710" s="1" t="s">
        <v>3</v>
      </c>
      <c r="E710" s="1" t="s">
        <v>14</v>
      </c>
      <c r="F710" s="26">
        <v>399</v>
      </c>
      <c r="G710" s="26">
        <v>0</v>
      </c>
      <c r="H710" s="26">
        <v>400</v>
      </c>
      <c r="I710" s="26">
        <v>1754360.0000000002</v>
      </c>
      <c r="J710" s="26">
        <v>11600000</v>
      </c>
    </row>
    <row r="711" spans="1:10">
      <c r="A711" s="24">
        <v>709</v>
      </c>
      <c r="B711" s="24">
        <f t="shared" si="11"/>
        <v>408</v>
      </c>
      <c r="C711" s="1" t="s">
        <v>1137</v>
      </c>
      <c r="D711" s="1" t="s">
        <v>4</v>
      </c>
      <c r="E711" s="1" t="s">
        <v>14</v>
      </c>
      <c r="F711" s="26">
        <v>1200</v>
      </c>
      <c r="G711" s="26">
        <v>0</v>
      </c>
      <c r="H711" s="26">
        <v>1200</v>
      </c>
      <c r="I711" s="26">
        <v>9597012.0000000019</v>
      </c>
      <c r="J711" s="26">
        <v>58800000</v>
      </c>
    </row>
    <row r="712" spans="1:10">
      <c r="A712" s="24">
        <v>710</v>
      </c>
      <c r="B712" s="24">
        <f t="shared" si="11"/>
        <v>409</v>
      </c>
      <c r="C712" s="1" t="s">
        <v>1138</v>
      </c>
      <c r="D712" s="1" t="s">
        <v>4</v>
      </c>
      <c r="E712" s="1" t="s">
        <v>14</v>
      </c>
      <c r="F712" s="26">
        <v>800</v>
      </c>
      <c r="G712" s="26">
        <v>0</v>
      </c>
      <c r="H712" s="26">
        <v>800</v>
      </c>
      <c r="I712" s="26">
        <v>4895828.8000000007</v>
      </c>
      <c r="J712" s="26">
        <v>36000000</v>
      </c>
    </row>
    <row r="713" spans="1:10">
      <c r="A713" s="24">
        <v>711</v>
      </c>
      <c r="B713" s="24">
        <f t="shared" si="11"/>
        <v>410</v>
      </c>
      <c r="C713" s="1" t="s">
        <v>1139</v>
      </c>
      <c r="D713" s="1" t="s">
        <v>2</v>
      </c>
      <c r="E713" s="1" t="s">
        <v>14</v>
      </c>
      <c r="F713" s="26">
        <v>399</v>
      </c>
      <c r="G713" s="26">
        <v>0</v>
      </c>
      <c r="H713" s="26">
        <v>400</v>
      </c>
      <c r="I713" s="26">
        <v>1754360.0000000002</v>
      </c>
      <c r="J713" s="26">
        <v>11600000</v>
      </c>
    </row>
    <row r="714" spans="1:10">
      <c r="A714" s="24">
        <v>712</v>
      </c>
      <c r="B714" s="24">
        <f t="shared" si="11"/>
        <v>410</v>
      </c>
      <c r="C714" s="1" t="s">
        <v>1139</v>
      </c>
      <c r="D714" s="1" t="s">
        <v>3</v>
      </c>
      <c r="E714" s="1" t="s">
        <v>14</v>
      </c>
      <c r="F714" s="26">
        <v>400</v>
      </c>
      <c r="G714" s="26">
        <v>0</v>
      </c>
      <c r="H714" s="26">
        <v>400</v>
      </c>
      <c r="I714" s="26">
        <v>1754360.0000000002</v>
      </c>
      <c r="J714" s="26">
        <v>11600000</v>
      </c>
    </row>
    <row r="715" spans="1:10">
      <c r="A715" s="24">
        <v>713</v>
      </c>
      <c r="B715" s="24">
        <f t="shared" si="11"/>
        <v>411</v>
      </c>
      <c r="C715" s="1" t="s">
        <v>1140</v>
      </c>
      <c r="D715" s="1" t="s">
        <v>4</v>
      </c>
      <c r="E715" s="1" t="s">
        <v>14</v>
      </c>
      <c r="F715" s="26">
        <v>1201</v>
      </c>
      <c r="G715" s="26">
        <v>0</v>
      </c>
      <c r="H715" s="26">
        <v>1200</v>
      </c>
      <c r="I715" s="26">
        <v>7732812</v>
      </c>
      <c r="J715" s="26">
        <v>58800000</v>
      </c>
    </row>
    <row r="716" spans="1:10">
      <c r="A716" s="24">
        <v>714</v>
      </c>
      <c r="B716" s="24">
        <f t="shared" si="11"/>
        <v>412</v>
      </c>
      <c r="C716" s="1" t="s">
        <v>775</v>
      </c>
      <c r="F716" s="26">
        <v>6798</v>
      </c>
      <c r="G716" s="26">
        <v>0</v>
      </c>
      <c r="H716" s="26">
        <v>6800</v>
      </c>
      <c r="I716" s="26">
        <v>43869133.600000009</v>
      </c>
      <c r="J716" s="26">
        <v>294800000</v>
      </c>
    </row>
    <row r="717" spans="1:10">
      <c r="A717" s="24">
        <v>715</v>
      </c>
      <c r="B717" s="24">
        <f t="shared" si="11"/>
        <v>413</v>
      </c>
      <c r="C717" s="1" t="s">
        <v>1141</v>
      </c>
      <c r="D717" s="1" t="s">
        <v>7</v>
      </c>
      <c r="E717" s="1" t="s">
        <v>14</v>
      </c>
      <c r="F717" s="26">
        <v>260</v>
      </c>
      <c r="G717" s="26">
        <v>0</v>
      </c>
      <c r="H717" s="26">
        <v>250</v>
      </c>
      <c r="I717" s="26">
        <v>5058125</v>
      </c>
      <c r="J717" s="26">
        <v>22250000</v>
      </c>
    </row>
    <row r="718" spans="1:10">
      <c r="A718" s="24">
        <v>716</v>
      </c>
      <c r="B718" s="24">
        <f t="shared" si="11"/>
        <v>413</v>
      </c>
      <c r="C718" s="1" t="s">
        <v>1141</v>
      </c>
      <c r="D718" s="1" t="s">
        <v>8</v>
      </c>
      <c r="E718" s="1" t="s">
        <v>14</v>
      </c>
      <c r="F718" s="26">
        <v>359</v>
      </c>
      <c r="G718" s="26">
        <v>0</v>
      </c>
      <c r="H718" s="26">
        <v>350</v>
      </c>
      <c r="I718" s="26">
        <v>7081375</v>
      </c>
      <c r="J718" s="26">
        <v>31150000</v>
      </c>
    </row>
    <row r="719" spans="1:10">
      <c r="A719" s="24">
        <v>717</v>
      </c>
      <c r="B719" s="24">
        <f t="shared" si="11"/>
        <v>413</v>
      </c>
      <c r="C719" s="1" t="s">
        <v>1141</v>
      </c>
      <c r="D719" s="1" t="s">
        <v>9</v>
      </c>
      <c r="E719" s="1" t="s">
        <v>14</v>
      </c>
      <c r="F719" s="26">
        <v>379</v>
      </c>
      <c r="G719" s="26">
        <v>0</v>
      </c>
      <c r="H719" s="26">
        <v>350</v>
      </c>
      <c r="I719" s="26">
        <v>7081375</v>
      </c>
      <c r="J719" s="26">
        <v>31150000</v>
      </c>
    </row>
    <row r="720" spans="1:10">
      <c r="A720" s="24">
        <v>718</v>
      </c>
      <c r="B720" s="24">
        <f t="shared" si="11"/>
        <v>413</v>
      </c>
      <c r="C720" s="1" t="s">
        <v>1141</v>
      </c>
      <c r="D720" s="1" t="s">
        <v>10</v>
      </c>
      <c r="E720" s="1" t="s">
        <v>14</v>
      </c>
      <c r="F720" s="26">
        <v>268</v>
      </c>
      <c r="G720" s="26">
        <v>0</v>
      </c>
      <c r="H720" s="26">
        <v>250</v>
      </c>
      <c r="I720" s="26">
        <v>5058125</v>
      </c>
      <c r="J720" s="26">
        <v>22250000</v>
      </c>
    </row>
    <row r="721" spans="1:10">
      <c r="A721" s="24">
        <v>719</v>
      </c>
      <c r="B721" s="24">
        <f t="shared" si="11"/>
        <v>414</v>
      </c>
      <c r="C721" s="1" t="s">
        <v>1142</v>
      </c>
      <c r="D721" s="1" t="s">
        <v>7</v>
      </c>
      <c r="E721" s="1" t="s">
        <v>14</v>
      </c>
      <c r="F721" s="26">
        <v>262</v>
      </c>
      <c r="G721" s="26">
        <v>0</v>
      </c>
      <c r="H721" s="26">
        <v>250</v>
      </c>
      <c r="I721" s="26">
        <v>7454750.0000000009</v>
      </c>
      <c r="J721" s="26">
        <v>29750000</v>
      </c>
    </row>
    <row r="722" spans="1:10">
      <c r="A722" s="24">
        <v>720</v>
      </c>
      <c r="B722" s="24">
        <f t="shared" si="11"/>
        <v>414</v>
      </c>
      <c r="C722" s="1" t="s">
        <v>1142</v>
      </c>
      <c r="D722" s="1" t="s">
        <v>8</v>
      </c>
      <c r="E722" s="1" t="s">
        <v>14</v>
      </c>
      <c r="F722" s="26">
        <v>366</v>
      </c>
      <c r="G722" s="26">
        <v>0</v>
      </c>
      <c r="H722" s="26">
        <v>350</v>
      </c>
      <c r="I722" s="26">
        <v>10436650.000000002</v>
      </c>
      <c r="J722" s="26">
        <v>41650000</v>
      </c>
    </row>
    <row r="723" spans="1:10">
      <c r="A723" s="24">
        <v>721</v>
      </c>
      <c r="B723" s="24">
        <f t="shared" si="11"/>
        <v>414</v>
      </c>
      <c r="C723" s="1" t="s">
        <v>1142</v>
      </c>
      <c r="D723" s="1" t="s">
        <v>9</v>
      </c>
      <c r="E723" s="1" t="s">
        <v>14</v>
      </c>
      <c r="F723" s="26">
        <v>355</v>
      </c>
      <c r="G723" s="26">
        <v>0</v>
      </c>
      <c r="H723" s="26">
        <v>350</v>
      </c>
      <c r="I723" s="26">
        <v>10436650.000000002</v>
      </c>
      <c r="J723" s="26">
        <v>41650000</v>
      </c>
    </row>
    <row r="724" spans="1:10">
      <c r="A724" s="24">
        <v>722</v>
      </c>
      <c r="B724" s="24">
        <f t="shared" si="11"/>
        <v>414</v>
      </c>
      <c r="C724" s="1" t="s">
        <v>1142</v>
      </c>
      <c r="D724" s="1" t="s">
        <v>10</v>
      </c>
      <c r="E724" s="1" t="s">
        <v>14</v>
      </c>
      <c r="F724" s="26">
        <v>259</v>
      </c>
      <c r="G724" s="26">
        <v>0</v>
      </c>
      <c r="H724" s="26">
        <v>250</v>
      </c>
      <c r="I724" s="26">
        <v>7454750.0000000009</v>
      </c>
      <c r="J724" s="26">
        <v>29750000</v>
      </c>
    </row>
    <row r="725" spans="1:10">
      <c r="A725" s="24">
        <v>723</v>
      </c>
      <c r="B725" s="24">
        <f t="shared" si="11"/>
        <v>415</v>
      </c>
      <c r="C725" s="1" t="s">
        <v>1143</v>
      </c>
      <c r="D725" s="1" t="s">
        <v>7</v>
      </c>
      <c r="E725" s="1" t="s">
        <v>14</v>
      </c>
      <c r="F725" s="26">
        <v>321</v>
      </c>
      <c r="G725" s="26">
        <v>0</v>
      </c>
      <c r="H725" s="26">
        <v>300</v>
      </c>
      <c r="I725" s="26">
        <v>11267250</v>
      </c>
      <c r="J725" s="26">
        <v>47400000</v>
      </c>
    </row>
    <row r="726" spans="1:10">
      <c r="A726" s="24">
        <v>724</v>
      </c>
      <c r="B726" s="24">
        <f t="shared" si="11"/>
        <v>415</v>
      </c>
      <c r="C726" s="1" t="s">
        <v>1143</v>
      </c>
      <c r="D726" s="1" t="s">
        <v>8</v>
      </c>
      <c r="E726" s="1" t="s">
        <v>14</v>
      </c>
      <c r="F726" s="26">
        <v>432</v>
      </c>
      <c r="G726" s="26">
        <v>0</v>
      </c>
      <c r="H726" s="26">
        <v>400</v>
      </c>
      <c r="I726" s="26">
        <v>15023000</v>
      </c>
      <c r="J726" s="26">
        <v>63200000</v>
      </c>
    </row>
    <row r="727" spans="1:10">
      <c r="A727" s="24">
        <v>725</v>
      </c>
      <c r="B727" s="24">
        <f t="shared" si="11"/>
        <v>415</v>
      </c>
      <c r="C727" s="1" t="s">
        <v>1143</v>
      </c>
      <c r="D727" s="1" t="s">
        <v>9</v>
      </c>
      <c r="E727" s="1" t="s">
        <v>14</v>
      </c>
      <c r="F727" s="26">
        <v>320</v>
      </c>
      <c r="G727" s="26">
        <v>0</v>
      </c>
      <c r="H727" s="26">
        <v>300</v>
      </c>
      <c r="I727" s="26">
        <v>11267250</v>
      </c>
      <c r="J727" s="26">
        <v>47400000</v>
      </c>
    </row>
    <row r="728" spans="1:10">
      <c r="A728" s="24">
        <v>726</v>
      </c>
      <c r="B728" s="24">
        <f t="shared" si="11"/>
        <v>416</v>
      </c>
      <c r="C728" s="1" t="s">
        <v>775</v>
      </c>
      <c r="F728" s="26">
        <v>3581</v>
      </c>
      <c r="G728" s="26">
        <v>0</v>
      </c>
      <c r="H728" s="26">
        <v>3400</v>
      </c>
      <c r="I728" s="26">
        <v>97619300</v>
      </c>
      <c r="J728" s="26">
        <v>407600000</v>
      </c>
    </row>
    <row r="729" spans="1:10">
      <c r="A729" s="24">
        <v>727</v>
      </c>
      <c r="B729" s="24">
        <f t="shared" si="11"/>
        <v>417</v>
      </c>
      <c r="C729" s="1" t="s">
        <v>1144</v>
      </c>
      <c r="D729" s="1" t="s">
        <v>6</v>
      </c>
      <c r="E729" s="1" t="s">
        <v>14</v>
      </c>
      <c r="F729" s="26">
        <v>218</v>
      </c>
      <c r="G729" s="26">
        <v>0</v>
      </c>
      <c r="H729" s="26">
        <v>200</v>
      </c>
      <c r="I729" s="26">
        <v>13459750</v>
      </c>
      <c r="J729" s="26">
        <v>55600000</v>
      </c>
    </row>
    <row r="730" spans="1:10">
      <c r="A730" s="24">
        <v>728</v>
      </c>
      <c r="B730" s="24">
        <f t="shared" si="11"/>
        <v>417</v>
      </c>
      <c r="C730" s="1" t="s">
        <v>1144</v>
      </c>
      <c r="D730" s="1" t="s">
        <v>7</v>
      </c>
      <c r="E730" s="1" t="s">
        <v>14</v>
      </c>
      <c r="F730" s="26">
        <v>449</v>
      </c>
      <c r="G730" s="26">
        <v>0</v>
      </c>
      <c r="H730" s="26">
        <v>400</v>
      </c>
      <c r="I730" s="26">
        <v>26919500</v>
      </c>
      <c r="J730" s="26">
        <v>111200000</v>
      </c>
    </row>
    <row r="731" spans="1:10">
      <c r="A731" s="24">
        <v>729</v>
      </c>
      <c r="B731" s="24">
        <f t="shared" si="11"/>
        <v>417</v>
      </c>
      <c r="C731" s="1" t="s">
        <v>1144</v>
      </c>
      <c r="D731" s="1" t="s">
        <v>8</v>
      </c>
      <c r="E731" s="1" t="s">
        <v>14</v>
      </c>
      <c r="F731" s="26">
        <v>488</v>
      </c>
      <c r="G731" s="26">
        <v>0</v>
      </c>
      <c r="H731" s="26">
        <v>450</v>
      </c>
      <c r="I731" s="26">
        <v>30284437.5</v>
      </c>
      <c r="J731" s="26">
        <v>125100000</v>
      </c>
    </row>
    <row r="732" spans="1:10">
      <c r="A732" s="24">
        <v>730</v>
      </c>
      <c r="B732" s="24">
        <f t="shared" si="11"/>
        <v>417</v>
      </c>
      <c r="C732" s="1" t="s">
        <v>1144</v>
      </c>
      <c r="D732" s="1" t="s">
        <v>9</v>
      </c>
      <c r="E732" s="1" t="s">
        <v>14</v>
      </c>
      <c r="F732" s="26">
        <v>271</v>
      </c>
      <c r="G732" s="26">
        <v>0</v>
      </c>
      <c r="H732" s="26">
        <v>250</v>
      </c>
      <c r="I732" s="26">
        <v>16824687.5</v>
      </c>
      <c r="J732" s="26">
        <v>69500000</v>
      </c>
    </row>
    <row r="733" spans="1:10">
      <c r="A733" s="24">
        <v>731</v>
      </c>
      <c r="B733" s="24">
        <f t="shared" si="11"/>
        <v>417</v>
      </c>
      <c r="C733" s="1" t="s">
        <v>1144</v>
      </c>
      <c r="D733" s="1" t="s">
        <v>10</v>
      </c>
      <c r="E733" s="1" t="s">
        <v>14</v>
      </c>
      <c r="F733" s="26">
        <v>214</v>
      </c>
      <c r="G733" s="26">
        <v>0</v>
      </c>
      <c r="H733" s="26">
        <v>200</v>
      </c>
      <c r="I733" s="26">
        <v>13459750</v>
      </c>
      <c r="J733" s="26">
        <v>55600000</v>
      </c>
    </row>
    <row r="734" spans="1:10">
      <c r="A734" s="24">
        <v>732</v>
      </c>
      <c r="B734" s="24">
        <f t="shared" si="11"/>
        <v>418</v>
      </c>
      <c r="C734" s="1" t="s">
        <v>1145</v>
      </c>
      <c r="D734" s="1" t="s">
        <v>6</v>
      </c>
      <c r="E734" s="1" t="s">
        <v>14</v>
      </c>
      <c r="F734" s="26">
        <v>220</v>
      </c>
      <c r="G734" s="26">
        <v>0</v>
      </c>
      <c r="H734" s="26">
        <v>200</v>
      </c>
      <c r="I734" s="26">
        <v>13459750</v>
      </c>
      <c r="J734" s="26">
        <v>55600000</v>
      </c>
    </row>
    <row r="735" spans="1:10">
      <c r="A735" s="24">
        <v>733</v>
      </c>
      <c r="B735" s="24">
        <f t="shared" si="11"/>
        <v>418</v>
      </c>
      <c r="C735" s="1" t="s">
        <v>1145</v>
      </c>
      <c r="D735" s="1" t="s">
        <v>7</v>
      </c>
      <c r="E735" s="1" t="s">
        <v>14</v>
      </c>
      <c r="F735" s="26">
        <v>439</v>
      </c>
      <c r="G735" s="26">
        <v>0</v>
      </c>
      <c r="H735" s="26">
        <v>400</v>
      </c>
      <c r="I735" s="26">
        <v>26919500</v>
      </c>
      <c r="J735" s="26">
        <v>111200000</v>
      </c>
    </row>
    <row r="736" spans="1:10">
      <c r="A736" s="24">
        <v>734</v>
      </c>
      <c r="B736" s="24">
        <f t="shared" si="11"/>
        <v>418</v>
      </c>
      <c r="C736" s="1" t="s">
        <v>1145</v>
      </c>
      <c r="D736" s="1" t="s">
        <v>8</v>
      </c>
      <c r="E736" s="1" t="s">
        <v>14</v>
      </c>
      <c r="F736" s="26">
        <v>503</v>
      </c>
      <c r="G736" s="26">
        <v>0</v>
      </c>
      <c r="H736" s="26">
        <v>450</v>
      </c>
      <c r="I736" s="26">
        <v>30284437.5</v>
      </c>
      <c r="J736" s="26">
        <v>125100000</v>
      </c>
    </row>
    <row r="737" spans="1:10">
      <c r="A737" s="24">
        <v>735</v>
      </c>
      <c r="B737" s="24">
        <f t="shared" si="11"/>
        <v>418</v>
      </c>
      <c r="C737" s="1" t="s">
        <v>1145</v>
      </c>
      <c r="D737" s="1" t="s">
        <v>9</v>
      </c>
      <c r="E737" s="1" t="s">
        <v>14</v>
      </c>
      <c r="F737" s="26">
        <v>268</v>
      </c>
      <c r="G737" s="26">
        <v>0</v>
      </c>
      <c r="H737" s="26">
        <v>250</v>
      </c>
      <c r="I737" s="26">
        <v>16824687.5</v>
      </c>
      <c r="J737" s="26">
        <v>69500000</v>
      </c>
    </row>
    <row r="738" spans="1:10">
      <c r="A738" s="24">
        <v>736</v>
      </c>
      <c r="B738" s="24">
        <f t="shared" si="11"/>
        <v>418</v>
      </c>
      <c r="C738" s="1" t="s">
        <v>1145</v>
      </c>
      <c r="D738" s="1" t="s">
        <v>10</v>
      </c>
      <c r="E738" s="1" t="s">
        <v>14</v>
      </c>
      <c r="F738" s="26">
        <v>223</v>
      </c>
      <c r="G738" s="26">
        <v>0</v>
      </c>
      <c r="H738" s="26">
        <v>200</v>
      </c>
      <c r="I738" s="26">
        <v>13459750</v>
      </c>
      <c r="J738" s="26">
        <v>55600000</v>
      </c>
    </row>
    <row r="739" spans="1:10">
      <c r="A739" s="24">
        <v>737</v>
      </c>
      <c r="B739" s="24">
        <f t="shared" si="11"/>
        <v>419</v>
      </c>
      <c r="C739" s="1" t="s">
        <v>1146</v>
      </c>
      <c r="D739" s="1" t="s">
        <v>6</v>
      </c>
      <c r="E739" s="1" t="s">
        <v>14</v>
      </c>
      <c r="F739" s="26">
        <v>216</v>
      </c>
      <c r="G739" s="26">
        <v>0</v>
      </c>
      <c r="H739" s="26">
        <v>200</v>
      </c>
      <c r="I739" s="26">
        <v>11738799.999999998</v>
      </c>
      <c r="J739" s="26">
        <v>51600000</v>
      </c>
    </row>
    <row r="740" spans="1:10">
      <c r="A740" s="24">
        <v>738</v>
      </c>
      <c r="B740" s="24">
        <f t="shared" si="11"/>
        <v>419</v>
      </c>
      <c r="C740" s="1" t="s">
        <v>1146</v>
      </c>
      <c r="D740" s="1" t="s">
        <v>7</v>
      </c>
      <c r="E740" s="1" t="s">
        <v>14</v>
      </c>
      <c r="F740" s="26">
        <v>435</v>
      </c>
      <c r="G740" s="26">
        <v>0</v>
      </c>
      <c r="H740" s="26">
        <v>400</v>
      </c>
      <c r="I740" s="26">
        <v>23477599.999999996</v>
      </c>
      <c r="J740" s="26">
        <v>103200000</v>
      </c>
    </row>
    <row r="741" spans="1:10">
      <c r="A741" s="24">
        <v>739</v>
      </c>
      <c r="B741" s="24">
        <f t="shared" si="11"/>
        <v>419</v>
      </c>
      <c r="C741" s="1" t="s">
        <v>1146</v>
      </c>
      <c r="D741" s="1" t="s">
        <v>8</v>
      </c>
      <c r="E741" s="1" t="s">
        <v>14</v>
      </c>
      <c r="F741" s="26">
        <v>483</v>
      </c>
      <c r="G741" s="26">
        <v>0</v>
      </c>
      <c r="H741" s="26">
        <v>450</v>
      </c>
      <c r="I741" s="26">
        <v>26412299.999999996</v>
      </c>
      <c r="J741" s="26">
        <v>116100000</v>
      </c>
    </row>
    <row r="742" spans="1:10">
      <c r="A742" s="24">
        <v>740</v>
      </c>
      <c r="B742" s="24">
        <f t="shared" si="11"/>
        <v>419</v>
      </c>
      <c r="C742" s="1" t="s">
        <v>1146</v>
      </c>
      <c r="D742" s="1" t="s">
        <v>9</v>
      </c>
      <c r="E742" s="1" t="s">
        <v>14</v>
      </c>
      <c r="F742" s="26">
        <v>270</v>
      </c>
      <c r="G742" s="26">
        <v>0</v>
      </c>
      <c r="H742" s="26">
        <v>250</v>
      </c>
      <c r="I742" s="26">
        <v>14673499.999999998</v>
      </c>
      <c r="J742" s="26">
        <v>64500000</v>
      </c>
    </row>
    <row r="743" spans="1:10">
      <c r="A743" s="24">
        <v>741</v>
      </c>
      <c r="B743" s="24">
        <f t="shared" si="11"/>
        <v>419</v>
      </c>
      <c r="C743" s="1" t="s">
        <v>1146</v>
      </c>
      <c r="D743" s="1" t="s">
        <v>10</v>
      </c>
      <c r="E743" s="1" t="s">
        <v>14</v>
      </c>
      <c r="F743" s="26">
        <v>214</v>
      </c>
      <c r="G743" s="26">
        <v>0</v>
      </c>
      <c r="H743" s="26">
        <v>200</v>
      </c>
      <c r="I743" s="26">
        <v>11738799.999999998</v>
      </c>
      <c r="J743" s="26">
        <v>51600000</v>
      </c>
    </row>
    <row r="744" spans="1:10">
      <c r="A744" s="24">
        <v>742</v>
      </c>
      <c r="B744" s="24">
        <f t="shared" si="11"/>
        <v>420</v>
      </c>
      <c r="C744" s="1" t="s">
        <v>775</v>
      </c>
      <c r="F744" s="26">
        <v>4911</v>
      </c>
      <c r="G744" s="26">
        <v>0</v>
      </c>
      <c r="H744" s="26">
        <v>4500</v>
      </c>
      <c r="I744" s="26">
        <v>289937250</v>
      </c>
      <c r="J744" s="26">
        <v>1221000000</v>
      </c>
    </row>
    <row r="745" spans="1:10">
      <c r="A745" s="24">
        <v>743</v>
      </c>
      <c r="B745" s="24">
        <f t="shared" si="11"/>
        <v>421</v>
      </c>
      <c r="C745" s="1" t="s">
        <v>1147</v>
      </c>
      <c r="D745" s="1" t="s">
        <v>4</v>
      </c>
      <c r="E745" s="1" t="s">
        <v>14</v>
      </c>
      <c r="F745" s="26">
        <v>798</v>
      </c>
      <c r="G745" s="26">
        <v>0</v>
      </c>
      <c r="H745" s="26">
        <v>800</v>
      </c>
      <c r="I745" s="26">
        <v>10205912.000000002</v>
      </c>
      <c r="J745" s="26">
        <v>55200000</v>
      </c>
    </row>
    <row r="746" spans="1:10">
      <c r="A746" s="24">
        <v>744</v>
      </c>
      <c r="B746" s="24">
        <f t="shared" si="11"/>
        <v>422</v>
      </c>
      <c r="C746" s="1" t="s">
        <v>1148</v>
      </c>
      <c r="D746" s="1" t="s">
        <v>4</v>
      </c>
      <c r="E746" s="1" t="s">
        <v>14</v>
      </c>
      <c r="F746" s="26">
        <v>1000</v>
      </c>
      <c r="G746" s="26">
        <v>0</v>
      </c>
      <c r="H746" s="26">
        <v>1000</v>
      </c>
      <c r="I746" s="26">
        <v>14065760</v>
      </c>
      <c r="J746" s="26">
        <v>75000000</v>
      </c>
    </row>
    <row r="747" spans="1:10">
      <c r="A747" s="24">
        <v>745</v>
      </c>
      <c r="B747" s="24">
        <f t="shared" si="11"/>
        <v>423</v>
      </c>
      <c r="C747" s="1" t="s">
        <v>775</v>
      </c>
      <c r="F747" s="26">
        <v>1798</v>
      </c>
      <c r="G747" s="26">
        <v>0</v>
      </c>
      <c r="H747" s="26">
        <v>1800</v>
      </c>
      <c r="I747" s="26">
        <v>24271672</v>
      </c>
      <c r="J747" s="26">
        <v>130200000</v>
      </c>
    </row>
    <row r="748" spans="1:10">
      <c r="A748" s="24">
        <v>746</v>
      </c>
      <c r="B748" s="24">
        <f t="shared" si="11"/>
        <v>424</v>
      </c>
      <c r="C748" s="1" t="s">
        <v>1149</v>
      </c>
      <c r="D748" s="1" t="s">
        <v>6</v>
      </c>
      <c r="E748" s="1" t="s">
        <v>14</v>
      </c>
      <c r="F748" s="26">
        <v>2000</v>
      </c>
      <c r="G748" s="26">
        <v>0</v>
      </c>
      <c r="H748" s="26">
        <v>2000</v>
      </c>
      <c r="I748" s="26">
        <v>12449052.000000004</v>
      </c>
      <c r="J748" s="26">
        <v>90000000</v>
      </c>
    </row>
    <row r="749" spans="1:10">
      <c r="A749" s="24">
        <v>747</v>
      </c>
      <c r="B749" s="24">
        <f t="shared" si="11"/>
        <v>424</v>
      </c>
      <c r="C749" s="1" t="s">
        <v>1149</v>
      </c>
      <c r="D749" s="1" t="s">
        <v>5</v>
      </c>
      <c r="E749" s="1" t="s">
        <v>14</v>
      </c>
      <c r="F749" s="26">
        <v>1996</v>
      </c>
      <c r="G749" s="26">
        <v>0</v>
      </c>
      <c r="H749" s="26">
        <v>2000</v>
      </c>
      <c r="I749" s="26">
        <v>12449052.000000004</v>
      </c>
      <c r="J749" s="26">
        <v>90000000</v>
      </c>
    </row>
    <row r="750" spans="1:10">
      <c r="A750" s="24">
        <v>748</v>
      </c>
      <c r="B750" s="24">
        <f t="shared" si="11"/>
        <v>425</v>
      </c>
      <c r="C750" s="1" t="s">
        <v>775</v>
      </c>
      <c r="F750" s="26">
        <v>3996</v>
      </c>
      <c r="G750" s="26">
        <v>0</v>
      </c>
      <c r="H750" s="26">
        <v>4000</v>
      </c>
      <c r="I750" s="26">
        <v>24898104.000000007</v>
      </c>
      <c r="J750" s="26">
        <v>180000000</v>
      </c>
    </row>
    <row r="751" spans="1:10">
      <c r="A751" s="24">
        <v>749</v>
      </c>
      <c r="B751" s="24">
        <f t="shared" si="11"/>
        <v>426</v>
      </c>
      <c r="C751" s="1" t="s">
        <v>1150</v>
      </c>
      <c r="D751" s="1" t="s">
        <v>4</v>
      </c>
      <c r="E751" s="1" t="s">
        <v>14</v>
      </c>
      <c r="F751" s="26">
        <v>1489</v>
      </c>
      <c r="G751" s="26">
        <v>0</v>
      </c>
      <c r="H751" s="26">
        <v>1500</v>
      </c>
      <c r="I751" s="26">
        <v>8009355</v>
      </c>
      <c r="J751" s="26">
        <v>58500000</v>
      </c>
    </row>
    <row r="752" spans="1:10">
      <c r="A752" s="24">
        <v>750</v>
      </c>
      <c r="B752" s="24">
        <f t="shared" si="11"/>
        <v>427</v>
      </c>
      <c r="C752" s="1" t="s">
        <v>1151</v>
      </c>
      <c r="D752" s="1" t="s">
        <v>4</v>
      </c>
      <c r="E752" s="1" t="s">
        <v>14</v>
      </c>
      <c r="F752" s="26">
        <v>1000</v>
      </c>
      <c r="G752" s="26">
        <v>0</v>
      </c>
      <c r="H752" s="26">
        <v>1000</v>
      </c>
      <c r="I752" s="26">
        <v>5339570</v>
      </c>
      <c r="J752" s="26">
        <v>39000000</v>
      </c>
    </row>
    <row r="753" spans="1:10">
      <c r="A753" s="24">
        <v>751</v>
      </c>
      <c r="B753" s="24">
        <f t="shared" si="11"/>
        <v>428</v>
      </c>
      <c r="C753" s="1" t="s">
        <v>775</v>
      </c>
      <c r="F753" s="26">
        <v>2489</v>
      </c>
      <c r="G753" s="26">
        <v>0</v>
      </c>
      <c r="H753" s="26">
        <v>2500</v>
      </c>
      <c r="I753" s="26">
        <v>13348925</v>
      </c>
      <c r="J753" s="26">
        <v>97500000</v>
      </c>
    </row>
    <row r="754" spans="1:10">
      <c r="A754" s="24">
        <v>752</v>
      </c>
      <c r="B754" s="24">
        <f t="shared" si="11"/>
        <v>429</v>
      </c>
      <c r="C754" s="1" t="s">
        <v>1152</v>
      </c>
      <c r="D754" s="1" t="s">
        <v>4</v>
      </c>
      <c r="E754" s="1" t="s">
        <v>14</v>
      </c>
      <c r="F754" s="26">
        <v>1500</v>
      </c>
      <c r="G754" s="26">
        <v>0</v>
      </c>
      <c r="H754" s="26">
        <v>1500</v>
      </c>
      <c r="I754" s="26">
        <v>5913300.0000000009</v>
      </c>
      <c r="J754" s="26">
        <v>43500000</v>
      </c>
    </row>
    <row r="755" spans="1:10">
      <c r="A755" s="24">
        <v>753</v>
      </c>
      <c r="B755" s="24">
        <f t="shared" si="11"/>
        <v>430</v>
      </c>
      <c r="C755" s="1" t="s">
        <v>1153</v>
      </c>
      <c r="D755" s="1" t="s">
        <v>4</v>
      </c>
      <c r="E755" s="1" t="s">
        <v>14</v>
      </c>
      <c r="F755" s="26">
        <v>1000</v>
      </c>
      <c r="G755" s="26">
        <v>0</v>
      </c>
      <c r="H755" s="26">
        <v>1000</v>
      </c>
      <c r="I755" s="26">
        <v>3942200.0000000009</v>
      </c>
      <c r="J755" s="26">
        <v>29000000</v>
      </c>
    </row>
    <row r="756" spans="1:10">
      <c r="A756" s="24">
        <v>754</v>
      </c>
      <c r="B756" s="24">
        <f t="shared" si="11"/>
        <v>431</v>
      </c>
      <c r="C756" s="1" t="s">
        <v>1154</v>
      </c>
      <c r="D756" s="1" t="s">
        <v>4</v>
      </c>
      <c r="E756" s="1" t="s">
        <v>14</v>
      </c>
      <c r="F756" s="26">
        <v>1198</v>
      </c>
      <c r="G756" s="26">
        <v>0</v>
      </c>
      <c r="H756" s="26">
        <v>1200</v>
      </c>
      <c r="I756" s="26">
        <v>4730640.0000000009</v>
      </c>
      <c r="J756" s="26">
        <v>34800000</v>
      </c>
    </row>
    <row r="757" spans="1:10">
      <c r="A757" s="24">
        <v>755</v>
      </c>
      <c r="B757" s="24">
        <f t="shared" si="11"/>
        <v>432</v>
      </c>
      <c r="C757" s="1" t="s">
        <v>1155</v>
      </c>
      <c r="D757" s="1" t="s">
        <v>4</v>
      </c>
      <c r="E757" s="1" t="s">
        <v>14</v>
      </c>
      <c r="F757" s="26">
        <v>999</v>
      </c>
      <c r="G757" s="26">
        <v>0</v>
      </c>
      <c r="H757" s="26">
        <v>1000</v>
      </c>
      <c r="I757" s="26">
        <v>3942200.0000000009</v>
      </c>
      <c r="J757" s="26">
        <v>29000000</v>
      </c>
    </row>
    <row r="758" spans="1:10">
      <c r="A758" s="24">
        <v>756</v>
      </c>
      <c r="B758" s="24">
        <f t="shared" si="11"/>
        <v>433</v>
      </c>
      <c r="C758" s="1" t="s">
        <v>1156</v>
      </c>
      <c r="D758" s="1" t="s">
        <v>4</v>
      </c>
      <c r="E758" s="1" t="s">
        <v>14</v>
      </c>
      <c r="F758" s="26">
        <v>799</v>
      </c>
      <c r="G758" s="26">
        <v>0</v>
      </c>
      <c r="H758" s="26">
        <v>800</v>
      </c>
      <c r="I758" s="26">
        <v>3153760.0000000005</v>
      </c>
      <c r="J758" s="26">
        <v>23200000</v>
      </c>
    </row>
    <row r="759" spans="1:10">
      <c r="A759" s="24">
        <v>757</v>
      </c>
      <c r="B759" s="24">
        <f t="shared" si="11"/>
        <v>434</v>
      </c>
      <c r="C759" s="1" t="s">
        <v>1157</v>
      </c>
      <c r="D759" s="1" t="s">
        <v>4</v>
      </c>
      <c r="E759" s="1" t="s">
        <v>14</v>
      </c>
      <c r="F759" s="26">
        <v>1198</v>
      </c>
      <c r="G759" s="26">
        <v>0</v>
      </c>
      <c r="H759" s="26">
        <v>1200</v>
      </c>
      <c r="I759" s="26">
        <v>4820702.4000000004</v>
      </c>
      <c r="J759" s="26">
        <v>42000000</v>
      </c>
    </row>
    <row r="760" spans="1:10">
      <c r="A760" s="24">
        <v>758</v>
      </c>
      <c r="B760" s="24">
        <f t="shared" si="11"/>
        <v>435</v>
      </c>
      <c r="C760" s="1" t="s">
        <v>1158</v>
      </c>
      <c r="D760" s="1" t="s">
        <v>4</v>
      </c>
      <c r="E760" s="1" t="s">
        <v>14</v>
      </c>
      <c r="F760" s="26">
        <v>1500</v>
      </c>
      <c r="G760" s="26">
        <v>0</v>
      </c>
      <c r="H760" s="26">
        <v>1500</v>
      </c>
      <c r="I760" s="26">
        <v>5575878.0000000009</v>
      </c>
      <c r="J760" s="26">
        <v>52500000</v>
      </c>
    </row>
    <row r="761" spans="1:10">
      <c r="A761" s="24">
        <v>759</v>
      </c>
      <c r="B761" s="24">
        <f t="shared" si="11"/>
        <v>436</v>
      </c>
      <c r="C761" s="1" t="s">
        <v>1159</v>
      </c>
      <c r="D761" s="1" t="s">
        <v>4</v>
      </c>
      <c r="E761" s="1" t="s">
        <v>14</v>
      </c>
      <c r="F761" s="26">
        <v>2000</v>
      </c>
      <c r="G761" s="26">
        <v>0</v>
      </c>
      <c r="H761" s="26">
        <v>2000</v>
      </c>
      <c r="I761" s="26">
        <v>7434504.0000000009</v>
      </c>
      <c r="J761" s="26">
        <v>70000000</v>
      </c>
    </row>
    <row r="762" spans="1:10">
      <c r="A762" s="24">
        <v>760</v>
      </c>
      <c r="B762" s="24">
        <f t="shared" si="11"/>
        <v>437</v>
      </c>
      <c r="C762" s="1" t="s">
        <v>1160</v>
      </c>
      <c r="D762" s="1" t="s">
        <v>4</v>
      </c>
      <c r="E762" s="1" t="s">
        <v>14</v>
      </c>
      <c r="F762" s="26">
        <v>1200</v>
      </c>
      <c r="G762" s="26">
        <v>0</v>
      </c>
      <c r="H762" s="26">
        <v>1200</v>
      </c>
      <c r="I762" s="26">
        <v>4460702.4000000004</v>
      </c>
      <c r="J762" s="26">
        <v>42000000</v>
      </c>
    </row>
    <row r="763" spans="1:10">
      <c r="A763" s="24">
        <v>761</v>
      </c>
      <c r="B763" s="24">
        <f t="shared" si="11"/>
        <v>438</v>
      </c>
      <c r="C763" s="1" t="s">
        <v>1161</v>
      </c>
      <c r="D763" s="1" t="s">
        <v>4</v>
      </c>
      <c r="E763" s="1" t="s">
        <v>14</v>
      </c>
      <c r="F763" s="26">
        <v>1000</v>
      </c>
      <c r="G763" s="26">
        <v>0</v>
      </c>
      <c r="H763" s="26">
        <v>1000</v>
      </c>
      <c r="I763" s="26">
        <v>3717252.0000000005</v>
      </c>
      <c r="J763" s="26">
        <v>35000000</v>
      </c>
    </row>
    <row r="764" spans="1:10">
      <c r="A764" s="24">
        <v>762</v>
      </c>
      <c r="B764" s="24">
        <f t="shared" si="11"/>
        <v>439</v>
      </c>
      <c r="C764" s="1" t="s">
        <v>1162</v>
      </c>
      <c r="D764" s="1" t="s">
        <v>4</v>
      </c>
      <c r="E764" s="1" t="s">
        <v>14</v>
      </c>
      <c r="F764" s="26">
        <v>1199</v>
      </c>
      <c r="G764" s="26">
        <v>0</v>
      </c>
      <c r="H764" s="26">
        <v>1200</v>
      </c>
      <c r="I764" s="26">
        <v>4460702.4000000004</v>
      </c>
      <c r="J764" s="26">
        <v>42000000</v>
      </c>
    </row>
    <row r="765" spans="1:10">
      <c r="A765" s="24">
        <v>763</v>
      </c>
      <c r="B765" s="24">
        <f t="shared" si="11"/>
        <v>440</v>
      </c>
      <c r="C765" s="1" t="s">
        <v>1163</v>
      </c>
      <c r="D765" s="1" t="s">
        <v>4</v>
      </c>
      <c r="E765" s="1" t="s">
        <v>14</v>
      </c>
      <c r="F765" s="26">
        <v>2500</v>
      </c>
      <c r="G765" s="26">
        <v>0</v>
      </c>
      <c r="H765" s="26">
        <v>2500</v>
      </c>
      <c r="I765" s="26">
        <v>9293130.0000000019</v>
      </c>
      <c r="J765" s="26">
        <v>87500000</v>
      </c>
    </row>
    <row r="766" spans="1:10">
      <c r="A766" s="24">
        <v>764</v>
      </c>
      <c r="B766" s="24">
        <f t="shared" si="11"/>
        <v>441</v>
      </c>
      <c r="C766" s="1" t="s">
        <v>1164</v>
      </c>
      <c r="D766" s="1" t="s">
        <v>4</v>
      </c>
      <c r="E766" s="1" t="s">
        <v>14</v>
      </c>
      <c r="F766" s="26">
        <v>800</v>
      </c>
      <c r="G766" s="26">
        <v>0</v>
      </c>
      <c r="H766" s="26">
        <v>800</v>
      </c>
      <c r="I766" s="26">
        <v>3891887.9999999995</v>
      </c>
      <c r="J766" s="26">
        <v>31200000</v>
      </c>
    </row>
    <row r="767" spans="1:10">
      <c r="A767" s="24">
        <v>765</v>
      </c>
      <c r="B767" s="24">
        <f t="shared" si="11"/>
        <v>442</v>
      </c>
      <c r="C767" s="1" t="s">
        <v>1165</v>
      </c>
      <c r="D767" s="1" t="s">
        <v>4</v>
      </c>
      <c r="E767" s="1" t="s">
        <v>14</v>
      </c>
      <c r="F767" s="26">
        <v>799</v>
      </c>
      <c r="G767" s="26">
        <v>0</v>
      </c>
      <c r="H767" s="26">
        <v>800</v>
      </c>
      <c r="I767" s="26">
        <v>3891887.9999999995</v>
      </c>
      <c r="J767" s="26">
        <v>31200000</v>
      </c>
    </row>
    <row r="768" spans="1:10">
      <c r="A768" s="24">
        <v>766</v>
      </c>
      <c r="B768" s="24">
        <f t="shared" si="11"/>
        <v>443</v>
      </c>
      <c r="C768" s="1" t="s">
        <v>775</v>
      </c>
      <c r="F768" s="26">
        <v>17692</v>
      </c>
      <c r="G768" s="26">
        <v>0</v>
      </c>
      <c r="H768" s="26">
        <v>17700</v>
      </c>
      <c r="I768" s="26">
        <v>69228747.200000003</v>
      </c>
      <c r="J768" s="26">
        <v>592900000</v>
      </c>
    </row>
    <row r="769" spans="1:10">
      <c r="A769" s="24">
        <v>767</v>
      </c>
      <c r="B769" s="24">
        <f t="shared" si="11"/>
        <v>444</v>
      </c>
      <c r="C769" s="1" t="s">
        <v>1166</v>
      </c>
      <c r="D769" s="1" t="s">
        <v>4</v>
      </c>
      <c r="E769" s="1" t="s">
        <v>14</v>
      </c>
      <c r="F769" s="26">
        <v>1497</v>
      </c>
      <c r="G769" s="26">
        <v>0</v>
      </c>
      <c r="H769" s="26">
        <v>1500</v>
      </c>
      <c r="I769" s="26">
        <v>9729720.0000000019</v>
      </c>
      <c r="J769" s="26">
        <v>52500000</v>
      </c>
    </row>
    <row r="770" spans="1:10">
      <c r="A770" s="24">
        <v>768</v>
      </c>
      <c r="B770" s="24">
        <f t="shared" si="11"/>
        <v>445</v>
      </c>
      <c r="C770" s="1" t="s">
        <v>1167</v>
      </c>
      <c r="D770" s="1" t="s">
        <v>4</v>
      </c>
      <c r="E770" s="1" t="s">
        <v>14</v>
      </c>
      <c r="F770" s="26">
        <v>1197</v>
      </c>
      <c r="G770" s="26">
        <v>0</v>
      </c>
      <c r="H770" s="26">
        <v>1200</v>
      </c>
      <c r="I770" s="26">
        <v>7783776.0000000019</v>
      </c>
      <c r="J770" s="26">
        <v>42000000</v>
      </c>
    </row>
    <row r="771" spans="1:10">
      <c r="A771" s="24">
        <v>769</v>
      </c>
      <c r="B771" s="24">
        <f t="shared" si="11"/>
        <v>446</v>
      </c>
      <c r="C771" s="1" t="s">
        <v>1168</v>
      </c>
      <c r="D771" s="1" t="s">
        <v>4</v>
      </c>
      <c r="E771" s="1" t="s">
        <v>14</v>
      </c>
      <c r="F771" s="26">
        <v>1200</v>
      </c>
      <c r="G771" s="26">
        <v>0</v>
      </c>
      <c r="H771" s="26">
        <v>1200</v>
      </c>
      <c r="I771" s="26">
        <v>7783776.0000000019</v>
      </c>
      <c r="J771" s="26">
        <v>42000000</v>
      </c>
    </row>
    <row r="772" spans="1:10">
      <c r="A772" s="24">
        <v>770</v>
      </c>
      <c r="B772" s="24">
        <f t="shared" ref="B772:B835" si="12">IF(C771=C772,B771,B771+1)</f>
        <v>447</v>
      </c>
      <c r="C772" s="1" t="s">
        <v>1169</v>
      </c>
      <c r="D772" s="1" t="s">
        <v>4</v>
      </c>
      <c r="E772" s="1" t="s">
        <v>14</v>
      </c>
      <c r="F772" s="26">
        <v>998</v>
      </c>
      <c r="G772" s="26">
        <v>0</v>
      </c>
      <c r="H772" s="26">
        <v>1000</v>
      </c>
      <c r="I772" s="26">
        <v>6038040</v>
      </c>
      <c r="J772" s="26">
        <v>35000000</v>
      </c>
    </row>
    <row r="773" spans="1:10">
      <c r="A773" s="24">
        <v>771</v>
      </c>
      <c r="B773" s="24">
        <f t="shared" si="12"/>
        <v>448</v>
      </c>
      <c r="C773" s="1" t="s">
        <v>1170</v>
      </c>
      <c r="D773" s="1" t="s">
        <v>4</v>
      </c>
      <c r="E773" s="1" t="s">
        <v>14</v>
      </c>
      <c r="F773" s="26">
        <v>999</v>
      </c>
      <c r="G773" s="26">
        <v>0</v>
      </c>
      <c r="H773" s="26">
        <v>1000</v>
      </c>
      <c r="I773" s="26">
        <v>6038040</v>
      </c>
      <c r="J773" s="26">
        <v>35000000</v>
      </c>
    </row>
    <row r="774" spans="1:10">
      <c r="A774" s="24">
        <v>772</v>
      </c>
      <c r="B774" s="24">
        <f t="shared" si="12"/>
        <v>449</v>
      </c>
      <c r="C774" s="1" t="s">
        <v>1171</v>
      </c>
      <c r="D774" s="1" t="s">
        <v>4</v>
      </c>
      <c r="E774" s="1" t="s">
        <v>14</v>
      </c>
      <c r="F774" s="26">
        <v>999</v>
      </c>
      <c r="G774" s="26">
        <v>0</v>
      </c>
      <c r="H774" s="26">
        <v>1000</v>
      </c>
      <c r="I774" s="26">
        <v>5102490.0000000009</v>
      </c>
      <c r="J774" s="26">
        <v>39000000</v>
      </c>
    </row>
    <row r="775" spans="1:10">
      <c r="A775" s="24">
        <v>773</v>
      </c>
      <c r="B775" s="24">
        <f t="shared" si="12"/>
        <v>450</v>
      </c>
      <c r="C775" s="1" t="s">
        <v>1172</v>
      </c>
      <c r="D775" s="1" t="s">
        <v>4</v>
      </c>
      <c r="E775" s="1" t="s">
        <v>14</v>
      </c>
      <c r="F775" s="26">
        <v>1189</v>
      </c>
      <c r="G775" s="26">
        <v>0</v>
      </c>
      <c r="H775" s="26">
        <v>1200</v>
      </c>
      <c r="I775" s="26">
        <v>6122988.0000000009</v>
      </c>
      <c r="J775" s="26">
        <v>46800000</v>
      </c>
    </row>
    <row r="776" spans="1:10">
      <c r="A776" s="24">
        <v>774</v>
      </c>
      <c r="B776" s="24">
        <f t="shared" si="12"/>
        <v>451</v>
      </c>
      <c r="C776" s="1" t="s">
        <v>1173</v>
      </c>
      <c r="D776" s="1" t="s">
        <v>4</v>
      </c>
      <c r="E776" s="1" t="s">
        <v>14</v>
      </c>
      <c r="F776" s="26">
        <v>1198</v>
      </c>
      <c r="G776" s="26">
        <v>0</v>
      </c>
      <c r="H776" s="26">
        <v>1200</v>
      </c>
      <c r="I776" s="26">
        <v>5613300</v>
      </c>
      <c r="J776" s="26">
        <v>46800000</v>
      </c>
    </row>
    <row r="777" spans="1:10">
      <c r="A777" s="24">
        <v>775</v>
      </c>
      <c r="B777" s="24">
        <f t="shared" si="12"/>
        <v>452</v>
      </c>
      <c r="C777" s="1" t="s">
        <v>1174</v>
      </c>
      <c r="D777" s="1" t="s">
        <v>4</v>
      </c>
      <c r="E777" s="1" t="s">
        <v>14</v>
      </c>
      <c r="F777" s="26">
        <v>1198</v>
      </c>
      <c r="G777" s="26">
        <v>0</v>
      </c>
      <c r="H777" s="26">
        <v>1200</v>
      </c>
      <c r="I777" s="26">
        <v>5613300</v>
      </c>
      <c r="J777" s="26">
        <v>46800000</v>
      </c>
    </row>
    <row r="778" spans="1:10">
      <c r="A778" s="24">
        <v>776</v>
      </c>
      <c r="B778" s="24">
        <f t="shared" si="12"/>
        <v>453</v>
      </c>
      <c r="C778" s="1" t="s">
        <v>1175</v>
      </c>
      <c r="D778" s="1" t="s">
        <v>4</v>
      </c>
      <c r="E778" s="1" t="s">
        <v>14</v>
      </c>
      <c r="F778" s="26">
        <v>796</v>
      </c>
      <c r="G778" s="26">
        <v>0</v>
      </c>
      <c r="H778" s="26">
        <v>800</v>
      </c>
      <c r="I778" s="26">
        <v>7075752</v>
      </c>
      <c r="J778" s="26">
        <v>39200000</v>
      </c>
    </row>
    <row r="779" spans="1:10">
      <c r="A779" s="24">
        <v>777</v>
      </c>
      <c r="B779" s="24">
        <f t="shared" si="12"/>
        <v>454</v>
      </c>
      <c r="C779" s="1" t="s">
        <v>1176</v>
      </c>
      <c r="D779" s="1" t="s">
        <v>4</v>
      </c>
      <c r="E779" s="1" t="s">
        <v>14</v>
      </c>
      <c r="F779" s="26">
        <v>395</v>
      </c>
      <c r="G779" s="26">
        <v>0</v>
      </c>
      <c r="H779" s="26">
        <v>400</v>
      </c>
      <c r="I779" s="26">
        <v>3712512.0000000005</v>
      </c>
      <c r="J779" s="26">
        <v>18000000</v>
      </c>
    </row>
    <row r="780" spans="1:10">
      <c r="A780" s="24">
        <v>778</v>
      </c>
      <c r="B780" s="24">
        <f t="shared" si="12"/>
        <v>455</v>
      </c>
      <c r="C780" s="1" t="s">
        <v>1177</v>
      </c>
      <c r="D780" s="1" t="s">
        <v>4</v>
      </c>
      <c r="E780" s="1" t="s">
        <v>14</v>
      </c>
      <c r="F780" s="26">
        <v>491</v>
      </c>
      <c r="G780" s="26">
        <v>0</v>
      </c>
      <c r="H780" s="26">
        <v>500</v>
      </c>
      <c r="I780" s="26">
        <v>4640640</v>
      </c>
      <c r="J780" s="26">
        <v>22500000</v>
      </c>
    </row>
    <row r="781" spans="1:10">
      <c r="A781" s="24">
        <v>779</v>
      </c>
      <c r="B781" s="24">
        <f t="shared" si="12"/>
        <v>456</v>
      </c>
      <c r="C781" s="1" t="s">
        <v>1178</v>
      </c>
      <c r="D781" s="1" t="s">
        <v>4</v>
      </c>
      <c r="E781" s="1" t="s">
        <v>14</v>
      </c>
      <c r="F781" s="26">
        <v>393</v>
      </c>
      <c r="G781" s="26">
        <v>0</v>
      </c>
      <c r="H781" s="26">
        <v>400</v>
      </c>
      <c r="I781" s="26">
        <v>3712512.0000000005</v>
      </c>
      <c r="J781" s="26">
        <v>18000000</v>
      </c>
    </row>
    <row r="782" spans="1:10">
      <c r="A782" s="24">
        <v>780</v>
      </c>
      <c r="B782" s="24">
        <f t="shared" si="12"/>
        <v>457</v>
      </c>
      <c r="C782" s="1" t="s">
        <v>1179</v>
      </c>
      <c r="D782" s="1" t="s">
        <v>4</v>
      </c>
      <c r="E782" s="1" t="s">
        <v>14</v>
      </c>
      <c r="F782" s="26">
        <v>797</v>
      </c>
      <c r="G782" s="26">
        <v>0</v>
      </c>
      <c r="H782" s="26">
        <v>800</v>
      </c>
      <c r="I782" s="26">
        <v>5139288.0000000009</v>
      </c>
      <c r="J782" s="26">
        <v>31200000</v>
      </c>
    </row>
    <row r="783" spans="1:10">
      <c r="A783" s="24">
        <v>781</v>
      </c>
      <c r="B783" s="24">
        <f t="shared" si="12"/>
        <v>458</v>
      </c>
      <c r="C783" s="1" t="s">
        <v>1180</v>
      </c>
      <c r="D783" s="1" t="s">
        <v>4</v>
      </c>
      <c r="E783" s="1" t="s">
        <v>14</v>
      </c>
      <c r="F783" s="26">
        <v>800</v>
      </c>
      <c r="G783" s="26">
        <v>0</v>
      </c>
      <c r="H783" s="26">
        <v>800</v>
      </c>
      <c r="I783" s="26">
        <v>5139288.0000000009</v>
      </c>
      <c r="J783" s="26">
        <v>31200000</v>
      </c>
    </row>
    <row r="784" spans="1:10">
      <c r="A784" s="24">
        <v>782</v>
      </c>
      <c r="B784" s="24">
        <f t="shared" si="12"/>
        <v>459</v>
      </c>
      <c r="C784" s="1" t="s">
        <v>1181</v>
      </c>
      <c r="D784" s="1" t="s">
        <v>4</v>
      </c>
      <c r="E784" s="1" t="s">
        <v>14</v>
      </c>
      <c r="F784" s="26">
        <v>800</v>
      </c>
      <c r="G784" s="26">
        <v>0</v>
      </c>
      <c r="H784" s="26">
        <v>800</v>
      </c>
      <c r="I784" s="26">
        <v>5139288.0000000009</v>
      </c>
      <c r="J784" s="26">
        <v>31200000</v>
      </c>
    </row>
    <row r="785" spans="1:10">
      <c r="A785" s="24">
        <v>783</v>
      </c>
      <c r="B785" s="24">
        <f t="shared" si="12"/>
        <v>460</v>
      </c>
      <c r="C785" s="1" t="s">
        <v>775</v>
      </c>
      <c r="F785" s="26">
        <v>14947</v>
      </c>
      <c r="G785" s="26">
        <v>0</v>
      </c>
      <c r="H785" s="26">
        <v>15000</v>
      </c>
      <c r="I785" s="26">
        <v>94384710.000000015</v>
      </c>
      <c r="J785" s="26">
        <v>577200000</v>
      </c>
    </row>
    <row r="786" spans="1:10">
      <c r="A786" s="24">
        <v>784</v>
      </c>
      <c r="B786" s="24">
        <f t="shared" si="12"/>
        <v>461</v>
      </c>
      <c r="C786" s="1" t="s">
        <v>1182</v>
      </c>
      <c r="D786" s="1" t="s">
        <v>4</v>
      </c>
      <c r="E786" s="1" t="s">
        <v>14</v>
      </c>
      <c r="F786" s="26">
        <v>800</v>
      </c>
      <c r="G786" s="26">
        <v>0</v>
      </c>
      <c r="H786" s="26">
        <v>800</v>
      </c>
      <c r="I786" s="26">
        <v>5394432</v>
      </c>
      <c r="J786" s="26">
        <v>42400000</v>
      </c>
    </row>
    <row r="787" spans="1:10">
      <c r="A787" s="24">
        <v>785</v>
      </c>
      <c r="B787" s="24">
        <f t="shared" si="12"/>
        <v>462</v>
      </c>
      <c r="C787" s="1" t="s">
        <v>1183</v>
      </c>
      <c r="D787" s="1" t="s">
        <v>4</v>
      </c>
      <c r="E787" s="1" t="s">
        <v>14</v>
      </c>
      <c r="F787" s="26">
        <v>800</v>
      </c>
      <c r="G787" s="26">
        <v>0</v>
      </c>
      <c r="H787" s="26">
        <v>800</v>
      </c>
      <c r="I787" s="26">
        <v>6165304.0000000019</v>
      </c>
      <c r="J787" s="26">
        <v>42400000</v>
      </c>
    </row>
    <row r="788" spans="1:10">
      <c r="A788" s="24">
        <v>786</v>
      </c>
      <c r="B788" s="24">
        <f t="shared" si="12"/>
        <v>463</v>
      </c>
      <c r="C788" s="1" t="s">
        <v>1184</v>
      </c>
      <c r="D788" s="1" t="s">
        <v>4</v>
      </c>
      <c r="E788" s="1" t="s">
        <v>14</v>
      </c>
      <c r="F788" s="26">
        <v>802</v>
      </c>
      <c r="G788" s="26">
        <v>0</v>
      </c>
      <c r="H788" s="26">
        <v>800</v>
      </c>
      <c r="I788" s="26">
        <v>6579880.0000000019</v>
      </c>
      <c r="J788" s="26">
        <v>42400000</v>
      </c>
    </row>
    <row r="789" spans="1:10">
      <c r="A789" s="24">
        <v>787</v>
      </c>
      <c r="B789" s="24">
        <f t="shared" si="12"/>
        <v>464</v>
      </c>
      <c r="C789" s="1" t="s">
        <v>1185</v>
      </c>
      <c r="D789" s="1" t="s">
        <v>4</v>
      </c>
      <c r="E789" s="1" t="s">
        <v>14</v>
      </c>
      <c r="F789" s="26">
        <v>806</v>
      </c>
      <c r="G789" s="26">
        <v>0</v>
      </c>
      <c r="H789" s="26">
        <v>800</v>
      </c>
      <c r="I789" s="26">
        <v>5948176.0000000009</v>
      </c>
      <c r="J789" s="26">
        <v>42400000</v>
      </c>
    </row>
    <row r="790" spans="1:10">
      <c r="A790" s="24">
        <v>788</v>
      </c>
      <c r="B790" s="24">
        <f t="shared" si="12"/>
        <v>465</v>
      </c>
      <c r="C790" s="1" t="s">
        <v>1186</v>
      </c>
      <c r="D790" s="1" t="s">
        <v>4</v>
      </c>
      <c r="E790" s="1" t="s">
        <v>14</v>
      </c>
      <c r="F790" s="26">
        <v>1200</v>
      </c>
      <c r="G790" s="26">
        <v>0</v>
      </c>
      <c r="H790" s="26">
        <v>1200</v>
      </c>
      <c r="I790" s="26">
        <v>8987376.0000000019</v>
      </c>
      <c r="J790" s="26">
        <v>63600000</v>
      </c>
    </row>
    <row r="791" spans="1:10">
      <c r="A791" s="24">
        <v>789</v>
      </c>
      <c r="B791" s="24">
        <f t="shared" si="12"/>
        <v>466</v>
      </c>
      <c r="C791" s="1" t="s">
        <v>775</v>
      </c>
      <c r="F791" s="26">
        <v>4408</v>
      </c>
      <c r="G791" s="26">
        <v>0</v>
      </c>
      <c r="H791" s="26">
        <v>4400</v>
      </c>
      <c r="I791" s="26">
        <v>33075168.000000007</v>
      </c>
      <c r="J791" s="26">
        <v>233200000</v>
      </c>
    </row>
    <row r="792" spans="1:10">
      <c r="A792" s="24">
        <v>790</v>
      </c>
      <c r="B792" s="24">
        <f t="shared" si="12"/>
        <v>467</v>
      </c>
      <c r="C792" s="1" t="s">
        <v>1187</v>
      </c>
      <c r="D792" s="1" t="s">
        <v>4</v>
      </c>
      <c r="E792" s="1" t="s">
        <v>14</v>
      </c>
      <c r="F792" s="26">
        <v>798</v>
      </c>
      <c r="G792" s="26">
        <v>0</v>
      </c>
      <c r="H792" s="26">
        <v>800</v>
      </c>
      <c r="I792" s="26">
        <v>6906696.0000000009</v>
      </c>
      <c r="J792" s="26">
        <v>47200000</v>
      </c>
    </row>
    <row r="793" spans="1:10">
      <c r="A793" s="24">
        <v>791</v>
      </c>
      <c r="B793" s="24">
        <f t="shared" si="12"/>
        <v>468</v>
      </c>
      <c r="C793" s="1" t="s">
        <v>1188</v>
      </c>
      <c r="D793" s="1" t="s">
        <v>4</v>
      </c>
      <c r="E793" s="1" t="s">
        <v>14</v>
      </c>
      <c r="F793" s="26">
        <v>800</v>
      </c>
      <c r="G793" s="26">
        <v>0</v>
      </c>
      <c r="H793" s="26">
        <v>800</v>
      </c>
      <c r="I793" s="26">
        <v>8806744.0000000019</v>
      </c>
      <c r="J793" s="26">
        <v>50400000</v>
      </c>
    </row>
    <row r="794" spans="1:10">
      <c r="A794" s="24">
        <v>792</v>
      </c>
      <c r="B794" s="24">
        <f t="shared" si="12"/>
        <v>469</v>
      </c>
      <c r="C794" s="1" t="s">
        <v>775</v>
      </c>
      <c r="F794" s="26">
        <v>1598</v>
      </c>
      <c r="G794" s="26">
        <v>0</v>
      </c>
      <c r="H794" s="26">
        <v>1600</v>
      </c>
      <c r="I794" s="26">
        <v>15713440.000000004</v>
      </c>
      <c r="J794" s="26">
        <v>97600000</v>
      </c>
    </row>
    <row r="795" spans="1:10">
      <c r="A795" s="24">
        <v>793</v>
      </c>
      <c r="B795" s="24">
        <f t="shared" si="12"/>
        <v>470</v>
      </c>
      <c r="C795" s="1" t="s">
        <v>1189</v>
      </c>
      <c r="D795" s="1" t="s">
        <v>4</v>
      </c>
      <c r="E795" s="1" t="s">
        <v>14</v>
      </c>
      <c r="F795" s="26">
        <v>807</v>
      </c>
      <c r="G795" s="26">
        <v>0</v>
      </c>
      <c r="H795" s="26">
        <v>800</v>
      </c>
      <c r="I795" s="26">
        <v>7551248.0000000009</v>
      </c>
      <c r="J795" s="26">
        <v>47200000</v>
      </c>
    </row>
    <row r="796" spans="1:10">
      <c r="A796" s="24">
        <v>794</v>
      </c>
      <c r="B796" s="24">
        <f t="shared" si="12"/>
        <v>471</v>
      </c>
      <c r="C796" s="1" t="s">
        <v>1190</v>
      </c>
      <c r="D796" s="1" t="s">
        <v>4</v>
      </c>
      <c r="E796" s="1" t="s">
        <v>14</v>
      </c>
      <c r="F796" s="26">
        <v>802</v>
      </c>
      <c r="G796" s="26">
        <v>0</v>
      </c>
      <c r="H796" s="26">
        <v>800</v>
      </c>
      <c r="I796" s="26">
        <v>7152080</v>
      </c>
      <c r="J796" s="26">
        <v>47200000</v>
      </c>
    </row>
    <row r="797" spans="1:10">
      <c r="A797" s="24">
        <v>795</v>
      </c>
      <c r="B797" s="24">
        <f t="shared" si="12"/>
        <v>472</v>
      </c>
      <c r="C797" s="1" t="s">
        <v>1191</v>
      </c>
      <c r="D797" s="1" t="s">
        <v>4</v>
      </c>
      <c r="E797" s="1" t="s">
        <v>14</v>
      </c>
      <c r="F797" s="26">
        <v>771</v>
      </c>
      <c r="G797" s="26">
        <v>0</v>
      </c>
      <c r="H797" s="26">
        <v>800</v>
      </c>
      <c r="I797" s="26">
        <v>7002392</v>
      </c>
      <c r="J797" s="26">
        <v>47200000</v>
      </c>
    </row>
    <row r="798" spans="1:10">
      <c r="A798" s="24">
        <v>796</v>
      </c>
      <c r="B798" s="24">
        <f t="shared" si="12"/>
        <v>473</v>
      </c>
      <c r="C798" s="1" t="s">
        <v>775</v>
      </c>
      <c r="F798" s="26">
        <v>2380</v>
      </c>
      <c r="G798" s="26">
        <v>0</v>
      </c>
      <c r="H798" s="26">
        <v>2400</v>
      </c>
      <c r="I798" s="26">
        <v>21705720</v>
      </c>
      <c r="J798" s="26">
        <v>141600000</v>
      </c>
    </row>
    <row r="799" spans="1:10">
      <c r="A799" s="24">
        <v>797</v>
      </c>
      <c r="B799" s="24">
        <f t="shared" si="12"/>
        <v>474</v>
      </c>
      <c r="C799" s="1" t="s">
        <v>1192</v>
      </c>
      <c r="D799" s="1" t="s">
        <v>2</v>
      </c>
      <c r="E799" s="1" t="s">
        <v>14</v>
      </c>
      <c r="F799" s="26">
        <v>799</v>
      </c>
      <c r="G799" s="26">
        <v>0</v>
      </c>
      <c r="H799" s="26">
        <v>800</v>
      </c>
      <c r="I799" s="26">
        <v>5457216</v>
      </c>
      <c r="J799" s="26">
        <v>36000000</v>
      </c>
    </row>
    <row r="800" spans="1:10">
      <c r="A800" s="24">
        <v>798</v>
      </c>
      <c r="B800" s="24">
        <f t="shared" si="12"/>
        <v>474</v>
      </c>
      <c r="C800" s="1" t="s">
        <v>1192</v>
      </c>
      <c r="D800" s="1" t="s">
        <v>3</v>
      </c>
      <c r="E800" s="1" t="s">
        <v>14</v>
      </c>
      <c r="F800" s="26">
        <v>387</v>
      </c>
      <c r="G800" s="26">
        <v>0</v>
      </c>
      <c r="H800" s="26">
        <v>400</v>
      </c>
      <c r="I800" s="26">
        <v>2728608</v>
      </c>
      <c r="J800" s="26">
        <v>18000000</v>
      </c>
    </row>
    <row r="801" spans="1:10">
      <c r="A801" s="24">
        <v>799</v>
      </c>
      <c r="B801" s="24">
        <f t="shared" si="12"/>
        <v>475</v>
      </c>
      <c r="C801" s="1" t="s">
        <v>1193</v>
      </c>
      <c r="D801" s="1" t="s">
        <v>4</v>
      </c>
      <c r="E801" s="1" t="s">
        <v>14</v>
      </c>
      <c r="F801" s="26">
        <v>798</v>
      </c>
      <c r="G801" s="26">
        <v>0</v>
      </c>
      <c r="H801" s="26">
        <v>800</v>
      </c>
      <c r="I801" s="26">
        <v>6702064</v>
      </c>
      <c r="J801" s="26">
        <v>47200000</v>
      </c>
    </row>
    <row r="802" spans="1:10">
      <c r="A802" s="24">
        <v>800</v>
      </c>
      <c r="B802" s="24">
        <f t="shared" si="12"/>
        <v>476</v>
      </c>
      <c r="C802" s="1" t="s">
        <v>1194</v>
      </c>
      <c r="D802" s="1" t="s">
        <v>4</v>
      </c>
      <c r="E802" s="1" t="s">
        <v>14</v>
      </c>
      <c r="F802" s="26">
        <v>794</v>
      </c>
      <c r="G802" s="26">
        <v>0</v>
      </c>
      <c r="H802" s="26">
        <v>800</v>
      </c>
      <c r="I802" s="26">
        <v>6602272</v>
      </c>
      <c r="J802" s="26">
        <v>44000000</v>
      </c>
    </row>
    <row r="803" spans="1:10">
      <c r="A803" s="24">
        <v>801</v>
      </c>
      <c r="B803" s="24">
        <f t="shared" si="12"/>
        <v>477</v>
      </c>
      <c r="C803" s="1" t="s">
        <v>775</v>
      </c>
      <c r="F803" s="26">
        <v>2778</v>
      </c>
      <c r="G803" s="26">
        <v>0</v>
      </c>
      <c r="H803" s="26">
        <v>2800</v>
      </c>
      <c r="I803" s="26">
        <v>21490160</v>
      </c>
      <c r="J803" s="26">
        <v>145200000</v>
      </c>
    </row>
    <row r="804" spans="1:10">
      <c r="A804" s="24">
        <v>802</v>
      </c>
      <c r="B804" s="24">
        <f t="shared" si="12"/>
        <v>478</v>
      </c>
      <c r="C804" s="1" t="s">
        <v>1195</v>
      </c>
      <c r="D804" s="1" t="s">
        <v>4</v>
      </c>
      <c r="E804" s="1" t="s">
        <v>14</v>
      </c>
      <c r="F804" s="26">
        <v>997</v>
      </c>
      <c r="G804" s="26">
        <v>0</v>
      </c>
      <c r="H804" s="26">
        <v>1000</v>
      </c>
      <c r="I804" s="26">
        <v>11454200</v>
      </c>
      <c r="J804" s="26">
        <v>59000000</v>
      </c>
    </row>
    <row r="805" spans="1:10">
      <c r="A805" s="24">
        <v>803</v>
      </c>
      <c r="B805" s="24">
        <f t="shared" si="12"/>
        <v>479</v>
      </c>
      <c r="C805" s="1" t="s">
        <v>1196</v>
      </c>
      <c r="D805" s="1" t="s">
        <v>2</v>
      </c>
      <c r="E805" s="1" t="s">
        <v>14</v>
      </c>
      <c r="F805" s="26">
        <v>360</v>
      </c>
      <c r="G805" s="26">
        <v>0</v>
      </c>
      <c r="H805" s="26">
        <v>400</v>
      </c>
      <c r="I805" s="26">
        <v>3655816.0000000005</v>
      </c>
      <c r="J805" s="26">
        <v>18000000</v>
      </c>
    </row>
    <row r="806" spans="1:10">
      <c r="A806" s="24">
        <v>804</v>
      </c>
      <c r="B806" s="24">
        <f t="shared" si="12"/>
        <v>479</v>
      </c>
      <c r="C806" s="1" t="s">
        <v>1196</v>
      </c>
      <c r="D806" s="1" t="s">
        <v>3</v>
      </c>
      <c r="E806" s="1" t="s">
        <v>14</v>
      </c>
      <c r="F806" s="26">
        <v>399</v>
      </c>
      <c r="G806" s="26">
        <v>0</v>
      </c>
      <c r="H806" s="26">
        <v>400</v>
      </c>
      <c r="I806" s="26">
        <v>3655816.0000000005</v>
      </c>
      <c r="J806" s="26">
        <v>18000000</v>
      </c>
    </row>
    <row r="807" spans="1:10">
      <c r="A807" s="24">
        <v>805</v>
      </c>
      <c r="B807" s="24">
        <f t="shared" si="12"/>
        <v>480</v>
      </c>
      <c r="C807" s="1" t="s">
        <v>1197</v>
      </c>
      <c r="D807" s="1" t="s">
        <v>2</v>
      </c>
      <c r="E807" s="1" t="s">
        <v>14</v>
      </c>
      <c r="F807" s="26">
        <v>400</v>
      </c>
      <c r="G807" s="26">
        <v>0</v>
      </c>
      <c r="H807" s="26">
        <v>400</v>
      </c>
      <c r="I807" s="26">
        <v>3650408</v>
      </c>
      <c r="J807" s="26">
        <v>18000000</v>
      </c>
    </row>
    <row r="808" spans="1:10">
      <c r="A808" s="24">
        <v>806</v>
      </c>
      <c r="B808" s="24">
        <f t="shared" si="12"/>
        <v>480</v>
      </c>
      <c r="C808" s="1" t="s">
        <v>1197</v>
      </c>
      <c r="D808" s="1" t="s">
        <v>3</v>
      </c>
      <c r="E808" s="1" t="s">
        <v>14</v>
      </c>
      <c r="F808" s="26">
        <v>399</v>
      </c>
      <c r="G808" s="26">
        <v>0</v>
      </c>
      <c r="H808" s="26">
        <v>400</v>
      </c>
      <c r="I808" s="26">
        <v>3650408</v>
      </c>
      <c r="J808" s="26">
        <v>18000000</v>
      </c>
    </row>
    <row r="809" spans="1:10">
      <c r="A809" s="24">
        <v>807</v>
      </c>
      <c r="B809" s="24">
        <f t="shared" si="12"/>
        <v>481</v>
      </c>
      <c r="C809" s="1" t="s">
        <v>1198</v>
      </c>
      <c r="D809" s="1" t="s">
        <v>2</v>
      </c>
      <c r="E809" s="1" t="s">
        <v>14</v>
      </c>
      <c r="F809" s="26">
        <v>387</v>
      </c>
      <c r="G809" s="26">
        <v>0</v>
      </c>
      <c r="H809" s="26">
        <v>400</v>
      </c>
      <c r="I809" s="26">
        <v>3626912.0000000005</v>
      </c>
      <c r="J809" s="26">
        <v>18000000</v>
      </c>
    </row>
    <row r="810" spans="1:10">
      <c r="A810" s="24">
        <v>808</v>
      </c>
      <c r="B810" s="24">
        <f t="shared" si="12"/>
        <v>481</v>
      </c>
      <c r="C810" s="1" t="s">
        <v>1198</v>
      </c>
      <c r="D810" s="1" t="s">
        <v>3</v>
      </c>
      <c r="E810" s="1" t="s">
        <v>14</v>
      </c>
      <c r="F810" s="26">
        <v>399</v>
      </c>
      <c r="G810" s="26">
        <v>0</v>
      </c>
      <c r="H810" s="26">
        <v>400</v>
      </c>
      <c r="I810" s="26">
        <v>3626912.0000000005</v>
      </c>
      <c r="J810" s="26">
        <v>18000000</v>
      </c>
    </row>
    <row r="811" spans="1:10">
      <c r="A811" s="24">
        <v>809</v>
      </c>
      <c r="B811" s="24">
        <f t="shared" si="12"/>
        <v>482</v>
      </c>
      <c r="C811" s="1" t="s">
        <v>775</v>
      </c>
      <c r="F811" s="26">
        <v>3341</v>
      </c>
      <c r="G811" s="26">
        <v>0</v>
      </c>
      <c r="H811" s="26">
        <v>3400</v>
      </c>
      <c r="I811" s="26">
        <v>33320472</v>
      </c>
      <c r="J811" s="26">
        <v>167000000</v>
      </c>
    </row>
    <row r="812" spans="1:10">
      <c r="A812" s="24">
        <v>810</v>
      </c>
      <c r="B812" s="24">
        <f t="shared" si="12"/>
        <v>483</v>
      </c>
      <c r="C812" s="1" t="s">
        <v>1199</v>
      </c>
      <c r="D812" s="1" t="s">
        <v>2</v>
      </c>
      <c r="E812" s="1" t="s">
        <v>14</v>
      </c>
      <c r="F812" s="26">
        <v>794</v>
      </c>
      <c r="G812" s="26">
        <v>0</v>
      </c>
      <c r="H812" s="26">
        <v>800</v>
      </c>
      <c r="I812" s="26">
        <v>8113496.0000000009</v>
      </c>
      <c r="J812" s="26">
        <v>44000000</v>
      </c>
    </row>
    <row r="813" spans="1:10">
      <c r="A813" s="24">
        <v>811</v>
      </c>
      <c r="B813" s="24">
        <f t="shared" si="12"/>
        <v>483</v>
      </c>
      <c r="C813" s="1" t="s">
        <v>1199</v>
      </c>
      <c r="D813" s="1" t="s">
        <v>3</v>
      </c>
      <c r="E813" s="1" t="s">
        <v>14</v>
      </c>
      <c r="F813" s="26">
        <v>404</v>
      </c>
      <c r="G813" s="26">
        <v>0</v>
      </c>
      <c r="H813" s="26">
        <v>400</v>
      </c>
      <c r="I813" s="26">
        <v>4056748.0000000005</v>
      </c>
      <c r="J813" s="26">
        <v>22000000</v>
      </c>
    </row>
    <row r="814" spans="1:10">
      <c r="A814" s="24">
        <v>812</v>
      </c>
      <c r="B814" s="24">
        <f t="shared" si="12"/>
        <v>484</v>
      </c>
      <c r="C814" s="1" t="s">
        <v>1200</v>
      </c>
      <c r="D814" s="1" t="s">
        <v>2</v>
      </c>
      <c r="E814" s="1" t="s">
        <v>14</v>
      </c>
      <c r="F814" s="26">
        <v>789</v>
      </c>
      <c r="G814" s="26">
        <v>0</v>
      </c>
      <c r="H814" s="26">
        <v>800</v>
      </c>
      <c r="I814" s="26">
        <v>7124880</v>
      </c>
      <c r="J814" s="26">
        <v>44000000</v>
      </c>
    </row>
    <row r="815" spans="1:10">
      <c r="A815" s="24">
        <v>813</v>
      </c>
      <c r="B815" s="24">
        <f t="shared" si="12"/>
        <v>484</v>
      </c>
      <c r="C815" s="1" t="s">
        <v>1200</v>
      </c>
      <c r="D815" s="1" t="s">
        <v>3</v>
      </c>
      <c r="E815" s="1" t="s">
        <v>14</v>
      </c>
      <c r="F815" s="26">
        <v>393</v>
      </c>
      <c r="G815" s="26">
        <v>0</v>
      </c>
      <c r="H815" s="26">
        <v>400</v>
      </c>
      <c r="I815" s="26">
        <v>3562440</v>
      </c>
      <c r="J815" s="26">
        <v>22000000</v>
      </c>
    </row>
    <row r="816" spans="1:10">
      <c r="A816" s="24">
        <v>814</v>
      </c>
      <c r="B816" s="24">
        <f t="shared" si="12"/>
        <v>485</v>
      </c>
      <c r="C816" s="1" t="s">
        <v>1201</v>
      </c>
      <c r="D816" s="1" t="s">
        <v>2</v>
      </c>
      <c r="E816" s="1" t="s">
        <v>14</v>
      </c>
      <c r="F816" s="26">
        <v>687</v>
      </c>
      <c r="G816" s="26">
        <v>0</v>
      </c>
      <c r="H816" s="26">
        <v>700</v>
      </c>
      <c r="I816" s="26">
        <v>5938870</v>
      </c>
      <c r="J816" s="26">
        <v>38500000</v>
      </c>
    </row>
    <row r="817" spans="1:10">
      <c r="A817" s="24">
        <v>815</v>
      </c>
      <c r="B817" s="24">
        <f t="shared" si="12"/>
        <v>485</v>
      </c>
      <c r="C817" s="1" t="s">
        <v>1201</v>
      </c>
      <c r="D817" s="1" t="s">
        <v>3</v>
      </c>
      <c r="E817" s="1" t="s">
        <v>14</v>
      </c>
      <c r="F817" s="26">
        <v>212</v>
      </c>
      <c r="G817" s="26">
        <v>0</v>
      </c>
      <c r="H817" s="26">
        <v>230</v>
      </c>
      <c r="I817" s="26">
        <v>1951343</v>
      </c>
      <c r="J817" s="26">
        <v>12650000</v>
      </c>
    </row>
    <row r="818" spans="1:10">
      <c r="A818" s="24">
        <v>816</v>
      </c>
      <c r="B818" s="24">
        <f t="shared" si="12"/>
        <v>486</v>
      </c>
      <c r="C818" s="1" t="s">
        <v>1202</v>
      </c>
      <c r="D818" s="1" t="s">
        <v>2</v>
      </c>
      <c r="E818" s="1" t="s">
        <v>14</v>
      </c>
      <c r="F818" s="26">
        <v>1003</v>
      </c>
      <c r="G818" s="26">
        <v>0</v>
      </c>
      <c r="H818" s="26">
        <v>1000</v>
      </c>
      <c r="I818" s="26">
        <v>10562610</v>
      </c>
      <c r="J818" s="26">
        <v>55000000</v>
      </c>
    </row>
    <row r="819" spans="1:10">
      <c r="A819" s="24">
        <v>817</v>
      </c>
      <c r="B819" s="24">
        <f t="shared" si="12"/>
        <v>486</v>
      </c>
      <c r="C819" s="1" t="s">
        <v>1202</v>
      </c>
      <c r="D819" s="1" t="s">
        <v>3</v>
      </c>
      <c r="E819" s="1" t="s">
        <v>14</v>
      </c>
      <c r="F819" s="26">
        <v>502</v>
      </c>
      <c r="G819" s="26">
        <v>0</v>
      </c>
      <c r="H819" s="26">
        <v>500</v>
      </c>
      <c r="I819" s="26">
        <v>5281305</v>
      </c>
      <c r="J819" s="26">
        <v>27500000</v>
      </c>
    </row>
    <row r="820" spans="1:10">
      <c r="A820" s="24">
        <v>818</v>
      </c>
      <c r="B820" s="24">
        <f t="shared" si="12"/>
        <v>487</v>
      </c>
      <c r="C820" s="1" t="s">
        <v>775</v>
      </c>
      <c r="F820" s="26">
        <v>4784</v>
      </c>
      <c r="G820" s="26">
        <v>0</v>
      </c>
      <c r="H820" s="26">
        <v>4830</v>
      </c>
      <c r="I820" s="26">
        <v>46591692</v>
      </c>
      <c r="J820" s="26">
        <v>265650000</v>
      </c>
    </row>
    <row r="821" spans="1:10">
      <c r="A821" s="24">
        <v>819</v>
      </c>
      <c r="B821" s="24">
        <f t="shared" si="12"/>
        <v>488</v>
      </c>
      <c r="C821" s="1" t="s">
        <v>1203</v>
      </c>
      <c r="D821" s="1" t="s">
        <v>4</v>
      </c>
      <c r="E821" s="1" t="s">
        <v>14</v>
      </c>
      <c r="F821" s="26">
        <v>805</v>
      </c>
      <c r="G821" s="26">
        <v>0</v>
      </c>
      <c r="H821" s="26">
        <v>800</v>
      </c>
      <c r="I821" s="26">
        <v>9078264</v>
      </c>
      <c r="J821" s="26">
        <v>47200000</v>
      </c>
    </row>
    <row r="822" spans="1:10">
      <c r="A822" s="24">
        <v>820</v>
      </c>
      <c r="B822" s="24">
        <f t="shared" si="12"/>
        <v>489</v>
      </c>
      <c r="C822" s="1" t="s">
        <v>1204</v>
      </c>
      <c r="D822" s="1" t="s">
        <v>4</v>
      </c>
      <c r="E822" s="1" t="s">
        <v>14</v>
      </c>
      <c r="F822" s="26">
        <v>800</v>
      </c>
      <c r="G822" s="26">
        <v>0</v>
      </c>
      <c r="H822" s="26">
        <v>800</v>
      </c>
      <c r="I822" s="26">
        <v>9078264</v>
      </c>
      <c r="J822" s="26">
        <v>47200000</v>
      </c>
    </row>
    <row r="823" spans="1:10">
      <c r="A823" s="24">
        <v>821</v>
      </c>
      <c r="B823" s="24">
        <f t="shared" si="12"/>
        <v>490</v>
      </c>
      <c r="C823" s="1" t="s">
        <v>775</v>
      </c>
      <c r="F823" s="26">
        <v>1605</v>
      </c>
      <c r="G823" s="26">
        <v>0</v>
      </c>
      <c r="H823" s="26">
        <v>1600</v>
      </c>
      <c r="I823" s="26">
        <v>18156528</v>
      </c>
      <c r="J823" s="26">
        <v>94400000</v>
      </c>
    </row>
    <row r="824" spans="1:10">
      <c r="A824" s="24">
        <v>822</v>
      </c>
      <c r="B824" s="24">
        <f t="shared" si="12"/>
        <v>491</v>
      </c>
      <c r="C824" s="1" t="s">
        <v>1205</v>
      </c>
      <c r="D824" s="1" t="s">
        <v>4</v>
      </c>
      <c r="E824" s="1" t="s">
        <v>14</v>
      </c>
      <c r="F824" s="26">
        <v>597</v>
      </c>
      <c r="G824" s="26">
        <v>0</v>
      </c>
      <c r="H824" s="26">
        <v>600</v>
      </c>
      <c r="I824" s="26">
        <v>3305136.0000000009</v>
      </c>
      <c r="J824" s="26">
        <v>21000000</v>
      </c>
    </row>
    <row r="825" spans="1:10">
      <c r="A825" s="24">
        <v>823</v>
      </c>
      <c r="B825" s="24">
        <f t="shared" si="12"/>
        <v>492</v>
      </c>
      <c r="C825" s="1" t="s">
        <v>1206</v>
      </c>
      <c r="D825" s="1" t="s">
        <v>4</v>
      </c>
      <c r="E825" s="1" t="s">
        <v>14</v>
      </c>
      <c r="F825" s="26">
        <v>596</v>
      </c>
      <c r="G825" s="26">
        <v>0</v>
      </c>
      <c r="H825" s="26">
        <v>600</v>
      </c>
      <c r="I825" s="26">
        <v>3305136.0000000009</v>
      </c>
      <c r="J825" s="26">
        <v>21000000</v>
      </c>
    </row>
    <row r="826" spans="1:10">
      <c r="A826" s="24">
        <v>824</v>
      </c>
      <c r="B826" s="24">
        <f t="shared" si="12"/>
        <v>493</v>
      </c>
      <c r="C826" s="1" t="s">
        <v>1207</v>
      </c>
      <c r="D826" s="1" t="s">
        <v>4</v>
      </c>
      <c r="E826" s="1" t="s">
        <v>14</v>
      </c>
      <c r="F826" s="26">
        <v>592</v>
      </c>
      <c r="G826" s="26">
        <v>0</v>
      </c>
      <c r="H826" s="26">
        <v>600</v>
      </c>
      <c r="I826" s="26">
        <v>3305136.0000000009</v>
      </c>
      <c r="J826" s="26">
        <v>21000000</v>
      </c>
    </row>
    <row r="827" spans="1:10">
      <c r="A827" s="24">
        <v>825</v>
      </c>
      <c r="B827" s="24">
        <f t="shared" si="12"/>
        <v>494</v>
      </c>
      <c r="C827" s="1" t="s">
        <v>1208</v>
      </c>
      <c r="D827" s="1" t="s">
        <v>4</v>
      </c>
      <c r="E827" s="1" t="s">
        <v>14</v>
      </c>
      <c r="F827" s="26">
        <v>600</v>
      </c>
      <c r="G827" s="26">
        <v>0</v>
      </c>
      <c r="H827" s="26">
        <v>600</v>
      </c>
      <c r="I827" s="26">
        <v>3155448.0000000005</v>
      </c>
      <c r="J827" s="26">
        <v>21000000</v>
      </c>
    </row>
    <row r="828" spans="1:10">
      <c r="A828" s="24">
        <v>826</v>
      </c>
      <c r="B828" s="24">
        <f t="shared" si="12"/>
        <v>495</v>
      </c>
      <c r="C828" s="1" t="s">
        <v>1209</v>
      </c>
      <c r="D828" s="1" t="s">
        <v>4</v>
      </c>
      <c r="E828" s="1" t="s">
        <v>14</v>
      </c>
      <c r="F828" s="26">
        <v>600</v>
      </c>
      <c r="G828" s="26">
        <v>0</v>
      </c>
      <c r="H828" s="26">
        <v>600</v>
      </c>
      <c r="I828" s="26">
        <v>3155448.0000000005</v>
      </c>
      <c r="J828" s="26">
        <v>21000000</v>
      </c>
    </row>
    <row r="829" spans="1:10">
      <c r="A829" s="24">
        <v>827</v>
      </c>
      <c r="B829" s="24">
        <f t="shared" si="12"/>
        <v>496</v>
      </c>
      <c r="C829" s="1" t="s">
        <v>775</v>
      </c>
      <c r="F829" s="26">
        <v>2985</v>
      </c>
      <c r="G829" s="26">
        <v>0</v>
      </c>
      <c r="H829" s="26">
        <v>3000</v>
      </c>
      <c r="I829" s="26">
        <v>16226304.000000004</v>
      </c>
      <c r="J829" s="26">
        <v>105000000</v>
      </c>
    </row>
    <row r="830" spans="1:10">
      <c r="A830" s="24">
        <v>828</v>
      </c>
      <c r="B830" s="24">
        <f t="shared" si="12"/>
        <v>497</v>
      </c>
      <c r="C830" s="1" t="s">
        <v>1210</v>
      </c>
      <c r="D830" s="1" t="s">
        <v>4</v>
      </c>
      <c r="E830" s="1" t="s">
        <v>14</v>
      </c>
      <c r="F830" s="26">
        <v>600</v>
      </c>
      <c r="G830" s="26">
        <v>0</v>
      </c>
      <c r="H830" s="26">
        <v>600</v>
      </c>
      <c r="I830" s="26">
        <v>4192512.0000000005</v>
      </c>
      <c r="J830" s="26">
        <v>25800000</v>
      </c>
    </row>
    <row r="831" spans="1:10">
      <c r="A831" s="24">
        <v>829</v>
      </c>
      <c r="B831" s="24">
        <f t="shared" si="12"/>
        <v>498</v>
      </c>
      <c r="C831" s="1" t="s">
        <v>1211</v>
      </c>
      <c r="D831" s="1" t="s">
        <v>4</v>
      </c>
      <c r="E831" s="1" t="s">
        <v>14</v>
      </c>
      <c r="F831" s="26">
        <v>594</v>
      </c>
      <c r="G831" s="26">
        <v>0</v>
      </c>
      <c r="H831" s="26">
        <v>600</v>
      </c>
      <c r="I831" s="26">
        <v>4192512.0000000005</v>
      </c>
      <c r="J831" s="26">
        <v>25800000</v>
      </c>
    </row>
    <row r="832" spans="1:10">
      <c r="A832" s="24">
        <v>830</v>
      </c>
      <c r="B832" s="24">
        <f t="shared" si="12"/>
        <v>499</v>
      </c>
      <c r="C832" s="1" t="s">
        <v>775</v>
      </c>
      <c r="F832" s="26">
        <v>1194</v>
      </c>
      <c r="G832" s="26">
        <v>0</v>
      </c>
      <c r="H832" s="26">
        <v>1200</v>
      </c>
      <c r="I832" s="26">
        <v>8385024.0000000009</v>
      </c>
      <c r="J832" s="26">
        <v>51600000</v>
      </c>
    </row>
    <row r="833" spans="1:10">
      <c r="A833" s="24">
        <v>831</v>
      </c>
      <c r="B833" s="24">
        <f t="shared" si="12"/>
        <v>500</v>
      </c>
      <c r="C833" s="1" t="s">
        <v>1212</v>
      </c>
      <c r="D833" s="1" t="s">
        <v>4</v>
      </c>
      <c r="E833" s="1" t="s">
        <v>14</v>
      </c>
      <c r="F833" s="26">
        <v>1510</v>
      </c>
      <c r="G833" s="26">
        <v>0</v>
      </c>
      <c r="H833" s="26">
        <v>1500</v>
      </c>
      <c r="I833" s="26">
        <v>11882490.000000002</v>
      </c>
      <c r="J833" s="26">
        <v>73500000</v>
      </c>
    </row>
    <row r="834" spans="1:10">
      <c r="A834" s="24">
        <v>832</v>
      </c>
      <c r="B834" s="24">
        <f t="shared" si="12"/>
        <v>501</v>
      </c>
      <c r="C834" s="1" t="s">
        <v>1213</v>
      </c>
      <c r="D834" s="1" t="s">
        <v>2</v>
      </c>
      <c r="E834" s="1" t="s">
        <v>14</v>
      </c>
      <c r="F834" s="26">
        <v>596</v>
      </c>
      <c r="G834" s="26">
        <v>0</v>
      </c>
      <c r="H834" s="26">
        <v>600</v>
      </c>
      <c r="I834" s="26">
        <v>5637216</v>
      </c>
      <c r="J834" s="26">
        <v>33000000</v>
      </c>
    </row>
    <row r="835" spans="1:10">
      <c r="A835" s="24">
        <v>833</v>
      </c>
      <c r="B835" s="24">
        <f t="shared" si="12"/>
        <v>501</v>
      </c>
      <c r="C835" s="1" t="s">
        <v>1213</v>
      </c>
      <c r="D835" s="1" t="s">
        <v>3</v>
      </c>
      <c r="E835" s="1" t="s">
        <v>14</v>
      </c>
      <c r="F835" s="26">
        <v>400</v>
      </c>
      <c r="G835" s="26">
        <v>0</v>
      </c>
      <c r="H835" s="26">
        <v>400</v>
      </c>
      <c r="I835" s="26">
        <v>3758144</v>
      </c>
      <c r="J835" s="26">
        <v>22000000</v>
      </c>
    </row>
    <row r="836" spans="1:10">
      <c r="A836" s="24">
        <v>834</v>
      </c>
      <c r="B836" s="24">
        <f t="shared" ref="B836:B849" si="13">IF(C835=C836,B835,B835+1)</f>
        <v>502</v>
      </c>
      <c r="C836" s="1" t="s">
        <v>1214</v>
      </c>
      <c r="D836" s="1" t="s">
        <v>4</v>
      </c>
      <c r="E836" s="1" t="s">
        <v>14</v>
      </c>
      <c r="F836" s="26">
        <v>1210</v>
      </c>
      <c r="G836" s="26">
        <v>0</v>
      </c>
      <c r="H836" s="26">
        <v>1200</v>
      </c>
      <c r="I836" s="26">
        <v>9055728</v>
      </c>
      <c r="J836" s="26">
        <v>58800000</v>
      </c>
    </row>
    <row r="837" spans="1:10">
      <c r="A837" s="24">
        <v>835</v>
      </c>
      <c r="B837" s="24">
        <f t="shared" si="13"/>
        <v>503</v>
      </c>
      <c r="C837" s="1" t="s">
        <v>1215</v>
      </c>
      <c r="D837" s="1" t="s">
        <v>4</v>
      </c>
      <c r="E837" s="1" t="s">
        <v>14</v>
      </c>
      <c r="F837" s="26">
        <v>2004</v>
      </c>
      <c r="G837" s="26">
        <v>0</v>
      </c>
      <c r="H837" s="26">
        <v>2000</v>
      </c>
      <c r="I837" s="26">
        <v>15591840</v>
      </c>
      <c r="J837" s="26">
        <v>98000000</v>
      </c>
    </row>
    <row r="838" spans="1:10">
      <c r="A838" s="24">
        <v>836</v>
      </c>
      <c r="B838" s="24">
        <f t="shared" si="13"/>
        <v>504</v>
      </c>
      <c r="C838" s="1" t="s">
        <v>1216</v>
      </c>
      <c r="D838" s="1" t="s">
        <v>4</v>
      </c>
      <c r="E838" s="1" t="s">
        <v>14</v>
      </c>
      <c r="F838" s="26">
        <v>1199</v>
      </c>
      <c r="G838" s="26">
        <v>0</v>
      </c>
      <c r="H838" s="26">
        <v>1200</v>
      </c>
      <c r="I838" s="26">
        <v>9355104</v>
      </c>
      <c r="J838" s="26">
        <v>58800000</v>
      </c>
    </row>
    <row r="839" spans="1:10">
      <c r="A839" s="24">
        <v>837</v>
      </c>
      <c r="B839" s="24">
        <f t="shared" si="13"/>
        <v>505</v>
      </c>
      <c r="C839" s="1" t="s">
        <v>1217</v>
      </c>
      <c r="D839" s="1" t="s">
        <v>4</v>
      </c>
      <c r="E839" s="1" t="s">
        <v>14</v>
      </c>
      <c r="F839" s="26">
        <v>1198</v>
      </c>
      <c r="G839" s="26">
        <v>0</v>
      </c>
      <c r="H839" s="26">
        <v>1200</v>
      </c>
      <c r="I839" s="26">
        <v>9355104</v>
      </c>
      <c r="J839" s="26">
        <v>58800000</v>
      </c>
    </row>
    <row r="840" spans="1:10">
      <c r="A840" s="24">
        <v>838</v>
      </c>
      <c r="B840" s="24">
        <f t="shared" si="13"/>
        <v>506</v>
      </c>
      <c r="C840" s="1" t="s">
        <v>1218</v>
      </c>
      <c r="D840" s="1" t="s">
        <v>4</v>
      </c>
      <c r="E840" s="1" t="s">
        <v>14</v>
      </c>
      <c r="F840" s="26">
        <v>1193</v>
      </c>
      <c r="G840" s="26">
        <v>0</v>
      </c>
      <c r="H840" s="26">
        <v>1200</v>
      </c>
      <c r="I840" s="26">
        <v>9355104</v>
      </c>
      <c r="J840" s="26">
        <v>58800000</v>
      </c>
    </row>
    <row r="841" spans="1:10">
      <c r="A841" s="24">
        <v>839</v>
      </c>
      <c r="B841" s="24">
        <f t="shared" si="13"/>
        <v>507</v>
      </c>
      <c r="C841" s="1" t="s">
        <v>1219</v>
      </c>
      <c r="D841" s="1" t="s">
        <v>4</v>
      </c>
      <c r="E841" s="1" t="s">
        <v>14</v>
      </c>
      <c r="F841" s="26">
        <v>1996</v>
      </c>
      <c r="G841" s="26">
        <v>0</v>
      </c>
      <c r="H841" s="26">
        <v>2000</v>
      </c>
      <c r="I841" s="26">
        <v>15591840</v>
      </c>
      <c r="J841" s="26">
        <v>98000000</v>
      </c>
    </row>
    <row r="842" spans="1:10">
      <c r="A842" s="24">
        <v>840</v>
      </c>
      <c r="B842" s="24">
        <f t="shared" si="13"/>
        <v>508</v>
      </c>
      <c r="C842" s="1" t="s">
        <v>1220</v>
      </c>
      <c r="D842" s="1" t="s">
        <v>4</v>
      </c>
      <c r="E842" s="1" t="s">
        <v>14</v>
      </c>
      <c r="F842" s="26">
        <v>1204</v>
      </c>
      <c r="G842" s="26">
        <v>0</v>
      </c>
      <c r="H842" s="26">
        <v>1200</v>
      </c>
      <c r="I842" s="26">
        <v>8681508</v>
      </c>
      <c r="J842" s="26">
        <v>58800000</v>
      </c>
    </row>
    <row r="843" spans="1:10">
      <c r="A843" s="24">
        <v>841</v>
      </c>
      <c r="B843" s="24">
        <f t="shared" si="13"/>
        <v>509</v>
      </c>
      <c r="C843" s="1" t="s">
        <v>775</v>
      </c>
      <c r="F843" s="26">
        <v>12510</v>
      </c>
      <c r="G843" s="26">
        <v>0</v>
      </c>
      <c r="H843" s="26">
        <v>12500</v>
      </c>
      <c r="I843" s="26">
        <v>98264078</v>
      </c>
      <c r="J843" s="26">
        <v>618500000</v>
      </c>
    </row>
    <row r="844" spans="1:10">
      <c r="A844" s="24">
        <v>842</v>
      </c>
      <c r="B844" s="24">
        <f t="shared" si="13"/>
        <v>510</v>
      </c>
      <c r="C844" s="1" t="s">
        <v>1490</v>
      </c>
      <c r="D844" s="1" t="s">
        <v>4</v>
      </c>
      <c r="E844" s="1" t="s">
        <v>14</v>
      </c>
      <c r="F844" s="26">
        <v>400</v>
      </c>
      <c r="G844" s="26">
        <v>0</v>
      </c>
      <c r="H844" s="26">
        <v>400</v>
      </c>
      <c r="I844" s="26">
        <v>3195480.0000000005</v>
      </c>
      <c r="J844" s="26">
        <v>18800000</v>
      </c>
    </row>
    <row r="845" spans="1:10">
      <c r="A845" s="24">
        <v>843</v>
      </c>
      <c r="B845" s="24">
        <f t="shared" si="13"/>
        <v>511</v>
      </c>
      <c r="C845" s="1" t="s">
        <v>775</v>
      </c>
      <c r="F845" s="26">
        <v>400</v>
      </c>
      <c r="G845" s="26">
        <v>0</v>
      </c>
      <c r="H845" s="26">
        <v>400</v>
      </c>
      <c r="I845" s="26">
        <v>3195480.0000000005</v>
      </c>
      <c r="J845" s="26">
        <v>18800000</v>
      </c>
    </row>
    <row r="846" spans="1:10">
      <c r="A846" s="24">
        <v>844</v>
      </c>
      <c r="B846" s="24">
        <f t="shared" si="13"/>
        <v>512</v>
      </c>
      <c r="C846" s="1" t="s">
        <v>1491</v>
      </c>
      <c r="D846" s="1" t="s">
        <v>4</v>
      </c>
      <c r="E846" s="1" t="s">
        <v>14</v>
      </c>
      <c r="F846" s="26">
        <v>300</v>
      </c>
      <c r="G846" s="26">
        <v>0</v>
      </c>
      <c r="H846" s="26">
        <v>300</v>
      </c>
      <c r="I846" s="26">
        <v>2694384</v>
      </c>
      <c r="J846" s="26">
        <v>14700000</v>
      </c>
    </row>
    <row r="847" spans="1:10">
      <c r="A847" s="24">
        <v>845</v>
      </c>
      <c r="B847" s="24">
        <f t="shared" si="13"/>
        <v>513</v>
      </c>
      <c r="C847" s="1" t="s">
        <v>1492</v>
      </c>
      <c r="D847" s="1" t="s">
        <v>4</v>
      </c>
      <c r="E847" s="1" t="s">
        <v>14</v>
      </c>
      <c r="F847" s="26">
        <v>400</v>
      </c>
      <c r="G847" s="26">
        <v>0</v>
      </c>
      <c r="H847" s="26">
        <v>400</v>
      </c>
      <c r="I847" s="26">
        <v>4682928</v>
      </c>
      <c r="J847" s="26">
        <v>27600000</v>
      </c>
    </row>
    <row r="848" spans="1:10">
      <c r="A848" s="24">
        <v>846</v>
      </c>
      <c r="B848" s="24">
        <f t="shared" si="13"/>
        <v>514</v>
      </c>
      <c r="C848" s="1" t="s">
        <v>1493</v>
      </c>
      <c r="D848" s="1" t="s">
        <v>4</v>
      </c>
      <c r="E848" s="1" t="s">
        <v>14</v>
      </c>
      <c r="F848" s="26">
        <v>396</v>
      </c>
      <c r="G848" s="26">
        <v>0</v>
      </c>
      <c r="H848" s="26">
        <v>400</v>
      </c>
      <c r="I848" s="26">
        <v>3321840</v>
      </c>
      <c r="J848" s="26">
        <v>18800000</v>
      </c>
    </row>
    <row r="849" spans="1:10">
      <c r="A849" s="24">
        <v>847</v>
      </c>
      <c r="B849" s="24">
        <f t="shared" si="13"/>
        <v>515</v>
      </c>
      <c r="C849" s="1" t="s">
        <v>1494</v>
      </c>
      <c r="D849" s="1" t="s">
        <v>4</v>
      </c>
      <c r="E849" s="1" t="s">
        <v>14</v>
      </c>
      <c r="F849" s="26">
        <v>298</v>
      </c>
      <c r="G849" s="26">
        <v>0</v>
      </c>
      <c r="H849" s="26">
        <v>300</v>
      </c>
      <c r="I849" s="26">
        <v>3502704</v>
      </c>
      <c r="J849" s="26">
        <v>19500000</v>
      </c>
    </row>
    <row r="850" spans="1:10">
      <c r="A850" s="24">
        <v>848</v>
      </c>
      <c r="B850" s="24">
        <f t="shared" ref="B850:B898" si="14">IF(C849=C850,B849,B849+1)</f>
        <v>516</v>
      </c>
      <c r="C850" s="1" t="s">
        <v>1495</v>
      </c>
      <c r="D850" s="1" t="s">
        <v>4</v>
      </c>
      <c r="E850" s="1" t="s">
        <v>14</v>
      </c>
      <c r="F850" s="26">
        <v>297</v>
      </c>
      <c r="G850" s="26">
        <v>0</v>
      </c>
      <c r="H850" s="26">
        <v>300</v>
      </c>
      <c r="I850" s="26">
        <v>3502704</v>
      </c>
      <c r="J850" s="26">
        <v>19500000</v>
      </c>
    </row>
    <row r="851" spans="1:10">
      <c r="A851" s="24">
        <v>849</v>
      </c>
      <c r="B851" s="24">
        <f t="shared" si="14"/>
        <v>517</v>
      </c>
      <c r="C851" s="1" t="s">
        <v>1496</v>
      </c>
      <c r="D851" s="1" t="s">
        <v>4</v>
      </c>
      <c r="E851" s="1" t="s">
        <v>14</v>
      </c>
      <c r="F851" s="26">
        <v>298</v>
      </c>
      <c r="G851" s="26">
        <v>0</v>
      </c>
      <c r="H851" s="26">
        <v>300</v>
      </c>
      <c r="I851" s="26">
        <v>2650830</v>
      </c>
      <c r="J851" s="26">
        <v>15900000</v>
      </c>
    </row>
    <row r="852" spans="1:10">
      <c r="A852" s="24">
        <v>850</v>
      </c>
      <c r="B852" s="24">
        <f t="shared" si="14"/>
        <v>518</v>
      </c>
      <c r="C852" s="1" t="s">
        <v>1497</v>
      </c>
      <c r="D852" s="1" t="s">
        <v>4</v>
      </c>
      <c r="E852" s="1" t="s">
        <v>14</v>
      </c>
      <c r="F852" s="26">
        <v>400</v>
      </c>
      <c r="G852" s="26">
        <v>0</v>
      </c>
      <c r="H852" s="26">
        <v>400</v>
      </c>
      <c r="I852" s="26">
        <v>2900552</v>
      </c>
      <c r="J852" s="26">
        <v>18000000</v>
      </c>
    </row>
    <row r="853" spans="1:10">
      <c r="A853" s="24">
        <v>851</v>
      </c>
      <c r="B853" s="24">
        <f t="shared" si="14"/>
        <v>519</v>
      </c>
      <c r="C853" s="1" t="s">
        <v>1498</v>
      </c>
      <c r="D853" s="1" t="s">
        <v>2</v>
      </c>
      <c r="E853" s="1" t="s">
        <v>14</v>
      </c>
      <c r="F853" s="26">
        <v>200</v>
      </c>
      <c r="G853" s="26">
        <v>0</v>
      </c>
      <c r="H853" s="26">
        <v>200</v>
      </c>
      <c r="I853" s="26">
        <v>1498192.0000000005</v>
      </c>
      <c r="J853" s="26">
        <v>9800000</v>
      </c>
    </row>
    <row r="854" spans="1:10">
      <c r="A854" s="24">
        <v>852</v>
      </c>
      <c r="B854" s="24">
        <f t="shared" si="14"/>
        <v>519</v>
      </c>
      <c r="C854" s="1" t="s">
        <v>1498</v>
      </c>
      <c r="D854" s="1" t="s">
        <v>3</v>
      </c>
      <c r="E854" s="1" t="s">
        <v>14</v>
      </c>
      <c r="F854" s="26">
        <v>199</v>
      </c>
      <c r="G854" s="26">
        <v>0</v>
      </c>
      <c r="H854" s="26">
        <v>200</v>
      </c>
      <c r="I854" s="26">
        <v>1498192.0000000005</v>
      </c>
      <c r="J854" s="26">
        <v>9800000</v>
      </c>
    </row>
    <row r="855" spans="1:10">
      <c r="A855" s="24">
        <v>853</v>
      </c>
      <c r="B855" s="24">
        <f t="shared" si="14"/>
        <v>520</v>
      </c>
      <c r="C855" s="1" t="s">
        <v>1499</v>
      </c>
      <c r="D855" s="1" t="s">
        <v>2</v>
      </c>
      <c r="E855" s="1" t="s">
        <v>14</v>
      </c>
      <c r="F855" s="26">
        <v>200</v>
      </c>
      <c r="G855" s="26">
        <v>0</v>
      </c>
      <c r="H855" s="26">
        <v>200</v>
      </c>
      <c r="I855" s="26">
        <v>1498192.0000000005</v>
      </c>
      <c r="J855" s="26">
        <v>9800000</v>
      </c>
    </row>
    <row r="856" spans="1:10">
      <c r="A856" s="24">
        <v>854</v>
      </c>
      <c r="B856" s="24">
        <f t="shared" si="14"/>
        <v>520</v>
      </c>
      <c r="C856" s="1" t="s">
        <v>1499</v>
      </c>
      <c r="D856" s="1" t="s">
        <v>3</v>
      </c>
      <c r="E856" s="1" t="s">
        <v>14</v>
      </c>
      <c r="F856" s="26">
        <v>200</v>
      </c>
      <c r="G856" s="26">
        <v>0</v>
      </c>
      <c r="H856" s="26">
        <v>200</v>
      </c>
      <c r="I856" s="26">
        <v>1498192.0000000005</v>
      </c>
      <c r="J856" s="26">
        <v>9800000</v>
      </c>
    </row>
    <row r="857" spans="1:10">
      <c r="A857" s="24">
        <v>855</v>
      </c>
      <c r="B857" s="24">
        <f t="shared" si="14"/>
        <v>521</v>
      </c>
      <c r="C857" s="1" t="s">
        <v>1500</v>
      </c>
      <c r="D857" s="1" t="s">
        <v>2</v>
      </c>
      <c r="E857" s="1" t="s">
        <v>14</v>
      </c>
      <c r="F857" s="26">
        <v>200</v>
      </c>
      <c r="G857" s="26">
        <v>0</v>
      </c>
      <c r="H857" s="26">
        <v>200</v>
      </c>
      <c r="I857" s="26">
        <v>1498192.0000000005</v>
      </c>
      <c r="J857" s="26">
        <v>9800000</v>
      </c>
    </row>
    <row r="858" spans="1:10">
      <c r="A858" s="24">
        <v>856</v>
      </c>
      <c r="B858" s="24">
        <f t="shared" si="14"/>
        <v>521</v>
      </c>
      <c r="C858" s="1" t="s">
        <v>1500</v>
      </c>
      <c r="D858" s="1" t="s">
        <v>3</v>
      </c>
      <c r="E858" s="1" t="s">
        <v>14</v>
      </c>
      <c r="F858" s="26">
        <v>200</v>
      </c>
      <c r="G858" s="26">
        <v>0</v>
      </c>
      <c r="H858" s="26">
        <v>200</v>
      </c>
      <c r="I858" s="26">
        <v>1498192.0000000005</v>
      </c>
      <c r="J858" s="26">
        <v>9800000</v>
      </c>
    </row>
    <row r="859" spans="1:10">
      <c r="A859" s="24">
        <v>857</v>
      </c>
      <c r="B859" s="24">
        <f t="shared" si="14"/>
        <v>522</v>
      </c>
      <c r="C859" s="1" t="s">
        <v>775</v>
      </c>
      <c r="F859" s="26">
        <v>3588</v>
      </c>
      <c r="G859" s="26">
        <v>0</v>
      </c>
      <c r="H859" s="26">
        <v>3600</v>
      </c>
      <c r="I859" s="26">
        <v>32245094</v>
      </c>
      <c r="J859" s="26">
        <v>192800000</v>
      </c>
    </row>
    <row r="860" spans="1:10">
      <c r="A860" s="24">
        <v>858</v>
      </c>
      <c r="B860" s="24">
        <f t="shared" si="14"/>
        <v>523</v>
      </c>
      <c r="C860" s="1" t="s">
        <v>1221</v>
      </c>
      <c r="D860" s="1" t="s">
        <v>4</v>
      </c>
      <c r="E860" s="1" t="s">
        <v>14</v>
      </c>
      <c r="F860" s="26">
        <v>1199</v>
      </c>
      <c r="G860" s="26">
        <v>0</v>
      </c>
      <c r="H860" s="26">
        <v>1200</v>
      </c>
      <c r="I860" s="26">
        <v>1215504</v>
      </c>
      <c r="J860" s="26">
        <v>7080000</v>
      </c>
    </row>
    <row r="861" spans="1:10">
      <c r="A861" s="24">
        <v>859</v>
      </c>
      <c r="B861" s="24">
        <f t="shared" si="14"/>
        <v>524</v>
      </c>
      <c r="C861" s="1" t="s">
        <v>1222</v>
      </c>
      <c r="D861" s="1" t="s">
        <v>4</v>
      </c>
      <c r="E861" s="1" t="s">
        <v>14</v>
      </c>
      <c r="F861" s="26">
        <v>1200</v>
      </c>
      <c r="G861" s="26">
        <v>0</v>
      </c>
      <c r="H861" s="26">
        <v>1200</v>
      </c>
      <c r="I861" s="26">
        <v>1215504</v>
      </c>
      <c r="J861" s="26">
        <v>7080000</v>
      </c>
    </row>
    <row r="862" spans="1:10">
      <c r="A862" s="24">
        <v>860</v>
      </c>
      <c r="B862" s="24">
        <f t="shared" si="14"/>
        <v>525</v>
      </c>
      <c r="C862" s="1" t="s">
        <v>1223</v>
      </c>
      <c r="D862" s="1" t="s">
        <v>4</v>
      </c>
      <c r="E862" s="1" t="s">
        <v>14</v>
      </c>
      <c r="F862" s="26">
        <v>1199</v>
      </c>
      <c r="G862" s="26">
        <v>0</v>
      </c>
      <c r="H862" s="26">
        <v>1200</v>
      </c>
      <c r="I862" s="26">
        <v>1440036</v>
      </c>
      <c r="J862" s="26">
        <v>9480000</v>
      </c>
    </row>
    <row r="863" spans="1:10">
      <c r="A863" s="24">
        <v>861</v>
      </c>
      <c r="B863" s="24">
        <f t="shared" si="14"/>
        <v>526</v>
      </c>
      <c r="C863" s="1" t="s">
        <v>1224</v>
      </c>
      <c r="D863" s="1" t="s">
        <v>4</v>
      </c>
      <c r="E863" s="1" t="s">
        <v>14</v>
      </c>
      <c r="F863" s="26">
        <v>1200</v>
      </c>
      <c r="G863" s="26">
        <v>0</v>
      </c>
      <c r="H863" s="26">
        <v>1200</v>
      </c>
      <c r="I863" s="26">
        <v>1290348</v>
      </c>
      <c r="J863" s="26">
        <v>9480000</v>
      </c>
    </row>
    <row r="864" spans="1:10">
      <c r="A864" s="24">
        <v>862</v>
      </c>
      <c r="B864" s="24">
        <f t="shared" si="14"/>
        <v>527</v>
      </c>
      <c r="C864" s="1" t="s">
        <v>1225</v>
      </c>
      <c r="D864" s="1" t="s">
        <v>4</v>
      </c>
      <c r="E864" s="1" t="s">
        <v>14</v>
      </c>
      <c r="F864" s="26">
        <v>1200</v>
      </c>
      <c r="G864" s="26">
        <v>0</v>
      </c>
      <c r="H864" s="26">
        <v>1200</v>
      </c>
      <c r="I864" s="26">
        <v>1290348</v>
      </c>
      <c r="J864" s="26">
        <v>9480000</v>
      </c>
    </row>
    <row r="865" spans="1:10">
      <c r="A865" s="24">
        <v>863</v>
      </c>
      <c r="B865" s="24">
        <f t="shared" si="14"/>
        <v>528</v>
      </c>
      <c r="C865" s="1" t="s">
        <v>775</v>
      </c>
      <c r="F865" s="26">
        <v>5998</v>
      </c>
      <c r="G865" s="26">
        <v>0</v>
      </c>
      <c r="H865" s="26">
        <v>6000</v>
      </c>
      <c r="I865" s="26">
        <v>6451740</v>
      </c>
      <c r="J865" s="26">
        <v>42600000</v>
      </c>
    </row>
    <row r="866" spans="1:10">
      <c r="A866" s="24">
        <v>864</v>
      </c>
      <c r="B866" s="24">
        <f t="shared" si="14"/>
        <v>529</v>
      </c>
      <c r="C866" s="1" t="s">
        <v>1226</v>
      </c>
      <c r="D866" s="1" t="s">
        <v>1359</v>
      </c>
      <c r="E866" s="1" t="s">
        <v>14</v>
      </c>
      <c r="F866" s="26">
        <v>998</v>
      </c>
      <c r="G866" s="26">
        <v>0</v>
      </c>
      <c r="H866" s="26">
        <v>1000</v>
      </c>
      <c r="I866" s="26">
        <v>7490030.0000000009</v>
      </c>
      <c r="J866" s="26">
        <v>35000000</v>
      </c>
    </row>
    <row r="867" spans="1:10">
      <c r="A867" s="24">
        <v>865</v>
      </c>
      <c r="B867" s="24">
        <f t="shared" si="14"/>
        <v>530</v>
      </c>
      <c r="C867" s="1" t="s">
        <v>1227</v>
      </c>
      <c r="D867" s="1" t="s">
        <v>1359</v>
      </c>
      <c r="E867" s="1" t="s">
        <v>14</v>
      </c>
      <c r="F867" s="26">
        <v>998</v>
      </c>
      <c r="G867" s="26">
        <v>0</v>
      </c>
      <c r="H867" s="26">
        <v>1000</v>
      </c>
      <c r="I867" s="26">
        <v>7994030.0000000009</v>
      </c>
      <c r="J867" s="26">
        <v>35000000</v>
      </c>
    </row>
    <row r="868" spans="1:10">
      <c r="A868" s="24">
        <v>866</v>
      </c>
      <c r="B868" s="24">
        <f t="shared" si="14"/>
        <v>531</v>
      </c>
      <c r="C868" s="1" t="s">
        <v>775</v>
      </c>
      <c r="F868" s="26">
        <v>1996</v>
      </c>
      <c r="G868" s="26">
        <v>0</v>
      </c>
      <c r="H868" s="26">
        <v>2000</v>
      </c>
      <c r="I868" s="26">
        <v>15484060.000000002</v>
      </c>
      <c r="J868" s="26">
        <v>70000000</v>
      </c>
    </row>
    <row r="869" spans="1:10">
      <c r="A869" s="24">
        <v>867</v>
      </c>
      <c r="B869" s="24">
        <f t="shared" si="14"/>
        <v>532</v>
      </c>
      <c r="C869" s="1" t="s">
        <v>1228</v>
      </c>
      <c r="D869" s="1" t="s">
        <v>7</v>
      </c>
      <c r="E869" s="1" t="s">
        <v>14</v>
      </c>
      <c r="F869" s="26">
        <v>600</v>
      </c>
      <c r="G869" s="26">
        <v>0</v>
      </c>
      <c r="H869" s="26">
        <v>600</v>
      </c>
      <c r="I869" s="26">
        <v>11412000</v>
      </c>
      <c r="J869" s="26">
        <v>47400000</v>
      </c>
    </row>
    <row r="870" spans="1:10">
      <c r="A870" s="24">
        <v>868</v>
      </c>
      <c r="B870" s="24">
        <f t="shared" si="14"/>
        <v>533</v>
      </c>
      <c r="C870" s="1" t="s">
        <v>1229</v>
      </c>
      <c r="D870" s="1" t="s">
        <v>7</v>
      </c>
      <c r="E870" s="1" t="s">
        <v>14</v>
      </c>
      <c r="F870" s="26">
        <v>600</v>
      </c>
      <c r="G870" s="26">
        <v>0</v>
      </c>
      <c r="H870" s="26">
        <v>600</v>
      </c>
      <c r="I870" s="26">
        <v>11412000</v>
      </c>
      <c r="J870" s="26">
        <v>47400000</v>
      </c>
    </row>
    <row r="871" spans="1:10">
      <c r="A871" s="24">
        <v>869</v>
      </c>
      <c r="B871" s="24">
        <f t="shared" si="14"/>
        <v>534</v>
      </c>
      <c r="C871" s="1" t="s">
        <v>1230</v>
      </c>
      <c r="D871" s="1" t="s">
        <v>8</v>
      </c>
      <c r="E871" s="1" t="s">
        <v>14</v>
      </c>
      <c r="F871" s="26">
        <v>600</v>
      </c>
      <c r="G871" s="26">
        <v>0</v>
      </c>
      <c r="H871" s="26">
        <v>600</v>
      </c>
      <c r="I871" s="26">
        <v>12912000</v>
      </c>
      <c r="J871" s="26">
        <v>59400000</v>
      </c>
    </row>
    <row r="872" spans="1:10">
      <c r="A872" s="24">
        <v>870</v>
      </c>
      <c r="B872" s="24">
        <f t="shared" si="14"/>
        <v>535</v>
      </c>
      <c r="C872" s="1" t="s">
        <v>775</v>
      </c>
      <c r="F872" s="26">
        <v>1800</v>
      </c>
      <c r="G872" s="26">
        <v>0</v>
      </c>
      <c r="H872" s="26">
        <v>1800</v>
      </c>
      <c r="I872" s="26">
        <v>35736000</v>
      </c>
      <c r="J872" s="26">
        <v>154200000</v>
      </c>
    </row>
    <row r="873" spans="1:10">
      <c r="A873" s="24">
        <v>871</v>
      </c>
      <c r="B873" s="24">
        <f t="shared" si="14"/>
        <v>536</v>
      </c>
      <c r="C873" s="1" t="s">
        <v>1231</v>
      </c>
      <c r="D873" s="1" t="s">
        <v>4</v>
      </c>
      <c r="E873" s="1" t="s">
        <v>14</v>
      </c>
      <c r="F873" s="26">
        <v>798</v>
      </c>
      <c r="G873" s="26">
        <v>0</v>
      </c>
      <c r="H873" s="26">
        <v>800</v>
      </c>
      <c r="I873" s="26">
        <v>4606432</v>
      </c>
      <c r="J873" s="26">
        <v>44000000</v>
      </c>
    </row>
    <row r="874" spans="1:10">
      <c r="A874" s="24">
        <v>872</v>
      </c>
      <c r="B874" s="24">
        <f t="shared" si="14"/>
        <v>537</v>
      </c>
      <c r="C874" s="1" t="s">
        <v>1232</v>
      </c>
      <c r="D874" s="1" t="s">
        <v>4</v>
      </c>
      <c r="E874" s="1" t="s">
        <v>14</v>
      </c>
      <c r="F874" s="26">
        <v>800</v>
      </c>
      <c r="G874" s="26">
        <v>0</v>
      </c>
      <c r="H874" s="26">
        <v>800</v>
      </c>
      <c r="I874" s="26">
        <v>4907264.0000000009</v>
      </c>
      <c r="J874" s="26">
        <v>44000000</v>
      </c>
    </row>
    <row r="875" spans="1:10">
      <c r="A875" s="24">
        <v>873</v>
      </c>
      <c r="B875" s="24">
        <f t="shared" si="14"/>
        <v>538</v>
      </c>
      <c r="C875" s="1" t="s">
        <v>775</v>
      </c>
      <c r="F875" s="26">
        <v>1598</v>
      </c>
      <c r="G875" s="26">
        <v>0</v>
      </c>
      <c r="H875" s="26">
        <v>1600</v>
      </c>
      <c r="I875" s="26">
        <v>9513696</v>
      </c>
      <c r="J875" s="26">
        <v>88000000</v>
      </c>
    </row>
    <row r="876" spans="1:10">
      <c r="A876" s="24">
        <v>874</v>
      </c>
      <c r="B876" s="24">
        <f t="shared" si="14"/>
        <v>539</v>
      </c>
      <c r="C876" s="1" t="s">
        <v>1233</v>
      </c>
      <c r="D876" s="1" t="s">
        <v>4</v>
      </c>
      <c r="E876" s="1" t="s">
        <v>14</v>
      </c>
      <c r="F876" s="26">
        <v>1000</v>
      </c>
      <c r="G876" s="26">
        <v>0</v>
      </c>
      <c r="H876" s="26">
        <v>1000</v>
      </c>
      <c r="I876" s="26">
        <v>6049890</v>
      </c>
      <c r="J876" s="26">
        <v>39000000</v>
      </c>
    </row>
    <row r="877" spans="1:10">
      <c r="A877" s="24">
        <v>875</v>
      </c>
      <c r="B877" s="24">
        <f t="shared" si="14"/>
        <v>540</v>
      </c>
      <c r="C877" s="1" t="s">
        <v>1234</v>
      </c>
      <c r="D877" s="1" t="s">
        <v>4</v>
      </c>
      <c r="E877" s="1" t="s">
        <v>14</v>
      </c>
      <c r="F877" s="26">
        <v>800</v>
      </c>
      <c r="G877" s="26">
        <v>0</v>
      </c>
      <c r="H877" s="26">
        <v>800</v>
      </c>
      <c r="I877" s="26">
        <v>4839912</v>
      </c>
      <c r="J877" s="26">
        <v>31200000</v>
      </c>
    </row>
    <row r="878" spans="1:10">
      <c r="A878" s="24">
        <v>876</v>
      </c>
      <c r="B878" s="24">
        <f t="shared" si="14"/>
        <v>541</v>
      </c>
      <c r="C878" s="1" t="s">
        <v>1235</v>
      </c>
      <c r="D878" s="1" t="s">
        <v>4</v>
      </c>
      <c r="E878" s="1" t="s">
        <v>14</v>
      </c>
      <c r="F878" s="26">
        <v>799</v>
      </c>
      <c r="G878" s="26">
        <v>0</v>
      </c>
      <c r="H878" s="26">
        <v>800</v>
      </c>
      <c r="I878" s="26">
        <v>4839912</v>
      </c>
      <c r="J878" s="26">
        <v>31200000</v>
      </c>
    </row>
    <row r="879" spans="1:10">
      <c r="A879" s="24">
        <v>877</v>
      </c>
      <c r="B879" s="24">
        <f t="shared" si="14"/>
        <v>542</v>
      </c>
      <c r="C879" s="1" t="s">
        <v>1236</v>
      </c>
      <c r="D879" s="1" t="s">
        <v>4</v>
      </c>
      <c r="E879" s="1" t="s">
        <v>14</v>
      </c>
      <c r="F879" s="26">
        <v>800</v>
      </c>
      <c r="G879" s="26">
        <v>0</v>
      </c>
      <c r="H879" s="26">
        <v>800</v>
      </c>
      <c r="I879" s="26">
        <v>4660952</v>
      </c>
      <c r="J879" s="26">
        <v>31200000</v>
      </c>
    </row>
    <row r="880" spans="1:10">
      <c r="A880" s="24">
        <v>878</v>
      </c>
      <c r="B880" s="24">
        <f t="shared" si="14"/>
        <v>543</v>
      </c>
      <c r="C880" s="1" t="s">
        <v>1237</v>
      </c>
      <c r="D880" s="1" t="s">
        <v>4</v>
      </c>
      <c r="E880" s="1" t="s">
        <v>14</v>
      </c>
      <c r="F880" s="26">
        <v>800</v>
      </c>
      <c r="G880" s="26">
        <v>0</v>
      </c>
      <c r="H880" s="26">
        <v>800</v>
      </c>
      <c r="I880" s="26">
        <v>4281576.0000000009</v>
      </c>
      <c r="J880" s="26">
        <v>31200000</v>
      </c>
    </row>
    <row r="881" spans="1:10">
      <c r="A881" s="24">
        <v>879</v>
      </c>
      <c r="B881" s="24">
        <f t="shared" si="14"/>
        <v>544</v>
      </c>
      <c r="C881" s="1" t="s">
        <v>1238</v>
      </c>
      <c r="D881" s="1" t="s">
        <v>4</v>
      </c>
      <c r="E881" s="1" t="s">
        <v>14</v>
      </c>
      <c r="F881" s="26">
        <v>799</v>
      </c>
      <c r="G881" s="26">
        <v>0</v>
      </c>
      <c r="H881" s="26">
        <v>800</v>
      </c>
      <c r="I881" s="26">
        <v>4281576.0000000009</v>
      </c>
      <c r="J881" s="26">
        <v>31200000</v>
      </c>
    </row>
    <row r="882" spans="1:10">
      <c r="A882" s="24">
        <v>880</v>
      </c>
      <c r="B882" s="24">
        <f t="shared" si="14"/>
        <v>545</v>
      </c>
      <c r="C882" s="1" t="s">
        <v>1239</v>
      </c>
      <c r="D882" s="1" t="s">
        <v>4</v>
      </c>
      <c r="E882" s="1" t="s">
        <v>14</v>
      </c>
      <c r="F882" s="26">
        <v>798</v>
      </c>
      <c r="G882" s="26">
        <v>0</v>
      </c>
      <c r="H882" s="26">
        <v>800</v>
      </c>
      <c r="I882" s="26">
        <v>4281576.0000000009</v>
      </c>
      <c r="J882" s="26">
        <v>31200000</v>
      </c>
    </row>
    <row r="883" spans="1:10">
      <c r="A883" s="24">
        <v>881</v>
      </c>
      <c r="B883" s="24">
        <f t="shared" si="14"/>
        <v>546</v>
      </c>
      <c r="C883" s="1" t="s">
        <v>1240</v>
      </c>
      <c r="D883" s="1" t="s">
        <v>4</v>
      </c>
      <c r="E883" s="1" t="s">
        <v>14</v>
      </c>
      <c r="F883" s="26">
        <v>600</v>
      </c>
      <c r="G883" s="26">
        <v>0</v>
      </c>
      <c r="H883" s="26">
        <v>600</v>
      </c>
      <c r="I883" s="26">
        <v>4453218</v>
      </c>
      <c r="J883" s="26">
        <v>29400000</v>
      </c>
    </row>
    <row r="884" spans="1:10">
      <c r="A884" s="24">
        <v>882</v>
      </c>
      <c r="B884" s="24">
        <f t="shared" si="14"/>
        <v>547</v>
      </c>
      <c r="C884" s="1" t="s">
        <v>1241</v>
      </c>
      <c r="D884" s="1" t="s">
        <v>4</v>
      </c>
      <c r="E884" s="1" t="s">
        <v>14</v>
      </c>
      <c r="F884" s="26">
        <v>600</v>
      </c>
      <c r="G884" s="26">
        <v>0</v>
      </c>
      <c r="H884" s="26">
        <v>600</v>
      </c>
      <c r="I884" s="26">
        <v>4453218</v>
      </c>
      <c r="J884" s="26">
        <v>29400000</v>
      </c>
    </row>
    <row r="885" spans="1:10">
      <c r="A885" s="24">
        <v>883</v>
      </c>
      <c r="B885" s="24">
        <f t="shared" si="14"/>
        <v>548</v>
      </c>
      <c r="C885" s="1" t="s">
        <v>1245</v>
      </c>
      <c r="D885" s="1" t="s">
        <v>4</v>
      </c>
      <c r="E885" s="1" t="s">
        <v>14</v>
      </c>
      <c r="F885" s="26">
        <v>799</v>
      </c>
      <c r="G885" s="26">
        <v>0</v>
      </c>
      <c r="H885" s="26">
        <v>800</v>
      </c>
      <c r="I885" s="26">
        <v>6536376</v>
      </c>
      <c r="J885" s="26">
        <v>39200000</v>
      </c>
    </row>
    <row r="886" spans="1:10">
      <c r="A886" s="24">
        <v>884</v>
      </c>
      <c r="B886" s="24">
        <f t="shared" si="14"/>
        <v>549</v>
      </c>
      <c r="C886" s="1" t="s">
        <v>1246</v>
      </c>
      <c r="D886" s="1" t="s">
        <v>4</v>
      </c>
      <c r="E886" s="1" t="s">
        <v>14</v>
      </c>
      <c r="F886" s="26">
        <v>600</v>
      </c>
      <c r="G886" s="26">
        <v>0</v>
      </c>
      <c r="H886" s="26">
        <v>600</v>
      </c>
      <c r="I886" s="26">
        <v>4782906.0000000009</v>
      </c>
      <c r="J886" s="26">
        <v>29400000</v>
      </c>
    </row>
    <row r="887" spans="1:10">
      <c r="A887" s="24">
        <v>885</v>
      </c>
      <c r="B887" s="24">
        <f t="shared" si="14"/>
        <v>550</v>
      </c>
      <c r="C887" s="1" t="s">
        <v>1247</v>
      </c>
      <c r="D887" s="1" t="s">
        <v>4</v>
      </c>
      <c r="E887" s="1" t="s">
        <v>14</v>
      </c>
      <c r="F887" s="26">
        <v>598</v>
      </c>
      <c r="G887" s="26">
        <v>0</v>
      </c>
      <c r="H887" s="26">
        <v>600</v>
      </c>
      <c r="I887" s="26">
        <v>4782906.0000000009</v>
      </c>
      <c r="J887" s="26">
        <v>29400000</v>
      </c>
    </row>
    <row r="888" spans="1:10">
      <c r="A888" s="24">
        <v>886</v>
      </c>
      <c r="B888" s="24">
        <f t="shared" si="14"/>
        <v>551</v>
      </c>
      <c r="C888" s="1" t="s">
        <v>1251</v>
      </c>
      <c r="D888" s="1" t="s">
        <v>4</v>
      </c>
      <c r="E888" s="1" t="s">
        <v>14</v>
      </c>
      <c r="F888" s="26">
        <v>800</v>
      </c>
      <c r="G888" s="26">
        <v>0</v>
      </c>
      <c r="H888" s="26">
        <v>800</v>
      </c>
      <c r="I888" s="26">
        <v>5429184.0000000009</v>
      </c>
      <c r="J888" s="26">
        <v>36000000</v>
      </c>
    </row>
    <row r="889" spans="1:10">
      <c r="A889" s="24">
        <v>887</v>
      </c>
      <c r="B889" s="24">
        <f t="shared" si="14"/>
        <v>552</v>
      </c>
      <c r="C889" s="1" t="s">
        <v>1252</v>
      </c>
      <c r="D889" s="1" t="s">
        <v>4</v>
      </c>
      <c r="E889" s="1" t="s">
        <v>14</v>
      </c>
      <c r="F889" s="26">
        <v>800</v>
      </c>
      <c r="G889" s="26">
        <v>0</v>
      </c>
      <c r="H889" s="26">
        <v>800</v>
      </c>
      <c r="I889" s="26">
        <v>5189184.0000000009</v>
      </c>
      <c r="J889" s="26">
        <v>34400000</v>
      </c>
    </row>
    <row r="890" spans="1:10">
      <c r="A890" s="24">
        <v>888</v>
      </c>
      <c r="B890" s="24">
        <f t="shared" si="14"/>
        <v>553</v>
      </c>
      <c r="C890" s="1" t="s">
        <v>1253</v>
      </c>
      <c r="D890" s="1" t="s">
        <v>4</v>
      </c>
      <c r="E890" s="1" t="s">
        <v>14</v>
      </c>
      <c r="F890" s="26">
        <v>800</v>
      </c>
      <c r="G890" s="26">
        <v>0</v>
      </c>
      <c r="H890" s="26">
        <v>800</v>
      </c>
      <c r="I890" s="26">
        <v>5429184.0000000009</v>
      </c>
      <c r="J890" s="26">
        <v>36000000</v>
      </c>
    </row>
    <row r="891" spans="1:10">
      <c r="A891" s="24">
        <v>889</v>
      </c>
      <c r="B891" s="24">
        <f t="shared" si="14"/>
        <v>554</v>
      </c>
      <c r="C891" s="1" t="s">
        <v>1254</v>
      </c>
      <c r="D891" s="1" t="s">
        <v>4</v>
      </c>
      <c r="E891" s="1" t="s">
        <v>14</v>
      </c>
      <c r="F891" s="26">
        <v>799</v>
      </c>
      <c r="G891" s="26">
        <v>0</v>
      </c>
      <c r="H891" s="26">
        <v>800</v>
      </c>
      <c r="I891" s="26">
        <v>5429184.0000000009</v>
      </c>
      <c r="J891" s="26">
        <v>36000000</v>
      </c>
    </row>
    <row r="892" spans="1:10">
      <c r="A892" s="24">
        <v>890</v>
      </c>
      <c r="B892" s="24">
        <f t="shared" si="14"/>
        <v>555</v>
      </c>
      <c r="C892" s="1" t="s">
        <v>1255</v>
      </c>
      <c r="D892" s="1" t="s">
        <v>4</v>
      </c>
      <c r="E892" s="1" t="s">
        <v>14</v>
      </c>
      <c r="F892" s="26">
        <v>800</v>
      </c>
      <c r="G892" s="26">
        <v>0</v>
      </c>
      <c r="H892" s="26">
        <v>800</v>
      </c>
      <c r="I892" s="26">
        <v>5189184.0000000009</v>
      </c>
      <c r="J892" s="26">
        <v>34400000</v>
      </c>
    </row>
    <row r="893" spans="1:10">
      <c r="A893" s="24">
        <v>891</v>
      </c>
      <c r="B893" s="24">
        <f t="shared" si="14"/>
        <v>556</v>
      </c>
      <c r="C893" s="1" t="s">
        <v>1256</v>
      </c>
      <c r="D893" s="1" t="s">
        <v>4</v>
      </c>
      <c r="E893" s="1" t="s">
        <v>14</v>
      </c>
      <c r="F893" s="26">
        <v>800</v>
      </c>
      <c r="G893" s="26">
        <v>0</v>
      </c>
      <c r="H893" s="26">
        <v>800</v>
      </c>
      <c r="I893" s="26">
        <v>5429184.0000000009</v>
      </c>
      <c r="J893" s="26">
        <v>36000000</v>
      </c>
    </row>
    <row r="894" spans="1:10">
      <c r="A894" s="24">
        <v>892</v>
      </c>
      <c r="B894" s="24">
        <f t="shared" si="14"/>
        <v>557</v>
      </c>
      <c r="C894" s="1" t="s">
        <v>775</v>
      </c>
      <c r="F894" s="26">
        <v>13792</v>
      </c>
      <c r="G894" s="26">
        <v>0</v>
      </c>
      <c r="H894" s="26">
        <v>13800</v>
      </c>
      <c r="I894" s="26">
        <v>90339122</v>
      </c>
      <c r="J894" s="26">
        <v>595800000</v>
      </c>
    </row>
    <row r="895" spans="1:10">
      <c r="A895" s="24">
        <v>893</v>
      </c>
      <c r="B895" s="24">
        <f t="shared" si="14"/>
        <v>558</v>
      </c>
      <c r="C895" s="1" t="s">
        <v>1242</v>
      </c>
      <c r="D895" s="1" t="s">
        <v>4</v>
      </c>
      <c r="E895" s="1" t="s">
        <v>14</v>
      </c>
      <c r="F895" s="26">
        <v>600</v>
      </c>
      <c r="G895" s="26">
        <v>0</v>
      </c>
      <c r="H895" s="26">
        <v>600</v>
      </c>
      <c r="I895" s="26">
        <v>5561658.0000000009</v>
      </c>
      <c r="J895" s="26">
        <v>29400000</v>
      </c>
    </row>
    <row r="896" spans="1:10">
      <c r="A896" s="24">
        <v>894</v>
      </c>
      <c r="B896" s="24">
        <f t="shared" si="14"/>
        <v>559</v>
      </c>
      <c r="C896" s="1" t="s">
        <v>1243</v>
      </c>
      <c r="D896" s="1" t="s">
        <v>4</v>
      </c>
      <c r="E896" s="1" t="s">
        <v>14</v>
      </c>
      <c r="F896" s="26">
        <v>600</v>
      </c>
      <c r="G896" s="26">
        <v>0</v>
      </c>
      <c r="H896" s="26">
        <v>600</v>
      </c>
      <c r="I896" s="26">
        <v>5561658.0000000009</v>
      </c>
      <c r="J896" s="26">
        <v>29400000</v>
      </c>
    </row>
    <row r="897" spans="1:10">
      <c r="A897" s="24">
        <v>895</v>
      </c>
      <c r="B897" s="24">
        <f t="shared" si="14"/>
        <v>560</v>
      </c>
      <c r="C897" s="1" t="s">
        <v>1244</v>
      </c>
      <c r="D897" s="1" t="s">
        <v>4</v>
      </c>
      <c r="E897" s="1" t="s">
        <v>14</v>
      </c>
      <c r="F897" s="26">
        <v>600</v>
      </c>
      <c r="G897" s="26">
        <v>0</v>
      </c>
      <c r="H897" s="26">
        <v>600</v>
      </c>
      <c r="I897" s="26">
        <v>5561658.0000000009</v>
      </c>
      <c r="J897" s="26">
        <v>29400000</v>
      </c>
    </row>
    <row r="898" spans="1:10">
      <c r="A898" s="24">
        <v>896</v>
      </c>
      <c r="B898" s="24">
        <f t="shared" si="14"/>
        <v>561</v>
      </c>
      <c r="C898" s="1" t="s">
        <v>775</v>
      </c>
      <c r="F898" s="26">
        <v>1800</v>
      </c>
      <c r="G898" s="26">
        <v>0</v>
      </c>
      <c r="H898" s="26">
        <v>1800</v>
      </c>
      <c r="I898" s="26">
        <v>16684974.000000004</v>
      </c>
      <c r="J898" s="26">
        <v>88200000</v>
      </c>
    </row>
    <row r="899" spans="1:10">
      <c r="A899" s="24">
        <v>897</v>
      </c>
      <c r="B899" s="24">
        <f t="shared" ref="B899:B962" si="15">IF(C898=C899,B898,B898+1)</f>
        <v>562</v>
      </c>
      <c r="C899" s="1" t="s">
        <v>1248</v>
      </c>
      <c r="D899" s="1" t="s">
        <v>4</v>
      </c>
      <c r="E899" s="1" t="s">
        <v>14</v>
      </c>
      <c r="F899" s="26">
        <v>590</v>
      </c>
      <c r="G899" s="26">
        <v>0</v>
      </c>
      <c r="H899" s="26">
        <v>600</v>
      </c>
      <c r="I899" s="26">
        <v>6317208</v>
      </c>
      <c r="J899" s="26">
        <v>29400000</v>
      </c>
    </row>
    <row r="900" spans="1:10">
      <c r="A900" s="24">
        <v>898</v>
      </c>
      <c r="B900" s="24">
        <f t="shared" si="15"/>
        <v>563</v>
      </c>
      <c r="C900" s="1" t="s">
        <v>1249</v>
      </c>
      <c r="D900" s="1" t="s">
        <v>4</v>
      </c>
      <c r="E900" s="1" t="s">
        <v>14</v>
      </c>
      <c r="F900" s="26">
        <v>594</v>
      </c>
      <c r="G900" s="26">
        <v>0</v>
      </c>
      <c r="H900" s="26">
        <v>600</v>
      </c>
      <c r="I900" s="26">
        <v>6317208</v>
      </c>
      <c r="J900" s="26">
        <v>29400000</v>
      </c>
    </row>
    <row r="901" spans="1:10">
      <c r="A901" s="24">
        <v>899</v>
      </c>
      <c r="B901" s="24">
        <f t="shared" si="15"/>
        <v>564</v>
      </c>
      <c r="C901" s="1" t="s">
        <v>1250</v>
      </c>
      <c r="D901" s="1" t="s">
        <v>4</v>
      </c>
      <c r="E901" s="1" t="s">
        <v>14</v>
      </c>
      <c r="F901" s="26">
        <v>593</v>
      </c>
      <c r="G901" s="26">
        <v>0</v>
      </c>
      <c r="H901" s="26">
        <v>600</v>
      </c>
      <c r="I901" s="26">
        <v>6317208</v>
      </c>
      <c r="J901" s="26">
        <v>29400000</v>
      </c>
    </row>
    <row r="902" spans="1:10">
      <c r="A902" s="24">
        <v>900</v>
      </c>
      <c r="B902" s="24">
        <f t="shared" si="15"/>
        <v>565</v>
      </c>
      <c r="C902" s="1" t="s">
        <v>1257</v>
      </c>
      <c r="D902" s="1" t="s">
        <v>4</v>
      </c>
      <c r="E902" s="1" t="s">
        <v>14</v>
      </c>
      <c r="F902" s="26">
        <v>575</v>
      </c>
      <c r="G902" s="26">
        <v>0</v>
      </c>
      <c r="H902" s="26">
        <v>600</v>
      </c>
      <c r="I902" s="26">
        <v>5800410</v>
      </c>
      <c r="J902" s="26">
        <v>29400000</v>
      </c>
    </row>
    <row r="903" spans="1:10">
      <c r="A903" s="24">
        <v>901</v>
      </c>
      <c r="B903" s="24">
        <f t="shared" si="15"/>
        <v>566</v>
      </c>
      <c r="C903" s="1" t="s">
        <v>1258</v>
      </c>
      <c r="D903" s="1" t="s">
        <v>4</v>
      </c>
      <c r="E903" s="1" t="s">
        <v>14</v>
      </c>
      <c r="F903" s="26">
        <v>599</v>
      </c>
      <c r="G903" s="26">
        <v>0</v>
      </c>
      <c r="H903" s="26">
        <v>600</v>
      </c>
      <c r="I903" s="26">
        <v>4752594</v>
      </c>
      <c r="J903" s="26">
        <v>29400000</v>
      </c>
    </row>
    <row r="904" spans="1:10">
      <c r="A904" s="24">
        <v>902</v>
      </c>
      <c r="B904" s="24">
        <f t="shared" si="15"/>
        <v>567</v>
      </c>
      <c r="C904" s="1" t="s">
        <v>1259</v>
      </c>
      <c r="D904" s="1" t="s">
        <v>4</v>
      </c>
      <c r="E904" s="1" t="s">
        <v>14</v>
      </c>
      <c r="F904" s="26">
        <v>597</v>
      </c>
      <c r="G904" s="26">
        <v>0</v>
      </c>
      <c r="H904" s="26">
        <v>600</v>
      </c>
      <c r="I904" s="26">
        <v>4752594</v>
      </c>
      <c r="J904" s="26">
        <v>27000000</v>
      </c>
    </row>
    <row r="905" spans="1:10">
      <c r="A905" s="24">
        <v>903</v>
      </c>
      <c r="B905" s="24">
        <f t="shared" si="15"/>
        <v>568</v>
      </c>
      <c r="C905" s="1" t="s">
        <v>1260</v>
      </c>
      <c r="D905" s="1" t="s">
        <v>4</v>
      </c>
      <c r="E905" s="1" t="s">
        <v>14</v>
      </c>
      <c r="F905" s="26">
        <v>600</v>
      </c>
      <c r="G905" s="26">
        <v>0</v>
      </c>
      <c r="H905" s="26">
        <v>600</v>
      </c>
      <c r="I905" s="26">
        <v>4752594</v>
      </c>
      <c r="J905" s="26">
        <v>27000000</v>
      </c>
    </row>
    <row r="906" spans="1:10">
      <c r="A906" s="24">
        <v>904</v>
      </c>
      <c r="B906" s="24">
        <f t="shared" si="15"/>
        <v>569</v>
      </c>
      <c r="C906" s="1" t="s">
        <v>775</v>
      </c>
      <c r="F906" s="26">
        <v>4148</v>
      </c>
      <c r="G906" s="26">
        <v>0</v>
      </c>
      <c r="H906" s="26">
        <v>4200</v>
      </c>
      <c r="I906" s="26">
        <v>39009816</v>
      </c>
      <c r="J906" s="26">
        <v>201000000</v>
      </c>
    </row>
    <row r="907" spans="1:10">
      <c r="A907" s="24">
        <v>905</v>
      </c>
      <c r="B907" s="24">
        <f t="shared" si="15"/>
        <v>570</v>
      </c>
      <c r="C907" s="1" t="s">
        <v>1261</v>
      </c>
      <c r="D907" s="1" t="s">
        <v>4</v>
      </c>
      <c r="E907" s="1" t="s">
        <v>14</v>
      </c>
      <c r="F907" s="26">
        <v>800</v>
      </c>
      <c r="G907" s="26">
        <v>0</v>
      </c>
      <c r="H907" s="26">
        <v>800</v>
      </c>
      <c r="I907" s="26">
        <v>2893968</v>
      </c>
      <c r="J907" s="26">
        <v>28000000</v>
      </c>
    </row>
    <row r="908" spans="1:10">
      <c r="A908" s="24">
        <v>906</v>
      </c>
      <c r="B908" s="24">
        <f t="shared" si="15"/>
        <v>571</v>
      </c>
      <c r="C908" s="1" t="s">
        <v>1262</v>
      </c>
      <c r="D908" s="1" t="s">
        <v>4</v>
      </c>
      <c r="E908" s="1" t="s">
        <v>14</v>
      </c>
      <c r="F908" s="26">
        <v>800</v>
      </c>
      <c r="G908" s="26">
        <v>0</v>
      </c>
      <c r="H908" s="26">
        <v>800</v>
      </c>
      <c r="I908" s="26">
        <v>2893968</v>
      </c>
      <c r="J908" s="26">
        <v>28000000</v>
      </c>
    </row>
    <row r="909" spans="1:10">
      <c r="A909" s="24">
        <v>907</v>
      </c>
      <c r="B909" s="24">
        <f t="shared" si="15"/>
        <v>572</v>
      </c>
      <c r="C909" s="1" t="s">
        <v>1263</v>
      </c>
      <c r="D909" s="1" t="s">
        <v>4</v>
      </c>
      <c r="E909" s="1" t="s">
        <v>14</v>
      </c>
      <c r="F909" s="26">
        <v>800</v>
      </c>
      <c r="G909" s="26">
        <v>0</v>
      </c>
      <c r="H909" s="26">
        <v>800</v>
      </c>
      <c r="I909" s="26">
        <v>2893968</v>
      </c>
      <c r="J909" s="26">
        <v>28000000</v>
      </c>
    </row>
    <row r="910" spans="1:10">
      <c r="A910" s="24">
        <v>908</v>
      </c>
      <c r="B910" s="24">
        <f t="shared" si="15"/>
        <v>573</v>
      </c>
      <c r="C910" s="1" t="s">
        <v>1264</v>
      </c>
      <c r="D910" s="1" t="s">
        <v>4</v>
      </c>
      <c r="E910" s="1" t="s">
        <v>14</v>
      </c>
      <c r="F910" s="26">
        <v>799</v>
      </c>
      <c r="G910" s="26">
        <v>0</v>
      </c>
      <c r="H910" s="26">
        <v>800</v>
      </c>
      <c r="I910" s="26">
        <v>3093552.0000000005</v>
      </c>
      <c r="J910" s="26">
        <v>28000000</v>
      </c>
    </row>
    <row r="911" spans="1:10">
      <c r="A911" s="24">
        <v>909</v>
      </c>
      <c r="B911" s="24">
        <f t="shared" si="15"/>
        <v>574</v>
      </c>
      <c r="C911" s="1" t="s">
        <v>1265</v>
      </c>
      <c r="D911" s="1" t="s">
        <v>4</v>
      </c>
      <c r="E911" s="1" t="s">
        <v>14</v>
      </c>
      <c r="F911" s="26">
        <v>800</v>
      </c>
      <c r="G911" s="26">
        <v>0</v>
      </c>
      <c r="H911" s="26">
        <v>800</v>
      </c>
      <c r="I911" s="26">
        <v>3093552.0000000005</v>
      </c>
      <c r="J911" s="26">
        <v>28000000</v>
      </c>
    </row>
    <row r="912" spans="1:10">
      <c r="A912" s="24">
        <v>910</v>
      </c>
      <c r="B912" s="24">
        <f t="shared" si="15"/>
        <v>575</v>
      </c>
      <c r="C912" s="1" t="s">
        <v>1266</v>
      </c>
      <c r="D912" s="1" t="s">
        <v>4</v>
      </c>
      <c r="E912" s="1" t="s">
        <v>14</v>
      </c>
      <c r="F912" s="26">
        <v>1000</v>
      </c>
      <c r="G912" s="26">
        <v>0</v>
      </c>
      <c r="H912" s="26">
        <v>1000</v>
      </c>
      <c r="I912" s="26">
        <v>5738040</v>
      </c>
      <c r="J912" s="26">
        <v>39000000</v>
      </c>
    </row>
    <row r="913" spans="1:10">
      <c r="A913" s="24">
        <v>911</v>
      </c>
      <c r="B913" s="24">
        <f t="shared" si="15"/>
        <v>576</v>
      </c>
      <c r="C913" s="1" t="s">
        <v>1267</v>
      </c>
      <c r="D913" s="1" t="s">
        <v>4</v>
      </c>
      <c r="E913" s="1" t="s">
        <v>14</v>
      </c>
      <c r="F913" s="26">
        <v>997</v>
      </c>
      <c r="G913" s="26">
        <v>0</v>
      </c>
      <c r="H913" s="26">
        <v>1000</v>
      </c>
      <c r="I913" s="26">
        <v>5738040</v>
      </c>
      <c r="J913" s="26">
        <v>39000000</v>
      </c>
    </row>
    <row r="914" spans="1:10">
      <c r="A914" s="24">
        <v>912</v>
      </c>
      <c r="B914" s="24">
        <f t="shared" si="15"/>
        <v>577</v>
      </c>
      <c r="C914" s="1" t="s">
        <v>1268</v>
      </c>
      <c r="D914" s="1" t="s">
        <v>4</v>
      </c>
      <c r="E914" s="1" t="s">
        <v>14</v>
      </c>
      <c r="F914" s="26">
        <v>1001</v>
      </c>
      <c r="G914" s="26">
        <v>0</v>
      </c>
      <c r="H914" s="26">
        <v>1000</v>
      </c>
      <c r="I914" s="26">
        <v>5738040</v>
      </c>
      <c r="J914" s="26">
        <v>39000000</v>
      </c>
    </row>
    <row r="915" spans="1:10">
      <c r="A915" s="24">
        <v>913</v>
      </c>
      <c r="B915" s="24">
        <f t="shared" si="15"/>
        <v>578</v>
      </c>
      <c r="C915" s="1" t="s">
        <v>1269</v>
      </c>
      <c r="D915" s="1" t="s">
        <v>4</v>
      </c>
      <c r="E915" s="1" t="s">
        <v>14</v>
      </c>
      <c r="F915" s="26">
        <v>799</v>
      </c>
      <c r="G915" s="26">
        <v>0</v>
      </c>
      <c r="H915" s="26">
        <v>800</v>
      </c>
      <c r="I915" s="26">
        <v>4590432</v>
      </c>
      <c r="J915" s="26">
        <v>28000000</v>
      </c>
    </row>
    <row r="916" spans="1:10">
      <c r="A916" s="24">
        <v>914</v>
      </c>
      <c r="B916" s="24">
        <f t="shared" si="15"/>
        <v>579</v>
      </c>
      <c r="C916" s="1" t="s">
        <v>1270</v>
      </c>
      <c r="D916" s="1" t="s">
        <v>4</v>
      </c>
      <c r="E916" s="1" t="s">
        <v>14</v>
      </c>
      <c r="F916" s="26">
        <v>800</v>
      </c>
      <c r="G916" s="26">
        <v>0</v>
      </c>
      <c r="H916" s="26">
        <v>800</v>
      </c>
      <c r="I916" s="26">
        <v>4590432</v>
      </c>
      <c r="J916" s="26">
        <v>28000000</v>
      </c>
    </row>
    <row r="917" spans="1:10">
      <c r="A917" s="24">
        <v>915</v>
      </c>
      <c r="B917" s="24">
        <f t="shared" si="15"/>
        <v>580</v>
      </c>
      <c r="C917" s="1" t="s">
        <v>1271</v>
      </c>
      <c r="D917" s="1" t="s">
        <v>4</v>
      </c>
      <c r="E917" s="1" t="s">
        <v>14</v>
      </c>
      <c r="F917" s="26">
        <v>798</v>
      </c>
      <c r="G917" s="26">
        <v>0</v>
      </c>
      <c r="H917" s="26">
        <v>800</v>
      </c>
      <c r="I917" s="26">
        <v>4590432</v>
      </c>
      <c r="J917" s="26">
        <v>28000000</v>
      </c>
    </row>
    <row r="918" spans="1:10">
      <c r="A918" s="24">
        <v>916</v>
      </c>
      <c r="B918" s="24">
        <f t="shared" si="15"/>
        <v>581</v>
      </c>
      <c r="C918" s="1" t="s">
        <v>775</v>
      </c>
      <c r="F918" s="26">
        <v>9394</v>
      </c>
      <c r="G918" s="26">
        <v>0</v>
      </c>
      <c r="H918" s="26">
        <v>9400</v>
      </c>
      <c r="I918" s="26">
        <v>45854424</v>
      </c>
      <c r="J918" s="26">
        <v>341000000</v>
      </c>
    </row>
    <row r="919" spans="1:10">
      <c r="A919" s="24">
        <v>917</v>
      </c>
      <c r="B919" s="24">
        <f t="shared" si="15"/>
        <v>582</v>
      </c>
      <c r="C919" s="1" t="s">
        <v>1417</v>
      </c>
      <c r="D919" s="1" t="s">
        <v>6</v>
      </c>
      <c r="E919" s="1" t="s">
        <v>14</v>
      </c>
      <c r="F919" s="26">
        <v>258</v>
      </c>
      <c r="G919" s="26">
        <v>0</v>
      </c>
      <c r="H919" s="26">
        <v>250</v>
      </c>
      <c r="I919" s="26">
        <v>4307375</v>
      </c>
      <c r="J919" s="26">
        <v>19750000</v>
      </c>
    </row>
    <row r="920" spans="1:10">
      <c r="A920" s="24">
        <v>918</v>
      </c>
      <c r="B920" s="24">
        <f t="shared" si="15"/>
        <v>582</v>
      </c>
      <c r="C920" s="1" t="s">
        <v>1417</v>
      </c>
      <c r="D920" s="1" t="s">
        <v>7</v>
      </c>
      <c r="E920" s="1" t="s">
        <v>14</v>
      </c>
      <c r="F920" s="26">
        <v>307</v>
      </c>
      <c r="G920" s="26">
        <v>0</v>
      </c>
      <c r="H920" s="26">
        <v>300</v>
      </c>
      <c r="I920" s="26">
        <v>5168850</v>
      </c>
      <c r="J920" s="26">
        <v>23700000</v>
      </c>
    </row>
    <row r="921" spans="1:10">
      <c r="A921" s="24">
        <v>919</v>
      </c>
      <c r="B921" s="24">
        <f t="shared" si="15"/>
        <v>582</v>
      </c>
      <c r="C921" s="1" t="s">
        <v>1417</v>
      </c>
      <c r="D921" s="1" t="s">
        <v>8</v>
      </c>
      <c r="E921" s="1" t="s">
        <v>14</v>
      </c>
      <c r="F921" s="26">
        <v>322</v>
      </c>
      <c r="G921" s="26">
        <v>0</v>
      </c>
      <c r="H921" s="26">
        <v>300</v>
      </c>
      <c r="I921" s="26">
        <v>5168850</v>
      </c>
      <c r="J921" s="26">
        <v>23700000</v>
      </c>
    </row>
    <row r="922" spans="1:10">
      <c r="A922" s="24">
        <v>920</v>
      </c>
      <c r="B922" s="24">
        <f t="shared" si="15"/>
        <v>582</v>
      </c>
      <c r="C922" s="1" t="s">
        <v>1417</v>
      </c>
      <c r="D922" s="1" t="s">
        <v>9</v>
      </c>
      <c r="E922" s="1" t="s">
        <v>14</v>
      </c>
      <c r="F922" s="26">
        <v>205</v>
      </c>
      <c r="G922" s="26">
        <v>0</v>
      </c>
      <c r="H922" s="26">
        <v>200</v>
      </c>
      <c r="I922" s="26">
        <v>3445900</v>
      </c>
      <c r="J922" s="26">
        <v>15800000</v>
      </c>
    </row>
    <row r="923" spans="1:10">
      <c r="A923" s="24">
        <v>921</v>
      </c>
      <c r="B923" s="24">
        <f t="shared" si="15"/>
        <v>582</v>
      </c>
      <c r="C923" s="1" t="s">
        <v>1417</v>
      </c>
      <c r="D923" s="1" t="s">
        <v>10</v>
      </c>
      <c r="E923" s="1" t="s">
        <v>14</v>
      </c>
      <c r="F923" s="26">
        <v>155</v>
      </c>
      <c r="G923" s="26">
        <v>0</v>
      </c>
      <c r="H923" s="26">
        <v>150</v>
      </c>
      <c r="I923" s="26">
        <v>2584425</v>
      </c>
      <c r="J923" s="26">
        <v>11850000</v>
      </c>
    </row>
    <row r="924" spans="1:10">
      <c r="A924" s="24">
        <v>922</v>
      </c>
      <c r="B924" s="24">
        <f t="shared" si="15"/>
        <v>583</v>
      </c>
      <c r="C924" s="1" t="s">
        <v>1418</v>
      </c>
      <c r="D924" s="1" t="s">
        <v>6</v>
      </c>
      <c r="E924" s="1" t="s">
        <v>14</v>
      </c>
      <c r="F924" s="26">
        <v>208</v>
      </c>
      <c r="G924" s="26">
        <v>0</v>
      </c>
      <c r="H924" s="26">
        <v>200</v>
      </c>
      <c r="I924" s="26">
        <v>4624000</v>
      </c>
      <c r="J924" s="26">
        <v>21800000</v>
      </c>
    </row>
    <row r="925" spans="1:10">
      <c r="A925" s="24">
        <v>923</v>
      </c>
      <c r="B925" s="24">
        <f t="shared" si="15"/>
        <v>583</v>
      </c>
      <c r="C925" s="1" t="s">
        <v>1418</v>
      </c>
      <c r="D925" s="1" t="s">
        <v>7</v>
      </c>
      <c r="E925" s="1" t="s">
        <v>14</v>
      </c>
      <c r="F925" s="26">
        <v>262</v>
      </c>
      <c r="G925" s="26">
        <v>0</v>
      </c>
      <c r="H925" s="26">
        <v>250</v>
      </c>
      <c r="I925" s="26">
        <v>5780000</v>
      </c>
      <c r="J925" s="26">
        <v>27250000</v>
      </c>
    </row>
    <row r="926" spans="1:10">
      <c r="A926" s="24">
        <v>924</v>
      </c>
      <c r="B926" s="24">
        <f t="shared" si="15"/>
        <v>583</v>
      </c>
      <c r="C926" s="1" t="s">
        <v>1418</v>
      </c>
      <c r="D926" s="1" t="s">
        <v>8</v>
      </c>
      <c r="E926" s="1" t="s">
        <v>14</v>
      </c>
      <c r="F926" s="26">
        <v>209</v>
      </c>
      <c r="G926" s="26">
        <v>0</v>
      </c>
      <c r="H926" s="26">
        <v>200</v>
      </c>
      <c r="I926" s="26">
        <v>4624000</v>
      </c>
      <c r="J926" s="26">
        <v>21800000</v>
      </c>
    </row>
    <row r="927" spans="1:10">
      <c r="A927" s="24">
        <v>925</v>
      </c>
      <c r="B927" s="24">
        <f t="shared" si="15"/>
        <v>583</v>
      </c>
      <c r="C927" s="1" t="s">
        <v>1418</v>
      </c>
      <c r="D927" s="1" t="s">
        <v>9</v>
      </c>
      <c r="E927" s="1" t="s">
        <v>14</v>
      </c>
      <c r="F927" s="26">
        <v>207</v>
      </c>
      <c r="G927" s="26">
        <v>0</v>
      </c>
      <c r="H927" s="26">
        <v>200</v>
      </c>
      <c r="I927" s="26">
        <v>4624000</v>
      </c>
      <c r="J927" s="26">
        <v>21800000</v>
      </c>
    </row>
    <row r="928" spans="1:10">
      <c r="A928" s="24">
        <v>926</v>
      </c>
      <c r="B928" s="24">
        <f t="shared" si="15"/>
        <v>583</v>
      </c>
      <c r="C928" s="1" t="s">
        <v>1418</v>
      </c>
      <c r="D928" s="1" t="s">
        <v>10</v>
      </c>
      <c r="E928" s="1" t="s">
        <v>14</v>
      </c>
      <c r="F928" s="26">
        <v>157</v>
      </c>
      <c r="G928" s="26">
        <v>0</v>
      </c>
      <c r="H928" s="26">
        <v>150</v>
      </c>
      <c r="I928" s="26">
        <v>3468000</v>
      </c>
      <c r="J928" s="26">
        <v>16350000</v>
      </c>
    </row>
    <row r="929" spans="1:10">
      <c r="A929" s="24">
        <v>927</v>
      </c>
      <c r="B929" s="24">
        <f t="shared" si="15"/>
        <v>584</v>
      </c>
      <c r="C929" s="1" t="s">
        <v>775</v>
      </c>
      <c r="F929" s="26">
        <v>2290</v>
      </c>
      <c r="G929" s="26">
        <v>0</v>
      </c>
      <c r="H929" s="26">
        <v>2200</v>
      </c>
      <c r="I929" s="26">
        <v>43795400</v>
      </c>
      <c r="J929" s="26">
        <v>203800000</v>
      </c>
    </row>
    <row r="930" spans="1:10">
      <c r="A930" s="24">
        <v>928</v>
      </c>
      <c r="B930" s="24">
        <f t="shared" si="15"/>
        <v>585</v>
      </c>
      <c r="C930" s="1" t="s">
        <v>1419</v>
      </c>
      <c r="D930" s="1" t="s">
        <v>6</v>
      </c>
      <c r="E930" s="1" t="s">
        <v>14</v>
      </c>
      <c r="F930" s="26">
        <v>219</v>
      </c>
      <c r="G930" s="26">
        <v>0</v>
      </c>
      <c r="H930" s="26">
        <v>200</v>
      </c>
      <c r="I930" s="26">
        <v>3168462.9999999995</v>
      </c>
      <c r="J930" s="26">
        <v>13800000</v>
      </c>
    </row>
    <row r="931" spans="1:10">
      <c r="A931" s="24">
        <v>929</v>
      </c>
      <c r="B931" s="24">
        <f t="shared" si="15"/>
        <v>585</v>
      </c>
      <c r="C931" s="1" t="s">
        <v>1419</v>
      </c>
      <c r="D931" s="1" t="s">
        <v>7</v>
      </c>
      <c r="E931" s="1" t="s">
        <v>14</v>
      </c>
      <c r="F931" s="26">
        <v>310</v>
      </c>
      <c r="G931" s="26">
        <v>0</v>
      </c>
      <c r="H931" s="26">
        <v>300</v>
      </c>
      <c r="I931" s="26">
        <v>4752694.5</v>
      </c>
      <c r="J931" s="26">
        <v>20700000</v>
      </c>
    </row>
    <row r="932" spans="1:10">
      <c r="A932" s="24">
        <v>930</v>
      </c>
      <c r="B932" s="24">
        <f t="shared" si="15"/>
        <v>585</v>
      </c>
      <c r="C932" s="1" t="s">
        <v>1419</v>
      </c>
      <c r="D932" s="1" t="s">
        <v>8</v>
      </c>
      <c r="E932" s="1" t="s">
        <v>14</v>
      </c>
      <c r="F932" s="26">
        <v>320</v>
      </c>
      <c r="G932" s="26">
        <v>0</v>
      </c>
      <c r="H932" s="26">
        <v>300</v>
      </c>
      <c r="I932" s="26">
        <v>4752694.5</v>
      </c>
      <c r="J932" s="26">
        <v>20700000</v>
      </c>
    </row>
    <row r="933" spans="1:10">
      <c r="A933" s="24">
        <v>931</v>
      </c>
      <c r="B933" s="24">
        <f t="shared" si="15"/>
        <v>585</v>
      </c>
      <c r="C933" s="1" t="s">
        <v>1419</v>
      </c>
      <c r="D933" s="1" t="s">
        <v>9</v>
      </c>
      <c r="E933" s="1" t="s">
        <v>14</v>
      </c>
      <c r="F933" s="26">
        <v>208</v>
      </c>
      <c r="G933" s="26">
        <v>0</v>
      </c>
      <c r="H933" s="26">
        <v>200</v>
      </c>
      <c r="I933" s="26">
        <v>3168462.9999999995</v>
      </c>
      <c r="J933" s="26">
        <v>13800000</v>
      </c>
    </row>
    <row r="934" spans="1:10">
      <c r="A934" s="24">
        <v>932</v>
      </c>
      <c r="B934" s="24">
        <f t="shared" si="15"/>
        <v>585</v>
      </c>
      <c r="C934" s="1" t="s">
        <v>1419</v>
      </c>
      <c r="D934" s="1" t="s">
        <v>10</v>
      </c>
      <c r="E934" s="1" t="s">
        <v>14</v>
      </c>
      <c r="F934" s="26">
        <v>211</v>
      </c>
      <c r="G934" s="26">
        <v>0</v>
      </c>
      <c r="H934" s="26">
        <v>200</v>
      </c>
      <c r="I934" s="26">
        <v>3168462.9999999995</v>
      </c>
      <c r="J934" s="26">
        <v>13800000</v>
      </c>
    </row>
    <row r="935" spans="1:10">
      <c r="A935" s="24">
        <v>933</v>
      </c>
      <c r="B935" s="24">
        <f t="shared" si="15"/>
        <v>586</v>
      </c>
      <c r="C935" s="1" t="s">
        <v>1420</v>
      </c>
      <c r="D935" s="1" t="s">
        <v>6</v>
      </c>
      <c r="E935" s="1" t="s">
        <v>14</v>
      </c>
      <c r="F935" s="26">
        <v>200</v>
      </c>
      <c r="G935" s="26">
        <v>0</v>
      </c>
      <c r="H935" s="26">
        <v>200</v>
      </c>
      <c r="I935" s="26">
        <v>3037947.9999999995</v>
      </c>
      <c r="J935" s="26">
        <v>13800000</v>
      </c>
    </row>
    <row r="936" spans="1:10">
      <c r="A936" s="24">
        <v>934</v>
      </c>
      <c r="B936" s="24">
        <f t="shared" si="15"/>
        <v>586</v>
      </c>
      <c r="C936" s="1" t="s">
        <v>1420</v>
      </c>
      <c r="D936" s="1" t="s">
        <v>7</v>
      </c>
      <c r="E936" s="1" t="s">
        <v>14</v>
      </c>
      <c r="F936" s="26">
        <v>317</v>
      </c>
      <c r="G936" s="26">
        <v>0</v>
      </c>
      <c r="H936" s="26">
        <v>300</v>
      </c>
      <c r="I936" s="26">
        <v>4556921.9999999991</v>
      </c>
      <c r="J936" s="26">
        <v>20700000</v>
      </c>
    </row>
    <row r="937" spans="1:10">
      <c r="A937" s="24">
        <v>935</v>
      </c>
      <c r="B937" s="24">
        <f t="shared" si="15"/>
        <v>586</v>
      </c>
      <c r="C937" s="1" t="s">
        <v>1420</v>
      </c>
      <c r="D937" s="1" t="s">
        <v>8</v>
      </c>
      <c r="E937" s="1" t="s">
        <v>14</v>
      </c>
      <c r="F937" s="26">
        <v>321</v>
      </c>
      <c r="G937" s="26">
        <v>0</v>
      </c>
      <c r="H937" s="26">
        <v>300</v>
      </c>
      <c r="I937" s="26">
        <v>4556921.9999999991</v>
      </c>
      <c r="J937" s="26">
        <v>20700000</v>
      </c>
    </row>
    <row r="938" spans="1:10">
      <c r="A938" s="24">
        <v>936</v>
      </c>
      <c r="B938" s="24">
        <f t="shared" si="15"/>
        <v>586</v>
      </c>
      <c r="C938" s="1" t="s">
        <v>1420</v>
      </c>
      <c r="D938" s="1" t="s">
        <v>9</v>
      </c>
      <c r="E938" s="1" t="s">
        <v>14</v>
      </c>
      <c r="F938" s="26">
        <v>193</v>
      </c>
      <c r="G938" s="26">
        <v>0</v>
      </c>
      <c r="H938" s="26">
        <v>200</v>
      </c>
      <c r="I938" s="26">
        <v>3037947.9999999995</v>
      </c>
      <c r="J938" s="26">
        <v>13800000</v>
      </c>
    </row>
    <row r="939" spans="1:10">
      <c r="A939" s="24">
        <v>937</v>
      </c>
      <c r="B939" s="24">
        <f t="shared" si="15"/>
        <v>586</v>
      </c>
      <c r="C939" s="1" t="s">
        <v>1420</v>
      </c>
      <c r="D939" s="1" t="s">
        <v>10</v>
      </c>
      <c r="E939" s="1" t="s">
        <v>14</v>
      </c>
      <c r="F939" s="26">
        <v>212</v>
      </c>
      <c r="G939" s="26">
        <v>0</v>
      </c>
      <c r="H939" s="26">
        <v>200</v>
      </c>
      <c r="I939" s="26">
        <v>3037947.9999999995</v>
      </c>
      <c r="J939" s="26">
        <v>13800000</v>
      </c>
    </row>
    <row r="940" spans="1:10">
      <c r="A940" s="24">
        <v>938</v>
      </c>
      <c r="B940" s="24">
        <f t="shared" si="15"/>
        <v>587</v>
      </c>
      <c r="C940" s="1" t="s">
        <v>1421</v>
      </c>
      <c r="D940" s="1" t="s">
        <v>6</v>
      </c>
      <c r="E940" s="1" t="s">
        <v>14</v>
      </c>
      <c r="F940" s="26">
        <v>229</v>
      </c>
      <c r="G940" s="26">
        <v>0</v>
      </c>
      <c r="H940" s="26">
        <v>250</v>
      </c>
      <c r="I940" s="26">
        <v>4123722.5</v>
      </c>
      <c r="J940" s="26">
        <v>17250000</v>
      </c>
    </row>
    <row r="941" spans="1:10">
      <c r="A941" s="24">
        <v>939</v>
      </c>
      <c r="B941" s="24">
        <f t="shared" si="15"/>
        <v>587</v>
      </c>
      <c r="C941" s="1" t="s">
        <v>1421</v>
      </c>
      <c r="D941" s="1" t="s">
        <v>7</v>
      </c>
      <c r="E941" s="1" t="s">
        <v>14</v>
      </c>
      <c r="F941" s="26">
        <v>242</v>
      </c>
      <c r="G941" s="26">
        <v>0</v>
      </c>
      <c r="H941" s="26">
        <v>250</v>
      </c>
      <c r="I941" s="26">
        <v>4123722.5</v>
      </c>
      <c r="J941" s="26">
        <v>17250000</v>
      </c>
    </row>
    <row r="942" spans="1:10">
      <c r="A942" s="24">
        <v>940</v>
      </c>
      <c r="B942" s="24">
        <f t="shared" si="15"/>
        <v>587</v>
      </c>
      <c r="C942" s="1" t="s">
        <v>1421</v>
      </c>
      <c r="D942" s="1" t="s">
        <v>8</v>
      </c>
      <c r="E942" s="1" t="s">
        <v>14</v>
      </c>
      <c r="F942" s="26">
        <v>209</v>
      </c>
      <c r="G942" s="26">
        <v>0</v>
      </c>
      <c r="H942" s="26">
        <v>200</v>
      </c>
      <c r="I942" s="26">
        <v>3298978</v>
      </c>
      <c r="J942" s="26">
        <v>13800000</v>
      </c>
    </row>
    <row r="943" spans="1:10">
      <c r="A943" s="24">
        <v>941</v>
      </c>
      <c r="B943" s="24">
        <f t="shared" si="15"/>
        <v>587</v>
      </c>
      <c r="C943" s="1" t="s">
        <v>1421</v>
      </c>
      <c r="D943" s="1" t="s">
        <v>9</v>
      </c>
      <c r="E943" s="1" t="s">
        <v>14</v>
      </c>
      <c r="F943" s="26">
        <v>148</v>
      </c>
      <c r="G943" s="26">
        <v>0</v>
      </c>
      <c r="H943" s="26">
        <v>150</v>
      </c>
      <c r="I943" s="26">
        <v>2474233.5</v>
      </c>
      <c r="J943" s="26">
        <v>10350000</v>
      </c>
    </row>
    <row r="944" spans="1:10">
      <c r="A944" s="24">
        <v>942</v>
      </c>
      <c r="B944" s="24">
        <f t="shared" si="15"/>
        <v>587</v>
      </c>
      <c r="C944" s="1" t="s">
        <v>1421</v>
      </c>
      <c r="D944" s="1" t="s">
        <v>10</v>
      </c>
      <c r="E944" s="1" t="s">
        <v>14</v>
      </c>
      <c r="F944" s="26">
        <v>141</v>
      </c>
      <c r="G944" s="26">
        <v>0</v>
      </c>
      <c r="H944" s="26">
        <v>150</v>
      </c>
      <c r="I944" s="26">
        <v>2474233.5</v>
      </c>
      <c r="J944" s="26">
        <v>10350000</v>
      </c>
    </row>
    <row r="945" spans="1:10">
      <c r="A945" s="24">
        <v>943</v>
      </c>
      <c r="B945" s="24">
        <f t="shared" si="15"/>
        <v>588</v>
      </c>
      <c r="C945" s="1" t="s">
        <v>775</v>
      </c>
      <c r="F945" s="26">
        <v>3480</v>
      </c>
      <c r="G945" s="26">
        <v>0</v>
      </c>
      <c r="H945" s="26">
        <v>3400</v>
      </c>
      <c r="I945" s="26">
        <v>53733356</v>
      </c>
      <c r="J945" s="26">
        <v>234600000</v>
      </c>
    </row>
    <row r="946" spans="1:10">
      <c r="A946" s="24">
        <v>944</v>
      </c>
      <c r="B946" s="24">
        <f t="shared" si="15"/>
        <v>589</v>
      </c>
      <c r="C946" s="1" t="s">
        <v>1422</v>
      </c>
      <c r="D946" s="1" t="s">
        <v>6</v>
      </c>
      <c r="E946" s="1" t="s">
        <v>14</v>
      </c>
      <c r="F946" s="26">
        <v>209</v>
      </c>
      <c r="G946" s="26">
        <v>0</v>
      </c>
      <c r="H946" s="26">
        <v>200</v>
      </c>
      <c r="I946" s="26">
        <v>4298000</v>
      </c>
      <c r="J946" s="26">
        <v>19800000</v>
      </c>
    </row>
    <row r="947" spans="1:10">
      <c r="A947" s="24">
        <v>945</v>
      </c>
      <c r="B947" s="24">
        <f t="shared" si="15"/>
        <v>589</v>
      </c>
      <c r="C947" s="1" t="s">
        <v>1422</v>
      </c>
      <c r="D947" s="1" t="s">
        <v>7</v>
      </c>
      <c r="E947" s="1" t="s">
        <v>14</v>
      </c>
      <c r="F947" s="26">
        <v>361</v>
      </c>
      <c r="G947" s="26">
        <v>0</v>
      </c>
      <c r="H947" s="26">
        <v>350</v>
      </c>
      <c r="I947" s="26">
        <v>7521500</v>
      </c>
      <c r="J947" s="26">
        <v>34650000</v>
      </c>
    </row>
    <row r="948" spans="1:10">
      <c r="A948" s="24">
        <v>946</v>
      </c>
      <c r="B948" s="24">
        <f t="shared" si="15"/>
        <v>589</v>
      </c>
      <c r="C948" s="1" t="s">
        <v>1422</v>
      </c>
      <c r="D948" s="1" t="s">
        <v>8</v>
      </c>
      <c r="E948" s="1" t="s">
        <v>14</v>
      </c>
      <c r="F948" s="26">
        <v>236</v>
      </c>
      <c r="G948" s="26">
        <v>0</v>
      </c>
      <c r="H948" s="26">
        <v>250</v>
      </c>
      <c r="I948" s="26">
        <v>5372500</v>
      </c>
      <c r="J948" s="26">
        <v>24750000</v>
      </c>
    </row>
    <row r="949" spans="1:10">
      <c r="A949" s="24">
        <v>947</v>
      </c>
      <c r="B949" s="24">
        <f t="shared" si="15"/>
        <v>589</v>
      </c>
      <c r="C949" s="1" t="s">
        <v>1422</v>
      </c>
      <c r="D949" s="1" t="s">
        <v>9</v>
      </c>
      <c r="E949" s="1" t="s">
        <v>14</v>
      </c>
      <c r="F949" s="26">
        <v>208</v>
      </c>
      <c r="G949" s="26">
        <v>0</v>
      </c>
      <c r="H949" s="26">
        <v>200</v>
      </c>
      <c r="I949" s="26">
        <v>4298000</v>
      </c>
      <c r="J949" s="26">
        <v>19800000</v>
      </c>
    </row>
    <row r="950" spans="1:10">
      <c r="A950" s="24">
        <v>948</v>
      </c>
      <c r="B950" s="24">
        <f t="shared" si="15"/>
        <v>589</v>
      </c>
      <c r="C950" s="1" t="s">
        <v>1422</v>
      </c>
      <c r="D950" s="1" t="s">
        <v>10</v>
      </c>
      <c r="E950" s="1" t="s">
        <v>14</v>
      </c>
      <c r="F950" s="26">
        <v>209</v>
      </c>
      <c r="G950" s="26">
        <v>0</v>
      </c>
      <c r="H950" s="26">
        <v>200</v>
      </c>
      <c r="I950" s="26">
        <v>4298000</v>
      </c>
      <c r="J950" s="26">
        <v>19800000</v>
      </c>
    </row>
    <row r="951" spans="1:10">
      <c r="A951" s="24">
        <v>949</v>
      </c>
      <c r="B951" s="24">
        <f t="shared" si="15"/>
        <v>590</v>
      </c>
      <c r="C951" s="1" t="s">
        <v>775</v>
      </c>
      <c r="F951" s="26">
        <v>1223</v>
      </c>
      <c r="G951" s="26">
        <v>0</v>
      </c>
      <c r="H951" s="26">
        <v>1200</v>
      </c>
      <c r="I951" s="26">
        <v>25788000</v>
      </c>
      <c r="J951" s="26">
        <v>118800000</v>
      </c>
    </row>
    <row r="952" spans="1:10">
      <c r="A952" s="24">
        <v>950</v>
      </c>
      <c r="B952" s="24">
        <f t="shared" si="15"/>
        <v>591</v>
      </c>
      <c r="C952" s="1" t="s">
        <v>1272</v>
      </c>
      <c r="D952" s="1" t="s">
        <v>4</v>
      </c>
      <c r="E952" s="1" t="s">
        <v>14</v>
      </c>
      <c r="F952" s="26">
        <v>1200</v>
      </c>
      <c r="G952" s="26">
        <v>0</v>
      </c>
      <c r="H952" s="26">
        <v>1200</v>
      </c>
      <c r="I952" s="26">
        <v>5468532.0000000009</v>
      </c>
      <c r="J952" s="26">
        <v>54000000</v>
      </c>
    </row>
    <row r="953" spans="1:10">
      <c r="A953" s="24">
        <v>951</v>
      </c>
      <c r="B953" s="24">
        <f t="shared" si="15"/>
        <v>592</v>
      </c>
      <c r="C953" s="1" t="s">
        <v>1273</v>
      </c>
      <c r="D953" s="1" t="s">
        <v>4</v>
      </c>
      <c r="E953" s="1" t="s">
        <v>14</v>
      </c>
      <c r="F953" s="26">
        <v>1200</v>
      </c>
      <c r="G953" s="26">
        <v>0</v>
      </c>
      <c r="H953" s="26">
        <v>1200</v>
      </c>
      <c r="I953" s="26">
        <v>5378532.0000000009</v>
      </c>
      <c r="J953" s="26">
        <v>54000000</v>
      </c>
    </row>
    <row r="954" spans="1:10">
      <c r="A954" s="24">
        <v>952</v>
      </c>
      <c r="B954" s="24">
        <f t="shared" si="15"/>
        <v>593</v>
      </c>
      <c r="C954" s="1" t="s">
        <v>1274</v>
      </c>
      <c r="D954" s="1" t="s">
        <v>4</v>
      </c>
      <c r="E954" s="1" t="s">
        <v>14</v>
      </c>
      <c r="F954" s="26">
        <v>1000</v>
      </c>
      <c r="G954" s="26">
        <v>0</v>
      </c>
      <c r="H954" s="26">
        <v>1000</v>
      </c>
      <c r="I954" s="26">
        <v>4559460</v>
      </c>
      <c r="J954" s="26">
        <v>45000000</v>
      </c>
    </row>
    <row r="955" spans="1:10">
      <c r="A955" s="24">
        <v>953</v>
      </c>
      <c r="B955" s="24">
        <f t="shared" si="15"/>
        <v>594</v>
      </c>
      <c r="C955" s="1" t="s">
        <v>1275</v>
      </c>
      <c r="D955" s="1" t="s">
        <v>4</v>
      </c>
      <c r="E955" s="1" t="s">
        <v>14</v>
      </c>
      <c r="F955" s="26">
        <v>1000</v>
      </c>
      <c r="G955" s="26">
        <v>0</v>
      </c>
      <c r="H955" s="26">
        <v>1000</v>
      </c>
      <c r="I955" s="26">
        <v>4859460</v>
      </c>
      <c r="J955" s="26">
        <v>45000000</v>
      </c>
    </row>
    <row r="956" spans="1:10">
      <c r="A956" s="24">
        <v>954</v>
      </c>
      <c r="B956" s="24">
        <f t="shared" si="15"/>
        <v>595</v>
      </c>
      <c r="C956" s="1" t="s">
        <v>1276</v>
      </c>
      <c r="D956" s="1" t="s">
        <v>4</v>
      </c>
      <c r="E956" s="1" t="s">
        <v>14</v>
      </c>
      <c r="F956" s="26">
        <v>1000</v>
      </c>
      <c r="G956" s="26">
        <v>0</v>
      </c>
      <c r="H956" s="26">
        <v>1000</v>
      </c>
      <c r="I956" s="26">
        <v>4647710.0000000009</v>
      </c>
      <c r="J956" s="26">
        <v>45000000</v>
      </c>
    </row>
    <row r="957" spans="1:10">
      <c r="A957" s="24">
        <v>955</v>
      </c>
      <c r="B957" s="24">
        <f t="shared" si="15"/>
        <v>596</v>
      </c>
      <c r="C957" s="1" t="s">
        <v>1277</v>
      </c>
      <c r="D957" s="1" t="s">
        <v>4</v>
      </c>
      <c r="E957" s="1" t="s">
        <v>14</v>
      </c>
      <c r="F957" s="26">
        <v>1200</v>
      </c>
      <c r="G957" s="26">
        <v>0</v>
      </c>
      <c r="H957" s="26">
        <v>1200</v>
      </c>
      <c r="I957" s="26">
        <v>5441576.0000000056</v>
      </c>
      <c r="J957" s="26">
        <v>54000000</v>
      </c>
    </row>
    <row r="958" spans="1:10">
      <c r="A958" s="24">
        <v>956</v>
      </c>
      <c r="B958" s="24">
        <f t="shared" si="15"/>
        <v>597</v>
      </c>
      <c r="C958" s="1" t="s">
        <v>1278</v>
      </c>
      <c r="D958" s="1" t="s">
        <v>4</v>
      </c>
      <c r="E958" s="1" t="s">
        <v>14</v>
      </c>
      <c r="F958" s="26">
        <v>1000</v>
      </c>
      <c r="G958" s="26">
        <v>0</v>
      </c>
      <c r="H958" s="26">
        <v>1000</v>
      </c>
      <c r="I958" s="26">
        <v>5432980.0000000009</v>
      </c>
      <c r="J958" s="26">
        <v>45000000</v>
      </c>
    </row>
    <row r="959" spans="1:10">
      <c r="A959" s="24">
        <v>957</v>
      </c>
      <c r="B959" s="24">
        <f t="shared" si="15"/>
        <v>598</v>
      </c>
      <c r="C959" s="1" t="s">
        <v>1279</v>
      </c>
      <c r="D959" s="1" t="s">
        <v>4</v>
      </c>
      <c r="E959" s="1" t="s">
        <v>14</v>
      </c>
      <c r="F959" s="26">
        <v>999</v>
      </c>
      <c r="G959" s="26">
        <v>0</v>
      </c>
      <c r="H959" s="26">
        <v>1000</v>
      </c>
      <c r="I959" s="26">
        <v>4706730.0000000009</v>
      </c>
      <c r="J959" s="26">
        <v>45000000</v>
      </c>
    </row>
    <row r="960" spans="1:10">
      <c r="A960" s="24">
        <v>958</v>
      </c>
      <c r="B960" s="24">
        <f t="shared" si="15"/>
        <v>599</v>
      </c>
      <c r="C960" s="1" t="s">
        <v>1280</v>
      </c>
      <c r="D960" s="1" t="s">
        <v>4</v>
      </c>
      <c r="E960" s="1" t="s">
        <v>14</v>
      </c>
      <c r="F960" s="26">
        <v>1000</v>
      </c>
      <c r="G960" s="26">
        <v>0</v>
      </c>
      <c r="H960" s="26">
        <v>1000</v>
      </c>
      <c r="I960" s="26">
        <v>5070580.0000000009</v>
      </c>
      <c r="J960" s="26">
        <v>45000000</v>
      </c>
    </row>
    <row r="961" spans="1:10">
      <c r="A961" s="24">
        <v>959</v>
      </c>
      <c r="B961" s="24">
        <f t="shared" si="15"/>
        <v>600</v>
      </c>
      <c r="C961" s="1" t="s">
        <v>775</v>
      </c>
      <c r="F961" s="26">
        <v>9599</v>
      </c>
      <c r="G961" s="26">
        <v>0</v>
      </c>
      <c r="H961" s="26">
        <v>9600</v>
      </c>
      <c r="I961" s="26">
        <v>45565560.000000007</v>
      </c>
      <c r="J961" s="26">
        <v>432000000</v>
      </c>
    </row>
    <row r="962" spans="1:10">
      <c r="A962" s="24">
        <v>960</v>
      </c>
      <c r="B962" s="24">
        <f t="shared" si="15"/>
        <v>601</v>
      </c>
      <c r="C962" s="1" t="s">
        <v>1281</v>
      </c>
      <c r="D962" s="1" t="s">
        <v>4</v>
      </c>
      <c r="E962" s="1" t="s">
        <v>14</v>
      </c>
      <c r="F962" s="26">
        <v>1200</v>
      </c>
      <c r="G962" s="26">
        <v>0</v>
      </c>
      <c r="H962" s="26">
        <v>1200</v>
      </c>
      <c r="I962" s="26">
        <v>7319876.0000000009</v>
      </c>
      <c r="J962" s="26">
        <v>46800000</v>
      </c>
    </row>
    <row r="963" spans="1:10">
      <c r="A963" s="24">
        <v>961</v>
      </c>
      <c r="B963" s="24">
        <f t="shared" ref="B963:B1026" si="16">IF(C962=C963,B962,B962+1)</f>
        <v>602</v>
      </c>
      <c r="C963" s="1" t="s">
        <v>1282</v>
      </c>
      <c r="D963" s="1" t="s">
        <v>4</v>
      </c>
      <c r="E963" s="1" t="s">
        <v>14</v>
      </c>
      <c r="F963" s="26">
        <v>1199</v>
      </c>
      <c r="G963" s="26">
        <v>0</v>
      </c>
      <c r="H963" s="26">
        <v>1200</v>
      </c>
      <c r="I963" s="26">
        <v>6193692</v>
      </c>
      <c r="J963" s="26">
        <v>46800000</v>
      </c>
    </row>
    <row r="964" spans="1:10">
      <c r="A964" s="24">
        <v>962</v>
      </c>
      <c r="B964" s="24">
        <f t="shared" si="16"/>
        <v>603</v>
      </c>
      <c r="C964" s="1" t="s">
        <v>775</v>
      </c>
      <c r="F964" s="26">
        <v>2399</v>
      </c>
      <c r="G964" s="26">
        <v>0</v>
      </c>
      <c r="H964" s="26">
        <v>2400</v>
      </c>
      <c r="I964" s="26">
        <v>13513568</v>
      </c>
      <c r="J964" s="26">
        <v>93600000</v>
      </c>
    </row>
    <row r="965" spans="1:10">
      <c r="A965" s="24">
        <v>963</v>
      </c>
      <c r="B965" s="24">
        <f t="shared" si="16"/>
        <v>604</v>
      </c>
      <c r="C965" s="1" t="s">
        <v>1501</v>
      </c>
      <c r="D965" s="1" t="s">
        <v>4</v>
      </c>
      <c r="E965" s="1" t="s">
        <v>14</v>
      </c>
      <c r="F965" s="26">
        <v>400</v>
      </c>
      <c r="G965" s="26">
        <v>0</v>
      </c>
      <c r="H965" s="26">
        <v>400</v>
      </c>
      <c r="I965" s="26">
        <v>5301288.0000000009</v>
      </c>
      <c r="J965" s="26">
        <v>29200000</v>
      </c>
    </row>
    <row r="966" spans="1:10">
      <c r="A966" s="24">
        <v>964</v>
      </c>
      <c r="B966" s="24">
        <f t="shared" si="16"/>
        <v>605</v>
      </c>
      <c r="C966" s="1" t="s">
        <v>1502</v>
      </c>
      <c r="D966" s="1" t="s">
        <v>4</v>
      </c>
      <c r="E966" s="1" t="s">
        <v>14</v>
      </c>
      <c r="F966" s="26">
        <v>400</v>
      </c>
      <c r="G966" s="26">
        <v>0</v>
      </c>
      <c r="H966" s="26">
        <v>400</v>
      </c>
      <c r="I966" s="26">
        <v>5297408</v>
      </c>
      <c r="J966" s="26">
        <v>27600000</v>
      </c>
    </row>
    <row r="967" spans="1:10">
      <c r="A967" s="24">
        <v>965</v>
      </c>
      <c r="B967" s="24">
        <f t="shared" si="16"/>
        <v>606</v>
      </c>
      <c r="C967" s="1" t="s">
        <v>1503</v>
      </c>
      <c r="D967" s="1" t="s">
        <v>4</v>
      </c>
      <c r="E967" s="1" t="s">
        <v>14</v>
      </c>
      <c r="F967" s="26">
        <v>399</v>
      </c>
      <c r="G967" s="26">
        <v>0</v>
      </c>
      <c r="H967" s="26">
        <v>400</v>
      </c>
      <c r="I967" s="26">
        <v>3544072</v>
      </c>
      <c r="J967" s="26">
        <v>21200000</v>
      </c>
    </row>
    <row r="968" spans="1:10">
      <c r="A968" s="24">
        <v>966</v>
      </c>
      <c r="B968" s="24">
        <f t="shared" si="16"/>
        <v>607</v>
      </c>
      <c r="C968" s="1" t="s">
        <v>775</v>
      </c>
      <c r="F968" s="26">
        <v>1199</v>
      </c>
      <c r="G968" s="26">
        <v>0</v>
      </c>
      <c r="H968" s="26">
        <v>1200</v>
      </c>
      <c r="I968" s="26">
        <v>14142768</v>
      </c>
      <c r="J968" s="26">
        <v>78000000</v>
      </c>
    </row>
    <row r="969" spans="1:10">
      <c r="A969" s="24">
        <v>967</v>
      </c>
      <c r="B969" s="24">
        <f t="shared" si="16"/>
        <v>608</v>
      </c>
      <c r="C969" s="1" t="s">
        <v>1283</v>
      </c>
      <c r="D969" s="1" t="s">
        <v>4</v>
      </c>
      <c r="E969" s="1" t="s">
        <v>14</v>
      </c>
      <c r="F969" s="26">
        <v>1200</v>
      </c>
      <c r="G969" s="26">
        <v>0</v>
      </c>
      <c r="H969" s="26">
        <v>1200</v>
      </c>
      <c r="I969" s="26">
        <v>7307520</v>
      </c>
      <c r="J969" s="26">
        <v>58800000</v>
      </c>
    </row>
    <row r="970" spans="1:10">
      <c r="A970" s="24">
        <v>968</v>
      </c>
      <c r="B970" s="24">
        <f t="shared" si="16"/>
        <v>609</v>
      </c>
      <c r="C970" s="1" t="s">
        <v>1284</v>
      </c>
      <c r="D970" s="1" t="s">
        <v>2</v>
      </c>
      <c r="E970" s="1" t="s">
        <v>14</v>
      </c>
      <c r="F970" s="26">
        <v>1000</v>
      </c>
      <c r="G970" s="26">
        <v>0</v>
      </c>
      <c r="H970" s="26">
        <v>1000</v>
      </c>
      <c r="I970" s="26">
        <v>5271680</v>
      </c>
      <c r="J970" s="26">
        <v>45000000</v>
      </c>
    </row>
    <row r="971" spans="1:10">
      <c r="A971" s="24">
        <v>969</v>
      </c>
      <c r="B971" s="24">
        <f t="shared" si="16"/>
        <v>609</v>
      </c>
      <c r="C971" s="1" t="s">
        <v>1284</v>
      </c>
      <c r="D971" s="1" t="s">
        <v>3</v>
      </c>
      <c r="E971" s="1" t="s">
        <v>14</v>
      </c>
      <c r="F971" s="26">
        <v>500</v>
      </c>
      <c r="G971" s="26">
        <v>0</v>
      </c>
      <c r="H971" s="26">
        <v>500</v>
      </c>
      <c r="I971" s="26">
        <v>2635840</v>
      </c>
      <c r="J971" s="26">
        <v>22500000</v>
      </c>
    </row>
    <row r="972" spans="1:10">
      <c r="A972" s="24">
        <v>970</v>
      </c>
      <c r="B972" s="24">
        <f t="shared" si="16"/>
        <v>610</v>
      </c>
      <c r="C972" s="1" t="s">
        <v>1285</v>
      </c>
      <c r="D972" s="1" t="s">
        <v>2</v>
      </c>
      <c r="E972" s="1" t="s">
        <v>14</v>
      </c>
      <c r="F972" s="26">
        <v>1000</v>
      </c>
      <c r="G972" s="26">
        <v>0</v>
      </c>
      <c r="H972" s="26">
        <v>1000</v>
      </c>
      <c r="I972" s="26">
        <v>6419080.0000000009</v>
      </c>
      <c r="J972" s="26">
        <v>45000000</v>
      </c>
    </row>
    <row r="973" spans="1:10">
      <c r="A973" s="24">
        <v>971</v>
      </c>
      <c r="B973" s="24">
        <f t="shared" si="16"/>
        <v>610</v>
      </c>
      <c r="C973" s="1" t="s">
        <v>1285</v>
      </c>
      <c r="D973" s="1" t="s">
        <v>3</v>
      </c>
      <c r="E973" s="1" t="s">
        <v>14</v>
      </c>
      <c r="F973" s="26">
        <v>500</v>
      </c>
      <c r="G973" s="26">
        <v>0</v>
      </c>
      <c r="H973" s="26">
        <v>500</v>
      </c>
      <c r="I973" s="26">
        <v>3209540.0000000005</v>
      </c>
      <c r="J973" s="26">
        <v>22500000</v>
      </c>
    </row>
    <row r="974" spans="1:10">
      <c r="A974" s="24">
        <v>972</v>
      </c>
      <c r="B974" s="24">
        <f t="shared" si="16"/>
        <v>611</v>
      </c>
      <c r="C974" s="1" t="s">
        <v>1286</v>
      </c>
      <c r="D974" s="1" t="s">
        <v>4</v>
      </c>
      <c r="E974" s="1" t="s">
        <v>14</v>
      </c>
      <c r="F974" s="26">
        <v>1199</v>
      </c>
      <c r="G974" s="26">
        <v>0</v>
      </c>
      <c r="H974" s="26">
        <v>1200</v>
      </c>
      <c r="I974" s="26">
        <v>9524400</v>
      </c>
      <c r="J974" s="26">
        <v>70800000</v>
      </c>
    </row>
    <row r="975" spans="1:10">
      <c r="A975" s="24">
        <v>973</v>
      </c>
      <c r="B975" s="24">
        <f t="shared" si="16"/>
        <v>612</v>
      </c>
      <c r="C975" s="1" t="s">
        <v>1287</v>
      </c>
      <c r="D975" s="1" t="s">
        <v>2</v>
      </c>
      <c r="E975" s="1" t="s">
        <v>14</v>
      </c>
      <c r="F975" s="26">
        <v>800</v>
      </c>
      <c r="G975" s="26">
        <v>0</v>
      </c>
      <c r="H975" s="26">
        <v>800</v>
      </c>
      <c r="I975" s="26">
        <v>6294784.0000000009</v>
      </c>
      <c r="J975" s="26">
        <v>44000000</v>
      </c>
    </row>
    <row r="976" spans="1:10">
      <c r="A976" s="24">
        <v>974</v>
      </c>
      <c r="B976" s="24">
        <f t="shared" si="16"/>
        <v>612</v>
      </c>
      <c r="C976" s="1" t="s">
        <v>1287</v>
      </c>
      <c r="D976" s="1" t="s">
        <v>3</v>
      </c>
      <c r="E976" s="1" t="s">
        <v>14</v>
      </c>
      <c r="F976" s="26">
        <v>400</v>
      </c>
      <c r="G976" s="26">
        <v>0</v>
      </c>
      <c r="H976" s="26">
        <v>400</v>
      </c>
      <c r="I976" s="26">
        <v>3147392.0000000005</v>
      </c>
      <c r="J976" s="26">
        <v>22000000</v>
      </c>
    </row>
    <row r="977" spans="1:10">
      <c r="A977" s="24">
        <v>975</v>
      </c>
      <c r="B977" s="24">
        <f t="shared" si="16"/>
        <v>613</v>
      </c>
      <c r="C977" s="1" t="s">
        <v>775</v>
      </c>
      <c r="F977" s="26">
        <v>6599</v>
      </c>
      <c r="G977" s="26">
        <v>0</v>
      </c>
      <c r="H977" s="26">
        <v>6600</v>
      </c>
      <c r="I977" s="26">
        <v>43810236</v>
      </c>
      <c r="J977" s="26">
        <v>330600000</v>
      </c>
    </row>
    <row r="978" spans="1:10">
      <c r="A978" s="24">
        <v>976</v>
      </c>
      <c r="B978" s="24">
        <f t="shared" si="16"/>
        <v>614</v>
      </c>
      <c r="C978" s="1" t="s">
        <v>1288</v>
      </c>
      <c r="D978" s="1" t="s">
        <v>4</v>
      </c>
      <c r="E978" s="1" t="s">
        <v>14</v>
      </c>
      <c r="F978" s="26">
        <v>940</v>
      </c>
      <c r="G978" s="26">
        <v>0</v>
      </c>
      <c r="H978" s="26">
        <v>1000</v>
      </c>
      <c r="I978" s="26">
        <v>7112260</v>
      </c>
      <c r="J978" s="26">
        <v>53000000</v>
      </c>
    </row>
    <row r="979" spans="1:10">
      <c r="A979" s="24">
        <v>977</v>
      </c>
      <c r="B979" s="24">
        <f t="shared" si="16"/>
        <v>615</v>
      </c>
      <c r="C979" s="1" t="s">
        <v>1289</v>
      </c>
      <c r="D979" s="1" t="s">
        <v>2</v>
      </c>
      <c r="E979" s="1" t="s">
        <v>14</v>
      </c>
      <c r="F979" s="26">
        <v>539</v>
      </c>
      <c r="G979" s="26">
        <v>0</v>
      </c>
      <c r="H979" s="26">
        <v>600</v>
      </c>
      <c r="I979" s="26">
        <v>4375356</v>
      </c>
      <c r="J979" s="26">
        <v>29400000</v>
      </c>
    </row>
    <row r="980" spans="1:10">
      <c r="A980" s="24">
        <v>978</v>
      </c>
      <c r="B980" s="24">
        <f t="shared" si="16"/>
        <v>615</v>
      </c>
      <c r="C980" s="1" t="s">
        <v>1289</v>
      </c>
      <c r="D980" s="1" t="s">
        <v>3</v>
      </c>
      <c r="E980" s="1" t="s">
        <v>14</v>
      </c>
      <c r="F980" s="26">
        <v>396</v>
      </c>
      <c r="G980" s="26">
        <v>0</v>
      </c>
      <c r="H980" s="26">
        <v>400</v>
      </c>
      <c r="I980" s="26">
        <v>2916904</v>
      </c>
      <c r="J980" s="26">
        <v>19600000</v>
      </c>
    </row>
    <row r="981" spans="1:10">
      <c r="A981" s="24">
        <v>979</v>
      </c>
      <c r="B981" s="24">
        <f t="shared" si="16"/>
        <v>616</v>
      </c>
      <c r="C981" s="1" t="s">
        <v>1290</v>
      </c>
      <c r="D981" s="1" t="s">
        <v>4</v>
      </c>
      <c r="E981" s="1" t="s">
        <v>14</v>
      </c>
      <c r="F981" s="26">
        <v>954</v>
      </c>
      <c r="G981" s="26">
        <v>0</v>
      </c>
      <c r="H981" s="26">
        <v>1000</v>
      </c>
      <c r="I981" s="26">
        <v>7112260</v>
      </c>
      <c r="J981" s="26">
        <v>53000000</v>
      </c>
    </row>
    <row r="982" spans="1:10">
      <c r="A982" s="24">
        <v>980</v>
      </c>
      <c r="B982" s="24">
        <f t="shared" si="16"/>
        <v>617</v>
      </c>
      <c r="C982" s="1" t="s">
        <v>1291</v>
      </c>
      <c r="D982" s="1" t="s">
        <v>2</v>
      </c>
      <c r="E982" s="1" t="s">
        <v>14</v>
      </c>
      <c r="F982" s="26">
        <v>450</v>
      </c>
      <c r="G982" s="26">
        <v>0</v>
      </c>
      <c r="H982" s="26">
        <v>600</v>
      </c>
      <c r="I982" s="26">
        <v>4375356</v>
      </c>
      <c r="J982" s="26">
        <v>29400000</v>
      </c>
    </row>
    <row r="983" spans="1:10">
      <c r="A983" s="24">
        <v>981</v>
      </c>
      <c r="B983" s="24">
        <f t="shared" si="16"/>
        <v>617</v>
      </c>
      <c r="C983" s="1" t="s">
        <v>1291</v>
      </c>
      <c r="D983" s="1" t="s">
        <v>3</v>
      </c>
      <c r="E983" s="1" t="s">
        <v>14</v>
      </c>
      <c r="F983" s="26">
        <v>346</v>
      </c>
      <c r="G983" s="26">
        <v>0</v>
      </c>
      <c r="H983" s="26">
        <v>400</v>
      </c>
      <c r="I983" s="26">
        <v>2916904</v>
      </c>
      <c r="J983" s="26">
        <v>19600000</v>
      </c>
    </row>
    <row r="984" spans="1:10">
      <c r="A984" s="24">
        <v>982</v>
      </c>
      <c r="B984" s="24">
        <f t="shared" si="16"/>
        <v>618</v>
      </c>
      <c r="C984" s="1" t="s">
        <v>1292</v>
      </c>
      <c r="D984" s="1" t="s">
        <v>4</v>
      </c>
      <c r="E984" s="1" t="s">
        <v>14</v>
      </c>
      <c r="F984" s="26">
        <v>741</v>
      </c>
      <c r="G984" s="26">
        <v>0</v>
      </c>
      <c r="H984" s="26">
        <v>800</v>
      </c>
      <c r="I984" s="26">
        <v>8234504.0000000009</v>
      </c>
      <c r="J984" s="26">
        <v>47200000</v>
      </c>
    </row>
    <row r="985" spans="1:10">
      <c r="A985" s="24">
        <v>983</v>
      </c>
      <c r="B985" s="24">
        <f t="shared" si="16"/>
        <v>619</v>
      </c>
      <c r="C985" s="1" t="s">
        <v>1293</v>
      </c>
      <c r="D985" s="1" t="s">
        <v>2</v>
      </c>
      <c r="E985" s="1" t="s">
        <v>14</v>
      </c>
      <c r="F985" s="26">
        <v>566</v>
      </c>
      <c r="G985" s="26">
        <v>0</v>
      </c>
      <c r="H985" s="26">
        <v>600</v>
      </c>
      <c r="I985" s="26">
        <v>6283878.0000000009</v>
      </c>
      <c r="J985" s="26">
        <v>33000000</v>
      </c>
    </row>
    <row r="986" spans="1:10">
      <c r="A986" s="24">
        <v>984</v>
      </c>
      <c r="B986" s="24">
        <f t="shared" si="16"/>
        <v>619</v>
      </c>
      <c r="C986" s="1" t="s">
        <v>1293</v>
      </c>
      <c r="D986" s="1" t="s">
        <v>3</v>
      </c>
      <c r="E986" s="1" t="s">
        <v>14</v>
      </c>
      <c r="F986" s="26">
        <v>350</v>
      </c>
      <c r="G986" s="26">
        <v>0</v>
      </c>
      <c r="H986" s="26">
        <v>400</v>
      </c>
      <c r="I986" s="26">
        <v>4189252.0000000005</v>
      </c>
      <c r="J986" s="26">
        <v>22000000</v>
      </c>
    </row>
    <row r="987" spans="1:10">
      <c r="A987" s="24">
        <v>985</v>
      </c>
      <c r="B987" s="24">
        <f t="shared" si="16"/>
        <v>620</v>
      </c>
      <c r="C987" s="1" t="s">
        <v>1294</v>
      </c>
      <c r="D987" s="1" t="s">
        <v>2</v>
      </c>
      <c r="E987" s="1" t="s">
        <v>14</v>
      </c>
      <c r="F987" s="26">
        <v>498</v>
      </c>
      <c r="G987" s="26">
        <v>0</v>
      </c>
      <c r="H987" s="26">
        <v>500</v>
      </c>
      <c r="I987" s="26">
        <v>4519310</v>
      </c>
      <c r="J987" s="26">
        <v>27500000</v>
      </c>
    </row>
    <row r="988" spans="1:10">
      <c r="A988" s="24">
        <v>986</v>
      </c>
      <c r="B988" s="24">
        <f t="shared" si="16"/>
        <v>620</v>
      </c>
      <c r="C988" s="1" t="s">
        <v>1294</v>
      </c>
      <c r="D988" s="1" t="s">
        <v>3</v>
      </c>
      <c r="E988" s="1" t="s">
        <v>14</v>
      </c>
      <c r="F988" s="26">
        <v>293</v>
      </c>
      <c r="G988" s="26">
        <v>0</v>
      </c>
      <c r="H988" s="26">
        <v>300</v>
      </c>
      <c r="I988" s="26">
        <v>2711586.0000000005</v>
      </c>
      <c r="J988" s="26">
        <v>16500000</v>
      </c>
    </row>
    <row r="989" spans="1:10">
      <c r="A989" s="24">
        <v>987</v>
      </c>
      <c r="B989" s="24">
        <f t="shared" si="16"/>
        <v>621</v>
      </c>
      <c r="C989" s="1" t="s">
        <v>1295</v>
      </c>
      <c r="D989" s="1" t="s">
        <v>2</v>
      </c>
      <c r="E989" s="1" t="s">
        <v>14</v>
      </c>
      <c r="F989" s="26">
        <v>494</v>
      </c>
      <c r="G989" s="26">
        <v>0</v>
      </c>
      <c r="H989" s="26">
        <v>500</v>
      </c>
      <c r="I989" s="26">
        <v>4737605.0000000009</v>
      </c>
      <c r="J989" s="26">
        <v>27500000</v>
      </c>
    </row>
    <row r="990" spans="1:10">
      <c r="A990" s="24">
        <v>988</v>
      </c>
      <c r="B990" s="24">
        <f t="shared" si="16"/>
        <v>621</v>
      </c>
      <c r="C990" s="1" t="s">
        <v>1295</v>
      </c>
      <c r="D990" s="1" t="s">
        <v>3</v>
      </c>
      <c r="E990" s="1" t="s">
        <v>14</v>
      </c>
      <c r="F990" s="26">
        <v>305</v>
      </c>
      <c r="G990" s="26">
        <v>0</v>
      </c>
      <c r="H990" s="26">
        <v>300</v>
      </c>
      <c r="I990" s="26">
        <v>2842563.0000000005</v>
      </c>
      <c r="J990" s="26">
        <v>16500000</v>
      </c>
    </row>
    <row r="991" spans="1:10">
      <c r="A991" s="24">
        <v>989</v>
      </c>
      <c r="B991" s="24">
        <f t="shared" si="16"/>
        <v>622</v>
      </c>
      <c r="C991" s="1" t="s">
        <v>775</v>
      </c>
      <c r="F991" s="26">
        <v>6872</v>
      </c>
      <c r="G991" s="26">
        <v>0</v>
      </c>
      <c r="H991" s="26">
        <v>7400</v>
      </c>
      <c r="I991" s="26">
        <v>62327738</v>
      </c>
      <c r="J991" s="26">
        <v>394200000</v>
      </c>
    </row>
    <row r="992" spans="1:10">
      <c r="A992" s="24">
        <v>990</v>
      </c>
      <c r="B992" s="24">
        <f t="shared" si="16"/>
        <v>623</v>
      </c>
      <c r="C992" s="1" t="s">
        <v>1296</v>
      </c>
      <c r="D992" s="1" t="s">
        <v>2</v>
      </c>
      <c r="E992" s="1" t="s">
        <v>14</v>
      </c>
      <c r="F992" s="26">
        <v>1000</v>
      </c>
      <c r="G992" s="26">
        <v>0</v>
      </c>
      <c r="H992" s="26">
        <v>1000</v>
      </c>
      <c r="I992" s="26">
        <v>7872250.0000000009</v>
      </c>
      <c r="J992" s="26">
        <v>45000000</v>
      </c>
    </row>
    <row r="993" spans="1:10">
      <c r="A993" s="24">
        <v>991</v>
      </c>
      <c r="B993" s="24">
        <f t="shared" si="16"/>
        <v>623</v>
      </c>
      <c r="C993" s="1" t="s">
        <v>1296</v>
      </c>
      <c r="D993" s="1" t="s">
        <v>3</v>
      </c>
      <c r="E993" s="1" t="s">
        <v>14</v>
      </c>
      <c r="F993" s="26">
        <v>469</v>
      </c>
      <c r="G993" s="26">
        <v>0</v>
      </c>
      <c r="H993" s="26">
        <v>500</v>
      </c>
      <c r="I993" s="26">
        <v>3936125.0000000005</v>
      </c>
      <c r="J993" s="26">
        <v>22500000</v>
      </c>
    </row>
    <row r="994" spans="1:10">
      <c r="A994" s="24">
        <v>992</v>
      </c>
      <c r="B994" s="24">
        <f t="shared" si="16"/>
        <v>624</v>
      </c>
      <c r="C994" s="1" t="s">
        <v>1297</v>
      </c>
      <c r="D994" s="1" t="s">
        <v>2</v>
      </c>
      <c r="E994" s="1" t="s">
        <v>14</v>
      </c>
      <c r="F994" s="26">
        <v>1000</v>
      </c>
      <c r="G994" s="26">
        <v>0</v>
      </c>
      <c r="H994" s="26">
        <v>1000</v>
      </c>
      <c r="I994" s="26">
        <v>7872250.0000000009</v>
      </c>
      <c r="J994" s="26">
        <v>45000000</v>
      </c>
    </row>
    <row r="995" spans="1:10">
      <c r="A995" s="24">
        <v>993</v>
      </c>
      <c r="B995" s="24">
        <f t="shared" si="16"/>
        <v>624</v>
      </c>
      <c r="C995" s="1" t="s">
        <v>1297</v>
      </c>
      <c r="D995" s="1" t="s">
        <v>3</v>
      </c>
      <c r="E995" s="1" t="s">
        <v>14</v>
      </c>
      <c r="F995" s="26">
        <v>500</v>
      </c>
      <c r="G995" s="26">
        <v>0</v>
      </c>
      <c r="H995" s="26">
        <v>500</v>
      </c>
      <c r="I995" s="26">
        <v>3936125.0000000005</v>
      </c>
      <c r="J995" s="26">
        <v>22500000</v>
      </c>
    </row>
    <row r="996" spans="1:10">
      <c r="A996" s="24">
        <v>994</v>
      </c>
      <c r="B996" s="24">
        <f t="shared" si="16"/>
        <v>625</v>
      </c>
      <c r="C996" s="1" t="s">
        <v>1298</v>
      </c>
      <c r="D996" s="1" t="s">
        <v>2</v>
      </c>
      <c r="E996" s="1" t="s">
        <v>14</v>
      </c>
      <c r="F996" s="26">
        <v>800</v>
      </c>
      <c r="G996" s="26">
        <v>0</v>
      </c>
      <c r="H996" s="26">
        <v>800</v>
      </c>
      <c r="I996" s="26">
        <v>6621200</v>
      </c>
      <c r="J996" s="26">
        <v>36000000</v>
      </c>
    </row>
    <row r="997" spans="1:10">
      <c r="A997" s="24">
        <v>995</v>
      </c>
      <c r="B997" s="24">
        <f t="shared" si="16"/>
        <v>625</v>
      </c>
      <c r="C997" s="1" t="s">
        <v>1298</v>
      </c>
      <c r="D997" s="1" t="s">
        <v>3</v>
      </c>
      <c r="E997" s="1" t="s">
        <v>14</v>
      </c>
      <c r="F997" s="26">
        <v>400</v>
      </c>
      <c r="G997" s="26">
        <v>0</v>
      </c>
      <c r="H997" s="26">
        <v>400</v>
      </c>
      <c r="I997" s="26">
        <v>3310600</v>
      </c>
      <c r="J997" s="26">
        <v>18000000</v>
      </c>
    </row>
    <row r="998" spans="1:10">
      <c r="A998" s="24">
        <v>996</v>
      </c>
      <c r="B998" s="24">
        <f t="shared" si="16"/>
        <v>626</v>
      </c>
      <c r="C998" s="1" t="s">
        <v>1299</v>
      </c>
      <c r="D998" s="1" t="s">
        <v>2</v>
      </c>
      <c r="E998" s="1" t="s">
        <v>14</v>
      </c>
      <c r="F998" s="26">
        <v>800</v>
      </c>
      <c r="G998" s="26">
        <v>0</v>
      </c>
      <c r="H998" s="26">
        <v>800</v>
      </c>
      <c r="I998" s="26">
        <v>6621200</v>
      </c>
      <c r="J998" s="26">
        <v>36000000</v>
      </c>
    </row>
    <row r="999" spans="1:10">
      <c r="A999" s="24">
        <v>997</v>
      </c>
      <c r="B999" s="24">
        <f t="shared" si="16"/>
        <v>626</v>
      </c>
      <c r="C999" s="1" t="s">
        <v>1299</v>
      </c>
      <c r="D999" s="1" t="s">
        <v>3</v>
      </c>
      <c r="E999" s="1" t="s">
        <v>14</v>
      </c>
      <c r="F999" s="26">
        <v>400</v>
      </c>
      <c r="G999" s="26">
        <v>0</v>
      </c>
      <c r="H999" s="26">
        <v>400</v>
      </c>
      <c r="I999" s="26">
        <v>3310600</v>
      </c>
      <c r="J999" s="26">
        <v>18000000</v>
      </c>
    </row>
    <row r="1000" spans="1:10">
      <c r="A1000" s="24">
        <v>998</v>
      </c>
      <c r="B1000" s="24">
        <f t="shared" si="16"/>
        <v>627</v>
      </c>
      <c r="C1000" s="1" t="s">
        <v>775</v>
      </c>
      <c r="F1000" s="26">
        <v>5369</v>
      </c>
      <c r="G1000" s="26">
        <v>0</v>
      </c>
      <c r="H1000" s="26">
        <v>5400</v>
      </c>
      <c r="I1000" s="26">
        <v>43480350</v>
      </c>
      <c r="J1000" s="26">
        <v>243000000</v>
      </c>
    </row>
    <row r="1001" spans="1:10">
      <c r="A1001" s="24">
        <v>999</v>
      </c>
      <c r="B1001" s="24">
        <f t="shared" si="16"/>
        <v>628</v>
      </c>
      <c r="C1001" s="1" t="s">
        <v>1300</v>
      </c>
      <c r="D1001" s="1" t="s">
        <v>2</v>
      </c>
      <c r="E1001" s="1" t="s">
        <v>14</v>
      </c>
      <c r="F1001" s="26">
        <v>780</v>
      </c>
      <c r="G1001" s="26">
        <v>0</v>
      </c>
      <c r="H1001" s="26">
        <v>800</v>
      </c>
      <c r="I1001" s="26">
        <v>7822400</v>
      </c>
      <c r="J1001" s="26">
        <v>44000000</v>
      </c>
    </row>
    <row r="1002" spans="1:10">
      <c r="A1002" s="24">
        <v>1000</v>
      </c>
      <c r="B1002" s="24">
        <f t="shared" si="16"/>
        <v>628</v>
      </c>
      <c r="C1002" s="1" t="s">
        <v>1300</v>
      </c>
      <c r="D1002" s="1" t="s">
        <v>3</v>
      </c>
      <c r="E1002" s="1" t="s">
        <v>14</v>
      </c>
      <c r="F1002" s="26">
        <v>399</v>
      </c>
      <c r="G1002" s="26">
        <v>0</v>
      </c>
      <c r="H1002" s="26">
        <v>400</v>
      </c>
      <c r="I1002" s="26">
        <v>3911200</v>
      </c>
      <c r="J1002" s="26">
        <v>22000000</v>
      </c>
    </row>
    <row r="1003" spans="1:10">
      <c r="A1003" s="24">
        <v>1001</v>
      </c>
      <c r="B1003" s="24">
        <f t="shared" si="16"/>
        <v>629</v>
      </c>
      <c r="C1003" s="1" t="s">
        <v>775</v>
      </c>
      <c r="F1003" s="26">
        <v>1179</v>
      </c>
      <c r="G1003" s="26">
        <v>0</v>
      </c>
      <c r="H1003" s="26">
        <v>1200</v>
      </c>
      <c r="I1003" s="26">
        <v>11733600</v>
      </c>
      <c r="J1003" s="26">
        <v>66000000</v>
      </c>
    </row>
    <row r="1004" spans="1:10">
      <c r="A1004" s="24">
        <v>1002</v>
      </c>
      <c r="B1004" s="24">
        <f t="shared" si="16"/>
        <v>630</v>
      </c>
      <c r="C1004" s="1" t="s">
        <v>1301</v>
      </c>
      <c r="D1004" s="1" t="s">
        <v>1359</v>
      </c>
      <c r="E1004" s="1" t="s">
        <v>14</v>
      </c>
      <c r="F1004" s="26">
        <v>300</v>
      </c>
      <c r="G1004" s="26">
        <v>0</v>
      </c>
      <c r="H1004" s="26">
        <v>300</v>
      </c>
      <c r="I1004" s="26">
        <v>1166082.0000000002</v>
      </c>
      <c r="J1004" s="26">
        <v>12900000</v>
      </c>
    </row>
    <row r="1005" spans="1:10">
      <c r="A1005" s="24">
        <v>1003</v>
      </c>
      <c r="B1005" s="24">
        <f t="shared" si="16"/>
        <v>630</v>
      </c>
      <c r="C1005" s="1" t="s">
        <v>1301</v>
      </c>
      <c r="D1005" s="1" t="s">
        <v>2</v>
      </c>
      <c r="E1005" s="1" t="s">
        <v>14</v>
      </c>
      <c r="F1005" s="26">
        <v>450</v>
      </c>
      <c r="G1005" s="26">
        <v>0</v>
      </c>
      <c r="H1005" s="26">
        <v>450</v>
      </c>
      <c r="I1005" s="26">
        <v>1749123.0000000002</v>
      </c>
      <c r="J1005" s="26">
        <v>19350000</v>
      </c>
    </row>
    <row r="1006" spans="1:10">
      <c r="A1006" s="24">
        <v>1004</v>
      </c>
      <c r="B1006" s="24">
        <f t="shared" si="16"/>
        <v>630</v>
      </c>
      <c r="C1006" s="1" t="s">
        <v>1301</v>
      </c>
      <c r="D1006" s="1" t="s">
        <v>3</v>
      </c>
      <c r="E1006" s="1" t="s">
        <v>14</v>
      </c>
      <c r="F1006" s="26">
        <v>450</v>
      </c>
      <c r="G1006" s="26">
        <v>0</v>
      </c>
      <c r="H1006" s="26">
        <v>450</v>
      </c>
      <c r="I1006" s="26">
        <v>1749123.0000000002</v>
      </c>
      <c r="J1006" s="26">
        <v>19350000</v>
      </c>
    </row>
    <row r="1007" spans="1:10">
      <c r="A1007" s="24">
        <v>1005</v>
      </c>
      <c r="B1007" s="24">
        <f t="shared" si="16"/>
        <v>630</v>
      </c>
      <c r="C1007" s="1" t="s">
        <v>1301</v>
      </c>
      <c r="D1007" s="1" t="s">
        <v>5</v>
      </c>
      <c r="E1007" s="1" t="s">
        <v>14</v>
      </c>
      <c r="F1007" s="26">
        <v>300</v>
      </c>
      <c r="G1007" s="26">
        <v>0</v>
      </c>
      <c r="H1007" s="26">
        <v>300</v>
      </c>
      <c r="I1007" s="26">
        <v>1166082.0000000002</v>
      </c>
      <c r="J1007" s="26">
        <v>12900000</v>
      </c>
    </row>
    <row r="1008" spans="1:10">
      <c r="A1008" s="24">
        <v>1006</v>
      </c>
      <c r="B1008" s="24">
        <f t="shared" si="16"/>
        <v>631</v>
      </c>
      <c r="C1008" s="1" t="s">
        <v>1302</v>
      </c>
      <c r="D1008" s="1" t="s">
        <v>1359</v>
      </c>
      <c r="E1008" s="1" t="s">
        <v>14</v>
      </c>
      <c r="F1008" s="26">
        <v>250</v>
      </c>
      <c r="G1008" s="26">
        <v>0</v>
      </c>
      <c r="H1008" s="26">
        <v>250</v>
      </c>
      <c r="I1008" s="26">
        <v>1002920.0000000001</v>
      </c>
      <c r="J1008" s="26">
        <v>10750000</v>
      </c>
    </row>
    <row r="1009" spans="1:10">
      <c r="A1009" s="24">
        <v>1007</v>
      </c>
      <c r="B1009" s="24">
        <f t="shared" si="16"/>
        <v>631</v>
      </c>
      <c r="C1009" s="1" t="s">
        <v>1302</v>
      </c>
      <c r="D1009" s="1" t="s">
        <v>2</v>
      </c>
      <c r="E1009" s="1" t="s">
        <v>14</v>
      </c>
      <c r="F1009" s="26">
        <v>350</v>
      </c>
      <c r="G1009" s="26">
        <v>0</v>
      </c>
      <c r="H1009" s="26">
        <v>350</v>
      </c>
      <c r="I1009" s="26">
        <v>1404088</v>
      </c>
      <c r="J1009" s="26">
        <v>15050000</v>
      </c>
    </row>
    <row r="1010" spans="1:10">
      <c r="A1010" s="24">
        <v>1008</v>
      </c>
      <c r="B1010" s="24">
        <f t="shared" si="16"/>
        <v>631</v>
      </c>
      <c r="C1010" s="1" t="s">
        <v>1302</v>
      </c>
      <c r="D1010" s="1" t="s">
        <v>3</v>
      </c>
      <c r="E1010" s="1" t="s">
        <v>14</v>
      </c>
      <c r="F1010" s="26">
        <v>350</v>
      </c>
      <c r="G1010" s="26">
        <v>0</v>
      </c>
      <c r="H1010" s="26">
        <v>350</v>
      </c>
      <c r="I1010" s="26">
        <v>1404088</v>
      </c>
      <c r="J1010" s="26">
        <v>15050000</v>
      </c>
    </row>
    <row r="1011" spans="1:10">
      <c r="A1011" s="24">
        <v>1009</v>
      </c>
      <c r="B1011" s="24">
        <f t="shared" si="16"/>
        <v>631</v>
      </c>
      <c r="C1011" s="1" t="s">
        <v>1302</v>
      </c>
      <c r="D1011" s="1" t="s">
        <v>5</v>
      </c>
      <c r="E1011" s="1" t="s">
        <v>14</v>
      </c>
      <c r="F1011" s="26">
        <v>250</v>
      </c>
      <c r="G1011" s="26">
        <v>0</v>
      </c>
      <c r="H1011" s="26">
        <v>250</v>
      </c>
      <c r="I1011" s="26">
        <v>1002920.0000000001</v>
      </c>
      <c r="J1011" s="26">
        <v>10750000</v>
      </c>
    </row>
    <row r="1012" spans="1:10">
      <c r="A1012" s="24">
        <v>1010</v>
      </c>
      <c r="B1012" s="24">
        <f t="shared" si="16"/>
        <v>632</v>
      </c>
      <c r="C1012" s="1" t="s">
        <v>1303</v>
      </c>
      <c r="D1012" s="1" t="s">
        <v>1359</v>
      </c>
      <c r="E1012" s="1" t="s">
        <v>14</v>
      </c>
      <c r="F1012" s="26">
        <v>250</v>
      </c>
      <c r="G1012" s="26">
        <v>0</v>
      </c>
      <c r="H1012" s="26">
        <v>250</v>
      </c>
      <c r="I1012" s="26">
        <v>1002920.0000000001</v>
      </c>
      <c r="J1012" s="26">
        <v>10750000</v>
      </c>
    </row>
    <row r="1013" spans="1:10">
      <c r="A1013" s="24">
        <v>1011</v>
      </c>
      <c r="B1013" s="24">
        <f t="shared" si="16"/>
        <v>632</v>
      </c>
      <c r="C1013" s="1" t="s">
        <v>1303</v>
      </c>
      <c r="D1013" s="1" t="s">
        <v>2</v>
      </c>
      <c r="E1013" s="1" t="s">
        <v>14</v>
      </c>
      <c r="F1013" s="26">
        <v>349</v>
      </c>
      <c r="G1013" s="26">
        <v>0</v>
      </c>
      <c r="H1013" s="26">
        <v>350</v>
      </c>
      <c r="I1013" s="26">
        <v>1404088</v>
      </c>
      <c r="J1013" s="26">
        <v>15050000</v>
      </c>
    </row>
    <row r="1014" spans="1:10">
      <c r="A1014" s="24">
        <v>1012</v>
      </c>
      <c r="B1014" s="24">
        <f t="shared" si="16"/>
        <v>632</v>
      </c>
      <c r="C1014" s="1" t="s">
        <v>1303</v>
      </c>
      <c r="D1014" s="1" t="s">
        <v>3</v>
      </c>
      <c r="E1014" s="1" t="s">
        <v>14</v>
      </c>
      <c r="F1014" s="26">
        <v>350</v>
      </c>
      <c r="G1014" s="26">
        <v>0</v>
      </c>
      <c r="H1014" s="26">
        <v>350</v>
      </c>
      <c r="I1014" s="26">
        <v>1404088</v>
      </c>
      <c r="J1014" s="26">
        <v>15050000</v>
      </c>
    </row>
    <row r="1015" spans="1:10">
      <c r="A1015" s="24">
        <v>1013</v>
      </c>
      <c r="B1015" s="24">
        <f t="shared" si="16"/>
        <v>632</v>
      </c>
      <c r="C1015" s="1" t="s">
        <v>1303</v>
      </c>
      <c r="D1015" s="1" t="s">
        <v>5</v>
      </c>
      <c r="E1015" s="1" t="s">
        <v>14</v>
      </c>
      <c r="F1015" s="26">
        <v>250</v>
      </c>
      <c r="G1015" s="26">
        <v>0</v>
      </c>
      <c r="H1015" s="26">
        <v>250</v>
      </c>
      <c r="I1015" s="26">
        <v>1002920.0000000001</v>
      </c>
      <c r="J1015" s="26">
        <v>10750000</v>
      </c>
    </row>
    <row r="1016" spans="1:10">
      <c r="A1016" s="24">
        <v>1014</v>
      </c>
      <c r="B1016" s="24">
        <f t="shared" si="16"/>
        <v>633</v>
      </c>
      <c r="C1016" s="1" t="s">
        <v>1304</v>
      </c>
      <c r="D1016" s="1" t="s">
        <v>4</v>
      </c>
      <c r="E1016" s="1" t="s">
        <v>14</v>
      </c>
      <c r="F1016" s="26">
        <v>1496</v>
      </c>
      <c r="G1016" s="26">
        <v>0</v>
      </c>
      <c r="H1016" s="26">
        <v>1500</v>
      </c>
      <c r="I1016" s="26">
        <v>7046520</v>
      </c>
      <c r="J1016" s="26">
        <v>64500000</v>
      </c>
    </row>
    <row r="1017" spans="1:10">
      <c r="A1017" s="24">
        <v>1015</v>
      </c>
      <c r="B1017" s="24">
        <f t="shared" si="16"/>
        <v>634</v>
      </c>
      <c r="C1017" s="1" t="s">
        <v>1305</v>
      </c>
      <c r="D1017" s="1" t="s">
        <v>4</v>
      </c>
      <c r="E1017" s="1" t="s">
        <v>14</v>
      </c>
      <c r="F1017" s="26">
        <v>1499</v>
      </c>
      <c r="G1017" s="26">
        <v>0</v>
      </c>
      <c r="H1017" s="26">
        <v>1500</v>
      </c>
      <c r="I1017" s="26">
        <v>7140180</v>
      </c>
      <c r="J1017" s="26">
        <v>64500000</v>
      </c>
    </row>
    <row r="1018" spans="1:10">
      <c r="A1018" s="24">
        <v>1016</v>
      </c>
      <c r="B1018" s="24">
        <f t="shared" si="16"/>
        <v>635</v>
      </c>
      <c r="C1018" s="1" t="s">
        <v>775</v>
      </c>
      <c r="F1018" s="26">
        <v>6894</v>
      </c>
      <c r="G1018" s="26">
        <v>0</v>
      </c>
      <c r="H1018" s="26">
        <v>6900</v>
      </c>
      <c r="I1018" s="26">
        <v>29645142</v>
      </c>
      <c r="J1018" s="26">
        <v>296700000</v>
      </c>
    </row>
    <row r="1019" spans="1:10">
      <c r="A1019" s="24">
        <v>1017</v>
      </c>
      <c r="B1019" s="24">
        <f t="shared" si="16"/>
        <v>636</v>
      </c>
      <c r="C1019" s="1" t="s">
        <v>1306</v>
      </c>
      <c r="D1019" s="1" t="s">
        <v>4</v>
      </c>
      <c r="E1019" s="1" t="s">
        <v>14</v>
      </c>
      <c r="F1019" s="26">
        <v>1700</v>
      </c>
      <c r="G1019" s="26">
        <v>0</v>
      </c>
      <c r="H1019" s="26">
        <v>1200</v>
      </c>
      <c r="I1019" s="26">
        <v>7059336.0000000009</v>
      </c>
      <c r="J1019" s="26">
        <v>63600000</v>
      </c>
    </row>
    <row r="1020" spans="1:10">
      <c r="A1020" s="24">
        <v>1018</v>
      </c>
      <c r="B1020" s="24">
        <f t="shared" si="16"/>
        <v>637</v>
      </c>
      <c r="C1020" s="1" t="s">
        <v>1307</v>
      </c>
      <c r="D1020" s="1" t="s">
        <v>4</v>
      </c>
      <c r="E1020" s="1" t="s">
        <v>14</v>
      </c>
      <c r="F1020" s="26">
        <v>1200</v>
      </c>
      <c r="G1020" s="26">
        <v>0</v>
      </c>
      <c r="H1020" s="26">
        <v>1200</v>
      </c>
      <c r="I1020" s="26">
        <v>7209024.0000000009</v>
      </c>
      <c r="J1020" s="26">
        <v>63600000</v>
      </c>
    </row>
    <row r="1021" spans="1:10">
      <c r="A1021" s="24">
        <v>1019</v>
      </c>
      <c r="B1021" s="24">
        <f t="shared" si="16"/>
        <v>638</v>
      </c>
      <c r="C1021" s="1" t="s">
        <v>1308</v>
      </c>
      <c r="D1021" s="1" t="s">
        <v>4</v>
      </c>
      <c r="E1021" s="1" t="s">
        <v>14</v>
      </c>
      <c r="F1021" s="26">
        <v>1200</v>
      </c>
      <c r="G1021" s="26">
        <v>0</v>
      </c>
      <c r="H1021" s="26">
        <v>1200</v>
      </c>
      <c r="I1021" s="26">
        <v>7209024.0000000009</v>
      </c>
      <c r="J1021" s="26">
        <v>63600000</v>
      </c>
    </row>
    <row r="1022" spans="1:10">
      <c r="A1022" s="24">
        <v>1020</v>
      </c>
      <c r="B1022" s="24">
        <f t="shared" si="16"/>
        <v>639</v>
      </c>
      <c r="C1022" s="1" t="s">
        <v>1309</v>
      </c>
      <c r="D1022" s="1" t="s">
        <v>4</v>
      </c>
      <c r="E1022" s="1" t="s">
        <v>14</v>
      </c>
      <c r="F1022" s="26">
        <v>1000</v>
      </c>
      <c r="G1022" s="26">
        <v>0</v>
      </c>
      <c r="H1022" s="26">
        <v>1000</v>
      </c>
      <c r="I1022" s="26">
        <v>6506480.0000000009</v>
      </c>
      <c r="J1022" s="26">
        <v>53000000</v>
      </c>
    </row>
    <row r="1023" spans="1:10">
      <c r="A1023" s="24">
        <v>1021</v>
      </c>
      <c r="B1023" s="24">
        <f t="shared" si="16"/>
        <v>640</v>
      </c>
      <c r="C1023" s="1" t="s">
        <v>1310</v>
      </c>
      <c r="D1023" s="1" t="s">
        <v>2</v>
      </c>
      <c r="E1023" s="1" t="s">
        <v>14</v>
      </c>
      <c r="F1023" s="26">
        <v>700</v>
      </c>
      <c r="G1023" s="26">
        <v>0</v>
      </c>
      <c r="H1023" s="26">
        <v>700</v>
      </c>
      <c r="I1023" s="26">
        <v>4680536.0000000009</v>
      </c>
      <c r="J1023" s="26">
        <v>34300000</v>
      </c>
    </row>
    <row r="1024" spans="1:10">
      <c r="A1024" s="24">
        <v>1022</v>
      </c>
      <c r="B1024" s="24">
        <f t="shared" si="16"/>
        <v>640</v>
      </c>
      <c r="C1024" s="1" t="s">
        <v>1310</v>
      </c>
      <c r="D1024" s="1" t="s">
        <v>3</v>
      </c>
      <c r="E1024" s="1" t="s">
        <v>14</v>
      </c>
      <c r="F1024" s="26">
        <v>300</v>
      </c>
      <c r="G1024" s="26">
        <v>0</v>
      </c>
      <c r="H1024" s="26">
        <v>300</v>
      </c>
      <c r="I1024" s="26">
        <v>2005944.0000000005</v>
      </c>
      <c r="J1024" s="26">
        <v>14700000</v>
      </c>
    </row>
    <row r="1025" spans="1:10">
      <c r="A1025" s="24">
        <v>1023</v>
      </c>
      <c r="B1025" s="24">
        <f t="shared" si="16"/>
        <v>641</v>
      </c>
      <c r="C1025" s="1" t="s">
        <v>1311</v>
      </c>
      <c r="D1025" s="1" t="s">
        <v>4</v>
      </c>
      <c r="E1025" s="1" t="s">
        <v>14</v>
      </c>
      <c r="F1025" s="26">
        <v>998</v>
      </c>
      <c r="G1025" s="26">
        <v>0</v>
      </c>
      <c r="H1025" s="26">
        <v>1000</v>
      </c>
      <c r="I1025" s="26">
        <v>6506480.0000000009</v>
      </c>
      <c r="J1025" s="26">
        <v>53000000</v>
      </c>
    </row>
    <row r="1026" spans="1:10">
      <c r="A1026" s="24">
        <v>1024</v>
      </c>
      <c r="B1026" s="24">
        <f t="shared" si="16"/>
        <v>642</v>
      </c>
      <c r="C1026" s="1" t="s">
        <v>1312</v>
      </c>
      <c r="D1026" s="1" t="s">
        <v>2</v>
      </c>
      <c r="E1026" s="1" t="s">
        <v>14</v>
      </c>
      <c r="F1026" s="26">
        <v>700</v>
      </c>
      <c r="G1026" s="26">
        <v>0</v>
      </c>
      <c r="H1026" s="26">
        <v>700</v>
      </c>
      <c r="I1026" s="26">
        <v>4680536.0000000009</v>
      </c>
      <c r="J1026" s="26">
        <v>34300000</v>
      </c>
    </row>
    <row r="1027" spans="1:10">
      <c r="A1027" s="24">
        <v>1025</v>
      </c>
      <c r="B1027" s="24">
        <f t="shared" ref="B1027:B1057" si="17">IF(C1026=C1027,B1026,B1026+1)</f>
        <v>642</v>
      </c>
      <c r="C1027" s="1" t="s">
        <v>1312</v>
      </c>
      <c r="D1027" s="1" t="s">
        <v>3</v>
      </c>
      <c r="E1027" s="1" t="s">
        <v>14</v>
      </c>
      <c r="F1027" s="26">
        <v>300</v>
      </c>
      <c r="G1027" s="26">
        <v>0</v>
      </c>
      <c r="H1027" s="26">
        <v>300</v>
      </c>
      <c r="I1027" s="26">
        <v>2005944.0000000005</v>
      </c>
      <c r="J1027" s="26">
        <v>14700000</v>
      </c>
    </row>
    <row r="1028" spans="1:10">
      <c r="A1028" s="24">
        <v>1026</v>
      </c>
      <c r="B1028" s="24">
        <f t="shared" si="17"/>
        <v>643</v>
      </c>
      <c r="C1028" s="1" t="s">
        <v>1313</v>
      </c>
      <c r="D1028" s="1" t="s">
        <v>2</v>
      </c>
      <c r="E1028" s="1" t="s">
        <v>14</v>
      </c>
      <c r="F1028" s="26">
        <v>275</v>
      </c>
      <c r="G1028" s="26">
        <v>0</v>
      </c>
      <c r="H1028" s="26">
        <v>300</v>
      </c>
      <c r="I1028" s="26">
        <v>1889724.0000000002</v>
      </c>
      <c r="J1028" s="26">
        <v>15900000</v>
      </c>
    </row>
    <row r="1029" spans="1:10">
      <c r="A1029" s="24">
        <v>1027</v>
      </c>
      <c r="B1029" s="24">
        <f t="shared" si="17"/>
        <v>643</v>
      </c>
      <c r="C1029" s="1" t="s">
        <v>1313</v>
      </c>
      <c r="D1029" s="1" t="s">
        <v>3</v>
      </c>
      <c r="E1029" s="1" t="s">
        <v>14</v>
      </c>
      <c r="F1029" s="26">
        <v>400</v>
      </c>
      <c r="G1029" s="26">
        <v>0</v>
      </c>
      <c r="H1029" s="26">
        <v>400</v>
      </c>
      <c r="I1029" s="26">
        <v>2519632.0000000005</v>
      </c>
      <c r="J1029" s="26">
        <v>21200000</v>
      </c>
    </row>
    <row r="1030" spans="1:10">
      <c r="A1030" s="24">
        <v>1028</v>
      </c>
      <c r="B1030" s="24">
        <f t="shared" si="17"/>
        <v>643</v>
      </c>
      <c r="C1030" s="1" t="s">
        <v>1313</v>
      </c>
      <c r="D1030" s="1" t="s">
        <v>5</v>
      </c>
      <c r="E1030" s="1" t="s">
        <v>14</v>
      </c>
      <c r="F1030" s="26">
        <v>286</v>
      </c>
      <c r="G1030" s="26">
        <v>0</v>
      </c>
      <c r="H1030" s="26">
        <v>300</v>
      </c>
      <c r="I1030" s="26">
        <v>1889724.0000000002</v>
      </c>
      <c r="J1030" s="26">
        <v>15900000</v>
      </c>
    </row>
    <row r="1031" spans="1:10">
      <c r="A1031" s="24">
        <v>1029</v>
      </c>
      <c r="B1031" s="24">
        <f t="shared" si="17"/>
        <v>644</v>
      </c>
      <c r="C1031" s="1" t="s">
        <v>1314</v>
      </c>
      <c r="D1031" s="1" t="s">
        <v>2</v>
      </c>
      <c r="E1031" s="1" t="s">
        <v>14</v>
      </c>
      <c r="F1031" s="26">
        <v>300</v>
      </c>
      <c r="G1031" s="26">
        <v>0</v>
      </c>
      <c r="H1031" s="26">
        <v>300</v>
      </c>
      <c r="I1031" s="26">
        <v>1877100</v>
      </c>
      <c r="J1031" s="26">
        <v>15900000</v>
      </c>
    </row>
    <row r="1032" spans="1:10">
      <c r="A1032" s="24">
        <v>1030</v>
      </c>
      <c r="B1032" s="24">
        <f t="shared" si="17"/>
        <v>644</v>
      </c>
      <c r="C1032" s="1" t="s">
        <v>1314</v>
      </c>
      <c r="D1032" s="1" t="s">
        <v>3</v>
      </c>
      <c r="E1032" s="1" t="s">
        <v>14</v>
      </c>
      <c r="F1032" s="26">
        <v>400</v>
      </c>
      <c r="G1032" s="26">
        <v>0</v>
      </c>
      <c r="H1032" s="26">
        <v>400</v>
      </c>
      <c r="I1032" s="26">
        <v>2502800</v>
      </c>
      <c r="J1032" s="26">
        <v>21200000</v>
      </c>
    </row>
    <row r="1033" spans="1:10">
      <c r="A1033" s="24">
        <v>1031</v>
      </c>
      <c r="B1033" s="24">
        <f t="shared" si="17"/>
        <v>644</v>
      </c>
      <c r="C1033" s="1" t="s">
        <v>1314</v>
      </c>
      <c r="D1033" s="1" t="s">
        <v>5</v>
      </c>
      <c r="E1033" s="1" t="s">
        <v>14</v>
      </c>
      <c r="F1033" s="26">
        <v>290</v>
      </c>
      <c r="G1033" s="26">
        <v>0</v>
      </c>
      <c r="H1033" s="26">
        <v>300</v>
      </c>
      <c r="I1033" s="26">
        <v>1877100</v>
      </c>
      <c r="J1033" s="26">
        <v>15900000</v>
      </c>
    </row>
    <row r="1034" spans="1:10">
      <c r="A1034" s="24">
        <v>1032</v>
      </c>
      <c r="B1034" s="24">
        <f t="shared" si="17"/>
        <v>645</v>
      </c>
      <c r="C1034" s="1" t="s">
        <v>1315</v>
      </c>
      <c r="D1034" s="1" t="s">
        <v>2</v>
      </c>
      <c r="E1034" s="1" t="s">
        <v>14</v>
      </c>
      <c r="F1034" s="26">
        <v>360</v>
      </c>
      <c r="G1034" s="26">
        <v>0</v>
      </c>
      <c r="H1034" s="26">
        <v>600</v>
      </c>
      <c r="I1034" s="26">
        <v>3978732.0000000009</v>
      </c>
      <c r="J1034" s="26">
        <v>31800000</v>
      </c>
    </row>
    <row r="1035" spans="1:10">
      <c r="A1035" s="24">
        <v>1033</v>
      </c>
      <c r="B1035" s="24">
        <f t="shared" si="17"/>
        <v>645</v>
      </c>
      <c r="C1035" s="1" t="s">
        <v>1315</v>
      </c>
      <c r="D1035" s="1" t="s">
        <v>3</v>
      </c>
      <c r="E1035" s="1" t="s">
        <v>14</v>
      </c>
      <c r="F1035" s="26">
        <v>840</v>
      </c>
      <c r="G1035" s="26">
        <v>0</v>
      </c>
      <c r="H1035" s="26">
        <v>600</v>
      </c>
      <c r="I1035" s="26">
        <v>3978732.0000000009</v>
      </c>
      <c r="J1035" s="26">
        <v>31800000</v>
      </c>
    </row>
    <row r="1036" spans="1:10">
      <c r="A1036" s="24">
        <v>1034</v>
      </c>
      <c r="B1036" s="24">
        <f t="shared" si="17"/>
        <v>646</v>
      </c>
      <c r="C1036" s="1" t="s">
        <v>775</v>
      </c>
      <c r="F1036" s="26">
        <v>11249</v>
      </c>
      <c r="G1036" s="26">
        <v>0</v>
      </c>
      <c r="H1036" s="26">
        <v>10800</v>
      </c>
      <c r="I1036" s="26">
        <v>68376848.000000015</v>
      </c>
      <c r="J1036" s="26">
        <v>564400000</v>
      </c>
    </row>
    <row r="1037" spans="1:10">
      <c r="A1037" s="24">
        <v>1035</v>
      </c>
      <c r="B1037" s="24">
        <f t="shared" si="17"/>
        <v>647</v>
      </c>
      <c r="C1037" s="1" t="s">
        <v>1316</v>
      </c>
      <c r="D1037" s="1" t="s">
        <v>4</v>
      </c>
      <c r="E1037" s="1" t="s">
        <v>14</v>
      </c>
      <c r="F1037" s="26">
        <v>1158</v>
      </c>
      <c r="G1037" s="26">
        <v>0</v>
      </c>
      <c r="H1037" s="26">
        <v>1200</v>
      </c>
      <c r="I1037" s="26">
        <v>7807776.0000000019</v>
      </c>
      <c r="J1037" s="26">
        <v>54000000</v>
      </c>
    </row>
    <row r="1038" spans="1:10">
      <c r="A1038" s="24">
        <v>1036</v>
      </c>
      <c r="B1038" s="24">
        <f t="shared" si="17"/>
        <v>648</v>
      </c>
      <c r="C1038" s="1" t="s">
        <v>1317</v>
      </c>
      <c r="D1038" s="1" t="s">
        <v>2</v>
      </c>
      <c r="E1038" s="1" t="s">
        <v>14</v>
      </c>
      <c r="F1038" s="26">
        <v>766</v>
      </c>
      <c r="G1038" s="26">
        <v>0</v>
      </c>
      <c r="H1038" s="26">
        <v>800</v>
      </c>
      <c r="I1038" s="26">
        <v>5349184.0000000009</v>
      </c>
      <c r="J1038" s="26">
        <v>34400000</v>
      </c>
    </row>
    <row r="1039" spans="1:10">
      <c r="A1039" s="24">
        <v>1037</v>
      </c>
      <c r="B1039" s="24">
        <f t="shared" si="17"/>
        <v>648</v>
      </c>
      <c r="C1039" s="1" t="s">
        <v>1317</v>
      </c>
      <c r="D1039" s="1" t="s">
        <v>3</v>
      </c>
      <c r="E1039" s="1" t="s">
        <v>14</v>
      </c>
      <c r="F1039" s="26">
        <v>409</v>
      </c>
      <c r="G1039" s="26">
        <v>0</v>
      </c>
      <c r="H1039" s="26">
        <v>400</v>
      </c>
      <c r="I1039" s="26">
        <v>2674592.0000000005</v>
      </c>
      <c r="J1039" s="26">
        <v>17200000</v>
      </c>
    </row>
    <row r="1040" spans="1:10">
      <c r="A1040" s="24">
        <v>1038</v>
      </c>
      <c r="B1040" s="24">
        <f t="shared" si="17"/>
        <v>649</v>
      </c>
      <c r="C1040" s="1" t="s">
        <v>1318</v>
      </c>
      <c r="D1040" s="1" t="s">
        <v>4</v>
      </c>
      <c r="E1040" s="1" t="s">
        <v>14</v>
      </c>
      <c r="F1040" s="26">
        <v>1003</v>
      </c>
      <c r="G1040" s="26">
        <v>0</v>
      </c>
      <c r="H1040" s="26">
        <v>1000</v>
      </c>
      <c r="I1040" s="26">
        <v>5945150</v>
      </c>
      <c r="J1040" s="26">
        <v>35000000</v>
      </c>
    </row>
    <row r="1041" spans="1:10">
      <c r="A1041" s="24">
        <v>1039</v>
      </c>
      <c r="B1041" s="24">
        <f t="shared" si="17"/>
        <v>650</v>
      </c>
      <c r="C1041" s="1" t="s">
        <v>775</v>
      </c>
      <c r="F1041" s="26">
        <v>3336</v>
      </c>
      <c r="G1041" s="26">
        <v>0</v>
      </c>
      <c r="H1041" s="26">
        <v>3400</v>
      </c>
      <c r="I1041" s="26">
        <v>21776702.000000004</v>
      </c>
      <c r="J1041" s="26">
        <v>140600000</v>
      </c>
    </row>
    <row r="1042" spans="1:10">
      <c r="A1042" s="24">
        <v>1040</v>
      </c>
      <c r="B1042" s="24">
        <f t="shared" si="17"/>
        <v>651</v>
      </c>
      <c r="C1042" s="1" t="s">
        <v>1319</v>
      </c>
      <c r="D1042" s="1" t="s">
        <v>4</v>
      </c>
      <c r="E1042" s="1" t="s">
        <v>14</v>
      </c>
      <c r="F1042" s="26">
        <v>743</v>
      </c>
      <c r="G1042" s="26">
        <v>0</v>
      </c>
      <c r="H1042" s="26">
        <v>800</v>
      </c>
      <c r="I1042" s="26">
        <v>7391512.0000000009</v>
      </c>
      <c r="J1042" s="26">
        <v>42400000</v>
      </c>
    </row>
    <row r="1043" spans="1:10">
      <c r="A1043" s="24">
        <v>1041</v>
      </c>
      <c r="B1043" s="24">
        <f t="shared" si="17"/>
        <v>652</v>
      </c>
      <c r="C1043" s="1" t="s">
        <v>1320</v>
      </c>
      <c r="D1043" s="1" t="s">
        <v>4</v>
      </c>
      <c r="E1043" s="1" t="s">
        <v>14</v>
      </c>
      <c r="F1043" s="26">
        <v>742</v>
      </c>
      <c r="G1043" s="26">
        <v>0</v>
      </c>
      <c r="H1043" s="26">
        <v>800</v>
      </c>
      <c r="I1043" s="26">
        <v>7151128</v>
      </c>
      <c r="J1043" s="26">
        <v>39200000</v>
      </c>
    </row>
    <row r="1044" spans="1:10">
      <c r="A1044" s="24">
        <v>1042</v>
      </c>
      <c r="B1044" s="24">
        <f t="shared" si="17"/>
        <v>653</v>
      </c>
      <c r="C1044" s="1" t="s">
        <v>1321</v>
      </c>
      <c r="D1044" s="1" t="s">
        <v>2</v>
      </c>
      <c r="E1044" s="1" t="s">
        <v>14</v>
      </c>
      <c r="F1044" s="26">
        <v>612</v>
      </c>
      <c r="G1044" s="26">
        <v>0</v>
      </c>
      <c r="H1044" s="26">
        <v>700</v>
      </c>
      <c r="I1044" s="26">
        <v>6164942.0000000009</v>
      </c>
      <c r="J1044" s="26">
        <v>31500000</v>
      </c>
    </row>
    <row r="1045" spans="1:10">
      <c r="A1045" s="24">
        <v>1043</v>
      </c>
      <c r="B1045" s="24">
        <f t="shared" si="17"/>
        <v>653</v>
      </c>
      <c r="C1045" s="1" t="s">
        <v>1321</v>
      </c>
      <c r="D1045" s="1" t="s">
        <v>3</v>
      </c>
      <c r="E1045" s="1" t="s">
        <v>14</v>
      </c>
      <c r="F1045" s="26">
        <v>284</v>
      </c>
      <c r="G1045" s="26">
        <v>0</v>
      </c>
      <c r="H1045" s="26">
        <v>300</v>
      </c>
      <c r="I1045" s="26">
        <v>2642118.0000000005</v>
      </c>
      <c r="J1045" s="26">
        <v>13500000</v>
      </c>
    </row>
    <row r="1046" spans="1:10">
      <c r="A1046" s="24">
        <v>1044</v>
      </c>
      <c r="B1046" s="24">
        <f t="shared" si="17"/>
        <v>654</v>
      </c>
      <c r="C1046" s="1" t="s">
        <v>1322</v>
      </c>
      <c r="D1046" s="1" t="s">
        <v>4</v>
      </c>
      <c r="E1046" s="1" t="s">
        <v>14</v>
      </c>
      <c r="F1046" s="26">
        <v>991</v>
      </c>
      <c r="G1046" s="26">
        <v>0</v>
      </c>
      <c r="H1046" s="26">
        <v>1000</v>
      </c>
      <c r="I1046" s="26">
        <v>8190470</v>
      </c>
      <c r="J1046" s="26">
        <v>49000000</v>
      </c>
    </row>
    <row r="1047" spans="1:10">
      <c r="A1047" s="24">
        <v>1045</v>
      </c>
      <c r="B1047" s="24">
        <f t="shared" si="17"/>
        <v>655</v>
      </c>
      <c r="C1047" s="1" t="s">
        <v>775</v>
      </c>
      <c r="F1047" s="26">
        <v>3372</v>
      </c>
      <c r="G1047" s="26">
        <v>0</v>
      </c>
      <c r="H1047" s="26">
        <v>3600</v>
      </c>
      <c r="I1047" s="26">
        <v>31540170</v>
      </c>
      <c r="J1047" s="26">
        <v>175600000</v>
      </c>
    </row>
    <row r="1048" spans="1:10">
      <c r="A1048" s="24">
        <v>1046</v>
      </c>
      <c r="B1048" s="24">
        <f t="shared" si="17"/>
        <v>656</v>
      </c>
      <c r="C1048" s="1" t="s">
        <v>1323</v>
      </c>
      <c r="D1048" s="1" t="s">
        <v>4</v>
      </c>
      <c r="E1048" s="1" t="s">
        <v>14</v>
      </c>
      <c r="F1048" s="26">
        <v>1500</v>
      </c>
      <c r="G1048" s="26">
        <v>0</v>
      </c>
      <c r="H1048" s="26">
        <v>1500</v>
      </c>
      <c r="I1048" s="26">
        <v>10511625</v>
      </c>
      <c r="J1048" s="26">
        <v>64500000</v>
      </c>
    </row>
    <row r="1049" spans="1:10">
      <c r="A1049" s="24">
        <v>1047</v>
      </c>
      <c r="B1049" s="24">
        <f t="shared" si="17"/>
        <v>657</v>
      </c>
      <c r="C1049" s="1" t="s">
        <v>1324</v>
      </c>
      <c r="D1049" s="1" t="s">
        <v>4</v>
      </c>
      <c r="E1049" s="1" t="s">
        <v>14</v>
      </c>
      <c r="F1049" s="26">
        <v>1500</v>
      </c>
      <c r="G1049" s="26">
        <v>0</v>
      </c>
      <c r="H1049" s="26">
        <v>1500</v>
      </c>
      <c r="I1049" s="26">
        <v>10684875.000000002</v>
      </c>
      <c r="J1049" s="26">
        <v>64500000</v>
      </c>
    </row>
    <row r="1050" spans="1:10">
      <c r="A1050" s="24">
        <v>1048</v>
      </c>
      <c r="B1050" s="24">
        <f t="shared" si="17"/>
        <v>658</v>
      </c>
      <c r="C1050" s="1" t="s">
        <v>1325</v>
      </c>
      <c r="D1050" s="1" t="s">
        <v>1359</v>
      </c>
      <c r="E1050" s="1" t="s">
        <v>14</v>
      </c>
      <c r="F1050" s="26">
        <v>250</v>
      </c>
      <c r="G1050" s="26">
        <v>0</v>
      </c>
      <c r="H1050" s="26">
        <v>250</v>
      </c>
      <c r="I1050" s="26">
        <v>1694187.5</v>
      </c>
      <c r="J1050" s="26">
        <v>10750000</v>
      </c>
    </row>
    <row r="1051" spans="1:10">
      <c r="A1051" s="24">
        <v>1049</v>
      </c>
      <c r="B1051" s="24">
        <f t="shared" si="17"/>
        <v>658</v>
      </c>
      <c r="C1051" s="1" t="s">
        <v>1325</v>
      </c>
      <c r="D1051" s="1" t="s">
        <v>2</v>
      </c>
      <c r="E1051" s="1" t="s">
        <v>14</v>
      </c>
      <c r="F1051" s="26">
        <v>350</v>
      </c>
      <c r="G1051" s="26">
        <v>0</v>
      </c>
      <c r="H1051" s="26">
        <v>350</v>
      </c>
      <c r="I1051" s="26">
        <v>2371862.5</v>
      </c>
      <c r="J1051" s="26">
        <v>15050000</v>
      </c>
    </row>
    <row r="1052" spans="1:10">
      <c r="A1052" s="24">
        <v>1050</v>
      </c>
      <c r="B1052" s="24">
        <f t="shared" si="17"/>
        <v>658</v>
      </c>
      <c r="C1052" s="1" t="s">
        <v>1325</v>
      </c>
      <c r="D1052" s="1" t="s">
        <v>3</v>
      </c>
      <c r="E1052" s="1" t="s">
        <v>14</v>
      </c>
      <c r="F1052" s="26">
        <v>350</v>
      </c>
      <c r="G1052" s="26">
        <v>0</v>
      </c>
      <c r="H1052" s="26">
        <v>350</v>
      </c>
      <c r="I1052" s="26">
        <v>2371862.5</v>
      </c>
      <c r="J1052" s="26">
        <v>15050000</v>
      </c>
    </row>
    <row r="1053" spans="1:10">
      <c r="A1053" s="24">
        <v>1051</v>
      </c>
      <c r="B1053" s="24">
        <f t="shared" si="17"/>
        <v>658</v>
      </c>
      <c r="C1053" s="1" t="s">
        <v>1325</v>
      </c>
      <c r="D1053" s="1" t="s">
        <v>5</v>
      </c>
      <c r="E1053" s="1" t="s">
        <v>14</v>
      </c>
      <c r="F1053" s="26">
        <v>250</v>
      </c>
      <c r="G1053" s="26">
        <v>0</v>
      </c>
      <c r="H1053" s="26">
        <v>250</v>
      </c>
      <c r="I1053" s="26">
        <v>1694187.5</v>
      </c>
      <c r="J1053" s="26">
        <v>10750000</v>
      </c>
    </row>
    <row r="1054" spans="1:10">
      <c r="A1054" s="24">
        <v>1052</v>
      </c>
      <c r="B1054" s="24">
        <f t="shared" si="17"/>
        <v>659</v>
      </c>
      <c r="C1054" s="1" t="s">
        <v>1326</v>
      </c>
      <c r="D1054" s="1" t="s">
        <v>1359</v>
      </c>
      <c r="E1054" s="1" t="s">
        <v>14</v>
      </c>
      <c r="F1054" s="26">
        <v>250</v>
      </c>
      <c r="G1054" s="26">
        <v>0</v>
      </c>
      <c r="H1054" s="26">
        <v>250</v>
      </c>
      <c r="I1054" s="26">
        <v>1694187.5</v>
      </c>
      <c r="J1054" s="26">
        <v>10750000</v>
      </c>
    </row>
    <row r="1055" spans="1:10">
      <c r="A1055" s="24">
        <v>1053</v>
      </c>
      <c r="B1055" s="24">
        <f t="shared" si="17"/>
        <v>659</v>
      </c>
      <c r="C1055" s="1" t="s">
        <v>1326</v>
      </c>
      <c r="D1055" s="1" t="s">
        <v>2</v>
      </c>
      <c r="E1055" s="1" t="s">
        <v>14</v>
      </c>
      <c r="F1055" s="26">
        <v>350</v>
      </c>
      <c r="G1055" s="26">
        <v>0</v>
      </c>
      <c r="H1055" s="26">
        <v>350</v>
      </c>
      <c r="I1055" s="26">
        <v>2371862.5</v>
      </c>
      <c r="J1055" s="26">
        <v>15050000</v>
      </c>
    </row>
    <row r="1056" spans="1:10">
      <c r="A1056" s="24">
        <v>1054</v>
      </c>
      <c r="B1056" s="24">
        <f t="shared" si="17"/>
        <v>659</v>
      </c>
      <c r="C1056" s="1" t="s">
        <v>1326</v>
      </c>
      <c r="D1056" s="1" t="s">
        <v>3</v>
      </c>
      <c r="E1056" s="1" t="s">
        <v>14</v>
      </c>
      <c r="F1056" s="26">
        <v>350</v>
      </c>
      <c r="G1056" s="26">
        <v>0</v>
      </c>
      <c r="H1056" s="26">
        <v>350</v>
      </c>
      <c r="I1056" s="26">
        <v>2371862.5</v>
      </c>
      <c r="J1056" s="26">
        <v>15050000</v>
      </c>
    </row>
    <row r="1057" spans="1:10">
      <c r="A1057" s="24">
        <v>1055</v>
      </c>
      <c r="B1057" s="24">
        <f t="shared" si="17"/>
        <v>659</v>
      </c>
      <c r="C1057" s="1" t="s">
        <v>1326</v>
      </c>
      <c r="D1057" s="1" t="s">
        <v>5</v>
      </c>
      <c r="E1057" s="1" t="s">
        <v>14</v>
      </c>
      <c r="F1057" s="26">
        <v>241</v>
      </c>
      <c r="G1057" s="26">
        <v>0</v>
      </c>
      <c r="H1057" s="26">
        <v>250</v>
      </c>
      <c r="I1057" s="26">
        <v>1694187.5</v>
      </c>
      <c r="J1057" s="26">
        <v>10750000</v>
      </c>
    </row>
    <row r="1058" spans="1:10">
      <c r="A1058" s="24">
        <v>1056</v>
      </c>
      <c r="B1058" s="24">
        <f t="shared" ref="B1058:B1121" si="18">IF(C1057=C1058,B1057,B1057+1)</f>
        <v>660</v>
      </c>
      <c r="C1058" s="1" t="s">
        <v>775</v>
      </c>
      <c r="F1058" s="26">
        <v>5391</v>
      </c>
      <c r="G1058" s="26">
        <v>0</v>
      </c>
      <c r="H1058" s="26">
        <v>5400</v>
      </c>
      <c r="I1058" s="26">
        <v>37460700</v>
      </c>
      <c r="J1058" s="26">
        <v>232200000</v>
      </c>
    </row>
    <row r="1059" spans="1:10">
      <c r="A1059" s="24">
        <v>1057</v>
      </c>
      <c r="B1059" s="24">
        <f t="shared" si="18"/>
        <v>661</v>
      </c>
      <c r="C1059" s="1" t="s">
        <v>1327</v>
      </c>
      <c r="D1059" s="1" t="s">
        <v>4</v>
      </c>
      <c r="E1059" s="1" t="s">
        <v>14</v>
      </c>
      <c r="F1059" s="26">
        <v>1200</v>
      </c>
      <c r="G1059" s="26">
        <v>0</v>
      </c>
      <c r="H1059" s="26">
        <v>1200</v>
      </c>
      <c r="I1059" s="26">
        <v>10488300</v>
      </c>
      <c r="J1059" s="26">
        <v>63600000</v>
      </c>
    </row>
    <row r="1060" spans="1:10">
      <c r="A1060" s="24">
        <v>1058</v>
      </c>
      <c r="B1060" s="24">
        <f t="shared" si="18"/>
        <v>662</v>
      </c>
      <c r="C1060" s="1" t="s">
        <v>775</v>
      </c>
      <c r="F1060" s="26">
        <v>1200</v>
      </c>
      <c r="G1060" s="26">
        <v>0</v>
      </c>
      <c r="H1060" s="26">
        <v>1200</v>
      </c>
      <c r="I1060" s="26">
        <v>10488300</v>
      </c>
      <c r="J1060" s="26">
        <v>63600000</v>
      </c>
    </row>
    <row r="1061" spans="1:10">
      <c r="A1061" s="24">
        <v>1059</v>
      </c>
      <c r="B1061" s="24">
        <f t="shared" si="18"/>
        <v>663</v>
      </c>
      <c r="C1061" s="1" t="s">
        <v>1328</v>
      </c>
      <c r="D1061" s="1" t="s">
        <v>2</v>
      </c>
      <c r="E1061" s="1" t="s">
        <v>14</v>
      </c>
      <c r="F1061" s="26">
        <v>3500</v>
      </c>
      <c r="G1061" s="26">
        <v>0</v>
      </c>
      <c r="H1061" s="26">
        <v>3500</v>
      </c>
      <c r="I1061" s="26">
        <v>24723125</v>
      </c>
      <c r="J1061" s="26">
        <v>150500000</v>
      </c>
    </row>
    <row r="1062" spans="1:10">
      <c r="A1062" s="24">
        <v>1060</v>
      </c>
      <c r="B1062" s="24">
        <f t="shared" si="18"/>
        <v>663</v>
      </c>
      <c r="C1062" s="1" t="s">
        <v>1328</v>
      </c>
      <c r="D1062" s="1" t="s">
        <v>3</v>
      </c>
      <c r="E1062" s="1" t="s">
        <v>14</v>
      </c>
      <c r="F1062" s="26">
        <v>1500</v>
      </c>
      <c r="G1062" s="26">
        <v>0</v>
      </c>
      <c r="H1062" s="26">
        <v>1500</v>
      </c>
      <c r="I1062" s="26">
        <v>10595625</v>
      </c>
      <c r="J1062" s="26">
        <v>64500000</v>
      </c>
    </row>
    <row r="1063" spans="1:10">
      <c r="A1063" s="24">
        <v>1061</v>
      </c>
      <c r="B1063" s="24">
        <f t="shared" si="18"/>
        <v>664</v>
      </c>
      <c r="C1063" s="1" t="s">
        <v>775</v>
      </c>
      <c r="F1063" s="26">
        <v>5000</v>
      </c>
      <c r="G1063" s="26">
        <v>0</v>
      </c>
      <c r="H1063" s="26">
        <v>5000</v>
      </c>
      <c r="I1063" s="26">
        <v>35318750</v>
      </c>
      <c r="J1063" s="26">
        <v>215000000</v>
      </c>
    </row>
    <row r="1064" spans="1:10">
      <c r="A1064" s="24">
        <v>1062</v>
      </c>
      <c r="B1064" s="24">
        <f t="shared" si="18"/>
        <v>665</v>
      </c>
      <c r="C1064" s="1" t="s">
        <v>1423</v>
      </c>
      <c r="D1064" s="1" t="s">
        <v>4</v>
      </c>
      <c r="E1064" s="1" t="s">
        <v>14</v>
      </c>
      <c r="F1064" s="26">
        <v>795</v>
      </c>
      <c r="G1064" s="26">
        <v>0</v>
      </c>
      <c r="H1064" s="26">
        <v>800</v>
      </c>
      <c r="I1064" s="26">
        <v>4897200</v>
      </c>
      <c r="J1064" s="26">
        <v>31200000</v>
      </c>
    </row>
    <row r="1065" spans="1:10">
      <c r="A1065" s="24">
        <v>1063</v>
      </c>
      <c r="B1065" s="24">
        <f t="shared" si="18"/>
        <v>666</v>
      </c>
      <c r="C1065" s="1" t="s">
        <v>1424</v>
      </c>
      <c r="D1065" s="1" t="s">
        <v>4</v>
      </c>
      <c r="E1065" s="1" t="s">
        <v>14</v>
      </c>
      <c r="F1065" s="26">
        <v>800</v>
      </c>
      <c r="G1065" s="26">
        <v>0</v>
      </c>
      <c r="H1065" s="26">
        <v>800</v>
      </c>
      <c r="I1065" s="26">
        <v>4435200</v>
      </c>
      <c r="J1065" s="26">
        <v>31200000</v>
      </c>
    </row>
    <row r="1066" spans="1:10">
      <c r="A1066" s="24">
        <v>1064</v>
      </c>
      <c r="B1066" s="24">
        <f t="shared" si="18"/>
        <v>667</v>
      </c>
      <c r="C1066" s="1" t="s">
        <v>1425</v>
      </c>
      <c r="D1066" s="1" t="s">
        <v>4</v>
      </c>
      <c r="E1066" s="1" t="s">
        <v>14</v>
      </c>
      <c r="F1066" s="26">
        <v>800</v>
      </c>
      <c r="G1066" s="26">
        <v>0</v>
      </c>
      <c r="H1066" s="26">
        <v>800</v>
      </c>
      <c r="I1066" s="26">
        <v>4989600.0000000009</v>
      </c>
      <c r="J1066" s="26">
        <v>31200000</v>
      </c>
    </row>
    <row r="1067" spans="1:10">
      <c r="A1067" s="24">
        <v>1065</v>
      </c>
      <c r="B1067" s="24">
        <f t="shared" si="18"/>
        <v>668</v>
      </c>
      <c r="C1067" s="1" t="s">
        <v>775</v>
      </c>
      <c r="F1067" s="26">
        <v>2395</v>
      </c>
      <c r="G1067" s="26">
        <v>0</v>
      </c>
      <c r="H1067" s="26">
        <v>2400</v>
      </c>
      <c r="I1067" s="26">
        <v>14322000</v>
      </c>
      <c r="J1067" s="26">
        <v>93600000</v>
      </c>
    </row>
    <row r="1068" spans="1:10">
      <c r="A1068" s="24">
        <v>1066</v>
      </c>
      <c r="B1068" s="24">
        <f t="shared" si="18"/>
        <v>669</v>
      </c>
      <c r="C1068" s="1" t="s">
        <v>1329</v>
      </c>
      <c r="D1068" s="1" t="s">
        <v>4</v>
      </c>
      <c r="E1068" s="1" t="s">
        <v>14</v>
      </c>
      <c r="F1068" s="26">
        <v>3000</v>
      </c>
      <c r="G1068" s="26">
        <v>0</v>
      </c>
      <c r="H1068" s="26">
        <v>3000</v>
      </c>
      <c r="I1068" s="26">
        <v>13010160</v>
      </c>
      <c r="J1068" s="26">
        <v>129000000</v>
      </c>
    </row>
    <row r="1069" spans="1:10">
      <c r="A1069" s="24">
        <v>1067</v>
      </c>
      <c r="B1069" s="24">
        <f t="shared" si="18"/>
        <v>670</v>
      </c>
      <c r="C1069" s="1" t="s">
        <v>1330</v>
      </c>
      <c r="D1069" s="1" t="s">
        <v>4</v>
      </c>
      <c r="E1069" s="1" t="s">
        <v>14</v>
      </c>
      <c r="F1069" s="26">
        <v>3000</v>
      </c>
      <c r="G1069" s="26">
        <v>0</v>
      </c>
      <c r="H1069" s="26">
        <v>3000</v>
      </c>
      <c r="I1069" s="26">
        <v>13986600.000000002</v>
      </c>
      <c r="J1069" s="26">
        <v>129000000</v>
      </c>
    </row>
    <row r="1070" spans="1:10">
      <c r="A1070" s="24">
        <v>1068</v>
      </c>
      <c r="B1070" s="24">
        <f t="shared" si="18"/>
        <v>671</v>
      </c>
      <c r="C1070" s="1" t="s">
        <v>1331</v>
      </c>
      <c r="D1070" s="1" t="s">
        <v>4</v>
      </c>
      <c r="E1070" s="1" t="s">
        <v>14</v>
      </c>
      <c r="F1070" s="26">
        <v>4000</v>
      </c>
      <c r="G1070" s="26">
        <v>0</v>
      </c>
      <c r="H1070" s="26">
        <v>4000</v>
      </c>
      <c r="I1070" s="26">
        <v>17560880</v>
      </c>
      <c r="J1070" s="26">
        <v>172000000</v>
      </c>
    </row>
    <row r="1071" spans="1:10">
      <c r="A1071" s="24">
        <v>1069</v>
      </c>
      <c r="B1071" s="24">
        <f t="shared" si="18"/>
        <v>672</v>
      </c>
      <c r="C1071" s="1" t="s">
        <v>775</v>
      </c>
      <c r="F1071" s="26">
        <v>10000</v>
      </c>
      <c r="G1071" s="26">
        <v>0</v>
      </c>
      <c r="H1071" s="26">
        <v>10000</v>
      </c>
      <c r="I1071" s="26">
        <v>44557640</v>
      </c>
      <c r="J1071" s="26">
        <v>430000000</v>
      </c>
    </row>
    <row r="1072" spans="1:10">
      <c r="A1072" s="24">
        <v>1070</v>
      </c>
      <c r="B1072" s="24">
        <f t="shared" si="18"/>
        <v>673</v>
      </c>
      <c r="C1072" s="1" t="s">
        <v>1332</v>
      </c>
      <c r="D1072" s="1" t="s">
        <v>1359</v>
      </c>
      <c r="E1072" s="1" t="s">
        <v>14</v>
      </c>
      <c r="F1072" s="26">
        <v>300</v>
      </c>
      <c r="G1072" s="26">
        <v>0</v>
      </c>
      <c r="H1072" s="26">
        <v>300</v>
      </c>
      <c r="I1072" s="26">
        <v>1307043.5999999999</v>
      </c>
      <c r="J1072" s="26">
        <v>10500000</v>
      </c>
    </row>
    <row r="1073" spans="1:10">
      <c r="A1073" s="24">
        <v>1071</v>
      </c>
      <c r="B1073" s="24">
        <f t="shared" si="18"/>
        <v>673</v>
      </c>
      <c r="C1073" s="1" t="s">
        <v>1332</v>
      </c>
      <c r="D1073" s="1" t="s">
        <v>2</v>
      </c>
      <c r="E1073" s="1" t="s">
        <v>14</v>
      </c>
      <c r="F1073" s="26">
        <v>450</v>
      </c>
      <c r="G1073" s="26">
        <v>0</v>
      </c>
      <c r="H1073" s="26">
        <v>450</v>
      </c>
      <c r="I1073" s="26">
        <v>1960565.4</v>
      </c>
      <c r="J1073" s="26">
        <v>15750000</v>
      </c>
    </row>
    <row r="1074" spans="1:10">
      <c r="A1074" s="24">
        <v>1072</v>
      </c>
      <c r="B1074" s="24">
        <f t="shared" si="18"/>
        <v>673</v>
      </c>
      <c r="C1074" s="1" t="s">
        <v>1332</v>
      </c>
      <c r="D1074" s="1" t="s">
        <v>3</v>
      </c>
      <c r="E1074" s="1" t="s">
        <v>14</v>
      </c>
      <c r="F1074" s="26">
        <v>450</v>
      </c>
      <c r="G1074" s="26">
        <v>0</v>
      </c>
      <c r="H1074" s="26">
        <v>450</v>
      </c>
      <c r="I1074" s="26">
        <v>1960565.4</v>
      </c>
      <c r="J1074" s="26">
        <v>15750000</v>
      </c>
    </row>
    <row r="1075" spans="1:10">
      <c r="A1075" s="24">
        <v>1073</v>
      </c>
      <c r="B1075" s="24">
        <f t="shared" si="18"/>
        <v>673</v>
      </c>
      <c r="C1075" s="1" t="s">
        <v>1332</v>
      </c>
      <c r="D1075" s="1" t="s">
        <v>5</v>
      </c>
      <c r="E1075" s="1" t="s">
        <v>14</v>
      </c>
      <c r="F1075" s="26">
        <v>300</v>
      </c>
      <c r="G1075" s="26">
        <v>0</v>
      </c>
      <c r="H1075" s="26">
        <v>300</v>
      </c>
      <c r="I1075" s="26">
        <v>1307043.5999999999</v>
      </c>
      <c r="J1075" s="26">
        <v>10500000</v>
      </c>
    </row>
    <row r="1076" spans="1:10">
      <c r="A1076" s="24">
        <v>1074</v>
      </c>
      <c r="B1076" s="24">
        <f t="shared" si="18"/>
        <v>674</v>
      </c>
      <c r="C1076" s="1" t="s">
        <v>1333</v>
      </c>
      <c r="D1076" s="1" t="s">
        <v>1359</v>
      </c>
      <c r="E1076" s="1" t="s">
        <v>14</v>
      </c>
      <c r="F1076" s="26">
        <v>300</v>
      </c>
      <c r="G1076" s="26">
        <v>0</v>
      </c>
      <c r="H1076" s="26">
        <v>300</v>
      </c>
      <c r="I1076" s="26">
        <v>1196820.6000000003</v>
      </c>
      <c r="J1076" s="26">
        <v>12900000</v>
      </c>
    </row>
    <row r="1077" spans="1:10">
      <c r="A1077" s="24">
        <v>1075</v>
      </c>
      <c r="B1077" s="24">
        <f t="shared" si="18"/>
        <v>674</v>
      </c>
      <c r="C1077" s="1" t="s">
        <v>1333</v>
      </c>
      <c r="D1077" s="1" t="s">
        <v>2</v>
      </c>
      <c r="E1077" s="1" t="s">
        <v>14</v>
      </c>
      <c r="F1077" s="26">
        <v>450</v>
      </c>
      <c r="G1077" s="26">
        <v>0</v>
      </c>
      <c r="H1077" s="26">
        <v>450</v>
      </c>
      <c r="I1077" s="26">
        <v>1795230.9000000004</v>
      </c>
      <c r="J1077" s="26">
        <v>19350000</v>
      </c>
    </row>
    <row r="1078" spans="1:10">
      <c r="A1078" s="24">
        <v>1076</v>
      </c>
      <c r="B1078" s="24">
        <f t="shared" si="18"/>
        <v>674</v>
      </c>
      <c r="C1078" s="1" t="s">
        <v>1333</v>
      </c>
      <c r="D1078" s="1" t="s">
        <v>3</v>
      </c>
      <c r="E1078" s="1" t="s">
        <v>14</v>
      </c>
      <c r="F1078" s="26">
        <v>450</v>
      </c>
      <c r="G1078" s="26">
        <v>0</v>
      </c>
      <c r="H1078" s="26">
        <v>450</v>
      </c>
      <c r="I1078" s="26">
        <v>1795230.9000000004</v>
      </c>
      <c r="J1078" s="26">
        <v>19350000</v>
      </c>
    </row>
    <row r="1079" spans="1:10">
      <c r="A1079" s="24">
        <v>1077</v>
      </c>
      <c r="B1079" s="24">
        <f t="shared" si="18"/>
        <v>674</v>
      </c>
      <c r="C1079" s="1" t="s">
        <v>1333</v>
      </c>
      <c r="D1079" s="1" t="s">
        <v>5</v>
      </c>
      <c r="E1079" s="1" t="s">
        <v>14</v>
      </c>
      <c r="F1079" s="26">
        <v>299</v>
      </c>
      <c r="G1079" s="26">
        <v>0</v>
      </c>
      <c r="H1079" s="26">
        <v>300</v>
      </c>
      <c r="I1079" s="26">
        <v>1196820.6000000003</v>
      </c>
      <c r="J1079" s="26">
        <v>12900000</v>
      </c>
    </row>
    <row r="1080" spans="1:10">
      <c r="A1080" s="24">
        <v>1078</v>
      </c>
      <c r="B1080" s="24">
        <f t="shared" si="18"/>
        <v>675</v>
      </c>
      <c r="C1080" s="1" t="s">
        <v>1334</v>
      </c>
      <c r="D1080" s="1" t="s">
        <v>1359</v>
      </c>
      <c r="E1080" s="1" t="s">
        <v>14</v>
      </c>
      <c r="F1080" s="26">
        <v>293</v>
      </c>
      <c r="G1080" s="26">
        <v>0</v>
      </c>
      <c r="H1080" s="26">
        <v>300</v>
      </c>
      <c r="I1080" s="26">
        <v>1427409.6000000003</v>
      </c>
      <c r="J1080" s="26">
        <v>12900000</v>
      </c>
    </row>
    <row r="1081" spans="1:10">
      <c r="A1081" s="24">
        <v>1079</v>
      </c>
      <c r="B1081" s="24">
        <f t="shared" si="18"/>
        <v>675</v>
      </c>
      <c r="C1081" s="1" t="s">
        <v>1334</v>
      </c>
      <c r="D1081" s="1" t="s">
        <v>2</v>
      </c>
      <c r="E1081" s="1" t="s">
        <v>14</v>
      </c>
      <c r="F1081" s="26">
        <v>449</v>
      </c>
      <c r="G1081" s="26">
        <v>0</v>
      </c>
      <c r="H1081" s="26">
        <v>450</v>
      </c>
      <c r="I1081" s="26">
        <v>2141114.4000000004</v>
      </c>
      <c r="J1081" s="26">
        <v>19350000</v>
      </c>
    </row>
    <row r="1082" spans="1:10">
      <c r="A1082" s="24">
        <v>1080</v>
      </c>
      <c r="B1082" s="24">
        <f t="shared" si="18"/>
        <v>675</v>
      </c>
      <c r="C1082" s="1" t="s">
        <v>1334</v>
      </c>
      <c r="D1082" s="1" t="s">
        <v>3</v>
      </c>
      <c r="E1082" s="1" t="s">
        <v>14</v>
      </c>
      <c r="F1082" s="26">
        <v>450</v>
      </c>
      <c r="G1082" s="26">
        <v>0</v>
      </c>
      <c r="H1082" s="26">
        <v>450</v>
      </c>
      <c r="I1082" s="26">
        <v>2141114.4000000004</v>
      </c>
      <c r="J1082" s="26">
        <v>19350000</v>
      </c>
    </row>
    <row r="1083" spans="1:10">
      <c r="A1083" s="24">
        <v>1081</v>
      </c>
      <c r="B1083" s="24">
        <f t="shared" si="18"/>
        <v>675</v>
      </c>
      <c r="C1083" s="1" t="s">
        <v>1334</v>
      </c>
      <c r="D1083" s="1" t="s">
        <v>5</v>
      </c>
      <c r="E1083" s="1" t="s">
        <v>14</v>
      </c>
      <c r="F1083" s="26">
        <v>300</v>
      </c>
      <c r="G1083" s="26">
        <v>0</v>
      </c>
      <c r="H1083" s="26">
        <v>300</v>
      </c>
      <c r="I1083" s="26">
        <v>1427409.6000000003</v>
      </c>
      <c r="J1083" s="26">
        <v>12900000</v>
      </c>
    </row>
    <row r="1084" spans="1:10">
      <c r="A1084" s="24">
        <v>1082</v>
      </c>
      <c r="B1084" s="24">
        <f t="shared" si="18"/>
        <v>676</v>
      </c>
      <c r="C1084" s="1" t="s">
        <v>1335</v>
      </c>
      <c r="D1084" s="1" t="s">
        <v>1359</v>
      </c>
      <c r="E1084" s="1" t="s">
        <v>14</v>
      </c>
      <c r="F1084" s="26">
        <v>300</v>
      </c>
      <c r="G1084" s="26">
        <v>0</v>
      </c>
      <c r="H1084" s="26">
        <v>300</v>
      </c>
      <c r="I1084" s="26">
        <v>1506660.0000000002</v>
      </c>
      <c r="J1084" s="26">
        <v>12900000</v>
      </c>
    </row>
    <row r="1085" spans="1:10">
      <c r="A1085" s="24">
        <v>1083</v>
      </c>
      <c r="B1085" s="24">
        <f t="shared" si="18"/>
        <v>676</v>
      </c>
      <c r="C1085" s="1" t="s">
        <v>1335</v>
      </c>
      <c r="D1085" s="1" t="s">
        <v>2</v>
      </c>
      <c r="E1085" s="1" t="s">
        <v>14</v>
      </c>
      <c r="F1085" s="26">
        <v>450</v>
      </c>
      <c r="G1085" s="26">
        <v>0</v>
      </c>
      <c r="H1085" s="26">
        <v>450</v>
      </c>
      <c r="I1085" s="26">
        <v>2259990.0000000005</v>
      </c>
      <c r="J1085" s="26">
        <v>19350000</v>
      </c>
    </row>
    <row r="1086" spans="1:10">
      <c r="A1086" s="24">
        <v>1084</v>
      </c>
      <c r="B1086" s="24">
        <f t="shared" si="18"/>
        <v>676</v>
      </c>
      <c r="C1086" s="1" t="s">
        <v>1335</v>
      </c>
      <c r="D1086" s="1" t="s">
        <v>3</v>
      </c>
      <c r="E1086" s="1" t="s">
        <v>14</v>
      </c>
      <c r="F1086" s="26">
        <v>450</v>
      </c>
      <c r="G1086" s="26">
        <v>0</v>
      </c>
      <c r="H1086" s="26">
        <v>450</v>
      </c>
      <c r="I1086" s="26">
        <v>2259990.0000000005</v>
      </c>
      <c r="J1086" s="26">
        <v>19350000</v>
      </c>
    </row>
    <row r="1087" spans="1:10">
      <c r="A1087" s="24">
        <v>1085</v>
      </c>
      <c r="B1087" s="24">
        <f t="shared" si="18"/>
        <v>676</v>
      </c>
      <c r="C1087" s="1" t="s">
        <v>1335</v>
      </c>
      <c r="D1087" s="1" t="s">
        <v>5</v>
      </c>
      <c r="E1087" s="1" t="s">
        <v>14</v>
      </c>
      <c r="F1087" s="26">
        <v>300</v>
      </c>
      <c r="G1087" s="26">
        <v>0</v>
      </c>
      <c r="H1087" s="26">
        <v>300</v>
      </c>
      <c r="I1087" s="26">
        <v>1506660.0000000002</v>
      </c>
      <c r="J1087" s="26">
        <v>12900000</v>
      </c>
    </row>
    <row r="1088" spans="1:10">
      <c r="A1088" s="24">
        <v>1086</v>
      </c>
      <c r="B1088" s="24">
        <f t="shared" si="18"/>
        <v>677</v>
      </c>
      <c r="C1088" s="1" t="s">
        <v>775</v>
      </c>
      <c r="F1088" s="26">
        <v>5991</v>
      </c>
      <c r="G1088" s="26">
        <v>0</v>
      </c>
      <c r="H1088" s="26">
        <v>6000</v>
      </c>
      <c r="I1088" s="26">
        <v>27189669</v>
      </c>
      <c r="J1088" s="26">
        <v>246000000</v>
      </c>
    </row>
    <row r="1089" spans="1:10">
      <c r="A1089" s="24">
        <v>1087</v>
      </c>
      <c r="B1089" s="24">
        <f t="shared" si="18"/>
        <v>678</v>
      </c>
      <c r="C1089" s="1" t="s">
        <v>1336</v>
      </c>
      <c r="D1089" s="1" t="s">
        <v>2</v>
      </c>
      <c r="E1089" s="1" t="s">
        <v>14</v>
      </c>
      <c r="F1089" s="26">
        <v>2958</v>
      </c>
      <c r="G1089" s="26">
        <v>0</v>
      </c>
      <c r="H1089" s="26">
        <v>3000</v>
      </c>
      <c r="I1089" s="26">
        <v>21390540.000000004</v>
      </c>
      <c r="J1089" s="26">
        <v>159000000</v>
      </c>
    </row>
    <row r="1090" spans="1:10">
      <c r="A1090" s="24">
        <v>1088</v>
      </c>
      <c r="B1090" s="24">
        <f t="shared" si="18"/>
        <v>678</v>
      </c>
      <c r="C1090" s="1" t="s">
        <v>1336</v>
      </c>
      <c r="D1090" s="1" t="s">
        <v>3</v>
      </c>
      <c r="E1090" s="1" t="s">
        <v>14</v>
      </c>
      <c r="F1090" s="26">
        <v>1009</v>
      </c>
      <c r="G1090" s="26">
        <v>0</v>
      </c>
      <c r="H1090" s="26">
        <v>1000</v>
      </c>
      <c r="I1090" s="26">
        <v>7130180.0000000009</v>
      </c>
      <c r="J1090" s="26">
        <v>53000000</v>
      </c>
    </row>
    <row r="1091" spans="1:10">
      <c r="A1091" s="24">
        <v>1089</v>
      </c>
      <c r="B1091" s="24">
        <f t="shared" si="18"/>
        <v>679</v>
      </c>
      <c r="C1091" s="1" t="s">
        <v>1337</v>
      </c>
      <c r="D1091" s="1" t="s">
        <v>2</v>
      </c>
      <c r="E1091" s="1" t="s">
        <v>14</v>
      </c>
      <c r="F1091" s="26">
        <v>3110</v>
      </c>
      <c r="G1091" s="26">
        <v>0</v>
      </c>
      <c r="H1091" s="26">
        <v>3000</v>
      </c>
      <c r="I1091" s="26">
        <v>21390540.000000004</v>
      </c>
      <c r="J1091" s="26">
        <v>159000000</v>
      </c>
    </row>
    <row r="1092" spans="1:10">
      <c r="A1092" s="24">
        <v>1090</v>
      </c>
      <c r="B1092" s="24">
        <f t="shared" si="18"/>
        <v>679</v>
      </c>
      <c r="C1092" s="1" t="s">
        <v>1337</v>
      </c>
      <c r="D1092" s="1" t="s">
        <v>3</v>
      </c>
      <c r="E1092" s="1" t="s">
        <v>14</v>
      </c>
      <c r="F1092" s="26">
        <v>895</v>
      </c>
      <c r="G1092" s="26">
        <v>0</v>
      </c>
      <c r="H1092" s="26">
        <v>1000</v>
      </c>
      <c r="I1092" s="26">
        <v>7130180.0000000009</v>
      </c>
      <c r="J1092" s="26">
        <v>53000000</v>
      </c>
    </row>
    <row r="1093" spans="1:10">
      <c r="A1093" s="24">
        <v>1091</v>
      </c>
      <c r="B1093" s="24">
        <f t="shared" si="18"/>
        <v>680</v>
      </c>
      <c r="C1093" s="1" t="s">
        <v>775</v>
      </c>
      <c r="F1093" s="26">
        <v>7972</v>
      </c>
      <c r="G1093" s="26">
        <v>0</v>
      </c>
      <c r="H1093" s="26">
        <v>8000</v>
      </c>
      <c r="I1093" s="26">
        <v>57041440.000000007</v>
      </c>
      <c r="J1093" s="26">
        <v>424000000</v>
      </c>
    </row>
    <row r="1094" spans="1:10">
      <c r="A1094" s="24">
        <v>1092</v>
      </c>
      <c r="B1094" s="24">
        <f t="shared" si="18"/>
        <v>681</v>
      </c>
      <c r="C1094" s="1" t="s">
        <v>1338</v>
      </c>
      <c r="D1094" s="1" t="s">
        <v>2</v>
      </c>
      <c r="E1094" s="1" t="s">
        <v>14</v>
      </c>
      <c r="F1094" s="26">
        <v>2005</v>
      </c>
      <c r="G1094" s="26">
        <v>0</v>
      </c>
      <c r="H1094" s="26">
        <v>2000</v>
      </c>
      <c r="I1094" s="26">
        <v>11940980.000000002</v>
      </c>
      <c r="J1094" s="26">
        <v>58000000</v>
      </c>
    </row>
    <row r="1095" spans="1:10">
      <c r="A1095" s="24">
        <v>1093</v>
      </c>
      <c r="B1095" s="24">
        <f t="shared" si="18"/>
        <v>681</v>
      </c>
      <c r="C1095" s="1" t="s">
        <v>1338</v>
      </c>
      <c r="D1095" s="1" t="s">
        <v>3</v>
      </c>
      <c r="E1095" s="1" t="s">
        <v>14</v>
      </c>
      <c r="F1095" s="26">
        <v>1519</v>
      </c>
      <c r="G1095" s="26">
        <v>0</v>
      </c>
      <c r="H1095" s="26">
        <v>1500</v>
      </c>
      <c r="I1095" s="26">
        <v>8955735.0000000019</v>
      </c>
      <c r="J1095" s="26">
        <v>43500000</v>
      </c>
    </row>
    <row r="1096" spans="1:10">
      <c r="A1096" s="24">
        <v>1094</v>
      </c>
      <c r="B1096" s="24">
        <f t="shared" si="18"/>
        <v>682</v>
      </c>
      <c r="C1096" s="1" t="s">
        <v>775</v>
      </c>
      <c r="F1096" s="26">
        <v>3524</v>
      </c>
      <c r="G1096" s="26">
        <v>0</v>
      </c>
      <c r="H1096" s="26">
        <v>3500</v>
      </c>
      <c r="I1096" s="26">
        <v>20896715.000000004</v>
      </c>
      <c r="J1096" s="26">
        <v>101500000</v>
      </c>
    </row>
    <row r="1097" spans="1:10">
      <c r="A1097" s="24">
        <v>1095</v>
      </c>
      <c r="B1097" s="24">
        <f t="shared" si="18"/>
        <v>683</v>
      </c>
      <c r="C1097" s="1" t="s">
        <v>1339</v>
      </c>
      <c r="D1097" s="1" t="s">
        <v>4</v>
      </c>
      <c r="E1097" s="1" t="s">
        <v>14</v>
      </c>
      <c r="F1097" s="26">
        <v>800</v>
      </c>
      <c r="G1097" s="26">
        <v>0</v>
      </c>
      <c r="H1097" s="26">
        <v>800</v>
      </c>
      <c r="I1097" s="26">
        <v>6668800</v>
      </c>
      <c r="J1097" s="26">
        <v>47200000</v>
      </c>
    </row>
    <row r="1098" spans="1:10">
      <c r="A1098" s="24">
        <v>1096</v>
      </c>
      <c r="B1098" s="24">
        <f t="shared" si="18"/>
        <v>684</v>
      </c>
      <c r="C1098" s="1" t="s">
        <v>775</v>
      </c>
      <c r="F1098" s="26">
        <v>800</v>
      </c>
      <c r="G1098" s="26">
        <v>0</v>
      </c>
      <c r="H1098" s="26">
        <v>800</v>
      </c>
      <c r="I1098" s="26">
        <v>6668800</v>
      </c>
      <c r="J1098" s="26">
        <v>47200000</v>
      </c>
    </row>
    <row r="1099" spans="1:10">
      <c r="A1099" s="24">
        <v>1097</v>
      </c>
      <c r="B1099" s="24">
        <f t="shared" si="18"/>
        <v>685</v>
      </c>
      <c r="C1099" s="1" t="s">
        <v>1340</v>
      </c>
      <c r="D1099" s="1" t="s">
        <v>4</v>
      </c>
      <c r="E1099" s="1" t="s">
        <v>14</v>
      </c>
      <c r="F1099" s="26">
        <v>1348</v>
      </c>
      <c r="G1099" s="26">
        <v>0</v>
      </c>
      <c r="H1099" s="26">
        <v>1500</v>
      </c>
      <c r="I1099" s="26">
        <v>10508160</v>
      </c>
      <c r="J1099" s="26">
        <v>73500000</v>
      </c>
    </row>
    <row r="1100" spans="1:10">
      <c r="A1100" s="24">
        <v>1098</v>
      </c>
      <c r="B1100" s="24">
        <f t="shared" si="18"/>
        <v>686</v>
      </c>
      <c r="C1100" s="1" t="s">
        <v>1341</v>
      </c>
      <c r="D1100" s="1" t="s">
        <v>4</v>
      </c>
      <c r="E1100" s="1" t="s">
        <v>14</v>
      </c>
      <c r="F1100" s="26">
        <v>1173</v>
      </c>
      <c r="G1100" s="26">
        <v>0</v>
      </c>
      <c r="H1100" s="26">
        <v>1200</v>
      </c>
      <c r="I1100" s="26">
        <v>8331684.0000000009</v>
      </c>
      <c r="J1100" s="26">
        <v>54000000</v>
      </c>
    </row>
    <row r="1101" spans="1:10">
      <c r="A1101" s="24">
        <v>1099</v>
      </c>
      <c r="B1101" s="24">
        <f t="shared" si="18"/>
        <v>687</v>
      </c>
      <c r="C1101" s="1" t="s">
        <v>1342</v>
      </c>
      <c r="D1101" s="1" t="s">
        <v>4</v>
      </c>
      <c r="E1101" s="1" t="s">
        <v>14</v>
      </c>
      <c r="F1101" s="26">
        <v>1183</v>
      </c>
      <c r="G1101" s="26">
        <v>0</v>
      </c>
      <c r="H1101" s="26">
        <v>1200</v>
      </c>
      <c r="I1101" s="26">
        <v>7604400</v>
      </c>
      <c r="J1101" s="26">
        <v>54000000</v>
      </c>
    </row>
    <row r="1102" spans="1:10">
      <c r="A1102" s="24">
        <v>1100</v>
      </c>
      <c r="B1102" s="24">
        <f t="shared" si="18"/>
        <v>688</v>
      </c>
      <c r="C1102" s="1" t="s">
        <v>1343</v>
      </c>
      <c r="D1102" s="1" t="s">
        <v>4</v>
      </c>
      <c r="E1102" s="1" t="s">
        <v>14</v>
      </c>
      <c r="F1102" s="26">
        <v>1148</v>
      </c>
      <c r="G1102" s="26">
        <v>0</v>
      </c>
      <c r="H1102" s="26">
        <v>1200</v>
      </c>
      <c r="I1102" s="26">
        <v>7473156.0000000019</v>
      </c>
      <c r="J1102" s="26">
        <v>58800000</v>
      </c>
    </row>
    <row r="1103" spans="1:10">
      <c r="A1103" s="24">
        <v>1101</v>
      </c>
      <c r="B1103" s="24">
        <f t="shared" si="18"/>
        <v>689</v>
      </c>
      <c r="C1103" s="1" t="s">
        <v>1344</v>
      </c>
      <c r="D1103" s="1" t="s">
        <v>4</v>
      </c>
      <c r="E1103" s="1" t="s">
        <v>14</v>
      </c>
      <c r="F1103" s="26">
        <v>1195</v>
      </c>
      <c r="G1103" s="26">
        <v>0</v>
      </c>
      <c r="H1103" s="26">
        <v>1200</v>
      </c>
      <c r="I1103" s="26">
        <v>7090896.0000000009</v>
      </c>
      <c r="J1103" s="26">
        <v>54000000</v>
      </c>
    </row>
    <row r="1104" spans="1:10">
      <c r="A1104" s="24">
        <v>1102</v>
      </c>
      <c r="B1104" s="24">
        <f t="shared" si="18"/>
        <v>690</v>
      </c>
      <c r="C1104" s="1" t="s">
        <v>1345</v>
      </c>
      <c r="D1104" s="1" t="s">
        <v>2</v>
      </c>
      <c r="E1104" s="1" t="s">
        <v>14</v>
      </c>
      <c r="F1104" s="26">
        <v>960</v>
      </c>
      <c r="G1104" s="26">
        <v>0</v>
      </c>
      <c r="H1104" s="26">
        <v>1000</v>
      </c>
      <c r="I1104" s="26">
        <v>8609990</v>
      </c>
      <c r="J1104" s="26">
        <v>49000000</v>
      </c>
    </row>
    <row r="1105" spans="1:10">
      <c r="A1105" s="24">
        <v>1103</v>
      </c>
      <c r="B1105" s="24">
        <f t="shared" si="18"/>
        <v>690</v>
      </c>
      <c r="C1105" s="1" t="s">
        <v>1345</v>
      </c>
      <c r="D1105" s="1" t="s">
        <v>3</v>
      </c>
      <c r="E1105" s="1" t="s">
        <v>14</v>
      </c>
      <c r="F1105" s="26">
        <v>478</v>
      </c>
      <c r="G1105" s="26">
        <v>0</v>
      </c>
      <c r="H1105" s="26">
        <v>500</v>
      </c>
      <c r="I1105" s="26">
        <v>4304995</v>
      </c>
      <c r="J1105" s="26">
        <v>24500000</v>
      </c>
    </row>
    <row r="1106" spans="1:10">
      <c r="A1106" s="24">
        <v>1104</v>
      </c>
      <c r="B1106" s="24">
        <f t="shared" si="18"/>
        <v>691</v>
      </c>
      <c r="C1106" s="1" t="s">
        <v>1346</v>
      </c>
      <c r="D1106" s="1" t="s">
        <v>2</v>
      </c>
      <c r="E1106" s="1" t="s">
        <v>14</v>
      </c>
      <c r="F1106" s="26">
        <v>806</v>
      </c>
      <c r="G1106" s="26">
        <v>0</v>
      </c>
      <c r="H1106" s="26">
        <v>800</v>
      </c>
      <c r="I1106" s="26">
        <v>7252224.0000000009</v>
      </c>
      <c r="J1106" s="26">
        <v>44000000</v>
      </c>
    </row>
    <row r="1107" spans="1:10">
      <c r="A1107" s="24">
        <v>1105</v>
      </c>
      <c r="B1107" s="24">
        <f t="shared" si="18"/>
        <v>691</v>
      </c>
      <c r="C1107" s="1" t="s">
        <v>1346</v>
      </c>
      <c r="D1107" s="1" t="s">
        <v>3</v>
      </c>
      <c r="E1107" s="1" t="s">
        <v>14</v>
      </c>
      <c r="F1107" s="26">
        <v>389</v>
      </c>
      <c r="G1107" s="26">
        <v>0</v>
      </c>
      <c r="H1107" s="26">
        <v>400</v>
      </c>
      <c r="I1107" s="26">
        <v>3626112.0000000005</v>
      </c>
      <c r="J1107" s="26">
        <v>22000000</v>
      </c>
    </row>
    <row r="1108" spans="1:10">
      <c r="A1108" s="24">
        <v>1106</v>
      </c>
      <c r="B1108" s="24">
        <f t="shared" si="18"/>
        <v>692</v>
      </c>
      <c r="C1108" s="1" t="s">
        <v>775</v>
      </c>
      <c r="F1108" s="26">
        <v>8680</v>
      </c>
      <c r="G1108" s="26">
        <v>0</v>
      </c>
      <c r="H1108" s="26">
        <v>9000</v>
      </c>
      <c r="I1108" s="26">
        <v>64801617</v>
      </c>
      <c r="J1108" s="26">
        <v>433800000</v>
      </c>
    </row>
    <row r="1109" spans="1:10">
      <c r="A1109" s="24">
        <v>1107</v>
      </c>
      <c r="B1109" s="24">
        <f t="shared" si="18"/>
        <v>693</v>
      </c>
      <c r="C1109" s="1" t="s">
        <v>1347</v>
      </c>
      <c r="D1109" s="1" t="s">
        <v>2</v>
      </c>
      <c r="E1109" s="1" t="s">
        <v>14</v>
      </c>
      <c r="F1109" s="26">
        <v>2473</v>
      </c>
      <c r="G1109" s="26">
        <v>0</v>
      </c>
      <c r="H1109" s="26">
        <v>2500</v>
      </c>
      <c r="I1109" s="26">
        <v>25470000</v>
      </c>
      <c r="J1109" s="26">
        <v>122500000</v>
      </c>
    </row>
    <row r="1110" spans="1:10">
      <c r="A1110" s="24">
        <v>1108</v>
      </c>
      <c r="B1110" s="24">
        <f t="shared" si="18"/>
        <v>693</v>
      </c>
      <c r="C1110" s="1" t="s">
        <v>1347</v>
      </c>
      <c r="D1110" s="1" t="s">
        <v>3</v>
      </c>
      <c r="E1110" s="1" t="s">
        <v>14</v>
      </c>
      <c r="F1110" s="26">
        <v>1199</v>
      </c>
      <c r="G1110" s="26">
        <v>0</v>
      </c>
      <c r="H1110" s="26">
        <v>1200</v>
      </c>
      <c r="I1110" s="26">
        <v>12225600</v>
      </c>
      <c r="J1110" s="26">
        <v>58800000</v>
      </c>
    </row>
    <row r="1111" spans="1:10">
      <c r="A1111" s="24">
        <v>1109</v>
      </c>
      <c r="B1111" s="24">
        <f t="shared" si="18"/>
        <v>694</v>
      </c>
      <c r="C1111" s="1" t="s">
        <v>1348</v>
      </c>
      <c r="D1111" s="1" t="s">
        <v>2</v>
      </c>
      <c r="E1111" s="1" t="s">
        <v>14</v>
      </c>
      <c r="F1111" s="26">
        <v>1000</v>
      </c>
      <c r="G1111" s="26">
        <v>0</v>
      </c>
      <c r="H1111" s="26">
        <v>1000</v>
      </c>
      <c r="I1111" s="26">
        <v>9088000</v>
      </c>
      <c r="J1111" s="26">
        <v>49000000</v>
      </c>
    </row>
    <row r="1112" spans="1:10">
      <c r="A1112" s="24">
        <v>1110</v>
      </c>
      <c r="B1112" s="24">
        <f t="shared" si="18"/>
        <v>694</v>
      </c>
      <c r="C1112" s="1" t="s">
        <v>1348</v>
      </c>
      <c r="D1112" s="1" t="s">
        <v>3</v>
      </c>
      <c r="E1112" s="1" t="s">
        <v>14</v>
      </c>
      <c r="F1112" s="26">
        <v>500</v>
      </c>
      <c r="G1112" s="26">
        <v>0</v>
      </c>
      <c r="H1112" s="26">
        <v>500</v>
      </c>
      <c r="I1112" s="26">
        <v>4544000</v>
      </c>
      <c r="J1112" s="26">
        <v>24500000</v>
      </c>
    </row>
    <row r="1113" spans="1:10">
      <c r="A1113" s="24">
        <v>1111</v>
      </c>
      <c r="B1113" s="24">
        <f t="shared" si="18"/>
        <v>695</v>
      </c>
      <c r="C1113" s="1" t="s">
        <v>1349</v>
      </c>
      <c r="D1113" s="1" t="s">
        <v>2</v>
      </c>
      <c r="E1113" s="1" t="s">
        <v>14</v>
      </c>
      <c r="F1113" s="26">
        <v>1999</v>
      </c>
      <c r="G1113" s="26">
        <v>0</v>
      </c>
      <c r="H1113" s="26">
        <v>2000</v>
      </c>
      <c r="I1113" s="26">
        <v>20376000</v>
      </c>
      <c r="J1113" s="26">
        <v>98000000</v>
      </c>
    </row>
    <row r="1114" spans="1:10">
      <c r="A1114" s="24">
        <v>1112</v>
      </c>
      <c r="B1114" s="24">
        <f t="shared" si="18"/>
        <v>695</v>
      </c>
      <c r="C1114" s="1" t="s">
        <v>1349</v>
      </c>
      <c r="D1114" s="1" t="s">
        <v>3</v>
      </c>
      <c r="E1114" s="1" t="s">
        <v>14</v>
      </c>
      <c r="F1114" s="26">
        <v>496</v>
      </c>
      <c r="G1114" s="26">
        <v>0</v>
      </c>
      <c r="H1114" s="26">
        <v>500</v>
      </c>
      <c r="I1114" s="26">
        <v>5094000</v>
      </c>
      <c r="J1114" s="26">
        <v>24500000</v>
      </c>
    </row>
    <row r="1115" spans="1:10">
      <c r="A1115" s="24">
        <v>1113</v>
      </c>
      <c r="B1115" s="24">
        <f t="shared" si="18"/>
        <v>696</v>
      </c>
      <c r="C1115" s="1" t="s">
        <v>1350</v>
      </c>
      <c r="D1115" s="1" t="s">
        <v>2</v>
      </c>
      <c r="E1115" s="1" t="s">
        <v>14</v>
      </c>
      <c r="F1115" s="26">
        <v>1000</v>
      </c>
      <c r="G1115" s="26">
        <v>0</v>
      </c>
      <c r="H1115" s="26">
        <v>1000</v>
      </c>
      <c r="I1115" s="26">
        <v>10888000</v>
      </c>
      <c r="J1115" s="26">
        <v>49000000</v>
      </c>
    </row>
    <row r="1116" spans="1:10">
      <c r="A1116" s="24">
        <v>1114</v>
      </c>
      <c r="B1116" s="24">
        <f t="shared" si="18"/>
        <v>696</v>
      </c>
      <c r="C1116" s="1" t="s">
        <v>1350</v>
      </c>
      <c r="D1116" s="1" t="s">
        <v>3</v>
      </c>
      <c r="E1116" s="1" t="s">
        <v>14</v>
      </c>
      <c r="F1116" s="26">
        <v>500</v>
      </c>
      <c r="G1116" s="26">
        <v>0</v>
      </c>
      <c r="H1116" s="26">
        <v>500</v>
      </c>
      <c r="I1116" s="26">
        <v>5444000</v>
      </c>
      <c r="J1116" s="26">
        <v>24500000</v>
      </c>
    </row>
    <row r="1117" spans="1:10">
      <c r="A1117" s="24">
        <v>1115</v>
      </c>
      <c r="B1117" s="24">
        <f t="shared" si="18"/>
        <v>697</v>
      </c>
      <c r="C1117" s="1" t="s">
        <v>775</v>
      </c>
      <c r="F1117" s="26">
        <v>9167</v>
      </c>
      <c r="G1117" s="26">
        <v>0</v>
      </c>
      <c r="H1117" s="26">
        <v>9200</v>
      </c>
      <c r="I1117" s="26">
        <v>93129600</v>
      </c>
      <c r="J1117" s="26">
        <v>450800000</v>
      </c>
    </row>
    <row r="1118" spans="1:10">
      <c r="A1118" s="24">
        <v>1116</v>
      </c>
      <c r="B1118" s="24">
        <f t="shared" si="18"/>
        <v>698</v>
      </c>
      <c r="C1118" s="1" t="s">
        <v>945</v>
      </c>
      <c r="D1118" s="1" t="s">
        <v>2</v>
      </c>
      <c r="E1118" s="1" t="s">
        <v>14</v>
      </c>
      <c r="F1118" s="26">
        <v>830</v>
      </c>
      <c r="G1118" s="26">
        <v>0</v>
      </c>
      <c r="H1118" s="26">
        <v>800</v>
      </c>
      <c r="I1118" s="26">
        <v>9376000</v>
      </c>
      <c r="J1118" s="26">
        <v>36000000</v>
      </c>
    </row>
    <row r="1119" spans="1:10">
      <c r="A1119" s="24">
        <v>1117</v>
      </c>
      <c r="B1119" s="24">
        <f t="shared" si="18"/>
        <v>698</v>
      </c>
      <c r="C1119" s="1" t="s">
        <v>945</v>
      </c>
      <c r="D1119" s="1" t="s">
        <v>3</v>
      </c>
      <c r="E1119" s="1" t="s">
        <v>14</v>
      </c>
      <c r="F1119" s="26">
        <v>1220</v>
      </c>
      <c r="G1119" s="26">
        <v>0</v>
      </c>
      <c r="H1119" s="26">
        <v>1200</v>
      </c>
      <c r="I1119" s="26">
        <v>14064000</v>
      </c>
      <c r="J1119" s="26">
        <v>54000000</v>
      </c>
    </row>
    <row r="1120" spans="1:10">
      <c r="A1120" s="24">
        <v>1118</v>
      </c>
      <c r="B1120" s="24">
        <f t="shared" si="18"/>
        <v>699</v>
      </c>
      <c r="C1120" s="1" t="s">
        <v>775</v>
      </c>
      <c r="F1120" s="26">
        <v>2050</v>
      </c>
      <c r="G1120" s="26">
        <v>0</v>
      </c>
      <c r="H1120" s="26">
        <v>2000</v>
      </c>
      <c r="I1120" s="26">
        <v>23440000</v>
      </c>
      <c r="J1120" s="26">
        <v>90000000</v>
      </c>
    </row>
    <row r="1121" spans="1:10">
      <c r="A1121" s="24">
        <v>1119</v>
      </c>
      <c r="B1121" s="24">
        <f t="shared" si="18"/>
        <v>700</v>
      </c>
      <c r="C1121" s="1" t="s">
        <v>1351</v>
      </c>
      <c r="D1121" s="1" t="s">
        <v>4</v>
      </c>
      <c r="E1121" s="1" t="s">
        <v>14</v>
      </c>
      <c r="F1121" s="26">
        <v>1998</v>
      </c>
      <c r="G1121" s="26">
        <v>0</v>
      </c>
      <c r="H1121" s="26">
        <v>2000</v>
      </c>
      <c r="I1121" s="26">
        <v>7050388.0000000009</v>
      </c>
      <c r="J1121" s="26">
        <v>78000000</v>
      </c>
    </row>
    <row r="1122" spans="1:10">
      <c r="A1122" s="24">
        <v>1120</v>
      </c>
      <c r="B1122" s="24">
        <f t="shared" ref="B1122:B1159" si="19">IF(C1121=C1122,B1121,B1121+1)</f>
        <v>701</v>
      </c>
      <c r="C1122" s="1" t="s">
        <v>775</v>
      </c>
      <c r="F1122" s="26">
        <v>1998</v>
      </c>
      <c r="G1122" s="26">
        <v>0</v>
      </c>
      <c r="H1122" s="26">
        <v>2000</v>
      </c>
      <c r="I1122" s="26">
        <v>7050388.0000000009</v>
      </c>
      <c r="J1122" s="26">
        <v>78000000</v>
      </c>
    </row>
    <row r="1123" spans="1:10">
      <c r="A1123" s="24">
        <v>1121</v>
      </c>
      <c r="B1123" s="24">
        <f t="shared" si="19"/>
        <v>702</v>
      </c>
      <c r="C1123" s="1" t="s">
        <v>1352</v>
      </c>
      <c r="D1123" s="1" t="s">
        <v>4</v>
      </c>
      <c r="E1123" s="1" t="s">
        <v>14</v>
      </c>
      <c r="F1123" s="26">
        <v>1500</v>
      </c>
      <c r="G1123" s="26">
        <v>0</v>
      </c>
      <c r="H1123" s="26">
        <v>1500</v>
      </c>
      <c r="I1123" s="26">
        <v>6801143.9999999991</v>
      </c>
      <c r="J1123" s="26">
        <v>58500000</v>
      </c>
    </row>
    <row r="1124" spans="1:10">
      <c r="A1124" s="24">
        <v>1122</v>
      </c>
      <c r="B1124" s="24">
        <f t="shared" si="19"/>
        <v>703</v>
      </c>
      <c r="C1124" s="1" t="s">
        <v>775</v>
      </c>
      <c r="F1124" s="26">
        <v>1500</v>
      </c>
      <c r="G1124" s="26">
        <v>0</v>
      </c>
      <c r="H1124" s="26">
        <v>1500</v>
      </c>
      <c r="I1124" s="26">
        <v>6801143.9999999991</v>
      </c>
      <c r="J1124" s="26">
        <v>58500000</v>
      </c>
    </row>
    <row r="1125" spans="1:10">
      <c r="A1125" s="24">
        <v>1123</v>
      </c>
      <c r="B1125" s="24">
        <f t="shared" si="19"/>
        <v>704</v>
      </c>
      <c r="C1125" s="1" t="s">
        <v>1353</v>
      </c>
      <c r="D1125" s="1" t="s">
        <v>2</v>
      </c>
      <c r="E1125" s="1" t="s">
        <v>14</v>
      </c>
      <c r="F1125" s="26">
        <v>1226</v>
      </c>
      <c r="G1125" s="26">
        <v>0</v>
      </c>
      <c r="H1125" s="26">
        <v>1200</v>
      </c>
      <c r="I1125" s="26">
        <v>5219616</v>
      </c>
      <c r="J1125" s="26">
        <v>63600000</v>
      </c>
    </row>
    <row r="1126" spans="1:10">
      <c r="A1126" s="24">
        <v>1124</v>
      </c>
      <c r="B1126" s="24">
        <f t="shared" si="19"/>
        <v>704</v>
      </c>
      <c r="C1126" s="1" t="s">
        <v>1353</v>
      </c>
      <c r="D1126" s="1" t="s">
        <v>3</v>
      </c>
      <c r="E1126" s="1" t="s">
        <v>14</v>
      </c>
      <c r="F1126" s="26">
        <v>374</v>
      </c>
      <c r="G1126" s="26">
        <v>0</v>
      </c>
      <c r="H1126" s="26">
        <v>400</v>
      </c>
      <c r="I1126" s="26">
        <v>1739872</v>
      </c>
      <c r="J1126" s="26">
        <v>21200000</v>
      </c>
    </row>
    <row r="1127" spans="1:10">
      <c r="A1127" s="24">
        <v>1125</v>
      </c>
      <c r="B1127" s="24">
        <f t="shared" si="19"/>
        <v>705</v>
      </c>
      <c r="C1127" s="1" t="s">
        <v>775</v>
      </c>
      <c r="F1127" s="26">
        <v>1600</v>
      </c>
      <c r="G1127" s="26">
        <v>0</v>
      </c>
      <c r="H1127" s="26">
        <v>1600</v>
      </c>
      <c r="I1127" s="26">
        <v>6959488</v>
      </c>
      <c r="J1127" s="26">
        <v>84800000</v>
      </c>
    </row>
    <row r="1128" spans="1:10">
      <c r="A1128" s="24">
        <v>1126</v>
      </c>
      <c r="B1128" s="24">
        <f t="shared" si="19"/>
        <v>706</v>
      </c>
      <c r="C1128" s="1" t="s">
        <v>1354</v>
      </c>
      <c r="D1128" s="1" t="s">
        <v>4</v>
      </c>
      <c r="E1128" s="1" t="s">
        <v>14</v>
      </c>
      <c r="F1128" s="26">
        <v>1000</v>
      </c>
      <c r="G1128" s="26">
        <v>0</v>
      </c>
      <c r="H1128" s="26">
        <v>1000</v>
      </c>
      <c r="I1128" s="26">
        <v>6600000</v>
      </c>
      <c r="J1128" s="26">
        <v>43000000</v>
      </c>
    </row>
    <row r="1129" spans="1:10">
      <c r="A1129" s="24">
        <v>1127</v>
      </c>
      <c r="B1129" s="24">
        <f t="shared" si="19"/>
        <v>707</v>
      </c>
      <c r="C1129" s="1" t="s">
        <v>775</v>
      </c>
      <c r="F1129" s="26">
        <v>1000</v>
      </c>
      <c r="G1129" s="26">
        <v>0</v>
      </c>
      <c r="H1129" s="26">
        <v>1000</v>
      </c>
      <c r="I1129" s="26">
        <v>6600000</v>
      </c>
      <c r="J1129" s="26">
        <v>43000000</v>
      </c>
    </row>
    <row r="1130" spans="1:10">
      <c r="A1130" s="24">
        <v>1128</v>
      </c>
      <c r="B1130" s="24">
        <f t="shared" si="19"/>
        <v>708</v>
      </c>
      <c r="C1130" s="1" t="s">
        <v>1355</v>
      </c>
      <c r="D1130" s="1" t="s">
        <v>4</v>
      </c>
      <c r="E1130" s="1" t="s">
        <v>14</v>
      </c>
      <c r="F1130" s="26">
        <v>1998</v>
      </c>
      <c r="G1130" s="26">
        <v>0</v>
      </c>
      <c r="H1130" s="26">
        <v>2000</v>
      </c>
      <c r="I1130" s="26">
        <v>11836760</v>
      </c>
      <c r="J1130" s="26">
        <v>90000000</v>
      </c>
    </row>
    <row r="1131" spans="1:10">
      <c r="A1131" s="24">
        <v>1129</v>
      </c>
      <c r="B1131" s="24">
        <f t="shared" si="19"/>
        <v>709</v>
      </c>
      <c r="C1131" s="1" t="s">
        <v>1356</v>
      </c>
      <c r="D1131" s="1" t="s">
        <v>4</v>
      </c>
      <c r="E1131" s="1" t="s">
        <v>14</v>
      </c>
      <c r="F1131" s="26">
        <v>798</v>
      </c>
      <c r="G1131" s="26">
        <v>0</v>
      </c>
      <c r="H1131" s="26">
        <v>800</v>
      </c>
      <c r="I1131" s="26">
        <v>4726704</v>
      </c>
      <c r="J1131" s="26">
        <v>36000000</v>
      </c>
    </row>
    <row r="1132" spans="1:10">
      <c r="A1132" s="24">
        <v>1130</v>
      </c>
      <c r="B1132" s="24">
        <f t="shared" si="19"/>
        <v>710</v>
      </c>
      <c r="C1132" s="1" t="s">
        <v>775</v>
      </c>
      <c r="F1132" s="26">
        <v>2796</v>
      </c>
      <c r="G1132" s="26">
        <v>0</v>
      </c>
      <c r="H1132" s="26">
        <v>2800</v>
      </c>
      <c r="I1132" s="26">
        <v>16563464</v>
      </c>
      <c r="J1132" s="26">
        <v>126000000</v>
      </c>
    </row>
    <row r="1133" spans="1:10">
      <c r="A1133" s="24">
        <v>1131</v>
      </c>
      <c r="B1133" s="24">
        <f t="shared" si="19"/>
        <v>711</v>
      </c>
      <c r="C1133" s="1" t="s">
        <v>1357</v>
      </c>
      <c r="D1133" s="1" t="s">
        <v>4</v>
      </c>
      <c r="E1133" s="1" t="s">
        <v>14</v>
      </c>
      <c r="F1133" s="26">
        <v>1500</v>
      </c>
      <c r="G1133" s="26">
        <v>0</v>
      </c>
      <c r="H1133" s="26">
        <v>1500</v>
      </c>
      <c r="I1133" s="26">
        <v>10384605</v>
      </c>
      <c r="J1133" s="26">
        <v>88500000</v>
      </c>
    </row>
    <row r="1134" spans="1:10">
      <c r="A1134" s="24">
        <v>1132</v>
      </c>
      <c r="B1134" s="24">
        <f t="shared" si="19"/>
        <v>712</v>
      </c>
      <c r="C1134" s="1" t="s">
        <v>775</v>
      </c>
      <c r="F1134" s="26">
        <v>1500</v>
      </c>
      <c r="G1134" s="26">
        <v>0</v>
      </c>
      <c r="H1134" s="26">
        <v>1500</v>
      </c>
      <c r="I1134" s="26">
        <v>10384605</v>
      </c>
      <c r="J1134" s="26">
        <v>88500000</v>
      </c>
    </row>
    <row r="1135" spans="1:10">
      <c r="A1135" s="24">
        <v>1133</v>
      </c>
      <c r="B1135" s="24">
        <f t="shared" si="19"/>
        <v>713</v>
      </c>
      <c r="C1135" s="1" t="s">
        <v>1358</v>
      </c>
      <c r="D1135" s="1" t="s">
        <v>4</v>
      </c>
      <c r="E1135" s="1" t="s">
        <v>14</v>
      </c>
      <c r="F1135" s="26">
        <v>800</v>
      </c>
      <c r="G1135" s="26">
        <v>0</v>
      </c>
      <c r="H1135" s="26">
        <v>800</v>
      </c>
      <c r="I1135" s="26">
        <v>22400000</v>
      </c>
      <c r="J1135" s="26">
        <v>100000000</v>
      </c>
    </row>
    <row r="1136" spans="1:10">
      <c r="A1136" s="24">
        <v>1134</v>
      </c>
      <c r="B1136" s="24">
        <f t="shared" si="19"/>
        <v>714</v>
      </c>
      <c r="C1136" s="1" t="s">
        <v>775</v>
      </c>
      <c r="F1136" s="26">
        <v>800</v>
      </c>
      <c r="G1136" s="26">
        <v>0</v>
      </c>
      <c r="H1136" s="26">
        <v>800</v>
      </c>
      <c r="I1136" s="26">
        <v>22400000</v>
      </c>
      <c r="J1136" s="26">
        <v>100000000</v>
      </c>
    </row>
    <row r="1137" spans="1:10">
      <c r="A1137" s="24">
        <v>1135</v>
      </c>
      <c r="B1137" s="24">
        <f t="shared" si="19"/>
        <v>715</v>
      </c>
      <c r="C1137" s="1" t="s">
        <v>1426</v>
      </c>
      <c r="D1137" s="1" t="s">
        <v>1359</v>
      </c>
      <c r="E1137" s="1" t="s">
        <v>14</v>
      </c>
      <c r="F1137" s="26">
        <v>465</v>
      </c>
      <c r="G1137" s="26">
        <v>0</v>
      </c>
      <c r="H1137" s="26">
        <v>500</v>
      </c>
      <c r="I1137" s="26">
        <v>4004310.0000000005</v>
      </c>
      <c r="J1137" s="26">
        <v>24500000</v>
      </c>
    </row>
    <row r="1138" spans="1:10">
      <c r="A1138" s="24">
        <v>1136</v>
      </c>
      <c r="B1138" s="24">
        <f t="shared" si="19"/>
        <v>715</v>
      </c>
      <c r="C1138" s="1" t="s">
        <v>1426</v>
      </c>
      <c r="D1138" s="1" t="s">
        <v>2</v>
      </c>
      <c r="E1138" s="1" t="s">
        <v>14</v>
      </c>
      <c r="F1138" s="26">
        <v>591</v>
      </c>
      <c r="G1138" s="26">
        <v>0</v>
      </c>
      <c r="H1138" s="26">
        <v>600</v>
      </c>
      <c r="I1138" s="26">
        <v>4805172.0000000009</v>
      </c>
      <c r="J1138" s="26">
        <v>29400000</v>
      </c>
    </row>
    <row r="1139" spans="1:10">
      <c r="A1139" s="24">
        <v>1137</v>
      </c>
      <c r="B1139" s="24">
        <f t="shared" si="19"/>
        <v>715</v>
      </c>
      <c r="C1139" s="1" t="s">
        <v>1426</v>
      </c>
      <c r="D1139" s="1" t="s">
        <v>3</v>
      </c>
      <c r="E1139" s="1" t="s">
        <v>14</v>
      </c>
      <c r="F1139" s="26">
        <v>417</v>
      </c>
      <c r="G1139" s="26">
        <v>0</v>
      </c>
      <c r="H1139" s="26">
        <v>400</v>
      </c>
      <c r="I1139" s="26">
        <v>3203448.0000000005</v>
      </c>
      <c r="J1139" s="26">
        <v>19600000</v>
      </c>
    </row>
    <row r="1140" spans="1:10">
      <c r="A1140" s="24">
        <v>1138</v>
      </c>
      <c r="B1140" s="24">
        <f t="shared" si="19"/>
        <v>716</v>
      </c>
      <c r="C1140" s="1" t="s">
        <v>1427</v>
      </c>
      <c r="D1140" s="1" t="s">
        <v>1359</v>
      </c>
      <c r="E1140" s="1" t="s">
        <v>14</v>
      </c>
      <c r="F1140" s="26">
        <v>471</v>
      </c>
      <c r="G1140" s="26">
        <v>0</v>
      </c>
      <c r="H1140" s="26">
        <v>500</v>
      </c>
      <c r="I1140" s="26">
        <v>4201790</v>
      </c>
      <c r="J1140" s="26">
        <v>24500000</v>
      </c>
    </row>
    <row r="1141" spans="1:10">
      <c r="A1141" s="24">
        <v>1139</v>
      </c>
      <c r="B1141" s="24">
        <f t="shared" si="19"/>
        <v>716</v>
      </c>
      <c r="C1141" s="1" t="s">
        <v>1427</v>
      </c>
      <c r="D1141" s="1" t="s">
        <v>2</v>
      </c>
      <c r="E1141" s="1" t="s">
        <v>14</v>
      </c>
      <c r="F1141" s="26">
        <v>574</v>
      </c>
      <c r="G1141" s="26">
        <v>0</v>
      </c>
      <c r="H1141" s="26">
        <v>600</v>
      </c>
      <c r="I1141" s="26">
        <v>5042148</v>
      </c>
      <c r="J1141" s="26">
        <v>29400000</v>
      </c>
    </row>
    <row r="1142" spans="1:10">
      <c r="A1142" s="24">
        <v>1140</v>
      </c>
      <c r="B1142" s="24">
        <f t="shared" si="19"/>
        <v>716</v>
      </c>
      <c r="C1142" s="1" t="s">
        <v>1427</v>
      </c>
      <c r="D1142" s="1" t="s">
        <v>3</v>
      </c>
      <c r="E1142" s="1" t="s">
        <v>14</v>
      </c>
      <c r="F1142" s="26">
        <v>356</v>
      </c>
      <c r="G1142" s="26">
        <v>0</v>
      </c>
      <c r="H1142" s="26">
        <v>400</v>
      </c>
      <c r="I1142" s="26">
        <v>3361432</v>
      </c>
      <c r="J1142" s="26">
        <v>19600000</v>
      </c>
    </row>
    <row r="1143" spans="1:10">
      <c r="A1143" s="24">
        <v>1141</v>
      </c>
      <c r="B1143" s="24">
        <f t="shared" si="19"/>
        <v>717</v>
      </c>
      <c r="C1143" s="1" t="s">
        <v>1428</v>
      </c>
      <c r="D1143" s="1" t="s">
        <v>1359</v>
      </c>
      <c r="E1143" s="1" t="s">
        <v>14</v>
      </c>
      <c r="F1143" s="26">
        <v>408</v>
      </c>
      <c r="G1143" s="26">
        <v>0</v>
      </c>
      <c r="H1143" s="26">
        <v>400</v>
      </c>
      <c r="I1143" s="26">
        <v>3037064.0000000005</v>
      </c>
      <c r="J1143" s="26">
        <v>19600000</v>
      </c>
    </row>
    <row r="1144" spans="1:10">
      <c r="A1144" s="24">
        <v>1142</v>
      </c>
      <c r="B1144" s="24">
        <f t="shared" si="19"/>
        <v>717</v>
      </c>
      <c r="C1144" s="1" t="s">
        <v>1428</v>
      </c>
      <c r="D1144" s="1" t="s">
        <v>2</v>
      </c>
      <c r="E1144" s="1" t="s">
        <v>14</v>
      </c>
      <c r="F1144" s="26">
        <v>498</v>
      </c>
      <c r="G1144" s="26">
        <v>0</v>
      </c>
      <c r="H1144" s="26">
        <v>500</v>
      </c>
      <c r="I1144" s="26">
        <v>3796330.0000000005</v>
      </c>
      <c r="J1144" s="26">
        <v>24500000</v>
      </c>
    </row>
    <row r="1145" spans="1:10">
      <c r="A1145" s="24">
        <v>1143</v>
      </c>
      <c r="B1145" s="24">
        <f t="shared" si="19"/>
        <v>717</v>
      </c>
      <c r="C1145" s="1" t="s">
        <v>1428</v>
      </c>
      <c r="D1145" s="1" t="s">
        <v>3</v>
      </c>
      <c r="E1145" s="1" t="s">
        <v>14</v>
      </c>
      <c r="F1145" s="26">
        <v>296</v>
      </c>
      <c r="G1145" s="26">
        <v>0</v>
      </c>
      <c r="H1145" s="26">
        <v>300</v>
      </c>
      <c r="I1145" s="26">
        <v>2277798</v>
      </c>
      <c r="J1145" s="26">
        <v>14700000</v>
      </c>
    </row>
    <row r="1146" spans="1:10">
      <c r="A1146" s="24">
        <v>1144</v>
      </c>
      <c r="B1146" s="24">
        <f t="shared" si="19"/>
        <v>718</v>
      </c>
      <c r="C1146" s="1" t="s">
        <v>1429</v>
      </c>
      <c r="D1146" s="1" t="s">
        <v>1359</v>
      </c>
      <c r="E1146" s="1" t="s">
        <v>14</v>
      </c>
      <c r="F1146" s="26">
        <v>405</v>
      </c>
      <c r="G1146" s="26">
        <v>0</v>
      </c>
      <c r="H1146" s="26">
        <v>400</v>
      </c>
      <c r="I1146" s="26">
        <v>3409032</v>
      </c>
      <c r="J1146" s="26">
        <v>19600000</v>
      </c>
    </row>
    <row r="1147" spans="1:10">
      <c r="A1147" s="24">
        <v>1145</v>
      </c>
      <c r="B1147" s="24">
        <f t="shared" si="19"/>
        <v>718</v>
      </c>
      <c r="C1147" s="1" t="s">
        <v>1429</v>
      </c>
      <c r="D1147" s="1" t="s">
        <v>2</v>
      </c>
      <c r="E1147" s="1" t="s">
        <v>14</v>
      </c>
      <c r="F1147" s="26">
        <v>500</v>
      </c>
      <c r="G1147" s="26">
        <v>0</v>
      </c>
      <c r="H1147" s="26">
        <v>500</v>
      </c>
      <c r="I1147" s="26">
        <v>4261290</v>
      </c>
      <c r="J1147" s="26">
        <v>24500000</v>
      </c>
    </row>
    <row r="1148" spans="1:10">
      <c r="A1148" s="24">
        <v>1146</v>
      </c>
      <c r="B1148" s="24">
        <f t="shared" si="19"/>
        <v>718</v>
      </c>
      <c r="C1148" s="1" t="s">
        <v>1429</v>
      </c>
      <c r="D1148" s="1" t="s">
        <v>3</v>
      </c>
      <c r="E1148" s="1" t="s">
        <v>14</v>
      </c>
      <c r="F1148" s="26">
        <v>286</v>
      </c>
      <c r="G1148" s="26">
        <v>0</v>
      </c>
      <c r="H1148" s="26">
        <v>300</v>
      </c>
      <c r="I1148" s="26">
        <v>2556774</v>
      </c>
      <c r="J1148" s="26">
        <v>14700000</v>
      </c>
    </row>
    <row r="1149" spans="1:10">
      <c r="A1149" s="24">
        <v>1147</v>
      </c>
      <c r="B1149" s="24">
        <f t="shared" si="19"/>
        <v>719</v>
      </c>
      <c r="C1149" s="1" t="s">
        <v>1430</v>
      </c>
      <c r="D1149" s="1" t="s">
        <v>2</v>
      </c>
      <c r="E1149" s="1" t="s">
        <v>14</v>
      </c>
      <c r="F1149" s="26">
        <v>603</v>
      </c>
      <c r="G1149" s="26">
        <v>0</v>
      </c>
      <c r="H1149" s="26">
        <v>600</v>
      </c>
      <c r="I1149" s="26">
        <v>6411162.0000000009</v>
      </c>
      <c r="J1149" s="26">
        <v>33000000</v>
      </c>
    </row>
    <row r="1150" spans="1:10">
      <c r="A1150" s="24">
        <v>1148</v>
      </c>
      <c r="B1150" s="24">
        <f t="shared" si="19"/>
        <v>719</v>
      </c>
      <c r="C1150" s="1" t="s">
        <v>1430</v>
      </c>
      <c r="D1150" s="1" t="s">
        <v>3</v>
      </c>
      <c r="E1150" s="1" t="s">
        <v>14</v>
      </c>
      <c r="F1150" s="26">
        <v>398</v>
      </c>
      <c r="G1150" s="26">
        <v>0</v>
      </c>
      <c r="H1150" s="26">
        <v>400</v>
      </c>
      <c r="I1150" s="26">
        <v>4274108.0000000009</v>
      </c>
      <c r="J1150" s="26">
        <v>22000000</v>
      </c>
    </row>
    <row r="1151" spans="1:10">
      <c r="A1151" s="24">
        <v>1149</v>
      </c>
      <c r="B1151" s="24">
        <f t="shared" si="19"/>
        <v>720</v>
      </c>
      <c r="C1151" s="1" t="s">
        <v>775</v>
      </c>
      <c r="F1151" s="26">
        <v>6268</v>
      </c>
      <c r="G1151" s="26">
        <v>0</v>
      </c>
      <c r="H1151" s="26">
        <v>6400</v>
      </c>
      <c r="I1151" s="26">
        <v>54641858</v>
      </c>
      <c r="J1151" s="26">
        <v>319600000</v>
      </c>
    </row>
    <row r="1152" spans="1:10">
      <c r="A1152" s="24">
        <v>1150</v>
      </c>
      <c r="B1152" s="24">
        <f t="shared" si="19"/>
        <v>721</v>
      </c>
      <c r="C1152" s="1" t="s">
        <v>1431</v>
      </c>
      <c r="D1152" s="1" t="s">
        <v>4</v>
      </c>
      <c r="E1152" s="1" t="s">
        <v>14</v>
      </c>
      <c r="F1152" s="26">
        <v>798</v>
      </c>
      <c r="G1152" s="26">
        <v>0</v>
      </c>
      <c r="H1152" s="26">
        <v>800</v>
      </c>
      <c r="I1152" s="26">
        <v>9895408.0000000037</v>
      </c>
      <c r="J1152" s="26">
        <v>44000000</v>
      </c>
    </row>
    <row r="1153" spans="1:10">
      <c r="A1153" s="24">
        <v>1151</v>
      </c>
      <c r="B1153" s="24">
        <f t="shared" si="19"/>
        <v>722</v>
      </c>
      <c r="C1153" s="1" t="s">
        <v>1432</v>
      </c>
      <c r="D1153" s="1" t="s">
        <v>4</v>
      </c>
      <c r="E1153" s="1" t="s">
        <v>14</v>
      </c>
      <c r="F1153" s="26">
        <v>799</v>
      </c>
      <c r="G1153" s="26">
        <v>0</v>
      </c>
      <c r="H1153" s="26">
        <v>800</v>
      </c>
      <c r="I1153" s="26">
        <v>9895408.0000000037</v>
      </c>
      <c r="J1153" s="26">
        <v>44000000</v>
      </c>
    </row>
    <row r="1154" spans="1:10">
      <c r="A1154" s="24">
        <v>1152</v>
      </c>
      <c r="B1154" s="24">
        <f t="shared" si="19"/>
        <v>723</v>
      </c>
      <c r="C1154" s="1" t="s">
        <v>775</v>
      </c>
      <c r="F1154" s="26">
        <v>1597</v>
      </c>
      <c r="G1154" s="26">
        <v>0</v>
      </c>
      <c r="H1154" s="26">
        <v>1600</v>
      </c>
      <c r="I1154" s="26">
        <v>19790816.000000007</v>
      </c>
      <c r="J1154" s="26">
        <v>88000000</v>
      </c>
    </row>
    <row r="1155" spans="1:10">
      <c r="A1155" s="24">
        <v>1153</v>
      </c>
      <c r="B1155" s="24">
        <f t="shared" si="19"/>
        <v>724</v>
      </c>
      <c r="C1155" s="1" t="s">
        <v>1433</v>
      </c>
      <c r="D1155" s="1" t="s">
        <v>4</v>
      </c>
      <c r="E1155" s="1" t="s">
        <v>14</v>
      </c>
      <c r="F1155" s="26">
        <v>798</v>
      </c>
      <c r="G1155" s="26">
        <v>0</v>
      </c>
      <c r="H1155" s="26">
        <v>800</v>
      </c>
      <c r="I1155" s="26">
        <v>5903728.0000000009</v>
      </c>
      <c r="J1155" s="26">
        <v>39200000</v>
      </c>
    </row>
    <row r="1156" spans="1:10">
      <c r="A1156" s="24">
        <v>1154</v>
      </c>
      <c r="B1156" s="24">
        <f t="shared" si="19"/>
        <v>725</v>
      </c>
      <c r="C1156" s="1" t="s">
        <v>775</v>
      </c>
      <c r="F1156" s="26">
        <v>798</v>
      </c>
      <c r="G1156" s="26">
        <v>0</v>
      </c>
      <c r="H1156" s="26">
        <v>800</v>
      </c>
      <c r="I1156" s="26">
        <v>5903728.0000000009</v>
      </c>
      <c r="J1156" s="26">
        <v>39200000</v>
      </c>
    </row>
    <row r="1157" spans="1:10">
      <c r="A1157" s="24">
        <v>1155</v>
      </c>
      <c r="B1157" s="24">
        <f t="shared" si="19"/>
        <v>726</v>
      </c>
      <c r="C1157" s="1" t="s">
        <v>1434</v>
      </c>
      <c r="D1157" s="1" t="s">
        <v>4</v>
      </c>
      <c r="E1157" s="1" t="s">
        <v>14</v>
      </c>
      <c r="F1157" s="26">
        <v>500</v>
      </c>
      <c r="G1157" s="26">
        <v>0</v>
      </c>
      <c r="H1157" s="26">
        <v>500</v>
      </c>
      <c r="I1157" s="26">
        <v>2025892.0000000005</v>
      </c>
      <c r="J1157" s="26">
        <v>18500000</v>
      </c>
    </row>
    <row r="1158" spans="1:10">
      <c r="A1158" s="24">
        <v>1156</v>
      </c>
      <c r="B1158" s="24">
        <f t="shared" si="19"/>
        <v>727</v>
      </c>
      <c r="C1158" s="1" t="s">
        <v>1435</v>
      </c>
      <c r="D1158" s="1" t="s">
        <v>4</v>
      </c>
      <c r="E1158" s="1" t="s">
        <v>14</v>
      </c>
      <c r="F1158" s="26">
        <v>499</v>
      </c>
      <c r="G1158" s="26">
        <v>0</v>
      </c>
      <c r="H1158" s="26">
        <v>500</v>
      </c>
      <c r="I1158" s="26">
        <v>2025892.0000000005</v>
      </c>
      <c r="J1158" s="26">
        <v>18500000</v>
      </c>
    </row>
    <row r="1159" spans="1:10">
      <c r="A1159" s="24">
        <v>1157</v>
      </c>
      <c r="B1159" s="24">
        <f t="shared" si="19"/>
        <v>728</v>
      </c>
      <c r="C1159" s="1" t="s">
        <v>775</v>
      </c>
      <c r="F1159" s="26">
        <v>999</v>
      </c>
      <c r="G1159" s="26">
        <v>0</v>
      </c>
      <c r="H1159" s="26">
        <v>1000</v>
      </c>
      <c r="I1159" s="26">
        <v>4051784.0000000009</v>
      </c>
      <c r="J1159" s="26">
        <v>37000000</v>
      </c>
    </row>
    <row r="1160" spans="1:10">
      <c r="A1160" s="24">
        <v>1158</v>
      </c>
      <c r="B1160" s="24">
        <f t="shared" ref="B1160:B1223" si="20">IF(C1159=C1160,B1159,B1159+1)</f>
        <v>729</v>
      </c>
      <c r="C1160" s="1" t="s">
        <v>1436</v>
      </c>
      <c r="D1160" s="1" t="s">
        <v>4</v>
      </c>
      <c r="E1160" s="1" t="s">
        <v>14</v>
      </c>
      <c r="F1160" s="26">
        <v>600</v>
      </c>
      <c r="G1160" s="26">
        <v>0</v>
      </c>
      <c r="H1160" s="26">
        <v>600</v>
      </c>
      <c r="I1160" s="26">
        <v>22512000</v>
      </c>
      <c r="J1160" s="26">
        <v>94800000</v>
      </c>
    </row>
    <row r="1161" spans="1:10">
      <c r="A1161" s="24">
        <v>1159</v>
      </c>
      <c r="B1161" s="24">
        <f t="shared" si="20"/>
        <v>730</v>
      </c>
      <c r="C1161" s="1" t="s">
        <v>1437</v>
      </c>
      <c r="D1161" s="1" t="s">
        <v>4</v>
      </c>
      <c r="E1161" s="1" t="s">
        <v>14</v>
      </c>
      <c r="F1161" s="26">
        <v>600</v>
      </c>
      <c r="G1161" s="26">
        <v>0</v>
      </c>
      <c r="H1161" s="26">
        <v>600</v>
      </c>
      <c r="I1161" s="26">
        <v>22512000</v>
      </c>
      <c r="J1161" s="26">
        <v>94800000</v>
      </c>
    </row>
    <row r="1162" spans="1:10">
      <c r="A1162" s="24">
        <v>1160</v>
      </c>
      <c r="B1162" s="24">
        <f t="shared" si="20"/>
        <v>731</v>
      </c>
      <c r="C1162" s="1" t="s">
        <v>1438</v>
      </c>
      <c r="D1162" s="1" t="s">
        <v>4</v>
      </c>
      <c r="E1162" s="1" t="s">
        <v>14</v>
      </c>
      <c r="F1162" s="26">
        <v>600</v>
      </c>
      <c r="G1162" s="26">
        <v>0</v>
      </c>
      <c r="H1162" s="26">
        <v>600</v>
      </c>
      <c r="I1162" s="26">
        <v>22512000</v>
      </c>
      <c r="J1162" s="26">
        <v>94800000</v>
      </c>
    </row>
    <row r="1163" spans="1:10">
      <c r="A1163" s="24">
        <v>1161</v>
      </c>
      <c r="B1163" s="24">
        <f t="shared" si="20"/>
        <v>732</v>
      </c>
      <c r="C1163" s="1" t="s">
        <v>775</v>
      </c>
      <c r="F1163" s="26">
        <v>1800</v>
      </c>
      <c r="G1163" s="26">
        <v>0</v>
      </c>
      <c r="H1163" s="26">
        <v>1800</v>
      </c>
      <c r="I1163" s="26">
        <v>67536000</v>
      </c>
      <c r="J1163" s="26">
        <v>284400000</v>
      </c>
    </row>
    <row r="1164" spans="1:10">
      <c r="A1164" s="24">
        <v>1162</v>
      </c>
      <c r="B1164" s="24">
        <f t="shared" si="20"/>
        <v>733</v>
      </c>
      <c r="C1164" s="1" t="s">
        <v>1439</v>
      </c>
      <c r="D1164" s="1" t="s">
        <v>4</v>
      </c>
      <c r="E1164" s="1" t="s">
        <v>14</v>
      </c>
      <c r="F1164" s="26">
        <v>600</v>
      </c>
      <c r="G1164" s="26">
        <v>0</v>
      </c>
      <c r="H1164" s="26">
        <v>600</v>
      </c>
      <c r="I1164" s="26">
        <v>23160000</v>
      </c>
      <c r="J1164" s="26">
        <v>89400000</v>
      </c>
    </row>
    <row r="1165" spans="1:10">
      <c r="A1165" s="24">
        <v>1163</v>
      </c>
      <c r="B1165" s="24">
        <f t="shared" si="20"/>
        <v>734</v>
      </c>
      <c r="C1165" s="1" t="s">
        <v>775</v>
      </c>
      <c r="F1165" s="26">
        <v>600</v>
      </c>
      <c r="G1165" s="26">
        <v>0</v>
      </c>
      <c r="H1165" s="26">
        <v>600</v>
      </c>
      <c r="I1165" s="26">
        <v>23160000</v>
      </c>
      <c r="J1165" s="26">
        <v>89400000</v>
      </c>
    </row>
    <row r="1166" spans="1:10">
      <c r="A1166" s="24">
        <v>1164</v>
      </c>
      <c r="B1166" s="24">
        <f t="shared" si="20"/>
        <v>735</v>
      </c>
      <c r="C1166" s="1" t="s">
        <v>1440</v>
      </c>
      <c r="D1166" s="1" t="s">
        <v>4</v>
      </c>
      <c r="E1166" s="1" t="s">
        <v>14</v>
      </c>
      <c r="F1166" s="26">
        <v>600</v>
      </c>
      <c r="G1166" s="26">
        <v>0</v>
      </c>
      <c r="H1166" s="26">
        <v>600</v>
      </c>
      <c r="I1166" s="26">
        <v>17040000</v>
      </c>
      <c r="J1166" s="26">
        <v>75000000</v>
      </c>
    </row>
    <row r="1167" spans="1:10">
      <c r="A1167" s="24">
        <v>1165</v>
      </c>
      <c r="B1167" s="24">
        <f t="shared" si="20"/>
        <v>736</v>
      </c>
      <c r="C1167" s="1" t="s">
        <v>1441</v>
      </c>
      <c r="D1167" s="1" t="s">
        <v>4</v>
      </c>
      <c r="E1167" s="1" t="s">
        <v>14</v>
      </c>
      <c r="F1167" s="26">
        <v>600</v>
      </c>
      <c r="G1167" s="26">
        <v>0</v>
      </c>
      <c r="H1167" s="26">
        <v>600</v>
      </c>
      <c r="I1167" s="26">
        <v>18300000</v>
      </c>
      <c r="J1167" s="26">
        <v>77400000</v>
      </c>
    </row>
    <row r="1168" spans="1:10">
      <c r="A1168" s="24">
        <v>1166</v>
      </c>
      <c r="B1168" s="24">
        <f t="shared" si="20"/>
        <v>737</v>
      </c>
      <c r="C1168" s="1" t="s">
        <v>775</v>
      </c>
      <c r="F1168" s="26">
        <v>1200</v>
      </c>
      <c r="G1168" s="26">
        <v>0</v>
      </c>
      <c r="H1168" s="26">
        <v>1200</v>
      </c>
      <c r="I1168" s="26">
        <v>35340000</v>
      </c>
      <c r="J1168" s="26">
        <v>152400000</v>
      </c>
    </row>
    <row r="1169" spans="1:10">
      <c r="A1169" s="24">
        <v>1167</v>
      </c>
      <c r="B1169" s="24">
        <f t="shared" si="20"/>
        <v>738</v>
      </c>
      <c r="C1169" s="1" t="s">
        <v>1442</v>
      </c>
      <c r="D1169" s="1" t="s">
        <v>4</v>
      </c>
      <c r="E1169" s="1" t="s">
        <v>14</v>
      </c>
      <c r="F1169" s="26">
        <v>999</v>
      </c>
      <c r="G1169" s="26">
        <v>0</v>
      </c>
      <c r="H1169" s="26">
        <v>1000</v>
      </c>
      <c r="I1169" s="26">
        <v>8588400.0000000019</v>
      </c>
      <c r="J1169" s="26">
        <v>49000000</v>
      </c>
    </row>
    <row r="1170" spans="1:10">
      <c r="A1170" s="24">
        <v>1168</v>
      </c>
      <c r="B1170" s="24">
        <f t="shared" si="20"/>
        <v>739</v>
      </c>
      <c r="C1170" s="1" t="s">
        <v>1443</v>
      </c>
      <c r="D1170" s="1" t="s">
        <v>4</v>
      </c>
      <c r="E1170" s="1" t="s">
        <v>14</v>
      </c>
      <c r="F1170" s="26">
        <v>1000</v>
      </c>
      <c r="G1170" s="26">
        <v>0</v>
      </c>
      <c r="H1170" s="26">
        <v>1000</v>
      </c>
      <c r="I1170" s="26">
        <v>8836400.0000000019</v>
      </c>
      <c r="J1170" s="26">
        <v>49000000</v>
      </c>
    </row>
    <row r="1171" spans="1:10">
      <c r="A1171" s="24">
        <v>1169</v>
      </c>
      <c r="B1171" s="24">
        <f t="shared" si="20"/>
        <v>740</v>
      </c>
      <c r="C1171" s="1" t="s">
        <v>775</v>
      </c>
      <c r="F1171" s="26">
        <v>1999</v>
      </c>
      <c r="G1171" s="26">
        <v>0</v>
      </c>
      <c r="H1171" s="26">
        <v>2000</v>
      </c>
      <c r="I1171" s="26">
        <v>17424800.000000004</v>
      </c>
      <c r="J1171" s="26">
        <v>98000000</v>
      </c>
    </row>
    <row r="1172" spans="1:10">
      <c r="A1172" s="24">
        <v>1170</v>
      </c>
      <c r="B1172" s="24">
        <f t="shared" si="20"/>
        <v>741</v>
      </c>
      <c r="C1172" s="1" t="s">
        <v>1444</v>
      </c>
      <c r="D1172" s="1" t="s">
        <v>4</v>
      </c>
      <c r="E1172" s="1" t="s">
        <v>14</v>
      </c>
      <c r="F1172" s="26">
        <v>1791</v>
      </c>
      <c r="G1172" s="26">
        <v>0</v>
      </c>
      <c r="H1172" s="26">
        <v>1800</v>
      </c>
      <c r="I1172" s="26">
        <v>6549112.8000000007</v>
      </c>
      <c r="J1172" s="26">
        <v>63000000</v>
      </c>
    </row>
    <row r="1173" spans="1:10">
      <c r="A1173" s="24">
        <v>1171</v>
      </c>
      <c r="B1173" s="24">
        <f t="shared" si="20"/>
        <v>742</v>
      </c>
      <c r="C1173" s="1" t="s">
        <v>1445</v>
      </c>
      <c r="D1173" s="1" t="s">
        <v>4</v>
      </c>
      <c r="E1173" s="1" t="s">
        <v>14</v>
      </c>
      <c r="F1173" s="26">
        <v>1500</v>
      </c>
      <c r="G1173" s="26">
        <v>0</v>
      </c>
      <c r="H1173" s="26">
        <v>1500</v>
      </c>
      <c r="I1173" s="26">
        <v>7515804.0000000019</v>
      </c>
      <c r="J1173" s="26">
        <v>64500000</v>
      </c>
    </row>
    <row r="1174" spans="1:10">
      <c r="A1174" s="24">
        <v>1172</v>
      </c>
      <c r="B1174" s="24">
        <f t="shared" si="20"/>
        <v>743</v>
      </c>
      <c r="C1174" s="1" t="s">
        <v>1446</v>
      </c>
      <c r="D1174" s="1" t="s">
        <v>4</v>
      </c>
      <c r="E1174" s="1" t="s">
        <v>14</v>
      </c>
      <c r="F1174" s="26">
        <v>1500</v>
      </c>
      <c r="G1174" s="26">
        <v>0</v>
      </c>
      <c r="H1174" s="26">
        <v>1500</v>
      </c>
      <c r="I1174" s="26">
        <v>7261974.0000000009</v>
      </c>
      <c r="J1174" s="26">
        <v>64500000</v>
      </c>
    </row>
    <row r="1175" spans="1:10">
      <c r="A1175" s="24">
        <v>1173</v>
      </c>
      <c r="B1175" s="24">
        <f t="shared" si="20"/>
        <v>744</v>
      </c>
      <c r="C1175" s="1" t="s">
        <v>775</v>
      </c>
      <c r="F1175" s="26">
        <v>4791</v>
      </c>
      <c r="G1175" s="26">
        <v>0</v>
      </c>
      <c r="H1175" s="26">
        <v>4800</v>
      </c>
      <c r="I1175" s="26">
        <v>21326890.800000004</v>
      </c>
      <c r="J1175" s="26">
        <v>192000000</v>
      </c>
    </row>
    <row r="1176" spans="1:10">
      <c r="A1176" s="24">
        <v>1174</v>
      </c>
      <c r="B1176" s="24">
        <f t="shared" si="20"/>
        <v>745</v>
      </c>
      <c r="C1176" s="1" t="s">
        <v>1447</v>
      </c>
      <c r="D1176" s="1" t="s">
        <v>4</v>
      </c>
      <c r="E1176" s="1" t="s">
        <v>15</v>
      </c>
      <c r="F1176" s="26">
        <v>200</v>
      </c>
      <c r="G1176" s="26">
        <v>0</v>
      </c>
      <c r="H1176" s="26">
        <v>200</v>
      </c>
      <c r="I1176" s="26">
        <v>1934545.4545454544</v>
      </c>
      <c r="J1176" s="26">
        <v>5600000</v>
      </c>
    </row>
    <row r="1177" spans="1:10">
      <c r="A1177" s="24">
        <v>1175</v>
      </c>
      <c r="B1177" s="24">
        <f t="shared" si="20"/>
        <v>746</v>
      </c>
      <c r="C1177" s="1" t="s">
        <v>1448</v>
      </c>
      <c r="D1177" s="1" t="s">
        <v>4</v>
      </c>
      <c r="E1177" s="1" t="s">
        <v>15</v>
      </c>
      <c r="F1177" s="26">
        <v>100</v>
      </c>
      <c r="G1177" s="26">
        <v>0</v>
      </c>
      <c r="H1177" s="26">
        <v>100</v>
      </c>
      <c r="I1177" s="26">
        <v>1278181.8181818181</v>
      </c>
      <c r="J1177" s="26">
        <v>3700000</v>
      </c>
    </row>
    <row r="1178" spans="1:10">
      <c r="A1178" s="24">
        <v>1176</v>
      </c>
      <c r="B1178" s="24">
        <f t="shared" si="20"/>
        <v>747</v>
      </c>
      <c r="C1178" s="1" t="s">
        <v>1449</v>
      </c>
      <c r="D1178" s="1" t="s">
        <v>4</v>
      </c>
      <c r="E1178" s="1" t="s">
        <v>15</v>
      </c>
      <c r="F1178" s="26">
        <v>100</v>
      </c>
      <c r="G1178" s="26">
        <v>0</v>
      </c>
      <c r="H1178" s="26">
        <v>100</v>
      </c>
      <c r="I1178" s="26">
        <v>1278181.8181818181</v>
      </c>
      <c r="J1178" s="26">
        <v>3700000</v>
      </c>
    </row>
    <row r="1179" spans="1:10">
      <c r="A1179" s="24">
        <v>1177</v>
      </c>
      <c r="B1179" s="24">
        <f t="shared" si="20"/>
        <v>748</v>
      </c>
      <c r="C1179" s="1" t="s">
        <v>1450</v>
      </c>
      <c r="D1179" s="1" t="s">
        <v>4</v>
      </c>
      <c r="E1179" s="1" t="s">
        <v>15</v>
      </c>
      <c r="F1179" s="26">
        <v>200</v>
      </c>
      <c r="G1179" s="26">
        <v>0</v>
      </c>
      <c r="H1179" s="26">
        <v>200</v>
      </c>
      <c r="I1179" s="26">
        <v>2349090.9090909087</v>
      </c>
      <c r="J1179" s="26">
        <v>6800000</v>
      </c>
    </row>
    <row r="1180" spans="1:10">
      <c r="A1180" s="24">
        <v>1178</v>
      </c>
      <c r="B1180" s="24">
        <f t="shared" si="20"/>
        <v>749</v>
      </c>
      <c r="C1180" s="1" t="s">
        <v>1451</v>
      </c>
      <c r="D1180" s="1" t="s">
        <v>4</v>
      </c>
      <c r="E1180" s="1" t="s">
        <v>15</v>
      </c>
      <c r="F1180" s="26">
        <v>200</v>
      </c>
      <c r="G1180" s="26">
        <v>0</v>
      </c>
      <c r="H1180" s="26">
        <v>200</v>
      </c>
      <c r="I1180" s="26">
        <v>2349090.9090909087</v>
      </c>
      <c r="J1180" s="26">
        <v>6800000</v>
      </c>
    </row>
    <row r="1181" spans="1:10">
      <c r="A1181" s="24">
        <v>1179</v>
      </c>
      <c r="B1181" s="24">
        <f t="shared" si="20"/>
        <v>750</v>
      </c>
      <c r="C1181" s="1" t="s">
        <v>1452</v>
      </c>
      <c r="D1181" s="1" t="s">
        <v>4</v>
      </c>
      <c r="E1181" s="1" t="s">
        <v>15</v>
      </c>
      <c r="F1181" s="26">
        <v>200</v>
      </c>
      <c r="G1181" s="26">
        <v>0</v>
      </c>
      <c r="H1181" s="26">
        <v>200</v>
      </c>
      <c r="I1181" s="26">
        <v>2763636.3636363633</v>
      </c>
      <c r="J1181" s="26">
        <v>8000000</v>
      </c>
    </row>
    <row r="1182" spans="1:10">
      <c r="A1182" s="24">
        <v>1180</v>
      </c>
      <c r="B1182" s="24">
        <f t="shared" si="20"/>
        <v>751</v>
      </c>
      <c r="C1182" s="1" t="s">
        <v>1453</v>
      </c>
      <c r="D1182" s="1" t="s">
        <v>4</v>
      </c>
      <c r="E1182" s="1" t="s">
        <v>15</v>
      </c>
      <c r="F1182" s="26">
        <v>200</v>
      </c>
      <c r="G1182" s="26">
        <v>0</v>
      </c>
      <c r="H1182" s="26">
        <v>200</v>
      </c>
      <c r="I1182" s="26">
        <v>3247272.7272727271</v>
      </c>
      <c r="J1182" s="26">
        <v>9400000</v>
      </c>
    </row>
    <row r="1183" spans="1:10">
      <c r="A1183" s="24">
        <v>1181</v>
      </c>
      <c r="B1183" s="24">
        <f t="shared" si="20"/>
        <v>752</v>
      </c>
      <c r="C1183" s="1" t="s">
        <v>1454</v>
      </c>
      <c r="D1183" s="1" t="s">
        <v>4</v>
      </c>
      <c r="E1183" s="1" t="s">
        <v>15</v>
      </c>
      <c r="F1183" s="26">
        <v>200</v>
      </c>
      <c r="G1183" s="26">
        <v>0</v>
      </c>
      <c r="H1183" s="26">
        <v>200</v>
      </c>
      <c r="I1183" s="26">
        <v>3247272.7272727271</v>
      </c>
      <c r="J1183" s="26">
        <v>9400000</v>
      </c>
    </row>
    <row r="1184" spans="1:10">
      <c r="A1184" s="24">
        <v>1182</v>
      </c>
      <c r="B1184" s="24">
        <f t="shared" si="20"/>
        <v>753</v>
      </c>
      <c r="C1184" s="1" t="s">
        <v>1455</v>
      </c>
      <c r="D1184" s="1" t="s">
        <v>4</v>
      </c>
      <c r="E1184" s="1" t="s">
        <v>15</v>
      </c>
      <c r="F1184" s="26">
        <v>150</v>
      </c>
      <c r="G1184" s="26">
        <v>0</v>
      </c>
      <c r="H1184" s="26">
        <v>150</v>
      </c>
      <c r="I1184" s="26">
        <v>2072727.2727272725</v>
      </c>
      <c r="J1184" s="26">
        <v>6000000</v>
      </c>
    </row>
    <row r="1185" spans="1:10">
      <c r="A1185" s="24">
        <v>1183</v>
      </c>
      <c r="B1185" s="24">
        <f t="shared" si="20"/>
        <v>754</v>
      </c>
      <c r="C1185" s="1" t="s">
        <v>1456</v>
      </c>
      <c r="D1185" s="1" t="s">
        <v>4</v>
      </c>
      <c r="E1185" s="1" t="s">
        <v>15</v>
      </c>
      <c r="F1185" s="26">
        <v>150</v>
      </c>
      <c r="G1185" s="26">
        <v>0</v>
      </c>
      <c r="H1185" s="26">
        <v>150</v>
      </c>
      <c r="I1185" s="26">
        <v>1917272.7272727271</v>
      </c>
      <c r="J1185" s="26">
        <v>5550000</v>
      </c>
    </row>
    <row r="1186" spans="1:10">
      <c r="A1186" s="24">
        <v>1184</v>
      </c>
      <c r="B1186" s="24">
        <f t="shared" si="20"/>
        <v>755</v>
      </c>
      <c r="C1186" s="1" t="s">
        <v>1457</v>
      </c>
      <c r="D1186" s="1" t="s">
        <v>2</v>
      </c>
      <c r="E1186" s="1" t="s">
        <v>15</v>
      </c>
      <c r="F1186" s="26">
        <v>80</v>
      </c>
      <c r="G1186" s="26">
        <v>0</v>
      </c>
      <c r="H1186" s="26">
        <v>80</v>
      </c>
      <c r="I1186" s="26">
        <v>1022545.4545454544</v>
      </c>
      <c r="J1186" s="26">
        <v>2960000</v>
      </c>
    </row>
    <row r="1187" spans="1:10">
      <c r="A1187" s="24">
        <v>1185</v>
      </c>
      <c r="B1187" s="24">
        <f t="shared" si="20"/>
        <v>755</v>
      </c>
      <c r="C1187" s="1" t="s">
        <v>1457</v>
      </c>
      <c r="D1187" s="1" t="s">
        <v>5</v>
      </c>
      <c r="E1187" s="1" t="s">
        <v>15</v>
      </c>
      <c r="F1187" s="26">
        <v>120</v>
      </c>
      <c r="G1187" s="26">
        <v>0</v>
      </c>
      <c r="H1187" s="26">
        <v>120</v>
      </c>
      <c r="I1187" s="26">
        <v>1533818.1818181816</v>
      </c>
      <c r="J1187" s="26">
        <v>4440000</v>
      </c>
    </row>
    <row r="1188" spans="1:10">
      <c r="A1188" s="24">
        <v>1186</v>
      </c>
      <c r="B1188" s="24">
        <f t="shared" si="20"/>
        <v>756</v>
      </c>
      <c r="C1188" s="1" t="s">
        <v>1458</v>
      </c>
      <c r="D1188" s="1" t="s">
        <v>2</v>
      </c>
      <c r="E1188" s="1" t="s">
        <v>15</v>
      </c>
      <c r="F1188" s="26">
        <v>50</v>
      </c>
      <c r="G1188" s="26">
        <v>0</v>
      </c>
      <c r="H1188" s="26">
        <v>50</v>
      </c>
      <c r="I1188" s="26">
        <v>639090.90909090906</v>
      </c>
      <c r="J1188" s="26">
        <v>1850000</v>
      </c>
    </row>
    <row r="1189" spans="1:10">
      <c r="A1189" s="24">
        <v>1187</v>
      </c>
      <c r="B1189" s="24">
        <f t="shared" si="20"/>
        <v>756</v>
      </c>
      <c r="C1189" s="1" t="s">
        <v>1458</v>
      </c>
      <c r="D1189" s="1" t="s">
        <v>5</v>
      </c>
      <c r="E1189" s="1" t="s">
        <v>15</v>
      </c>
      <c r="F1189" s="26">
        <v>100</v>
      </c>
      <c r="G1189" s="26">
        <v>0</v>
      </c>
      <c r="H1189" s="26">
        <v>100</v>
      </c>
      <c r="I1189" s="26">
        <v>1278181.8181818181</v>
      </c>
      <c r="J1189" s="26">
        <v>3700000</v>
      </c>
    </row>
    <row r="1190" spans="1:10">
      <c r="A1190" s="24">
        <v>1188</v>
      </c>
      <c r="B1190" s="24">
        <f t="shared" si="20"/>
        <v>757</v>
      </c>
      <c r="C1190" s="1" t="s">
        <v>1459</v>
      </c>
      <c r="D1190" s="1" t="s">
        <v>4</v>
      </c>
      <c r="E1190" s="1" t="s">
        <v>15</v>
      </c>
      <c r="F1190" s="26">
        <v>100</v>
      </c>
      <c r="G1190" s="26">
        <v>0</v>
      </c>
      <c r="H1190" s="26">
        <v>100</v>
      </c>
      <c r="I1190" s="26">
        <v>1278181.8181818181</v>
      </c>
      <c r="J1190" s="26">
        <v>3700000</v>
      </c>
    </row>
    <row r="1191" spans="1:10">
      <c r="A1191" s="24">
        <v>1189</v>
      </c>
      <c r="B1191" s="24">
        <f t="shared" si="20"/>
        <v>758</v>
      </c>
      <c r="C1191" s="1" t="s">
        <v>1460</v>
      </c>
      <c r="D1191" s="1" t="s">
        <v>4</v>
      </c>
      <c r="E1191" s="1" t="s">
        <v>15</v>
      </c>
      <c r="F1191" s="26">
        <v>100</v>
      </c>
      <c r="G1191" s="26">
        <v>0</v>
      </c>
      <c r="H1191" s="26">
        <v>100</v>
      </c>
      <c r="I1191" s="26">
        <v>1278181.8181818181</v>
      </c>
      <c r="J1191" s="26">
        <v>3700000</v>
      </c>
    </row>
    <row r="1192" spans="1:10">
      <c r="A1192" s="24">
        <v>1190</v>
      </c>
      <c r="B1192" s="24">
        <f t="shared" si="20"/>
        <v>759</v>
      </c>
      <c r="C1192" s="1" t="s">
        <v>775</v>
      </c>
      <c r="F1192" s="26">
        <v>2250</v>
      </c>
      <c r="G1192" s="26">
        <v>0</v>
      </c>
      <c r="H1192" s="26">
        <v>2250</v>
      </c>
      <c r="I1192" s="26">
        <v>29467272.727272719</v>
      </c>
      <c r="J1192" s="26">
        <v>85300000</v>
      </c>
    </row>
    <row r="1193" spans="1:10">
      <c r="A1193" s="24">
        <v>1191</v>
      </c>
      <c r="B1193" s="24">
        <f t="shared" si="20"/>
        <v>760</v>
      </c>
      <c r="C1193" s="1" t="s">
        <v>1461</v>
      </c>
      <c r="D1193" s="1" t="s">
        <v>4</v>
      </c>
      <c r="E1193" s="1" t="s">
        <v>14</v>
      </c>
      <c r="F1193" s="26">
        <v>800</v>
      </c>
      <c r="G1193" s="26">
        <v>0</v>
      </c>
      <c r="H1193" s="26">
        <v>800</v>
      </c>
      <c r="I1193" s="26">
        <v>7484400</v>
      </c>
      <c r="J1193" s="26">
        <v>52000000</v>
      </c>
    </row>
    <row r="1194" spans="1:10">
      <c r="A1194" s="24">
        <v>1192</v>
      </c>
      <c r="B1194" s="24">
        <f t="shared" si="20"/>
        <v>761</v>
      </c>
      <c r="C1194" s="1" t="s">
        <v>1462</v>
      </c>
      <c r="D1194" s="1" t="s">
        <v>4</v>
      </c>
      <c r="E1194" s="1" t="s">
        <v>14</v>
      </c>
      <c r="F1194" s="26">
        <v>800</v>
      </c>
      <c r="G1194" s="26">
        <v>0</v>
      </c>
      <c r="H1194" s="26">
        <v>800</v>
      </c>
      <c r="I1194" s="26">
        <v>10328472</v>
      </c>
      <c r="J1194" s="26">
        <v>60000000</v>
      </c>
    </row>
    <row r="1195" spans="1:10">
      <c r="A1195" s="24">
        <v>1193</v>
      </c>
      <c r="B1195" s="24">
        <f t="shared" si="20"/>
        <v>762</v>
      </c>
      <c r="C1195" s="1" t="s">
        <v>1463</v>
      </c>
      <c r="D1195" s="1" t="s">
        <v>4</v>
      </c>
      <c r="E1195" s="1" t="s">
        <v>14</v>
      </c>
      <c r="F1195" s="26">
        <v>800</v>
      </c>
      <c r="G1195" s="26">
        <v>0</v>
      </c>
      <c r="H1195" s="26">
        <v>800</v>
      </c>
      <c r="I1195" s="26">
        <v>7251560.0000000009</v>
      </c>
      <c r="J1195" s="26">
        <v>52000000</v>
      </c>
    </row>
    <row r="1196" spans="1:10">
      <c r="A1196" s="24">
        <v>1194</v>
      </c>
      <c r="B1196" s="24">
        <f t="shared" si="20"/>
        <v>763</v>
      </c>
      <c r="C1196" s="1" t="s">
        <v>1504</v>
      </c>
      <c r="D1196" s="1" t="s">
        <v>4</v>
      </c>
      <c r="E1196" s="1" t="s">
        <v>14</v>
      </c>
      <c r="F1196" s="26">
        <v>787</v>
      </c>
      <c r="G1196" s="26">
        <v>0</v>
      </c>
      <c r="H1196" s="26">
        <v>800</v>
      </c>
      <c r="I1196" s="26">
        <v>9073992.0000000019</v>
      </c>
      <c r="J1196" s="26">
        <v>55200000</v>
      </c>
    </row>
    <row r="1197" spans="1:10">
      <c r="A1197" s="24">
        <v>1195</v>
      </c>
      <c r="B1197" s="24">
        <f t="shared" si="20"/>
        <v>764</v>
      </c>
      <c r="C1197" s="1" t="s">
        <v>775</v>
      </c>
      <c r="F1197" s="26">
        <v>3187</v>
      </c>
      <c r="G1197" s="26">
        <v>0</v>
      </c>
      <c r="H1197" s="26">
        <v>3200</v>
      </c>
      <c r="I1197" s="26">
        <v>34138424</v>
      </c>
      <c r="J1197" s="26">
        <v>219200000</v>
      </c>
    </row>
    <row r="1198" spans="1:10">
      <c r="A1198" s="24">
        <v>1196</v>
      </c>
      <c r="B1198" s="24">
        <f t="shared" si="20"/>
        <v>765</v>
      </c>
      <c r="C1198" s="1" t="s">
        <v>1464</v>
      </c>
      <c r="D1198" s="1" t="s">
        <v>4</v>
      </c>
      <c r="E1198" s="1" t="s">
        <v>14</v>
      </c>
      <c r="F1198" s="26">
        <v>1000</v>
      </c>
      <c r="G1198" s="26">
        <v>0</v>
      </c>
      <c r="H1198" s="26">
        <v>1000</v>
      </c>
      <c r="I1198" s="26">
        <v>5587600</v>
      </c>
      <c r="J1198" s="26">
        <v>43000000</v>
      </c>
    </row>
    <row r="1199" spans="1:10">
      <c r="A1199" s="24">
        <v>1197</v>
      </c>
      <c r="B1199" s="24">
        <f t="shared" si="20"/>
        <v>766</v>
      </c>
      <c r="C1199" s="1" t="s">
        <v>1465</v>
      </c>
      <c r="D1199" s="1" t="s">
        <v>4</v>
      </c>
      <c r="E1199" s="1" t="s">
        <v>14</v>
      </c>
      <c r="F1199" s="26">
        <v>1000</v>
      </c>
      <c r="G1199" s="26">
        <v>0</v>
      </c>
      <c r="H1199" s="26">
        <v>1000</v>
      </c>
      <c r="I1199" s="26">
        <v>5360120</v>
      </c>
      <c r="J1199" s="26">
        <v>43000000</v>
      </c>
    </row>
    <row r="1200" spans="1:10">
      <c r="A1200" s="24">
        <v>1198</v>
      </c>
      <c r="B1200" s="24">
        <f t="shared" si="20"/>
        <v>767</v>
      </c>
      <c r="C1200" s="1" t="s">
        <v>1468</v>
      </c>
      <c r="D1200" s="1" t="s">
        <v>4</v>
      </c>
      <c r="E1200" s="1" t="s">
        <v>14</v>
      </c>
      <c r="F1200" s="26">
        <v>748</v>
      </c>
      <c r="G1200" s="26">
        <v>0</v>
      </c>
      <c r="H1200" s="26">
        <v>750</v>
      </c>
      <c r="I1200" s="26">
        <v>4019175.0000000005</v>
      </c>
      <c r="J1200" s="26">
        <v>32250000</v>
      </c>
    </row>
    <row r="1201" spans="1:10">
      <c r="A1201" s="24">
        <v>1199</v>
      </c>
      <c r="B1201" s="24">
        <f t="shared" si="20"/>
        <v>768</v>
      </c>
      <c r="C1201" s="1" t="s">
        <v>1469</v>
      </c>
      <c r="D1201" s="1" t="s">
        <v>4</v>
      </c>
      <c r="E1201" s="1" t="s">
        <v>14</v>
      </c>
      <c r="F1201" s="26">
        <v>499</v>
      </c>
      <c r="G1201" s="26">
        <v>0</v>
      </c>
      <c r="H1201" s="26">
        <v>500</v>
      </c>
      <c r="I1201" s="26">
        <v>2696950.0000000005</v>
      </c>
      <c r="J1201" s="26">
        <v>21500000</v>
      </c>
    </row>
    <row r="1202" spans="1:10">
      <c r="A1202" s="24">
        <v>1200</v>
      </c>
      <c r="B1202" s="24">
        <f t="shared" si="20"/>
        <v>769</v>
      </c>
      <c r="C1202" s="1" t="s">
        <v>1470</v>
      </c>
      <c r="D1202" s="1" t="s">
        <v>4</v>
      </c>
      <c r="E1202" s="1" t="s">
        <v>14</v>
      </c>
      <c r="F1202" s="26">
        <v>500</v>
      </c>
      <c r="G1202" s="26">
        <v>0</v>
      </c>
      <c r="H1202" s="26">
        <v>500</v>
      </c>
      <c r="I1202" s="26">
        <v>2916910</v>
      </c>
      <c r="J1202" s="26">
        <v>24500000</v>
      </c>
    </row>
    <row r="1203" spans="1:10">
      <c r="A1203" s="24">
        <v>1201</v>
      </c>
      <c r="B1203" s="24">
        <f t="shared" si="20"/>
        <v>770</v>
      </c>
      <c r="C1203" s="1" t="s">
        <v>1471</v>
      </c>
      <c r="D1203" s="1" t="s">
        <v>4</v>
      </c>
      <c r="E1203" s="1" t="s">
        <v>14</v>
      </c>
      <c r="F1203" s="26">
        <v>499</v>
      </c>
      <c r="G1203" s="26">
        <v>0</v>
      </c>
      <c r="H1203" s="26">
        <v>500</v>
      </c>
      <c r="I1203" s="26">
        <v>2991910</v>
      </c>
      <c r="J1203" s="26">
        <v>24500000</v>
      </c>
    </row>
    <row r="1204" spans="1:10">
      <c r="A1204" s="24">
        <v>1202</v>
      </c>
      <c r="B1204" s="24">
        <f t="shared" si="20"/>
        <v>771</v>
      </c>
      <c r="C1204" s="1" t="s">
        <v>775</v>
      </c>
      <c r="F1204" s="26">
        <v>4246</v>
      </c>
      <c r="G1204" s="26">
        <v>0</v>
      </c>
      <c r="H1204" s="26">
        <v>4250</v>
      </c>
      <c r="I1204" s="26">
        <v>23572665</v>
      </c>
      <c r="J1204" s="26">
        <v>188750000</v>
      </c>
    </row>
    <row r="1205" spans="1:10">
      <c r="A1205" s="24">
        <v>1203</v>
      </c>
      <c r="B1205" s="24">
        <f t="shared" si="20"/>
        <v>772</v>
      </c>
      <c r="C1205" s="1" t="s">
        <v>1466</v>
      </c>
      <c r="D1205" s="1" t="s">
        <v>4</v>
      </c>
      <c r="E1205" s="1" t="s">
        <v>14</v>
      </c>
      <c r="F1205" s="26">
        <v>738</v>
      </c>
      <c r="G1205" s="26">
        <v>0</v>
      </c>
      <c r="H1205" s="26">
        <v>750</v>
      </c>
      <c r="I1205" s="26">
        <v>3272625</v>
      </c>
      <c r="J1205" s="26">
        <v>32250000</v>
      </c>
    </row>
    <row r="1206" spans="1:10">
      <c r="A1206" s="24">
        <v>1204</v>
      </c>
      <c r="B1206" s="24">
        <f t="shared" si="20"/>
        <v>773</v>
      </c>
      <c r="C1206" s="1" t="s">
        <v>1467</v>
      </c>
      <c r="D1206" s="1" t="s">
        <v>4</v>
      </c>
      <c r="E1206" s="1" t="s">
        <v>14</v>
      </c>
      <c r="F1206" s="26">
        <v>750</v>
      </c>
      <c r="G1206" s="26">
        <v>0</v>
      </c>
      <c r="H1206" s="26">
        <v>750</v>
      </c>
      <c r="I1206" s="26">
        <v>3090067.5</v>
      </c>
      <c r="J1206" s="26">
        <v>32250000</v>
      </c>
    </row>
    <row r="1207" spans="1:10">
      <c r="A1207" s="24">
        <v>1205</v>
      </c>
      <c r="B1207" s="24">
        <f t="shared" si="20"/>
        <v>774</v>
      </c>
      <c r="C1207" s="1" t="s">
        <v>775</v>
      </c>
      <c r="F1207" s="26">
        <v>1488</v>
      </c>
      <c r="G1207" s="26">
        <v>0</v>
      </c>
      <c r="H1207" s="26">
        <v>1500</v>
      </c>
      <c r="I1207" s="26">
        <v>6362692.5</v>
      </c>
      <c r="J1207" s="26">
        <v>64500000</v>
      </c>
    </row>
    <row r="1208" spans="1:10">
      <c r="A1208" s="24">
        <v>1206</v>
      </c>
      <c r="B1208" s="24">
        <f t="shared" si="20"/>
        <v>775</v>
      </c>
      <c r="C1208" s="1" t="s">
        <v>1472</v>
      </c>
      <c r="D1208" s="1" t="s">
        <v>4</v>
      </c>
      <c r="E1208" s="1" t="s">
        <v>14</v>
      </c>
      <c r="F1208" s="26">
        <v>1499</v>
      </c>
      <c r="G1208" s="26">
        <v>0</v>
      </c>
      <c r="H1208" s="26">
        <v>1500</v>
      </c>
      <c r="I1208" s="26">
        <v>8431350</v>
      </c>
      <c r="J1208" s="26">
        <v>67500000</v>
      </c>
    </row>
    <row r="1209" spans="1:10">
      <c r="A1209" s="24">
        <v>1207</v>
      </c>
      <c r="B1209" s="24">
        <f t="shared" si="20"/>
        <v>776</v>
      </c>
      <c r="C1209" s="1" t="s">
        <v>775</v>
      </c>
      <c r="F1209" s="26">
        <v>1499</v>
      </c>
      <c r="G1209" s="26">
        <v>0</v>
      </c>
      <c r="H1209" s="26">
        <v>1500</v>
      </c>
      <c r="I1209" s="26">
        <v>8431350</v>
      </c>
      <c r="J1209" s="26">
        <v>67500000</v>
      </c>
    </row>
    <row r="1210" spans="1:10">
      <c r="A1210" s="24">
        <v>1208</v>
      </c>
      <c r="B1210" s="24">
        <f t="shared" si="20"/>
        <v>777</v>
      </c>
      <c r="C1210" s="1" t="s">
        <v>1473</v>
      </c>
      <c r="D1210" s="1" t="s">
        <v>4</v>
      </c>
      <c r="E1210" s="1" t="s">
        <v>14</v>
      </c>
      <c r="F1210" s="26">
        <v>1461</v>
      </c>
      <c r="G1210" s="26">
        <v>0</v>
      </c>
      <c r="H1210" s="26">
        <v>1500</v>
      </c>
      <c r="I1210" s="26">
        <v>13035000</v>
      </c>
      <c r="J1210" s="26">
        <v>67500000</v>
      </c>
    </row>
    <row r="1211" spans="1:10">
      <c r="A1211" s="24">
        <v>1209</v>
      </c>
      <c r="B1211" s="24">
        <f t="shared" si="20"/>
        <v>778</v>
      </c>
      <c r="C1211" s="1" t="s">
        <v>775</v>
      </c>
      <c r="F1211" s="26">
        <v>1461</v>
      </c>
      <c r="G1211" s="26">
        <v>0</v>
      </c>
      <c r="H1211" s="26">
        <v>1500</v>
      </c>
      <c r="I1211" s="26">
        <v>13035000</v>
      </c>
      <c r="J1211" s="26">
        <v>67500000</v>
      </c>
    </row>
    <row r="1212" spans="1:10">
      <c r="A1212" s="24">
        <v>1210</v>
      </c>
      <c r="B1212" s="24">
        <f t="shared" si="20"/>
        <v>779</v>
      </c>
      <c r="C1212" s="1" t="s">
        <v>1474</v>
      </c>
      <c r="D1212" s="1" t="s">
        <v>4</v>
      </c>
      <c r="E1212" s="1" t="s">
        <v>14</v>
      </c>
      <c r="F1212" s="26">
        <v>1197</v>
      </c>
      <c r="G1212" s="26">
        <v>0</v>
      </c>
      <c r="H1212" s="26">
        <v>1200</v>
      </c>
      <c r="I1212" s="26">
        <v>6259627.1999999993</v>
      </c>
      <c r="J1212" s="26">
        <v>51600000</v>
      </c>
    </row>
    <row r="1213" spans="1:10">
      <c r="A1213" s="24">
        <v>1211</v>
      </c>
      <c r="B1213" s="24">
        <f t="shared" si="20"/>
        <v>780</v>
      </c>
      <c r="C1213" s="1" t="s">
        <v>775</v>
      </c>
      <c r="F1213" s="26">
        <v>1197</v>
      </c>
      <c r="G1213" s="26">
        <v>0</v>
      </c>
      <c r="H1213" s="26">
        <v>1200</v>
      </c>
      <c r="I1213" s="26">
        <v>6259627.1999999993</v>
      </c>
      <c r="J1213" s="26">
        <v>51600000</v>
      </c>
    </row>
    <row r="1214" spans="1:10">
      <c r="A1214" s="24">
        <v>1212</v>
      </c>
      <c r="B1214" s="24">
        <f t="shared" si="20"/>
        <v>781</v>
      </c>
      <c r="C1214" s="1" t="s">
        <v>1475</v>
      </c>
      <c r="D1214" s="1" t="s">
        <v>4</v>
      </c>
      <c r="E1214" s="1" t="s">
        <v>14</v>
      </c>
      <c r="F1214" s="26">
        <v>1000</v>
      </c>
      <c r="G1214" s="26">
        <v>0</v>
      </c>
      <c r="H1214" s="26">
        <v>1000</v>
      </c>
      <c r="I1214" s="26">
        <v>4884674.0000000009</v>
      </c>
      <c r="J1214" s="26">
        <v>43000000</v>
      </c>
    </row>
    <row r="1215" spans="1:10">
      <c r="A1215" s="24">
        <v>1213</v>
      </c>
      <c r="B1215" s="24">
        <f t="shared" si="20"/>
        <v>781</v>
      </c>
      <c r="C1215" s="1" t="s">
        <v>1475</v>
      </c>
      <c r="D1215" s="1" t="s">
        <v>5</v>
      </c>
      <c r="E1215" s="1" t="s">
        <v>14</v>
      </c>
      <c r="F1215" s="26">
        <v>500</v>
      </c>
      <c r="G1215" s="26">
        <v>0</v>
      </c>
      <c r="H1215" s="26">
        <v>500</v>
      </c>
      <c r="I1215" s="26">
        <v>2442337.0000000005</v>
      </c>
      <c r="J1215" s="26">
        <v>21500000</v>
      </c>
    </row>
    <row r="1216" spans="1:10">
      <c r="A1216" s="24">
        <v>1214</v>
      </c>
      <c r="B1216" s="24">
        <f t="shared" si="20"/>
        <v>782</v>
      </c>
      <c r="C1216" s="1" t="s">
        <v>1476</v>
      </c>
      <c r="D1216" s="1" t="s">
        <v>4</v>
      </c>
      <c r="E1216" s="1" t="s">
        <v>14</v>
      </c>
      <c r="F1216" s="26">
        <v>1000</v>
      </c>
      <c r="G1216" s="26">
        <v>0</v>
      </c>
      <c r="H1216" s="26">
        <v>1000</v>
      </c>
      <c r="I1216" s="26">
        <v>4447656</v>
      </c>
      <c r="J1216" s="26">
        <v>35000000</v>
      </c>
    </row>
    <row r="1217" spans="1:10">
      <c r="A1217" s="24">
        <v>1215</v>
      </c>
      <c r="B1217" s="24">
        <f t="shared" si="20"/>
        <v>782</v>
      </c>
      <c r="C1217" s="1" t="s">
        <v>1476</v>
      </c>
      <c r="D1217" s="1" t="s">
        <v>5</v>
      </c>
      <c r="E1217" s="1" t="s">
        <v>14</v>
      </c>
      <c r="F1217" s="26">
        <v>500</v>
      </c>
      <c r="G1217" s="26">
        <v>0</v>
      </c>
      <c r="H1217" s="26">
        <v>500</v>
      </c>
      <c r="I1217" s="26">
        <v>2223828</v>
      </c>
      <c r="J1217" s="26">
        <v>17500000</v>
      </c>
    </row>
    <row r="1218" spans="1:10">
      <c r="A1218" s="24">
        <v>1216</v>
      </c>
      <c r="B1218" s="24">
        <f t="shared" si="20"/>
        <v>783</v>
      </c>
      <c r="C1218" s="1" t="s">
        <v>1444</v>
      </c>
      <c r="D1218" s="1" t="s">
        <v>5</v>
      </c>
      <c r="E1218" s="1" t="s">
        <v>14</v>
      </c>
      <c r="F1218" s="26">
        <v>800</v>
      </c>
      <c r="G1218" s="26">
        <v>0</v>
      </c>
      <c r="H1218" s="26">
        <v>800</v>
      </c>
      <c r="I1218" s="26">
        <v>2910716.8000000007</v>
      </c>
      <c r="J1218" s="26">
        <v>28000000</v>
      </c>
    </row>
    <row r="1219" spans="1:10">
      <c r="A1219" s="24">
        <v>1217</v>
      </c>
      <c r="B1219" s="24">
        <f t="shared" si="20"/>
        <v>784</v>
      </c>
      <c r="C1219" s="1" t="s">
        <v>775</v>
      </c>
      <c r="F1219" s="26">
        <v>3800</v>
      </c>
      <c r="G1219" s="26">
        <v>0</v>
      </c>
      <c r="H1219" s="26">
        <v>3800</v>
      </c>
      <c r="I1219" s="26">
        <v>16909211.800000004</v>
      </c>
      <c r="J1219" s="26">
        <v>145000000</v>
      </c>
    </row>
    <row r="1220" spans="1:10">
      <c r="A1220" s="24">
        <v>1218</v>
      </c>
      <c r="B1220" s="24">
        <f t="shared" si="20"/>
        <v>785</v>
      </c>
      <c r="C1220" s="1" t="s">
        <v>1477</v>
      </c>
      <c r="D1220" s="1" t="s">
        <v>4</v>
      </c>
      <c r="E1220" s="1" t="s">
        <v>14</v>
      </c>
      <c r="F1220" s="26">
        <v>1474</v>
      </c>
      <c r="G1220" s="26">
        <v>0</v>
      </c>
      <c r="H1220" s="26">
        <v>1500</v>
      </c>
      <c r="I1220" s="26">
        <v>11220000</v>
      </c>
      <c r="J1220" s="26">
        <v>73500000</v>
      </c>
    </row>
    <row r="1221" spans="1:10">
      <c r="A1221" s="24">
        <v>1219</v>
      </c>
      <c r="B1221" s="24">
        <f t="shared" si="20"/>
        <v>785</v>
      </c>
      <c r="C1221" s="1" t="s">
        <v>1477</v>
      </c>
      <c r="D1221" s="1" t="s">
        <v>5</v>
      </c>
      <c r="E1221" s="1" t="s">
        <v>14</v>
      </c>
      <c r="F1221" s="26">
        <v>800</v>
      </c>
      <c r="G1221" s="26">
        <v>0</v>
      </c>
      <c r="H1221" s="26">
        <v>800</v>
      </c>
      <c r="I1221" s="26">
        <v>5984000</v>
      </c>
      <c r="J1221" s="26">
        <v>39200000</v>
      </c>
    </row>
    <row r="1222" spans="1:10">
      <c r="A1222" s="24">
        <v>1220</v>
      </c>
      <c r="B1222" s="24">
        <f t="shared" si="20"/>
        <v>786</v>
      </c>
      <c r="C1222" s="1" t="s">
        <v>1478</v>
      </c>
      <c r="D1222" s="1" t="s">
        <v>5</v>
      </c>
      <c r="E1222" s="1" t="s">
        <v>14</v>
      </c>
      <c r="F1222" s="26">
        <v>800</v>
      </c>
      <c r="G1222" s="26">
        <v>0</v>
      </c>
      <c r="H1222" s="26">
        <v>800</v>
      </c>
      <c r="I1222" s="26">
        <v>5984000</v>
      </c>
      <c r="J1222" s="26">
        <v>39200000</v>
      </c>
    </row>
    <row r="1223" spans="1:10">
      <c r="A1223" s="24">
        <v>1221</v>
      </c>
      <c r="B1223" s="24">
        <f t="shared" si="20"/>
        <v>786</v>
      </c>
      <c r="C1223" s="1" t="s">
        <v>1478</v>
      </c>
      <c r="D1223" s="1" t="s">
        <v>4</v>
      </c>
      <c r="E1223" s="1" t="s">
        <v>14</v>
      </c>
      <c r="F1223" s="26">
        <v>300</v>
      </c>
      <c r="G1223" s="26">
        <v>0</v>
      </c>
      <c r="H1223" s="26">
        <v>300</v>
      </c>
      <c r="I1223" s="26">
        <v>2244000</v>
      </c>
      <c r="J1223" s="26">
        <v>14700000</v>
      </c>
    </row>
    <row r="1224" spans="1:10">
      <c r="A1224" s="24">
        <v>1222</v>
      </c>
      <c r="B1224" s="24">
        <f t="shared" ref="B1224:B1242" si="21">IF(C1223=C1224,B1223,B1223+1)</f>
        <v>787</v>
      </c>
      <c r="C1224" s="1" t="s">
        <v>775</v>
      </c>
      <c r="F1224" s="26">
        <v>3374</v>
      </c>
      <c r="G1224" s="26">
        <v>0</v>
      </c>
      <c r="H1224" s="26">
        <v>3400</v>
      </c>
      <c r="I1224" s="26">
        <v>25432000</v>
      </c>
      <c r="J1224" s="26">
        <v>166600000</v>
      </c>
    </row>
    <row r="1225" spans="1:10">
      <c r="A1225" s="24">
        <v>1223</v>
      </c>
      <c r="B1225" s="24">
        <f t="shared" si="21"/>
        <v>788</v>
      </c>
      <c r="C1225" s="1" t="s">
        <v>1505</v>
      </c>
      <c r="D1225" s="1" t="s">
        <v>4</v>
      </c>
      <c r="E1225" s="1" t="s">
        <v>14</v>
      </c>
      <c r="F1225" s="26">
        <v>1000</v>
      </c>
      <c r="G1225" s="26">
        <v>0</v>
      </c>
      <c r="H1225" s="26">
        <v>1000</v>
      </c>
      <c r="I1225" s="26">
        <v>4036628</v>
      </c>
      <c r="J1225" s="26">
        <v>45000000</v>
      </c>
    </row>
    <row r="1226" spans="1:10">
      <c r="A1226" s="24">
        <v>1224</v>
      </c>
      <c r="B1226" s="24">
        <f t="shared" si="21"/>
        <v>789</v>
      </c>
      <c r="C1226" s="1" t="s">
        <v>1506</v>
      </c>
      <c r="D1226" s="1" t="s">
        <v>1359</v>
      </c>
      <c r="E1226" s="1" t="s">
        <v>14</v>
      </c>
      <c r="F1226" s="26">
        <v>200</v>
      </c>
      <c r="G1226" s="26">
        <v>0</v>
      </c>
      <c r="H1226" s="26">
        <v>200</v>
      </c>
      <c r="I1226" s="26">
        <v>840273.59999999986</v>
      </c>
      <c r="J1226" s="26">
        <v>9800000</v>
      </c>
    </row>
    <row r="1227" spans="1:10">
      <c r="A1227" s="24">
        <v>1225</v>
      </c>
      <c r="B1227" s="24">
        <f t="shared" si="21"/>
        <v>789</v>
      </c>
      <c r="C1227" s="1" t="s">
        <v>1506</v>
      </c>
      <c r="D1227" s="1" t="s">
        <v>2</v>
      </c>
      <c r="E1227" s="1" t="s">
        <v>14</v>
      </c>
      <c r="F1227" s="26">
        <v>300</v>
      </c>
      <c r="G1227" s="26">
        <v>0</v>
      </c>
      <c r="H1227" s="26">
        <v>300</v>
      </c>
      <c r="I1227" s="26">
        <v>1260410.3999999999</v>
      </c>
      <c r="J1227" s="26">
        <v>14700000</v>
      </c>
    </row>
    <row r="1228" spans="1:10">
      <c r="A1228" s="24">
        <v>1226</v>
      </c>
      <c r="B1228" s="24">
        <f t="shared" si="21"/>
        <v>789</v>
      </c>
      <c r="C1228" s="1" t="s">
        <v>1506</v>
      </c>
      <c r="D1228" s="1" t="s">
        <v>3</v>
      </c>
      <c r="E1228" s="1" t="s">
        <v>14</v>
      </c>
      <c r="F1228" s="26">
        <v>292</v>
      </c>
      <c r="G1228" s="26">
        <v>0</v>
      </c>
      <c r="H1228" s="26">
        <v>300</v>
      </c>
      <c r="I1228" s="26">
        <v>1260410.3999999999</v>
      </c>
      <c r="J1228" s="26">
        <v>14700000</v>
      </c>
    </row>
    <row r="1229" spans="1:10">
      <c r="A1229" s="24">
        <v>1227</v>
      </c>
      <c r="B1229" s="24">
        <f t="shared" si="21"/>
        <v>789</v>
      </c>
      <c r="C1229" s="1" t="s">
        <v>1506</v>
      </c>
      <c r="D1229" s="1" t="s">
        <v>5</v>
      </c>
      <c r="E1229" s="1" t="s">
        <v>14</v>
      </c>
      <c r="F1229" s="26">
        <v>200</v>
      </c>
      <c r="G1229" s="26">
        <v>0</v>
      </c>
      <c r="H1229" s="26">
        <v>200</v>
      </c>
      <c r="I1229" s="26">
        <v>840273.59999999986</v>
      </c>
      <c r="J1229" s="26">
        <v>9800000</v>
      </c>
    </row>
    <row r="1230" spans="1:10">
      <c r="A1230" s="24">
        <v>1228</v>
      </c>
      <c r="B1230" s="24">
        <f t="shared" si="21"/>
        <v>790</v>
      </c>
      <c r="C1230" s="1" t="s">
        <v>775</v>
      </c>
      <c r="F1230" s="26">
        <v>1992</v>
      </c>
      <c r="G1230" s="26">
        <v>0</v>
      </c>
      <c r="H1230" s="26">
        <v>2000</v>
      </c>
      <c r="I1230" s="26">
        <v>8237996</v>
      </c>
      <c r="J1230" s="26">
        <v>94000000</v>
      </c>
    </row>
    <row r="1231" spans="1:10">
      <c r="A1231" s="24">
        <v>1229</v>
      </c>
      <c r="B1231" s="24">
        <f t="shared" si="21"/>
        <v>791</v>
      </c>
      <c r="C1231" s="1" t="s">
        <v>1507</v>
      </c>
      <c r="D1231" s="1" t="s">
        <v>8</v>
      </c>
      <c r="E1231" s="1" t="s">
        <v>14</v>
      </c>
      <c r="F1231" s="26">
        <v>500</v>
      </c>
      <c r="G1231" s="26">
        <v>0</v>
      </c>
      <c r="H1231" s="26">
        <v>500</v>
      </c>
      <c r="I1231" s="26">
        <v>17010000</v>
      </c>
      <c r="J1231" s="26">
        <v>64500000</v>
      </c>
    </row>
    <row r="1232" spans="1:10">
      <c r="A1232" s="24">
        <v>1230</v>
      </c>
      <c r="B1232" s="24">
        <f t="shared" si="21"/>
        <v>792</v>
      </c>
      <c r="C1232" s="1" t="s">
        <v>1508</v>
      </c>
      <c r="D1232" s="1" t="s">
        <v>8</v>
      </c>
      <c r="E1232" s="1" t="s">
        <v>14</v>
      </c>
      <c r="F1232" s="26">
        <v>500</v>
      </c>
      <c r="G1232" s="26">
        <v>0</v>
      </c>
      <c r="H1232" s="26">
        <v>500</v>
      </c>
      <c r="I1232" s="26">
        <v>17260000</v>
      </c>
      <c r="J1232" s="26">
        <v>64500000</v>
      </c>
    </row>
    <row r="1233" spans="1:10">
      <c r="A1233" s="24">
        <v>1231</v>
      </c>
      <c r="B1233" s="24">
        <f t="shared" si="21"/>
        <v>793</v>
      </c>
      <c r="C1233" s="1" t="s">
        <v>1509</v>
      </c>
      <c r="D1233" s="1" t="s">
        <v>8</v>
      </c>
      <c r="E1233" s="1" t="s">
        <v>14</v>
      </c>
      <c r="F1233" s="26">
        <v>500</v>
      </c>
      <c r="G1233" s="26">
        <v>0</v>
      </c>
      <c r="H1233" s="26">
        <v>500</v>
      </c>
      <c r="I1233" s="26">
        <v>17010000</v>
      </c>
      <c r="J1233" s="26">
        <v>64500000</v>
      </c>
    </row>
    <row r="1234" spans="1:10">
      <c r="A1234" s="24">
        <v>1232</v>
      </c>
      <c r="B1234" s="24">
        <f t="shared" si="21"/>
        <v>794</v>
      </c>
      <c r="C1234" s="1" t="s">
        <v>775</v>
      </c>
      <c r="F1234" s="26">
        <v>1500</v>
      </c>
      <c r="G1234" s="26">
        <v>0</v>
      </c>
      <c r="H1234" s="26">
        <v>1500</v>
      </c>
      <c r="I1234" s="26">
        <v>51280000</v>
      </c>
      <c r="J1234" s="26">
        <v>193500000</v>
      </c>
    </row>
    <row r="1235" spans="1:10">
      <c r="A1235" s="24">
        <v>1233</v>
      </c>
      <c r="B1235" s="24">
        <f t="shared" si="21"/>
        <v>795</v>
      </c>
      <c r="C1235" s="1" t="s">
        <v>876</v>
      </c>
      <c r="D1235" s="1" t="s">
        <v>4</v>
      </c>
      <c r="E1235" s="1" t="s">
        <v>14</v>
      </c>
      <c r="F1235" s="26">
        <v>1496</v>
      </c>
      <c r="G1235" s="26">
        <v>0</v>
      </c>
      <c r="H1235" s="26">
        <v>1500</v>
      </c>
      <c r="I1235" s="26">
        <v>10642500</v>
      </c>
      <c r="J1235" s="26">
        <v>67500000</v>
      </c>
    </row>
    <row r="1236" spans="1:10">
      <c r="A1236" s="24">
        <v>1234</v>
      </c>
      <c r="B1236" s="24">
        <f t="shared" si="21"/>
        <v>796</v>
      </c>
      <c r="C1236" s="1" t="s">
        <v>775</v>
      </c>
      <c r="F1236" s="26">
        <v>1496</v>
      </c>
      <c r="G1236" s="26">
        <v>0</v>
      </c>
      <c r="H1236" s="26">
        <v>1500</v>
      </c>
      <c r="I1236" s="26">
        <v>10642500</v>
      </c>
      <c r="J1236" s="26">
        <v>67500000</v>
      </c>
    </row>
    <row r="1237" spans="1:10">
      <c r="A1237" s="24">
        <v>1235</v>
      </c>
      <c r="B1237" s="24">
        <f t="shared" si="21"/>
        <v>797</v>
      </c>
      <c r="C1237" s="1" t="s">
        <v>885</v>
      </c>
      <c r="D1237" s="1" t="s">
        <v>4</v>
      </c>
      <c r="E1237" s="1" t="s">
        <v>14</v>
      </c>
      <c r="F1237" s="26">
        <v>1998</v>
      </c>
      <c r="G1237" s="26">
        <v>0</v>
      </c>
      <c r="H1237" s="26">
        <v>2000</v>
      </c>
      <c r="I1237" s="26">
        <v>7993196.0000000009</v>
      </c>
      <c r="J1237" s="26">
        <v>90000000</v>
      </c>
    </row>
    <row r="1238" spans="1:10">
      <c r="A1238" s="24">
        <v>1236</v>
      </c>
      <c r="B1238" s="24">
        <f t="shared" si="21"/>
        <v>798</v>
      </c>
      <c r="C1238" s="1" t="s">
        <v>775</v>
      </c>
      <c r="F1238" s="26">
        <v>1998</v>
      </c>
      <c r="G1238" s="26">
        <v>0</v>
      </c>
      <c r="H1238" s="26">
        <v>2000</v>
      </c>
      <c r="I1238" s="26">
        <v>7993196.0000000009</v>
      </c>
      <c r="J1238" s="26">
        <v>90000000</v>
      </c>
    </row>
    <row r="1239" spans="1:10">
      <c r="A1239" s="24">
        <v>1237</v>
      </c>
      <c r="B1239" s="24">
        <f t="shared" si="21"/>
        <v>799</v>
      </c>
      <c r="C1239" s="1" t="s">
        <v>1510</v>
      </c>
      <c r="D1239" s="1" t="s">
        <v>2</v>
      </c>
      <c r="E1239" s="1" t="s">
        <v>14</v>
      </c>
      <c r="F1239" s="26">
        <v>800</v>
      </c>
      <c r="G1239" s="26">
        <v>0</v>
      </c>
      <c r="H1239" s="26">
        <v>800</v>
      </c>
      <c r="I1239" s="26">
        <v>5488560.0000000009</v>
      </c>
      <c r="J1239" s="26">
        <v>42400000</v>
      </c>
    </row>
    <row r="1240" spans="1:10">
      <c r="A1240" s="24">
        <v>1238</v>
      </c>
      <c r="B1240" s="24">
        <f t="shared" si="21"/>
        <v>799</v>
      </c>
      <c r="C1240" s="1" t="s">
        <v>1510</v>
      </c>
      <c r="D1240" s="1" t="s">
        <v>3</v>
      </c>
      <c r="E1240" s="1" t="s">
        <v>14</v>
      </c>
      <c r="F1240" s="26">
        <v>400</v>
      </c>
      <c r="G1240" s="26">
        <v>0</v>
      </c>
      <c r="H1240" s="26">
        <v>400</v>
      </c>
      <c r="I1240" s="26">
        <v>2744280.0000000005</v>
      </c>
      <c r="J1240" s="26">
        <v>21200000</v>
      </c>
    </row>
    <row r="1241" spans="1:10">
      <c r="A1241" s="24">
        <v>1239</v>
      </c>
      <c r="B1241" s="24">
        <f t="shared" si="21"/>
        <v>800</v>
      </c>
      <c r="C1241" s="1" t="s">
        <v>775</v>
      </c>
      <c r="F1241" s="26">
        <v>1200</v>
      </c>
      <c r="G1241" s="26">
        <v>0</v>
      </c>
      <c r="H1241" s="26">
        <v>1200</v>
      </c>
      <c r="I1241" s="26">
        <v>8232840.0000000019</v>
      </c>
      <c r="J1241" s="26">
        <v>63600000</v>
      </c>
    </row>
    <row r="1242" spans="1:10">
      <c r="A1242" s="24">
        <v>1240</v>
      </c>
      <c r="B1242" s="24">
        <f t="shared" si="21"/>
        <v>801</v>
      </c>
      <c r="C1242" s="1" t="s">
        <v>1511</v>
      </c>
      <c r="D1242" s="1" t="s">
        <v>4</v>
      </c>
      <c r="E1242" s="1" t="s">
        <v>14</v>
      </c>
      <c r="F1242" s="26">
        <v>1500</v>
      </c>
      <c r="G1242" s="26">
        <v>0</v>
      </c>
      <c r="H1242" s="26">
        <v>1500</v>
      </c>
      <c r="I1242" s="26">
        <v>6885690</v>
      </c>
      <c r="J1242" s="26">
        <v>73500000</v>
      </c>
    </row>
    <row r="1243" spans="1:10">
      <c r="A1243" s="24">
        <v>1241</v>
      </c>
      <c r="B1243" s="24">
        <f t="shared" ref="B1243:B1306" si="22">IF(C1242=C1243,B1242,B1242+1)</f>
        <v>802</v>
      </c>
      <c r="C1243" s="1" t="s">
        <v>1512</v>
      </c>
      <c r="D1243" s="1" t="s">
        <v>4</v>
      </c>
      <c r="E1243" s="1" t="s">
        <v>14</v>
      </c>
      <c r="F1243" s="26">
        <v>1495</v>
      </c>
      <c r="G1243" s="26">
        <v>0</v>
      </c>
      <c r="H1243" s="26">
        <v>1500</v>
      </c>
      <c r="I1243" s="26">
        <v>7752690</v>
      </c>
      <c r="J1243" s="26">
        <v>73500000</v>
      </c>
    </row>
    <row r="1244" spans="1:10">
      <c r="A1244" s="24">
        <v>1242</v>
      </c>
      <c r="B1244" s="24">
        <f t="shared" si="22"/>
        <v>803</v>
      </c>
      <c r="C1244" s="1" t="s">
        <v>775</v>
      </c>
      <c r="F1244" s="26">
        <v>2995</v>
      </c>
      <c r="G1244" s="26">
        <v>0</v>
      </c>
      <c r="H1244" s="26">
        <v>3000</v>
      </c>
      <c r="I1244" s="26">
        <v>14638380</v>
      </c>
      <c r="J1244" s="26">
        <v>147000000</v>
      </c>
    </row>
    <row r="1245" spans="1:10">
      <c r="A1245" s="24">
        <v>1243</v>
      </c>
      <c r="B1245" s="24">
        <f t="shared" si="22"/>
        <v>804</v>
      </c>
      <c r="C1245" s="1" t="s">
        <v>1513</v>
      </c>
      <c r="D1245" s="1" t="s">
        <v>4</v>
      </c>
      <c r="E1245" s="1" t="s">
        <v>14</v>
      </c>
      <c r="F1245" s="26">
        <v>799</v>
      </c>
      <c r="G1245" s="26">
        <v>0</v>
      </c>
      <c r="H1245" s="26">
        <v>800</v>
      </c>
      <c r="I1245" s="26">
        <v>4360720</v>
      </c>
      <c r="J1245" s="26">
        <v>36000000</v>
      </c>
    </row>
    <row r="1246" spans="1:10">
      <c r="A1246" s="24">
        <v>1244</v>
      </c>
      <c r="B1246" s="24">
        <f t="shared" si="22"/>
        <v>805</v>
      </c>
      <c r="C1246" s="1" t="s">
        <v>775</v>
      </c>
      <c r="F1246" s="26">
        <v>799</v>
      </c>
      <c r="G1246" s="26">
        <v>0</v>
      </c>
      <c r="H1246" s="26">
        <v>800</v>
      </c>
      <c r="I1246" s="26">
        <v>4360720</v>
      </c>
      <c r="J1246" s="26">
        <v>36000000</v>
      </c>
    </row>
    <row r="1247" spans="1:10">
      <c r="A1247" s="24">
        <v>1245</v>
      </c>
      <c r="B1247" s="24">
        <f t="shared" si="22"/>
        <v>806</v>
      </c>
      <c r="C1247" s="1" t="s">
        <v>1514</v>
      </c>
      <c r="D1247" s="1" t="s">
        <v>4</v>
      </c>
      <c r="E1247" s="1" t="s">
        <v>14</v>
      </c>
      <c r="F1247" s="26">
        <v>500</v>
      </c>
      <c r="G1247" s="26">
        <v>0</v>
      </c>
      <c r="H1247" s="26">
        <v>500</v>
      </c>
      <c r="I1247" s="26">
        <v>2091230</v>
      </c>
      <c r="J1247" s="26">
        <v>21500000</v>
      </c>
    </row>
    <row r="1248" spans="1:10">
      <c r="A1248" s="24">
        <v>1246</v>
      </c>
      <c r="B1248" s="24">
        <f t="shared" si="22"/>
        <v>807</v>
      </c>
      <c r="C1248" s="1" t="s">
        <v>1515</v>
      </c>
      <c r="D1248" s="1" t="s">
        <v>4</v>
      </c>
      <c r="E1248" s="1" t="s">
        <v>14</v>
      </c>
      <c r="F1248" s="26">
        <v>500</v>
      </c>
      <c r="G1248" s="26">
        <v>0</v>
      </c>
      <c r="H1248" s="26">
        <v>500</v>
      </c>
      <c r="I1248" s="26">
        <v>1997935.0000000002</v>
      </c>
      <c r="J1248" s="26">
        <v>21500000</v>
      </c>
    </row>
    <row r="1249" spans="1:10">
      <c r="A1249" s="24">
        <v>1247</v>
      </c>
      <c r="B1249" s="24">
        <f t="shared" si="22"/>
        <v>808</v>
      </c>
      <c r="C1249" s="1" t="s">
        <v>1516</v>
      </c>
      <c r="D1249" s="1" t="s">
        <v>4</v>
      </c>
      <c r="E1249" s="1" t="s">
        <v>14</v>
      </c>
      <c r="F1249" s="26">
        <v>1000</v>
      </c>
      <c r="G1249" s="26">
        <v>0</v>
      </c>
      <c r="H1249" s="26">
        <v>1000</v>
      </c>
      <c r="I1249" s="26">
        <v>4722170</v>
      </c>
      <c r="J1249" s="26">
        <v>43000000</v>
      </c>
    </row>
    <row r="1250" spans="1:10">
      <c r="A1250" s="24">
        <v>1248</v>
      </c>
      <c r="B1250" s="24">
        <f t="shared" si="22"/>
        <v>809</v>
      </c>
      <c r="C1250" s="1" t="s">
        <v>1517</v>
      </c>
      <c r="D1250" s="1" t="s">
        <v>4</v>
      </c>
      <c r="E1250" s="1" t="s">
        <v>14</v>
      </c>
      <c r="F1250" s="26">
        <v>1200</v>
      </c>
      <c r="G1250" s="26">
        <v>0</v>
      </c>
      <c r="H1250" s="26">
        <v>1200</v>
      </c>
      <c r="I1250" s="26">
        <v>5630604</v>
      </c>
      <c r="J1250" s="26">
        <v>51600000</v>
      </c>
    </row>
    <row r="1251" spans="1:10">
      <c r="A1251" s="24">
        <v>1249</v>
      </c>
      <c r="B1251" s="24">
        <f t="shared" si="22"/>
        <v>810</v>
      </c>
      <c r="C1251" s="1" t="s">
        <v>1518</v>
      </c>
      <c r="D1251" s="1" t="s">
        <v>4</v>
      </c>
      <c r="E1251" s="1" t="s">
        <v>14</v>
      </c>
      <c r="F1251" s="26">
        <v>1200</v>
      </c>
      <c r="G1251" s="26">
        <v>0</v>
      </c>
      <c r="H1251" s="26">
        <v>1200</v>
      </c>
      <c r="I1251" s="26">
        <v>5555760</v>
      </c>
      <c r="J1251" s="26">
        <v>51600000</v>
      </c>
    </row>
    <row r="1252" spans="1:10">
      <c r="A1252" s="24">
        <v>1250</v>
      </c>
      <c r="B1252" s="24">
        <f t="shared" si="22"/>
        <v>811</v>
      </c>
      <c r="C1252" s="1" t="s">
        <v>1519</v>
      </c>
      <c r="D1252" s="1" t="s">
        <v>4</v>
      </c>
      <c r="E1252" s="1" t="s">
        <v>14</v>
      </c>
      <c r="F1252" s="26">
        <v>996</v>
      </c>
      <c r="G1252" s="26">
        <v>0</v>
      </c>
      <c r="H1252" s="26">
        <v>1000</v>
      </c>
      <c r="I1252" s="26">
        <v>3958240.0000000005</v>
      </c>
      <c r="J1252" s="26">
        <v>43000000</v>
      </c>
    </row>
    <row r="1253" spans="1:10">
      <c r="A1253" s="24">
        <v>1251</v>
      </c>
      <c r="B1253" s="24">
        <f t="shared" si="22"/>
        <v>812</v>
      </c>
      <c r="C1253" s="1" t="s">
        <v>1520</v>
      </c>
      <c r="D1253" s="1" t="s">
        <v>4</v>
      </c>
      <c r="E1253" s="1" t="s">
        <v>14</v>
      </c>
      <c r="F1253" s="26">
        <v>999</v>
      </c>
      <c r="G1253" s="26">
        <v>0</v>
      </c>
      <c r="H1253" s="26">
        <v>1000</v>
      </c>
      <c r="I1253" s="26">
        <v>4051130</v>
      </c>
      <c r="J1253" s="26">
        <v>43000000</v>
      </c>
    </row>
    <row r="1254" spans="1:10">
      <c r="A1254" s="24">
        <v>1252</v>
      </c>
      <c r="B1254" s="24">
        <f t="shared" si="22"/>
        <v>813</v>
      </c>
      <c r="C1254" s="1" t="s">
        <v>775</v>
      </c>
      <c r="F1254" s="26">
        <v>6395</v>
      </c>
      <c r="G1254" s="26">
        <v>0</v>
      </c>
      <c r="H1254" s="26">
        <v>6400</v>
      </c>
      <c r="I1254" s="26">
        <v>28007069</v>
      </c>
      <c r="J1254" s="26">
        <v>275200000</v>
      </c>
    </row>
    <row r="1255" spans="1:10">
      <c r="A1255" s="24">
        <v>1253</v>
      </c>
      <c r="B1255" s="24">
        <f t="shared" si="22"/>
        <v>814</v>
      </c>
      <c r="C1255" s="1" t="s">
        <v>1521</v>
      </c>
      <c r="D1255" s="1" t="s">
        <v>4</v>
      </c>
      <c r="E1255" s="1" t="s">
        <v>14</v>
      </c>
      <c r="F1255" s="26">
        <v>1000</v>
      </c>
      <c r="G1255" s="26">
        <v>0</v>
      </c>
      <c r="H1255" s="26">
        <v>1000</v>
      </c>
      <c r="I1255" s="26">
        <v>9820000</v>
      </c>
      <c r="J1255" s="26">
        <v>45000000</v>
      </c>
    </row>
    <row r="1256" spans="1:10">
      <c r="A1256" s="24">
        <v>1254</v>
      </c>
      <c r="B1256" s="24">
        <f t="shared" si="22"/>
        <v>815</v>
      </c>
      <c r="C1256" s="1" t="s">
        <v>775</v>
      </c>
      <c r="F1256" s="26">
        <v>1000</v>
      </c>
      <c r="G1256" s="26">
        <v>0</v>
      </c>
      <c r="H1256" s="26">
        <v>1000</v>
      </c>
      <c r="I1256" s="26">
        <v>9820000</v>
      </c>
      <c r="J1256" s="26">
        <v>45000000</v>
      </c>
    </row>
    <row r="1257" spans="1:10">
      <c r="A1257" s="24">
        <v>1255</v>
      </c>
      <c r="B1257" s="24">
        <f t="shared" si="22"/>
        <v>816</v>
      </c>
      <c r="C1257" s="1" t="s">
        <v>1522</v>
      </c>
      <c r="D1257" s="1" t="s">
        <v>4</v>
      </c>
      <c r="E1257" s="1" t="s">
        <v>14</v>
      </c>
      <c r="F1257" s="26">
        <v>1000</v>
      </c>
      <c r="G1257" s="26">
        <v>0</v>
      </c>
      <c r="H1257" s="26">
        <v>1000</v>
      </c>
      <c r="I1257" s="26">
        <v>6600000</v>
      </c>
      <c r="J1257" s="26">
        <v>43000000</v>
      </c>
    </row>
    <row r="1258" spans="1:10">
      <c r="A1258" s="24">
        <v>1256</v>
      </c>
      <c r="B1258" s="24">
        <f t="shared" si="22"/>
        <v>817</v>
      </c>
      <c r="C1258" s="1" t="s">
        <v>775</v>
      </c>
      <c r="F1258" s="26">
        <v>1000</v>
      </c>
      <c r="G1258" s="26">
        <v>0</v>
      </c>
      <c r="H1258" s="26">
        <v>1000</v>
      </c>
      <c r="I1258" s="26">
        <v>6600000</v>
      </c>
      <c r="J1258" s="26">
        <v>43000000</v>
      </c>
    </row>
    <row r="1259" spans="1:10">
      <c r="A1259" s="24">
        <v>1257</v>
      </c>
      <c r="B1259" s="24">
        <f t="shared" si="22"/>
        <v>818</v>
      </c>
      <c r="C1259" s="1" t="s">
        <v>1523</v>
      </c>
      <c r="D1259" s="1" t="s">
        <v>4</v>
      </c>
      <c r="E1259" s="1" t="s">
        <v>14</v>
      </c>
      <c r="F1259" s="26">
        <v>2000</v>
      </c>
      <c r="G1259" s="26">
        <v>0</v>
      </c>
      <c r="H1259" s="26">
        <v>2000</v>
      </c>
      <c r="I1259" s="26">
        <v>17713080</v>
      </c>
      <c r="J1259" s="26">
        <v>118000000</v>
      </c>
    </row>
    <row r="1260" spans="1:10">
      <c r="A1260" s="24">
        <v>1258</v>
      </c>
      <c r="B1260" s="24">
        <f t="shared" si="22"/>
        <v>819</v>
      </c>
      <c r="C1260" s="1" t="s">
        <v>775</v>
      </c>
      <c r="F1260" s="26">
        <v>2000</v>
      </c>
      <c r="G1260" s="26">
        <v>0</v>
      </c>
      <c r="H1260" s="26">
        <v>2000</v>
      </c>
      <c r="I1260" s="26">
        <v>17713080</v>
      </c>
      <c r="J1260" s="26">
        <v>118000000</v>
      </c>
    </row>
    <row r="1261" spans="1:10">
      <c r="A1261" s="24">
        <v>1259</v>
      </c>
      <c r="B1261" s="24">
        <f t="shared" si="22"/>
        <v>820</v>
      </c>
      <c r="C1261" s="1" t="s">
        <v>1524</v>
      </c>
      <c r="D1261" s="1" t="s">
        <v>4</v>
      </c>
      <c r="E1261" s="1" t="s">
        <v>14</v>
      </c>
      <c r="F1261" s="26">
        <v>1000</v>
      </c>
      <c r="G1261" s="26">
        <v>0</v>
      </c>
      <c r="H1261" s="26">
        <v>1000</v>
      </c>
      <c r="I1261" s="26">
        <v>3886940.0000000005</v>
      </c>
      <c r="J1261" s="26">
        <v>39000000</v>
      </c>
    </row>
    <row r="1262" spans="1:10">
      <c r="A1262" s="24">
        <v>1260</v>
      </c>
      <c r="B1262" s="24">
        <f t="shared" si="22"/>
        <v>821</v>
      </c>
      <c r="C1262" s="1" t="s">
        <v>775</v>
      </c>
      <c r="F1262" s="26">
        <v>1000</v>
      </c>
      <c r="G1262" s="26">
        <v>0</v>
      </c>
      <c r="H1262" s="26">
        <v>1000</v>
      </c>
      <c r="I1262" s="26">
        <v>3886940.0000000005</v>
      </c>
      <c r="J1262" s="26">
        <v>39000000</v>
      </c>
    </row>
    <row r="1263" spans="1:10">
      <c r="A1263" s="24">
        <v>1261</v>
      </c>
      <c r="B1263" s="24">
        <f t="shared" si="22"/>
        <v>822</v>
      </c>
      <c r="C1263" s="1" t="s">
        <v>1525</v>
      </c>
      <c r="D1263" s="1" t="s">
        <v>4</v>
      </c>
      <c r="E1263" s="1" t="s">
        <v>14</v>
      </c>
      <c r="F1263" s="26">
        <v>1219</v>
      </c>
      <c r="G1263" s="26">
        <v>0</v>
      </c>
      <c r="H1263" s="26">
        <v>1200</v>
      </c>
      <c r="I1263" s="26">
        <v>12000000</v>
      </c>
      <c r="J1263" s="26">
        <v>54000000</v>
      </c>
    </row>
    <row r="1264" spans="1:10">
      <c r="A1264" s="24">
        <v>1262</v>
      </c>
      <c r="B1264" s="24">
        <f t="shared" si="22"/>
        <v>823</v>
      </c>
      <c r="C1264" s="1" t="s">
        <v>775</v>
      </c>
      <c r="F1264" s="26">
        <v>1219</v>
      </c>
      <c r="G1264" s="26">
        <v>0</v>
      </c>
      <c r="H1264" s="26">
        <v>1200</v>
      </c>
      <c r="I1264" s="26">
        <v>12000000</v>
      </c>
      <c r="J1264" s="26">
        <v>54000000</v>
      </c>
    </row>
    <row r="1265" spans="1:10">
      <c r="A1265" s="24">
        <v>1263</v>
      </c>
      <c r="B1265" s="24">
        <f t="shared" si="22"/>
        <v>824</v>
      </c>
      <c r="C1265" s="1" t="s">
        <v>1526</v>
      </c>
      <c r="D1265" s="1" t="s">
        <v>4</v>
      </c>
      <c r="E1265" s="1" t="s">
        <v>14</v>
      </c>
      <c r="F1265" s="26">
        <v>1995</v>
      </c>
      <c r="G1265" s="26">
        <v>0</v>
      </c>
      <c r="H1265" s="26">
        <v>2000</v>
      </c>
      <c r="I1265" s="26">
        <v>9990492</v>
      </c>
      <c r="J1265" s="26">
        <v>78000000</v>
      </c>
    </row>
    <row r="1266" spans="1:10">
      <c r="A1266" s="24">
        <v>1264</v>
      </c>
      <c r="B1266" s="24">
        <f t="shared" si="22"/>
        <v>825</v>
      </c>
      <c r="C1266" s="1" t="s">
        <v>1527</v>
      </c>
      <c r="D1266" s="1" t="s">
        <v>4</v>
      </c>
      <c r="E1266" s="1" t="s">
        <v>14</v>
      </c>
      <c r="F1266" s="26">
        <v>2000</v>
      </c>
      <c r="G1266" s="26">
        <v>0</v>
      </c>
      <c r="H1266" s="26">
        <v>2000</v>
      </c>
      <c r="I1266" s="26">
        <v>10218492</v>
      </c>
      <c r="J1266" s="26">
        <v>78000000</v>
      </c>
    </row>
    <row r="1267" spans="1:10">
      <c r="A1267" s="24">
        <v>1265</v>
      </c>
      <c r="B1267" s="24">
        <f t="shared" si="22"/>
        <v>826</v>
      </c>
      <c r="C1267" s="1" t="s">
        <v>775</v>
      </c>
      <c r="F1267" s="26">
        <v>3995</v>
      </c>
      <c r="G1267" s="26">
        <v>0</v>
      </c>
      <c r="H1267" s="26">
        <v>4000</v>
      </c>
      <c r="I1267" s="26">
        <v>20208984</v>
      </c>
      <c r="J1267" s="26">
        <v>156000000</v>
      </c>
    </row>
    <row r="1268" spans="1:10">
      <c r="A1268" s="24">
        <v>1266</v>
      </c>
      <c r="B1268" s="24">
        <f t="shared" si="22"/>
        <v>827</v>
      </c>
      <c r="C1268" s="1" t="s">
        <v>952</v>
      </c>
      <c r="D1268" s="1" t="s">
        <v>4</v>
      </c>
      <c r="E1268" s="1" t="s">
        <v>14</v>
      </c>
      <c r="F1268" s="26">
        <v>1191</v>
      </c>
      <c r="G1268" s="26">
        <v>0</v>
      </c>
      <c r="H1268" s="26">
        <v>1200</v>
      </c>
      <c r="I1268" s="26">
        <v>4340952</v>
      </c>
      <c r="J1268" s="26">
        <v>56400000</v>
      </c>
    </row>
    <row r="1269" spans="1:10">
      <c r="A1269" s="24">
        <v>1267</v>
      </c>
      <c r="B1269" s="24">
        <f t="shared" si="22"/>
        <v>828</v>
      </c>
      <c r="C1269" s="1" t="s">
        <v>775</v>
      </c>
      <c r="F1269" s="26">
        <v>1191</v>
      </c>
      <c r="G1269" s="26">
        <v>0</v>
      </c>
      <c r="H1269" s="26">
        <v>1200</v>
      </c>
      <c r="I1269" s="26">
        <v>4340952</v>
      </c>
      <c r="J1269" s="26">
        <v>56400000</v>
      </c>
    </row>
    <row r="1270" spans="1:10">
      <c r="A1270" s="24">
        <v>1268</v>
      </c>
      <c r="B1270" s="24">
        <f t="shared" si="22"/>
        <v>829</v>
      </c>
      <c r="C1270" s="1" t="s">
        <v>877</v>
      </c>
      <c r="D1270" s="1" t="s">
        <v>4</v>
      </c>
      <c r="E1270" s="1" t="s">
        <v>14</v>
      </c>
      <c r="F1270" s="26">
        <v>1200</v>
      </c>
      <c r="G1270" s="26">
        <v>0</v>
      </c>
      <c r="H1270" s="26">
        <v>1200</v>
      </c>
      <c r="I1270" s="26">
        <v>8514000</v>
      </c>
      <c r="J1270" s="26">
        <v>54000000</v>
      </c>
    </row>
    <row r="1271" spans="1:10">
      <c r="A1271" s="24">
        <v>1269</v>
      </c>
      <c r="B1271" s="24">
        <f t="shared" si="22"/>
        <v>830</v>
      </c>
      <c r="C1271" s="1" t="s">
        <v>775</v>
      </c>
      <c r="F1271" s="26">
        <v>1200</v>
      </c>
      <c r="G1271" s="26">
        <v>0</v>
      </c>
      <c r="H1271" s="26">
        <v>1200</v>
      </c>
      <c r="I1271" s="26">
        <v>8514000</v>
      </c>
      <c r="J1271" s="26">
        <v>54000000</v>
      </c>
    </row>
    <row r="1272" spans="1:10">
      <c r="A1272" s="24">
        <v>1270</v>
      </c>
      <c r="B1272" s="24">
        <f t="shared" si="22"/>
        <v>831</v>
      </c>
      <c r="C1272" s="1" t="s">
        <v>1528</v>
      </c>
      <c r="D1272" s="1" t="s">
        <v>4</v>
      </c>
      <c r="E1272" s="1" t="s">
        <v>15</v>
      </c>
      <c r="F1272" s="26">
        <v>92</v>
      </c>
      <c r="G1272" s="26">
        <v>0</v>
      </c>
      <c r="H1272" s="26">
        <v>92</v>
      </c>
      <c r="I1272" s="26">
        <v>1693636.3636363635</v>
      </c>
      <c r="J1272" s="26">
        <v>4140000</v>
      </c>
    </row>
    <row r="1273" spans="1:10">
      <c r="A1273" s="24">
        <v>1271</v>
      </c>
      <c r="B1273" s="24">
        <f t="shared" si="22"/>
        <v>832</v>
      </c>
      <c r="C1273" s="1" t="s">
        <v>1529</v>
      </c>
      <c r="D1273" s="1" t="s">
        <v>4</v>
      </c>
      <c r="E1273" s="1" t="s">
        <v>15</v>
      </c>
      <c r="F1273" s="26">
        <v>250</v>
      </c>
      <c r="G1273" s="26">
        <v>0</v>
      </c>
      <c r="H1273" s="26">
        <v>250</v>
      </c>
      <c r="I1273" s="26">
        <v>4602272.7272727266</v>
      </c>
      <c r="J1273" s="26">
        <v>11250000</v>
      </c>
    </row>
    <row r="1274" spans="1:10">
      <c r="A1274" s="24">
        <v>1272</v>
      </c>
      <c r="B1274" s="24">
        <f t="shared" si="22"/>
        <v>833</v>
      </c>
      <c r="C1274" s="1" t="s">
        <v>1530</v>
      </c>
      <c r="D1274" s="1" t="s">
        <v>4</v>
      </c>
      <c r="E1274" s="1" t="s">
        <v>15</v>
      </c>
      <c r="F1274" s="26">
        <v>200</v>
      </c>
      <c r="G1274" s="26">
        <v>0</v>
      </c>
      <c r="H1274" s="26">
        <v>200</v>
      </c>
      <c r="I1274" s="26">
        <v>3190909.0909090908</v>
      </c>
      <c r="J1274" s="26">
        <v>7800000</v>
      </c>
    </row>
    <row r="1275" spans="1:10">
      <c r="A1275" s="24">
        <v>1273</v>
      </c>
      <c r="B1275" s="24">
        <f t="shared" si="22"/>
        <v>834</v>
      </c>
      <c r="C1275" s="1" t="s">
        <v>775</v>
      </c>
      <c r="F1275" s="26">
        <v>542</v>
      </c>
      <c r="G1275" s="26">
        <v>0</v>
      </c>
      <c r="H1275" s="26">
        <v>542</v>
      </c>
      <c r="I1275" s="26">
        <v>9486818.1818181798</v>
      </c>
      <c r="J1275" s="26">
        <v>23190000</v>
      </c>
    </row>
    <row r="1276" spans="1:10">
      <c r="A1276" s="24">
        <v>1274</v>
      </c>
      <c r="B1276" s="24">
        <f t="shared" si="22"/>
        <v>835</v>
      </c>
      <c r="C1276" s="1" t="s">
        <v>1531</v>
      </c>
      <c r="D1276" s="1" t="s">
        <v>4</v>
      </c>
      <c r="E1276" s="1" t="s">
        <v>14</v>
      </c>
      <c r="F1276" s="26">
        <v>400</v>
      </c>
      <c r="G1276" s="26">
        <v>0</v>
      </c>
      <c r="H1276" s="26">
        <v>400</v>
      </c>
      <c r="I1276" s="26">
        <v>12208000</v>
      </c>
      <c r="J1276" s="26">
        <v>51600000</v>
      </c>
    </row>
    <row r="1277" spans="1:10">
      <c r="A1277" s="24">
        <v>1275</v>
      </c>
      <c r="B1277" s="24">
        <f t="shared" si="22"/>
        <v>836</v>
      </c>
      <c r="C1277" s="1" t="s">
        <v>1532</v>
      </c>
      <c r="D1277" s="1" t="s">
        <v>4</v>
      </c>
      <c r="E1277" s="1" t="s">
        <v>14</v>
      </c>
      <c r="F1277" s="26">
        <v>400</v>
      </c>
      <c r="G1277" s="26">
        <v>0</v>
      </c>
      <c r="H1277" s="26">
        <v>400</v>
      </c>
      <c r="I1277" s="26">
        <v>12808000</v>
      </c>
      <c r="J1277" s="26">
        <v>51600000</v>
      </c>
    </row>
    <row r="1278" spans="1:10">
      <c r="A1278" s="24">
        <v>1276</v>
      </c>
      <c r="B1278" s="24">
        <f t="shared" si="22"/>
        <v>837</v>
      </c>
      <c r="C1278" s="1" t="s">
        <v>1533</v>
      </c>
      <c r="D1278" s="1" t="s">
        <v>4</v>
      </c>
      <c r="E1278" s="1" t="s">
        <v>14</v>
      </c>
      <c r="F1278" s="26">
        <v>400</v>
      </c>
      <c r="G1278" s="26">
        <v>0</v>
      </c>
      <c r="H1278" s="26">
        <v>400</v>
      </c>
      <c r="I1278" s="26">
        <v>11808000</v>
      </c>
      <c r="J1278" s="26">
        <v>50000000</v>
      </c>
    </row>
    <row r="1279" spans="1:10">
      <c r="A1279" s="24">
        <v>1277</v>
      </c>
      <c r="B1279" s="24">
        <f t="shared" si="22"/>
        <v>838</v>
      </c>
      <c r="C1279" s="1" t="s">
        <v>775</v>
      </c>
      <c r="F1279" s="26">
        <v>1200</v>
      </c>
      <c r="G1279" s="26">
        <v>0</v>
      </c>
      <c r="H1279" s="26">
        <v>1200</v>
      </c>
      <c r="I1279" s="26">
        <v>36824000</v>
      </c>
      <c r="J1279" s="26">
        <v>153200000</v>
      </c>
    </row>
    <row r="1280" spans="1:10">
      <c r="A1280" s="24">
        <v>1278</v>
      </c>
      <c r="B1280" s="24">
        <f t="shared" si="22"/>
        <v>839</v>
      </c>
      <c r="C1280" s="1" t="s">
        <v>1534</v>
      </c>
      <c r="D1280" s="1" t="s">
        <v>4</v>
      </c>
      <c r="E1280" s="1" t="s">
        <v>14</v>
      </c>
      <c r="F1280" s="26">
        <v>500</v>
      </c>
      <c r="G1280" s="26">
        <v>0</v>
      </c>
      <c r="H1280" s="26">
        <v>500</v>
      </c>
      <c r="I1280" s="26">
        <v>15410000</v>
      </c>
      <c r="J1280" s="26">
        <v>64500000</v>
      </c>
    </row>
    <row r="1281" spans="1:10">
      <c r="A1281" s="24">
        <v>1279</v>
      </c>
      <c r="B1281" s="24">
        <f t="shared" si="22"/>
        <v>840</v>
      </c>
      <c r="C1281" s="1" t="s">
        <v>1535</v>
      </c>
      <c r="D1281" s="1" t="s">
        <v>8</v>
      </c>
      <c r="E1281" s="1" t="s">
        <v>14</v>
      </c>
      <c r="F1281" s="26">
        <v>1500</v>
      </c>
      <c r="G1281" s="26">
        <v>0</v>
      </c>
      <c r="H1281" s="26">
        <v>1500</v>
      </c>
      <c r="I1281" s="26">
        <v>35280000</v>
      </c>
      <c r="J1281" s="26">
        <v>163500000</v>
      </c>
    </row>
    <row r="1282" spans="1:10">
      <c r="A1282" s="24">
        <v>1280</v>
      </c>
      <c r="B1282" s="24">
        <f t="shared" si="22"/>
        <v>841</v>
      </c>
      <c r="C1282" s="1" t="s">
        <v>775</v>
      </c>
      <c r="F1282" s="26">
        <v>0</v>
      </c>
      <c r="G1282" s="26">
        <v>0</v>
      </c>
      <c r="H1282" s="26">
        <v>0</v>
      </c>
      <c r="I1282" s="26">
        <v>0</v>
      </c>
      <c r="J1282" s="26">
        <v>0</v>
      </c>
    </row>
    <row r="1283" spans="1:10">
      <c r="A1283" s="24">
        <v>1281</v>
      </c>
      <c r="B1283" s="24">
        <f t="shared" si="22"/>
        <v>842</v>
      </c>
      <c r="C1283" s="1" t="s">
        <v>1526</v>
      </c>
      <c r="D1283" s="1" t="s">
        <v>4</v>
      </c>
      <c r="E1283" s="1" t="s">
        <v>14</v>
      </c>
      <c r="F1283" s="26">
        <v>999</v>
      </c>
      <c r="G1283" s="26">
        <v>0</v>
      </c>
      <c r="H1283" s="26">
        <v>1000</v>
      </c>
      <c r="I1283" s="26">
        <v>3605840</v>
      </c>
      <c r="J1283" s="26">
        <v>39000000</v>
      </c>
    </row>
    <row r="1284" spans="1:10">
      <c r="A1284" s="24">
        <v>1282</v>
      </c>
      <c r="B1284" s="24">
        <f t="shared" si="22"/>
        <v>843</v>
      </c>
      <c r="C1284" s="1" t="s">
        <v>1527</v>
      </c>
      <c r="D1284" s="1" t="s">
        <v>4</v>
      </c>
      <c r="E1284" s="1" t="s">
        <v>14</v>
      </c>
      <c r="F1284" s="26">
        <v>999</v>
      </c>
      <c r="G1284" s="26">
        <v>0</v>
      </c>
      <c r="H1284" s="26">
        <v>1000</v>
      </c>
      <c r="I1284" s="26">
        <v>3719840</v>
      </c>
      <c r="J1284" s="26">
        <v>39000000</v>
      </c>
    </row>
    <row r="1285" spans="1:10">
      <c r="A1285" s="24">
        <v>1283</v>
      </c>
      <c r="B1285" s="24">
        <f t="shared" si="22"/>
        <v>844</v>
      </c>
      <c r="C1285" s="1" t="s">
        <v>775</v>
      </c>
      <c r="F1285" s="26">
        <v>1998</v>
      </c>
      <c r="G1285" s="26">
        <v>0</v>
      </c>
      <c r="H1285" s="26">
        <v>2000</v>
      </c>
      <c r="I1285" s="26">
        <v>7325680</v>
      </c>
      <c r="J1285" s="26">
        <v>78000000</v>
      </c>
    </row>
    <row r="1286" spans="1:10">
      <c r="A1286" s="24">
        <v>1284</v>
      </c>
      <c r="B1286" s="24">
        <f t="shared" si="22"/>
        <v>845</v>
      </c>
      <c r="C1286" s="1" t="s">
        <v>1536</v>
      </c>
      <c r="D1286" s="1" t="s">
        <v>4</v>
      </c>
      <c r="E1286" s="1" t="s">
        <v>14</v>
      </c>
      <c r="F1286" s="26">
        <v>20</v>
      </c>
      <c r="G1286" s="26">
        <v>0</v>
      </c>
      <c r="H1286" s="26">
        <v>20</v>
      </c>
      <c r="I1286" s="26">
        <v>78787.87878787877</v>
      </c>
      <c r="J1286" s="26">
        <v>780000</v>
      </c>
    </row>
    <row r="1287" spans="1:10">
      <c r="A1287" s="24">
        <v>1285</v>
      </c>
      <c r="B1287" s="24">
        <f t="shared" si="22"/>
        <v>846</v>
      </c>
      <c r="C1287" s="1" t="s">
        <v>1537</v>
      </c>
      <c r="D1287" s="1" t="s">
        <v>4</v>
      </c>
      <c r="E1287" s="1" t="s">
        <v>14</v>
      </c>
      <c r="F1287" s="26">
        <v>20</v>
      </c>
      <c r="G1287" s="26">
        <v>0</v>
      </c>
      <c r="H1287" s="26">
        <v>20</v>
      </c>
      <c r="I1287" s="26">
        <v>78787.87878787877</v>
      </c>
      <c r="J1287" s="26">
        <v>780000</v>
      </c>
    </row>
    <row r="1288" spans="1:10">
      <c r="A1288" s="24">
        <v>1286</v>
      </c>
      <c r="B1288" s="24">
        <f t="shared" si="22"/>
        <v>847</v>
      </c>
      <c r="C1288" s="1" t="s">
        <v>1538</v>
      </c>
      <c r="D1288" s="1" t="s">
        <v>4</v>
      </c>
      <c r="E1288" s="1" t="s">
        <v>14</v>
      </c>
      <c r="F1288" s="26">
        <v>20</v>
      </c>
      <c r="G1288" s="26">
        <v>0</v>
      </c>
      <c r="H1288" s="26">
        <v>15</v>
      </c>
      <c r="I1288" s="26">
        <v>59090.909090909081</v>
      </c>
      <c r="J1288" s="26">
        <v>585000</v>
      </c>
    </row>
    <row r="1289" spans="1:10">
      <c r="A1289" s="24">
        <v>1287</v>
      </c>
      <c r="B1289" s="24">
        <f t="shared" si="22"/>
        <v>848</v>
      </c>
      <c r="C1289" s="1" t="s">
        <v>1539</v>
      </c>
      <c r="D1289" s="1" t="s">
        <v>4</v>
      </c>
      <c r="E1289" s="1" t="s">
        <v>14</v>
      </c>
      <c r="F1289" s="26">
        <v>15</v>
      </c>
      <c r="G1289" s="26">
        <v>0</v>
      </c>
      <c r="H1289" s="26">
        <v>20</v>
      </c>
      <c r="I1289" s="26">
        <v>78787.87878787877</v>
      </c>
      <c r="J1289" s="26">
        <v>780000</v>
      </c>
    </row>
    <row r="1290" spans="1:10">
      <c r="A1290" s="24">
        <v>1288</v>
      </c>
      <c r="B1290" s="24">
        <f t="shared" si="22"/>
        <v>849</v>
      </c>
      <c r="C1290" s="1" t="s">
        <v>1540</v>
      </c>
      <c r="D1290" s="1" t="s">
        <v>4</v>
      </c>
      <c r="E1290" s="1" t="s">
        <v>14</v>
      </c>
      <c r="F1290" s="26">
        <v>15</v>
      </c>
      <c r="G1290" s="26">
        <v>0</v>
      </c>
      <c r="H1290" s="26">
        <v>15</v>
      </c>
      <c r="I1290" s="26">
        <v>59090.909090909081</v>
      </c>
      <c r="J1290" s="26">
        <v>585000</v>
      </c>
    </row>
    <row r="1291" spans="1:10">
      <c r="A1291" s="24">
        <v>1289</v>
      </c>
      <c r="B1291" s="24">
        <f t="shared" si="22"/>
        <v>850</v>
      </c>
      <c r="C1291" s="1" t="s">
        <v>775</v>
      </c>
      <c r="F1291" s="26">
        <v>90</v>
      </c>
      <c r="G1291" s="26">
        <v>0</v>
      </c>
      <c r="H1291" s="26">
        <v>90</v>
      </c>
      <c r="I1291" s="26">
        <v>354545.45454545447</v>
      </c>
      <c r="J1291" s="26">
        <v>3510000</v>
      </c>
    </row>
    <row r="1292" spans="1:10">
      <c r="A1292" s="24">
        <v>1290</v>
      </c>
      <c r="B1292" s="24">
        <f t="shared" si="22"/>
        <v>851</v>
      </c>
      <c r="C1292" s="1" t="s">
        <v>1541</v>
      </c>
      <c r="D1292" s="1" t="s">
        <v>4</v>
      </c>
      <c r="E1292" s="1" t="s">
        <v>14</v>
      </c>
      <c r="F1292" s="26">
        <v>999</v>
      </c>
      <c r="G1292" s="26">
        <v>0</v>
      </c>
      <c r="H1292" s="26">
        <v>1000</v>
      </c>
      <c r="I1292" s="26">
        <v>7484400.0000000019</v>
      </c>
      <c r="J1292" s="26">
        <v>59000000</v>
      </c>
    </row>
    <row r="1293" spans="1:10">
      <c r="A1293" s="24">
        <v>1291</v>
      </c>
      <c r="B1293" s="24">
        <f t="shared" si="22"/>
        <v>852</v>
      </c>
      <c r="C1293" s="1" t="s">
        <v>775</v>
      </c>
      <c r="F1293" s="26">
        <v>999</v>
      </c>
      <c r="G1293" s="26">
        <v>0</v>
      </c>
      <c r="H1293" s="26">
        <v>1000</v>
      </c>
      <c r="I1293" s="26">
        <v>7484400.0000000019</v>
      </c>
      <c r="J1293" s="26">
        <v>59000000</v>
      </c>
    </row>
    <row r="1294" spans="1:10">
      <c r="A1294" s="24">
        <v>1292</v>
      </c>
      <c r="B1294" s="24">
        <f t="shared" si="22"/>
        <v>853</v>
      </c>
      <c r="C1294" s="1" t="s">
        <v>1542</v>
      </c>
      <c r="D1294" s="1" t="s">
        <v>4</v>
      </c>
      <c r="E1294" s="1" t="s">
        <v>14</v>
      </c>
      <c r="F1294" s="26">
        <v>807</v>
      </c>
      <c r="G1294" s="26">
        <v>0</v>
      </c>
      <c r="H1294" s="26">
        <v>800</v>
      </c>
      <c r="I1294" s="26">
        <v>4886584</v>
      </c>
      <c r="J1294" s="26">
        <v>36000000</v>
      </c>
    </row>
    <row r="1295" spans="1:10">
      <c r="A1295" s="24">
        <v>1293</v>
      </c>
      <c r="B1295" s="24">
        <f t="shared" si="22"/>
        <v>854</v>
      </c>
      <c r="C1295" s="1" t="s">
        <v>1543</v>
      </c>
      <c r="D1295" s="1" t="s">
        <v>4</v>
      </c>
      <c r="E1295" s="1" t="s">
        <v>14</v>
      </c>
      <c r="F1295" s="26">
        <v>950</v>
      </c>
      <c r="G1295" s="26">
        <v>0</v>
      </c>
      <c r="H1295" s="26">
        <v>1000</v>
      </c>
      <c r="I1295" s="26">
        <v>5863143.9999999991</v>
      </c>
      <c r="J1295" s="26">
        <v>45000000</v>
      </c>
    </row>
    <row r="1296" spans="1:10">
      <c r="A1296" s="24">
        <v>1294</v>
      </c>
      <c r="B1296" s="24">
        <f t="shared" si="22"/>
        <v>855</v>
      </c>
      <c r="C1296" s="1" t="s">
        <v>1544</v>
      </c>
      <c r="D1296" s="1" t="s">
        <v>4</v>
      </c>
      <c r="E1296" s="1" t="s">
        <v>14</v>
      </c>
      <c r="F1296" s="26">
        <v>1006</v>
      </c>
      <c r="G1296" s="26">
        <v>0</v>
      </c>
      <c r="H1296" s="26">
        <v>1000</v>
      </c>
      <c r="I1296" s="26">
        <v>6037780.0000000009</v>
      </c>
      <c r="J1296" s="26">
        <v>45000000</v>
      </c>
    </row>
    <row r="1297" spans="1:10">
      <c r="A1297" s="24">
        <v>1295</v>
      </c>
      <c r="B1297" s="24">
        <f t="shared" si="22"/>
        <v>856</v>
      </c>
      <c r="C1297" s="1" t="s">
        <v>775</v>
      </c>
      <c r="F1297" s="26">
        <v>2763</v>
      </c>
      <c r="G1297" s="26">
        <v>0</v>
      </c>
      <c r="H1297" s="26">
        <v>2800</v>
      </c>
      <c r="I1297" s="26">
        <v>16787508</v>
      </c>
      <c r="J1297" s="26">
        <v>126000000</v>
      </c>
    </row>
    <row r="1298" spans="1:10">
      <c r="A1298" s="24">
        <v>1296</v>
      </c>
      <c r="B1298" s="24">
        <f t="shared" si="22"/>
        <v>857</v>
      </c>
      <c r="C1298" s="1" t="s">
        <v>1545</v>
      </c>
      <c r="D1298" s="1" t="s">
        <v>4</v>
      </c>
      <c r="E1298" s="1" t="s">
        <v>14</v>
      </c>
      <c r="F1298" s="26">
        <v>1200</v>
      </c>
      <c r="G1298" s="26">
        <v>0</v>
      </c>
      <c r="H1298" s="26">
        <v>1200</v>
      </c>
      <c r="I1298" s="26">
        <v>4386420</v>
      </c>
      <c r="J1298" s="26">
        <v>54000000</v>
      </c>
    </row>
    <row r="1299" spans="1:10">
      <c r="A1299" s="24">
        <v>1297</v>
      </c>
      <c r="B1299" s="24">
        <f t="shared" si="22"/>
        <v>858</v>
      </c>
      <c r="C1299" s="1" t="s">
        <v>1546</v>
      </c>
      <c r="D1299" s="1" t="s">
        <v>4</v>
      </c>
      <c r="E1299" s="1" t="s">
        <v>14</v>
      </c>
      <c r="F1299" s="26">
        <v>1200</v>
      </c>
      <c r="G1299" s="26">
        <v>0</v>
      </c>
      <c r="H1299" s="26">
        <v>1200</v>
      </c>
      <c r="I1299" s="26">
        <v>4012200</v>
      </c>
      <c r="J1299" s="26">
        <v>54000000</v>
      </c>
    </row>
    <row r="1300" spans="1:10">
      <c r="A1300" s="24">
        <v>1298</v>
      </c>
      <c r="B1300" s="24">
        <f t="shared" si="22"/>
        <v>859</v>
      </c>
      <c r="C1300" s="1" t="s">
        <v>775</v>
      </c>
      <c r="F1300" s="26">
        <v>2400</v>
      </c>
      <c r="G1300" s="26">
        <v>0</v>
      </c>
      <c r="H1300" s="26">
        <v>2400</v>
      </c>
      <c r="I1300" s="26">
        <v>8398620</v>
      </c>
      <c r="J1300" s="26">
        <v>108000000</v>
      </c>
    </row>
    <row r="1301" spans="1:10">
      <c r="A1301" s="24">
        <v>1299</v>
      </c>
      <c r="B1301" s="24">
        <f t="shared" si="22"/>
        <v>860</v>
      </c>
      <c r="C1301" s="1" t="s">
        <v>1547</v>
      </c>
      <c r="D1301" s="1" t="s">
        <v>4</v>
      </c>
      <c r="E1301" s="1" t="s">
        <v>14</v>
      </c>
      <c r="F1301" s="26">
        <v>2000</v>
      </c>
      <c r="G1301" s="26">
        <v>0</v>
      </c>
      <c r="H1301" s="26">
        <v>2000</v>
      </c>
      <c r="I1301" s="26">
        <v>15180000</v>
      </c>
      <c r="J1301" s="26">
        <v>86000000</v>
      </c>
    </row>
    <row r="1302" spans="1:10">
      <c r="A1302" s="24">
        <v>1300</v>
      </c>
      <c r="B1302" s="24">
        <f t="shared" si="22"/>
        <v>861</v>
      </c>
      <c r="C1302" s="1" t="s">
        <v>775</v>
      </c>
      <c r="F1302" s="26">
        <v>2000</v>
      </c>
      <c r="G1302" s="26">
        <v>0</v>
      </c>
      <c r="H1302" s="26">
        <v>2000</v>
      </c>
      <c r="I1302" s="26">
        <v>15180000</v>
      </c>
      <c r="J1302" s="26">
        <v>86000000</v>
      </c>
    </row>
    <row r="1303" spans="1:10">
      <c r="A1303" s="24">
        <v>1301</v>
      </c>
      <c r="B1303" s="24">
        <f t="shared" si="22"/>
        <v>862</v>
      </c>
      <c r="C1303" s="1" t="s">
        <v>1548</v>
      </c>
      <c r="D1303" s="1" t="s">
        <v>4</v>
      </c>
      <c r="E1303" s="1" t="s">
        <v>14</v>
      </c>
      <c r="F1303" s="26">
        <v>2000</v>
      </c>
      <c r="G1303" s="26">
        <v>0</v>
      </c>
      <c r="H1303" s="26">
        <v>2000</v>
      </c>
      <c r="I1303" s="26">
        <v>7431600</v>
      </c>
      <c r="J1303" s="26">
        <v>78000000</v>
      </c>
    </row>
    <row r="1304" spans="1:10">
      <c r="A1304" s="24">
        <v>1302</v>
      </c>
      <c r="B1304" s="24">
        <f t="shared" si="22"/>
        <v>863</v>
      </c>
      <c r="C1304" s="1" t="s">
        <v>1549</v>
      </c>
      <c r="D1304" s="1" t="s">
        <v>4</v>
      </c>
      <c r="E1304" s="1" t="s">
        <v>14</v>
      </c>
      <c r="F1304" s="26">
        <v>1000</v>
      </c>
      <c r="G1304" s="26">
        <v>0</v>
      </c>
      <c r="H1304" s="26">
        <v>1000</v>
      </c>
      <c r="I1304" s="26">
        <v>4019800</v>
      </c>
      <c r="J1304" s="26">
        <v>39000000</v>
      </c>
    </row>
    <row r="1305" spans="1:10">
      <c r="A1305" s="24">
        <v>1303</v>
      </c>
      <c r="B1305" s="24">
        <f t="shared" si="22"/>
        <v>864</v>
      </c>
      <c r="C1305" s="1" t="s">
        <v>775</v>
      </c>
      <c r="F1305" s="26">
        <v>3000</v>
      </c>
      <c r="G1305" s="26">
        <v>0</v>
      </c>
      <c r="H1305" s="26">
        <v>3000</v>
      </c>
      <c r="I1305" s="26">
        <v>11451400</v>
      </c>
      <c r="J1305" s="26">
        <v>117000000</v>
      </c>
    </row>
    <row r="1306" spans="1:10">
      <c r="A1306" s="24">
        <v>1304</v>
      </c>
      <c r="B1306" s="24">
        <f t="shared" si="22"/>
        <v>865</v>
      </c>
      <c r="C1306" s="1" t="s">
        <v>1550</v>
      </c>
      <c r="D1306" s="1" t="s">
        <v>4</v>
      </c>
      <c r="E1306" s="1" t="s">
        <v>14</v>
      </c>
      <c r="F1306" s="26">
        <v>1995</v>
      </c>
      <c r="G1306" s="26">
        <v>0</v>
      </c>
      <c r="H1306" s="26">
        <v>2000</v>
      </c>
      <c r="I1306" s="26">
        <v>8771800.0000000019</v>
      </c>
      <c r="J1306" s="26">
        <v>98000000</v>
      </c>
    </row>
    <row r="1307" spans="1:10">
      <c r="A1307" s="24">
        <v>1305</v>
      </c>
      <c r="B1307" s="24">
        <f t="shared" ref="B1307:B1370" si="23">IF(C1306=C1307,B1306,B1306+1)</f>
        <v>866</v>
      </c>
      <c r="C1307" s="1" t="s">
        <v>775</v>
      </c>
      <c r="F1307" s="26">
        <v>1995</v>
      </c>
      <c r="G1307" s="26">
        <v>0</v>
      </c>
      <c r="H1307" s="26">
        <v>2000</v>
      </c>
      <c r="I1307" s="26">
        <v>8771800.0000000019</v>
      </c>
      <c r="J1307" s="26">
        <v>98000000</v>
      </c>
    </row>
    <row r="1308" spans="1:10">
      <c r="A1308" s="24">
        <v>1306</v>
      </c>
      <c r="B1308" s="24">
        <f t="shared" si="23"/>
        <v>867</v>
      </c>
      <c r="C1308" s="1" t="s">
        <v>874</v>
      </c>
      <c r="D1308" s="1" t="s">
        <v>4</v>
      </c>
      <c r="E1308" s="1" t="s">
        <v>14</v>
      </c>
      <c r="F1308" s="26">
        <v>1500</v>
      </c>
      <c r="G1308" s="26">
        <v>0</v>
      </c>
      <c r="H1308" s="26">
        <v>1500</v>
      </c>
      <c r="I1308" s="26">
        <v>10560000</v>
      </c>
      <c r="J1308" s="26">
        <v>67500000</v>
      </c>
    </row>
    <row r="1309" spans="1:10">
      <c r="A1309" s="24">
        <v>1307</v>
      </c>
      <c r="B1309" s="24">
        <f t="shared" si="23"/>
        <v>868</v>
      </c>
      <c r="C1309" s="1" t="s">
        <v>775</v>
      </c>
      <c r="F1309" s="26">
        <v>1500</v>
      </c>
      <c r="G1309" s="26">
        <v>0</v>
      </c>
      <c r="H1309" s="26">
        <v>1500</v>
      </c>
      <c r="I1309" s="26">
        <v>10560000</v>
      </c>
      <c r="J1309" s="26">
        <v>67500000</v>
      </c>
    </row>
    <row r="1310" spans="1:10">
      <c r="A1310" s="24">
        <v>1308</v>
      </c>
      <c r="B1310" s="24">
        <f t="shared" si="23"/>
        <v>869</v>
      </c>
      <c r="C1310" s="1" t="s">
        <v>884</v>
      </c>
      <c r="D1310" s="1" t="s">
        <v>4</v>
      </c>
      <c r="E1310" s="1" t="s">
        <v>14</v>
      </c>
      <c r="F1310" s="26">
        <v>1218</v>
      </c>
      <c r="G1310" s="26">
        <v>0</v>
      </c>
      <c r="H1310" s="26">
        <v>1200</v>
      </c>
      <c r="I1310" s="26">
        <v>4386420</v>
      </c>
      <c r="J1310" s="26">
        <v>54000000</v>
      </c>
    </row>
    <row r="1311" spans="1:10">
      <c r="A1311" s="24">
        <v>1309</v>
      </c>
      <c r="B1311" s="24">
        <f t="shared" si="23"/>
        <v>870</v>
      </c>
      <c r="C1311" s="1" t="s">
        <v>775</v>
      </c>
      <c r="F1311" s="26">
        <v>1218</v>
      </c>
      <c r="G1311" s="26">
        <v>0</v>
      </c>
      <c r="H1311" s="26">
        <v>1200</v>
      </c>
      <c r="I1311" s="26">
        <v>4386420</v>
      </c>
      <c r="J1311" s="26">
        <v>54000000</v>
      </c>
    </row>
    <row r="1312" spans="1:10">
      <c r="A1312" s="24">
        <v>1310</v>
      </c>
      <c r="B1312" s="24">
        <f t="shared" si="23"/>
        <v>871</v>
      </c>
      <c r="C1312" s="1" t="s">
        <v>1551</v>
      </c>
      <c r="D1312" s="1" t="s">
        <v>4</v>
      </c>
      <c r="E1312" s="1" t="s">
        <v>14</v>
      </c>
      <c r="F1312" s="26">
        <v>1506</v>
      </c>
      <c r="G1312" s="26">
        <v>0</v>
      </c>
      <c r="H1312" s="26">
        <v>1500</v>
      </c>
      <c r="I1312" s="26">
        <v>16500000</v>
      </c>
      <c r="J1312" s="26">
        <v>88500000</v>
      </c>
    </row>
    <row r="1313" spans="1:10">
      <c r="A1313" s="24">
        <v>1311</v>
      </c>
      <c r="B1313" s="24">
        <f t="shared" si="23"/>
        <v>872</v>
      </c>
      <c r="C1313" s="1" t="s">
        <v>1552</v>
      </c>
      <c r="D1313" s="1" t="s">
        <v>4</v>
      </c>
      <c r="E1313" s="1" t="s">
        <v>14</v>
      </c>
      <c r="F1313" s="26">
        <v>2049</v>
      </c>
      <c r="G1313" s="26">
        <v>0</v>
      </c>
      <c r="H1313" s="26">
        <v>2000</v>
      </c>
      <c r="I1313" s="26">
        <v>22000000</v>
      </c>
      <c r="J1313" s="26">
        <v>118000000</v>
      </c>
    </row>
    <row r="1314" spans="1:10">
      <c r="A1314" s="24">
        <v>1312</v>
      </c>
      <c r="B1314" s="24">
        <f t="shared" si="23"/>
        <v>873</v>
      </c>
      <c r="C1314" s="1" t="s">
        <v>775</v>
      </c>
      <c r="F1314" s="26">
        <v>3555</v>
      </c>
      <c r="G1314" s="26">
        <v>0</v>
      </c>
      <c r="H1314" s="26">
        <v>3500</v>
      </c>
      <c r="I1314" s="26">
        <v>38500000</v>
      </c>
      <c r="J1314" s="26">
        <v>206500000</v>
      </c>
    </row>
    <row r="1315" spans="1:10">
      <c r="A1315" s="24">
        <v>1313</v>
      </c>
      <c r="B1315" s="24">
        <f t="shared" si="23"/>
        <v>874</v>
      </c>
      <c r="C1315" s="1" t="s">
        <v>1553</v>
      </c>
      <c r="D1315" s="1" t="s">
        <v>4</v>
      </c>
      <c r="E1315" s="1" t="s">
        <v>14</v>
      </c>
      <c r="F1315" s="26">
        <v>813</v>
      </c>
      <c r="G1315" s="26">
        <v>0</v>
      </c>
      <c r="H1315" s="26">
        <v>800</v>
      </c>
      <c r="I1315" s="26">
        <v>10000000</v>
      </c>
      <c r="J1315" s="26">
        <v>47200000</v>
      </c>
    </row>
    <row r="1316" spans="1:10">
      <c r="A1316" s="24">
        <v>1314</v>
      </c>
      <c r="B1316" s="24">
        <f t="shared" si="23"/>
        <v>875</v>
      </c>
      <c r="C1316" s="1" t="s">
        <v>1554</v>
      </c>
      <c r="D1316" s="1" t="s">
        <v>4</v>
      </c>
      <c r="E1316" s="1" t="s">
        <v>14</v>
      </c>
      <c r="F1316" s="26">
        <v>500</v>
      </c>
      <c r="G1316" s="26">
        <v>0</v>
      </c>
      <c r="H1316" s="26">
        <v>500</v>
      </c>
      <c r="I1316" s="26">
        <v>5500000</v>
      </c>
      <c r="J1316" s="26">
        <v>29500000</v>
      </c>
    </row>
    <row r="1317" spans="1:10">
      <c r="A1317" s="24">
        <v>1315</v>
      </c>
      <c r="B1317" s="24">
        <f t="shared" si="23"/>
        <v>876</v>
      </c>
      <c r="C1317" s="1" t="s">
        <v>1555</v>
      </c>
      <c r="D1317" s="1" t="s">
        <v>4</v>
      </c>
      <c r="E1317" s="1" t="s">
        <v>14</v>
      </c>
      <c r="F1317" s="26">
        <v>500</v>
      </c>
      <c r="G1317" s="26">
        <v>0</v>
      </c>
      <c r="H1317" s="26">
        <v>500</v>
      </c>
      <c r="I1317" s="26">
        <v>6250000</v>
      </c>
      <c r="J1317" s="26">
        <v>29500000</v>
      </c>
    </row>
    <row r="1318" spans="1:10">
      <c r="A1318" s="24">
        <v>1316</v>
      </c>
      <c r="B1318" s="24">
        <f t="shared" si="23"/>
        <v>877</v>
      </c>
      <c r="C1318" s="1" t="s">
        <v>775</v>
      </c>
      <c r="F1318" s="26">
        <v>1813</v>
      </c>
      <c r="G1318" s="26">
        <v>0</v>
      </c>
      <c r="H1318" s="26">
        <v>1800</v>
      </c>
      <c r="I1318" s="26">
        <v>21750000</v>
      </c>
      <c r="J1318" s="26">
        <v>106200000</v>
      </c>
    </row>
    <row r="1319" spans="1:10">
      <c r="A1319" s="24">
        <v>1317</v>
      </c>
      <c r="B1319" s="24">
        <f t="shared" si="23"/>
        <v>878</v>
      </c>
      <c r="C1319" s="1" t="s">
        <v>1556</v>
      </c>
      <c r="D1319" s="1" t="s">
        <v>4</v>
      </c>
      <c r="E1319" s="1" t="s">
        <v>14</v>
      </c>
      <c r="F1319" s="26">
        <v>300</v>
      </c>
      <c r="G1319" s="26">
        <v>0</v>
      </c>
      <c r="H1319" s="26">
        <v>300</v>
      </c>
      <c r="I1319" s="26">
        <v>7185927.2727272725</v>
      </c>
      <c r="J1319" s="26">
        <v>13500000</v>
      </c>
    </row>
    <row r="1320" spans="1:10">
      <c r="A1320" s="24">
        <v>1318</v>
      </c>
      <c r="B1320" s="24">
        <f t="shared" si="23"/>
        <v>879</v>
      </c>
      <c r="C1320" s="1" t="s">
        <v>1557</v>
      </c>
      <c r="D1320" s="1" t="s">
        <v>4</v>
      </c>
      <c r="E1320" s="1" t="s">
        <v>14</v>
      </c>
      <c r="F1320" s="26">
        <v>300</v>
      </c>
      <c r="G1320" s="26">
        <v>0</v>
      </c>
      <c r="H1320" s="26">
        <v>300</v>
      </c>
      <c r="I1320" s="26">
        <v>7116627.2727272725</v>
      </c>
      <c r="J1320" s="26">
        <v>13500000</v>
      </c>
    </row>
    <row r="1321" spans="1:10">
      <c r="A1321" s="24">
        <v>1319</v>
      </c>
      <c r="B1321" s="24">
        <f t="shared" si="23"/>
        <v>880</v>
      </c>
      <c r="C1321" s="1" t="s">
        <v>1558</v>
      </c>
      <c r="D1321" s="1" t="s">
        <v>4</v>
      </c>
      <c r="E1321" s="1" t="s">
        <v>14</v>
      </c>
      <c r="F1321" s="26">
        <v>300</v>
      </c>
      <c r="G1321" s="26">
        <v>0</v>
      </c>
      <c r="H1321" s="26">
        <v>300</v>
      </c>
      <c r="I1321" s="26">
        <v>7919386.3636363633</v>
      </c>
      <c r="J1321" s="26">
        <v>14700000</v>
      </c>
    </row>
    <row r="1322" spans="1:10">
      <c r="A1322" s="24">
        <v>1320</v>
      </c>
      <c r="B1322" s="24">
        <f t="shared" si="23"/>
        <v>881</v>
      </c>
      <c r="C1322" s="1" t="s">
        <v>1559</v>
      </c>
      <c r="D1322" s="1" t="s">
        <v>4</v>
      </c>
      <c r="E1322" s="1" t="s">
        <v>14</v>
      </c>
      <c r="F1322" s="26">
        <v>300</v>
      </c>
      <c r="G1322" s="26">
        <v>0</v>
      </c>
      <c r="H1322" s="26">
        <v>300</v>
      </c>
      <c r="I1322" s="26">
        <v>8196586.3636363633</v>
      </c>
      <c r="J1322" s="26">
        <v>14700000</v>
      </c>
    </row>
    <row r="1323" spans="1:10">
      <c r="A1323" s="24">
        <v>1321</v>
      </c>
      <c r="B1323" s="24">
        <f t="shared" si="23"/>
        <v>882</v>
      </c>
      <c r="C1323" s="1" t="s">
        <v>775</v>
      </c>
      <c r="F1323" s="26">
        <v>1200</v>
      </c>
      <c r="G1323" s="26">
        <v>0</v>
      </c>
      <c r="H1323" s="26">
        <v>1200</v>
      </c>
      <c r="I1323" s="26">
        <v>30418527.27272727</v>
      </c>
      <c r="J1323" s="26">
        <v>56400000</v>
      </c>
    </row>
    <row r="1324" spans="1:10">
      <c r="A1324" s="24">
        <v>1322</v>
      </c>
      <c r="B1324" s="24">
        <f t="shared" si="23"/>
        <v>883</v>
      </c>
      <c r="C1324" s="1" t="s">
        <v>1560</v>
      </c>
      <c r="D1324" s="1" t="s">
        <v>4</v>
      </c>
      <c r="E1324" s="1" t="s">
        <v>14</v>
      </c>
      <c r="F1324" s="26">
        <v>800</v>
      </c>
      <c r="G1324" s="26">
        <v>0</v>
      </c>
      <c r="H1324" s="26">
        <v>800</v>
      </c>
      <c r="I1324" s="26">
        <v>4406848.0000000009</v>
      </c>
      <c r="J1324" s="26">
        <v>31200000</v>
      </c>
    </row>
    <row r="1325" spans="1:10">
      <c r="A1325" s="24">
        <v>1323</v>
      </c>
      <c r="B1325" s="24">
        <f t="shared" si="23"/>
        <v>884</v>
      </c>
      <c r="C1325" s="1" t="s">
        <v>1561</v>
      </c>
      <c r="D1325" s="1" t="s">
        <v>4</v>
      </c>
      <c r="E1325" s="1" t="s">
        <v>14</v>
      </c>
      <c r="F1325" s="26">
        <v>796</v>
      </c>
      <c r="G1325" s="26">
        <v>0</v>
      </c>
      <c r="H1325" s="26">
        <v>800</v>
      </c>
      <c r="I1325" s="26">
        <v>4787824.0000000009</v>
      </c>
      <c r="J1325" s="26">
        <v>31200000</v>
      </c>
    </row>
    <row r="1326" spans="1:10">
      <c r="A1326" s="24">
        <v>1324</v>
      </c>
      <c r="B1326" s="24">
        <f t="shared" si="23"/>
        <v>885</v>
      </c>
      <c r="C1326" s="1" t="s">
        <v>775</v>
      </c>
      <c r="F1326" s="26">
        <v>1596</v>
      </c>
      <c r="G1326" s="26">
        <v>0</v>
      </c>
      <c r="H1326" s="26">
        <v>1600</v>
      </c>
      <c r="I1326" s="26">
        <v>9194672.0000000019</v>
      </c>
      <c r="J1326" s="26">
        <v>62400000</v>
      </c>
    </row>
    <row r="1327" spans="1:10">
      <c r="A1327" s="24">
        <v>1325</v>
      </c>
      <c r="B1327" s="24">
        <f t="shared" si="23"/>
        <v>886</v>
      </c>
      <c r="C1327" s="1" t="s">
        <v>1562</v>
      </c>
      <c r="D1327" s="1" t="s">
        <v>4</v>
      </c>
      <c r="E1327" s="1" t="s">
        <v>14</v>
      </c>
      <c r="F1327" s="26">
        <v>800</v>
      </c>
      <c r="G1327" s="26">
        <v>0</v>
      </c>
      <c r="H1327" s="26">
        <v>800</v>
      </c>
      <c r="I1327" s="26">
        <v>4646432</v>
      </c>
      <c r="J1327" s="26">
        <v>31200000</v>
      </c>
    </row>
    <row r="1328" spans="1:10">
      <c r="A1328" s="24">
        <v>1326</v>
      </c>
      <c r="B1328" s="24">
        <f t="shared" si="23"/>
        <v>887</v>
      </c>
      <c r="C1328" s="1" t="s">
        <v>775</v>
      </c>
      <c r="F1328" s="26">
        <v>800</v>
      </c>
      <c r="G1328" s="26">
        <v>0</v>
      </c>
      <c r="H1328" s="26">
        <v>800</v>
      </c>
      <c r="I1328" s="26">
        <v>4646432</v>
      </c>
      <c r="J1328" s="26">
        <v>31200000</v>
      </c>
    </row>
    <row r="1329" spans="1:10">
      <c r="A1329" s="24">
        <v>1327</v>
      </c>
      <c r="B1329" s="24">
        <f t="shared" si="23"/>
        <v>888</v>
      </c>
      <c r="C1329" s="1" t="s">
        <v>1563</v>
      </c>
      <c r="D1329" s="1" t="s">
        <v>4</v>
      </c>
      <c r="E1329" s="1" t="s">
        <v>14</v>
      </c>
      <c r="F1329" s="26">
        <v>603</v>
      </c>
      <c r="G1329" s="26">
        <v>0</v>
      </c>
      <c r="H1329" s="26">
        <v>600</v>
      </c>
      <c r="I1329" s="26">
        <v>5760000</v>
      </c>
      <c r="J1329" s="26">
        <v>27000000</v>
      </c>
    </row>
    <row r="1330" spans="1:10">
      <c r="A1330" s="24">
        <v>1328</v>
      </c>
      <c r="B1330" s="24">
        <f t="shared" si="23"/>
        <v>889</v>
      </c>
      <c r="C1330" s="1" t="s">
        <v>1564</v>
      </c>
      <c r="D1330" s="1" t="s">
        <v>4</v>
      </c>
      <c r="E1330" s="1" t="s">
        <v>14</v>
      </c>
      <c r="F1330" s="26">
        <v>607</v>
      </c>
      <c r="G1330" s="26">
        <v>0</v>
      </c>
      <c r="H1330" s="26">
        <v>600</v>
      </c>
      <c r="I1330" s="26">
        <v>6060000</v>
      </c>
      <c r="J1330" s="26">
        <v>27000000</v>
      </c>
    </row>
    <row r="1331" spans="1:10">
      <c r="A1331" s="24">
        <v>1329</v>
      </c>
      <c r="B1331" s="24">
        <f t="shared" si="23"/>
        <v>890</v>
      </c>
      <c r="C1331" s="1" t="s">
        <v>1565</v>
      </c>
      <c r="D1331" s="1" t="s">
        <v>4</v>
      </c>
      <c r="E1331" s="1" t="s">
        <v>14</v>
      </c>
      <c r="F1331" s="26">
        <v>615</v>
      </c>
      <c r="G1331" s="26">
        <v>0</v>
      </c>
      <c r="H1331" s="26">
        <v>600</v>
      </c>
      <c r="I1331" s="26">
        <v>6060000</v>
      </c>
      <c r="J1331" s="26">
        <v>29400000</v>
      </c>
    </row>
    <row r="1332" spans="1:10">
      <c r="A1332" s="24">
        <v>1330</v>
      </c>
      <c r="B1332" s="24">
        <f t="shared" si="23"/>
        <v>891</v>
      </c>
      <c r="C1332" s="1" t="s">
        <v>775</v>
      </c>
      <c r="F1332" s="26">
        <v>1825</v>
      </c>
      <c r="G1332" s="26">
        <v>0</v>
      </c>
      <c r="H1332" s="26">
        <v>1800</v>
      </c>
      <c r="I1332" s="26">
        <v>17880000</v>
      </c>
      <c r="J1332" s="26">
        <v>83400000</v>
      </c>
    </row>
    <row r="1333" spans="1:10">
      <c r="A1333" s="24">
        <v>1331</v>
      </c>
      <c r="B1333" s="24">
        <f t="shared" si="23"/>
        <v>892</v>
      </c>
      <c r="C1333" s="1" t="s">
        <v>1566</v>
      </c>
      <c r="D1333" s="1" t="s">
        <v>4</v>
      </c>
      <c r="E1333" s="1" t="s">
        <v>14</v>
      </c>
      <c r="F1333" s="26">
        <v>938</v>
      </c>
      <c r="G1333" s="26">
        <v>0</v>
      </c>
      <c r="H1333" s="26">
        <v>1000</v>
      </c>
      <c r="I1333" s="26">
        <v>5882780.0000000009</v>
      </c>
      <c r="J1333" s="26">
        <v>53000000</v>
      </c>
    </row>
    <row r="1334" spans="1:10">
      <c r="A1334" s="24">
        <v>1332</v>
      </c>
      <c r="B1334" s="24">
        <f t="shared" si="23"/>
        <v>893</v>
      </c>
      <c r="C1334" s="1" t="s">
        <v>1567</v>
      </c>
      <c r="D1334" s="1" t="s">
        <v>4</v>
      </c>
      <c r="E1334" s="1" t="s">
        <v>14</v>
      </c>
      <c r="F1334" s="26">
        <v>953</v>
      </c>
      <c r="G1334" s="26">
        <v>0</v>
      </c>
      <c r="H1334" s="26">
        <v>1000</v>
      </c>
      <c r="I1334" s="26">
        <v>7504400.0000000019</v>
      </c>
      <c r="J1334" s="26">
        <v>55000000</v>
      </c>
    </row>
    <row r="1335" spans="1:10">
      <c r="A1335" s="24">
        <v>1333</v>
      </c>
      <c r="B1335" s="24">
        <f t="shared" si="23"/>
        <v>894</v>
      </c>
      <c r="C1335" s="1" t="s">
        <v>775</v>
      </c>
      <c r="F1335" s="26">
        <v>1891</v>
      </c>
      <c r="G1335" s="26">
        <v>0</v>
      </c>
      <c r="H1335" s="26">
        <v>2000</v>
      </c>
      <c r="I1335" s="26">
        <v>13387180.000000004</v>
      </c>
      <c r="J1335" s="26">
        <v>108000000</v>
      </c>
    </row>
    <row r="1336" spans="1:10">
      <c r="A1336" s="24">
        <v>1334</v>
      </c>
      <c r="B1336" s="24">
        <f t="shared" si="23"/>
        <v>895</v>
      </c>
      <c r="C1336" s="1" t="s">
        <v>1568</v>
      </c>
      <c r="D1336" s="1" t="s">
        <v>4</v>
      </c>
      <c r="E1336" s="1" t="s">
        <v>14</v>
      </c>
      <c r="F1336" s="26">
        <v>3000</v>
      </c>
      <c r="G1336" s="26">
        <v>0</v>
      </c>
      <c r="H1336" s="26">
        <v>3000</v>
      </c>
      <c r="I1336" s="26">
        <v>13943160</v>
      </c>
      <c r="J1336" s="26">
        <v>159000000</v>
      </c>
    </row>
    <row r="1337" spans="1:10">
      <c r="A1337" s="24">
        <v>1335</v>
      </c>
      <c r="B1337" s="24">
        <f t="shared" si="23"/>
        <v>896</v>
      </c>
      <c r="C1337" s="1" t="s">
        <v>775</v>
      </c>
      <c r="F1337" s="26">
        <v>3000</v>
      </c>
      <c r="G1337" s="26">
        <v>0</v>
      </c>
      <c r="H1337" s="26">
        <v>3000</v>
      </c>
      <c r="I1337" s="26">
        <v>13943160</v>
      </c>
      <c r="J1337" s="26">
        <v>159000000</v>
      </c>
    </row>
    <row r="1338" spans="1:10">
      <c r="A1338" s="24">
        <v>1336</v>
      </c>
      <c r="B1338" s="24">
        <f t="shared" si="23"/>
        <v>897</v>
      </c>
      <c r="C1338" s="1" t="s">
        <v>1357</v>
      </c>
      <c r="D1338" s="1" t="s">
        <v>4</v>
      </c>
      <c r="E1338" s="1" t="s">
        <v>14</v>
      </c>
      <c r="F1338" s="26">
        <v>2000</v>
      </c>
      <c r="G1338" s="26">
        <v>0</v>
      </c>
      <c r="H1338" s="26">
        <v>2000</v>
      </c>
      <c r="I1338" s="26">
        <v>13846140.000000002</v>
      </c>
      <c r="J1338" s="26">
        <v>118000000</v>
      </c>
    </row>
    <row r="1339" spans="1:10">
      <c r="A1339" s="24">
        <v>1337</v>
      </c>
      <c r="B1339" s="24">
        <f t="shared" si="23"/>
        <v>898</v>
      </c>
      <c r="C1339" s="1" t="s">
        <v>775</v>
      </c>
      <c r="F1339" s="26">
        <v>2000</v>
      </c>
      <c r="G1339" s="26">
        <v>0</v>
      </c>
      <c r="H1339" s="26">
        <v>2000</v>
      </c>
      <c r="I1339" s="26">
        <v>13846140.000000002</v>
      </c>
      <c r="J1339" s="26">
        <v>118000000</v>
      </c>
    </row>
    <row r="1340" spans="1:10">
      <c r="A1340" s="24">
        <v>1338</v>
      </c>
      <c r="B1340" s="24">
        <f t="shared" si="23"/>
        <v>899</v>
      </c>
      <c r="C1340" s="1" t="s">
        <v>1569</v>
      </c>
      <c r="D1340" s="1" t="s">
        <v>4</v>
      </c>
      <c r="E1340" s="1" t="s">
        <v>15</v>
      </c>
      <c r="F1340" s="26">
        <v>100</v>
      </c>
      <c r="G1340" s="26">
        <v>0</v>
      </c>
      <c r="H1340" s="26">
        <v>100</v>
      </c>
      <c r="I1340" s="26">
        <v>1840909.0909090908</v>
      </c>
      <c r="J1340" s="26">
        <v>4500000</v>
      </c>
    </row>
    <row r="1341" spans="1:10">
      <c r="A1341" s="24">
        <v>1339</v>
      </c>
      <c r="B1341" s="24">
        <f t="shared" si="23"/>
        <v>900</v>
      </c>
      <c r="C1341" s="1" t="s">
        <v>1570</v>
      </c>
      <c r="D1341" s="1" t="s">
        <v>4</v>
      </c>
      <c r="E1341" s="1" t="s">
        <v>15</v>
      </c>
      <c r="F1341" s="26">
        <v>100</v>
      </c>
      <c r="G1341" s="26">
        <v>0</v>
      </c>
      <c r="H1341" s="26">
        <v>100</v>
      </c>
      <c r="I1341" s="26">
        <v>1840909.0909090908</v>
      </c>
      <c r="J1341" s="26">
        <v>4500000</v>
      </c>
    </row>
    <row r="1342" spans="1:10">
      <c r="A1342" s="24">
        <v>1340</v>
      </c>
      <c r="B1342" s="24">
        <f t="shared" si="23"/>
        <v>901</v>
      </c>
      <c r="C1342" s="1" t="s">
        <v>1571</v>
      </c>
      <c r="D1342" s="1" t="s">
        <v>4</v>
      </c>
      <c r="E1342" s="1" t="s">
        <v>15</v>
      </c>
      <c r="F1342" s="26">
        <v>200</v>
      </c>
      <c r="G1342" s="26">
        <v>0</v>
      </c>
      <c r="H1342" s="26">
        <v>200</v>
      </c>
      <c r="I1342" s="26">
        <v>3681818.1818181816</v>
      </c>
      <c r="J1342" s="26">
        <v>9000000</v>
      </c>
    </row>
    <row r="1343" spans="1:10">
      <c r="A1343" s="24">
        <v>1341</v>
      </c>
      <c r="B1343" s="24">
        <f t="shared" si="23"/>
        <v>902</v>
      </c>
      <c r="C1343" s="1" t="s">
        <v>1572</v>
      </c>
      <c r="D1343" s="1" t="s">
        <v>4</v>
      </c>
      <c r="E1343" s="1" t="s">
        <v>15</v>
      </c>
      <c r="F1343" s="26">
        <v>14</v>
      </c>
      <c r="G1343" s="26">
        <v>0</v>
      </c>
      <c r="H1343" s="26">
        <v>14</v>
      </c>
      <c r="I1343" s="26">
        <v>257727.27272727271</v>
      </c>
      <c r="J1343" s="26">
        <v>630000</v>
      </c>
    </row>
    <row r="1344" spans="1:10">
      <c r="A1344" s="24">
        <v>1342</v>
      </c>
      <c r="B1344" s="24">
        <f t="shared" si="23"/>
        <v>903</v>
      </c>
      <c r="C1344" s="1" t="s">
        <v>1573</v>
      </c>
      <c r="D1344" s="1" t="s">
        <v>4</v>
      </c>
      <c r="E1344" s="1" t="s">
        <v>15</v>
      </c>
      <c r="F1344" s="26">
        <v>26</v>
      </c>
      <c r="G1344" s="26">
        <v>0</v>
      </c>
      <c r="H1344" s="26">
        <v>26</v>
      </c>
      <c r="I1344" s="26">
        <v>478636.36363636359</v>
      </c>
      <c r="J1344" s="26">
        <v>1170000</v>
      </c>
    </row>
    <row r="1345" spans="1:10">
      <c r="A1345" s="24">
        <v>1343</v>
      </c>
      <c r="B1345" s="24">
        <f t="shared" si="23"/>
        <v>904</v>
      </c>
      <c r="C1345" s="1" t="s">
        <v>1574</v>
      </c>
      <c r="D1345" s="1" t="s">
        <v>4</v>
      </c>
      <c r="E1345" s="1" t="s">
        <v>15</v>
      </c>
      <c r="F1345" s="26">
        <v>21</v>
      </c>
      <c r="G1345" s="26">
        <v>0</v>
      </c>
      <c r="H1345" s="26">
        <v>21</v>
      </c>
      <c r="I1345" s="26">
        <v>386590.90909090906</v>
      </c>
      <c r="J1345" s="26">
        <v>945000</v>
      </c>
    </row>
    <row r="1346" spans="1:10">
      <c r="A1346" s="24">
        <v>1344</v>
      </c>
      <c r="B1346" s="24">
        <f t="shared" si="23"/>
        <v>905</v>
      </c>
      <c r="C1346" s="1" t="s">
        <v>775</v>
      </c>
      <c r="F1346" s="26">
        <v>461</v>
      </c>
      <c r="G1346" s="26">
        <v>0</v>
      </c>
      <c r="H1346" s="26">
        <v>461</v>
      </c>
      <c r="I1346" s="26">
        <v>8486590.9090909082</v>
      </c>
      <c r="J1346" s="26">
        <v>20745000</v>
      </c>
    </row>
    <row r="1347" spans="1:10">
      <c r="A1347" s="24">
        <v>1345</v>
      </c>
      <c r="B1347" s="24">
        <f t="shared" si="23"/>
        <v>906</v>
      </c>
      <c r="C1347" s="1" t="s">
        <v>1575</v>
      </c>
      <c r="D1347" s="1" t="s">
        <v>4</v>
      </c>
      <c r="E1347" s="1" t="s">
        <v>14</v>
      </c>
      <c r="F1347" s="26">
        <v>397</v>
      </c>
      <c r="G1347" s="26">
        <v>0</v>
      </c>
      <c r="H1347" s="26">
        <v>400</v>
      </c>
      <c r="I1347" s="26">
        <v>2819124.0000000005</v>
      </c>
      <c r="J1347" s="26">
        <v>14000000</v>
      </c>
    </row>
    <row r="1348" spans="1:10">
      <c r="A1348" s="24">
        <v>1346</v>
      </c>
      <c r="B1348" s="24">
        <f t="shared" si="23"/>
        <v>907</v>
      </c>
      <c r="C1348" s="1" t="s">
        <v>1576</v>
      </c>
      <c r="D1348" s="1" t="s">
        <v>4</v>
      </c>
      <c r="E1348" s="1" t="s">
        <v>14</v>
      </c>
      <c r="F1348" s="26">
        <v>494</v>
      </c>
      <c r="G1348" s="26">
        <v>0</v>
      </c>
      <c r="H1348" s="26">
        <v>500</v>
      </c>
      <c r="I1348" s="26">
        <v>3523905.0000000005</v>
      </c>
      <c r="J1348" s="26">
        <v>17500000</v>
      </c>
    </row>
    <row r="1349" spans="1:10">
      <c r="A1349" s="24">
        <v>1347</v>
      </c>
      <c r="B1349" s="24">
        <f t="shared" si="23"/>
        <v>908</v>
      </c>
      <c r="C1349" s="1" t="s">
        <v>1577</v>
      </c>
      <c r="D1349" s="1" t="s">
        <v>4</v>
      </c>
      <c r="E1349" s="1" t="s">
        <v>14</v>
      </c>
      <c r="F1349" s="26">
        <v>399</v>
      </c>
      <c r="G1349" s="26">
        <v>0</v>
      </c>
      <c r="H1349" s="26">
        <v>400</v>
      </c>
      <c r="I1349" s="26">
        <v>2819124.0000000005</v>
      </c>
      <c r="J1349" s="26">
        <v>14000000</v>
      </c>
    </row>
    <row r="1350" spans="1:10">
      <c r="A1350" s="24">
        <v>1348</v>
      </c>
      <c r="B1350" s="24">
        <f t="shared" si="23"/>
        <v>909</v>
      </c>
      <c r="C1350" s="1" t="s">
        <v>775</v>
      </c>
      <c r="F1350" s="26">
        <v>1290</v>
      </c>
      <c r="G1350" s="26">
        <v>0</v>
      </c>
      <c r="H1350" s="26">
        <v>1300</v>
      </c>
      <c r="I1350" s="26">
        <v>9162153.0000000019</v>
      </c>
      <c r="J1350" s="26">
        <v>45500000</v>
      </c>
    </row>
    <row r="1351" spans="1:10">
      <c r="A1351" s="24">
        <v>1349</v>
      </c>
      <c r="B1351" s="24">
        <f t="shared" si="23"/>
        <v>910</v>
      </c>
      <c r="C1351" s="1" t="s">
        <v>993</v>
      </c>
      <c r="D1351" s="1" t="s">
        <v>4</v>
      </c>
      <c r="E1351" s="1" t="s">
        <v>14</v>
      </c>
      <c r="F1351" s="26">
        <v>700</v>
      </c>
      <c r="G1351" s="26">
        <v>0</v>
      </c>
      <c r="H1351" s="26">
        <v>700</v>
      </c>
      <c r="I1351" s="26">
        <v>8352869.0000000009</v>
      </c>
      <c r="J1351" s="26">
        <v>55300000</v>
      </c>
    </row>
    <row r="1352" spans="1:10">
      <c r="A1352" s="24">
        <v>1350</v>
      </c>
      <c r="B1352" s="24">
        <f t="shared" si="23"/>
        <v>911</v>
      </c>
      <c r="C1352" s="1" t="s">
        <v>994</v>
      </c>
      <c r="D1352" s="1" t="s">
        <v>4</v>
      </c>
      <c r="E1352" s="1" t="s">
        <v>14</v>
      </c>
      <c r="F1352" s="26">
        <v>705</v>
      </c>
      <c r="G1352" s="26">
        <v>0</v>
      </c>
      <c r="H1352" s="26">
        <v>700</v>
      </c>
      <c r="I1352" s="26">
        <v>8090915.0000000009</v>
      </c>
      <c r="J1352" s="26">
        <v>55300000</v>
      </c>
    </row>
    <row r="1353" spans="1:10">
      <c r="A1353" s="24">
        <v>1351</v>
      </c>
      <c r="B1353" s="24">
        <f t="shared" si="23"/>
        <v>912</v>
      </c>
      <c r="C1353" s="1" t="s">
        <v>996</v>
      </c>
      <c r="D1353" s="1" t="s">
        <v>4</v>
      </c>
      <c r="E1353" s="1" t="s">
        <v>14</v>
      </c>
      <c r="F1353" s="26">
        <v>703</v>
      </c>
      <c r="G1353" s="26">
        <v>0</v>
      </c>
      <c r="H1353" s="26">
        <v>700</v>
      </c>
      <c r="I1353" s="26">
        <v>7916279.0000000019</v>
      </c>
      <c r="J1353" s="26">
        <v>55300000</v>
      </c>
    </row>
    <row r="1354" spans="1:10">
      <c r="A1354" s="24">
        <v>1352</v>
      </c>
      <c r="B1354" s="24">
        <f t="shared" si="23"/>
        <v>913</v>
      </c>
      <c r="C1354" s="1" t="s">
        <v>775</v>
      </c>
      <c r="F1354" s="26">
        <v>2108</v>
      </c>
      <c r="G1354" s="26">
        <v>0</v>
      </c>
      <c r="H1354" s="26">
        <v>2100</v>
      </c>
      <c r="I1354" s="26">
        <v>24360063.000000004</v>
      </c>
      <c r="J1354" s="26">
        <v>165900000</v>
      </c>
    </row>
    <row r="1355" spans="1:10">
      <c r="A1355" s="24">
        <v>1353</v>
      </c>
      <c r="B1355" s="24">
        <f t="shared" si="23"/>
        <v>914</v>
      </c>
      <c r="C1355" s="1" t="s">
        <v>953</v>
      </c>
      <c r="D1355" s="1" t="s">
        <v>4</v>
      </c>
      <c r="E1355" s="1" t="s">
        <v>14</v>
      </c>
      <c r="F1355" s="26">
        <v>1995</v>
      </c>
      <c r="G1355" s="26">
        <v>0</v>
      </c>
      <c r="H1355" s="26">
        <v>2000</v>
      </c>
      <c r="I1355" s="26">
        <v>11820999.999999998</v>
      </c>
      <c r="J1355" s="26">
        <v>90000000</v>
      </c>
    </row>
    <row r="1356" spans="1:10">
      <c r="A1356" s="24">
        <v>1354</v>
      </c>
      <c r="B1356" s="24">
        <f t="shared" si="23"/>
        <v>915</v>
      </c>
      <c r="C1356" s="1" t="s">
        <v>775</v>
      </c>
      <c r="F1356" s="26">
        <v>1995</v>
      </c>
      <c r="G1356" s="26">
        <v>0</v>
      </c>
      <c r="H1356" s="26">
        <v>2000</v>
      </c>
      <c r="I1356" s="26">
        <v>11820999.999999998</v>
      </c>
      <c r="J1356" s="26">
        <v>90000000</v>
      </c>
    </row>
    <row r="1357" spans="1:10">
      <c r="A1357" s="24">
        <v>1355</v>
      </c>
      <c r="B1357" s="24">
        <f t="shared" si="23"/>
        <v>916</v>
      </c>
      <c r="C1357" s="1" t="s">
        <v>1342</v>
      </c>
      <c r="D1357" s="1" t="s">
        <v>4</v>
      </c>
      <c r="E1357" s="1" t="s">
        <v>14</v>
      </c>
      <c r="F1357" s="26">
        <v>1967</v>
      </c>
      <c r="G1357" s="26">
        <v>0</v>
      </c>
      <c r="H1357" s="26">
        <v>2000</v>
      </c>
      <c r="I1357" s="26">
        <v>12702000</v>
      </c>
      <c r="J1357" s="26">
        <v>90000000</v>
      </c>
    </row>
    <row r="1358" spans="1:10">
      <c r="A1358" s="24">
        <v>1356</v>
      </c>
      <c r="B1358" s="24">
        <f t="shared" si="23"/>
        <v>917</v>
      </c>
      <c r="C1358" s="1" t="s">
        <v>775</v>
      </c>
      <c r="F1358" s="26">
        <v>1967</v>
      </c>
      <c r="G1358" s="26">
        <v>0</v>
      </c>
      <c r="H1358" s="26">
        <v>2000</v>
      </c>
      <c r="I1358" s="26">
        <v>12702000</v>
      </c>
      <c r="J1358" s="26">
        <v>90000000</v>
      </c>
    </row>
    <row r="1359" spans="1:10">
      <c r="A1359" s="24">
        <v>1357</v>
      </c>
      <c r="B1359" s="24">
        <f t="shared" si="23"/>
        <v>918</v>
      </c>
      <c r="C1359" s="1" t="s">
        <v>1578</v>
      </c>
      <c r="D1359" s="1" t="s">
        <v>4</v>
      </c>
      <c r="E1359" s="1" t="s">
        <v>14</v>
      </c>
      <c r="F1359" s="26">
        <v>795</v>
      </c>
      <c r="G1359" s="26">
        <v>0</v>
      </c>
      <c r="H1359" s="26">
        <v>800</v>
      </c>
      <c r="I1359" s="26">
        <v>8800000</v>
      </c>
      <c r="J1359" s="26">
        <v>44000000</v>
      </c>
    </row>
    <row r="1360" spans="1:10">
      <c r="A1360" s="24">
        <v>1358</v>
      </c>
      <c r="B1360" s="24">
        <f t="shared" si="23"/>
        <v>919</v>
      </c>
      <c r="C1360" s="1" t="s">
        <v>775</v>
      </c>
      <c r="F1360" s="26">
        <v>795</v>
      </c>
      <c r="G1360" s="26">
        <v>0</v>
      </c>
      <c r="H1360" s="26">
        <v>800</v>
      </c>
      <c r="I1360" s="26">
        <v>8800000</v>
      </c>
      <c r="J1360" s="26">
        <v>44000000</v>
      </c>
    </row>
    <row r="1361" spans="1:10">
      <c r="A1361" s="24">
        <v>1359</v>
      </c>
      <c r="B1361" s="24">
        <f t="shared" si="23"/>
        <v>920</v>
      </c>
      <c r="C1361" s="1" t="s">
        <v>1579</v>
      </c>
      <c r="D1361" s="1" t="s">
        <v>4</v>
      </c>
      <c r="E1361" s="1" t="s">
        <v>14</v>
      </c>
      <c r="F1361" s="26">
        <v>1000</v>
      </c>
      <c r="G1361" s="26">
        <v>0</v>
      </c>
      <c r="H1361" s="26">
        <v>1000</v>
      </c>
      <c r="I1361" s="26">
        <v>10800000</v>
      </c>
      <c r="J1361" s="26">
        <v>59000000</v>
      </c>
    </row>
    <row r="1362" spans="1:10">
      <c r="A1362" s="24">
        <v>1360</v>
      </c>
      <c r="B1362" s="24">
        <f t="shared" si="23"/>
        <v>921</v>
      </c>
      <c r="C1362" s="1" t="s">
        <v>1580</v>
      </c>
      <c r="D1362" s="1" t="s">
        <v>4</v>
      </c>
      <c r="E1362" s="1" t="s">
        <v>14</v>
      </c>
      <c r="F1362" s="26">
        <v>1000</v>
      </c>
      <c r="G1362" s="26">
        <v>0</v>
      </c>
      <c r="H1362" s="26">
        <v>1000</v>
      </c>
      <c r="I1362" s="26">
        <v>12000000</v>
      </c>
      <c r="J1362" s="26">
        <v>59000000</v>
      </c>
    </row>
    <row r="1363" spans="1:10">
      <c r="A1363" s="24">
        <v>1361</v>
      </c>
      <c r="B1363" s="24">
        <f t="shared" si="23"/>
        <v>922</v>
      </c>
      <c r="C1363" s="1" t="s">
        <v>775</v>
      </c>
      <c r="F1363" s="26">
        <v>2000</v>
      </c>
      <c r="G1363" s="26">
        <v>0</v>
      </c>
      <c r="H1363" s="26">
        <v>2000</v>
      </c>
      <c r="I1363" s="26">
        <v>22800000</v>
      </c>
      <c r="J1363" s="26">
        <v>118000000</v>
      </c>
    </row>
    <row r="1364" spans="1:10">
      <c r="A1364" s="24">
        <v>1362</v>
      </c>
      <c r="B1364" s="24">
        <f t="shared" si="23"/>
        <v>923</v>
      </c>
      <c r="C1364" s="1" t="s">
        <v>1581</v>
      </c>
      <c r="D1364" s="1" t="s">
        <v>4</v>
      </c>
      <c r="E1364" s="1" t="s">
        <v>14</v>
      </c>
      <c r="F1364" s="26">
        <v>2999</v>
      </c>
      <c r="G1364" s="26">
        <v>0</v>
      </c>
      <c r="H1364" s="26">
        <v>3000</v>
      </c>
      <c r="I1364" s="26">
        <v>11693436.000000002</v>
      </c>
      <c r="J1364" s="26">
        <v>105000000</v>
      </c>
    </row>
    <row r="1365" spans="1:10">
      <c r="A1365" s="24">
        <v>1363</v>
      </c>
      <c r="B1365" s="24">
        <f t="shared" si="23"/>
        <v>924</v>
      </c>
      <c r="C1365" s="1" t="s">
        <v>775</v>
      </c>
      <c r="F1365" s="26">
        <v>2999</v>
      </c>
      <c r="G1365" s="26">
        <v>0</v>
      </c>
      <c r="H1365" s="26">
        <v>3000</v>
      </c>
      <c r="I1365" s="26">
        <v>11693436.000000002</v>
      </c>
      <c r="J1365" s="26">
        <v>105000000</v>
      </c>
    </row>
    <row r="1366" spans="1:10">
      <c r="A1366" s="24">
        <v>1364</v>
      </c>
      <c r="B1366" s="24">
        <f t="shared" si="23"/>
        <v>925</v>
      </c>
      <c r="C1366" s="1" t="s">
        <v>1582</v>
      </c>
      <c r="D1366" s="1" t="s">
        <v>2</v>
      </c>
      <c r="E1366" s="1" t="s">
        <v>14</v>
      </c>
      <c r="F1366" s="26">
        <v>20</v>
      </c>
      <c r="G1366" s="26">
        <v>0</v>
      </c>
      <c r="H1366" s="26">
        <v>20</v>
      </c>
      <c r="I1366" s="26">
        <v>368181.81818181818</v>
      </c>
      <c r="J1366" s="26">
        <v>900000</v>
      </c>
    </row>
    <row r="1367" spans="1:10">
      <c r="A1367" s="24">
        <v>1365</v>
      </c>
      <c r="B1367" s="24">
        <f t="shared" si="23"/>
        <v>926</v>
      </c>
      <c r="C1367" s="1" t="s">
        <v>1583</v>
      </c>
      <c r="D1367" s="1" t="s">
        <v>2</v>
      </c>
      <c r="E1367" s="1" t="s">
        <v>14</v>
      </c>
      <c r="F1367" s="26">
        <v>16</v>
      </c>
      <c r="G1367" s="26">
        <v>0</v>
      </c>
      <c r="H1367" s="26">
        <v>16</v>
      </c>
      <c r="I1367" s="26">
        <v>294545.45454545453</v>
      </c>
      <c r="J1367" s="26">
        <v>720000</v>
      </c>
    </row>
    <row r="1368" spans="1:10">
      <c r="A1368" s="24">
        <v>1366</v>
      </c>
      <c r="B1368" s="24">
        <f t="shared" si="23"/>
        <v>927</v>
      </c>
      <c r="C1368" s="1" t="s">
        <v>1584</v>
      </c>
      <c r="D1368" s="1" t="s">
        <v>2</v>
      </c>
      <c r="E1368" s="1" t="s">
        <v>14</v>
      </c>
      <c r="F1368" s="26">
        <v>10</v>
      </c>
      <c r="G1368" s="26">
        <v>0</v>
      </c>
      <c r="H1368" s="26">
        <v>10</v>
      </c>
      <c r="I1368" s="26">
        <v>184090.90909090909</v>
      </c>
      <c r="J1368" s="26">
        <v>450000</v>
      </c>
    </row>
    <row r="1369" spans="1:10">
      <c r="A1369" s="24">
        <v>1367</v>
      </c>
      <c r="B1369" s="24">
        <f t="shared" si="23"/>
        <v>927</v>
      </c>
      <c r="C1369" s="1" t="s">
        <v>1584</v>
      </c>
      <c r="D1369" s="1" t="s">
        <v>5</v>
      </c>
      <c r="E1369" s="1" t="s">
        <v>14</v>
      </c>
      <c r="F1369" s="26">
        <v>8</v>
      </c>
      <c r="G1369" s="26">
        <v>0</v>
      </c>
      <c r="H1369" s="26">
        <v>8</v>
      </c>
      <c r="I1369" s="26">
        <v>147272.72727272726</v>
      </c>
      <c r="J1369" s="26">
        <v>360000</v>
      </c>
    </row>
    <row r="1370" spans="1:10">
      <c r="A1370" s="24">
        <v>1368</v>
      </c>
      <c r="B1370" s="24">
        <f t="shared" si="23"/>
        <v>928</v>
      </c>
      <c r="C1370" s="1" t="s">
        <v>1585</v>
      </c>
      <c r="D1370" s="1" t="s">
        <v>2</v>
      </c>
      <c r="E1370" s="1" t="s">
        <v>14</v>
      </c>
      <c r="F1370" s="26">
        <v>8</v>
      </c>
      <c r="G1370" s="26">
        <v>0</v>
      </c>
      <c r="H1370" s="26">
        <v>8</v>
      </c>
      <c r="I1370" s="26">
        <v>147272.72727272726</v>
      </c>
      <c r="J1370" s="26">
        <v>360000</v>
      </c>
    </row>
    <row r="1371" spans="1:10">
      <c r="A1371" s="24">
        <v>1369</v>
      </c>
      <c r="B1371" s="24">
        <f t="shared" ref="B1371:B1413" si="24">IF(C1370=C1371,B1370,B1370+1)</f>
        <v>928</v>
      </c>
      <c r="C1371" s="1" t="s">
        <v>1585</v>
      </c>
      <c r="D1371" s="1" t="s">
        <v>5</v>
      </c>
      <c r="E1371" s="1" t="s">
        <v>14</v>
      </c>
      <c r="F1371" s="26">
        <v>6</v>
      </c>
      <c r="G1371" s="26">
        <v>0</v>
      </c>
      <c r="H1371" s="26">
        <v>6</v>
      </c>
      <c r="I1371" s="26">
        <v>110454.54545454544</v>
      </c>
      <c r="J1371" s="26">
        <v>270000</v>
      </c>
    </row>
    <row r="1372" spans="1:10">
      <c r="A1372" s="24">
        <v>1370</v>
      </c>
      <c r="B1372" s="24">
        <f t="shared" si="24"/>
        <v>929</v>
      </c>
      <c r="C1372" s="1" t="s">
        <v>1586</v>
      </c>
      <c r="D1372" s="1" t="s">
        <v>2</v>
      </c>
      <c r="E1372" s="1" t="s">
        <v>14</v>
      </c>
      <c r="F1372" s="26">
        <v>5</v>
      </c>
      <c r="G1372" s="26">
        <v>0</v>
      </c>
      <c r="H1372" s="26">
        <v>5</v>
      </c>
      <c r="I1372" s="26">
        <v>79772.727272727265</v>
      </c>
      <c r="J1372" s="26">
        <v>195000</v>
      </c>
    </row>
    <row r="1373" spans="1:10">
      <c r="A1373" s="24">
        <v>1371</v>
      </c>
      <c r="B1373" s="24">
        <f t="shared" si="24"/>
        <v>929</v>
      </c>
      <c r="C1373" s="1" t="s">
        <v>1586</v>
      </c>
      <c r="D1373" s="1" t="s">
        <v>5</v>
      </c>
      <c r="E1373" s="1" t="s">
        <v>14</v>
      </c>
      <c r="F1373" s="26">
        <v>5</v>
      </c>
      <c r="G1373" s="26">
        <v>0</v>
      </c>
      <c r="H1373" s="26">
        <v>5</v>
      </c>
      <c r="I1373" s="26">
        <v>79772.727272727265</v>
      </c>
      <c r="J1373" s="26">
        <v>195000</v>
      </c>
    </row>
    <row r="1374" spans="1:10">
      <c r="A1374" s="24">
        <v>1372</v>
      </c>
      <c r="B1374" s="24">
        <f t="shared" si="24"/>
        <v>930</v>
      </c>
      <c r="C1374" s="1" t="s">
        <v>1587</v>
      </c>
      <c r="D1374" s="1" t="s">
        <v>2</v>
      </c>
      <c r="E1374" s="1" t="s">
        <v>14</v>
      </c>
      <c r="F1374" s="26">
        <v>15</v>
      </c>
      <c r="G1374" s="26">
        <v>0</v>
      </c>
      <c r="H1374" s="26">
        <v>15</v>
      </c>
      <c r="I1374" s="26">
        <v>239318.18181818182</v>
      </c>
      <c r="J1374" s="26">
        <v>585000</v>
      </c>
    </row>
    <row r="1375" spans="1:10">
      <c r="A1375" s="24">
        <v>1373</v>
      </c>
      <c r="B1375" s="24">
        <f t="shared" si="24"/>
        <v>930</v>
      </c>
      <c r="C1375" s="1" t="s">
        <v>1587</v>
      </c>
      <c r="D1375" s="1" t="s">
        <v>5</v>
      </c>
      <c r="E1375" s="1" t="s">
        <v>14</v>
      </c>
      <c r="F1375" s="26">
        <v>8</v>
      </c>
      <c r="G1375" s="26">
        <v>0</v>
      </c>
      <c r="H1375" s="26">
        <v>8</v>
      </c>
      <c r="I1375" s="26">
        <v>127636.36363636363</v>
      </c>
      <c r="J1375" s="26">
        <v>312000</v>
      </c>
    </row>
    <row r="1376" spans="1:10">
      <c r="A1376" s="24">
        <v>1374</v>
      </c>
      <c r="B1376" s="24">
        <f t="shared" si="24"/>
        <v>931</v>
      </c>
      <c r="C1376" s="1" t="s">
        <v>1588</v>
      </c>
      <c r="D1376" s="1" t="s">
        <v>2</v>
      </c>
      <c r="E1376" s="1" t="s">
        <v>14</v>
      </c>
      <c r="F1376" s="26">
        <v>10</v>
      </c>
      <c r="G1376" s="26">
        <v>0</v>
      </c>
      <c r="H1376" s="26">
        <v>10</v>
      </c>
      <c r="I1376" s="26">
        <v>159545.45454545453</v>
      </c>
      <c r="J1376" s="26">
        <v>390000</v>
      </c>
    </row>
    <row r="1377" spans="1:10">
      <c r="A1377" s="24">
        <v>1375</v>
      </c>
      <c r="B1377" s="24">
        <f t="shared" si="24"/>
        <v>931</v>
      </c>
      <c r="C1377" s="1" t="s">
        <v>1588</v>
      </c>
      <c r="D1377" s="1" t="s">
        <v>5</v>
      </c>
      <c r="E1377" s="1" t="s">
        <v>14</v>
      </c>
      <c r="F1377" s="26">
        <v>13</v>
      </c>
      <c r="G1377" s="26">
        <v>0</v>
      </c>
      <c r="H1377" s="26">
        <v>13</v>
      </c>
      <c r="I1377" s="26">
        <v>207409.09090909091</v>
      </c>
      <c r="J1377" s="26">
        <v>507000</v>
      </c>
    </row>
    <row r="1378" spans="1:10">
      <c r="A1378" s="24">
        <v>1376</v>
      </c>
      <c r="B1378" s="24">
        <f t="shared" si="24"/>
        <v>932</v>
      </c>
      <c r="C1378" s="1" t="s">
        <v>1589</v>
      </c>
      <c r="D1378" s="1" t="s">
        <v>5</v>
      </c>
      <c r="E1378" s="1" t="s">
        <v>14</v>
      </c>
      <c r="F1378" s="26">
        <v>20</v>
      </c>
      <c r="G1378" s="26">
        <v>0</v>
      </c>
      <c r="H1378" s="26">
        <v>20</v>
      </c>
      <c r="I1378" s="26">
        <v>319090.90909090906</v>
      </c>
      <c r="J1378" s="26">
        <v>780000</v>
      </c>
    </row>
    <row r="1379" spans="1:10">
      <c r="A1379" s="24">
        <v>1377</v>
      </c>
      <c r="B1379" s="24">
        <f t="shared" si="24"/>
        <v>933</v>
      </c>
      <c r="C1379" s="1" t="s">
        <v>775</v>
      </c>
      <c r="F1379" s="26">
        <v>144</v>
      </c>
      <c r="G1379" s="26">
        <v>0</v>
      </c>
      <c r="H1379" s="26">
        <v>144</v>
      </c>
      <c r="I1379" s="26">
        <v>2464363.6363636362</v>
      </c>
      <c r="J1379" s="26">
        <v>6024000</v>
      </c>
    </row>
    <row r="1380" spans="1:10">
      <c r="A1380" s="24">
        <v>1378</v>
      </c>
      <c r="B1380" s="24">
        <f t="shared" si="24"/>
        <v>934</v>
      </c>
      <c r="C1380" s="1" t="s">
        <v>1590</v>
      </c>
      <c r="D1380" s="1" t="s">
        <v>4</v>
      </c>
      <c r="E1380" s="1" t="s">
        <v>14</v>
      </c>
      <c r="F1380" s="26">
        <v>1000</v>
      </c>
      <c r="G1380" s="26">
        <v>0</v>
      </c>
      <c r="H1380" s="26">
        <v>1000</v>
      </c>
      <c r="I1380" s="26">
        <v>5285380</v>
      </c>
      <c r="J1380" s="26">
        <v>47000000</v>
      </c>
    </row>
    <row r="1381" spans="1:10">
      <c r="A1381" s="24">
        <v>1379</v>
      </c>
      <c r="B1381" s="24">
        <f t="shared" si="24"/>
        <v>935</v>
      </c>
      <c r="C1381" s="1" t="s">
        <v>1591</v>
      </c>
      <c r="D1381" s="1" t="s">
        <v>4</v>
      </c>
      <c r="E1381" s="1" t="s">
        <v>14</v>
      </c>
      <c r="F1381" s="26">
        <v>800</v>
      </c>
      <c r="G1381" s="26">
        <v>0</v>
      </c>
      <c r="H1381" s="26">
        <v>800</v>
      </c>
      <c r="I1381" s="26">
        <v>4128512.0000000005</v>
      </c>
      <c r="J1381" s="26">
        <v>39200000</v>
      </c>
    </row>
    <row r="1382" spans="1:10">
      <c r="A1382" s="24">
        <v>1380</v>
      </c>
      <c r="B1382" s="24">
        <f t="shared" si="24"/>
        <v>936</v>
      </c>
      <c r="C1382" s="1" t="s">
        <v>1592</v>
      </c>
      <c r="D1382" s="1" t="s">
        <v>4</v>
      </c>
      <c r="E1382" s="1" t="s">
        <v>14</v>
      </c>
      <c r="F1382" s="26">
        <v>800</v>
      </c>
      <c r="G1382" s="26">
        <v>0</v>
      </c>
      <c r="H1382" s="26">
        <v>800</v>
      </c>
      <c r="I1382" s="26">
        <v>3408928</v>
      </c>
      <c r="J1382" s="26">
        <v>36000000</v>
      </c>
    </row>
    <row r="1383" spans="1:10">
      <c r="A1383" s="24">
        <v>1381</v>
      </c>
      <c r="B1383" s="24">
        <f t="shared" si="24"/>
        <v>937</v>
      </c>
      <c r="C1383" s="1" t="s">
        <v>775</v>
      </c>
      <c r="F1383" s="26">
        <v>2600</v>
      </c>
      <c r="G1383" s="26">
        <v>0</v>
      </c>
      <c r="H1383" s="26">
        <v>2600</v>
      </c>
      <c r="I1383" s="26">
        <v>12822820</v>
      </c>
      <c r="J1383" s="26">
        <v>122200000</v>
      </c>
    </row>
    <row r="1384" spans="1:10">
      <c r="A1384" s="24">
        <v>1382</v>
      </c>
      <c r="B1384" s="24">
        <f t="shared" si="24"/>
        <v>938</v>
      </c>
      <c r="C1384" s="1" t="s">
        <v>949</v>
      </c>
      <c r="D1384" s="1" t="s">
        <v>4</v>
      </c>
      <c r="E1384" s="1" t="s">
        <v>14</v>
      </c>
      <c r="F1384" s="26">
        <v>697</v>
      </c>
      <c r="G1384" s="26">
        <v>0</v>
      </c>
      <c r="H1384" s="26">
        <v>800</v>
      </c>
      <c r="I1384" s="26">
        <v>3839032</v>
      </c>
      <c r="J1384" s="26">
        <v>37600000</v>
      </c>
    </row>
    <row r="1385" spans="1:10">
      <c r="A1385" s="24">
        <v>1383</v>
      </c>
      <c r="B1385" s="24">
        <f t="shared" si="24"/>
        <v>939</v>
      </c>
      <c r="C1385" s="1" t="s">
        <v>950</v>
      </c>
      <c r="D1385" s="1" t="s">
        <v>2</v>
      </c>
      <c r="E1385" s="1" t="s">
        <v>14</v>
      </c>
      <c r="F1385" s="26">
        <v>800</v>
      </c>
      <c r="G1385" s="26">
        <v>0</v>
      </c>
      <c r="H1385" s="26">
        <v>800</v>
      </c>
      <c r="I1385" s="26">
        <v>3789136</v>
      </c>
      <c r="J1385" s="26">
        <v>34400000</v>
      </c>
    </row>
    <row r="1386" spans="1:10">
      <c r="A1386" s="24">
        <v>1384</v>
      </c>
      <c r="B1386" s="24">
        <f t="shared" si="24"/>
        <v>939</v>
      </c>
      <c r="C1386" s="1" t="s">
        <v>950</v>
      </c>
      <c r="D1386" s="1" t="s">
        <v>3</v>
      </c>
      <c r="E1386" s="1" t="s">
        <v>14</v>
      </c>
      <c r="F1386" s="26">
        <v>397</v>
      </c>
      <c r="G1386" s="26">
        <v>0</v>
      </c>
      <c r="H1386" s="26">
        <v>400</v>
      </c>
      <c r="I1386" s="26">
        <v>1894568</v>
      </c>
      <c r="J1386" s="26">
        <v>17200000</v>
      </c>
    </row>
    <row r="1387" spans="1:10">
      <c r="A1387" s="24">
        <v>1385</v>
      </c>
      <c r="B1387" s="24">
        <f t="shared" si="24"/>
        <v>940</v>
      </c>
      <c r="C1387" s="1" t="s">
        <v>775</v>
      </c>
      <c r="F1387" s="26">
        <v>1894</v>
      </c>
      <c r="G1387" s="26">
        <v>0</v>
      </c>
      <c r="H1387" s="26">
        <v>2000</v>
      </c>
      <c r="I1387" s="26">
        <v>9522736</v>
      </c>
      <c r="J1387" s="26">
        <v>89200000</v>
      </c>
    </row>
    <row r="1388" spans="1:10">
      <c r="A1388" s="24">
        <v>1386</v>
      </c>
      <c r="B1388" s="24">
        <f t="shared" si="24"/>
        <v>941</v>
      </c>
      <c r="C1388" s="1" t="s">
        <v>1593</v>
      </c>
      <c r="D1388" s="1" t="s">
        <v>4</v>
      </c>
      <c r="E1388" s="1" t="s">
        <v>14</v>
      </c>
      <c r="F1388" s="26">
        <v>1499</v>
      </c>
      <c r="G1388" s="26">
        <v>0</v>
      </c>
      <c r="H1388" s="26">
        <v>1500</v>
      </c>
      <c r="I1388" s="26">
        <v>10291050.000000002</v>
      </c>
      <c r="J1388" s="26">
        <v>88500000</v>
      </c>
    </row>
    <row r="1389" spans="1:10">
      <c r="A1389" s="24">
        <v>1387</v>
      </c>
      <c r="B1389" s="24">
        <f t="shared" si="24"/>
        <v>942</v>
      </c>
      <c r="C1389" s="1" t="s">
        <v>775</v>
      </c>
      <c r="F1389" s="26">
        <v>1499</v>
      </c>
      <c r="G1389" s="26">
        <v>0</v>
      </c>
      <c r="H1389" s="26">
        <v>1500</v>
      </c>
      <c r="I1389" s="26">
        <v>10291050.000000002</v>
      </c>
      <c r="J1389" s="26">
        <v>88500000</v>
      </c>
    </row>
    <row r="1390" spans="1:10">
      <c r="A1390" s="24">
        <v>1388</v>
      </c>
      <c r="B1390" s="24">
        <f t="shared" si="24"/>
        <v>943</v>
      </c>
      <c r="C1390" s="1" t="s">
        <v>1594</v>
      </c>
      <c r="D1390" s="1" t="s">
        <v>4</v>
      </c>
      <c r="E1390" s="1" t="s">
        <v>14</v>
      </c>
      <c r="F1390" s="26">
        <v>499</v>
      </c>
      <c r="G1390" s="26">
        <v>0</v>
      </c>
      <c r="H1390" s="26">
        <v>500</v>
      </c>
      <c r="I1390" s="26">
        <v>2917802</v>
      </c>
      <c r="J1390" s="26">
        <v>29500000</v>
      </c>
    </row>
    <row r="1391" spans="1:10">
      <c r="A1391" s="24">
        <v>1389</v>
      </c>
      <c r="B1391" s="24">
        <f t="shared" si="24"/>
        <v>944</v>
      </c>
      <c r="C1391" s="1" t="s">
        <v>1595</v>
      </c>
      <c r="D1391" s="1" t="s">
        <v>4</v>
      </c>
      <c r="E1391" s="1" t="s">
        <v>14</v>
      </c>
      <c r="F1391" s="26">
        <v>999</v>
      </c>
      <c r="G1391" s="26">
        <v>0</v>
      </c>
      <c r="H1391" s="26">
        <v>1000</v>
      </c>
      <c r="I1391" s="26">
        <v>5749206</v>
      </c>
      <c r="J1391" s="26">
        <v>55000000</v>
      </c>
    </row>
    <row r="1392" spans="1:10">
      <c r="A1392" s="24">
        <v>1390</v>
      </c>
      <c r="B1392" s="24">
        <f t="shared" si="24"/>
        <v>945</v>
      </c>
      <c r="C1392" s="1" t="s">
        <v>775</v>
      </c>
      <c r="F1392" s="26">
        <v>1498</v>
      </c>
      <c r="G1392" s="26">
        <v>0</v>
      </c>
      <c r="H1392" s="26">
        <v>1500</v>
      </c>
      <c r="I1392" s="26">
        <v>8667008</v>
      </c>
      <c r="J1392" s="26">
        <v>84500000</v>
      </c>
    </row>
    <row r="1393" spans="1:10">
      <c r="A1393" s="24">
        <v>1391</v>
      </c>
      <c r="B1393" s="24">
        <f t="shared" si="24"/>
        <v>946</v>
      </c>
      <c r="C1393" s="1" t="s">
        <v>1596</v>
      </c>
      <c r="D1393" s="1" t="s">
        <v>4</v>
      </c>
      <c r="E1393" s="1" t="s">
        <v>14</v>
      </c>
      <c r="F1393" s="26">
        <v>1000</v>
      </c>
      <c r="G1393" s="26">
        <v>0</v>
      </c>
      <c r="H1393" s="26">
        <v>1000</v>
      </c>
      <c r="I1393" s="26">
        <v>7480000</v>
      </c>
      <c r="J1393" s="26">
        <v>53000000</v>
      </c>
    </row>
    <row r="1394" spans="1:10">
      <c r="A1394" s="24">
        <v>1392</v>
      </c>
      <c r="B1394" s="24">
        <f t="shared" si="24"/>
        <v>947</v>
      </c>
      <c r="C1394" s="1" t="s">
        <v>1597</v>
      </c>
      <c r="D1394" s="1" t="s">
        <v>4</v>
      </c>
      <c r="E1394" s="1" t="s">
        <v>14</v>
      </c>
      <c r="F1394" s="26">
        <v>1500</v>
      </c>
      <c r="G1394" s="26">
        <v>0</v>
      </c>
      <c r="H1394" s="26">
        <v>1500</v>
      </c>
      <c r="I1394" s="26">
        <v>11220000</v>
      </c>
      <c r="J1394" s="26">
        <v>73500000</v>
      </c>
    </row>
    <row r="1395" spans="1:10">
      <c r="A1395" s="24">
        <v>1393</v>
      </c>
      <c r="B1395" s="24">
        <f t="shared" si="24"/>
        <v>948</v>
      </c>
      <c r="C1395" s="1" t="s">
        <v>775</v>
      </c>
      <c r="F1395" s="26">
        <v>2500</v>
      </c>
      <c r="G1395" s="26">
        <v>0</v>
      </c>
      <c r="H1395" s="26">
        <v>2500</v>
      </c>
      <c r="I1395" s="26">
        <v>18700000</v>
      </c>
      <c r="J1395" s="26">
        <v>126500000</v>
      </c>
    </row>
    <row r="1396" spans="1:10">
      <c r="A1396" s="24">
        <v>1394</v>
      </c>
      <c r="B1396" s="24">
        <f t="shared" si="24"/>
        <v>949</v>
      </c>
      <c r="C1396" s="1" t="s">
        <v>1598</v>
      </c>
      <c r="D1396" s="1" t="s">
        <v>4</v>
      </c>
      <c r="E1396" s="1" t="s">
        <v>14</v>
      </c>
      <c r="F1396" s="26">
        <v>999</v>
      </c>
      <c r="G1396" s="26">
        <v>0</v>
      </c>
      <c r="H1396" s="26">
        <v>1000</v>
      </c>
      <c r="I1396" s="26">
        <v>5112512.0000000009</v>
      </c>
      <c r="J1396" s="26">
        <v>43000000</v>
      </c>
    </row>
    <row r="1397" spans="1:10">
      <c r="A1397" s="24">
        <v>1395</v>
      </c>
      <c r="B1397" s="24">
        <f t="shared" si="24"/>
        <v>950</v>
      </c>
      <c r="C1397" s="1" t="s">
        <v>1599</v>
      </c>
      <c r="D1397" s="1" t="s">
        <v>4</v>
      </c>
      <c r="E1397" s="1" t="s">
        <v>14</v>
      </c>
      <c r="F1397" s="26">
        <v>995</v>
      </c>
      <c r="G1397" s="26">
        <v>0</v>
      </c>
      <c r="H1397" s="26">
        <v>1000</v>
      </c>
      <c r="I1397" s="26">
        <v>4003402.0000000009</v>
      </c>
      <c r="J1397" s="26">
        <v>43000000</v>
      </c>
    </row>
    <row r="1398" spans="1:10">
      <c r="A1398" s="24">
        <v>1396</v>
      </c>
      <c r="B1398" s="24">
        <f t="shared" si="24"/>
        <v>951</v>
      </c>
      <c r="C1398" s="1" t="s">
        <v>1600</v>
      </c>
      <c r="D1398" s="1" t="s">
        <v>4</v>
      </c>
      <c r="E1398" s="1" t="s">
        <v>14</v>
      </c>
      <c r="F1398" s="26">
        <v>999</v>
      </c>
      <c r="G1398" s="26">
        <v>0</v>
      </c>
      <c r="H1398" s="26">
        <v>1000</v>
      </c>
      <c r="I1398" s="26">
        <v>4863032.0000000009</v>
      </c>
      <c r="J1398" s="26">
        <v>43000000</v>
      </c>
    </row>
    <row r="1399" spans="1:10">
      <c r="A1399" s="24">
        <v>1397</v>
      </c>
      <c r="B1399" s="24">
        <f t="shared" si="24"/>
        <v>952</v>
      </c>
      <c r="C1399" s="1" t="s">
        <v>775</v>
      </c>
      <c r="F1399" s="26">
        <v>2993</v>
      </c>
      <c r="G1399" s="26">
        <v>0</v>
      </c>
      <c r="H1399" s="26">
        <v>3000</v>
      </c>
      <c r="I1399" s="26">
        <v>13978946.000000004</v>
      </c>
      <c r="J1399" s="26">
        <v>129000000</v>
      </c>
    </row>
    <row r="1400" spans="1:10">
      <c r="A1400" s="24">
        <v>1398</v>
      </c>
      <c r="B1400" s="24">
        <f t="shared" si="24"/>
        <v>953</v>
      </c>
      <c r="C1400" s="1" t="s">
        <v>1601</v>
      </c>
      <c r="D1400" s="1" t="s">
        <v>2</v>
      </c>
      <c r="E1400" s="1" t="s">
        <v>14</v>
      </c>
      <c r="F1400" s="26">
        <v>600</v>
      </c>
      <c r="G1400" s="26">
        <v>0</v>
      </c>
      <c r="H1400" s="26">
        <v>600</v>
      </c>
      <c r="I1400" s="26">
        <v>3420516</v>
      </c>
      <c r="J1400" s="26">
        <v>29400000</v>
      </c>
    </row>
    <row r="1401" spans="1:10">
      <c r="A1401" s="24">
        <v>1399</v>
      </c>
      <c r="B1401" s="24">
        <f t="shared" si="24"/>
        <v>953</v>
      </c>
      <c r="C1401" s="1" t="s">
        <v>1601</v>
      </c>
      <c r="D1401" s="1" t="s">
        <v>3</v>
      </c>
      <c r="E1401" s="1" t="s">
        <v>14</v>
      </c>
      <c r="F1401" s="26">
        <v>600</v>
      </c>
      <c r="G1401" s="26">
        <v>0</v>
      </c>
      <c r="H1401" s="26">
        <v>600</v>
      </c>
      <c r="I1401" s="26">
        <v>3420516</v>
      </c>
      <c r="J1401" s="26">
        <v>29400000</v>
      </c>
    </row>
    <row r="1402" spans="1:10">
      <c r="A1402" s="24">
        <v>1400</v>
      </c>
      <c r="B1402" s="24">
        <f t="shared" si="24"/>
        <v>954</v>
      </c>
      <c r="C1402" s="1" t="s">
        <v>775</v>
      </c>
      <c r="F1402" s="26">
        <v>1200</v>
      </c>
      <c r="G1402" s="26">
        <v>0</v>
      </c>
      <c r="H1402" s="26">
        <v>1200</v>
      </c>
      <c r="I1402" s="26">
        <v>6841032</v>
      </c>
      <c r="J1402" s="26">
        <v>58800000</v>
      </c>
    </row>
    <row r="1403" spans="1:10">
      <c r="A1403" s="24">
        <v>1401</v>
      </c>
      <c r="B1403" s="24">
        <f t="shared" si="24"/>
        <v>955</v>
      </c>
      <c r="C1403" s="1" t="s">
        <v>1602</v>
      </c>
      <c r="D1403" s="1" t="s">
        <v>4</v>
      </c>
      <c r="E1403" s="1" t="s">
        <v>15</v>
      </c>
      <c r="F1403" s="26">
        <v>20</v>
      </c>
      <c r="G1403" s="26">
        <v>0</v>
      </c>
      <c r="H1403" s="26">
        <v>20</v>
      </c>
      <c r="I1403" s="26">
        <v>368181.81818181818</v>
      </c>
      <c r="J1403" s="26">
        <v>900000</v>
      </c>
    </row>
    <row r="1404" spans="1:10">
      <c r="A1404" s="24">
        <v>1402</v>
      </c>
      <c r="B1404" s="24">
        <f t="shared" si="24"/>
        <v>956</v>
      </c>
      <c r="C1404" s="1" t="s">
        <v>1603</v>
      </c>
      <c r="D1404" s="1" t="s">
        <v>4</v>
      </c>
      <c r="E1404" s="1" t="s">
        <v>15</v>
      </c>
      <c r="F1404" s="26">
        <v>149</v>
      </c>
      <c r="G1404" s="26">
        <v>0</v>
      </c>
      <c r="H1404" s="26">
        <v>150</v>
      </c>
      <c r="I1404" s="26">
        <v>2761363.6363636362</v>
      </c>
      <c r="J1404" s="26">
        <v>6750000</v>
      </c>
    </row>
    <row r="1405" spans="1:10">
      <c r="A1405" s="24">
        <v>1403</v>
      </c>
      <c r="B1405" s="24">
        <f t="shared" si="24"/>
        <v>957</v>
      </c>
      <c r="C1405" s="1" t="s">
        <v>1604</v>
      </c>
      <c r="D1405" s="1" t="s">
        <v>4</v>
      </c>
      <c r="E1405" s="1" t="s">
        <v>15</v>
      </c>
      <c r="F1405" s="26">
        <v>28</v>
      </c>
      <c r="G1405" s="26">
        <v>0</v>
      </c>
      <c r="H1405" s="26">
        <v>28</v>
      </c>
      <c r="I1405" s="26">
        <v>515454.54545454541</v>
      </c>
      <c r="J1405" s="26">
        <v>1260000</v>
      </c>
    </row>
    <row r="1406" spans="1:10">
      <c r="A1406" s="24">
        <v>1404</v>
      </c>
      <c r="B1406" s="24">
        <f t="shared" si="24"/>
        <v>958</v>
      </c>
      <c r="C1406" s="1" t="s">
        <v>1605</v>
      </c>
      <c r="D1406" s="1" t="s">
        <v>4</v>
      </c>
      <c r="E1406" s="1" t="s">
        <v>15</v>
      </c>
      <c r="F1406" s="26">
        <v>200</v>
      </c>
      <c r="G1406" s="26">
        <v>0</v>
      </c>
      <c r="H1406" s="26">
        <v>200</v>
      </c>
      <c r="I1406" s="26">
        <v>3681818.1818181816</v>
      </c>
      <c r="J1406" s="26">
        <v>9000000</v>
      </c>
    </row>
    <row r="1407" spans="1:10">
      <c r="A1407" s="24">
        <v>1405</v>
      </c>
      <c r="B1407" s="24">
        <f t="shared" si="24"/>
        <v>959</v>
      </c>
      <c r="C1407" s="1" t="s">
        <v>775</v>
      </c>
      <c r="F1407" s="26">
        <v>397</v>
      </c>
      <c r="G1407" s="26">
        <v>0</v>
      </c>
      <c r="H1407" s="26">
        <v>398</v>
      </c>
      <c r="I1407" s="26">
        <v>7326818.1818181816</v>
      </c>
      <c r="J1407" s="26">
        <v>17910000</v>
      </c>
    </row>
    <row r="1408" spans="1:10">
      <c r="A1408" s="24">
        <v>1406</v>
      </c>
      <c r="B1408" s="24">
        <f t="shared" si="24"/>
        <v>960</v>
      </c>
      <c r="C1408" s="1" t="s">
        <v>1606</v>
      </c>
      <c r="D1408" s="1" t="s">
        <v>4</v>
      </c>
      <c r="E1408" s="1" t="s">
        <v>15</v>
      </c>
      <c r="F1408" s="26">
        <v>200</v>
      </c>
      <c r="G1408" s="26">
        <v>0</v>
      </c>
      <c r="H1408" s="26">
        <v>200</v>
      </c>
      <c r="I1408" s="26">
        <v>3681818.1818181816</v>
      </c>
      <c r="J1408" s="26">
        <v>9000000</v>
      </c>
    </row>
    <row r="1409" spans="1:10">
      <c r="A1409" s="24">
        <v>1407</v>
      </c>
      <c r="B1409" s="24">
        <f t="shared" si="24"/>
        <v>961</v>
      </c>
      <c r="C1409" s="1" t="s">
        <v>1607</v>
      </c>
      <c r="D1409" s="1" t="s">
        <v>4</v>
      </c>
      <c r="E1409" s="1" t="s">
        <v>15</v>
      </c>
      <c r="F1409" s="26">
        <v>200</v>
      </c>
      <c r="G1409" s="26">
        <v>0</v>
      </c>
      <c r="H1409" s="26">
        <v>200</v>
      </c>
      <c r="I1409" s="26">
        <v>4500000</v>
      </c>
      <c r="J1409" s="26">
        <v>11000000</v>
      </c>
    </row>
    <row r="1410" spans="1:10">
      <c r="A1410" s="24">
        <v>1408</v>
      </c>
      <c r="B1410" s="24">
        <f t="shared" si="24"/>
        <v>962</v>
      </c>
      <c r="C1410" s="1" t="s">
        <v>1608</v>
      </c>
      <c r="D1410" s="1" t="s">
        <v>4</v>
      </c>
      <c r="E1410" s="1" t="s">
        <v>15</v>
      </c>
      <c r="F1410" s="26">
        <v>200</v>
      </c>
      <c r="G1410" s="26">
        <v>0</v>
      </c>
      <c r="H1410" s="26">
        <v>200</v>
      </c>
      <c r="I1410" s="26">
        <v>4009090.9090909087</v>
      </c>
      <c r="J1410" s="26">
        <v>9800000</v>
      </c>
    </row>
    <row r="1411" spans="1:10">
      <c r="A1411" s="24">
        <v>1409</v>
      </c>
      <c r="B1411" s="24">
        <f t="shared" si="24"/>
        <v>963</v>
      </c>
      <c r="C1411" s="1" t="s">
        <v>775</v>
      </c>
      <c r="F1411" s="26">
        <v>600</v>
      </c>
      <c r="G1411" s="26">
        <v>0</v>
      </c>
      <c r="H1411" s="26">
        <v>600</v>
      </c>
      <c r="I1411" s="26">
        <v>12190909.09090909</v>
      </c>
      <c r="J1411" s="26">
        <v>29800000</v>
      </c>
    </row>
    <row r="1412" spans="1:10">
      <c r="A1412" s="24">
        <v>1410</v>
      </c>
      <c r="B1412" s="24">
        <f t="shared" si="24"/>
        <v>964</v>
      </c>
      <c r="C1412" s="1" t="s">
        <v>1563</v>
      </c>
      <c r="D1412" s="1" t="s">
        <v>4</v>
      </c>
      <c r="E1412" s="1" t="s">
        <v>14</v>
      </c>
      <c r="F1412" s="26">
        <v>1040</v>
      </c>
      <c r="G1412" s="26">
        <v>0</v>
      </c>
      <c r="H1412" s="26">
        <v>1000</v>
      </c>
      <c r="I1412" s="26">
        <v>9500000</v>
      </c>
      <c r="J1412" s="26">
        <v>45000000</v>
      </c>
    </row>
    <row r="1413" spans="1:10">
      <c r="A1413" s="24">
        <v>1411</v>
      </c>
      <c r="B1413" s="24">
        <f t="shared" si="24"/>
        <v>965</v>
      </c>
      <c r="C1413" s="1" t="s">
        <v>775</v>
      </c>
      <c r="F1413" s="26">
        <v>1040</v>
      </c>
      <c r="G1413" s="26">
        <v>0</v>
      </c>
      <c r="H1413" s="26">
        <v>1000</v>
      </c>
      <c r="I1413" s="26">
        <v>9500000</v>
      </c>
      <c r="J1413" s="26">
        <v>45000000</v>
      </c>
    </row>
    <row r="1414" spans="1:10">
      <c r="A1414" s="24">
        <v>1412</v>
      </c>
      <c r="B1414" s="24">
        <f t="shared" ref="B1414:B1455" si="25">IF(C1413=C1414,B1413,B1413+1)</f>
        <v>966</v>
      </c>
      <c r="C1414" s="1" t="s">
        <v>1606</v>
      </c>
      <c r="D1414" s="1" t="s">
        <v>4</v>
      </c>
      <c r="E1414" s="1" t="s">
        <v>15</v>
      </c>
      <c r="F1414" s="26">
        <v>70</v>
      </c>
      <c r="G1414" s="26">
        <v>0</v>
      </c>
      <c r="H1414" s="26">
        <v>70</v>
      </c>
      <c r="I1414" s="26">
        <v>1288636.3636363635</v>
      </c>
      <c r="J1414" s="26">
        <v>3150000</v>
      </c>
    </row>
    <row r="1415" spans="1:10">
      <c r="A1415" s="24">
        <v>1413</v>
      </c>
      <c r="B1415" s="24">
        <f t="shared" si="25"/>
        <v>967</v>
      </c>
      <c r="C1415" s="1" t="s">
        <v>1608</v>
      </c>
      <c r="D1415" s="1" t="s">
        <v>4</v>
      </c>
      <c r="E1415" s="1" t="s">
        <v>15</v>
      </c>
      <c r="F1415" s="26">
        <v>70</v>
      </c>
      <c r="G1415" s="26">
        <v>0</v>
      </c>
      <c r="H1415" s="26">
        <v>70</v>
      </c>
      <c r="I1415" s="26">
        <v>1403181.8181818181</v>
      </c>
      <c r="J1415" s="26">
        <v>3430000</v>
      </c>
    </row>
    <row r="1416" spans="1:10">
      <c r="A1416" s="24">
        <v>1414</v>
      </c>
      <c r="B1416" s="24">
        <f t="shared" si="25"/>
        <v>968</v>
      </c>
      <c r="C1416" s="1" t="s">
        <v>775</v>
      </c>
      <c r="F1416" s="26">
        <v>140</v>
      </c>
      <c r="G1416" s="26">
        <v>0</v>
      </c>
      <c r="H1416" s="26">
        <v>140</v>
      </c>
      <c r="I1416" s="26">
        <v>2691818.1818181816</v>
      </c>
      <c r="J1416" s="26">
        <v>6580000</v>
      </c>
    </row>
    <row r="1417" spans="1:10">
      <c r="A1417" s="24">
        <v>1415</v>
      </c>
      <c r="B1417" s="24">
        <f t="shared" si="25"/>
        <v>969</v>
      </c>
      <c r="C1417" s="1" t="s">
        <v>1492</v>
      </c>
      <c r="D1417" s="1" t="s">
        <v>4</v>
      </c>
      <c r="E1417" s="1" t="s">
        <v>14</v>
      </c>
      <c r="F1417" s="26">
        <v>600</v>
      </c>
      <c r="G1417" s="26">
        <v>0</v>
      </c>
      <c r="H1417" s="26">
        <v>600</v>
      </c>
      <c r="I1417" s="26">
        <v>6874548</v>
      </c>
      <c r="J1417" s="26">
        <v>41400000</v>
      </c>
    </row>
    <row r="1418" spans="1:10">
      <c r="A1418" s="24">
        <v>1416</v>
      </c>
      <c r="B1418" s="24">
        <f t="shared" si="25"/>
        <v>970</v>
      </c>
      <c r="C1418" s="1" t="s">
        <v>775</v>
      </c>
      <c r="F1418" s="26">
        <v>600</v>
      </c>
      <c r="G1418" s="26">
        <v>0</v>
      </c>
      <c r="H1418" s="26">
        <v>600</v>
      </c>
      <c r="I1418" s="26">
        <v>6874548</v>
      </c>
      <c r="J1418" s="26">
        <v>41400000</v>
      </c>
    </row>
    <row r="1419" spans="1:10">
      <c r="A1419" s="24">
        <v>1417</v>
      </c>
      <c r="B1419" s="24">
        <f t="shared" si="25"/>
        <v>971</v>
      </c>
      <c r="C1419" s="1" t="s">
        <v>1564</v>
      </c>
      <c r="D1419" s="1" t="s">
        <v>4</v>
      </c>
      <c r="E1419" s="1" t="s">
        <v>14</v>
      </c>
      <c r="F1419" s="26">
        <v>804</v>
      </c>
      <c r="G1419" s="26">
        <v>0</v>
      </c>
      <c r="H1419" s="26">
        <v>800</v>
      </c>
      <c r="I1419" s="26">
        <v>7920000</v>
      </c>
      <c r="J1419" s="26">
        <v>36000000</v>
      </c>
    </row>
    <row r="1420" spans="1:10">
      <c r="A1420" s="24">
        <v>1418</v>
      </c>
      <c r="B1420" s="24">
        <f t="shared" si="25"/>
        <v>972</v>
      </c>
      <c r="C1420" s="1" t="s">
        <v>1565</v>
      </c>
      <c r="D1420" s="1" t="s">
        <v>4</v>
      </c>
      <c r="E1420" s="1" t="s">
        <v>14</v>
      </c>
      <c r="F1420" s="26">
        <v>502</v>
      </c>
      <c r="G1420" s="26">
        <v>0</v>
      </c>
      <c r="H1420" s="26">
        <v>500</v>
      </c>
      <c r="I1420" s="26">
        <v>4950000</v>
      </c>
      <c r="J1420" s="26">
        <v>24500000</v>
      </c>
    </row>
    <row r="1421" spans="1:10">
      <c r="A1421" s="24">
        <v>1419</v>
      </c>
      <c r="B1421" s="24">
        <f t="shared" si="25"/>
        <v>973</v>
      </c>
      <c r="C1421" s="1" t="s">
        <v>775</v>
      </c>
      <c r="F1421" s="26">
        <v>1306</v>
      </c>
      <c r="G1421" s="26">
        <v>0</v>
      </c>
      <c r="H1421" s="26">
        <v>1300</v>
      </c>
      <c r="I1421" s="26">
        <v>12870000</v>
      </c>
      <c r="J1421" s="26">
        <v>60500000</v>
      </c>
    </row>
    <row r="1422" spans="1:10">
      <c r="A1422" s="24">
        <v>1420</v>
      </c>
      <c r="B1422" s="24">
        <f t="shared" si="25"/>
        <v>974</v>
      </c>
      <c r="C1422" s="1" t="s">
        <v>1439</v>
      </c>
      <c r="D1422" s="1" t="s">
        <v>4</v>
      </c>
      <c r="E1422" s="1" t="s">
        <v>14</v>
      </c>
      <c r="F1422" s="26">
        <v>900</v>
      </c>
      <c r="G1422" s="26">
        <v>0</v>
      </c>
      <c r="H1422" s="26">
        <v>900</v>
      </c>
      <c r="I1422" s="26">
        <v>31266000</v>
      </c>
      <c r="J1422" s="26">
        <v>134100000</v>
      </c>
    </row>
    <row r="1423" spans="1:10">
      <c r="A1423" s="24">
        <v>1421</v>
      </c>
      <c r="B1423" s="24">
        <f t="shared" si="25"/>
        <v>975</v>
      </c>
      <c r="C1423" s="1" t="s">
        <v>775</v>
      </c>
      <c r="F1423" s="26">
        <v>900</v>
      </c>
      <c r="G1423" s="26">
        <v>0</v>
      </c>
      <c r="H1423" s="26">
        <v>900</v>
      </c>
      <c r="I1423" s="26">
        <v>31266000</v>
      </c>
      <c r="J1423" s="26">
        <v>134100000</v>
      </c>
    </row>
    <row r="1424" spans="1:10">
      <c r="A1424" s="24">
        <v>1422</v>
      </c>
      <c r="B1424" s="24">
        <f t="shared" si="25"/>
        <v>976</v>
      </c>
      <c r="C1424" s="1" t="s">
        <v>1512</v>
      </c>
      <c r="D1424" s="1" t="s">
        <v>4</v>
      </c>
      <c r="E1424" s="1" t="s">
        <v>14</v>
      </c>
      <c r="F1424" s="26">
        <v>1811</v>
      </c>
      <c r="G1424" s="26">
        <v>0</v>
      </c>
      <c r="H1424" s="26">
        <v>2000</v>
      </c>
      <c r="I1424" s="26">
        <v>9898920</v>
      </c>
      <c r="J1424" s="26">
        <v>98000000</v>
      </c>
    </row>
    <row r="1425" spans="1:10">
      <c r="A1425" s="24">
        <v>1423</v>
      </c>
      <c r="B1425" s="24">
        <f t="shared" si="25"/>
        <v>977</v>
      </c>
      <c r="C1425" s="1" t="s">
        <v>775</v>
      </c>
      <c r="F1425" s="26">
        <v>1811</v>
      </c>
      <c r="G1425" s="26">
        <v>0</v>
      </c>
      <c r="H1425" s="26">
        <v>2000</v>
      </c>
      <c r="I1425" s="26">
        <v>9898920</v>
      </c>
      <c r="J1425" s="26">
        <v>98000000</v>
      </c>
    </row>
    <row r="1426" spans="1:10">
      <c r="A1426" s="24">
        <v>1424</v>
      </c>
      <c r="B1426" s="24">
        <f t="shared" si="25"/>
        <v>978</v>
      </c>
      <c r="C1426" s="1" t="s">
        <v>1618</v>
      </c>
      <c r="D1426" s="1" t="s">
        <v>4</v>
      </c>
      <c r="E1426" s="1" t="s">
        <v>14</v>
      </c>
      <c r="F1426" s="26">
        <v>993</v>
      </c>
      <c r="G1426" s="26">
        <v>0</v>
      </c>
      <c r="H1426" s="26">
        <v>1000</v>
      </c>
      <c r="I1426" s="26">
        <v>8800000</v>
      </c>
      <c r="J1426" s="26">
        <v>49000000</v>
      </c>
    </row>
    <row r="1427" spans="1:10">
      <c r="A1427" s="24">
        <v>1425</v>
      </c>
      <c r="B1427" s="24">
        <f t="shared" si="25"/>
        <v>979</v>
      </c>
      <c r="C1427" s="1" t="s">
        <v>1619</v>
      </c>
      <c r="D1427" s="1" t="s">
        <v>4</v>
      </c>
      <c r="E1427" s="1" t="s">
        <v>14</v>
      </c>
      <c r="F1427" s="26">
        <v>504</v>
      </c>
      <c r="G1427" s="26">
        <v>0</v>
      </c>
      <c r="H1427" s="26">
        <v>500</v>
      </c>
      <c r="I1427" s="26">
        <v>4900000</v>
      </c>
      <c r="J1427" s="26">
        <v>24500000</v>
      </c>
    </row>
    <row r="1428" spans="1:10">
      <c r="A1428" s="24">
        <v>1426</v>
      </c>
      <c r="B1428" s="24">
        <f t="shared" si="25"/>
        <v>980</v>
      </c>
      <c r="C1428" s="1" t="s">
        <v>1620</v>
      </c>
      <c r="D1428" s="1" t="s">
        <v>4</v>
      </c>
      <c r="E1428" s="1" t="s">
        <v>14</v>
      </c>
      <c r="F1428" s="26">
        <v>500</v>
      </c>
      <c r="G1428" s="26">
        <v>0</v>
      </c>
      <c r="H1428" s="26">
        <v>500</v>
      </c>
      <c r="I1428" s="26">
        <v>4800000</v>
      </c>
      <c r="J1428" s="26">
        <v>24500000</v>
      </c>
    </row>
    <row r="1429" spans="1:10">
      <c r="A1429" s="24">
        <v>1427</v>
      </c>
      <c r="B1429" s="24">
        <f t="shared" si="25"/>
        <v>981</v>
      </c>
      <c r="C1429" s="1" t="s">
        <v>775</v>
      </c>
      <c r="F1429" s="26">
        <v>1997</v>
      </c>
      <c r="G1429" s="26">
        <v>0</v>
      </c>
      <c r="H1429" s="26">
        <v>2000</v>
      </c>
      <c r="I1429" s="26">
        <v>18500000</v>
      </c>
      <c r="J1429" s="26">
        <v>98000000</v>
      </c>
    </row>
    <row r="1430" spans="1:10">
      <c r="A1430" s="24">
        <v>1428</v>
      </c>
      <c r="B1430" s="24">
        <f t="shared" si="25"/>
        <v>982</v>
      </c>
      <c r="C1430" s="1" t="s">
        <v>1619</v>
      </c>
      <c r="D1430" s="1" t="s">
        <v>4</v>
      </c>
      <c r="E1430" s="1" t="s">
        <v>14</v>
      </c>
      <c r="F1430" s="26">
        <v>501</v>
      </c>
      <c r="G1430" s="26">
        <v>0</v>
      </c>
      <c r="H1430" s="26">
        <v>500</v>
      </c>
      <c r="I1430" s="26">
        <v>3345970.0000000005</v>
      </c>
      <c r="J1430" s="26">
        <v>24500000</v>
      </c>
    </row>
    <row r="1431" spans="1:10">
      <c r="A1431" s="24">
        <v>1429</v>
      </c>
      <c r="B1431" s="24">
        <f t="shared" si="25"/>
        <v>983</v>
      </c>
      <c r="C1431" s="1" t="s">
        <v>1620</v>
      </c>
      <c r="D1431" s="1" t="s">
        <v>4</v>
      </c>
      <c r="E1431" s="1" t="s">
        <v>14</v>
      </c>
      <c r="F1431" s="26">
        <v>496</v>
      </c>
      <c r="G1431" s="26">
        <v>0</v>
      </c>
      <c r="H1431" s="26">
        <v>500</v>
      </c>
      <c r="I1431" s="26">
        <v>3509170</v>
      </c>
      <c r="J1431" s="26">
        <v>24500000</v>
      </c>
    </row>
    <row r="1432" spans="1:10">
      <c r="A1432" s="24">
        <v>1430</v>
      </c>
      <c r="B1432" s="24">
        <f t="shared" si="25"/>
        <v>984</v>
      </c>
      <c r="C1432" s="1" t="s">
        <v>775</v>
      </c>
      <c r="F1432" s="26">
        <v>997</v>
      </c>
      <c r="G1432" s="26">
        <v>0</v>
      </c>
      <c r="H1432" s="26">
        <v>1000</v>
      </c>
      <c r="I1432" s="26">
        <v>6855140</v>
      </c>
      <c r="J1432" s="26">
        <v>49000000</v>
      </c>
    </row>
    <row r="1433" spans="1:10">
      <c r="A1433" s="24">
        <v>1431</v>
      </c>
      <c r="B1433" s="24">
        <f t="shared" si="25"/>
        <v>985</v>
      </c>
      <c r="C1433" s="1" t="s">
        <v>1621</v>
      </c>
      <c r="D1433" s="1" t="s">
        <v>4</v>
      </c>
      <c r="E1433" s="1" t="s">
        <v>15</v>
      </c>
      <c r="F1433" s="26">
        <v>200</v>
      </c>
      <c r="G1433" s="26">
        <v>0</v>
      </c>
      <c r="H1433" s="26">
        <v>200</v>
      </c>
      <c r="I1433" s="26">
        <v>2863636.3636363633</v>
      </c>
      <c r="J1433" s="26">
        <v>7000000</v>
      </c>
    </row>
    <row r="1434" spans="1:10">
      <c r="A1434" s="24">
        <v>1432</v>
      </c>
      <c r="B1434" s="24">
        <f t="shared" si="25"/>
        <v>986</v>
      </c>
      <c r="C1434" s="1" t="s">
        <v>1622</v>
      </c>
      <c r="D1434" s="1" t="s">
        <v>4</v>
      </c>
      <c r="E1434" s="1" t="s">
        <v>15</v>
      </c>
      <c r="F1434" s="26">
        <v>150</v>
      </c>
      <c r="G1434" s="26">
        <v>0</v>
      </c>
      <c r="H1434" s="26">
        <v>150</v>
      </c>
      <c r="I1434" s="26">
        <v>2147727.2727272725</v>
      </c>
      <c r="J1434" s="26">
        <v>5250000</v>
      </c>
    </row>
    <row r="1435" spans="1:10">
      <c r="A1435" s="24">
        <v>1433</v>
      </c>
      <c r="B1435" s="24">
        <f t="shared" si="25"/>
        <v>987</v>
      </c>
      <c r="C1435" s="1" t="s">
        <v>775</v>
      </c>
      <c r="F1435" s="26">
        <v>350</v>
      </c>
      <c r="G1435" s="26">
        <v>0</v>
      </c>
      <c r="H1435" s="26">
        <v>350</v>
      </c>
      <c r="I1435" s="26">
        <v>5011363.6363636358</v>
      </c>
      <c r="J1435" s="26">
        <v>12250000</v>
      </c>
    </row>
    <row r="1436" spans="1:10">
      <c r="A1436" s="24">
        <v>1434</v>
      </c>
      <c r="B1436" s="24">
        <f t="shared" si="25"/>
        <v>988</v>
      </c>
      <c r="C1436" s="1" t="s">
        <v>1358</v>
      </c>
      <c r="D1436" s="1" t="s">
        <v>4</v>
      </c>
      <c r="E1436" s="1" t="s">
        <v>14</v>
      </c>
      <c r="F1436" s="26">
        <v>300</v>
      </c>
      <c r="G1436" s="26">
        <v>0</v>
      </c>
      <c r="H1436" s="26">
        <v>300</v>
      </c>
      <c r="I1436" s="26">
        <v>7560000</v>
      </c>
      <c r="J1436" s="26">
        <v>37500000</v>
      </c>
    </row>
    <row r="1437" spans="1:10">
      <c r="A1437" s="24">
        <v>1435</v>
      </c>
      <c r="B1437" s="24">
        <f t="shared" si="25"/>
        <v>989</v>
      </c>
      <c r="C1437" s="1" t="s">
        <v>775</v>
      </c>
      <c r="F1437" s="26">
        <v>300</v>
      </c>
      <c r="G1437" s="26">
        <v>0</v>
      </c>
      <c r="H1437" s="26">
        <v>300</v>
      </c>
      <c r="I1437" s="26">
        <v>7560000</v>
      </c>
      <c r="J1437" s="26">
        <v>37500000</v>
      </c>
    </row>
    <row r="1438" spans="1:10">
      <c r="A1438" s="24">
        <v>1436</v>
      </c>
      <c r="B1438" s="24">
        <f t="shared" si="25"/>
        <v>990</v>
      </c>
      <c r="C1438" s="1" t="s">
        <v>1623</v>
      </c>
      <c r="D1438" s="1" t="s">
        <v>4</v>
      </c>
      <c r="E1438" s="1" t="s">
        <v>14</v>
      </c>
      <c r="F1438" s="26">
        <v>150</v>
      </c>
      <c r="G1438" s="26">
        <v>0</v>
      </c>
      <c r="H1438" s="26">
        <v>150</v>
      </c>
      <c r="I1438" s="26">
        <v>1907250</v>
      </c>
      <c r="J1438" s="26">
        <v>7350000</v>
      </c>
    </row>
    <row r="1439" spans="1:10">
      <c r="A1439" s="24">
        <v>1437</v>
      </c>
      <c r="B1439" s="24">
        <f t="shared" si="25"/>
        <v>991</v>
      </c>
      <c r="C1439" s="1" t="s">
        <v>1624</v>
      </c>
      <c r="D1439" s="1" t="s">
        <v>4</v>
      </c>
      <c r="E1439" s="1" t="s">
        <v>14</v>
      </c>
      <c r="F1439" s="26">
        <v>150</v>
      </c>
      <c r="G1439" s="26">
        <v>0</v>
      </c>
      <c r="H1439" s="26">
        <v>150</v>
      </c>
      <c r="I1439" s="26">
        <v>1892250</v>
      </c>
      <c r="J1439" s="26">
        <v>7350000</v>
      </c>
    </row>
    <row r="1440" spans="1:10">
      <c r="A1440" s="24">
        <v>1438</v>
      </c>
      <c r="B1440" s="24">
        <f t="shared" si="25"/>
        <v>992</v>
      </c>
      <c r="C1440" s="1" t="s">
        <v>1625</v>
      </c>
      <c r="D1440" s="1" t="s">
        <v>4</v>
      </c>
      <c r="E1440" s="1" t="s">
        <v>14</v>
      </c>
      <c r="F1440" s="26">
        <v>150</v>
      </c>
      <c r="G1440" s="26">
        <v>0</v>
      </c>
      <c r="H1440" s="26">
        <v>150</v>
      </c>
      <c r="I1440" s="26">
        <v>1952250</v>
      </c>
      <c r="J1440" s="26">
        <v>7350000</v>
      </c>
    </row>
    <row r="1441" spans="1:10">
      <c r="A1441" s="24">
        <v>1439</v>
      </c>
      <c r="B1441" s="24">
        <f t="shared" si="25"/>
        <v>993</v>
      </c>
      <c r="C1441" s="1" t="s">
        <v>1626</v>
      </c>
      <c r="D1441" s="1" t="s">
        <v>4</v>
      </c>
      <c r="E1441" s="1" t="s">
        <v>14</v>
      </c>
      <c r="F1441" s="26">
        <v>150</v>
      </c>
      <c r="G1441" s="26">
        <v>0</v>
      </c>
      <c r="H1441" s="26">
        <v>150</v>
      </c>
      <c r="I1441" s="26">
        <v>1757250</v>
      </c>
      <c r="J1441" s="26">
        <v>7350000</v>
      </c>
    </row>
    <row r="1442" spans="1:10">
      <c r="A1442" s="24">
        <v>1440</v>
      </c>
      <c r="B1442" s="24">
        <f t="shared" si="25"/>
        <v>994</v>
      </c>
      <c r="C1442" s="1" t="s">
        <v>775</v>
      </c>
      <c r="F1442" s="26">
        <v>600</v>
      </c>
      <c r="G1442" s="26">
        <v>0</v>
      </c>
      <c r="H1442" s="26">
        <v>600</v>
      </c>
      <c r="I1442" s="26">
        <v>7509000</v>
      </c>
      <c r="J1442" s="26">
        <v>29400000</v>
      </c>
    </row>
    <row r="1443" spans="1:10">
      <c r="A1443" s="24">
        <v>1441</v>
      </c>
      <c r="B1443" s="24">
        <f t="shared" si="25"/>
        <v>995</v>
      </c>
      <c r="C1443" s="1" t="s">
        <v>1627</v>
      </c>
      <c r="D1443" s="1" t="s">
        <v>4</v>
      </c>
      <c r="E1443" s="1" t="s">
        <v>14</v>
      </c>
      <c r="F1443" s="26">
        <v>300</v>
      </c>
      <c r="G1443" s="26">
        <v>0</v>
      </c>
      <c r="H1443" s="26">
        <v>300</v>
      </c>
      <c r="I1443" s="26">
        <v>3808500</v>
      </c>
      <c r="J1443" s="26">
        <v>14700000</v>
      </c>
    </row>
    <row r="1444" spans="1:10">
      <c r="A1444" s="24">
        <v>1442</v>
      </c>
      <c r="B1444" s="24">
        <f t="shared" si="25"/>
        <v>996</v>
      </c>
      <c r="C1444" s="1" t="s">
        <v>1628</v>
      </c>
      <c r="D1444" s="1" t="s">
        <v>4</v>
      </c>
      <c r="E1444" s="1" t="s">
        <v>14</v>
      </c>
      <c r="F1444" s="26">
        <v>300</v>
      </c>
      <c r="G1444" s="26">
        <v>0</v>
      </c>
      <c r="H1444" s="26">
        <v>300</v>
      </c>
      <c r="I1444" s="26">
        <v>3778500</v>
      </c>
      <c r="J1444" s="26">
        <v>14700000</v>
      </c>
    </row>
    <row r="1445" spans="1:10">
      <c r="A1445" s="24">
        <v>1443</v>
      </c>
      <c r="B1445" s="24">
        <f t="shared" si="25"/>
        <v>997</v>
      </c>
      <c r="C1445" s="1" t="s">
        <v>1629</v>
      </c>
      <c r="D1445" s="1" t="s">
        <v>4</v>
      </c>
      <c r="E1445" s="1" t="s">
        <v>14</v>
      </c>
      <c r="F1445" s="26">
        <v>300</v>
      </c>
      <c r="G1445" s="26">
        <v>0</v>
      </c>
      <c r="H1445" s="26">
        <v>300</v>
      </c>
      <c r="I1445" s="26">
        <v>3898500</v>
      </c>
      <c r="J1445" s="26">
        <v>14700000</v>
      </c>
    </row>
    <row r="1446" spans="1:10">
      <c r="A1446" s="24">
        <v>1444</v>
      </c>
      <c r="B1446" s="24">
        <f t="shared" si="25"/>
        <v>998</v>
      </c>
      <c r="C1446" s="1" t="s">
        <v>1630</v>
      </c>
      <c r="D1446" s="1" t="s">
        <v>4</v>
      </c>
      <c r="E1446" s="1" t="s">
        <v>14</v>
      </c>
      <c r="F1446" s="26">
        <v>300</v>
      </c>
      <c r="G1446" s="26">
        <v>0</v>
      </c>
      <c r="H1446" s="26">
        <v>300</v>
      </c>
      <c r="I1446" s="26">
        <v>3508500</v>
      </c>
      <c r="J1446" s="26">
        <v>14700000</v>
      </c>
    </row>
    <row r="1447" spans="1:10">
      <c r="A1447" s="24">
        <v>1445</v>
      </c>
      <c r="B1447" s="24">
        <f t="shared" si="25"/>
        <v>999</v>
      </c>
      <c r="C1447" s="1" t="s">
        <v>775</v>
      </c>
      <c r="F1447" s="26">
        <v>1200</v>
      </c>
      <c r="G1447" s="26">
        <v>0</v>
      </c>
      <c r="H1447" s="26">
        <v>1200</v>
      </c>
      <c r="I1447" s="26">
        <v>14994000</v>
      </c>
      <c r="J1447" s="26">
        <v>58800000</v>
      </c>
    </row>
    <row r="1448" spans="1:10">
      <c r="A1448" s="24">
        <v>1446</v>
      </c>
      <c r="B1448" s="24">
        <f t="shared" si="25"/>
        <v>1000</v>
      </c>
      <c r="C1448" s="1" t="s">
        <v>1631</v>
      </c>
      <c r="D1448" s="1" t="s">
        <v>4</v>
      </c>
      <c r="E1448" s="1" t="s">
        <v>15</v>
      </c>
      <c r="F1448" s="26">
        <v>100</v>
      </c>
      <c r="G1448" s="26">
        <v>0</v>
      </c>
      <c r="H1448" s="26">
        <v>100</v>
      </c>
      <c r="I1448" s="26">
        <v>1840909.0909090908</v>
      </c>
      <c r="J1448" s="26">
        <v>4500000</v>
      </c>
    </row>
    <row r="1449" spans="1:10">
      <c r="A1449" s="24">
        <v>1447</v>
      </c>
      <c r="B1449" s="24">
        <f t="shared" si="25"/>
        <v>1001</v>
      </c>
      <c r="C1449" s="1" t="s">
        <v>1632</v>
      </c>
      <c r="D1449" s="1" t="s">
        <v>4</v>
      </c>
      <c r="E1449" s="1" t="s">
        <v>15</v>
      </c>
      <c r="F1449" s="26">
        <v>100</v>
      </c>
      <c r="G1449" s="26">
        <v>0</v>
      </c>
      <c r="H1449" s="26">
        <v>100</v>
      </c>
      <c r="I1449" s="26">
        <v>1840909.0909090908</v>
      </c>
      <c r="J1449" s="26">
        <v>4500000</v>
      </c>
    </row>
    <row r="1450" spans="1:10">
      <c r="A1450" s="24">
        <v>1448</v>
      </c>
      <c r="B1450" s="24">
        <f t="shared" si="25"/>
        <v>1002</v>
      </c>
      <c r="C1450" s="1" t="s">
        <v>1633</v>
      </c>
      <c r="D1450" s="1" t="s">
        <v>4</v>
      </c>
      <c r="E1450" s="1" t="s">
        <v>15</v>
      </c>
      <c r="F1450" s="26">
        <v>100</v>
      </c>
      <c r="G1450" s="26">
        <v>0</v>
      </c>
      <c r="H1450" s="26">
        <v>100</v>
      </c>
      <c r="I1450" s="26">
        <v>2004545.4545454544</v>
      </c>
      <c r="J1450" s="26">
        <v>4900000</v>
      </c>
    </row>
    <row r="1451" spans="1:10">
      <c r="A1451" s="24">
        <v>1449</v>
      </c>
      <c r="B1451" s="24">
        <f t="shared" si="25"/>
        <v>1003</v>
      </c>
      <c r="C1451" s="1" t="s">
        <v>1634</v>
      </c>
      <c r="D1451" s="1" t="s">
        <v>4</v>
      </c>
      <c r="E1451" s="1" t="s">
        <v>15</v>
      </c>
      <c r="F1451" s="26">
        <v>150</v>
      </c>
      <c r="G1451" s="26">
        <v>0</v>
      </c>
      <c r="H1451" s="26">
        <v>150</v>
      </c>
      <c r="I1451" s="26">
        <v>3006818.1818181816</v>
      </c>
      <c r="J1451" s="26">
        <v>7350000</v>
      </c>
    </row>
    <row r="1452" spans="1:10">
      <c r="A1452" s="24">
        <v>1450</v>
      </c>
      <c r="B1452" s="24">
        <f t="shared" si="25"/>
        <v>1004</v>
      </c>
      <c r="C1452" s="1" t="s">
        <v>1635</v>
      </c>
      <c r="D1452" s="1" t="s">
        <v>4</v>
      </c>
      <c r="E1452" s="1" t="s">
        <v>15</v>
      </c>
      <c r="F1452" s="26">
        <v>100</v>
      </c>
      <c r="G1452" s="26">
        <v>0</v>
      </c>
      <c r="H1452" s="26">
        <v>100</v>
      </c>
      <c r="I1452" s="26">
        <v>1840909.0909090908</v>
      </c>
      <c r="J1452" s="26">
        <v>4500000</v>
      </c>
    </row>
    <row r="1453" spans="1:10">
      <c r="A1453" s="24">
        <v>1451</v>
      </c>
      <c r="B1453" s="24">
        <f t="shared" si="25"/>
        <v>1005</v>
      </c>
      <c r="C1453" s="1" t="s">
        <v>1636</v>
      </c>
      <c r="D1453" s="1" t="s">
        <v>4</v>
      </c>
      <c r="E1453" s="1" t="s">
        <v>15</v>
      </c>
      <c r="F1453" s="26">
        <v>100</v>
      </c>
      <c r="G1453" s="26">
        <v>0</v>
      </c>
      <c r="H1453" s="26">
        <v>100</v>
      </c>
      <c r="I1453" s="26">
        <v>1431818.1818181816</v>
      </c>
      <c r="J1453" s="26">
        <v>3500000</v>
      </c>
    </row>
    <row r="1454" spans="1:10">
      <c r="A1454" s="24">
        <v>1452</v>
      </c>
      <c r="B1454" s="24">
        <f t="shared" si="25"/>
        <v>1006</v>
      </c>
      <c r="C1454" s="1" t="s">
        <v>1637</v>
      </c>
      <c r="D1454" s="1" t="s">
        <v>4</v>
      </c>
      <c r="E1454" s="1" t="s">
        <v>15</v>
      </c>
      <c r="F1454" s="26">
        <v>150</v>
      </c>
      <c r="G1454" s="26">
        <v>0</v>
      </c>
      <c r="H1454" s="26">
        <v>150</v>
      </c>
      <c r="I1454" s="26">
        <v>2147727.2727272725</v>
      </c>
      <c r="J1454" s="26">
        <v>5250000</v>
      </c>
    </row>
    <row r="1455" spans="1:10">
      <c r="A1455" s="24">
        <v>1453</v>
      </c>
      <c r="B1455" s="24">
        <f t="shared" si="25"/>
        <v>1007</v>
      </c>
      <c r="C1455" s="1" t="s">
        <v>1638</v>
      </c>
      <c r="D1455" s="1" t="s">
        <v>4</v>
      </c>
      <c r="E1455" s="1" t="s">
        <v>15</v>
      </c>
      <c r="F1455" s="26">
        <v>150</v>
      </c>
      <c r="G1455" s="26">
        <v>0</v>
      </c>
      <c r="H1455" s="26">
        <v>150</v>
      </c>
      <c r="I1455" s="26">
        <v>2147727.2727272725</v>
      </c>
      <c r="J1455" s="26">
        <v>5250000</v>
      </c>
    </row>
    <row r="1456" spans="1:10">
      <c r="A1456" s="24">
        <v>1454</v>
      </c>
      <c r="B1456" s="24">
        <f t="shared" ref="B1456:B1492" si="26">IF(C1455=C1456,B1455,B1455+1)</f>
        <v>1008</v>
      </c>
      <c r="C1456" s="1" t="s">
        <v>775</v>
      </c>
      <c r="F1456" s="26">
        <v>950</v>
      </c>
      <c r="G1456" s="26">
        <v>0</v>
      </c>
      <c r="H1456" s="26">
        <v>950</v>
      </c>
      <c r="I1456" s="26">
        <v>16261363.636363633</v>
      </c>
      <c r="J1456" s="26">
        <v>39750000</v>
      </c>
    </row>
    <row r="1457" spans="1:10">
      <c r="A1457" s="24">
        <v>1455</v>
      </c>
      <c r="B1457" s="24">
        <f t="shared" si="26"/>
        <v>1009</v>
      </c>
      <c r="C1457" s="1" t="s">
        <v>1431</v>
      </c>
      <c r="D1457" s="1" t="s">
        <v>4</v>
      </c>
      <c r="E1457" s="1" t="s">
        <v>14</v>
      </c>
      <c r="F1457" s="26">
        <v>1000</v>
      </c>
      <c r="G1457" s="26">
        <v>0</v>
      </c>
      <c r="H1457" s="26">
        <v>1000</v>
      </c>
      <c r="I1457" s="26">
        <v>12369260.000000004</v>
      </c>
      <c r="J1457" s="26">
        <v>55000000</v>
      </c>
    </row>
    <row r="1458" spans="1:10">
      <c r="A1458" s="24">
        <v>1456</v>
      </c>
      <c r="B1458" s="24">
        <f t="shared" si="26"/>
        <v>1010</v>
      </c>
      <c r="C1458" s="1" t="s">
        <v>1432</v>
      </c>
      <c r="D1458" s="1" t="s">
        <v>4</v>
      </c>
      <c r="E1458" s="1" t="s">
        <v>14</v>
      </c>
      <c r="F1458" s="26">
        <v>1000</v>
      </c>
      <c r="G1458" s="26">
        <v>0</v>
      </c>
      <c r="H1458" s="26">
        <v>1000</v>
      </c>
      <c r="I1458" s="26">
        <v>12369260.000000004</v>
      </c>
      <c r="J1458" s="26">
        <v>55000000</v>
      </c>
    </row>
    <row r="1459" spans="1:10">
      <c r="A1459" s="24">
        <v>1457</v>
      </c>
      <c r="B1459" s="24">
        <f t="shared" si="26"/>
        <v>1011</v>
      </c>
      <c r="C1459" s="1" t="s">
        <v>775</v>
      </c>
      <c r="F1459" s="26">
        <v>2000</v>
      </c>
      <c r="G1459" s="26">
        <v>0</v>
      </c>
      <c r="H1459" s="26">
        <v>2000</v>
      </c>
      <c r="I1459" s="26">
        <v>24738520.000000007</v>
      </c>
      <c r="J1459" s="26">
        <v>110000000</v>
      </c>
    </row>
    <row r="1460" spans="1:10">
      <c r="A1460" s="24">
        <v>1458</v>
      </c>
      <c r="B1460" s="24">
        <f t="shared" si="26"/>
        <v>1012</v>
      </c>
      <c r="C1460" s="1" t="s">
        <v>1434</v>
      </c>
      <c r="D1460" s="1" t="s">
        <v>4</v>
      </c>
      <c r="E1460" s="1" t="s">
        <v>14</v>
      </c>
      <c r="F1460" s="26">
        <v>500</v>
      </c>
      <c r="G1460" s="26">
        <v>0</v>
      </c>
      <c r="H1460" s="26">
        <v>500</v>
      </c>
      <c r="I1460" s="26">
        <v>2155528.0000000005</v>
      </c>
      <c r="J1460" s="26">
        <v>18500000</v>
      </c>
    </row>
    <row r="1461" spans="1:10">
      <c r="A1461" s="24">
        <v>1459</v>
      </c>
      <c r="B1461" s="24">
        <f t="shared" si="26"/>
        <v>1013</v>
      </c>
      <c r="C1461" s="1" t="s">
        <v>1435</v>
      </c>
      <c r="D1461" s="1" t="s">
        <v>4</v>
      </c>
      <c r="E1461" s="1" t="s">
        <v>14</v>
      </c>
      <c r="F1461" s="26">
        <v>500</v>
      </c>
      <c r="G1461" s="26">
        <v>0</v>
      </c>
      <c r="H1461" s="26">
        <v>500</v>
      </c>
      <c r="I1461" s="26">
        <v>2155528.0000000005</v>
      </c>
      <c r="J1461" s="26">
        <v>18500000</v>
      </c>
    </row>
    <row r="1462" spans="1:10">
      <c r="A1462" s="24">
        <v>1460</v>
      </c>
      <c r="B1462" s="24">
        <f t="shared" si="26"/>
        <v>1014</v>
      </c>
      <c r="C1462" s="1" t="s">
        <v>775</v>
      </c>
      <c r="F1462" s="26">
        <v>1000</v>
      </c>
      <c r="G1462" s="26">
        <v>0</v>
      </c>
      <c r="H1462" s="26">
        <v>1000</v>
      </c>
      <c r="I1462" s="26">
        <v>4311056.0000000009</v>
      </c>
      <c r="J1462" s="26">
        <v>37000000</v>
      </c>
    </row>
    <row r="1463" spans="1:10">
      <c r="A1463" s="24">
        <v>1461</v>
      </c>
      <c r="B1463" s="24">
        <f t="shared" si="26"/>
        <v>1015</v>
      </c>
      <c r="C1463" s="1" t="s">
        <v>964</v>
      </c>
      <c r="D1463" s="1" t="s">
        <v>2</v>
      </c>
      <c r="E1463" s="1" t="s">
        <v>14</v>
      </c>
      <c r="F1463" s="26">
        <v>209</v>
      </c>
      <c r="G1463" s="26">
        <v>0</v>
      </c>
      <c r="H1463" s="26">
        <v>200</v>
      </c>
      <c r="I1463" s="26">
        <v>1852612.0000000002</v>
      </c>
      <c r="J1463" s="26">
        <v>11000000</v>
      </c>
    </row>
    <row r="1464" spans="1:10">
      <c r="A1464" s="24">
        <v>1462</v>
      </c>
      <c r="B1464" s="24">
        <f t="shared" si="26"/>
        <v>1015</v>
      </c>
      <c r="C1464" s="1" t="s">
        <v>964</v>
      </c>
      <c r="D1464" s="1" t="s">
        <v>3</v>
      </c>
      <c r="E1464" s="1" t="s">
        <v>14</v>
      </c>
      <c r="F1464" s="26">
        <v>301</v>
      </c>
      <c r="G1464" s="26">
        <v>0</v>
      </c>
      <c r="H1464" s="26">
        <v>300</v>
      </c>
      <c r="I1464" s="26">
        <v>2778918.0000000005</v>
      </c>
      <c r="J1464" s="26">
        <v>16500000</v>
      </c>
    </row>
    <row r="1465" spans="1:10">
      <c r="A1465" s="24">
        <v>1463</v>
      </c>
      <c r="B1465" s="24">
        <f t="shared" si="26"/>
        <v>1016</v>
      </c>
      <c r="C1465" s="1" t="s">
        <v>965</v>
      </c>
      <c r="D1465" s="1" t="s">
        <v>2</v>
      </c>
      <c r="E1465" s="1" t="s">
        <v>14</v>
      </c>
      <c r="F1465" s="26">
        <v>196</v>
      </c>
      <c r="G1465" s="26">
        <v>0</v>
      </c>
      <c r="H1465" s="26">
        <v>200</v>
      </c>
      <c r="I1465" s="26">
        <v>1884360.0000000002</v>
      </c>
      <c r="J1465" s="26">
        <v>11000000</v>
      </c>
    </row>
    <row r="1466" spans="1:10">
      <c r="A1466" s="24">
        <v>1464</v>
      </c>
      <c r="B1466" s="24">
        <f t="shared" si="26"/>
        <v>1016</v>
      </c>
      <c r="C1466" s="1" t="s">
        <v>965</v>
      </c>
      <c r="D1466" s="1" t="s">
        <v>3</v>
      </c>
      <c r="E1466" s="1" t="s">
        <v>14</v>
      </c>
      <c r="F1466" s="26">
        <v>294</v>
      </c>
      <c r="G1466" s="26">
        <v>0</v>
      </c>
      <c r="H1466" s="26">
        <v>300</v>
      </c>
      <c r="I1466" s="26">
        <v>2826540.0000000005</v>
      </c>
      <c r="J1466" s="26">
        <v>16500000</v>
      </c>
    </row>
    <row r="1467" spans="1:10">
      <c r="A1467" s="24">
        <v>1465</v>
      </c>
      <c r="B1467" s="24">
        <f t="shared" si="26"/>
        <v>1017</v>
      </c>
      <c r="C1467" s="1" t="s">
        <v>775</v>
      </c>
      <c r="F1467" s="26">
        <v>1000</v>
      </c>
      <c r="G1467" s="26">
        <v>0</v>
      </c>
      <c r="H1467" s="26">
        <v>1000</v>
      </c>
      <c r="I1467" s="26">
        <v>9342430.0000000019</v>
      </c>
      <c r="J1467" s="26">
        <v>55000000</v>
      </c>
    </row>
    <row r="1468" spans="1:10">
      <c r="A1468" s="24">
        <v>1466</v>
      </c>
      <c r="B1468" s="24">
        <f t="shared" si="26"/>
        <v>1018</v>
      </c>
      <c r="C1468" s="1" t="s">
        <v>1316</v>
      </c>
      <c r="D1468" s="1" t="s">
        <v>4</v>
      </c>
      <c r="E1468" s="1" t="s">
        <v>14</v>
      </c>
      <c r="F1468" s="26">
        <v>497</v>
      </c>
      <c r="G1468" s="26">
        <v>0</v>
      </c>
      <c r="H1468" s="26">
        <v>500</v>
      </c>
      <c r="I1468" s="26">
        <v>3253240.0000000005</v>
      </c>
      <c r="J1468" s="26">
        <v>22500000</v>
      </c>
    </row>
    <row r="1469" spans="1:10">
      <c r="A1469" s="24">
        <v>1467</v>
      </c>
      <c r="B1469" s="24">
        <f t="shared" si="26"/>
        <v>1019</v>
      </c>
      <c r="C1469" s="1" t="s">
        <v>1317</v>
      </c>
      <c r="D1469" s="1" t="s">
        <v>3</v>
      </c>
      <c r="E1469" s="1" t="s">
        <v>14</v>
      </c>
      <c r="F1469" s="26">
        <v>203</v>
      </c>
      <c r="G1469" s="26">
        <v>0</v>
      </c>
      <c r="H1469" s="26">
        <v>200</v>
      </c>
      <c r="I1469" s="26">
        <v>1337296.0000000002</v>
      </c>
      <c r="J1469" s="26">
        <v>8600000</v>
      </c>
    </row>
    <row r="1470" spans="1:10">
      <c r="A1470" s="24">
        <v>1468</v>
      </c>
      <c r="B1470" s="24">
        <f t="shared" si="26"/>
        <v>1020</v>
      </c>
      <c r="C1470" s="1" t="s">
        <v>775</v>
      </c>
      <c r="F1470" s="26">
        <v>700</v>
      </c>
      <c r="G1470" s="26">
        <v>0</v>
      </c>
      <c r="H1470" s="26">
        <v>700</v>
      </c>
      <c r="I1470" s="26">
        <v>4590536.0000000009</v>
      </c>
      <c r="J1470" s="26">
        <v>31100000</v>
      </c>
    </row>
    <row r="1471" spans="1:10">
      <c r="A1471" s="24">
        <v>1469</v>
      </c>
      <c r="B1471" s="24">
        <f t="shared" si="26"/>
        <v>1021</v>
      </c>
      <c r="C1471" s="1" t="s">
        <v>1643</v>
      </c>
      <c r="D1471" s="1" t="s">
        <v>4</v>
      </c>
      <c r="E1471" s="1" t="s">
        <v>14</v>
      </c>
      <c r="F1471" s="26">
        <v>600</v>
      </c>
      <c r="G1471" s="26">
        <v>0</v>
      </c>
      <c r="H1471" s="26">
        <v>600</v>
      </c>
      <c r="I1471" s="26">
        <v>3900000</v>
      </c>
      <c r="J1471" s="26">
        <v>17400000</v>
      </c>
    </row>
    <row r="1472" spans="1:10">
      <c r="A1472" s="24">
        <v>1470</v>
      </c>
      <c r="B1472" s="24">
        <f t="shared" si="26"/>
        <v>1022</v>
      </c>
      <c r="C1472" s="1" t="s">
        <v>1644</v>
      </c>
      <c r="D1472" s="1" t="s">
        <v>4</v>
      </c>
      <c r="E1472" s="1" t="s">
        <v>14</v>
      </c>
      <c r="F1472" s="26">
        <v>600</v>
      </c>
      <c r="G1472" s="26">
        <v>0</v>
      </c>
      <c r="H1472" s="26">
        <v>600</v>
      </c>
      <c r="I1472" s="26">
        <v>3900000</v>
      </c>
      <c r="J1472" s="26">
        <v>17400000</v>
      </c>
    </row>
    <row r="1473" spans="1:10">
      <c r="A1473" s="24">
        <v>1471</v>
      </c>
      <c r="B1473" s="24">
        <f t="shared" si="26"/>
        <v>1023</v>
      </c>
      <c r="C1473" s="1" t="s">
        <v>1645</v>
      </c>
      <c r="D1473" s="1" t="s">
        <v>4</v>
      </c>
      <c r="E1473" s="1" t="s">
        <v>14</v>
      </c>
      <c r="F1473" s="26">
        <v>800</v>
      </c>
      <c r="G1473" s="26">
        <v>0</v>
      </c>
      <c r="H1473" s="26">
        <v>800</v>
      </c>
      <c r="I1473" s="26">
        <v>5200000</v>
      </c>
      <c r="J1473" s="26">
        <v>23200000</v>
      </c>
    </row>
    <row r="1474" spans="1:10">
      <c r="A1474" s="24">
        <v>1472</v>
      </c>
      <c r="B1474" s="24">
        <f t="shared" si="26"/>
        <v>1024</v>
      </c>
      <c r="C1474" s="1" t="s">
        <v>775</v>
      </c>
      <c r="F1474" s="26">
        <v>2000</v>
      </c>
      <c r="G1474" s="26">
        <v>0</v>
      </c>
      <c r="H1474" s="26">
        <v>2000</v>
      </c>
      <c r="I1474" s="26">
        <v>13000000</v>
      </c>
      <c r="J1474" s="26">
        <v>58000000</v>
      </c>
    </row>
    <row r="1475" spans="1:10">
      <c r="A1475" s="24">
        <v>1473</v>
      </c>
      <c r="B1475" s="24">
        <f t="shared" si="26"/>
        <v>1025</v>
      </c>
      <c r="C1475" s="1" t="s">
        <v>1631</v>
      </c>
      <c r="D1475" s="1" t="s">
        <v>4</v>
      </c>
      <c r="E1475" s="1" t="s">
        <v>15</v>
      </c>
      <c r="F1475" s="26">
        <v>150</v>
      </c>
      <c r="G1475" s="26">
        <v>0</v>
      </c>
      <c r="H1475" s="26">
        <v>150</v>
      </c>
      <c r="I1475" s="26">
        <v>2761363.6363636362</v>
      </c>
      <c r="J1475" s="26">
        <v>6750000</v>
      </c>
    </row>
    <row r="1476" spans="1:10">
      <c r="A1476" s="24">
        <v>1474</v>
      </c>
      <c r="B1476" s="24">
        <f t="shared" si="26"/>
        <v>1026</v>
      </c>
      <c r="C1476" s="1" t="s">
        <v>1637</v>
      </c>
      <c r="D1476" s="1" t="s">
        <v>4</v>
      </c>
      <c r="E1476" s="1" t="s">
        <v>15</v>
      </c>
      <c r="F1476" s="26">
        <v>200</v>
      </c>
      <c r="G1476" s="26">
        <v>0</v>
      </c>
      <c r="H1476" s="26">
        <v>200</v>
      </c>
      <c r="I1476" s="26">
        <v>2863636.3636363633</v>
      </c>
      <c r="J1476" s="26">
        <v>7000000</v>
      </c>
    </row>
    <row r="1477" spans="1:10">
      <c r="A1477" s="24">
        <v>1475</v>
      </c>
      <c r="B1477" s="24">
        <f t="shared" si="26"/>
        <v>1027</v>
      </c>
      <c r="C1477" s="1" t="s">
        <v>1638</v>
      </c>
      <c r="D1477" s="1" t="s">
        <v>4</v>
      </c>
      <c r="E1477" s="1" t="s">
        <v>15</v>
      </c>
      <c r="F1477" s="26">
        <v>150</v>
      </c>
      <c r="G1477" s="26">
        <v>0</v>
      </c>
      <c r="H1477" s="26">
        <v>150</v>
      </c>
      <c r="I1477" s="26">
        <v>2147727.2727272725</v>
      </c>
      <c r="J1477" s="26">
        <v>5250000</v>
      </c>
    </row>
    <row r="1478" spans="1:10">
      <c r="A1478" s="24">
        <v>1476</v>
      </c>
      <c r="B1478" s="24">
        <f t="shared" si="26"/>
        <v>1028</v>
      </c>
      <c r="C1478" s="1" t="s">
        <v>1646</v>
      </c>
      <c r="D1478" s="1" t="s">
        <v>4</v>
      </c>
      <c r="E1478" s="1" t="s">
        <v>15</v>
      </c>
      <c r="F1478" s="26">
        <v>200</v>
      </c>
      <c r="G1478" s="26">
        <v>0</v>
      </c>
      <c r="H1478" s="26">
        <v>200</v>
      </c>
      <c r="I1478" s="26">
        <v>3681818.1818181816</v>
      </c>
      <c r="J1478" s="26">
        <v>9000000</v>
      </c>
    </row>
    <row r="1479" spans="1:10">
      <c r="A1479" s="24">
        <v>1477</v>
      </c>
      <c r="B1479" s="24">
        <f t="shared" si="26"/>
        <v>1029</v>
      </c>
      <c r="C1479" s="1" t="s">
        <v>1647</v>
      </c>
      <c r="D1479" s="1" t="s">
        <v>4</v>
      </c>
      <c r="E1479" s="1" t="s">
        <v>15</v>
      </c>
      <c r="F1479" s="26">
        <v>300</v>
      </c>
      <c r="G1479" s="26">
        <v>0</v>
      </c>
      <c r="H1479" s="26">
        <v>300</v>
      </c>
      <c r="I1479" s="26">
        <v>5522727.2727272725</v>
      </c>
      <c r="J1479" s="26">
        <v>13500000</v>
      </c>
    </row>
    <row r="1480" spans="1:10">
      <c r="A1480" s="24">
        <v>1478</v>
      </c>
      <c r="B1480" s="24">
        <f t="shared" si="26"/>
        <v>1030</v>
      </c>
      <c r="C1480" s="1" t="s">
        <v>775</v>
      </c>
      <c r="F1480" s="26">
        <v>1000</v>
      </c>
      <c r="G1480" s="26">
        <v>0</v>
      </c>
      <c r="H1480" s="26">
        <v>1000</v>
      </c>
      <c r="I1480" s="26">
        <v>16977272.727272727</v>
      </c>
      <c r="J1480" s="26">
        <v>41500000</v>
      </c>
    </row>
    <row r="1481" spans="1:10">
      <c r="A1481" s="24">
        <v>1479</v>
      </c>
      <c r="B1481" s="24">
        <f t="shared" si="26"/>
        <v>1031</v>
      </c>
      <c r="C1481" s="1" t="s">
        <v>1648</v>
      </c>
      <c r="D1481" s="1" t="s">
        <v>4</v>
      </c>
      <c r="E1481" s="1" t="s">
        <v>15</v>
      </c>
      <c r="F1481" s="26">
        <v>100</v>
      </c>
      <c r="G1481" s="26">
        <v>0</v>
      </c>
      <c r="H1481" s="26">
        <v>100</v>
      </c>
      <c r="I1481" s="26">
        <v>2781818.1818181816</v>
      </c>
      <c r="J1481" s="26">
        <v>6800000</v>
      </c>
    </row>
    <row r="1482" spans="1:10">
      <c r="A1482" s="24">
        <v>1480</v>
      </c>
      <c r="B1482" s="24">
        <f t="shared" si="26"/>
        <v>1032</v>
      </c>
      <c r="C1482" s="1" t="s">
        <v>1649</v>
      </c>
      <c r="D1482" s="1" t="s">
        <v>4</v>
      </c>
      <c r="E1482" s="1" t="s">
        <v>15</v>
      </c>
      <c r="F1482" s="26">
        <v>50</v>
      </c>
      <c r="G1482" s="26">
        <v>0</v>
      </c>
      <c r="H1482" s="26">
        <v>50</v>
      </c>
      <c r="I1482" s="26">
        <v>920454.54545454541</v>
      </c>
      <c r="J1482" s="26">
        <v>2250000</v>
      </c>
    </row>
    <row r="1483" spans="1:10">
      <c r="A1483" s="24">
        <v>1481</v>
      </c>
      <c r="B1483" s="24">
        <f t="shared" si="26"/>
        <v>1033</v>
      </c>
      <c r="C1483" s="1" t="s">
        <v>1650</v>
      </c>
      <c r="D1483" s="1" t="s">
        <v>4</v>
      </c>
      <c r="E1483" s="1" t="s">
        <v>15</v>
      </c>
      <c r="F1483" s="26">
        <v>100</v>
      </c>
      <c r="G1483" s="26">
        <v>0</v>
      </c>
      <c r="H1483" s="26">
        <v>100</v>
      </c>
      <c r="I1483" s="26">
        <v>1840909.0909090908</v>
      </c>
      <c r="J1483" s="26">
        <v>4500000</v>
      </c>
    </row>
    <row r="1484" spans="1:10">
      <c r="A1484" s="24">
        <v>1482</v>
      </c>
      <c r="B1484" s="24">
        <f t="shared" si="26"/>
        <v>1034</v>
      </c>
      <c r="C1484" s="1" t="s">
        <v>1651</v>
      </c>
      <c r="D1484" s="1" t="s">
        <v>4</v>
      </c>
      <c r="E1484" s="1" t="s">
        <v>15</v>
      </c>
      <c r="F1484" s="26">
        <v>100</v>
      </c>
      <c r="G1484" s="26">
        <v>0</v>
      </c>
      <c r="H1484" s="26">
        <v>100</v>
      </c>
      <c r="I1484" s="26">
        <v>2331818.1818181816</v>
      </c>
      <c r="J1484" s="26">
        <v>5700000</v>
      </c>
    </row>
    <row r="1485" spans="1:10">
      <c r="A1485" s="24">
        <v>1483</v>
      </c>
      <c r="B1485" s="24">
        <f t="shared" si="26"/>
        <v>1035</v>
      </c>
      <c r="C1485" s="1" t="s">
        <v>1652</v>
      </c>
      <c r="D1485" s="1" t="s">
        <v>4</v>
      </c>
      <c r="E1485" s="1" t="s">
        <v>15</v>
      </c>
      <c r="F1485" s="26">
        <v>50</v>
      </c>
      <c r="G1485" s="26">
        <v>0</v>
      </c>
      <c r="H1485" s="26">
        <v>50</v>
      </c>
      <c r="I1485" s="26">
        <v>920454.54545454541</v>
      </c>
      <c r="J1485" s="26">
        <v>2250000</v>
      </c>
    </row>
    <row r="1486" spans="1:10">
      <c r="A1486" s="24">
        <v>1484</v>
      </c>
      <c r="B1486" s="24">
        <f t="shared" si="26"/>
        <v>1036</v>
      </c>
      <c r="C1486" s="1" t="s">
        <v>775</v>
      </c>
      <c r="F1486" s="26">
        <v>400</v>
      </c>
      <c r="G1486" s="26">
        <v>0</v>
      </c>
      <c r="H1486" s="26">
        <v>400</v>
      </c>
      <c r="I1486" s="26">
        <v>8795454.5454545449</v>
      </c>
      <c r="J1486" s="26">
        <v>21500000</v>
      </c>
    </row>
    <row r="1487" spans="1:10">
      <c r="A1487" s="24">
        <v>1485</v>
      </c>
      <c r="B1487" s="24">
        <f t="shared" si="26"/>
        <v>1037</v>
      </c>
      <c r="C1487" s="1" t="s">
        <v>1653</v>
      </c>
      <c r="D1487" s="1" t="s">
        <v>4</v>
      </c>
      <c r="E1487" s="1" t="s">
        <v>15</v>
      </c>
      <c r="F1487" s="26">
        <v>40</v>
      </c>
      <c r="G1487" s="26">
        <v>0</v>
      </c>
      <c r="H1487" s="26">
        <v>40</v>
      </c>
      <c r="I1487" s="26">
        <v>966254.54545454541</v>
      </c>
      <c r="J1487" s="26">
        <v>2360000</v>
      </c>
    </row>
    <row r="1488" spans="1:10">
      <c r="A1488" s="24">
        <v>1486</v>
      </c>
      <c r="B1488" s="24">
        <f t="shared" si="26"/>
        <v>1038</v>
      </c>
      <c r="C1488" s="1" t="s">
        <v>1654</v>
      </c>
      <c r="D1488" s="1" t="s">
        <v>4</v>
      </c>
      <c r="E1488" s="1" t="s">
        <v>15</v>
      </c>
      <c r="F1488" s="26">
        <v>40</v>
      </c>
      <c r="G1488" s="26">
        <v>0</v>
      </c>
      <c r="H1488" s="26">
        <v>40</v>
      </c>
      <c r="I1488" s="26">
        <v>966254.54545454541</v>
      </c>
      <c r="J1488" s="26">
        <v>2360000</v>
      </c>
    </row>
    <row r="1489" spans="1:10">
      <c r="A1489" s="24">
        <v>1487</v>
      </c>
      <c r="B1489" s="24">
        <f t="shared" si="26"/>
        <v>1039</v>
      </c>
      <c r="C1489" s="1" t="s">
        <v>1655</v>
      </c>
      <c r="D1489" s="1" t="s">
        <v>4</v>
      </c>
      <c r="E1489" s="1" t="s">
        <v>15</v>
      </c>
      <c r="F1489" s="26">
        <v>40</v>
      </c>
      <c r="G1489" s="26">
        <v>0</v>
      </c>
      <c r="H1489" s="26">
        <v>40</v>
      </c>
      <c r="I1489" s="26">
        <v>966254.54545454541</v>
      </c>
      <c r="J1489" s="26">
        <v>2360000</v>
      </c>
    </row>
    <row r="1490" spans="1:10">
      <c r="A1490" s="24">
        <v>1488</v>
      </c>
      <c r="B1490" s="24">
        <f t="shared" si="26"/>
        <v>1040</v>
      </c>
      <c r="C1490" s="1" t="s">
        <v>1656</v>
      </c>
      <c r="D1490" s="1" t="s">
        <v>4</v>
      </c>
      <c r="E1490" s="1" t="s">
        <v>15</v>
      </c>
      <c r="F1490" s="26">
        <v>40</v>
      </c>
      <c r="G1490" s="26">
        <v>0</v>
      </c>
      <c r="H1490" s="26">
        <v>40</v>
      </c>
      <c r="I1490" s="26">
        <v>966254.54545454541</v>
      </c>
      <c r="J1490" s="26">
        <v>2360000</v>
      </c>
    </row>
    <row r="1491" spans="1:10">
      <c r="A1491" s="24">
        <v>1489</v>
      </c>
      <c r="B1491" s="24">
        <f t="shared" si="26"/>
        <v>1041</v>
      </c>
      <c r="C1491" s="1" t="s">
        <v>1657</v>
      </c>
      <c r="D1491" s="1" t="s">
        <v>4</v>
      </c>
      <c r="E1491" s="1" t="s">
        <v>15</v>
      </c>
      <c r="F1491" s="26">
        <v>40</v>
      </c>
      <c r="G1491" s="26">
        <v>0</v>
      </c>
      <c r="H1491" s="26">
        <v>40</v>
      </c>
      <c r="I1491" s="26">
        <v>966254.54545454541</v>
      </c>
      <c r="J1491" s="26">
        <v>2360000</v>
      </c>
    </row>
    <row r="1492" spans="1:10">
      <c r="A1492" s="24">
        <v>1490</v>
      </c>
      <c r="B1492" s="24">
        <f t="shared" si="26"/>
        <v>1042</v>
      </c>
      <c r="C1492" s="1" t="s">
        <v>775</v>
      </c>
      <c r="F1492" s="26">
        <v>200</v>
      </c>
      <c r="G1492" s="26">
        <v>0</v>
      </c>
      <c r="H1492" s="26">
        <v>200</v>
      </c>
      <c r="I1492" s="26">
        <v>4831272.7272727266</v>
      </c>
      <c r="J1492" s="26">
        <v>11800000</v>
      </c>
    </row>
    <row r="1493" spans="1:10">
      <c r="A1493" s="24">
        <v>1491</v>
      </c>
      <c r="B1493" s="24">
        <f t="shared" ref="B1493:B1504" si="27">IF(C1492=C1493,B1492,B1492+1)</f>
        <v>1043</v>
      </c>
      <c r="C1493" s="1" t="s">
        <v>1948</v>
      </c>
      <c r="D1493" s="1" t="s">
        <v>4</v>
      </c>
      <c r="E1493" s="1" t="s">
        <v>15</v>
      </c>
      <c r="F1493" s="26">
        <v>100</v>
      </c>
      <c r="G1493" s="26">
        <v>0</v>
      </c>
      <c r="H1493" s="26">
        <v>100</v>
      </c>
      <c r="I1493" s="26">
        <v>1963636.3636363635</v>
      </c>
      <c r="J1493" s="26">
        <v>4800000</v>
      </c>
    </row>
    <row r="1494" spans="1:10">
      <c r="A1494" s="24">
        <v>1492</v>
      </c>
      <c r="B1494" s="24">
        <f t="shared" si="27"/>
        <v>1044</v>
      </c>
      <c r="C1494" s="1" t="s">
        <v>1949</v>
      </c>
      <c r="D1494" s="1" t="s">
        <v>4</v>
      </c>
      <c r="E1494" s="1" t="s">
        <v>15</v>
      </c>
      <c r="F1494" s="26">
        <v>100</v>
      </c>
      <c r="G1494" s="26">
        <v>0</v>
      </c>
      <c r="H1494" s="26">
        <v>100</v>
      </c>
      <c r="I1494" s="26">
        <v>1963636.3636363635</v>
      </c>
      <c r="J1494" s="26">
        <v>4800000</v>
      </c>
    </row>
    <row r="1495" spans="1:10">
      <c r="A1495" s="24">
        <v>1493</v>
      </c>
      <c r="B1495" s="24">
        <f t="shared" si="27"/>
        <v>1045</v>
      </c>
      <c r="C1495" s="1" t="s">
        <v>1950</v>
      </c>
      <c r="D1495" s="1" t="s">
        <v>4</v>
      </c>
      <c r="E1495" s="1" t="s">
        <v>15</v>
      </c>
      <c r="F1495" s="26">
        <v>100</v>
      </c>
      <c r="G1495" s="26">
        <v>0</v>
      </c>
      <c r="H1495" s="26">
        <v>100</v>
      </c>
      <c r="I1495" s="26">
        <v>1963636.3636363635</v>
      </c>
      <c r="J1495" s="26">
        <v>4800000</v>
      </c>
    </row>
    <row r="1496" spans="1:10">
      <c r="A1496" s="24">
        <v>1494</v>
      </c>
      <c r="B1496" s="24">
        <f t="shared" si="27"/>
        <v>1046</v>
      </c>
      <c r="C1496" s="1" t="s">
        <v>1951</v>
      </c>
      <c r="D1496" s="1" t="s">
        <v>4</v>
      </c>
      <c r="E1496" s="1" t="s">
        <v>15</v>
      </c>
      <c r="F1496" s="26">
        <v>100</v>
      </c>
      <c r="G1496" s="26">
        <v>0</v>
      </c>
      <c r="H1496" s="26">
        <v>100</v>
      </c>
      <c r="I1496" s="26">
        <v>1431818.1818181816</v>
      </c>
      <c r="J1496" s="26">
        <v>3500000</v>
      </c>
    </row>
    <row r="1497" spans="1:10">
      <c r="A1497" s="24">
        <v>1495</v>
      </c>
      <c r="B1497" s="24">
        <f t="shared" si="27"/>
        <v>1047</v>
      </c>
      <c r="C1497" s="1" t="s">
        <v>1952</v>
      </c>
      <c r="D1497" s="1" t="s">
        <v>4</v>
      </c>
      <c r="E1497" s="1" t="s">
        <v>15</v>
      </c>
      <c r="F1497" s="26">
        <v>100</v>
      </c>
      <c r="G1497" s="26">
        <v>0</v>
      </c>
      <c r="H1497" s="26">
        <v>100</v>
      </c>
      <c r="I1497" s="26">
        <v>1431818.1818181816</v>
      </c>
      <c r="J1497" s="26">
        <v>3500000</v>
      </c>
    </row>
    <row r="1498" spans="1:10">
      <c r="A1498" s="24">
        <v>1496</v>
      </c>
      <c r="B1498" s="24">
        <f t="shared" si="27"/>
        <v>1048</v>
      </c>
      <c r="C1498" s="1" t="s">
        <v>775</v>
      </c>
      <c r="F1498" s="26">
        <v>500</v>
      </c>
      <c r="G1498" s="26">
        <v>0</v>
      </c>
      <c r="H1498" s="26">
        <v>500</v>
      </c>
      <c r="I1498" s="26">
        <v>8754545.4545454532</v>
      </c>
      <c r="J1498" s="26">
        <v>21400000</v>
      </c>
    </row>
    <row r="1499" spans="1:10">
      <c r="A1499" s="24">
        <v>1497</v>
      </c>
      <c r="B1499" s="24">
        <f t="shared" si="27"/>
        <v>1049</v>
      </c>
      <c r="C1499" s="1" t="s">
        <v>1653</v>
      </c>
      <c r="D1499" s="1" t="s">
        <v>4</v>
      </c>
      <c r="E1499" s="1" t="s">
        <v>15</v>
      </c>
      <c r="F1499" s="26">
        <v>5</v>
      </c>
      <c r="G1499" s="26">
        <v>0</v>
      </c>
      <c r="H1499" s="26">
        <v>5</v>
      </c>
      <c r="I1499" s="26">
        <v>120781.81818181818</v>
      </c>
      <c r="J1499" s="26">
        <v>295000</v>
      </c>
    </row>
    <row r="1500" spans="1:10">
      <c r="A1500" s="24">
        <v>1498</v>
      </c>
      <c r="B1500" s="24">
        <f t="shared" si="27"/>
        <v>1050</v>
      </c>
      <c r="C1500" s="1" t="s">
        <v>1654</v>
      </c>
      <c r="D1500" s="1" t="s">
        <v>4</v>
      </c>
      <c r="E1500" s="1" t="s">
        <v>15</v>
      </c>
      <c r="F1500" s="26">
        <v>5</v>
      </c>
      <c r="G1500" s="26">
        <v>0</v>
      </c>
      <c r="H1500" s="26">
        <v>5</v>
      </c>
      <c r="I1500" s="26">
        <v>120781.81818181818</v>
      </c>
      <c r="J1500" s="26">
        <v>295000</v>
      </c>
    </row>
    <row r="1501" spans="1:10">
      <c r="A1501" s="24">
        <v>1499</v>
      </c>
      <c r="B1501" s="24">
        <f t="shared" si="27"/>
        <v>1051</v>
      </c>
      <c r="C1501" s="1" t="s">
        <v>1655</v>
      </c>
      <c r="D1501" s="1" t="s">
        <v>4</v>
      </c>
      <c r="E1501" s="1" t="s">
        <v>15</v>
      </c>
      <c r="F1501" s="26">
        <v>5</v>
      </c>
      <c r="G1501" s="26">
        <v>0</v>
      </c>
      <c r="H1501" s="26">
        <v>5</v>
      </c>
      <c r="I1501" s="26">
        <v>120781.81818181818</v>
      </c>
      <c r="J1501" s="26">
        <v>295000</v>
      </c>
    </row>
    <row r="1502" spans="1:10">
      <c r="A1502" s="24">
        <v>1500</v>
      </c>
      <c r="B1502" s="24">
        <f t="shared" si="27"/>
        <v>1052</v>
      </c>
      <c r="C1502" s="1" t="s">
        <v>1656</v>
      </c>
      <c r="D1502" s="1" t="s">
        <v>4</v>
      </c>
      <c r="E1502" s="1" t="s">
        <v>15</v>
      </c>
      <c r="F1502" s="26">
        <v>5</v>
      </c>
      <c r="G1502" s="26">
        <v>0</v>
      </c>
      <c r="H1502" s="26">
        <v>5</v>
      </c>
      <c r="I1502" s="26">
        <v>120781.81818181818</v>
      </c>
      <c r="J1502" s="26">
        <v>295000</v>
      </c>
    </row>
    <row r="1503" spans="1:10">
      <c r="A1503" s="24">
        <v>1501</v>
      </c>
      <c r="B1503" s="24">
        <f t="shared" si="27"/>
        <v>1053</v>
      </c>
      <c r="C1503" s="1" t="s">
        <v>1657</v>
      </c>
      <c r="D1503" s="1" t="s">
        <v>4</v>
      </c>
      <c r="E1503" s="1" t="s">
        <v>15</v>
      </c>
      <c r="F1503" s="26">
        <v>5</v>
      </c>
      <c r="G1503" s="26">
        <v>0</v>
      </c>
      <c r="H1503" s="26">
        <v>5</v>
      </c>
      <c r="I1503" s="26">
        <v>120781.81818181818</v>
      </c>
      <c r="J1503" s="26">
        <v>295000</v>
      </c>
    </row>
    <row r="1504" spans="1:10">
      <c r="A1504" s="24">
        <v>1502</v>
      </c>
      <c r="B1504" s="24">
        <f t="shared" si="27"/>
        <v>1054</v>
      </c>
      <c r="C1504" s="1" t="s">
        <v>775</v>
      </c>
      <c r="F1504" s="26">
        <v>25</v>
      </c>
      <c r="G1504" s="26">
        <v>0</v>
      </c>
      <c r="H1504" s="26">
        <v>25</v>
      </c>
      <c r="I1504" s="26">
        <v>603909.09090909082</v>
      </c>
      <c r="J1504" s="26">
        <v>1475000</v>
      </c>
    </row>
    <row r="1505" spans="1:2">
      <c r="A1505" s="24"/>
      <c r="B1505" s="24"/>
    </row>
    <row r="1506" spans="1:2">
      <c r="A1506" s="24"/>
      <c r="B1506" s="24"/>
    </row>
    <row r="1507" spans="1:2">
      <c r="A1507" s="24"/>
      <c r="B1507" s="24"/>
    </row>
    <row r="1508" spans="1:2">
      <c r="A1508" s="24"/>
      <c r="B1508" s="24"/>
    </row>
    <row r="1509" spans="1:2">
      <c r="A1509" s="24"/>
      <c r="B1509" s="24"/>
    </row>
    <row r="1510" spans="1:2">
      <c r="A1510" s="24"/>
      <c r="B1510" s="24"/>
    </row>
    <row r="1511" spans="1:2">
      <c r="A1511" s="24"/>
      <c r="B1511" s="24"/>
    </row>
    <row r="1512" spans="1:2">
      <c r="A1512" s="24"/>
      <c r="B1512" s="24"/>
    </row>
    <row r="1513" spans="1:2">
      <c r="A1513" s="24"/>
      <c r="B1513" s="24"/>
    </row>
    <row r="1514" spans="1:2">
      <c r="A1514" s="24"/>
      <c r="B1514" s="24"/>
    </row>
    <row r="1515" spans="1:2">
      <c r="A1515" s="24"/>
      <c r="B1515" s="24"/>
    </row>
    <row r="1516" spans="1:2">
      <c r="A1516" s="24"/>
      <c r="B1516" s="24"/>
    </row>
    <row r="1517" spans="1:2">
      <c r="A1517" s="24"/>
      <c r="B1517" s="24"/>
    </row>
    <row r="1518" spans="1:2">
      <c r="A1518" s="24"/>
      <c r="B1518" s="24"/>
    </row>
    <row r="1519" spans="1:2">
      <c r="A1519" s="24"/>
      <c r="B1519" s="24"/>
    </row>
    <row r="1520" spans="1:2">
      <c r="A1520" s="24"/>
      <c r="B1520" s="24"/>
    </row>
    <row r="1521" spans="1:2">
      <c r="A1521" s="24"/>
      <c r="B1521" s="24"/>
    </row>
    <row r="1522" spans="1:2">
      <c r="A1522" s="24"/>
      <c r="B1522" s="24"/>
    </row>
    <row r="1523" spans="1:2">
      <c r="A1523" s="24"/>
      <c r="B1523" s="24"/>
    </row>
    <row r="1524" spans="1:2">
      <c r="A1524" s="24"/>
      <c r="B1524" s="24"/>
    </row>
    <row r="1525" spans="1:2">
      <c r="A1525" s="24"/>
      <c r="B1525" s="24"/>
    </row>
    <row r="1526" spans="1:2">
      <c r="A1526" s="24"/>
      <c r="B1526" s="24"/>
    </row>
    <row r="1527" spans="1:2">
      <c r="A1527" s="24"/>
      <c r="B1527" s="24"/>
    </row>
    <row r="1528" spans="1:2">
      <c r="A1528" s="24"/>
      <c r="B1528" s="24"/>
    </row>
    <row r="1529" spans="1:2">
      <c r="A1529" s="24"/>
      <c r="B1529" s="24"/>
    </row>
    <row r="1530" spans="1:2">
      <c r="A1530" s="24"/>
      <c r="B1530" s="24"/>
    </row>
    <row r="1531" spans="1:2">
      <c r="A1531" s="24"/>
      <c r="B1531" s="24"/>
    </row>
    <row r="1532" spans="1:2">
      <c r="A1532" s="24"/>
      <c r="B1532" s="24"/>
    </row>
    <row r="1533" spans="1:2">
      <c r="A1533" s="24"/>
      <c r="B1533" s="24"/>
    </row>
    <row r="1534" spans="1:2">
      <c r="A1534" s="24"/>
      <c r="B1534" s="24"/>
    </row>
    <row r="1535" spans="1:2">
      <c r="A1535" s="24"/>
      <c r="B1535" s="24"/>
    </row>
    <row r="1536" spans="1:2">
      <c r="A1536" s="24"/>
      <c r="B1536" s="24"/>
    </row>
    <row r="1537" spans="1:2">
      <c r="A1537" s="24"/>
      <c r="B1537" s="24"/>
    </row>
    <row r="1538" spans="1:2">
      <c r="A1538" s="24"/>
      <c r="B1538" s="24"/>
    </row>
    <row r="1539" spans="1:2">
      <c r="A1539" s="24"/>
      <c r="B1539" s="24"/>
    </row>
    <row r="1540" spans="1:2">
      <c r="A1540" s="24"/>
      <c r="B1540" s="24"/>
    </row>
    <row r="1541" spans="1:2">
      <c r="A1541" s="24"/>
      <c r="B1541" s="24"/>
    </row>
    <row r="1542" spans="1:2">
      <c r="A1542" s="24"/>
      <c r="B1542" s="24"/>
    </row>
    <row r="1543" spans="1:2">
      <c r="A1543" s="24"/>
      <c r="B1543" s="24"/>
    </row>
    <row r="1544" spans="1:2">
      <c r="A1544" s="24"/>
      <c r="B1544" s="24"/>
    </row>
    <row r="1545" spans="1:2">
      <c r="A1545" s="24"/>
      <c r="B1545" s="24"/>
    </row>
    <row r="1546" spans="1:2">
      <c r="A1546" s="24"/>
      <c r="B1546" s="24"/>
    </row>
    <row r="1547" spans="1:2">
      <c r="A1547" s="24"/>
      <c r="B1547" s="24"/>
    </row>
    <row r="1548" spans="1:2">
      <c r="A1548" s="24"/>
      <c r="B1548" s="24"/>
    </row>
    <row r="1549" spans="1:2">
      <c r="A1549" s="24"/>
      <c r="B1549" s="24"/>
    </row>
    <row r="1550" spans="1:2">
      <c r="A1550" s="24"/>
      <c r="B1550" s="24"/>
    </row>
    <row r="1551" spans="1:2">
      <c r="A1551" s="24"/>
      <c r="B1551" s="24"/>
    </row>
    <row r="1552" spans="1:2">
      <c r="A1552" s="24"/>
      <c r="B1552" s="24"/>
    </row>
    <row r="1553" spans="1:2">
      <c r="A1553" s="24"/>
      <c r="B1553" s="24"/>
    </row>
    <row r="1554" spans="1:2">
      <c r="A1554" s="24"/>
      <c r="B1554" s="24"/>
    </row>
    <row r="1555" spans="1:2">
      <c r="A1555" s="24"/>
      <c r="B1555" s="24"/>
    </row>
    <row r="1556" spans="1:2">
      <c r="A1556" s="24"/>
      <c r="B1556" s="24"/>
    </row>
    <row r="1557" spans="1:2">
      <c r="A1557" s="24"/>
      <c r="B1557" s="24"/>
    </row>
    <row r="1558" spans="1:2">
      <c r="A1558" s="24"/>
      <c r="B1558" s="24"/>
    </row>
    <row r="1559" spans="1:2">
      <c r="A1559" s="24"/>
      <c r="B1559" s="24"/>
    </row>
    <row r="1560" spans="1:2">
      <c r="A1560" s="24"/>
      <c r="B1560" s="24"/>
    </row>
    <row r="1561" spans="1:2">
      <c r="A1561" s="24"/>
      <c r="B1561" s="24"/>
    </row>
    <row r="1562" spans="1:2">
      <c r="A1562" s="24"/>
      <c r="B1562" s="24"/>
    </row>
    <row r="1563" spans="1:2">
      <c r="A1563" s="24"/>
      <c r="B1563" s="24"/>
    </row>
    <row r="1564" spans="1:2">
      <c r="A1564" s="24"/>
      <c r="B1564" s="24"/>
    </row>
    <row r="1565" spans="1:2">
      <c r="A1565" s="24"/>
      <c r="B1565" s="24"/>
    </row>
    <row r="1566" spans="1:2">
      <c r="A1566" s="24"/>
      <c r="B1566" s="24"/>
    </row>
    <row r="1567" spans="1:2">
      <c r="A1567" s="24"/>
      <c r="B1567" s="24"/>
    </row>
    <row r="1568" spans="1:2">
      <c r="A1568" s="24"/>
      <c r="B1568" s="24"/>
    </row>
    <row r="1569" spans="1:2">
      <c r="A1569" s="24"/>
      <c r="B1569" s="24"/>
    </row>
    <row r="1570" spans="1:2">
      <c r="A1570" s="24"/>
      <c r="B1570" s="24"/>
    </row>
    <row r="1571" spans="1:2">
      <c r="A1571" s="24"/>
      <c r="B1571" s="24"/>
    </row>
    <row r="1572" spans="1:2">
      <c r="A1572" s="24"/>
      <c r="B1572" s="24"/>
    </row>
    <row r="1573" spans="1:2">
      <c r="A1573" s="24"/>
      <c r="B1573" s="24"/>
    </row>
    <row r="1574" spans="1:2">
      <c r="A1574" s="24"/>
      <c r="B1574" s="24"/>
    </row>
    <row r="1575" spans="1:2">
      <c r="A1575" s="24"/>
      <c r="B1575" s="24"/>
    </row>
    <row r="1576" spans="1:2">
      <c r="A1576" s="24"/>
      <c r="B1576" s="24"/>
    </row>
    <row r="1577" spans="1:2">
      <c r="A1577" s="24"/>
      <c r="B1577" s="24"/>
    </row>
    <row r="1578" spans="1:2">
      <c r="A1578" s="24"/>
      <c r="B1578" s="24"/>
    </row>
    <row r="1579" spans="1:2">
      <c r="A1579" s="24"/>
      <c r="B1579" s="24"/>
    </row>
    <row r="1580" spans="1:2">
      <c r="A1580" s="24"/>
      <c r="B1580" s="24"/>
    </row>
    <row r="1581" spans="1:2">
      <c r="A1581" s="24"/>
      <c r="B1581" s="24"/>
    </row>
    <row r="1582" spans="1:2">
      <c r="A1582" s="24"/>
      <c r="B1582" s="24"/>
    </row>
    <row r="1583" spans="1:2">
      <c r="A1583" s="24"/>
      <c r="B1583" s="24"/>
    </row>
    <row r="1584" spans="1:2">
      <c r="A1584" s="24"/>
      <c r="B1584" s="24"/>
    </row>
    <row r="1585" spans="1:2">
      <c r="A1585" s="24"/>
      <c r="B1585" s="24"/>
    </row>
    <row r="1586" spans="1:2">
      <c r="A1586" s="24"/>
      <c r="B1586" s="24"/>
    </row>
    <row r="1587" spans="1:2">
      <c r="A1587" s="24"/>
      <c r="B1587" s="24"/>
    </row>
    <row r="1588" spans="1:2">
      <c r="A1588" s="24"/>
      <c r="B1588" s="24"/>
    </row>
    <row r="1589" spans="1:2">
      <c r="A1589" s="24"/>
      <c r="B1589" s="24"/>
    </row>
    <row r="1590" spans="1:2">
      <c r="A1590" s="24"/>
      <c r="B1590" s="24"/>
    </row>
    <row r="1591" spans="1:2">
      <c r="A1591" s="24"/>
      <c r="B1591" s="24"/>
    </row>
    <row r="1592" spans="1:2">
      <c r="A1592" s="24"/>
      <c r="B1592" s="24"/>
    </row>
    <row r="1593" spans="1:2">
      <c r="A1593" s="24"/>
      <c r="B1593" s="24"/>
    </row>
    <row r="1594" spans="1:2">
      <c r="A1594" s="24"/>
      <c r="B1594" s="24"/>
    </row>
    <row r="1595" spans="1:2">
      <c r="A1595" s="24"/>
      <c r="B1595" s="24"/>
    </row>
    <row r="1596" spans="1:2">
      <c r="A1596" s="24"/>
      <c r="B1596" s="24"/>
    </row>
    <row r="1597" spans="1:2">
      <c r="A1597" s="24"/>
      <c r="B1597" s="24"/>
    </row>
    <row r="1598" spans="1:2">
      <c r="A1598" s="24"/>
      <c r="B1598" s="24"/>
    </row>
    <row r="1599" spans="1:2">
      <c r="A1599" s="24"/>
      <c r="B1599" s="24"/>
    </row>
    <row r="1600" spans="1:2">
      <c r="A1600" s="24"/>
      <c r="B1600" s="24"/>
    </row>
    <row r="1601" spans="1:2">
      <c r="A1601" s="24"/>
      <c r="B1601" s="24"/>
    </row>
    <row r="1602" spans="1:2">
      <c r="A1602" s="24"/>
      <c r="B1602" s="24"/>
    </row>
    <row r="1603" spans="1:2">
      <c r="A1603" s="24"/>
      <c r="B1603" s="24"/>
    </row>
    <row r="1604" spans="1:2">
      <c r="A1604" s="24"/>
      <c r="B1604" s="24"/>
    </row>
    <row r="1605" spans="1:2">
      <c r="A1605" s="24"/>
      <c r="B1605" s="24"/>
    </row>
    <row r="1606" spans="1:2">
      <c r="A1606" s="24"/>
      <c r="B1606" s="24"/>
    </row>
    <row r="1607" spans="1:2">
      <c r="A1607" s="24"/>
      <c r="B1607" s="24"/>
    </row>
    <row r="1608" spans="1:2">
      <c r="A1608" s="24"/>
      <c r="B1608" s="24"/>
    </row>
    <row r="1609" spans="1:2">
      <c r="A1609" s="24"/>
      <c r="B1609" s="24"/>
    </row>
    <row r="1610" spans="1:2">
      <c r="A1610" s="24"/>
      <c r="B1610" s="24"/>
    </row>
    <row r="1611" spans="1:2">
      <c r="A1611" s="24"/>
      <c r="B1611" s="24"/>
    </row>
    <row r="1612" spans="1:2">
      <c r="A1612" s="24"/>
      <c r="B1612" s="24"/>
    </row>
    <row r="1613" spans="1:2">
      <c r="A1613" s="24"/>
      <c r="B1613" s="24"/>
    </row>
    <row r="1614" spans="1:2">
      <c r="A1614" s="24"/>
      <c r="B1614" s="24"/>
    </row>
    <row r="1615" spans="1:2">
      <c r="A1615" s="24"/>
      <c r="B1615" s="24"/>
    </row>
    <row r="1616" spans="1:2">
      <c r="A1616" s="24"/>
      <c r="B1616" s="24"/>
    </row>
    <row r="1617" spans="1:2">
      <c r="A1617" s="24"/>
      <c r="B1617" s="24"/>
    </row>
    <row r="1618" spans="1:2">
      <c r="A1618" s="24"/>
      <c r="B1618" s="24"/>
    </row>
    <row r="1619" spans="1:2">
      <c r="A1619" s="24"/>
      <c r="B1619" s="24"/>
    </row>
    <row r="1620" spans="1:2">
      <c r="A1620" s="24"/>
      <c r="B1620" s="24"/>
    </row>
    <row r="1621" spans="1:2">
      <c r="A1621" s="24"/>
      <c r="B1621" s="24"/>
    </row>
    <row r="1622" spans="1:2">
      <c r="A1622" s="24"/>
      <c r="B1622" s="24"/>
    </row>
    <row r="1623" spans="1:2">
      <c r="A1623" s="24"/>
      <c r="B1623" s="24"/>
    </row>
    <row r="1624" spans="1:2">
      <c r="A1624" s="24"/>
      <c r="B1624" s="24"/>
    </row>
    <row r="1625" spans="1:2">
      <c r="A1625" s="24"/>
      <c r="B1625" s="24"/>
    </row>
    <row r="1626" spans="1:2">
      <c r="A1626" s="24"/>
      <c r="B1626" s="24"/>
    </row>
    <row r="1627" spans="1:2">
      <c r="A1627" s="24"/>
      <c r="B1627" s="24"/>
    </row>
    <row r="1628" spans="1:2">
      <c r="A1628" s="24"/>
      <c r="B1628" s="24"/>
    </row>
    <row r="1629" spans="1:2">
      <c r="A1629" s="24"/>
      <c r="B1629" s="24"/>
    </row>
    <row r="1630" spans="1:2">
      <c r="A1630" s="24"/>
      <c r="B1630" s="24"/>
    </row>
    <row r="1631" spans="1:2">
      <c r="A1631" s="24"/>
      <c r="B1631" s="24"/>
    </row>
    <row r="1632" spans="1:2">
      <c r="A1632" s="24"/>
      <c r="B1632" s="24"/>
    </row>
    <row r="1633" spans="1:2">
      <c r="A1633" s="24"/>
      <c r="B1633" s="24"/>
    </row>
    <row r="1634" spans="1:2">
      <c r="A1634" s="24"/>
      <c r="B1634" s="24"/>
    </row>
    <row r="1635" spans="1:2">
      <c r="A1635" s="24"/>
      <c r="B1635" s="24"/>
    </row>
    <row r="1636" spans="1:2">
      <c r="A1636" s="24"/>
      <c r="B1636" s="24"/>
    </row>
    <row r="1637" spans="1:2">
      <c r="A1637" s="24"/>
      <c r="B1637" s="24"/>
    </row>
    <row r="1638" spans="1:2">
      <c r="A1638" s="24"/>
      <c r="B1638" s="24"/>
    </row>
    <row r="1639" spans="1:2">
      <c r="A1639" s="24"/>
      <c r="B1639" s="24"/>
    </row>
    <row r="1640" spans="1:2">
      <c r="A1640" s="24"/>
      <c r="B1640" s="24"/>
    </row>
    <row r="1641" spans="1:2">
      <c r="A1641" s="24"/>
      <c r="B1641" s="24"/>
    </row>
    <row r="1642" spans="1:2">
      <c r="A1642" s="24"/>
      <c r="B1642" s="24"/>
    </row>
    <row r="1643" spans="1:2">
      <c r="A1643" s="24"/>
      <c r="B1643" s="24"/>
    </row>
    <row r="1644" spans="1:2">
      <c r="A1644" s="24"/>
      <c r="B1644" s="24"/>
    </row>
    <row r="1645" spans="1:2">
      <c r="A1645" s="24"/>
      <c r="B1645" s="24"/>
    </row>
    <row r="1646" spans="1:2">
      <c r="A1646" s="24"/>
      <c r="B1646" s="24"/>
    </row>
    <row r="1647" spans="1:2">
      <c r="A1647" s="24"/>
      <c r="B1647" s="24"/>
    </row>
    <row r="1648" spans="1:2">
      <c r="A1648" s="24"/>
      <c r="B1648" s="24"/>
    </row>
    <row r="1649" spans="1:2">
      <c r="A1649" s="24"/>
      <c r="B1649" s="24"/>
    </row>
    <row r="1650" spans="1:2">
      <c r="A1650" s="24"/>
      <c r="B1650" s="24"/>
    </row>
    <row r="1651" spans="1:2">
      <c r="A1651" s="24"/>
      <c r="B1651" s="24"/>
    </row>
    <row r="1652" spans="1:2">
      <c r="A1652" s="24"/>
      <c r="B1652" s="24"/>
    </row>
    <row r="1653" spans="1:2">
      <c r="A1653" s="24"/>
      <c r="B1653" s="24"/>
    </row>
    <row r="1654" spans="1:2">
      <c r="A1654" s="24"/>
      <c r="B1654" s="24"/>
    </row>
    <row r="1655" spans="1:2">
      <c r="A1655" s="24"/>
      <c r="B1655" s="24"/>
    </row>
    <row r="1656" spans="1:2">
      <c r="A1656" s="24"/>
      <c r="B1656" s="24"/>
    </row>
    <row r="1657" spans="1:2">
      <c r="A1657" s="24"/>
      <c r="B1657" s="24"/>
    </row>
    <row r="1658" spans="1:2">
      <c r="A1658" s="24"/>
      <c r="B1658" s="24"/>
    </row>
    <row r="1659" spans="1:2">
      <c r="A1659" s="24"/>
      <c r="B1659" s="24"/>
    </row>
    <row r="1660" spans="1:2">
      <c r="A1660" s="24"/>
      <c r="B1660" s="24"/>
    </row>
    <row r="1661" spans="1:2">
      <c r="A1661" s="24"/>
      <c r="B1661" s="24"/>
    </row>
    <row r="1662" spans="1:2">
      <c r="A1662" s="24"/>
      <c r="B1662" s="24"/>
    </row>
    <row r="1663" spans="1:2">
      <c r="A1663" s="24"/>
      <c r="B1663" s="24"/>
    </row>
    <row r="1664" spans="1:2">
      <c r="A1664" s="24"/>
      <c r="B1664" s="24"/>
    </row>
    <row r="1665" spans="1:2">
      <c r="A1665" s="24"/>
      <c r="B1665" s="24"/>
    </row>
    <row r="1666" spans="1:2">
      <c r="A1666" s="24"/>
      <c r="B1666" s="24"/>
    </row>
    <row r="1667" spans="1:2">
      <c r="A1667" s="24"/>
      <c r="B1667" s="24"/>
    </row>
    <row r="1668" spans="1:2">
      <c r="A1668" s="24"/>
      <c r="B1668" s="24"/>
    </row>
    <row r="1669" spans="1:2">
      <c r="A1669" s="24"/>
      <c r="B1669" s="24"/>
    </row>
    <row r="1670" spans="1:2">
      <c r="A1670" s="24"/>
      <c r="B1670" s="24"/>
    </row>
    <row r="1671" spans="1:2">
      <c r="A1671" s="24"/>
      <c r="B1671" s="24"/>
    </row>
    <row r="1672" spans="1:2">
      <c r="A1672" s="24"/>
      <c r="B1672" s="24"/>
    </row>
    <row r="1673" spans="1:2">
      <c r="A1673" s="24"/>
      <c r="B1673" s="24"/>
    </row>
    <row r="1674" spans="1:2">
      <c r="A1674" s="24"/>
      <c r="B1674" s="24"/>
    </row>
    <row r="1675" spans="1:2">
      <c r="A1675" s="24"/>
      <c r="B1675" s="24"/>
    </row>
    <row r="1676" spans="1:2">
      <c r="A1676" s="24"/>
      <c r="B1676" s="24"/>
    </row>
    <row r="1677" spans="1:2">
      <c r="A1677" s="24"/>
      <c r="B1677" s="24"/>
    </row>
    <row r="1678" spans="1:2">
      <c r="A1678" s="24"/>
      <c r="B1678" s="24"/>
    </row>
    <row r="1679" spans="1:2">
      <c r="A1679" s="24"/>
      <c r="B1679" s="24"/>
    </row>
    <row r="1680" spans="1:2">
      <c r="A1680" s="24"/>
      <c r="B1680" s="24"/>
    </row>
    <row r="1681" spans="1:2">
      <c r="A1681" s="24"/>
      <c r="B1681" s="24"/>
    </row>
    <row r="1682" spans="1:2">
      <c r="A1682" s="24"/>
      <c r="B1682" s="24"/>
    </row>
    <row r="1683" spans="1:2">
      <c r="A1683" s="24"/>
      <c r="B1683" s="24"/>
    </row>
    <row r="1684" spans="1:2">
      <c r="A1684" s="24"/>
      <c r="B1684" s="24"/>
    </row>
    <row r="1685" spans="1:2">
      <c r="A1685" s="24"/>
      <c r="B1685" s="24"/>
    </row>
    <row r="1686" spans="1:2">
      <c r="A1686" s="24"/>
      <c r="B1686" s="24"/>
    </row>
    <row r="1687" spans="1:2">
      <c r="A1687" s="24"/>
      <c r="B1687" s="24"/>
    </row>
    <row r="1688" spans="1:2">
      <c r="A1688" s="24"/>
      <c r="B1688" s="24"/>
    </row>
    <row r="1689" spans="1:2">
      <c r="A1689" s="24"/>
      <c r="B1689" s="24"/>
    </row>
    <row r="1690" spans="1:2">
      <c r="A1690" s="24"/>
      <c r="B1690" s="24"/>
    </row>
    <row r="1691" spans="1:2">
      <c r="A1691" s="24"/>
      <c r="B1691" s="24"/>
    </row>
    <row r="1692" spans="1:2">
      <c r="A1692" s="24"/>
      <c r="B1692" s="24"/>
    </row>
    <row r="1693" spans="1:2">
      <c r="A1693" s="24"/>
      <c r="B1693" s="24"/>
    </row>
    <row r="1694" spans="1:2">
      <c r="A1694" s="24"/>
      <c r="B1694" s="24"/>
    </row>
    <row r="1695" spans="1:2">
      <c r="A1695" s="24"/>
      <c r="B1695" s="24"/>
    </row>
    <row r="1696" spans="1:2">
      <c r="A1696" s="24"/>
      <c r="B1696" s="24"/>
    </row>
    <row r="1697" spans="1:2">
      <c r="A1697" s="24"/>
      <c r="B1697" s="24"/>
    </row>
    <row r="1698" spans="1:2">
      <c r="A1698" s="24"/>
      <c r="B1698" s="24"/>
    </row>
    <row r="1699" spans="1:2">
      <c r="A1699" s="24"/>
      <c r="B1699" s="24"/>
    </row>
  </sheetData>
  <autoFilter ref="A2:J1699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95"/>
  <sheetViews>
    <sheetView zoomScale="80" zoomScaleNormal="80" workbookViewId="0">
      <pane xSplit="4" ySplit="5" topLeftCell="E812" activePane="bottomRight" state="frozen"/>
      <selection pane="topRight" activeCell="E1" sqref="E1"/>
      <selection pane="bottomLeft" activeCell="A6" sqref="A6"/>
      <selection pane="bottomRight" activeCell="B5" sqref="B5:I834"/>
    </sheetView>
  </sheetViews>
  <sheetFormatPr defaultRowHeight="16.5"/>
  <cols>
    <col min="1" max="1" width="15.75" style="3" customWidth="1"/>
    <col min="2" max="2" width="15.75" style="5" bestFit="1" customWidth="1"/>
    <col min="3" max="3" width="7.75" style="3" customWidth="1"/>
    <col min="4" max="4" width="9.375" style="3" customWidth="1"/>
    <col min="5" max="7" width="12.375" style="3" customWidth="1"/>
    <col min="8" max="8" width="9.375" style="3" customWidth="1"/>
    <col min="9" max="9" width="11.125" style="3" customWidth="1"/>
  </cols>
  <sheetData>
    <row r="1" spans="1:9">
      <c r="A1"/>
      <c r="B1"/>
      <c r="G1" s="4"/>
    </row>
    <row r="2" spans="1:9">
      <c r="G2" s="4"/>
    </row>
    <row r="3" spans="1:9">
      <c r="A3" s="9"/>
      <c r="B3" s="12"/>
      <c r="C3" s="12"/>
      <c r="D3" s="8" t="s">
        <v>17</v>
      </c>
      <c r="E3" s="12"/>
      <c r="F3" s="14"/>
      <c r="G3" s="12"/>
      <c r="H3" s="12"/>
      <c r="I3" s="15"/>
    </row>
    <row r="4" spans="1:9">
      <c r="A4" s="8" t="s">
        <v>42</v>
      </c>
      <c r="B4" s="8" t="s">
        <v>0</v>
      </c>
      <c r="C4" s="8" t="s">
        <v>13</v>
      </c>
      <c r="D4" s="9" t="s">
        <v>776</v>
      </c>
      <c r="E4" s="10" t="s">
        <v>778</v>
      </c>
      <c r="F4" s="10" t="s">
        <v>777</v>
      </c>
      <c r="G4" s="10" t="s">
        <v>779</v>
      </c>
      <c r="H4" s="10" t="s">
        <v>40</v>
      </c>
      <c r="I4" s="11" t="s">
        <v>41</v>
      </c>
    </row>
    <row r="5" spans="1:9">
      <c r="A5" s="9">
        <v>1</v>
      </c>
      <c r="B5" s="9" t="s">
        <v>813</v>
      </c>
      <c r="C5" s="9" t="s">
        <v>15</v>
      </c>
      <c r="D5" s="21">
        <v>792</v>
      </c>
      <c r="E5" s="18">
        <v>34056000</v>
      </c>
      <c r="F5" s="18">
        <v>8990261.2799999993</v>
      </c>
      <c r="G5" s="18">
        <v>3.4437263874493311</v>
      </c>
      <c r="H5" s="18">
        <v>792</v>
      </c>
      <c r="I5" s="16">
        <v>0</v>
      </c>
    </row>
    <row r="6" spans="1:9">
      <c r="A6" s="9">
        <v>2</v>
      </c>
      <c r="B6" s="9" t="s">
        <v>814</v>
      </c>
      <c r="C6" s="9" t="s">
        <v>15</v>
      </c>
      <c r="D6" s="21">
        <v>792</v>
      </c>
      <c r="E6" s="18">
        <v>34056000</v>
      </c>
      <c r="F6" s="18">
        <v>8990261.2799999993</v>
      </c>
      <c r="G6" s="18">
        <v>3.4437263874493311</v>
      </c>
      <c r="H6" s="18">
        <v>792</v>
      </c>
      <c r="I6" s="16">
        <v>0</v>
      </c>
    </row>
    <row r="7" spans="1:9">
      <c r="A7" s="9">
        <v>3</v>
      </c>
      <c r="B7" s="9" t="s">
        <v>815</v>
      </c>
      <c r="C7" s="9" t="s">
        <v>15</v>
      </c>
      <c r="D7" s="21">
        <v>792</v>
      </c>
      <c r="E7" s="18">
        <v>34056000</v>
      </c>
      <c r="F7" s="18">
        <v>8990261.2799999993</v>
      </c>
      <c r="G7" s="18">
        <v>3.4437263874493311</v>
      </c>
      <c r="H7" s="18">
        <v>792</v>
      </c>
      <c r="I7" s="16">
        <v>0</v>
      </c>
    </row>
    <row r="8" spans="1:9">
      <c r="A8" s="9">
        <v>4</v>
      </c>
      <c r="B8" s="9" t="s">
        <v>816</v>
      </c>
      <c r="C8" s="9" t="s">
        <v>15</v>
      </c>
      <c r="D8" s="21">
        <v>600</v>
      </c>
      <c r="E8" s="18">
        <v>28200000</v>
      </c>
      <c r="F8" s="18">
        <v>8180449.2000000002</v>
      </c>
      <c r="G8" s="18">
        <v>3.1338576904020909</v>
      </c>
      <c r="H8" s="18">
        <v>600</v>
      </c>
      <c r="I8" s="16">
        <v>0</v>
      </c>
    </row>
    <row r="9" spans="1:9">
      <c r="A9" s="9">
        <v>5</v>
      </c>
      <c r="B9" s="9" t="s">
        <v>817</v>
      </c>
      <c r="C9" s="9" t="s">
        <v>15</v>
      </c>
      <c r="D9" s="21">
        <v>996</v>
      </c>
      <c r="E9" s="18">
        <v>44820000</v>
      </c>
      <c r="F9" s="18">
        <v>12337135.272</v>
      </c>
      <c r="G9" s="18">
        <v>3.3026674059357388</v>
      </c>
      <c r="H9" s="18">
        <v>996</v>
      </c>
      <c r="I9" s="16">
        <v>0</v>
      </c>
    </row>
    <row r="10" spans="1:9">
      <c r="A10" s="9">
        <v>6</v>
      </c>
      <c r="B10" s="9" t="s">
        <v>818</v>
      </c>
      <c r="C10" s="9" t="s">
        <v>15</v>
      </c>
      <c r="D10" s="21">
        <v>600</v>
      </c>
      <c r="E10" s="18">
        <v>27000000</v>
      </c>
      <c r="F10" s="18">
        <v>7432009.2000000002</v>
      </c>
      <c r="G10" s="18">
        <v>3.3026674059357384</v>
      </c>
      <c r="H10" s="18">
        <v>600</v>
      </c>
      <c r="I10" s="16">
        <v>0</v>
      </c>
    </row>
    <row r="11" spans="1:9">
      <c r="A11" s="9">
        <v>7</v>
      </c>
      <c r="B11" s="9" t="s">
        <v>819</v>
      </c>
      <c r="C11" s="9" t="s">
        <v>15</v>
      </c>
      <c r="D11" s="21">
        <v>600</v>
      </c>
      <c r="E11" s="18">
        <v>27000000</v>
      </c>
      <c r="F11" s="18">
        <v>7432009.2000000002</v>
      </c>
      <c r="G11" s="18">
        <v>3.3026674059357384</v>
      </c>
      <c r="H11" s="18">
        <v>600</v>
      </c>
      <c r="I11" s="16">
        <v>0</v>
      </c>
    </row>
    <row r="12" spans="1:9">
      <c r="A12" s="9">
        <v>8</v>
      </c>
      <c r="B12" s="9" t="s">
        <v>820</v>
      </c>
      <c r="C12" s="9" t="s">
        <v>15</v>
      </c>
      <c r="D12" s="21">
        <v>600</v>
      </c>
      <c r="E12" s="18">
        <v>27000000</v>
      </c>
      <c r="F12" s="18">
        <v>7432009.2000000002</v>
      </c>
      <c r="G12" s="18">
        <v>3.3026674059357384</v>
      </c>
      <c r="H12" s="18">
        <v>600</v>
      </c>
      <c r="I12" s="16">
        <v>0</v>
      </c>
    </row>
    <row r="13" spans="1:9">
      <c r="A13" s="9">
        <v>9</v>
      </c>
      <c r="B13" s="9" t="s">
        <v>821</v>
      </c>
      <c r="C13" s="9" t="s">
        <v>15</v>
      </c>
      <c r="D13" s="21">
        <v>792</v>
      </c>
      <c r="E13" s="18">
        <v>35640000</v>
      </c>
      <c r="F13" s="18">
        <v>9810252.1439999994</v>
      </c>
      <c r="G13" s="18">
        <v>3.3026674059357388</v>
      </c>
      <c r="H13" s="18">
        <v>792</v>
      </c>
      <c r="I13" s="16">
        <v>0</v>
      </c>
    </row>
    <row r="14" spans="1:9">
      <c r="A14" s="9">
        <v>10</v>
      </c>
      <c r="B14" s="9" t="s">
        <v>822</v>
      </c>
      <c r="C14" s="9" t="s">
        <v>15</v>
      </c>
      <c r="D14" s="21">
        <v>792</v>
      </c>
      <c r="E14" s="18">
        <v>35640000</v>
      </c>
      <c r="F14" s="18">
        <v>9810252.1439999994</v>
      </c>
      <c r="G14" s="18">
        <v>3.3026674059357388</v>
      </c>
      <c r="H14" s="18">
        <v>792</v>
      </c>
      <c r="I14" s="16">
        <v>0</v>
      </c>
    </row>
    <row r="15" spans="1:9">
      <c r="A15" s="9">
        <v>11</v>
      </c>
      <c r="B15" s="9" t="s">
        <v>823</v>
      </c>
      <c r="C15" s="9" t="s">
        <v>15</v>
      </c>
      <c r="D15" s="21">
        <v>792</v>
      </c>
      <c r="E15" s="18">
        <v>35640000</v>
      </c>
      <c r="F15" s="18">
        <v>9810252.1440000013</v>
      </c>
      <c r="G15" s="18">
        <v>3.3026674059357384</v>
      </c>
      <c r="H15" s="18">
        <v>780</v>
      </c>
      <c r="I15" s="16">
        <v>0</v>
      </c>
    </row>
    <row r="16" spans="1:9">
      <c r="A16" s="9">
        <v>12</v>
      </c>
      <c r="B16" s="9" t="s">
        <v>824</v>
      </c>
      <c r="C16" s="9" t="s">
        <v>15</v>
      </c>
      <c r="D16" s="21">
        <v>792</v>
      </c>
      <c r="E16" s="18">
        <v>35640000</v>
      </c>
      <c r="F16" s="18">
        <v>9810252.1440000013</v>
      </c>
      <c r="G16" s="18">
        <v>3.3026674059357384</v>
      </c>
      <c r="H16" s="18">
        <v>792</v>
      </c>
      <c r="I16" s="16">
        <v>0</v>
      </c>
    </row>
    <row r="17" spans="1:9">
      <c r="A17" s="9">
        <v>13</v>
      </c>
      <c r="B17" s="9" t="s">
        <v>825</v>
      </c>
      <c r="C17" s="9" t="s">
        <v>15</v>
      </c>
      <c r="D17" s="21">
        <v>996</v>
      </c>
      <c r="E17" s="18">
        <v>46812000</v>
      </c>
      <c r="F17" s="18">
        <v>13219246.656000001</v>
      </c>
      <c r="G17" s="18">
        <v>3.2192729845953809</v>
      </c>
      <c r="H17" s="18">
        <v>996</v>
      </c>
      <c r="I17" s="16">
        <v>0</v>
      </c>
    </row>
    <row r="18" spans="1:9">
      <c r="A18" s="9">
        <v>14</v>
      </c>
      <c r="B18" s="9" t="s">
        <v>826</v>
      </c>
      <c r="C18" s="9" t="s">
        <v>15</v>
      </c>
      <c r="D18" s="21">
        <v>996</v>
      </c>
      <c r="E18" s="18">
        <v>46812000</v>
      </c>
      <c r="F18" s="18">
        <v>13219246.656000001</v>
      </c>
      <c r="G18" s="18">
        <v>3.2192729845953809</v>
      </c>
      <c r="H18" s="18">
        <v>996</v>
      </c>
      <c r="I18" s="16">
        <v>0</v>
      </c>
    </row>
    <row r="19" spans="1:9">
      <c r="A19" s="9">
        <v>15</v>
      </c>
      <c r="B19" s="9" t="s">
        <v>827</v>
      </c>
      <c r="C19" s="9" t="s">
        <v>15</v>
      </c>
      <c r="D19" s="21">
        <v>996</v>
      </c>
      <c r="E19" s="18">
        <v>42828000</v>
      </c>
      <c r="F19" s="18">
        <v>11492296.200000001</v>
      </c>
      <c r="G19" s="18">
        <v>3.387882175760963</v>
      </c>
      <c r="H19" s="18">
        <v>996</v>
      </c>
      <c r="I19" s="16">
        <v>0</v>
      </c>
    </row>
    <row r="20" spans="1:9">
      <c r="A20" s="9">
        <v>16</v>
      </c>
      <c r="B20" s="9" t="s">
        <v>828</v>
      </c>
      <c r="C20" s="9" t="s">
        <v>15</v>
      </c>
      <c r="D20" s="21">
        <v>996</v>
      </c>
      <c r="E20" s="18">
        <v>42828000</v>
      </c>
      <c r="F20" s="18">
        <v>11492296.200000001</v>
      </c>
      <c r="G20" s="18">
        <v>3.387882175760963</v>
      </c>
      <c r="H20" s="18">
        <v>996</v>
      </c>
      <c r="I20" s="16">
        <v>0</v>
      </c>
    </row>
    <row r="21" spans="1:9">
      <c r="A21" s="9">
        <v>17</v>
      </c>
      <c r="B21" s="9" t="s">
        <v>829</v>
      </c>
      <c r="C21" s="9" t="s">
        <v>15</v>
      </c>
      <c r="D21" s="21">
        <v>600</v>
      </c>
      <c r="E21" s="18">
        <v>27000000</v>
      </c>
      <c r="F21" s="18">
        <v>7432009.2000000002</v>
      </c>
      <c r="G21" s="18">
        <v>3.3026674059357384</v>
      </c>
      <c r="H21" s="18">
        <v>600</v>
      </c>
      <c r="I21" s="16">
        <v>0</v>
      </c>
    </row>
    <row r="22" spans="1:9">
      <c r="A22" s="9">
        <v>18</v>
      </c>
      <c r="B22" s="9" t="s">
        <v>830</v>
      </c>
      <c r="C22" s="9" t="s">
        <v>15</v>
      </c>
      <c r="D22" s="21">
        <v>600</v>
      </c>
      <c r="E22" s="18">
        <v>27000000</v>
      </c>
      <c r="F22" s="18">
        <v>7432009.2000000002</v>
      </c>
      <c r="G22" s="18">
        <v>3.3026674059357384</v>
      </c>
      <c r="H22" s="18">
        <v>600</v>
      </c>
      <c r="I22" s="16">
        <v>0</v>
      </c>
    </row>
    <row r="23" spans="1:9">
      <c r="A23" s="9">
        <v>20</v>
      </c>
      <c r="B23" s="9" t="s">
        <v>831</v>
      </c>
      <c r="C23" s="9" t="s">
        <v>15</v>
      </c>
      <c r="D23" s="21">
        <v>996</v>
      </c>
      <c r="E23" s="18">
        <v>42828000</v>
      </c>
      <c r="F23" s="18">
        <v>11492296.200000001</v>
      </c>
      <c r="G23" s="18">
        <v>3.387882175760963</v>
      </c>
      <c r="H23" s="18">
        <v>996</v>
      </c>
      <c r="I23" s="16">
        <v>0</v>
      </c>
    </row>
    <row r="24" spans="1:9">
      <c r="A24" s="9">
        <v>21</v>
      </c>
      <c r="B24" s="9" t="s">
        <v>832</v>
      </c>
      <c r="C24" s="9" t="s">
        <v>15</v>
      </c>
      <c r="D24" s="21">
        <v>996</v>
      </c>
      <c r="E24" s="18">
        <v>42828000</v>
      </c>
      <c r="F24" s="18">
        <v>11492296.200000001</v>
      </c>
      <c r="G24" s="18">
        <v>3.387882175760963</v>
      </c>
      <c r="H24" s="18">
        <v>996</v>
      </c>
      <c r="I24" s="16">
        <v>0</v>
      </c>
    </row>
    <row r="25" spans="1:9">
      <c r="A25" s="9">
        <v>22</v>
      </c>
      <c r="B25" s="9" t="s">
        <v>833</v>
      </c>
      <c r="C25" s="9" t="s">
        <v>15</v>
      </c>
      <c r="D25" s="21">
        <v>792</v>
      </c>
      <c r="E25" s="18">
        <v>34056000</v>
      </c>
      <c r="F25" s="18">
        <v>9138452.4000000004</v>
      </c>
      <c r="G25" s="18">
        <v>3.3878821757609634</v>
      </c>
      <c r="H25" s="18">
        <v>792</v>
      </c>
      <c r="I25" s="16">
        <v>0</v>
      </c>
    </row>
    <row r="26" spans="1:9">
      <c r="A26" s="9">
        <v>23</v>
      </c>
      <c r="B26" s="9" t="s">
        <v>834</v>
      </c>
      <c r="C26" s="9" t="s">
        <v>15</v>
      </c>
      <c r="D26" s="21">
        <v>792</v>
      </c>
      <c r="E26" s="18">
        <v>34056000</v>
      </c>
      <c r="F26" s="18">
        <v>9138452.4000000004</v>
      </c>
      <c r="G26" s="18">
        <v>3.3878821757609634</v>
      </c>
      <c r="H26" s="18">
        <v>792</v>
      </c>
      <c r="I26" s="16">
        <v>0</v>
      </c>
    </row>
    <row r="27" spans="1:9">
      <c r="A27" s="9">
        <v>25</v>
      </c>
      <c r="B27" s="9" t="s">
        <v>835</v>
      </c>
      <c r="C27" s="9" t="s">
        <v>15</v>
      </c>
      <c r="D27" s="21">
        <v>288</v>
      </c>
      <c r="E27" s="18">
        <v>14112000</v>
      </c>
      <c r="F27" s="18">
        <v>4849891.2</v>
      </c>
      <c r="G27" s="18">
        <v>2.6452327237961355</v>
      </c>
      <c r="H27" s="18">
        <v>288</v>
      </c>
      <c r="I27" s="16">
        <v>0</v>
      </c>
    </row>
    <row r="28" spans="1:9">
      <c r="A28" s="9">
        <v>26</v>
      </c>
      <c r="B28" s="9" t="s">
        <v>836</v>
      </c>
      <c r="C28" s="9" t="s">
        <v>15</v>
      </c>
      <c r="D28" s="21">
        <v>288</v>
      </c>
      <c r="E28" s="18">
        <v>14112000</v>
      </c>
      <c r="F28" s="18">
        <v>4526565.12</v>
      </c>
      <c r="G28" s="18">
        <v>2.8341779183530025</v>
      </c>
      <c r="H28" s="18">
        <v>288</v>
      </c>
      <c r="I28" s="16">
        <v>0</v>
      </c>
    </row>
    <row r="29" spans="1:9">
      <c r="A29" s="9">
        <v>27</v>
      </c>
      <c r="B29" s="9" t="s">
        <v>837</v>
      </c>
      <c r="C29" s="9" t="s">
        <v>15</v>
      </c>
      <c r="D29" s="21">
        <v>288</v>
      </c>
      <c r="E29" s="18">
        <v>14112000</v>
      </c>
      <c r="F29" s="18">
        <v>4526565.12</v>
      </c>
      <c r="G29" s="18">
        <v>2.8341779183530025</v>
      </c>
      <c r="H29" s="18">
        <v>288</v>
      </c>
      <c r="I29" s="16">
        <v>0</v>
      </c>
    </row>
    <row r="30" spans="1:9">
      <c r="A30" s="9">
        <v>28</v>
      </c>
      <c r="B30" s="9" t="s">
        <v>838</v>
      </c>
      <c r="C30" s="9" t="s">
        <v>15</v>
      </c>
      <c r="D30" s="21">
        <v>360</v>
      </c>
      <c r="E30" s="18">
        <v>17640000</v>
      </c>
      <c r="F30" s="18">
        <v>6466521.6000000006</v>
      </c>
      <c r="G30" s="18">
        <v>2.4799056785588767</v>
      </c>
      <c r="H30" s="18">
        <v>131</v>
      </c>
      <c r="I30" s="16">
        <v>0</v>
      </c>
    </row>
    <row r="31" spans="1:9">
      <c r="A31" s="9">
        <v>29</v>
      </c>
      <c r="B31" s="9" t="s">
        <v>839</v>
      </c>
      <c r="C31" s="9" t="s">
        <v>15</v>
      </c>
      <c r="D31" s="21">
        <v>360</v>
      </c>
      <c r="E31" s="18">
        <v>17640000</v>
      </c>
      <c r="F31" s="18">
        <v>6466521.6000000006</v>
      </c>
      <c r="G31" s="18">
        <v>2.4799056785588767</v>
      </c>
      <c r="H31" s="18">
        <v>0</v>
      </c>
      <c r="I31" s="16">
        <v>0</v>
      </c>
    </row>
    <row r="32" spans="1:9">
      <c r="A32" s="9">
        <v>30</v>
      </c>
      <c r="B32" s="9" t="s">
        <v>840</v>
      </c>
      <c r="C32" s="9" t="s">
        <v>15</v>
      </c>
      <c r="D32" s="21">
        <v>360</v>
      </c>
      <c r="E32" s="18">
        <v>17640000</v>
      </c>
      <c r="F32" s="18">
        <v>6466521.6000000006</v>
      </c>
      <c r="G32" s="18">
        <v>2.4799056785588767</v>
      </c>
      <c r="H32" s="18">
        <v>0</v>
      </c>
      <c r="I32" s="16">
        <v>0</v>
      </c>
    </row>
    <row r="33" spans="1:9">
      <c r="A33" s="9">
        <v>31</v>
      </c>
      <c r="B33" s="9" t="s">
        <v>841</v>
      </c>
      <c r="C33" s="9" t="s">
        <v>15</v>
      </c>
      <c r="D33" s="21">
        <v>360</v>
      </c>
      <c r="E33" s="18">
        <v>17640000</v>
      </c>
      <c r="F33" s="18">
        <v>6466521.6000000006</v>
      </c>
      <c r="G33" s="18">
        <v>2.4799056785588767</v>
      </c>
      <c r="H33" s="18">
        <v>0</v>
      </c>
      <c r="I33" s="16">
        <v>0</v>
      </c>
    </row>
    <row r="34" spans="1:9">
      <c r="A34" s="9">
        <v>33</v>
      </c>
      <c r="B34" s="9" t="s">
        <v>842</v>
      </c>
      <c r="C34" s="9" t="s">
        <v>15</v>
      </c>
      <c r="D34" s="21">
        <v>360</v>
      </c>
      <c r="E34" s="18">
        <v>17640000</v>
      </c>
      <c r="F34" s="18">
        <v>3615912</v>
      </c>
      <c r="G34" s="18">
        <v>4.4349430064569146</v>
      </c>
      <c r="H34" s="18">
        <v>359</v>
      </c>
      <c r="I34" s="16">
        <v>0</v>
      </c>
    </row>
    <row r="35" spans="1:9">
      <c r="A35" s="9">
        <v>34</v>
      </c>
      <c r="B35" s="9" t="s">
        <v>843</v>
      </c>
      <c r="C35" s="9" t="s">
        <v>15</v>
      </c>
      <c r="D35" s="21">
        <v>360</v>
      </c>
      <c r="E35" s="18">
        <v>16200000</v>
      </c>
      <c r="F35" s="18">
        <v>3391380</v>
      </c>
      <c r="G35" s="18">
        <v>4.3425604701545462</v>
      </c>
      <c r="H35" s="18">
        <v>360</v>
      </c>
      <c r="I35" s="16">
        <v>0</v>
      </c>
    </row>
    <row r="36" spans="1:9">
      <c r="A36" s="9">
        <v>35</v>
      </c>
      <c r="B36" s="9" t="s">
        <v>844</v>
      </c>
      <c r="C36" s="9" t="s">
        <v>15</v>
      </c>
      <c r="D36" s="21">
        <v>360</v>
      </c>
      <c r="E36" s="18">
        <v>19800000</v>
      </c>
      <c r="F36" s="18">
        <v>4289508</v>
      </c>
      <c r="G36" s="18">
        <v>4.1962854481213228</v>
      </c>
      <c r="H36" s="18">
        <v>359</v>
      </c>
      <c r="I36" s="16">
        <v>0</v>
      </c>
    </row>
    <row r="37" spans="1:9">
      <c r="A37" s="9">
        <v>36</v>
      </c>
      <c r="B37" s="9" t="s">
        <v>845</v>
      </c>
      <c r="C37" s="9" t="s">
        <v>15</v>
      </c>
      <c r="D37" s="21">
        <v>288</v>
      </c>
      <c r="E37" s="18">
        <v>21600000</v>
      </c>
      <c r="F37" s="18">
        <v>4868611.2</v>
      </c>
      <c r="G37" s="18">
        <v>4.0332577052699614</v>
      </c>
      <c r="H37" s="18">
        <v>288</v>
      </c>
      <c r="I37" s="16">
        <v>0</v>
      </c>
    </row>
    <row r="38" spans="1:9">
      <c r="A38" s="9">
        <v>37</v>
      </c>
      <c r="B38" s="9" t="s">
        <v>846</v>
      </c>
      <c r="C38" s="9" t="s">
        <v>15</v>
      </c>
      <c r="D38" s="21">
        <v>360</v>
      </c>
      <c r="E38" s="18">
        <v>14040000</v>
      </c>
      <c r="F38" s="18">
        <v>2942316</v>
      </c>
      <c r="G38" s="18">
        <v>4.3379556660930927</v>
      </c>
      <c r="H38" s="18">
        <v>360</v>
      </c>
      <c r="I38" s="16">
        <v>0</v>
      </c>
    </row>
    <row r="39" spans="1:9">
      <c r="A39" s="9">
        <v>38</v>
      </c>
      <c r="B39" s="9" t="s">
        <v>847</v>
      </c>
      <c r="C39" s="9" t="s">
        <v>15</v>
      </c>
      <c r="D39" s="21">
        <v>360</v>
      </c>
      <c r="E39" s="18">
        <v>14040000</v>
      </c>
      <c r="F39" s="18">
        <v>2942316</v>
      </c>
      <c r="G39" s="18">
        <v>4.3379556660930927</v>
      </c>
      <c r="H39" s="18">
        <v>360</v>
      </c>
      <c r="I39" s="16">
        <v>0</v>
      </c>
    </row>
    <row r="40" spans="1:9">
      <c r="A40" s="9">
        <v>39</v>
      </c>
      <c r="B40" s="9" t="s">
        <v>848</v>
      </c>
      <c r="C40" s="9" t="s">
        <v>15</v>
      </c>
      <c r="D40" s="21">
        <v>288</v>
      </c>
      <c r="E40" s="18">
        <v>15840000</v>
      </c>
      <c r="F40" s="18">
        <v>3611232</v>
      </c>
      <c r="G40" s="18">
        <v>3.9875588164925433</v>
      </c>
      <c r="H40" s="18">
        <v>288</v>
      </c>
      <c r="I40" s="16">
        <v>0</v>
      </c>
    </row>
    <row r="41" spans="1:9">
      <c r="A41" s="9">
        <v>40</v>
      </c>
      <c r="B41" s="9" t="s">
        <v>849</v>
      </c>
      <c r="C41" s="9" t="s">
        <v>15</v>
      </c>
      <c r="D41" s="21">
        <v>240</v>
      </c>
      <c r="E41" s="18">
        <v>13200000</v>
      </c>
      <c r="F41" s="18">
        <v>3009360</v>
      </c>
      <c r="G41" s="18">
        <v>3.9875588164925428</v>
      </c>
      <c r="H41" s="18">
        <v>240</v>
      </c>
      <c r="I41" s="16">
        <v>0</v>
      </c>
    </row>
    <row r="42" spans="1:9">
      <c r="A42" s="9">
        <v>41</v>
      </c>
      <c r="B42" s="9" t="s">
        <v>850</v>
      </c>
      <c r="C42" s="9" t="s">
        <v>15</v>
      </c>
      <c r="D42" s="21">
        <v>288</v>
      </c>
      <c r="E42" s="18">
        <v>15840000</v>
      </c>
      <c r="F42" s="18">
        <v>3611232</v>
      </c>
      <c r="G42" s="18">
        <v>3.9875588164925433</v>
      </c>
      <c r="H42" s="18">
        <v>288</v>
      </c>
      <c r="I42" s="16">
        <v>0</v>
      </c>
    </row>
    <row r="43" spans="1:9">
      <c r="A43" s="9">
        <v>42</v>
      </c>
      <c r="B43" s="9" t="s">
        <v>851</v>
      </c>
      <c r="C43" s="9" t="s">
        <v>15</v>
      </c>
      <c r="D43" s="21">
        <v>288</v>
      </c>
      <c r="E43" s="18">
        <v>19872000</v>
      </c>
      <c r="F43" s="18">
        <v>4329734.4000000004</v>
      </c>
      <c r="G43" s="18">
        <v>4.1724163370054619</v>
      </c>
      <c r="H43" s="18">
        <v>288</v>
      </c>
      <c r="I43" s="16">
        <v>0</v>
      </c>
    </row>
    <row r="44" spans="1:9">
      <c r="A44" s="9">
        <v>43</v>
      </c>
      <c r="B44" s="9" t="s">
        <v>852</v>
      </c>
      <c r="C44" s="9" t="s">
        <v>15</v>
      </c>
      <c r="D44" s="21">
        <v>288</v>
      </c>
      <c r="E44" s="18">
        <v>19872000</v>
      </c>
      <c r="F44" s="18">
        <v>4329734.4000000004</v>
      </c>
      <c r="G44" s="18">
        <v>4.1724163370054619</v>
      </c>
      <c r="H44" s="18">
        <v>288</v>
      </c>
      <c r="I44" s="16">
        <v>0</v>
      </c>
    </row>
    <row r="45" spans="1:9">
      <c r="A45" s="9">
        <v>44</v>
      </c>
      <c r="B45" s="9" t="s">
        <v>853</v>
      </c>
      <c r="C45" s="9" t="s">
        <v>15</v>
      </c>
      <c r="D45" s="21">
        <v>240</v>
      </c>
      <c r="E45" s="18">
        <v>18960000</v>
      </c>
      <c r="F45" s="18">
        <v>4655928</v>
      </c>
      <c r="G45" s="18">
        <v>3.7020253827730225</v>
      </c>
      <c r="H45" s="18">
        <v>240</v>
      </c>
      <c r="I45" s="16">
        <v>0</v>
      </c>
    </row>
    <row r="46" spans="1:9">
      <c r="A46" s="9">
        <v>46</v>
      </c>
      <c r="B46" s="9" t="s">
        <v>854</v>
      </c>
      <c r="C46" s="9" t="s">
        <v>14</v>
      </c>
      <c r="D46" s="21">
        <v>3000</v>
      </c>
      <c r="E46" s="18">
        <v>159000000</v>
      </c>
      <c r="F46" s="18">
        <v>23261640.000000004</v>
      </c>
      <c r="G46" s="18">
        <v>6.2138978397677249</v>
      </c>
      <c r="H46" s="18">
        <v>3000</v>
      </c>
      <c r="I46" s="16">
        <v>0</v>
      </c>
    </row>
    <row r="47" spans="1:9">
      <c r="A47" s="9">
        <v>47</v>
      </c>
      <c r="B47" s="9" t="s">
        <v>855</v>
      </c>
      <c r="C47" s="9" t="s">
        <v>14</v>
      </c>
      <c r="D47" s="21">
        <v>1000</v>
      </c>
      <c r="E47" s="18">
        <v>35000000</v>
      </c>
      <c r="F47" s="18">
        <v>5009600</v>
      </c>
      <c r="G47" s="18">
        <v>6.3514415957724806</v>
      </c>
      <c r="H47" s="18">
        <v>999</v>
      </c>
      <c r="I47" s="16">
        <v>0</v>
      </c>
    </row>
    <row r="48" spans="1:9">
      <c r="A48" s="9">
        <v>49</v>
      </c>
      <c r="B48" s="9" t="s">
        <v>856</v>
      </c>
      <c r="C48" s="9" t="s">
        <v>14</v>
      </c>
      <c r="D48" s="21">
        <v>1500</v>
      </c>
      <c r="E48" s="18">
        <v>82500000</v>
      </c>
      <c r="F48" s="18">
        <v>9385500</v>
      </c>
      <c r="G48" s="18">
        <v>7.9910500239731501</v>
      </c>
      <c r="H48" s="18">
        <v>1507</v>
      </c>
      <c r="I48" s="16">
        <v>0</v>
      </c>
    </row>
    <row r="49" spans="1:9">
      <c r="A49" s="9">
        <v>50</v>
      </c>
      <c r="B49" s="9" t="s">
        <v>857</v>
      </c>
      <c r="C49" s="9" t="s">
        <v>14</v>
      </c>
      <c r="D49" s="21">
        <v>1500</v>
      </c>
      <c r="E49" s="18">
        <v>82500000</v>
      </c>
      <c r="F49" s="18">
        <v>9385500</v>
      </c>
      <c r="G49" s="18">
        <v>7.9910500239731501</v>
      </c>
      <c r="H49" s="18">
        <v>1502</v>
      </c>
      <c r="I49" s="16">
        <v>0</v>
      </c>
    </row>
    <row r="50" spans="1:9">
      <c r="A50" s="9">
        <v>51</v>
      </c>
      <c r="B50" s="9" t="s">
        <v>858</v>
      </c>
      <c r="C50" s="9" t="s">
        <v>14</v>
      </c>
      <c r="D50" s="21">
        <v>1500</v>
      </c>
      <c r="E50" s="18">
        <v>82500000</v>
      </c>
      <c r="F50" s="18">
        <v>9385500</v>
      </c>
      <c r="G50" s="18">
        <v>7.9910500239731501</v>
      </c>
      <c r="H50" s="18">
        <v>1504</v>
      </c>
      <c r="I50" s="16">
        <v>0</v>
      </c>
    </row>
    <row r="51" spans="1:9">
      <c r="A51" s="9">
        <v>53</v>
      </c>
      <c r="B51" s="9" t="s">
        <v>859</v>
      </c>
      <c r="C51" s="9" t="s">
        <v>14</v>
      </c>
      <c r="D51" s="21">
        <v>3000</v>
      </c>
      <c r="E51" s="18">
        <v>165000000</v>
      </c>
      <c r="F51" s="18">
        <v>23916750.000000004</v>
      </c>
      <c r="G51" s="18">
        <v>6.2717551506789153</v>
      </c>
      <c r="H51" s="18">
        <v>3000</v>
      </c>
      <c r="I51" s="16">
        <v>0</v>
      </c>
    </row>
    <row r="52" spans="1:9">
      <c r="A52" s="9">
        <v>55</v>
      </c>
      <c r="B52" s="9" t="s">
        <v>860</v>
      </c>
      <c r="C52" s="9" t="s">
        <v>14</v>
      </c>
      <c r="D52" s="21">
        <v>1500</v>
      </c>
      <c r="E52" s="18">
        <v>82500000</v>
      </c>
      <c r="F52" s="18">
        <v>6017520</v>
      </c>
      <c r="G52" s="18">
        <v>12.463606269692496</v>
      </c>
      <c r="H52" s="18">
        <v>1500</v>
      </c>
      <c r="I52" s="16">
        <v>0</v>
      </c>
    </row>
    <row r="53" spans="1:9">
      <c r="A53" s="9">
        <v>57</v>
      </c>
      <c r="B53" s="9" t="s">
        <v>861</v>
      </c>
      <c r="C53" s="9" t="s">
        <v>14</v>
      </c>
      <c r="D53" s="21">
        <v>1000</v>
      </c>
      <c r="E53" s="18">
        <v>49000000</v>
      </c>
      <c r="F53" s="18">
        <v>6822780.0000000009</v>
      </c>
      <c r="G53" s="18">
        <v>6.5289302227910815</v>
      </c>
      <c r="H53" s="18">
        <v>1000</v>
      </c>
      <c r="I53" s="16">
        <v>0</v>
      </c>
    </row>
    <row r="54" spans="1:9">
      <c r="A54" s="9">
        <v>58</v>
      </c>
      <c r="B54" s="9" t="s">
        <v>862</v>
      </c>
      <c r="C54" s="9" t="s">
        <v>14</v>
      </c>
      <c r="D54" s="21">
        <v>2000</v>
      </c>
      <c r="E54" s="18">
        <v>90000000</v>
      </c>
      <c r="F54" s="18">
        <v>13076080</v>
      </c>
      <c r="G54" s="18">
        <v>6.2570878901155247</v>
      </c>
      <c r="H54" s="18">
        <v>2000</v>
      </c>
      <c r="I54" s="16">
        <v>0</v>
      </c>
    </row>
    <row r="55" spans="1:9">
      <c r="A55" s="9">
        <v>59</v>
      </c>
      <c r="B55" s="9" t="s">
        <v>863</v>
      </c>
      <c r="C55" s="9" t="s">
        <v>14</v>
      </c>
      <c r="D55" s="21">
        <v>2000</v>
      </c>
      <c r="E55" s="18">
        <v>118000000</v>
      </c>
      <c r="F55" s="18">
        <v>16979480.000000004</v>
      </c>
      <c r="G55" s="18">
        <v>6.3177863675876544</v>
      </c>
      <c r="H55" s="18">
        <v>2000</v>
      </c>
      <c r="I55" s="16">
        <v>0</v>
      </c>
    </row>
    <row r="56" spans="1:9">
      <c r="A56" s="9">
        <v>60</v>
      </c>
      <c r="B56" s="9" t="s">
        <v>864</v>
      </c>
      <c r="C56" s="9" t="s">
        <v>14</v>
      </c>
      <c r="D56" s="21">
        <v>2000</v>
      </c>
      <c r="E56" s="18">
        <v>110000000</v>
      </c>
      <c r="F56" s="18">
        <v>16196000</v>
      </c>
      <c r="G56" s="18">
        <v>6.1743640405038285</v>
      </c>
      <c r="H56" s="18">
        <v>2000</v>
      </c>
      <c r="I56" s="16">
        <v>0</v>
      </c>
    </row>
    <row r="57" spans="1:9">
      <c r="A57" s="9">
        <v>62</v>
      </c>
      <c r="B57" s="9" t="s">
        <v>865</v>
      </c>
      <c r="C57" s="9" t="s">
        <v>14</v>
      </c>
      <c r="D57" s="21">
        <v>1500</v>
      </c>
      <c r="E57" s="18">
        <v>82500000</v>
      </c>
      <c r="F57" s="18">
        <v>13484145.000000004</v>
      </c>
      <c r="G57" s="18">
        <v>5.5620879188113133</v>
      </c>
      <c r="H57" s="18">
        <v>1500</v>
      </c>
      <c r="I57" s="16">
        <v>0</v>
      </c>
    </row>
    <row r="58" spans="1:9">
      <c r="A58" s="9">
        <v>63</v>
      </c>
      <c r="B58" s="9" t="s">
        <v>866</v>
      </c>
      <c r="C58" s="9" t="s">
        <v>14</v>
      </c>
      <c r="D58" s="21">
        <v>1500</v>
      </c>
      <c r="E58" s="18">
        <v>82500000</v>
      </c>
      <c r="F58" s="18">
        <v>13203480</v>
      </c>
      <c r="G58" s="18">
        <v>5.6803206427396402</v>
      </c>
      <c r="H58" s="18">
        <v>1498</v>
      </c>
      <c r="I58" s="16">
        <v>0</v>
      </c>
    </row>
    <row r="59" spans="1:9">
      <c r="A59" s="9">
        <v>64</v>
      </c>
      <c r="B59" s="9" t="s">
        <v>867</v>
      </c>
      <c r="C59" s="9" t="s">
        <v>14</v>
      </c>
      <c r="D59" s="21">
        <v>1500</v>
      </c>
      <c r="E59" s="18">
        <v>82500000</v>
      </c>
      <c r="F59" s="18">
        <v>15074579.999999998</v>
      </c>
      <c r="G59" s="18">
        <v>4.9752629924017784</v>
      </c>
      <c r="H59" s="18">
        <v>1491</v>
      </c>
      <c r="I59" s="16">
        <v>0</v>
      </c>
    </row>
    <row r="60" spans="1:9">
      <c r="A60" s="9">
        <v>65</v>
      </c>
      <c r="B60" s="9" t="s">
        <v>868</v>
      </c>
      <c r="C60" s="9" t="s">
        <v>14</v>
      </c>
      <c r="D60" s="21">
        <v>1500</v>
      </c>
      <c r="E60" s="18">
        <v>82500000</v>
      </c>
      <c r="F60" s="18">
        <v>15074579.999999998</v>
      </c>
      <c r="G60" s="18">
        <v>4.9752629924017784</v>
      </c>
      <c r="H60" s="18">
        <v>1492</v>
      </c>
      <c r="I60" s="16">
        <v>0</v>
      </c>
    </row>
    <row r="61" spans="1:9">
      <c r="A61" s="9">
        <v>67</v>
      </c>
      <c r="B61" s="9" t="s">
        <v>869</v>
      </c>
      <c r="C61" s="9" t="s">
        <v>14</v>
      </c>
      <c r="D61" s="21">
        <v>2500</v>
      </c>
      <c r="E61" s="18">
        <v>137500000</v>
      </c>
      <c r="F61" s="18">
        <v>11699575</v>
      </c>
      <c r="G61" s="18">
        <v>10.684148783182293</v>
      </c>
      <c r="H61" s="18">
        <v>2498</v>
      </c>
      <c r="I61" s="16">
        <v>0</v>
      </c>
    </row>
    <row r="62" spans="1:9">
      <c r="A62" s="9">
        <v>68</v>
      </c>
      <c r="B62" s="9" t="s">
        <v>870</v>
      </c>
      <c r="C62" s="9" t="s">
        <v>14</v>
      </c>
      <c r="D62" s="21">
        <v>1500</v>
      </c>
      <c r="E62" s="18">
        <v>88500000</v>
      </c>
      <c r="F62" s="18">
        <v>8741295.0000000019</v>
      </c>
      <c r="G62" s="18">
        <v>9.2039618219663595</v>
      </c>
      <c r="H62" s="18">
        <v>1498</v>
      </c>
      <c r="I62" s="16">
        <v>0</v>
      </c>
    </row>
    <row r="63" spans="1:9">
      <c r="A63" s="9">
        <v>70</v>
      </c>
      <c r="B63" s="9" t="s">
        <v>871</v>
      </c>
      <c r="C63" s="9" t="s">
        <v>14</v>
      </c>
      <c r="D63" s="21">
        <v>1500</v>
      </c>
      <c r="E63" s="18">
        <v>73500000</v>
      </c>
      <c r="F63" s="18">
        <v>12422160</v>
      </c>
      <c r="G63" s="18">
        <v>5.3789503450431981</v>
      </c>
      <c r="H63" s="18">
        <v>1496</v>
      </c>
      <c r="I63" s="16">
        <v>0</v>
      </c>
    </row>
    <row r="64" spans="1:9">
      <c r="A64" s="9">
        <v>71</v>
      </c>
      <c r="B64" s="9" t="s">
        <v>872</v>
      </c>
      <c r="C64" s="9" t="s">
        <v>14</v>
      </c>
      <c r="D64" s="21">
        <v>1500</v>
      </c>
      <c r="E64" s="18">
        <v>73500000</v>
      </c>
      <c r="F64" s="18">
        <v>12548160</v>
      </c>
      <c r="G64" s="18">
        <v>5.324938621931965</v>
      </c>
      <c r="H64" s="18">
        <v>1496</v>
      </c>
      <c r="I64" s="16">
        <v>0</v>
      </c>
    </row>
    <row r="65" spans="1:9">
      <c r="A65" s="9">
        <v>72</v>
      </c>
      <c r="B65" s="9" t="s">
        <v>873</v>
      </c>
      <c r="C65" s="9" t="s">
        <v>14</v>
      </c>
      <c r="D65" s="21">
        <v>1000</v>
      </c>
      <c r="E65" s="18">
        <v>79000000</v>
      </c>
      <c r="F65" s="18">
        <v>14555760</v>
      </c>
      <c r="G65" s="18">
        <v>4.9340042579832186</v>
      </c>
      <c r="H65" s="18">
        <v>969</v>
      </c>
      <c r="I65" s="16">
        <v>0</v>
      </c>
    </row>
    <row r="66" spans="1:9">
      <c r="A66" s="9">
        <v>74</v>
      </c>
      <c r="B66" s="9" t="s">
        <v>874</v>
      </c>
      <c r="C66" s="9" t="s">
        <v>14</v>
      </c>
      <c r="D66" s="21">
        <v>1500</v>
      </c>
      <c r="E66" s="18">
        <v>67500000</v>
      </c>
      <c r="F66" s="18">
        <v>11467500</v>
      </c>
      <c r="G66" s="18">
        <v>5.351091028004042</v>
      </c>
      <c r="H66" s="18">
        <v>1479</v>
      </c>
      <c r="I66" s="16">
        <v>0</v>
      </c>
    </row>
    <row r="67" spans="1:9">
      <c r="A67" s="9">
        <v>75</v>
      </c>
      <c r="B67" s="9" t="s">
        <v>875</v>
      </c>
      <c r="C67" s="9" t="s">
        <v>14</v>
      </c>
      <c r="D67" s="21">
        <v>1500</v>
      </c>
      <c r="E67" s="18">
        <v>67500000</v>
      </c>
      <c r="F67" s="18">
        <v>10972500</v>
      </c>
      <c r="G67" s="18">
        <v>5.5924936307711421</v>
      </c>
      <c r="H67" s="18">
        <v>1500</v>
      </c>
      <c r="I67" s="16">
        <v>0</v>
      </c>
    </row>
    <row r="68" spans="1:9">
      <c r="A68" s="9">
        <v>76</v>
      </c>
      <c r="B68" s="9" t="s">
        <v>876</v>
      </c>
      <c r="C68" s="9" t="s">
        <v>14</v>
      </c>
      <c r="D68" s="21">
        <v>1000</v>
      </c>
      <c r="E68" s="18">
        <v>45000000</v>
      </c>
      <c r="F68" s="18">
        <v>7095000</v>
      </c>
      <c r="G68" s="18">
        <v>5.7659042859888521</v>
      </c>
      <c r="H68" s="18">
        <v>1001</v>
      </c>
      <c r="I68" s="16">
        <v>0</v>
      </c>
    </row>
    <row r="69" spans="1:9">
      <c r="A69" s="9">
        <v>77</v>
      </c>
      <c r="B69" s="9" t="s">
        <v>877</v>
      </c>
      <c r="C69" s="9" t="s">
        <v>14</v>
      </c>
      <c r="D69" s="21">
        <v>1200</v>
      </c>
      <c r="E69" s="18">
        <v>54000000</v>
      </c>
      <c r="F69" s="18">
        <v>8514000</v>
      </c>
      <c r="G69" s="18">
        <v>5.765904285988853</v>
      </c>
      <c r="H69" s="18">
        <v>1188</v>
      </c>
      <c r="I69" s="16">
        <v>0</v>
      </c>
    </row>
    <row r="70" spans="1:9">
      <c r="A70" s="9">
        <v>78</v>
      </c>
      <c r="B70" s="9" t="s">
        <v>878</v>
      </c>
      <c r="C70" s="9" t="s">
        <v>14</v>
      </c>
      <c r="D70" s="21">
        <v>1000</v>
      </c>
      <c r="E70" s="18">
        <v>45000000</v>
      </c>
      <c r="F70" s="18">
        <v>7645000</v>
      </c>
      <c r="G70" s="18">
        <v>5.3510910280040429</v>
      </c>
      <c r="H70" s="18">
        <v>1003</v>
      </c>
      <c r="I70" s="16">
        <v>0</v>
      </c>
    </row>
    <row r="71" spans="1:9">
      <c r="A71" s="9">
        <v>79</v>
      </c>
      <c r="B71" s="9" t="s">
        <v>879</v>
      </c>
      <c r="C71" s="9" t="s">
        <v>14</v>
      </c>
      <c r="D71" s="21">
        <v>1000</v>
      </c>
      <c r="E71" s="18">
        <v>45000000</v>
      </c>
      <c r="F71" s="18">
        <v>7920000</v>
      </c>
      <c r="G71" s="18">
        <v>5.1652892561983474</v>
      </c>
      <c r="H71" s="18">
        <v>977</v>
      </c>
      <c r="I71" s="16">
        <v>0</v>
      </c>
    </row>
    <row r="72" spans="1:9">
      <c r="A72" s="9">
        <v>81</v>
      </c>
      <c r="B72" s="9" t="s">
        <v>880</v>
      </c>
      <c r="C72" s="9" t="s">
        <v>14</v>
      </c>
      <c r="D72" s="21">
        <v>1200</v>
      </c>
      <c r="E72" s="18">
        <v>54000000</v>
      </c>
      <c r="F72" s="18">
        <v>7870272.0000000019</v>
      </c>
      <c r="G72" s="18">
        <v>6.2375111166309214</v>
      </c>
      <c r="H72" s="18">
        <v>1176</v>
      </c>
      <c r="I72" s="16">
        <v>0</v>
      </c>
    </row>
    <row r="73" spans="1:9">
      <c r="A73" s="9">
        <v>82</v>
      </c>
      <c r="B73" s="9" t="s">
        <v>881</v>
      </c>
      <c r="C73" s="9" t="s">
        <v>14</v>
      </c>
      <c r="D73" s="21">
        <v>1200</v>
      </c>
      <c r="E73" s="18">
        <v>54000000</v>
      </c>
      <c r="F73" s="18">
        <v>7952130.0000000009</v>
      </c>
      <c r="G73" s="18">
        <v>6.1733031390217565</v>
      </c>
      <c r="H73" s="18">
        <v>1199</v>
      </c>
      <c r="I73" s="16">
        <v>0</v>
      </c>
    </row>
    <row r="74" spans="1:9">
      <c r="A74" s="9">
        <v>83</v>
      </c>
      <c r="B74" s="9" t="s">
        <v>882</v>
      </c>
      <c r="C74" s="9" t="s">
        <v>14</v>
      </c>
      <c r="D74" s="21">
        <v>1000</v>
      </c>
      <c r="E74" s="18">
        <v>45000000</v>
      </c>
      <c r="F74" s="18">
        <v>6780940.0000000009</v>
      </c>
      <c r="G74" s="18">
        <v>6.0329527925465936</v>
      </c>
      <c r="H74" s="18">
        <v>963</v>
      </c>
      <c r="I74" s="16">
        <v>0</v>
      </c>
    </row>
    <row r="75" spans="1:9">
      <c r="A75" s="9">
        <v>84</v>
      </c>
      <c r="B75" s="9" t="s">
        <v>883</v>
      </c>
      <c r="C75" s="9" t="s">
        <v>14</v>
      </c>
      <c r="D75" s="21">
        <v>1000</v>
      </c>
      <c r="E75" s="18">
        <v>45000000</v>
      </c>
      <c r="F75" s="18">
        <v>6727590</v>
      </c>
      <c r="G75" s="18">
        <v>6.0807942976743385</v>
      </c>
      <c r="H75" s="18">
        <v>931</v>
      </c>
      <c r="I75" s="16">
        <v>0</v>
      </c>
    </row>
    <row r="76" spans="1:9">
      <c r="A76" s="9">
        <v>86</v>
      </c>
      <c r="B76" s="9" t="s">
        <v>884</v>
      </c>
      <c r="C76" s="9" t="s">
        <v>14</v>
      </c>
      <c r="D76" s="21">
        <v>1000</v>
      </c>
      <c r="E76" s="18">
        <v>45000000</v>
      </c>
      <c r="F76" s="18">
        <v>3668240.0000000005</v>
      </c>
      <c r="G76" s="18">
        <v>11.152239468816353</v>
      </c>
      <c r="H76" s="18">
        <v>971</v>
      </c>
      <c r="I76" s="16">
        <v>0</v>
      </c>
    </row>
    <row r="77" spans="1:9">
      <c r="A77" s="9">
        <v>87</v>
      </c>
      <c r="B77" s="9" t="s">
        <v>885</v>
      </c>
      <c r="C77" s="9" t="s">
        <v>14</v>
      </c>
      <c r="D77" s="21">
        <v>1000</v>
      </c>
      <c r="E77" s="18">
        <v>45000000</v>
      </c>
      <c r="F77" s="18">
        <v>4102540.0000000009</v>
      </c>
      <c r="G77" s="18">
        <v>9.9716494925316752</v>
      </c>
      <c r="H77" s="18">
        <v>950</v>
      </c>
      <c r="I77" s="16">
        <v>0</v>
      </c>
    </row>
    <row r="78" spans="1:9">
      <c r="A78" s="9">
        <v>89</v>
      </c>
      <c r="B78" s="9" t="s">
        <v>886</v>
      </c>
      <c r="C78" s="9" t="s">
        <v>14</v>
      </c>
      <c r="D78" s="21">
        <v>800</v>
      </c>
      <c r="E78" s="18">
        <v>42400000</v>
      </c>
      <c r="F78" s="18">
        <v>5984000</v>
      </c>
      <c r="G78" s="18">
        <v>6.4414195430238204</v>
      </c>
      <c r="H78" s="18">
        <v>800</v>
      </c>
      <c r="I78" s="16">
        <v>0</v>
      </c>
    </row>
    <row r="79" spans="1:9">
      <c r="A79" s="9">
        <v>90</v>
      </c>
      <c r="B79" s="9" t="s">
        <v>887</v>
      </c>
      <c r="C79" s="9" t="s">
        <v>14</v>
      </c>
      <c r="D79" s="21">
        <v>800</v>
      </c>
      <c r="E79" s="18">
        <v>42400000</v>
      </c>
      <c r="F79" s="18">
        <v>5984000</v>
      </c>
      <c r="G79" s="18">
        <v>6.4414195430238204</v>
      </c>
      <c r="H79" s="18">
        <v>800</v>
      </c>
      <c r="I79" s="16">
        <v>0</v>
      </c>
    </row>
    <row r="80" spans="1:9">
      <c r="A80" s="9">
        <v>92</v>
      </c>
      <c r="B80" s="9" t="s">
        <v>888</v>
      </c>
      <c r="C80" s="9" t="s">
        <v>14</v>
      </c>
      <c r="D80" s="21">
        <v>1200</v>
      </c>
      <c r="E80" s="18">
        <v>66000000</v>
      </c>
      <c r="F80" s="18">
        <v>8382528.0000000009</v>
      </c>
      <c r="G80" s="18">
        <v>7.1577452529833465</v>
      </c>
      <c r="H80" s="18">
        <v>1200</v>
      </c>
      <c r="I80" s="16">
        <v>0</v>
      </c>
    </row>
    <row r="81" spans="1:9">
      <c r="A81" s="9">
        <v>93</v>
      </c>
      <c r="B81" s="9" t="s">
        <v>889</v>
      </c>
      <c r="C81" s="9" t="s">
        <v>14</v>
      </c>
      <c r="D81" s="21">
        <v>1000</v>
      </c>
      <c r="E81" s="18">
        <v>55000000</v>
      </c>
      <c r="F81" s="18">
        <v>7234920</v>
      </c>
      <c r="G81" s="18">
        <v>6.9109264511563353</v>
      </c>
      <c r="H81" s="18">
        <v>1000</v>
      </c>
      <c r="I81" s="16">
        <v>0</v>
      </c>
    </row>
    <row r="82" spans="1:9">
      <c r="A82" s="9">
        <v>94</v>
      </c>
      <c r="B82" s="9" t="s">
        <v>890</v>
      </c>
      <c r="C82" s="9" t="s">
        <v>14</v>
      </c>
      <c r="D82" s="21">
        <v>1000</v>
      </c>
      <c r="E82" s="18">
        <v>55000000</v>
      </c>
      <c r="F82" s="18">
        <v>7234920</v>
      </c>
      <c r="G82" s="18">
        <v>6.9109264511563353</v>
      </c>
      <c r="H82" s="18">
        <v>1005</v>
      </c>
      <c r="I82" s="16">
        <v>0</v>
      </c>
    </row>
    <row r="83" spans="1:9">
      <c r="A83" s="9">
        <v>95</v>
      </c>
      <c r="B83" s="9" t="s">
        <v>891</v>
      </c>
      <c r="C83" s="9" t="s">
        <v>14</v>
      </c>
      <c r="D83" s="21">
        <v>1200</v>
      </c>
      <c r="E83" s="18">
        <v>66000000</v>
      </c>
      <c r="F83" s="18">
        <v>7933464.0000000019</v>
      </c>
      <c r="G83" s="18">
        <v>7.5629006446616494</v>
      </c>
      <c r="H83" s="18">
        <v>1195</v>
      </c>
      <c r="I83" s="16">
        <v>0</v>
      </c>
    </row>
    <row r="84" spans="1:9">
      <c r="A84" s="9">
        <v>97</v>
      </c>
      <c r="B84" s="9" t="s">
        <v>892</v>
      </c>
      <c r="C84" s="9" t="s">
        <v>14</v>
      </c>
      <c r="D84" s="21">
        <v>1000</v>
      </c>
      <c r="E84" s="18">
        <v>53000000</v>
      </c>
      <c r="F84" s="18">
        <v>6860700.0000000009</v>
      </c>
      <c r="G84" s="18">
        <v>7.0228720366461399</v>
      </c>
      <c r="H84" s="18">
        <v>1000</v>
      </c>
      <c r="I84" s="16">
        <v>0</v>
      </c>
    </row>
    <row r="85" spans="1:9">
      <c r="A85" s="9">
        <v>98</v>
      </c>
      <c r="B85" s="9" t="s">
        <v>893</v>
      </c>
      <c r="C85" s="9" t="s">
        <v>14</v>
      </c>
      <c r="D85" s="21">
        <v>1000</v>
      </c>
      <c r="E85" s="18">
        <v>53000000</v>
      </c>
      <c r="F85" s="18">
        <v>6735960.0000000019</v>
      </c>
      <c r="G85" s="18">
        <v>7.152925222509956</v>
      </c>
      <c r="H85" s="18">
        <v>1000</v>
      </c>
      <c r="I85" s="16">
        <v>0</v>
      </c>
    </row>
    <row r="86" spans="1:9">
      <c r="A86" s="9">
        <v>100</v>
      </c>
      <c r="B86" s="9" t="s">
        <v>894</v>
      </c>
      <c r="C86" s="9" t="s">
        <v>14</v>
      </c>
      <c r="D86" s="21">
        <v>1000</v>
      </c>
      <c r="E86" s="18">
        <v>63000000</v>
      </c>
      <c r="F86" s="18">
        <v>9594690</v>
      </c>
      <c r="G86" s="18">
        <v>5.9692108106387254</v>
      </c>
      <c r="H86" s="18">
        <v>932</v>
      </c>
      <c r="I86" s="16">
        <v>0</v>
      </c>
    </row>
    <row r="87" spans="1:9">
      <c r="A87" s="9">
        <v>101</v>
      </c>
      <c r="B87" s="9" t="s">
        <v>895</v>
      </c>
      <c r="C87" s="9" t="s">
        <v>14</v>
      </c>
      <c r="D87" s="21">
        <v>1000</v>
      </c>
      <c r="E87" s="18">
        <v>63000000</v>
      </c>
      <c r="F87" s="18">
        <v>9744690</v>
      </c>
      <c r="G87" s="18">
        <v>5.8773267566979834</v>
      </c>
      <c r="H87" s="18">
        <v>1000</v>
      </c>
      <c r="I87" s="16">
        <v>0</v>
      </c>
    </row>
    <row r="88" spans="1:9">
      <c r="A88" s="9">
        <v>103</v>
      </c>
      <c r="B88" s="9" t="s">
        <v>896</v>
      </c>
      <c r="C88" s="9" t="s">
        <v>14</v>
      </c>
      <c r="D88" s="21">
        <v>1200</v>
      </c>
      <c r="E88" s="18">
        <v>42000000</v>
      </c>
      <c r="F88" s="18">
        <v>6815400.0000000009</v>
      </c>
      <c r="G88" s="18">
        <v>5.6022857325788911</v>
      </c>
      <c r="H88" s="18">
        <v>1199</v>
      </c>
      <c r="I88" s="16">
        <v>0</v>
      </c>
    </row>
    <row r="89" spans="1:9">
      <c r="A89" s="9">
        <v>104</v>
      </c>
      <c r="B89" s="9" t="s">
        <v>897</v>
      </c>
      <c r="C89" s="9" t="s">
        <v>14</v>
      </c>
      <c r="D89" s="21">
        <v>1000</v>
      </c>
      <c r="E89" s="18">
        <v>33000000</v>
      </c>
      <c r="F89" s="18">
        <v>5679500.0000000009</v>
      </c>
      <c r="G89" s="18">
        <v>5.2821551192886682</v>
      </c>
      <c r="H89" s="18">
        <v>1000</v>
      </c>
      <c r="I89" s="16">
        <v>0</v>
      </c>
    </row>
    <row r="90" spans="1:9">
      <c r="A90" s="9">
        <v>105</v>
      </c>
      <c r="B90" s="9" t="s">
        <v>898</v>
      </c>
      <c r="C90" s="9" t="s">
        <v>14</v>
      </c>
      <c r="D90" s="21">
        <v>1200</v>
      </c>
      <c r="E90" s="18">
        <v>42000000</v>
      </c>
      <c r="F90" s="18">
        <v>7231200.0000000009</v>
      </c>
      <c r="G90" s="18">
        <v>5.2801496545273503</v>
      </c>
      <c r="H90" s="18">
        <v>1200</v>
      </c>
      <c r="I90" s="16">
        <v>0</v>
      </c>
    </row>
    <row r="91" spans="1:9">
      <c r="A91" s="9">
        <v>107</v>
      </c>
      <c r="B91" s="9" t="s">
        <v>899</v>
      </c>
      <c r="C91" s="9" t="s">
        <v>14</v>
      </c>
      <c r="D91" s="21">
        <v>1200</v>
      </c>
      <c r="E91" s="18">
        <v>42000000</v>
      </c>
      <c r="F91" s="18">
        <v>6810208</v>
      </c>
      <c r="G91" s="18">
        <v>5.6065568308366176</v>
      </c>
      <c r="H91" s="18">
        <v>1185</v>
      </c>
      <c r="I91" s="16">
        <v>0</v>
      </c>
    </row>
    <row r="92" spans="1:9">
      <c r="A92" s="9">
        <v>108</v>
      </c>
      <c r="B92" s="9" t="s">
        <v>900</v>
      </c>
      <c r="C92" s="9" t="s">
        <v>14</v>
      </c>
      <c r="D92" s="21">
        <v>1000</v>
      </c>
      <c r="E92" s="18">
        <v>33000000</v>
      </c>
      <c r="F92" s="18">
        <v>5851240</v>
      </c>
      <c r="G92" s="18">
        <v>5.1271183544000927</v>
      </c>
      <c r="H92" s="18">
        <v>952</v>
      </c>
      <c r="I92" s="16">
        <v>0</v>
      </c>
    </row>
    <row r="93" spans="1:9">
      <c r="A93" s="9">
        <v>109</v>
      </c>
      <c r="B93" s="9" t="s">
        <v>901</v>
      </c>
      <c r="C93" s="9" t="s">
        <v>14</v>
      </c>
      <c r="D93" s="21">
        <v>1200</v>
      </c>
      <c r="E93" s="18">
        <v>42000000</v>
      </c>
      <c r="F93" s="18">
        <v>6810208</v>
      </c>
      <c r="G93" s="18">
        <v>5.6065568308366176</v>
      </c>
      <c r="H93" s="18">
        <v>1188</v>
      </c>
      <c r="I93" s="16">
        <v>0</v>
      </c>
    </row>
    <row r="94" spans="1:9">
      <c r="A94" s="9">
        <v>110</v>
      </c>
      <c r="B94" s="9" t="s">
        <v>902</v>
      </c>
      <c r="C94" s="9" t="s">
        <v>14</v>
      </c>
      <c r="D94" s="21">
        <v>1000</v>
      </c>
      <c r="E94" s="18">
        <v>33000000</v>
      </c>
      <c r="F94" s="18">
        <v>5851240</v>
      </c>
      <c r="G94" s="18">
        <v>5.1271183544000927</v>
      </c>
      <c r="H94" s="18">
        <v>991</v>
      </c>
      <c r="I94" s="16">
        <v>0</v>
      </c>
    </row>
    <row r="95" spans="1:9">
      <c r="A95" s="9">
        <v>111</v>
      </c>
      <c r="B95" s="9" t="s">
        <v>903</v>
      </c>
      <c r="C95" s="9" t="s">
        <v>14</v>
      </c>
      <c r="D95" s="21">
        <v>1200</v>
      </c>
      <c r="E95" s="18">
        <v>42000000</v>
      </c>
      <c r="F95" s="18">
        <v>6161208</v>
      </c>
      <c r="G95" s="18">
        <v>6.1971318257423187</v>
      </c>
      <c r="H95" s="18">
        <v>1129</v>
      </c>
      <c r="I95" s="16">
        <v>0</v>
      </c>
    </row>
    <row r="96" spans="1:9">
      <c r="A96" s="9">
        <v>112</v>
      </c>
      <c r="B96" s="9" t="s">
        <v>904</v>
      </c>
      <c r="C96" s="9" t="s">
        <v>14</v>
      </c>
      <c r="D96" s="21">
        <v>1000</v>
      </c>
      <c r="E96" s="18">
        <v>35000000</v>
      </c>
      <c r="F96" s="18">
        <v>5134340</v>
      </c>
      <c r="G96" s="18">
        <v>6.1971318257423187</v>
      </c>
      <c r="H96" s="18">
        <v>981</v>
      </c>
      <c r="I96" s="16">
        <v>0</v>
      </c>
    </row>
    <row r="97" spans="1:9">
      <c r="A97" s="9">
        <v>113</v>
      </c>
      <c r="B97" s="9" t="s">
        <v>905</v>
      </c>
      <c r="C97" s="9" t="s">
        <v>14</v>
      </c>
      <c r="D97" s="21">
        <v>1500</v>
      </c>
      <c r="E97" s="18">
        <v>58500000</v>
      </c>
      <c r="F97" s="18">
        <v>8240295.0000000009</v>
      </c>
      <c r="G97" s="18">
        <v>6.4538730933562656</v>
      </c>
      <c r="H97" s="18">
        <v>1509</v>
      </c>
      <c r="I97" s="16">
        <v>0</v>
      </c>
    </row>
    <row r="98" spans="1:9">
      <c r="A98" s="9">
        <v>114</v>
      </c>
      <c r="B98" s="9" t="s">
        <v>906</v>
      </c>
      <c r="C98" s="9" t="s">
        <v>14</v>
      </c>
      <c r="D98" s="21">
        <v>1200</v>
      </c>
      <c r="E98" s="18">
        <v>46800000</v>
      </c>
      <c r="F98" s="18">
        <v>6598236.0000000009</v>
      </c>
      <c r="G98" s="18">
        <v>6.4480043674482905</v>
      </c>
      <c r="H98" s="18">
        <v>1192</v>
      </c>
      <c r="I98" s="16">
        <v>0</v>
      </c>
    </row>
    <row r="99" spans="1:9">
      <c r="A99" s="9">
        <v>116</v>
      </c>
      <c r="B99" s="9" t="s">
        <v>907</v>
      </c>
      <c r="C99" s="9" t="s">
        <v>14</v>
      </c>
      <c r="D99" s="21">
        <v>1200</v>
      </c>
      <c r="E99" s="18">
        <v>46800000</v>
      </c>
      <c r="F99" s="18">
        <v>5263080.0000000009</v>
      </c>
      <c r="G99" s="18">
        <v>8.0837560032252096</v>
      </c>
      <c r="H99" s="18">
        <v>1196</v>
      </c>
      <c r="I99" s="16">
        <v>0</v>
      </c>
    </row>
    <row r="100" spans="1:9">
      <c r="A100" s="9">
        <v>117</v>
      </c>
      <c r="B100" s="9" t="s">
        <v>908</v>
      </c>
      <c r="C100" s="9" t="s">
        <v>14</v>
      </c>
      <c r="D100" s="21">
        <v>1000</v>
      </c>
      <c r="E100" s="18">
        <v>35000000</v>
      </c>
      <c r="F100" s="18">
        <v>4565900.0000000009</v>
      </c>
      <c r="G100" s="18">
        <v>6.9686549898556267</v>
      </c>
      <c r="H100" s="18">
        <v>1000</v>
      </c>
      <c r="I100" s="16">
        <v>0</v>
      </c>
    </row>
    <row r="101" spans="1:9">
      <c r="A101" s="9">
        <v>118</v>
      </c>
      <c r="B101" s="9" t="s">
        <v>909</v>
      </c>
      <c r="C101" s="9" t="s">
        <v>14</v>
      </c>
      <c r="D101" s="21">
        <v>1200</v>
      </c>
      <c r="E101" s="18">
        <v>46800000</v>
      </c>
      <c r="F101" s="18">
        <v>5263080.0000000009</v>
      </c>
      <c r="G101" s="18">
        <v>8.0837560032252096</v>
      </c>
      <c r="H101" s="18">
        <v>900</v>
      </c>
      <c r="I101" s="16">
        <v>0</v>
      </c>
    </row>
    <row r="102" spans="1:9">
      <c r="A102" s="9">
        <v>120</v>
      </c>
      <c r="B102" s="9" t="s">
        <v>910</v>
      </c>
      <c r="C102" s="9" t="s">
        <v>14</v>
      </c>
      <c r="D102" s="21">
        <v>1500</v>
      </c>
      <c r="E102" s="18">
        <v>64500000</v>
      </c>
      <c r="F102" s="18">
        <v>5830410.0000000009</v>
      </c>
      <c r="G102" s="18">
        <v>10.0569880396685</v>
      </c>
      <c r="H102" s="18">
        <v>1499</v>
      </c>
      <c r="I102" s="16">
        <v>0</v>
      </c>
    </row>
    <row r="103" spans="1:9">
      <c r="A103" s="9">
        <v>121</v>
      </c>
      <c r="B103" s="9" t="s">
        <v>911</v>
      </c>
      <c r="C103" s="9" t="s">
        <v>14</v>
      </c>
      <c r="D103" s="21">
        <v>1200</v>
      </c>
      <c r="E103" s="18">
        <v>51600000</v>
      </c>
      <c r="F103" s="18">
        <v>4814016</v>
      </c>
      <c r="G103" s="18">
        <v>9.7442739926686794</v>
      </c>
      <c r="H103" s="18">
        <v>1200</v>
      </c>
      <c r="I103" s="16">
        <v>0</v>
      </c>
    </row>
    <row r="104" spans="1:9">
      <c r="A104" s="9">
        <v>122</v>
      </c>
      <c r="B104" s="9" t="s">
        <v>912</v>
      </c>
      <c r="C104" s="9" t="s">
        <v>14</v>
      </c>
      <c r="D104" s="21">
        <v>1200</v>
      </c>
      <c r="E104" s="18">
        <v>51600000</v>
      </c>
      <c r="F104" s="18">
        <v>4664328.0000000009</v>
      </c>
      <c r="G104" s="18">
        <v>10.0569880396685</v>
      </c>
      <c r="H104" s="18">
        <v>1200</v>
      </c>
      <c r="I104" s="16">
        <v>0</v>
      </c>
    </row>
    <row r="105" spans="1:9">
      <c r="A105" s="9">
        <v>123</v>
      </c>
      <c r="B105" s="9" t="s">
        <v>913</v>
      </c>
      <c r="C105" s="9" t="s">
        <v>14</v>
      </c>
      <c r="D105" s="21">
        <v>1200</v>
      </c>
      <c r="E105" s="18">
        <v>63600000</v>
      </c>
      <c r="F105" s="18">
        <v>6610272.0000000019</v>
      </c>
      <c r="G105" s="18">
        <v>8.7467175054493662</v>
      </c>
      <c r="H105" s="18">
        <v>1198</v>
      </c>
      <c r="I105" s="16">
        <v>0</v>
      </c>
    </row>
    <row r="106" spans="1:9">
      <c r="A106" s="9">
        <v>125</v>
      </c>
      <c r="B106" s="9" t="s">
        <v>914</v>
      </c>
      <c r="C106" s="9" t="s">
        <v>14</v>
      </c>
      <c r="D106" s="21">
        <v>1500</v>
      </c>
      <c r="E106" s="18">
        <v>67500000</v>
      </c>
      <c r="F106" s="18">
        <v>7757520</v>
      </c>
      <c r="G106" s="18">
        <v>7.9102131046566901</v>
      </c>
      <c r="H106" s="18">
        <v>1500</v>
      </c>
      <c r="I106" s="16">
        <v>0</v>
      </c>
    </row>
    <row r="107" spans="1:9">
      <c r="A107" s="9">
        <v>126</v>
      </c>
      <c r="B107" s="9" t="s">
        <v>915</v>
      </c>
      <c r="C107" s="9" t="s">
        <v>14</v>
      </c>
      <c r="D107" s="21">
        <v>1500</v>
      </c>
      <c r="E107" s="18">
        <v>67500000</v>
      </c>
      <c r="F107" s="18">
        <v>7757520</v>
      </c>
      <c r="G107" s="18">
        <v>7.9102131046566901</v>
      </c>
      <c r="H107" s="18">
        <v>1500</v>
      </c>
      <c r="I107" s="16">
        <v>0</v>
      </c>
    </row>
    <row r="108" spans="1:9">
      <c r="A108" s="9">
        <v>128</v>
      </c>
      <c r="B108" s="9" t="s">
        <v>916</v>
      </c>
      <c r="C108" s="9" t="s">
        <v>14</v>
      </c>
      <c r="D108" s="21">
        <v>1000</v>
      </c>
      <c r="E108" s="18">
        <v>49000000</v>
      </c>
      <c r="F108" s="18">
        <v>8820000</v>
      </c>
      <c r="G108" s="18">
        <v>5.0505050505050502</v>
      </c>
      <c r="H108" s="18">
        <v>985</v>
      </c>
      <c r="I108" s="16">
        <v>0</v>
      </c>
    </row>
    <row r="109" spans="1:9">
      <c r="A109" s="9">
        <v>130</v>
      </c>
      <c r="B109" s="9" t="s">
        <v>917</v>
      </c>
      <c r="C109" s="9" t="s">
        <v>14</v>
      </c>
      <c r="D109" s="21">
        <v>1000</v>
      </c>
      <c r="E109" s="18">
        <v>49000000</v>
      </c>
      <c r="F109" s="18">
        <v>7855180.0000000009</v>
      </c>
      <c r="G109" s="18">
        <v>5.6708381660833407</v>
      </c>
      <c r="H109" s="18">
        <v>938</v>
      </c>
      <c r="I109" s="16">
        <v>0</v>
      </c>
    </row>
    <row r="110" spans="1:9">
      <c r="A110" s="9">
        <v>132</v>
      </c>
      <c r="B110" s="9" t="s">
        <v>918</v>
      </c>
      <c r="C110" s="9" t="s">
        <v>14</v>
      </c>
      <c r="D110" s="21">
        <v>1500</v>
      </c>
      <c r="E110" s="18">
        <v>64500000</v>
      </c>
      <c r="F110" s="18">
        <v>6387255</v>
      </c>
      <c r="G110" s="18">
        <v>9.1802133524281757</v>
      </c>
      <c r="H110" s="18">
        <v>1500</v>
      </c>
      <c r="I110" s="16">
        <v>0</v>
      </c>
    </row>
    <row r="111" spans="1:9">
      <c r="A111" s="9">
        <v>133</v>
      </c>
      <c r="B111" s="9" t="s">
        <v>919</v>
      </c>
      <c r="C111" s="9" t="s">
        <v>14</v>
      </c>
      <c r="D111" s="21">
        <v>1200</v>
      </c>
      <c r="E111" s="18">
        <v>46800000</v>
      </c>
      <c r="F111" s="18">
        <v>4961760</v>
      </c>
      <c r="G111" s="18">
        <v>8.5746699851372394</v>
      </c>
      <c r="H111" s="18">
        <v>1172</v>
      </c>
      <c r="I111" s="16">
        <v>0</v>
      </c>
    </row>
    <row r="112" spans="1:9">
      <c r="A112" s="9">
        <v>134</v>
      </c>
      <c r="B112" s="9" t="s">
        <v>920</v>
      </c>
      <c r="C112" s="9" t="s">
        <v>14</v>
      </c>
      <c r="D112" s="21">
        <v>1500</v>
      </c>
      <c r="E112" s="18">
        <v>64500000</v>
      </c>
      <c r="F112" s="18">
        <v>6381255</v>
      </c>
      <c r="G112" s="18">
        <v>9.1888450839785634</v>
      </c>
      <c r="H112" s="18">
        <v>1499</v>
      </c>
      <c r="I112" s="16">
        <v>0</v>
      </c>
    </row>
    <row r="113" spans="1:9">
      <c r="A113" s="9">
        <v>135</v>
      </c>
      <c r="B113" s="9" t="s">
        <v>921</v>
      </c>
      <c r="C113" s="9" t="s">
        <v>14</v>
      </c>
      <c r="D113" s="21">
        <v>2000</v>
      </c>
      <c r="E113" s="18">
        <v>86000000</v>
      </c>
      <c r="F113" s="18">
        <v>7117520</v>
      </c>
      <c r="G113" s="18">
        <v>10.984418474667885</v>
      </c>
      <c r="H113" s="18">
        <v>2000</v>
      </c>
      <c r="I113" s="16">
        <v>0</v>
      </c>
    </row>
    <row r="114" spans="1:9">
      <c r="A114" s="9">
        <v>136</v>
      </c>
      <c r="B114" s="9" t="s">
        <v>922</v>
      </c>
      <c r="C114" s="9" t="s">
        <v>14</v>
      </c>
      <c r="D114" s="21">
        <v>1500</v>
      </c>
      <c r="E114" s="18">
        <v>58500000</v>
      </c>
      <c r="F114" s="18">
        <v>5244585.0000000009</v>
      </c>
      <c r="G114" s="18">
        <v>10.140329155084371</v>
      </c>
      <c r="H114" s="18">
        <v>1498</v>
      </c>
      <c r="I114" s="16">
        <v>0</v>
      </c>
    </row>
    <row r="115" spans="1:9">
      <c r="A115" s="9">
        <v>137</v>
      </c>
      <c r="B115" s="9" t="s">
        <v>923</v>
      </c>
      <c r="C115" s="9" t="s">
        <v>14</v>
      </c>
      <c r="D115" s="21">
        <v>1500</v>
      </c>
      <c r="E115" s="18">
        <v>64500000</v>
      </c>
      <c r="F115" s="18">
        <v>6387255</v>
      </c>
      <c r="G115" s="18">
        <v>9.1802133524281757</v>
      </c>
      <c r="H115" s="18">
        <v>1500</v>
      </c>
      <c r="I115" s="16">
        <v>0</v>
      </c>
    </row>
    <row r="116" spans="1:9">
      <c r="A116" s="9">
        <v>139</v>
      </c>
      <c r="B116" s="9" t="s">
        <v>924</v>
      </c>
      <c r="C116" s="9" t="s">
        <v>14</v>
      </c>
      <c r="D116" s="21">
        <v>1500</v>
      </c>
      <c r="E116" s="18">
        <v>64500000</v>
      </c>
      <c r="F116" s="18">
        <v>9029460</v>
      </c>
      <c r="G116" s="18">
        <v>6.4938948327323711</v>
      </c>
      <c r="H116" s="18">
        <v>1500</v>
      </c>
      <c r="I116" s="16">
        <v>0</v>
      </c>
    </row>
    <row r="117" spans="1:9">
      <c r="A117" s="9">
        <v>140</v>
      </c>
      <c r="B117" s="9" t="s">
        <v>925</v>
      </c>
      <c r="C117" s="9" t="s">
        <v>14</v>
      </c>
      <c r="D117" s="21">
        <v>1500</v>
      </c>
      <c r="E117" s="18">
        <v>58500000</v>
      </c>
      <c r="F117" s="18">
        <v>9029460</v>
      </c>
      <c r="G117" s="18">
        <v>5.8898115924781971</v>
      </c>
      <c r="H117" s="18">
        <v>1498</v>
      </c>
      <c r="I117" s="16">
        <v>0</v>
      </c>
    </row>
    <row r="118" spans="1:9">
      <c r="A118" s="9">
        <v>141</v>
      </c>
      <c r="B118" s="9" t="s">
        <v>926</v>
      </c>
      <c r="C118" s="9" t="s">
        <v>14</v>
      </c>
      <c r="D118" s="21">
        <v>1500</v>
      </c>
      <c r="E118" s="18">
        <v>64500000</v>
      </c>
      <c r="F118" s="18">
        <v>8772510</v>
      </c>
      <c r="G118" s="18">
        <v>6.6841033679486985</v>
      </c>
      <c r="H118" s="18">
        <v>1500</v>
      </c>
      <c r="I118" s="16">
        <v>0</v>
      </c>
    </row>
    <row r="119" spans="1:9">
      <c r="A119" s="9">
        <v>142</v>
      </c>
      <c r="B119" s="9" t="s">
        <v>927</v>
      </c>
      <c r="C119" s="9" t="s">
        <v>14</v>
      </c>
      <c r="D119" s="21">
        <v>1500</v>
      </c>
      <c r="E119" s="18">
        <v>58500000</v>
      </c>
      <c r="F119" s="18">
        <v>8772510</v>
      </c>
      <c r="G119" s="18">
        <v>6.0623263104650986</v>
      </c>
      <c r="H119" s="18">
        <v>1500</v>
      </c>
      <c r="I119" s="16">
        <v>0</v>
      </c>
    </row>
    <row r="120" spans="1:9">
      <c r="A120" s="9">
        <v>143</v>
      </c>
      <c r="B120" s="9" t="s">
        <v>928</v>
      </c>
      <c r="C120" s="9" t="s">
        <v>14</v>
      </c>
      <c r="D120" s="21">
        <v>1500</v>
      </c>
      <c r="E120" s="18">
        <v>64500000</v>
      </c>
      <c r="F120" s="18">
        <v>7874850.0000000009</v>
      </c>
      <c r="G120" s="18">
        <v>7.4460292750164925</v>
      </c>
      <c r="H120" s="18">
        <v>1500</v>
      </c>
      <c r="I120" s="16">
        <v>0</v>
      </c>
    </row>
    <row r="121" spans="1:9">
      <c r="A121" s="9">
        <v>144</v>
      </c>
      <c r="B121" s="9" t="s">
        <v>929</v>
      </c>
      <c r="C121" s="9" t="s">
        <v>14</v>
      </c>
      <c r="D121" s="21">
        <v>1500</v>
      </c>
      <c r="E121" s="18">
        <v>64500000</v>
      </c>
      <c r="F121" s="18">
        <v>8436180</v>
      </c>
      <c r="G121" s="18">
        <v>6.9505823294860516</v>
      </c>
      <c r="H121" s="18">
        <v>1500</v>
      </c>
      <c r="I121" s="16">
        <v>0</v>
      </c>
    </row>
    <row r="122" spans="1:9">
      <c r="A122" s="9">
        <v>146</v>
      </c>
      <c r="B122" s="9" t="s">
        <v>930</v>
      </c>
      <c r="C122" s="9" t="s">
        <v>14</v>
      </c>
      <c r="D122" s="21">
        <v>1500</v>
      </c>
      <c r="E122" s="18">
        <v>64500000</v>
      </c>
      <c r="F122" s="18">
        <v>7504410.0000000009</v>
      </c>
      <c r="G122" s="18">
        <v>7.8135874287736975</v>
      </c>
      <c r="H122" s="18">
        <v>1500</v>
      </c>
      <c r="I122" s="16">
        <v>0</v>
      </c>
    </row>
    <row r="123" spans="1:9">
      <c r="A123" s="9">
        <v>147</v>
      </c>
      <c r="B123" s="9" t="s">
        <v>931</v>
      </c>
      <c r="C123" s="9" t="s">
        <v>14</v>
      </c>
      <c r="D123" s="21">
        <v>1500</v>
      </c>
      <c r="E123" s="18">
        <v>64500000</v>
      </c>
      <c r="F123" s="18">
        <v>7320630</v>
      </c>
      <c r="G123" s="18">
        <v>8.0097428276478428</v>
      </c>
      <c r="H123" s="18">
        <v>1500</v>
      </c>
      <c r="I123" s="16">
        <v>0</v>
      </c>
    </row>
    <row r="124" spans="1:9">
      <c r="A124" s="9">
        <v>148</v>
      </c>
      <c r="B124" s="9" t="s">
        <v>932</v>
      </c>
      <c r="C124" s="9" t="s">
        <v>14</v>
      </c>
      <c r="D124" s="21">
        <v>1500</v>
      </c>
      <c r="E124" s="18">
        <v>64500000</v>
      </c>
      <c r="F124" s="18">
        <v>7494300.0000000009</v>
      </c>
      <c r="G124" s="18">
        <v>7.8241281555800573</v>
      </c>
      <c r="H124" s="18">
        <v>1500</v>
      </c>
      <c r="I124" s="16">
        <v>0</v>
      </c>
    </row>
    <row r="125" spans="1:9">
      <c r="A125" s="9">
        <v>149</v>
      </c>
      <c r="B125" s="9" t="s">
        <v>933</v>
      </c>
      <c r="C125" s="9" t="s">
        <v>14</v>
      </c>
      <c r="D125" s="21">
        <v>1200</v>
      </c>
      <c r="E125" s="18">
        <v>51600000</v>
      </c>
      <c r="F125" s="18">
        <v>6156504</v>
      </c>
      <c r="G125" s="18">
        <v>7.619436438129644</v>
      </c>
      <c r="H125" s="18">
        <v>1200</v>
      </c>
      <c r="I125" s="16">
        <v>0</v>
      </c>
    </row>
    <row r="126" spans="1:9">
      <c r="A126" s="9">
        <v>150</v>
      </c>
      <c r="B126" s="9" t="s">
        <v>934</v>
      </c>
      <c r="C126" s="9" t="s">
        <v>14</v>
      </c>
      <c r="D126" s="21">
        <v>1200</v>
      </c>
      <c r="E126" s="18">
        <v>46800000</v>
      </c>
      <c r="F126" s="18">
        <v>6156504</v>
      </c>
      <c r="G126" s="18">
        <v>6.9106516531873519</v>
      </c>
      <c r="H126" s="18">
        <v>1199</v>
      </c>
      <c r="I126" s="16">
        <v>0</v>
      </c>
    </row>
    <row r="127" spans="1:9">
      <c r="A127" s="9">
        <v>152</v>
      </c>
      <c r="B127" s="9" t="s">
        <v>935</v>
      </c>
      <c r="C127" s="9" t="s">
        <v>14</v>
      </c>
      <c r="D127" s="21">
        <v>2000</v>
      </c>
      <c r="E127" s="18">
        <v>98000000</v>
      </c>
      <c r="F127" s="18">
        <v>16500000</v>
      </c>
      <c r="G127" s="18">
        <v>5.3994490358126725</v>
      </c>
      <c r="H127" s="18">
        <v>2000</v>
      </c>
      <c r="I127" s="16">
        <v>0</v>
      </c>
    </row>
    <row r="128" spans="1:9">
      <c r="A128" s="9">
        <v>153</v>
      </c>
      <c r="B128" s="9" t="s">
        <v>936</v>
      </c>
      <c r="C128" s="9" t="s">
        <v>14</v>
      </c>
      <c r="D128" s="21">
        <v>1800</v>
      </c>
      <c r="E128" s="18">
        <v>88200000</v>
      </c>
      <c r="F128" s="18">
        <v>14850000</v>
      </c>
      <c r="G128" s="18">
        <v>5.3994490358126717</v>
      </c>
      <c r="H128" s="18">
        <v>1800</v>
      </c>
      <c r="I128" s="16">
        <v>0</v>
      </c>
    </row>
    <row r="129" spans="1:9">
      <c r="A129" s="9">
        <v>154</v>
      </c>
      <c r="B129" s="9" t="s">
        <v>937</v>
      </c>
      <c r="C129" s="9" t="s">
        <v>14</v>
      </c>
      <c r="D129" s="21">
        <v>1200</v>
      </c>
      <c r="E129" s="18">
        <v>58800000</v>
      </c>
      <c r="F129" s="18">
        <v>9900000</v>
      </c>
      <c r="G129" s="18">
        <v>5.3994490358126725</v>
      </c>
      <c r="H129" s="18">
        <v>1199</v>
      </c>
      <c r="I129" s="16">
        <v>0</v>
      </c>
    </row>
    <row r="130" spans="1:9">
      <c r="A130" s="9">
        <v>155</v>
      </c>
      <c r="B130" s="9" t="s">
        <v>938</v>
      </c>
      <c r="C130" s="9" t="s">
        <v>14</v>
      </c>
      <c r="D130" s="21">
        <v>1800</v>
      </c>
      <c r="E130" s="18">
        <v>88200000</v>
      </c>
      <c r="F130" s="18">
        <v>13860000</v>
      </c>
      <c r="G130" s="18">
        <v>5.7851239669421481</v>
      </c>
      <c r="H130" s="18">
        <v>1800</v>
      </c>
      <c r="I130" s="16">
        <v>0</v>
      </c>
    </row>
    <row r="131" spans="1:9">
      <c r="A131" s="9">
        <v>157</v>
      </c>
      <c r="B131" s="9" t="s">
        <v>939</v>
      </c>
      <c r="C131" s="9" t="s">
        <v>14</v>
      </c>
      <c r="D131" s="21">
        <v>600</v>
      </c>
      <c r="E131" s="18">
        <v>59400000</v>
      </c>
      <c r="F131" s="18">
        <v>14100000</v>
      </c>
      <c r="G131" s="18">
        <v>3.8297872340425529</v>
      </c>
      <c r="H131" s="18">
        <v>603</v>
      </c>
      <c r="I131" s="16">
        <v>0</v>
      </c>
    </row>
    <row r="132" spans="1:9">
      <c r="A132" s="9">
        <v>158</v>
      </c>
      <c r="B132" s="9" t="s">
        <v>940</v>
      </c>
      <c r="C132" s="9" t="s">
        <v>14</v>
      </c>
      <c r="D132" s="21">
        <v>600</v>
      </c>
      <c r="E132" s="18">
        <v>71400000</v>
      </c>
      <c r="F132" s="18">
        <v>16500000</v>
      </c>
      <c r="G132" s="18">
        <v>3.9338842975206614</v>
      </c>
      <c r="H132" s="18">
        <v>600</v>
      </c>
      <c r="I132" s="16">
        <v>0</v>
      </c>
    </row>
    <row r="133" spans="1:9">
      <c r="A133" s="9">
        <v>159</v>
      </c>
      <c r="B133" s="9" t="s">
        <v>941</v>
      </c>
      <c r="C133" s="9" t="s">
        <v>14</v>
      </c>
      <c r="D133" s="21">
        <v>600</v>
      </c>
      <c r="E133" s="18">
        <v>59400000</v>
      </c>
      <c r="F133" s="18">
        <v>14100000</v>
      </c>
      <c r="G133" s="18">
        <v>3.8297872340425529</v>
      </c>
      <c r="H133" s="18">
        <v>600</v>
      </c>
      <c r="I133" s="16">
        <v>0</v>
      </c>
    </row>
    <row r="134" spans="1:9">
      <c r="A134" s="9">
        <v>161</v>
      </c>
      <c r="B134" s="9" t="s">
        <v>942</v>
      </c>
      <c r="C134" s="9" t="s">
        <v>14</v>
      </c>
      <c r="D134" s="21">
        <v>1000</v>
      </c>
      <c r="E134" s="18">
        <v>43000000</v>
      </c>
      <c r="F134" s="18">
        <v>5527460</v>
      </c>
      <c r="G134" s="18">
        <v>7.0721288061621586</v>
      </c>
      <c r="H134" s="18">
        <v>1000</v>
      </c>
      <c r="I134" s="16">
        <v>0</v>
      </c>
    </row>
    <row r="135" spans="1:9">
      <c r="A135" s="9">
        <v>162</v>
      </c>
      <c r="B135" s="9" t="s">
        <v>943</v>
      </c>
      <c r="C135" s="9" t="s">
        <v>14</v>
      </c>
      <c r="D135" s="21">
        <v>1200</v>
      </c>
      <c r="E135" s="18">
        <v>66000000</v>
      </c>
      <c r="F135" s="18">
        <v>8504184</v>
      </c>
      <c r="G135" s="18">
        <v>7.0553506368159482</v>
      </c>
      <c r="H135" s="18">
        <v>1199</v>
      </c>
      <c r="I135" s="16">
        <v>0</v>
      </c>
    </row>
    <row r="136" spans="1:9">
      <c r="A136" s="9">
        <v>163</v>
      </c>
      <c r="B136" s="9" t="s">
        <v>944</v>
      </c>
      <c r="C136" s="9" t="s">
        <v>14</v>
      </c>
      <c r="D136" s="21">
        <v>1200</v>
      </c>
      <c r="E136" s="18">
        <v>66000000</v>
      </c>
      <c r="F136" s="18">
        <v>10501428</v>
      </c>
      <c r="G136" s="18">
        <v>5.7135086771056276</v>
      </c>
      <c r="H136" s="18">
        <v>1200</v>
      </c>
      <c r="I136" s="16">
        <v>0</v>
      </c>
    </row>
    <row r="137" spans="1:9">
      <c r="A137" s="9">
        <v>165</v>
      </c>
      <c r="B137" s="9" t="s">
        <v>945</v>
      </c>
      <c r="C137" s="9" t="s">
        <v>14</v>
      </c>
      <c r="D137" s="21">
        <v>1000</v>
      </c>
      <c r="E137" s="18">
        <v>45000000</v>
      </c>
      <c r="F137" s="18">
        <v>11700000</v>
      </c>
      <c r="G137" s="18">
        <v>3.4965034965034958</v>
      </c>
      <c r="H137" s="18">
        <v>1000</v>
      </c>
      <c r="I137" s="16">
        <v>0</v>
      </c>
    </row>
    <row r="138" spans="1:9">
      <c r="A138" s="9">
        <v>166</v>
      </c>
      <c r="B138" s="9" t="s">
        <v>946</v>
      </c>
      <c r="C138" s="9" t="s">
        <v>14</v>
      </c>
      <c r="D138" s="21">
        <v>1000</v>
      </c>
      <c r="E138" s="18">
        <v>45000000</v>
      </c>
      <c r="F138" s="18">
        <v>12500000</v>
      </c>
      <c r="G138" s="18">
        <v>3.2727272727272725</v>
      </c>
      <c r="H138" s="18">
        <v>1008</v>
      </c>
      <c r="I138" s="16">
        <v>0</v>
      </c>
    </row>
    <row r="139" spans="1:9">
      <c r="A139" s="9">
        <v>167</v>
      </c>
      <c r="B139" s="9" t="s">
        <v>947</v>
      </c>
      <c r="C139" s="9" t="s">
        <v>14</v>
      </c>
      <c r="D139" s="21">
        <v>1000</v>
      </c>
      <c r="E139" s="18">
        <v>47000000</v>
      </c>
      <c r="F139" s="18">
        <v>11300000</v>
      </c>
      <c r="G139" s="18">
        <v>3.7811745776347538</v>
      </c>
      <c r="H139" s="18">
        <v>1014</v>
      </c>
      <c r="I139" s="16">
        <v>0</v>
      </c>
    </row>
    <row r="140" spans="1:9">
      <c r="A140" s="9">
        <v>168</v>
      </c>
      <c r="B140" s="9" t="s">
        <v>948</v>
      </c>
      <c r="C140" s="9" t="s">
        <v>14</v>
      </c>
      <c r="D140" s="21">
        <v>1000</v>
      </c>
      <c r="E140" s="18">
        <v>43000000</v>
      </c>
      <c r="F140" s="18">
        <v>11300000</v>
      </c>
      <c r="G140" s="18">
        <v>3.4593724859211581</v>
      </c>
      <c r="H140" s="18">
        <v>989</v>
      </c>
      <c r="I140" s="16">
        <v>0</v>
      </c>
    </row>
    <row r="141" spans="1:9">
      <c r="A141" s="9">
        <v>169</v>
      </c>
      <c r="B141" s="9" t="s">
        <v>949</v>
      </c>
      <c r="C141" s="9" t="s">
        <v>14</v>
      </c>
      <c r="D141" s="21">
        <v>1200</v>
      </c>
      <c r="E141" s="18">
        <v>56400000</v>
      </c>
      <c r="F141" s="18">
        <v>13560000</v>
      </c>
      <c r="G141" s="18">
        <v>3.7811745776347543</v>
      </c>
      <c r="H141" s="18">
        <v>1200</v>
      </c>
      <c r="I141" s="16">
        <v>0</v>
      </c>
    </row>
    <row r="142" spans="1:9">
      <c r="A142" s="9">
        <v>170</v>
      </c>
      <c r="B142" s="9" t="s">
        <v>950</v>
      </c>
      <c r="C142" s="9" t="s">
        <v>14</v>
      </c>
      <c r="D142" s="21">
        <v>1200</v>
      </c>
      <c r="E142" s="18">
        <v>51600000</v>
      </c>
      <c r="F142" s="18">
        <v>13560000</v>
      </c>
      <c r="G142" s="18">
        <v>3.4593724859211581</v>
      </c>
      <c r="H142" s="18">
        <v>1199</v>
      </c>
      <c r="I142" s="16">
        <v>0</v>
      </c>
    </row>
    <row r="143" spans="1:9">
      <c r="A143" s="9">
        <v>171</v>
      </c>
      <c r="B143" s="9" t="s">
        <v>951</v>
      </c>
      <c r="C143" s="9" t="s">
        <v>14</v>
      </c>
      <c r="D143" s="21">
        <v>1200</v>
      </c>
      <c r="E143" s="18">
        <v>56400000</v>
      </c>
      <c r="F143" s="18">
        <v>12120000</v>
      </c>
      <c r="G143" s="18">
        <v>4.2304230423042295</v>
      </c>
      <c r="H143" s="18">
        <v>1210</v>
      </c>
      <c r="I143" s="16">
        <v>0</v>
      </c>
    </row>
    <row r="144" spans="1:9">
      <c r="A144" s="9">
        <v>172</v>
      </c>
      <c r="B144" s="9" t="s">
        <v>952</v>
      </c>
      <c r="C144" s="9" t="s">
        <v>14</v>
      </c>
      <c r="D144" s="21">
        <v>1200</v>
      </c>
      <c r="E144" s="18">
        <v>56400000</v>
      </c>
      <c r="F144" s="18">
        <v>12600000</v>
      </c>
      <c r="G144" s="18">
        <v>4.0692640692640687</v>
      </c>
      <c r="H144" s="18">
        <v>1182</v>
      </c>
      <c r="I144" s="16">
        <v>0</v>
      </c>
    </row>
    <row r="145" spans="1:9">
      <c r="A145" s="9">
        <v>174</v>
      </c>
      <c r="B145" s="9" t="s">
        <v>953</v>
      </c>
      <c r="C145" s="9" t="s">
        <v>14</v>
      </c>
      <c r="D145" s="21">
        <v>1500</v>
      </c>
      <c r="E145" s="18">
        <v>67500000</v>
      </c>
      <c r="F145" s="18">
        <v>8865749.9999999981</v>
      </c>
      <c r="G145" s="18">
        <v>6.9214264290822971</v>
      </c>
      <c r="H145" s="18">
        <v>1497</v>
      </c>
      <c r="I145" s="16">
        <v>0</v>
      </c>
    </row>
    <row r="146" spans="1:9">
      <c r="A146" s="9">
        <v>175</v>
      </c>
      <c r="B146" s="9" t="s">
        <v>954</v>
      </c>
      <c r="C146" s="9" t="s">
        <v>14</v>
      </c>
      <c r="D146" s="21">
        <v>1500</v>
      </c>
      <c r="E146" s="18">
        <v>67500000</v>
      </c>
      <c r="F146" s="18">
        <v>9385500.0000000019</v>
      </c>
      <c r="G146" s="18">
        <v>6.538131837796211</v>
      </c>
      <c r="H146" s="18">
        <v>1500</v>
      </c>
      <c r="I146" s="16">
        <v>0</v>
      </c>
    </row>
    <row r="147" spans="1:9">
      <c r="A147" s="9">
        <v>177</v>
      </c>
      <c r="B147" s="9" t="s">
        <v>955</v>
      </c>
      <c r="C147" s="9" t="s">
        <v>14</v>
      </c>
      <c r="D147" s="21">
        <v>1000</v>
      </c>
      <c r="E147" s="18">
        <v>49000000</v>
      </c>
      <c r="F147" s="18">
        <v>7181000.0000000009</v>
      </c>
      <c r="G147" s="18">
        <v>6.2032383436087644</v>
      </c>
      <c r="H147" s="18">
        <v>1000</v>
      </c>
      <c r="I147" s="16">
        <v>0</v>
      </c>
    </row>
    <row r="148" spans="1:9">
      <c r="A148" s="9">
        <v>178</v>
      </c>
      <c r="B148" s="9" t="s">
        <v>956</v>
      </c>
      <c r="C148" s="9" t="s">
        <v>14</v>
      </c>
      <c r="D148" s="21">
        <v>1500</v>
      </c>
      <c r="E148" s="18">
        <v>67500000</v>
      </c>
      <c r="F148" s="18">
        <v>10598250</v>
      </c>
      <c r="G148" s="18">
        <v>5.7899781910821462</v>
      </c>
      <c r="H148" s="18">
        <v>1999</v>
      </c>
      <c r="I148" s="16">
        <v>0</v>
      </c>
    </row>
    <row r="149" spans="1:9">
      <c r="A149" s="9">
        <v>180</v>
      </c>
      <c r="B149" s="9" t="s">
        <v>957</v>
      </c>
      <c r="C149" s="9" t="s">
        <v>14</v>
      </c>
      <c r="D149" s="21">
        <v>1200</v>
      </c>
      <c r="E149" s="18">
        <v>54000000</v>
      </c>
      <c r="F149" s="18">
        <v>8107152.0000000019</v>
      </c>
      <c r="G149" s="18">
        <v>6.0552594907446009</v>
      </c>
      <c r="H149" s="18">
        <v>1185</v>
      </c>
      <c r="I149" s="16">
        <v>0</v>
      </c>
    </row>
    <row r="150" spans="1:9">
      <c r="A150" s="9">
        <v>181</v>
      </c>
      <c r="B150" s="9" t="s">
        <v>958</v>
      </c>
      <c r="C150" s="9" t="s">
        <v>14</v>
      </c>
      <c r="D150" s="21">
        <v>1200</v>
      </c>
      <c r="E150" s="18">
        <v>54000000</v>
      </c>
      <c r="F150" s="18">
        <v>7741248</v>
      </c>
      <c r="G150" s="18">
        <v>6.3414722136416621</v>
      </c>
      <c r="H150" s="18">
        <v>1199</v>
      </c>
      <c r="I150" s="16">
        <v>0</v>
      </c>
    </row>
    <row r="151" spans="1:9">
      <c r="A151" s="9">
        <v>182</v>
      </c>
      <c r="B151" s="9" t="s">
        <v>959</v>
      </c>
      <c r="C151" s="9" t="s">
        <v>14</v>
      </c>
      <c r="D151" s="21">
        <v>1500</v>
      </c>
      <c r="E151" s="18">
        <v>67500000</v>
      </c>
      <c r="F151" s="18">
        <v>11374380</v>
      </c>
      <c r="G151" s="18">
        <v>5.3948994462675204</v>
      </c>
      <c r="H151" s="18">
        <v>1508</v>
      </c>
      <c r="I151" s="16">
        <v>0</v>
      </c>
    </row>
    <row r="152" spans="1:9">
      <c r="A152" s="9">
        <v>183</v>
      </c>
      <c r="B152" s="9" t="s">
        <v>960</v>
      </c>
      <c r="C152" s="9" t="s">
        <v>14</v>
      </c>
      <c r="D152" s="21">
        <v>1500</v>
      </c>
      <c r="E152" s="18">
        <v>67500000</v>
      </c>
      <c r="F152" s="18">
        <v>11615490.000000002</v>
      </c>
      <c r="G152" s="18">
        <v>5.2829141399662305</v>
      </c>
      <c r="H152" s="18">
        <v>1500</v>
      </c>
      <c r="I152" s="16">
        <v>0</v>
      </c>
    </row>
    <row r="153" spans="1:9">
      <c r="A153" s="9">
        <v>184</v>
      </c>
      <c r="B153" s="9" t="s">
        <v>961</v>
      </c>
      <c r="C153" s="9" t="s">
        <v>14</v>
      </c>
      <c r="D153" s="21">
        <v>1500</v>
      </c>
      <c r="E153" s="18">
        <v>67500000</v>
      </c>
      <c r="F153" s="18">
        <v>11187660.000000002</v>
      </c>
      <c r="G153" s="18">
        <v>5.4849393316954878</v>
      </c>
      <c r="H153" s="18">
        <v>1510</v>
      </c>
      <c r="I153" s="16">
        <v>0</v>
      </c>
    </row>
    <row r="154" spans="1:9">
      <c r="A154" s="9">
        <v>186</v>
      </c>
      <c r="B154" s="9" t="s">
        <v>962</v>
      </c>
      <c r="C154" s="9" t="s">
        <v>14</v>
      </c>
      <c r="D154" s="21">
        <v>1500</v>
      </c>
      <c r="E154" s="18">
        <v>82500000</v>
      </c>
      <c r="F154" s="18">
        <v>12937770</v>
      </c>
      <c r="G154" s="18">
        <v>5.7969804688134037</v>
      </c>
      <c r="H154" s="18">
        <v>1493</v>
      </c>
      <c r="I154" s="16">
        <v>0</v>
      </c>
    </row>
    <row r="155" spans="1:9">
      <c r="A155" s="9">
        <v>187</v>
      </c>
      <c r="B155" s="9" t="s">
        <v>963</v>
      </c>
      <c r="C155" s="9" t="s">
        <v>14</v>
      </c>
      <c r="D155" s="21">
        <v>1500</v>
      </c>
      <c r="E155" s="18">
        <v>82500000</v>
      </c>
      <c r="F155" s="18">
        <v>14428035</v>
      </c>
      <c r="G155" s="18">
        <v>5.198213062277711</v>
      </c>
      <c r="H155" s="18">
        <v>1486</v>
      </c>
      <c r="I155" s="16">
        <v>0</v>
      </c>
    </row>
    <row r="156" spans="1:9">
      <c r="A156" s="9">
        <v>188</v>
      </c>
      <c r="B156" s="9" t="s">
        <v>964</v>
      </c>
      <c r="C156" s="9" t="s">
        <v>14</v>
      </c>
      <c r="D156" s="21">
        <v>1500</v>
      </c>
      <c r="E156" s="18">
        <v>82500000</v>
      </c>
      <c r="F156" s="18">
        <v>13600590.000000004</v>
      </c>
      <c r="G156" s="18">
        <v>5.5144666518143675</v>
      </c>
      <c r="H156" s="18">
        <v>1509</v>
      </c>
      <c r="I156" s="16">
        <v>0</v>
      </c>
    </row>
    <row r="157" spans="1:9">
      <c r="A157" s="9">
        <v>189</v>
      </c>
      <c r="B157" s="9" t="s">
        <v>965</v>
      </c>
      <c r="C157" s="9" t="s">
        <v>14</v>
      </c>
      <c r="D157" s="21">
        <v>1500</v>
      </c>
      <c r="E157" s="18">
        <v>82500000</v>
      </c>
      <c r="F157" s="18">
        <v>13828200.000000004</v>
      </c>
      <c r="G157" s="18">
        <v>5.4236993968846248</v>
      </c>
      <c r="H157" s="18">
        <v>1489</v>
      </c>
      <c r="I157" s="16">
        <v>0</v>
      </c>
    </row>
    <row r="158" spans="1:9">
      <c r="A158" s="9">
        <v>190</v>
      </c>
      <c r="B158" s="9" t="s">
        <v>966</v>
      </c>
      <c r="C158" s="9" t="s">
        <v>14</v>
      </c>
      <c r="D158" s="21">
        <v>1500</v>
      </c>
      <c r="E158" s="18">
        <v>82500000</v>
      </c>
      <c r="F158" s="18">
        <v>13926090.000000004</v>
      </c>
      <c r="G158" s="18">
        <v>5.3855748454878558</v>
      </c>
      <c r="H158" s="18">
        <v>1517</v>
      </c>
      <c r="I158" s="16">
        <v>0</v>
      </c>
    </row>
    <row r="159" spans="1:9">
      <c r="A159" s="9">
        <v>192</v>
      </c>
      <c r="B159" s="9" t="s">
        <v>967</v>
      </c>
      <c r="C159" s="9" t="s">
        <v>14</v>
      </c>
      <c r="D159" s="21">
        <v>1200</v>
      </c>
      <c r="E159" s="18">
        <v>94800000</v>
      </c>
      <c r="F159" s="18">
        <v>19800000</v>
      </c>
      <c r="G159" s="18">
        <v>4.3526170798898072</v>
      </c>
      <c r="H159" s="18">
        <v>1236</v>
      </c>
      <c r="I159" s="16">
        <v>0</v>
      </c>
    </row>
    <row r="160" spans="1:9">
      <c r="A160" s="9">
        <v>193</v>
      </c>
      <c r="B160" s="9" t="s">
        <v>968</v>
      </c>
      <c r="C160" s="9" t="s">
        <v>14</v>
      </c>
      <c r="D160" s="21">
        <v>1200</v>
      </c>
      <c r="E160" s="18">
        <v>94800000</v>
      </c>
      <c r="F160" s="18">
        <v>20340000</v>
      </c>
      <c r="G160" s="18">
        <v>4.2370608742290159</v>
      </c>
      <c r="H160" s="18">
        <v>1248</v>
      </c>
      <c r="I160" s="16">
        <v>0</v>
      </c>
    </row>
    <row r="161" spans="1:9">
      <c r="A161" s="9">
        <v>195</v>
      </c>
      <c r="B161" s="9" t="s">
        <v>969</v>
      </c>
      <c r="C161" s="9" t="s">
        <v>14</v>
      </c>
      <c r="D161" s="21">
        <v>1000</v>
      </c>
      <c r="E161" s="18">
        <v>69000000</v>
      </c>
      <c r="F161" s="18">
        <v>13754075</v>
      </c>
      <c r="G161" s="18">
        <v>4.5606318656305653</v>
      </c>
      <c r="H161" s="18">
        <v>1008</v>
      </c>
      <c r="I161" s="16">
        <v>0</v>
      </c>
    </row>
    <row r="162" spans="1:9">
      <c r="A162" s="9">
        <v>196</v>
      </c>
      <c r="B162" s="9" t="s">
        <v>970</v>
      </c>
      <c r="C162" s="9" t="s">
        <v>14</v>
      </c>
      <c r="D162" s="21">
        <v>1000</v>
      </c>
      <c r="E162" s="18">
        <v>69000000</v>
      </c>
      <c r="F162" s="18">
        <v>13754074.999999998</v>
      </c>
      <c r="G162" s="18">
        <v>4.5606318656305662</v>
      </c>
      <c r="H162" s="18">
        <v>1007</v>
      </c>
      <c r="I162" s="16">
        <v>0</v>
      </c>
    </row>
    <row r="163" spans="1:9">
      <c r="A163" s="9">
        <v>198</v>
      </c>
      <c r="B163" s="9" t="s">
        <v>971</v>
      </c>
      <c r="C163" s="9" t="s">
        <v>14</v>
      </c>
      <c r="D163" s="21">
        <v>1500</v>
      </c>
      <c r="E163" s="18">
        <v>357000000</v>
      </c>
      <c r="F163" s="18">
        <v>85528875</v>
      </c>
      <c r="G163" s="18">
        <v>3.7945717694223675</v>
      </c>
      <c r="H163" s="18">
        <v>1613</v>
      </c>
      <c r="I163" s="16">
        <v>0</v>
      </c>
    </row>
    <row r="164" spans="1:9">
      <c r="A164" s="9">
        <v>199</v>
      </c>
      <c r="B164" s="9" t="s">
        <v>972</v>
      </c>
      <c r="C164" s="9" t="s">
        <v>14</v>
      </c>
      <c r="D164" s="21">
        <v>1500</v>
      </c>
      <c r="E164" s="18">
        <v>357000000</v>
      </c>
      <c r="F164" s="18">
        <v>85528875</v>
      </c>
      <c r="G164" s="18">
        <v>3.7945717694223675</v>
      </c>
      <c r="H164" s="18">
        <v>1455</v>
      </c>
      <c r="I164" s="16">
        <v>0</v>
      </c>
    </row>
    <row r="165" spans="1:9">
      <c r="A165" s="9">
        <v>200</v>
      </c>
      <c r="B165" s="9" t="s">
        <v>973</v>
      </c>
      <c r="C165" s="9" t="s">
        <v>14</v>
      </c>
      <c r="D165" s="21">
        <v>1500</v>
      </c>
      <c r="E165" s="18">
        <v>327000000</v>
      </c>
      <c r="F165" s="18">
        <v>79291875</v>
      </c>
      <c r="G165" s="18">
        <v>3.749094434615492</v>
      </c>
      <c r="H165" s="18">
        <v>1594</v>
      </c>
      <c r="I165" s="16">
        <v>0</v>
      </c>
    </row>
    <row r="166" spans="1:9">
      <c r="A166" s="9">
        <v>201</v>
      </c>
      <c r="B166" s="9" t="s">
        <v>974</v>
      </c>
      <c r="C166" s="9" t="s">
        <v>14</v>
      </c>
      <c r="D166" s="21">
        <v>1500</v>
      </c>
      <c r="E166" s="18">
        <v>327000000</v>
      </c>
      <c r="F166" s="18">
        <v>79291875</v>
      </c>
      <c r="G166" s="18">
        <v>3.749094434615492</v>
      </c>
      <c r="H166" s="18">
        <v>1603</v>
      </c>
      <c r="I166" s="16">
        <v>0</v>
      </c>
    </row>
    <row r="167" spans="1:9">
      <c r="A167" s="9">
        <v>202</v>
      </c>
      <c r="B167" s="9" t="s">
        <v>975</v>
      </c>
      <c r="C167" s="9" t="s">
        <v>14</v>
      </c>
      <c r="D167" s="21">
        <v>1500</v>
      </c>
      <c r="E167" s="18">
        <v>327000000</v>
      </c>
      <c r="F167" s="18">
        <v>79291875</v>
      </c>
      <c r="G167" s="18">
        <v>3.749094434615492</v>
      </c>
      <c r="H167" s="18">
        <v>1590</v>
      </c>
      <c r="I167" s="16">
        <v>0</v>
      </c>
    </row>
    <row r="168" spans="1:9">
      <c r="A168" s="9">
        <v>203</v>
      </c>
      <c r="B168" s="9" t="s">
        <v>976</v>
      </c>
      <c r="C168" s="9" t="s">
        <v>14</v>
      </c>
      <c r="D168" s="21">
        <v>1200</v>
      </c>
      <c r="E168" s="18">
        <v>106800000</v>
      </c>
      <c r="F168" s="18">
        <v>24348300.000000004</v>
      </c>
      <c r="G168" s="18">
        <v>3.9875847221739944</v>
      </c>
      <c r="H168" s="18">
        <v>1291</v>
      </c>
      <c r="I168" s="16">
        <v>0</v>
      </c>
    </row>
    <row r="169" spans="1:9">
      <c r="A169" s="9">
        <v>204</v>
      </c>
      <c r="B169" s="9" t="s">
        <v>977</v>
      </c>
      <c r="C169" s="9" t="s">
        <v>14</v>
      </c>
      <c r="D169" s="21">
        <v>1500</v>
      </c>
      <c r="E169" s="18">
        <v>327000000</v>
      </c>
      <c r="F169" s="18">
        <v>79725000.000000015</v>
      </c>
      <c r="G169" s="18">
        <v>3.7287265885572554</v>
      </c>
      <c r="H169" s="18">
        <v>1610</v>
      </c>
      <c r="I169" s="16">
        <v>0</v>
      </c>
    </row>
    <row r="170" spans="1:9">
      <c r="A170" s="9">
        <v>205</v>
      </c>
      <c r="B170" s="9" t="s">
        <v>978</v>
      </c>
      <c r="C170" s="9" t="s">
        <v>14</v>
      </c>
      <c r="D170" s="21">
        <v>1500</v>
      </c>
      <c r="E170" s="18">
        <v>327000000</v>
      </c>
      <c r="F170" s="18">
        <v>82497000.000000015</v>
      </c>
      <c r="G170" s="18">
        <v>3.6034368191901183</v>
      </c>
      <c r="H170" s="18">
        <v>1602</v>
      </c>
      <c r="I170" s="16">
        <v>0</v>
      </c>
    </row>
    <row r="171" spans="1:9">
      <c r="A171" s="9">
        <v>206</v>
      </c>
      <c r="B171" s="9" t="s">
        <v>979</v>
      </c>
      <c r="C171" s="9" t="s">
        <v>14</v>
      </c>
      <c r="D171" s="21">
        <v>1500</v>
      </c>
      <c r="E171" s="18">
        <v>327000000</v>
      </c>
      <c r="F171" s="18">
        <v>82497000.000000015</v>
      </c>
      <c r="G171" s="18">
        <v>3.6034368191901183</v>
      </c>
      <c r="H171" s="18">
        <v>1614</v>
      </c>
      <c r="I171" s="16">
        <v>0</v>
      </c>
    </row>
    <row r="172" spans="1:9">
      <c r="A172" s="9">
        <v>207</v>
      </c>
      <c r="B172" s="9" t="s">
        <v>980</v>
      </c>
      <c r="C172" s="9" t="s">
        <v>14</v>
      </c>
      <c r="D172" s="21">
        <v>1000</v>
      </c>
      <c r="E172" s="18">
        <v>98000000</v>
      </c>
      <c r="F172" s="18">
        <v>24852500</v>
      </c>
      <c r="G172" s="18">
        <v>3.5847866046035239</v>
      </c>
      <c r="H172" s="18">
        <v>1078</v>
      </c>
      <c r="I172" s="16">
        <v>0</v>
      </c>
    </row>
    <row r="173" spans="1:9">
      <c r="A173" s="9">
        <v>209</v>
      </c>
      <c r="B173" s="9" t="s">
        <v>1403</v>
      </c>
      <c r="C173" s="9" t="s">
        <v>14</v>
      </c>
      <c r="D173" s="21">
        <v>1000</v>
      </c>
      <c r="E173" s="18">
        <v>89000000</v>
      </c>
      <c r="F173" s="18">
        <v>19193000.000000004</v>
      </c>
      <c r="G173" s="18">
        <v>4.2155520715412331</v>
      </c>
      <c r="H173" s="18">
        <v>991</v>
      </c>
      <c r="I173" s="16">
        <v>0</v>
      </c>
    </row>
    <row r="174" spans="1:9">
      <c r="A174" s="9">
        <v>210</v>
      </c>
      <c r="B174" s="9" t="s">
        <v>1404</v>
      </c>
      <c r="C174" s="9" t="s">
        <v>14</v>
      </c>
      <c r="D174" s="21">
        <v>1000</v>
      </c>
      <c r="E174" s="18">
        <v>119000000</v>
      </c>
      <c r="F174" s="18">
        <v>25083500</v>
      </c>
      <c r="G174" s="18">
        <v>4.3128677489910965</v>
      </c>
      <c r="H174" s="18">
        <v>1044</v>
      </c>
      <c r="I174" s="16">
        <v>0</v>
      </c>
    </row>
    <row r="175" spans="1:9">
      <c r="A175" s="9">
        <v>211</v>
      </c>
      <c r="B175" s="9" t="s">
        <v>1405</v>
      </c>
      <c r="C175" s="9" t="s">
        <v>14</v>
      </c>
      <c r="D175" s="21">
        <v>1000</v>
      </c>
      <c r="E175" s="18">
        <v>158000000</v>
      </c>
      <c r="F175" s="18">
        <v>37326500</v>
      </c>
      <c r="G175" s="18">
        <v>3.8481069384047162</v>
      </c>
      <c r="H175" s="18">
        <v>1051</v>
      </c>
      <c r="I175" s="16">
        <v>0</v>
      </c>
    </row>
    <row r="176" spans="1:9">
      <c r="A176" s="9">
        <v>213</v>
      </c>
      <c r="B176" s="9" t="s">
        <v>1406</v>
      </c>
      <c r="C176" s="9" t="s">
        <v>14</v>
      </c>
      <c r="D176" s="21">
        <v>1000</v>
      </c>
      <c r="E176" s="18">
        <v>79000000</v>
      </c>
      <c r="F176" s="18">
        <v>16103345</v>
      </c>
      <c r="G176" s="18">
        <v>4.4598300426515003</v>
      </c>
      <c r="H176" s="18">
        <v>993</v>
      </c>
      <c r="I176" s="16">
        <v>0</v>
      </c>
    </row>
    <row r="177" spans="1:9">
      <c r="A177" s="9">
        <v>214</v>
      </c>
      <c r="B177" s="9" t="s">
        <v>1407</v>
      </c>
      <c r="C177" s="9" t="s">
        <v>14</v>
      </c>
      <c r="D177" s="21">
        <v>1000</v>
      </c>
      <c r="E177" s="18">
        <v>89000000</v>
      </c>
      <c r="F177" s="18">
        <v>18061070</v>
      </c>
      <c r="G177" s="18">
        <v>4.4797506963369784</v>
      </c>
      <c r="H177" s="18">
        <v>956</v>
      </c>
      <c r="I177" s="16">
        <v>0</v>
      </c>
    </row>
    <row r="178" spans="1:9">
      <c r="A178" s="9">
        <v>215</v>
      </c>
      <c r="B178" s="9" t="s">
        <v>1408</v>
      </c>
      <c r="C178" s="9" t="s">
        <v>14</v>
      </c>
      <c r="D178" s="21">
        <v>1500</v>
      </c>
      <c r="E178" s="18">
        <v>118500000</v>
      </c>
      <c r="F178" s="18">
        <v>24546562.499999996</v>
      </c>
      <c r="G178" s="18">
        <v>4.3886907882630304</v>
      </c>
      <c r="H178" s="18">
        <v>1500</v>
      </c>
      <c r="I178" s="16">
        <v>0</v>
      </c>
    </row>
    <row r="179" spans="1:9">
      <c r="A179" s="9">
        <v>216</v>
      </c>
      <c r="B179" s="9" t="s">
        <v>1409</v>
      </c>
      <c r="C179" s="9" t="s">
        <v>14</v>
      </c>
      <c r="D179" s="21">
        <v>1000</v>
      </c>
      <c r="E179" s="18">
        <v>79000000</v>
      </c>
      <c r="F179" s="18">
        <v>16364374.999999996</v>
      </c>
      <c r="G179" s="18">
        <v>4.3886907882630304</v>
      </c>
      <c r="H179" s="18">
        <v>997</v>
      </c>
      <c r="I179" s="16">
        <v>0</v>
      </c>
    </row>
    <row r="180" spans="1:9">
      <c r="A180" s="9">
        <v>217</v>
      </c>
      <c r="B180" s="9" t="s">
        <v>1410</v>
      </c>
      <c r="C180" s="9" t="s">
        <v>14</v>
      </c>
      <c r="D180" s="21">
        <v>1500</v>
      </c>
      <c r="E180" s="18">
        <v>118500000</v>
      </c>
      <c r="F180" s="18">
        <v>23567700</v>
      </c>
      <c r="G180" s="18">
        <v>4.5709709783845138</v>
      </c>
      <c r="H180" s="18">
        <v>1553</v>
      </c>
      <c r="I180" s="16">
        <v>0</v>
      </c>
    </row>
    <row r="181" spans="1:9">
      <c r="A181" s="9">
        <v>218</v>
      </c>
      <c r="B181" s="9" t="s">
        <v>1411</v>
      </c>
      <c r="C181" s="9" t="s">
        <v>14</v>
      </c>
      <c r="D181" s="21">
        <v>1500</v>
      </c>
      <c r="E181" s="18">
        <v>118500000</v>
      </c>
      <c r="F181" s="18">
        <v>22588837.5</v>
      </c>
      <c r="G181" s="18">
        <v>4.7690489927723245</v>
      </c>
      <c r="H181" s="18">
        <v>1527</v>
      </c>
      <c r="I181" s="16">
        <v>0</v>
      </c>
    </row>
    <row r="182" spans="1:9">
      <c r="A182" s="9">
        <v>220</v>
      </c>
      <c r="B182" s="9" t="s">
        <v>1412</v>
      </c>
      <c r="C182" s="9" t="s">
        <v>14</v>
      </c>
      <c r="D182" s="21">
        <v>1000</v>
      </c>
      <c r="E182" s="18">
        <v>109000000</v>
      </c>
      <c r="F182" s="18">
        <v>24700000</v>
      </c>
      <c r="G182" s="18">
        <v>4.0117776959882221</v>
      </c>
      <c r="H182" s="18">
        <v>1019</v>
      </c>
      <c r="I182" s="16">
        <v>0</v>
      </c>
    </row>
    <row r="183" spans="1:9">
      <c r="A183" s="9">
        <v>222</v>
      </c>
      <c r="B183" s="9" t="s">
        <v>1413</v>
      </c>
      <c r="C183" s="9" t="s">
        <v>14</v>
      </c>
      <c r="D183" s="21">
        <v>600</v>
      </c>
      <c r="E183" s="18">
        <v>178800000</v>
      </c>
      <c r="F183" s="18">
        <v>43212000</v>
      </c>
      <c r="G183" s="18">
        <v>3.7615813789098982</v>
      </c>
      <c r="H183" s="18">
        <v>598</v>
      </c>
      <c r="I183" s="16">
        <v>0</v>
      </c>
    </row>
    <row r="184" spans="1:9">
      <c r="A184" s="9">
        <v>224</v>
      </c>
      <c r="B184" s="9" t="s">
        <v>981</v>
      </c>
      <c r="C184" s="9" t="s">
        <v>14</v>
      </c>
      <c r="D184" s="21">
        <v>1000</v>
      </c>
      <c r="E184" s="18">
        <v>75000000</v>
      </c>
      <c r="F184" s="18">
        <v>15059225</v>
      </c>
      <c r="G184" s="18">
        <v>4.5275781576952445</v>
      </c>
      <c r="H184" s="18">
        <v>830</v>
      </c>
      <c r="I184" s="16">
        <v>0</v>
      </c>
    </row>
    <row r="185" spans="1:9">
      <c r="A185" s="9">
        <v>225</v>
      </c>
      <c r="B185" s="9" t="s">
        <v>1414</v>
      </c>
      <c r="C185" s="9" t="s">
        <v>14</v>
      </c>
      <c r="D185" s="21">
        <v>1500</v>
      </c>
      <c r="E185" s="18">
        <v>112500000</v>
      </c>
      <c r="F185" s="18">
        <v>23567700</v>
      </c>
      <c r="G185" s="18">
        <v>4.3395294098587156</v>
      </c>
      <c r="H185" s="18">
        <v>1388</v>
      </c>
      <c r="I185" s="16">
        <v>0</v>
      </c>
    </row>
    <row r="186" spans="1:9">
      <c r="A186" s="9">
        <v>226</v>
      </c>
      <c r="B186" s="9" t="s">
        <v>982</v>
      </c>
      <c r="C186" s="9" t="s">
        <v>14</v>
      </c>
      <c r="D186" s="21">
        <v>1200</v>
      </c>
      <c r="E186" s="18">
        <v>78000000</v>
      </c>
      <c r="F186" s="18">
        <v>15721799.999999998</v>
      </c>
      <c r="G186" s="18">
        <v>4.510239979461061</v>
      </c>
      <c r="H186" s="18">
        <v>1254</v>
      </c>
      <c r="I186" s="16">
        <v>0</v>
      </c>
    </row>
    <row r="187" spans="1:9">
      <c r="A187" s="9">
        <v>227</v>
      </c>
      <c r="B187" s="9" t="s">
        <v>983</v>
      </c>
      <c r="C187" s="9" t="s">
        <v>14</v>
      </c>
      <c r="D187" s="21">
        <v>1200</v>
      </c>
      <c r="E187" s="18">
        <v>78000000</v>
      </c>
      <c r="F187" s="18">
        <v>15721799.999999998</v>
      </c>
      <c r="G187" s="18">
        <v>4.510239979461061</v>
      </c>
      <c r="H187" s="18">
        <v>952</v>
      </c>
      <c r="I187" s="16">
        <v>0</v>
      </c>
    </row>
    <row r="188" spans="1:9">
      <c r="A188" s="9">
        <v>228</v>
      </c>
      <c r="B188" s="9" t="s">
        <v>1415</v>
      </c>
      <c r="C188" s="9" t="s">
        <v>14</v>
      </c>
      <c r="D188" s="21">
        <v>1000</v>
      </c>
      <c r="E188" s="18">
        <v>65000000</v>
      </c>
      <c r="F188" s="18">
        <v>13754075</v>
      </c>
      <c r="G188" s="18">
        <v>4.2962474096519818</v>
      </c>
      <c r="H188" s="18">
        <v>963</v>
      </c>
      <c r="I188" s="16">
        <v>0</v>
      </c>
    </row>
    <row r="189" spans="1:9">
      <c r="A189" s="9">
        <v>229</v>
      </c>
      <c r="B189" s="9" t="s">
        <v>1416</v>
      </c>
      <c r="C189" s="9" t="s">
        <v>14</v>
      </c>
      <c r="D189" s="21">
        <v>1000</v>
      </c>
      <c r="E189" s="18">
        <v>65000000</v>
      </c>
      <c r="F189" s="18">
        <v>13754075</v>
      </c>
      <c r="G189" s="18">
        <v>4.2962474096519818</v>
      </c>
      <c r="H189" s="18">
        <v>1011</v>
      </c>
      <c r="I189" s="16">
        <v>0</v>
      </c>
    </row>
    <row r="190" spans="1:9">
      <c r="A190" s="9">
        <v>231</v>
      </c>
      <c r="B190" s="9" t="s">
        <v>984</v>
      </c>
      <c r="C190" s="9" t="s">
        <v>14</v>
      </c>
      <c r="D190" s="21">
        <v>1000</v>
      </c>
      <c r="E190" s="18">
        <v>89000000</v>
      </c>
      <c r="F190" s="18">
        <v>19655000</v>
      </c>
      <c r="G190" s="18">
        <v>4.1164635415462181</v>
      </c>
      <c r="H190" s="18">
        <v>1048</v>
      </c>
      <c r="I190" s="16">
        <v>0</v>
      </c>
    </row>
    <row r="191" spans="1:9">
      <c r="A191" s="9">
        <v>233</v>
      </c>
      <c r="B191" s="9" t="s">
        <v>985</v>
      </c>
      <c r="C191" s="9" t="s">
        <v>14</v>
      </c>
      <c r="D191" s="21">
        <v>1000</v>
      </c>
      <c r="E191" s="18">
        <v>69000000</v>
      </c>
      <c r="F191" s="18">
        <v>13052520</v>
      </c>
      <c r="G191" s="18">
        <v>4.8057595565662963</v>
      </c>
      <c r="H191" s="18">
        <v>999</v>
      </c>
      <c r="I191" s="16">
        <v>0</v>
      </c>
    </row>
    <row r="192" spans="1:9">
      <c r="A192" s="9">
        <v>234</v>
      </c>
      <c r="B192" s="9" t="s">
        <v>986</v>
      </c>
      <c r="C192" s="9" t="s">
        <v>14</v>
      </c>
      <c r="D192" s="21">
        <v>1000</v>
      </c>
      <c r="E192" s="18">
        <v>69000000</v>
      </c>
      <c r="F192" s="18">
        <v>13052520</v>
      </c>
      <c r="G192" s="18">
        <v>4.8057595565662963</v>
      </c>
      <c r="H192" s="18">
        <v>1000</v>
      </c>
      <c r="I192" s="16">
        <v>0</v>
      </c>
    </row>
    <row r="193" spans="1:9">
      <c r="A193" s="9">
        <v>235</v>
      </c>
      <c r="B193" s="9" t="s">
        <v>987</v>
      </c>
      <c r="C193" s="9" t="s">
        <v>14</v>
      </c>
      <c r="D193" s="21">
        <v>800</v>
      </c>
      <c r="E193" s="18">
        <v>55200000</v>
      </c>
      <c r="F193" s="18">
        <v>10292344</v>
      </c>
      <c r="G193" s="18">
        <v>4.8756452545521389</v>
      </c>
      <c r="H193" s="18">
        <v>785</v>
      </c>
      <c r="I193" s="16">
        <v>0</v>
      </c>
    </row>
    <row r="194" spans="1:9">
      <c r="A194" s="9">
        <v>236</v>
      </c>
      <c r="B194" s="9" t="s">
        <v>988</v>
      </c>
      <c r="C194" s="9" t="s">
        <v>14</v>
      </c>
      <c r="D194" s="21">
        <v>800</v>
      </c>
      <c r="E194" s="18">
        <v>55200000</v>
      </c>
      <c r="F194" s="18">
        <v>10691512</v>
      </c>
      <c r="G194" s="18">
        <v>4.6936128567987554</v>
      </c>
      <c r="H194" s="18">
        <v>800</v>
      </c>
      <c r="I194" s="16">
        <v>0</v>
      </c>
    </row>
    <row r="195" spans="1:9">
      <c r="A195" s="9">
        <v>237</v>
      </c>
      <c r="B195" s="9" t="s">
        <v>989</v>
      </c>
      <c r="C195" s="9" t="s">
        <v>14</v>
      </c>
      <c r="D195" s="21">
        <v>800</v>
      </c>
      <c r="E195" s="18">
        <v>55200000</v>
      </c>
      <c r="F195" s="18">
        <v>10835512</v>
      </c>
      <c r="G195" s="18">
        <v>4.631236454891857</v>
      </c>
      <c r="H195" s="18">
        <v>800</v>
      </c>
      <c r="I195" s="16">
        <v>0</v>
      </c>
    </row>
    <row r="196" spans="1:9">
      <c r="A196" s="9">
        <v>238</v>
      </c>
      <c r="B196" s="9" t="s">
        <v>990</v>
      </c>
      <c r="C196" s="9" t="s">
        <v>14</v>
      </c>
      <c r="D196" s="21">
        <v>1000</v>
      </c>
      <c r="E196" s="18">
        <v>65000000</v>
      </c>
      <c r="F196" s="18">
        <v>11623270.000000002</v>
      </c>
      <c r="G196" s="18">
        <v>5.0838455177337423</v>
      </c>
      <c r="H196" s="18">
        <v>992</v>
      </c>
      <c r="I196" s="16">
        <v>0</v>
      </c>
    </row>
    <row r="197" spans="1:9">
      <c r="A197" s="9">
        <v>240</v>
      </c>
      <c r="B197" s="9" t="s">
        <v>991</v>
      </c>
      <c r="C197" s="9" t="s">
        <v>14</v>
      </c>
      <c r="D197" s="21">
        <v>800</v>
      </c>
      <c r="E197" s="18">
        <v>63200000</v>
      </c>
      <c r="F197" s="18">
        <v>10721906.000000002</v>
      </c>
      <c r="G197" s="18">
        <v>5.3586130539239418</v>
      </c>
      <c r="H197" s="18">
        <v>800</v>
      </c>
      <c r="I197" s="16">
        <v>0</v>
      </c>
    </row>
    <row r="198" spans="1:9">
      <c r="A198" s="9">
        <v>241</v>
      </c>
      <c r="B198" s="9" t="s">
        <v>992</v>
      </c>
      <c r="C198" s="9" t="s">
        <v>14</v>
      </c>
      <c r="D198" s="21">
        <v>800</v>
      </c>
      <c r="E198" s="18">
        <v>63200000</v>
      </c>
      <c r="F198" s="18">
        <v>10362656.000000002</v>
      </c>
      <c r="G198" s="18">
        <v>5.5443841284073736</v>
      </c>
      <c r="H198" s="18">
        <v>800</v>
      </c>
      <c r="I198" s="16">
        <v>0</v>
      </c>
    </row>
    <row r="199" spans="1:9">
      <c r="A199" s="9">
        <v>242</v>
      </c>
      <c r="B199" s="9" t="s">
        <v>1617</v>
      </c>
      <c r="C199" s="9" t="s">
        <v>14</v>
      </c>
      <c r="D199" s="21">
        <v>800</v>
      </c>
      <c r="E199" s="18">
        <v>63200000</v>
      </c>
      <c r="F199" s="18">
        <v>10450672</v>
      </c>
      <c r="G199" s="18">
        <v>5.497689091624486</v>
      </c>
      <c r="H199" s="18">
        <v>800</v>
      </c>
      <c r="I199" s="16">
        <v>0</v>
      </c>
    </row>
    <row r="200" spans="1:9">
      <c r="A200" s="9">
        <v>243</v>
      </c>
      <c r="B200" s="9" t="s">
        <v>993</v>
      </c>
      <c r="C200" s="9" t="s">
        <v>14</v>
      </c>
      <c r="D200" s="21">
        <v>800</v>
      </c>
      <c r="E200" s="18">
        <v>63200000</v>
      </c>
      <c r="F200" s="18">
        <v>9812032</v>
      </c>
      <c r="G200" s="18">
        <v>5.8555195758172669</v>
      </c>
      <c r="H200" s="18">
        <v>800</v>
      </c>
      <c r="I200" s="16">
        <v>0</v>
      </c>
    </row>
    <row r="201" spans="1:9">
      <c r="A201" s="9">
        <v>244</v>
      </c>
      <c r="B201" s="9" t="s">
        <v>994</v>
      </c>
      <c r="C201" s="9" t="s">
        <v>14</v>
      </c>
      <c r="D201" s="21">
        <v>800</v>
      </c>
      <c r="E201" s="18">
        <v>63200000</v>
      </c>
      <c r="F201" s="18">
        <v>10212656.000000002</v>
      </c>
      <c r="G201" s="18">
        <v>5.6258181470662905</v>
      </c>
      <c r="H201" s="18">
        <v>800</v>
      </c>
      <c r="I201" s="16">
        <v>0</v>
      </c>
    </row>
    <row r="202" spans="1:9">
      <c r="A202" s="9">
        <v>245</v>
      </c>
      <c r="B202" s="9" t="s">
        <v>995</v>
      </c>
      <c r="C202" s="9" t="s">
        <v>14</v>
      </c>
      <c r="D202" s="21">
        <v>600</v>
      </c>
      <c r="E202" s="18">
        <v>45000000</v>
      </c>
      <c r="F202" s="18">
        <v>7614492.0000000009</v>
      </c>
      <c r="G202" s="18">
        <v>5.3725305521485742</v>
      </c>
      <c r="H202" s="18">
        <v>596</v>
      </c>
      <c r="I202" s="16">
        <v>0</v>
      </c>
    </row>
    <row r="203" spans="1:9">
      <c r="A203" s="9">
        <v>246</v>
      </c>
      <c r="B203" s="9" t="s">
        <v>996</v>
      </c>
      <c r="C203" s="9" t="s">
        <v>14</v>
      </c>
      <c r="D203" s="21">
        <v>800</v>
      </c>
      <c r="E203" s="18">
        <v>63200000</v>
      </c>
      <c r="F203" s="18">
        <v>10275572</v>
      </c>
      <c r="G203" s="18">
        <v>5.5913719892717841</v>
      </c>
      <c r="H203" s="18">
        <v>800</v>
      </c>
      <c r="I203" s="16">
        <v>0</v>
      </c>
    </row>
    <row r="204" spans="1:9">
      <c r="A204" s="9">
        <v>247</v>
      </c>
      <c r="B204" s="9" t="s">
        <v>997</v>
      </c>
      <c r="C204" s="9" t="s">
        <v>14</v>
      </c>
      <c r="D204" s="21">
        <v>600</v>
      </c>
      <c r="E204" s="18">
        <v>45000000</v>
      </c>
      <c r="F204" s="18">
        <v>7644804</v>
      </c>
      <c r="G204" s="18">
        <v>5.3512282210362629</v>
      </c>
      <c r="H204" s="18">
        <v>596</v>
      </c>
      <c r="I204" s="16">
        <v>0</v>
      </c>
    </row>
    <row r="205" spans="1:9">
      <c r="A205" s="9">
        <v>249</v>
      </c>
      <c r="B205" s="9" t="s">
        <v>998</v>
      </c>
      <c r="C205" s="9" t="s">
        <v>14</v>
      </c>
      <c r="D205" s="21">
        <v>800</v>
      </c>
      <c r="E205" s="18">
        <v>39200000</v>
      </c>
      <c r="F205" s="18">
        <v>4756120</v>
      </c>
      <c r="G205" s="18">
        <v>7.4927385424176922</v>
      </c>
      <c r="H205" s="18">
        <v>800</v>
      </c>
      <c r="I205" s="16">
        <v>0</v>
      </c>
    </row>
    <row r="206" spans="1:9">
      <c r="A206" s="9">
        <v>250</v>
      </c>
      <c r="B206" s="9" t="s">
        <v>999</v>
      </c>
      <c r="C206" s="9" t="s">
        <v>14</v>
      </c>
      <c r="D206" s="21">
        <v>1200</v>
      </c>
      <c r="E206" s="18">
        <v>58800000</v>
      </c>
      <c r="F206" s="18">
        <v>7164768</v>
      </c>
      <c r="G206" s="18">
        <v>7.4607503626838234</v>
      </c>
      <c r="H206" s="18">
        <v>1200</v>
      </c>
      <c r="I206" s="16">
        <v>0</v>
      </c>
    </row>
    <row r="207" spans="1:9">
      <c r="A207" s="9">
        <v>251</v>
      </c>
      <c r="B207" s="9" t="s">
        <v>1000</v>
      </c>
      <c r="C207" s="9" t="s">
        <v>14</v>
      </c>
      <c r="D207" s="21">
        <v>800</v>
      </c>
      <c r="E207" s="18">
        <v>39200000</v>
      </c>
      <c r="F207" s="18">
        <v>5304976.0000000009</v>
      </c>
      <c r="G207" s="18">
        <v>6.7175353170991965</v>
      </c>
      <c r="H207" s="18">
        <v>800</v>
      </c>
      <c r="I207" s="16">
        <v>0</v>
      </c>
    </row>
    <row r="208" spans="1:9">
      <c r="A208" s="9">
        <v>252</v>
      </c>
      <c r="B208" s="9" t="s">
        <v>1001</v>
      </c>
      <c r="C208" s="9" t="s">
        <v>14</v>
      </c>
      <c r="D208" s="21">
        <v>1200</v>
      </c>
      <c r="E208" s="18">
        <v>58800000</v>
      </c>
      <c r="F208" s="18">
        <v>7999020.0000000019</v>
      </c>
      <c r="G208" s="18">
        <v>6.6826368048267719</v>
      </c>
      <c r="H208" s="18">
        <v>1199</v>
      </c>
      <c r="I208" s="16">
        <v>0</v>
      </c>
    </row>
    <row r="209" spans="1:9">
      <c r="A209" s="9">
        <v>254</v>
      </c>
      <c r="B209" s="9" t="s">
        <v>1002</v>
      </c>
      <c r="C209" s="9" t="s">
        <v>14</v>
      </c>
      <c r="D209" s="21">
        <v>1200</v>
      </c>
      <c r="E209" s="18">
        <v>66000000</v>
      </c>
      <c r="F209" s="18">
        <v>8125824.0000000009</v>
      </c>
      <c r="G209" s="18">
        <v>7.3838665469495748</v>
      </c>
      <c r="H209" s="18">
        <v>1200</v>
      </c>
      <c r="I209" s="16">
        <v>0</v>
      </c>
    </row>
    <row r="210" spans="1:9">
      <c r="A210" s="9">
        <v>255</v>
      </c>
      <c r="B210" s="9" t="s">
        <v>1003</v>
      </c>
      <c r="C210" s="9" t="s">
        <v>14</v>
      </c>
      <c r="D210" s="21">
        <v>1200</v>
      </c>
      <c r="E210" s="18">
        <v>70800000</v>
      </c>
      <c r="F210" s="18">
        <v>8867244.0000000019</v>
      </c>
      <c r="G210" s="18">
        <v>7.2585841061367375</v>
      </c>
      <c r="H210" s="18">
        <v>1014</v>
      </c>
      <c r="I210" s="16">
        <v>0</v>
      </c>
    </row>
    <row r="211" spans="1:9">
      <c r="A211" s="9">
        <v>256</v>
      </c>
      <c r="B211" s="9" t="s">
        <v>1004</v>
      </c>
      <c r="C211" s="9" t="s">
        <v>14</v>
      </c>
      <c r="D211" s="21">
        <v>1200</v>
      </c>
      <c r="E211" s="18">
        <v>66000000</v>
      </c>
      <c r="F211" s="18">
        <v>8698044.0000000019</v>
      </c>
      <c r="G211" s="18">
        <v>6.8981026078966705</v>
      </c>
      <c r="H211" s="18">
        <v>1183</v>
      </c>
      <c r="I211" s="16">
        <v>0</v>
      </c>
    </row>
    <row r="212" spans="1:9">
      <c r="A212" s="9">
        <v>257</v>
      </c>
      <c r="B212" s="9" t="s">
        <v>1005</v>
      </c>
      <c r="C212" s="9" t="s">
        <v>14</v>
      </c>
      <c r="D212" s="21">
        <v>1200</v>
      </c>
      <c r="E212" s="18">
        <v>70800000</v>
      </c>
      <c r="F212" s="18">
        <v>8897148.0000000019</v>
      </c>
      <c r="G212" s="18">
        <v>7.2341874456439692</v>
      </c>
      <c r="H212" s="18">
        <v>1198</v>
      </c>
      <c r="I212" s="16">
        <v>0</v>
      </c>
    </row>
    <row r="213" spans="1:9">
      <c r="A213" s="9">
        <v>258</v>
      </c>
      <c r="B213" s="9" t="s">
        <v>1006</v>
      </c>
      <c r="C213" s="9" t="s">
        <v>14</v>
      </c>
      <c r="D213" s="21">
        <v>1200</v>
      </c>
      <c r="E213" s="18">
        <v>66000000</v>
      </c>
      <c r="F213" s="18">
        <v>8897148.0000000019</v>
      </c>
      <c r="G213" s="18">
        <v>6.7437340594986148</v>
      </c>
      <c r="H213" s="18">
        <v>1198</v>
      </c>
      <c r="I213" s="16">
        <v>0</v>
      </c>
    </row>
    <row r="214" spans="1:9">
      <c r="A214" s="9">
        <v>260</v>
      </c>
      <c r="B214" s="9" t="s">
        <v>1007</v>
      </c>
      <c r="C214" s="9" t="s">
        <v>14</v>
      </c>
      <c r="D214" s="21">
        <v>1000</v>
      </c>
      <c r="E214" s="18">
        <v>53000000</v>
      </c>
      <c r="F214" s="18">
        <v>7678520</v>
      </c>
      <c r="G214" s="18">
        <v>6.2748834647585969</v>
      </c>
      <c r="H214" s="18">
        <v>1010</v>
      </c>
      <c r="I214" s="16">
        <v>0</v>
      </c>
    </row>
    <row r="215" spans="1:9">
      <c r="A215" s="9">
        <v>261</v>
      </c>
      <c r="B215" s="9" t="s">
        <v>1008</v>
      </c>
      <c r="C215" s="9" t="s">
        <v>14</v>
      </c>
      <c r="D215" s="21">
        <v>1000</v>
      </c>
      <c r="E215" s="18">
        <v>53000000</v>
      </c>
      <c r="F215" s="18">
        <v>7678520</v>
      </c>
      <c r="G215" s="18">
        <v>6.2748834647585969</v>
      </c>
      <c r="H215" s="18">
        <v>994</v>
      </c>
      <c r="I215" s="16">
        <v>0</v>
      </c>
    </row>
    <row r="216" spans="1:9">
      <c r="A216" s="9">
        <v>262</v>
      </c>
      <c r="B216" s="9" t="s">
        <v>1009</v>
      </c>
      <c r="C216" s="9" t="s">
        <v>14</v>
      </c>
      <c r="D216" s="21">
        <v>1000</v>
      </c>
      <c r="E216" s="18">
        <v>53000000</v>
      </c>
      <c r="F216" s="18">
        <v>6865520</v>
      </c>
      <c r="G216" s="18">
        <v>7.0179415662350664</v>
      </c>
      <c r="H216" s="18">
        <v>1006</v>
      </c>
      <c r="I216" s="16">
        <v>0</v>
      </c>
    </row>
    <row r="217" spans="1:9">
      <c r="A217" s="9">
        <v>264</v>
      </c>
      <c r="B217" s="9" t="s">
        <v>1010</v>
      </c>
      <c r="C217" s="9" t="s">
        <v>14</v>
      </c>
      <c r="D217" s="21">
        <v>1000</v>
      </c>
      <c r="E217" s="18">
        <v>49000000</v>
      </c>
      <c r="F217" s="18">
        <v>7379660.0000000009</v>
      </c>
      <c r="G217" s="18">
        <v>6.0362475433088427</v>
      </c>
      <c r="H217" s="18">
        <v>1013</v>
      </c>
      <c r="I217" s="16">
        <v>0</v>
      </c>
    </row>
    <row r="218" spans="1:9">
      <c r="A218" s="9">
        <v>265</v>
      </c>
      <c r="B218" s="9" t="s">
        <v>1011</v>
      </c>
      <c r="C218" s="9" t="s">
        <v>14</v>
      </c>
      <c r="D218" s="21">
        <v>1000</v>
      </c>
      <c r="E218" s="18">
        <v>49000000</v>
      </c>
      <c r="F218" s="18">
        <v>7379660.0000000009</v>
      </c>
      <c r="G218" s="18">
        <v>6.0362475433088427</v>
      </c>
      <c r="H218" s="18">
        <v>983</v>
      </c>
      <c r="I218" s="16">
        <v>0</v>
      </c>
    </row>
    <row r="219" spans="1:9">
      <c r="A219" s="9">
        <v>266</v>
      </c>
      <c r="B219" s="9" t="s">
        <v>1012</v>
      </c>
      <c r="C219" s="9" t="s">
        <v>14</v>
      </c>
      <c r="D219" s="21">
        <v>1000</v>
      </c>
      <c r="E219" s="18">
        <v>49000000</v>
      </c>
      <c r="F219" s="18">
        <v>7691510.0000000009</v>
      </c>
      <c r="G219" s="18">
        <v>5.7915096704619167</v>
      </c>
      <c r="H219" s="18">
        <v>998</v>
      </c>
      <c r="I219" s="16">
        <v>0</v>
      </c>
    </row>
    <row r="220" spans="1:9">
      <c r="A220" s="9">
        <v>267</v>
      </c>
      <c r="B220" s="9" t="s">
        <v>1013</v>
      </c>
      <c r="C220" s="9" t="s">
        <v>14</v>
      </c>
      <c r="D220" s="21">
        <v>1000</v>
      </c>
      <c r="E220" s="18">
        <v>49000000</v>
      </c>
      <c r="F220" s="18">
        <v>8375730.0000000009</v>
      </c>
      <c r="G220" s="18">
        <v>5.3183966705534367</v>
      </c>
      <c r="H220" s="18">
        <v>997</v>
      </c>
      <c r="I220" s="16">
        <v>0</v>
      </c>
    </row>
    <row r="221" spans="1:9">
      <c r="A221" s="9">
        <v>269</v>
      </c>
      <c r="B221" s="9" t="s">
        <v>1014</v>
      </c>
      <c r="C221" s="9" t="s">
        <v>14</v>
      </c>
      <c r="D221" s="21">
        <v>1000</v>
      </c>
      <c r="E221" s="18">
        <v>59000000</v>
      </c>
      <c r="F221" s="18">
        <v>9375500</v>
      </c>
      <c r="G221" s="18">
        <v>5.7209070061717924</v>
      </c>
      <c r="H221" s="18">
        <v>975</v>
      </c>
      <c r="I221" s="16">
        <v>0</v>
      </c>
    </row>
    <row r="222" spans="1:9">
      <c r="A222" s="9">
        <v>270</v>
      </c>
      <c r="B222" s="9" t="s">
        <v>1015</v>
      </c>
      <c r="C222" s="9" t="s">
        <v>14</v>
      </c>
      <c r="D222" s="21">
        <v>1000</v>
      </c>
      <c r="E222" s="18">
        <v>55000000</v>
      </c>
      <c r="F222" s="18">
        <v>9375500</v>
      </c>
      <c r="G222" s="18">
        <v>5.3330489040584501</v>
      </c>
      <c r="H222" s="18">
        <v>903</v>
      </c>
      <c r="I222" s="16">
        <v>0</v>
      </c>
    </row>
    <row r="223" spans="1:9">
      <c r="A223" s="9">
        <v>271</v>
      </c>
      <c r="B223" s="9" t="s">
        <v>1016</v>
      </c>
      <c r="C223" s="9" t="s">
        <v>14</v>
      </c>
      <c r="D223" s="21">
        <v>1000</v>
      </c>
      <c r="E223" s="18">
        <v>59000000</v>
      </c>
      <c r="F223" s="18">
        <v>9001280</v>
      </c>
      <c r="G223" s="18">
        <v>5.9587484931436014</v>
      </c>
      <c r="H223" s="18">
        <v>1015</v>
      </c>
      <c r="I223" s="16">
        <v>0</v>
      </c>
    </row>
    <row r="224" spans="1:9">
      <c r="A224" s="9">
        <v>272</v>
      </c>
      <c r="B224" s="9" t="s">
        <v>1017</v>
      </c>
      <c r="C224" s="9" t="s">
        <v>14</v>
      </c>
      <c r="D224" s="21">
        <v>1000</v>
      </c>
      <c r="E224" s="18">
        <v>59000000</v>
      </c>
      <c r="F224" s="18">
        <v>9562610</v>
      </c>
      <c r="G224" s="18">
        <v>5.608966969934321</v>
      </c>
      <c r="H224" s="18">
        <v>987</v>
      </c>
      <c r="I224" s="16">
        <v>0</v>
      </c>
    </row>
    <row r="225" spans="1:9">
      <c r="A225" s="9">
        <v>274</v>
      </c>
      <c r="B225" s="9" t="s">
        <v>1018</v>
      </c>
      <c r="C225" s="9" t="s">
        <v>14</v>
      </c>
      <c r="D225" s="21">
        <v>2000</v>
      </c>
      <c r="E225" s="18">
        <v>90000000</v>
      </c>
      <c r="F225" s="18">
        <v>12449052.000000004</v>
      </c>
      <c r="G225" s="18">
        <v>6.5722419520925603</v>
      </c>
      <c r="H225" s="18">
        <v>2000</v>
      </c>
      <c r="I225" s="16">
        <v>0</v>
      </c>
    </row>
    <row r="226" spans="1:9">
      <c r="A226" s="9">
        <v>275</v>
      </c>
      <c r="B226" s="9" t="s">
        <v>1019</v>
      </c>
      <c r="C226" s="9" t="s">
        <v>14</v>
      </c>
      <c r="D226" s="21">
        <v>2000</v>
      </c>
      <c r="E226" s="18">
        <v>58000000</v>
      </c>
      <c r="F226" s="18">
        <v>9473660</v>
      </c>
      <c r="G226" s="18">
        <v>5.5656707890374708</v>
      </c>
      <c r="H226" s="18">
        <v>2000</v>
      </c>
      <c r="I226" s="16">
        <v>0</v>
      </c>
    </row>
    <row r="227" spans="1:9">
      <c r="A227" s="9">
        <v>276</v>
      </c>
      <c r="B227" s="9" t="s">
        <v>1020</v>
      </c>
      <c r="C227" s="9" t="s">
        <v>14</v>
      </c>
      <c r="D227" s="21">
        <v>2000</v>
      </c>
      <c r="E227" s="18">
        <v>58000000</v>
      </c>
      <c r="F227" s="18">
        <v>9989660</v>
      </c>
      <c r="G227" s="18">
        <v>5.2781849159303444</v>
      </c>
      <c r="H227" s="18">
        <v>2000</v>
      </c>
      <c r="I227" s="16">
        <v>0</v>
      </c>
    </row>
    <row r="228" spans="1:9">
      <c r="A228" s="9">
        <v>277</v>
      </c>
      <c r="B228" s="9" t="s">
        <v>1021</v>
      </c>
      <c r="C228" s="9" t="s">
        <v>14</v>
      </c>
      <c r="D228" s="21">
        <v>800</v>
      </c>
      <c r="E228" s="18">
        <v>31200000</v>
      </c>
      <c r="F228" s="18">
        <v>5439624.0000000009</v>
      </c>
      <c r="G228" s="18">
        <v>5.2142641409840751</v>
      </c>
      <c r="H228" s="18">
        <v>795</v>
      </c>
      <c r="I228" s="16">
        <v>0</v>
      </c>
    </row>
    <row r="229" spans="1:9">
      <c r="A229" s="9">
        <v>278</v>
      </c>
      <c r="B229" s="9" t="s">
        <v>1022</v>
      </c>
      <c r="C229" s="9" t="s">
        <v>14</v>
      </c>
      <c r="D229" s="21">
        <v>800</v>
      </c>
      <c r="E229" s="18">
        <v>31200000</v>
      </c>
      <c r="F229" s="18">
        <v>5439624.0000000009</v>
      </c>
      <c r="G229" s="18">
        <v>5.2142641409840751</v>
      </c>
      <c r="H229" s="18">
        <v>800</v>
      </c>
      <c r="I229" s="16">
        <v>0</v>
      </c>
    </row>
    <row r="230" spans="1:9">
      <c r="A230" s="9">
        <v>279</v>
      </c>
      <c r="B230" s="9" t="s">
        <v>1023</v>
      </c>
      <c r="C230" s="9" t="s">
        <v>14</v>
      </c>
      <c r="D230" s="21">
        <v>1000</v>
      </c>
      <c r="E230" s="18">
        <v>39000000</v>
      </c>
      <c r="F230" s="18">
        <v>6779230</v>
      </c>
      <c r="G230" s="18">
        <v>5.2298779440357457</v>
      </c>
      <c r="H230" s="18">
        <v>994</v>
      </c>
      <c r="I230" s="16">
        <v>0</v>
      </c>
    </row>
    <row r="231" spans="1:9">
      <c r="A231" s="9">
        <v>281</v>
      </c>
      <c r="B231" s="9" t="s">
        <v>1024</v>
      </c>
      <c r="C231" s="9" t="s">
        <v>14</v>
      </c>
      <c r="D231" s="21">
        <v>1200</v>
      </c>
      <c r="E231" s="18">
        <v>54000000</v>
      </c>
      <c r="F231" s="18">
        <v>9431340.0000000019</v>
      </c>
      <c r="G231" s="18">
        <v>5.2050831685538927</v>
      </c>
      <c r="H231" s="18">
        <v>1189</v>
      </c>
      <c r="I231" s="16">
        <v>0</v>
      </c>
    </row>
    <row r="232" spans="1:9">
      <c r="A232" s="9">
        <v>282</v>
      </c>
      <c r="B232" s="9" t="s">
        <v>1025</v>
      </c>
      <c r="C232" s="9" t="s">
        <v>14</v>
      </c>
      <c r="D232" s="21">
        <v>1200</v>
      </c>
      <c r="E232" s="18">
        <v>54000000</v>
      </c>
      <c r="F232" s="18">
        <v>8765340.0000000019</v>
      </c>
      <c r="G232" s="18">
        <v>5.6005710093286822</v>
      </c>
      <c r="H232" s="18">
        <v>1189</v>
      </c>
      <c r="I232" s="16">
        <v>0</v>
      </c>
    </row>
    <row r="233" spans="1:9">
      <c r="A233" s="9">
        <v>283</v>
      </c>
      <c r="B233" s="9" t="s">
        <v>1026</v>
      </c>
      <c r="C233" s="9" t="s">
        <v>14</v>
      </c>
      <c r="D233" s="21">
        <v>1200</v>
      </c>
      <c r="E233" s="18">
        <v>46800000</v>
      </c>
      <c r="F233" s="18">
        <v>7791828</v>
      </c>
      <c r="G233" s="18">
        <v>5.4602661333713405</v>
      </c>
      <c r="H233" s="18">
        <v>1188</v>
      </c>
      <c r="I233" s="16">
        <v>0</v>
      </c>
    </row>
    <row r="234" spans="1:9">
      <c r="A234" s="9">
        <v>284</v>
      </c>
      <c r="B234" s="9" t="s">
        <v>1027</v>
      </c>
      <c r="C234" s="9" t="s">
        <v>14</v>
      </c>
      <c r="D234" s="21">
        <v>1200</v>
      </c>
      <c r="E234" s="18">
        <v>46800000</v>
      </c>
      <c r="F234" s="18">
        <v>8244228</v>
      </c>
      <c r="G234" s="18">
        <v>5.1606353615468352</v>
      </c>
      <c r="H234" s="18">
        <v>1173</v>
      </c>
      <c r="I234" s="16">
        <v>0</v>
      </c>
    </row>
    <row r="235" spans="1:9">
      <c r="A235" s="9">
        <v>286</v>
      </c>
      <c r="B235" s="9" t="s">
        <v>1028</v>
      </c>
      <c r="C235" s="9" t="s">
        <v>14</v>
      </c>
      <c r="D235" s="21">
        <v>2000</v>
      </c>
      <c r="E235" s="18">
        <v>78000000</v>
      </c>
      <c r="F235" s="18">
        <v>10925500</v>
      </c>
      <c r="G235" s="18">
        <v>6.4902376009419154</v>
      </c>
      <c r="H235" s="18">
        <v>2000</v>
      </c>
      <c r="I235" s="16">
        <v>0</v>
      </c>
    </row>
    <row r="236" spans="1:9">
      <c r="A236" s="9">
        <v>287</v>
      </c>
      <c r="B236" s="9" t="s">
        <v>1029</v>
      </c>
      <c r="C236" s="9" t="s">
        <v>14</v>
      </c>
      <c r="D236" s="21">
        <v>1000</v>
      </c>
      <c r="E236" s="18">
        <v>39000000</v>
      </c>
      <c r="F236" s="18">
        <v>5865640</v>
      </c>
      <c r="G236" s="18">
        <v>6.0444462078384369</v>
      </c>
      <c r="H236" s="18">
        <v>998</v>
      </c>
      <c r="I236" s="16">
        <v>0</v>
      </c>
    </row>
    <row r="237" spans="1:9">
      <c r="A237" s="9">
        <v>288</v>
      </c>
      <c r="B237" s="9" t="s">
        <v>1030</v>
      </c>
      <c r="C237" s="9" t="s">
        <v>14</v>
      </c>
      <c r="D237" s="21">
        <v>1000</v>
      </c>
      <c r="E237" s="18">
        <v>45000000</v>
      </c>
      <c r="F237" s="18">
        <v>7467850.0000000009</v>
      </c>
      <c r="G237" s="18">
        <v>5.478027934290445</v>
      </c>
      <c r="H237" s="18">
        <v>998</v>
      </c>
      <c r="I237" s="16">
        <v>0</v>
      </c>
    </row>
    <row r="238" spans="1:9">
      <c r="A238" s="9">
        <v>289</v>
      </c>
      <c r="B238" s="9" t="s">
        <v>1031</v>
      </c>
      <c r="C238" s="9" t="s">
        <v>14</v>
      </c>
      <c r="D238" s="21">
        <v>1000</v>
      </c>
      <c r="E238" s="18">
        <v>45000000</v>
      </c>
      <c r="F238" s="18">
        <v>7467850.0000000009</v>
      </c>
      <c r="G238" s="18">
        <v>5.478027934290445</v>
      </c>
      <c r="H238" s="18">
        <v>1000</v>
      </c>
      <c r="I238" s="16">
        <v>0</v>
      </c>
    </row>
    <row r="239" spans="1:9">
      <c r="A239" s="9">
        <v>290</v>
      </c>
      <c r="B239" s="9" t="s">
        <v>1032</v>
      </c>
      <c r="C239" s="9" t="s">
        <v>14</v>
      </c>
      <c r="D239" s="21">
        <v>1000</v>
      </c>
      <c r="E239" s="18">
        <v>49000000</v>
      </c>
      <c r="F239" s="18">
        <v>8063150</v>
      </c>
      <c r="G239" s="18">
        <v>5.5245722261714771</v>
      </c>
      <c r="H239" s="18">
        <v>921</v>
      </c>
      <c r="I239" s="16">
        <v>0</v>
      </c>
    </row>
    <row r="240" spans="1:9">
      <c r="A240" s="9">
        <v>291</v>
      </c>
      <c r="B240" s="9" t="s">
        <v>1033</v>
      </c>
      <c r="C240" s="9" t="s">
        <v>14</v>
      </c>
      <c r="D240" s="21">
        <v>800</v>
      </c>
      <c r="E240" s="18">
        <v>36000000</v>
      </c>
      <c r="F240" s="18">
        <v>6210520</v>
      </c>
      <c r="G240" s="18">
        <v>5.2696509675957444</v>
      </c>
      <c r="H240" s="18">
        <v>798</v>
      </c>
      <c r="I240" s="16">
        <v>0</v>
      </c>
    </row>
    <row r="241" spans="1:9">
      <c r="A241" s="9">
        <v>292</v>
      </c>
      <c r="B241" s="9" t="s">
        <v>1034</v>
      </c>
      <c r="C241" s="9" t="s">
        <v>14</v>
      </c>
      <c r="D241" s="21">
        <v>2000</v>
      </c>
      <c r="E241" s="18">
        <v>98000000</v>
      </c>
      <c r="F241" s="18">
        <v>14437780</v>
      </c>
      <c r="G241" s="18">
        <v>6.1706792242927291</v>
      </c>
      <c r="H241" s="18">
        <v>2000</v>
      </c>
      <c r="I241" s="16">
        <v>0</v>
      </c>
    </row>
    <row r="242" spans="1:9">
      <c r="A242" s="9">
        <v>293</v>
      </c>
      <c r="B242" s="9" t="s">
        <v>1035</v>
      </c>
      <c r="C242" s="9" t="s">
        <v>14</v>
      </c>
      <c r="D242" s="21">
        <v>1200</v>
      </c>
      <c r="E242" s="18">
        <v>54000000</v>
      </c>
      <c r="F242" s="18">
        <v>8302668</v>
      </c>
      <c r="G242" s="18">
        <v>5.912666758553887</v>
      </c>
      <c r="H242" s="18">
        <v>1198</v>
      </c>
      <c r="I242" s="16">
        <v>0</v>
      </c>
    </row>
    <row r="243" spans="1:9">
      <c r="A243" s="9">
        <v>294</v>
      </c>
      <c r="B243" s="9" t="s">
        <v>1036</v>
      </c>
      <c r="C243" s="9" t="s">
        <v>14</v>
      </c>
      <c r="D243" s="21">
        <v>2000</v>
      </c>
      <c r="E243" s="18">
        <v>98000000</v>
      </c>
      <c r="F243" s="18">
        <v>14437780</v>
      </c>
      <c r="G243" s="18">
        <v>6.1706792242927291</v>
      </c>
      <c r="H243" s="18">
        <v>2000</v>
      </c>
      <c r="I243" s="16">
        <v>0</v>
      </c>
    </row>
    <row r="244" spans="1:9">
      <c r="A244" s="9">
        <v>295</v>
      </c>
      <c r="B244" s="9" t="s">
        <v>1037</v>
      </c>
      <c r="C244" s="9" t="s">
        <v>14</v>
      </c>
      <c r="D244" s="21">
        <v>800</v>
      </c>
      <c r="E244" s="18">
        <v>36000000</v>
      </c>
      <c r="F244" s="18">
        <v>5689304.0000000019</v>
      </c>
      <c r="G244" s="18">
        <v>5.7524211621092345</v>
      </c>
      <c r="H244" s="18">
        <v>800</v>
      </c>
      <c r="I244" s="16">
        <v>0</v>
      </c>
    </row>
    <row r="245" spans="1:9">
      <c r="A245" s="9">
        <v>296</v>
      </c>
      <c r="B245" s="9" t="s">
        <v>1038</v>
      </c>
      <c r="C245" s="9" t="s">
        <v>14</v>
      </c>
      <c r="D245" s="21">
        <v>800</v>
      </c>
      <c r="E245" s="18">
        <v>36000000</v>
      </c>
      <c r="F245" s="18">
        <v>5689304.0000000019</v>
      </c>
      <c r="G245" s="18">
        <v>5.7524211621092345</v>
      </c>
      <c r="H245" s="18">
        <v>800</v>
      </c>
      <c r="I245" s="16">
        <v>0</v>
      </c>
    </row>
    <row r="246" spans="1:9">
      <c r="A246" s="9">
        <v>297</v>
      </c>
      <c r="B246" s="9" t="s">
        <v>1039</v>
      </c>
      <c r="C246" s="9" t="s">
        <v>14</v>
      </c>
      <c r="D246" s="21">
        <v>800</v>
      </c>
      <c r="E246" s="18">
        <v>36000000</v>
      </c>
      <c r="F246" s="18">
        <v>6173360</v>
      </c>
      <c r="G246" s="18">
        <v>5.3013711702011097</v>
      </c>
      <c r="H246" s="18">
        <v>800</v>
      </c>
      <c r="I246" s="16">
        <v>0</v>
      </c>
    </row>
    <row r="247" spans="1:9">
      <c r="A247" s="9">
        <v>298</v>
      </c>
      <c r="B247" s="9" t="s">
        <v>1040</v>
      </c>
      <c r="C247" s="9" t="s">
        <v>14</v>
      </c>
      <c r="D247" s="21">
        <v>800</v>
      </c>
      <c r="E247" s="18">
        <v>36000000</v>
      </c>
      <c r="F247" s="18">
        <v>6173360</v>
      </c>
      <c r="G247" s="18">
        <v>5.3013711702011097</v>
      </c>
      <c r="H247" s="18">
        <v>799</v>
      </c>
      <c r="I247" s="16">
        <v>0</v>
      </c>
    </row>
    <row r="248" spans="1:9">
      <c r="A248" s="9">
        <v>299</v>
      </c>
      <c r="B248" s="9" t="s">
        <v>1041</v>
      </c>
      <c r="C248" s="9" t="s">
        <v>14</v>
      </c>
      <c r="D248" s="21">
        <v>800</v>
      </c>
      <c r="E248" s="18">
        <v>39200000</v>
      </c>
      <c r="F248" s="18">
        <v>6520296.0000000009</v>
      </c>
      <c r="G248" s="18">
        <v>5.4654518194210242</v>
      </c>
      <c r="H248" s="18">
        <v>800</v>
      </c>
      <c r="I248" s="16">
        <v>0</v>
      </c>
    </row>
    <row r="249" spans="1:9">
      <c r="A249" s="9">
        <v>300</v>
      </c>
      <c r="B249" s="9" t="s">
        <v>1042</v>
      </c>
      <c r="C249" s="9" t="s">
        <v>14</v>
      </c>
      <c r="D249" s="21">
        <v>800</v>
      </c>
      <c r="E249" s="18">
        <v>39200000</v>
      </c>
      <c r="F249" s="18">
        <v>6584296.0000000009</v>
      </c>
      <c r="G249" s="18">
        <v>5.4123270940983863</v>
      </c>
      <c r="H249" s="18">
        <v>798</v>
      </c>
      <c r="I249" s="16">
        <v>0</v>
      </c>
    </row>
    <row r="250" spans="1:9">
      <c r="A250" s="9">
        <v>301</v>
      </c>
      <c r="B250" s="9" t="s">
        <v>1043</v>
      </c>
      <c r="C250" s="9" t="s">
        <v>14</v>
      </c>
      <c r="D250" s="21">
        <v>1000</v>
      </c>
      <c r="E250" s="18">
        <v>49000000</v>
      </c>
      <c r="F250" s="18">
        <v>8055700</v>
      </c>
      <c r="G250" s="18">
        <v>5.5296814113552575</v>
      </c>
      <c r="H250" s="18">
        <v>1000</v>
      </c>
      <c r="I250" s="16">
        <v>0</v>
      </c>
    </row>
    <row r="251" spans="1:9">
      <c r="A251" s="9">
        <v>302</v>
      </c>
      <c r="B251" s="9" t="s">
        <v>1044</v>
      </c>
      <c r="C251" s="9" t="s">
        <v>14</v>
      </c>
      <c r="D251" s="21">
        <v>1200</v>
      </c>
      <c r="E251" s="18">
        <v>46800000</v>
      </c>
      <c r="F251" s="18">
        <v>6735384</v>
      </c>
      <c r="G251" s="18">
        <v>6.3167080815963192</v>
      </c>
      <c r="H251" s="18">
        <v>1200</v>
      </c>
      <c r="I251" s="16">
        <v>0</v>
      </c>
    </row>
    <row r="252" spans="1:9">
      <c r="A252" s="9">
        <v>303</v>
      </c>
      <c r="B252" s="9" t="s">
        <v>1045</v>
      </c>
      <c r="C252" s="9" t="s">
        <v>14</v>
      </c>
      <c r="D252" s="21">
        <v>1200</v>
      </c>
      <c r="E252" s="18">
        <v>46800000</v>
      </c>
      <c r="F252" s="18">
        <v>6729072.0000000019</v>
      </c>
      <c r="G252" s="18">
        <v>6.322633276245897</v>
      </c>
      <c r="H252" s="18">
        <v>1200</v>
      </c>
      <c r="I252" s="16">
        <v>0</v>
      </c>
    </row>
    <row r="253" spans="1:9">
      <c r="A253" s="9">
        <v>305</v>
      </c>
      <c r="B253" s="9" t="s">
        <v>1046</v>
      </c>
      <c r="C253" s="9" t="s">
        <v>14</v>
      </c>
      <c r="D253" s="21">
        <v>1000</v>
      </c>
      <c r="E253" s="18">
        <v>55000000</v>
      </c>
      <c r="F253" s="18">
        <v>6219400.0000000009</v>
      </c>
      <c r="G253" s="18">
        <v>8.0393607100363358</v>
      </c>
      <c r="H253" s="18">
        <v>999</v>
      </c>
      <c r="I253" s="16">
        <v>0</v>
      </c>
    </row>
    <row r="254" spans="1:9">
      <c r="A254" s="9">
        <v>306</v>
      </c>
      <c r="B254" s="9" t="s">
        <v>1047</v>
      </c>
      <c r="C254" s="9" t="s">
        <v>14</v>
      </c>
      <c r="D254" s="21">
        <v>1000</v>
      </c>
      <c r="E254" s="18">
        <v>49000000</v>
      </c>
      <c r="F254" s="18">
        <v>7830780.0000000009</v>
      </c>
      <c r="G254" s="18">
        <v>5.688507983298539</v>
      </c>
      <c r="H254" s="18">
        <v>988</v>
      </c>
      <c r="I254" s="16">
        <v>0</v>
      </c>
    </row>
    <row r="255" spans="1:9">
      <c r="A255" s="9">
        <v>307</v>
      </c>
      <c r="B255" s="9" t="s">
        <v>1048</v>
      </c>
      <c r="C255" s="9" t="s">
        <v>14</v>
      </c>
      <c r="D255" s="21">
        <v>1000</v>
      </c>
      <c r="E255" s="18">
        <v>59000000</v>
      </c>
      <c r="F255" s="18">
        <v>11095500</v>
      </c>
      <c r="G255" s="18">
        <v>4.8340645880188928</v>
      </c>
      <c r="H255" s="18">
        <v>999</v>
      </c>
      <c r="I255" s="16">
        <v>0</v>
      </c>
    </row>
    <row r="256" spans="1:9">
      <c r="A256" s="9">
        <v>308</v>
      </c>
      <c r="B256" s="9" t="s">
        <v>1049</v>
      </c>
      <c r="C256" s="9" t="s">
        <v>14</v>
      </c>
      <c r="D256" s="21">
        <v>800</v>
      </c>
      <c r="E256" s="18">
        <v>39200000</v>
      </c>
      <c r="F256" s="18">
        <v>6844104.0000000009</v>
      </c>
      <c r="G256" s="18">
        <v>5.2068705613420878</v>
      </c>
      <c r="H256" s="18">
        <v>776</v>
      </c>
      <c r="I256" s="16">
        <v>0</v>
      </c>
    </row>
    <row r="257" spans="1:9">
      <c r="A257" s="9">
        <v>309</v>
      </c>
      <c r="B257" s="9" t="s">
        <v>1050</v>
      </c>
      <c r="C257" s="9" t="s">
        <v>14</v>
      </c>
      <c r="D257" s="21">
        <v>1200</v>
      </c>
      <c r="E257" s="18">
        <v>58800000</v>
      </c>
      <c r="F257" s="18">
        <v>10709259.999999998</v>
      </c>
      <c r="G257" s="18">
        <v>4.9914322235659103</v>
      </c>
      <c r="H257" s="18">
        <v>800</v>
      </c>
      <c r="I257" s="16">
        <v>0</v>
      </c>
    </row>
    <row r="258" spans="1:9">
      <c r="A258" s="9">
        <v>311</v>
      </c>
      <c r="B258" s="9" t="s">
        <v>1051</v>
      </c>
      <c r="C258" s="9" t="s">
        <v>14</v>
      </c>
      <c r="D258" s="21">
        <v>1000</v>
      </c>
      <c r="E258" s="18">
        <v>89000000</v>
      </c>
      <c r="F258" s="18">
        <v>19193000.000000004</v>
      </c>
      <c r="G258" s="18">
        <v>4.2155520715412331</v>
      </c>
      <c r="H258" s="18">
        <v>1046</v>
      </c>
      <c r="I258" s="16">
        <v>0</v>
      </c>
    </row>
    <row r="259" spans="1:9">
      <c r="A259" s="9">
        <v>312</v>
      </c>
      <c r="B259" s="9" t="s">
        <v>1052</v>
      </c>
      <c r="C259" s="9" t="s">
        <v>14</v>
      </c>
      <c r="D259" s="21">
        <v>1200</v>
      </c>
      <c r="E259" s="18">
        <v>94800000</v>
      </c>
      <c r="F259" s="18">
        <v>21299100</v>
      </c>
      <c r="G259" s="18">
        <v>4.0462657192941567</v>
      </c>
      <c r="H259" s="18">
        <v>1252</v>
      </c>
      <c r="I259" s="16">
        <v>0</v>
      </c>
    </row>
    <row r="260" spans="1:9">
      <c r="A260" s="9">
        <v>313</v>
      </c>
      <c r="B260" s="9" t="s">
        <v>1053</v>
      </c>
      <c r="C260" s="9" t="s">
        <v>14</v>
      </c>
      <c r="D260" s="21">
        <v>1200</v>
      </c>
      <c r="E260" s="18">
        <v>94800000</v>
      </c>
      <c r="F260" s="18">
        <v>21299100</v>
      </c>
      <c r="G260" s="18">
        <v>4.0462657192941567</v>
      </c>
      <c r="H260" s="18">
        <v>1259</v>
      </c>
      <c r="I260" s="16">
        <v>0</v>
      </c>
    </row>
    <row r="261" spans="1:9">
      <c r="A261" s="9">
        <v>314</v>
      </c>
      <c r="B261" s="9" t="s">
        <v>1054</v>
      </c>
      <c r="C261" s="9" t="s">
        <v>14</v>
      </c>
      <c r="D261" s="21">
        <v>1000</v>
      </c>
      <c r="E261" s="18">
        <v>159000000</v>
      </c>
      <c r="F261" s="18">
        <v>35998250</v>
      </c>
      <c r="G261" s="18">
        <v>4.0153467056163716</v>
      </c>
      <c r="H261" s="18">
        <v>1021</v>
      </c>
      <c r="I261" s="16">
        <v>0</v>
      </c>
    </row>
    <row r="262" spans="1:9">
      <c r="A262" s="9">
        <v>315</v>
      </c>
      <c r="B262" s="9" t="s">
        <v>1055</v>
      </c>
      <c r="C262" s="9" t="s">
        <v>14</v>
      </c>
      <c r="D262" s="21">
        <v>1000</v>
      </c>
      <c r="E262" s="18">
        <v>119000000</v>
      </c>
      <c r="F262" s="18">
        <v>24044000.000000004</v>
      </c>
      <c r="G262" s="18">
        <v>4.4993269914248106</v>
      </c>
      <c r="H262" s="18">
        <v>1051</v>
      </c>
      <c r="I262" s="16">
        <v>0</v>
      </c>
    </row>
    <row r="263" spans="1:9">
      <c r="A263" s="9">
        <v>316</v>
      </c>
      <c r="B263" s="9" t="s">
        <v>1056</v>
      </c>
      <c r="C263" s="9" t="s">
        <v>14</v>
      </c>
      <c r="D263" s="21">
        <v>1000</v>
      </c>
      <c r="E263" s="18">
        <v>119000000</v>
      </c>
      <c r="F263" s="18">
        <v>24044000.000000004</v>
      </c>
      <c r="G263" s="18">
        <v>4.4993269914248106</v>
      </c>
      <c r="H263" s="18">
        <v>1050</v>
      </c>
      <c r="I263" s="16">
        <v>0</v>
      </c>
    </row>
    <row r="264" spans="1:9">
      <c r="A264" s="9">
        <v>317</v>
      </c>
      <c r="B264" s="9" t="s">
        <v>1057</v>
      </c>
      <c r="C264" s="9" t="s">
        <v>14</v>
      </c>
      <c r="D264" s="21">
        <v>1000</v>
      </c>
      <c r="E264" s="18">
        <v>119000000</v>
      </c>
      <c r="F264" s="18">
        <v>23928500</v>
      </c>
      <c r="G264" s="18">
        <v>4.5210447032542014</v>
      </c>
      <c r="H264" s="18">
        <v>1050</v>
      </c>
      <c r="I264" s="16">
        <v>0</v>
      </c>
    </row>
    <row r="265" spans="1:9">
      <c r="A265" s="9">
        <v>318</v>
      </c>
      <c r="B265" s="9" t="s">
        <v>1058</v>
      </c>
      <c r="C265" s="9" t="s">
        <v>14</v>
      </c>
      <c r="D265" s="21">
        <v>1000</v>
      </c>
      <c r="E265" s="18">
        <v>159000000</v>
      </c>
      <c r="F265" s="18">
        <v>35825000.000000007</v>
      </c>
      <c r="G265" s="18">
        <v>4.0347649559094068</v>
      </c>
      <c r="H265" s="18">
        <v>1053</v>
      </c>
      <c r="I265" s="16">
        <v>0</v>
      </c>
    </row>
    <row r="266" spans="1:9">
      <c r="A266" s="9">
        <v>319</v>
      </c>
      <c r="B266" s="9" t="s">
        <v>1059</v>
      </c>
      <c r="C266" s="9" t="s">
        <v>14</v>
      </c>
      <c r="D266" s="21">
        <v>1000</v>
      </c>
      <c r="E266" s="18">
        <v>159000000</v>
      </c>
      <c r="F266" s="18">
        <v>35825000.000000007</v>
      </c>
      <c r="G266" s="18">
        <v>4.0347649559094068</v>
      </c>
      <c r="H266" s="18">
        <v>1053</v>
      </c>
      <c r="I266" s="16">
        <v>0</v>
      </c>
    </row>
    <row r="267" spans="1:9">
      <c r="A267" s="9">
        <v>321</v>
      </c>
      <c r="B267" s="9" t="s">
        <v>1060</v>
      </c>
      <c r="C267" s="9" t="s">
        <v>14</v>
      </c>
      <c r="D267" s="21">
        <v>1000</v>
      </c>
      <c r="E267" s="18">
        <v>109000000</v>
      </c>
      <c r="F267" s="18">
        <v>24804000</v>
      </c>
      <c r="G267" s="18">
        <v>3.9949568251455037</v>
      </c>
      <c r="H267" s="18">
        <v>1024</v>
      </c>
      <c r="I267" s="16">
        <v>0</v>
      </c>
    </row>
    <row r="268" spans="1:9">
      <c r="A268" s="9">
        <v>322</v>
      </c>
      <c r="B268" s="9" t="s">
        <v>1061</v>
      </c>
      <c r="C268" s="9" t="s">
        <v>14</v>
      </c>
      <c r="D268" s="21">
        <v>1000</v>
      </c>
      <c r="E268" s="18">
        <v>109000000</v>
      </c>
      <c r="F268" s="18">
        <v>25129000</v>
      </c>
      <c r="G268" s="18">
        <v>3.9432889924353964</v>
      </c>
      <c r="H268" s="18">
        <v>989</v>
      </c>
      <c r="I268" s="16">
        <v>0</v>
      </c>
    </row>
    <row r="269" spans="1:9">
      <c r="A269" s="9">
        <v>323</v>
      </c>
      <c r="B269" s="9" t="s">
        <v>1062</v>
      </c>
      <c r="C269" s="9" t="s">
        <v>14</v>
      </c>
      <c r="D269" s="21">
        <v>1000</v>
      </c>
      <c r="E269" s="18">
        <v>99000000</v>
      </c>
      <c r="F269" s="18">
        <v>22325000</v>
      </c>
      <c r="G269" s="18">
        <v>4.0313549832026867</v>
      </c>
      <c r="H269" s="18">
        <v>1014</v>
      </c>
      <c r="I269" s="16">
        <v>0</v>
      </c>
    </row>
    <row r="270" spans="1:9">
      <c r="A270" s="9">
        <v>324</v>
      </c>
      <c r="B270" s="9" t="s">
        <v>1063</v>
      </c>
      <c r="C270" s="9" t="s">
        <v>14</v>
      </c>
      <c r="D270" s="21">
        <v>1000</v>
      </c>
      <c r="E270" s="18">
        <v>99000000</v>
      </c>
      <c r="F270" s="18">
        <v>22620000</v>
      </c>
      <c r="G270" s="18">
        <v>3.978779840848806</v>
      </c>
      <c r="H270" s="18">
        <v>1000</v>
      </c>
      <c r="I270" s="16">
        <v>0</v>
      </c>
    </row>
    <row r="271" spans="1:9">
      <c r="A271" s="9">
        <v>325</v>
      </c>
      <c r="B271" s="9" t="s">
        <v>1064</v>
      </c>
      <c r="C271" s="9" t="s">
        <v>14</v>
      </c>
      <c r="D271" s="21">
        <v>1000</v>
      </c>
      <c r="E271" s="18">
        <v>99000000</v>
      </c>
      <c r="F271" s="18">
        <v>23740000</v>
      </c>
      <c r="G271" s="18">
        <v>3.791069924178601</v>
      </c>
      <c r="H271" s="18">
        <v>1001</v>
      </c>
      <c r="I271" s="16">
        <v>0</v>
      </c>
    </row>
    <row r="272" spans="1:9">
      <c r="A272" s="9">
        <v>326</v>
      </c>
      <c r="B272" s="9" t="s">
        <v>1065</v>
      </c>
      <c r="C272" s="9" t="s">
        <v>14</v>
      </c>
      <c r="D272" s="21">
        <v>1000</v>
      </c>
      <c r="E272" s="18">
        <v>129000000</v>
      </c>
      <c r="F272" s="18">
        <v>31895000</v>
      </c>
      <c r="G272" s="18">
        <v>3.6768373498268465</v>
      </c>
      <c r="H272" s="18">
        <v>1020</v>
      </c>
      <c r="I272" s="16">
        <v>0</v>
      </c>
    </row>
    <row r="273" spans="1:9">
      <c r="A273" s="9">
        <v>328</v>
      </c>
      <c r="B273" s="9" t="s">
        <v>1066</v>
      </c>
      <c r="C273" s="9" t="s">
        <v>15</v>
      </c>
      <c r="D273" s="21">
        <v>100</v>
      </c>
      <c r="E273" s="18">
        <v>6300000</v>
      </c>
      <c r="F273" s="18">
        <v>1135397.0000000002</v>
      </c>
      <c r="G273" s="18">
        <v>5.0442908755904101</v>
      </c>
      <c r="H273" s="18">
        <v>100</v>
      </c>
      <c r="I273" s="16">
        <v>0</v>
      </c>
    </row>
    <row r="274" spans="1:9">
      <c r="A274" s="9">
        <v>329</v>
      </c>
      <c r="B274" s="9" t="s">
        <v>1067</v>
      </c>
      <c r="C274" s="9" t="s">
        <v>15</v>
      </c>
      <c r="D274" s="21">
        <v>100</v>
      </c>
      <c r="E274" s="18">
        <v>6300000</v>
      </c>
      <c r="F274" s="18">
        <v>1135397.0000000002</v>
      </c>
      <c r="G274" s="18">
        <v>5.0442908755904101</v>
      </c>
      <c r="H274" s="18">
        <v>100</v>
      </c>
      <c r="I274" s="16">
        <v>0</v>
      </c>
    </row>
    <row r="275" spans="1:9">
      <c r="A275" s="9">
        <v>330</v>
      </c>
      <c r="B275" s="9" t="s">
        <v>1068</v>
      </c>
      <c r="C275" s="9" t="s">
        <v>15</v>
      </c>
      <c r="D275" s="21">
        <v>200</v>
      </c>
      <c r="E275" s="18">
        <v>9800000</v>
      </c>
      <c r="F275" s="18">
        <v>2378070.4000000004</v>
      </c>
      <c r="G275" s="18">
        <v>3.7463528872361844</v>
      </c>
      <c r="H275" s="18">
        <v>200</v>
      </c>
      <c r="I275" s="16">
        <v>0</v>
      </c>
    </row>
    <row r="276" spans="1:9">
      <c r="A276" s="9">
        <v>331</v>
      </c>
      <c r="B276" s="9" t="s">
        <v>1069</v>
      </c>
      <c r="C276" s="9" t="s">
        <v>15</v>
      </c>
      <c r="D276" s="21">
        <v>150</v>
      </c>
      <c r="E276" s="18">
        <v>7350000</v>
      </c>
      <c r="F276" s="18">
        <v>1783552.8000000003</v>
      </c>
      <c r="G276" s="18">
        <v>3.746352887236184</v>
      </c>
      <c r="H276" s="18">
        <v>150</v>
      </c>
      <c r="I276" s="16">
        <v>0</v>
      </c>
    </row>
    <row r="277" spans="1:9">
      <c r="A277" s="9">
        <v>332</v>
      </c>
      <c r="B277" s="9" t="s">
        <v>1070</v>
      </c>
      <c r="C277" s="9" t="s">
        <v>15</v>
      </c>
      <c r="D277" s="21">
        <v>100</v>
      </c>
      <c r="E277" s="18">
        <v>5900000</v>
      </c>
      <c r="F277" s="18">
        <v>1296311.6000000001</v>
      </c>
      <c r="G277" s="18">
        <v>4.1376134901796471</v>
      </c>
      <c r="H277" s="18">
        <v>100</v>
      </c>
      <c r="I277" s="16">
        <v>0</v>
      </c>
    </row>
    <row r="278" spans="1:9">
      <c r="A278" s="9">
        <v>333</v>
      </c>
      <c r="B278" s="9" t="s">
        <v>1071</v>
      </c>
      <c r="C278" s="9" t="s">
        <v>15</v>
      </c>
      <c r="D278" s="21">
        <v>200</v>
      </c>
      <c r="E278" s="18">
        <v>8600000</v>
      </c>
      <c r="F278" s="18">
        <v>1909510.0000000002</v>
      </c>
      <c r="G278" s="18">
        <v>4.094339290279609</v>
      </c>
      <c r="H278" s="18">
        <v>200</v>
      </c>
      <c r="I278" s="16">
        <v>0</v>
      </c>
    </row>
    <row r="279" spans="1:9">
      <c r="A279" s="9">
        <v>334</v>
      </c>
      <c r="B279" s="9" t="s">
        <v>1072</v>
      </c>
      <c r="C279" s="9" t="s">
        <v>15</v>
      </c>
      <c r="D279" s="21">
        <v>150</v>
      </c>
      <c r="E279" s="18">
        <v>6450000</v>
      </c>
      <c r="F279" s="18">
        <v>1432132.5000000002</v>
      </c>
      <c r="G279" s="18">
        <v>4.094339290279609</v>
      </c>
      <c r="H279" s="18">
        <v>150</v>
      </c>
      <c r="I279" s="16">
        <v>0</v>
      </c>
    </row>
    <row r="280" spans="1:9">
      <c r="A280" s="9">
        <v>335</v>
      </c>
      <c r="B280" s="9" t="s">
        <v>1073</v>
      </c>
      <c r="C280" s="9" t="s">
        <v>15</v>
      </c>
      <c r="D280" s="21">
        <v>200</v>
      </c>
      <c r="E280" s="18">
        <v>9800000</v>
      </c>
      <c r="F280" s="18">
        <v>2562685.6000000006</v>
      </c>
      <c r="G280" s="18">
        <v>3.4764666056151823</v>
      </c>
      <c r="H280" s="18">
        <v>200</v>
      </c>
      <c r="I280" s="16">
        <v>0</v>
      </c>
    </row>
    <row r="281" spans="1:9">
      <c r="A281" s="9">
        <v>336</v>
      </c>
      <c r="B281" s="9" t="s">
        <v>1074</v>
      </c>
      <c r="C281" s="9" t="s">
        <v>15</v>
      </c>
      <c r="D281" s="21">
        <v>150</v>
      </c>
      <c r="E281" s="18">
        <v>7350000</v>
      </c>
      <c r="F281" s="18">
        <v>1922014.2000000002</v>
      </c>
      <c r="G281" s="18">
        <v>3.4764666056151823</v>
      </c>
      <c r="H281" s="18">
        <v>150</v>
      </c>
      <c r="I281" s="16">
        <v>0</v>
      </c>
    </row>
    <row r="282" spans="1:9">
      <c r="A282" s="9">
        <v>337</v>
      </c>
      <c r="B282" s="9" t="s">
        <v>1075</v>
      </c>
      <c r="C282" s="9" t="s">
        <v>15</v>
      </c>
      <c r="D282" s="21">
        <v>150</v>
      </c>
      <c r="E282" s="18">
        <v>7350000</v>
      </c>
      <c r="F282" s="18">
        <v>1740517.5</v>
      </c>
      <c r="G282" s="18">
        <v>3.8389836251679061</v>
      </c>
      <c r="H282" s="18">
        <v>150</v>
      </c>
      <c r="I282" s="16">
        <v>0</v>
      </c>
    </row>
    <row r="283" spans="1:9">
      <c r="A283" s="9">
        <v>338</v>
      </c>
      <c r="B283" s="9" t="s">
        <v>1076</v>
      </c>
      <c r="C283" s="9" t="s">
        <v>15</v>
      </c>
      <c r="D283" s="21">
        <v>100</v>
      </c>
      <c r="E283" s="18">
        <v>4900000</v>
      </c>
      <c r="F283" s="18">
        <v>1160345</v>
      </c>
      <c r="G283" s="18">
        <v>3.8389836251679066</v>
      </c>
      <c r="H283" s="18">
        <v>100</v>
      </c>
      <c r="I283" s="16">
        <v>0</v>
      </c>
    </row>
    <row r="284" spans="1:9">
      <c r="A284" s="9">
        <v>339</v>
      </c>
      <c r="B284" s="9" t="s">
        <v>1077</v>
      </c>
      <c r="C284" s="9" t="s">
        <v>15</v>
      </c>
      <c r="D284" s="21">
        <v>150</v>
      </c>
      <c r="E284" s="18">
        <v>8850000</v>
      </c>
      <c r="F284" s="18">
        <v>2148417.3000000003</v>
      </c>
      <c r="G284" s="18">
        <v>3.7448285979891072</v>
      </c>
      <c r="H284" s="18">
        <v>150</v>
      </c>
      <c r="I284" s="16">
        <v>0</v>
      </c>
    </row>
    <row r="285" spans="1:9">
      <c r="A285" s="9">
        <v>340</v>
      </c>
      <c r="B285" s="9" t="s">
        <v>1078</v>
      </c>
      <c r="C285" s="9" t="s">
        <v>15</v>
      </c>
      <c r="D285" s="21">
        <v>150</v>
      </c>
      <c r="E285" s="18">
        <v>8850000</v>
      </c>
      <c r="F285" s="18">
        <v>2148417.3000000003</v>
      </c>
      <c r="G285" s="18">
        <v>3.7448285979891072</v>
      </c>
      <c r="H285" s="18">
        <v>150</v>
      </c>
      <c r="I285" s="16">
        <v>0</v>
      </c>
    </row>
    <row r="286" spans="1:9">
      <c r="A286" s="9">
        <v>341</v>
      </c>
      <c r="B286" s="9" t="s">
        <v>1079</v>
      </c>
      <c r="C286" s="9" t="s">
        <v>15</v>
      </c>
      <c r="D286" s="21">
        <v>100</v>
      </c>
      <c r="E286" s="18">
        <v>6900000</v>
      </c>
      <c r="F286" s="18">
        <v>1288827.2000000002</v>
      </c>
      <c r="G286" s="18">
        <v>4.8670041047607242</v>
      </c>
      <c r="H286" s="18">
        <v>100</v>
      </c>
      <c r="I286" s="16">
        <v>0</v>
      </c>
    </row>
    <row r="287" spans="1:9">
      <c r="A287" s="9">
        <v>342</v>
      </c>
      <c r="B287" s="9" t="s">
        <v>1080</v>
      </c>
      <c r="C287" s="9" t="s">
        <v>15</v>
      </c>
      <c r="D287" s="21">
        <v>100</v>
      </c>
      <c r="E287" s="18">
        <v>6900000</v>
      </c>
      <c r="F287" s="18">
        <v>1288827.2000000002</v>
      </c>
      <c r="G287" s="18">
        <v>4.8670041047607242</v>
      </c>
      <c r="H287" s="18">
        <v>100</v>
      </c>
      <c r="I287" s="16">
        <v>0</v>
      </c>
    </row>
    <row r="288" spans="1:9">
      <c r="A288" s="9">
        <v>343</v>
      </c>
      <c r="B288" s="9" t="s">
        <v>1081</v>
      </c>
      <c r="C288" s="9" t="s">
        <v>15</v>
      </c>
      <c r="D288" s="21">
        <v>100</v>
      </c>
      <c r="E288" s="18">
        <v>4900000</v>
      </c>
      <c r="F288" s="18">
        <v>1189035.2000000002</v>
      </c>
      <c r="G288" s="18">
        <v>3.7463528872361844</v>
      </c>
      <c r="H288" s="18">
        <v>100</v>
      </c>
      <c r="I288" s="16">
        <v>0</v>
      </c>
    </row>
    <row r="289" spans="1:9">
      <c r="A289" s="9">
        <v>344</v>
      </c>
      <c r="B289" s="9" t="s">
        <v>1082</v>
      </c>
      <c r="C289" s="9" t="s">
        <v>15</v>
      </c>
      <c r="D289" s="21">
        <v>100</v>
      </c>
      <c r="E289" s="18">
        <v>4900000</v>
      </c>
      <c r="F289" s="18">
        <v>1189035.2000000002</v>
      </c>
      <c r="G289" s="18">
        <v>3.7463528872361844</v>
      </c>
      <c r="H289" s="18">
        <v>100</v>
      </c>
      <c r="I289" s="16">
        <v>0</v>
      </c>
    </row>
    <row r="290" spans="1:9">
      <c r="A290" s="9">
        <v>345</v>
      </c>
      <c r="B290" s="9" t="s">
        <v>1083</v>
      </c>
      <c r="C290" s="9" t="s">
        <v>15</v>
      </c>
      <c r="D290" s="21">
        <v>100</v>
      </c>
      <c r="E290" s="18">
        <v>7500000</v>
      </c>
      <c r="F290" s="18">
        <v>1705458.8</v>
      </c>
      <c r="G290" s="18">
        <v>3.9978578305039192</v>
      </c>
      <c r="H290" s="18">
        <v>100</v>
      </c>
      <c r="I290" s="16">
        <v>0</v>
      </c>
    </row>
    <row r="291" spans="1:9">
      <c r="A291" s="9">
        <v>346</v>
      </c>
      <c r="B291" s="9" t="s">
        <v>1084</v>
      </c>
      <c r="C291" s="9" t="s">
        <v>15</v>
      </c>
      <c r="D291" s="21">
        <v>70</v>
      </c>
      <c r="E291" s="18">
        <v>5110000</v>
      </c>
      <c r="F291" s="18">
        <v>1169372.1200000001</v>
      </c>
      <c r="G291" s="18">
        <v>3.9726058677151843</v>
      </c>
      <c r="H291" s="18">
        <v>70</v>
      </c>
      <c r="I291" s="16">
        <v>0</v>
      </c>
    </row>
    <row r="292" spans="1:9">
      <c r="A292" s="9">
        <v>347</v>
      </c>
      <c r="B292" s="9" t="s">
        <v>1085</v>
      </c>
      <c r="C292" s="9" t="s">
        <v>15</v>
      </c>
      <c r="D292" s="21">
        <v>70</v>
      </c>
      <c r="E292" s="18">
        <v>5110000</v>
      </c>
      <c r="F292" s="18">
        <v>1169372.1200000001</v>
      </c>
      <c r="G292" s="18">
        <v>3.9726058677151843</v>
      </c>
      <c r="H292" s="18">
        <v>70</v>
      </c>
      <c r="I292" s="16">
        <v>0</v>
      </c>
    </row>
    <row r="293" spans="1:9">
      <c r="A293" s="9">
        <v>348</v>
      </c>
      <c r="B293" s="9" t="s">
        <v>1086</v>
      </c>
      <c r="C293" s="9" t="s">
        <v>15</v>
      </c>
      <c r="D293" s="21">
        <v>70</v>
      </c>
      <c r="E293" s="18">
        <v>5110000</v>
      </c>
      <c r="F293" s="18">
        <v>1169372.1200000001</v>
      </c>
      <c r="G293" s="18">
        <v>3.9726058677151843</v>
      </c>
      <c r="H293" s="18">
        <v>70</v>
      </c>
      <c r="I293" s="16">
        <v>0</v>
      </c>
    </row>
    <row r="294" spans="1:9">
      <c r="A294" s="9">
        <v>349</v>
      </c>
      <c r="B294" s="9" t="s">
        <v>1087</v>
      </c>
      <c r="C294" s="9" t="s">
        <v>15</v>
      </c>
      <c r="D294" s="21">
        <v>100</v>
      </c>
      <c r="E294" s="18">
        <v>6300000</v>
      </c>
      <c r="F294" s="18">
        <v>1419804.2000000004</v>
      </c>
      <c r="G294" s="18">
        <v>4.0338468693589755</v>
      </c>
      <c r="H294" s="18">
        <v>100</v>
      </c>
      <c r="I294" s="16">
        <v>0</v>
      </c>
    </row>
    <row r="295" spans="1:9">
      <c r="A295" s="9">
        <v>350</v>
      </c>
      <c r="B295" s="9" t="s">
        <v>1088</v>
      </c>
      <c r="C295" s="9" t="s">
        <v>15</v>
      </c>
      <c r="D295" s="21">
        <v>100</v>
      </c>
      <c r="E295" s="18">
        <v>6300000</v>
      </c>
      <c r="F295" s="18">
        <v>1419804.2000000004</v>
      </c>
      <c r="G295" s="18">
        <v>4.0338468693589755</v>
      </c>
      <c r="H295" s="18">
        <v>100</v>
      </c>
      <c r="I295" s="16">
        <v>0</v>
      </c>
    </row>
    <row r="296" spans="1:9">
      <c r="A296" s="9">
        <v>351</v>
      </c>
      <c r="B296" s="9" t="s">
        <v>1089</v>
      </c>
      <c r="C296" s="9" t="s">
        <v>15</v>
      </c>
      <c r="D296" s="21">
        <v>100</v>
      </c>
      <c r="E296" s="18">
        <v>6300000</v>
      </c>
      <c r="F296" s="18">
        <v>1419804.2000000004</v>
      </c>
      <c r="G296" s="18">
        <v>4.0338468693589755</v>
      </c>
      <c r="H296" s="18">
        <v>100</v>
      </c>
      <c r="I296" s="16">
        <v>0</v>
      </c>
    </row>
    <row r="297" spans="1:9">
      <c r="A297" s="9">
        <v>352</v>
      </c>
      <c r="B297" s="9" t="s">
        <v>1090</v>
      </c>
      <c r="C297" s="9" t="s">
        <v>15</v>
      </c>
      <c r="D297" s="21">
        <v>200</v>
      </c>
      <c r="E297" s="18">
        <v>9800000</v>
      </c>
      <c r="F297" s="18">
        <v>2323184.8000000007</v>
      </c>
      <c r="G297" s="18">
        <v>3.8348610532794916</v>
      </c>
      <c r="H297" s="18">
        <v>200</v>
      </c>
      <c r="I297" s="16">
        <v>0</v>
      </c>
    </row>
    <row r="298" spans="1:9">
      <c r="A298" s="9">
        <v>353</v>
      </c>
      <c r="B298" s="9" t="s">
        <v>1091</v>
      </c>
      <c r="C298" s="9" t="s">
        <v>15</v>
      </c>
      <c r="D298" s="21">
        <v>120</v>
      </c>
      <c r="E298" s="18">
        <v>5880000</v>
      </c>
      <c r="F298" s="18">
        <v>1368463.9200000002</v>
      </c>
      <c r="G298" s="18">
        <v>3.9061713409693288</v>
      </c>
      <c r="H298" s="18">
        <v>120</v>
      </c>
      <c r="I298" s="16">
        <v>0</v>
      </c>
    </row>
    <row r="299" spans="1:9">
      <c r="A299" s="9">
        <v>354</v>
      </c>
      <c r="B299" s="9" t="s">
        <v>1092</v>
      </c>
      <c r="C299" s="9" t="s">
        <v>15</v>
      </c>
      <c r="D299" s="21">
        <v>120</v>
      </c>
      <c r="E299" s="18">
        <v>5880000</v>
      </c>
      <c r="F299" s="18">
        <v>1368463.9200000002</v>
      </c>
      <c r="G299" s="18">
        <v>3.9061713409693288</v>
      </c>
      <c r="H299" s="18">
        <v>120</v>
      </c>
      <c r="I299" s="16">
        <v>0</v>
      </c>
    </row>
    <row r="300" spans="1:9">
      <c r="A300" s="9">
        <v>355</v>
      </c>
      <c r="B300" s="9" t="s">
        <v>1093</v>
      </c>
      <c r="C300" s="9" t="s">
        <v>15</v>
      </c>
      <c r="D300" s="21">
        <v>200</v>
      </c>
      <c r="E300" s="18">
        <v>8600000</v>
      </c>
      <c r="F300" s="18">
        <v>2071210.0000000002</v>
      </c>
      <c r="G300" s="18">
        <v>3.7746929660352242</v>
      </c>
      <c r="H300" s="18">
        <v>200</v>
      </c>
      <c r="I300" s="16">
        <v>0</v>
      </c>
    </row>
    <row r="301" spans="1:9">
      <c r="A301" s="9">
        <v>356</v>
      </c>
      <c r="B301" s="9" t="s">
        <v>1094</v>
      </c>
      <c r="C301" s="9" t="s">
        <v>15</v>
      </c>
      <c r="D301" s="21">
        <v>200</v>
      </c>
      <c r="E301" s="18">
        <v>8600000</v>
      </c>
      <c r="F301" s="18">
        <v>2071210.0000000002</v>
      </c>
      <c r="G301" s="18">
        <v>3.7746929660352242</v>
      </c>
      <c r="H301" s="18">
        <v>200</v>
      </c>
      <c r="I301" s="16">
        <v>0</v>
      </c>
    </row>
    <row r="302" spans="1:9">
      <c r="A302" s="9">
        <v>357</v>
      </c>
      <c r="B302" s="9" t="s">
        <v>1095</v>
      </c>
      <c r="C302" s="9" t="s">
        <v>15</v>
      </c>
      <c r="D302" s="21">
        <v>200</v>
      </c>
      <c r="E302" s="18">
        <v>9800000</v>
      </c>
      <c r="F302" s="18">
        <v>2098652.8000000007</v>
      </c>
      <c r="G302" s="18">
        <v>4.2451476056882322</v>
      </c>
      <c r="H302" s="18">
        <v>200</v>
      </c>
      <c r="I302" s="16">
        <v>0</v>
      </c>
    </row>
    <row r="303" spans="1:9">
      <c r="A303" s="9">
        <v>358</v>
      </c>
      <c r="B303" s="9" t="s">
        <v>1096</v>
      </c>
      <c r="C303" s="9" t="s">
        <v>15</v>
      </c>
      <c r="D303" s="21">
        <v>200</v>
      </c>
      <c r="E303" s="18">
        <v>9800000</v>
      </c>
      <c r="F303" s="18">
        <v>2098652.8000000007</v>
      </c>
      <c r="G303" s="18">
        <v>4.2451476056882322</v>
      </c>
      <c r="H303" s="18">
        <v>200</v>
      </c>
      <c r="I303" s="16">
        <v>0</v>
      </c>
    </row>
    <row r="304" spans="1:9">
      <c r="A304" s="9">
        <v>359</v>
      </c>
      <c r="B304" s="9" t="s">
        <v>1097</v>
      </c>
      <c r="C304" s="9" t="s">
        <v>15</v>
      </c>
      <c r="D304" s="21">
        <v>150</v>
      </c>
      <c r="E304" s="18">
        <v>7350000</v>
      </c>
      <c r="F304" s="18">
        <v>1834072.5000000002</v>
      </c>
      <c r="G304" s="18">
        <v>3.64315924360579</v>
      </c>
      <c r="H304" s="18">
        <v>150</v>
      </c>
      <c r="I304" s="16">
        <v>0</v>
      </c>
    </row>
    <row r="305" spans="1:9">
      <c r="A305" s="9">
        <v>360</v>
      </c>
      <c r="B305" s="9" t="s">
        <v>1098</v>
      </c>
      <c r="C305" s="9" t="s">
        <v>15</v>
      </c>
      <c r="D305" s="21">
        <v>100</v>
      </c>
      <c r="E305" s="18">
        <v>4900000</v>
      </c>
      <c r="F305" s="18">
        <v>1222715.0000000002</v>
      </c>
      <c r="G305" s="18">
        <v>3.6431592436057896</v>
      </c>
      <c r="H305" s="18">
        <v>100</v>
      </c>
      <c r="I305" s="16">
        <v>0</v>
      </c>
    </row>
    <row r="306" spans="1:9">
      <c r="A306" s="9">
        <v>361</v>
      </c>
      <c r="B306" s="9" t="s">
        <v>1099</v>
      </c>
      <c r="C306" s="9" t="s">
        <v>15</v>
      </c>
      <c r="D306" s="21">
        <v>150</v>
      </c>
      <c r="E306" s="18">
        <v>8250000</v>
      </c>
      <c r="F306" s="18">
        <v>1542180.9</v>
      </c>
      <c r="G306" s="18">
        <v>4.8632426974033978</v>
      </c>
      <c r="H306" s="18">
        <v>150</v>
      </c>
      <c r="I306" s="16">
        <v>0</v>
      </c>
    </row>
    <row r="307" spans="1:9">
      <c r="A307" s="9">
        <v>362</v>
      </c>
      <c r="B307" s="9" t="s">
        <v>1100</v>
      </c>
      <c r="C307" s="9" t="s">
        <v>15</v>
      </c>
      <c r="D307" s="21">
        <v>150</v>
      </c>
      <c r="E307" s="18">
        <v>7350000</v>
      </c>
      <c r="F307" s="18">
        <v>1381266.3000000005</v>
      </c>
      <c r="G307" s="18">
        <v>4.837458339364523</v>
      </c>
      <c r="H307" s="18">
        <v>150</v>
      </c>
      <c r="I307" s="16">
        <v>0</v>
      </c>
    </row>
    <row r="308" spans="1:9">
      <c r="A308" s="9">
        <v>363</v>
      </c>
      <c r="B308" s="9" t="s">
        <v>1101</v>
      </c>
      <c r="C308" s="9" t="s">
        <v>15</v>
      </c>
      <c r="D308" s="21">
        <v>100</v>
      </c>
      <c r="E308" s="18">
        <v>5900000</v>
      </c>
      <c r="F308" s="18">
        <v>1726664.6</v>
      </c>
      <c r="G308" s="18">
        <v>3.1063568243863706</v>
      </c>
      <c r="H308" s="18">
        <v>100</v>
      </c>
      <c r="I308" s="16">
        <v>0</v>
      </c>
    </row>
    <row r="309" spans="1:9">
      <c r="A309" s="9">
        <v>364</v>
      </c>
      <c r="B309" s="9" t="s">
        <v>1102</v>
      </c>
      <c r="C309" s="9" t="s">
        <v>15</v>
      </c>
      <c r="D309" s="21">
        <v>150</v>
      </c>
      <c r="E309" s="18">
        <v>6450000</v>
      </c>
      <c r="F309" s="18">
        <v>1590829.5000000005</v>
      </c>
      <c r="G309" s="18">
        <v>3.6858986859599732</v>
      </c>
      <c r="H309" s="18">
        <v>150</v>
      </c>
      <c r="I309" s="16">
        <v>0</v>
      </c>
    </row>
    <row r="310" spans="1:9">
      <c r="A310" s="9">
        <v>365</v>
      </c>
      <c r="B310" s="9" t="s">
        <v>1103</v>
      </c>
      <c r="C310" s="9" t="s">
        <v>15</v>
      </c>
      <c r="D310" s="21">
        <v>150</v>
      </c>
      <c r="E310" s="18">
        <v>6450000</v>
      </c>
      <c r="F310" s="18">
        <v>1553407.5000000002</v>
      </c>
      <c r="G310" s="18">
        <v>3.7746929660352238</v>
      </c>
      <c r="H310" s="18">
        <v>150</v>
      </c>
      <c r="I310" s="16">
        <v>0</v>
      </c>
    </row>
    <row r="311" spans="1:9">
      <c r="A311" s="9">
        <v>366</v>
      </c>
      <c r="B311" s="9" t="s">
        <v>1104</v>
      </c>
      <c r="C311" s="9" t="s">
        <v>15</v>
      </c>
      <c r="D311" s="21">
        <v>150</v>
      </c>
      <c r="E311" s="18">
        <v>6450000</v>
      </c>
      <c r="F311" s="18">
        <v>1553407.5000000002</v>
      </c>
      <c r="G311" s="18">
        <v>3.7746929660352238</v>
      </c>
      <c r="H311" s="18">
        <v>150</v>
      </c>
      <c r="I311" s="16">
        <v>0</v>
      </c>
    </row>
    <row r="312" spans="1:9">
      <c r="A312" s="9">
        <v>367</v>
      </c>
      <c r="B312" s="9" t="s">
        <v>1105</v>
      </c>
      <c r="C312" s="9" t="s">
        <v>15</v>
      </c>
      <c r="D312" s="21">
        <v>150</v>
      </c>
      <c r="E312" s="18">
        <v>7350000</v>
      </c>
      <c r="F312" s="18">
        <v>1813490.4000000006</v>
      </c>
      <c r="G312" s="18">
        <v>3.6845070598764562</v>
      </c>
      <c r="H312" s="18">
        <v>150</v>
      </c>
      <c r="I312" s="16">
        <v>0</v>
      </c>
    </row>
    <row r="313" spans="1:9">
      <c r="A313" s="9">
        <v>368</v>
      </c>
      <c r="B313" s="9" t="s">
        <v>1106</v>
      </c>
      <c r="C313" s="9" t="s">
        <v>15</v>
      </c>
      <c r="D313" s="21">
        <v>150</v>
      </c>
      <c r="E313" s="18">
        <v>7350000</v>
      </c>
      <c r="F313" s="18">
        <v>1813490.4000000006</v>
      </c>
      <c r="G313" s="18">
        <v>3.6845070598764562</v>
      </c>
      <c r="H313" s="18">
        <v>150</v>
      </c>
      <c r="I313" s="16">
        <v>0</v>
      </c>
    </row>
    <row r="314" spans="1:9">
      <c r="A314" s="9">
        <v>369</v>
      </c>
      <c r="B314" s="9" t="s">
        <v>1107</v>
      </c>
      <c r="C314" s="9" t="s">
        <v>15</v>
      </c>
      <c r="D314" s="21">
        <v>150</v>
      </c>
      <c r="E314" s="18">
        <v>8250000</v>
      </c>
      <c r="F314" s="18">
        <v>2021182.5</v>
      </c>
      <c r="G314" s="18">
        <v>3.7106990585956487</v>
      </c>
      <c r="H314" s="18">
        <v>150</v>
      </c>
      <c r="I314" s="16">
        <v>0</v>
      </c>
    </row>
    <row r="315" spans="1:9">
      <c r="A315" s="9">
        <v>370</v>
      </c>
      <c r="B315" s="9" t="s">
        <v>1108</v>
      </c>
      <c r="C315" s="9" t="s">
        <v>15</v>
      </c>
      <c r="D315" s="21">
        <v>150</v>
      </c>
      <c r="E315" s="18">
        <v>8250000</v>
      </c>
      <c r="F315" s="18">
        <v>2021182.5</v>
      </c>
      <c r="G315" s="18">
        <v>3.7106990585956487</v>
      </c>
      <c r="H315" s="18">
        <v>150</v>
      </c>
      <c r="I315" s="16">
        <v>0</v>
      </c>
    </row>
    <row r="316" spans="1:9">
      <c r="A316" s="9">
        <v>371</v>
      </c>
      <c r="B316" s="9" t="s">
        <v>1488</v>
      </c>
      <c r="C316" s="9" t="s">
        <v>15</v>
      </c>
      <c r="D316" s="21">
        <v>400</v>
      </c>
      <c r="E316" s="18">
        <v>19600000</v>
      </c>
      <c r="F316" s="18">
        <v>3227660</v>
      </c>
      <c r="G316" s="18">
        <v>5.5204643048467981</v>
      </c>
      <c r="H316" s="18">
        <v>400</v>
      </c>
      <c r="I316" s="16">
        <v>0</v>
      </c>
    </row>
    <row r="317" spans="1:9">
      <c r="A317" s="9">
        <v>372</v>
      </c>
      <c r="B317" s="9" t="s">
        <v>1489</v>
      </c>
      <c r="C317" s="9" t="s">
        <v>15</v>
      </c>
      <c r="D317" s="21">
        <v>400</v>
      </c>
      <c r="E317" s="18">
        <v>19600000</v>
      </c>
      <c r="F317" s="18">
        <v>3227660</v>
      </c>
      <c r="G317" s="18">
        <v>5.5204643048467981</v>
      </c>
      <c r="H317" s="18">
        <v>400</v>
      </c>
      <c r="I317" s="16">
        <v>0</v>
      </c>
    </row>
    <row r="318" spans="1:9">
      <c r="A318" s="9">
        <v>374</v>
      </c>
      <c r="B318" s="9" t="s">
        <v>1109</v>
      </c>
      <c r="C318" s="9" t="s">
        <v>14</v>
      </c>
      <c r="D318" s="21">
        <v>1200</v>
      </c>
      <c r="E318" s="18">
        <v>82800000</v>
      </c>
      <c r="F318" s="18">
        <v>16974744</v>
      </c>
      <c r="G318" s="18">
        <v>4.4343954331639557</v>
      </c>
      <c r="H318" s="18">
        <v>1182</v>
      </c>
      <c r="I318" s="16">
        <v>0</v>
      </c>
    </row>
    <row r="319" spans="1:9">
      <c r="A319" s="9">
        <v>375</v>
      </c>
      <c r="B319" s="9" t="s">
        <v>1110</v>
      </c>
      <c r="C319" s="9" t="s">
        <v>14</v>
      </c>
      <c r="D319" s="21">
        <v>1200</v>
      </c>
      <c r="E319" s="18">
        <v>82800000</v>
      </c>
      <c r="F319" s="18">
        <v>16504890</v>
      </c>
      <c r="G319" s="18">
        <v>4.5606318656305662</v>
      </c>
      <c r="H319" s="18">
        <v>1109</v>
      </c>
      <c r="I319" s="16">
        <v>0</v>
      </c>
    </row>
    <row r="320" spans="1:9">
      <c r="A320" s="9">
        <v>376</v>
      </c>
      <c r="B320" s="9" t="s">
        <v>1111</v>
      </c>
      <c r="C320" s="9" t="s">
        <v>14</v>
      </c>
      <c r="D320" s="21">
        <v>1000</v>
      </c>
      <c r="E320" s="18">
        <v>79000000</v>
      </c>
      <c r="F320" s="18">
        <v>15059225</v>
      </c>
      <c r="G320" s="18">
        <v>4.7690489927723245</v>
      </c>
      <c r="H320" s="18">
        <v>1019</v>
      </c>
      <c r="I320" s="16">
        <v>0</v>
      </c>
    </row>
    <row r="321" spans="1:9">
      <c r="A321" s="9">
        <v>377</v>
      </c>
      <c r="B321" s="9" t="s">
        <v>1112</v>
      </c>
      <c r="C321" s="9" t="s">
        <v>14</v>
      </c>
      <c r="D321" s="21">
        <v>1000</v>
      </c>
      <c r="E321" s="18">
        <v>79000000</v>
      </c>
      <c r="F321" s="18">
        <v>15059225</v>
      </c>
      <c r="G321" s="18">
        <v>4.7690489927723245</v>
      </c>
      <c r="H321" s="18">
        <v>992</v>
      </c>
      <c r="I321" s="16">
        <v>0</v>
      </c>
    </row>
    <row r="322" spans="1:9">
      <c r="A322" s="9">
        <v>378</v>
      </c>
      <c r="B322" s="9" t="s">
        <v>1113</v>
      </c>
      <c r="C322" s="9" t="s">
        <v>14</v>
      </c>
      <c r="D322" s="21">
        <v>1500</v>
      </c>
      <c r="E322" s="18">
        <v>118500000</v>
      </c>
      <c r="F322" s="18">
        <v>27091605</v>
      </c>
      <c r="G322" s="18">
        <v>3.9764079214676542</v>
      </c>
      <c r="H322" s="18">
        <v>1457</v>
      </c>
      <c r="I322" s="16">
        <v>0</v>
      </c>
    </row>
    <row r="323" spans="1:9">
      <c r="A323" s="9">
        <v>379</v>
      </c>
      <c r="B323" s="9" t="s">
        <v>1114</v>
      </c>
      <c r="C323" s="9" t="s">
        <v>14</v>
      </c>
      <c r="D323" s="21">
        <v>1000</v>
      </c>
      <c r="E323" s="18">
        <v>75000000</v>
      </c>
      <c r="F323" s="18">
        <v>16364374.999999998</v>
      </c>
      <c r="G323" s="18">
        <v>4.1664785964522437</v>
      </c>
      <c r="H323" s="18">
        <v>975</v>
      </c>
      <c r="I323" s="16">
        <v>0</v>
      </c>
    </row>
    <row r="324" spans="1:9">
      <c r="A324" s="9">
        <v>380</v>
      </c>
      <c r="B324" s="9" t="s">
        <v>1115</v>
      </c>
      <c r="C324" s="9" t="s">
        <v>14</v>
      </c>
      <c r="D324" s="21">
        <v>1000</v>
      </c>
      <c r="E324" s="18">
        <v>79000000</v>
      </c>
      <c r="F324" s="18">
        <v>17016949.999999996</v>
      </c>
      <c r="G324" s="18">
        <v>4.2203909524434069</v>
      </c>
      <c r="H324" s="18">
        <v>926</v>
      </c>
      <c r="I324" s="16">
        <v>0</v>
      </c>
    </row>
    <row r="325" spans="1:9">
      <c r="A325" s="9">
        <v>382</v>
      </c>
      <c r="B325" s="9" t="s">
        <v>1116</v>
      </c>
      <c r="C325" s="9" t="s">
        <v>14</v>
      </c>
      <c r="D325" s="21">
        <v>1000</v>
      </c>
      <c r="E325" s="18">
        <v>89000000</v>
      </c>
      <c r="F325" s="18">
        <v>21920000</v>
      </c>
      <c r="G325" s="18">
        <v>3.6911081619110813</v>
      </c>
      <c r="H325" s="18">
        <v>961</v>
      </c>
      <c r="I325" s="16">
        <v>0</v>
      </c>
    </row>
    <row r="326" spans="1:9">
      <c r="A326" s="9">
        <v>383</v>
      </c>
      <c r="B326" s="9" t="s">
        <v>1117</v>
      </c>
      <c r="C326" s="9" t="s">
        <v>14</v>
      </c>
      <c r="D326" s="21">
        <v>1200</v>
      </c>
      <c r="E326" s="18">
        <v>94800000</v>
      </c>
      <c r="F326" s="18">
        <v>20556000</v>
      </c>
      <c r="G326" s="18">
        <v>4.1925383431513028</v>
      </c>
      <c r="H326" s="18">
        <v>1229</v>
      </c>
      <c r="I326" s="16">
        <v>0</v>
      </c>
    </row>
    <row r="327" spans="1:9">
      <c r="A327" s="9">
        <v>384</v>
      </c>
      <c r="B327" s="9" t="s">
        <v>1118</v>
      </c>
      <c r="C327" s="9" t="s">
        <v>14</v>
      </c>
      <c r="D327" s="21">
        <v>1000</v>
      </c>
      <c r="E327" s="18">
        <v>119000000</v>
      </c>
      <c r="F327" s="18">
        <v>25975000</v>
      </c>
      <c r="G327" s="18">
        <v>4.1648438183568111</v>
      </c>
      <c r="H327" s="18">
        <v>1017</v>
      </c>
      <c r="I327" s="16">
        <v>0</v>
      </c>
    </row>
    <row r="328" spans="1:9">
      <c r="A328" s="9">
        <v>386</v>
      </c>
      <c r="B328" s="9" t="s">
        <v>1119</v>
      </c>
      <c r="C328" s="9" t="s">
        <v>14</v>
      </c>
      <c r="D328" s="21">
        <v>1000</v>
      </c>
      <c r="E328" s="18">
        <v>55000000</v>
      </c>
      <c r="F328" s="18">
        <v>8453360</v>
      </c>
      <c r="G328" s="18">
        <v>5.9148078397229034</v>
      </c>
      <c r="H328" s="18">
        <v>995</v>
      </c>
      <c r="I328" s="16">
        <v>0</v>
      </c>
    </row>
    <row r="329" spans="1:9">
      <c r="A329" s="9">
        <v>387</v>
      </c>
      <c r="B329" s="9" t="s">
        <v>1120</v>
      </c>
      <c r="C329" s="9" t="s">
        <v>14</v>
      </c>
      <c r="D329" s="21">
        <v>1000</v>
      </c>
      <c r="E329" s="18">
        <v>49000000</v>
      </c>
      <c r="F329" s="18">
        <v>7379660.0000000009</v>
      </c>
      <c r="G329" s="18">
        <v>6.0362475433088427</v>
      </c>
      <c r="H329" s="18">
        <v>997</v>
      </c>
      <c r="I329" s="16">
        <v>0</v>
      </c>
    </row>
    <row r="330" spans="1:9">
      <c r="A330" s="9">
        <v>389</v>
      </c>
      <c r="B330" s="9" t="s">
        <v>1121</v>
      </c>
      <c r="C330" s="9" t="s">
        <v>14</v>
      </c>
      <c r="D330" s="21">
        <v>2000</v>
      </c>
      <c r="E330" s="18">
        <v>78000000</v>
      </c>
      <c r="F330" s="18">
        <v>9480240</v>
      </c>
      <c r="G330" s="18">
        <v>7.4796725514428868</v>
      </c>
      <c r="H330" s="18">
        <v>2000</v>
      </c>
      <c r="I330" s="16">
        <v>0</v>
      </c>
    </row>
    <row r="331" spans="1:9">
      <c r="A331" s="9">
        <v>390</v>
      </c>
      <c r="B331" s="9" t="s">
        <v>1122</v>
      </c>
      <c r="C331" s="9" t="s">
        <v>14</v>
      </c>
      <c r="D331" s="21">
        <v>2000</v>
      </c>
      <c r="E331" s="18">
        <v>78000000</v>
      </c>
      <c r="F331" s="18">
        <v>9480240</v>
      </c>
      <c r="G331" s="18">
        <v>7.4796725514428868</v>
      </c>
      <c r="H331" s="18">
        <v>1998</v>
      </c>
      <c r="I331" s="16">
        <v>0</v>
      </c>
    </row>
    <row r="332" spans="1:9">
      <c r="A332" s="9">
        <v>391</v>
      </c>
      <c r="B332" s="9" t="s">
        <v>1123</v>
      </c>
      <c r="C332" s="9" t="s">
        <v>14</v>
      </c>
      <c r="D332" s="21">
        <v>2000</v>
      </c>
      <c r="E332" s="18">
        <v>78000000</v>
      </c>
      <c r="F332" s="18">
        <v>7983360.0000000009</v>
      </c>
      <c r="G332" s="18">
        <v>8.8821111548384248</v>
      </c>
      <c r="H332" s="18">
        <v>1999</v>
      </c>
      <c r="I332" s="16">
        <v>0</v>
      </c>
    </row>
    <row r="333" spans="1:9">
      <c r="A333" s="9">
        <v>392</v>
      </c>
      <c r="B333" s="9" t="s">
        <v>1124</v>
      </c>
      <c r="C333" s="9" t="s">
        <v>14</v>
      </c>
      <c r="D333" s="21">
        <v>2000</v>
      </c>
      <c r="E333" s="18">
        <v>78000000</v>
      </c>
      <c r="F333" s="18">
        <v>9854460.0000000019</v>
      </c>
      <c r="G333" s="18">
        <v>7.1956343532868248</v>
      </c>
      <c r="H333" s="18">
        <v>2000</v>
      </c>
      <c r="I333" s="16">
        <v>0</v>
      </c>
    </row>
    <row r="334" spans="1:9">
      <c r="A334" s="9">
        <v>393</v>
      </c>
      <c r="B334" s="9" t="s">
        <v>1125</v>
      </c>
      <c r="C334" s="9" t="s">
        <v>14</v>
      </c>
      <c r="D334" s="21">
        <v>2000</v>
      </c>
      <c r="E334" s="18">
        <v>78000000</v>
      </c>
      <c r="F334" s="18">
        <v>9854460.0000000019</v>
      </c>
      <c r="G334" s="18">
        <v>7.1956343532868248</v>
      </c>
      <c r="H334" s="18">
        <v>2000</v>
      </c>
      <c r="I334" s="16">
        <v>0</v>
      </c>
    </row>
    <row r="335" spans="1:9">
      <c r="A335" s="9">
        <v>394</v>
      </c>
      <c r="B335" s="9" t="s">
        <v>1126</v>
      </c>
      <c r="C335" s="9" t="s">
        <v>14</v>
      </c>
      <c r="D335" s="21">
        <v>2000</v>
      </c>
      <c r="E335" s="18">
        <v>90000000</v>
      </c>
      <c r="F335" s="18">
        <v>14220360.000000002</v>
      </c>
      <c r="G335" s="18">
        <v>5.7535942703406802</v>
      </c>
      <c r="H335" s="18">
        <v>2000</v>
      </c>
      <c r="I335" s="16">
        <v>0</v>
      </c>
    </row>
    <row r="336" spans="1:9">
      <c r="A336" s="9">
        <v>396</v>
      </c>
      <c r="B336" s="9" t="s">
        <v>1127</v>
      </c>
      <c r="C336" s="9" t="s">
        <v>14</v>
      </c>
      <c r="D336" s="21">
        <v>1500</v>
      </c>
      <c r="E336" s="18">
        <v>88500000</v>
      </c>
      <c r="F336" s="18">
        <v>18188340.000000004</v>
      </c>
      <c r="G336" s="18">
        <v>4.4234133216415259</v>
      </c>
      <c r="H336" s="18">
        <v>1500</v>
      </c>
      <c r="I336" s="16">
        <v>0</v>
      </c>
    </row>
    <row r="337" spans="1:9">
      <c r="A337" s="9">
        <v>397</v>
      </c>
      <c r="B337" s="9" t="s">
        <v>1128</v>
      </c>
      <c r="C337" s="9" t="s">
        <v>14</v>
      </c>
      <c r="D337" s="21">
        <v>1500</v>
      </c>
      <c r="E337" s="18">
        <v>73500000</v>
      </c>
      <c r="F337" s="18">
        <v>13756035</v>
      </c>
      <c r="G337" s="18">
        <v>4.8573721874204168</v>
      </c>
      <c r="H337" s="18">
        <v>1483</v>
      </c>
      <c r="I337" s="16">
        <v>0</v>
      </c>
    </row>
    <row r="338" spans="1:9">
      <c r="A338" s="9">
        <v>398</v>
      </c>
      <c r="B338" s="9" t="s">
        <v>1129</v>
      </c>
      <c r="C338" s="9" t="s">
        <v>14</v>
      </c>
      <c r="D338" s="21">
        <v>1500</v>
      </c>
      <c r="E338" s="18">
        <v>73500000</v>
      </c>
      <c r="F338" s="18">
        <v>13756035</v>
      </c>
      <c r="G338" s="18">
        <v>4.8573721874204168</v>
      </c>
      <c r="H338" s="18">
        <v>1484</v>
      </c>
      <c r="I338" s="16">
        <v>0</v>
      </c>
    </row>
    <row r="339" spans="1:9">
      <c r="A339" s="9">
        <v>399</v>
      </c>
      <c r="B339" s="9" t="s">
        <v>1130</v>
      </c>
      <c r="C339" s="9" t="s">
        <v>14</v>
      </c>
      <c r="D339" s="21">
        <v>1800</v>
      </c>
      <c r="E339" s="18">
        <v>117000000</v>
      </c>
      <c r="F339" s="18">
        <v>16107784.000000002</v>
      </c>
      <c r="G339" s="18">
        <v>6.6032445160449349</v>
      </c>
      <c r="H339" s="18">
        <v>1800</v>
      </c>
      <c r="I339" s="16">
        <v>0</v>
      </c>
    </row>
    <row r="340" spans="1:9">
      <c r="A340" s="9">
        <v>400</v>
      </c>
      <c r="B340" s="9" t="s">
        <v>1131</v>
      </c>
      <c r="C340" s="9" t="s">
        <v>14</v>
      </c>
      <c r="D340" s="21">
        <v>1800</v>
      </c>
      <c r="E340" s="18">
        <v>117000000</v>
      </c>
      <c r="F340" s="18">
        <v>16107784.000000002</v>
      </c>
      <c r="G340" s="18">
        <v>6.6032445160449349</v>
      </c>
      <c r="H340" s="18">
        <v>1798</v>
      </c>
      <c r="I340" s="16">
        <v>0</v>
      </c>
    </row>
    <row r="341" spans="1:9">
      <c r="A341" s="9">
        <v>401</v>
      </c>
      <c r="B341" s="9" t="s">
        <v>1132</v>
      </c>
      <c r="C341" s="9" t="s">
        <v>14</v>
      </c>
      <c r="D341" s="21">
        <v>1200</v>
      </c>
      <c r="E341" s="18">
        <v>82800000</v>
      </c>
      <c r="F341" s="18">
        <v>11463903.999999996</v>
      </c>
      <c r="G341" s="18">
        <v>6.5660639929231168</v>
      </c>
      <c r="H341" s="18">
        <v>1200</v>
      </c>
      <c r="I341" s="16">
        <v>0</v>
      </c>
    </row>
    <row r="342" spans="1:9">
      <c r="A342" s="9">
        <v>403</v>
      </c>
      <c r="B342" s="9" t="s">
        <v>1133</v>
      </c>
      <c r="C342" s="9" t="s">
        <v>14</v>
      </c>
      <c r="D342" s="21">
        <v>1500</v>
      </c>
      <c r="E342" s="18">
        <v>82500000</v>
      </c>
      <c r="F342" s="18">
        <v>14156805.000000002</v>
      </c>
      <c r="G342" s="18">
        <v>5.297805542987982</v>
      </c>
      <c r="H342" s="18">
        <v>1499</v>
      </c>
      <c r="I342" s="16">
        <v>0</v>
      </c>
    </row>
    <row r="343" spans="1:9">
      <c r="A343" s="9">
        <v>405</v>
      </c>
      <c r="B343" s="9" t="s">
        <v>1134</v>
      </c>
      <c r="C343" s="9" t="s">
        <v>14</v>
      </c>
      <c r="D343" s="21">
        <v>1200</v>
      </c>
      <c r="E343" s="18">
        <v>58800000</v>
      </c>
      <c r="F343" s="18">
        <v>9730212.0000000019</v>
      </c>
      <c r="G343" s="18">
        <v>5.4936670911739069</v>
      </c>
      <c r="H343" s="18">
        <v>1200</v>
      </c>
      <c r="I343" s="16">
        <v>0</v>
      </c>
    </row>
    <row r="344" spans="1:9">
      <c r="A344" s="9">
        <v>406</v>
      </c>
      <c r="B344" s="9" t="s">
        <v>1135</v>
      </c>
      <c r="C344" s="9" t="s">
        <v>14</v>
      </c>
      <c r="D344" s="21">
        <v>800</v>
      </c>
      <c r="E344" s="18">
        <v>36000000</v>
      </c>
      <c r="F344" s="18">
        <v>4895828.8000000007</v>
      </c>
      <c r="G344" s="18">
        <v>6.6847257255549293</v>
      </c>
      <c r="H344" s="18">
        <v>800</v>
      </c>
      <c r="I344" s="16">
        <v>0</v>
      </c>
    </row>
    <row r="345" spans="1:9">
      <c r="A345" s="9">
        <v>407</v>
      </c>
      <c r="B345" s="9" t="s">
        <v>1136</v>
      </c>
      <c r="C345" s="9" t="s">
        <v>14</v>
      </c>
      <c r="D345" s="21">
        <v>800</v>
      </c>
      <c r="E345" s="18">
        <v>23200000</v>
      </c>
      <c r="F345" s="18">
        <v>3508720.0000000005</v>
      </c>
      <c r="G345" s="18">
        <v>6.0109980536802841</v>
      </c>
      <c r="H345" s="18">
        <v>798</v>
      </c>
      <c r="I345" s="16">
        <v>0</v>
      </c>
    </row>
    <row r="346" spans="1:9">
      <c r="A346" s="9">
        <v>408</v>
      </c>
      <c r="B346" s="9" t="s">
        <v>1137</v>
      </c>
      <c r="C346" s="9" t="s">
        <v>14</v>
      </c>
      <c r="D346" s="21">
        <v>1200</v>
      </c>
      <c r="E346" s="18">
        <v>58800000</v>
      </c>
      <c r="F346" s="18">
        <v>9597012.0000000019</v>
      </c>
      <c r="G346" s="18">
        <v>5.5699154543669884</v>
      </c>
      <c r="H346" s="18">
        <v>1200</v>
      </c>
      <c r="I346" s="16">
        <v>0</v>
      </c>
    </row>
    <row r="347" spans="1:9">
      <c r="A347" s="9">
        <v>409</v>
      </c>
      <c r="B347" s="9" t="s">
        <v>1138</v>
      </c>
      <c r="C347" s="9" t="s">
        <v>14</v>
      </c>
      <c r="D347" s="21">
        <v>800</v>
      </c>
      <c r="E347" s="18">
        <v>36000000</v>
      </c>
      <c r="F347" s="18">
        <v>4895828.8000000007</v>
      </c>
      <c r="G347" s="18">
        <v>6.6847257255549293</v>
      </c>
      <c r="H347" s="18">
        <v>800</v>
      </c>
      <c r="I347" s="16">
        <v>0</v>
      </c>
    </row>
    <row r="348" spans="1:9">
      <c r="A348" s="9">
        <v>410</v>
      </c>
      <c r="B348" s="9" t="s">
        <v>1139</v>
      </c>
      <c r="C348" s="9" t="s">
        <v>14</v>
      </c>
      <c r="D348" s="21">
        <v>800</v>
      </c>
      <c r="E348" s="18">
        <v>23200000</v>
      </c>
      <c r="F348" s="18">
        <v>3508720.0000000005</v>
      </c>
      <c r="G348" s="18">
        <v>6.0109980536802841</v>
      </c>
      <c r="H348" s="18">
        <v>799</v>
      </c>
      <c r="I348" s="16">
        <v>0</v>
      </c>
    </row>
    <row r="349" spans="1:9">
      <c r="A349" s="9">
        <v>411</v>
      </c>
      <c r="B349" s="9" t="s">
        <v>1140</v>
      </c>
      <c r="C349" s="9" t="s">
        <v>14</v>
      </c>
      <c r="D349" s="21">
        <v>1200</v>
      </c>
      <c r="E349" s="18">
        <v>58800000</v>
      </c>
      <c r="F349" s="18">
        <v>7732812</v>
      </c>
      <c r="G349" s="18">
        <v>6.9126917160982897</v>
      </c>
      <c r="H349" s="18">
        <v>1201</v>
      </c>
      <c r="I349" s="16">
        <v>0</v>
      </c>
    </row>
    <row r="350" spans="1:9">
      <c r="A350" s="9">
        <v>413</v>
      </c>
      <c r="B350" s="9" t="s">
        <v>1141</v>
      </c>
      <c r="C350" s="9" t="s">
        <v>14</v>
      </c>
      <c r="D350" s="21">
        <v>1200</v>
      </c>
      <c r="E350" s="18">
        <v>106800000</v>
      </c>
      <c r="F350" s="18">
        <v>24279000</v>
      </c>
      <c r="G350" s="18">
        <v>3.9989665592038008</v>
      </c>
      <c r="H350" s="18">
        <v>1266</v>
      </c>
      <c r="I350" s="16">
        <v>0</v>
      </c>
    </row>
    <row r="351" spans="1:9">
      <c r="A351" s="9">
        <v>414</v>
      </c>
      <c r="B351" s="9" t="s">
        <v>1142</v>
      </c>
      <c r="C351" s="9" t="s">
        <v>14</v>
      </c>
      <c r="D351" s="21">
        <v>1200</v>
      </c>
      <c r="E351" s="18">
        <v>142800000</v>
      </c>
      <c r="F351" s="18">
        <v>35782800.000000007</v>
      </c>
      <c r="G351" s="18">
        <v>3.6279492331003098</v>
      </c>
      <c r="H351" s="18">
        <v>1242</v>
      </c>
      <c r="I351" s="16">
        <v>0</v>
      </c>
    </row>
    <row r="352" spans="1:9">
      <c r="A352" s="9">
        <v>415</v>
      </c>
      <c r="B352" s="9" t="s">
        <v>1143</v>
      </c>
      <c r="C352" s="9" t="s">
        <v>14</v>
      </c>
      <c r="D352" s="21">
        <v>1000</v>
      </c>
      <c r="E352" s="18">
        <v>158000000</v>
      </c>
      <c r="F352" s="18">
        <v>37557500</v>
      </c>
      <c r="G352" s="18">
        <v>3.8244388906706686</v>
      </c>
      <c r="H352" s="18">
        <v>1073</v>
      </c>
      <c r="I352" s="16">
        <v>0</v>
      </c>
    </row>
    <row r="353" spans="1:9">
      <c r="A353" s="9">
        <v>417</v>
      </c>
      <c r="B353" s="9" t="s">
        <v>1144</v>
      </c>
      <c r="C353" s="9" t="s">
        <v>14</v>
      </c>
      <c r="D353" s="21">
        <v>1500</v>
      </c>
      <c r="E353" s="18">
        <v>417000000</v>
      </c>
      <c r="F353" s="18">
        <v>100948125</v>
      </c>
      <c r="G353" s="18">
        <v>3.7553041137803107</v>
      </c>
      <c r="H353" s="18">
        <v>1640</v>
      </c>
      <c r="I353" s="16">
        <v>0</v>
      </c>
    </row>
    <row r="354" spans="1:9">
      <c r="A354" s="9">
        <v>418</v>
      </c>
      <c r="B354" s="9" t="s">
        <v>1145</v>
      </c>
      <c r="C354" s="9" t="s">
        <v>14</v>
      </c>
      <c r="D354" s="21">
        <v>1500</v>
      </c>
      <c r="E354" s="18">
        <v>417000000</v>
      </c>
      <c r="F354" s="18">
        <v>100948125</v>
      </c>
      <c r="G354" s="18">
        <v>3.7553041137803107</v>
      </c>
      <c r="H354" s="18">
        <v>1653</v>
      </c>
      <c r="I354" s="16">
        <v>0</v>
      </c>
    </row>
    <row r="355" spans="1:9">
      <c r="A355" s="9">
        <v>419</v>
      </c>
      <c r="B355" s="9" t="s">
        <v>1146</v>
      </c>
      <c r="C355" s="9" t="s">
        <v>14</v>
      </c>
      <c r="D355" s="21">
        <v>1500</v>
      </c>
      <c r="E355" s="18">
        <v>387000000</v>
      </c>
      <c r="F355" s="18">
        <v>88040999.999999985</v>
      </c>
      <c r="G355" s="18">
        <v>3.9960720779884586</v>
      </c>
      <c r="H355" s="18">
        <v>1618</v>
      </c>
      <c r="I355" s="16">
        <v>0</v>
      </c>
    </row>
    <row r="356" spans="1:9">
      <c r="A356" s="9">
        <v>421</v>
      </c>
      <c r="B356" s="9" t="s">
        <v>1147</v>
      </c>
      <c r="C356" s="9" t="s">
        <v>14</v>
      </c>
      <c r="D356" s="21">
        <v>800</v>
      </c>
      <c r="E356" s="18">
        <v>55200000</v>
      </c>
      <c r="F356" s="18">
        <v>10205912.000000002</v>
      </c>
      <c r="G356" s="18">
        <v>4.9169362014701052</v>
      </c>
      <c r="H356" s="18">
        <v>798</v>
      </c>
      <c r="I356" s="16">
        <v>0</v>
      </c>
    </row>
    <row r="357" spans="1:9">
      <c r="A357" s="9">
        <v>422</v>
      </c>
      <c r="B357" s="9" t="s">
        <v>1148</v>
      </c>
      <c r="C357" s="9" t="s">
        <v>14</v>
      </c>
      <c r="D357" s="21">
        <v>1000</v>
      </c>
      <c r="E357" s="18">
        <v>75000000</v>
      </c>
      <c r="F357" s="18">
        <v>14065760</v>
      </c>
      <c r="G357" s="18">
        <v>4.8473611224575262</v>
      </c>
      <c r="H357" s="18">
        <v>1000</v>
      </c>
      <c r="I357" s="16">
        <v>0</v>
      </c>
    </row>
    <row r="358" spans="1:9">
      <c r="A358" s="9">
        <v>424</v>
      </c>
      <c r="B358" s="9" t="s">
        <v>1149</v>
      </c>
      <c r="C358" s="9" t="s">
        <v>14</v>
      </c>
      <c r="D358" s="21">
        <v>4000</v>
      </c>
      <c r="E358" s="18">
        <v>180000000</v>
      </c>
      <c r="F358" s="18">
        <v>24898104.000000007</v>
      </c>
      <c r="G358" s="18">
        <v>6.5722419520925603</v>
      </c>
      <c r="H358" s="18">
        <v>3996</v>
      </c>
      <c r="I358" s="16">
        <v>0</v>
      </c>
    </row>
    <row r="359" spans="1:9">
      <c r="A359" s="9">
        <v>426</v>
      </c>
      <c r="B359" s="9" t="s">
        <v>1150</v>
      </c>
      <c r="C359" s="9" t="s">
        <v>14</v>
      </c>
      <c r="D359" s="21">
        <v>1500</v>
      </c>
      <c r="E359" s="18">
        <v>58500000</v>
      </c>
      <c r="F359" s="18">
        <v>8009355</v>
      </c>
      <c r="G359" s="18">
        <v>6.6399626663842692</v>
      </c>
      <c r="H359" s="18">
        <v>1489</v>
      </c>
      <c r="I359" s="16">
        <v>0</v>
      </c>
    </row>
    <row r="360" spans="1:9">
      <c r="A360" s="9">
        <v>427</v>
      </c>
      <c r="B360" s="9" t="s">
        <v>1151</v>
      </c>
      <c r="C360" s="9" t="s">
        <v>14</v>
      </c>
      <c r="D360" s="21">
        <v>1000</v>
      </c>
      <c r="E360" s="18">
        <v>39000000</v>
      </c>
      <c r="F360" s="18">
        <v>5339570</v>
      </c>
      <c r="G360" s="18">
        <v>6.6399626663842684</v>
      </c>
      <c r="H360" s="18">
        <v>1000</v>
      </c>
      <c r="I360" s="16">
        <v>0</v>
      </c>
    </row>
    <row r="361" spans="1:9">
      <c r="A361" s="9">
        <v>429</v>
      </c>
      <c r="B361" s="9" t="s">
        <v>1152</v>
      </c>
      <c r="C361" s="9" t="s">
        <v>14</v>
      </c>
      <c r="D361" s="21">
        <v>1500</v>
      </c>
      <c r="E361" s="18">
        <v>43500000</v>
      </c>
      <c r="F361" s="18">
        <v>5913300.0000000009</v>
      </c>
      <c r="G361" s="18">
        <v>6.6875441032003335</v>
      </c>
      <c r="H361" s="18">
        <v>1500</v>
      </c>
      <c r="I361" s="16">
        <v>0</v>
      </c>
    </row>
    <row r="362" spans="1:9">
      <c r="A362" s="9">
        <v>430</v>
      </c>
      <c r="B362" s="9" t="s">
        <v>1153</v>
      </c>
      <c r="C362" s="9" t="s">
        <v>14</v>
      </c>
      <c r="D362" s="21">
        <v>1000</v>
      </c>
      <c r="E362" s="18">
        <v>29000000</v>
      </c>
      <c r="F362" s="18">
        <v>3942200.0000000009</v>
      </c>
      <c r="G362" s="18">
        <v>6.6875441032003344</v>
      </c>
      <c r="H362" s="18">
        <v>1000</v>
      </c>
      <c r="I362" s="16">
        <v>0</v>
      </c>
    </row>
    <row r="363" spans="1:9">
      <c r="A363" s="9">
        <v>431</v>
      </c>
      <c r="B363" s="9" t="s">
        <v>1154</v>
      </c>
      <c r="C363" s="9" t="s">
        <v>14</v>
      </c>
      <c r="D363" s="21">
        <v>1200</v>
      </c>
      <c r="E363" s="18">
        <v>34800000</v>
      </c>
      <c r="F363" s="18">
        <v>4730640.0000000009</v>
      </c>
      <c r="G363" s="18">
        <v>6.6875441032003335</v>
      </c>
      <c r="H363" s="18">
        <v>1198</v>
      </c>
      <c r="I363" s="16">
        <v>0</v>
      </c>
    </row>
    <row r="364" spans="1:9">
      <c r="A364" s="9">
        <v>432</v>
      </c>
      <c r="B364" s="9" t="s">
        <v>1155</v>
      </c>
      <c r="C364" s="9" t="s">
        <v>14</v>
      </c>
      <c r="D364" s="21">
        <v>1000</v>
      </c>
      <c r="E364" s="18">
        <v>29000000</v>
      </c>
      <c r="F364" s="18">
        <v>3942200.0000000009</v>
      </c>
      <c r="G364" s="18">
        <v>6.6875441032003344</v>
      </c>
      <c r="H364" s="18">
        <v>999</v>
      </c>
      <c r="I364" s="16">
        <v>0</v>
      </c>
    </row>
    <row r="365" spans="1:9">
      <c r="A365" s="9">
        <v>433</v>
      </c>
      <c r="B365" s="9" t="s">
        <v>1156</v>
      </c>
      <c r="C365" s="9" t="s">
        <v>14</v>
      </c>
      <c r="D365" s="21">
        <v>800</v>
      </c>
      <c r="E365" s="18">
        <v>23200000</v>
      </c>
      <c r="F365" s="18">
        <v>3153760.0000000005</v>
      </c>
      <c r="G365" s="18">
        <v>6.6875441032003335</v>
      </c>
      <c r="H365" s="18">
        <v>799</v>
      </c>
      <c r="I365" s="16">
        <v>0</v>
      </c>
    </row>
    <row r="366" spans="1:9">
      <c r="A366" s="9">
        <v>434</v>
      </c>
      <c r="B366" s="9" t="s">
        <v>1157</v>
      </c>
      <c r="C366" s="9" t="s">
        <v>14</v>
      </c>
      <c r="D366" s="21">
        <v>1200</v>
      </c>
      <c r="E366" s="18">
        <v>42000000</v>
      </c>
      <c r="F366" s="18">
        <v>4820702.4000000004</v>
      </c>
      <c r="G366" s="18">
        <v>7.9203848347531629</v>
      </c>
      <c r="H366" s="18">
        <v>1198</v>
      </c>
      <c r="I366" s="16">
        <v>0</v>
      </c>
    </row>
    <row r="367" spans="1:9">
      <c r="A367" s="9">
        <v>435</v>
      </c>
      <c r="B367" s="9" t="s">
        <v>1158</v>
      </c>
      <c r="C367" s="9" t="s">
        <v>14</v>
      </c>
      <c r="D367" s="21">
        <v>1500</v>
      </c>
      <c r="E367" s="18">
        <v>52500000</v>
      </c>
      <c r="F367" s="18">
        <v>5575878.0000000009</v>
      </c>
      <c r="G367" s="18">
        <v>8.559597739992288</v>
      </c>
      <c r="H367" s="18">
        <v>1500</v>
      </c>
      <c r="I367" s="16">
        <v>0</v>
      </c>
    </row>
    <row r="368" spans="1:9">
      <c r="A368" s="9">
        <v>436</v>
      </c>
      <c r="B368" s="9" t="s">
        <v>1159</v>
      </c>
      <c r="C368" s="9" t="s">
        <v>14</v>
      </c>
      <c r="D368" s="21">
        <v>2000</v>
      </c>
      <c r="E368" s="18">
        <v>70000000</v>
      </c>
      <c r="F368" s="18">
        <v>7434504.0000000009</v>
      </c>
      <c r="G368" s="18">
        <v>8.559597739992288</v>
      </c>
      <c r="H368" s="18">
        <v>2000</v>
      </c>
      <c r="I368" s="16">
        <v>0</v>
      </c>
    </row>
    <row r="369" spans="1:9">
      <c r="A369" s="9">
        <v>437</v>
      </c>
      <c r="B369" s="9" t="s">
        <v>1160</v>
      </c>
      <c r="C369" s="9" t="s">
        <v>14</v>
      </c>
      <c r="D369" s="21">
        <v>1200</v>
      </c>
      <c r="E369" s="18">
        <v>42000000</v>
      </c>
      <c r="F369" s="18">
        <v>4460702.4000000004</v>
      </c>
      <c r="G369" s="18">
        <v>8.559597739992288</v>
      </c>
      <c r="H369" s="18">
        <v>1200</v>
      </c>
      <c r="I369" s="16">
        <v>0</v>
      </c>
    </row>
    <row r="370" spans="1:9">
      <c r="A370" s="9">
        <v>438</v>
      </c>
      <c r="B370" s="9" t="s">
        <v>1161</v>
      </c>
      <c r="C370" s="9" t="s">
        <v>14</v>
      </c>
      <c r="D370" s="21">
        <v>1000</v>
      </c>
      <c r="E370" s="18">
        <v>35000000</v>
      </c>
      <c r="F370" s="18">
        <v>3717252.0000000005</v>
      </c>
      <c r="G370" s="18">
        <v>8.559597739992288</v>
      </c>
      <c r="H370" s="18">
        <v>1000</v>
      </c>
      <c r="I370" s="16">
        <v>0</v>
      </c>
    </row>
    <row r="371" spans="1:9">
      <c r="A371" s="9">
        <v>439</v>
      </c>
      <c r="B371" s="9" t="s">
        <v>1162</v>
      </c>
      <c r="C371" s="9" t="s">
        <v>14</v>
      </c>
      <c r="D371" s="21">
        <v>1200</v>
      </c>
      <c r="E371" s="18">
        <v>42000000</v>
      </c>
      <c r="F371" s="18">
        <v>4460702.4000000004</v>
      </c>
      <c r="G371" s="18">
        <v>8.559597739992288</v>
      </c>
      <c r="H371" s="18">
        <v>1199</v>
      </c>
      <c r="I371" s="16">
        <v>0</v>
      </c>
    </row>
    <row r="372" spans="1:9">
      <c r="A372" s="9">
        <v>440</v>
      </c>
      <c r="B372" s="9" t="s">
        <v>1163</v>
      </c>
      <c r="C372" s="9" t="s">
        <v>14</v>
      </c>
      <c r="D372" s="21">
        <v>2500</v>
      </c>
      <c r="E372" s="18">
        <v>87500000</v>
      </c>
      <c r="F372" s="18">
        <v>9293130.0000000019</v>
      </c>
      <c r="G372" s="18">
        <v>8.5595977399922862</v>
      </c>
      <c r="H372" s="18">
        <v>2500</v>
      </c>
      <c r="I372" s="16">
        <v>0</v>
      </c>
    </row>
    <row r="373" spans="1:9">
      <c r="A373" s="9">
        <v>441</v>
      </c>
      <c r="B373" s="9" t="s">
        <v>1164</v>
      </c>
      <c r="C373" s="9" t="s">
        <v>14</v>
      </c>
      <c r="D373" s="21">
        <v>800</v>
      </c>
      <c r="E373" s="18">
        <v>31200000</v>
      </c>
      <c r="F373" s="18">
        <v>3891887.9999999995</v>
      </c>
      <c r="G373" s="18">
        <v>7.287886075764864</v>
      </c>
      <c r="H373" s="18">
        <v>800</v>
      </c>
      <c r="I373" s="16">
        <v>0</v>
      </c>
    </row>
    <row r="374" spans="1:9">
      <c r="A374" s="9">
        <v>442</v>
      </c>
      <c r="B374" s="9" t="s">
        <v>1165</v>
      </c>
      <c r="C374" s="9" t="s">
        <v>14</v>
      </c>
      <c r="D374" s="21">
        <v>800</v>
      </c>
      <c r="E374" s="18">
        <v>31200000</v>
      </c>
      <c r="F374" s="18">
        <v>3891887.9999999995</v>
      </c>
      <c r="G374" s="18">
        <v>7.287886075764864</v>
      </c>
      <c r="H374" s="18">
        <v>799</v>
      </c>
      <c r="I374" s="16">
        <v>0</v>
      </c>
    </row>
    <row r="375" spans="1:9">
      <c r="A375" s="9">
        <v>444</v>
      </c>
      <c r="B375" s="9" t="s">
        <v>1166</v>
      </c>
      <c r="C375" s="9" t="s">
        <v>14</v>
      </c>
      <c r="D375" s="21">
        <v>1500</v>
      </c>
      <c r="E375" s="18">
        <v>52500000</v>
      </c>
      <c r="F375" s="18">
        <v>9729720.0000000019</v>
      </c>
      <c r="G375" s="18">
        <v>4.9053079356109643</v>
      </c>
      <c r="H375" s="18">
        <v>1497</v>
      </c>
      <c r="I375" s="16">
        <v>0</v>
      </c>
    </row>
    <row r="376" spans="1:9">
      <c r="A376" s="9">
        <v>445</v>
      </c>
      <c r="B376" s="9" t="s">
        <v>1167</v>
      </c>
      <c r="C376" s="9" t="s">
        <v>14</v>
      </c>
      <c r="D376" s="21">
        <v>1200</v>
      </c>
      <c r="E376" s="18">
        <v>42000000</v>
      </c>
      <c r="F376" s="18">
        <v>7783776.0000000019</v>
      </c>
      <c r="G376" s="18">
        <v>4.9053079356109643</v>
      </c>
      <c r="H376" s="18">
        <v>1197</v>
      </c>
      <c r="I376" s="16">
        <v>0</v>
      </c>
    </row>
    <row r="377" spans="1:9">
      <c r="A377" s="9">
        <v>446</v>
      </c>
      <c r="B377" s="9" t="s">
        <v>1168</v>
      </c>
      <c r="C377" s="9" t="s">
        <v>14</v>
      </c>
      <c r="D377" s="21">
        <v>1200</v>
      </c>
      <c r="E377" s="18">
        <v>42000000</v>
      </c>
      <c r="F377" s="18">
        <v>7783776.0000000019</v>
      </c>
      <c r="G377" s="18">
        <v>4.9053079356109643</v>
      </c>
      <c r="H377" s="18">
        <v>1200</v>
      </c>
      <c r="I377" s="16">
        <v>0</v>
      </c>
    </row>
    <row r="378" spans="1:9">
      <c r="A378" s="9">
        <v>447</v>
      </c>
      <c r="B378" s="9" t="s">
        <v>1169</v>
      </c>
      <c r="C378" s="9" t="s">
        <v>14</v>
      </c>
      <c r="D378" s="21">
        <v>1000</v>
      </c>
      <c r="E378" s="18">
        <v>35000000</v>
      </c>
      <c r="F378" s="18">
        <v>6038040</v>
      </c>
      <c r="G378" s="18">
        <v>5.2696209064831985</v>
      </c>
      <c r="H378" s="18">
        <v>998</v>
      </c>
      <c r="I378" s="16">
        <v>0</v>
      </c>
    </row>
    <row r="379" spans="1:9">
      <c r="A379" s="9">
        <v>448</v>
      </c>
      <c r="B379" s="9" t="s">
        <v>1170</v>
      </c>
      <c r="C379" s="9" t="s">
        <v>14</v>
      </c>
      <c r="D379" s="21">
        <v>1000</v>
      </c>
      <c r="E379" s="18">
        <v>35000000</v>
      </c>
      <c r="F379" s="18">
        <v>6038040</v>
      </c>
      <c r="G379" s="18">
        <v>5.2696209064831985</v>
      </c>
      <c r="H379" s="18">
        <v>999</v>
      </c>
      <c r="I379" s="16">
        <v>0</v>
      </c>
    </row>
    <row r="380" spans="1:9">
      <c r="A380" s="9">
        <v>449</v>
      </c>
      <c r="B380" s="9" t="s">
        <v>1171</v>
      </c>
      <c r="C380" s="9" t="s">
        <v>14</v>
      </c>
      <c r="D380" s="21">
        <v>1000</v>
      </c>
      <c r="E380" s="18">
        <v>39000000</v>
      </c>
      <c r="F380" s="18">
        <v>5102490.0000000009</v>
      </c>
      <c r="G380" s="18">
        <v>6.9484791649852218</v>
      </c>
      <c r="H380" s="18">
        <v>999</v>
      </c>
      <c r="I380" s="16">
        <v>0</v>
      </c>
    </row>
    <row r="381" spans="1:9">
      <c r="A381" s="9">
        <v>450</v>
      </c>
      <c r="B381" s="9" t="s">
        <v>1172</v>
      </c>
      <c r="C381" s="9" t="s">
        <v>14</v>
      </c>
      <c r="D381" s="21">
        <v>1200</v>
      </c>
      <c r="E381" s="18">
        <v>46800000</v>
      </c>
      <c r="F381" s="18">
        <v>6122988.0000000009</v>
      </c>
      <c r="G381" s="18">
        <v>6.9484791649852218</v>
      </c>
      <c r="H381" s="18">
        <v>1189</v>
      </c>
      <c r="I381" s="16">
        <v>0</v>
      </c>
    </row>
    <row r="382" spans="1:9">
      <c r="A382" s="9">
        <v>451</v>
      </c>
      <c r="B382" s="9" t="s">
        <v>1173</v>
      </c>
      <c r="C382" s="9" t="s">
        <v>14</v>
      </c>
      <c r="D382" s="21">
        <v>1200</v>
      </c>
      <c r="E382" s="18">
        <v>46800000</v>
      </c>
      <c r="F382" s="18">
        <v>5613300</v>
      </c>
      <c r="G382" s="18">
        <v>7.5794015187954571</v>
      </c>
      <c r="H382" s="18">
        <v>1198</v>
      </c>
      <c r="I382" s="16">
        <v>0</v>
      </c>
    </row>
    <row r="383" spans="1:9">
      <c r="A383" s="9">
        <v>452</v>
      </c>
      <c r="B383" s="9" t="s">
        <v>1174</v>
      </c>
      <c r="C383" s="9" t="s">
        <v>14</v>
      </c>
      <c r="D383" s="21">
        <v>1200</v>
      </c>
      <c r="E383" s="18">
        <v>46800000</v>
      </c>
      <c r="F383" s="18">
        <v>5613300</v>
      </c>
      <c r="G383" s="18">
        <v>7.5794015187954571</v>
      </c>
      <c r="H383" s="18">
        <v>1198</v>
      </c>
      <c r="I383" s="16">
        <v>0</v>
      </c>
    </row>
    <row r="384" spans="1:9">
      <c r="A384" s="9">
        <v>453</v>
      </c>
      <c r="B384" s="9" t="s">
        <v>1175</v>
      </c>
      <c r="C384" s="9" t="s">
        <v>14</v>
      </c>
      <c r="D384" s="21">
        <v>800</v>
      </c>
      <c r="E384" s="18">
        <v>39200000</v>
      </c>
      <c r="F384" s="18">
        <v>7075752</v>
      </c>
      <c r="G384" s="18">
        <v>5.0364065383246386</v>
      </c>
      <c r="H384" s="18">
        <v>796</v>
      </c>
      <c r="I384" s="16">
        <v>0</v>
      </c>
    </row>
    <row r="385" spans="1:9">
      <c r="A385" s="9">
        <v>454</v>
      </c>
      <c r="B385" s="9" t="s">
        <v>1176</v>
      </c>
      <c r="C385" s="9" t="s">
        <v>14</v>
      </c>
      <c r="D385" s="21">
        <v>400</v>
      </c>
      <c r="E385" s="18">
        <v>18000000</v>
      </c>
      <c r="F385" s="18">
        <v>3712512.0000000005</v>
      </c>
      <c r="G385" s="18">
        <v>4.4076992515138969</v>
      </c>
      <c r="H385" s="18">
        <v>395</v>
      </c>
      <c r="I385" s="16">
        <v>0</v>
      </c>
    </row>
    <row r="386" spans="1:9">
      <c r="A386" s="9">
        <v>455</v>
      </c>
      <c r="B386" s="9" t="s">
        <v>1177</v>
      </c>
      <c r="C386" s="9" t="s">
        <v>14</v>
      </c>
      <c r="D386" s="21">
        <v>500</v>
      </c>
      <c r="E386" s="18">
        <v>22500000</v>
      </c>
      <c r="F386" s="18">
        <v>4640640</v>
      </c>
      <c r="G386" s="18">
        <v>4.4076992515138977</v>
      </c>
      <c r="H386" s="18">
        <v>491</v>
      </c>
      <c r="I386" s="16">
        <v>0</v>
      </c>
    </row>
    <row r="387" spans="1:9">
      <c r="A387" s="9">
        <v>456</v>
      </c>
      <c r="B387" s="9" t="s">
        <v>1178</v>
      </c>
      <c r="C387" s="9" t="s">
        <v>14</v>
      </c>
      <c r="D387" s="21">
        <v>400</v>
      </c>
      <c r="E387" s="18">
        <v>18000000</v>
      </c>
      <c r="F387" s="18">
        <v>3712512.0000000005</v>
      </c>
      <c r="G387" s="18">
        <v>4.4076992515138969</v>
      </c>
      <c r="H387" s="18">
        <v>393</v>
      </c>
      <c r="I387" s="16">
        <v>0</v>
      </c>
    </row>
    <row r="388" spans="1:9">
      <c r="A388" s="9">
        <v>457</v>
      </c>
      <c r="B388" s="9" t="s">
        <v>1179</v>
      </c>
      <c r="C388" s="9" t="s">
        <v>14</v>
      </c>
      <c r="D388" s="21">
        <v>800</v>
      </c>
      <c r="E388" s="18">
        <v>31200000</v>
      </c>
      <c r="F388" s="18">
        <v>5139288.0000000009</v>
      </c>
      <c r="G388" s="18">
        <v>5.5189816884432927</v>
      </c>
      <c r="H388" s="18">
        <v>797</v>
      </c>
      <c r="I388" s="16">
        <v>0</v>
      </c>
    </row>
    <row r="389" spans="1:9">
      <c r="A389" s="9">
        <v>458</v>
      </c>
      <c r="B389" s="9" t="s">
        <v>1180</v>
      </c>
      <c r="C389" s="9" t="s">
        <v>14</v>
      </c>
      <c r="D389" s="21">
        <v>800</v>
      </c>
      <c r="E389" s="18">
        <v>31200000</v>
      </c>
      <c r="F389" s="18">
        <v>5139288.0000000009</v>
      </c>
      <c r="G389" s="18">
        <v>5.5189816884432927</v>
      </c>
      <c r="H389" s="18">
        <v>800</v>
      </c>
      <c r="I389" s="16">
        <v>0</v>
      </c>
    </row>
    <row r="390" spans="1:9">
      <c r="A390" s="9">
        <v>459</v>
      </c>
      <c r="B390" s="9" t="s">
        <v>1181</v>
      </c>
      <c r="C390" s="9" t="s">
        <v>14</v>
      </c>
      <c r="D390" s="21">
        <v>800</v>
      </c>
      <c r="E390" s="18">
        <v>31200000</v>
      </c>
      <c r="F390" s="18">
        <v>5139288.0000000009</v>
      </c>
      <c r="G390" s="18">
        <v>5.5189816884432927</v>
      </c>
      <c r="H390" s="18">
        <v>800</v>
      </c>
      <c r="I390" s="16">
        <v>0</v>
      </c>
    </row>
    <row r="391" spans="1:9">
      <c r="A391" s="9">
        <v>461</v>
      </c>
      <c r="B391" s="9" t="s">
        <v>1182</v>
      </c>
      <c r="C391" s="9" t="s">
        <v>14</v>
      </c>
      <c r="D391" s="21">
        <v>800</v>
      </c>
      <c r="E391" s="18">
        <v>42400000</v>
      </c>
      <c r="F391" s="18">
        <v>5394432</v>
      </c>
      <c r="G391" s="18">
        <v>7.1454148546973144</v>
      </c>
      <c r="H391" s="18">
        <v>800</v>
      </c>
      <c r="I391" s="16">
        <v>0</v>
      </c>
    </row>
    <row r="392" spans="1:9">
      <c r="A392" s="9">
        <v>462</v>
      </c>
      <c r="B392" s="9" t="s">
        <v>1183</v>
      </c>
      <c r="C392" s="9" t="s">
        <v>14</v>
      </c>
      <c r="D392" s="21">
        <v>800</v>
      </c>
      <c r="E392" s="18">
        <v>42400000</v>
      </c>
      <c r="F392" s="18">
        <v>6165304.0000000019</v>
      </c>
      <c r="G392" s="18">
        <v>6.2519957727071578</v>
      </c>
      <c r="H392" s="18">
        <v>800</v>
      </c>
      <c r="I392" s="16">
        <v>0</v>
      </c>
    </row>
    <row r="393" spans="1:9">
      <c r="A393" s="9">
        <v>463</v>
      </c>
      <c r="B393" s="9" t="s">
        <v>1184</v>
      </c>
      <c r="C393" s="9" t="s">
        <v>14</v>
      </c>
      <c r="D393" s="21">
        <v>800</v>
      </c>
      <c r="E393" s="18">
        <v>42400000</v>
      </c>
      <c r="F393" s="18">
        <v>6579880.0000000019</v>
      </c>
      <c r="G393" s="18">
        <v>5.8580786496797099</v>
      </c>
      <c r="H393" s="18">
        <v>802</v>
      </c>
      <c r="I393" s="16">
        <v>0</v>
      </c>
    </row>
    <row r="394" spans="1:9">
      <c r="A394" s="9">
        <v>464</v>
      </c>
      <c r="B394" s="9" t="s">
        <v>1185</v>
      </c>
      <c r="C394" s="9" t="s">
        <v>14</v>
      </c>
      <c r="D394" s="21">
        <v>800</v>
      </c>
      <c r="E394" s="18">
        <v>42400000</v>
      </c>
      <c r="F394" s="18">
        <v>5948176.0000000009</v>
      </c>
      <c r="G394" s="18">
        <v>6.4802141943100766</v>
      </c>
      <c r="H394" s="18">
        <v>806</v>
      </c>
      <c r="I394" s="16">
        <v>0</v>
      </c>
    </row>
    <row r="395" spans="1:9">
      <c r="A395" s="9">
        <v>465</v>
      </c>
      <c r="B395" s="9" t="s">
        <v>1186</v>
      </c>
      <c r="C395" s="9" t="s">
        <v>14</v>
      </c>
      <c r="D395" s="21">
        <v>1200</v>
      </c>
      <c r="E395" s="18">
        <v>63600000</v>
      </c>
      <c r="F395" s="18">
        <v>8987376.0000000019</v>
      </c>
      <c r="G395" s="18">
        <v>6.433266152231953</v>
      </c>
      <c r="H395" s="18">
        <v>1200</v>
      </c>
      <c r="I395" s="16">
        <v>0</v>
      </c>
    </row>
    <row r="396" spans="1:9">
      <c r="A396" s="9">
        <v>467</v>
      </c>
      <c r="B396" s="9" t="s">
        <v>1187</v>
      </c>
      <c r="C396" s="9" t="s">
        <v>14</v>
      </c>
      <c r="D396" s="21">
        <v>800</v>
      </c>
      <c r="E396" s="18">
        <v>47200000</v>
      </c>
      <c r="F396" s="18">
        <v>6906696.0000000009</v>
      </c>
      <c r="G396" s="18">
        <v>6.2126798268073333</v>
      </c>
      <c r="H396" s="18">
        <v>798</v>
      </c>
      <c r="I396" s="16">
        <v>0</v>
      </c>
    </row>
    <row r="397" spans="1:9">
      <c r="A397" s="9">
        <v>468</v>
      </c>
      <c r="B397" s="9" t="s">
        <v>1188</v>
      </c>
      <c r="C397" s="9" t="s">
        <v>14</v>
      </c>
      <c r="D397" s="21">
        <v>800</v>
      </c>
      <c r="E397" s="18">
        <v>50400000</v>
      </c>
      <c r="F397" s="18">
        <v>8806744.0000000019</v>
      </c>
      <c r="G397" s="18">
        <v>5.2026244680419698</v>
      </c>
      <c r="H397" s="18">
        <v>800</v>
      </c>
      <c r="I397" s="16">
        <v>0</v>
      </c>
    </row>
    <row r="398" spans="1:9">
      <c r="A398" s="9">
        <v>470</v>
      </c>
      <c r="B398" s="9" t="s">
        <v>1189</v>
      </c>
      <c r="C398" s="9" t="s">
        <v>14</v>
      </c>
      <c r="D398" s="21">
        <v>800</v>
      </c>
      <c r="E398" s="18">
        <v>47200000</v>
      </c>
      <c r="F398" s="18">
        <v>7551248.0000000009</v>
      </c>
      <c r="G398" s="18">
        <v>5.6823840124295879</v>
      </c>
      <c r="H398" s="18">
        <v>807</v>
      </c>
      <c r="I398" s="16">
        <v>0</v>
      </c>
    </row>
    <row r="399" spans="1:9">
      <c r="A399" s="9">
        <v>471</v>
      </c>
      <c r="B399" s="9" t="s">
        <v>1190</v>
      </c>
      <c r="C399" s="9" t="s">
        <v>14</v>
      </c>
      <c r="D399" s="21">
        <v>800</v>
      </c>
      <c r="E399" s="18">
        <v>47200000</v>
      </c>
      <c r="F399" s="18">
        <v>7152080</v>
      </c>
      <c r="G399" s="18">
        <v>5.9995261391218921</v>
      </c>
      <c r="H399" s="18">
        <v>802</v>
      </c>
      <c r="I399" s="16">
        <v>0</v>
      </c>
    </row>
    <row r="400" spans="1:9">
      <c r="A400" s="9">
        <v>472</v>
      </c>
      <c r="B400" s="9" t="s">
        <v>1191</v>
      </c>
      <c r="C400" s="9" t="s">
        <v>14</v>
      </c>
      <c r="D400" s="21">
        <v>800</v>
      </c>
      <c r="E400" s="18">
        <v>47200000</v>
      </c>
      <c r="F400" s="18">
        <v>7002392</v>
      </c>
      <c r="G400" s="18">
        <v>6.1277761812093505</v>
      </c>
      <c r="H400" s="18">
        <v>771</v>
      </c>
      <c r="I400" s="16">
        <v>0</v>
      </c>
    </row>
    <row r="401" spans="1:9">
      <c r="A401" s="9">
        <v>474</v>
      </c>
      <c r="B401" s="9" t="s">
        <v>1192</v>
      </c>
      <c r="C401" s="9" t="s">
        <v>14</v>
      </c>
      <c r="D401" s="21">
        <v>1200</v>
      </c>
      <c r="E401" s="18">
        <v>54000000</v>
      </c>
      <c r="F401" s="18">
        <v>8185824</v>
      </c>
      <c r="G401" s="18">
        <v>5.9970638375451379</v>
      </c>
      <c r="H401" s="18">
        <v>1186</v>
      </c>
      <c r="I401" s="16">
        <v>0</v>
      </c>
    </row>
    <row r="402" spans="1:9">
      <c r="A402" s="9">
        <v>475</v>
      </c>
      <c r="B402" s="9" t="s">
        <v>1193</v>
      </c>
      <c r="C402" s="9" t="s">
        <v>14</v>
      </c>
      <c r="D402" s="21">
        <v>800</v>
      </c>
      <c r="E402" s="18">
        <v>47200000</v>
      </c>
      <c r="F402" s="18">
        <v>6702064</v>
      </c>
      <c r="G402" s="18">
        <v>6.4023696146576494</v>
      </c>
      <c r="H402" s="18">
        <v>798</v>
      </c>
      <c r="I402" s="16">
        <v>0</v>
      </c>
    </row>
    <row r="403" spans="1:9">
      <c r="A403" s="9">
        <v>476</v>
      </c>
      <c r="B403" s="9" t="s">
        <v>1194</v>
      </c>
      <c r="C403" s="9" t="s">
        <v>14</v>
      </c>
      <c r="D403" s="21">
        <v>800</v>
      </c>
      <c r="E403" s="18">
        <v>44000000</v>
      </c>
      <c r="F403" s="18">
        <v>6602272</v>
      </c>
      <c r="G403" s="18">
        <v>6.0585204608353003</v>
      </c>
      <c r="H403" s="18">
        <v>794</v>
      </c>
      <c r="I403" s="16">
        <v>0</v>
      </c>
    </row>
    <row r="404" spans="1:9">
      <c r="A404" s="9">
        <v>478</v>
      </c>
      <c r="B404" s="9" t="s">
        <v>1195</v>
      </c>
      <c r="C404" s="9" t="s">
        <v>14</v>
      </c>
      <c r="D404" s="21">
        <v>1000</v>
      </c>
      <c r="E404" s="18">
        <v>59000000</v>
      </c>
      <c r="F404" s="18">
        <v>11454200</v>
      </c>
      <c r="G404" s="18">
        <v>4.6826809062495531</v>
      </c>
      <c r="H404" s="18">
        <v>997</v>
      </c>
      <c r="I404" s="16">
        <v>0</v>
      </c>
    </row>
    <row r="405" spans="1:9">
      <c r="A405" s="9">
        <v>479</v>
      </c>
      <c r="B405" s="9" t="s">
        <v>1196</v>
      </c>
      <c r="C405" s="9" t="s">
        <v>14</v>
      </c>
      <c r="D405" s="21">
        <v>800</v>
      </c>
      <c r="E405" s="18">
        <v>36000000</v>
      </c>
      <c r="F405" s="18">
        <v>7311632.0000000009</v>
      </c>
      <c r="G405" s="18">
        <v>4.4760557871721005</v>
      </c>
      <c r="H405" s="18">
        <v>759</v>
      </c>
      <c r="I405" s="16">
        <v>0</v>
      </c>
    </row>
    <row r="406" spans="1:9">
      <c r="A406" s="9">
        <v>480</v>
      </c>
      <c r="B406" s="9" t="s">
        <v>1197</v>
      </c>
      <c r="C406" s="9" t="s">
        <v>14</v>
      </c>
      <c r="D406" s="21">
        <v>800</v>
      </c>
      <c r="E406" s="18">
        <v>36000000</v>
      </c>
      <c r="F406" s="18">
        <v>7300816</v>
      </c>
      <c r="G406" s="18">
        <v>4.4826869663983757</v>
      </c>
      <c r="H406" s="18">
        <v>799</v>
      </c>
      <c r="I406" s="16">
        <v>0</v>
      </c>
    </row>
    <row r="407" spans="1:9">
      <c r="A407" s="9">
        <v>481</v>
      </c>
      <c r="B407" s="9" t="s">
        <v>1198</v>
      </c>
      <c r="C407" s="9" t="s">
        <v>14</v>
      </c>
      <c r="D407" s="21">
        <v>800</v>
      </c>
      <c r="E407" s="18">
        <v>36000000</v>
      </c>
      <c r="F407" s="18">
        <v>7253824.0000000009</v>
      </c>
      <c r="G407" s="18">
        <v>4.5117268805078155</v>
      </c>
      <c r="H407" s="18">
        <v>786</v>
      </c>
      <c r="I407" s="16">
        <v>0</v>
      </c>
    </row>
    <row r="408" spans="1:9">
      <c r="A408" s="9">
        <v>483</v>
      </c>
      <c r="B408" s="9" t="s">
        <v>1199</v>
      </c>
      <c r="C408" s="9" t="s">
        <v>14</v>
      </c>
      <c r="D408" s="21">
        <v>1200</v>
      </c>
      <c r="E408" s="18">
        <v>66000000</v>
      </c>
      <c r="F408" s="18">
        <v>12170244.000000002</v>
      </c>
      <c r="G408" s="18">
        <v>4.9300572774054476</v>
      </c>
      <c r="H408" s="18">
        <v>1198</v>
      </c>
      <c r="I408" s="16">
        <v>0</v>
      </c>
    </row>
    <row r="409" spans="1:9">
      <c r="A409" s="9">
        <v>484</v>
      </c>
      <c r="B409" s="9" t="s">
        <v>1200</v>
      </c>
      <c r="C409" s="9" t="s">
        <v>14</v>
      </c>
      <c r="D409" s="21">
        <v>1200</v>
      </c>
      <c r="E409" s="18">
        <v>66000000</v>
      </c>
      <c r="F409" s="18">
        <v>10687320</v>
      </c>
      <c r="G409" s="18">
        <v>5.6141296414816804</v>
      </c>
      <c r="H409" s="18">
        <v>1182</v>
      </c>
      <c r="I409" s="16">
        <v>0</v>
      </c>
    </row>
    <row r="410" spans="1:9">
      <c r="A410" s="9">
        <v>485</v>
      </c>
      <c r="B410" s="9" t="s">
        <v>1201</v>
      </c>
      <c r="C410" s="9" t="s">
        <v>14</v>
      </c>
      <c r="D410" s="21">
        <v>930</v>
      </c>
      <c r="E410" s="18">
        <v>51150000</v>
      </c>
      <c r="F410" s="18">
        <v>7890213</v>
      </c>
      <c r="G410" s="18">
        <v>5.8933770229016629</v>
      </c>
      <c r="H410" s="18">
        <v>899</v>
      </c>
      <c r="I410" s="16">
        <v>0</v>
      </c>
    </row>
    <row r="411" spans="1:9">
      <c r="A411" s="9">
        <v>486</v>
      </c>
      <c r="B411" s="9" t="s">
        <v>1202</v>
      </c>
      <c r="C411" s="9" t="s">
        <v>14</v>
      </c>
      <c r="D411" s="21">
        <v>1500</v>
      </c>
      <c r="E411" s="18">
        <v>82500000</v>
      </c>
      <c r="F411" s="18">
        <v>15843915</v>
      </c>
      <c r="G411" s="18">
        <v>4.7336785131705135</v>
      </c>
      <c r="H411" s="18">
        <v>1505</v>
      </c>
      <c r="I411" s="16">
        <v>0</v>
      </c>
    </row>
    <row r="412" spans="1:9">
      <c r="A412" s="9">
        <v>488</v>
      </c>
      <c r="B412" s="9" t="s">
        <v>1203</v>
      </c>
      <c r="C412" s="9" t="s">
        <v>14</v>
      </c>
      <c r="D412" s="21">
        <v>800</v>
      </c>
      <c r="E412" s="18">
        <v>47200000</v>
      </c>
      <c r="F412" s="18">
        <v>9078264</v>
      </c>
      <c r="G412" s="18">
        <v>4.7265744760331829</v>
      </c>
      <c r="H412" s="18">
        <v>805</v>
      </c>
      <c r="I412" s="16">
        <v>0</v>
      </c>
    </row>
    <row r="413" spans="1:9">
      <c r="A413" s="9">
        <v>489</v>
      </c>
      <c r="B413" s="9" t="s">
        <v>1204</v>
      </c>
      <c r="C413" s="9" t="s">
        <v>14</v>
      </c>
      <c r="D413" s="21">
        <v>800</v>
      </c>
      <c r="E413" s="18">
        <v>47200000</v>
      </c>
      <c r="F413" s="18">
        <v>9078264</v>
      </c>
      <c r="G413" s="18">
        <v>4.7265744760331829</v>
      </c>
      <c r="H413" s="18">
        <v>800</v>
      </c>
      <c r="I413" s="16">
        <v>0</v>
      </c>
    </row>
    <row r="414" spans="1:9">
      <c r="A414" s="9">
        <v>491</v>
      </c>
      <c r="B414" s="9" t="s">
        <v>1205</v>
      </c>
      <c r="C414" s="9" t="s">
        <v>14</v>
      </c>
      <c r="D414" s="21">
        <v>600</v>
      </c>
      <c r="E414" s="18">
        <v>21000000</v>
      </c>
      <c r="F414" s="18">
        <v>3305136.0000000009</v>
      </c>
      <c r="G414" s="18">
        <v>5.7761342017118453</v>
      </c>
      <c r="H414" s="18">
        <v>597</v>
      </c>
      <c r="I414" s="16">
        <v>0</v>
      </c>
    </row>
    <row r="415" spans="1:9">
      <c r="A415" s="9">
        <v>492</v>
      </c>
      <c r="B415" s="9" t="s">
        <v>1206</v>
      </c>
      <c r="C415" s="9" t="s">
        <v>14</v>
      </c>
      <c r="D415" s="21">
        <v>600</v>
      </c>
      <c r="E415" s="18">
        <v>21000000</v>
      </c>
      <c r="F415" s="18">
        <v>3305136.0000000009</v>
      </c>
      <c r="G415" s="18">
        <v>5.7761342017118453</v>
      </c>
      <c r="H415" s="18">
        <v>596</v>
      </c>
      <c r="I415" s="16">
        <v>0</v>
      </c>
    </row>
    <row r="416" spans="1:9">
      <c r="A416" s="9">
        <v>493</v>
      </c>
      <c r="B416" s="9" t="s">
        <v>1207</v>
      </c>
      <c r="C416" s="9" t="s">
        <v>14</v>
      </c>
      <c r="D416" s="21">
        <v>600</v>
      </c>
      <c r="E416" s="18">
        <v>21000000</v>
      </c>
      <c r="F416" s="18">
        <v>3305136.0000000009</v>
      </c>
      <c r="G416" s="18">
        <v>5.7761342017118453</v>
      </c>
      <c r="H416" s="18">
        <v>592</v>
      </c>
      <c r="I416" s="16">
        <v>0</v>
      </c>
    </row>
    <row r="417" spans="1:9">
      <c r="A417" s="9">
        <v>494</v>
      </c>
      <c r="B417" s="9" t="s">
        <v>1208</v>
      </c>
      <c r="C417" s="9" t="s">
        <v>14</v>
      </c>
      <c r="D417" s="21">
        <v>600</v>
      </c>
      <c r="E417" s="18">
        <v>21000000</v>
      </c>
      <c r="F417" s="18">
        <v>3155448.0000000005</v>
      </c>
      <c r="G417" s="18">
        <v>6.0501421956277168</v>
      </c>
      <c r="H417" s="18">
        <v>600</v>
      </c>
      <c r="I417" s="16">
        <v>0</v>
      </c>
    </row>
    <row r="418" spans="1:9">
      <c r="A418" s="9">
        <v>495</v>
      </c>
      <c r="B418" s="9" t="s">
        <v>1209</v>
      </c>
      <c r="C418" s="9" t="s">
        <v>14</v>
      </c>
      <c r="D418" s="21">
        <v>600</v>
      </c>
      <c r="E418" s="18">
        <v>21000000</v>
      </c>
      <c r="F418" s="18">
        <v>3155448.0000000005</v>
      </c>
      <c r="G418" s="18">
        <v>6.0501421956277168</v>
      </c>
      <c r="H418" s="18">
        <v>600</v>
      </c>
      <c r="I418" s="16">
        <v>0</v>
      </c>
    </row>
    <row r="419" spans="1:9">
      <c r="A419" s="9">
        <v>497</v>
      </c>
      <c r="B419" s="9" t="s">
        <v>1210</v>
      </c>
      <c r="C419" s="9" t="s">
        <v>14</v>
      </c>
      <c r="D419" s="21">
        <v>600</v>
      </c>
      <c r="E419" s="18">
        <v>25800000</v>
      </c>
      <c r="F419" s="18">
        <v>4192512.0000000005</v>
      </c>
      <c r="G419" s="18">
        <v>5.5943895818414946</v>
      </c>
      <c r="H419" s="18">
        <v>600</v>
      </c>
      <c r="I419" s="16">
        <v>0</v>
      </c>
    </row>
    <row r="420" spans="1:9">
      <c r="A420" s="9">
        <v>498</v>
      </c>
      <c r="B420" s="9" t="s">
        <v>1211</v>
      </c>
      <c r="C420" s="9" t="s">
        <v>14</v>
      </c>
      <c r="D420" s="21">
        <v>600</v>
      </c>
      <c r="E420" s="18">
        <v>25800000</v>
      </c>
      <c r="F420" s="18">
        <v>4192512.0000000005</v>
      </c>
      <c r="G420" s="18">
        <v>5.5943895818414946</v>
      </c>
      <c r="H420" s="18">
        <v>594</v>
      </c>
      <c r="I420" s="16">
        <v>0</v>
      </c>
    </row>
    <row r="421" spans="1:9">
      <c r="A421" s="9">
        <v>500</v>
      </c>
      <c r="B421" s="9" t="s">
        <v>1212</v>
      </c>
      <c r="C421" s="9" t="s">
        <v>14</v>
      </c>
      <c r="D421" s="21">
        <v>1500</v>
      </c>
      <c r="E421" s="18">
        <v>73500000</v>
      </c>
      <c r="F421" s="18">
        <v>11882490.000000002</v>
      </c>
      <c r="G421" s="18">
        <v>5.6232474690222167</v>
      </c>
      <c r="H421" s="18">
        <v>1510</v>
      </c>
      <c r="I421" s="16">
        <v>0</v>
      </c>
    </row>
    <row r="422" spans="1:9">
      <c r="A422" s="9">
        <v>501</v>
      </c>
      <c r="B422" s="9" t="s">
        <v>1213</v>
      </c>
      <c r="C422" s="9" t="s">
        <v>14</v>
      </c>
      <c r="D422" s="21">
        <v>1000</v>
      </c>
      <c r="E422" s="18">
        <v>55000000</v>
      </c>
      <c r="F422" s="18">
        <v>9395360</v>
      </c>
      <c r="G422" s="18">
        <v>5.3217758553158152</v>
      </c>
      <c r="H422" s="18">
        <v>996</v>
      </c>
      <c r="I422" s="16">
        <v>0</v>
      </c>
    </row>
    <row r="423" spans="1:9">
      <c r="A423" s="9">
        <v>502</v>
      </c>
      <c r="B423" s="9" t="s">
        <v>1214</v>
      </c>
      <c r="C423" s="9" t="s">
        <v>14</v>
      </c>
      <c r="D423" s="21">
        <v>1200</v>
      </c>
      <c r="E423" s="18">
        <v>58800000</v>
      </c>
      <c r="F423" s="18">
        <v>9055728</v>
      </c>
      <c r="G423" s="18">
        <v>5.9028435322422945</v>
      </c>
      <c r="H423" s="18">
        <v>1210</v>
      </c>
      <c r="I423" s="16">
        <v>0</v>
      </c>
    </row>
    <row r="424" spans="1:9">
      <c r="A424" s="9">
        <v>503</v>
      </c>
      <c r="B424" s="9" t="s">
        <v>1215</v>
      </c>
      <c r="C424" s="9" t="s">
        <v>14</v>
      </c>
      <c r="D424" s="21">
        <v>2000</v>
      </c>
      <c r="E424" s="18">
        <v>98000000</v>
      </c>
      <c r="F424" s="18">
        <v>15591840</v>
      </c>
      <c r="G424" s="18">
        <v>5.71394454348615</v>
      </c>
      <c r="H424" s="18">
        <v>2004</v>
      </c>
      <c r="I424" s="16">
        <v>0</v>
      </c>
    </row>
    <row r="425" spans="1:9">
      <c r="A425" s="9">
        <v>504</v>
      </c>
      <c r="B425" s="9" t="s">
        <v>1216</v>
      </c>
      <c r="C425" s="9" t="s">
        <v>14</v>
      </c>
      <c r="D425" s="21">
        <v>1200</v>
      </c>
      <c r="E425" s="18">
        <v>58800000</v>
      </c>
      <c r="F425" s="18">
        <v>9355104</v>
      </c>
      <c r="G425" s="18">
        <v>5.71394454348615</v>
      </c>
      <c r="H425" s="18">
        <v>1199</v>
      </c>
      <c r="I425" s="16">
        <v>0</v>
      </c>
    </row>
    <row r="426" spans="1:9">
      <c r="A426" s="9">
        <v>505</v>
      </c>
      <c r="B426" s="9" t="s">
        <v>1217</v>
      </c>
      <c r="C426" s="9" t="s">
        <v>14</v>
      </c>
      <c r="D426" s="21">
        <v>1200</v>
      </c>
      <c r="E426" s="18">
        <v>58800000</v>
      </c>
      <c r="F426" s="18">
        <v>9355104</v>
      </c>
      <c r="G426" s="18">
        <v>5.71394454348615</v>
      </c>
      <c r="H426" s="18">
        <v>1198</v>
      </c>
      <c r="I426" s="16">
        <v>0</v>
      </c>
    </row>
    <row r="427" spans="1:9">
      <c r="A427" s="9">
        <v>506</v>
      </c>
      <c r="B427" s="9" t="s">
        <v>1218</v>
      </c>
      <c r="C427" s="9" t="s">
        <v>14</v>
      </c>
      <c r="D427" s="21">
        <v>1200</v>
      </c>
      <c r="E427" s="18">
        <v>58800000</v>
      </c>
      <c r="F427" s="18">
        <v>9355104</v>
      </c>
      <c r="G427" s="18">
        <v>5.71394454348615</v>
      </c>
      <c r="H427" s="18">
        <v>1193</v>
      </c>
      <c r="I427" s="16">
        <v>0</v>
      </c>
    </row>
    <row r="428" spans="1:9">
      <c r="A428" s="9">
        <v>507</v>
      </c>
      <c r="B428" s="9" t="s">
        <v>1219</v>
      </c>
      <c r="C428" s="9" t="s">
        <v>14</v>
      </c>
      <c r="D428" s="21">
        <v>2000</v>
      </c>
      <c r="E428" s="18">
        <v>98000000</v>
      </c>
      <c r="F428" s="18">
        <v>15591840</v>
      </c>
      <c r="G428" s="18">
        <v>5.71394454348615</v>
      </c>
      <c r="H428" s="18">
        <v>1996</v>
      </c>
      <c r="I428" s="16">
        <v>0</v>
      </c>
    </row>
    <row r="429" spans="1:9">
      <c r="A429" s="9">
        <v>508</v>
      </c>
      <c r="B429" s="9" t="s">
        <v>1220</v>
      </c>
      <c r="C429" s="9" t="s">
        <v>14</v>
      </c>
      <c r="D429" s="21">
        <v>1200</v>
      </c>
      <c r="E429" s="18">
        <v>58800000</v>
      </c>
      <c r="F429" s="18">
        <v>8681508</v>
      </c>
      <c r="G429" s="18">
        <v>6.1572880488672537</v>
      </c>
      <c r="H429" s="18">
        <v>1204</v>
      </c>
      <c r="I429" s="16">
        <v>0</v>
      </c>
    </row>
    <row r="430" spans="1:9">
      <c r="A430" s="9">
        <v>510</v>
      </c>
      <c r="B430" s="9" t="s">
        <v>1490</v>
      </c>
      <c r="C430" s="9" t="s">
        <v>14</v>
      </c>
      <c r="D430" s="21">
        <v>400</v>
      </c>
      <c r="E430" s="18">
        <v>18800000</v>
      </c>
      <c r="F430" s="18">
        <v>3195480.0000000005</v>
      </c>
      <c r="G430" s="18">
        <v>5.3484637960209689</v>
      </c>
      <c r="H430" s="18">
        <v>400</v>
      </c>
      <c r="I430" s="16">
        <v>0</v>
      </c>
    </row>
    <row r="431" spans="1:9">
      <c r="A431" s="9">
        <v>512</v>
      </c>
      <c r="B431" s="9" t="s">
        <v>1491</v>
      </c>
      <c r="C431" s="9" t="s">
        <v>14</v>
      </c>
      <c r="D431" s="21">
        <v>300</v>
      </c>
      <c r="E431" s="18">
        <v>14700000</v>
      </c>
      <c r="F431" s="18">
        <v>2694384</v>
      </c>
      <c r="G431" s="18">
        <v>4.9598113571177542</v>
      </c>
      <c r="H431" s="18">
        <v>300</v>
      </c>
      <c r="I431" s="16">
        <v>0</v>
      </c>
    </row>
    <row r="432" spans="1:9">
      <c r="A432" s="9">
        <v>513</v>
      </c>
      <c r="B432" s="9" t="s">
        <v>1492</v>
      </c>
      <c r="C432" s="9" t="s">
        <v>14</v>
      </c>
      <c r="D432" s="21">
        <v>400</v>
      </c>
      <c r="E432" s="18">
        <v>27600000</v>
      </c>
      <c r="F432" s="18">
        <v>4682928</v>
      </c>
      <c r="G432" s="18">
        <v>5.3579532059662434</v>
      </c>
      <c r="H432" s="18">
        <v>400</v>
      </c>
      <c r="I432" s="16">
        <v>0</v>
      </c>
    </row>
    <row r="433" spans="1:9">
      <c r="A433" s="9">
        <v>514</v>
      </c>
      <c r="B433" s="9" t="s">
        <v>1493</v>
      </c>
      <c r="C433" s="9" t="s">
        <v>14</v>
      </c>
      <c r="D433" s="21">
        <v>400</v>
      </c>
      <c r="E433" s="18">
        <v>18800000</v>
      </c>
      <c r="F433" s="18">
        <v>3321840</v>
      </c>
      <c r="G433" s="18">
        <v>5.1450127311697997</v>
      </c>
      <c r="H433" s="18">
        <v>396</v>
      </c>
      <c r="I433" s="16">
        <v>0</v>
      </c>
    </row>
    <row r="434" spans="1:9">
      <c r="A434" s="9">
        <v>515</v>
      </c>
      <c r="B434" s="9" t="s">
        <v>1494</v>
      </c>
      <c r="C434" s="9" t="s">
        <v>14</v>
      </c>
      <c r="D434" s="21">
        <v>300</v>
      </c>
      <c r="E434" s="18">
        <v>19500000</v>
      </c>
      <c r="F434" s="18">
        <v>3502704</v>
      </c>
      <c r="G434" s="18">
        <v>5.0610250615732086</v>
      </c>
      <c r="H434" s="18">
        <v>298</v>
      </c>
      <c r="I434" s="16">
        <v>0</v>
      </c>
    </row>
    <row r="435" spans="1:9">
      <c r="A435" s="9">
        <v>516</v>
      </c>
      <c r="B435" s="9" t="s">
        <v>1495</v>
      </c>
      <c r="C435" s="9" t="s">
        <v>14</v>
      </c>
      <c r="D435" s="21">
        <v>300</v>
      </c>
      <c r="E435" s="18">
        <v>19500000</v>
      </c>
      <c r="F435" s="18">
        <v>3502704</v>
      </c>
      <c r="G435" s="18">
        <v>5.0610250615732086</v>
      </c>
      <c r="H435" s="18">
        <v>297</v>
      </c>
      <c r="I435" s="16">
        <v>0</v>
      </c>
    </row>
    <row r="436" spans="1:9">
      <c r="A436" s="9">
        <v>517</v>
      </c>
      <c r="B436" s="9" t="s">
        <v>1496</v>
      </c>
      <c r="C436" s="9" t="s">
        <v>14</v>
      </c>
      <c r="D436" s="21">
        <v>300</v>
      </c>
      <c r="E436" s="18">
        <v>15900000</v>
      </c>
      <c r="F436" s="18">
        <v>2650830</v>
      </c>
      <c r="G436" s="18">
        <v>5.4528375846604469</v>
      </c>
      <c r="H436" s="18">
        <v>298</v>
      </c>
      <c r="I436" s="16">
        <v>0</v>
      </c>
    </row>
    <row r="437" spans="1:9">
      <c r="A437" s="9">
        <v>518</v>
      </c>
      <c r="B437" s="9" t="s">
        <v>1497</v>
      </c>
      <c r="C437" s="9" t="s">
        <v>14</v>
      </c>
      <c r="D437" s="21">
        <v>400</v>
      </c>
      <c r="E437" s="18">
        <v>18000000</v>
      </c>
      <c r="F437" s="18">
        <v>2900552</v>
      </c>
      <c r="G437" s="18">
        <v>5.6415593871912524</v>
      </c>
      <c r="H437" s="18">
        <v>400</v>
      </c>
      <c r="I437" s="16">
        <v>0</v>
      </c>
    </row>
    <row r="438" spans="1:9">
      <c r="A438" s="9">
        <v>519</v>
      </c>
      <c r="B438" s="9" t="s">
        <v>1498</v>
      </c>
      <c r="C438" s="9" t="s">
        <v>14</v>
      </c>
      <c r="D438" s="21">
        <v>400</v>
      </c>
      <c r="E438" s="18">
        <v>19600000</v>
      </c>
      <c r="F438" s="18">
        <v>2996384.0000000009</v>
      </c>
      <c r="G438" s="18">
        <v>5.9465615282226212</v>
      </c>
      <c r="H438" s="18">
        <v>399</v>
      </c>
      <c r="I438" s="16">
        <v>0</v>
      </c>
    </row>
    <row r="439" spans="1:9">
      <c r="A439" s="9">
        <v>520</v>
      </c>
      <c r="B439" s="9" t="s">
        <v>1499</v>
      </c>
      <c r="C439" s="9" t="s">
        <v>14</v>
      </c>
      <c r="D439" s="21">
        <v>400</v>
      </c>
      <c r="E439" s="18">
        <v>19600000</v>
      </c>
      <c r="F439" s="18">
        <v>2996384.0000000009</v>
      </c>
      <c r="G439" s="18">
        <v>5.9465615282226212</v>
      </c>
      <c r="H439" s="18">
        <v>400</v>
      </c>
      <c r="I439" s="16">
        <v>0</v>
      </c>
    </row>
    <row r="440" spans="1:9">
      <c r="A440" s="9">
        <v>521</v>
      </c>
      <c r="B440" s="9" t="s">
        <v>1500</v>
      </c>
      <c r="C440" s="9" t="s">
        <v>14</v>
      </c>
      <c r="D440" s="21">
        <v>400</v>
      </c>
      <c r="E440" s="18">
        <v>19600000</v>
      </c>
      <c r="F440" s="18">
        <v>2996384.0000000009</v>
      </c>
      <c r="G440" s="18">
        <v>5.9465615282226212</v>
      </c>
      <c r="H440" s="18">
        <v>400</v>
      </c>
      <c r="I440" s="16">
        <v>0</v>
      </c>
    </row>
    <row r="441" spans="1:9">
      <c r="A441" s="9">
        <v>523</v>
      </c>
      <c r="B441" s="9" t="s">
        <v>1221</v>
      </c>
      <c r="C441" s="9" t="s">
        <v>14</v>
      </c>
      <c r="D441" s="21">
        <v>1200</v>
      </c>
      <c r="E441" s="18">
        <v>7080000</v>
      </c>
      <c r="F441" s="18">
        <v>1215504</v>
      </c>
      <c r="G441" s="18">
        <v>5.2952220941795627</v>
      </c>
      <c r="H441" s="18">
        <v>1199</v>
      </c>
      <c r="I441" s="16">
        <v>0</v>
      </c>
    </row>
    <row r="442" spans="1:9">
      <c r="A442" s="9">
        <v>524</v>
      </c>
      <c r="B442" s="9" t="s">
        <v>1222</v>
      </c>
      <c r="C442" s="9" t="s">
        <v>14</v>
      </c>
      <c r="D442" s="21">
        <v>1200</v>
      </c>
      <c r="E442" s="18">
        <v>7080000</v>
      </c>
      <c r="F442" s="18">
        <v>1215504</v>
      </c>
      <c r="G442" s="18">
        <v>5.2952220941795627</v>
      </c>
      <c r="H442" s="18">
        <v>1200</v>
      </c>
      <c r="I442" s="16">
        <v>0</v>
      </c>
    </row>
    <row r="443" spans="1:9">
      <c r="A443" s="9">
        <v>525</v>
      </c>
      <c r="B443" s="9" t="s">
        <v>1223</v>
      </c>
      <c r="C443" s="9" t="s">
        <v>14</v>
      </c>
      <c r="D443" s="21">
        <v>1200</v>
      </c>
      <c r="E443" s="18">
        <v>9480000</v>
      </c>
      <c r="F443" s="18">
        <v>1440036</v>
      </c>
      <c r="G443" s="18">
        <v>5.9846988673768005</v>
      </c>
      <c r="H443" s="18">
        <v>1199</v>
      </c>
      <c r="I443" s="16">
        <v>0</v>
      </c>
    </row>
    <row r="444" spans="1:9">
      <c r="A444" s="9">
        <v>526</v>
      </c>
      <c r="B444" s="9" t="s">
        <v>1224</v>
      </c>
      <c r="C444" s="9" t="s">
        <v>14</v>
      </c>
      <c r="D444" s="21">
        <v>1200</v>
      </c>
      <c r="E444" s="18">
        <v>9480000</v>
      </c>
      <c r="F444" s="18">
        <v>1290348</v>
      </c>
      <c r="G444" s="18">
        <v>6.6789593335920374</v>
      </c>
      <c r="H444" s="18">
        <v>1200</v>
      </c>
      <c r="I444" s="16">
        <v>0</v>
      </c>
    </row>
    <row r="445" spans="1:9">
      <c r="A445" s="9">
        <v>527</v>
      </c>
      <c r="B445" s="9" t="s">
        <v>1225</v>
      </c>
      <c r="C445" s="9" t="s">
        <v>14</v>
      </c>
      <c r="D445" s="21">
        <v>1200</v>
      </c>
      <c r="E445" s="18">
        <v>9480000</v>
      </c>
      <c r="F445" s="18">
        <v>1290348</v>
      </c>
      <c r="G445" s="18">
        <v>6.6789593335920374</v>
      </c>
      <c r="H445" s="18">
        <v>1200</v>
      </c>
      <c r="I445" s="16">
        <v>0</v>
      </c>
    </row>
    <row r="446" spans="1:9">
      <c r="A446" s="9">
        <v>529</v>
      </c>
      <c r="B446" s="9" t="s">
        <v>1226</v>
      </c>
      <c r="C446" s="9" t="s">
        <v>14</v>
      </c>
      <c r="D446" s="21">
        <v>1000</v>
      </c>
      <c r="E446" s="18">
        <v>35000000</v>
      </c>
      <c r="F446" s="18">
        <v>7490030.0000000009</v>
      </c>
      <c r="G446" s="18">
        <v>4.2480713452658811</v>
      </c>
      <c r="H446" s="18">
        <v>998</v>
      </c>
      <c r="I446" s="16">
        <v>0</v>
      </c>
    </row>
    <row r="447" spans="1:9">
      <c r="A447" s="9">
        <v>530</v>
      </c>
      <c r="B447" s="9" t="s">
        <v>1227</v>
      </c>
      <c r="C447" s="9" t="s">
        <v>14</v>
      </c>
      <c r="D447" s="21">
        <v>1000</v>
      </c>
      <c r="E447" s="18">
        <v>35000000</v>
      </c>
      <c r="F447" s="18">
        <v>7994030.0000000009</v>
      </c>
      <c r="G447" s="18">
        <v>3.9802429835992372</v>
      </c>
      <c r="H447" s="18">
        <v>998</v>
      </c>
      <c r="I447" s="16">
        <v>0</v>
      </c>
    </row>
    <row r="448" spans="1:9">
      <c r="A448" s="9">
        <v>532</v>
      </c>
      <c r="B448" s="9" t="s">
        <v>1228</v>
      </c>
      <c r="C448" s="9" t="s">
        <v>14</v>
      </c>
      <c r="D448" s="21">
        <v>600</v>
      </c>
      <c r="E448" s="18">
        <v>47400000</v>
      </c>
      <c r="F448" s="18">
        <v>11412000</v>
      </c>
      <c r="G448" s="18">
        <v>3.7759296434375291</v>
      </c>
      <c r="H448" s="18">
        <v>600</v>
      </c>
      <c r="I448" s="16">
        <v>0</v>
      </c>
    </row>
    <row r="449" spans="1:9">
      <c r="A449" s="9">
        <v>533</v>
      </c>
      <c r="B449" s="9" t="s">
        <v>1229</v>
      </c>
      <c r="C449" s="9" t="s">
        <v>14</v>
      </c>
      <c r="D449" s="21">
        <v>600</v>
      </c>
      <c r="E449" s="18">
        <v>47400000</v>
      </c>
      <c r="F449" s="18">
        <v>11412000</v>
      </c>
      <c r="G449" s="18">
        <v>3.7759296434375291</v>
      </c>
      <c r="H449" s="18">
        <v>600</v>
      </c>
      <c r="I449" s="16">
        <v>0</v>
      </c>
    </row>
    <row r="450" spans="1:9">
      <c r="A450" s="9">
        <v>534</v>
      </c>
      <c r="B450" s="9" t="s">
        <v>1230</v>
      </c>
      <c r="C450" s="9" t="s">
        <v>14</v>
      </c>
      <c r="D450" s="21">
        <v>600</v>
      </c>
      <c r="E450" s="18">
        <v>59400000</v>
      </c>
      <c r="F450" s="18">
        <v>12912000</v>
      </c>
      <c r="G450" s="18">
        <v>4.1821561338289959</v>
      </c>
      <c r="H450" s="18">
        <v>600</v>
      </c>
      <c r="I450" s="16">
        <v>0</v>
      </c>
    </row>
    <row r="451" spans="1:9">
      <c r="A451" s="9">
        <v>536</v>
      </c>
      <c r="B451" s="9" t="s">
        <v>1231</v>
      </c>
      <c r="C451" s="9" t="s">
        <v>14</v>
      </c>
      <c r="D451" s="21">
        <v>800</v>
      </c>
      <c r="E451" s="18">
        <v>44000000</v>
      </c>
      <c r="F451" s="18">
        <v>4606432</v>
      </c>
      <c r="G451" s="18">
        <v>8.6835103611645632</v>
      </c>
      <c r="H451" s="18">
        <v>798</v>
      </c>
      <c r="I451" s="16">
        <v>0</v>
      </c>
    </row>
    <row r="452" spans="1:9">
      <c r="A452" s="9">
        <v>537</v>
      </c>
      <c r="B452" s="9" t="s">
        <v>1232</v>
      </c>
      <c r="C452" s="9" t="s">
        <v>14</v>
      </c>
      <c r="D452" s="21">
        <v>800</v>
      </c>
      <c r="E452" s="18">
        <v>44000000</v>
      </c>
      <c r="F452" s="18">
        <v>4907264.0000000009</v>
      </c>
      <c r="G452" s="18">
        <v>8.1511815952840507</v>
      </c>
      <c r="H452" s="18">
        <v>800</v>
      </c>
      <c r="I452" s="16">
        <v>0</v>
      </c>
    </row>
    <row r="453" spans="1:9">
      <c r="A453" s="9">
        <v>539</v>
      </c>
      <c r="B453" s="9" t="s">
        <v>1233</v>
      </c>
      <c r="C453" s="9" t="s">
        <v>14</v>
      </c>
      <c r="D453" s="21">
        <v>1000</v>
      </c>
      <c r="E453" s="18">
        <v>39000000</v>
      </c>
      <c r="F453" s="18">
        <v>6049890</v>
      </c>
      <c r="G453" s="18">
        <v>5.8603619990686528</v>
      </c>
      <c r="H453" s="18">
        <v>1000</v>
      </c>
      <c r="I453" s="16">
        <v>0</v>
      </c>
    </row>
    <row r="454" spans="1:9">
      <c r="A454" s="9">
        <v>540</v>
      </c>
      <c r="B454" s="9" t="s">
        <v>1234</v>
      </c>
      <c r="C454" s="9" t="s">
        <v>14</v>
      </c>
      <c r="D454" s="21">
        <v>800</v>
      </c>
      <c r="E454" s="18">
        <v>31200000</v>
      </c>
      <c r="F454" s="18">
        <v>4839912</v>
      </c>
      <c r="G454" s="18">
        <v>5.8603619990686528</v>
      </c>
      <c r="H454" s="18">
        <v>800</v>
      </c>
      <c r="I454" s="16">
        <v>0</v>
      </c>
    </row>
    <row r="455" spans="1:9">
      <c r="A455" s="9">
        <v>541</v>
      </c>
      <c r="B455" s="9" t="s">
        <v>1235</v>
      </c>
      <c r="C455" s="9" t="s">
        <v>14</v>
      </c>
      <c r="D455" s="21">
        <v>800</v>
      </c>
      <c r="E455" s="18">
        <v>31200000</v>
      </c>
      <c r="F455" s="18">
        <v>4839912</v>
      </c>
      <c r="G455" s="18">
        <v>5.8603619990686528</v>
      </c>
      <c r="H455" s="18">
        <v>799</v>
      </c>
      <c r="I455" s="16">
        <v>0</v>
      </c>
    </row>
    <row r="456" spans="1:9">
      <c r="A456" s="9">
        <v>542</v>
      </c>
      <c r="B456" s="9" t="s">
        <v>1236</v>
      </c>
      <c r="C456" s="9" t="s">
        <v>14</v>
      </c>
      <c r="D456" s="21">
        <v>800</v>
      </c>
      <c r="E456" s="18">
        <v>31200000</v>
      </c>
      <c r="F456" s="18">
        <v>4660952</v>
      </c>
      <c r="G456" s="18">
        <v>6.0853740531196978</v>
      </c>
      <c r="H456" s="18">
        <v>800</v>
      </c>
      <c r="I456" s="16">
        <v>0</v>
      </c>
    </row>
    <row r="457" spans="1:9">
      <c r="A457" s="9">
        <v>543</v>
      </c>
      <c r="B457" s="9" t="s">
        <v>1237</v>
      </c>
      <c r="C457" s="9" t="s">
        <v>14</v>
      </c>
      <c r="D457" s="21">
        <v>800</v>
      </c>
      <c r="E457" s="18">
        <v>31200000</v>
      </c>
      <c r="F457" s="18">
        <v>4281576.0000000009</v>
      </c>
      <c r="G457" s="18">
        <v>6.6245785111922233</v>
      </c>
      <c r="H457" s="18">
        <v>800</v>
      </c>
      <c r="I457" s="16">
        <v>0</v>
      </c>
    </row>
    <row r="458" spans="1:9">
      <c r="A458" s="9">
        <v>544</v>
      </c>
      <c r="B458" s="9" t="s">
        <v>1238</v>
      </c>
      <c r="C458" s="9" t="s">
        <v>14</v>
      </c>
      <c r="D458" s="21">
        <v>800</v>
      </c>
      <c r="E458" s="18">
        <v>31200000</v>
      </c>
      <c r="F458" s="18">
        <v>4281576.0000000009</v>
      </c>
      <c r="G458" s="18">
        <v>6.6245785111922233</v>
      </c>
      <c r="H458" s="18">
        <v>799</v>
      </c>
      <c r="I458" s="16">
        <v>0</v>
      </c>
    </row>
    <row r="459" spans="1:9">
      <c r="A459" s="9">
        <v>545</v>
      </c>
      <c r="B459" s="9" t="s">
        <v>1239</v>
      </c>
      <c r="C459" s="9" t="s">
        <v>14</v>
      </c>
      <c r="D459" s="21">
        <v>800</v>
      </c>
      <c r="E459" s="18">
        <v>31200000</v>
      </c>
      <c r="F459" s="18">
        <v>4281576.0000000009</v>
      </c>
      <c r="G459" s="18">
        <v>6.6245785111922233</v>
      </c>
      <c r="H459" s="18">
        <v>798</v>
      </c>
      <c r="I459" s="16">
        <v>0</v>
      </c>
    </row>
    <row r="460" spans="1:9">
      <c r="A460" s="9">
        <v>546</v>
      </c>
      <c r="B460" s="9" t="s">
        <v>1240</v>
      </c>
      <c r="C460" s="9" t="s">
        <v>14</v>
      </c>
      <c r="D460" s="21">
        <v>600</v>
      </c>
      <c r="E460" s="18">
        <v>29400000</v>
      </c>
      <c r="F460" s="18">
        <v>4453218</v>
      </c>
      <c r="G460" s="18">
        <v>6.001788532982828</v>
      </c>
      <c r="H460" s="18">
        <v>600</v>
      </c>
      <c r="I460" s="16">
        <v>0</v>
      </c>
    </row>
    <row r="461" spans="1:9">
      <c r="A461" s="9">
        <v>547</v>
      </c>
      <c r="B461" s="9" t="s">
        <v>1241</v>
      </c>
      <c r="C461" s="9" t="s">
        <v>14</v>
      </c>
      <c r="D461" s="21">
        <v>600</v>
      </c>
      <c r="E461" s="18">
        <v>29400000</v>
      </c>
      <c r="F461" s="18">
        <v>4453218</v>
      </c>
      <c r="G461" s="18">
        <v>6.001788532982828</v>
      </c>
      <c r="H461" s="18">
        <v>600</v>
      </c>
      <c r="I461" s="16">
        <v>0</v>
      </c>
    </row>
    <row r="462" spans="1:9">
      <c r="A462" s="9">
        <v>548</v>
      </c>
      <c r="B462" s="9" t="s">
        <v>1245</v>
      </c>
      <c r="C462" s="9" t="s">
        <v>14</v>
      </c>
      <c r="D462" s="21">
        <v>800</v>
      </c>
      <c r="E462" s="18">
        <v>39200000</v>
      </c>
      <c r="F462" s="18">
        <v>6536376</v>
      </c>
      <c r="G462" s="18">
        <v>5.4520063772897451</v>
      </c>
      <c r="H462" s="18">
        <v>799</v>
      </c>
      <c r="I462" s="16">
        <v>0</v>
      </c>
    </row>
    <row r="463" spans="1:9">
      <c r="A463" s="9">
        <v>549</v>
      </c>
      <c r="B463" s="9" t="s">
        <v>1246</v>
      </c>
      <c r="C463" s="9" t="s">
        <v>14</v>
      </c>
      <c r="D463" s="21">
        <v>600</v>
      </c>
      <c r="E463" s="18">
        <v>29400000</v>
      </c>
      <c r="F463" s="18">
        <v>4782906.0000000009</v>
      </c>
      <c r="G463" s="18">
        <v>5.5880823765452883</v>
      </c>
      <c r="H463" s="18">
        <v>600</v>
      </c>
      <c r="I463" s="16">
        <v>0</v>
      </c>
    </row>
    <row r="464" spans="1:9">
      <c r="A464" s="9">
        <v>550</v>
      </c>
      <c r="B464" s="9" t="s">
        <v>1247</v>
      </c>
      <c r="C464" s="9" t="s">
        <v>14</v>
      </c>
      <c r="D464" s="21">
        <v>600</v>
      </c>
      <c r="E464" s="18">
        <v>29400000</v>
      </c>
      <c r="F464" s="18">
        <v>4782906.0000000009</v>
      </c>
      <c r="G464" s="18">
        <v>5.5880823765452883</v>
      </c>
      <c r="H464" s="18">
        <v>598</v>
      </c>
      <c r="I464" s="16">
        <v>0</v>
      </c>
    </row>
    <row r="465" spans="1:9">
      <c r="A465" s="9">
        <v>551</v>
      </c>
      <c r="B465" s="9" t="s">
        <v>1251</v>
      </c>
      <c r="C465" s="9" t="s">
        <v>14</v>
      </c>
      <c r="D465" s="21">
        <v>800</v>
      </c>
      <c r="E465" s="18">
        <v>36000000</v>
      </c>
      <c r="F465" s="18">
        <v>5429184.0000000009</v>
      </c>
      <c r="G465" s="18">
        <v>6.0280279186103698</v>
      </c>
      <c r="H465" s="18">
        <v>800</v>
      </c>
      <c r="I465" s="16">
        <v>0</v>
      </c>
    </row>
    <row r="466" spans="1:9">
      <c r="A466" s="9">
        <v>552</v>
      </c>
      <c r="B466" s="9" t="s">
        <v>1252</v>
      </c>
      <c r="C466" s="9" t="s">
        <v>14</v>
      </c>
      <c r="D466" s="21">
        <v>800</v>
      </c>
      <c r="E466" s="18">
        <v>34400000</v>
      </c>
      <c r="F466" s="18">
        <v>5189184.0000000009</v>
      </c>
      <c r="G466" s="18">
        <v>6.0265211780363286</v>
      </c>
      <c r="H466" s="18">
        <v>800</v>
      </c>
      <c r="I466" s="16">
        <v>0</v>
      </c>
    </row>
    <row r="467" spans="1:9">
      <c r="A467" s="9">
        <v>553</v>
      </c>
      <c r="B467" s="9" t="s">
        <v>1253</v>
      </c>
      <c r="C467" s="9" t="s">
        <v>14</v>
      </c>
      <c r="D467" s="21">
        <v>800</v>
      </c>
      <c r="E467" s="18">
        <v>36000000</v>
      </c>
      <c r="F467" s="18">
        <v>5429184.0000000009</v>
      </c>
      <c r="G467" s="18">
        <v>6.0280279186103698</v>
      </c>
      <c r="H467" s="18">
        <v>800</v>
      </c>
      <c r="I467" s="16">
        <v>0</v>
      </c>
    </row>
    <row r="468" spans="1:9">
      <c r="A468" s="9">
        <v>554</v>
      </c>
      <c r="B468" s="9" t="s">
        <v>1254</v>
      </c>
      <c r="C468" s="9" t="s">
        <v>14</v>
      </c>
      <c r="D468" s="21">
        <v>800</v>
      </c>
      <c r="E468" s="18">
        <v>36000000</v>
      </c>
      <c r="F468" s="18">
        <v>5429184.0000000009</v>
      </c>
      <c r="G468" s="18">
        <v>6.0280279186103698</v>
      </c>
      <c r="H468" s="18">
        <v>799</v>
      </c>
      <c r="I468" s="16">
        <v>0</v>
      </c>
    </row>
    <row r="469" spans="1:9">
      <c r="A469" s="9">
        <v>555</v>
      </c>
      <c r="B469" s="9" t="s">
        <v>1255</v>
      </c>
      <c r="C469" s="9" t="s">
        <v>14</v>
      </c>
      <c r="D469" s="21">
        <v>800</v>
      </c>
      <c r="E469" s="18">
        <v>34400000</v>
      </c>
      <c r="F469" s="18">
        <v>5189184.0000000009</v>
      </c>
      <c r="G469" s="18">
        <v>6.0265211780363286</v>
      </c>
      <c r="H469" s="18">
        <v>800</v>
      </c>
      <c r="I469" s="16">
        <v>0</v>
      </c>
    </row>
    <row r="470" spans="1:9">
      <c r="A470" s="9">
        <v>556</v>
      </c>
      <c r="B470" s="9" t="s">
        <v>1256</v>
      </c>
      <c r="C470" s="9" t="s">
        <v>14</v>
      </c>
      <c r="D470" s="21">
        <v>800</v>
      </c>
      <c r="E470" s="18">
        <v>36000000</v>
      </c>
      <c r="F470" s="18">
        <v>5429184.0000000009</v>
      </c>
      <c r="G470" s="18">
        <v>6.0280279186103698</v>
      </c>
      <c r="H470" s="18">
        <v>800</v>
      </c>
      <c r="I470" s="16">
        <v>0</v>
      </c>
    </row>
    <row r="471" spans="1:9">
      <c r="A471" s="9">
        <v>558</v>
      </c>
      <c r="B471" s="9" t="s">
        <v>1242</v>
      </c>
      <c r="C471" s="9" t="s">
        <v>14</v>
      </c>
      <c r="D471" s="21">
        <v>600</v>
      </c>
      <c r="E471" s="18">
        <v>29400000</v>
      </c>
      <c r="F471" s="18">
        <v>5561658.0000000009</v>
      </c>
      <c r="G471" s="18">
        <v>4.8056303942588201</v>
      </c>
      <c r="H471" s="18">
        <v>600</v>
      </c>
      <c r="I471" s="16">
        <v>0</v>
      </c>
    </row>
    <row r="472" spans="1:9">
      <c r="A472" s="9">
        <v>559</v>
      </c>
      <c r="B472" s="9" t="s">
        <v>1243</v>
      </c>
      <c r="C472" s="9" t="s">
        <v>14</v>
      </c>
      <c r="D472" s="21">
        <v>600</v>
      </c>
      <c r="E472" s="18">
        <v>29400000</v>
      </c>
      <c r="F472" s="18">
        <v>5561658.0000000009</v>
      </c>
      <c r="G472" s="18">
        <v>4.8056303942588201</v>
      </c>
      <c r="H472" s="18">
        <v>600</v>
      </c>
      <c r="I472" s="16">
        <v>0</v>
      </c>
    </row>
    <row r="473" spans="1:9">
      <c r="A473" s="9">
        <v>560</v>
      </c>
      <c r="B473" s="9" t="s">
        <v>1244</v>
      </c>
      <c r="C473" s="9" t="s">
        <v>14</v>
      </c>
      <c r="D473" s="21">
        <v>600</v>
      </c>
      <c r="E473" s="18">
        <v>29400000</v>
      </c>
      <c r="F473" s="18">
        <v>5561658.0000000009</v>
      </c>
      <c r="G473" s="18">
        <v>4.8056303942588201</v>
      </c>
      <c r="H473" s="18">
        <v>600</v>
      </c>
      <c r="I473" s="16">
        <v>0</v>
      </c>
    </row>
    <row r="474" spans="1:9">
      <c r="A474" s="9">
        <v>562</v>
      </c>
      <c r="B474" s="9" t="s">
        <v>1248</v>
      </c>
      <c r="C474" s="9" t="s">
        <v>14</v>
      </c>
      <c r="D474" s="21">
        <v>600</v>
      </c>
      <c r="E474" s="18">
        <v>29400000</v>
      </c>
      <c r="F474" s="18">
        <v>6317208</v>
      </c>
      <c r="G474" s="18">
        <v>4.2308679288813549</v>
      </c>
      <c r="H474" s="18">
        <v>590</v>
      </c>
      <c r="I474" s="16">
        <v>0</v>
      </c>
    </row>
    <row r="475" spans="1:9">
      <c r="A475" s="9">
        <v>563</v>
      </c>
      <c r="B475" s="9" t="s">
        <v>1249</v>
      </c>
      <c r="C475" s="9" t="s">
        <v>14</v>
      </c>
      <c r="D475" s="21">
        <v>600</v>
      </c>
      <c r="E475" s="18">
        <v>29400000</v>
      </c>
      <c r="F475" s="18">
        <v>6317208</v>
      </c>
      <c r="G475" s="18">
        <v>4.2308679288813549</v>
      </c>
      <c r="H475" s="18">
        <v>594</v>
      </c>
      <c r="I475" s="16">
        <v>0</v>
      </c>
    </row>
    <row r="476" spans="1:9">
      <c r="A476" s="9">
        <v>564</v>
      </c>
      <c r="B476" s="9" t="s">
        <v>1250</v>
      </c>
      <c r="C476" s="9" t="s">
        <v>14</v>
      </c>
      <c r="D476" s="21">
        <v>600</v>
      </c>
      <c r="E476" s="18">
        <v>29400000</v>
      </c>
      <c r="F476" s="18">
        <v>6317208</v>
      </c>
      <c r="G476" s="18">
        <v>4.2308679288813549</v>
      </c>
      <c r="H476" s="18">
        <v>593</v>
      </c>
      <c r="I476" s="16">
        <v>0</v>
      </c>
    </row>
    <row r="477" spans="1:9">
      <c r="A477" s="9">
        <v>565</v>
      </c>
      <c r="B477" s="9" t="s">
        <v>1257</v>
      </c>
      <c r="C477" s="9" t="s">
        <v>14</v>
      </c>
      <c r="D477" s="21">
        <v>600</v>
      </c>
      <c r="E477" s="18">
        <v>29400000</v>
      </c>
      <c r="F477" s="18">
        <v>5800410</v>
      </c>
      <c r="G477" s="18">
        <v>4.6078247446771385</v>
      </c>
      <c r="H477" s="18">
        <v>575</v>
      </c>
      <c r="I477" s="16">
        <v>0</v>
      </c>
    </row>
    <row r="478" spans="1:9">
      <c r="A478" s="9">
        <v>566</v>
      </c>
      <c r="B478" s="9" t="s">
        <v>1258</v>
      </c>
      <c r="C478" s="9" t="s">
        <v>14</v>
      </c>
      <c r="D478" s="21">
        <v>600</v>
      </c>
      <c r="E478" s="18">
        <v>29400000</v>
      </c>
      <c r="F478" s="18">
        <v>4752594</v>
      </c>
      <c r="G478" s="18">
        <v>5.6237231135823356</v>
      </c>
      <c r="H478" s="18">
        <v>599</v>
      </c>
      <c r="I478" s="16">
        <v>0</v>
      </c>
    </row>
    <row r="479" spans="1:9">
      <c r="A479" s="9">
        <v>567</v>
      </c>
      <c r="B479" s="9" t="s">
        <v>1259</v>
      </c>
      <c r="C479" s="9" t="s">
        <v>14</v>
      </c>
      <c r="D479" s="21">
        <v>600</v>
      </c>
      <c r="E479" s="18">
        <v>27000000</v>
      </c>
      <c r="F479" s="18">
        <v>4752594</v>
      </c>
      <c r="G479" s="18">
        <v>5.1646436757388789</v>
      </c>
      <c r="H479" s="18">
        <v>597</v>
      </c>
      <c r="I479" s="16">
        <v>0</v>
      </c>
    </row>
    <row r="480" spans="1:9">
      <c r="A480" s="9">
        <v>568</v>
      </c>
      <c r="B480" s="9" t="s">
        <v>1260</v>
      </c>
      <c r="C480" s="9" t="s">
        <v>14</v>
      </c>
      <c r="D480" s="21">
        <v>600</v>
      </c>
      <c r="E480" s="18">
        <v>27000000</v>
      </c>
      <c r="F480" s="18">
        <v>4752594</v>
      </c>
      <c r="G480" s="18">
        <v>5.1646436757388789</v>
      </c>
      <c r="H480" s="18">
        <v>600</v>
      </c>
      <c r="I480" s="16">
        <v>0</v>
      </c>
    </row>
    <row r="481" spans="1:9">
      <c r="A481" s="9">
        <v>570</v>
      </c>
      <c r="B481" s="9" t="s">
        <v>1261</v>
      </c>
      <c r="C481" s="9" t="s">
        <v>14</v>
      </c>
      <c r="D481" s="21">
        <v>800</v>
      </c>
      <c r="E481" s="18">
        <v>28000000</v>
      </c>
      <c r="F481" s="18">
        <v>2893968</v>
      </c>
      <c r="G481" s="18">
        <v>8.7957245741989727</v>
      </c>
      <c r="H481" s="18">
        <v>800</v>
      </c>
      <c r="I481" s="16">
        <v>0</v>
      </c>
    </row>
    <row r="482" spans="1:9">
      <c r="A482" s="9">
        <v>571</v>
      </c>
      <c r="B482" s="9" t="s">
        <v>1262</v>
      </c>
      <c r="C482" s="9" t="s">
        <v>14</v>
      </c>
      <c r="D482" s="21">
        <v>800</v>
      </c>
      <c r="E482" s="18">
        <v>28000000</v>
      </c>
      <c r="F482" s="18">
        <v>2893968</v>
      </c>
      <c r="G482" s="18">
        <v>8.7957245741989727</v>
      </c>
      <c r="H482" s="18">
        <v>800</v>
      </c>
      <c r="I482" s="16">
        <v>0</v>
      </c>
    </row>
    <row r="483" spans="1:9">
      <c r="A483" s="9">
        <v>572</v>
      </c>
      <c r="B483" s="9" t="s">
        <v>1263</v>
      </c>
      <c r="C483" s="9" t="s">
        <v>14</v>
      </c>
      <c r="D483" s="21">
        <v>800</v>
      </c>
      <c r="E483" s="18">
        <v>28000000</v>
      </c>
      <c r="F483" s="18">
        <v>2893968</v>
      </c>
      <c r="G483" s="18">
        <v>8.7957245741989727</v>
      </c>
      <c r="H483" s="18">
        <v>800</v>
      </c>
      <c r="I483" s="16">
        <v>0</v>
      </c>
    </row>
    <row r="484" spans="1:9">
      <c r="A484" s="9">
        <v>573</v>
      </c>
      <c r="B484" s="9" t="s">
        <v>1264</v>
      </c>
      <c r="C484" s="9" t="s">
        <v>14</v>
      </c>
      <c r="D484" s="21">
        <v>800</v>
      </c>
      <c r="E484" s="18">
        <v>28000000</v>
      </c>
      <c r="F484" s="18">
        <v>3093552.0000000005</v>
      </c>
      <c r="G484" s="18">
        <v>8.2282584726377479</v>
      </c>
      <c r="H484" s="18">
        <v>799</v>
      </c>
      <c r="I484" s="16">
        <v>0</v>
      </c>
    </row>
    <row r="485" spans="1:9">
      <c r="A485" s="9">
        <v>574</v>
      </c>
      <c r="B485" s="9" t="s">
        <v>1265</v>
      </c>
      <c r="C485" s="9" t="s">
        <v>14</v>
      </c>
      <c r="D485" s="21">
        <v>800</v>
      </c>
      <c r="E485" s="18">
        <v>28000000</v>
      </c>
      <c r="F485" s="18">
        <v>3093552.0000000005</v>
      </c>
      <c r="G485" s="18">
        <v>8.2282584726377479</v>
      </c>
      <c r="H485" s="18">
        <v>800</v>
      </c>
      <c r="I485" s="16">
        <v>0</v>
      </c>
    </row>
    <row r="486" spans="1:9">
      <c r="A486" s="9">
        <v>575</v>
      </c>
      <c r="B486" s="9" t="s">
        <v>1266</v>
      </c>
      <c r="C486" s="9" t="s">
        <v>14</v>
      </c>
      <c r="D486" s="21">
        <v>1000</v>
      </c>
      <c r="E486" s="18">
        <v>39000000</v>
      </c>
      <c r="F486" s="18">
        <v>5738040</v>
      </c>
      <c r="G486" s="18">
        <v>6.178859933800644</v>
      </c>
      <c r="H486" s="18">
        <v>1000</v>
      </c>
      <c r="I486" s="16">
        <v>0</v>
      </c>
    </row>
    <row r="487" spans="1:9">
      <c r="A487" s="9">
        <v>576</v>
      </c>
      <c r="B487" s="9" t="s">
        <v>1267</v>
      </c>
      <c r="C487" s="9" t="s">
        <v>14</v>
      </c>
      <c r="D487" s="21">
        <v>1000</v>
      </c>
      <c r="E487" s="18">
        <v>39000000</v>
      </c>
      <c r="F487" s="18">
        <v>5738040</v>
      </c>
      <c r="G487" s="18">
        <v>6.178859933800644</v>
      </c>
      <c r="H487" s="18">
        <v>997</v>
      </c>
      <c r="I487" s="16">
        <v>0</v>
      </c>
    </row>
    <row r="488" spans="1:9">
      <c r="A488" s="9">
        <v>577</v>
      </c>
      <c r="B488" s="9" t="s">
        <v>1268</v>
      </c>
      <c r="C488" s="9" t="s">
        <v>14</v>
      </c>
      <c r="D488" s="21">
        <v>1000</v>
      </c>
      <c r="E488" s="18">
        <v>39000000</v>
      </c>
      <c r="F488" s="18">
        <v>5738040</v>
      </c>
      <c r="G488" s="18">
        <v>6.178859933800644</v>
      </c>
      <c r="H488" s="18">
        <v>1001</v>
      </c>
      <c r="I488" s="16">
        <v>0</v>
      </c>
    </row>
    <row r="489" spans="1:9">
      <c r="A489" s="9">
        <v>578</v>
      </c>
      <c r="B489" s="9" t="s">
        <v>1269</v>
      </c>
      <c r="C489" s="9" t="s">
        <v>14</v>
      </c>
      <c r="D489" s="21">
        <v>800</v>
      </c>
      <c r="E489" s="18">
        <v>28000000</v>
      </c>
      <c r="F489" s="18">
        <v>4590432</v>
      </c>
      <c r="G489" s="18">
        <v>5.545130709821092</v>
      </c>
      <c r="H489" s="18">
        <v>799</v>
      </c>
      <c r="I489" s="16">
        <v>0</v>
      </c>
    </row>
    <row r="490" spans="1:9">
      <c r="A490" s="9">
        <v>579</v>
      </c>
      <c r="B490" s="9" t="s">
        <v>1270</v>
      </c>
      <c r="C490" s="9" t="s">
        <v>14</v>
      </c>
      <c r="D490" s="21">
        <v>800</v>
      </c>
      <c r="E490" s="18">
        <v>28000000</v>
      </c>
      <c r="F490" s="18">
        <v>4590432</v>
      </c>
      <c r="G490" s="18">
        <v>5.545130709821092</v>
      </c>
      <c r="H490" s="18">
        <v>800</v>
      </c>
      <c r="I490" s="16">
        <v>0</v>
      </c>
    </row>
    <row r="491" spans="1:9">
      <c r="A491" s="9">
        <v>580</v>
      </c>
      <c r="B491" s="9" t="s">
        <v>1271</v>
      </c>
      <c r="C491" s="9" t="s">
        <v>14</v>
      </c>
      <c r="D491" s="21">
        <v>800</v>
      </c>
      <c r="E491" s="18">
        <v>28000000</v>
      </c>
      <c r="F491" s="18">
        <v>4590432</v>
      </c>
      <c r="G491" s="18">
        <v>5.545130709821092</v>
      </c>
      <c r="H491" s="18">
        <v>798</v>
      </c>
      <c r="I491" s="16">
        <v>0</v>
      </c>
    </row>
    <row r="492" spans="1:9">
      <c r="A492" s="9">
        <v>582</v>
      </c>
      <c r="B492" s="9" t="s">
        <v>1417</v>
      </c>
      <c r="C492" s="9" t="s">
        <v>14</v>
      </c>
      <c r="D492" s="21">
        <v>1200</v>
      </c>
      <c r="E492" s="18">
        <v>94800000</v>
      </c>
      <c r="F492" s="18">
        <v>20675400</v>
      </c>
      <c r="G492" s="18">
        <v>4.1683265224284991</v>
      </c>
      <c r="H492" s="18">
        <v>1247</v>
      </c>
      <c r="I492" s="16">
        <v>0</v>
      </c>
    </row>
    <row r="493" spans="1:9">
      <c r="A493" s="9">
        <v>583</v>
      </c>
      <c r="B493" s="9" t="s">
        <v>1418</v>
      </c>
      <c r="C493" s="9" t="s">
        <v>14</v>
      </c>
      <c r="D493" s="21">
        <v>1000</v>
      </c>
      <c r="E493" s="18">
        <v>109000000</v>
      </c>
      <c r="F493" s="18">
        <v>23120000</v>
      </c>
      <c r="G493" s="18">
        <v>4.2859389745202892</v>
      </c>
      <c r="H493" s="18">
        <v>1043</v>
      </c>
      <c r="I493" s="16">
        <v>0</v>
      </c>
    </row>
    <row r="494" spans="1:9">
      <c r="A494" s="9">
        <v>585</v>
      </c>
      <c r="B494" s="9" t="s">
        <v>1419</v>
      </c>
      <c r="C494" s="9" t="s">
        <v>14</v>
      </c>
      <c r="D494" s="21">
        <v>1200</v>
      </c>
      <c r="E494" s="18">
        <v>82800000</v>
      </c>
      <c r="F494" s="18">
        <v>19010778</v>
      </c>
      <c r="G494" s="18">
        <v>3.9594764229389914</v>
      </c>
      <c r="H494" s="18">
        <v>1268</v>
      </c>
      <c r="I494" s="16">
        <v>0</v>
      </c>
    </row>
    <row r="495" spans="1:9">
      <c r="A495" s="9">
        <v>586</v>
      </c>
      <c r="B495" s="9" t="s">
        <v>1420</v>
      </c>
      <c r="C495" s="9" t="s">
        <v>14</v>
      </c>
      <c r="D495" s="21">
        <v>1200</v>
      </c>
      <c r="E495" s="18">
        <v>82800000</v>
      </c>
      <c r="F495" s="18">
        <v>18227687.999999996</v>
      </c>
      <c r="G495" s="18">
        <v>4.1295817260382819</v>
      </c>
      <c r="H495" s="18">
        <v>1243</v>
      </c>
      <c r="I495" s="16">
        <v>0</v>
      </c>
    </row>
    <row r="496" spans="1:9">
      <c r="A496" s="9">
        <v>587</v>
      </c>
      <c r="B496" s="9" t="s">
        <v>1421</v>
      </c>
      <c r="C496" s="9" t="s">
        <v>14</v>
      </c>
      <c r="D496" s="21">
        <v>1000</v>
      </c>
      <c r="E496" s="18">
        <v>69000000</v>
      </c>
      <c r="F496" s="18">
        <v>16494890</v>
      </c>
      <c r="G496" s="18">
        <v>3.80283061768055</v>
      </c>
      <c r="H496" s="18">
        <v>969</v>
      </c>
      <c r="I496" s="16">
        <v>0</v>
      </c>
    </row>
    <row r="497" spans="1:9">
      <c r="A497" s="9">
        <v>589</v>
      </c>
      <c r="B497" s="9" t="s">
        <v>1422</v>
      </c>
      <c r="C497" s="9" t="s">
        <v>14</v>
      </c>
      <c r="D497" s="21">
        <v>1200</v>
      </c>
      <c r="E497" s="18">
        <v>118800000</v>
      </c>
      <c r="F497" s="18">
        <v>25788000</v>
      </c>
      <c r="G497" s="18">
        <v>4.1879944160074452</v>
      </c>
      <c r="H497" s="18">
        <v>1223</v>
      </c>
      <c r="I497" s="16">
        <v>0</v>
      </c>
    </row>
    <row r="498" spans="1:9">
      <c r="A498" s="9">
        <v>591</v>
      </c>
      <c r="B498" s="9" t="s">
        <v>1272</v>
      </c>
      <c r="C498" s="9" t="s">
        <v>14</v>
      </c>
      <c r="D498" s="21">
        <v>1200</v>
      </c>
      <c r="E498" s="18">
        <v>54000000</v>
      </c>
      <c r="F498" s="18">
        <v>5468532.0000000009</v>
      </c>
      <c r="G498" s="18">
        <v>8.9769812247435112</v>
      </c>
      <c r="H498" s="18">
        <v>1200</v>
      </c>
      <c r="I498" s="16">
        <v>0</v>
      </c>
    </row>
    <row r="499" spans="1:9">
      <c r="A499" s="9">
        <v>592</v>
      </c>
      <c r="B499" s="9" t="s">
        <v>1273</v>
      </c>
      <c r="C499" s="9" t="s">
        <v>14</v>
      </c>
      <c r="D499" s="21">
        <v>1200</v>
      </c>
      <c r="E499" s="18">
        <v>54000000</v>
      </c>
      <c r="F499" s="18">
        <v>5378532.0000000009</v>
      </c>
      <c r="G499" s="18">
        <v>9.1271947607468142</v>
      </c>
      <c r="H499" s="18">
        <v>1200</v>
      </c>
      <c r="I499" s="16">
        <v>0</v>
      </c>
    </row>
    <row r="500" spans="1:9">
      <c r="A500" s="9">
        <v>593</v>
      </c>
      <c r="B500" s="9" t="s">
        <v>1274</v>
      </c>
      <c r="C500" s="9" t="s">
        <v>14</v>
      </c>
      <c r="D500" s="21">
        <v>1000</v>
      </c>
      <c r="E500" s="18">
        <v>45000000</v>
      </c>
      <c r="F500" s="18">
        <v>4559460</v>
      </c>
      <c r="G500" s="18">
        <v>8.9723543816791693</v>
      </c>
      <c r="H500" s="18">
        <v>1000</v>
      </c>
      <c r="I500" s="16">
        <v>0</v>
      </c>
    </row>
    <row r="501" spans="1:9">
      <c r="A501" s="9">
        <v>594</v>
      </c>
      <c r="B501" s="9" t="s">
        <v>1275</v>
      </c>
      <c r="C501" s="9" t="s">
        <v>14</v>
      </c>
      <c r="D501" s="21">
        <v>1000</v>
      </c>
      <c r="E501" s="18">
        <v>45000000</v>
      </c>
      <c r="F501" s="18">
        <v>4859460</v>
      </c>
      <c r="G501" s="18">
        <v>8.418443800152879</v>
      </c>
      <c r="H501" s="18">
        <v>1000</v>
      </c>
      <c r="I501" s="16">
        <v>0</v>
      </c>
    </row>
    <row r="502" spans="1:9">
      <c r="A502" s="9">
        <v>595</v>
      </c>
      <c r="B502" s="9" t="s">
        <v>1276</v>
      </c>
      <c r="C502" s="9" t="s">
        <v>14</v>
      </c>
      <c r="D502" s="21">
        <v>1000</v>
      </c>
      <c r="E502" s="18">
        <v>45000000</v>
      </c>
      <c r="F502" s="18">
        <v>4647710.0000000009</v>
      </c>
      <c r="G502" s="18">
        <v>8.8019887017673</v>
      </c>
      <c r="H502" s="18">
        <v>1000</v>
      </c>
      <c r="I502" s="16">
        <v>0</v>
      </c>
    </row>
    <row r="503" spans="1:9">
      <c r="A503" s="9">
        <v>596</v>
      </c>
      <c r="B503" s="9" t="s">
        <v>1277</v>
      </c>
      <c r="C503" s="9" t="s">
        <v>14</v>
      </c>
      <c r="D503" s="21">
        <v>1200</v>
      </c>
      <c r="E503" s="18">
        <v>54000000</v>
      </c>
      <c r="F503" s="18">
        <v>5441576.0000000056</v>
      </c>
      <c r="G503" s="18">
        <v>9.021450603815703</v>
      </c>
      <c r="H503" s="18">
        <v>1200</v>
      </c>
      <c r="I503" s="16">
        <v>0</v>
      </c>
    </row>
    <row r="504" spans="1:9">
      <c r="A504" s="9">
        <v>597</v>
      </c>
      <c r="B504" s="9" t="s">
        <v>1278</v>
      </c>
      <c r="C504" s="9" t="s">
        <v>14</v>
      </c>
      <c r="D504" s="21">
        <v>1000</v>
      </c>
      <c r="E504" s="18">
        <v>45000000</v>
      </c>
      <c r="F504" s="18">
        <v>5432980.0000000009</v>
      </c>
      <c r="G504" s="18">
        <v>7.5297702014531431</v>
      </c>
      <c r="H504" s="18">
        <v>1000</v>
      </c>
      <c r="I504" s="16">
        <v>0</v>
      </c>
    </row>
    <row r="505" spans="1:9">
      <c r="A505" s="9">
        <v>598</v>
      </c>
      <c r="B505" s="9" t="s">
        <v>1279</v>
      </c>
      <c r="C505" s="9" t="s">
        <v>14</v>
      </c>
      <c r="D505" s="21">
        <v>1000</v>
      </c>
      <c r="E505" s="18">
        <v>45000000</v>
      </c>
      <c r="F505" s="18">
        <v>4706730.0000000009</v>
      </c>
      <c r="G505" s="18">
        <v>8.6916162408064395</v>
      </c>
      <c r="H505" s="18">
        <v>999</v>
      </c>
      <c r="I505" s="16">
        <v>0</v>
      </c>
    </row>
    <row r="506" spans="1:9">
      <c r="A506" s="9">
        <v>599</v>
      </c>
      <c r="B506" s="9" t="s">
        <v>1280</v>
      </c>
      <c r="C506" s="9" t="s">
        <v>14</v>
      </c>
      <c r="D506" s="21">
        <v>1000</v>
      </c>
      <c r="E506" s="18">
        <v>45000000</v>
      </c>
      <c r="F506" s="18">
        <v>5070580.0000000009</v>
      </c>
      <c r="G506" s="18">
        <v>8.0679312640942253</v>
      </c>
      <c r="H506" s="18">
        <v>1000</v>
      </c>
      <c r="I506" s="16">
        <v>0</v>
      </c>
    </row>
    <row r="507" spans="1:9">
      <c r="A507" s="9">
        <v>601</v>
      </c>
      <c r="B507" s="9" t="s">
        <v>1281</v>
      </c>
      <c r="C507" s="9" t="s">
        <v>14</v>
      </c>
      <c r="D507" s="21">
        <v>1200</v>
      </c>
      <c r="E507" s="18">
        <v>46800000</v>
      </c>
      <c r="F507" s="18">
        <v>7319876.0000000009</v>
      </c>
      <c r="G507" s="18">
        <v>5.812319026368006</v>
      </c>
      <c r="H507" s="18">
        <v>1200</v>
      </c>
      <c r="I507" s="16">
        <v>0</v>
      </c>
    </row>
    <row r="508" spans="1:9">
      <c r="A508" s="9">
        <v>602</v>
      </c>
      <c r="B508" s="9" t="s">
        <v>1282</v>
      </c>
      <c r="C508" s="9" t="s">
        <v>14</v>
      </c>
      <c r="D508" s="21">
        <v>1200</v>
      </c>
      <c r="E508" s="18">
        <v>46800000</v>
      </c>
      <c r="F508" s="18">
        <v>6193692</v>
      </c>
      <c r="G508" s="18">
        <v>6.869158903196114</v>
      </c>
      <c r="H508" s="18">
        <v>1199</v>
      </c>
      <c r="I508" s="16">
        <v>0</v>
      </c>
    </row>
    <row r="509" spans="1:9">
      <c r="A509" s="9">
        <v>604</v>
      </c>
      <c r="B509" s="9" t="s">
        <v>1501</v>
      </c>
      <c r="C509" s="9" t="s">
        <v>14</v>
      </c>
      <c r="D509" s="21">
        <v>400</v>
      </c>
      <c r="E509" s="18">
        <v>29200000</v>
      </c>
      <c r="F509" s="18">
        <v>5301288.0000000009</v>
      </c>
      <c r="G509" s="18">
        <v>5.0073594465070634</v>
      </c>
      <c r="H509" s="18">
        <v>400</v>
      </c>
      <c r="I509" s="16">
        <v>0</v>
      </c>
    </row>
    <row r="510" spans="1:9">
      <c r="A510" s="9">
        <v>605</v>
      </c>
      <c r="B510" s="9" t="s">
        <v>1502</v>
      </c>
      <c r="C510" s="9" t="s">
        <v>14</v>
      </c>
      <c r="D510" s="21">
        <v>400</v>
      </c>
      <c r="E510" s="18">
        <v>27600000</v>
      </c>
      <c r="F510" s="18">
        <v>5297408</v>
      </c>
      <c r="G510" s="18">
        <v>4.7364501829779941</v>
      </c>
      <c r="H510" s="18">
        <v>400</v>
      </c>
      <c r="I510" s="16">
        <v>0</v>
      </c>
    </row>
    <row r="511" spans="1:9">
      <c r="A511" s="9">
        <v>606</v>
      </c>
      <c r="B511" s="9" t="s">
        <v>1503</v>
      </c>
      <c r="C511" s="9" t="s">
        <v>14</v>
      </c>
      <c r="D511" s="21">
        <v>400</v>
      </c>
      <c r="E511" s="18">
        <v>21200000</v>
      </c>
      <c r="F511" s="18">
        <v>3544072</v>
      </c>
      <c r="G511" s="18">
        <v>5.4380179840384937</v>
      </c>
      <c r="H511" s="18">
        <v>399</v>
      </c>
      <c r="I511" s="16">
        <v>0</v>
      </c>
    </row>
    <row r="512" spans="1:9">
      <c r="A512" s="9">
        <v>608</v>
      </c>
      <c r="B512" s="9" t="s">
        <v>1283</v>
      </c>
      <c r="C512" s="9" t="s">
        <v>14</v>
      </c>
      <c r="D512" s="21">
        <v>1200</v>
      </c>
      <c r="E512" s="18">
        <v>58800000</v>
      </c>
      <c r="F512" s="18">
        <v>7307520</v>
      </c>
      <c r="G512" s="18">
        <v>7.3150050160034388</v>
      </c>
      <c r="H512" s="18">
        <v>1200</v>
      </c>
      <c r="I512" s="16">
        <v>0</v>
      </c>
    </row>
    <row r="513" spans="1:9">
      <c r="A513" s="9">
        <v>609</v>
      </c>
      <c r="B513" s="9" t="s">
        <v>1284</v>
      </c>
      <c r="C513" s="9" t="s">
        <v>14</v>
      </c>
      <c r="D513" s="21">
        <v>1500</v>
      </c>
      <c r="E513" s="18">
        <v>67500000</v>
      </c>
      <c r="F513" s="18">
        <v>7907520</v>
      </c>
      <c r="G513" s="18">
        <v>7.7601620183871001</v>
      </c>
      <c r="H513" s="18">
        <v>1500</v>
      </c>
      <c r="I513" s="16">
        <v>0</v>
      </c>
    </row>
    <row r="514" spans="1:9">
      <c r="A514" s="9">
        <v>610</v>
      </c>
      <c r="B514" s="9" t="s">
        <v>1285</v>
      </c>
      <c r="C514" s="9" t="s">
        <v>14</v>
      </c>
      <c r="D514" s="21">
        <v>1500</v>
      </c>
      <c r="E514" s="18">
        <v>67500000</v>
      </c>
      <c r="F514" s="18">
        <v>9628620.0000000019</v>
      </c>
      <c r="G514" s="18">
        <v>6.3730458117192645</v>
      </c>
      <c r="H514" s="18">
        <v>1500</v>
      </c>
      <c r="I514" s="16">
        <v>0</v>
      </c>
    </row>
    <row r="515" spans="1:9">
      <c r="A515" s="9">
        <v>611</v>
      </c>
      <c r="B515" s="9" t="s">
        <v>1286</v>
      </c>
      <c r="C515" s="9" t="s">
        <v>14</v>
      </c>
      <c r="D515" s="21">
        <v>1200</v>
      </c>
      <c r="E515" s="18">
        <v>70800000</v>
      </c>
      <c r="F515" s="18">
        <v>9524400</v>
      </c>
      <c r="G515" s="18">
        <v>6.7577628368859308</v>
      </c>
      <c r="H515" s="18">
        <v>1199</v>
      </c>
      <c r="I515" s="16">
        <v>0</v>
      </c>
    </row>
    <row r="516" spans="1:9">
      <c r="A516" s="9">
        <v>612</v>
      </c>
      <c r="B516" s="9" t="s">
        <v>1287</v>
      </c>
      <c r="C516" s="9" t="s">
        <v>14</v>
      </c>
      <c r="D516" s="21">
        <v>1200</v>
      </c>
      <c r="E516" s="18">
        <v>66000000</v>
      </c>
      <c r="F516" s="18">
        <v>9442176.0000000019</v>
      </c>
      <c r="G516" s="18">
        <v>6.3544674447923848</v>
      </c>
      <c r="H516" s="18">
        <v>1200</v>
      </c>
      <c r="I516" s="16">
        <v>0</v>
      </c>
    </row>
    <row r="517" spans="1:9">
      <c r="A517" s="9">
        <v>614</v>
      </c>
      <c r="B517" s="9" t="s">
        <v>1288</v>
      </c>
      <c r="C517" s="9" t="s">
        <v>14</v>
      </c>
      <c r="D517" s="21">
        <v>1000</v>
      </c>
      <c r="E517" s="18">
        <v>53000000</v>
      </c>
      <c r="F517" s="18">
        <v>7112260</v>
      </c>
      <c r="G517" s="18">
        <v>6.7744736809141086</v>
      </c>
      <c r="H517" s="18">
        <v>940</v>
      </c>
      <c r="I517" s="16">
        <v>0</v>
      </c>
    </row>
    <row r="518" spans="1:9">
      <c r="A518" s="9">
        <v>615</v>
      </c>
      <c r="B518" s="9" t="s">
        <v>1289</v>
      </c>
      <c r="C518" s="9" t="s">
        <v>14</v>
      </c>
      <c r="D518" s="21">
        <v>1000</v>
      </c>
      <c r="E518" s="18">
        <v>49000000</v>
      </c>
      <c r="F518" s="18">
        <v>7292260</v>
      </c>
      <c r="G518" s="18">
        <v>6.108593844083253</v>
      </c>
      <c r="H518" s="18">
        <v>935</v>
      </c>
      <c r="I518" s="16">
        <v>0</v>
      </c>
    </row>
    <row r="519" spans="1:9">
      <c r="A519" s="9">
        <v>616</v>
      </c>
      <c r="B519" s="9" t="s">
        <v>1290</v>
      </c>
      <c r="C519" s="9" t="s">
        <v>14</v>
      </c>
      <c r="D519" s="21">
        <v>1000</v>
      </c>
      <c r="E519" s="18">
        <v>53000000</v>
      </c>
      <c r="F519" s="18">
        <v>7112260</v>
      </c>
      <c r="G519" s="18">
        <v>6.7744736809141086</v>
      </c>
      <c r="H519" s="18">
        <v>954</v>
      </c>
      <c r="I519" s="16">
        <v>0</v>
      </c>
    </row>
    <row r="520" spans="1:9">
      <c r="A520" s="9">
        <v>617</v>
      </c>
      <c r="B520" s="9" t="s">
        <v>1291</v>
      </c>
      <c r="C520" s="9" t="s">
        <v>14</v>
      </c>
      <c r="D520" s="21">
        <v>1000</v>
      </c>
      <c r="E520" s="18">
        <v>49000000</v>
      </c>
      <c r="F520" s="18">
        <v>7292260</v>
      </c>
      <c r="G520" s="18">
        <v>6.108593844083253</v>
      </c>
      <c r="H520" s="18">
        <v>796</v>
      </c>
      <c r="I520" s="16">
        <v>0</v>
      </c>
    </row>
    <row r="521" spans="1:9">
      <c r="A521" s="9">
        <v>618</v>
      </c>
      <c r="B521" s="9" t="s">
        <v>1292</v>
      </c>
      <c r="C521" s="9" t="s">
        <v>14</v>
      </c>
      <c r="D521" s="21">
        <v>800</v>
      </c>
      <c r="E521" s="18">
        <v>47200000</v>
      </c>
      <c r="F521" s="18">
        <v>8234504.0000000009</v>
      </c>
      <c r="G521" s="18">
        <v>5.2108895580220613</v>
      </c>
      <c r="H521" s="18">
        <v>741</v>
      </c>
      <c r="I521" s="16">
        <v>0</v>
      </c>
    </row>
    <row r="522" spans="1:9">
      <c r="A522" s="9">
        <v>619</v>
      </c>
      <c r="B522" s="9" t="s">
        <v>1293</v>
      </c>
      <c r="C522" s="9" t="s">
        <v>14</v>
      </c>
      <c r="D522" s="21">
        <v>1000</v>
      </c>
      <c r="E522" s="18">
        <v>55000000</v>
      </c>
      <c r="F522" s="18">
        <v>10473130.000000002</v>
      </c>
      <c r="G522" s="18">
        <v>4.7741219673583721</v>
      </c>
      <c r="H522" s="18">
        <v>916</v>
      </c>
      <c r="I522" s="16">
        <v>0</v>
      </c>
    </row>
    <row r="523" spans="1:9">
      <c r="A523" s="9">
        <v>620</v>
      </c>
      <c r="B523" s="9" t="s">
        <v>1294</v>
      </c>
      <c r="C523" s="9" t="s">
        <v>14</v>
      </c>
      <c r="D523" s="21">
        <v>800</v>
      </c>
      <c r="E523" s="18">
        <v>44000000</v>
      </c>
      <c r="F523" s="18">
        <v>7230896</v>
      </c>
      <c r="G523" s="18">
        <v>5.5318179102562111</v>
      </c>
      <c r="H523" s="18">
        <v>791</v>
      </c>
      <c r="I523" s="16">
        <v>0</v>
      </c>
    </row>
    <row r="524" spans="1:9">
      <c r="A524" s="9">
        <v>621</v>
      </c>
      <c r="B524" s="9" t="s">
        <v>1295</v>
      </c>
      <c r="C524" s="9" t="s">
        <v>14</v>
      </c>
      <c r="D524" s="21">
        <v>800</v>
      </c>
      <c r="E524" s="18">
        <v>44000000</v>
      </c>
      <c r="F524" s="18">
        <v>7580168.0000000019</v>
      </c>
      <c r="G524" s="18">
        <v>5.2769278992233399</v>
      </c>
      <c r="H524" s="18">
        <v>799</v>
      </c>
      <c r="I524" s="16">
        <v>0</v>
      </c>
    </row>
    <row r="525" spans="1:9">
      <c r="A525" s="9">
        <v>623</v>
      </c>
      <c r="B525" s="9" t="s">
        <v>1296</v>
      </c>
      <c r="C525" s="9" t="s">
        <v>14</v>
      </c>
      <c r="D525" s="21">
        <v>1500</v>
      </c>
      <c r="E525" s="18">
        <v>67500000</v>
      </c>
      <c r="F525" s="18">
        <v>11808375.000000002</v>
      </c>
      <c r="G525" s="18">
        <v>5.1966198874643075</v>
      </c>
      <c r="H525" s="18">
        <v>1469</v>
      </c>
      <c r="I525" s="16">
        <v>0</v>
      </c>
    </row>
    <row r="526" spans="1:9">
      <c r="A526" s="9">
        <v>624</v>
      </c>
      <c r="B526" s="9" t="s">
        <v>1297</v>
      </c>
      <c r="C526" s="9" t="s">
        <v>14</v>
      </c>
      <c r="D526" s="21">
        <v>1500</v>
      </c>
      <c r="E526" s="18">
        <v>67500000</v>
      </c>
      <c r="F526" s="18">
        <v>11808375.000000002</v>
      </c>
      <c r="G526" s="18">
        <v>5.1966198874643075</v>
      </c>
      <c r="H526" s="18">
        <v>1500</v>
      </c>
      <c r="I526" s="16">
        <v>0</v>
      </c>
    </row>
    <row r="527" spans="1:9">
      <c r="A527" s="9">
        <v>625</v>
      </c>
      <c r="B527" s="9" t="s">
        <v>1298</v>
      </c>
      <c r="C527" s="9" t="s">
        <v>14</v>
      </c>
      <c r="D527" s="21">
        <v>1200</v>
      </c>
      <c r="E527" s="18">
        <v>54000000</v>
      </c>
      <c r="F527" s="18">
        <v>9931800</v>
      </c>
      <c r="G527" s="18">
        <v>4.9428008106193326</v>
      </c>
      <c r="H527" s="18">
        <v>1200</v>
      </c>
      <c r="I527" s="16">
        <v>0</v>
      </c>
    </row>
    <row r="528" spans="1:9">
      <c r="A528" s="9">
        <v>626</v>
      </c>
      <c r="B528" s="9" t="s">
        <v>1299</v>
      </c>
      <c r="C528" s="9" t="s">
        <v>14</v>
      </c>
      <c r="D528" s="21">
        <v>1200</v>
      </c>
      <c r="E528" s="18">
        <v>54000000</v>
      </c>
      <c r="F528" s="18">
        <v>9931800</v>
      </c>
      <c r="G528" s="18">
        <v>4.9428008106193326</v>
      </c>
      <c r="H528" s="18">
        <v>1200</v>
      </c>
      <c r="I528" s="16">
        <v>0</v>
      </c>
    </row>
    <row r="529" spans="1:9">
      <c r="A529" s="9">
        <v>628</v>
      </c>
      <c r="B529" s="9" t="s">
        <v>1300</v>
      </c>
      <c r="C529" s="9" t="s">
        <v>14</v>
      </c>
      <c r="D529" s="21">
        <v>1200</v>
      </c>
      <c r="E529" s="18">
        <v>66000000</v>
      </c>
      <c r="F529" s="18">
        <v>11733600</v>
      </c>
      <c r="G529" s="18">
        <v>5.1135201472693792</v>
      </c>
      <c r="H529" s="18">
        <v>1179</v>
      </c>
      <c r="I529" s="16">
        <v>0</v>
      </c>
    </row>
    <row r="530" spans="1:9">
      <c r="A530" s="9">
        <v>630</v>
      </c>
      <c r="B530" s="9" t="s">
        <v>1301</v>
      </c>
      <c r="C530" s="9" t="s">
        <v>14</v>
      </c>
      <c r="D530" s="21">
        <v>1500</v>
      </c>
      <c r="E530" s="18">
        <v>64500000</v>
      </c>
      <c r="F530" s="18">
        <v>5830410.0000000009</v>
      </c>
      <c r="G530" s="18">
        <v>10.0569880396685</v>
      </c>
      <c r="H530" s="18">
        <v>1500</v>
      </c>
      <c r="I530" s="16">
        <v>0</v>
      </c>
    </row>
    <row r="531" spans="1:9">
      <c r="A531" s="9">
        <v>631</v>
      </c>
      <c r="B531" s="9" t="s">
        <v>1302</v>
      </c>
      <c r="C531" s="9" t="s">
        <v>14</v>
      </c>
      <c r="D531" s="21">
        <v>1200</v>
      </c>
      <c r="E531" s="18">
        <v>51600000</v>
      </c>
      <c r="F531" s="18">
        <v>4814016</v>
      </c>
      <c r="G531" s="18">
        <v>9.7442739926686794</v>
      </c>
      <c r="H531" s="18">
        <v>1200</v>
      </c>
      <c r="I531" s="16">
        <v>0</v>
      </c>
    </row>
    <row r="532" spans="1:9">
      <c r="A532" s="9">
        <v>632</v>
      </c>
      <c r="B532" s="9" t="s">
        <v>1303</v>
      </c>
      <c r="C532" s="9" t="s">
        <v>14</v>
      </c>
      <c r="D532" s="21">
        <v>1200</v>
      </c>
      <c r="E532" s="18">
        <v>51600000</v>
      </c>
      <c r="F532" s="18">
        <v>4814016</v>
      </c>
      <c r="G532" s="18">
        <v>9.7442739926686794</v>
      </c>
      <c r="H532" s="18">
        <v>1199</v>
      </c>
      <c r="I532" s="16">
        <v>0</v>
      </c>
    </row>
    <row r="533" spans="1:9">
      <c r="A533" s="9">
        <v>633</v>
      </c>
      <c r="B533" s="9" t="s">
        <v>1304</v>
      </c>
      <c r="C533" s="9" t="s">
        <v>14</v>
      </c>
      <c r="D533" s="21">
        <v>1500</v>
      </c>
      <c r="E533" s="18">
        <v>64500000</v>
      </c>
      <c r="F533" s="18">
        <v>7046520</v>
      </c>
      <c r="G533" s="18">
        <v>8.3213222464938195</v>
      </c>
      <c r="H533" s="18">
        <v>1496</v>
      </c>
      <c r="I533" s="16">
        <v>0</v>
      </c>
    </row>
    <row r="534" spans="1:9">
      <c r="A534" s="9">
        <v>634</v>
      </c>
      <c r="B534" s="9" t="s">
        <v>1305</v>
      </c>
      <c r="C534" s="9" t="s">
        <v>14</v>
      </c>
      <c r="D534" s="21">
        <v>1500</v>
      </c>
      <c r="E534" s="18">
        <v>64500000</v>
      </c>
      <c r="F534" s="18">
        <v>7140180</v>
      </c>
      <c r="G534" s="18">
        <v>8.2121688299683804</v>
      </c>
      <c r="H534" s="18">
        <v>1499</v>
      </c>
      <c r="I534" s="16">
        <v>0</v>
      </c>
    </row>
    <row r="535" spans="1:9">
      <c r="A535" s="9">
        <v>636</v>
      </c>
      <c r="B535" s="9" t="s">
        <v>1306</v>
      </c>
      <c r="C535" s="9" t="s">
        <v>14</v>
      </c>
      <c r="D535" s="21">
        <v>1200</v>
      </c>
      <c r="E535" s="18">
        <v>63600000</v>
      </c>
      <c r="F535" s="18">
        <v>7059336.0000000009</v>
      </c>
      <c r="G535" s="18">
        <v>8.1903144740782707</v>
      </c>
      <c r="H535" s="18">
        <v>1700</v>
      </c>
      <c r="I535" s="16">
        <v>0</v>
      </c>
    </row>
    <row r="536" spans="1:9">
      <c r="A536" s="9">
        <v>637</v>
      </c>
      <c r="B536" s="9" t="s">
        <v>1307</v>
      </c>
      <c r="C536" s="9" t="s">
        <v>14</v>
      </c>
      <c r="D536" s="21">
        <v>1200</v>
      </c>
      <c r="E536" s="18">
        <v>63600000</v>
      </c>
      <c r="F536" s="18">
        <v>7209024.0000000009</v>
      </c>
      <c r="G536" s="18">
        <v>8.0202509824050807</v>
      </c>
      <c r="H536" s="18">
        <v>1200</v>
      </c>
      <c r="I536" s="16">
        <v>0</v>
      </c>
    </row>
    <row r="537" spans="1:9">
      <c r="A537" s="9">
        <v>638</v>
      </c>
      <c r="B537" s="9" t="s">
        <v>1308</v>
      </c>
      <c r="C537" s="9" t="s">
        <v>14</v>
      </c>
      <c r="D537" s="21">
        <v>1200</v>
      </c>
      <c r="E537" s="18">
        <v>63600000</v>
      </c>
      <c r="F537" s="18">
        <v>7209024.0000000009</v>
      </c>
      <c r="G537" s="18">
        <v>8.0202509824050807</v>
      </c>
      <c r="H537" s="18">
        <v>1200</v>
      </c>
      <c r="I537" s="16">
        <v>0</v>
      </c>
    </row>
    <row r="538" spans="1:9">
      <c r="A538" s="9">
        <v>639</v>
      </c>
      <c r="B538" s="9" t="s">
        <v>1309</v>
      </c>
      <c r="C538" s="9" t="s">
        <v>14</v>
      </c>
      <c r="D538" s="21">
        <v>1000</v>
      </c>
      <c r="E538" s="18">
        <v>53000000</v>
      </c>
      <c r="F538" s="18">
        <v>6506480.0000000009</v>
      </c>
      <c r="G538" s="18">
        <v>7.4052049928407015</v>
      </c>
      <c r="H538" s="18">
        <v>1000</v>
      </c>
      <c r="I538" s="16">
        <v>0</v>
      </c>
    </row>
    <row r="539" spans="1:9">
      <c r="A539" s="9">
        <v>640</v>
      </c>
      <c r="B539" s="9" t="s">
        <v>1310</v>
      </c>
      <c r="C539" s="9" t="s">
        <v>14</v>
      </c>
      <c r="D539" s="21">
        <v>1000</v>
      </c>
      <c r="E539" s="18">
        <v>49000000</v>
      </c>
      <c r="F539" s="18">
        <v>6686480.0000000019</v>
      </c>
      <c r="G539" s="18">
        <v>6.6620186623536641</v>
      </c>
      <c r="H539" s="18">
        <v>1000</v>
      </c>
      <c r="I539" s="16">
        <v>0</v>
      </c>
    </row>
    <row r="540" spans="1:9">
      <c r="A540" s="9">
        <v>641</v>
      </c>
      <c r="B540" s="9" t="s">
        <v>1311</v>
      </c>
      <c r="C540" s="9" t="s">
        <v>14</v>
      </c>
      <c r="D540" s="21">
        <v>1000</v>
      </c>
      <c r="E540" s="18">
        <v>53000000</v>
      </c>
      <c r="F540" s="18">
        <v>6506480.0000000009</v>
      </c>
      <c r="G540" s="18">
        <v>7.4052049928407015</v>
      </c>
      <c r="H540" s="18">
        <v>998</v>
      </c>
      <c r="I540" s="16">
        <v>0</v>
      </c>
    </row>
    <row r="541" spans="1:9">
      <c r="A541" s="9">
        <v>642</v>
      </c>
      <c r="B541" s="9" t="s">
        <v>1312</v>
      </c>
      <c r="C541" s="9" t="s">
        <v>14</v>
      </c>
      <c r="D541" s="21">
        <v>1000</v>
      </c>
      <c r="E541" s="18">
        <v>49000000</v>
      </c>
      <c r="F541" s="18">
        <v>6686480.0000000019</v>
      </c>
      <c r="G541" s="18">
        <v>6.6620186623536641</v>
      </c>
      <c r="H541" s="18">
        <v>1000</v>
      </c>
      <c r="I541" s="16">
        <v>0</v>
      </c>
    </row>
    <row r="542" spans="1:9">
      <c r="A542" s="9">
        <v>643</v>
      </c>
      <c r="B542" s="9" t="s">
        <v>1313</v>
      </c>
      <c r="C542" s="9" t="s">
        <v>14</v>
      </c>
      <c r="D542" s="21">
        <v>1000</v>
      </c>
      <c r="E542" s="18">
        <v>53000000</v>
      </c>
      <c r="F542" s="18">
        <v>6299080.0000000009</v>
      </c>
      <c r="G542" s="18">
        <v>7.6490246483324817</v>
      </c>
      <c r="H542" s="18">
        <v>961</v>
      </c>
      <c r="I542" s="16">
        <v>0</v>
      </c>
    </row>
    <row r="543" spans="1:9">
      <c r="A543" s="9">
        <v>644</v>
      </c>
      <c r="B543" s="9" t="s">
        <v>1314</v>
      </c>
      <c r="C543" s="9" t="s">
        <v>14</v>
      </c>
      <c r="D543" s="21">
        <v>1000</v>
      </c>
      <c r="E543" s="18">
        <v>53000000</v>
      </c>
      <c r="F543" s="18">
        <v>6257000</v>
      </c>
      <c r="G543" s="18">
        <v>7.7004663867377614</v>
      </c>
      <c r="H543" s="18">
        <v>990</v>
      </c>
      <c r="I543" s="16">
        <v>0</v>
      </c>
    </row>
    <row r="544" spans="1:9">
      <c r="A544" s="9">
        <v>645</v>
      </c>
      <c r="B544" s="9" t="s">
        <v>1315</v>
      </c>
      <c r="C544" s="9" t="s">
        <v>14</v>
      </c>
      <c r="D544" s="21">
        <v>1200</v>
      </c>
      <c r="E544" s="18">
        <v>63600000</v>
      </c>
      <c r="F544" s="18">
        <v>7957464.0000000019</v>
      </c>
      <c r="G544" s="18">
        <v>7.2659055470664775</v>
      </c>
      <c r="H544" s="18">
        <v>1200</v>
      </c>
      <c r="I544" s="16">
        <v>0</v>
      </c>
    </row>
    <row r="545" spans="1:9">
      <c r="A545" s="9">
        <v>647</v>
      </c>
      <c r="B545" s="9" t="s">
        <v>1316</v>
      </c>
      <c r="C545" s="9" t="s">
        <v>14</v>
      </c>
      <c r="D545" s="21">
        <v>1200</v>
      </c>
      <c r="E545" s="18">
        <v>54000000</v>
      </c>
      <c r="F545" s="18">
        <v>7807776.0000000019</v>
      </c>
      <c r="G545" s="18">
        <v>6.2874382014685199</v>
      </c>
      <c r="H545" s="18">
        <v>1158</v>
      </c>
      <c r="I545" s="16">
        <v>0</v>
      </c>
    </row>
    <row r="546" spans="1:9">
      <c r="A546" s="9">
        <v>648</v>
      </c>
      <c r="B546" s="9" t="s">
        <v>1317</v>
      </c>
      <c r="C546" s="9" t="s">
        <v>14</v>
      </c>
      <c r="D546" s="21">
        <v>1200</v>
      </c>
      <c r="E546" s="18">
        <v>51600000</v>
      </c>
      <c r="F546" s="18">
        <v>8023776.0000000019</v>
      </c>
      <c r="G546" s="18">
        <v>5.8462612751266851</v>
      </c>
      <c r="H546" s="18">
        <v>1175</v>
      </c>
      <c r="I546" s="16">
        <v>0</v>
      </c>
    </row>
    <row r="547" spans="1:9">
      <c r="A547" s="9">
        <v>649</v>
      </c>
      <c r="B547" s="9" t="s">
        <v>1318</v>
      </c>
      <c r="C547" s="9" t="s">
        <v>14</v>
      </c>
      <c r="D547" s="21">
        <v>1000</v>
      </c>
      <c r="E547" s="18">
        <v>35000000</v>
      </c>
      <c r="F547" s="18">
        <v>5945150</v>
      </c>
      <c r="G547" s="18">
        <v>5.3519561017269224</v>
      </c>
      <c r="H547" s="18">
        <v>1003</v>
      </c>
      <c r="I547" s="16">
        <v>0</v>
      </c>
    </row>
    <row r="548" spans="1:9">
      <c r="A548" s="9">
        <v>651</v>
      </c>
      <c r="B548" s="9" t="s">
        <v>1319</v>
      </c>
      <c r="C548" s="9" t="s">
        <v>14</v>
      </c>
      <c r="D548" s="21">
        <v>800</v>
      </c>
      <c r="E548" s="18">
        <v>42400000</v>
      </c>
      <c r="F548" s="18">
        <v>7391512.0000000009</v>
      </c>
      <c r="G548" s="18">
        <v>5.2148267560756905</v>
      </c>
      <c r="H548" s="18">
        <v>743</v>
      </c>
      <c r="I548" s="16">
        <v>0</v>
      </c>
    </row>
    <row r="549" spans="1:9">
      <c r="A549" s="9">
        <v>652</v>
      </c>
      <c r="B549" s="9" t="s">
        <v>1320</v>
      </c>
      <c r="C549" s="9" t="s">
        <v>14</v>
      </c>
      <c r="D549" s="21">
        <v>800</v>
      </c>
      <c r="E549" s="18">
        <v>39200000</v>
      </c>
      <c r="F549" s="18">
        <v>7151128</v>
      </c>
      <c r="G549" s="18">
        <v>4.9833206224757314</v>
      </c>
      <c r="H549" s="18">
        <v>742</v>
      </c>
      <c r="I549" s="16">
        <v>0</v>
      </c>
    </row>
    <row r="550" spans="1:9">
      <c r="A550" s="9">
        <v>653</v>
      </c>
      <c r="B550" s="9" t="s">
        <v>1321</v>
      </c>
      <c r="C550" s="9" t="s">
        <v>14</v>
      </c>
      <c r="D550" s="21">
        <v>1000</v>
      </c>
      <c r="E550" s="18">
        <v>45000000</v>
      </c>
      <c r="F550" s="18">
        <v>8807060.0000000019</v>
      </c>
      <c r="G550" s="18">
        <v>4.6450337466862823</v>
      </c>
      <c r="H550" s="18">
        <v>896</v>
      </c>
      <c r="I550" s="16">
        <v>0</v>
      </c>
    </row>
    <row r="551" spans="1:9">
      <c r="A551" s="9">
        <v>654</v>
      </c>
      <c r="B551" s="9" t="s">
        <v>1322</v>
      </c>
      <c r="C551" s="9" t="s">
        <v>14</v>
      </c>
      <c r="D551" s="21">
        <v>1000</v>
      </c>
      <c r="E551" s="18">
        <v>49000000</v>
      </c>
      <c r="F551" s="18">
        <v>8190470</v>
      </c>
      <c r="G551" s="18">
        <v>5.4386933283992915</v>
      </c>
      <c r="H551" s="18">
        <v>991</v>
      </c>
      <c r="I551" s="16">
        <v>0</v>
      </c>
    </row>
    <row r="552" spans="1:9">
      <c r="A552" s="9">
        <v>656</v>
      </c>
      <c r="B552" s="9" t="s">
        <v>1323</v>
      </c>
      <c r="C552" s="9" t="s">
        <v>14</v>
      </c>
      <c r="D552" s="21">
        <v>1500</v>
      </c>
      <c r="E552" s="18">
        <v>64500000</v>
      </c>
      <c r="F552" s="18">
        <v>10511625</v>
      </c>
      <c r="G552" s="18">
        <v>5.5782396762026449</v>
      </c>
      <c r="H552" s="18">
        <v>1500</v>
      </c>
      <c r="I552" s="16">
        <v>0</v>
      </c>
    </row>
    <row r="553" spans="1:9">
      <c r="A553" s="9">
        <v>657</v>
      </c>
      <c r="B553" s="9" t="s">
        <v>1324</v>
      </c>
      <c r="C553" s="9" t="s">
        <v>14</v>
      </c>
      <c r="D553" s="21">
        <v>1500</v>
      </c>
      <c r="E553" s="18">
        <v>64500000</v>
      </c>
      <c r="F553" s="18">
        <v>10684875.000000002</v>
      </c>
      <c r="G553" s="18">
        <v>5.4877912597352445</v>
      </c>
      <c r="H553" s="18">
        <v>1500</v>
      </c>
      <c r="I553" s="16">
        <v>0</v>
      </c>
    </row>
    <row r="554" spans="1:9">
      <c r="A554" s="9">
        <v>658</v>
      </c>
      <c r="B554" s="9" t="s">
        <v>1325</v>
      </c>
      <c r="C554" s="9" t="s">
        <v>14</v>
      </c>
      <c r="D554" s="21">
        <v>1200</v>
      </c>
      <c r="E554" s="18">
        <v>51600000</v>
      </c>
      <c r="F554" s="18">
        <v>8132100</v>
      </c>
      <c r="G554" s="18">
        <v>5.7683858916012971</v>
      </c>
      <c r="H554" s="18">
        <v>1200</v>
      </c>
      <c r="I554" s="16">
        <v>0</v>
      </c>
    </row>
    <row r="555" spans="1:9">
      <c r="A555" s="9">
        <v>659</v>
      </c>
      <c r="B555" s="9" t="s">
        <v>1326</v>
      </c>
      <c r="C555" s="9" t="s">
        <v>14</v>
      </c>
      <c r="D555" s="21">
        <v>1200</v>
      </c>
      <c r="E555" s="18">
        <v>51600000</v>
      </c>
      <c r="F555" s="18">
        <v>8132100</v>
      </c>
      <c r="G555" s="18">
        <v>5.7683858916012971</v>
      </c>
      <c r="H555" s="18">
        <v>1191</v>
      </c>
      <c r="I555" s="16">
        <v>0</v>
      </c>
    </row>
    <row r="556" spans="1:9">
      <c r="A556" s="9">
        <v>661</v>
      </c>
      <c r="B556" s="9" t="s">
        <v>1327</v>
      </c>
      <c r="C556" s="9" t="s">
        <v>14</v>
      </c>
      <c r="D556" s="21">
        <v>1200</v>
      </c>
      <c r="E556" s="18">
        <v>63600000</v>
      </c>
      <c r="F556" s="18">
        <v>10488300</v>
      </c>
      <c r="G556" s="18">
        <v>5.5126361582126577</v>
      </c>
      <c r="H556" s="18">
        <v>1200</v>
      </c>
      <c r="I556" s="16">
        <v>0</v>
      </c>
    </row>
    <row r="557" spans="1:9">
      <c r="A557" s="9">
        <v>663</v>
      </c>
      <c r="B557" s="9" t="s">
        <v>1328</v>
      </c>
      <c r="C557" s="9" t="s">
        <v>14</v>
      </c>
      <c r="D557" s="21">
        <v>5000</v>
      </c>
      <c r="E557" s="18">
        <v>215000000</v>
      </c>
      <c r="F557" s="18">
        <v>35318750</v>
      </c>
      <c r="G557" s="18">
        <v>5.5340165055259725</v>
      </c>
      <c r="H557" s="18">
        <v>5000</v>
      </c>
      <c r="I557" s="16">
        <v>0</v>
      </c>
    </row>
    <row r="558" spans="1:9">
      <c r="A558" s="9">
        <v>665</v>
      </c>
      <c r="B558" s="9" t="s">
        <v>1423</v>
      </c>
      <c r="C558" s="9" t="s">
        <v>14</v>
      </c>
      <c r="D558" s="21">
        <v>800</v>
      </c>
      <c r="E558" s="18">
        <v>31200000</v>
      </c>
      <c r="F558" s="18">
        <v>4897200</v>
      </c>
      <c r="G558" s="18">
        <v>5.7918068209663405</v>
      </c>
      <c r="H558" s="18">
        <v>795</v>
      </c>
      <c r="I558" s="16">
        <v>0</v>
      </c>
    </row>
    <row r="559" spans="1:9">
      <c r="A559" s="9">
        <v>666</v>
      </c>
      <c r="B559" s="9" t="s">
        <v>1424</v>
      </c>
      <c r="C559" s="9" t="s">
        <v>14</v>
      </c>
      <c r="D559" s="21">
        <v>800</v>
      </c>
      <c r="E559" s="18">
        <v>31200000</v>
      </c>
      <c r="F559" s="18">
        <v>4435200</v>
      </c>
      <c r="G559" s="18">
        <v>6.3951200314836676</v>
      </c>
      <c r="H559" s="18">
        <v>800</v>
      </c>
      <c r="I559" s="16">
        <v>0</v>
      </c>
    </row>
    <row r="560" spans="1:9">
      <c r="A560" s="9">
        <v>667</v>
      </c>
      <c r="B560" s="9" t="s">
        <v>1425</v>
      </c>
      <c r="C560" s="9" t="s">
        <v>14</v>
      </c>
      <c r="D560" s="21">
        <v>800</v>
      </c>
      <c r="E560" s="18">
        <v>31200000</v>
      </c>
      <c r="F560" s="18">
        <v>4989600.0000000009</v>
      </c>
      <c r="G560" s="18">
        <v>5.6845511390965919</v>
      </c>
      <c r="H560" s="18">
        <v>800</v>
      </c>
      <c r="I560" s="16">
        <v>0</v>
      </c>
    </row>
    <row r="561" spans="1:9">
      <c r="A561" s="9">
        <v>669</v>
      </c>
      <c r="B561" s="9" t="s">
        <v>1329</v>
      </c>
      <c r="C561" s="9" t="s">
        <v>14</v>
      </c>
      <c r="D561" s="21">
        <v>3000</v>
      </c>
      <c r="E561" s="18">
        <v>129000000</v>
      </c>
      <c r="F561" s="18">
        <v>13010160</v>
      </c>
      <c r="G561" s="18">
        <v>9.0139342846457886</v>
      </c>
      <c r="H561" s="18">
        <v>3000</v>
      </c>
      <c r="I561" s="16">
        <v>0</v>
      </c>
    </row>
    <row r="562" spans="1:9">
      <c r="A562" s="9">
        <v>670</v>
      </c>
      <c r="B562" s="9" t="s">
        <v>1330</v>
      </c>
      <c r="C562" s="9" t="s">
        <v>14</v>
      </c>
      <c r="D562" s="21">
        <v>3000</v>
      </c>
      <c r="E562" s="18">
        <v>129000000</v>
      </c>
      <c r="F562" s="18">
        <v>13986600.000000002</v>
      </c>
      <c r="G562" s="18">
        <v>8.3846486832201705</v>
      </c>
      <c r="H562" s="18">
        <v>3000</v>
      </c>
      <c r="I562" s="16">
        <v>0</v>
      </c>
    </row>
    <row r="563" spans="1:9">
      <c r="A563" s="9">
        <v>671</v>
      </c>
      <c r="B563" s="9" t="s">
        <v>1331</v>
      </c>
      <c r="C563" s="9" t="s">
        <v>14</v>
      </c>
      <c r="D563" s="21">
        <v>4000</v>
      </c>
      <c r="E563" s="18">
        <v>172000000</v>
      </c>
      <c r="F563" s="18">
        <v>17560880</v>
      </c>
      <c r="G563" s="18">
        <v>8.9040888818576498</v>
      </c>
      <c r="H563" s="18">
        <v>4000</v>
      </c>
      <c r="I563" s="16">
        <v>0</v>
      </c>
    </row>
    <row r="564" spans="1:9">
      <c r="A564" s="9">
        <v>673</v>
      </c>
      <c r="B564" s="9" t="s">
        <v>1332</v>
      </c>
      <c r="C564" s="9" t="s">
        <v>14</v>
      </c>
      <c r="D564" s="21">
        <v>1500</v>
      </c>
      <c r="E564" s="18">
        <v>52500000</v>
      </c>
      <c r="F564" s="18">
        <v>6535218</v>
      </c>
      <c r="G564" s="18">
        <v>7.3030880878453823</v>
      </c>
      <c r="H564" s="18">
        <v>1500</v>
      </c>
      <c r="I564" s="16">
        <v>0</v>
      </c>
    </row>
    <row r="565" spans="1:9">
      <c r="A565" s="9">
        <v>674</v>
      </c>
      <c r="B565" s="9" t="s">
        <v>1333</v>
      </c>
      <c r="C565" s="9" t="s">
        <v>14</v>
      </c>
      <c r="D565" s="21">
        <v>1500</v>
      </c>
      <c r="E565" s="18">
        <v>64500000</v>
      </c>
      <c r="F565" s="18">
        <v>5984103.0000000019</v>
      </c>
      <c r="G565" s="18">
        <v>9.7986888989650769</v>
      </c>
      <c r="H565" s="18">
        <v>1499</v>
      </c>
      <c r="I565" s="16">
        <v>0</v>
      </c>
    </row>
    <row r="566" spans="1:9">
      <c r="A566" s="9">
        <v>675</v>
      </c>
      <c r="B566" s="9" t="s">
        <v>1334</v>
      </c>
      <c r="C566" s="9" t="s">
        <v>14</v>
      </c>
      <c r="D566" s="21">
        <v>1500</v>
      </c>
      <c r="E566" s="18">
        <v>64500000</v>
      </c>
      <c r="F566" s="18">
        <v>7137048.0000000019</v>
      </c>
      <c r="G566" s="18">
        <v>8.2157726326575933</v>
      </c>
      <c r="H566" s="18">
        <v>1492</v>
      </c>
      <c r="I566" s="16">
        <v>0</v>
      </c>
    </row>
    <row r="567" spans="1:9">
      <c r="A567" s="9">
        <v>676</v>
      </c>
      <c r="B567" s="9" t="s">
        <v>1335</v>
      </c>
      <c r="C567" s="9" t="s">
        <v>14</v>
      </c>
      <c r="D567" s="21">
        <v>1500</v>
      </c>
      <c r="E567" s="18">
        <v>64500000</v>
      </c>
      <c r="F567" s="18">
        <v>7533300.0000000019</v>
      </c>
      <c r="G567" s="18">
        <v>7.7836225341302772</v>
      </c>
      <c r="H567" s="18">
        <v>1500</v>
      </c>
      <c r="I567" s="16">
        <v>0</v>
      </c>
    </row>
    <row r="568" spans="1:9">
      <c r="A568" s="9">
        <v>678</v>
      </c>
      <c r="B568" s="9" t="s">
        <v>1336</v>
      </c>
      <c r="C568" s="9" t="s">
        <v>14</v>
      </c>
      <c r="D568" s="21">
        <v>4000</v>
      </c>
      <c r="E568" s="18">
        <v>212000000</v>
      </c>
      <c r="F568" s="18">
        <v>28520720.000000004</v>
      </c>
      <c r="G568" s="18">
        <v>6.7574476635678442</v>
      </c>
      <c r="H568" s="18">
        <v>3967</v>
      </c>
      <c r="I568" s="16">
        <v>0</v>
      </c>
    </row>
    <row r="569" spans="1:9">
      <c r="A569" s="9">
        <v>679</v>
      </c>
      <c r="B569" s="9" t="s">
        <v>1337</v>
      </c>
      <c r="C569" s="9" t="s">
        <v>14</v>
      </c>
      <c r="D569" s="21">
        <v>4000</v>
      </c>
      <c r="E569" s="18">
        <v>212000000</v>
      </c>
      <c r="F569" s="18">
        <v>28520720.000000004</v>
      </c>
      <c r="G569" s="18">
        <v>6.7574476635678442</v>
      </c>
      <c r="H569" s="18">
        <v>4005</v>
      </c>
      <c r="I569" s="16">
        <v>0</v>
      </c>
    </row>
    <row r="570" spans="1:9">
      <c r="A570" s="9">
        <v>681</v>
      </c>
      <c r="B570" s="9" t="s">
        <v>1338</v>
      </c>
      <c r="C570" s="9" t="s">
        <v>14</v>
      </c>
      <c r="D570" s="21">
        <v>3500</v>
      </c>
      <c r="E570" s="18">
        <v>101500000</v>
      </c>
      <c r="F570" s="18">
        <v>20896715.000000004</v>
      </c>
      <c r="G570" s="18">
        <v>4.4156570672819742</v>
      </c>
      <c r="H570" s="18">
        <v>3524</v>
      </c>
      <c r="I570" s="16">
        <v>0</v>
      </c>
    </row>
    <row r="571" spans="1:9">
      <c r="A571" s="9">
        <v>683</v>
      </c>
      <c r="B571" s="9" t="s">
        <v>1339</v>
      </c>
      <c r="C571" s="9" t="s">
        <v>14</v>
      </c>
      <c r="D571" s="21">
        <v>800</v>
      </c>
      <c r="E571" s="18">
        <v>47200000</v>
      </c>
      <c r="F571" s="18">
        <v>6668800</v>
      </c>
      <c r="G571" s="18">
        <v>6.4343046588727963</v>
      </c>
      <c r="H571" s="18">
        <v>800</v>
      </c>
      <c r="I571" s="16">
        <v>0</v>
      </c>
    </row>
    <row r="572" spans="1:9">
      <c r="A572" s="9">
        <v>685</v>
      </c>
      <c r="B572" s="9" t="s">
        <v>1340</v>
      </c>
      <c r="C572" s="9" t="s">
        <v>14</v>
      </c>
      <c r="D572" s="21">
        <v>1500</v>
      </c>
      <c r="E572" s="18">
        <v>73500000</v>
      </c>
      <c r="F572" s="18">
        <v>10508160</v>
      </c>
      <c r="G572" s="18">
        <v>6.3586947494310904</v>
      </c>
      <c r="H572" s="18">
        <v>1348</v>
      </c>
      <c r="I572" s="16">
        <v>0</v>
      </c>
    </row>
    <row r="573" spans="1:9">
      <c r="A573" s="9">
        <v>686</v>
      </c>
      <c r="B573" s="9" t="s">
        <v>1341</v>
      </c>
      <c r="C573" s="9" t="s">
        <v>14</v>
      </c>
      <c r="D573" s="21">
        <v>1200</v>
      </c>
      <c r="E573" s="18">
        <v>54000000</v>
      </c>
      <c r="F573" s="18">
        <v>8331684.0000000009</v>
      </c>
      <c r="G573" s="18">
        <v>5.892075250442657</v>
      </c>
      <c r="H573" s="18">
        <v>1173</v>
      </c>
      <c r="I573" s="16">
        <v>0</v>
      </c>
    </row>
    <row r="574" spans="1:9">
      <c r="A574" s="9">
        <v>687</v>
      </c>
      <c r="B574" s="9" t="s">
        <v>1342</v>
      </c>
      <c r="C574" s="9" t="s">
        <v>14</v>
      </c>
      <c r="D574" s="21">
        <v>1200</v>
      </c>
      <c r="E574" s="18">
        <v>54000000</v>
      </c>
      <c r="F574" s="18">
        <v>7604400</v>
      </c>
      <c r="G574" s="18">
        <v>6.455592695138221</v>
      </c>
      <c r="H574" s="18">
        <v>1183</v>
      </c>
      <c r="I574" s="16">
        <v>0</v>
      </c>
    </row>
    <row r="575" spans="1:9">
      <c r="A575" s="9">
        <v>688</v>
      </c>
      <c r="B575" s="9" t="s">
        <v>1343</v>
      </c>
      <c r="C575" s="9" t="s">
        <v>14</v>
      </c>
      <c r="D575" s="21">
        <v>1200</v>
      </c>
      <c r="E575" s="18">
        <v>58800000</v>
      </c>
      <c r="F575" s="18">
        <v>7473156.0000000019</v>
      </c>
      <c r="G575" s="18">
        <v>7.152874294949207</v>
      </c>
      <c r="H575" s="18">
        <v>1148</v>
      </c>
      <c r="I575" s="16">
        <v>0</v>
      </c>
    </row>
    <row r="576" spans="1:9">
      <c r="A576" s="9">
        <v>689</v>
      </c>
      <c r="B576" s="9" t="s">
        <v>1344</v>
      </c>
      <c r="C576" s="9" t="s">
        <v>14</v>
      </c>
      <c r="D576" s="21">
        <v>1200</v>
      </c>
      <c r="E576" s="18">
        <v>54000000</v>
      </c>
      <c r="F576" s="18">
        <v>7090896.0000000009</v>
      </c>
      <c r="G576" s="18">
        <v>6.9230897041656068</v>
      </c>
      <c r="H576" s="18">
        <v>1195</v>
      </c>
      <c r="I576" s="16">
        <v>0</v>
      </c>
    </row>
    <row r="577" spans="1:9">
      <c r="A577" s="9">
        <v>690</v>
      </c>
      <c r="B577" s="9" t="s">
        <v>1345</v>
      </c>
      <c r="C577" s="9" t="s">
        <v>14</v>
      </c>
      <c r="D577" s="21">
        <v>1500</v>
      </c>
      <c r="E577" s="18">
        <v>73500000</v>
      </c>
      <c r="F577" s="18">
        <v>12914985</v>
      </c>
      <c r="G577" s="18">
        <v>5.1736941094536162</v>
      </c>
      <c r="H577" s="18">
        <v>1438</v>
      </c>
      <c r="I577" s="16">
        <v>0</v>
      </c>
    </row>
    <row r="578" spans="1:9">
      <c r="A578" s="9">
        <v>691</v>
      </c>
      <c r="B578" s="9" t="s">
        <v>1346</v>
      </c>
      <c r="C578" s="9" t="s">
        <v>14</v>
      </c>
      <c r="D578" s="21">
        <v>1200</v>
      </c>
      <c r="E578" s="18">
        <v>66000000</v>
      </c>
      <c r="F578" s="18">
        <v>10878336.000000002</v>
      </c>
      <c r="G578" s="18">
        <v>5.5155494369727123</v>
      </c>
      <c r="H578" s="18">
        <v>1195</v>
      </c>
      <c r="I578" s="16">
        <v>0</v>
      </c>
    </row>
    <row r="579" spans="1:9">
      <c r="A579" s="9">
        <v>693</v>
      </c>
      <c r="B579" s="9" t="s">
        <v>1347</v>
      </c>
      <c r="C579" s="9" t="s">
        <v>14</v>
      </c>
      <c r="D579" s="21">
        <v>3700</v>
      </c>
      <c r="E579" s="18">
        <v>181300000</v>
      </c>
      <c r="F579" s="18">
        <v>37695600</v>
      </c>
      <c r="G579" s="18">
        <v>4.3723453617446548</v>
      </c>
      <c r="H579" s="18">
        <v>3672</v>
      </c>
      <c r="I579" s="16">
        <v>0</v>
      </c>
    </row>
    <row r="580" spans="1:9">
      <c r="A580" s="9">
        <v>694</v>
      </c>
      <c r="B580" s="9" t="s">
        <v>1348</v>
      </c>
      <c r="C580" s="9" t="s">
        <v>14</v>
      </c>
      <c r="D580" s="21">
        <v>1500</v>
      </c>
      <c r="E580" s="18">
        <v>73500000</v>
      </c>
      <c r="F580" s="18">
        <v>13632000</v>
      </c>
      <c r="G580" s="18">
        <v>4.9015685019206137</v>
      </c>
      <c r="H580" s="18">
        <v>1500</v>
      </c>
      <c r="I580" s="16">
        <v>0</v>
      </c>
    </row>
    <row r="581" spans="1:9">
      <c r="A581" s="9">
        <v>695</v>
      </c>
      <c r="B581" s="9" t="s">
        <v>1349</v>
      </c>
      <c r="C581" s="9" t="s">
        <v>14</v>
      </c>
      <c r="D581" s="21">
        <v>2500</v>
      </c>
      <c r="E581" s="18">
        <v>122500000</v>
      </c>
      <c r="F581" s="18">
        <v>25470000</v>
      </c>
      <c r="G581" s="18">
        <v>4.3723453617446548</v>
      </c>
      <c r="H581" s="18">
        <v>2495</v>
      </c>
      <c r="I581" s="16">
        <v>0</v>
      </c>
    </row>
    <row r="582" spans="1:9">
      <c r="A582" s="9">
        <v>696</v>
      </c>
      <c r="B582" s="9" t="s">
        <v>1350</v>
      </c>
      <c r="C582" s="9" t="s">
        <v>14</v>
      </c>
      <c r="D582" s="21">
        <v>1500</v>
      </c>
      <c r="E582" s="18">
        <v>73500000</v>
      </c>
      <c r="F582" s="18">
        <v>16332000</v>
      </c>
      <c r="G582" s="18">
        <v>4.0912430699352083</v>
      </c>
      <c r="H582" s="18">
        <v>1500</v>
      </c>
      <c r="I582" s="16">
        <v>0</v>
      </c>
    </row>
    <row r="583" spans="1:9">
      <c r="A583" s="9">
        <v>698</v>
      </c>
      <c r="B583" s="9" t="s">
        <v>945</v>
      </c>
      <c r="C583" s="9" t="s">
        <v>14</v>
      </c>
      <c r="D583" s="21">
        <v>2000</v>
      </c>
      <c r="E583" s="18">
        <v>90000000</v>
      </c>
      <c r="F583" s="18">
        <v>23440000</v>
      </c>
      <c r="G583" s="18">
        <v>3.4905367669872782</v>
      </c>
      <c r="H583" s="18">
        <v>2050</v>
      </c>
      <c r="I583" s="16">
        <v>0</v>
      </c>
    </row>
    <row r="584" spans="1:9">
      <c r="A584" s="9">
        <v>700</v>
      </c>
      <c r="B584" s="9" t="s">
        <v>1351</v>
      </c>
      <c r="C584" s="9" t="s">
        <v>14</v>
      </c>
      <c r="D584" s="21">
        <v>2000</v>
      </c>
      <c r="E584" s="18">
        <v>78000000</v>
      </c>
      <c r="F584" s="18">
        <v>7050388.0000000009</v>
      </c>
      <c r="G584" s="18">
        <v>10.057473561609786</v>
      </c>
      <c r="H584" s="18">
        <v>1998</v>
      </c>
      <c r="I584" s="16">
        <v>0</v>
      </c>
    </row>
    <row r="585" spans="1:9">
      <c r="A585" s="9">
        <v>702</v>
      </c>
      <c r="B585" s="9" t="s">
        <v>1352</v>
      </c>
      <c r="C585" s="9" t="s">
        <v>14</v>
      </c>
      <c r="D585" s="21">
        <v>1500</v>
      </c>
      <c r="E585" s="18">
        <v>58500000</v>
      </c>
      <c r="F585" s="18">
        <v>6801143.9999999991</v>
      </c>
      <c r="G585" s="18">
        <v>7.8195400923459619</v>
      </c>
      <c r="H585" s="18">
        <v>1500</v>
      </c>
      <c r="I585" s="16">
        <v>0</v>
      </c>
    </row>
    <row r="586" spans="1:9">
      <c r="A586" s="9">
        <v>704</v>
      </c>
      <c r="B586" s="9" t="s">
        <v>1353</v>
      </c>
      <c r="C586" s="9" t="s">
        <v>14</v>
      </c>
      <c r="D586" s="21">
        <v>1600</v>
      </c>
      <c r="E586" s="18">
        <v>84800000</v>
      </c>
      <c r="F586" s="18">
        <v>6959488</v>
      </c>
      <c r="G586" s="18">
        <v>11.077094908549176</v>
      </c>
      <c r="H586" s="18">
        <v>1600</v>
      </c>
      <c r="I586" s="16">
        <v>0</v>
      </c>
    </row>
    <row r="587" spans="1:9">
      <c r="A587" s="9">
        <v>706</v>
      </c>
      <c r="B587" s="9" t="s">
        <v>1354</v>
      </c>
      <c r="C587" s="9" t="s">
        <v>14</v>
      </c>
      <c r="D587" s="21">
        <v>1000</v>
      </c>
      <c r="E587" s="18">
        <v>43000000</v>
      </c>
      <c r="F587" s="18">
        <v>6600000</v>
      </c>
      <c r="G587" s="18">
        <v>5.9228650137741043</v>
      </c>
      <c r="H587" s="18">
        <v>1000</v>
      </c>
      <c r="I587" s="16">
        <v>0</v>
      </c>
    </row>
    <row r="588" spans="1:9">
      <c r="A588" s="9">
        <v>708</v>
      </c>
      <c r="B588" s="9" t="s">
        <v>1355</v>
      </c>
      <c r="C588" s="9" t="s">
        <v>14</v>
      </c>
      <c r="D588" s="21">
        <v>2000</v>
      </c>
      <c r="E588" s="18">
        <v>90000000</v>
      </c>
      <c r="F588" s="18">
        <v>11836760</v>
      </c>
      <c r="G588" s="18">
        <v>6.9122109274988937</v>
      </c>
      <c r="H588" s="18">
        <v>1998</v>
      </c>
      <c r="I588" s="16">
        <v>0</v>
      </c>
    </row>
    <row r="589" spans="1:9">
      <c r="A589" s="9">
        <v>709</v>
      </c>
      <c r="B589" s="9" t="s">
        <v>1356</v>
      </c>
      <c r="C589" s="9" t="s">
        <v>14</v>
      </c>
      <c r="D589" s="21">
        <v>800</v>
      </c>
      <c r="E589" s="18">
        <v>36000000</v>
      </c>
      <c r="F589" s="18">
        <v>4726704</v>
      </c>
      <c r="G589" s="18">
        <v>6.9239099227014691</v>
      </c>
      <c r="H589" s="18">
        <v>798</v>
      </c>
      <c r="I589" s="16">
        <v>0</v>
      </c>
    </row>
    <row r="590" spans="1:9">
      <c r="A590" s="9">
        <v>711</v>
      </c>
      <c r="B590" s="9" t="s">
        <v>1357</v>
      </c>
      <c r="C590" s="9" t="s">
        <v>14</v>
      </c>
      <c r="D590" s="21">
        <v>1500</v>
      </c>
      <c r="E590" s="18">
        <v>88500000</v>
      </c>
      <c r="F590" s="18">
        <v>10384605</v>
      </c>
      <c r="G590" s="18">
        <v>7.7474824949572421</v>
      </c>
      <c r="H590" s="18">
        <v>1500</v>
      </c>
      <c r="I590" s="16">
        <v>0</v>
      </c>
    </row>
    <row r="591" spans="1:9">
      <c r="A591" s="9">
        <v>713</v>
      </c>
      <c r="B591" s="9" t="s">
        <v>1358</v>
      </c>
      <c r="C591" s="9" t="s">
        <v>14</v>
      </c>
      <c r="D591" s="21">
        <v>800</v>
      </c>
      <c r="E591" s="18">
        <v>100000000</v>
      </c>
      <c r="F591" s="18">
        <v>22400000</v>
      </c>
      <c r="G591" s="18">
        <v>4.0584415584415581</v>
      </c>
      <c r="H591" s="18">
        <v>800</v>
      </c>
      <c r="I591" s="16">
        <v>0</v>
      </c>
    </row>
    <row r="592" spans="1:9">
      <c r="A592" s="9">
        <v>715</v>
      </c>
      <c r="B592" s="9" t="s">
        <v>1426</v>
      </c>
      <c r="C592" s="9" t="s">
        <v>14</v>
      </c>
      <c r="D592" s="21">
        <v>1500</v>
      </c>
      <c r="E592" s="18">
        <v>73500000</v>
      </c>
      <c r="F592" s="18">
        <v>12012930.000000002</v>
      </c>
      <c r="G592" s="18">
        <v>5.5621885600084076</v>
      </c>
      <c r="H592" s="18">
        <v>1473</v>
      </c>
      <c r="I592" s="16">
        <v>0</v>
      </c>
    </row>
    <row r="593" spans="1:9">
      <c r="A593" s="9">
        <v>716</v>
      </c>
      <c r="B593" s="9" t="s">
        <v>1427</v>
      </c>
      <c r="C593" s="9" t="s">
        <v>14</v>
      </c>
      <c r="D593" s="21">
        <v>1500</v>
      </c>
      <c r="E593" s="18">
        <v>73500000</v>
      </c>
      <c r="F593" s="18">
        <v>12605370</v>
      </c>
      <c r="G593" s="18">
        <v>5.3007711648433808</v>
      </c>
      <c r="H593" s="18">
        <v>1401</v>
      </c>
      <c r="I593" s="16">
        <v>0</v>
      </c>
    </row>
    <row r="594" spans="1:9">
      <c r="A594" s="9">
        <v>717</v>
      </c>
      <c r="B594" s="9" t="s">
        <v>1428</v>
      </c>
      <c r="C594" s="9" t="s">
        <v>14</v>
      </c>
      <c r="D594" s="21">
        <v>1200</v>
      </c>
      <c r="E594" s="18">
        <v>58800000</v>
      </c>
      <c r="F594" s="18">
        <v>9111192</v>
      </c>
      <c r="G594" s="18">
        <v>5.8669102192715785</v>
      </c>
      <c r="H594" s="18">
        <v>1202</v>
      </c>
      <c r="I594" s="16">
        <v>0</v>
      </c>
    </row>
    <row r="595" spans="1:9">
      <c r="A595" s="9">
        <v>718</v>
      </c>
      <c r="B595" s="9" t="s">
        <v>1429</v>
      </c>
      <c r="C595" s="9" t="s">
        <v>14</v>
      </c>
      <c r="D595" s="21">
        <v>1200</v>
      </c>
      <c r="E595" s="18">
        <v>58800000</v>
      </c>
      <c r="F595" s="18">
        <v>10227096</v>
      </c>
      <c r="G595" s="18">
        <v>5.2267569850273672</v>
      </c>
      <c r="H595" s="18">
        <v>1191</v>
      </c>
      <c r="I595" s="16">
        <v>0</v>
      </c>
    </row>
    <row r="596" spans="1:9">
      <c r="A596" s="9">
        <v>719</v>
      </c>
      <c r="B596" s="9" t="s">
        <v>1430</v>
      </c>
      <c r="C596" s="9" t="s">
        <v>14</v>
      </c>
      <c r="D596" s="21">
        <v>1000</v>
      </c>
      <c r="E596" s="18">
        <v>55000000</v>
      </c>
      <c r="F596" s="18">
        <v>10685270.000000002</v>
      </c>
      <c r="G596" s="18">
        <v>4.6793389404292061</v>
      </c>
      <c r="H596" s="18">
        <v>1001</v>
      </c>
      <c r="I596" s="16">
        <v>0</v>
      </c>
    </row>
    <row r="597" spans="1:9">
      <c r="A597" s="9">
        <v>721</v>
      </c>
      <c r="B597" s="9" t="s">
        <v>1431</v>
      </c>
      <c r="C597" s="9" t="s">
        <v>14</v>
      </c>
      <c r="D597" s="21">
        <v>800</v>
      </c>
      <c r="E597" s="18">
        <v>44000000</v>
      </c>
      <c r="F597" s="18">
        <v>9895408.0000000037</v>
      </c>
      <c r="G597" s="18">
        <v>4.0422790045645396</v>
      </c>
      <c r="H597" s="18">
        <v>798</v>
      </c>
      <c r="I597" s="16">
        <v>0</v>
      </c>
    </row>
    <row r="598" spans="1:9">
      <c r="A598" s="9">
        <v>722</v>
      </c>
      <c r="B598" s="9" t="s">
        <v>1432</v>
      </c>
      <c r="C598" s="9" t="s">
        <v>14</v>
      </c>
      <c r="D598" s="21">
        <v>800</v>
      </c>
      <c r="E598" s="18">
        <v>44000000</v>
      </c>
      <c r="F598" s="18">
        <v>9895408.0000000037</v>
      </c>
      <c r="G598" s="18">
        <v>4.0422790045645396</v>
      </c>
      <c r="H598" s="18">
        <v>799</v>
      </c>
      <c r="I598" s="16">
        <v>0</v>
      </c>
    </row>
    <row r="599" spans="1:9">
      <c r="A599" s="9">
        <v>724</v>
      </c>
      <c r="B599" s="9" t="s">
        <v>1433</v>
      </c>
      <c r="C599" s="9" t="s">
        <v>14</v>
      </c>
      <c r="D599" s="21">
        <v>800</v>
      </c>
      <c r="E599" s="18">
        <v>39200000</v>
      </c>
      <c r="F599" s="18">
        <v>5903728.0000000009</v>
      </c>
      <c r="G599" s="18">
        <v>6.0362475433088427</v>
      </c>
      <c r="H599" s="18">
        <v>798</v>
      </c>
      <c r="I599" s="16">
        <v>0</v>
      </c>
    </row>
    <row r="600" spans="1:9">
      <c r="A600" s="9">
        <v>726</v>
      </c>
      <c r="B600" s="9" t="s">
        <v>1434</v>
      </c>
      <c r="C600" s="9" t="s">
        <v>14</v>
      </c>
      <c r="D600" s="21">
        <v>500</v>
      </c>
      <c r="E600" s="18">
        <v>18500000</v>
      </c>
      <c r="F600" s="18">
        <v>2025892.0000000005</v>
      </c>
      <c r="G600" s="18">
        <v>8.3016181603865427</v>
      </c>
      <c r="H600" s="18">
        <v>500</v>
      </c>
      <c r="I600" s="16">
        <v>0</v>
      </c>
    </row>
    <row r="601" spans="1:9">
      <c r="A601" s="9">
        <v>727</v>
      </c>
      <c r="B601" s="9" t="s">
        <v>1435</v>
      </c>
      <c r="C601" s="9" t="s">
        <v>14</v>
      </c>
      <c r="D601" s="21">
        <v>500</v>
      </c>
      <c r="E601" s="18">
        <v>18500000</v>
      </c>
      <c r="F601" s="18">
        <v>2025892.0000000005</v>
      </c>
      <c r="G601" s="18">
        <v>8.3016181603865427</v>
      </c>
      <c r="H601" s="18">
        <v>499</v>
      </c>
      <c r="I601" s="16">
        <v>0</v>
      </c>
    </row>
    <row r="602" spans="1:9">
      <c r="A602" s="9">
        <v>729</v>
      </c>
      <c r="B602" s="9" t="s">
        <v>1436</v>
      </c>
      <c r="C602" s="9" t="s">
        <v>14</v>
      </c>
      <c r="D602" s="21">
        <v>600</v>
      </c>
      <c r="E602" s="18">
        <v>94800000</v>
      </c>
      <c r="F602" s="18">
        <v>22512000</v>
      </c>
      <c r="G602" s="18">
        <v>3.8282612909478577</v>
      </c>
      <c r="H602" s="18">
        <v>600</v>
      </c>
      <c r="I602" s="16">
        <v>0</v>
      </c>
    </row>
    <row r="603" spans="1:9">
      <c r="A603" s="9">
        <v>730</v>
      </c>
      <c r="B603" s="9" t="s">
        <v>1437</v>
      </c>
      <c r="C603" s="9" t="s">
        <v>14</v>
      </c>
      <c r="D603" s="21">
        <v>600</v>
      </c>
      <c r="E603" s="18">
        <v>94800000</v>
      </c>
      <c r="F603" s="18">
        <v>22512000</v>
      </c>
      <c r="G603" s="18">
        <v>3.8282612909478577</v>
      </c>
      <c r="H603" s="18">
        <v>600</v>
      </c>
      <c r="I603" s="16">
        <v>0</v>
      </c>
    </row>
    <row r="604" spans="1:9">
      <c r="A604" s="9">
        <v>731</v>
      </c>
      <c r="B604" s="9" t="s">
        <v>1438</v>
      </c>
      <c r="C604" s="9" t="s">
        <v>14</v>
      </c>
      <c r="D604" s="21">
        <v>600</v>
      </c>
      <c r="E604" s="18">
        <v>94800000</v>
      </c>
      <c r="F604" s="18">
        <v>22512000</v>
      </c>
      <c r="G604" s="18">
        <v>3.8282612909478577</v>
      </c>
      <c r="H604" s="18">
        <v>600</v>
      </c>
      <c r="I604" s="16">
        <v>0</v>
      </c>
    </row>
    <row r="605" spans="1:9">
      <c r="A605" s="9">
        <v>733</v>
      </c>
      <c r="B605" s="9" t="s">
        <v>1439</v>
      </c>
      <c r="C605" s="9" t="s">
        <v>14</v>
      </c>
      <c r="D605" s="21">
        <v>600</v>
      </c>
      <c r="E605" s="18">
        <v>89400000</v>
      </c>
      <c r="F605" s="18">
        <v>23160000</v>
      </c>
      <c r="G605" s="18">
        <v>3.5091851154027314</v>
      </c>
      <c r="H605" s="18">
        <v>600</v>
      </c>
      <c r="I605" s="16">
        <v>0</v>
      </c>
    </row>
    <row r="606" spans="1:9">
      <c r="A606" s="9">
        <v>735</v>
      </c>
      <c r="B606" s="9" t="s">
        <v>1440</v>
      </c>
      <c r="C606" s="9" t="s">
        <v>14</v>
      </c>
      <c r="D606" s="21">
        <v>600</v>
      </c>
      <c r="E606" s="18">
        <v>75000000</v>
      </c>
      <c r="F606" s="18">
        <v>17040000</v>
      </c>
      <c r="G606" s="18">
        <v>4.0012804097311143</v>
      </c>
      <c r="H606" s="18">
        <v>600</v>
      </c>
      <c r="I606" s="16">
        <v>0</v>
      </c>
    </row>
    <row r="607" spans="1:9">
      <c r="A607" s="9">
        <v>736</v>
      </c>
      <c r="B607" s="9" t="s">
        <v>1441</v>
      </c>
      <c r="C607" s="9" t="s">
        <v>14</v>
      </c>
      <c r="D607" s="21">
        <v>600</v>
      </c>
      <c r="E607" s="18">
        <v>77400000</v>
      </c>
      <c r="F607" s="18">
        <v>18300000</v>
      </c>
      <c r="G607" s="18">
        <v>3.8450074515648285</v>
      </c>
      <c r="H607" s="18">
        <v>600</v>
      </c>
      <c r="I607" s="16">
        <v>0</v>
      </c>
    </row>
    <row r="608" spans="1:9">
      <c r="A608" s="9">
        <v>738</v>
      </c>
      <c r="B608" s="9" t="s">
        <v>1442</v>
      </c>
      <c r="C608" s="9" t="s">
        <v>14</v>
      </c>
      <c r="D608" s="21">
        <v>1000</v>
      </c>
      <c r="E608" s="18">
        <v>49000000</v>
      </c>
      <c r="F608" s="18">
        <v>8588400.0000000019</v>
      </c>
      <c r="G608" s="18">
        <v>5.1867000309084963</v>
      </c>
      <c r="H608" s="18">
        <v>999</v>
      </c>
      <c r="I608" s="16">
        <v>0</v>
      </c>
    </row>
    <row r="609" spans="1:9">
      <c r="A609" s="9">
        <v>739</v>
      </c>
      <c r="B609" s="9" t="s">
        <v>1443</v>
      </c>
      <c r="C609" s="9" t="s">
        <v>14</v>
      </c>
      <c r="D609" s="21">
        <v>1000</v>
      </c>
      <c r="E609" s="18">
        <v>49000000</v>
      </c>
      <c r="F609" s="18">
        <v>8836400.0000000019</v>
      </c>
      <c r="G609" s="18">
        <v>5.0411315179772904</v>
      </c>
      <c r="H609" s="18">
        <v>1000</v>
      </c>
      <c r="I609" s="16">
        <v>0</v>
      </c>
    </row>
    <row r="610" spans="1:9">
      <c r="A610" s="9">
        <v>741</v>
      </c>
      <c r="B610" s="9" t="s">
        <v>1444</v>
      </c>
      <c r="C610" s="9" t="s">
        <v>14</v>
      </c>
      <c r="D610" s="21">
        <v>1800</v>
      </c>
      <c r="E610" s="18">
        <v>63000000</v>
      </c>
      <c r="F610" s="18">
        <v>6549112.8000000007</v>
      </c>
      <c r="G610" s="18">
        <v>8.7451123567038369</v>
      </c>
      <c r="H610" s="18">
        <v>1791</v>
      </c>
      <c r="I610" s="16">
        <v>0</v>
      </c>
    </row>
    <row r="611" spans="1:9">
      <c r="A611" s="9">
        <v>742</v>
      </c>
      <c r="B611" s="9" t="s">
        <v>1445</v>
      </c>
      <c r="C611" s="9" t="s">
        <v>14</v>
      </c>
      <c r="D611" s="21">
        <v>1500</v>
      </c>
      <c r="E611" s="18">
        <v>64500000</v>
      </c>
      <c r="F611" s="18">
        <v>7515804.0000000019</v>
      </c>
      <c r="G611" s="18">
        <v>7.8017419874658271</v>
      </c>
      <c r="H611" s="18">
        <v>1500</v>
      </c>
      <c r="I611" s="16">
        <v>0</v>
      </c>
    </row>
    <row r="612" spans="1:9">
      <c r="A612" s="9">
        <v>743</v>
      </c>
      <c r="B612" s="9" t="s">
        <v>1446</v>
      </c>
      <c r="C612" s="9" t="s">
        <v>14</v>
      </c>
      <c r="D612" s="21">
        <v>1500</v>
      </c>
      <c r="E612" s="18">
        <v>64500000</v>
      </c>
      <c r="F612" s="18">
        <v>7261974.0000000009</v>
      </c>
      <c r="G612" s="18">
        <v>8.0744386631463598</v>
      </c>
      <c r="H612" s="18">
        <v>1500</v>
      </c>
      <c r="I612" s="16">
        <v>0</v>
      </c>
    </row>
    <row r="613" spans="1:9">
      <c r="A613" s="9">
        <v>745</v>
      </c>
      <c r="B613" s="9" t="s">
        <v>1447</v>
      </c>
      <c r="C613" s="9" t="s">
        <v>15</v>
      </c>
      <c r="D613" s="21">
        <v>200</v>
      </c>
      <c r="E613" s="18">
        <v>5600000</v>
      </c>
      <c r="F613" s="18">
        <v>1934545.4545454544</v>
      </c>
      <c r="G613" s="18">
        <v>2.6315789473684212</v>
      </c>
      <c r="H613" s="18">
        <v>200</v>
      </c>
      <c r="I613" s="16">
        <v>0</v>
      </c>
    </row>
    <row r="614" spans="1:9">
      <c r="A614" s="9">
        <v>746</v>
      </c>
      <c r="B614" s="9" t="s">
        <v>1448</v>
      </c>
      <c r="C614" s="9" t="s">
        <v>15</v>
      </c>
      <c r="D614" s="21">
        <v>100</v>
      </c>
      <c r="E614" s="18">
        <v>3700000</v>
      </c>
      <c r="F614" s="18">
        <v>1278181.8181818181</v>
      </c>
      <c r="G614" s="18">
        <v>2.6315789473684212</v>
      </c>
      <c r="H614" s="18">
        <v>100</v>
      </c>
      <c r="I614" s="16">
        <v>0</v>
      </c>
    </row>
    <row r="615" spans="1:9">
      <c r="A615" s="9">
        <v>747</v>
      </c>
      <c r="B615" s="9" t="s">
        <v>1449</v>
      </c>
      <c r="C615" s="9" t="s">
        <v>15</v>
      </c>
      <c r="D615" s="21">
        <v>100</v>
      </c>
      <c r="E615" s="18">
        <v>3700000</v>
      </c>
      <c r="F615" s="18">
        <v>1278181.8181818181</v>
      </c>
      <c r="G615" s="18">
        <v>2.6315789473684212</v>
      </c>
      <c r="H615" s="18">
        <v>100</v>
      </c>
      <c r="I615" s="16">
        <v>0</v>
      </c>
    </row>
    <row r="616" spans="1:9">
      <c r="A616" s="9">
        <v>748</v>
      </c>
      <c r="B616" s="9" t="s">
        <v>1450</v>
      </c>
      <c r="C616" s="9" t="s">
        <v>15</v>
      </c>
      <c r="D616" s="21">
        <v>200</v>
      </c>
      <c r="E616" s="18">
        <v>6800000</v>
      </c>
      <c r="F616" s="18">
        <v>2349090.9090909087</v>
      </c>
      <c r="G616" s="18">
        <v>2.6315789473684212</v>
      </c>
      <c r="H616" s="18">
        <v>200</v>
      </c>
      <c r="I616" s="16">
        <v>0</v>
      </c>
    </row>
    <row r="617" spans="1:9">
      <c r="A617" s="9">
        <v>749</v>
      </c>
      <c r="B617" s="9" t="s">
        <v>1451</v>
      </c>
      <c r="C617" s="9" t="s">
        <v>15</v>
      </c>
      <c r="D617" s="21">
        <v>200</v>
      </c>
      <c r="E617" s="18">
        <v>6800000</v>
      </c>
      <c r="F617" s="18">
        <v>2349090.9090909087</v>
      </c>
      <c r="G617" s="18">
        <v>2.6315789473684212</v>
      </c>
      <c r="H617" s="18">
        <v>200</v>
      </c>
      <c r="I617" s="16">
        <v>0</v>
      </c>
    </row>
    <row r="618" spans="1:9">
      <c r="A618" s="9">
        <v>750</v>
      </c>
      <c r="B618" s="9" t="s">
        <v>1452</v>
      </c>
      <c r="C618" s="9" t="s">
        <v>15</v>
      </c>
      <c r="D618" s="21">
        <v>200</v>
      </c>
      <c r="E618" s="18">
        <v>8000000</v>
      </c>
      <c r="F618" s="18">
        <v>2763636.3636363633</v>
      </c>
      <c r="G618" s="18">
        <v>2.6315789473684212</v>
      </c>
      <c r="H618" s="18">
        <v>200</v>
      </c>
      <c r="I618" s="16">
        <v>0</v>
      </c>
    </row>
    <row r="619" spans="1:9">
      <c r="A619" s="9">
        <v>751</v>
      </c>
      <c r="B619" s="9" t="s">
        <v>1453</v>
      </c>
      <c r="C619" s="9" t="s">
        <v>15</v>
      </c>
      <c r="D619" s="21">
        <v>200</v>
      </c>
      <c r="E619" s="18">
        <v>9400000</v>
      </c>
      <c r="F619" s="18">
        <v>3247272.7272727271</v>
      </c>
      <c r="G619" s="18">
        <v>2.6315789473684212</v>
      </c>
      <c r="H619" s="18">
        <v>200</v>
      </c>
      <c r="I619" s="16">
        <v>0</v>
      </c>
    </row>
    <row r="620" spans="1:9">
      <c r="A620" s="9">
        <v>752</v>
      </c>
      <c r="B620" s="9" t="s">
        <v>1454</v>
      </c>
      <c r="C620" s="9" t="s">
        <v>15</v>
      </c>
      <c r="D620" s="21">
        <v>200</v>
      </c>
      <c r="E620" s="18">
        <v>9400000</v>
      </c>
      <c r="F620" s="18">
        <v>3247272.7272727271</v>
      </c>
      <c r="G620" s="18">
        <v>2.6315789473684212</v>
      </c>
      <c r="H620" s="18">
        <v>200</v>
      </c>
      <c r="I620" s="16">
        <v>0</v>
      </c>
    </row>
    <row r="621" spans="1:9">
      <c r="A621" s="9">
        <v>753</v>
      </c>
      <c r="B621" s="9" t="s">
        <v>1455</v>
      </c>
      <c r="C621" s="9" t="s">
        <v>15</v>
      </c>
      <c r="D621" s="21">
        <v>150</v>
      </c>
      <c r="E621" s="18">
        <v>6000000</v>
      </c>
      <c r="F621" s="18">
        <v>2072727.2727272725</v>
      </c>
      <c r="G621" s="18">
        <v>2.6315789473684212</v>
      </c>
      <c r="H621" s="18">
        <v>150</v>
      </c>
      <c r="I621" s="16">
        <v>0</v>
      </c>
    </row>
    <row r="622" spans="1:9">
      <c r="A622" s="9">
        <v>754</v>
      </c>
      <c r="B622" s="9" t="s">
        <v>1456</v>
      </c>
      <c r="C622" s="9" t="s">
        <v>15</v>
      </c>
      <c r="D622" s="21">
        <v>150</v>
      </c>
      <c r="E622" s="18">
        <v>5550000</v>
      </c>
      <c r="F622" s="18">
        <v>1917272.7272727271</v>
      </c>
      <c r="G622" s="18">
        <v>2.6315789473684212</v>
      </c>
      <c r="H622" s="18">
        <v>150</v>
      </c>
      <c r="I622" s="16">
        <v>0</v>
      </c>
    </row>
    <row r="623" spans="1:9">
      <c r="A623" s="9">
        <v>755</v>
      </c>
      <c r="B623" s="9" t="s">
        <v>1457</v>
      </c>
      <c r="C623" s="9" t="s">
        <v>15</v>
      </c>
      <c r="D623" s="21">
        <v>200</v>
      </c>
      <c r="E623" s="18">
        <v>7400000</v>
      </c>
      <c r="F623" s="18">
        <v>2556363.6363636358</v>
      </c>
      <c r="G623" s="18">
        <v>2.6315789473684217</v>
      </c>
      <c r="H623" s="18">
        <v>200</v>
      </c>
      <c r="I623" s="16">
        <v>0</v>
      </c>
    </row>
    <row r="624" spans="1:9">
      <c r="A624" s="9">
        <v>756</v>
      </c>
      <c r="B624" s="9" t="s">
        <v>1458</v>
      </c>
      <c r="C624" s="9" t="s">
        <v>15</v>
      </c>
      <c r="D624" s="21">
        <v>150</v>
      </c>
      <c r="E624" s="18">
        <v>5550000</v>
      </c>
      <c r="F624" s="18">
        <v>1917272.7272727271</v>
      </c>
      <c r="G624" s="18">
        <v>2.6315789473684212</v>
      </c>
      <c r="H624" s="18">
        <v>150</v>
      </c>
      <c r="I624" s="16">
        <v>0</v>
      </c>
    </row>
    <row r="625" spans="1:9">
      <c r="A625" s="9">
        <v>757</v>
      </c>
      <c r="B625" s="9" t="s">
        <v>1459</v>
      </c>
      <c r="C625" s="9" t="s">
        <v>15</v>
      </c>
      <c r="D625" s="21">
        <v>100</v>
      </c>
      <c r="E625" s="18">
        <v>3700000</v>
      </c>
      <c r="F625" s="18">
        <v>1278181.8181818181</v>
      </c>
      <c r="G625" s="18">
        <v>2.6315789473684212</v>
      </c>
      <c r="H625" s="18">
        <v>100</v>
      </c>
      <c r="I625" s="16">
        <v>0</v>
      </c>
    </row>
    <row r="626" spans="1:9">
      <c r="A626" s="9">
        <v>758</v>
      </c>
      <c r="B626" s="9" t="s">
        <v>1460</v>
      </c>
      <c r="C626" s="9" t="s">
        <v>15</v>
      </c>
      <c r="D626" s="21">
        <v>100</v>
      </c>
      <c r="E626" s="18">
        <v>3700000</v>
      </c>
      <c r="F626" s="18">
        <v>1278181.8181818181</v>
      </c>
      <c r="G626" s="18">
        <v>2.6315789473684212</v>
      </c>
      <c r="H626" s="18">
        <v>100</v>
      </c>
      <c r="I626" s="16">
        <v>0</v>
      </c>
    </row>
    <row r="627" spans="1:9">
      <c r="A627" s="9">
        <v>760</v>
      </c>
      <c r="B627" s="9" t="s">
        <v>1461</v>
      </c>
      <c r="C627" s="9" t="s">
        <v>14</v>
      </c>
      <c r="D627" s="21">
        <v>800</v>
      </c>
      <c r="E627" s="18">
        <v>52000000</v>
      </c>
      <c r="F627" s="18">
        <v>7484400</v>
      </c>
      <c r="G627" s="18">
        <v>6.3161679323295479</v>
      </c>
      <c r="H627" s="18">
        <v>800</v>
      </c>
      <c r="I627" s="16">
        <v>0</v>
      </c>
    </row>
    <row r="628" spans="1:9">
      <c r="A628" s="9">
        <v>761</v>
      </c>
      <c r="B628" s="9" t="s">
        <v>1462</v>
      </c>
      <c r="C628" s="9" t="s">
        <v>14</v>
      </c>
      <c r="D628" s="21">
        <v>800</v>
      </c>
      <c r="E628" s="18">
        <v>60000000</v>
      </c>
      <c r="F628" s="18">
        <v>10328472</v>
      </c>
      <c r="G628" s="18">
        <v>5.2810768664962771</v>
      </c>
      <c r="H628" s="18">
        <v>800</v>
      </c>
      <c r="I628" s="16">
        <v>0</v>
      </c>
    </row>
    <row r="629" spans="1:9">
      <c r="A629" s="9">
        <v>762</v>
      </c>
      <c r="B629" s="9" t="s">
        <v>1463</v>
      </c>
      <c r="C629" s="9" t="s">
        <v>14</v>
      </c>
      <c r="D629" s="21">
        <v>800</v>
      </c>
      <c r="E629" s="18">
        <v>52000000</v>
      </c>
      <c r="F629" s="18">
        <v>7251560.0000000009</v>
      </c>
      <c r="G629" s="18">
        <v>6.5189734722911021</v>
      </c>
      <c r="H629" s="18">
        <v>800</v>
      </c>
      <c r="I629" s="16">
        <v>0</v>
      </c>
    </row>
    <row r="630" spans="1:9">
      <c r="A630" s="9">
        <v>763</v>
      </c>
      <c r="B630" s="9" t="s">
        <v>1504</v>
      </c>
      <c r="C630" s="9" t="s">
        <v>14</v>
      </c>
      <c r="D630" s="21">
        <v>800</v>
      </c>
      <c r="E630" s="18">
        <v>55200000</v>
      </c>
      <c r="F630" s="18">
        <v>9073992.0000000019</v>
      </c>
      <c r="G630" s="18">
        <v>5.5302912083037068</v>
      </c>
      <c r="H630" s="18">
        <v>787</v>
      </c>
      <c r="I630" s="16">
        <v>0</v>
      </c>
    </row>
    <row r="631" spans="1:9">
      <c r="A631" s="9">
        <v>765</v>
      </c>
      <c r="B631" s="9" t="s">
        <v>1464</v>
      </c>
      <c r="C631" s="9" t="s">
        <v>14</v>
      </c>
      <c r="D631" s="21">
        <v>1000</v>
      </c>
      <c r="E631" s="18">
        <v>43000000</v>
      </c>
      <c r="F631" s="18">
        <v>5587600</v>
      </c>
      <c r="G631" s="18">
        <v>6.9960106469520165</v>
      </c>
      <c r="H631" s="18">
        <v>1000</v>
      </c>
      <c r="I631" s="16">
        <v>0</v>
      </c>
    </row>
    <row r="632" spans="1:9">
      <c r="A632" s="9">
        <v>766</v>
      </c>
      <c r="B632" s="9" t="s">
        <v>1465</v>
      </c>
      <c r="C632" s="9" t="s">
        <v>14</v>
      </c>
      <c r="D632" s="21">
        <v>1000</v>
      </c>
      <c r="E632" s="18">
        <v>43000000</v>
      </c>
      <c r="F632" s="18">
        <v>5360120</v>
      </c>
      <c r="G632" s="18">
        <v>7.2929167800178138</v>
      </c>
      <c r="H632" s="18">
        <v>1000</v>
      </c>
      <c r="I632" s="16">
        <v>0</v>
      </c>
    </row>
    <row r="633" spans="1:9">
      <c r="A633" s="9">
        <v>767</v>
      </c>
      <c r="B633" s="9" t="s">
        <v>1468</v>
      </c>
      <c r="C633" s="9" t="s">
        <v>14</v>
      </c>
      <c r="D633" s="21">
        <v>750</v>
      </c>
      <c r="E633" s="18">
        <v>32250000</v>
      </c>
      <c r="F633" s="18">
        <v>4019175.0000000005</v>
      </c>
      <c r="G633" s="18">
        <v>7.2945770756888697</v>
      </c>
      <c r="H633" s="18">
        <v>748</v>
      </c>
      <c r="I633" s="16">
        <v>0</v>
      </c>
    </row>
    <row r="634" spans="1:9">
      <c r="A634" s="9">
        <v>768</v>
      </c>
      <c r="B634" s="9" t="s">
        <v>1469</v>
      </c>
      <c r="C634" s="9" t="s">
        <v>14</v>
      </c>
      <c r="D634" s="21">
        <v>500</v>
      </c>
      <c r="E634" s="18">
        <v>21500000</v>
      </c>
      <c r="F634" s="18">
        <v>2696950.0000000005</v>
      </c>
      <c r="G634" s="18">
        <v>7.2472439405456308</v>
      </c>
      <c r="H634" s="18">
        <v>499</v>
      </c>
      <c r="I634" s="16">
        <v>0</v>
      </c>
    </row>
    <row r="635" spans="1:9">
      <c r="A635" s="9">
        <v>769</v>
      </c>
      <c r="B635" s="9" t="s">
        <v>1470</v>
      </c>
      <c r="C635" s="9" t="s">
        <v>14</v>
      </c>
      <c r="D635" s="21">
        <v>500</v>
      </c>
      <c r="E635" s="18">
        <v>24500000</v>
      </c>
      <c r="F635" s="18">
        <v>2916910</v>
      </c>
      <c r="G635" s="18">
        <v>7.6357265986016944</v>
      </c>
      <c r="H635" s="18">
        <v>500</v>
      </c>
      <c r="I635" s="16">
        <v>0</v>
      </c>
    </row>
    <row r="636" spans="1:9">
      <c r="A636" s="9">
        <v>770</v>
      </c>
      <c r="B636" s="9" t="s">
        <v>1471</v>
      </c>
      <c r="C636" s="9" t="s">
        <v>14</v>
      </c>
      <c r="D636" s="21">
        <v>500</v>
      </c>
      <c r="E636" s="18">
        <v>24500000</v>
      </c>
      <c r="F636" s="18">
        <v>2991910</v>
      </c>
      <c r="G636" s="18">
        <v>7.4443172664710069</v>
      </c>
      <c r="H636" s="18">
        <v>499</v>
      </c>
      <c r="I636" s="16">
        <v>0</v>
      </c>
    </row>
    <row r="637" spans="1:9">
      <c r="A637" s="9">
        <v>772</v>
      </c>
      <c r="B637" s="9" t="s">
        <v>1466</v>
      </c>
      <c r="C637" s="9" t="s">
        <v>14</v>
      </c>
      <c r="D637" s="21">
        <v>750</v>
      </c>
      <c r="E637" s="18">
        <v>32250000</v>
      </c>
      <c r="F637" s="18">
        <v>3272625</v>
      </c>
      <c r="G637" s="18">
        <v>8.9586132899986453</v>
      </c>
      <c r="H637" s="18">
        <v>738</v>
      </c>
      <c r="I637" s="16">
        <v>0</v>
      </c>
    </row>
    <row r="638" spans="1:9">
      <c r="A638" s="9">
        <v>773</v>
      </c>
      <c r="B638" s="9" t="s">
        <v>1467</v>
      </c>
      <c r="C638" s="9" t="s">
        <v>14</v>
      </c>
      <c r="D638" s="21">
        <v>750</v>
      </c>
      <c r="E638" s="18">
        <v>32250000</v>
      </c>
      <c r="F638" s="18">
        <v>3090067.5</v>
      </c>
      <c r="G638" s="18">
        <v>9.4878774713438503</v>
      </c>
      <c r="H638" s="18">
        <v>750</v>
      </c>
      <c r="I638" s="16">
        <v>0</v>
      </c>
    </row>
    <row r="639" spans="1:9">
      <c r="A639" s="9">
        <v>775</v>
      </c>
      <c r="B639" s="9" t="s">
        <v>1472</v>
      </c>
      <c r="C639" s="9" t="s">
        <v>14</v>
      </c>
      <c r="D639" s="21">
        <v>1500</v>
      </c>
      <c r="E639" s="18">
        <v>67500000</v>
      </c>
      <c r="F639" s="18">
        <v>8431350</v>
      </c>
      <c r="G639" s="18">
        <v>7.278032149494015</v>
      </c>
      <c r="H639" s="18">
        <v>1499</v>
      </c>
      <c r="I639" s="16">
        <v>0</v>
      </c>
    </row>
    <row r="640" spans="1:9">
      <c r="A640" s="9">
        <v>777</v>
      </c>
      <c r="B640" s="9" t="s">
        <v>1473</v>
      </c>
      <c r="C640" s="9" t="s">
        <v>14</v>
      </c>
      <c r="D640" s="21">
        <v>1500</v>
      </c>
      <c r="E640" s="18">
        <v>67500000</v>
      </c>
      <c r="F640" s="18">
        <v>13035000</v>
      </c>
      <c r="G640" s="18">
        <v>4.7076053980541888</v>
      </c>
      <c r="H640" s="18">
        <v>1461</v>
      </c>
      <c r="I640" s="16">
        <v>0</v>
      </c>
    </row>
    <row r="641" spans="1:9">
      <c r="A641" s="9">
        <v>779</v>
      </c>
      <c r="B641" s="9" t="s">
        <v>1474</v>
      </c>
      <c r="C641" s="9" t="s">
        <v>14</v>
      </c>
      <c r="D641" s="21">
        <v>1200</v>
      </c>
      <c r="E641" s="18">
        <v>51600000</v>
      </c>
      <c r="F641" s="18">
        <v>6259627.1999999993</v>
      </c>
      <c r="G641" s="18">
        <v>7.4939112842200748</v>
      </c>
      <c r="H641" s="18">
        <v>1197</v>
      </c>
      <c r="I641" s="16">
        <v>0</v>
      </c>
    </row>
    <row r="642" spans="1:9">
      <c r="A642" s="9">
        <v>781</v>
      </c>
      <c r="B642" s="9" t="s">
        <v>1475</v>
      </c>
      <c r="C642" s="9" t="s">
        <v>14</v>
      </c>
      <c r="D642" s="21">
        <v>1500</v>
      </c>
      <c r="E642" s="18">
        <v>64500000</v>
      </c>
      <c r="F642" s="18">
        <v>7327011.0000000019</v>
      </c>
      <c r="G642" s="18">
        <v>8.0027672452468845</v>
      </c>
      <c r="H642" s="18">
        <v>1500</v>
      </c>
      <c r="I642" s="16">
        <v>0</v>
      </c>
    </row>
    <row r="643" spans="1:9">
      <c r="A643" s="9">
        <v>782</v>
      </c>
      <c r="B643" s="9" t="s">
        <v>1476</v>
      </c>
      <c r="C643" s="9" t="s">
        <v>14</v>
      </c>
      <c r="D643" s="21">
        <v>1500</v>
      </c>
      <c r="E643" s="18">
        <v>52500000</v>
      </c>
      <c r="F643" s="18">
        <v>6671484</v>
      </c>
      <c r="G643" s="18">
        <v>7.1539214854255402</v>
      </c>
      <c r="H643" s="18">
        <v>1500</v>
      </c>
      <c r="I643" s="16">
        <v>0</v>
      </c>
    </row>
    <row r="644" spans="1:9">
      <c r="A644" s="9">
        <v>783</v>
      </c>
      <c r="B644" s="9" t="s">
        <v>1444</v>
      </c>
      <c r="C644" s="9" t="s">
        <v>14</v>
      </c>
      <c r="D644" s="21">
        <v>800</v>
      </c>
      <c r="E644" s="18">
        <v>28000000</v>
      </c>
      <c r="F644" s="18">
        <v>2910716.8000000007</v>
      </c>
      <c r="G644" s="18">
        <v>8.7451123567038351</v>
      </c>
      <c r="H644" s="18">
        <v>800</v>
      </c>
      <c r="I644" s="16">
        <v>0</v>
      </c>
    </row>
    <row r="645" spans="1:9">
      <c r="A645" s="9">
        <v>785</v>
      </c>
      <c r="B645" s="9" t="s">
        <v>1477</v>
      </c>
      <c r="C645" s="9" t="s">
        <v>14</v>
      </c>
      <c r="D645" s="21">
        <v>2300</v>
      </c>
      <c r="E645" s="18">
        <v>112700000</v>
      </c>
      <c r="F645" s="18">
        <v>17204000</v>
      </c>
      <c r="G645" s="18">
        <v>5.9552746718522123</v>
      </c>
      <c r="H645" s="18">
        <v>2274</v>
      </c>
      <c r="I645" s="16">
        <v>0</v>
      </c>
    </row>
    <row r="646" spans="1:9">
      <c r="A646" s="9">
        <v>786</v>
      </c>
      <c r="B646" s="9" t="s">
        <v>1478</v>
      </c>
      <c r="C646" s="9" t="s">
        <v>14</v>
      </c>
      <c r="D646" s="21">
        <v>1100</v>
      </c>
      <c r="E646" s="18">
        <v>53900000</v>
      </c>
      <c r="F646" s="18">
        <v>8228000</v>
      </c>
      <c r="G646" s="18">
        <v>5.9552746718522123</v>
      </c>
      <c r="H646" s="18">
        <v>1100</v>
      </c>
      <c r="I646" s="16">
        <v>0</v>
      </c>
    </row>
    <row r="647" spans="1:9">
      <c r="A647" s="9">
        <v>788</v>
      </c>
      <c r="B647" s="9" t="s">
        <v>1505</v>
      </c>
      <c r="C647" s="9" t="s">
        <v>14</v>
      </c>
      <c r="D647" s="21">
        <v>1000</v>
      </c>
      <c r="E647" s="18">
        <v>45000000</v>
      </c>
      <c r="F647" s="18">
        <v>4036628</v>
      </c>
      <c r="G647" s="18">
        <v>10.13447137291098</v>
      </c>
      <c r="H647" s="18">
        <v>1000</v>
      </c>
      <c r="I647" s="16">
        <v>0</v>
      </c>
    </row>
    <row r="648" spans="1:9">
      <c r="A648" s="9">
        <v>789</v>
      </c>
      <c r="B648" s="9" t="s">
        <v>1506</v>
      </c>
      <c r="C648" s="9" t="s">
        <v>14</v>
      </c>
      <c r="D648" s="21">
        <v>1000</v>
      </c>
      <c r="E648" s="18">
        <v>49000000</v>
      </c>
      <c r="F648" s="18">
        <v>4201368</v>
      </c>
      <c r="G648" s="18">
        <v>10.602607185434492</v>
      </c>
      <c r="H648" s="18">
        <v>992</v>
      </c>
      <c r="I648" s="16">
        <v>0</v>
      </c>
    </row>
    <row r="649" spans="1:9">
      <c r="A649" s="9">
        <v>791</v>
      </c>
      <c r="B649" s="9" t="s">
        <v>1507</v>
      </c>
      <c r="C649" s="9" t="s">
        <v>14</v>
      </c>
      <c r="D649" s="21">
        <v>500</v>
      </c>
      <c r="E649" s="18">
        <v>64500000</v>
      </c>
      <c r="F649" s="18">
        <v>17010000</v>
      </c>
      <c r="G649" s="18">
        <v>3.4471701138367803</v>
      </c>
      <c r="H649" s="18">
        <v>500</v>
      </c>
      <c r="I649" s="16">
        <v>0</v>
      </c>
    </row>
    <row r="650" spans="1:9">
      <c r="A650" s="9">
        <v>792</v>
      </c>
      <c r="B650" s="9" t="s">
        <v>1508</v>
      </c>
      <c r="C650" s="9" t="s">
        <v>14</v>
      </c>
      <c r="D650" s="21">
        <v>500</v>
      </c>
      <c r="E650" s="18">
        <v>64500000</v>
      </c>
      <c r="F650" s="18">
        <v>17260000</v>
      </c>
      <c r="G650" s="18">
        <v>3.3972400716317286</v>
      </c>
      <c r="H650" s="18">
        <v>500</v>
      </c>
      <c r="I650" s="16">
        <v>0</v>
      </c>
    </row>
    <row r="651" spans="1:9">
      <c r="A651" s="9">
        <v>793</v>
      </c>
      <c r="B651" s="9" t="s">
        <v>1509</v>
      </c>
      <c r="C651" s="9" t="s">
        <v>14</v>
      </c>
      <c r="D651" s="21">
        <v>500</v>
      </c>
      <c r="E651" s="18">
        <v>64500000</v>
      </c>
      <c r="F651" s="18">
        <v>17010000</v>
      </c>
      <c r="G651" s="18">
        <v>3.4471701138367803</v>
      </c>
      <c r="H651" s="18">
        <v>500</v>
      </c>
      <c r="I651" s="16">
        <v>0</v>
      </c>
    </row>
    <row r="652" spans="1:9">
      <c r="A652" s="9">
        <v>795</v>
      </c>
      <c r="B652" s="9" t="s">
        <v>876</v>
      </c>
      <c r="C652" s="9" t="s">
        <v>14</v>
      </c>
      <c r="D652" s="21">
        <v>1500</v>
      </c>
      <c r="E652" s="18">
        <v>67500000</v>
      </c>
      <c r="F652" s="18">
        <v>10642500</v>
      </c>
      <c r="G652" s="18">
        <v>5.7659042859888521</v>
      </c>
      <c r="H652" s="18">
        <v>1496</v>
      </c>
      <c r="I652" s="16">
        <v>0</v>
      </c>
    </row>
    <row r="653" spans="1:9">
      <c r="A653" s="9">
        <v>797</v>
      </c>
      <c r="B653" s="9" t="s">
        <v>885</v>
      </c>
      <c r="C653" s="9" t="s">
        <v>14</v>
      </c>
      <c r="D653" s="21">
        <v>2000</v>
      </c>
      <c r="E653" s="18">
        <v>90000000</v>
      </c>
      <c r="F653" s="18">
        <v>7993196.0000000009</v>
      </c>
      <c r="G653" s="18">
        <v>10.235978426924826</v>
      </c>
      <c r="H653" s="18">
        <v>1998</v>
      </c>
      <c r="I653" s="16">
        <v>0</v>
      </c>
    </row>
    <row r="654" spans="1:9">
      <c r="A654" s="9">
        <v>799</v>
      </c>
      <c r="B654" s="9" t="s">
        <v>1510</v>
      </c>
      <c r="C654" s="9" t="s">
        <v>14</v>
      </c>
      <c r="D654" s="21">
        <v>1200</v>
      </c>
      <c r="E654" s="18">
        <v>63600000</v>
      </c>
      <c r="F654" s="18">
        <v>8232840.0000000019</v>
      </c>
      <c r="G654" s="18">
        <v>7.0228720366461399</v>
      </c>
      <c r="H654" s="18">
        <v>1200</v>
      </c>
      <c r="I654" s="16">
        <v>0</v>
      </c>
    </row>
    <row r="655" spans="1:9">
      <c r="A655" s="9">
        <v>801</v>
      </c>
      <c r="B655" s="9" t="s">
        <v>1511</v>
      </c>
      <c r="C655" s="9" t="s">
        <v>14</v>
      </c>
      <c r="D655" s="21">
        <v>1500</v>
      </c>
      <c r="E655" s="18">
        <v>73500000</v>
      </c>
      <c r="F655" s="18">
        <v>6885690</v>
      </c>
      <c r="G655" s="18">
        <v>9.7039195517343657</v>
      </c>
      <c r="H655" s="18">
        <v>1500</v>
      </c>
      <c r="I655" s="16">
        <v>0</v>
      </c>
    </row>
    <row r="656" spans="1:9">
      <c r="A656" s="9">
        <v>802</v>
      </c>
      <c r="B656" s="9" t="s">
        <v>1512</v>
      </c>
      <c r="C656" s="9" t="s">
        <v>14</v>
      </c>
      <c r="D656" s="21">
        <v>1500</v>
      </c>
      <c r="E656" s="18">
        <v>73500000</v>
      </c>
      <c r="F656" s="18">
        <v>7752690</v>
      </c>
      <c r="G656" s="18">
        <v>8.6187093535510666</v>
      </c>
      <c r="H656" s="18">
        <v>1495</v>
      </c>
      <c r="I656" s="16">
        <v>0</v>
      </c>
    </row>
    <row r="657" spans="1:9">
      <c r="A657" s="9">
        <v>804</v>
      </c>
      <c r="B657" s="9" t="s">
        <v>1513</v>
      </c>
      <c r="C657" s="9" t="s">
        <v>14</v>
      </c>
      <c r="D657" s="21">
        <v>800</v>
      </c>
      <c r="E657" s="18">
        <v>36000000</v>
      </c>
      <c r="F657" s="18">
        <v>4360720</v>
      </c>
      <c r="G657" s="18">
        <v>7.5050158522612609</v>
      </c>
      <c r="H657" s="18">
        <v>799</v>
      </c>
      <c r="I657" s="16">
        <v>0</v>
      </c>
    </row>
    <row r="658" spans="1:9">
      <c r="A658" s="9">
        <v>806</v>
      </c>
      <c r="B658" s="9" t="s">
        <v>1514</v>
      </c>
      <c r="C658" s="9" t="s">
        <v>14</v>
      </c>
      <c r="D658" s="21">
        <v>500</v>
      </c>
      <c r="E658" s="18">
        <v>21500000</v>
      </c>
      <c r="F658" s="18">
        <v>2091230</v>
      </c>
      <c r="G658" s="18">
        <v>9.346391619025427</v>
      </c>
      <c r="H658" s="18">
        <v>500</v>
      </c>
      <c r="I658" s="16">
        <v>0</v>
      </c>
    </row>
    <row r="659" spans="1:9">
      <c r="A659" s="9">
        <v>807</v>
      </c>
      <c r="B659" s="9" t="s">
        <v>1515</v>
      </c>
      <c r="C659" s="9" t="s">
        <v>14</v>
      </c>
      <c r="D659" s="21">
        <v>500</v>
      </c>
      <c r="E659" s="18">
        <v>21500000</v>
      </c>
      <c r="F659" s="18">
        <v>1997935.0000000002</v>
      </c>
      <c r="G659" s="18">
        <v>9.7828280426813397</v>
      </c>
      <c r="H659" s="18">
        <v>500</v>
      </c>
      <c r="I659" s="16">
        <v>0</v>
      </c>
    </row>
    <row r="660" spans="1:9">
      <c r="A660" s="9">
        <v>808</v>
      </c>
      <c r="B660" s="9" t="s">
        <v>1516</v>
      </c>
      <c r="C660" s="9" t="s">
        <v>14</v>
      </c>
      <c r="D660" s="21">
        <v>1000</v>
      </c>
      <c r="E660" s="18">
        <v>43000000</v>
      </c>
      <c r="F660" s="18">
        <v>4722170</v>
      </c>
      <c r="G660" s="18">
        <v>8.2781664130916699</v>
      </c>
      <c r="H660" s="18">
        <v>1000</v>
      </c>
      <c r="I660" s="16">
        <v>0</v>
      </c>
    </row>
    <row r="661" spans="1:9">
      <c r="A661" s="9">
        <v>809</v>
      </c>
      <c r="B661" s="9" t="s">
        <v>1517</v>
      </c>
      <c r="C661" s="9" t="s">
        <v>14</v>
      </c>
      <c r="D661" s="21">
        <v>1200</v>
      </c>
      <c r="E661" s="18">
        <v>51600000</v>
      </c>
      <c r="F661" s="18">
        <v>5630604</v>
      </c>
      <c r="G661" s="18">
        <v>8.3310939481964823</v>
      </c>
      <c r="H661" s="18">
        <v>1200</v>
      </c>
      <c r="I661" s="16">
        <v>0</v>
      </c>
    </row>
    <row r="662" spans="1:9">
      <c r="A662" s="9">
        <v>810</v>
      </c>
      <c r="B662" s="9" t="s">
        <v>1518</v>
      </c>
      <c r="C662" s="9" t="s">
        <v>14</v>
      </c>
      <c r="D662" s="21">
        <v>1200</v>
      </c>
      <c r="E662" s="18">
        <v>51600000</v>
      </c>
      <c r="F662" s="18">
        <v>5555760</v>
      </c>
      <c r="G662" s="18">
        <v>8.4433256492524702</v>
      </c>
      <c r="H662" s="18">
        <v>1200</v>
      </c>
      <c r="I662" s="16">
        <v>0</v>
      </c>
    </row>
    <row r="663" spans="1:9">
      <c r="A663" s="9">
        <v>811</v>
      </c>
      <c r="B663" s="9" t="s">
        <v>1519</v>
      </c>
      <c r="C663" s="9" t="s">
        <v>14</v>
      </c>
      <c r="D663" s="21">
        <v>1000</v>
      </c>
      <c r="E663" s="18">
        <v>43000000</v>
      </c>
      <c r="F663" s="18">
        <v>3958240.0000000005</v>
      </c>
      <c r="G663" s="18">
        <v>9.8758309478225375</v>
      </c>
      <c r="H663" s="18">
        <v>996</v>
      </c>
      <c r="I663" s="16">
        <v>0</v>
      </c>
    </row>
    <row r="664" spans="1:9">
      <c r="A664" s="9">
        <v>812</v>
      </c>
      <c r="B664" s="9" t="s">
        <v>1520</v>
      </c>
      <c r="C664" s="9" t="s">
        <v>14</v>
      </c>
      <c r="D664" s="21">
        <v>1000</v>
      </c>
      <c r="E664" s="18">
        <v>43000000</v>
      </c>
      <c r="F664" s="18">
        <v>4051130</v>
      </c>
      <c r="G664" s="18">
        <v>9.6493840214727964</v>
      </c>
      <c r="H664" s="18">
        <v>999</v>
      </c>
      <c r="I664" s="16">
        <v>0</v>
      </c>
    </row>
    <row r="665" spans="1:9">
      <c r="A665" s="9">
        <v>814</v>
      </c>
      <c r="B665" s="9" t="s">
        <v>1521</v>
      </c>
      <c r="C665" s="9" t="s">
        <v>14</v>
      </c>
      <c r="D665" s="21">
        <v>1000</v>
      </c>
      <c r="E665" s="18">
        <v>45000000</v>
      </c>
      <c r="F665" s="18">
        <v>9820000</v>
      </c>
      <c r="G665" s="18">
        <v>4.1658952045917426</v>
      </c>
      <c r="H665" s="18">
        <v>1000</v>
      </c>
      <c r="I665" s="16">
        <v>0</v>
      </c>
    </row>
    <row r="666" spans="1:9">
      <c r="A666" s="9">
        <v>816</v>
      </c>
      <c r="B666" s="9" t="s">
        <v>1522</v>
      </c>
      <c r="C666" s="9" t="s">
        <v>14</v>
      </c>
      <c r="D666" s="21">
        <v>1000</v>
      </c>
      <c r="E666" s="18">
        <v>43000000</v>
      </c>
      <c r="F666" s="18">
        <v>6600000</v>
      </c>
      <c r="G666" s="18">
        <v>5.9228650137741043</v>
      </c>
      <c r="H666" s="18">
        <v>1000</v>
      </c>
      <c r="I666" s="16">
        <v>0</v>
      </c>
    </row>
    <row r="667" spans="1:9">
      <c r="A667" s="9">
        <v>818</v>
      </c>
      <c r="B667" s="9" t="s">
        <v>1523</v>
      </c>
      <c r="C667" s="9" t="s">
        <v>14</v>
      </c>
      <c r="D667" s="21">
        <v>2000</v>
      </c>
      <c r="E667" s="18">
        <v>118000000</v>
      </c>
      <c r="F667" s="18">
        <v>17713080</v>
      </c>
      <c r="G667" s="18">
        <v>6.0561306826778445</v>
      </c>
      <c r="H667" s="18">
        <v>2000</v>
      </c>
      <c r="I667" s="16">
        <v>0</v>
      </c>
    </row>
    <row r="668" spans="1:9">
      <c r="A668" s="9">
        <v>820</v>
      </c>
      <c r="B668" s="9" t="s">
        <v>1524</v>
      </c>
      <c r="C668" s="9" t="s">
        <v>14</v>
      </c>
      <c r="D668" s="21">
        <v>1000</v>
      </c>
      <c r="E668" s="18">
        <v>39000000</v>
      </c>
      <c r="F668" s="18">
        <v>3886940.0000000005</v>
      </c>
      <c r="G668" s="18">
        <v>9.1214542685365476</v>
      </c>
      <c r="H668" s="18">
        <v>1000</v>
      </c>
      <c r="I668" s="16">
        <v>0</v>
      </c>
    </row>
    <row r="669" spans="1:9">
      <c r="A669" s="9">
        <v>822</v>
      </c>
      <c r="B669" s="9" t="s">
        <v>1525</v>
      </c>
      <c r="C669" s="9" t="s">
        <v>14</v>
      </c>
      <c r="D669" s="21">
        <v>1200</v>
      </c>
      <c r="E669" s="18">
        <v>54000000</v>
      </c>
      <c r="F669" s="18">
        <v>12000000</v>
      </c>
      <c r="G669" s="18">
        <v>4.0909090909090899</v>
      </c>
      <c r="H669" s="18">
        <v>1219</v>
      </c>
      <c r="I669" s="16">
        <v>0</v>
      </c>
    </row>
    <row r="670" spans="1:9">
      <c r="A670" s="9">
        <v>824</v>
      </c>
      <c r="B670" s="9" t="s">
        <v>1526</v>
      </c>
      <c r="C670" s="9" t="s">
        <v>14</v>
      </c>
      <c r="D670" s="21">
        <v>2000</v>
      </c>
      <c r="E670" s="18">
        <v>78000000</v>
      </c>
      <c r="F670" s="18">
        <v>9990492</v>
      </c>
      <c r="G670" s="18">
        <v>7.0976575437016418</v>
      </c>
      <c r="H670" s="18">
        <v>1995</v>
      </c>
      <c r="I670" s="16">
        <v>0</v>
      </c>
    </row>
    <row r="671" spans="1:9">
      <c r="A671" s="9">
        <v>825</v>
      </c>
      <c r="B671" s="9" t="s">
        <v>1527</v>
      </c>
      <c r="C671" s="9" t="s">
        <v>14</v>
      </c>
      <c r="D671" s="21">
        <v>2000</v>
      </c>
      <c r="E671" s="18">
        <v>78000000</v>
      </c>
      <c r="F671" s="18">
        <v>10218492</v>
      </c>
      <c r="G671" s="18">
        <v>6.9392911311268728</v>
      </c>
      <c r="H671" s="18">
        <v>2000</v>
      </c>
      <c r="I671" s="16">
        <v>0</v>
      </c>
    </row>
    <row r="672" spans="1:9">
      <c r="A672" s="9">
        <v>827</v>
      </c>
      <c r="B672" s="9" t="s">
        <v>952</v>
      </c>
      <c r="C672" s="9" t="s">
        <v>14</v>
      </c>
      <c r="D672" s="21">
        <v>1200</v>
      </c>
      <c r="E672" s="18">
        <v>56400000</v>
      </c>
      <c r="F672" s="18">
        <v>4340952</v>
      </c>
      <c r="G672" s="18">
        <v>11.811401571067192</v>
      </c>
      <c r="H672" s="18">
        <v>1191</v>
      </c>
      <c r="I672" s="16">
        <v>0</v>
      </c>
    </row>
    <row r="673" spans="1:9">
      <c r="A673" s="9">
        <v>829</v>
      </c>
      <c r="B673" s="9" t="s">
        <v>877</v>
      </c>
      <c r="C673" s="9" t="s">
        <v>14</v>
      </c>
      <c r="D673" s="21">
        <v>1200</v>
      </c>
      <c r="E673" s="18">
        <v>54000000</v>
      </c>
      <c r="F673" s="18">
        <v>8514000</v>
      </c>
      <c r="G673" s="18">
        <v>5.765904285988853</v>
      </c>
      <c r="H673" s="18">
        <v>1200</v>
      </c>
      <c r="I673" s="16">
        <v>0</v>
      </c>
    </row>
    <row r="674" spans="1:9">
      <c r="A674" s="9">
        <v>831</v>
      </c>
      <c r="B674" s="9" t="s">
        <v>1528</v>
      </c>
      <c r="C674" s="9" t="s">
        <v>15</v>
      </c>
      <c r="D674" s="21">
        <v>92</v>
      </c>
      <c r="E674" s="18">
        <v>4140000</v>
      </c>
      <c r="F674" s="18">
        <v>1693636.3636363635</v>
      </c>
      <c r="G674" s="18">
        <v>2.2222222222222223</v>
      </c>
      <c r="H674" s="18">
        <v>92</v>
      </c>
      <c r="I674" s="16">
        <v>0</v>
      </c>
    </row>
    <row r="675" spans="1:9">
      <c r="A675" s="9">
        <v>832</v>
      </c>
      <c r="B675" s="9" t="s">
        <v>1529</v>
      </c>
      <c r="C675" s="9" t="s">
        <v>15</v>
      </c>
      <c r="D675" s="21">
        <v>250</v>
      </c>
      <c r="E675" s="18">
        <v>11250000</v>
      </c>
      <c r="F675" s="18">
        <v>4602272.7272727266</v>
      </c>
      <c r="G675" s="18">
        <v>2.2222222222222223</v>
      </c>
      <c r="H675" s="18">
        <v>250</v>
      </c>
      <c r="I675" s="16">
        <v>0</v>
      </c>
    </row>
    <row r="676" spans="1:9">
      <c r="A676" s="9">
        <v>833</v>
      </c>
      <c r="B676" s="9" t="s">
        <v>1530</v>
      </c>
      <c r="C676" s="9" t="s">
        <v>15</v>
      </c>
      <c r="D676" s="21">
        <v>200</v>
      </c>
      <c r="E676" s="18">
        <v>7800000</v>
      </c>
      <c r="F676" s="18">
        <v>3190909.0909090908</v>
      </c>
      <c r="G676" s="18">
        <v>2.2222222222222223</v>
      </c>
      <c r="H676" s="18">
        <v>200</v>
      </c>
      <c r="I676" s="16">
        <v>0</v>
      </c>
    </row>
    <row r="677" spans="1:9">
      <c r="A677" s="9">
        <v>835</v>
      </c>
      <c r="B677" s="9" t="s">
        <v>1531</v>
      </c>
      <c r="C677" s="9" t="s">
        <v>14</v>
      </c>
      <c r="D677" s="21">
        <v>400</v>
      </c>
      <c r="E677" s="18">
        <v>51600000</v>
      </c>
      <c r="F677" s="18">
        <v>12208000</v>
      </c>
      <c r="G677" s="18">
        <v>3.8424877874419154</v>
      </c>
      <c r="H677" s="18">
        <v>400</v>
      </c>
      <c r="I677" s="16">
        <v>0</v>
      </c>
    </row>
    <row r="678" spans="1:9">
      <c r="A678" s="9">
        <v>836</v>
      </c>
      <c r="B678" s="9" t="s">
        <v>1532</v>
      </c>
      <c r="C678" s="9" t="s">
        <v>14</v>
      </c>
      <c r="D678" s="21">
        <v>400</v>
      </c>
      <c r="E678" s="18">
        <v>51600000</v>
      </c>
      <c r="F678" s="18">
        <v>12808000</v>
      </c>
      <c r="G678" s="18">
        <v>3.6624836749758667</v>
      </c>
      <c r="H678" s="18">
        <v>400</v>
      </c>
      <c r="I678" s="16">
        <v>0</v>
      </c>
    </row>
    <row r="679" spans="1:9">
      <c r="A679" s="9">
        <v>837</v>
      </c>
      <c r="B679" s="9" t="s">
        <v>1533</v>
      </c>
      <c r="C679" s="9" t="s">
        <v>14</v>
      </c>
      <c r="D679" s="21">
        <v>400</v>
      </c>
      <c r="E679" s="18">
        <v>50000000</v>
      </c>
      <c r="F679" s="18">
        <v>11808000</v>
      </c>
      <c r="G679" s="18">
        <v>3.8494703128849466</v>
      </c>
      <c r="H679" s="18">
        <v>400</v>
      </c>
      <c r="I679" s="16">
        <v>0</v>
      </c>
    </row>
    <row r="680" spans="1:9">
      <c r="A680" s="9">
        <v>839</v>
      </c>
      <c r="B680" s="9" t="s">
        <v>1534</v>
      </c>
      <c r="C680" s="9" t="s">
        <v>14</v>
      </c>
      <c r="D680" s="21">
        <v>500</v>
      </c>
      <c r="E680" s="18">
        <v>64500000</v>
      </c>
      <c r="F680" s="18">
        <v>15410000</v>
      </c>
      <c r="G680" s="18">
        <v>3.8050852457082178</v>
      </c>
      <c r="H680" s="18">
        <v>500</v>
      </c>
      <c r="I680" s="16">
        <v>0</v>
      </c>
    </row>
    <row r="681" spans="1:9">
      <c r="A681" s="9">
        <v>840</v>
      </c>
      <c r="B681" s="9" t="s">
        <v>1535</v>
      </c>
      <c r="C681" s="9" t="s">
        <v>14</v>
      </c>
      <c r="D681" s="21">
        <v>1500</v>
      </c>
      <c r="E681" s="18">
        <v>163500000</v>
      </c>
      <c r="F681" s="18">
        <v>35280000</v>
      </c>
      <c r="G681" s="18">
        <v>4.2130488559059991</v>
      </c>
      <c r="H681" s="18">
        <v>1500</v>
      </c>
      <c r="I681" s="16">
        <v>0</v>
      </c>
    </row>
    <row r="682" spans="1:9">
      <c r="A682" s="9">
        <v>842</v>
      </c>
      <c r="B682" s="9" t="s">
        <v>1526</v>
      </c>
      <c r="C682" s="9" t="s">
        <v>14</v>
      </c>
      <c r="D682" s="21">
        <v>1000</v>
      </c>
      <c r="E682" s="18">
        <v>39000000</v>
      </c>
      <c r="F682" s="18">
        <v>3605840</v>
      </c>
      <c r="G682" s="18">
        <v>9.8325342928542163</v>
      </c>
      <c r="H682" s="18">
        <v>999</v>
      </c>
      <c r="I682" s="16">
        <v>0</v>
      </c>
    </row>
    <row r="683" spans="1:9">
      <c r="A683" s="9">
        <v>843</v>
      </c>
      <c r="B683" s="9" t="s">
        <v>1527</v>
      </c>
      <c r="C683" s="9" t="s">
        <v>14</v>
      </c>
      <c r="D683" s="21">
        <v>1000</v>
      </c>
      <c r="E683" s="18">
        <v>39000000</v>
      </c>
      <c r="F683" s="18">
        <v>3719840</v>
      </c>
      <c r="G683" s="18">
        <v>9.5312017330168644</v>
      </c>
      <c r="H683" s="18">
        <v>999</v>
      </c>
      <c r="I683" s="16">
        <v>0</v>
      </c>
    </row>
    <row r="684" spans="1:9">
      <c r="A684" s="9">
        <v>845</v>
      </c>
      <c r="B684" s="9" t="s">
        <v>1536</v>
      </c>
      <c r="C684" s="9" t="s">
        <v>14</v>
      </c>
      <c r="D684" s="21">
        <v>20</v>
      </c>
      <c r="E684" s="18">
        <v>780000</v>
      </c>
      <c r="F684" s="18">
        <v>78787.87878787877</v>
      </c>
      <c r="G684" s="18">
        <v>9.0000000000000018</v>
      </c>
      <c r="H684" s="18">
        <v>20</v>
      </c>
      <c r="I684" s="16">
        <v>0</v>
      </c>
    </row>
    <row r="685" spans="1:9">
      <c r="A685" s="9">
        <v>846</v>
      </c>
      <c r="B685" s="9" t="s">
        <v>1537</v>
      </c>
      <c r="C685" s="9" t="s">
        <v>14</v>
      </c>
      <c r="D685" s="21">
        <v>20</v>
      </c>
      <c r="E685" s="18">
        <v>780000</v>
      </c>
      <c r="F685" s="18">
        <v>78787.87878787877</v>
      </c>
      <c r="G685" s="18">
        <v>9.0000000000000018</v>
      </c>
      <c r="H685" s="18">
        <v>20</v>
      </c>
      <c r="I685" s="16">
        <v>0</v>
      </c>
    </row>
    <row r="686" spans="1:9">
      <c r="A686" s="9">
        <v>847</v>
      </c>
      <c r="B686" s="9" t="s">
        <v>1538</v>
      </c>
      <c r="C686" s="9" t="s">
        <v>14</v>
      </c>
      <c r="D686" s="21">
        <v>15</v>
      </c>
      <c r="E686" s="18">
        <v>585000</v>
      </c>
      <c r="F686" s="18">
        <v>59090.909090909081</v>
      </c>
      <c r="G686" s="18">
        <v>9.0000000000000018</v>
      </c>
      <c r="H686" s="18">
        <v>20</v>
      </c>
      <c r="I686" s="16">
        <v>0</v>
      </c>
    </row>
    <row r="687" spans="1:9">
      <c r="A687" s="9">
        <v>848</v>
      </c>
      <c r="B687" s="9" t="s">
        <v>1539</v>
      </c>
      <c r="C687" s="9" t="s">
        <v>14</v>
      </c>
      <c r="D687" s="21">
        <v>20</v>
      </c>
      <c r="E687" s="18">
        <v>780000</v>
      </c>
      <c r="F687" s="18">
        <v>78787.87878787877</v>
      </c>
      <c r="G687" s="18">
        <v>9.0000000000000018</v>
      </c>
      <c r="H687" s="18">
        <v>15</v>
      </c>
      <c r="I687" s="16">
        <v>0</v>
      </c>
    </row>
    <row r="688" spans="1:9">
      <c r="A688" s="9">
        <v>849</v>
      </c>
      <c r="B688" s="9" t="s">
        <v>1540</v>
      </c>
      <c r="C688" s="9" t="s">
        <v>14</v>
      </c>
      <c r="D688" s="21">
        <v>15</v>
      </c>
      <c r="E688" s="18">
        <v>585000</v>
      </c>
      <c r="F688" s="18">
        <v>59090.909090909081</v>
      </c>
      <c r="G688" s="18">
        <v>9.0000000000000018</v>
      </c>
      <c r="H688" s="18">
        <v>15</v>
      </c>
      <c r="I688" s="16">
        <v>0</v>
      </c>
    </row>
    <row r="689" spans="1:9">
      <c r="A689" s="9">
        <v>851</v>
      </c>
      <c r="B689" s="9" t="s">
        <v>1541</v>
      </c>
      <c r="C689" s="9" t="s">
        <v>14</v>
      </c>
      <c r="D689" s="21">
        <v>1000</v>
      </c>
      <c r="E689" s="18">
        <v>59000000</v>
      </c>
      <c r="F689" s="18">
        <v>7484400.0000000019</v>
      </c>
      <c r="G689" s="18">
        <v>7.1664213078354466</v>
      </c>
      <c r="H689" s="18">
        <v>999</v>
      </c>
      <c r="I689" s="16">
        <v>0</v>
      </c>
    </row>
    <row r="690" spans="1:9">
      <c r="A690" s="9">
        <v>853</v>
      </c>
      <c r="B690" s="9" t="s">
        <v>1542</v>
      </c>
      <c r="C690" s="9" t="s">
        <v>14</v>
      </c>
      <c r="D690" s="21">
        <v>800</v>
      </c>
      <c r="E690" s="18">
        <v>36000000</v>
      </c>
      <c r="F690" s="18">
        <v>4886584</v>
      </c>
      <c r="G690" s="18">
        <v>6.6973723826854759</v>
      </c>
      <c r="H690" s="18">
        <v>807</v>
      </c>
      <c r="I690" s="16">
        <v>0</v>
      </c>
    </row>
    <row r="691" spans="1:9">
      <c r="A691" s="9">
        <v>854</v>
      </c>
      <c r="B691" s="9" t="s">
        <v>1543</v>
      </c>
      <c r="C691" s="9" t="s">
        <v>14</v>
      </c>
      <c r="D691" s="21">
        <v>1000</v>
      </c>
      <c r="E691" s="18">
        <v>45000000</v>
      </c>
      <c r="F691" s="18">
        <v>5863143.9999999991</v>
      </c>
      <c r="G691" s="18">
        <v>6.9773300654206878</v>
      </c>
      <c r="H691" s="18">
        <v>950</v>
      </c>
      <c r="I691" s="16">
        <v>0</v>
      </c>
    </row>
    <row r="692" spans="1:9">
      <c r="A692" s="9">
        <v>855</v>
      </c>
      <c r="B692" s="9" t="s">
        <v>1544</v>
      </c>
      <c r="C692" s="9" t="s">
        <v>14</v>
      </c>
      <c r="D692" s="21">
        <v>1000</v>
      </c>
      <c r="E692" s="18">
        <v>45000000</v>
      </c>
      <c r="F692" s="18">
        <v>6037780.0000000009</v>
      </c>
      <c r="G692" s="18">
        <v>6.7755186358381554</v>
      </c>
      <c r="H692" s="18">
        <v>1006</v>
      </c>
      <c r="I692" s="16">
        <v>0</v>
      </c>
    </row>
    <row r="693" spans="1:9">
      <c r="A693" s="9">
        <v>857</v>
      </c>
      <c r="B693" s="9" t="s">
        <v>1545</v>
      </c>
      <c r="C693" s="9" t="s">
        <v>14</v>
      </c>
      <c r="D693" s="21">
        <v>1200</v>
      </c>
      <c r="E693" s="18">
        <v>54000000</v>
      </c>
      <c r="F693" s="18">
        <v>4386420</v>
      </c>
      <c r="G693" s="18">
        <v>11.191566035835395</v>
      </c>
      <c r="H693" s="18">
        <v>1200</v>
      </c>
      <c r="I693" s="16">
        <v>0</v>
      </c>
    </row>
    <row r="694" spans="1:9">
      <c r="A694" s="9">
        <v>858</v>
      </c>
      <c r="B694" s="9" t="s">
        <v>1546</v>
      </c>
      <c r="C694" s="9" t="s">
        <v>14</v>
      </c>
      <c r="D694" s="21">
        <v>1200</v>
      </c>
      <c r="E694" s="18">
        <v>54000000</v>
      </c>
      <c r="F694" s="18">
        <v>4012200</v>
      </c>
      <c r="G694" s="18">
        <v>12.235409274440229</v>
      </c>
      <c r="H694" s="18">
        <v>1200</v>
      </c>
      <c r="I694" s="16">
        <v>0</v>
      </c>
    </row>
    <row r="695" spans="1:9">
      <c r="A695" s="9">
        <v>860</v>
      </c>
      <c r="B695" s="9" t="s">
        <v>1547</v>
      </c>
      <c r="C695" s="9" t="s">
        <v>14</v>
      </c>
      <c r="D695" s="21">
        <v>2000</v>
      </c>
      <c r="E695" s="18">
        <v>86000000</v>
      </c>
      <c r="F695" s="18">
        <v>15180000</v>
      </c>
      <c r="G695" s="18">
        <v>5.1503174032818295</v>
      </c>
      <c r="H695" s="18">
        <v>2000</v>
      </c>
      <c r="I695" s="16">
        <v>0</v>
      </c>
    </row>
    <row r="696" spans="1:9">
      <c r="A696" s="9">
        <v>862</v>
      </c>
      <c r="B696" s="9" t="s">
        <v>1548</v>
      </c>
      <c r="C696" s="9" t="s">
        <v>14</v>
      </c>
      <c r="D696" s="21">
        <v>2000</v>
      </c>
      <c r="E696" s="18">
        <v>78000000</v>
      </c>
      <c r="F696" s="18">
        <v>7431600</v>
      </c>
      <c r="G696" s="18">
        <v>9.54156452299517</v>
      </c>
      <c r="H696" s="18">
        <v>2000</v>
      </c>
      <c r="I696" s="16">
        <v>0</v>
      </c>
    </row>
    <row r="697" spans="1:9">
      <c r="A697" s="9">
        <v>863</v>
      </c>
      <c r="B697" s="9" t="s">
        <v>1549</v>
      </c>
      <c r="C697" s="9" t="s">
        <v>14</v>
      </c>
      <c r="D697" s="21">
        <v>1000</v>
      </c>
      <c r="E697" s="18">
        <v>39000000</v>
      </c>
      <c r="F697" s="18">
        <v>4019800</v>
      </c>
      <c r="G697" s="18">
        <v>8.8199774751344489</v>
      </c>
      <c r="H697" s="18">
        <v>1000</v>
      </c>
      <c r="I697" s="16">
        <v>0</v>
      </c>
    </row>
    <row r="698" spans="1:9">
      <c r="A698" s="9">
        <v>865</v>
      </c>
      <c r="B698" s="9" t="s">
        <v>1550</v>
      </c>
      <c r="C698" s="9" t="s">
        <v>14</v>
      </c>
      <c r="D698" s="21">
        <v>2000</v>
      </c>
      <c r="E698" s="18">
        <v>98000000</v>
      </c>
      <c r="F698" s="18">
        <v>8771800.0000000019</v>
      </c>
      <c r="G698" s="18">
        <v>10.156513952770133</v>
      </c>
      <c r="H698" s="18">
        <v>1995</v>
      </c>
      <c r="I698" s="16">
        <v>0</v>
      </c>
    </row>
    <row r="699" spans="1:9">
      <c r="A699" s="9">
        <v>867</v>
      </c>
      <c r="B699" s="9" t="s">
        <v>874</v>
      </c>
      <c r="C699" s="9" t="s">
        <v>14</v>
      </c>
      <c r="D699" s="21">
        <v>1500</v>
      </c>
      <c r="E699" s="18">
        <v>67500000</v>
      </c>
      <c r="F699" s="18">
        <v>10560000</v>
      </c>
      <c r="G699" s="18">
        <v>5.8109504132231393</v>
      </c>
      <c r="H699" s="18">
        <v>1500</v>
      </c>
      <c r="I699" s="16">
        <v>0</v>
      </c>
    </row>
    <row r="700" spans="1:9">
      <c r="A700" s="9">
        <v>869</v>
      </c>
      <c r="B700" s="9" t="s">
        <v>884</v>
      </c>
      <c r="C700" s="9" t="s">
        <v>14</v>
      </c>
      <c r="D700" s="21">
        <v>1200</v>
      </c>
      <c r="E700" s="18">
        <v>54000000</v>
      </c>
      <c r="F700" s="18">
        <v>4386420</v>
      </c>
      <c r="G700" s="18">
        <v>11.191566035835395</v>
      </c>
      <c r="H700" s="18">
        <v>1218</v>
      </c>
      <c r="I700" s="16">
        <v>0</v>
      </c>
    </row>
    <row r="701" spans="1:9">
      <c r="A701" s="9">
        <v>871</v>
      </c>
      <c r="B701" s="9" t="s">
        <v>1551</v>
      </c>
      <c r="C701" s="9" t="s">
        <v>14</v>
      </c>
      <c r="D701" s="21">
        <v>1500</v>
      </c>
      <c r="E701" s="18">
        <v>88500000</v>
      </c>
      <c r="F701" s="18">
        <v>16500000</v>
      </c>
      <c r="G701" s="18">
        <v>4.8760330578512399</v>
      </c>
      <c r="H701" s="18">
        <v>1506</v>
      </c>
      <c r="I701" s="16">
        <v>0</v>
      </c>
    </row>
    <row r="702" spans="1:9">
      <c r="A702" s="9">
        <v>872</v>
      </c>
      <c r="B702" s="9" t="s">
        <v>1552</v>
      </c>
      <c r="C702" s="9" t="s">
        <v>14</v>
      </c>
      <c r="D702" s="21">
        <v>2000</v>
      </c>
      <c r="E702" s="18">
        <v>118000000</v>
      </c>
      <c r="F702" s="18">
        <v>22000000</v>
      </c>
      <c r="G702" s="18">
        <v>4.876033057851239</v>
      </c>
      <c r="H702" s="18">
        <v>2049</v>
      </c>
      <c r="I702" s="16">
        <v>0</v>
      </c>
    </row>
    <row r="703" spans="1:9">
      <c r="A703" s="9">
        <v>874</v>
      </c>
      <c r="B703" s="9" t="s">
        <v>1553</v>
      </c>
      <c r="C703" s="9" t="s">
        <v>14</v>
      </c>
      <c r="D703" s="21">
        <v>800</v>
      </c>
      <c r="E703" s="18">
        <v>47200000</v>
      </c>
      <c r="F703" s="18">
        <v>10000000</v>
      </c>
      <c r="G703" s="18">
        <v>4.290909090909091</v>
      </c>
      <c r="H703" s="18">
        <v>813</v>
      </c>
      <c r="I703" s="16">
        <v>0</v>
      </c>
    </row>
    <row r="704" spans="1:9">
      <c r="A704" s="9">
        <v>875</v>
      </c>
      <c r="B704" s="9" t="s">
        <v>1554</v>
      </c>
      <c r="C704" s="9" t="s">
        <v>14</v>
      </c>
      <c r="D704" s="21">
        <v>500</v>
      </c>
      <c r="E704" s="18">
        <v>29500000</v>
      </c>
      <c r="F704" s="18">
        <v>5500000</v>
      </c>
      <c r="G704" s="18">
        <v>4.876033057851239</v>
      </c>
      <c r="H704" s="18">
        <v>500</v>
      </c>
      <c r="I704" s="16">
        <v>0</v>
      </c>
    </row>
    <row r="705" spans="1:9">
      <c r="A705" s="9">
        <v>876</v>
      </c>
      <c r="B705" s="9" t="s">
        <v>1555</v>
      </c>
      <c r="C705" s="9" t="s">
        <v>14</v>
      </c>
      <c r="D705" s="21">
        <v>500</v>
      </c>
      <c r="E705" s="18">
        <v>29500000</v>
      </c>
      <c r="F705" s="18">
        <v>6250000</v>
      </c>
      <c r="G705" s="18">
        <v>4.2909090909090901</v>
      </c>
      <c r="H705" s="18">
        <v>500</v>
      </c>
      <c r="I705" s="16">
        <v>0</v>
      </c>
    </row>
    <row r="706" spans="1:9">
      <c r="A706" s="9">
        <v>878</v>
      </c>
      <c r="B706" s="9" t="s">
        <v>1556</v>
      </c>
      <c r="C706" s="9" t="s">
        <v>14</v>
      </c>
      <c r="D706" s="21">
        <v>300</v>
      </c>
      <c r="E706" s="18">
        <v>13500000</v>
      </c>
      <c r="F706" s="18">
        <v>7185927.2727272725</v>
      </c>
      <c r="G706" s="18">
        <v>1.7078835906544609</v>
      </c>
      <c r="H706" s="18">
        <v>300</v>
      </c>
      <c r="I706" s="16">
        <v>0</v>
      </c>
    </row>
    <row r="707" spans="1:9">
      <c r="A707" s="9">
        <v>879</v>
      </c>
      <c r="B707" s="9" t="s">
        <v>1557</v>
      </c>
      <c r="C707" s="9" t="s">
        <v>14</v>
      </c>
      <c r="D707" s="21">
        <v>300</v>
      </c>
      <c r="E707" s="18">
        <v>13500000</v>
      </c>
      <c r="F707" s="18">
        <v>7116627.2727272725</v>
      </c>
      <c r="G707" s="18">
        <v>1.7245145491544129</v>
      </c>
      <c r="H707" s="18">
        <v>300</v>
      </c>
      <c r="I707" s="16">
        <v>0</v>
      </c>
    </row>
    <row r="708" spans="1:9">
      <c r="A708" s="9">
        <v>880</v>
      </c>
      <c r="B708" s="9" t="s">
        <v>1558</v>
      </c>
      <c r="C708" s="9" t="s">
        <v>14</v>
      </c>
      <c r="D708" s="21">
        <v>300</v>
      </c>
      <c r="E708" s="18">
        <v>14700000</v>
      </c>
      <c r="F708" s="18">
        <v>7919386.3636363633</v>
      </c>
      <c r="G708" s="18">
        <v>1.6874585668655457</v>
      </c>
      <c r="H708" s="18">
        <v>300</v>
      </c>
      <c r="I708" s="16">
        <v>0</v>
      </c>
    </row>
    <row r="709" spans="1:9">
      <c r="A709" s="9">
        <v>881</v>
      </c>
      <c r="B709" s="9" t="s">
        <v>1559</v>
      </c>
      <c r="C709" s="9" t="s">
        <v>14</v>
      </c>
      <c r="D709" s="21">
        <v>300</v>
      </c>
      <c r="E709" s="18">
        <v>14700000</v>
      </c>
      <c r="F709" s="18">
        <v>8196586.3636363633</v>
      </c>
      <c r="G709" s="18">
        <v>1.6303904785196055</v>
      </c>
      <c r="H709" s="18">
        <v>300</v>
      </c>
      <c r="I709" s="16">
        <v>0</v>
      </c>
    </row>
    <row r="710" spans="1:9">
      <c r="A710" s="9">
        <v>883</v>
      </c>
      <c r="B710" s="9" t="s">
        <v>1560</v>
      </c>
      <c r="C710" s="9" t="s">
        <v>14</v>
      </c>
      <c r="D710" s="21">
        <v>800</v>
      </c>
      <c r="E710" s="18">
        <v>31200000</v>
      </c>
      <c r="F710" s="18">
        <v>4406848.0000000009</v>
      </c>
      <c r="G710" s="18">
        <v>6.4362638247646284</v>
      </c>
      <c r="H710" s="18">
        <v>800</v>
      </c>
      <c r="I710" s="16">
        <v>0</v>
      </c>
    </row>
    <row r="711" spans="1:9">
      <c r="A711" s="9">
        <v>884</v>
      </c>
      <c r="B711" s="9" t="s">
        <v>1561</v>
      </c>
      <c r="C711" s="9" t="s">
        <v>14</v>
      </c>
      <c r="D711" s="21">
        <v>800</v>
      </c>
      <c r="E711" s="18">
        <v>31200000</v>
      </c>
      <c r="F711" s="18">
        <v>4787824.0000000009</v>
      </c>
      <c r="G711" s="18">
        <v>5.9241184228234696</v>
      </c>
      <c r="H711" s="18">
        <v>796</v>
      </c>
      <c r="I711" s="16">
        <v>0</v>
      </c>
    </row>
    <row r="712" spans="1:9">
      <c r="A712" s="9">
        <v>886</v>
      </c>
      <c r="B712" s="9" t="s">
        <v>1562</v>
      </c>
      <c r="C712" s="9" t="s">
        <v>14</v>
      </c>
      <c r="D712" s="21">
        <v>800</v>
      </c>
      <c r="E712" s="18">
        <v>31200000</v>
      </c>
      <c r="F712" s="18">
        <v>4646432</v>
      </c>
      <c r="G712" s="18">
        <v>6.1043907160669439</v>
      </c>
      <c r="H712" s="18">
        <v>800</v>
      </c>
      <c r="I712" s="16">
        <v>0</v>
      </c>
    </row>
    <row r="713" spans="1:9">
      <c r="A713" s="9">
        <v>888</v>
      </c>
      <c r="B713" s="9" t="s">
        <v>1563</v>
      </c>
      <c r="C713" s="9" t="s">
        <v>14</v>
      </c>
      <c r="D713" s="21">
        <v>600</v>
      </c>
      <c r="E713" s="18">
        <v>27000000</v>
      </c>
      <c r="F713" s="18">
        <v>5760000</v>
      </c>
      <c r="G713" s="18">
        <v>4.2613636363636358</v>
      </c>
      <c r="H713" s="18">
        <v>603</v>
      </c>
      <c r="I713" s="16">
        <v>0</v>
      </c>
    </row>
    <row r="714" spans="1:9">
      <c r="A714" s="9">
        <v>889</v>
      </c>
      <c r="B714" s="9" t="s">
        <v>1564</v>
      </c>
      <c r="C714" s="9" t="s">
        <v>14</v>
      </c>
      <c r="D714" s="21">
        <v>600</v>
      </c>
      <c r="E714" s="18">
        <v>27000000</v>
      </c>
      <c r="F714" s="18">
        <v>6060000</v>
      </c>
      <c r="G714" s="18">
        <v>4.0504050405040495</v>
      </c>
      <c r="H714" s="18">
        <v>607</v>
      </c>
      <c r="I714" s="16">
        <v>0</v>
      </c>
    </row>
    <row r="715" spans="1:9">
      <c r="A715" s="9">
        <v>890</v>
      </c>
      <c r="B715" s="9" t="s">
        <v>1565</v>
      </c>
      <c r="C715" s="9" t="s">
        <v>14</v>
      </c>
      <c r="D715" s="21">
        <v>600</v>
      </c>
      <c r="E715" s="18">
        <v>29400000</v>
      </c>
      <c r="F715" s="18">
        <v>6060000</v>
      </c>
      <c r="G715" s="18">
        <v>4.4104410441044095</v>
      </c>
      <c r="H715" s="18">
        <v>615</v>
      </c>
      <c r="I715" s="16">
        <v>0</v>
      </c>
    </row>
    <row r="716" spans="1:9">
      <c r="A716" s="9">
        <v>892</v>
      </c>
      <c r="B716" s="9" t="s">
        <v>1566</v>
      </c>
      <c r="C716" s="9" t="s">
        <v>14</v>
      </c>
      <c r="D716" s="21">
        <v>1000</v>
      </c>
      <c r="E716" s="18">
        <v>53000000</v>
      </c>
      <c r="F716" s="18">
        <v>5882780.0000000009</v>
      </c>
      <c r="G716" s="18">
        <v>8.1903144740782707</v>
      </c>
      <c r="H716" s="18">
        <v>938</v>
      </c>
      <c r="I716" s="16">
        <v>0</v>
      </c>
    </row>
    <row r="717" spans="1:9">
      <c r="A717" s="9">
        <v>893</v>
      </c>
      <c r="B717" s="9" t="s">
        <v>1567</v>
      </c>
      <c r="C717" s="9" t="s">
        <v>14</v>
      </c>
      <c r="D717" s="21">
        <v>1000</v>
      </c>
      <c r="E717" s="18">
        <v>55000000</v>
      </c>
      <c r="F717" s="18">
        <v>7504400.0000000019</v>
      </c>
      <c r="G717" s="18">
        <v>6.6627578487287433</v>
      </c>
      <c r="H717" s="18">
        <v>953</v>
      </c>
      <c r="I717" s="16">
        <v>0</v>
      </c>
    </row>
    <row r="718" spans="1:9">
      <c r="A718" s="9">
        <v>895</v>
      </c>
      <c r="B718" s="9" t="s">
        <v>1568</v>
      </c>
      <c r="C718" s="9" t="s">
        <v>14</v>
      </c>
      <c r="D718" s="21">
        <v>3000</v>
      </c>
      <c r="E718" s="18">
        <v>159000000</v>
      </c>
      <c r="F718" s="18">
        <v>13943160</v>
      </c>
      <c r="G718" s="18">
        <v>10.366764388090973</v>
      </c>
      <c r="H718" s="18">
        <v>3000</v>
      </c>
      <c r="I718" s="16">
        <v>0</v>
      </c>
    </row>
    <row r="719" spans="1:9">
      <c r="A719" s="9">
        <v>897</v>
      </c>
      <c r="B719" s="9" t="s">
        <v>1357</v>
      </c>
      <c r="C719" s="9" t="s">
        <v>14</v>
      </c>
      <c r="D719" s="21">
        <v>2000</v>
      </c>
      <c r="E719" s="18">
        <v>118000000</v>
      </c>
      <c r="F719" s="18">
        <v>13846140.000000002</v>
      </c>
      <c r="G719" s="18">
        <v>7.7474824949572403</v>
      </c>
      <c r="H719" s="18">
        <v>2000</v>
      </c>
      <c r="I719" s="16">
        <v>0</v>
      </c>
    </row>
    <row r="720" spans="1:9">
      <c r="A720" s="9">
        <v>899</v>
      </c>
      <c r="B720" s="9" t="s">
        <v>1569</v>
      </c>
      <c r="C720" s="9" t="s">
        <v>15</v>
      </c>
      <c r="D720" s="21">
        <v>100</v>
      </c>
      <c r="E720" s="18">
        <v>4500000</v>
      </c>
      <c r="F720" s="18">
        <v>1840909.0909090908</v>
      </c>
      <c r="G720" s="18">
        <v>2.2222222222222223</v>
      </c>
      <c r="H720" s="18">
        <v>100</v>
      </c>
      <c r="I720" s="16">
        <v>0</v>
      </c>
    </row>
    <row r="721" spans="1:9">
      <c r="A721" s="9">
        <v>900</v>
      </c>
      <c r="B721" s="9" t="s">
        <v>1570</v>
      </c>
      <c r="C721" s="9" t="s">
        <v>15</v>
      </c>
      <c r="D721" s="21">
        <v>100</v>
      </c>
      <c r="E721" s="18">
        <v>4500000</v>
      </c>
      <c r="F721" s="18">
        <v>1840909.0909090908</v>
      </c>
      <c r="G721" s="18">
        <v>2.2222222222222223</v>
      </c>
      <c r="H721" s="18">
        <v>100</v>
      </c>
      <c r="I721" s="16">
        <v>0</v>
      </c>
    </row>
    <row r="722" spans="1:9">
      <c r="A722" s="9">
        <v>901</v>
      </c>
      <c r="B722" s="9" t="s">
        <v>1571</v>
      </c>
      <c r="C722" s="9" t="s">
        <v>15</v>
      </c>
      <c r="D722" s="21">
        <v>200</v>
      </c>
      <c r="E722" s="18">
        <v>9000000</v>
      </c>
      <c r="F722" s="18">
        <v>3681818.1818181816</v>
      </c>
      <c r="G722" s="18">
        <v>2.2222222222222223</v>
      </c>
      <c r="H722" s="18">
        <v>200</v>
      </c>
      <c r="I722" s="16">
        <v>0</v>
      </c>
    </row>
    <row r="723" spans="1:9">
      <c r="A723" s="9">
        <v>902</v>
      </c>
      <c r="B723" s="9" t="s">
        <v>1572</v>
      </c>
      <c r="C723" s="9" t="s">
        <v>15</v>
      </c>
      <c r="D723" s="21">
        <v>14</v>
      </c>
      <c r="E723" s="18">
        <v>630000</v>
      </c>
      <c r="F723" s="18">
        <v>257727.27272727271</v>
      </c>
      <c r="G723" s="18">
        <v>2.2222222222222223</v>
      </c>
      <c r="H723" s="18">
        <v>14</v>
      </c>
      <c r="I723" s="16">
        <v>0</v>
      </c>
    </row>
    <row r="724" spans="1:9">
      <c r="A724" s="9">
        <v>903</v>
      </c>
      <c r="B724" s="9" t="s">
        <v>1573</v>
      </c>
      <c r="C724" s="9" t="s">
        <v>15</v>
      </c>
      <c r="D724" s="21">
        <v>26</v>
      </c>
      <c r="E724" s="18">
        <v>1170000</v>
      </c>
      <c r="F724" s="18">
        <v>478636.36363636359</v>
      </c>
      <c r="G724" s="18">
        <v>2.2222222222222223</v>
      </c>
      <c r="H724" s="18">
        <v>26</v>
      </c>
      <c r="I724" s="16">
        <v>0</v>
      </c>
    </row>
    <row r="725" spans="1:9">
      <c r="A725" s="9">
        <v>904</v>
      </c>
      <c r="B725" s="9" t="s">
        <v>1574</v>
      </c>
      <c r="C725" s="9" t="s">
        <v>15</v>
      </c>
      <c r="D725" s="21">
        <v>21</v>
      </c>
      <c r="E725" s="18">
        <v>945000</v>
      </c>
      <c r="F725" s="18">
        <v>386590.90909090906</v>
      </c>
      <c r="G725" s="18">
        <v>2.2222222222222223</v>
      </c>
      <c r="H725" s="18">
        <v>21</v>
      </c>
      <c r="I725" s="16">
        <v>0</v>
      </c>
    </row>
    <row r="726" spans="1:9">
      <c r="A726" s="9">
        <v>906</v>
      </c>
      <c r="B726" s="9" t="s">
        <v>1575</v>
      </c>
      <c r="C726" s="9" t="s">
        <v>14</v>
      </c>
      <c r="D726" s="21">
        <v>400</v>
      </c>
      <c r="E726" s="18">
        <v>14000000</v>
      </c>
      <c r="F726" s="18">
        <v>2819124.0000000005</v>
      </c>
      <c r="G726" s="18">
        <v>4.5146196929516842</v>
      </c>
      <c r="H726" s="18">
        <v>397</v>
      </c>
      <c r="I726" s="16">
        <v>0</v>
      </c>
    </row>
    <row r="727" spans="1:9">
      <c r="A727" s="9">
        <v>907</v>
      </c>
      <c r="B727" s="9" t="s">
        <v>1576</v>
      </c>
      <c r="C727" s="9" t="s">
        <v>14</v>
      </c>
      <c r="D727" s="21">
        <v>500</v>
      </c>
      <c r="E727" s="18">
        <v>17500000</v>
      </c>
      <c r="F727" s="18">
        <v>3523905.0000000005</v>
      </c>
      <c r="G727" s="18">
        <v>4.5146196929516842</v>
      </c>
      <c r="H727" s="18">
        <v>494</v>
      </c>
      <c r="I727" s="16">
        <v>0</v>
      </c>
    </row>
    <row r="728" spans="1:9">
      <c r="A728" s="9">
        <v>908</v>
      </c>
      <c r="B728" s="9" t="s">
        <v>1577</v>
      </c>
      <c r="C728" s="9" t="s">
        <v>14</v>
      </c>
      <c r="D728" s="21">
        <v>400</v>
      </c>
      <c r="E728" s="18">
        <v>14000000</v>
      </c>
      <c r="F728" s="18">
        <v>2819124.0000000005</v>
      </c>
      <c r="G728" s="18">
        <v>4.5146196929516842</v>
      </c>
      <c r="H728" s="18">
        <v>399</v>
      </c>
      <c r="I728" s="16">
        <v>0</v>
      </c>
    </row>
    <row r="729" spans="1:9">
      <c r="A729" s="9">
        <v>910</v>
      </c>
      <c r="B729" s="9" t="s">
        <v>993</v>
      </c>
      <c r="C729" s="9" t="s">
        <v>14</v>
      </c>
      <c r="D729" s="21">
        <v>700</v>
      </c>
      <c r="E729" s="18">
        <v>55300000</v>
      </c>
      <c r="F729" s="18">
        <v>8352869.0000000009</v>
      </c>
      <c r="G729" s="18">
        <v>6.0186179470463692</v>
      </c>
      <c r="H729" s="18">
        <v>700</v>
      </c>
      <c r="I729" s="16">
        <v>0</v>
      </c>
    </row>
    <row r="730" spans="1:9">
      <c r="A730" s="9">
        <v>911</v>
      </c>
      <c r="B730" s="9" t="s">
        <v>994</v>
      </c>
      <c r="C730" s="9" t="s">
        <v>14</v>
      </c>
      <c r="D730" s="21">
        <v>700</v>
      </c>
      <c r="E730" s="18">
        <v>55300000</v>
      </c>
      <c r="F730" s="18">
        <v>8090915.0000000009</v>
      </c>
      <c r="G730" s="18">
        <v>6.2134786081335998</v>
      </c>
      <c r="H730" s="18">
        <v>705</v>
      </c>
      <c r="I730" s="16">
        <v>0</v>
      </c>
    </row>
    <row r="731" spans="1:9">
      <c r="A731" s="9">
        <v>912</v>
      </c>
      <c r="B731" s="9" t="s">
        <v>996</v>
      </c>
      <c r="C731" s="9" t="s">
        <v>14</v>
      </c>
      <c r="D731" s="21">
        <v>700</v>
      </c>
      <c r="E731" s="18">
        <v>55300000</v>
      </c>
      <c r="F731" s="18">
        <v>7916279.0000000019</v>
      </c>
      <c r="G731" s="18">
        <v>6.3505502108664009</v>
      </c>
      <c r="H731" s="18">
        <v>703</v>
      </c>
      <c r="I731" s="16">
        <v>0</v>
      </c>
    </row>
    <row r="732" spans="1:9">
      <c r="A732" s="9">
        <v>914</v>
      </c>
      <c r="B732" s="9" t="s">
        <v>953</v>
      </c>
      <c r="C732" s="9" t="s">
        <v>14</v>
      </c>
      <c r="D732" s="21">
        <v>2000</v>
      </c>
      <c r="E732" s="18">
        <v>90000000</v>
      </c>
      <c r="F732" s="18">
        <v>11820999.999999998</v>
      </c>
      <c r="G732" s="18">
        <v>6.9214264290822971</v>
      </c>
      <c r="H732" s="18">
        <v>1995</v>
      </c>
      <c r="I732" s="16">
        <v>0</v>
      </c>
    </row>
    <row r="733" spans="1:9">
      <c r="A733" s="9">
        <v>916</v>
      </c>
      <c r="B733" s="9" t="s">
        <v>1342</v>
      </c>
      <c r="C733" s="9" t="s">
        <v>14</v>
      </c>
      <c r="D733" s="21">
        <v>2000</v>
      </c>
      <c r="E733" s="18">
        <v>90000000</v>
      </c>
      <c r="F733" s="18">
        <v>12702000</v>
      </c>
      <c r="G733" s="18">
        <v>6.4413621333791378</v>
      </c>
      <c r="H733" s="18">
        <v>1967</v>
      </c>
      <c r="I733" s="16">
        <v>0</v>
      </c>
    </row>
    <row r="734" spans="1:9">
      <c r="A734" s="9">
        <v>918</v>
      </c>
      <c r="B734" s="9" t="s">
        <v>1578</v>
      </c>
      <c r="C734" s="9" t="s">
        <v>14</v>
      </c>
      <c r="D734" s="21">
        <v>800</v>
      </c>
      <c r="E734" s="18">
        <v>44000000</v>
      </c>
      <c r="F734" s="18">
        <v>8800000</v>
      </c>
      <c r="G734" s="18">
        <v>4.5454545454545459</v>
      </c>
      <c r="H734" s="18">
        <v>795</v>
      </c>
      <c r="I734" s="16">
        <v>0</v>
      </c>
    </row>
    <row r="735" spans="1:9">
      <c r="A735" s="9">
        <v>920</v>
      </c>
      <c r="B735" s="9" t="s">
        <v>1579</v>
      </c>
      <c r="C735" s="9" t="s">
        <v>14</v>
      </c>
      <c r="D735" s="21">
        <v>1000</v>
      </c>
      <c r="E735" s="18">
        <v>59000000</v>
      </c>
      <c r="F735" s="18">
        <v>10800000</v>
      </c>
      <c r="G735" s="18">
        <v>4.9663299663299654</v>
      </c>
      <c r="H735" s="18">
        <v>1000</v>
      </c>
      <c r="I735" s="16">
        <v>0</v>
      </c>
    </row>
    <row r="736" spans="1:9">
      <c r="A736" s="9">
        <v>921</v>
      </c>
      <c r="B736" s="9" t="s">
        <v>1580</v>
      </c>
      <c r="C736" s="9" t="s">
        <v>14</v>
      </c>
      <c r="D736" s="21">
        <v>1000</v>
      </c>
      <c r="E736" s="18">
        <v>59000000</v>
      </c>
      <c r="F736" s="18">
        <v>12000000</v>
      </c>
      <c r="G736" s="18">
        <v>4.4696969696969688</v>
      </c>
      <c r="H736" s="18">
        <v>1000</v>
      </c>
      <c r="I736" s="16">
        <v>0</v>
      </c>
    </row>
    <row r="737" spans="1:9">
      <c r="A737" s="9">
        <v>923</v>
      </c>
      <c r="B737" s="9" t="s">
        <v>1581</v>
      </c>
      <c r="C737" s="9" t="s">
        <v>14</v>
      </c>
      <c r="D737" s="21">
        <v>3000</v>
      </c>
      <c r="E737" s="18">
        <v>105000000</v>
      </c>
      <c r="F737" s="18">
        <v>11693436.000000002</v>
      </c>
      <c r="G737" s="18">
        <v>8.1630878601076216</v>
      </c>
      <c r="H737" s="18">
        <v>2999</v>
      </c>
      <c r="I737" s="16">
        <v>0</v>
      </c>
    </row>
    <row r="738" spans="1:9">
      <c r="A738" s="9">
        <v>925</v>
      </c>
      <c r="B738" s="9" t="s">
        <v>1582</v>
      </c>
      <c r="C738" s="9" t="s">
        <v>14</v>
      </c>
      <c r="D738" s="21">
        <v>20</v>
      </c>
      <c r="E738" s="18">
        <v>900000</v>
      </c>
      <c r="F738" s="18">
        <v>368181.81818181818</v>
      </c>
      <c r="G738" s="18">
        <v>2.2222222222222223</v>
      </c>
      <c r="H738" s="18">
        <v>20</v>
      </c>
      <c r="I738" s="16">
        <v>0</v>
      </c>
    </row>
    <row r="739" spans="1:9">
      <c r="A739" s="9">
        <v>926</v>
      </c>
      <c r="B739" s="9" t="s">
        <v>1583</v>
      </c>
      <c r="C739" s="9" t="s">
        <v>14</v>
      </c>
      <c r="D739" s="21">
        <v>16</v>
      </c>
      <c r="E739" s="18">
        <v>720000</v>
      </c>
      <c r="F739" s="18">
        <v>294545.45454545453</v>
      </c>
      <c r="G739" s="18">
        <v>2.2222222222222223</v>
      </c>
      <c r="H739" s="18">
        <v>16</v>
      </c>
      <c r="I739" s="16">
        <v>0</v>
      </c>
    </row>
    <row r="740" spans="1:9">
      <c r="A740" s="9">
        <v>927</v>
      </c>
      <c r="B740" s="9" t="s">
        <v>1584</v>
      </c>
      <c r="C740" s="9" t="s">
        <v>14</v>
      </c>
      <c r="D740" s="21">
        <v>18</v>
      </c>
      <c r="E740" s="18">
        <v>810000</v>
      </c>
      <c r="F740" s="18">
        <v>331363.63636363635</v>
      </c>
      <c r="G740" s="18">
        <v>2.2222222222222223</v>
      </c>
      <c r="H740" s="18">
        <v>18</v>
      </c>
      <c r="I740" s="16">
        <v>0</v>
      </c>
    </row>
    <row r="741" spans="1:9">
      <c r="A741" s="9">
        <v>928</v>
      </c>
      <c r="B741" s="9" t="s">
        <v>1585</v>
      </c>
      <c r="C741" s="9" t="s">
        <v>14</v>
      </c>
      <c r="D741" s="21">
        <v>14</v>
      </c>
      <c r="E741" s="18">
        <v>630000</v>
      </c>
      <c r="F741" s="18">
        <v>257727.27272727271</v>
      </c>
      <c r="G741" s="18">
        <v>2.2222222222222223</v>
      </c>
      <c r="H741" s="18">
        <v>14</v>
      </c>
      <c r="I741" s="16">
        <v>0</v>
      </c>
    </row>
    <row r="742" spans="1:9">
      <c r="A742" s="9">
        <v>929</v>
      </c>
      <c r="B742" s="9" t="s">
        <v>1586</v>
      </c>
      <c r="C742" s="9" t="s">
        <v>14</v>
      </c>
      <c r="D742" s="21">
        <v>10</v>
      </c>
      <c r="E742" s="18">
        <v>390000</v>
      </c>
      <c r="F742" s="18">
        <v>159545.45454545453</v>
      </c>
      <c r="G742" s="18">
        <v>2.2222222222222223</v>
      </c>
      <c r="H742" s="18">
        <v>10</v>
      </c>
      <c r="I742" s="16">
        <v>0</v>
      </c>
    </row>
    <row r="743" spans="1:9">
      <c r="A743" s="9">
        <v>930</v>
      </c>
      <c r="B743" s="9" t="s">
        <v>1587</v>
      </c>
      <c r="C743" s="9" t="s">
        <v>14</v>
      </c>
      <c r="D743" s="21">
        <v>23</v>
      </c>
      <c r="E743" s="18">
        <v>897000</v>
      </c>
      <c r="F743" s="18">
        <v>366954.54545454547</v>
      </c>
      <c r="G743" s="18">
        <v>2.2222222222222219</v>
      </c>
      <c r="H743" s="18">
        <v>23</v>
      </c>
      <c r="I743" s="16">
        <v>0</v>
      </c>
    </row>
    <row r="744" spans="1:9">
      <c r="A744" s="9">
        <v>931</v>
      </c>
      <c r="B744" s="9" t="s">
        <v>1588</v>
      </c>
      <c r="C744" s="9" t="s">
        <v>14</v>
      </c>
      <c r="D744" s="21">
        <v>23</v>
      </c>
      <c r="E744" s="18">
        <v>897000</v>
      </c>
      <c r="F744" s="18">
        <v>366954.54545454541</v>
      </c>
      <c r="G744" s="18">
        <v>2.2222222222222223</v>
      </c>
      <c r="H744" s="18">
        <v>23</v>
      </c>
      <c r="I744" s="16">
        <v>0</v>
      </c>
    </row>
    <row r="745" spans="1:9">
      <c r="A745" s="9">
        <v>932</v>
      </c>
      <c r="B745" s="9" t="s">
        <v>1589</v>
      </c>
      <c r="C745" s="9" t="s">
        <v>14</v>
      </c>
      <c r="D745" s="21">
        <v>20</v>
      </c>
      <c r="E745" s="18">
        <v>780000</v>
      </c>
      <c r="F745" s="18">
        <v>319090.90909090906</v>
      </c>
      <c r="G745" s="18">
        <v>2.2222222222222223</v>
      </c>
      <c r="H745" s="18">
        <v>20</v>
      </c>
      <c r="I745" s="16">
        <v>0</v>
      </c>
    </row>
    <row r="746" spans="1:9">
      <c r="A746" s="9">
        <v>934</v>
      </c>
      <c r="B746" s="9" t="s">
        <v>1590</v>
      </c>
      <c r="C746" s="9" t="s">
        <v>14</v>
      </c>
      <c r="D746" s="21">
        <v>1000</v>
      </c>
      <c r="E746" s="18">
        <v>47000000</v>
      </c>
      <c r="F746" s="18">
        <v>5285380</v>
      </c>
      <c r="G746" s="18">
        <v>8.0840493450372009</v>
      </c>
      <c r="H746" s="18">
        <v>1000</v>
      </c>
      <c r="I746" s="16">
        <v>0</v>
      </c>
    </row>
    <row r="747" spans="1:9">
      <c r="A747" s="9">
        <v>935</v>
      </c>
      <c r="B747" s="9" t="s">
        <v>1591</v>
      </c>
      <c r="C747" s="9" t="s">
        <v>14</v>
      </c>
      <c r="D747" s="21">
        <v>800</v>
      </c>
      <c r="E747" s="18">
        <v>39200000</v>
      </c>
      <c r="F747" s="18">
        <v>4128512.0000000005</v>
      </c>
      <c r="G747" s="18">
        <v>8.6317694211288778</v>
      </c>
      <c r="H747" s="18">
        <v>800</v>
      </c>
      <c r="I747" s="16">
        <v>0</v>
      </c>
    </row>
    <row r="748" spans="1:9">
      <c r="A748" s="9">
        <v>936</v>
      </c>
      <c r="B748" s="9" t="s">
        <v>1592</v>
      </c>
      <c r="C748" s="9" t="s">
        <v>14</v>
      </c>
      <c r="D748" s="21">
        <v>800</v>
      </c>
      <c r="E748" s="18">
        <v>36000000</v>
      </c>
      <c r="F748" s="18">
        <v>3408928</v>
      </c>
      <c r="G748" s="18">
        <v>9.6004587739232754</v>
      </c>
      <c r="H748" s="18">
        <v>800</v>
      </c>
      <c r="I748" s="16">
        <v>0</v>
      </c>
    </row>
    <row r="749" spans="1:9">
      <c r="A749" s="9">
        <v>938</v>
      </c>
      <c r="B749" s="9" t="s">
        <v>949</v>
      </c>
      <c r="C749" s="9" t="s">
        <v>14</v>
      </c>
      <c r="D749" s="21">
        <v>800</v>
      </c>
      <c r="E749" s="18">
        <v>37600000</v>
      </c>
      <c r="F749" s="18">
        <v>3839032</v>
      </c>
      <c r="G749" s="18">
        <v>8.9037596409246333</v>
      </c>
      <c r="H749" s="18">
        <v>697</v>
      </c>
      <c r="I749" s="16">
        <v>0</v>
      </c>
    </row>
    <row r="750" spans="1:9">
      <c r="A750" s="9">
        <v>939</v>
      </c>
      <c r="B750" s="9" t="s">
        <v>950</v>
      </c>
      <c r="C750" s="9" t="s">
        <v>14</v>
      </c>
      <c r="D750" s="21">
        <v>1200</v>
      </c>
      <c r="E750" s="18">
        <v>51600000</v>
      </c>
      <c r="F750" s="18">
        <v>5683704</v>
      </c>
      <c r="G750" s="18">
        <v>8.253260709757388</v>
      </c>
      <c r="H750" s="18">
        <v>1197</v>
      </c>
      <c r="I750" s="16">
        <v>0</v>
      </c>
    </row>
    <row r="751" spans="1:9">
      <c r="A751" s="9">
        <v>941</v>
      </c>
      <c r="B751" s="9" t="s">
        <v>1593</v>
      </c>
      <c r="C751" s="9" t="s">
        <v>14</v>
      </c>
      <c r="D751" s="21">
        <v>1500</v>
      </c>
      <c r="E751" s="18">
        <v>88500000</v>
      </c>
      <c r="F751" s="18">
        <v>10291050.000000002</v>
      </c>
      <c r="G751" s="18">
        <v>7.817914154002306</v>
      </c>
      <c r="H751" s="18">
        <v>1499</v>
      </c>
      <c r="I751" s="16">
        <v>0</v>
      </c>
    </row>
    <row r="752" spans="1:9">
      <c r="A752" s="9">
        <v>943</v>
      </c>
      <c r="B752" s="9" t="s">
        <v>1594</v>
      </c>
      <c r="C752" s="9" t="s">
        <v>14</v>
      </c>
      <c r="D752" s="21">
        <v>500</v>
      </c>
      <c r="E752" s="18">
        <v>29500000</v>
      </c>
      <c r="F752" s="18">
        <v>2917802</v>
      </c>
      <c r="G752" s="18">
        <v>9.1912274438710426</v>
      </c>
      <c r="H752" s="18">
        <v>499</v>
      </c>
      <c r="I752" s="16">
        <v>0</v>
      </c>
    </row>
    <row r="753" spans="1:9">
      <c r="A753" s="9">
        <v>944</v>
      </c>
      <c r="B753" s="9" t="s">
        <v>1595</v>
      </c>
      <c r="C753" s="9" t="s">
        <v>14</v>
      </c>
      <c r="D753" s="21">
        <v>1000</v>
      </c>
      <c r="E753" s="18">
        <v>55000000</v>
      </c>
      <c r="F753" s="18">
        <v>5749206</v>
      </c>
      <c r="G753" s="18">
        <v>8.6968530958883701</v>
      </c>
      <c r="H753" s="18">
        <v>999</v>
      </c>
      <c r="I753" s="16">
        <v>0</v>
      </c>
    </row>
    <row r="754" spans="1:9">
      <c r="A754" s="9">
        <v>946</v>
      </c>
      <c r="B754" s="9" t="s">
        <v>1596</v>
      </c>
      <c r="C754" s="9" t="s">
        <v>14</v>
      </c>
      <c r="D754" s="21">
        <v>1000</v>
      </c>
      <c r="E754" s="18">
        <v>53000000</v>
      </c>
      <c r="F754" s="18">
        <v>7480000</v>
      </c>
      <c r="G754" s="18">
        <v>6.4414195430238204</v>
      </c>
      <c r="H754" s="18">
        <v>1000</v>
      </c>
      <c r="I754" s="16">
        <v>0</v>
      </c>
    </row>
    <row r="755" spans="1:9">
      <c r="A755" s="9">
        <v>947</v>
      </c>
      <c r="B755" s="9" t="s">
        <v>1597</v>
      </c>
      <c r="C755" s="9" t="s">
        <v>14</v>
      </c>
      <c r="D755" s="21">
        <v>1500</v>
      </c>
      <c r="E755" s="18">
        <v>73500000</v>
      </c>
      <c r="F755" s="18">
        <v>11220000</v>
      </c>
      <c r="G755" s="18">
        <v>5.9552746718522114</v>
      </c>
      <c r="H755" s="18">
        <v>1500</v>
      </c>
      <c r="I755" s="16">
        <v>0</v>
      </c>
    </row>
    <row r="756" spans="1:9">
      <c r="A756" s="9">
        <v>949</v>
      </c>
      <c r="B756" s="9" t="s">
        <v>1598</v>
      </c>
      <c r="C756" s="9" t="s">
        <v>14</v>
      </c>
      <c r="D756" s="21">
        <v>1000</v>
      </c>
      <c r="E756" s="18">
        <v>43000000</v>
      </c>
      <c r="F756" s="18">
        <v>5112512.0000000009</v>
      </c>
      <c r="G756" s="18">
        <v>7.6461256405675107</v>
      </c>
      <c r="H756" s="18">
        <v>999</v>
      </c>
      <c r="I756" s="16">
        <v>0</v>
      </c>
    </row>
    <row r="757" spans="1:9">
      <c r="A757" s="9">
        <v>950</v>
      </c>
      <c r="B757" s="9" t="s">
        <v>1599</v>
      </c>
      <c r="C757" s="9" t="s">
        <v>14</v>
      </c>
      <c r="D757" s="21">
        <v>1000</v>
      </c>
      <c r="E757" s="18">
        <v>43000000</v>
      </c>
      <c r="F757" s="18">
        <v>4003402.0000000009</v>
      </c>
      <c r="G757" s="18">
        <v>9.7644226312793663</v>
      </c>
      <c r="H757" s="18">
        <v>995</v>
      </c>
      <c r="I757" s="16">
        <v>0</v>
      </c>
    </row>
    <row r="758" spans="1:9">
      <c r="A758" s="9">
        <v>951</v>
      </c>
      <c r="B758" s="9" t="s">
        <v>1600</v>
      </c>
      <c r="C758" s="9" t="s">
        <v>14</v>
      </c>
      <c r="D758" s="21">
        <v>1000</v>
      </c>
      <c r="E758" s="18">
        <v>43000000</v>
      </c>
      <c r="F758" s="18">
        <v>4863032.0000000009</v>
      </c>
      <c r="G758" s="18">
        <v>8.0383820404449491</v>
      </c>
      <c r="H758" s="18">
        <v>999</v>
      </c>
      <c r="I758" s="16">
        <v>0</v>
      </c>
    </row>
    <row r="759" spans="1:9">
      <c r="A759" s="9">
        <v>953</v>
      </c>
      <c r="B759" s="9" t="s">
        <v>1601</v>
      </c>
      <c r="C759" s="9" t="s">
        <v>14</v>
      </c>
      <c r="D759" s="21">
        <v>1200</v>
      </c>
      <c r="E759" s="18">
        <v>58800000</v>
      </c>
      <c r="F759" s="18">
        <v>6841032</v>
      </c>
      <c r="G759" s="18">
        <v>7.8138130993314245</v>
      </c>
      <c r="H759" s="18">
        <v>1200</v>
      </c>
      <c r="I759" s="16">
        <v>0</v>
      </c>
    </row>
    <row r="760" spans="1:9">
      <c r="A760" s="9">
        <v>955</v>
      </c>
      <c r="B760" s="9" t="s">
        <v>1602</v>
      </c>
      <c r="C760" s="9" t="s">
        <v>15</v>
      </c>
      <c r="D760" s="21">
        <v>20</v>
      </c>
      <c r="E760" s="18">
        <v>900000</v>
      </c>
      <c r="F760" s="18">
        <v>368181.81818181818</v>
      </c>
      <c r="G760" s="18">
        <v>2.2222222222222223</v>
      </c>
      <c r="H760" s="18">
        <v>20</v>
      </c>
      <c r="I760" s="16">
        <v>0</v>
      </c>
    </row>
    <row r="761" spans="1:9">
      <c r="A761" s="9">
        <v>956</v>
      </c>
      <c r="B761" s="9" t="s">
        <v>1603</v>
      </c>
      <c r="C761" s="9" t="s">
        <v>15</v>
      </c>
      <c r="D761" s="21">
        <v>150</v>
      </c>
      <c r="E761" s="18">
        <v>6750000</v>
      </c>
      <c r="F761" s="18">
        <v>2761363.6363636362</v>
      </c>
      <c r="G761" s="18">
        <v>2.2222222222222223</v>
      </c>
      <c r="H761" s="18">
        <v>149</v>
      </c>
      <c r="I761" s="16">
        <v>0</v>
      </c>
    </row>
    <row r="762" spans="1:9">
      <c r="A762" s="9">
        <v>957</v>
      </c>
      <c r="B762" s="9" t="s">
        <v>1604</v>
      </c>
      <c r="C762" s="9" t="s">
        <v>15</v>
      </c>
      <c r="D762" s="21">
        <v>28</v>
      </c>
      <c r="E762" s="18">
        <v>1260000</v>
      </c>
      <c r="F762" s="18">
        <v>515454.54545454541</v>
      </c>
      <c r="G762" s="18">
        <v>2.2222222222222223</v>
      </c>
      <c r="H762" s="18">
        <v>28</v>
      </c>
      <c r="I762" s="16">
        <v>0</v>
      </c>
    </row>
    <row r="763" spans="1:9">
      <c r="A763" s="9">
        <v>958</v>
      </c>
      <c r="B763" s="9" t="s">
        <v>1605</v>
      </c>
      <c r="C763" s="9" t="s">
        <v>15</v>
      </c>
      <c r="D763" s="21">
        <v>200</v>
      </c>
      <c r="E763" s="18">
        <v>9000000</v>
      </c>
      <c r="F763" s="18">
        <v>3681818.1818181816</v>
      </c>
      <c r="G763" s="18">
        <v>2.2222222222222223</v>
      </c>
      <c r="H763" s="18">
        <v>200</v>
      </c>
      <c r="I763" s="16">
        <v>0</v>
      </c>
    </row>
    <row r="764" spans="1:9">
      <c r="A764" s="9">
        <v>960</v>
      </c>
      <c r="B764" s="9" t="s">
        <v>1606</v>
      </c>
      <c r="C764" s="9" t="s">
        <v>15</v>
      </c>
      <c r="D764" s="21">
        <v>200</v>
      </c>
      <c r="E764" s="18">
        <v>9000000</v>
      </c>
      <c r="F764" s="18">
        <v>3681818.1818181816</v>
      </c>
      <c r="G764" s="18">
        <v>2.2222222222222223</v>
      </c>
      <c r="H764" s="18">
        <v>200</v>
      </c>
      <c r="I764" s="16">
        <v>0</v>
      </c>
    </row>
    <row r="765" spans="1:9">
      <c r="A765" s="9">
        <v>961</v>
      </c>
      <c r="B765" s="9" t="s">
        <v>1607</v>
      </c>
      <c r="C765" s="9" t="s">
        <v>15</v>
      </c>
      <c r="D765" s="21">
        <v>200</v>
      </c>
      <c r="E765" s="18">
        <v>11000000</v>
      </c>
      <c r="F765" s="18">
        <v>4500000</v>
      </c>
      <c r="G765" s="18">
        <v>2.2222222222222223</v>
      </c>
      <c r="H765" s="18">
        <v>200</v>
      </c>
      <c r="I765" s="16">
        <v>0</v>
      </c>
    </row>
    <row r="766" spans="1:9">
      <c r="A766" s="9">
        <v>962</v>
      </c>
      <c r="B766" s="9" t="s">
        <v>1608</v>
      </c>
      <c r="C766" s="9" t="s">
        <v>15</v>
      </c>
      <c r="D766" s="21">
        <v>200</v>
      </c>
      <c r="E766" s="18">
        <v>9800000</v>
      </c>
      <c r="F766" s="18">
        <v>4009090.9090909087</v>
      </c>
      <c r="G766" s="18">
        <v>2.2222222222222223</v>
      </c>
      <c r="H766" s="18">
        <v>200</v>
      </c>
      <c r="I766" s="16">
        <v>0</v>
      </c>
    </row>
    <row r="767" spans="1:9">
      <c r="A767" s="9">
        <v>964</v>
      </c>
      <c r="B767" s="9" t="s">
        <v>1563</v>
      </c>
      <c r="C767" s="9" t="s">
        <v>14</v>
      </c>
      <c r="D767" s="21">
        <v>1000</v>
      </c>
      <c r="E767" s="18">
        <v>45000000</v>
      </c>
      <c r="F767" s="18">
        <v>9500000</v>
      </c>
      <c r="G767" s="18">
        <v>4.3062200956937797</v>
      </c>
      <c r="H767" s="18">
        <v>1040</v>
      </c>
      <c r="I767" s="16">
        <v>0</v>
      </c>
    </row>
    <row r="768" spans="1:9">
      <c r="A768" s="9">
        <v>966</v>
      </c>
      <c r="B768" s="9" t="s">
        <v>1606</v>
      </c>
      <c r="C768" s="9" t="s">
        <v>15</v>
      </c>
      <c r="D768" s="21">
        <v>70</v>
      </c>
      <c r="E768" s="18">
        <v>3150000</v>
      </c>
      <c r="F768" s="18">
        <v>1288636.3636363635</v>
      </c>
      <c r="G768" s="18">
        <v>2.2222222222222223</v>
      </c>
      <c r="H768" s="18">
        <v>70</v>
      </c>
      <c r="I768" s="16">
        <v>0</v>
      </c>
    </row>
    <row r="769" spans="1:9">
      <c r="A769" s="9">
        <v>967</v>
      </c>
      <c r="B769" s="9" t="s">
        <v>1608</v>
      </c>
      <c r="C769" s="9" t="s">
        <v>15</v>
      </c>
      <c r="D769" s="21">
        <v>70</v>
      </c>
      <c r="E769" s="18">
        <v>3430000</v>
      </c>
      <c r="F769" s="18">
        <v>1403181.8181818181</v>
      </c>
      <c r="G769" s="18">
        <v>2.2222222222222223</v>
      </c>
      <c r="H769" s="18">
        <v>70</v>
      </c>
      <c r="I769" s="16">
        <v>0</v>
      </c>
    </row>
    <row r="770" spans="1:9">
      <c r="A770" s="9">
        <v>969</v>
      </c>
      <c r="B770" s="9" t="s">
        <v>1492</v>
      </c>
      <c r="C770" s="9" t="s">
        <v>14</v>
      </c>
      <c r="D770" s="21">
        <v>600</v>
      </c>
      <c r="E770" s="18">
        <v>41400000</v>
      </c>
      <c r="F770" s="18">
        <v>6874548</v>
      </c>
      <c r="G770" s="18">
        <v>5.4747401045659485</v>
      </c>
      <c r="H770" s="18">
        <v>600</v>
      </c>
      <c r="I770" s="16">
        <v>0</v>
      </c>
    </row>
    <row r="771" spans="1:9">
      <c r="A771" s="9">
        <v>971</v>
      </c>
      <c r="B771" s="9" t="s">
        <v>1564</v>
      </c>
      <c r="C771" s="9" t="s">
        <v>14</v>
      </c>
      <c r="D771" s="21">
        <v>800</v>
      </c>
      <c r="E771" s="18">
        <v>36000000</v>
      </c>
      <c r="F771" s="18">
        <v>7920000</v>
      </c>
      <c r="G771" s="18">
        <v>4.1322314049586772</v>
      </c>
      <c r="H771" s="18">
        <v>804</v>
      </c>
      <c r="I771" s="16">
        <v>0</v>
      </c>
    </row>
    <row r="772" spans="1:9">
      <c r="A772" s="9">
        <v>972</v>
      </c>
      <c r="B772" s="9" t="s">
        <v>1565</v>
      </c>
      <c r="C772" s="9" t="s">
        <v>14</v>
      </c>
      <c r="D772" s="21">
        <v>500</v>
      </c>
      <c r="E772" s="18">
        <v>24500000</v>
      </c>
      <c r="F772" s="18">
        <v>4950000</v>
      </c>
      <c r="G772" s="18">
        <v>4.4995408631772271</v>
      </c>
      <c r="H772" s="18">
        <v>502</v>
      </c>
      <c r="I772" s="16">
        <v>0</v>
      </c>
    </row>
    <row r="773" spans="1:9">
      <c r="A773" s="9">
        <v>974</v>
      </c>
      <c r="B773" s="9" t="s">
        <v>1439</v>
      </c>
      <c r="C773" s="9" t="s">
        <v>14</v>
      </c>
      <c r="D773" s="21">
        <v>900</v>
      </c>
      <c r="E773" s="18">
        <v>134100000</v>
      </c>
      <c r="F773" s="18">
        <v>31266000</v>
      </c>
      <c r="G773" s="18">
        <v>3.8990945726697022</v>
      </c>
      <c r="H773" s="18">
        <v>900</v>
      </c>
      <c r="I773" s="16">
        <v>0</v>
      </c>
    </row>
    <row r="774" spans="1:9">
      <c r="A774" s="9">
        <v>976</v>
      </c>
      <c r="B774" s="9" t="s">
        <v>1512</v>
      </c>
      <c r="C774" s="9" t="s">
        <v>14</v>
      </c>
      <c r="D774" s="21">
        <v>2000</v>
      </c>
      <c r="E774" s="18">
        <v>98000000</v>
      </c>
      <c r="F774" s="18">
        <v>9898920</v>
      </c>
      <c r="G774" s="18">
        <v>9.0000635514691592</v>
      </c>
      <c r="H774" s="18">
        <v>1811</v>
      </c>
      <c r="I774" s="16">
        <v>0</v>
      </c>
    </row>
    <row r="775" spans="1:9">
      <c r="A775" s="9">
        <v>978</v>
      </c>
      <c r="B775" s="9" t="s">
        <v>1618</v>
      </c>
      <c r="C775" s="9" t="s">
        <v>14</v>
      </c>
      <c r="D775" s="21">
        <v>1000</v>
      </c>
      <c r="E775" s="18">
        <v>49000000</v>
      </c>
      <c r="F775" s="18">
        <v>8800000</v>
      </c>
      <c r="G775" s="18">
        <v>5.0619834710743801</v>
      </c>
      <c r="H775" s="18">
        <v>993</v>
      </c>
      <c r="I775" s="16">
        <v>0</v>
      </c>
    </row>
    <row r="776" spans="1:9">
      <c r="A776" s="9">
        <v>979</v>
      </c>
      <c r="B776" s="9" t="s">
        <v>1619</v>
      </c>
      <c r="C776" s="9" t="s">
        <v>14</v>
      </c>
      <c r="D776" s="21">
        <v>500</v>
      </c>
      <c r="E776" s="18">
        <v>24500000</v>
      </c>
      <c r="F776" s="18">
        <v>4900000</v>
      </c>
      <c r="G776" s="18">
        <v>4.5454545454545459</v>
      </c>
      <c r="H776" s="18">
        <v>504</v>
      </c>
      <c r="I776" s="16">
        <v>0</v>
      </c>
    </row>
    <row r="777" spans="1:9">
      <c r="A777" s="9">
        <v>980</v>
      </c>
      <c r="B777" s="9" t="s">
        <v>1620</v>
      </c>
      <c r="C777" s="9" t="s">
        <v>14</v>
      </c>
      <c r="D777" s="21">
        <v>500</v>
      </c>
      <c r="E777" s="18">
        <v>24500000</v>
      </c>
      <c r="F777" s="18">
        <v>4800000</v>
      </c>
      <c r="G777" s="18">
        <v>4.6401515151515156</v>
      </c>
      <c r="H777" s="18">
        <v>500</v>
      </c>
      <c r="I777" s="16">
        <v>0</v>
      </c>
    </row>
    <row r="778" spans="1:9">
      <c r="A778" s="9">
        <v>982</v>
      </c>
      <c r="B778" s="9" t="s">
        <v>1619</v>
      </c>
      <c r="C778" s="9" t="s">
        <v>14</v>
      </c>
      <c r="D778" s="21">
        <v>500</v>
      </c>
      <c r="E778" s="18">
        <v>24500000</v>
      </c>
      <c r="F778" s="18">
        <v>3345970.0000000005</v>
      </c>
      <c r="G778" s="18">
        <v>6.6565830753794168</v>
      </c>
      <c r="H778" s="18">
        <v>501</v>
      </c>
      <c r="I778" s="16">
        <v>0</v>
      </c>
    </row>
    <row r="779" spans="1:9">
      <c r="A779" s="9">
        <v>983</v>
      </c>
      <c r="B779" s="9" t="s">
        <v>1620</v>
      </c>
      <c r="C779" s="9" t="s">
        <v>14</v>
      </c>
      <c r="D779" s="21">
        <v>500</v>
      </c>
      <c r="E779" s="18">
        <v>24500000</v>
      </c>
      <c r="F779" s="18">
        <v>3509170</v>
      </c>
      <c r="G779" s="18">
        <v>6.3470072047598922</v>
      </c>
      <c r="H779" s="18">
        <v>496</v>
      </c>
      <c r="I779" s="16">
        <v>0</v>
      </c>
    </row>
    <row r="780" spans="1:9">
      <c r="A780" s="9">
        <v>985</v>
      </c>
      <c r="B780" s="9" t="s">
        <v>1621</v>
      </c>
      <c r="C780" s="9" t="s">
        <v>15</v>
      </c>
      <c r="D780" s="21">
        <v>200</v>
      </c>
      <c r="E780" s="18">
        <v>7000000</v>
      </c>
      <c r="F780" s="18">
        <v>2863636.3636363633</v>
      </c>
      <c r="G780" s="18">
        <v>2.2222222222222223</v>
      </c>
      <c r="H780" s="18">
        <v>200</v>
      </c>
      <c r="I780" s="16">
        <v>0</v>
      </c>
    </row>
    <row r="781" spans="1:9">
      <c r="A781" s="9">
        <v>986</v>
      </c>
      <c r="B781" s="9" t="s">
        <v>1622</v>
      </c>
      <c r="C781" s="9" t="s">
        <v>15</v>
      </c>
      <c r="D781" s="21">
        <v>150</v>
      </c>
      <c r="E781" s="18">
        <v>5250000</v>
      </c>
      <c r="F781" s="18">
        <v>2147727.2727272725</v>
      </c>
      <c r="G781" s="18">
        <v>2.2222222222222223</v>
      </c>
      <c r="H781" s="18">
        <v>150</v>
      </c>
      <c r="I781" s="16">
        <v>0</v>
      </c>
    </row>
    <row r="782" spans="1:9">
      <c r="A782" s="9">
        <v>988</v>
      </c>
      <c r="B782" s="9" t="s">
        <v>1358</v>
      </c>
      <c r="C782" s="9" t="s">
        <v>14</v>
      </c>
      <c r="D782" s="21">
        <v>300</v>
      </c>
      <c r="E782" s="18">
        <v>37500000</v>
      </c>
      <c r="F782" s="18">
        <v>7560000</v>
      </c>
      <c r="G782" s="18">
        <v>4.5093795093795093</v>
      </c>
      <c r="H782" s="18">
        <v>300</v>
      </c>
      <c r="I782" s="16">
        <v>0</v>
      </c>
    </row>
    <row r="783" spans="1:9">
      <c r="A783" s="9">
        <v>990</v>
      </c>
      <c r="B783" s="9" t="s">
        <v>1623</v>
      </c>
      <c r="C783" s="9" t="s">
        <v>14</v>
      </c>
      <c r="D783" s="21">
        <v>150</v>
      </c>
      <c r="E783" s="18">
        <v>7350000</v>
      </c>
      <c r="F783" s="18">
        <v>1907250</v>
      </c>
      <c r="G783" s="18">
        <v>3.5033782576055481</v>
      </c>
      <c r="H783" s="18">
        <v>150</v>
      </c>
      <c r="I783" s="16">
        <v>0</v>
      </c>
    </row>
    <row r="784" spans="1:9">
      <c r="A784" s="9">
        <v>991</v>
      </c>
      <c r="B784" s="9" t="s">
        <v>1624</v>
      </c>
      <c r="C784" s="9" t="s">
        <v>14</v>
      </c>
      <c r="D784" s="21">
        <v>150</v>
      </c>
      <c r="E784" s="18">
        <v>7350000</v>
      </c>
      <c r="F784" s="18">
        <v>1892250</v>
      </c>
      <c r="G784" s="18">
        <v>3.5311497856087626</v>
      </c>
      <c r="H784" s="18">
        <v>150</v>
      </c>
      <c r="I784" s="16">
        <v>0</v>
      </c>
    </row>
    <row r="785" spans="1:9">
      <c r="A785" s="9">
        <v>992</v>
      </c>
      <c r="B785" s="9" t="s">
        <v>1625</v>
      </c>
      <c r="C785" s="9" t="s">
        <v>14</v>
      </c>
      <c r="D785" s="21">
        <v>150</v>
      </c>
      <c r="E785" s="18">
        <v>7350000</v>
      </c>
      <c r="F785" s="18">
        <v>1952250</v>
      </c>
      <c r="G785" s="18">
        <v>3.4226242447525581</v>
      </c>
      <c r="H785" s="18">
        <v>150</v>
      </c>
      <c r="I785" s="16">
        <v>0</v>
      </c>
    </row>
    <row r="786" spans="1:9">
      <c r="A786" s="9">
        <v>993</v>
      </c>
      <c r="B786" s="9" t="s">
        <v>1626</v>
      </c>
      <c r="C786" s="9" t="s">
        <v>14</v>
      </c>
      <c r="D786" s="21">
        <v>150</v>
      </c>
      <c r="E786" s="18">
        <v>7350000</v>
      </c>
      <c r="F786" s="18">
        <v>1757250</v>
      </c>
      <c r="G786" s="18">
        <v>3.8024288984596279</v>
      </c>
      <c r="H786" s="18">
        <v>150</v>
      </c>
      <c r="I786" s="16">
        <v>0</v>
      </c>
    </row>
    <row r="787" spans="1:9">
      <c r="A787" s="9">
        <v>995</v>
      </c>
      <c r="B787" s="9" t="s">
        <v>1627</v>
      </c>
      <c r="C787" s="9" t="s">
        <v>14</v>
      </c>
      <c r="D787" s="21">
        <v>300</v>
      </c>
      <c r="E787" s="18">
        <v>14700000</v>
      </c>
      <c r="F787" s="18">
        <v>3808500</v>
      </c>
      <c r="G787" s="18">
        <v>3.508897561674245</v>
      </c>
      <c r="H787" s="18">
        <v>300</v>
      </c>
      <c r="I787" s="16">
        <v>0</v>
      </c>
    </row>
    <row r="788" spans="1:9">
      <c r="A788" s="9">
        <v>996</v>
      </c>
      <c r="B788" s="9" t="s">
        <v>1628</v>
      </c>
      <c r="C788" s="9" t="s">
        <v>14</v>
      </c>
      <c r="D788" s="21">
        <v>300</v>
      </c>
      <c r="E788" s="18">
        <v>14700000</v>
      </c>
      <c r="F788" s="18">
        <v>3778500</v>
      </c>
      <c r="G788" s="18">
        <v>3.5367570103576451</v>
      </c>
      <c r="H788" s="18">
        <v>300</v>
      </c>
      <c r="I788" s="16">
        <v>0</v>
      </c>
    </row>
    <row r="789" spans="1:9">
      <c r="A789" s="9">
        <v>997</v>
      </c>
      <c r="B789" s="9" t="s">
        <v>1629</v>
      </c>
      <c r="C789" s="9" t="s">
        <v>14</v>
      </c>
      <c r="D789" s="21">
        <v>300</v>
      </c>
      <c r="E789" s="18">
        <v>14700000</v>
      </c>
      <c r="F789" s="18">
        <v>3898500</v>
      </c>
      <c r="G789" s="18">
        <v>3.4278918465143935</v>
      </c>
      <c r="H789" s="18">
        <v>300</v>
      </c>
      <c r="I789" s="16">
        <v>0</v>
      </c>
    </row>
    <row r="790" spans="1:9">
      <c r="A790" s="9">
        <v>998</v>
      </c>
      <c r="B790" s="9" t="s">
        <v>1630</v>
      </c>
      <c r="C790" s="9" t="s">
        <v>14</v>
      </c>
      <c r="D790" s="21">
        <v>300</v>
      </c>
      <c r="E790" s="18">
        <v>14700000</v>
      </c>
      <c r="F790" s="18">
        <v>3508500</v>
      </c>
      <c r="G790" s="18">
        <v>3.8089315558319403</v>
      </c>
      <c r="H790" s="18">
        <v>300</v>
      </c>
      <c r="I790" s="16">
        <v>0</v>
      </c>
    </row>
    <row r="791" spans="1:9">
      <c r="A791" s="9">
        <v>1000</v>
      </c>
      <c r="B791" s="9" t="s">
        <v>1631</v>
      </c>
      <c r="C791" s="9" t="s">
        <v>15</v>
      </c>
      <c r="D791" s="21">
        <v>100</v>
      </c>
      <c r="E791" s="18">
        <v>4500000</v>
      </c>
      <c r="F791" s="18">
        <v>1840909.0909090908</v>
      </c>
      <c r="G791" s="18">
        <v>2.2222222222222223</v>
      </c>
      <c r="H791" s="18">
        <v>100</v>
      </c>
      <c r="I791" s="16">
        <v>0</v>
      </c>
    </row>
    <row r="792" spans="1:9">
      <c r="A792" s="9">
        <v>1001</v>
      </c>
      <c r="B792" s="9" t="s">
        <v>1632</v>
      </c>
      <c r="C792" s="9" t="s">
        <v>15</v>
      </c>
      <c r="D792" s="21">
        <v>100</v>
      </c>
      <c r="E792" s="18">
        <v>4500000</v>
      </c>
      <c r="F792" s="18">
        <v>1840909.0909090908</v>
      </c>
      <c r="G792" s="18">
        <v>2.2222222222222223</v>
      </c>
      <c r="H792" s="18">
        <v>100</v>
      </c>
      <c r="I792" s="16">
        <v>0</v>
      </c>
    </row>
    <row r="793" spans="1:9">
      <c r="A793" s="9">
        <v>1002</v>
      </c>
      <c r="B793" s="9" t="s">
        <v>1633</v>
      </c>
      <c r="C793" s="9" t="s">
        <v>15</v>
      </c>
      <c r="D793" s="21">
        <v>100</v>
      </c>
      <c r="E793" s="18">
        <v>4900000</v>
      </c>
      <c r="F793" s="18">
        <v>2004545.4545454544</v>
      </c>
      <c r="G793" s="18">
        <v>2.2222222222222223</v>
      </c>
      <c r="H793" s="18">
        <v>100</v>
      </c>
      <c r="I793" s="16">
        <v>0</v>
      </c>
    </row>
    <row r="794" spans="1:9">
      <c r="A794" s="9">
        <v>1003</v>
      </c>
      <c r="B794" s="9" t="s">
        <v>1634</v>
      </c>
      <c r="C794" s="9" t="s">
        <v>15</v>
      </c>
      <c r="D794" s="21">
        <v>150</v>
      </c>
      <c r="E794" s="18">
        <v>7350000</v>
      </c>
      <c r="F794" s="18">
        <v>3006818.1818181816</v>
      </c>
      <c r="G794" s="18">
        <v>2.2222222222222223</v>
      </c>
      <c r="H794" s="18">
        <v>150</v>
      </c>
      <c r="I794" s="16">
        <v>0</v>
      </c>
    </row>
    <row r="795" spans="1:9">
      <c r="A795" s="9">
        <v>1004</v>
      </c>
      <c r="B795" s="9" t="s">
        <v>1635</v>
      </c>
      <c r="C795" s="9" t="s">
        <v>15</v>
      </c>
      <c r="D795" s="21">
        <v>100</v>
      </c>
      <c r="E795" s="18">
        <v>4500000</v>
      </c>
      <c r="F795" s="18">
        <v>1840909.0909090908</v>
      </c>
      <c r="G795" s="18">
        <v>2.2222222222222223</v>
      </c>
      <c r="H795" s="18">
        <v>100</v>
      </c>
      <c r="I795" s="16">
        <v>0</v>
      </c>
    </row>
    <row r="796" spans="1:9">
      <c r="A796" s="9">
        <v>1005</v>
      </c>
      <c r="B796" s="9" t="s">
        <v>1636</v>
      </c>
      <c r="C796" s="9" t="s">
        <v>15</v>
      </c>
      <c r="D796" s="21">
        <v>100</v>
      </c>
      <c r="E796" s="18">
        <v>3500000</v>
      </c>
      <c r="F796" s="18">
        <v>1431818.1818181816</v>
      </c>
      <c r="G796" s="18">
        <v>2.2222222222222223</v>
      </c>
      <c r="H796" s="18">
        <v>100</v>
      </c>
      <c r="I796" s="16">
        <v>0</v>
      </c>
    </row>
    <row r="797" spans="1:9">
      <c r="A797" s="9">
        <v>1006</v>
      </c>
      <c r="B797" s="9" t="s">
        <v>1637</v>
      </c>
      <c r="C797" s="9" t="s">
        <v>15</v>
      </c>
      <c r="D797" s="21">
        <v>150</v>
      </c>
      <c r="E797" s="18">
        <v>5250000</v>
      </c>
      <c r="F797" s="18">
        <v>2147727.2727272725</v>
      </c>
      <c r="G797" s="18">
        <v>2.2222222222222223</v>
      </c>
      <c r="H797" s="18">
        <v>150</v>
      </c>
      <c r="I797" s="16">
        <v>0</v>
      </c>
    </row>
    <row r="798" spans="1:9">
      <c r="A798" s="9">
        <v>1007</v>
      </c>
      <c r="B798" s="9" t="s">
        <v>1638</v>
      </c>
      <c r="C798" s="9" t="s">
        <v>15</v>
      </c>
      <c r="D798" s="21">
        <v>150</v>
      </c>
      <c r="E798" s="18">
        <v>5250000</v>
      </c>
      <c r="F798" s="18">
        <v>2147727.2727272725</v>
      </c>
      <c r="G798" s="18">
        <v>2.2222222222222223</v>
      </c>
      <c r="H798" s="18">
        <v>150</v>
      </c>
      <c r="I798" s="16">
        <v>0</v>
      </c>
    </row>
    <row r="799" spans="1:9">
      <c r="A799" s="9">
        <v>1009</v>
      </c>
      <c r="B799" s="9" t="s">
        <v>1431</v>
      </c>
      <c r="C799" s="9" t="s">
        <v>14</v>
      </c>
      <c r="D799" s="21">
        <v>1000</v>
      </c>
      <c r="E799" s="18">
        <v>55000000</v>
      </c>
      <c r="F799" s="18">
        <v>12369260.000000004</v>
      </c>
      <c r="G799" s="18">
        <v>4.0422790045645396</v>
      </c>
      <c r="H799" s="18">
        <v>1000</v>
      </c>
      <c r="I799" s="16">
        <v>0</v>
      </c>
    </row>
    <row r="800" spans="1:9">
      <c r="A800" s="9">
        <v>1010</v>
      </c>
      <c r="B800" s="9" t="s">
        <v>1432</v>
      </c>
      <c r="C800" s="9" t="s">
        <v>14</v>
      </c>
      <c r="D800" s="21">
        <v>1000</v>
      </c>
      <c r="E800" s="18">
        <v>55000000</v>
      </c>
      <c r="F800" s="18">
        <v>12369260.000000004</v>
      </c>
      <c r="G800" s="18">
        <v>4.0422790045645396</v>
      </c>
      <c r="H800" s="18">
        <v>1000</v>
      </c>
      <c r="I800" s="16">
        <v>0</v>
      </c>
    </row>
    <row r="801" spans="1:9">
      <c r="A801" s="9">
        <v>1012</v>
      </c>
      <c r="B801" s="9" t="s">
        <v>1434</v>
      </c>
      <c r="C801" s="9" t="s">
        <v>14</v>
      </c>
      <c r="D801" s="21">
        <v>500</v>
      </c>
      <c r="E801" s="18">
        <v>18500000</v>
      </c>
      <c r="F801" s="18">
        <v>2155528.0000000005</v>
      </c>
      <c r="G801" s="18">
        <v>7.8023490384638068</v>
      </c>
      <c r="H801" s="18">
        <v>500</v>
      </c>
      <c r="I801" s="16">
        <v>0</v>
      </c>
    </row>
    <row r="802" spans="1:9">
      <c r="A802" s="9">
        <v>1013</v>
      </c>
      <c r="B802" s="9" t="s">
        <v>1435</v>
      </c>
      <c r="C802" s="9" t="s">
        <v>14</v>
      </c>
      <c r="D802" s="21">
        <v>500</v>
      </c>
      <c r="E802" s="18">
        <v>18500000</v>
      </c>
      <c r="F802" s="18">
        <v>2155528.0000000005</v>
      </c>
      <c r="G802" s="18">
        <v>7.8023490384638068</v>
      </c>
      <c r="H802" s="18">
        <v>500</v>
      </c>
      <c r="I802" s="16">
        <v>0</v>
      </c>
    </row>
    <row r="803" spans="1:9">
      <c r="A803" s="9">
        <v>1015</v>
      </c>
      <c r="B803" s="9" t="s">
        <v>964</v>
      </c>
      <c r="C803" s="9" t="s">
        <v>14</v>
      </c>
      <c r="D803" s="21">
        <v>500</v>
      </c>
      <c r="E803" s="18">
        <v>27500000</v>
      </c>
      <c r="F803" s="18">
        <v>4631530.0000000009</v>
      </c>
      <c r="G803" s="18">
        <v>5.3977843174933531</v>
      </c>
      <c r="H803" s="18">
        <v>510</v>
      </c>
      <c r="I803" s="16">
        <v>0</v>
      </c>
    </row>
    <row r="804" spans="1:9">
      <c r="A804" s="9">
        <v>1016</v>
      </c>
      <c r="B804" s="9" t="s">
        <v>965</v>
      </c>
      <c r="C804" s="9" t="s">
        <v>14</v>
      </c>
      <c r="D804" s="21">
        <v>500</v>
      </c>
      <c r="E804" s="18">
        <v>27500000</v>
      </c>
      <c r="F804" s="18">
        <v>4710900.0000000009</v>
      </c>
      <c r="G804" s="18">
        <v>5.3068415801651474</v>
      </c>
      <c r="H804" s="18">
        <v>490</v>
      </c>
      <c r="I804" s="16">
        <v>0</v>
      </c>
    </row>
    <row r="805" spans="1:9">
      <c r="A805" s="9">
        <v>1018</v>
      </c>
      <c r="B805" s="9" t="s">
        <v>1316</v>
      </c>
      <c r="C805" s="9" t="s">
        <v>14</v>
      </c>
      <c r="D805" s="21">
        <v>500</v>
      </c>
      <c r="E805" s="18">
        <v>22500000</v>
      </c>
      <c r="F805" s="18">
        <v>3253240.0000000005</v>
      </c>
      <c r="G805" s="18">
        <v>6.2874382014685199</v>
      </c>
      <c r="H805" s="18">
        <v>497</v>
      </c>
      <c r="I805" s="16">
        <v>0</v>
      </c>
    </row>
    <row r="806" spans="1:9">
      <c r="A806" s="9">
        <v>1019</v>
      </c>
      <c r="B806" s="9" t="s">
        <v>1317</v>
      </c>
      <c r="C806" s="9" t="s">
        <v>14</v>
      </c>
      <c r="D806" s="21">
        <v>200</v>
      </c>
      <c r="E806" s="18">
        <v>8600000</v>
      </c>
      <c r="F806" s="18">
        <v>1337296.0000000002</v>
      </c>
      <c r="G806" s="18">
        <v>5.846261275126686</v>
      </c>
      <c r="H806" s="18">
        <v>203</v>
      </c>
      <c r="I806" s="16">
        <v>0</v>
      </c>
    </row>
    <row r="807" spans="1:9">
      <c r="A807" s="9">
        <v>1021</v>
      </c>
      <c r="B807" s="9" t="s">
        <v>1643</v>
      </c>
      <c r="C807" s="9" t="s">
        <v>14</v>
      </c>
      <c r="D807" s="21">
        <v>600</v>
      </c>
      <c r="E807" s="18">
        <v>17400000</v>
      </c>
      <c r="F807" s="18">
        <v>3900000</v>
      </c>
      <c r="G807" s="18">
        <v>4.0559440559440558</v>
      </c>
      <c r="H807" s="18">
        <v>600</v>
      </c>
      <c r="I807" s="16">
        <v>0</v>
      </c>
    </row>
    <row r="808" spans="1:9">
      <c r="A808" s="9">
        <v>1022</v>
      </c>
      <c r="B808" s="9" t="s">
        <v>1644</v>
      </c>
      <c r="C808" s="9" t="s">
        <v>14</v>
      </c>
      <c r="D808" s="21">
        <v>600</v>
      </c>
      <c r="E808" s="18">
        <v>17400000</v>
      </c>
      <c r="F808" s="18">
        <v>3900000</v>
      </c>
      <c r="G808" s="18">
        <v>4.0559440559440558</v>
      </c>
      <c r="H808" s="18">
        <v>600</v>
      </c>
      <c r="I808" s="16">
        <v>0</v>
      </c>
    </row>
    <row r="809" spans="1:9">
      <c r="A809" s="9">
        <v>1023</v>
      </c>
      <c r="B809" s="9" t="s">
        <v>1645</v>
      </c>
      <c r="C809" s="9" t="s">
        <v>14</v>
      </c>
      <c r="D809" s="21">
        <v>800</v>
      </c>
      <c r="E809" s="18">
        <v>23200000</v>
      </c>
      <c r="F809" s="18">
        <v>5200000</v>
      </c>
      <c r="G809" s="18">
        <v>4.0559440559440558</v>
      </c>
      <c r="H809" s="18">
        <v>800</v>
      </c>
      <c r="I809" s="16">
        <v>0</v>
      </c>
    </row>
    <row r="810" spans="1:9">
      <c r="A810" s="9">
        <v>1025</v>
      </c>
      <c r="B810" s="9" t="s">
        <v>1631</v>
      </c>
      <c r="C810" s="9" t="s">
        <v>15</v>
      </c>
      <c r="D810" s="21">
        <v>150</v>
      </c>
      <c r="E810" s="18">
        <v>6750000</v>
      </c>
      <c r="F810" s="18">
        <v>2761363.6363636362</v>
      </c>
      <c r="G810" s="18">
        <v>2.2222222222222223</v>
      </c>
      <c r="H810" s="18">
        <v>150</v>
      </c>
      <c r="I810" s="16">
        <v>0</v>
      </c>
    </row>
    <row r="811" spans="1:9">
      <c r="A811" s="9">
        <v>1026</v>
      </c>
      <c r="B811" s="9" t="s">
        <v>1637</v>
      </c>
      <c r="C811" s="9" t="s">
        <v>15</v>
      </c>
      <c r="D811" s="21">
        <v>200</v>
      </c>
      <c r="E811" s="18">
        <v>7000000</v>
      </c>
      <c r="F811" s="18">
        <v>2863636.3636363633</v>
      </c>
      <c r="G811" s="18">
        <v>2.2222222222222223</v>
      </c>
      <c r="H811" s="18">
        <v>200</v>
      </c>
      <c r="I811" s="16">
        <v>0</v>
      </c>
    </row>
    <row r="812" spans="1:9">
      <c r="A812" s="9">
        <v>1027</v>
      </c>
      <c r="B812" s="9" t="s">
        <v>1638</v>
      </c>
      <c r="C812" s="9" t="s">
        <v>15</v>
      </c>
      <c r="D812" s="21">
        <v>150</v>
      </c>
      <c r="E812" s="18">
        <v>5250000</v>
      </c>
      <c r="F812" s="18">
        <v>2147727.2727272725</v>
      </c>
      <c r="G812" s="18">
        <v>2.2222222222222223</v>
      </c>
      <c r="H812" s="18">
        <v>150</v>
      </c>
      <c r="I812" s="16">
        <v>0</v>
      </c>
    </row>
    <row r="813" spans="1:9">
      <c r="A813" s="9">
        <v>1028</v>
      </c>
      <c r="B813" s="9" t="s">
        <v>1646</v>
      </c>
      <c r="C813" s="9" t="s">
        <v>15</v>
      </c>
      <c r="D813" s="21">
        <v>200</v>
      </c>
      <c r="E813" s="18">
        <v>9000000</v>
      </c>
      <c r="F813" s="18">
        <v>3681818.1818181816</v>
      </c>
      <c r="G813" s="18">
        <v>2.2222222222222223</v>
      </c>
      <c r="H813" s="18">
        <v>200</v>
      </c>
      <c r="I813" s="16">
        <v>0</v>
      </c>
    </row>
    <row r="814" spans="1:9">
      <c r="A814" s="9">
        <v>1029</v>
      </c>
      <c r="B814" s="9" t="s">
        <v>1647</v>
      </c>
      <c r="C814" s="9" t="s">
        <v>15</v>
      </c>
      <c r="D814" s="21">
        <v>300</v>
      </c>
      <c r="E814" s="18">
        <v>13500000</v>
      </c>
      <c r="F814" s="18">
        <v>5522727.2727272725</v>
      </c>
      <c r="G814" s="18">
        <v>2.2222222222222223</v>
      </c>
      <c r="H814" s="18">
        <v>300</v>
      </c>
      <c r="I814" s="16">
        <v>0</v>
      </c>
    </row>
    <row r="815" spans="1:9">
      <c r="A815" s="9">
        <v>1031</v>
      </c>
      <c r="B815" s="9" t="s">
        <v>1648</v>
      </c>
      <c r="C815" s="9" t="s">
        <v>15</v>
      </c>
      <c r="D815" s="21">
        <v>100</v>
      </c>
      <c r="E815" s="18">
        <v>6800000</v>
      </c>
      <c r="F815" s="18">
        <v>2781818.1818181816</v>
      </c>
      <c r="G815" s="18">
        <v>2.2222222222222223</v>
      </c>
      <c r="H815" s="18">
        <v>100</v>
      </c>
      <c r="I815" s="16">
        <v>0</v>
      </c>
    </row>
    <row r="816" spans="1:9">
      <c r="A816" s="9">
        <v>1032</v>
      </c>
      <c r="B816" s="9" t="s">
        <v>1649</v>
      </c>
      <c r="C816" s="9" t="s">
        <v>15</v>
      </c>
      <c r="D816" s="21">
        <v>50</v>
      </c>
      <c r="E816" s="18">
        <v>2250000</v>
      </c>
      <c r="F816" s="18">
        <v>920454.54545454541</v>
      </c>
      <c r="G816" s="18">
        <v>2.2222222222222223</v>
      </c>
      <c r="H816" s="18">
        <v>50</v>
      </c>
      <c r="I816" s="16">
        <v>0</v>
      </c>
    </row>
    <row r="817" spans="1:9">
      <c r="A817" s="9">
        <v>1033</v>
      </c>
      <c r="B817" s="9" t="s">
        <v>1650</v>
      </c>
      <c r="C817" s="9" t="s">
        <v>15</v>
      </c>
      <c r="D817" s="21">
        <v>100</v>
      </c>
      <c r="E817" s="18">
        <v>4500000</v>
      </c>
      <c r="F817" s="18">
        <v>1840909.0909090908</v>
      </c>
      <c r="G817" s="18">
        <v>2.2222222222222223</v>
      </c>
      <c r="H817" s="18">
        <v>100</v>
      </c>
      <c r="I817" s="16">
        <v>0</v>
      </c>
    </row>
    <row r="818" spans="1:9">
      <c r="A818" s="9">
        <v>1034</v>
      </c>
      <c r="B818" s="9" t="s">
        <v>1651</v>
      </c>
      <c r="C818" s="9" t="s">
        <v>15</v>
      </c>
      <c r="D818" s="21">
        <v>100</v>
      </c>
      <c r="E818" s="18">
        <v>5700000</v>
      </c>
      <c r="F818" s="18">
        <v>2331818.1818181816</v>
      </c>
      <c r="G818" s="18">
        <v>2.2222222222222223</v>
      </c>
      <c r="H818" s="18">
        <v>100</v>
      </c>
      <c r="I818" s="16">
        <v>0</v>
      </c>
    </row>
    <row r="819" spans="1:9">
      <c r="A819" s="9">
        <v>1035</v>
      </c>
      <c r="B819" s="9" t="s">
        <v>1652</v>
      </c>
      <c r="C819" s="9" t="s">
        <v>15</v>
      </c>
      <c r="D819" s="21">
        <v>50</v>
      </c>
      <c r="E819" s="18">
        <v>2250000</v>
      </c>
      <c r="F819" s="18">
        <v>920454.54545454541</v>
      </c>
      <c r="G819" s="18">
        <v>2.2222222222222223</v>
      </c>
      <c r="H819" s="18">
        <v>50</v>
      </c>
      <c r="I819" s="16">
        <v>0</v>
      </c>
    </row>
    <row r="820" spans="1:9">
      <c r="A820" s="9">
        <v>1037</v>
      </c>
      <c r="B820" s="9" t="s">
        <v>1653</v>
      </c>
      <c r="C820" s="9" t="s">
        <v>15</v>
      </c>
      <c r="D820" s="21">
        <v>40</v>
      </c>
      <c r="E820" s="18">
        <v>2360000</v>
      </c>
      <c r="F820" s="18">
        <v>966254.54545454541</v>
      </c>
      <c r="G820" s="18">
        <v>2.2203823573686585</v>
      </c>
      <c r="H820" s="18">
        <v>40</v>
      </c>
      <c r="I820" s="16">
        <v>0</v>
      </c>
    </row>
    <row r="821" spans="1:9">
      <c r="A821" s="9">
        <v>1038</v>
      </c>
      <c r="B821" s="9" t="s">
        <v>1654</v>
      </c>
      <c r="C821" s="9" t="s">
        <v>15</v>
      </c>
      <c r="D821" s="21">
        <v>40</v>
      </c>
      <c r="E821" s="18">
        <v>2360000</v>
      </c>
      <c r="F821" s="18">
        <v>966254.54545454541</v>
      </c>
      <c r="G821" s="18">
        <v>2.2203823573686585</v>
      </c>
      <c r="H821" s="18">
        <v>40</v>
      </c>
      <c r="I821" s="16">
        <v>0</v>
      </c>
    </row>
    <row r="822" spans="1:9">
      <c r="A822" s="9">
        <v>1039</v>
      </c>
      <c r="B822" s="9" t="s">
        <v>1655</v>
      </c>
      <c r="C822" s="9" t="s">
        <v>15</v>
      </c>
      <c r="D822" s="21">
        <v>40</v>
      </c>
      <c r="E822" s="18">
        <v>2360000</v>
      </c>
      <c r="F822" s="18">
        <v>966254.54545454541</v>
      </c>
      <c r="G822" s="18">
        <v>2.2203823573686585</v>
      </c>
      <c r="H822" s="18">
        <v>40</v>
      </c>
      <c r="I822" s="16">
        <v>0</v>
      </c>
    </row>
    <row r="823" spans="1:9">
      <c r="A823" s="9">
        <v>1040</v>
      </c>
      <c r="B823" s="9" t="s">
        <v>1656</v>
      </c>
      <c r="C823" s="9" t="s">
        <v>15</v>
      </c>
      <c r="D823" s="21">
        <v>40</v>
      </c>
      <c r="E823" s="18">
        <v>2360000</v>
      </c>
      <c r="F823" s="18">
        <v>966254.54545454541</v>
      </c>
      <c r="G823" s="18">
        <v>2.2203823573686585</v>
      </c>
      <c r="H823" s="18">
        <v>40</v>
      </c>
      <c r="I823" s="16">
        <v>0</v>
      </c>
    </row>
    <row r="824" spans="1:9">
      <c r="A824" s="9">
        <v>1041</v>
      </c>
      <c r="B824" s="9" t="s">
        <v>1657</v>
      </c>
      <c r="C824" s="9" t="s">
        <v>15</v>
      </c>
      <c r="D824" s="21">
        <v>40</v>
      </c>
      <c r="E824" s="18">
        <v>2360000</v>
      </c>
      <c r="F824" s="18">
        <v>966254.54545454541</v>
      </c>
      <c r="G824" s="18">
        <v>2.2203823573686585</v>
      </c>
      <c r="H824" s="18">
        <v>40</v>
      </c>
      <c r="I824" s="16">
        <v>0</v>
      </c>
    </row>
    <row r="825" spans="1:9">
      <c r="A825" s="9">
        <v>1043</v>
      </c>
      <c r="B825" s="9" t="s">
        <v>1948</v>
      </c>
      <c r="C825" s="9" t="s">
        <v>15</v>
      </c>
      <c r="D825" s="21">
        <v>100</v>
      </c>
      <c r="E825" s="18">
        <v>4800000</v>
      </c>
      <c r="F825" s="18">
        <v>1963636.3636363635</v>
      </c>
      <c r="G825" s="18">
        <v>2.2222222222222223</v>
      </c>
      <c r="H825" s="18">
        <v>100</v>
      </c>
      <c r="I825" s="16">
        <v>0</v>
      </c>
    </row>
    <row r="826" spans="1:9">
      <c r="A826" s="9">
        <v>1044</v>
      </c>
      <c r="B826" s="9" t="s">
        <v>1949</v>
      </c>
      <c r="C826" s="9" t="s">
        <v>15</v>
      </c>
      <c r="D826" s="21">
        <v>100</v>
      </c>
      <c r="E826" s="18">
        <v>4800000</v>
      </c>
      <c r="F826" s="18">
        <v>1963636.3636363635</v>
      </c>
      <c r="G826" s="18">
        <v>2.2222222222222223</v>
      </c>
      <c r="H826" s="18">
        <v>100</v>
      </c>
      <c r="I826" s="16">
        <v>0</v>
      </c>
    </row>
    <row r="827" spans="1:9">
      <c r="A827" s="9">
        <v>1045</v>
      </c>
      <c r="B827" s="9" t="s">
        <v>1950</v>
      </c>
      <c r="C827" s="9" t="s">
        <v>15</v>
      </c>
      <c r="D827" s="21">
        <v>100</v>
      </c>
      <c r="E827" s="18">
        <v>4800000</v>
      </c>
      <c r="F827" s="18">
        <v>1963636.3636363635</v>
      </c>
      <c r="G827" s="18">
        <v>2.2222222222222223</v>
      </c>
      <c r="H827" s="18">
        <v>100</v>
      </c>
      <c r="I827" s="16">
        <v>0</v>
      </c>
    </row>
    <row r="828" spans="1:9">
      <c r="A828" s="9">
        <v>1046</v>
      </c>
      <c r="B828" s="9" t="s">
        <v>1951</v>
      </c>
      <c r="C828" s="9" t="s">
        <v>15</v>
      </c>
      <c r="D828" s="21">
        <v>100</v>
      </c>
      <c r="E828" s="18">
        <v>3500000</v>
      </c>
      <c r="F828" s="18">
        <v>1431818.1818181816</v>
      </c>
      <c r="G828" s="18">
        <v>2.2222222222222223</v>
      </c>
      <c r="H828" s="18">
        <v>100</v>
      </c>
      <c r="I828" s="16">
        <v>0</v>
      </c>
    </row>
    <row r="829" spans="1:9">
      <c r="A829" s="9">
        <v>1047</v>
      </c>
      <c r="B829" s="9" t="s">
        <v>1952</v>
      </c>
      <c r="C829" s="9" t="s">
        <v>15</v>
      </c>
      <c r="D829" s="21">
        <v>100</v>
      </c>
      <c r="E829" s="18">
        <v>3500000</v>
      </c>
      <c r="F829" s="18">
        <v>1431818.1818181816</v>
      </c>
      <c r="G829" s="18">
        <v>2.2222222222222223</v>
      </c>
      <c r="H829" s="18">
        <v>100</v>
      </c>
      <c r="I829" s="16">
        <v>0</v>
      </c>
    </row>
    <row r="830" spans="1:9">
      <c r="A830" s="9">
        <v>1049</v>
      </c>
      <c r="B830" s="9" t="s">
        <v>1653</v>
      </c>
      <c r="C830" s="9" t="s">
        <v>15</v>
      </c>
      <c r="D830" s="21">
        <v>5</v>
      </c>
      <c r="E830" s="18">
        <v>295000</v>
      </c>
      <c r="F830" s="18">
        <v>120781.81818181818</v>
      </c>
      <c r="G830" s="18">
        <v>2.2203823573686585</v>
      </c>
      <c r="H830" s="18">
        <v>5</v>
      </c>
      <c r="I830" s="16">
        <v>0</v>
      </c>
    </row>
    <row r="831" spans="1:9">
      <c r="A831" s="9">
        <v>1050</v>
      </c>
      <c r="B831" s="9" t="s">
        <v>1654</v>
      </c>
      <c r="C831" s="9" t="s">
        <v>15</v>
      </c>
      <c r="D831" s="21">
        <v>5</v>
      </c>
      <c r="E831" s="18">
        <v>295000</v>
      </c>
      <c r="F831" s="18">
        <v>120781.81818181818</v>
      </c>
      <c r="G831" s="18">
        <v>2.2203823573686585</v>
      </c>
      <c r="H831" s="18">
        <v>5</v>
      </c>
      <c r="I831" s="16">
        <v>0</v>
      </c>
    </row>
    <row r="832" spans="1:9">
      <c r="A832" s="9">
        <v>1051</v>
      </c>
      <c r="B832" s="9" t="s">
        <v>1655</v>
      </c>
      <c r="C832" s="9" t="s">
        <v>15</v>
      </c>
      <c r="D832" s="21">
        <v>5</v>
      </c>
      <c r="E832" s="18">
        <v>295000</v>
      </c>
      <c r="F832" s="18">
        <v>120781.81818181818</v>
      </c>
      <c r="G832" s="18">
        <v>2.2203823573686585</v>
      </c>
      <c r="H832" s="18">
        <v>5</v>
      </c>
      <c r="I832" s="16">
        <v>0</v>
      </c>
    </row>
    <row r="833" spans="1:9">
      <c r="A833" s="9">
        <v>1052</v>
      </c>
      <c r="B833" s="9" t="s">
        <v>1656</v>
      </c>
      <c r="C833" s="9" t="s">
        <v>15</v>
      </c>
      <c r="D833" s="21">
        <v>5</v>
      </c>
      <c r="E833" s="18">
        <v>295000</v>
      </c>
      <c r="F833" s="18">
        <v>120781.81818181818</v>
      </c>
      <c r="G833" s="18">
        <v>2.2203823573686585</v>
      </c>
      <c r="H833" s="18">
        <v>5</v>
      </c>
      <c r="I833" s="16">
        <v>0</v>
      </c>
    </row>
    <row r="834" spans="1:9">
      <c r="A834" s="9">
        <v>1053</v>
      </c>
      <c r="B834" s="9" t="s">
        <v>1657</v>
      </c>
      <c r="C834" s="9" t="s">
        <v>15</v>
      </c>
      <c r="D834" s="21">
        <v>5</v>
      </c>
      <c r="E834" s="18">
        <v>295000</v>
      </c>
      <c r="F834" s="18">
        <v>120781.81818181818</v>
      </c>
      <c r="G834" s="18">
        <v>2.2203823573686585</v>
      </c>
      <c r="H834" s="18">
        <v>5</v>
      </c>
      <c r="I834" s="16">
        <v>0</v>
      </c>
    </row>
    <row r="835" spans="1:9">
      <c r="A835" s="7" t="s">
        <v>39</v>
      </c>
      <c r="B835" s="13"/>
      <c r="C835" s="13"/>
      <c r="D835" s="22">
        <v>781404</v>
      </c>
      <c r="E835" s="19">
        <v>43708920000</v>
      </c>
      <c r="F835" s="19">
        <v>7663032733.7945442</v>
      </c>
      <c r="G835" s="19">
        <v>5.1853336920963198</v>
      </c>
      <c r="H835" s="19">
        <v>778550</v>
      </c>
      <c r="I835" s="17">
        <v>0</v>
      </c>
    </row>
    <row r="836" spans="1:9">
      <c r="A836"/>
      <c r="B836"/>
      <c r="C836"/>
      <c r="D836"/>
      <c r="E836"/>
      <c r="F836"/>
      <c r="G836"/>
      <c r="H836"/>
      <c r="I836"/>
    </row>
    <row r="837" spans="1:9">
      <c r="A837"/>
      <c r="B837"/>
      <c r="C837"/>
      <c r="D837"/>
      <c r="E837"/>
      <c r="F837"/>
      <c r="G837"/>
      <c r="H837"/>
      <c r="I837"/>
    </row>
    <row r="838" spans="1:9">
      <c r="A838"/>
      <c r="B838"/>
      <c r="C838"/>
      <c r="D838"/>
      <c r="E838"/>
      <c r="F838"/>
      <c r="G838"/>
      <c r="H838"/>
      <c r="I838"/>
    </row>
    <row r="839" spans="1:9">
      <c r="A839"/>
      <c r="B839"/>
      <c r="C839"/>
      <c r="D839"/>
      <c r="E839"/>
      <c r="F839"/>
      <c r="G839"/>
      <c r="H839"/>
      <c r="I839"/>
    </row>
    <row r="840" spans="1:9">
      <c r="A840"/>
      <c r="B840"/>
      <c r="C840"/>
      <c r="D840"/>
      <c r="E840"/>
      <c r="F840"/>
      <c r="G840"/>
      <c r="H840"/>
      <c r="I840"/>
    </row>
    <row r="841" spans="1:9">
      <c r="A841"/>
      <c r="B841"/>
      <c r="C841"/>
      <c r="D841"/>
      <c r="E841"/>
      <c r="F841"/>
      <c r="G841"/>
      <c r="H841"/>
      <c r="I841"/>
    </row>
    <row r="842" spans="1:9">
      <c r="A842"/>
      <c r="B842"/>
      <c r="C842"/>
      <c r="D842"/>
      <c r="E842"/>
      <c r="F842"/>
      <c r="G842"/>
      <c r="H842"/>
      <c r="I842"/>
    </row>
    <row r="843" spans="1:9">
      <c r="A843"/>
      <c r="B843"/>
      <c r="C843"/>
      <c r="D843"/>
      <c r="E843"/>
      <c r="F843"/>
      <c r="G843"/>
      <c r="H843"/>
      <c r="I843"/>
    </row>
    <row r="844" spans="1:9">
      <c r="A844"/>
      <c r="B844"/>
      <c r="C844"/>
      <c r="D844"/>
      <c r="E844"/>
      <c r="F844"/>
      <c r="G844"/>
      <c r="H844"/>
      <c r="I844"/>
    </row>
    <row r="845" spans="1:9">
      <c r="A845"/>
      <c r="B845"/>
      <c r="C845"/>
      <c r="D845"/>
      <c r="E845"/>
      <c r="F845"/>
      <c r="G845"/>
      <c r="H845"/>
      <c r="I845"/>
    </row>
    <row r="846" spans="1:9">
      <c r="A846"/>
      <c r="B846"/>
      <c r="C846"/>
      <c r="D846"/>
      <c r="E846"/>
      <c r="F846"/>
      <c r="G846"/>
      <c r="H846"/>
      <c r="I846"/>
    </row>
    <row r="847" spans="1:9">
      <c r="A847"/>
      <c r="B847"/>
      <c r="C847"/>
      <c r="D847"/>
      <c r="E847"/>
      <c r="F847"/>
      <c r="G847"/>
      <c r="H847"/>
      <c r="I847"/>
    </row>
    <row r="848" spans="1:9">
      <c r="A848"/>
      <c r="B848"/>
      <c r="C848"/>
      <c r="D848"/>
      <c r="E848"/>
      <c r="F848"/>
      <c r="G848"/>
      <c r="H848"/>
      <c r="I848"/>
    </row>
    <row r="849" spans="1:9">
      <c r="A849"/>
      <c r="B849"/>
      <c r="C849"/>
      <c r="D849"/>
      <c r="E849"/>
      <c r="F849"/>
      <c r="G849"/>
      <c r="H849"/>
      <c r="I849"/>
    </row>
    <row r="850" spans="1:9">
      <c r="A850"/>
      <c r="B850"/>
      <c r="C850"/>
      <c r="D850"/>
      <c r="E850"/>
      <c r="F850"/>
      <c r="G850"/>
      <c r="H850"/>
      <c r="I850"/>
    </row>
    <row r="851" spans="1:9">
      <c r="A851"/>
      <c r="B851"/>
      <c r="C851"/>
      <c r="D851"/>
      <c r="E851"/>
      <c r="F851"/>
      <c r="G851"/>
      <c r="H851"/>
      <c r="I851"/>
    </row>
    <row r="852" spans="1:9">
      <c r="A852"/>
      <c r="B852"/>
      <c r="C852"/>
      <c r="D852"/>
      <c r="E852"/>
      <c r="F852"/>
      <c r="G852"/>
      <c r="H852"/>
      <c r="I852"/>
    </row>
    <row r="853" spans="1:9">
      <c r="A853"/>
      <c r="B853"/>
      <c r="C853"/>
      <c r="D853"/>
      <c r="E853"/>
      <c r="F853"/>
      <c r="G853"/>
      <c r="H853"/>
      <c r="I853"/>
    </row>
    <row r="854" spans="1:9">
      <c r="A854"/>
      <c r="B854"/>
      <c r="C854"/>
      <c r="D854"/>
      <c r="E854"/>
      <c r="F854"/>
      <c r="G854"/>
      <c r="H854"/>
      <c r="I854"/>
    </row>
    <row r="855" spans="1:9">
      <c r="A855"/>
      <c r="B855"/>
      <c r="C855"/>
      <c r="D855"/>
      <c r="E855"/>
      <c r="F855"/>
      <c r="G855"/>
      <c r="H855"/>
      <c r="I855"/>
    </row>
    <row r="856" spans="1:9">
      <c r="A856"/>
      <c r="B856"/>
      <c r="C856"/>
      <c r="D856"/>
      <c r="E856"/>
      <c r="F856"/>
      <c r="G856"/>
      <c r="H856"/>
      <c r="I856"/>
    </row>
    <row r="857" spans="1:9">
      <c r="A857"/>
      <c r="B857"/>
      <c r="C857"/>
      <c r="D857"/>
      <c r="E857"/>
      <c r="F857"/>
      <c r="G857"/>
      <c r="H857"/>
      <c r="I857"/>
    </row>
    <row r="858" spans="1:9">
      <c r="A858"/>
      <c r="B858"/>
      <c r="C858"/>
      <c r="D858"/>
      <c r="E858"/>
      <c r="F858"/>
      <c r="G858"/>
      <c r="H858"/>
      <c r="I858"/>
    </row>
    <row r="859" spans="1:9">
      <c r="A859"/>
      <c r="B859"/>
      <c r="C859"/>
      <c r="D859"/>
      <c r="E859"/>
      <c r="F859"/>
      <c r="G859"/>
      <c r="H859"/>
      <c r="I859"/>
    </row>
    <row r="860" spans="1:9">
      <c r="A860"/>
      <c r="B860"/>
      <c r="C860"/>
      <c r="D860"/>
      <c r="E860"/>
      <c r="F860"/>
      <c r="G860"/>
      <c r="H860"/>
      <c r="I860"/>
    </row>
    <row r="861" spans="1:9">
      <c r="A861"/>
      <c r="B861"/>
      <c r="C861"/>
      <c r="D861"/>
      <c r="E861"/>
      <c r="F861"/>
      <c r="G861"/>
      <c r="H861"/>
      <c r="I861"/>
    </row>
    <row r="862" spans="1:9">
      <c r="A862"/>
      <c r="B862"/>
      <c r="C862"/>
      <c r="D862"/>
      <c r="E862"/>
      <c r="F862"/>
      <c r="G862"/>
      <c r="H862"/>
      <c r="I862"/>
    </row>
    <row r="863" spans="1:9">
      <c r="A863"/>
      <c r="B863"/>
      <c r="C863"/>
      <c r="D863"/>
      <c r="E863"/>
      <c r="F863"/>
      <c r="G863"/>
      <c r="H863"/>
      <c r="I863"/>
    </row>
    <row r="864" spans="1:9">
      <c r="A864"/>
      <c r="B864"/>
      <c r="C864"/>
      <c r="D864"/>
      <c r="E864"/>
      <c r="F864"/>
      <c r="G864"/>
      <c r="H864"/>
      <c r="I864"/>
    </row>
    <row r="865" spans="1:9">
      <c r="A865"/>
      <c r="B865"/>
      <c r="C865"/>
      <c r="D865"/>
      <c r="E865"/>
      <c r="F865"/>
      <c r="G865"/>
      <c r="H865"/>
      <c r="I865"/>
    </row>
    <row r="866" spans="1:9">
      <c r="A866"/>
      <c r="B866"/>
      <c r="C866"/>
      <c r="D866"/>
      <c r="E866"/>
      <c r="F866"/>
      <c r="G866"/>
      <c r="H866"/>
      <c r="I866"/>
    </row>
    <row r="867" spans="1:9">
      <c r="A867"/>
      <c r="B867"/>
      <c r="C867"/>
      <c r="D867"/>
      <c r="E867"/>
      <c r="F867"/>
      <c r="G867"/>
      <c r="H867"/>
      <c r="I867"/>
    </row>
    <row r="868" spans="1:9">
      <c r="A868"/>
      <c r="B868"/>
      <c r="C868"/>
      <c r="D868"/>
      <c r="E868"/>
      <c r="F868"/>
      <c r="G868"/>
      <c r="H868"/>
      <c r="I868"/>
    </row>
    <row r="869" spans="1:9">
      <c r="A869"/>
      <c r="B869"/>
      <c r="C869"/>
      <c r="D869"/>
      <c r="E869"/>
      <c r="F869"/>
      <c r="G869"/>
      <c r="H869"/>
      <c r="I869"/>
    </row>
    <row r="870" spans="1:9">
      <c r="A870"/>
      <c r="B870"/>
      <c r="C870"/>
      <c r="D870"/>
      <c r="E870"/>
      <c r="F870"/>
      <c r="G870"/>
      <c r="H870"/>
      <c r="I870"/>
    </row>
    <row r="871" spans="1:9">
      <c r="A871"/>
      <c r="B871"/>
      <c r="C871"/>
      <c r="D871"/>
      <c r="E871"/>
      <c r="F871"/>
      <c r="G871"/>
      <c r="H871"/>
      <c r="I871"/>
    </row>
    <row r="872" spans="1:9">
      <c r="A872"/>
      <c r="B872"/>
      <c r="C872"/>
      <c r="D872"/>
      <c r="E872"/>
      <c r="F872"/>
      <c r="G872"/>
      <c r="H872"/>
      <c r="I872"/>
    </row>
    <row r="873" spans="1:9">
      <c r="A873"/>
      <c r="B873"/>
      <c r="C873"/>
      <c r="D873"/>
      <c r="E873"/>
      <c r="F873"/>
      <c r="G873"/>
      <c r="H873"/>
      <c r="I873"/>
    </row>
    <row r="874" spans="1:9">
      <c r="A874"/>
      <c r="B874"/>
      <c r="C874"/>
      <c r="D874"/>
      <c r="E874"/>
      <c r="F874"/>
      <c r="G874"/>
      <c r="H874"/>
      <c r="I874"/>
    </row>
    <row r="875" spans="1:9">
      <c r="A875"/>
      <c r="B875"/>
      <c r="C875"/>
      <c r="D875"/>
      <c r="E875"/>
      <c r="F875"/>
      <c r="G875"/>
      <c r="H875"/>
      <c r="I875"/>
    </row>
    <row r="876" spans="1:9">
      <c r="A876"/>
      <c r="B876"/>
      <c r="C876"/>
      <c r="D876"/>
      <c r="E876"/>
      <c r="F876"/>
      <c r="G876"/>
      <c r="H876"/>
      <c r="I876"/>
    </row>
    <row r="877" spans="1:9">
      <c r="A877"/>
      <c r="B877"/>
      <c r="C877"/>
      <c r="D877"/>
      <c r="E877"/>
      <c r="F877"/>
      <c r="G877"/>
      <c r="H877"/>
      <c r="I877"/>
    </row>
    <row r="878" spans="1:9">
      <c r="A878"/>
      <c r="B878"/>
      <c r="C878"/>
      <c r="D878"/>
      <c r="E878"/>
      <c r="F878"/>
      <c r="G878"/>
      <c r="H878"/>
      <c r="I878"/>
    </row>
    <row r="879" spans="1:9">
      <c r="A879"/>
      <c r="B879"/>
      <c r="C879"/>
      <c r="D879"/>
      <c r="E879"/>
      <c r="F879"/>
      <c r="G879"/>
      <c r="H879"/>
      <c r="I879"/>
    </row>
    <row r="880" spans="1:9">
      <c r="A880"/>
      <c r="B880"/>
      <c r="C880"/>
      <c r="D880"/>
      <c r="E880"/>
      <c r="F880"/>
      <c r="G880"/>
      <c r="H880"/>
      <c r="I880"/>
    </row>
    <row r="881" spans="1:9">
      <c r="A881"/>
      <c r="B881"/>
      <c r="C881"/>
      <c r="D881"/>
      <c r="E881"/>
      <c r="F881"/>
      <c r="G881"/>
      <c r="H881"/>
      <c r="I881"/>
    </row>
    <row r="882" spans="1:9">
      <c r="A882"/>
      <c r="B882"/>
      <c r="C882"/>
      <c r="D882"/>
      <c r="E882"/>
      <c r="F882"/>
      <c r="G882"/>
      <c r="H882"/>
      <c r="I882"/>
    </row>
    <row r="883" spans="1:9">
      <c r="A883"/>
      <c r="B883"/>
      <c r="C883"/>
      <c r="D883"/>
      <c r="E883"/>
      <c r="F883"/>
      <c r="G883"/>
      <c r="H883"/>
      <c r="I883"/>
    </row>
    <row r="884" spans="1:9">
      <c r="A884"/>
      <c r="B884"/>
      <c r="C884"/>
      <c r="D884"/>
      <c r="E884"/>
      <c r="F884"/>
      <c r="G884"/>
      <c r="H884"/>
      <c r="I884"/>
    </row>
    <row r="885" spans="1:9">
      <c r="A885"/>
      <c r="B885"/>
      <c r="C885"/>
      <c r="D885"/>
      <c r="E885"/>
      <c r="F885"/>
      <c r="G885"/>
      <c r="H885"/>
      <c r="I885"/>
    </row>
    <row r="886" spans="1:9">
      <c r="A886"/>
      <c r="B886"/>
      <c r="C886"/>
      <c r="D886"/>
      <c r="E886"/>
      <c r="F886"/>
      <c r="G886"/>
      <c r="H886"/>
      <c r="I886"/>
    </row>
    <row r="887" spans="1:9">
      <c r="A887"/>
      <c r="B887"/>
      <c r="C887"/>
      <c r="D887"/>
      <c r="E887"/>
      <c r="F887"/>
      <c r="G887"/>
      <c r="H887"/>
      <c r="I887"/>
    </row>
    <row r="888" spans="1:9">
      <c r="A888"/>
      <c r="B888"/>
      <c r="C888"/>
      <c r="D888"/>
      <c r="E888"/>
      <c r="F888"/>
      <c r="G888"/>
      <c r="H888"/>
      <c r="I888"/>
    </row>
    <row r="889" spans="1:9">
      <c r="A889"/>
      <c r="B889"/>
      <c r="C889"/>
      <c r="D889"/>
      <c r="E889"/>
      <c r="F889"/>
      <c r="G889"/>
      <c r="H889"/>
      <c r="I889"/>
    </row>
    <row r="890" spans="1:9">
      <c r="A890"/>
      <c r="B890"/>
      <c r="C890"/>
      <c r="D890"/>
      <c r="E890"/>
      <c r="F890"/>
      <c r="G890"/>
      <c r="H890"/>
      <c r="I890"/>
    </row>
    <row r="891" spans="1:9">
      <c r="A891"/>
      <c r="B891"/>
      <c r="C891"/>
      <c r="D891"/>
      <c r="E891"/>
      <c r="F891"/>
      <c r="G891"/>
      <c r="H891"/>
      <c r="I891"/>
    </row>
    <row r="892" spans="1:9">
      <c r="A892"/>
      <c r="B892"/>
      <c r="C892"/>
      <c r="D892"/>
      <c r="E892"/>
      <c r="F892"/>
      <c r="G892"/>
      <c r="H892"/>
      <c r="I892"/>
    </row>
    <row r="893" spans="1:9">
      <c r="A893"/>
      <c r="B893"/>
      <c r="C893"/>
      <c r="D893"/>
      <c r="E893"/>
      <c r="F893"/>
      <c r="G893"/>
      <c r="H893"/>
      <c r="I893"/>
    </row>
    <row r="894" spans="1:9">
      <c r="A894"/>
      <c r="B894"/>
      <c r="C894"/>
      <c r="D894"/>
      <c r="E894"/>
      <c r="F894"/>
      <c r="G894"/>
      <c r="H894"/>
      <c r="I894"/>
    </row>
    <row r="895" spans="1:9">
      <c r="A895"/>
      <c r="B895"/>
      <c r="C895"/>
      <c r="D895"/>
      <c r="E895"/>
      <c r="F895"/>
      <c r="G895"/>
      <c r="H895"/>
      <c r="I895"/>
    </row>
    <row r="896" spans="1:9">
      <c r="A896"/>
      <c r="B896"/>
      <c r="C896"/>
      <c r="D896"/>
      <c r="E896"/>
      <c r="F896"/>
      <c r="G896"/>
      <c r="H896"/>
      <c r="I896"/>
    </row>
    <row r="897" spans="1:9">
      <c r="A897"/>
      <c r="B897"/>
      <c r="C897"/>
      <c r="D897"/>
      <c r="E897"/>
      <c r="F897"/>
      <c r="G897"/>
      <c r="H897"/>
      <c r="I897"/>
    </row>
    <row r="898" spans="1:9">
      <c r="A898"/>
      <c r="B898"/>
      <c r="C898"/>
      <c r="D898"/>
      <c r="E898"/>
      <c r="F898"/>
      <c r="G898"/>
      <c r="H898"/>
      <c r="I898"/>
    </row>
    <row r="899" spans="1:9">
      <c r="A899"/>
      <c r="B899"/>
      <c r="C899"/>
      <c r="D899"/>
      <c r="E899"/>
      <c r="F899"/>
      <c r="G899"/>
      <c r="H899"/>
      <c r="I899"/>
    </row>
    <row r="900" spans="1:9">
      <c r="A900"/>
      <c r="B900"/>
      <c r="C900"/>
      <c r="D900"/>
      <c r="E900"/>
      <c r="F900"/>
      <c r="G900"/>
      <c r="H900"/>
      <c r="I900"/>
    </row>
    <row r="901" spans="1:9">
      <c r="A901"/>
      <c r="B901"/>
      <c r="C901"/>
      <c r="D901"/>
      <c r="E901"/>
      <c r="F901"/>
      <c r="G901"/>
      <c r="H901"/>
      <c r="I901"/>
    </row>
    <row r="902" spans="1:9">
      <c r="A902"/>
      <c r="B902"/>
      <c r="C902"/>
      <c r="D902"/>
      <c r="E902"/>
      <c r="F902"/>
      <c r="G902"/>
      <c r="H902"/>
      <c r="I902"/>
    </row>
    <row r="903" spans="1:9">
      <c r="A903"/>
      <c r="B903"/>
      <c r="C903"/>
      <c r="D903"/>
      <c r="E903"/>
      <c r="F903"/>
      <c r="G903"/>
      <c r="H903"/>
      <c r="I903"/>
    </row>
    <row r="904" spans="1:9">
      <c r="A904"/>
      <c r="B904"/>
      <c r="C904"/>
      <c r="D904"/>
      <c r="E904"/>
      <c r="F904"/>
      <c r="G904"/>
      <c r="H904"/>
      <c r="I904"/>
    </row>
    <row r="905" spans="1:9">
      <c r="A905"/>
      <c r="B905"/>
      <c r="C905"/>
      <c r="D905"/>
      <c r="E905"/>
      <c r="F905"/>
      <c r="G905"/>
      <c r="H905"/>
      <c r="I905"/>
    </row>
    <row r="906" spans="1:9">
      <c r="A906"/>
      <c r="B906"/>
      <c r="C906"/>
      <c r="D906"/>
      <c r="E906"/>
      <c r="F906"/>
      <c r="G906"/>
      <c r="H906"/>
      <c r="I906"/>
    </row>
    <row r="907" spans="1:9">
      <c r="A907"/>
      <c r="B907"/>
      <c r="C907"/>
      <c r="D907"/>
      <c r="E907"/>
      <c r="F907"/>
      <c r="G907"/>
      <c r="H907"/>
      <c r="I907"/>
    </row>
    <row r="908" spans="1:9">
      <c r="A908"/>
      <c r="B908"/>
      <c r="C908"/>
      <c r="D908"/>
      <c r="E908"/>
      <c r="F908"/>
      <c r="G908"/>
      <c r="H908"/>
      <c r="I908"/>
    </row>
    <row r="909" spans="1:9">
      <c r="A909"/>
      <c r="B909"/>
      <c r="C909"/>
      <c r="D909"/>
      <c r="E909"/>
      <c r="F909"/>
      <c r="G909"/>
      <c r="H909"/>
      <c r="I909"/>
    </row>
    <row r="910" spans="1:9">
      <c r="A910"/>
      <c r="B910"/>
      <c r="C910"/>
      <c r="D910"/>
      <c r="E910"/>
      <c r="F910"/>
      <c r="G910"/>
      <c r="H910"/>
      <c r="I910"/>
    </row>
    <row r="911" spans="1:9">
      <c r="A911"/>
      <c r="B911"/>
      <c r="C911"/>
      <c r="D911"/>
      <c r="E911"/>
      <c r="F911"/>
      <c r="G911"/>
      <c r="H911"/>
      <c r="I911"/>
    </row>
    <row r="912" spans="1:9">
      <c r="A912"/>
      <c r="B912"/>
      <c r="C912"/>
      <c r="D912"/>
      <c r="E912"/>
      <c r="F912"/>
      <c r="G912"/>
      <c r="H912"/>
      <c r="I912"/>
    </row>
    <row r="913" spans="1:9">
      <c r="A913"/>
      <c r="B913"/>
      <c r="C913"/>
      <c r="D913"/>
      <c r="E913"/>
      <c r="F913"/>
      <c r="G913"/>
      <c r="H913"/>
      <c r="I913"/>
    </row>
    <row r="914" spans="1:9">
      <c r="A914"/>
      <c r="B914"/>
      <c r="C914"/>
      <c r="D914"/>
      <c r="E914"/>
      <c r="F914"/>
      <c r="G914"/>
      <c r="H914"/>
      <c r="I914"/>
    </row>
    <row r="915" spans="1:9">
      <c r="A915"/>
      <c r="B915"/>
      <c r="C915"/>
      <c r="D915"/>
      <c r="E915"/>
      <c r="F915"/>
      <c r="G915"/>
      <c r="H915"/>
      <c r="I915"/>
    </row>
    <row r="916" spans="1:9">
      <c r="A916"/>
      <c r="B916"/>
      <c r="C916"/>
      <c r="D916"/>
      <c r="E916"/>
      <c r="F916"/>
      <c r="G916"/>
      <c r="H916"/>
      <c r="I916"/>
    </row>
    <row r="917" spans="1:9">
      <c r="A917"/>
      <c r="B917"/>
      <c r="C917"/>
      <c r="D917"/>
      <c r="E917"/>
      <c r="F917"/>
      <c r="G917"/>
      <c r="H917"/>
      <c r="I917"/>
    </row>
    <row r="918" spans="1:9">
      <c r="A918"/>
      <c r="B918"/>
      <c r="C918"/>
      <c r="D918"/>
      <c r="E918"/>
      <c r="F918"/>
      <c r="G918"/>
      <c r="H918"/>
      <c r="I918"/>
    </row>
    <row r="919" spans="1:9">
      <c r="A919"/>
      <c r="B919"/>
      <c r="C919"/>
      <c r="D919"/>
      <c r="E919"/>
      <c r="F919"/>
      <c r="G919"/>
      <c r="H919"/>
      <c r="I919"/>
    </row>
    <row r="920" spans="1:9">
      <c r="A920"/>
      <c r="B920"/>
      <c r="C920"/>
      <c r="D920"/>
      <c r="E920"/>
      <c r="F920"/>
      <c r="G920"/>
      <c r="H920"/>
      <c r="I920"/>
    </row>
    <row r="921" spans="1:9">
      <c r="A921"/>
      <c r="B921"/>
      <c r="C921"/>
      <c r="D921"/>
      <c r="E921"/>
      <c r="F921"/>
      <c r="G921"/>
      <c r="H921"/>
      <c r="I921"/>
    </row>
    <row r="922" spans="1:9">
      <c r="A922"/>
      <c r="B922"/>
      <c r="C922"/>
      <c r="D922"/>
      <c r="E922"/>
      <c r="F922"/>
      <c r="G922"/>
      <c r="H922"/>
      <c r="I922"/>
    </row>
    <row r="923" spans="1:9">
      <c r="A923"/>
      <c r="B923"/>
      <c r="C923"/>
      <c r="D923"/>
      <c r="E923"/>
      <c r="F923"/>
      <c r="G923"/>
      <c r="H923"/>
      <c r="I923"/>
    </row>
    <row r="924" spans="1:9">
      <c r="A924"/>
      <c r="B924"/>
      <c r="C924"/>
      <c r="D924"/>
      <c r="E924"/>
      <c r="F924"/>
      <c r="G924"/>
      <c r="H924"/>
      <c r="I924"/>
    </row>
    <row r="925" spans="1:9">
      <c r="A925"/>
      <c r="B925"/>
      <c r="C925"/>
      <c r="D925"/>
      <c r="E925"/>
      <c r="F925"/>
      <c r="G925"/>
      <c r="H925"/>
      <c r="I925"/>
    </row>
    <row r="926" spans="1:9">
      <c r="A926"/>
      <c r="B926"/>
      <c r="C926"/>
      <c r="D926"/>
      <c r="E926"/>
      <c r="F926"/>
      <c r="G926"/>
      <c r="H926"/>
      <c r="I926"/>
    </row>
    <row r="927" spans="1:9">
      <c r="A927"/>
      <c r="B927"/>
      <c r="C927"/>
      <c r="D927"/>
      <c r="E927"/>
      <c r="F927"/>
      <c r="G927"/>
      <c r="H927"/>
      <c r="I927"/>
    </row>
    <row r="928" spans="1:9">
      <c r="A928"/>
      <c r="B928"/>
      <c r="C928"/>
      <c r="D928"/>
      <c r="E928"/>
      <c r="F928"/>
      <c r="G928"/>
      <c r="H928"/>
      <c r="I928"/>
    </row>
    <row r="929" spans="1:9">
      <c r="A929"/>
      <c r="B929"/>
      <c r="C929"/>
      <c r="D929"/>
      <c r="E929"/>
      <c r="F929"/>
      <c r="G929"/>
      <c r="H929"/>
      <c r="I929"/>
    </row>
    <row r="930" spans="1:9">
      <c r="A930"/>
      <c r="B930"/>
      <c r="C930"/>
      <c r="D930"/>
      <c r="E930"/>
      <c r="F930"/>
      <c r="G930"/>
      <c r="H930"/>
      <c r="I930"/>
    </row>
    <row r="931" spans="1:9">
      <c r="A931"/>
      <c r="B931"/>
      <c r="C931"/>
      <c r="D931"/>
      <c r="E931"/>
      <c r="F931"/>
      <c r="G931"/>
      <c r="H931"/>
      <c r="I931"/>
    </row>
    <row r="932" spans="1:9">
      <c r="A932"/>
      <c r="B932"/>
      <c r="C932"/>
      <c r="D932"/>
      <c r="E932"/>
      <c r="F932"/>
      <c r="G932"/>
      <c r="H932"/>
      <c r="I932"/>
    </row>
    <row r="933" spans="1:9">
      <c r="A933"/>
      <c r="B933"/>
      <c r="C933"/>
      <c r="D933"/>
      <c r="E933"/>
      <c r="F933"/>
      <c r="G933"/>
      <c r="H933"/>
      <c r="I933"/>
    </row>
    <row r="934" spans="1:9">
      <c r="A934"/>
      <c r="B934"/>
      <c r="C934"/>
      <c r="D934"/>
      <c r="E934"/>
      <c r="F934"/>
      <c r="G934"/>
      <c r="H934"/>
      <c r="I934"/>
    </row>
    <row r="935" spans="1:9">
      <c r="A935"/>
      <c r="B935"/>
      <c r="C935"/>
      <c r="D935"/>
      <c r="E935"/>
      <c r="F935"/>
      <c r="G935"/>
      <c r="H935"/>
      <c r="I935"/>
    </row>
    <row r="936" spans="1:9">
      <c r="A936"/>
      <c r="B936"/>
      <c r="C936"/>
      <c r="D936"/>
      <c r="E936"/>
      <c r="F936"/>
      <c r="G936"/>
      <c r="H936"/>
      <c r="I936"/>
    </row>
    <row r="937" spans="1:9">
      <c r="A937"/>
      <c r="B937"/>
      <c r="C937"/>
      <c r="D937"/>
      <c r="E937"/>
      <c r="F937"/>
      <c r="G937"/>
      <c r="H937"/>
      <c r="I937"/>
    </row>
    <row r="938" spans="1:9">
      <c r="A938"/>
      <c r="B938"/>
      <c r="C938"/>
      <c r="D938"/>
      <c r="E938"/>
      <c r="F938"/>
      <c r="G938"/>
      <c r="H938"/>
      <c r="I938"/>
    </row>
    <row r="939" spans="1:9">
      <c r="A939"/>
      <c r="B939"/>
      <c r="C939"/>
      <c r="D939"/>
      <c r="E939"/>
      <c r="F939"/>
      <c r="G939"/>
      <c r="H939"/>
      <c r="I939"/>
    </row>
    <row r="940" spans="1:9">
      <c r="A940"/>
      <c r="B940"/>
      <c r="C940"/>
      <c r="D940"/>
      <c r="E940"/>
      <c r="F940"/>
      <c r="G940"/>
      <c r="H940"/>
      <c r="I940"/>
    </row>
    <row r="941" spans="1:9">
      <c r="A941"/>
      <c r="B941"/>
      <c r="C941"/>
      <c r="D941"/>
      <c r="E941"/>
      <c r="F941"/>
      <c r="G941"/>
      <c r="H941"/>
      <c r="I941"/>
    </row>
    <row r="942" spans="1:9">
      <c r="A942"/>
      <c r="B942"/>
      <c r="C942"/>
      <c r="D942"/>
      <c r="E942"/>
      <c r="F942"/>
      <c r="G942"/>
      <c r="H942"/>
      <c r="I942"/>
    </row>
    <row r="943" spans="1:9">
      <c r="A943"/>
      <c r="B943"/>
      <c r="C943"/>
      <c r="D943"/>
      <c r="E943"/>
      <c r="F943"/>
      <c r="G943"/>
      <c r="H943"/>
      <c r="I943"/>
    </row>
    <row r="944" spans="1:9">
      <c r="A944"/>
      <c r="B944"/>
      <c r="C944"/>
      <c r="D944"/>
      <c r="E944"/>
      <c r="F944"/>
      <c r="G944"/>
      <c r="H944"/>
      <c r="I944"/>
    </row>
    <row r="945" spans="1:9">
      <c r="A945"/>
      <c r="B945"/>
      <c r="C945"/>
      <c r="D945"/>
      <c r="E945"/>
      <c r="F945"/>
      <c r="G945"/>
      <c r="H945"/>
      <c r="I945"/>
    </row>
    <row r="946" spans="1:9">
      <c r="A946"/>
      <c r="B946"/>
      <c r="C946"/>
      <c r="D946"/>
      <c r="E946"/>
      <c r="F946"/>
      <c r="G946"/>
      <c r="H946"/>
      <c r="I946"/>
    </row>
    <row r="947" spans="1:9">
      <c r="A947"/>
      <c r="B947"/>
      <c r="C947"/>
      <c r="D947"/>
      <c r="E947"/>
      <c r="F947"/>
      <c r="G947"/>
      <c r="H947"/>
      <c r="I947"/>
    </row>
    <row r="948" spans="1:9">
      <c r="A948"/>
      <c r="B948"/>
      <c r="C948"/>
      <c r="D948"/>
      <c r="E948"/>
      <c r="F948"/>
      <c r="G948"/>
      <c r="H948"/>
      <c r="I948"/>
    </row>
    <row r="949" spans="1:9">
      <c r="A949"/>
      <c r="B949"/>
      <c r="C949"/>
      <c r="D949"/>
      <c r="E949"/>
      <c r="F949"/>
      <c r="G949"/>
      <c r="H949"/>
      <c r="I949"/>
    </row>
    <row r="950" spans="1:9">
      <c r="A950"/>
      <c r="B950"/>
      <c r="C950"/>
      <c r="D950"/>
      <c r="E950"/>
      <c r="F950"/>
      <c r="G950"/>
      <c r="H950"/>
      <c r="I950"/>
    </row>
    <row r="951" spans="1:9">
      <c r="A951"/>
      <c r="B951"/>
      <c r="C951"/>
      <c r="D951"/>
      <c r="E951"/>
      <c r="F951"/>
      <c r="G951"/>
      <c r="H951"/>
      <c r="I951"/>
    </row>
    <row r="952" spans="1:9">
      <c r="A952"/>
      <c r="B952"/>
      <c r="C952"/>
      <c r="D952"/>
      <c r="E952"/>
      <c r="F952"/>
      <c r="G952"/>
      <c r="H952"/>
      <c r="I952"/>
    </row>
    <row r="953" spans="1:9">
      <c r="A953"/>
      <c r="B953"/>
      <c r="C953"/>
      <c r="D953"/>
      <c r="E953"/>
      <c r="F953"/>
      <c r="G953"/>
      <c r="H953"/>
      <c r="I953"/>
    </row>
    <row r="954" spans="1:9">
      <c r="A954"/>
      <c r="B954"/>
      <c r="C954"/>
      <c r="D954"/>
      <c r="E954"/>
      <c r="F954"/>
      <c r="G954"/>
      <c r="H954"/>
      <c r="I954"/>
    </row>
    <row r="955" spans="1:9">
      <c r="A955"/>
      <c r="B955"/>
      <c r="C955"/>
      <c r="D955"/>
      <c r="E955"/>
      <c r="F955"/>
      <c r="G955"/>
      <c r="H955"/>
      <c r="I955"/>
    </row>
    <row r="956" spans="1:9">
      <c r="A956"/>
      <c r="B956"/>
      <c r="C956"/>
      <c r="D956"/>
      <c r="E956"/>
      <c r="F956"/>
      <c r="G956"/>
      <c r="H956"/>
      <c r="I956"/>
    </row>
    <row r="957" spans="1:9">
      <c r="A957"/>
      <c r="B957"/>
      <c r="C957"/>
      <c r="D957"/>
      <c r="E957"/>
      <c r="F957"/>
      <c r="G957"/>
      <c r="H957"/>
      <c r="I957"/>
    </row>
    <row r="958" spans="1:9">
      <c r="A958"/>
      <c r="B958"/>
      <c r="C958"/>
      <c r="D958"/>
      <c r="E958"/>
      <c r="F958"/>
      <c r="G958"/>
      <c r="H958"/>
      <c r="I958"/>
    </row>
    <row r="959" spans="1:9">
      <c r="A959"/>
      <c r="B959"/>
      <c r="C959"/>
      <c r="D959"/>
      <c r="E959"/>
      <c r="F959"/>
      <c r="G959"/>
      <c r="H959"/>
      <c r="I959"/>
    </row>
    <row r="960" spans="1:9">
      <c r="A960"/>
      <c r="B960"/>
      <c r="C960"/>
      <c r="D960"/>
      <c r="E960"/>
      <c r="F960"/>
      <c r="G960"/>
      <c r="H960"/>
      <c r="I960"/>
    </row>
    <row r="961" spans="1:9">
      <c r="A961"/>
      <c r="B961"/>
      <c r="C961"/>
      <c r="D961"/>
      <c r="E961"/>
      <c r="F961"/>
      <c r="G961"/>
      <c r="H961"/>
      <c r="I961"/>
    </row>
    <row r="962" spans="1:9">
      <c r="A962"/>
      <c r="B962"/>
      <c r="C962"/>
      <c r="D962"/>
      <c r="E962"/>
      <c r="F962"/>
      <c r="G962"/>
      <c r="H962"/>
      <c r="I962"/>
    </row>
    <row r="963" spans="1:9">
      <c r="A963"/>
      <c r="B963"/>
      <c r="C963"/>
      <c r="D963"/>
      <c r="E963"/>
      <c r="F963"/>
      <c r="G963"/>
      <c r="H963"/>
      <c r="I963"/>
    </row>
    <row r="964" spans="1:9">
      <c r="A964"/>
      <c r="B964"/>
      <c r="C964"/>
      <c r="D964"/>
      <c r="E964"/>
      <c r="F964"/>
      <c r="G964"/>
      <c r="H964"/>
      <c r="I964"/>
    </row>
    <row r="965" spans="1:9">
      <c r="A965"/>
      <c r="B965"/>
      <c r="C965"/>
      <c r="D965"/>
      <c r="E965"/>
      <c r="F965"/>
      <c r="G965"/>
      <c r="H965"/>
      <c r="I965"/>
    </row>
    <row r="966" spans="1:9">
      <c r="A966"/>
      <c r="B966"/>
      <c r="C966"/>
      <c r="D966"/>
      <c r="E966"/>
      <c r="F966"/>
      <c r="G966"/>
      <c r="H966"/>
      <c r="I966"/>
    </row>
    <row r="967" spans="1:9">
      <c r="A967"/>
      <c r="B967"/>
      <c r="C967"/>
      <c r="D967"/>
      <c r="E967"/>
      <c r="F967"/>
      <c r="G967"/>
      <c r="H967"/>
      <c r="I967"/>
    </row>
    <row r="968" spans="1:9">
      <c r="A968"/>
      <c r="B968"/>
      <c r="C968"/>
      <c r="D968"/>
      <c r="E968"/>
      <c r="F968"/>
      <c r="G968"/>
      <c r="H968"/>
      <c r="I968"/>
    </row>
    <row r="969" spans="1:9">
      <c r="A969"/>
      <c r="B969"/>
      <c r="C969"/>
      <c r="D969"/>
      <c r="E969"/>
      <c r="F969"/>
      <c r="G969"/>
      <c r="H969"/>
      <c r="I969"/>
    </row>
    <row r="970" spans="1:9">
      <c r="A970"/>
      <c r="B970"/>
      <c r="C970"/>
      <c r="D970"/>
      <c r="E970"/>
      <c r="F970"/>
      <c r="G970"/>
      <c r="H970"/>
      <c r="I970"/>
    </row>
    <row r="971" spans="1:9">
      <c r="A971"/>
      <c r="B971"/>
      <c r="C971"/>
      <c r="D971"/>
      <c r="E971"/>
      <c r="F971"/>
      <c r="G971"/>
      <c r="H971"/>
      <c r="I971"/>
    </row>
    <row r="972" spans="1:9">
      <c r="A972"/>
      <c r="B972"/>
      <c r="C972"/>
      <c r="D972"/>
      <c r="E972"/>
      <c r="F972"/>
      <c r="G972"/>
      <c r="H972"/>
      <c r="I972"/>
    </row>
    <row r="973" spans="1:9">
      <c r="A973"/>
      <c r="B973"/>
      <c r="C973"/>
      <c r="D973"/>
      <c r="E973"/>
      <c r="F973"/>
      <c r="G973"/>
      <c r="H973"/>
      <c r="I973"/>
    </row>
    <row r="974" spans="1:9">
      <c r="A974"/>
      <c r="B974"/>
      <c r="C974"/>
      <c r="D974"/>
      <c r="E974"/>
      <c r="F974"/>
      <c r="G974"/>
      <c r="H974"/>
      <c r="I974"/>
    </row>
    <row r="975" spans="1:9">
      <c r="A975"/>
      <c r="B975"/>
      <c r="C975"/>
      <c r="D975"/>
      <c r="E975"/>
      <c r="F975"/>
      <c r="G975"/>
      <c r="H975"/>
      <c r="I975"/>
    </row>
    <row r="976" spans="1:9">
      <c r="A976"/>
      <c r="B976"/>
      <c r="C976"/>
      <c r="D976"/>
      <c r="E976"/>
      <c r="F976"/>
      <c r="G976"/>
      <c r="H976"/>
      <c r="I976"/>
    </row>
    <row r="977" spans="1:9">
      <c r="A977"/>
      <c r="B977"/>
      <c r="C977"/>
      <c r="D977"/>
      <c r="E977"/>
      <c r="F977"/>
      <c r="G977"/>
      <c r="H977"/>
      <c r="I977"/>
    </row>
    <row r="978" spans="1:9">
      <c r="A978"/>
      <c r="B978"/>
      <c r="C978"/>
      <c r="D978"/>
      <c r="E978"/>
      <c r="F978"/>
      <c r="G978"/>
      <c r="H978"/>
      <c r="I978"/>
    </row>
    <row r="979" spans="1:9">
      <c r="A979"/>
      <c r="B979"/>
      <c r="C979"/>
      <c r="D979"/>
      <c r="E979"/>
      <c r="F979"/>
      <c r="G979"/>
      <c r="H979"/>
      <c r="I979"/>
    </row>
    <row r="980" spans="1:9">
      <c r="A980"/>
      <c r="B980"/>
      <c r="C980"/>
      <c r="D980"/>
      <c r="E980"/>
      <c r="F980"/>
      <c r="G980"/>
      <c r="H980"/>
      <c r="I980"/>
    </row>
    <row r="981" spans="1:9">
      <c r="A981"/>
      <c r="B981"/>
      <c r="C981"/>
      <c r="D981"/>
      <c r="E981"/>
      <c r="F981"/>
      <c r="G981"/>
      <c r="H981"/>
      <c r="I981"/>
    </row>
    <row r="982" spans="1:9">
      <c r="A982"/>
      <c r="B982"/>
      <c r="C982"/>
      <c r="D982"/>
      <c r="E982"/>
      <c r="F982"/>
      <c r="G982"/>
      <c r="H982"/>
      <c r="I982"/>
    </row>
    <row r="983" spans="1:9">
      <c r="A983"/>
      <c r="B983"/>
      <c r="C983"/>
      <c r="D983"/>
      <c r="E983"/>
      <c r="F983"/>
      <c r="G983"/>
      <c r="H983"/>
      <c r="I983"/>
    </row>
    <row r="984" spans="1:9">
      <c r="A984"/>
      <c r="B984"/>
      <c r="C984"/>
      <c r="D984"/>
      <c r="E984"/>
      <c r="F984"/>
      <c r="G984"/>
      <c r="H984"/>
      <c r="I984"/>
    </row>
    <row r="985" spans="1:9">
      <c r="A985"/>
      <c r="B985"/>
      <c r="C985"/>
      <c r="D985"/>
      <c r="E985"/>
      <c r="F985"/>
      <c r="G985"/>
      <c r="H985"/>
      <c r="I985"/>
    </row>
    <row r="986" spans="1:9">
      <c r="A986"/>
      <c r="B986"/>
      <c r="C986"/>
      <c r="D986"/>
      <c r="E986"/>
      <c r="F986"/>
      <c r="G986"/>
      <c r="H986"/>
      <c r="I986"/>
    </row>
    <row r="987" spans="1:9">
      <c r="A987"/>
      <c r="B987"/>
      <c r="C987"/>
      <c r="D987"/>
      <c r="E987"/>
      <c r="F987"/>
      <c r="G987"/>
      <c r="H987"/>
      <c r="I987"/>
    </row>
    <row r="988" spans="1:9">
      <c r="A988"/>
      <c r="B988"/>
      <c r="C988"/>
      <c r="D988"/>
      <c r="E988"/>
      <c r="F988"/>
      <c r="G988"/>
      <c r="H988"/>
      <c r="I988"/>
    </row>
    <row r="989" spans="1:9">
      <c r="A989"/>
      <c r="B989"/>
      <c r="C989"/>
      <c r="D989"/>
      <c r="E989"/>
      <c r="F989"/>
      <c r="G989"/>
      <c r="H989"/>
      <c r="I989"/>
    </row>
    <row r="990" spans="1:9">
      <c r="A990"/>
      <c r="B990"/>
      <c r="C990"/>
      <c r="D990"/>
      <c r="E990"/>
      <c r="F990"/>
      <c r="G990"/>
      <c r="H990"/>
      <c r="I990"/>
    </row>
    <row r="991" spans="1:9">
      <c r="A991"/>
      <c r="B991"/>
      <c r="C991"/>
      <c r="D991"/>
      <c r="E991"/>
      <c r="F991"/>
      <c r="G991"/>
      <c r="H991"/>
      <c r="I991"/>
    </row>
    <row r="992" spans="1:9">
      <c r="A992"/>
      <c r="B992"/>
      <c r="C992"/>
      <c r="D992"/>
      <c r="E992"/>
      <c r="F992"/>
      <c r="G992"/>
      <c r="H992"/>
      <c r="I992"/>
    </row>
    <row r="993" spans="1:9">
      <c r="A993"/>
      <c r="B993"/>
      <c r="C993"/>
      <c r="D993"/>
      <c r="E993"/>
      <c r="F993"/>
      <c r="G993"/>
      <c r="H993"/>
      <c r="I993"/>
    </row>
    <row r="994" spans="1:9">
      <c r="A994"/>
      <c r="B994"/>
      <c r="C994"/>
      <c r="D994"/>
      <c r="E994"/>
      <c r="F994"/>
      <c r="G994"/>
      <c r="H994"/>
      <c r="I994"/>
    </row>
    <row r="995" spans="1:9">
      <c r="A995"/>
      <c r="B995"/>
      <c r="C995"/>
      <c r="D995"/>
      <c r="E995"/>
      <c r="F995"/>
      <c r="G995"/>
      <c r="H995"/>
      <c r="I995"/>
    </row>
    <row r="996" spans="1:9">
      <c r="A996"/>
      <c r="B996"/>
      <c r="C996"/>
      <c r="D996"/>
      <c r="E996"/>
      <c r="F996"/>
      <c r="G996"/>
      <c r="H996"/>
      <c r="I996"/>
    </row>
    <row r="997" spans="1:9">
      <c r="A997"/>
      <c r="B997"/>
      <c r="C997"/>
      <c r="D997"/>
      <c r="E997"/>
      <c r="F997"/>
      <c r="G997"/>
      <c r="H997"/>
      <c r="I997"/>
    </row>
    <row r="998" spans="1:9">
      <c r="A998"/>
      <c r="B998"/>
      <c r="C998"/>
      <c r="D998"/>
      <c r="E998"/>
      <c r="F998"/>
      <c r="G998"/>
      <c r="H998"/>
      <c r="I998"/>
    </row>
    <row r="999" spans="1:9">
      <c r="A999"/>
      <c r="B999"/>
      <c r="C999"/>
      <c r="D999"/>
      <c r="E999"/>
      <c r="F999"/>
      <c r="G999"/>
      <c r="H999"/>
      <c r="I999"/>
    </row>
    <row r="1000" spans="1:9">
      <c r="A1000"/>
      <c r="B1000"/>
      <c r="C1000"/>
      <c r="D1000"/>
      <c r="E1000"/>
      <c r="F1000"/>
      <c r="G1000"/>
      <c r="H1000"/>
      <c r="I1000"/>
    </row>
    <row r="1001" spans="1:9">
      <c r="A1001"/>
      <c r="B1001"/>
      <c r="C1001"/>
      <c r="D1001"/>
      <c r="E1001"/>
      <c r="F1001"/>
      <c r="G1001"/>
      <c r="H1001"/>
      <c r="I1001"/>
    </row>
    <row r="1002" spans="1:9">
      <c r="A1002"/>
      <c r="B1002"/>
      <c r="C1002"/>
      <c r="D1002"/>
      <c r="E1002"/>
      <c r="F1002"/>
      <c r="G1002"/>
      <c r="H1002"/>
      <c r="I1002"/>
    </row>
    <row r="1003" spans="1:9">
      <c r="A1003"/>
      <c r="B1003"/>
      <c r="C1003"/>
      <c r="D1003"/>
      <c r="E1003"/>
      <c r="F1003"/>
      <c r="G1003"/>
      <c r="H1003"/>
      <c r="I1003"/>
    </row>
    <row r="1004" spans="1:9">
      <c r="A1004"/>
      <c r="B1004"/>
      <c r="C1004"/>
      <c r="D1004"/>
      <c r="E1004"/>
      <c r="F1004"/>
      <c r="G1004"/>
      <c r="H1004"/>
      <c r="I1004"/>
    </row>
    <row r="1005" spans="1:9">
      <c r="A1005"/>
      <c r="B1005"/>
      <c r="C1005"/>
      <c r="D1005"/>
      <c r="E1005"/>
      <c r="F1005"/>
      <c r="G1005"/>
      <c r="H1005"/>
      <c r="I1005"/>
    </row>
    <row r="1006" spans="1:9">
      <c r="A1006"/>
      <c r="B1006"/>
      <c r="C1006"/>
      <c r="D1006"/>
      <c r="E1006"/>
      <c r="F1006"/>
      <c r="G1006"/>
      <c r="H1006"/>
      <c r="I1006"/>
    </row>
    <row r="1007" spans="1:9">
      <c r="A1007"/>
      <c r="B1007"/>
      <c r="C1007"/>
      <c r="D1007"/>
      <c r="E1007"/>
      <c r="F1007"/>
      <c r="G1007"/>
      <c r="H1007"/>
      <c r="I1007"/>
    </row>
    <row r="1008" spans="1:9">
      <c r="A1008"/>
      <c r="B1008"/>
      <c r="C1008"/>
      <c r="D1008"/>
      <c r="E1008"/>
      <c r="F1008"/>
      <c r="G1008"/>
      <c r="H1008"/>
      <c r="I1008"/>
    </row>
    <row r="1009" spans="1:9">
      <c r="A1009"/>
      <c r="B1009"/>
      <c r="C1009"/>
      <c r="D1009"/>
      <c r="E1009"/>
      <c r="F1009"/>
      <c r="G1009"/>
      <c r="H1009"/>
      <c r="I1009"/>
    </row>
    <row r="1010" spans="1:9">
      <c r="A1010"/>
      <c r="B1010"/>
      <c r="C1010"/>
      <c r="D1010"/>
      <c r="E1010"/>
      <c r="F1010"/>
      <c r="G1010"/>
      <c r="H1010"/>
      <c r="I1010"/>
    </row>
    <row r="1011" spans="1:9">
      <c r="A1011"/>
      <c r="B1011"/>
      <c r="C1011"/>
      <c r="D1011"/>
      <c r="E1011"/>
      <c r="F1011"/>
      <c r="G1011"/>
      <c r="H1011"/>
      <c r="I1011"/>
    </row>
    <row r="1012" spans="1:9">
      <c r="A1012"/>
      <c r="B1012"/>
      <c r="C1012"/>
      <c r="D1012"/>
      <c r="E1012"/>
      <c r="F1012"/>
      <c r="G1012"/>
      <c r="H1012"/>
      <c r="I1012"/>
    </row>
    <row r="1013" spans="1:9">
      <c r="A1013"/>
      <c r="B1013"/>
      <c r="C1013"/>
      <c r="D1013"/>
      <c r="E1013"/>
      <c r="F1013"/>
      <c r="G1013"/>
      <c r="H1013"/>
      <c r="I1013"/>
    </row>
    <row r="1014" spans="1:9">
      <c r="A1014"/>
      <c r="B1014"/>
      <c r="C1014"/>
      <c r="D1014"/>
      <c r="E1014"/>
      <c r="F1014"/>
      <c r="G1014"/>
      <c r="H1014"/>
      <c r="I1014"/>
    </row>
    <row r="1015" spans="1:9">
      <c r="A1015"/>
      <c r="B1015"/>
      <c r="C1015"/>
      <c r="D1015"/>
      <c r="E1015"/>
      <c r="F1015"/>
      <c r="G1015"/>
      <c r="H1015"/>
      <c r="I1015"/>
    </row>
    <row r="1016" spans="1:9">
      <c r="A1016"/>
      <c r="B1016"/>
      <c r="C1016"/>
      <c r="D1016"/>
      <c r="E1016"/>
      <c r="F1016"/>
      <c r="G1016"/>
      <c r="H1016"/>
      <c r="I1016"/>
    </row>
    <row r="1017" spans="1:9">
      <c r="A1017"/>
      <c r="B1017"/>
      <c r="C1017"/>
      <c r="D1017"/>
      <c r="E1017"/>
      <c r="F1017"/>
      <c r="G1017"/>
      <c r="H1017"/>
      <c r="I1017"/>
    </row>
    <row r="1018" spans="1:9">
      <c r="A1018"/>
      <c r="B1018"/>
      <c r="C1018"/>
      <c r="D1018"/>
      <c r="E1018"/>
      <c r="F1018"/>
      <c r="G1018"/>
      <c r="H1018"/>
      <c r="I1018"/>
    </row>
    <row r="1019" spans="1:9">
      <c r="A1019"/>
      <c r="B1019"/>
      <c r="C1019"/>
      <c r="D1019"/>
      <c r="E1019"/>
      <c r="F1019"/>
      <c r="G1019"/>
      <c r="H1019"/>
      <c r="I1019"/>
    </row>
    <row r="1020" spans="1:9">
      <c r="A1020"/>
      <c r="B1020"/>
      <c r="C1020"/>
      <c r="D1020"/>
      <c r="E1020"/>
      <c r="F1020"/>
      <c r="G1020"/>
      <c r="H1020"/>
      <c r="I1020"/>
    </row>
    <row r="1021" spans="1:9">
      <c r="A1021"/>
      <c r="B1021"/>
      <c r="C1021"/>
      <c r="D1021"/>
      <c r="E1021"/>
      <c r="F1021"/>
      <c r="G1021"/>
      <c r="H1021"/>
      <c r="I1021"/>
    </row>
    <row r="1022" spans="1:9">
      <c r="A1022"/>
      <c r="B1022"/>
      <c r="C1022"/>
      <c r="D1022"/>
      <c r="E1022"/>
      <c r="F1022"/>
      <c r="G1022"/>
      <c r="H1022"/>
      <c r="I1022"/>
    </row>
    <row r="1023" spans="1:9">
      <c r="A1023"/>
      <c r="B1023"/>
      <c r="C1023"/>
      <c r="D1023"/>
      <c r="E1023"/>
      <c r="F1023"/>
      <c r="G1023"/>
      <c r="H1023"/>
      <c r="I1023"/>
    </row>
    <row r="1024" spans="1:9">
      <c r="A1024"/>
      <c r="B1024"/>
      <c r="C1024"/>
      <c r="D1024"/>
      <c r="E1024"/>
      <c r="F1024"/>
      <c r="G1024"/>
      <c r="H1024"/>
      <c r="I1024"/>
    </row>
    <row r="1025" spans="1:9">
      <c r="A1025"/>
      <c r="B1025"/>
      <c r="C1025"/>
      <c r="D1025"/>
      <c r="E1025"/>
      <c r="F1025"/>
      <c r="G1025"/>
      <c r="H1025"/>
      <c r="I1025"/>
    </row>
    <row r="1026" spans="1:9">
      <c r="A1026"/>
      <c r="B1026"/>
      <c r="C1026"/>
      <c r="D1026"/>
      <c r="E1026"/>
      <c r="F1026"/>
      <c r="G1026"/>
      <c r="H1026"/>
      <c r="I1026"/>
    </row>
    <row r="1027" spans="1:9">
      <c r="A1027"/>
      <c r="B1027"/>
      <c r="C1027"/>
      <c r="D1027"/>
      <c r="E1027"/>
      <c r="F1027"/>
      <c r="G1027"/>
      <c r="H1027"/>
      <c r="I1027"/>
    </row>
    <row r="1028" spans="1:9">
      <c r="A1028"/>
      <c r="B1028"/>
      <c r="C1028"/>
      <c r="D1028"/>
      <c r="E1028"/>
      <c r="F1028"/>
      <c r="G1028"/>
      <c r="H1028"/>
      <c r="I1028"/>
    </row>
    <row r="1029" spans="1:9">
      <c r="A1029"/>
      <c r="B1029"/>
      <c r="C1029"/>
      <c r="D1029"/>
      <c r="E1029"/>
      <c r="F1029"/>
      <c r="G1029"/>
      <c r="H1029"/>
      <c r="I1029"/>
    </row>
    <row r="1030" spans="1:9">
      <c r="A1030"/>
      <c r="B1030"/>
      <c r="C1030"/>
      <c r="D1030"/>
      <c r="E1030"/>
      <c r="F1030"/>
      <c r="G1030"/>
      <c r="H1030"/>
      <c r="I1030"/>
    </row>
    <row r="1031" spans="1:9">
      <c r="A1031"/>
      <c r="B1031"/>
      <c r="C1031"/>
      <c r="D1031"/>
      <c r="E1031"/>
      <c r="F1031"/>
      <c r="G1031"/>
      <c r="H1031"/>
      <c r="I1031"/>
    </row>
    <row r="1032" spans="1:9">
      <c r="A1032"/>
      <c r="B1032"/>
      <c r="C1032"/>
      <c r="D1032"/>
      <c r="E1032"/>
      <c r="F1032"/>
      <c r="G1032"/>
      <c r="H1032"/>
      <c r="I1032"/>
    </row>
    <row r="1033" spans="1:9">
      <c r="A1033"/>
      <c r="B1033"/>
      <c r="C1033"/>
      <c r="D1033"/>
      <c r="E1033"/>
      <c r="F1033"/>
      <c r="G1033"/>
      <c r="H1033"/>
      <c r="I1033"/>
    </row>
    <row r="1034" spans="1:9">
      <c r="A1034"/>
      <c r="B1034"/>
      <c r="C1034"/>
      <c r="D1034"/>
      <c r="E1034"/>
      <c r="F1034"/>
      <c r="G1034"/>
      <c r="H1034"/>
      <c r="I1034"/>
    </row>
    <row r="1035" spans="1:9">
      <c r="A1035"/>
      <c r="B1035"/>
      <c r="C1035"/>
      <c r="D1035"/>
      <c r="E1035"/>
      <c r="F1035"/>
      <c r="G1035"/>
      <c r="H1035"/>
      <c r="I1035"/>
    </row>
    <row r="1036" spans="1:9">
      <c r="A1036"/>
      <c r="B1036"/>
      <c r="C1036"/>
      <c r="D1036"/>
      <c r="E1036"/>
      <c r="F1036"/>
      <c r="G1036"/>
      <c r="H1036"/>
      <c r="I1036"/>
    </row>
    <row r="1037" spans="1:9">
      <c r="A1037"/>
      <c r="B1037"/>
      <c r="C1037"/>
      <c r="D1037"/>
      <c r="E1037"/>
      <c r="F1037"/>
      <c r="G1037"/>
      <c r="H1037"/>
      <c r="I1037"/>
    </row>
    <row r="1038" spans="1:9">
      <c r="A1038"/>
      <c r="B1038"/>
      <c r="C1038"/>
      <c r="D1038"/>
      <c r="E1038"/>
      <c r="F1038"/>
      <c r="G1038"/>
      <c r="H1038"/>
      <c r="I1038"/>
    </row>
    <row r="1039" spans="1:9">
      <c r="A1039"/>
      <c r="B1039"/>
      <c r="C1039"/>
      <c r="D1039"/>
      <c r="E1039"/>
      <c r="F1039"/>
      <c r="G1039"/>
      <c r="H1039"/>
      <c r="I1039"/>
    </row>
    <row r="1040" spans="1:9">
      <c r="A1040"/>
      <c r="B1040"/>
      <c r="C1040"/>
      <c r="D1040"/>
      <c r="E1040"/>
      <c r="F1040"/>
      <c r="G1040"/>
      <c r="H1040"/>
      <c r="I1040"/>
    </row>
    <row r="1041" spans="1:9">
      <c r="A1041"/>
      <c r="B1041"/>
      <c r="C1041"/>
      <c r="D1041"/>
      <c r="E1041"/>
      <c r="F1041"/>
      <c r="G1041"/>
      <c r="H1041"/>
      <c r="I1041"/>
    </row>
    <row r="1042" spans="1:9">
      <c r="A1042"/>
      <c r="B1042"/>
      <c r="C1042"/>
      <c r="D1042"/>
      <c r="E1042"/>
      <c r="F1042"/>
      <c r="G1042"/>
      <c r="H1042"/>
      <c r="I1042"/>
    </row>
    <row r="1043" spans="1:9">
      <c r="A1043"/>
      <c r="B1043"/>
      <c r="C1043"/>
      <c r="D1043"/>
      <c r="E1043"/>
      <c r="F1043"/>
      <c r="G1043"/>
      <c r="H1043"/>
      <c r="I1043"/>
    </row>
    <row r="1044" spans="1:9">
      <c r="A1044"/>
      <c r="B1044"/>
      <c r="C1044"/>
      <c r="D1044"/>
      <c r="E1044"/>
      <c r="F1044"/>
      <c r="G1044"/>
      <c r="H1044"/>
      <c r="I1044"/>
    </row>
    <row r="1045" spans="1:9">
      <c r="A1045"/>
      <c r="B1045"/>
      <c r="C1045"/>
      <c r="D1045"/>
      <c r="E1045"/>
      <c r="F1045"/>
      <c r="G1045"/>
      <c r="H1045"/>
      <c r="I1045"/>
    </row>
    <row r="1046" spans="1:9">
      <c r="A1046"/>
      <c r="B1046"/>
      <c r="C1046"/>
      <c r="D1046"/>
      <c r="E1046"/>
      <c r="F1046"/>
      <c r="G1046"/>
      <c r="H1046"/>
      <c r="I1046"/>
    </row>
    <row r="1047" spans="1:9">
      <c r="A1047"/>
      <c r="B1047"/>
      <c r="C1047"/>
      <c r="D1047"/>
      <c r="E1047"/>
      <c r="F1047"/>
      <c r="G1047"/>
      <c r="H1047"/>
      <c r="I1047"/>
    </row>
    <row r="1048" spans="1:9">
      <c r="A1048"/>
      <c r="B1048"/>
      <c r="C1048"/>
      <c r="D1048"/>
      <c r="E1048"/>
      <c r="F1048"/>
      <c r="G1048"/>
      <c r="H1048"/>
      <c r="I1048"/>
    </row>
    <row r="1049" spans="1:9">
      <c r="A1049"/>
      <c r="B1049"/>
      <c r="C1049"/>
      <c r="D1049"/>
      <c r="E1049"/>
      <c r="F1049"/>
      <c r="G1049"/>
      <c r="H1049"/>
      <c r="I1049"/>
    </row>
    <row r="1050" spans="1:9">
      <c r="A1050"/>
      <c r="B1050"/>
      <c r="C1050"/>
      <c r="D1050"/>
      <c r="E1050"/>
      <c r="F1050"/>
      <c r="G1050"/>
      <c r="H1050"/>
      <c r="I1050"/>
    </row>
    <row r="1051" spans="1:9">
      <c r="A1051"/>
      <c r="B1051"/>
      <c r="C1051"/>
      <c r="D1051"/>
      <c r="E1051"/>
      <c r="F1051"/>
      <c r="G1051"/>
      <c r="H1051"/>
      <c r="I1051"/>
    </row>
    <row r="1052" spans="1:9">
      <c r="A1052"/>
      <c r="B1052"/>
      <c r="C1052"/>
      <c r="D1052"/>
      <c r="E1052"/>
      <c r="F1052"/>
      <c r="G1052"/>
      <c r="H1052"/>
      <c r="I1052"/>
    </row>
    <row r="1053" spans="1:9">
      <c r="A1053"/>
      <c r="B1053"/>
      <c r="C1053"/>
      <c r="D1053"/>
      <c r="E1053"/>
      <c r="F1053"/>
      <c r="G1053"/>
      <c r="H1053"/>
      <c r="I1053"/>
    </row>
    <row r="1054" spans="1:9">
      <c r="A1054"/>
      <c r="B1054"/>
      <c r="C1054"/>
      <c r="D1054"/>
      <c r="E1054"/>
      <c r="F1054"/>
      <c r="G1054"/>
      <c r="H1054"/>
      <c r="I1054"/>
    </row>
    <row r="1055" spans="1:9">
      <c r="A1055"/>
      <c r="B1055"/>
      <c r="C1055"/>
      <c r="D1055"/>
      <c r="E1055"/>
      <c r="F1055"/>
      <c r="G1055"/>
      <c r="H1055"/>
      <c r="I1055"/>
    </row>
    <row r="1056" spans="1:9">
      <c r="A1056"/>
      <c r="B1056"/>
      <c r="C1056"/>
      <c r="D1056"/>
      <c r="E1056"/>
      <c r="F1056"/>
      <c r="G1056"/>
      <c r="H1056"/>
      <c r="I1056"/>
    </row>
    <row r="1057" spans="1:9">
      <c r="A1057"/>
      <c r="B1057"/>
      <c r="C1057"/>
      <c r="D1057"/>
      <c r="E1057"/>
      <c r="F1057"/>
      <c r="G1057"/>
      <c r="H1057"/>
      <c r="I1057"/>
    </row>
    <row r="1058" spans="1:9">
      <c r="A1058"/>
      <c r="B1058"/>
      <c r="C1058"/>
      <c r="D1058"/>
      <c r="E1058"/>
      <c r="F1058"/>
      <c r="G1058"/>
      <c r="H1058"/>
      <c r="I1058"/>
    </row>
    <row r="1059" spans="1:9">
      <c r="A1059"/>
      <c r="B1059"/>
      <c r="C1059"/>
      <c r="D1059"/>
      <c r="E1059"/>
      <c r="F1059"/>
      <c r="G1059"/>
      <c r="H1059"/>
      <c r="I1059"/>
    </row>
    <row r="1060" spans="1:9">
      <c r="A1060"/>
      <c r="B1060"/>
      <c r="C1060"/>
      <c r="D1060"/>
      <c r="E1060"/>
      <c r="F1060"/>
      <c r="G1060"/>
      <c r="H1060"/>
      <c r="I1060"/>
    </row>
    <row r="1061" spans="1:9">
      <c r="A1061"/>
      <c r="B1061"/>
      <c r="C1061"/>
      <c r="D1061"/>
      <c r="E1061"/>
      <c r="F1061"/>
      <c r="G1061"/>
      <c r="H1061"/>
      <c r="I1061"/>
    </row>
    <row r="1062" spans="1:9">
      <c r="A1062"/>
      <c r="B1062"/>
      <c r="C1062"/>
      <c r="D1062"/>
      <c r="E1062"/>
      <c r="F1062"/>
      <c r="G1062"/>
      <c r="H1062"/>
      <c r="I1062"/>
    </row>
    <row r="1063" spans="1:9">
      <c r="A1063"/>
      <c r="B1063"/>
      <c r="C1063"/>
      <c r="D1063"/>
      <c r="E1063"/>
      <c r="F1063"/>
      <c r="G1063"/>
      <c r="H1063"/>
      <c r="I1063"/>
    </row>
    <row r="1064" spans="1:9">
      <c r="A1064"/>
      <c r="B1064"/>
      <c r="C1064"/>
      <c r="D1064"/>
      <c r="E1064"/>
      <c r="F1064"/>
      <c r="G1064"/>
      <c r="H1064"/>
      <c r="I1064"/>
    </row>
    <row r="1065" spans="1:9">
      <c r="A1065"/>
      <c r="B1065"/>
      <c r="C1065"/>
      <c r="D1065"/>
      <c r="E1065"/>
      <c r="F1065"/>
      <c r="G1065"/>
      <c r="H1065"/>
      <c r="I1065"/>
    </row>
    <row r="1066" spans="1:9">
      <c r="A1066"/>
      <c r="B1066"/>
      <c r="C1066"/>
      <c r="D1066"/>
      <c r="E1066"/>
      <c r="F1066"/>
      <c r="G1066"/>
      <c r="H1066"/>
      <c r="I1066"/>
    </row>
    <row r="1067" spans="1:9">
      <c r="A1067"/>
      <c r="B1067"/>
      <c r="C1067"/>
      <c r="D1067"/>
      <c r="E1067"/>
      <c r="F1067"/>
      <c r="G1067"/>
      <c r="H1067"/>
      <c r="I1067"/>
    </row>
    <row r="1068" spans="1:9">
      <c r="A1068"/>
      <c r="B1068"/>
      <c r="C1068"/>
      <c r="D1068"/>
      <c r="E1068"/>
      <c r="F1068"/>
      <c r="G1068"/>
      <c r="H1068"/>
      <c r="I1068"/>
    </row>
    <row r="1069" spans="1:9">
      <c r="A1069"/>
      <c r="B1069"/>
      <c r="C1069"/>
      <c r="D1069"/>
      <c r="E1069"/>
      <c r="F1069"/>
      <c r="G1069"/>
      <c r="H1069"/>
      <c r="I1069"/>
    </row>
    <row r="1070" spans="1:9">
      <c r="A1070"/>
      <c r="B1070"/>
      <c r="C1070"/>
      <c r="D1070"/>
      <c r="E1070"/>
      <c r="F1070"/>
      <c r="G1070"/>
      <c r="H1070"/>
      <c r="I1070"/>
    </row>
    <row r="1071" spans="1:9">
      <c r="A1071"/>
      <c r="B1071"/>
      <c r="C1071"/>
      <c r="D1071"/>
      <c r="E1071"/>
      <c r="F1071"/>
      <c r="G1071"/>
      <c r="H1071"/>
      <c r="I1071"/>
    </row>
    <row r="1072" spans="1:9">
      <c r="A1072"/>
      <c r="B1072"/>
      <c r="C1072"/>
      <c r="D1072"/>
      <c r="E1072"/>
      <c r="F1072"/>
      <c r="G1072"/>
      <c r="H1072"/>
      <c r="I1072"/>
    </row>
    <row r="1073" spans="1:9">
      <c r="A1073"/>
      <c r="B1073"/>
      <c r="C1073"/>
      <c r="D1073"/>
      <c r="E1073"/>
      <c r="F1073"/>
      <c r="G1073"/>
      <c r="H1073"/>
      <c r="I1073"/>
    </row>
    <row r="1074" spans="1:9">
      <c r="A1074"/>
      <c r="B1074"/>
      <c r="C1074"/>
      <c r="D1074"/>
      <c r="E1074"/>
      <c r="F1074"/>
      <c r="G1074"/>
      <c r="H1074"/>
      <c r="I1074"/>
    </row>
    <row r="1075" spans="1:9">
      <c r="A1075"/>
      <c r="B1075"/>
      <c r="C1075"/>
      <c r="D1075"/>
      <c r="E1075"/>
      <c r="F1075"/>
      <c r="G1075"/>
      <c r="H1075"/>
      <c r="I1075"/>
    </row>
    <row r="1076" spans="1:9">
      <c r="A1076"/>
      <c r="B1076"/>
      <c r="C1076"/>
      <c r="D1076"/>
      <c r="E1076"/>
      <c r="F1076"/>
      <c r="G1076"/>
      <c r="H1076"/>
      <c r="I1076"/>
    </row>
    <row r="1077" spans="1:9">
      <c r="A1077"/>
      <c r="B1077"/>
      <c r="C1077"/>
      <c r="D1077"/>
      <c r="E1077"/>
      <c r="F1077"/>
      <c r="G1077"/>
      <c r="H1077"/>
      <c r="I1077"/>
    </row>
    <row r="1078" spans="1:9">
      <c r="A1078"/>
      <c r="B1078"/>
      <c r="C1078"/>
      <c r="D1078"/>
      <c r="E1078"/>
      <c r="F1078"/>
      <c r="G1078"/>
      <c r="H1078"/>
      <c r="I1078"/>
    </row>
    <row r="1079" spans="1:9">
      <c r="A1079"/>
      <c r="B1079"/>
      <c r="C1079"/>
      <c r="D1079"/>
      <c r="E1079"/>
      <c r="F1079"/>
      <c r="G1079"/>
      <c r="H1079"/>
      <c r="I1079"/>
    </row>
    <row r="1080" spans="1:9">
      <c r="A1080"/>
      <c r="B1080"/>
      <c r="C1080"/>
      <c r="D1080"/>
      <c r="E1080"/>
      <c r="F1080"/>
      <c r="G1080"/>
      <c r="H1080"/>
      <c r="I1080"/>
    </row>
    <row r="1081" spans="1:9">
      <c r="A1081"/>
      <c r="B1081"/>
      <c r="C1081"/>
      <c r="D1081"/>
      <c r="E1081"/>
      <c r="F1081"/>
      <c r="G1081"/>
      <c r="H1081"/>
      <c r="I1081"/>
    </row>
    <row r="1082" spans="1:9">
      <c r="A1082"/>
      <c r="B1082"/>
      <c r="C1082"/>
      <c r="D1082"/>
      <c r="E1082"/>
      <c r="F1082"/>
      <c r="G1082"/>
      <c r="H1082"/>
      <c r="I1082"/>
    </row>
    <row r="1083" spans="1:9">
      <c r="A1083"/>
      <c r="B1083"/>
      <c r="C1083"/>
      <c r="D1083"/>
      <c r="E1083"/>
      <c r="F1083"/>
      <c r="G1083"/>
      <c r="H1083"/>
      <c r="I1083"/>
    </row>
    <row r="1084" spans="1:9">
      <c r="A1084"/>
      <c r="B1084"/>
      <c r="C1084"/>
      <c r="D1084"/>
      <c r="E1084"/>
      <c r="F1084"/>
      <c r="G1084"/>
      <c r="H1084"/>
      <c r="I1084"/>
    </row>
    <row r="1085" spans="1:9">
      <c r="A1085"/>
      <c r="B1085"/>
      <c r="C1085"/>
      <c r="D1085"/>
      <c r="E1085"/>
      <c r="F1085"/>
      <c r="G1085"/>
      <c r="H1085"/>
      <c r="I1085"/>
    </row>
    <row r="1086" spans="1:9">
      <c r="A1086"/>
      <c r="B1086"/>
      <c r="C1086"/>
      <c r="D1086"/>
      <c r="E1086"/>
      <c r="F1086"/>
      <c r="G1086"/>
      <c r="H1086"/>
      <c r="I1086"/>
    </row>
    <row r="1087" spans="1:9">
      <c r="A1087"/>
      <c r="B1087"/>
      <c r="C1087"/>
      <c r="D1087"/>
      <c r="E1087"/>
      <c r="F1087"/>
      <c r="G1087"/>
      <c r="H1087"/>
      <c r="I1087"/>
    </row>
    <row r="1088" spans="1:9">
      <c r="A1088"/>
      <c r="B1088"/>
      <c r="C1088"/>
      <c r="D1088"/>
      <c r="E1088"/>
      <c r="F1088"/>
      <c r="G1088"/>
      <c r="H1088"/>
      <c r="I1088"/>
    </row>
    <row r="1089" spans="1:9">
      <c r="A1089"/>
      <c r="B1089"/>
      <c r="C1089"/>
      <c r="D1089"/>
      <c r="E1089"/>
      <c r="F1089"/>
      <c r="G1089"/>
      <c r="H1089"/>
      <c r="I1089"/>
    </row>
    <row r="1090" spans="1:9">
      <c r="A1090"/>
      <c r="B1090"/>
      <c r="C1090"/>
      <c r="D1090"/>
      <c r="E1090"/>
      <c r="F1090"/>
      <c r="G1090"/>
      <c r="H1090"/>
      <c r="I1090"/>
    </row>
    <row r="1091" spans="1:9">
      <c r="A1091"/>
      <c r="B1091"/>
      <c r="C1091"/>
      <c r="D1091"/>
      <c r="E1091"/>
      <c r="F1091"/>
      <c r="G1091"/>
      <c r="H1091"/>
      <c r="I1091"/>
    </row>
    <row r="1092" spans="1:9">
      <c r="A1092"/>
      <c r="B1092"/>
      <c r="C1092"/>
      <c r="D1092"/>
      <c r="E1092"/>
      <c r="F1092"/>
      <c r="G1092"/>
      <c r="H1092"/>
      <c r="I1092"/>
    </row>
    <row r="1093" spans="1:9">
      <c r="A1093"/>
      <c r="B1093"/>
      <c r="C1093"/>
      <c r="D1093"/>
      <c r="E1093"/>
      <c r="F1093"/>
      <c r="G1093"/>
      <c r="H1093"/>
      <c r="I1093"/>
    </row>
    <row r="1094" spans="1:9">
      <c r="A1094"/>
      <c r="B1094"/>
      <c r="C1094"/>
      <c r="D1094"/>
      <c r="E1094"/>
      <c r="F1094"/>
      <c r="G1094"/>
      <c r="H1094"/>
      <c r="I1094"/>
    </row>
    <row r="1095" spans="1:9">
      <c r="A1095"/>
      <c r="B1095"/>
      <c r="C1095"/>
      <c r="D1095"/>
      <c r="E1095"/>
      <c r="F1095"/>
      <c r="G1095"/>
      <c r="H1095"/>
      <c r="I1095"/>
    </row>
    <row r="1096" spans="1:9">
      <c r="A1096"/>
      <c r="B1096"/>
      <c r="C1096"/>
      <c r="D1096"/>
      <c r="E1096"/>
      <c r="F1096"/>
      <c r="G1096"/>
      <c r="H1096"/>
      <c r="I1096"/>
    </row>
    <row r="1097" spans="1:9">
      <c r="A1097"/>
      <c r="B1097"/>
      <c r="C1097"/>
      <c r="D1097"/>
      <c r="E1097"/>
      <c r="F1097"/>
      <c r="G1097"/>
      <c r="H1097"/>
      <c r="I1097"/>
    </row>
    <row r="1098" spans="1:9">
      <c r="A1098"/>
      <c r="B1098"/>
      <c r="C1098"/>
      <c r="D1098"/>
      <c r="E1098"/>
      <c r="F1098"/>
      <c r="G1098"/>
      <c r="H1098"/>
      <c r="I1098"/>
    </row>
    <row r="1099" spans="1:9">
      <c r="A1099"/>
      <c r="B1099"/>
      <c r="C1099"/>
      <c r="D1099"/>
      <c r="E1099"/>
      <c r="F1099"/>
      <c r="G1099"/>
      <c r="H1099"/>
      <c r="I1099"/>
    </row>
    <row r="1100" spans="1:9">
      <c r="A1100"/>
      <c r="B1100"/>
      <c r="C1100"/>
      <c r="D1100"/>
      <c r="E1100"/>
      <c r="F1100"/>
      <c r="G1100"/>
      <c r="H1100"/>
      <c r="I1100"/>
    </row>
    <row r="1101" spans="1:9">
      <c r="A1101"/>
      <c r="B1101"/>
      <c r="C1101"/>
      <c r="D1101"/>
      <c r="E1101"/>
      <c r="F1101"/>
      <c r="G1101"/>
      <c r="H1101"/>
      <c r="I1101"/>
    </row>
    <row r="1102" spans="1:9">
      <c r="A1102"/>
      <c r="B1102"/>
      <c r="C1102"/>
      <c r="D1102"/>
      <c r="E1102"/>
      <c r="F1102"/>
      <c r="G1102"/>
      <c r="H1102"/>
      <c r="I1102"/>
    </row>
    <row r="1103" spans="1:9">
      <c r="A1103"/>
      <c r="B1103"/>
      <c r="C1103"/>
      <c r="D1103"/>
      <c r="E1103"/>
      <c r="F1103"/>
      <c r="G1103"/>
      <c r="H1103"/>
      <c r="I1103"/>
    </row>
    <row r="1104" spans="1:9">
      <c r="A1104"/>
      <c r="B1104"/>
      <c r="C1104"/>
      <c r="D1104"/>
      <c r="E1104"/>
      <c r="F1104"/>
      <c r="G1104"/>
      <c r="H1104"/>
      <c r="I1104"/>
    </row>
    <row r="1105" spans="1:9">
      <c r="A1105"/>
      <c r="B1105"/>
      <c r="C1105"/>
      <c r="D1105"/>
      <c r="E1105"/>
      <c r="F1105"/>
      <c r="G1105"/>
      <c r="H1105"/>
      <c r="I1105"/>
    </row>
    <row r="1106" spans="1:9">
      <c r="A1106"/>
      <c r="B1106"/>
      <c r="C1106"/>
      <c r="D1106"/>
      <c r="E1106"/>
      <c r="F1106"/>
      <c r="G1106"/>
      <c r="H1106"/>
      <c r="I1106"/>
    </row>
    <row r="1107" spans="1:9">
      <c r="A1107"/>
      <c r="B1107"/>
      <c r="C1107"/>
      <c r="D1107"/>
      <c r="E1107"/>
      <c r="F1107"/>
      <c r="G1107"/>
      <c r="H1107"/>
      <c r="I1107"/>
    </row>
    <row r="1108" spans="1:9">
      <c r="A1108"/>
      <c r="B1108"/>
      <c r="C1108"/>
      <c r="D1108"/>
      <c r="E1108"/>
      <c r="F1108"/>
      <c r="G1108"/>
      <c r="H1108"/>
      <c r="I1108"/>
    </row>
    <row r="1109" spans="1:9">
      <c r="A1109"/>
      <c r="B1109"/>
      <c r="C1109"/>
      <c r="D1109"/>
      <c r="E1109"/>
      <c r="F1109"/>
      <c r="G1109"/>
      <c r="H1109"/>
      <c r="I1109"/>
    </row>
    <row r="1110" spans="1:9">
      <c r="A1110"/>
      <c r="B1110"/>
      <c r="C1110"/>
      <c r="D1110"/>
      <c r="E1110"/>
      <c r="F1110"/>
      <c r="G1110"/>
      <c r="H1110"/>
      <c r="I1110"/>
    </row>
    <row r="1111" spans="1:9">
      <c r="A1111"/>
      <c r="B1111"/>
      <c r="C1111"/>
      <c r="D1111"/>
      <c r="E1111"/>
      <c r="F1111"/>
      <c r="G1111"/>
      <c r="H1111"/>
      <c r="I1111"/>
    </row>
    <row r="1112" spans="1:9">
      <c r="A1112"/>
      <c r="B1112"/>
      <c r="C1112"/>
      <c r="D1112"/>
      <c r="E1112"/>
      <c r="F1112"/>
      <c r="G1112"/>
      <c r="H1112"/>
      <c r="I1112"/>
    </row>
    <row r="1113" spans="1:9">
      <c r="A1113"/>
      <c r="B1113"/>
      <c r="C1113"/>
      <c r="D1113"/>
      <c r="E1113"/>
      <c r="F1113"/>
      <c r="G1113"/>
      <c r="H1113"/>
      <c r="I1113"/>
    </row>
    <row r="1114" spans="1:9">
      <c r="A1114"/>
      <c r="B1114"/>
      <c r="C1114"/>
      <c r="D1114"/>
      <c r="E1114"/>
      <c r="F1114"/>
      <c r="G1114"/>
      <c r="H1114"/>
      <c r="I1114"/>
    </row>
    <row r="1115" spans="1:9">
      <c r="A1115"/>
      <c r="B1115"/>
      <c r="C1115"/>
      <c r="D1115"/>
      <c r="E1115"/>
      <c r="F1115"/>
      <c r="G1115"/>
      <c r="H1115"/>
      <c r="I1115"/>
    </row>
    <row r="1116" spans="1:9">
      <c r="A1116"/>
      <c r="B1116"/>
      <c r="C1116"/>
      <c r="D1116"/>
      <c r="E1116"/>
      <c r="F1116"/>
      <c r="G1116"/>
      <c r="H1116"/>
      <c r="I1116"/>
    </row>
    <row r="1117" spans="1:9">
      <c r="A1117"/>
      <c r="B1117"/>
      <c r="C1117"/>
      <c r="D1117"/>
      <c r="E1117"/>
      <c r="F1117"/>
      <c r="G1117"/>
      <c r="H1117"/>
      <c r="I1117"/>
    </row>
    <row r="1118" spans="1:9">
      <c r="A1118"/>
      <c r="B1118"/>
      <c r="C1118"/>
      <c r="D1118"/>
      <c r="E1118"/>
      <c r="F1118"/>
      <c r="G1118"/>
      <c r="H1118"/>
      <c r="I1118"/>
    </row>
    <row r="1119" spans="1:9">
      <c r="A1119"/>
      <c r="B1119"/>
      <c r="C1119"/>
      <c r="D1119"/>
      <c r="E1119"/>
      <c r="F1119"/>
      <c r="G1119"/>
      <c r="H1119"/>
      <c r="I1119"/>
    </row>
    <row r="1120" spans="1:9">
      <c r="A1120"/>
      <c r="B1120"/>
      <c r="C1120"/>
      <c r="D1120"/>
      <c r="E1120"/>
      <c r="F1120"/>
      <c r="G1120"/>
      <c r="H1120"/>
      <c r="I1120"/>
    </row>
    <row r="1121" spans="1:9">
      <c r="A1121"/>
      <c r="B1121"/>
      <c r="C1121"/>
      <c r="D1121"/>
      <c r="E1121"/>
      <c r="F1121"/>
      <c r="G1121"/>
      <c r="H1121"/>
      <c r="I1121"/>
    </row>
    <row r="1122" spans="1:9">
      <c r="A1122"/>
      <c r="B1122"/>
      <c r="C1122"/>
      <c r="D1122"/>
      <c r="E1122"/>
      <c r="F1122"/>
      <c r="G1122"/>
      <c r="H1122"/>
      <c r="I1122"/>
    </row>
    <row r="1123" spans="1:9">
      <c r="A1123"/>
      <c r="B1123"/>
      <c r="C1123"/>
      <c r="D1123"/>
      <c r="E1123"/>
      <c r="F1123"/>
      <c r="G1123"/>
      <c r="H1123"/>
      <c r="I1123"/>
    </row>
    <row r="1124" spans="1:9">
      <c r="A1124"/>
      <c r="B1124"/>
      <c r="C1124"/>
      <c r="D1124"/>
      <c r="E1124"/>
      <c r="F1124"/>
      <c r="G1124"/>
      <c r="H1124"/>
      <c r="I1124"/>
    </row>
    <row r="1125" spans="1:9">
      <c r="A1125"/>
      <c r="B1125"/>
      <c r="C1125"/>
      <c r="D1125"/>
      <c r="E1125"/>
      <c r="F1125"/>
      <c r="G1125"/>
      <c r="H1125"/>
      <c r="I1125"/>
    </row>
    <row r="1126" spans="1:9">
      <c r="A1126"/>
      <c r="B1126"/>
      <c r="C1126"/>
      <c r="D1126"/>
      <c r="E1126"/>
      <c r="F1126"/>
      <c r="G1126"/>
      <c r="H1126"/>
      <c r="I1126"/>
    </row>
    <row r="1127" spans="1:9">
      <c r="A1127"/>
      <c r="B1127"/>
      <c r="C1127"/>
      <c r="D1127"/>
      <c r="E1127"/>
      <c r="F1127"/>
      <c r="G1127"/>
      <c r="H1127"/>
      <c r="I1127"/>
    </row>
    <row r="1128" spans="1:9">
      <c r="A1128"/>
      <c r="B1128"/>
      <c r="C1128"/>
      <c r="D1128"/>
      <c r="E1128"/>
      <c r="F1128"/>
      <c r="G1128"/>
      <c r="H1128"/>
      <c r="I1128"/>
    </row>
    <row r="1129" spans="1:9">
      <c r="A1129"/>
      <c r="B1129"/>
      <c r="C1129"/>
      <c r="D1129"/>
      <c r="E1129"/>
      <c r="F1129"/>
      <c r="G1129"/>
      <c r="H1129"/>
      <c r="I1129"/>
    </row>
    <row r="1130" spans="1:9">
      <c r="A1130"/>
      <c r="B1130"/>
      <c r="C1130"/>
      <c r="D1130"/>
      <c r="E1130"/>
      <c r="F1130"/>
      <c r="G1130"/>
      <c r="H1130"/>
      <c r="I1130"/>
    </row>
    <row r="1131" spans="1:9">
      <c r="A1131"/>
      <c r="B1131"/>
      <c r="C1131"/>
      <c r="D1131"/>
      <c r="E1131"/>
      <c r="F1131"/>
      <c r="G1131"/>
      <c r="H1131"/>
      <c r="I1131"/>
    </row>
    <row r="1132" spans="1:9">
      <c r="A1132"/>
      <c r="B1132"/>
      <c r="C1132"/>
      <c r="D1132"/>
      <c r="E1132"/>
      <c r="F1132"/>
      <c r="G1132"/>
      <c r="H1132"/>
      <c r="I1132"/>
    </row>
    <row r="1133" spans="1:9">
      <c r="A1133"/>
      <c r="B1133"/>
      <c r="C1133"/>
      <c r="D1133"/>
      <c r="E1133"/>
      <c r="F1133"/>
      <c r="G1133"/>
      <c r="H1133"/>
      <c r="I1133"/>
    </row>
    <row r="1134" spans="1:9">
      <c r="A1134"/>
      <c r="B1134"/>
      <c r="C1134"/>
      <c r="D1134"/>
      <c r="E1134"/>
      <c r="F1134"/>
      <c r="G1134"/>
      <c r="H1134"/>
      <c r="I1134"/>
    </row>
    <row r="1135" spans="1:9">
      <c r="A1135"/>
      <c r="B1135"/>
      <c r="C1135"/>
      <c r="D1135"/>
      <c r="E1135"/>
      <c r="F1135"/>
      <c r="G1135"/>
      <c r="H1135"/>
      <c r="I1135"/>
    </row>
    <row r="1136" spans="1:9">
      <c r="A1136"/>
      <c r="B1136"/>
      <c r="C1136"/>
      <c r="D1136"/>
      <c r="E1136"/>
      <c r="F1136"/>
      <c r="G1136"/>
      <c r="H1136"/>
      <c r="I1136"/>
    </row>
    <row r="1137" spans="1:9">
      <c r="A1137"/>
      <c r="B1137"/>
      <c r="C1137"/>
      <c r="D1137"/>
      <c r="E1137"/>
      <c r="F1137"/>
      <c r="G1137"/>
      <c r="H1137"/>
      <c r="I1137"/>
    </row>
    <row r="1138" spans="1:9">
      <c r="A1138"/>
      <c r="B1138"/>
      <c r="C1138"/>
      <c r="D1138"/>
      <c r="E1138"/>
      <c r="F1138"/>
      <c r="G1138"/>
      <c r="H1138"/>
      <c r="I1138"/>
    </row>
    <row r="1139" spans="1:9">
      <c r="A1139"/>
      <c r="B1139"/>
      <c r="C1139"/>
      <c r="D1139"/>
      <c r="E1139"/>
      <c r="F1139"/>
      <c r="G1139"/>
      <c r="H1139"/>
      <c r="I1139"/>
    </row>
    <row r="1140" spans="1:9">
      <c r="A1140"/>
      <c r="B1140"/>
      <c r="C1140"/>
      <c r="D1140"/>
      <c r="E1140"/>
      <c r="F1140"/>
      <c r="G1140"/>
      <c r="H1140"/>
      <c r="I1140"/>
    </row>
    <row r="1141" spans="1:9">
      <c r="A1141"/>
      <c r="B1141"/>
      <c r="C1141"/>
      <c r="D1141"/>
      <c r="E1141"/>
      <c r="F1141"/>
      <c r="G1141"/>
      <c r="H1141"/>
      <c r="I1141"/>
    </row>
    <row r="1142" spans="1:9">
      <c r="A1142"/>
      <c r="B1142"/>
      <c r="C1142"/>
      <c r="D1142"/>
      <c r="E1142"/>
      <c r="F1142"/>
      <c r="G1142"/>
      <c r="H1142"/>
      <c r="I1142"/>
    </row>
    <row r="1143" spans="1:9">
      <c r="A1143"/>
      <c r="B1143"/>
      <c r="C1143"/>
      <c r="D1143"/>
      <c r="E1143"/>
      <c r="F1143"/>
      <c r="G1143"/>
      <c r="H1143"/>
      <c r="I1143"/>
    </row>
    <row r="1144" spans="1:9">
      <c r="A1144"/>
      <c r="B1144"/>
      <c r="C1144"/>
      <c r="D1144"/>
      <c r="E1144"/>
      <c r="F1144"/>
      <c r="G1144"/>
      <c r="H1144"/>
      <c r="I1144"/>
    </row>
    <row r="1145" spans="1:9">
      <c r="A1145"/>
      <c r="B1145"/>
      <c r="C1145"/>
      <c r="D1145"/>
      <c r="E1145"/>
      <c r="F1145"/>
      <c r="G1145"/>
      <c r="H1145"/>
      <c r="I1145"/>
    </row>
    <row r="1146" spans="1:9">
      <c r="A1146"/>
      <c r="B1146"/>
      <c r="C1146"/>
      <c r="D1146"/>
      <c r="E1146"/>
      <c r="F1146"/>
      <c r="G1146"/>
      <c r="H1146"/>
      <c r="I1146"/>
    </row>
    <row r="1147" spans="1:9">
      <c r="A1147"/>
      <c r="B1147"/>
      <c r="C1147"/>
      <c r="D1147"/>
      <c r="E1147"/>
      <c r="F1147"/>
      <c r="G1147"/>
      <c r="H1147"/>
      <c r="I1147"/>
    </row>
    <row r="1148" spans="1:9">
      <c r="A1148"/>
      <c r="B1148"/>
      <c r="C1148"/>
      <c r="D1148"/>
      <c r="E1148"/>
      <c r="F1148"/>
      <c r="G1148"/>
      <c r="H1148"/>
      <c r="I1148"/>
    </row>
    <row r="1149" spans="1:9">
      <c r="A1149"/>
      <c r="B1149"/>
      <c r="C1149"/>
      <c r="D1149"/>
      <c r="E1149"/>
      <c r="F1149"/>
      <c r="G1149"/>
      <c r="H1149"/>
      <c r="I1149"/>
    </row>
    <row r="1150" spans="1:9">
      <c r="A1150"/>
      <c r="B1150"/>
      <c r="C1150"/>
      <c r="D1150"/>
      <c r="E1150"/>
      <c r="F1150"/>
      <c r="G1150"/>
      <c r="H1150"/>
      <c r="I1150"/>
    </row>
    <row r="1151" spans="1:9">
      <c r="A1151"/>
      <c r="B1151"/>
      <c r="C1151"/>
      <c r="D1151"/>
      <c r="E1151"/>
      <c r="F1151"/>
      <c r="G1151"/>
      <c r="H1151"/>
      <c r="I1151"/>
    </row>
    <row r="1152" spans="1:9">
      <c r="A1152"/>
      <c r="B1152"/>
      <c r="C1152"/>
      <c r="D1152"/>
      <c r="E1152"/>
      <c r="F1152"/>
      <c r="G1152"/>
    </row>
    <row r="1153" spans="1:7">
      <c r="A1153"/>
      <c r="B1153"/>
      <c r="C1153"/>
      <c r="D1153"/>
      <c r="E1153"/>
      <c r="F1153"/>
      <c r="G1153"/>
    </row>
    <row r="1154" spans="1:7">
      <c r="A1154"/>
      <c r="B1154"/>
      <c r="C1154"/>
      <c r="D1154"/>
      <c r="E1154"/>
      <c r="F1154"/>
      <c r="G1154"/>
    </row>
    <row r="1155" spans="1:7">
      <c r="A1155"/>
      <c r="B1155"/>
      <c r="C1155"/>
      <c r="D1155"/>
      <c r="E1155"/>
      <c r="F1155"/>
      <c r="G1155"/>
    </row>
    <row r="1156" spans="1:7">
      <c r="A1156"/>
      <c r="B1156"/>
      <c r="C1156"/>
      <c r="D1156"/>
      <c r="E1156"/>
      <c r="F1156"/>
      <c r="G1156"/>
    </row>
    <row r="1157" spans="1:7">
      <c r="A1157"/>
      <c r="B1157"/>
      <c r="C1157"/>
      <c r="D1157"/>
      <c r="E1157"/>
      <c r="F1157"/>
      <c r="G1157"/>
    </row>
    <row r="1158" spans="1:7">
      <c r="A1158"/>
      <c r="B1158"/>
      <c r="C1158"/>
      <c r="D1158"/>
      <c r="E1158"/>
      <c r="F1158"/>
      <c r="G1158"/>
    </row>
    <row r="1159" spans="1:7">
      <c r="A1159"/>
      <c r="B1159"/>
      <c r="C1159"/>
      <c r="D1159"/>
      <c r="E1159"/>
      <c r="F1159"/>
      <c r="G1159"/>
    </row>
    <row r="1160" spans="1:7">
      <c r="A1160"/>
      <c r="B1160"/>
      <c r="C1160"/>
      <c r="D1160"/>
      <c r="E1160"/>
      <c r="F1160"/>
      <c r="G1160"/>
    </row>
    <row r="1161" spans="1:7">
      <c r="A1161"/>
      <c r="B1161"/>
      <c r="C1161"/>
      <c r="D1161"/>
      <c r="E1161"/>
      <c r="F1161"/>
      <c r="G1161"/>
    </row>
    <row r="1162" spans="1:7">
      <c r="A1162"/>
      <c r="B1162"/>
      <c r="C1162"/>
      <c r="D1162"/>
      <c r="E1162"/>
      <c r="F1162"/>
      <c r="G1162"/>
    </row>
    <row r="1163" spans="1:7">
      <c r="A1163"/>
      <c r="B1163"/>
      <c r="C1163"/>
      <c r="D1163"/>
      <c r="E1163"/>
      <c r="F1163"/>
      <c r="G1163"/>
    </row>
    <row r="1164" spans="1:7">
      <c r="A1164"/>
      <c r="B1164"/>
      <c r="C1164"/>
      <c r="D1164"/>
      <c r="E1164"/>
      <c r="F1164"/>
      <c r="G1164"/>
    </row>
    <row r="1165" spans="1:7">
      <c r="A1165"/>
      <c r="B1165"/>
      <c r="C1165"/>
      <c r="D1165"/>
      <c r="E1165"/>
      <c r="F1165"/>
      <c r="G1165"/>
    </row>
    <row r="1166" spans="1:7">
      <c r="A1166"/>
      <c r="B1166"/>
      <c r="C1166"/>
      <c r="D1166"/>
      <c r="E1166"/>
      <c r="F1166"/>
      <c r="G1166"/>
    </row>
    <row r="1167" spans="1:7">
      <c r="A1167"/>
      <c r="B1167"/>
      <c r="C1167"/>
      <c r="D1167"/>
      <c r="E1167"/>
      <c r="F1167"/>
      <c r="G1167"/>
    </row>
    <row r="1168" spans="1:7">
      <c r="A1168"/>
      <c r="B1168"/>
      <c r="C1168"/>
      <c r="D1168"/>
      <c r="E1168"/>
      <c r="F1168"/>
      <c r="G1168"/>
    </row>
    <row r="1169" spans="1:7">
      <c r="A1169"/>
      <c r="B1169"/>
      <c r="C1169"/>
      <c r="D1169"/>
      <c r="E1169"/>
      <c r="F1169"/>
      <c r="G1169"/>
    </row>
    <row r="1170" spans="1:7">
      <c r="A1170"/>
      <c r="B1170"/>
      <c r="C1170"/>
      <c r="D1170"/>
      <c r="E1170"/>
      <c r="F1170"/>
      <c r="G1170"/>
    </row>
    <row r="1171" spans="1:7">
      <c r="A1171"/>
      <c r="B1171"/>
      <c r="C1171"/>
      <c r="D1171"/>
      <c r="E1171"/>
      <c r="F1171"/>
      <c r="G1171"/>
    </row>
    <row r="1172" spans="1:7">
      <c r="A1172"/>
      <c r="B1172"/>
      <c r="C1172"/>
      <c r="D1172"/>
      <c r="E1172"/>
      <c r="F1172"/>
      <c r="G1172"/>
    </row>
    <row r="1173" spans="1:7">
      <c r="A1173"/>
      <c r="B1173"/>
      <c r="C1173"/>
      <c r="D1173"/>
      <c r="E1173"/>
      <c r="F1173"/>
      <c r="G1173"/>
    </row>
    <row r="1174" spans="1:7">
      <c r="A1174"/>
      <c r="B1174"/>
      <c r="C1174"/>
      <c r="D1174"/>
      <c r="E1174"/>
      <c r="F1174"/>
      <c r="G1174"/>
    </row>
    <row r="1175" spans="1:7">
      <c r="A1175"/>
      <c r="B1175"/>
      <c r="C1175"/>
      <c r="D1175"/>
      <c r="E1175"/>
      <c r="F1175"/>
      <c r="G1175"/>
    </row>
    <row r="1176" spans="1:7">
      <c r="A1176"/>
      <c r="B1176"/>
      <c r="C1176"/>
      <c r="D1176"/>
      <c r="E1176"/>
      <c r="F1176"/>
      <c r="G1176"/>
    </row>
    <row r="1177" spans="1:7">
      <c r="A1177"/>
      <c r="B1177"/>
      <c r="C1177"/>
      <c r="D1177"/>
      <c r="E1177"/>
      <c r="F1177"/>
      <c r="G1177"/>
    </row>
    <row r="1178" spans="1:7">
      <c r="A1178"/>
      <c r="B1178"/>
      <c r="C1178"/>
      <c r="D1178"/>
      <c r="E1178"/>
      <c r="F1178"/>
      <c r="G1178"/>
    </row>
    <row r="1179" spans="1:7">
      <c r="A1179"/>
      <c r="B1179"/>
      <c r="C1179"/>
      <c r="D1179"/>
      <c r="E1179"/>
      <c r="F1179"/>
      <c r="G1179"/>
    </row>
    <row r="1180" spans="1:7">
      <c r="A1180"/>
      <c r="B1180"/>
      <c r="C1180"/>
      <c r="D1180"/>
      <c r="E1180"/>
      <c r="F1180"/>
      <c r="G1180"/>
    </row>
    <row r="1181" spans="1:7">
      <c r="A1181"/>
      <c r="B1181"/>
      <c r="C1181"/>
      <c r="D1181"/>
      <c r="E1181"/>
      <c r="F1181"/>
      <c r="G1181"/>
    </row>
    <row r="1182" spans="1:7">
      <c r="A1182"/>
      <c r="B1182"/>
      <c r="C1182"/>
      <c r="D1182"/>
      <c r="E1182"/>
      <c r="F1182"/>
      <c r="G1182"/>
    </row>
    <row r="1183" spans="1:7">
      <c r="A1183"/>
      <c r="B1183"/>
      <c r="C1183"/>
      <c r="D1183"/>
      <c r="E1183"/>
      <c r="F1183"/>
      <c r="G1183"/>
    </row>
    <row r="1184" spans="1:7">
      <c r="A1184"/>
      <c r="B1184"/>
      <c r="C1184"/>
      <c r="D1184"/>
      <c r="E1184"/>
      <c r="F1184"/>
      <c r="G1184"/>
    </row>
    <row r="1185" spans="1:7">
      <c r="A1185"/>
      <c r="B1185"/>
      <c r="C1185"/>
      <c r="D1185"/>
      <c r="E1185"/>
      <c r="F1185"/>
      <c r="G1185"/>
    </row>
    <row r="1186" spans="1:7">
      <c r="A1186"/>
      <c r="B1186"/>
      <c r="C1186"/>
      <c r="D1186"/>
      <c r="E1186"/>
      <c r="F1186"/>
      <c r="G1186"/>
    </row>
    <row r="1187" spans="1:7">
      <c r="A1187"/>
      <c r="B1187"/>
      <c r="C1187"/>
      <c r="D1187"/>
      <c r="E1187"/>
      <c r="F1187"/>
      <c r="G1187"/>
    </row>
    <row r="1188" spans="1:7">
      <c r="A1188"/>
      <c r="B1188"/>
      <c r="C1188"/>
      <c r="D1188"/>
      <c r="E1188"/>
      <c r="F1188"/>
      <c r="G1188"/>
    </row>
    <row r="1189" spans="1:7">
      <c r="A1189"/>
      <c r="B1189"/>
      <c r="C1189"/>
      <c r="D1189"/>
      <c r="E1189"/>
      <c r="F1189"/>
      <c r="G1189"/>
    </row>
    <row r="1190" spans="1:7">
      <c r="A1190"/>
      <c r="B1190"/>
      <c r="C1190"/>
      <c r="D1190"/>
      <c r="E1190"/>
      <c r="F1190"/>
      <c r="G1190"/>
    </row>
    <row r="1191" spans="1:7">
      <c r="A1191"/>
      <c r="B1191"/>
      <c r="C1191"/>
      <c r="D1191"/>
      <c r="E1191"/>
      <c r="F1191"/>
      <c r="G1191"/>
    </row>
    <row r="1192" spans="1:7">
      <c r="A1192"/>
      <c r="B1192"/>
      <c r="C1192"/>
      <c r="D1192"/>
      <c r="E1192"/>
      <c r="F1192"/>
      <c r="G1192"/>
    </row>
    <row r="1193" spans="1:7">
      <c r="A1193"/>
      <c r="B1193"/>
      <c r="C1193"/>
      <c r="D1193"/>
      <c r="E1193"/>
      <c r="F1193"/>
      <c r="G1193"/>
    </row>
    <row r="1194" spans="1:7">
      <c r="A1194"/>
      <c r="B1194"/>
      <c r="C1194"/>
      <c r="D1194"/>
      <c r="E1194"/>
      <c r="F1194"/>
      <c r="G1194"/>
    </row>
    <row r="1195" spans="1:7">
      <c r="A1195"/>
      <c r="B1195"/>
      <c r="C1195"/>
      <c r="D1195"/>
      <c r="E1195"/>
      <c r="F1195"/>
      <c r="G1195"/>
    </row>
    <row r="1196" spans="1:7">
      <c r="A1196"/>
      <c r="B1196"/>
      <c r="C1196"/>
      <c r="D1196"/>
      <c r="E1196"/>
      <c r="F1196"/>
      <c r="G1196"/>
    </row>
    <row r="1197" spans="1:7">
      <c r="A1197"/>
      <c r="B1197"/>
      <c r="C1197"/>
      <c r="D1197"/>
      <c r="E1197"/>
      <c r="F1197"/>
      <c r="G1197"/>
    </row>
    <row r="1198" spans="1:7">
      <c r="A1198"/>
      <c r="B1198"/>
      <c r="C1198"/>
      <c r="D1198"/>
      <c r="E1198"/>
      <c r="F1198"/>
      <c r="G1198"/>
    </row>
    <row r="1199" spans="1:7">
      <c r="A1199"/>
      <c r="B1199"/>
      <c r="C1199"/>
      <c r="D1199"/>
      <c r="E1199"/>
      <c r="F1199"/>
      <c r="G1199"/>
    </row>
    <row r="1200" spans="1:7">
      <c r="A1200"/>
      <c r="B1200"/>
      <c r="C1200"/>
      <c r="D1200"/>
      <c r="E1200"/>
      <c r="F1200"/>
      <c r="G1200"/>
    </row>
    <row r="1201" spans="1:7">
      <c r="A1201"/>
      <c r="B1201"/>
      <c r="C1201"/>
      <c r="D1201"/>
      <c r="E1201"/>
      <c r="F1201"/>
      <c r="G1201"/>
    </row>
    <row r="1202" spans="1:7">
      <c r="A1202"/>
      <c r="B1202"/>
      <c r="C1202"/>
      <c r="D1202"/>
      <c r="E1202"/>
      <c r="F1202"/>
      <c r="G1202"/>
    </row>
    <row r="1203" spans="1:7">
      <c r="A1203"/>
      <c r="B1203"/>
      <c r="C1203"/>
      <c r="D1203"/>
      <c r="E1203"/>
      <c r="F1203"/>
      <c r="G1203"/>
    </row>
    <row r="1204" spans="1:7">
      <c r="A1204"/>
      <c r="B1204"/>
      <c r="C1204"/>
      <c r="D1204"/>
      <c r="E1204"/>
      <c r="F1204"/>
      <c r="G1204"/>
    </row>
    <row r="1205" spans="1:7">
      <c r="A1205"/>
      <c r="B1205"/>
      <c r="C1205"/>
      <c r="D1205"/>
      <c r="E1205"/>
      <c r="F1205"/>
      <c r="G1205"/>
    </row>
    <row r="1206" spans="1:7">
      <c r="A1206"/>
      <c r="B1206"/>
      <c r="C1206"/>
      <c r="D1206"/>
      <c r="E1206"/>
      <c r="F1206"/>
      <c r="G1206"/>
    </row>
    <row r="1207" spans="1:7">
      <c r="A1207"/>
      <c r="B1207"/>
      <c r="C1207"/>
      <c r="D1207"/>
      <c r="E1207"/>
      <c r="F1207"/>
      <c r="G1207"/>
    </row>
    <row r="1208" spans="1:7">
      <c r="A1208"/>
      <c r="B1208"/>
      <c r="C1208"/>
      <c r="D1208"/>
      <c r="E1208"/>
      <c r="F1208"/>
      <c r="G1208"/>
    </row>
    <row r="1209" spans="1:7">
      <c r="A1209"/>
      <c r="B1209"/>
      <c r="C1209"/>
      <c r="D1209"/>
      <c r="E1209"/>
      <c r="F1209"/>
      <c r="G1209"/>
    </row>
    <row r="1210" spans="1:7">
      <c r="A1210"/>
      <c r="B1210"/>
      <c r="C1210"/>
      <c r="D1210"/>
      <c r="E1210"/>
      <c r="F1210"/>
      <c r="G1210"/>
    </row>
    <row r="1211" spans="1:7">
      <c r="A1211"/>
      <c r="B1211"/>
      <c r="C1211"/>
      <c r="D1211"/>
      <c r="E1211"/>
      <c r="F1211"/>
      <c r="G1211"/>
    </row>
    <row r="1212" spans="1:7">
      <c r="A1212"/>
      <c r="B1212"/>
      <c r="C1212"/>
      <c r="D1212"/>
      <c r="E1212"/>
      <c r="F1212"/>
      <c r="G1212"/>
    </row>
    <row r="1213" spans="1:7">
      <c r="A1213"/>
      <c r="B1213"/>
      <c r="C1213"/>
      <c r="D1213"/>
      <c r="E1213"/>
      <c r="F1213"/>
      <c r="G1213"/>
    </row>
    <row r="1214" spans="1:7">
      <c r="A1214"/>
      <c r="B1214"/>
      <c r="C1214"/>
      <c r="D1214"/>
      <c r="E1214"/>
      <c r="F1214"/>
      <c r="G1214"/>
    </row>
    <row r="1215" spans="1:7">
      <c r="A1215"/>
      <c r="B1215"/>
      <c r="C1215"/>
      <c r="D1215"/>
      <c r="E1215"/>
      <c r="F1215"/>
      <c r="G1215"/>
    </row>
    <row r="1216" spans="1:7">
      <c r="A1216"/>
      <c r="B1216"/>
      <c r="C1216"/>
      <c r="D1216"/>
      <c r="E1216"/>
      <c r="F1216"/>
      <c r="G1216"/>
    </row>
    <row r="1217" spans="1:7">
      <c r="A1217"/>
      <c r="B1217"/>
      <c r="C1217"/>
      <c r="D1217"/>
      <c r="E1217"/>
      <c r="F1217"/>
      <c r="G1217"/>
    </row>
    <row r="1218" spans="1:7">
      <c r="A1218"/>
      <c r="B1218"/>
      <c r="C1218"/>
      <c r="D1218"/>
      <c r="E1218"/>
      <c r="F1218"/>
      <c r="G1218"/>
    </row>
    <row r="1219" spans="1:7">
      <c r="A1219"/>
      <c r="B1219"/>
      <c r="C1219"/>
      <c r="D1219"/>
      <c r="E1219"/>
      <c r="F1219"/>
      <c r="G1219"/>
    </row>
    <row r="1220" spans="1:7">
      <c r="A1220"/>
      <c r="B1220"/>
      <c r="C1220"/>
      <c r="D1220"/>
      <c r="E1220"/>
      <c r="F1220"/>
      <c r="G1220"/>
    </row>
    <row r="1221" spans="1:7">
      <c r="A1221"/>
      <c r="B1221"/>
      <c r="C1221"/>
      <c r="D1221"/>
      <c r="E1221"/>
      <c r="F1221"/>
      <c r="G1221"/>
    </row>
    <row r="1222" spans="1:7">
      <c r="A1222"/>
      <c r="B1222"/>
      <c r="C1222"/>
      <c r="D1222"/>
      <c r="E1222"/>
      <c r="F1222"/>
      <c r="G1222"/>
    </row>
    <row r="1223" spans="1:7">
      <c r="A1223"/>
      <c r="B1223"/>
      <c r="C1223"/>
      <c r="D1223"/>
      <c r="E1223"/>
      <c r="F1223"/>
      <c r="G1223"/>
    </row>
    <row r="1224" spans="1:7">
      <c r="A1224"/>
      <c r="B1224"/>
      <c r="C1224"/>
      <c r="D1224"/>
      <c r="E1224"/>
      <c r="F1224"/>
      <c r="G1224"/>
    </row>
    <row r="1225" spans="1:7">
      <c r="A1225"/>
      <c r="B1225"/>
      <c r="C1225"/>
      <c r="D1225"/>
      <c r="E1225"/>
      <c r="F1225"/>
      <c r="G1225"/>
    </row>
    <row r="1226" spans="1:7">
      <c r="A1226"/>
      <c r="B1226"/>
      <c r="C1226"/>
      <c r="D1226"/>
      <c r="E1226"/>
      <c r="F1226"/>
      <c r="G1226"/>
    </row>
    <row r="1227" spans="1:7">
      <c r="A1227"/>
      <c r="B1227"/>
      <c r="C1227"/>
      <c r="D1227"/>
      <c r="E1227"/>
      <c r="F1227"/>
      <c r="G1227"/>
    </row>
    <row r="1228" spans="1:7">
      <c r="A1228"/>
      <c r="B1228"/>
      <c r="C1228"/>
      <c r="D1228"/>
      <c r="E1228"/>
      <c r="F1228"/>
      <c r="G1228"/>
    </row>
    <row r="1229" spans="1:7">
      <c r="A1229"/>
      <c r="B1229"/>
      <c r="C1229"/>
      <c r="D1229"/>
      <c r="E1229"/>
      <c r="F1229"/>
      <c r="G1229"/>
    </row>
    <row r="1230" spans="1:7">
      <c r="A1230"/>
      <c r="B1230"/>
      <c r="C1230"/>
      <c r="D1230"/>
      <c r="E1230"/>
      <c r="F1230"/>
      <c r="G1230"/>
    </row>
    <row r="1231" spans="1:7">
      <c r="A1231"/>
      <c r="B1231"/>
      <c r="C1231"/>
      <c r="D1231"/>
      <c r="E1231"/>
      <c r="F1231"/>
      <c r="G1231"/>
    </row>
    <row r="1232" spans="1:7">
      <c r="A1232"/>
      <c r="B1232"/>
      <c r="C1232"/>
      <c r="D1232"/>
      <c r="E1232"/>
      <c r="F1232"/>
      <c r="G1232"/>
    </row>
    <row r="1233" spans="1:7">
      <c r="A1233"/>
      <c r="B1233"/>
      <c r="C1233"/>
      <c r="D1233"/>
      <c r="E1233"/>
      <c r="F1233"/>
      <c r="G1233"/>
    </row>
    <row r="1234" spans="1:7">
      <c r="A1234"/>
      <c r="B1234"/>
      <c r="C1234"/>
      <c r="D1234"/>
      <c r="E1234"/>
      <c r="F1234"/>
      <c r="G1234"/>
    </row>
    <row r="1235" spans="1:7">
      <c r="A1235"/>
      <c r="B1235"/>
      <c r="C1235"/>
      <c r="D1235"/>
      <c r="E1235"/>
      <c r="F1235"/>
      <c r="G1235"/>
    </row>
    <row r="1236" spans="1:7">
      <c r="A1236"/>
      <c r="B1236"/>
      <c r="C1236"/>
      <c r="D1236"/>
      <c r="E1236"/>
      <c r="F1236"/>
      <c r="G1236"/>
    </row>
    <row r="1237" spans="1:7">
      <c r="A1237"/>
      <c r="B1237"/>
      <c r="C1237"/>
      <c r="D1237"/>
      <c r="E1237"/>
      <c r="F1237"/>
      <c r="G1237"/>
    </row>
    <row r="1238" spans="1:7">
      <c r="A1238"/>
      <c r="B1238"/>
      <c r="C1238"/>
      <c r="D1238"/>
      <c r="E1238"/>
      <c r="F1238"/>
      <c r="G1238"/>
    </row>
    <row r="1239" spans="1:7">
      <c r="A1239"/>
      <c r="B1239"/>
      <c r="C1239"/>
      <c r="D1239"/>
      <c r="E1239"/>
      <c r="F1239"/>
      <c r="G1239"/>
    </row>
    <row r="1240" spans="1:7">
      <c r="A1240"/>
      <c r="B1240"/>
      <c r="C1240"/>
      <c r="D1240"/>
      <c r="E1240"/>
      <c r="F1240"/>
      <c r="G1240"/>
    </row>
    <row r="1241" spans="1:7">
      <c r="A1241"/>
      <c r="B1241"/>
      <c r="C1241"/>
      <c r="D1241"/>
      <c r="E1241"/>
      <c r="F1241"/>
      <c r="G1241"/>
    </row>
    <row r="1242" spans="1:7">
      <c r="A1242"/>
      <c r="B1242"/>
      <c r="C1242"/>
      <c r="D1242"/>
      <c r="E1242"/>
      <c r="F1242"/>
      <c r="G1242"/>
    </row>
    <row r="1243" spans="1:7">
      <c r="A1243"/>
      <c r="B1243"/>
      <c r="C1243"/>
      <c r="D1243"/>
      <c r="E1243"/>
      <c r="F1243"/>
      <c r="G1243"/>
    </row>
    <row r="1244" spans="1:7">
      <c r="A1244"/>
      <c r="B1244"/>
      <c r="C1244"/>
      <c r="D1244"/>
      <c r="E1244"/>
      <c r="F1244"/>
      <c r="G1244"/>
    </row>
    <row r="1245" spans="1:7">
      <c r="A1245"/>
      <c r="B1245"/>
      <c r="C1245"/>
      <c r="D1245"/>
      <c r="E1245"/>
      <c r="F1245"/>
      <c r="G1245"/>
    </row>
    <row r="1246" spans="1:7">
      <c r="A1246"/>
      <c r="B1246"/>
      <c r="C1246"/>
      <c r="D1246"/>
      <c r="E1246"/>
      <c r="F1246"/>
      <c r="G1246"/>
    </row>
    <row r="1247" spans="1:7">
      <c r="A1247"/>
      <c r="B1247"/>
      <c r="C1247"/>
      <c r="D1247"/>
      <c r="E1247"/>
      <c r="F1247"/>
      <c r="G1247"/>
    </row>
    <row r="1248" spans="1:7">
      <c r="A1248"/>
      <c r="B1248"/>
      <c r="C1248"/>
      <c r="D1248"/>
      <c r="E1248"/>
      <c r="F1248"/>
      <c r="G1248"/>
    </row>
    <row r="1249" spans="1:7">
      <c r="A1249"/>
      <c r="B1249"/>
      <c r="C1249"/>
      <c r="D1249"/>
      <c r="E1249"/>
      <c r="F1249"/>
      <c r="G1249"/>
    </row>
    <row r="1250" spans="1:7">
      <c r="A1250"/>
      <c r="B1250"/>
      <c r="C1250"/>
      <c r="D1250"/>
      <c r="E1250"/>
      <c r="F1250"/>
      <c r="G1250"/>
    </row>
    <row r="1251" spans="1:7">
      <c r="A1251"/>
      <c r="B1251"/>
      <c r="C1251"/>
      <c r="D1251"/>
      <c r="E1251"/>
      <c r="F1251"/>
      <c r="G1251"/>
    </row>
    <row r="1252" spans="1:7">
      <c r="A1252"/>
      <c r="B1252"/>
      <c r="C1252"/>
      <c r="D1252"/>
      <c r="E1252"/>
      <c r="F1252"/>
      <c r="G1252"/>
    </row>
    <row r="1253" spans="1:7">
      <c r="A1253"/>
      <c r="B1253"/>
      <c r="C1253"/>
      <c r="D1253"/>
      <c r="E1253"/>
      <c r="F1253"/>
      <c r="G1253"/>
    </row>
    <row r="1254" spans="1:7">
      <c r="A1254"/>
      <c r="B1254"/>
      <c r="C1254"/>
      <c r="D1254"/>
      <c r="E1254"/>
      <c r="F1254"/>
      <c r="G1254"/>
    </row>
    <row r="1255" spans="1:7">
      <c r="A1255"/>
      <c r="B1255"/>
      <c r="C1255"/>
      <c r="D1255"/>
      <c r="E1255"/>
      <c r="F1255"/>
      <c r="G1255"/>
    </row>
    <row r="1256" spans="1:7">
      <c r="A1256"/>
      <c r="B1256"/>
      <c r="C1256"/>
      <c r="D1256"/>
      <c r="E1256"/>
      <c r="F1256"/>
      <c r="G1256"/>
    </row>
    <row r="1257" spans="1:7">
      <c r="A1257"/>
      <c r="B1257"/>
      <c r="C1257"/>
      <c r="D1257"/>
      <c r="E1257"/>
      <c r="F1257"/>
      <c r="G1257"/>
    </row>
    <row r="1258" spans="1:7">
      <c r="A1258"/>
      <c r="B1258"/>
      <c r="C1258"/>
      <c r="D1258"/>
      <c r="E1258"/>
      <c r="F1258"/>
      <c r="G1258"/>
    </row>
    <row r="1259" spans="1:7">
      <c r="A1259"/>
      <c r="B1259"/>
      <c r="C1259"/>
      <c r="D1259"/>
      <c r="E1259"/>
      <c r="F1259"/>
      <c r="G1259"/>
    </row>
    <row r="1260" spans="1:7">
      <c r="A1260"/>
      <c r="B1260"/>
      <c r="C1260"/>
      <c r="D1260"/>
      <c r="E1260"/>
      <c r="F1260"/>
      <c r="G1260"/>
    </row>
    <row r="1261" spans="1:7">
      <c r="A1261"/>
      <c r="B1261"/>
      <c r="C1261"/>
      <c r="D1261"/>
      <c r="E1261"/>
      <c r="F1261"/>
      <c r="G1261"/>
    </row>
    <row r="1262" spans="1:7">
      <c r="A1262"/>
      <c r="B1262"/>
      <c r="C1262"/>
      <c r="D1262"/>
      <c r="E1262"/>
      <c r="F1262"/>
      <c r="G1262"/>
    </row>
    <row r="1263" spans="1:7">
      <c r="A1263"/>
      <c r="B1263"/>
      <c r="C1263"/>
      <c r="D1263"/>
      <c r="E1263"/>
      <c r="F1263"/>
      <c r="G1263"/>
    </row>
    <row r="1264" spans="1:7">
      <c r="A1264"/>
      <c r="B1264"/>
      <c r="C1264"/>
      <c r="D1264"/>
      <c r="E1264"/>
      <c r="F1264"/>
      <c r="G1264"/>
    </row>
    <row r="1265" spans="1:7">
      <c r="A1265"/>
      <c r="B1265"/>
      <c r="C1265"/>
      <c r="D1265"/>
      <c r="E1265"/>
      <c r="F1265"/>
      <c r="G1265"/>
    </row>
    <row r="1266" spans="1:7">
      <c r="A1266"/>
      <c r="B1266"/>
      <c r="C1266"/>
      <c r="D1266"/>
      <c r="E1266"/>
      <c r="F1266"/>
      <c r="G1266"/>
    </row>
    <row r="1267" spans="1:7">
      <c r="A1267"/>
      <c r="B1267"/>
      <c r="C1267"/>
      <c r="D1267"/>
      <c r="E1267"/>
      <c r="F1267"/>
      <c r="G1267"/>
    </row>
    <row r="1268" spans="1:7">
      <c r="A1268"/>
      <c r="B1268"/>
      <c r="C1268"/>
      <c r="D1268"/>
      <c r="E1268"/>
      <c r="F1268"/>
      <c r="G1268"/>
    </row>
    <row r="1269" spans="1:7">
      <c r="A1269"/>
      <c r="B1269"/>
      <c r="C1269"/>
      <c r="D1269"/>
      <c r="E1269"/>
      <c r="F1269"/>
      <c r="G1269"/>
    </row>
    <row r="1270" spans="1:7">
      <c r="A1270"/>
      <c r="B1270"/>
      <c r="C1270"/>
      <c r="D1270"/>
      <c r="E1270"/>
      <c r="F1270"/>
      <c r="G1270"/>
    </row>
    <row r="1271" spans="1:7">
      <c r="A1271"/>
      <c r="B1271"/>
      <c r="C1271"/>
      <c r="D1271"/>
      <c r="E1271"/>
      <c r="F1271"/>
      <c r="G1271"/>
    </row>
    <row r="1272" spans="1:7">
      <c r="A1272"/>
      <c r="B1272"/>
      <c r="C1272"/>
      <c r="D1272"/>
      <c r="E1272"/>
      <c r="F1272"/>
      <c r="G1272"/>
    </row>
    <row r="1273" spans="1:7">
      <c r="A1273"/>
      <c r="B1273"/>
      <c r="C1273"/>
      <c r="D1273"/>
      <c r="E1273"/>
      <c r="F1273"/>
      <c r="G1273"/>
    </row>
    <row r="1274" spans="1:7">
      <c r="A1274"/>
      <c r="B1274"/>
      <c r="C1274"/>
      <c r="D1274"/>
      <c r="E1274"/>
      <c r="F1274"/>
      <c r="G1274"/>
    </row>
    <row r="1275" spans="1:7">
      <c r="A1275"/>
      <c r="B1275"/>
      <c r="C1275"/>
      <c r="D1275"/>
      <c r="E1275"/>
      <c r="F1275"/>
      <c r="G1275"/>
    </row>
    <row r="1276" spans="1:7">
      <c r="A1276"/>
      <c r="B1276"/>
      <c r="C1276"/>
      <c r="D1276"/>
      <c r="E1276"/>
      <c r="F1276"/>
      <c r="G1276"/>
    </row>
    <row r="1277" spans="1:7">
      <c r="A1277"/>
      <c r="B1277"/>
      <c r="C1277"/>
      <c r="D1277"/>
      <c r="E1277"/>
      <c r="F1277"/>
      <c r="G1277"/>
    </row>
    <row r="1278" spans="1:7">
      <c r="A1278"/>
      <c r="B1278"/>
      <c r="C1278"/>
      <c r="D1278"/>
      <c r="E1278"/>
      <c r="F1278"/>
      <c r="G1278"/>
    </row>
    <row r="1279" spans="1:7">
      <c r="A1279"/>
      <c r="B1279"/>
      <c r="C1279"/>
      <c r="D1279"/>
      <c r="E1279"/>
      <c r="F1279"/>
      <c r="G1279"/>
    </row>
    <row r="1280" spans="1:7">
      <c r="A1280"/>
      <c r="B1280"/>
      <c r="C1280"/>
      <c r="D1280"/>
      <c r="E1280"/>
      <c r="F1280"/>
      <c r="G1280"/>
    </row>
    <row r="1281" spans="1:7">
      <c r="A1281"/>
      <c r="B1281"/>
      <c r="C1281"/>
      <c r="D1281"/>
      <c r="E1281"/>
      <c r="F1281"/>
      <c r="G1281"/>
    </row>
    <row r="1282" spans="1:7">
      <c r="A1282"/>
      <c r="B1282"/>
      <c r="C1282"/>
      <c r="D1282"/>
      <c r="E1282"/>
      <c r="F1282"/>
      <c r="G1282"/>
    </row>
    <row r="1283" spans="1:7">
      <c r="A1283"/>
      <c r="B1283"/>
      <c r="C1283"/>
      <c r="D1283"/>
      <c r="E1283"/>
      <c r="F1283"/>
      <c r="G1283"/>
    </row>
    <row r="1284" spans="1:7">
      <c r="A1284"/>
      <c r="B1284"/>
      <c r="C1284"/>
      <c r="D1284"/>
      <c r="E1284"/>
      <c r="F1284"/>
      <c r="G1284"/>
    </row>
    <row r="1285" spans="1:7">
      <c r="A1285"/>
      <c r="B1285"/>
      <c r="C1285"/>
      <c r="D1285"/>
      <c r="E1285"/>
      <c r="F1285"/>
      <c r="G1285"/>
    </row>
    <row r="1286" spans="1:7">
      <c r="A1286"/>
      <c r="B1286"/>
      <c r="C1286"/>
      <c r="D1286"/>
      <c r="E1286"/>
      <c r="F1286"/>
      <c r="G1286"/>
    </row>
    <row r="1287" spans="1:7">
      <c r="A1287"/>
      <c r="B1287"/>
      <c r="C1287"/>
      <c r="D1287"/>
      <c r="E1287"/>
      <c r="F1287"/>
      <c r="G1287"/>
    </row>
    <row r="1288" spans="1:7">
      <c r="A1288"/>
      <c r="B1288"/>
      <c r="C1288"/>
      <c r="D1288"/>
      <c r="E1288"/>
      <c r="F1288"/>
      <c r="G1288"/>
    </row>
    <row r="1289" spans="1:7">
      <c r="A1289"/>
      <c r="B1289"/>
      <c r="C1289"/>
      <c r="D1289"/>
      <c r="E1289"/>
      <c r="F1289"/>
      <c r="G1289"/>
    </row>
    <row r="1290" spans="1:7">
      <c r="A1290"/>
      <c r="B1290"/>
      <c r="C1290"/>
      <c r="D1290"/>
      <c r="E1290"/>
      <c r="F1290"/>
      <c r="G1290"/>
    </row>
    <row r="1291" spans="1:7">
      <c r="A1291"/>
      <c r="B1291"/>
      <c r="C1291"/>
      <c r="D1291"/>
      <c r="E1291"/>
      <c r="F1291"/>
      <c r="G1291"/>
    </row>
    <row r="1292" spans="1:7">
      <c r="A1292"/>
      <c r="B1292"/>
      <c r="C1292"/>
      <c r="D1292"/>
      <c r="E1292"/>
      <c r="F1292"/>
      <c r="G1292"/>
    </row>
    <row r="1293" spans="1:7">
      <c r="A1293"/>
      <c r="B1293"/>
      <c r="C1293"/>
      <c r="D1293"/>
      <c r="E1293"/>
      <c r="F1293"/>
      <c r="G1293"/>
    </row>
    <row r="1294" spans="1:7">
      <c r="A1294"/>
      <c r="B1294"/>
      <c r="C1294"/>
      <c r="D1294"/>
      <c r="E1294"/>
      <c r="F1294"/>
      <c r="G1294"/>
    </row>
    <row r="1295" spans="1:7">
      <c r="A1295"/>
      <c r="B1295"/>
      <c r="C1295"/>
      <c r="D1295"/>
      <c r="E1295"/>
      <c r="F1295"/>
      <c r="G1295"/>
    </row>
    <row r="1296" spans="1:7">
      <c r="A1296"/>
      <c r="B1296"/>
      <c r="C1296"/>
      <c r="D1296"/>
      <c r="E1296"/>
      <c r="F1296"/>
      <c r="G1296"/>
    </row>
    <row r="1297" spans="1:7">
      <c r="A1297"/>
      <c r="B1297"/>
      <c r="C1297"/>
      <c r="D1297"/>
      <c r="E1297"/>
      <c r="F1297"/>
      <c r="G1297"/>
    </row>
    <row r="1298" spans="1:7">
      <c r="A1298"/>
      <c r="B1298"/>
      <c r="C1298"/>
      <c r="D1298"/>
      <c r="E1298"/>
      <c r="F1298"/>
      <c r="G1298"/>
    </row>
    <row r="1299" spans="1:7">
      <c r="A1299"/>
      <c r="B1299"/>
      <c r="C1299"/>
      <c r="D1299"/>
      <c r="E1299"/>
      <c r="F1299"/>
      <c r="G1299"/>
    </row>
    <row r="1300" spans="1:7">
      <c r="A1300"/>
      <c r="B1300"/>
      <c r="C1300"/>
      <c r="D1300"/>
      <c r="E1300"/>
      <c r="F1300"/>
      <c r="G1300"/>
    </row>
    <row r="1301" spans="1:7">
      <c r="A1301"/>
      <c r="B1301"/>
      <c r="C1301"/>
      <c r="D1301"/>
      <c r="E1301"/>
      <c r="F1301"/>
      <c r="G1301"/>
    </row>
    <row r="1302" spans="1:7">
      <c r="A1302"/>
      <c r="B1302"/>
      <c r="C1302"/>
      <c r="D1302"/>
      <c r="E1302"/>
      <c r="F1302"/>
      <c r="G1302"/>
    </row>
    <row r="1303" spans="1:7">
      <c r="A1303"/>
      <c r="B1303"/>
      <c r="C1303"/>
      <c r="D1303"/>
      <c r="E1303"/>
      <c r="F1303"/>
      <c r="G1303"/>
    </row>
    <row r="1304" spans="1:7">
      <c r="A1304"/>
      <c r="B1304"/>
      <c r="C1304"/>
      <c r="D1304"/>
      <c r="E1304"/>
      <c r="F1304"/>
      <c r="G1304"/>
    </row>
    <row r="1305" spans="1:7">
      <c r="A1305"/>
      <c r="B1305"/>
      <c r="C1305"/>
      <c r="D1305"/>
      <c r="E1305"/>
      <c r="F1305"/>
      <c r="G1305"/>
    </row>
    <row r="1306" spans="1:7">
      <c r="A1306"/>
      <c r="B1306"/>
      <c r="C1306"/>
      <c r="D1306"/>
      <c r="E1306"/>
      <c r="F1306"/>
      <c r="G1306"/>
    </row>
    <row r="1307" spans="1:7">
      <c r="A1307"/>
      <c r="B1307"/>
      <c r="C1307"/>
      <c r="D1307"/>
      <c r="E1307"/>
      <c r="F1307"/>
      <c r="G1307"/>
    </row>
    <row r="1308" spans="1:7">
      <c r="A1308"/>
      <c r="B1308"/>
      <c r="C1308"/>
      <c r="D1308"/>
      <c r="E1308"/>
      <c r="F1308"/>
      <c r="G1308"/>
    </row>
    <row r="1309" spans="1:7">
      <c r="A1309"/>
      <c r="B1309"/>
      <c r="C1309"/>
      <c r="D1309"/>
      <c r="E1309"/>
      <c r="F1309"/>
      <c r="G1309"/>
    </row>
    <row r="1310" spans="1:7">
      <c r="A1310"/>
      <c r="B1310"/>
      <c r="C1310"/>
      <c r="D1310"/>
      <c r="E1310"/>
      <c r="F1310"/>
      <c r="G1310"/>
    </row>
    <row r="1311" spans="1:7">
      <c r="A1311"/>
      <c r="B1311"/>
      <c r="C1311"/>
      <c r="D1311"/>
      <c r="E1311"/>
      <c r="F1311"/>
      <c r="G1311"/>
    </row>
    <row r="1312" spans="1:7">
      <c r="A1312"/>
      <c r="B1312"/>
      <c r="C1312"/>
      <c r="D1312"/>
      <c r="E1312"/>
      <c r="F1312"/>
      <c r="G1312"/>
    </row>
    <row r="1313" spans="1:7">
      <c r="A1313"/>
      <c r="B1313"/>
      <c r="C1313"/>
      <c r="D1313"/>
      <c r="E1313"/>
      <c r="F1313"/>
      <c r="G1313"/>
    </row>
    <row r="1314" spans="1:7">
      <c r="A1314"/>
      <c r="B1314"/>
      <c r="C1314"/>
      <c r="D1314"/>
      <c r="E1314"/>
      <c r="F1314"/>
      <c r="G1314"/>
    </row>
    <row r="1315" spans="1:7">
      <c r="A1315"/>
      <c r="B1315"/>
      <c r="C1315"/>
      <c r="D1315"/>
      <c r="E1315"/>
      <c r="F1315"/>
      <c r="G1315"/>
    </row>
    <row r="1316" spans="1:7">
      <c r="A1316"/>
      <c r="B1316"/>
      <c r="C1316"/>
      <c r="D1316"/>
      <c r="E1316"/>
      <c r="F1316"/>
      <c r="G1316"/>
    </row>
    <row r="1317" spans="1:7">
      <c r="A1317"/>
      <c r="B1317"/>
      <c r="C1317"/>
      <c r="D1317"/>
      <c r="E1317"/>
      <c r="F1317"/>
      <c r="G1317"/>
    </row>
    <row r="1318" spans="1:7">
      <c r="A1318"/>
      <c r="B1318"/>
      <c r="C1318"/>
      <c r="D1318"/>
      <c r="E1318"/>
      <c r="F1318"/>
      <c r="G1318"/>
    </row>
    <row r="1319" spans="1:7">
      <c r="A1319"/>
      <c r="B1319"/>
      <c r="C1319"/>
      <c r="D1319"/>
      <c r="E1319"/>
      <c r="F1319"/>
      <c r="G1319"/>
    </row>
    <row r="1320" spans="1:7">
      <c r="A1320"/>
      <c r="B1320"/>
      <c r="C1320"/>
      <c r="D1320"/>
      <c r="E1320"/>
      <c r="F1320"/>
      <c r="G1320"/>
    </row>
    <row r="1321" spans="1:7">
      <c r="A1321"/>
      <c r="B1321"/>
      <c r="C1321"/>
      <c r="D1321"/>
      <c r="E1321"/>
      <c r="F1321"/>
      <c r="G1321"/>
    </row>
    <row r="1322" spans="1:7">
      <c r="A1322"/>
      <c r="B1322"/>
      <c r="C1322"/>
      <c r="D1322"/>
      <c r="E1322"/>
      <c r="F1322"/>
      <c r="G1322"/>
    </row>
    <row r="1323" spans="1:7">
      <c r="A1323"/>
      <c r="B1323"/>
      <c r="C1323"/>
      <c r="D1323"/>
      <c r="E1323"/>
      <c r="F1323"/>
      <c r="G1323"/>
    </row>
    <row r="1324" spans="1:7">
      <c r="A1324"/>
      <c r="B1324"/>
      <c r="C1324"/>
      <c r="D1324"/>
      <c r="E1324"/>
      <c r="F1324"/>
      <c r="G1324"/>
    </row>
    <row r="1325" spans="1:7">
      <c r="A1325"/>
      <c r="B1325"/>
      <c r="C1325"/>
      <c r="D1325"/>
      <c r="E1325"/>
      <c r="F1325"/>
      <c r="G1325"/>
    </row>
    <row r="1326" spans="1:7">
      <c r="A1326"/>
      <c r="B1326"/>
      <c r="C1326"/>
      <c r="D1326"/>
      <c r="E1326"/>
      <c r="F1326"/>
      <c r="G1326"/>
    </row>
    <row r="1327" spans="1:7">
      <c r="A1327"/>
      <c r="B1327"/>
      <c r="C1327"/>
      <c r="D1327"/>
      <c r="E1327"/>
      <c r="F1327"/>
      <c r="G1327"/>
    </row>
    <row r="1328" spans="1:7">
      <c r="A1328"/>
      <c r="B1328"/>
      <c r="C1328"/>
      <c r="D1328"/>
      <c r="E1328"/>
      <c r="F1328"/>
      <c r="G1328"/>
    </row>
    <row r="1329" spans="1:7">
      <c r="A1329"/>
      <c r="B1329"/>
      <c r="C1329"/>
      <c r="D1329"/>
      <c r="E1329"/>
      <c r="F1329"/>
      <c r="G1329"/>
    </row>
    <row r="1330" spans="1:7">
      <c r="A1330"/>
      <c r="B1330"/>
      <c r="C1330"/>
      <c r="D1330"/>
      <c r="E1330"/>
      <c r="F1330"/>
      <c r="G1330"/>
    </row>
    <row r="1331" spans="1:7">
      <c r="A1331"/>
      <c r="B1331"/>
      <c r="C1331"/>
      <c r="D1331"/>
      <c r="E1331"/>
      <c r="F1331"/>
      <c r="G1331"/>
    </row>
    <row r="1332" spans="1:7">
      <c r="A1332"/>
      <c r="B1332"/>
      <c r="C1332"/>
      <c r="D1332"/>
      <c r="E1332"/>
      <c r="F1332"/>
      <c r="G1332"/>
    </row>
    <row r="1333" spans="1:7">
      <c r="A1333"/>
      <c r="B1333"/>
      <c r="C1333"/>
      <c r="D1333"/>
      <c r="E1333"/>
      <c r="F1333"/>
      <c r="G1333"/>
    </row>
    <row r="1334" spans="1:7">
      <c r="A1334"/>
      <c r="B1334"/>
      <c r="C1334"/>
      <c r="D1334"/>
      <c r="E1334"/>
      <c r="F1334"/>
      <c r="G1334"/>
    </row>
    <row r="1335" spans="1:7">
      <c r="A1335"/>
      <c r="B1335"/>
      <c r="C1335"/>
      <c r="D1335"/>
      <c r="E1335"/>
      <c r="F1335"/>
      <c r="G1335"/>
    </row>
    <row r="1336" spans="1:7">
      <c r="A1336"/>
      <c r="B1336"/>
      <c r="C1336"/>
      <c r="D1336"/>
      <c r="E1336"/>
      <c r="F1336"/>
      <c r="G1336"/>
    </row>
    <row r="1337" spans="1:7">
      <c r="A1337"/>
      <c r="B1337"/>
      <c r="C1337"/>
      <c r="D1337"/>
      <c r="E1337"/>
      <c r="F1337"/>
      <c r="G1337"/>
    </row>
    <row r="1338" spans="1:7">
      <c r="A1338"/>
      <c r="B1338"/>
      <c r="C1338"/>
      <c r="D1338"/>
      <c r="E1338"/>
      <c r="F1338"/>
      <c r="G1338"/>
    </row>
    <row r="1339" spans="1:7">
      <c r="A1339"/>
      <c r="B1339"/>
      <c r="C1339"/>
      <c r="D1339"/>
      <c r="E1339"/>
      <c r="F1339"/>
      <c r="G1339"/>
    </row>
    <row r="1340" spans="1:7">
      <c r="A1340"/>
      <c r="B1340"/>
      <c r="C1340"/>
      <c r="D1340"/>
      <c r="E1340"/>
      <c r="F1340"/>
      <c r="G1340"/>
    </row>
    <row r="1341" spans="1:7">
      <c r="A1341"/>
      <c r="B1341"/>
      <c r="C1341"/>
      <c r="D1341"/>
      <c r="E1341"/>
      <c r="F1341"/>
      <c r="G1341"/>
    </row>
    <row r="1342" spans="1:7">
      <c r="A1342"/>
      <c r="B1342"/>
      <c r="C1342"/>
      <c r="D1342"/>
      <c r="E1342"/>
      <c r="F1342"/>
      <c r="G1342"/>
    </row>
    <row r="1343" spans="1:7">
      <c r="A1343"/>
      <c r="B1343"/>
      <c r="C1343"/>
      <c r="D1343"/>
      <c r="E1343"/>
      <c r="F1343"/>
      <c r="G1343"/>
    </row>
    <row r="1344" spans="1:7">
      <c r="A1344"/>
      <c r="B1344"/>
      <c r="C1344"/>
      <c r="D1344"/>
      <c r="E1344"/>
      <c r="F1344"/>
      <c r="G1344"/>
    </row>
    <row r="1345" spans="1:7">
      <c r="A1345"/>
      <c r="B1345"/>
      <c r="C1345"/>
      <c r="D1345"/>
      <c r="E1345"/>
      <c r="F1345"/>
      <c r="G1345"/>
    </row>
    <row r="1346" spans="1:7">
      <c r="A1346"/>
      <c r="B1346"/>
      <c r="C1346"/>
      <c r="D1346"/>
      <c r="E1346"/>
      <c r="F1346"/>
      <c r="G1346"/>
    </row>
    <row r="1347" spans="1:7">
      <c r="A1347"/>
      <c r="B1347"/>
      <c r="C1347"/>
      <c r="D1347"/>
      <c r="E1347"/>
      <c r="F1347"/>
      <c r="G1347"/>
    </row>
    <row r="1348" spans="1:7">
      <c r="A1348"/>
      <c r="B1348"/>
      <c r="C1348"/>
      <c r="D1348"/>
      <c r="E1348"/>
      <c r="F1348"/>
      <c r="G1348"/>
    </row>
    <row r="1349" spans="1:7">
      <c r="A1349"/>
      <c r="B1349"/>
      <c r="C1349"/>
      <c r="D1349"/>
      <c r="E1349"/>
      <c r="F1349"/>
      <c r="G1349"/>
    </row>
    <row r="1350" spans="1:7">
      <c r="A1350"/>
      <c r="B1350"/>
      <c r="C1350"/>
      <c r="D1350"/>
      <c r="E1350"/>
      <c r="F1350"/>
      <c r="G1350"/>
    </row>
    <row r="1351" spans="1:7">
      <c r="A1351"/>
      <c r="B1351"/>
      <c r="C1351"/>
      <c r="D1351"/>
      <c r="E1351"/>
      <c r="F1351"/>
      <c r="G1351"/>
    </row>
    <row r="1352" spans="1:7">
      <c r="A1352"/>
      <c r="B1352"/>
      <c r="C1352"/>
      <c r="D1352"/>
      <c r="E1352"/>
      <c r="F1352"/>
      <c r="G1352"/>
    </row>
    <row r="1353" spans="1:7">
      <c r="A1353"/>
      <c r="B1353"/>
      <c r="C1353"/>
      <c r="D1353"/>
      <c r="E1353"/>
      <c r="F1353"/>
      <c r="G1353"/>
    </row>
    <row r="1354" spans="1:7">
      <c r="A1354"/>
      <c r="B1354"/>
      <c r="C1354"/>
      <c r="D1354"/>
      <c r="E1354"/>
      <c r="F1354"/>
      <c r="G1354"/>
    </row>
    <row r="1355" spans="1:7">
      <c r="A1355"/>
      <c r="B1355"/>
      <c r="C1355"/>
      <c r="D1355"/>
      <c r="E1355"/>
      <c r="F1355"/>
      <c r="G1355"/>
    </row>
    <row r="1356" spans="1:7">
      <c r="A1356"/>
      <c r="B1356"/>
      <c r="C1356"/>
      <c r="D1356"/>
      <c r="E1356"/>
      <c r="F1356"/>
      <c r="G1356"/>
    </row>
    <row r="1357" spans="1:7">
      <c r="A1357"/>
      <c r="B1357"/>
      <c r="C1357"/>
      <c r="D1357"/>
      <c r="E1357"/>
      <c r="F1357"/>
      <c r="G1357"/>
    </row>
    <row r="1358" spans="1:7">
      <c r="A1358"/>
      <c r="B1358"/>
      <c r="C1358"/>
      <c r="D1358"/>
      <c r="E1358"/>
      <c r="F1358"/>
      <c r="G1358"/>
    </row>
    <row r="1359" spans="1:7">
      <c r="A1359"/>
      <c r="B1359"/>
      <c r="C1359"/>
      <c r="D1359"/>
      <c r="E1359"/>
      <c r="F1359"/>
      <c r="G1359"/>
    </row>
    <row r="1360" spans="1:7">
      <c r="A1360"/>
      <c r="B1360"/>
      <c r="C1360"/>
      <c r="D1360"/>
      <c r="E1360"/>
      <c r="F1360"/>
      <c r="G1360"/>
    </row>
    <row r="1361" spans="1:7">
      <c r="A1361"/>
      <c r="B1361"/>
      <c r="C1361"/>
      <c r="D1361"/>
      <c r="E1361"/>
      <c r="F1361"/>
      <c r="G1361"/>
    </row>
    <row r="1362" spans="1:7">
      <c r="A1362"/>
      <c r="B1362"/>
      <c r="C1362"/>
      <c r="D1362"/>
      <c r="E1362"/>
      <c r="F1362"/>
      <c r="G1362"/>
    </row>
    <row r="1363" spans="1:7">
      <c r="A1363"/>
      <c r="B1363"/>
      <c r="C1363"/>
      <c r="D1363"/>
      <c r="E1363"/>
      <c r="F1363"/>
      <c r="G1363"/>
    </row>
    <row r="1364" spans="1:7">
      <c r="A1364"/>
      <c r="B1364"/>
      <c r="C1364"/>
      <c r="D1364"/>
      <c r="E1364"/>
      <c r="F1364"/>
      <c r="G1364"/>
    </row>
    <row r="1365" spans="1:7">
      <c r="A1365"/>
      <c r="B1365"/>
      <c r="C1365"/>
      <c r="D1365"/>
      <c r="E1365"/>
      <c r="F1365"/>
      <c r="G1365"/>
    </row>
    <row r="1366" spans="1:7">
      <c r="A1366"/>
      <c r="B1366"/>
      <c r="C1366"/>
      <c r="D1366"/>
      <c r="E1366"/>
      <c r="F1366"/>
      <c r="G1366"/>
    </row>
    <row r="1367" spans="1:7">
      <c r="A1367"/>
      <c r="B1367"/>
      <c r="C1367"/>
      <c r="D1367"/>
      <c r="E1367"/>
      <c r="F1367"/>
      <c r="G1367"/>
    </row>
    <row r="1368" spans="1:7">
      <c r="A1368"/>
      <c r="B1368"/>
      <c r="C1368"/>
      <c r="D1368"/>
      <c r="E1368"/>
      <c r="F1368"/>
      <c r="G1368"/>
    </row>
    <row r="1369" spans="1:7">
      <c r="A1369"/>
      <c r="B1369"/>
      <c r="C1369"/>
      <c r="D1369"/>
      <c r="E1369"/>
      <c r="F1369"/>
      <c r="G1369"/>
    </row>
    <row r="1370" spans="1:7">
      <c r="A1370"/>
      <c r="B1370"/>
      <c r="C1370"/>
      <c r="D1370"/>
      <c r="E1370"/>
      <c r="F1370"/>
      <c r="G1370"/>
    </row>
    <row r="1371" spans="1:7">
      <c r="A1371"/>
      <c r="B1371"/>
      <c r="C1371"/>
      <c r="D1371"/>
      <c r="E1371"/>
      <c r="F1371"/>
      <c r="G1371"/>
    </row>
    <row r="1372" spans="1:7">
      <c r="A1372"/>
      <c r="B1372"/>
      <c r="C1372"/>
      <c r="D1372"/>
      <c r="E1372"/>
      <c r="F1372"/>
      <c r="G1372"/>
    </row>
    <row r="1373" spans="1:7">
      <c r="A1373"/>
      <c r="B1373"/>
      <c r="C1373"/>
      <c r="D1373"/>
      <c r="E1373"/>
      <c r="F1373"/>
      <c r="G1373"/>
    </row>
    <row r="1374" spans="1:7">
      <c r="A1374"/>
      <c r="B1374"/>
      <c r="C1374"/>
      <c r="D1374"/>
      <c r="E1374"/>
      <c r="F1374"/>
      <c r="G1374"/>
    </row>
    <row r="1375" spans="1:7">
      <c r="A1375"/>
      <c r="B1375"/>
      <c r="C1375"/>
      <c r="D1375"/>
      <c r="E1375"/>
      <c r="F1375"/>
      <c r="G1375"/>
    </row>
    <row r="1376" spans="1:7">
      <c r="A1376"/>
      <c r="B1376"/>
      <c r="C1376"/>
      <c r="D1376"/>
      <c r="E1376"/>
      <c r="F1376"/>
      <c r="G1376"/>
    </row>
    <row r="1377" spans="1:7">
      <c r="A1377"/>
      <c r="B1377"/>
      <c r="C1377"/>
      <c r="D1377"/>
      <c r="E1377"/>
      <c r="F1377"/>
      <c r="G1377"/>
    </row>
    <row r="1378" spans="1:7">
      <c r="A1378"/>
      <c r="B1378"/>
      <c r="C1378"/>
      <c r="D1378"/>
      <c r="E1378"/>
      <c r="F1378"/>
      <c r="G1378"/>
    </row>
    <row r="1379" spans="1:7">
      <c r="A1379"/>
      <c r="B1379"/>
      <c r="C1379"/>
      <c r="D1379"/>
      <c r="E1379"/>
      <c r="F1379"/>
      <c r="G1379"/>
    </row>
    <row r="1380" spans="1:7">
      <c r="A1380"/>
      <c r="B1380"/>
      <c r="C1380"/>
      <c r="D1380"/>
      <c r="E1380"/>
      <c r="F1380"/>
      <c r="G1380"/>
    </row>
    <row r="1381" spans="1:7">
      <c r="A1381"/>
      <c r="B1381"/>
      <c r="C1381"/>
      <c r="D1381"/>
      <c r="E1381"/>
      <c r="F1381"/>
      <c r="G1381"/>
    </row>
    <row r="1382" spans="1:7">
      <c r="A1382"/>
      <c r="B1382"/>
      <c r="C1382"/>
      <c r="D1382"/>
      <c r="E1382"/>
      <c r="F1382"/>
      <c r="G1382"/>
    </row>
    <row r="1383" spans="1:7">
      <c r="A1383"/>
      <c r="B1383"/>
      <c r="C1383"/>
      <c r="D1383"/>
      <c r="E1383"/>
      <c r="F1383"/>
      <c r="G1383"/>
    </row>
    <row r="1384" spans="1:7">
      <c r="A1384"/>
      <c r="B1384"/>
      <c r="C1384"/>
      <c r="D1384"/>
      <c r="E1384"/>
      <c r="F1384"/>
      <c r="G1384"/>
    </row>
    <row r="1385" spans="1:7">
      <c r="A1385"/>
      <c r="B1385"/>
      <c r="C1385"/>
      <c r="D1385"/>
      <c r="E1385"/>
      <c r="F1385"/>
      <c r="G1385"/>
    </row>
    <row r="1386" spans="1:7">
      <c r="A1386"/>
      <c r="B1386"/>
      <c r="C1386"/>
      <c r="D1386"/>
      <c r="E1386"/>
      <c r="F1386"/>
      <c r="G1386"/>
    </row>
    <row r="1387" spans="1:7">
      <c r="A1387"/>
      <c r="B1387"/>
      <c r="C1387"/>
      <c r="D1387"/>
      <c r="E1387"/>
      <c r="F1387"/>
      <c r="G1387"/>
    </row>
    <row r="1388" spans="1:7">
      <c r="A1388"/>
      <c r="B1388"/>
      <c r="C1388"/>
      <c r="D1388"/>
      <c r="E1388"/>
      <c r="F1388"/>
      <c r="G1388"/>
    </row>
    <row r="1389" spans="1:7">
      <c r="A1389"/>
      <c r="B1389"/>
      <c r="C1389"/>
      <c r="D1389"/>
      <c r="E1389"/>
      <c r="F1389"/>
      <c r="G1389"/>
    </row>
    <row r="1390" spans="1:7">
      <c r="A1390"/>
      <c r="B1390"/>
      <c r="C1390"/>
      <c r="D1390"/>
      <c r="E1390"/>
      <c r="F1390"/>
      <c r="G1390"/>
    </row>
    <row r="1391" spans="1:7">
      <c r="A1391"/>
      <c r="B1391"/>
      <c r="C1391"/>
      <c r="D1391"/>
      <c r="E1391"/>
      <c r="F1391"/>
      <c r="G1391"/>
    </row>
    <row r="1392" spans="1:7">
      <c r="A1392"/>
      <c r="B1392"/>
      <c r="C1392"/>
      <c r="D1392"/>
      <c r="E1392"/>
      <c r="F1392"/>
      <c r="G1392"/>
    </row>
    <row r="1393" spans="1:7">
      <c r="A1393"/>
      <c r="B1393"/>
      <c r="C1393"/>
      <c r="D1393"/>
      <c r="E1393"/>
      <c r="F1393"/>
      <c r="G1393"/>
    </row>
    <row r="1394" spans="1:7">
      <c r="A1394"/>
      <c r="B1394"/>
      <c r="C1394"/>
      <c r="D1394"/>
      <c r="E1394"/>
      <c r="F1394"/>
      <c r="G1394"/>
    </row>
    <row r="1395" spans="1:7">
      <c r="A1395"/>
      <c r="B1395"/>
      <c r="C1395"/>
      <c r="D1395"/>
      <c r="E1395"/>
      <c r="F1395"/>
      <c r="G1395"/>
    </row>
    <row r="1396" spans="1:7">
      <c r="A1396"/>
      <c r="B1396"/>
      <c r="C1396"/>
      <c r="D1396"/>
      <c r="E1396"/>
      <c r="F1396"/>
      <c r="G1396"/>
    </row>
    <row r="1397" spans="1:7">
      <c r="A1397"/>
      <c r="B1397"/>
      <c r="C1397"/>
      <c r="D1397"/>
      <c r="E1397"/>
      <c r="F1397"/>
      <c r="G1397"/>
    </row>
    <row r="1398" spans="1:7">
      <c r="A1398"/>
      <c r="B1398"/>
      <c r="C1398"/>
      <c r="D1398"/>
      <c r="E1398"/>
      <c r="F1398"/>
      <c r="G1398"/>
    </row>
    <row r="1399" spans="1:7">
      <c r="A1399"/>
      <c r="B1399"/>
      <c r="C1399"/>
      <c r="D1399"/>
      <c r="E1399"/>
      <c r="F1399"/>
      <c r="G1399"/>
    </row>
    <row r="1400" spans="1:7">
      <c r="A1400"/>
      <c r="B1400"/>
      <c r="C1400"/>
      <c r="D1400"/>
      <c r="E1400"/>
      <c r="F1400"/>
      <c r="G1400"/>
    </row>
    <row r="1401" spans="1:7">
      <c r="A1401"/>
      <c r="B1401"/>
      <c r="C1401"/>
      <c r="D1401"/>
      <c r="E1401"/>
      <c r="F1401"/>
      <c r="G1401"/>
    </row>
    <row r="1402" spans="1:7">
      <c r="A1402"/>
      <c r="B1402"/>
      <c r="C1402"/>
      <c r="D1402"/>
      <c r="E1402"/>
      <c r="F1402"/>
      <c r="G1402"/>
    </row>
    <row r="1403" spans="1:7">
      <c r="A1403"/>
      <c r="B1403"/>
      <c r="C1403"/>
      <c r="D1403"/>
      <c r="E1403"/>
      <c r="F1403"/>
      <c r="G1403"/>
    </row>
    <row r="1404" spans="1:7">
      <c r="A1404"/>
      <c r="B1404"/>
      <c r="C1404"/>
      <c r="D1404"/>
      <c r="E1404"/>
      <c r="F1404"/>
      <c r="G1404"/>
    </row>
    <row r="1405" spans="1:7">
      <c r="A1405"/>
      <c r="B1405"/>
      <c r="C1405"/>
      <c r="D1405"/>
      <c r="E1405"/>
      <c r="F1405"/>
      <c r="G1405"/>
    </row>
    <row r="1406" spans="1:7">
      <c r="A1406"/>
      <c r="B1406"/>
      <c r="C1406"/>
      <c r="D1406"/>
      <c r="E1406"/>
      <c r="F1406"/>
      <c r="G1406"/>
    </row>
    <row r="1407" spans="1:7">
      <c r="A1407"/>
      <c r="B1407"/>
      <c r="C1407"/>
      <c r="D1407"/>
      <c r="E1407"/>
      <c r="F1407"/>
      <c r="G1407"/>
    </row>
    <row r="1408" spans="1:7">
      <c r="A1408"/>
      <c r="B1408"/>
      <c r="C1408"/>
      <c r="D1408"/>
      <c r="E1408"/>
      <c r="F1408"/>
      <c r="G1408"/>
    </row>
    <row r="1409" spans="1:7">
      <c r="A1409"/>
      <c r="B1409"/>
      <c r="C1409"/>
      <c r="D1409"/>
      <c r="E1409"/>
      <c r="F1409"/>
      <c r="G1409"/>
    </row>
    <row r="1410" spans="1:7">
      <c r="A1410"/>
      <c r="B1410"/>
      <c r="C1410"/>
      <c r="D1410"/>
      <c r="E1410"/>
      <c r="F1410"/>
      <c r="G1410"/>
    </row>
    <row r="1411" spans="1:7">
      <c r="A1411"/>
      <c r="B1411"/>
      <c r="C1411"/>
      <c r="D1411"/>
      <c r="E1411"/>
      <c r="F1411"/>
      <c r="G1411"/>
    </row>
    <row r="1412" spans="1:7">
      <c r="A1412"/>
      <c r="B1412"/>
      <c r="C1412"/>
      <c r="D1412"/>
      <c r="E1412"/>
      <c r="F1412"/>
      <c r="G1412"/>
    </row>
    <row r="1413" spans="1:7">
      <c r="A1413"/>
      <c r="B1413"/>
      <c r="C1413"/>
      <c r="D1413"/>
      <c r="E1413"/>
      <c r="F1413"/>
      <c r="G1413"/>
    </row>
    <row r="1414" spans="1:7">
      <c r="A1414"/>
      <c r="B1414"/>
      <c r="C1414"/>
      <c r="D1414"/>
      <c r="E1414"/>
      <c r="F1414"/>
      <c r="G1414"/>
    </row>
    <row r="1415" spans="1:7">
      <c r="A1415"/>
      <c r="B1415"/>
      <c r="C1415"/>
      <c r="D1415"/>
      <c r="E1415"/>
      <c r="F1415"/>
      <c r="G1415"/>
    </row>
    <row r="1416" spans="1:7">
      <c r="A1416"/>
      <c r="B1416"/>
      <c r="C1416"/>
      <c r="D1416"/>
      <c r="E1416"/>
      <c r="F1416"/>
      <c r="G1416"/>
    </row>
    <row r="1417" spans="1:7">
      <c r="A1417"/>
      <c r="B1417"/>
      <c r="C1417"/>
      <c r="D1417"/>
      <c r="E1417"/>
      <c r="F1417"/>
      <c r="G1417"/>
    </row>
    <row r="1418" spans="1:7">
      <c r="A1418"/>
      <c r="B1418"/>
      <c r="C1418"/>
      <c r="D1418"/>
      <c r="E1418"/>
      <c r="F1418"/>
      <c r="G1418"/>
    </row>
    <row r="1419" spans="1:7">
      <c r="A1419"/>
      <c r="B1419"/>
      <c r="C1419"/>
      <c r="D1419"/>
      <c r="E1419"/>
      <c r="F1419"/>
      <c r="G1419"/>
    </row>
    <row r="1420" spans="1:7">
      <c r="A1420"/>
      <c r="B1420"/>
      <c r="C1420"/>
      <c r="D1420"/>
      <c r="E1420"/>
      <c r="F1420"/>
      <c r="G1420"/>
    </row>
    <row r="1421" spans="1:7">
      <c r="A1421"/>
      <c r="B1421"/>
      <c r="C1421"/>
      <c r="D1421"/>
      <c r="E1421"/>
      <c r="F1421"/>
      <c r="G1421"/>
    </row>
    <row r="1422" spans="1:7">
      <c r="A1422"/>
      <c r="B1422"/>
      <c r="C1422"/>
      <c r="D1422"/>
      <c r="E1422"/>
      <c r="F1422"/>
      <c r="G1422"/>
    </row>
    <row r="1423" spans="1:7">
      <c r="A1423"/>
      <c r="B1423"/>
      <c r="C1423"/>
      <c r="D1423"/>
      <c r="E1423"/>
      <c r="F1423"/>
      <c r="G1423"/>
    </row>
    <row r="1424" spans="1:7">
      <c r="A1424"/>
      <c r="B1424"/>
      <c r="C1424"/>
      <c r="D1424"/>
      <c r="E1424"/>
      <c r="F1424"/>
      <c r="G1424"/>
    </row>
    <row r="1425" spans="1:7">
      <c r="A1425"/>
      <c r="B1425"/>
      <c r="C1425"/>
      <c r="D1425"/>
      <c r="E1425"/>
      <c r="F1425"/>
      <c r="G1425"/>
    </row>
    <row r="1426" spans="1:7">
      <c r="A1426"/>
      <c r="B1426"/>
      <c r="C1426"/>
      <c r="D1426"/>
      <c r="E1426"/>
      <c r="F1426"/>
      <c r="G1426"/>
    </row>
    <row r="1427" spans="1:7">
      <c r="A1427"/>
      <c r="B1427"/>
      <c r="C1427"/>
      <c r="D1427"/>
      <c r="E1427"/>
      <c r="F1427"/>
      <c r="G1427"/>
    </row>
    <row r="1428" spans="1:7">
      <c r="A1428"/>
      <c r="B1428"/>
      <c r="C1428"/>
      <c r="D1428"/>
      <c r="E1428"/>
      <c r="F1428"/>
      <c r="G1428"/>
    </row>
    <row r="1429" spans="1:7">
      <c r="A1429"/>
      <c r="B1429"/>
      <c r="C1429"/>
      <c r="D1429"/>
      <c r="E1429"/>
      <c r="F1429"/>
      <c r="G1429"/>
    </row>
    <row r="1430" spans="1:7">
      <c r="A1430"/>
      <c r="B1430"/>
      <c r="C1430"/>
      <c r="D1430"/>
      <c r="E1430"/>
      <c r="F1430"/>
      <c r="G1430"/>
    </row>
    <row r="1431" spans="1:7">
      <c r="A1431"/>
      <c r="B1431"/>
      <c r="C1431"/>
      <c r="D1431"/>
      <c r="E1431"/>
      <c r="F1431"/>
      <c r="G1431"/>
    </row>
    <row r="1432" spans="1:7">
      <c r="A1432"/>
      <c r="B1432"/>
      <c r="C1432"/>
      <c r="D1432"/>
      <c r="E1432"/>
      <c r="F1432"/>
      <c r="G1432"/>
    </row>
    <row r="1433" spans="1:7">
      <c r="A1433"/>
      <c r="B1433"/>
      <c r="C1433"/>
      <c r="D1433"/>
      <c r="E1433"/>
      <c r="F1433"/>
      <c r="G1433"/>
    </row>
    <row r="1434" spans="1:7">
      <c r="A1434"/>
      <c r="B1434"/>
      <c r="C1434"/>
      <c r="D1434"/>
      <c r="E1434"/>
      <c r="F1434"/>
      <c r="G1434"/>
    </row>
    <row r="1435" spans="1:7">
      <c r="A1435"/>
      <c r="B1435"/>
      <c r="C1435"/>
      <c r="D1435"/>
      <c r="E1435"/>
      <c r="F1435"/>
      <c r="G1435"/>
    </row>
    <row r="1436" spans="1:7">
      <c r="A1436"/>
      <c r="B1436"/>
      <c r="C1436"/>
      <c r="D1436"/>
      <c r="E1436"/>
      <c r="F1436"/>
      <c r="G1436"/>
    </row>
    <row r="1437" spans="1:7">
      <c r="A1437"/>
      <c r="B1437"/>
      <c r="C1437"/>
      <c r="D1437"/>
      <c r="E1437"/>
      <c r="F1437"/>
      <c r="G1437"/>
    </row>
    <row r="1438" spans="1:7">
      <c r="A1438"/>
      <c r="B1438"/>
      <c r="C1438"/>
      <c r="D1438"/>
      <c r="E1438"/>
      <c r="F1438"/>
      <c r="G1438"/>
    </row>
    <row r="1439" spans="1:7">
      <c r="A1439"/>
      <c r="B1439"/>
      <c r="C1439"/>
      <c r="D1439"/>
      <c r="E1439"/>
      <c r="F1439"/>
      <c r="G1439"/>
    </row>
    <row r="1440" spans="1:7">
      <c r="A1440"/>
      <c r="B1440"/>
      <c r="C1440"/>
      <c r="D1440"/>
      <c r="E1440"/>
      <c r="F1440"/>
      <c r="G1440"/>
    </row>
    <row r="1441" spans="1:7">
      <c r="A1441"/>
      <c r="B1441"/>
      <c r="C1441"/>
      <c r="D1441"/>
      <c r="E1441"/>
      <c r="F1441"/>
      <c r="G1441"/>
    </row>
    <row r="1442" spans="1:7">
      <c r="A1442"/>
      <c r="B1442"/>
      <c r="C1442"/>
      <c r="D1442"/>
      <c r="E1442"/>
      <c r="F1442"/>
      <c r="G1442"/>
    </row>
    <row r="1443" spans="1:7">
      <c r="A1443"/>
      <c r="B1443"/>
      <c r="C1443"/>
      <c r="D1443"/>
      <c r="E1443"/>
      <c r="F1443"/>
      <c r="G1443"/>
    </row>
    <row r="1444" spans="1:7">
      <c r="A1444"/>
      <c r="B1444"/>
      <c r="C1444"/>
      <c r="D1444"/>
      <c r="E1444"/>
      <c r="F1444"/>
      <c r="G1444"/>
    </row>
    <row r="1445" spans="1:7">
      <c r="A1445"/>
      <c r="B1445"/>
      <c r="C1445"/>
      <c r="D1445"/>
      <c r="E1445"/>
      <c r="F1445"/>
      <c r="G1445"/>
    </row>
    <row r="1446" spans="1:7">
      <c r="A1446"/>
      <c r="B1446"/>
      <c r="C1446"/>
      <c r="D1446"/>
      <c r="E1446"/>
      <c r="F1446"/>
      <c r="G1446"/>
    </row>
    <row r="1447" spans="1:7">
      <c r="A1447"/>
      <c r="B1447"/>
      <c r="C1447"/>
      <c r="D1447"/>
      <c r="E1447"/>
      <c r="F1447"/>
      <c r="G1447"/>
    </row>
    <row r="1448" spans="1:7">
      <c r="A1448"/>
      <c r="B1448"/>
      <c r="C1448"/>
      <c r="D1448"/>
      <c r="E1448"/>
      <c r="F1448"/>
      <c r="G1448"/>
    </row>
    <row r="1449" spans="1:7">
      <c r="A1449"/>
      <c r="B1449"/>
      <c r="C1449"/>
      <c r="D1449"/>
      <c r="E1449"/>
      <c r="F1449"/>
      <c r="G1449"/>
    </row>
    <row r="1450" spans="1:7">
      <c r="A1450"/>
      <c r="B1450"/>
      <c r="C1450"/>
      <c r="D1450"/>
      <c r="E1450"/>
      <c r="F1450"/>
      <c r="G1450"/>
    </row>
    <row r="1451" spans="1:7">
      <c r="A1451"/>
      <c r="B1451"/>
      <c r="C1451"/>
      <c r="D1451"/>
      <c r="E1451"/>
      <c r="F1451"/>
      <c r="G1451"/>
    </row>
    <row r="1452" spans="1:7">
      <c r="A1452"/>
      <c r="B1452"/>
      <c r="C1452"/>
      <c r="D1452"/>
      <c r="E1452"/>
      <c r="F1452"/>
      <c r="G1452"/>
    </row>
    <row r="1453" spans="1:7">
      <c r="A1453"/>
      <c r="B1453"/>
      <c r="C1453"/>
      <c r="D1453"/>
      <c r="E1453"/>
      <c r="F1453"/>
      <c r="G1453"/>
    </row>
    <row r="1454" spans="1:7">
      <c r="A1454"/>
      <c r="B1454"/>
      <c r="C1454"/>
      <c r="D1454"/>
      <c r="E1454"/>
      <c r="F1454"/>
      <c r="G1454"/>
    </row>
    <row r="1455" spans="1:7">
      <c r="A1455"/>
      <c r="B1455"/>
      <c r="C1455"/>
      <c r="D1455"/>
      <c r="E1455"/>
      <c r="F1455"/>
      <c r="G1455"/>
    </row>
    <row r="1456" spans="1:7">
      <c r="A1456"/>
      <c r="B1456"/>
      <c r="C1456"/>
      <c r="D1456"/>
      <c r="E1456"/>
      <c r="F1456"/>
      <c r="G1456"/>
    </row>
    <row r="1457" spans="1:7">
      <c r="A1457"/>
      <c r="B1457"/>
      <c r="C1457"/>
      <c r="D1457"/>
      <c r="E1457"/>
      <c r="F1457"/>
      <c r="G1457"/>
    </row>
    <row r="1458" spans="1:7">
      <c r="A1458"/>
      <c r="B1458"/>
      <c r="C1458"/>
      <c r="D1458"/>
      <c r="E1458"/>
      <c r="F1458"/>
      <c r="G1458"/>
    </row>
    <row r="1459" spans="1:7">
      <c r="A1459"/>
      <c r="B1459"/>
      <c r="C1459"/>
      <c r="D1459"/>
      <c r="E1459"/>
      <c r="F1459"/>
      <c r="G1459"/>
    </row>
    <row r="1460" spans="1:7">
      <c r="A1460"/>
      <c r="B1460"/>
      <c r="C1460"/>
      <c r="D1460"/>
      <c r="E1460"/>
      <c r="F1460"/>
      <c r="G1460"/>
    </row>
    <row r="1461" spans="1:7">
      <c r="A1461"/>
      <c r="B1461"/>
      <c r="C1461"/>
      <c r="D1461"/>
      <c r="E1461"/>
      <c r="F1461"/>
      <c r="G1461"/>
    </row>
    <row r="1462" spans="1:7">
      <c r="A1462"/>
      <c r="B1462"/>
      <c r="C1462"/>
      <c r="D1462"/>
      <c r="E1462"/>
      <c r="F1462"/>
      <c r="G1462"/>
    </row>
    <row r="1463" spans="1:7">
      <c r="A1463"/>
      <c r="B1463"/>
      <c r="C1463"/>
      <c r="D1463"/>
      <c r="E1463"/>
      <c r="F1463"/>
      <c r="G1463"/>
    </row>
    <row r="1464" spans="1:7">
      <c r="A1464"/>
      <c r="B1464"/>
      <c r="C1464"/>
      <c r="D1464"/>
      <c r="E1464"/>
      <c r="F1464"/>
      <c r="G1464"/>
    </row>
    <row r="1465" spans="1:7">
      <c r="A1465"/>
      <c r="B1465"/>
      <c r="C1465"/>
      <c r="D1465"/>
      <c r="E1465"/>
      <c r="F1465"/>
      <c r="G1465"/>
    </row>
    <row r="1466" spans="1:7">
      <c r="A1466"/>
      <c r="B1466"/>
      <c r="C1466"/>
      <c r="D1466"/>
      <c r="E1466"/>
      <c r="F1466"/>
      <c r="G1466"/>
    </row>
    <row r="1467" spans="1:7">
      <c r="A1467"/>
      <c r="B1467"/>
      <c r="C1467"/>
      <c r="D1467"/>
      <c r="E1467"/>
      <c r="F1467"/>
      <c r="G1467"/>
    </row>
    <row r="1468" spans="1:7">
      <c r="A1468"/>
      <c r="B1468"/>
      <c r="C1468"/>
      <c r="D1468"/>
      <c r="E1468"/>
      <c r="F1468"/>
      <c r="G1468"/>
    </row>
    <row r="1469" spans="1:7">
      <c r="A1469"/>
      <c r="B1469"/>
      <c r="C1469"/>
      <c r="D1469"/>
      <c r="E1469"/>
      <c r="F1469"/>
      <c r="G1469"/>
    </row>
    <row r="1470" spans="1:7">
      <c r="A1470"/>
      <c r="B1470"/>
      <c r="C1470"/>
      <c r="D1470"/>
      <c r="E1470"/>
      <c r="F1470"/>
      <c r="G1470"/>
    </row>
    <row r="1471" spans="1:7">
      <c r="A1471"/>
      <c r="B1471"/>
      <c r="C1471"/>
      <c r="D1471"/>
      <c r="E1471"/>
      <c r="F1471"/>
      <c r="G1471"/>
    </row>
    <row r="1472" spans="1:7">
      <c r="A1472"/>
      <c r="B1472"/>
      <c r="C1472"/>
      <c r="D1472"/>
      <c r="E1472"/>
      <c r="F1472"/>
      <c r="G1472"/>
    </row>
    <row r="1473" spans="1:7">
      <c r="A1473"/>
      <c r="B1473"/>
      <c r="C1473"/>
      <c r="D1473"/>
      <c r="E1473"/>
      <c r="F1473"/>
      <c r="G1473"/>
    </row>
    <row r="1474" spans="1:7">
      <c r="A1474"/>
      <c r="B1474"/>
      <c r="C1474"/>
      <c r="D1474"/>
      <c r="E1474"/>
      <c r="F1474"/>
      <c r="G1474"/>
    </row>
    <row r="1475" spans="1:7">
      <c r="A1475"/>
      <c r="B1475"/>
      <c r="C1475"/>
      <c r="D1475"/>
      <c r="E1475"/>
      <c r="F1475"/>
      <c r="G1475"/>
    </row>
    <row r="1476" spans="1:7">
      <c r="A1476"/>
      <c r="B1476"/>
      <c r="C1476"/>
      <c r="D1476"/>
      <c r="E1476"/>
      <c r="F1476"/>
      <c r="G1476"/>
    </row>
    <row r="1477" spans="1:7">
      <c r="A1477"/>
      <c r="B1477"/>
      <c r="C1477"/>
      <c r="D1477"/>
      <c r="E1477"/>
      <c r="F1477"/>
      <c r="G1477"/>
    </row>
    <row r="1478" spans="1:7">
      <c r="A1478"/>
      <c r="B1478"/>
      <c r="C1478"/>
      <c r="D1478"/>
      <c r="E1478"/>
      <c r="F1478"/>
      <c r="G1478"/>
    </row>
    <row r="1479" spans="1:7">
      <c r="A1479"/>
      <c r="B1479"/>
      <c r="C1479"/>
      <c r="D1479"/>
      <c r="E1479"/>
      <c r="F1479"/>
      <c r="G1479"/>
    </row>
    <row r="1480" spans="1:7">
      <c r="A1480"/>
      <c r="B1480"/>
      <c r="C1480"/>
      <c r="D1480"/>
      <c r="E1480"/>
      <c r="F1480"/>
      <c r="G1480"/>
    </row>
    <row r="1481" spans="1:7">
      <c r="A1481"/>
      <c r="B1481"/>
      <c r="C1481"/>
      <c r="D1481"/>
      <c r="E1481"/>
      <c r="F1481"/>
      <c r="G1481"/>
    </row>
    <row r="1482" spans="1:7">
      <c r="A1482"/>
      <c r="B1482"/>
      <c r="C1482"/>
      <c r="D1482"/>
      <c r="E1482"/>
      <c r="F1482"/>
      <c r="G1482"/>
    </row>
    <row r="1483" spans="1:7">
      <c r="A1483"/>
      <c r="B1483"/>
      <c r="C1483"/>
      <c r="D1483"/>
      <c r="E1483"/>
      <c r="F1483"/>
      <c r="G1483"/>
    </row>
    <row r="1484" spans="1:7">
      <c r="A1484"/>
      <c r="B1484"/>
      <c r="C1484"/>
      <c r="D1484"/>
      <c r="E1484"/>
      <c r="F1484"/>
      <c r="G1484"/>
    </row>
    <row r="1485" spans="1:7">
      <c r="A1485"/>
      <c r="B1485"/>
      <c r="C1485"/>
      <c r="D1485"/>
      <c r="E1485"/>
      <c r="F1485"/>
      <c r="G1485"/>
    </row>
    <row r="1486" spans="1:7">
      <c r="A1486"/>
      <c r="B1486"/>
      <c r="C1486"/>
      <c r="D1486"/>
      <c r="E1486"/>
      <c r="F1486"/>
      <c r="G1486"/>
    </row>
    <row r="1487" spans="1:7">
      <c r="A1487"/>
      <c r="B1487"/>
      <c r="C1487"/>
      <c r="D1487"/>
      <c r="E1487"/>
      <c r="F1487"/>
      <c r="G1487"/>
    </row>
    <row r="1488" spans="1:7">
      <c r="A1488"/>
      <c r="B1488"/>
      <c r="C1488"/>
      <c r="D1488"/>
      <c r="E1488"/>
      <c r="F1488"/>
      <c r="G1488"/>
    </row>
    <row r="1489" spans="1:7">
      <c r="A1489"/>
      <c r="B1489"/>
      <c r="C1489"/>
      <c r="D1489"/>
      <c r="E1489"/>
      <c r="F1489"/>
      <c r="G1489"/>
    </row>
    <row r="1490" spans="1:7">
      <c r="A1490"/>
      <c r="B1490"/>
      <c r="C1490"/>
      <c r="D1490"/>
      <c r="E1490"/>
      <c r="F1490"/>
      <c r="G1490"/>
    </row>
    <row r="1491" spans="1:7">
      <c r="A1491"/>
      <c r="B1491"/>
      <c r="C1491"/>
      <c r="D1491"/>
      <c r="E1491"/>
      <c r="F1491"/>
      <c r="G1491"/>
    </row>
    <row r="1492" spans="1:7">
      <c r="A1492"/>
      <c r="B1492"/>
      <c r="C1492"/>
      <c r="D1492"/>
      <c r="E1492"/>
      <c r="F1492"/>
      <c r="G1492"/>
    </row>
    <row r="1493" spans="1:7">
      <c r="A1493"/>
      <c r="B1493"/>
      <c r="C1493"/>
      <c r="D1493"/>
      <c r="E1493"/>
      <c r="F1493"/>
      <c r="G1493"/>
    </row>
    <row r="1494" spans="1:7">
      <c r="A1494"/>
      <c r="B1494"/>
      <c r="C1494"/>
      <c r="D1494"/>
      <c r="E1494"/>
      <c r="F1494"/>
      <c r="G1494"/>
    </row>
    <row r="1495" spans="1:7">
      <c r="A1495"/>
      <c r="B1495"/>
      <c r="C1495"/>
      <c r="D1495"/>
      <c r="E1495"/>
      <c r="F1495"/>
      <c r="G1495"/>
    </row>
    <row r="1496" spans="1:7">
      <c r="A1496"/>
      <c r="B1496"/>
      <c r="C1496"/>
      <c r="D1496"/>
      <c r="E1496"/>
      <c r="F1496"/>
      <c r="G1496"/>
    </row>
    <row r="1497" spans="1:7">
      <c r="A1497"/>
      <c r="B1497"/>
      <c r="C1497"/>
      <c r="D1497"/>
      <c r="E1497"/>
      <c r="F1497"/>
      <c r="G1497"/>
    </row>
    <row r="1498" spans="1:7">
      <c r="A1498"/>
      <c r="B1498"/>
      <c r="C1498"/>
      <c r="D1498"/>
      <c r="E1498"/>
      <c r="F1498"/>
      <c r="G1498"/>
    </row>
    <row r="1499" spans="1:7">
      <c r="A1499"/>
      <c r="B1499"/>
      <c r="C1499"/>
      <c r="D1499"/>
      <c r="E1499"/>
      <c r="F1499"/>
      <c r="G1499"/>
    </row>
    <row r="1500" spans="1:7">
      <c r="A1500"/>
      <c r="B1500"/>
      <c r="C1500"/>
      <c r="D1500"/>
      <c r="E1500"/>
      <c r="F1500"/>
      <c r="G1500"/>
    </row>
    <row r="1501" spans="1:7">
      <c r="A1501"/>
      <c r="B1501"/>
      <c r="C1501"/>
      <c r="D1501"/>
      <c r="E1501"/>
      <c r="F1501"/>
      <c r="G1501"/>
    </row>
    <row r="1502" spans="1:7">
      <c r="A1502"/>
      <c r="B1502"/>
      <c r="C1502"/>
      <c r="D1502"/>
      <c r="E1502"/>
      <c r="F1502"/>
      <c r="G1502"/>
    </row>
    <row r="1503" spans="1:7">
      <c r="A1503"/>
      <c r="B1503"/>
      <c r="C1503"/>
      <c r="D1503"/>
      <c r="E1503"/>
      <c r="F1503"/>
      <c r="G1503"/>
    </row>
    <row r="1504" spans="1:7">
      <c r="A1504"/>
      <c r="B1504"/>
      <c r="C1504"/>
      <c r="D1504"/>
      <c r="E1504"/>
      <c r="F1504"/>
      <c r="G1504"/>
    </row>
    <row r="1505" spans="1:7">
      <c r="A1505"/>
      <c r="B1505"/>
      <c r="C1505"/>
      <c r="D1505"/>
      <c r="E1505"/>
      <c r="F1505"/>
      <c r="G1505"/>
    </row>
    <row r="1506" spans="1:7">
      <c r="A1506"/>
      <c r="B1506"/>
      <c r="C1506"/>
      <c r="D1506"/>
      <c r="E1506"/>
      <c r="F1506"/>
      <c r="G1506"/>
    </row>
    <row r="1507" spans="1:7">
      <c r="A1507"/>
      <c r="B1507"/>
      <c r="C1507"/>
      <c r="D1507"/>
      <c r="E1507"/>
      <c r="F1507"/>
      <c r="G1507"/>
    </row>
    <row r="1508" spans="1:7">
      <c r="A1508"/>
      <c r="B1508"/>
      <c r="C1508"/>
      <c r="D1508"/>
      <c r="E1508"/>
      <c r="F1508"/>
      <c r="G1508"/>
    </row>
    <row r="1509" spans="1:7">
      <c r="A1509"/>
      <c r="B1509"/>
      <c r="C1509"/>
      <c r="D1509"/>
      <c r="E1509"/>
      <c r="F1509"/>
      <c r="G1509"/>
    </row>
    <row r="1510" spans="1:7">
      <c r="A1510"/>
      <c r="B1510"/>
      <c r="C1510"/>
      <c r="D1510"/>
      <c r="E1510"/>
      <c r="F1510"/>
      <c r="G1510"/>
    </row>
    <row r="1511" spans="1:7">
      <c r="A1511"/>
      <c r="B1511"/>
      <c r="C1511"/>
      <c r="D1511"/>
      <c r="E1511"/>
      <c r="F1511"/>
      <c r="G1511"/>
    </row>
    <row r="1512" spans="1:7">
      <c r="A1512"/>
      <c r="B1512"/>
      <c r="C1512"/>
      <c r="D1512"/>
      <c r="E1512"/>
      <c r="F1512"/>
      <c r="G1512"/>
    </row>
    <row r="1513" spans="1:7">
      <c r="A1513"/>
      <c r="B1513"/>
      <c r="C1513"/>
      <c r="D1513"/>
      <c r="E1513"/>
      <c r="F1513"/>
      <c r="G1513"/>
    </row>
    <row r="1514" spans="1:7">
      <c r="A1514"/>
      <c r="B1514"/>
      <c r="C1514"/>
      <c r="D1514"/>
      <c r="E1514"/>
      <c r="F1514"/>
      <c r="G1514"/>
    </row>
    <row r="1515" spans="1:7">
      <c r="A1515"/>
      <c r="B1515"/>
      <c r="C1515"/>
      <c r="D1515"/>
      <c r="E1515"/>
      <c r="F1515"/>
      <c r="G1515"/>
    </row>
    <row r="1516" spans="1:7">
      <c r="A1516"/>
      <c r="B1516"/>
      <c r="C1516"/>
      <c r="D1516"/>
      <c r="E1516"/>
      <c r="F1516"/>
      <c r="G1516"/>
    </row>
    <row r="1517" spans="1:7">
      <c r="A1517"/>
      <c r="B1517"/>
      <c r="C1517"/>
      <c r="D1517"/>
      <c r="E1517"/>
      <c r="F1517"/>
      <c r="G1517"/>
    </row>
    <row r="1518" spans="1:7">
      <c r="A1518"/>
      <c r="B1518"/>
      <c r="C1518"/>
      <c r="D1518"/>
      <c r="E1518"/>
      <c r="F1518"/>
      <c r="G1518"/>
    </row>
    <row r="1519" spans="1:7">
      <c r="A1519"/>
      <c r="B1519"/>
      <c r="C1519"/>
      <c r="D1519"/>
      <c r="E1519"/>
      <c r="F1519"/>
      <c r="G1519"/>
    </row>
    <row r="1520" spans="1:7">
      <c r="A1520"/>
      <c r="B1520"/>
      <c r="C1520"/>
      <c r="D1520"/>
      <c r="E1520"/>
      <c r="F1520"/>
      <c r="G1520"/>
    </row>
    <row r="1521" spans="1:7">
      <c r="A1521"/>
      <c r="B1521"/>
      <c r="C1521"/>
      <c r="D1521"/>
      <c r="E1521"/>
      <c r="F1521"/>
      <c r="G1521"/>
    </row>
    <row r="1522" spans="1:7">
      <c r="A1522"/>
      <c r="B1522"/>
      <c r="C1522"/>
      <c r="D1522"/>
      <c r="E1522"/>
      <c r="F1522"/>
      <c r="G1522"/>
    </row>
    <row r="1523" spans="1:7">
      <c r="A1523"/>
      <c r="B1523"/>
      <c r="C1523"/>
      <c r="D1523"/>
      <c r="E1523"/>
      <c r="F1523"/>
      <c r="G1523"/>
    </row>
    <row r="1524" spans="1:7">
      <c r="A1524"/>
      <c r="B1524"/>
      <c r="C1524"/>
      <c r="D1524"/>
      <c r="E1524"/>
      <c r="F1524"/>
      <c r="G1524"/>
    </row>
    <row r="1525" spans="1:7">
      <c r="A1525"/>
      <c r="B1525"/>
      <c r="C1525"/>
      <c r="D1525"/>
      <c r="E1525"/>
      <c r="F1525"/>
      <c r="G1525"/>
    </row>
    <row r="1526" spans="1:7">
      <c r="A1526"/>
      <c r="B1526"/>
      <c r="C1526"/>
      <c r="D1526"/>
      <c r="E1526"/>
      <c r="F1526"/>
      <c r="G1526"/>
    </row>
    <row r="1527" spans="1:7">
      <c r="A1527"/>
      <c r="B1527"/>
      <c r="C1527"/>
      <c r="D1527"/>
      <c r="E1527"/>
      <c r="F1527"/>
      <c r="G1527"/>
    </row>
    <row r="1528" spans="1:7">
      <c r="A1528"/>
      <c r="B1528"/>
      <c r="C1528"/>
      <c r="D1528"/>
      <c r="E1528"/>
      <c r="F1528"/>
      <c r="G1528"/>
    </row>
    <row r="1529" spans="1:7">
      <c r="A1529"/>
      <c r="B1529"/>
      <c r="C1529"/>
      <c r="D1529"/>
      <c r="E1529"/>
      <c r="F1529"/>
      <c r="G1529"/>
    </row>
    <row r="1530" spans="1:7">
      <c r="A1530"/>
      <c r="B1530"/>
      <c r="C1530"/>
      <c r="D1530"/>
      <c r="E1530"/>
      <c r="F1530"/>
      <c r="G1530"/>
    </row>
    <row r="1531" spans="1:7">
      <c r="A1531"/>
      <c r="B1531"/>
      <c r="C1531"/>
      <c r="D1531"/>
      <c r="E1531"/>
      <c r="F1531"/>
      <c r="G1531"/>
    </row>
    <row r="1532" spans="1:7">
      <c r="A1532"/>
      <c r="B1532"/>
      <c r="C1532"/>
      <c r="D1532"/>
      <c r="E1532"/>
      <c r="F1532"/>
      <c r="G1532"/>
    </row>
    <row r="1533" spans="1:7">
      <c r="A1533"/>
      <c r="B1533"/>
      <c r="C1533"/>
      <c r="D1533"/>
      <c r="E1533"/>
      <c r="F1533"/>
      <c r="G1533"/>
    </row>
    <row r="1534" spans="1:7">
      <c r="A1534"/>
      <c r="B1534"/>
      <c r="C1534"/>
      <c r="D1534"/>
      <c r="E1534"/>
      <c r="F1534"/>
      <c r="G1534"/>
    </row>
    <row r="1535" spans="1:7">
      <c r="A1535"/>
      <c r="B1535"/>
      <c r="C1535"/>
      <c r="D1535"/>
      <c r="E1535"/>
      <c r="F1535"/>
      <c r="G1535"/>
    </row>
    <row r="1536" spans="1:7">
      <c r="A1536"/>
      <c r="B1536"/>
      <c r="C1536"/>
      <c r="D1536"/>
      <c r="E1536"/>
      <c r="F1536"/>
      <c r="G1536"/>
    </row>
    <row r="1537" spans="1:7">
      <c r="A1537"/>
      <c r="B1537"/>
      <c r="C1537"/>
      <c r="D1537"/>
      <c r="E1537"/>
      <c r="F1537"/>
      <c r="G1537"/>
    </row>
    <row r="1538" spans="1:7">
      <c r="A1538"/>
      <c r="B1538"/>
      <c r="C1538"/>
      <c r="D1538"/>
      <c r="E1538"/>
      <c r="F1538"/>
      <c r="G1538"/>
    </row>
    <row r="1539" spans="1:7">
      <c r="A1539"/>
      <c r="B1539"/>
      <c r="C1539"/>
      <c r="D1539"/>
      <c r="E1539"/>
      <c r="F1539"/>
      <c r="G1539"/>
    </row>
    <row r="1540" spans="1:7">
      <c r="A1540"/>
      <c r="B1540"/>
      <c r="C1540"/>
      <c r="D1540"/>
      <c r="E1540"/>
      <c r="F1540"/>
      <c r="G1540"/>
    </row>
    <row r="1541" spans="1:7">
      <c r="A1541"/>
      <c r="B1541"/>
      <c r="C1541"/>
      <c r="D1541"/>
      <c r="E1541"/>
      <c r="F1541"/>
      <c r="G1541"/>
    </row>
    <row r="1542" spans="1:7">
      <c r="A1542"/>
      <c r="B1542"/>
      <c r="C1542"/>
      <c r="D1542"/>
      <c r="E1542"/>
      <c r="F1542"/>
      <c r="G1542"/>
    </row>
    <row r="1543" spans="1:7">
      <c r="A1543"/>
      <c r="B1543"/>
      <c r="C1543"/>
      <c r="D1543"/>
      <c r="E1543"/>
      <c r="F1543"/>
      <c r="G1543"/>
    </row>
    <row r="1544" spans="1:7">
      <c r="A1544"/>
      <c r="B1544"/>
      <c r="C1544"/>
      <c r="D1544"/>
      <c r="E1544"/>
      <c r="F1544"/>
      <c r="G1544"/>
    </row>
    <row r="1545" spans="1:7">
      <c r="A1545"/>
      <c r="B1545"/>
      <c r="C1545"/>
      <c r="D1545"/>
      <c r="E1545"/>
      <c r="F1545"/>
      <c r="G1545"/>
    </row>
    <row r="1546" spans="1:7">
      <c r="A1546"/>
      <c r="B1546"/>
      <c r="C1546"/>
      <c r="D1546"/>
      <c r="E1546"/>
      <c r="F1546"/>
      <c r="G1546"/>
    </row>
    <row r="1547" spans="1:7">
      <c r="A1547"/>
      <c r="B1547"/>
      <c r="C1547"/>
      <c r="D1547"/>
      <c r="E1547"/>
      <c r="F1547"/>
      <c r="G1547"/>
    </row>
    <row r="1548" spans="1:7">
      <c r="A1548"/>
      <c r="B1548"/>
      <c r="C1548"/>
      <c r="D1548"/>
      <c r="E1548"/>
      <c r="F1548"/>
      <c r="G1548"/>
    </row>
    <row r="1549" spans="1:7">
      <c r="A1549"/>
      <c r="B1549"/>
      <c r="C1549"/>
      <c r="D1549"/>
      <c r="E1549"/>
      <c r="F1549"/>
      <c r="G1549"/>
    </row>
    <row r="1550" spans="1:7">
      <c r="A1550"/>
      <c r="B1550"/>
      <c r="C1550"/>
      <c r="D1550"/>
      <c r="E1550"/>
      <c r="F1550"/>
      <c r="G1550"/>
    </row>
    <row r="1551" spans="1:7">
      <c r="A1551"/>
      <c r="B1551"/>
      <c r="C1551"/>
      <c r="D1551"/>
      <c r="E1551"/>
      <c r="F1551"/>
      <c r="G1551"/>
    </row>
    <row r="1552" spans="1:7">
      <c r="A1552"/>
      <c r="B1552"/>
      <c r="C1552"/>
      <c r="D1552"/>
      <c r="E1552"/>
      <c r="F1552"/>
      <c r="G1552"/>
    </row>
    <row r="1553" spans="1:7">
      <c r="A1553"/>
      <c r="B1553"/>
      <c r="C1553"/>
      <c r="D1553"/>
      <c r="E1553"/>
      <c r="F1553"/>
      <c r="G1553"/>
    </row>
    <row r="1554" spans="1:7">
      <c r="A1554"/>
      <c r="B1554"/>
      <c r="C1554"/>
      <c r="D1554"/>
      <c r="E1554"/>
      <c r="F1554"/>
      <c r="G1554"/>
    </row>
    <row r="1555" spans="1:7">
      <c r="A1555"/>
      <c r="B1555"/>
      <c r="C1555"/>
      <c r="D1555"/>
      <c r="E1555"/>
      <c r="F1555"/>
      <c r="G1555"/>
    </row>
    <row r="1556" spans="1:7">
      <c r="A1556"/>
      <c r="B1556"/>
      <c r="C1556"/>
      <c r="D1556"/>
      <c r="E1556"/>
      <c r="F1556"/>
      <c r="G1556"/>
    </row>
    <row r="1557" spans="1:7">
      <c r="A1557"/>
      <c r="B1557"/>
      <c r="C1557"/>
      <c r="D1557"/>
      <c r="E1557"/>
      <c r="F1557"/>
      <c r="G1557"/>
    </row>
    <row r="1558" spans="1:7">
      <c r="A1558"/>
      <c r="B1558"/>
      <c r="C1558"/>
      <c r="D1558"/>
      <c r="E1558"/>
      <c r="F1558"/>
      <c r="G1558"/>
    </row>
    <row r="1559" spans="1:7">
      <c r="A1559"/>
      <c r="B1559"/>
      <c r="C1559"/>
      <c r="D1559"/>
      <c r="E1559"/>
      <c r="F1559"/>
      <c r="G1559"/>
    </row>
    <row r="1560" spans="1:7">
      <c r="A1560"/>
      <c r="B1560"/>
      <c r="C1560"/>
      <c r="D1560"/>
      <c r="E1560"/>
      <c r="F1560"/>
      <c r="G1560"/>
    </row>
    <row r="1561" spans="1:7">
      <c r="A1561"/>
      <c r="B1561"/>
      <c r="C1561"/>
      <c r="D1561"/>
      <c r="E1561"/>
      <c r="F1561"/>
      <c r="G1561"/>
    </row>
    <row r="1562" spans="1:7">
      <c r="A1562"/>
      <c r="B1562"/>
      <c r="C1562"/>
      <c r="D1562"/>
      <c r="E1562"/>
      <c r="F1562"/>
      <c r="G1562"/>
    </row>
    <row r="1563" spans="1:7">
      <c r="A1563"/>
      <c r="B1563"/>
      <c r="C1563"/>
      <c r="D1563"/>
      <c r="E1563"/>
      <c r="F1563"/>
      <c r="G1563"/>
    </row>
    <row r="1564" spans="1:7">
      <c r="A1564"/>
      <c r="B1564"/>
      <c r="C1564"/>
      <c r="D1564"/>
      <c r="E1564"/>
      <c r="F1564"/>
      <c r="G1564"/>
    </row>
    <row r="1565" spans="1:7">
      <c r="A1565"/>
      <c r="B1565"/>
      <c r="C1565"/>
      <c r="D1565"/>
      <c r="E1565"/>
      <c r="F1565"/>
      <c r="G1565"/>
    </row>
    <row r="1566" spans="1:7">
      <c r="A1566"/>
      <c r="B1566"/>
      <c r="C1566"/>
      <c r="D1566"/>
      <c r="E1566"/>
      <c r="F1566"/>
      <c r="G1566"/>
    </row>
    <row r="1567" spans="1:7">
      <c r="A1567"/>
      <c r="B1567"/>
      <c r="C1567"/>
      <c r="D1567"/>
      <c r="E1567"/>
      <c r="F1567"/>
      <c r="G1567"/>
    </row>
    <row r="1568" spans="1:7">
      <c r="A1568"/>
      <c r="B1568"/>
      <c r="C1568"/>
      <c r="D1568"/>
      <c r="E1568"/>
      <c r="F1568"/>
      <c r="G1568"/>
    </row>
    <row r="1569" spans="1:7">
      <c r="A1569"/>
      <c r="B1569"/>
      <c r="C1569"/>
      <c r="D1569"/>
      <c r="E1569"/>
      <c r="F1569"/>
      <c r="G1569"/>
    </row>
    <row r="1570" spans="1:7">
      <c r="A1570"/>
      <c r="B1570"/>
      <c r="C1570"/>
      <c r="D1570"/>
      <c r="E1570"/>
      <c r="F1570"/>
      <c r="G1570"/>
    </row>
    <row r="1571" spans="1:7">
      <c r="A1571"/>
      <c r="B1571"/>
      <c r="C1571"/>
      <c r="D1571"/>
      <c r="E1571"/>
      <c r="F1571"/>
      <c r="G1571"/>
    </row>
    <row r="1572" spans="1:7">
      <c r="A1572"/>
      <c r="B1572"/>
      <c r="C1572"/>
      <c r="D1572"/>
      <c r="E1572"/>
      <c r="F1572"/>
      <c r="G1572"/>
    </row>
    <row r="1573" spans="1:7">
      <c r="A1573"/>
      <c r="B1573"/>
      <c r="C1573"/>
      <c r="D1573"/>
      <c r="E1573"/>
      <c r="F1573"/>
      <c r="G1573"/>
    </row>
    <row r="1574" spans="1:7">
      <c r="A1574"/>
      <c r="B1574"/>
      <c r="C1574"/>
      <c r="D1574"/>
      <c r="E1574"/>
      <c r="F1574"/>
      <c r="G1574"/>
    </row>
    <row r="1575" spans="1:7">
      <c r="A1575"/>
      <c r="B1575"/>
      <c r="C1575"/>
      <c r="D1575"/>
      <c r="E1575"/>
      <c r="F1575"/>
      <c r="G1575"/>
    </row>
    <row r="1576" spans="1:7">
      <c r="A1576"/>
      <c r="B1576"/>
      <c r="C1576"/>
      <c r="D1576"/>
      <c r="E1576"/>
      <c r="F1576"/>
      <c r="G1576"/>
    </row>
    <row r="1577" spans="1:7">
      <c r="A1577"/>
      <c r="B1577"/>
      <c r="C1577"/>
      <c r="D1577"/>
      <c r="E1577"/>
      <c r="F1577"/>
      <c r="G1577"/>
    </row>
    <row r="1578" spans="1:7">
      <c r="A1578"/>
      <c r="B1578"/>
      <c r="C1578"/>
      <c r="D1578"/>
      <c r="E1578"/>
      <c r="F1578"/>
      <c r="G1578"/>
    </row>
    <row r="1579" spans="1:7">
      <c r="A1579"/>
      <c r="B1579"/>
      <c r="C1579"/>
      <c r="D1579"/>
      <c r="E1579"/>
      <c r="F1579"/>
      <c r="G1579"/>
    </row>
    <row r="1580" spans="1:7">
      <c r="A1580"/>
      <c r="B1580"/>
      <c r="C1580"/>
      <c r="D1580"/>
      <c r="E1580"/>
      <c r="F1580"/>
      <c r="G1580"/>
    </row>
    <row r="1581" spans="1:7">
      <c r="A1581"/>
      <c r="B1581"/>
      <c r="C1581"/>
      <c r="D1581"/>
      <c r="E1581"/>
      <c r="F1581"/>
      <c r="G1581"/>
    </row>
    <row r="1582" spans="1:7">
      <c r="A1582"/>
      <c r="B1582"/>
      <c r="C1582"/>
      <c r="D1582"/>
      <c r="E1582"/>
      <c r="F1582"/>
      <c r="G1582"/>
    </row>
    <row r="1583" spans="1:7">
      <c r="A1583"/>
      <c r="B1583"/>
      <c r="C1583"/>
      <c r="D1583"/>
      <c r="E1583"/>
      <c r="F1583"/>
      <c r="G1583"/>
    </row>
    <row r="1584" spans="1:7">
      <c r="A1584"/>
      <c r="B1584"/>
      <c r="C1584"/>
      <c r="D1584"/>
      <c r="E1584"/>
      <c r="F1584"/>
      <c r="G1584"/>
    </row>
    <row r="1585" spans="1:7">
      <c r="A1585"/>
      <c r="B1585"/>
      <c r="C1585"/>
      <c r="D1585"/>
      <c r="E1585"/>
      <c r="F1585"/>
      <c r="G1585"/>
    </row>
    <row r="1586" spans="1:7">
      <c r="A1586"/>
      <c r="B1586"/>
      <c r="C1586"/>
      <c r="D1586"/>
      <c r="E1586"/>
      <c r="F1586"/>
      <c r="G1586"/>
    </row>
    <row r="1587" spans="1:7">
      <c r="A1587"/>
      <c r="B1587"/>
      <c r="C1587"/>
      <c r="D1587"/>
      <c r="E1587"/>
      <c r="F1587"/>
      <c r="G1587"/>
    </row>
    <row r="1588" spans="1:7">
      <c r="A1588"/>
      <c r="B1588"/>
      <c r="C1588"/>
      <c r="D1588"/>
      <c r="E1588"/>
      <c r="F1588"/>
      <c r="G1588"/>
    </row>
    <row r="1589" spans="1:7">
      <c r="A1589"/>
      <c r="B1589"/>
      <c r="C1589"/>
      <c r="D1589"/>
      <c r="E1589"/>
      <c r="F1589"/>
      <c r="G1589"/>
    </row>
    <row r="1590" spans="1:7">
      <c r="A1590"/>
      <c r="B1590"/>
      <c r="C1590"/>
      <c r="D1590"/>
      <c r="E1590"/>
      <c r="F1590"/>
      <c r="G1590"/>
    </row>
    <row r="1591" spans="1:7">
      <c r="A1591"/>
      <c r="B1591"/>
      <c r="C1591"/>
      <c r="D1591"/>
      <c r="E1591"/>
      <c r="F1591"/>
      <c r="G1591"/>
    </row>
    <row r="1592" spans="1:7">
      <c r="A1592"/>
      <c r="B1592"/>
      <c r="C1592"/>
      <c r="D1592"/>
      <c r="E1592"/>
      <c r="F1592"/>
      <c r="G1592"/>
    </row>
    <row r="1593" spans="1:7">
      <c r="A1593"/>
      <c r="B1593"/>
      <c r="C1593"/>
      <c r="D1593"/>
      <c r="E1593"/>
      <c r="F1593"/>
      <c r="G1593"/>
    </row>
    <row r="1594" spans="1:7">
      <c r="A1594"/>
      <c r="B1594"/>
      <c r="C1594"/>
      <c r="D1594"/>
      <c r="E1594"/>
      <c r="F1594"/>
      <c r="G1594"/>
    </row>
    <row r="1595" spans="1:7">
      <c r="A1595"/>
      <c r="B1595"/>
      <c r="C1595"/>
      <c r="D1595"/>
      <c r="E1595"/>
      <c r="F1595"/>
      <c r="G1595"/>
    </row>
    <row r="1596" spans="1:7">
      <c r="A1596"/>
      <c r="B1596"/>
      <c r="C1596"/>
      <c r="D1596"/>
      <c r="E1596"/>
      <c r="F1596"/>
      <c r="G1596"/>
    </row>
    <row r="1597" spans="1:7">
      <c r="A1597"/>
      <c r="B1597"/>
      <c r="C1597"/>
      <c r="D1597"/>
      <c r="E1597"/>
      <c r="F1597"/>
      <c r="G1597"/>
    </row>
    <row r="1598" spans="1:7">
      <c r="A1598"/>
      <c r="B1598"/>
      <c r="C1598"/>
      <c r="D1598"/>
      <c r="E1598"/>
      <c r="F1598"/>
      <c r="G1598"/>
    </row>
    <row r="1599" spans="1:7">
      <c r="A1599"/>
      <c r="B1599"/>
      <c r="C1599"/>
      <c r="D1599"/>
      <c r="E1599"/>
      <c r="F1599"/>
      <c r="G1599"/>
    </row>
    <row r="1600" spans="1:7">
      <c r="A1600"/>
      <c r="B1600"/>
      <c r="C1600"/>
      <c r="D1600"/>
      <c r="E1600"/>
      <c r="F1600"/>
      <c r="G1600"/>
    </row>
    <row r="1601" spans="1:7">
      <c r="A1601"/>
      <c r="B1601"/>
      <c r="C1601"/>
      <c r="D1601"/>
      <c r="E1601"/>
      <c r="F1601"/>
      <c r="G1601"/>
    </row>
    <row r="1602" spans="1:7">
      <c r="A1602"/>
      <c r="B1602"/>
      <c r="C1602"/>
      <c r="D1602"/>
      <c r="E1602"/>
      <c r="F1602"/>
      <c r="G1602"/>
    </row>
    <row r="1603" spans="1:7">
      <c r="A1603"/>
      <c r="B1603"/>
      <c r="C1603"/>
      <c r="D1603"/>
      <c r="E1603"/>
      <c r="F1603"/>
      <c r="G1603"/>
    </row>
    <row r="1604" spans="1:7">
      <c r="A1604"/>
      <c r="B1604"/>
      <c r="C1604"/>
      <c r="D1604"/>
      <c r="E1604"/>
      <c r="F1604"/>
      <c r="G1604"/>
    </row>
    <row r="1605" spans="1:7">
      <c r="A1605"/>
      <c r="B1605"/>
      <c r="C1605"/>
      <c r="D1605"/>
      <c r="E1605"/>
      <c r="F1605"/>
      <c r="G1605"/>
    </row>
    <row r="1606" spans="1:7">
      <c r="A1606"/>
      <c r="B1606"/>
      <c r="C1606"/>
      <c r="D1606"/>
      <c r="E1606"/>
      <c r="F1606"/>
      <c r="G1606"/>
    </row>
    <row r="1607" spans="1:7">
      <c r="A1607"/>
      <c r="B1607"/>
      <c r="C1607"/>
      <c r="D1607"/>
      <c r="E1607"/>
      <c r="F1607"/>
      <c r="G1607"/>
    </row>
    <row r="1608" spans="1:7">
      <c r="A1608"/>
      <c r="B1608"/>
      <c r="C1608"/>
      <c r="D1608"/>
      <c r="E1608"/>
      <c r="F1608"/>
      <c r="G1608"/>
    </row>
    <row r="1609" spans="1:7">
      <c r="A1609"/>
      <c r="B1609"/>
      <c r="C1609"/>
      <c r="D1609"/>
      <c r="E1609"/>
      <c r="F1609"/>
      <c r="G1609"/>
    </row>
    <row r="1610" spans="1:7">
      <c r="A1610"/>
      <c r="B1610"/>
      <c r="C1610"/>
      <c r="D1610"/>
      <c r="E1610"/>
      <c r="F1610"/>
      <c r="G1610"/>
    </row>
    <row r="1611" spans="1:7">
      <c r="A1611"/>
      <c r="B1611"/>
      <c r="C1611"/>
      <c r="D1611"/>
      <c r="E1611"/>
      <c r="F1611"/>
      <c r="G1611"/>
    </row>
    <row r="1612" spans="1:7">
      <c r="A1612"/>
      <c r="B1612"/>
      <c r="C1612"/>
      <c r="D1612"/>
      <c r="E1612"/>
      <c r="F1612"/>
      <c r="G1612"/>
    </row>
    <row r="1613" spans="1:7">
      <c r="A1613"/>
      <c r="B1613"/>
      <c r="C1613"/>
      <c r="D1613"/>
      <c r="E1613"/>
      <c r="F1613"/>
      <c r="G1613"/>
    </row>
    <row r="1614" spans="1:7">
      <c r="A1614"/>
      <c r="B1614"/>
      <c r="C1614"/>
      <c r="D1614"/>
      <c r="E1614"/>
      <c r="F1614"/>
      <c r="G1614"/>
    </row>
    <row r="1615" spans="1:7">
      <c r="A1615"/>
      <c r="B1615"/>
      <c r="C1615"/>
      <c r="D1615"/>
      <c r="E1615"/>
      <c r="F1615"/>
      <c r="G1615"/>
    </row>
    <row r="1616" spans="1:7">
      <c r="A1616"/>
      <c r="B1616"/>
      <c r="C1616"/>
      <c r="D1616"/>
      <c r="E1616"/>
      <c r="F1616"/>
      <c r="G1616"/>
    </row>
    <row r="1617" spans="1:7">
      <c r="A1617"/>
      <c r="B1617"/>
      <c r="C1617"/>
      <c r="D1617"/>
      <c r="E1617"/>
      <c r="F1617"/>
      <c r="G1617"/>
    </row>
    <row r="1618" spans="1:7">
      <c r="A1618"/>
      <c r="B1618"/>
      <c r="C1618"/>
      <c r="D1618"/>
      <c r="E1618"/>
      <c r="F1618"/>
      <c r="G1618"/>
    </row>
    <row r="1619" spans="1:7">
      <c r="A1619"/>
      <c r="B1619"/>
      <c r="C1619"/>
      <c r="D1619"/>
      <c r="E1619"/>
      <c r="F1619"/>
      <c r="G1619"/>
    </row>
    <row r="1620" spans="1:7">
      <c r="A1620"/>
      <c r="B1620"/>
      <c r="C1620"/>
      <c r="D1620"/>
      <c r="E1620"/>
      <c r="F1620"/>
      <c r="G1620"/>
    </row>
    <row r="1621" spans="1:7">
      <c r="A1621"/>
      <c r="B1621"/>
      <c r="C1621"/>
      <c r="D1621"/>
      <c r="E1621"/>
      <c r="F1621"/>
      <c r="G1621"/>
    </row>
    <row r="1622" spans="1:7">
      <c r="A1622"/>
      <c r="B1622"/>
      <c r="C1622"/>
      <c r="D1622"/>
      <c r="E1622"/>
      <c r="F1622"/>
      <c r="G1622"/>
    </row>
    <row r="1623" spans="1:7">
      <c r="A1623"/>
      <c r="B1623"/>
      <c r="C1623"/>
      <c r="D1623"/>
      <c r="E1623"/>
      <c r="F1623"/>
      <c r="G1623"/>
    </row>
    <row r="1624" spans="1:7">
      <c r="A1624"/>
      <c r="B1624"/>
      <c r="C1624"/>
      <c r="D1624"/>
      <c r="E1624"/>
      <c r="F1624"/>
      <c r="G1624"/>
    </row>
    <row r="1625" spans="1:7">
      <c r="A1625"/>
      <c r="B1625"/>
      <c r="C1625"/>
      <c r="D1625"/>
      <c r="E1625"/>
      <c r="F1625"/>
      <c r="G1625"/>
    </row>
    <row r="1626" spans="1:7">
      <c r="A1626"/>
      <c r="B1626"/>
      <c r="C1626"/>
      <c r="D1626"/>
      <c r="E1626"/>
      <c r="F1626"/>
      <c r="G1626"/>
    </row>
    <row r="1627" spans="1:7">
      <c r="A1627"/>
      <c r="B1627"/>
      <c r="C1627"/>
      <c r="D1627"/>
      <c r="E1627"/>
      <c r="F1627"/>
      <c r="G1627"/>
    </row>
    <row r="1628" spans="1:7">
      <c r="A1628"/>
      <c r="B1628"/>
      <c r="C1628"/>
      <c r="D1628"/>
      <c r="E1628"/>
      <c r="F1628"/>
      <c r="G1628"/>
    </row>
    <row r="1629" spans="1:7">
      <c r="A1629"/>
      <c r="B1629"/>
      <c r="C1629"/>
      <c r="D1629"/>
      <c r="E1629"/>
      <c r="F1629"/>
      <c r="G1629"/>
    </row>
    <row r="1630" spans="1:7">
      <c r="A1630"/>
      <c r="B1630"/>
      <c r="C1630"/>
      <c r="D1630"/>
      <c r="E1630"/>
      <c r="F1630"/>
      <c r="G1630"/>
    </row>
    <row r="1631" spans="1:7">
      <c r="A1631"/>
      <c r="B1631"/>
      <c r="C1631"/>
      <c r="D1631"/>
      <c r="E1631"/>
      <c r="F1631"/>
      <c r="G1631"/>
    </row>
    <row r="1632" spans="1:7">
      <c r="A1632"/>
      <c r="B1632"/>
      <c r="C1632"/>
      <c r="D1632"/>
      <c r="E1632"/>
      <c r="F1632"/>
      <c r="G1632"/>
    </row>
    <row r="1633" spans="1:7">
      <c r="A1633"/>
      <c r="B1633"/>
      <c r="C1633"/>
      <c r="D1633"/>
      <c r="E1633"/>
      <c r="F1633"/>
      <c r="G1633"/>
    </row>
    <row r="1634" spans="1:7">
      <c r="A1634"/>
      <c r="B1634"/>
      <c r="C1634"/>
      <c r="D1634"/>
      <c r="E1634"/>
      <c r="F1634"/>
      <c r="G1634"/>
    </row>
    <row r="1635" spans="1:7">
      <c r="A1635"/>
      <c r="B1635"/>
      <c r="C1635"/>
      <c r="D1635"/>
      <c r="E1635"/>
      <c r="F1635"/>
      <c r="G1635"/>
    </row>
    <row r="1636" spans="1:7">
      <c r="A1636"/>
      <c r="B1636"/>
      <c r="C1636"/>
      <c r="D1636"/>
      <c r="E1636"/>
      <c r="F1636"/>
      <c r="G1636"/>
    </row>
    <row r="1637" spans="1:7">
      <c r="A1637"/>
      <c r="B1637"/>
      <c r="C1637"/>
      <c r="D1637"/>
      <c r="E1637"/>
      <c r="F1637"/>
      <c r="G1637"/>
    </row>
    <row r="1638" spans="1:7">
      <c r="A1638"/>
      <c r="B1638"/>
      <c r="C1638"/>
      <c r="D1638"/>
      <c r="E1638"/>
      <c r="F1638"/>
      <c r="G1638"/>
    </row>
    <row r="1639" spans="1:7">
      <c r="A1639"/>
      <c r="B1639"/>
      <c r="C1639"/>
      <c r="D1639"/>
      <c r="E1639"/>
      <c r="F1639"/>
      <c r="G1639"/>
    </row>
    <row r="1640" spans="1:7">
      <c r="A1640"/>
      <c r="B1640"/>
      <c r="C1640"/>
      <c r="D1640"/>
      <c r="E1640"/>
      <c r="F1640"/>
      <c r="G1640"/>
    </row>
    <row r="1641" spans="1:7">
      <c r="A1641"/>
      <c r="B1641"/>
      <c r="C1641"/>
      <c r="D1641"/>
      <c r="E1641"/>
      <c r="F1641"/>
      <c r="G1641"/>
    </row>
    <row r="1642" spans="1:7">
      <c r="A1642"/>
      <c r="B1642"/>
      <c r="C1642"/>
      <c r="D1642"/>
      <c r="E1642"/>
      <c r="F1642"/>
      <c r="G1642"/>
    </row>
    <row r="1643" spans="1:7">
      <c r="A1643"/>
      <c r="B1643"/>
      <c r="C1643"/>
      <c r="D1643"/>
      <c r="E1643"/>
      <c r="F1643"/>
      <c r="G1643"/>
    </row>
    <row r="1644" spans="1:7">
      <c r="A1644"/>
      <c r="B1644"/>
      <c r="C1644"/>
      <c r="D1644"/>
      <c r="E1644"/>
      <c r="F1644"/>
      <c r="G1644"/>
    </row>
    <row r="1645" spans="1:7">
      <c r="A1645"/>
      <c r="B1645"/>
      <c r="C1645"/>
      <c r="D1645"/>
      <c r="E1645"/>
      <c r="F1645"/>
      <c r="G1645"/>
    </row>
    <row r="1646" spans="1:7">
      <c r="A1646"/>
      <c r="B1646"/>
      <c r="C1646"/>
      <c r="D1646"/>
      <c r="E1646"/>
      <c r="F1646"/>
      <c r="G1646"/>
    </row>
    <row r="1647" spans="1:7">
      <c r="A1647"/>
      <c r="B1647"/>
      <c r="C1647"/>
      <c r="D1647"/>
      <c r="E1647"/>
      <c r="F1647"/>
      <c r="G1647"/>
    </row>
    <row r="1648" spans="1:7">
      <c r="A1648"/>
      <c r="B1648"/>
      <c r="C1648"/>
      <c r="D1648"/>
      <c r="E1648"/>
      <c r="F1648"/>
      <c r="G1648"/>
    </row>
    <row r="1649" spans="1:7">
      <c r="A1649"/>
      <c r="B1649"/>
      <c r="C1649"/>
      <c r="D1649"/>
      <c r="E1649"/>
      <c r="F1649"/>
      <c r="G1649"/>
    </row>
    <row r="1650" spans="1:7">
      <c r="A1650"/>
      <c r="B1650"/>
      <c r="C1650"/>
      <c r="D1650"/>
      <c r="E1650"/>
      <c r="F1650"/>
      <c r="G1650"/>
    </row>
    <row r="1651" spans="1:7">
      <c r="A1651"/>
      <c r="B1651"/>
      <c r="C1651"/>
      <c r="D1651"/>
      <c r="E1651"/>
      <c r="F1651"/>
      <c r="G1651"/>
    </row>
    <row r="1652" spans="1:7">
      <c r="A1652"/>
      <c r="B1652"/>
      <c r="C1652"/>
      <c r="D1652"/>
      <c r="E1652"/>
      <c r="F1652"/>
      <c r="G1652"/>
    </row>
    <row r="1653" spans="1:7">
      <c r="A1653"/>
      <c r="B1653"/>
      <c r="C1653"/>
      <c r="D1653"/>
      <c r="E1653"/>
      <c r="F1653"/>
      <c r="G1653"/>
    </row>
    <row r="1654" spans="1:7">
      <c r="A1654"/>
      <c r="B1654"/>
      <c r="C1654"/>
      <c r="D1654"/>
      <c r="E1654"/>
      <c r="F1654"/>
      <c r="G1654"/>
    </row>
    <row r="1655" spans="1:7">
      <c r="A1655"/>
      <c r="B1655"/>
      <c r="C1655"/>
      <c r="D1655"/>
      <c r="E1655"/>
      <c r="F1655"/>
      <c r="G1655"/>
    </row>
    <row r="1656" spans="1:7">
      <c r="A1656"/>
      <c r="B1656"/>
      <c r="C1656"/>
      <c r="D1656"/>
      <c r="E1656"/>
      <c r="F1656"/>
      <c r="G1656"/>
    </row>
    <row r="1657" spans="1:7">
      <c r="A1657"/>
      <c r="B1657"/>
      <c r="C1657"/>
      <c r="D1657"/>
      <c r="E1657"/>
      <c r="F1657"/>
      <c r="G1657"/>
    </row>
    <row r="1658" spans="1:7">
      <c r="A1658"/>
      <c r="B1658"/>
      <c r="C1658"/>
      <c r="D1658"/>
      <c r="E1658"/>
      <c r="F1658"/>
      <c r="G1658"/>
    </row>
    <row r="1659" spans="1:7">
      <c r="A1659"/>
      <c r="B1659"/>
      <c r="C1659"/>
      <c r="D1659"/>
      <c r="E1659"/>
      <c r="F1659"/>
      <c r="G1659"/>
    </row>
    <row r="1660" spans="1:7">
      <c r="A1660"/>
      <c r="B1660"/>
      <c r="C1660"/>
      <c r="D1660"/>
      <c r="E1660"/>
      <c r="F1660"/>
      <c r="G1660"/>
    </row>
    <row r="1661" spans="1:7">
      <c r="A1661"/>
      <c r="B1661"/>
      <c r="C1661"/>
      <c r="D1661"/>
      <c r="E1661"/>
      <c r="F1661"/>
      <c r="G1661"/>
    </row>
    <row r="1662" spans="1:7">
      <c r="A1662"/>
      <c r="B1662"/>
      <c r="C1662"/>
      <c r="D1662"/>
      <c r="E1662"/>
      <c r="F1662"/>
      <c r="G1662"/>
    </row>
    <row r="1663" spans="1:7">
      <c r="A1663"/>
      <c r="B1663"/>
      <c r="C1663"/>
      <c r="D1663"/>
      <c r="E1663"/>
      <c r="F1663"/>
      <c r="G1663"/>
    </row>
    <row r="1664" spans="1:7">
      <c r="A1664"/>
      <c r="B1664"/>
      <c r="C1664"/>
      <c r="D1664"/>
      <c r="E1664"/>
      <c r="F1664"/>
      <c r="G1664"/>
    </row>
    <row r="1665" spans="1:7">
      <c r="A1665"/>
      <c r="B1665"/>
      <c r="C1665"/>
      <c r="D1665"/>
      <c r="E1665"/>
      <c r="F1665"/>
      <c r="G1665"/>
    </row>
    <row r="1666" spans="1:7">
      <c r="A1666"/>
      <c r="B1666"/>
      <c r="C1666"/>
      <c r="D1666"/>
      <c r="E1666"/>
      <c r="F1666"/>
      <c r="G1666"/>
    </row>
    <row r="1667" spans="1:7">
      <c r="A1667"/>
      <c r="B1667"/>
      <c r="C1667"/>
      <c r="D1667"/>
      <c r="E1667"/>
      <c r="F1667"/>
      <c r="G1667"/>
    </row>
    <row r="1668" spans="1:7">
      <c r="A1668"/>
      <c r="B1668"/>
      <c r="C1668"/>
      <c r="D1668"/>
      <c r="E1668"/>
      <c r="F1668"/>
      <c r="G1668"/>
    </row>
    <row r="1669" spans="1:7">
      <c r="A1669"/>
      <c r="B1669"/>
      <c r="C1669"/>
      <c r="D1669"/>
      <c r="E1669"/>
      <c r="F1669"/>
      <c r="G1669"/>
    </row>
    <row r="1670" spans="1:7">
      <c r="A1670"/>
      <c r="B1670"/>
      <c r="C1670"/>
      <c r="D1670"/>
      <c r="E1670"/>
      <c r="F1670"/>
      <c r="G1670"/>
    </row>
    <row r="1671" spans="1:7">
      <c r="A1671"/>
      <c r="B1671"/>
      <c r="C1671"/>
      <c r="D1671"/>
      <c r="E1671"/>
      <c r="F1671"/>
      <c r="G1671"/>
    </row>
    <row r="1672" spans="1:7">
      <c r="A1672"/>
      <c r="B1672"/>
      <c r="C1672"/>
      <c r="D1672"/>
      <c r="E1672"/>
      <c r="F1672"/>
      <c r="G1672"/>
    </row>
    <row r="1673" spans="1:7">
      <c r="A1673"/>
      <c r="B1673"/>
      <c r="C1673"/>
      <c r="D1673"/>
      <c r="E1673"/>
      <c r="F1673"/>
      <c r="G1673"/>
    </row>
    <row r="1674" spans="1:7">
      <c r="A1674"/>
      <c r="B1674"/>
      <c r="C1674"/>
      <c r="D1674"/>
      <c r="E1674"/>
      <c r="F1674"/>
      <c r="G1674"/>
    </row>
    <row r="1675" spans="1:7">
      <c r="A1675"/>
      <c r="B1675"/>
      <c r="C1675"/>
      <c r="D1675"/>
      <c r="E1675"/>
      <c r="F1675"/>
      <c r="G1675"/>
    </row>
    <row r="1676" spans="1:7">
      <c r="A1676"/>
      <c r="B1676"/>
      <c r="C1676"/>
      <c r="D1676"/>
      <c r="E1676"/>
      <c r="F1676"/>
      <c r="G1676"/>
    </row>
    <row r="1677" spans="1:7">
      <c r="A1677"/>
      <c r="B1677"/>
      <c r="C1677"/>
      <c r="D1677"/>
      <c r="E1677"/>
      <c r="F1677"/>
      <c r="G1677"/>
    </row>
    <row r="1678" spans="1:7">
      <c r="A1678"/>
      <c r="B1678"/>
      <c r="C1678"/>
      <c r="D1678"/>
      <c r="E1678"/>
      <c r="F1678"/>
      <c r="G1678"/>
    </row>
    <row r="1679" spans="1:7">
      <c r="A1679"/>
      <c r="B1679"/>
      <c r="C1679"/>
      <c r="D1679"/>
      <c r="E1679"/>
      <c r="F1679"/>
      <c r="G1679"/>
    </row>
    <row r="1680" spans="1:7">
      <c r="A1680"/>
      <c r="B1680"/>
      <c r="C1680"/>
      <c r="D1680"/>
      <c r="E1680"/>
      <c r="F1680"/>
      <c r="G1680"/>
    </row>
    <row r="1681" spans="1:7">
      <c r="A1681"/>
      <c r="B1681"/>
      <c r="C1681"/>
      <c r="D1681"/>
      <c r="E1681"/>
      <c r="F1681"/>
      <c r="G1681"/>
    </row>
    <row r="1682" spans="1:7">
      <c r="A1682"/>
      <c r="B1682"/>
      <c r="C1682"/>
      <c r="D1682"/>
      <c r="E1682"/>
      <c r="F1682"/>
      <c r="G1682"/>
    </row>
    <row r="1683" spans="1:7">
      <c r="A1683"/>
      <c r="B1683"/>
      <c r="C1683"/>
      <c r="D1683"/>
      <c r="E1683"/>
      <c r="F1683"/>
      <c r="G1683"/>
    </row>
    <row r="1684" spans="1:7">
      <c r="A1684"/>
      <c r="B1684"/>
      <c r="C1684"/>
      <c r="D1684"/>
      <c r="E1684"/>
      <c r="F1684"/>
      <c r="G1684"/>
    </row>
    <row r="1685" spans="1:7">
      <c r="A1685"/>
      <c r="B1685"/>
      <c r="C1685"/>
      <c r="D1685"/>
      <c r="E1685"/>
      <c r="F1685"/>
      <c r="G1685"/>
    </row>
    <row r="1686" spans="1:7">
      <c r="A1686"/>
      <c r="B1686"/>
      <c r="C1686"/>
      <c r="D1686"/>
      <c r="E1686"/>
      <c r="F1686"/>
      <c r="G1686"/>
    </row>
    <row r="1687" spans="1:7">
      <c r="A1687"/>
      <c r="B1687"/>
      <c r="C1687"/>
      <c r="D1687"/>
      <c r="E1687"/>
      <c r="F1687"/>
      <c r="G1687"/>
    </row>
    <row r="1688" spans="1:7">
      <c r="A1688"/>
      <c r="B1688"/>
      <c r="C1688"/>
      <c r="D1688"/>
      <c r="E1688"/>
      <c r="F1688"/>
      <c r="G1688"/>
    </row>
    <row r="1689" spans="1:7">
      <c r="A1689"/>
      <c r="B1689"/>
      <c r="C1689"/>
      <c r="D1689"/>
      <c r="E1689"/>
      <c r="F1689"/>
      <c r="G1689"/>
    </row>
    <row r="1690" spans="1:7">
      <c r="A1690"/>
      <c r="B1690"/>
      <c r="C1690"/>
      <c r="D1690"/>
      <c r="E1690"/>
      <c r="F1690"/>
      <c r="G1690"/>
    </row>
    <row r="1691" spans="1:7">
      <c r="A1691"/>
      <c r="B1691"/>
      <c r="C1691"/>
      <c r="D1691"/>
      <c r="E1691"/>
      <c r="F1691"/>
      <c r="G1691"/>
    </row>
    <row r="1692" spans="1:7">
      <c r="A1692"/>
      <c r="B1692"/>
      <c r="C1692"/>
      <c r="D1692"/>
      <c r="E1692"/>
      <c r="F1692"/>
      <c r="G1692"/>
    </row>
    <row r="1693" spans="1:7">
      <c r="A1693"/>
      <c r="B1693"/>
      <c r="C1693"/>
      <c r="D1693"/>
      <c r="E1693"/>
      <c r="F1693"/>
      <c r="G1693"/>
    </row>
    <row r="1694" spans="1:7">
      <c r="A1694"/>
      <c r="B1694"/>
      <c r="C1694"/>
      <c r="D1694"/>
      <c r="E1694"/>
      <c r="F1694"/>
      <c r="G1694"/>
    </row>
    <row r="1695" spans="1:7">
      <c r="A1695"/>
      <c r="B1695"/>
      <c r="C1695"/>
      <c r="D1695"/>
      <c r="E1695"/>
      <c r="F1695"/>
      <c r="G1695"/>
    </row>
    <row r="1696" spans="1:7">
      <c r="A1696"/>
      <c r="B1696"/>
      <c r="C1696"/>
      <c r="D1696"/>
      <c r="E1696"/>
      <c r="F1696"/>
      <c r="G1696"/>
    </row>
    <row r="1697" spans="1:7">
      <c r="A1697"/>
      <c r="B1697"/>
      <c r="C1697"/>
      <c r="D1697"/>
      <c r="E1697"/>
      <c r="F1697"/>
      <c r="G1697"/>
    </row>
    <row r="1698" spans="1:7">
      <c r="A1698"/>
      <c r="B1698"/>
      <c r="C1698"/>
      <c r="D1698"/>
      <c r="E1698"/>
      <c r="F1698"/>
      <c r="G1698"/>
    </row>
    <row r="1699" spans="1:7">
      <c r="A1699"/>
      <c r="B1699"/>
      <c r="C1699"/>
      <c r="D1699"/>
      <c r="E1699"/>
      <c r="F1699"/>
      <c r="G1699"/>
    </row>
    <row r="1700" spans="1:7">
      <c r="A1700"/>
      <c r="B1700"/>
      <c r="C1700"/>
      <c r="D1700"/>
      <c r="E1700"/>
      <c r="F1700"/>
      <c r="G1700"/>
    </row>
    <row r="1701" spans="1:7">
      <c r="A1701"/>
      <c r="B1701"/>
      <c r="C1701"/>
      <c r="D1701"/>
      <c r="E1701"/>
      <c r="F1701"/>
      <c r="G1701"/>
    </row>
    <row r="1702" spans="1:7">
      <c r="A1702"/>
      <c r="B1702"/>
      <c r="C1702"/>
      <c r="D1702"/>
      <c r="E1702"/>
      <c r="F1702"/>
      <c r="G1702"/>
    </row>
    <row r="1703" spans="1:7">
      <c r="A1703"/>
      <c r="B1703"/>
      <c r="C1703"/>
      <c r="D1703"/>
      <c r="E1703"/>
      <c r="F1703"/>
      <c r="G1703"/>
    </row>
    <row r="1704" spans="1:7">
      <c r="A1704"/>
      <c r="B1704"/>
      <c r="C1704"/>
      <c r="D1704"/>
      <c r="E1704"/>
      <c r="F1704"/>
      <c r="G1704"/>
    </row>
    <row r="1705" spans="1:7">
      <c r="A1705"/>
      <c r="B1705"/>
      <c r="C1705"/>
      <c r="D1705"/>
      <c r="E1705"/>
      <c r="F1705"/>
      <c r="G1705"/>
    </row>
    <row r="1706" spans="1:7">
      <c r="A1706"/>
      <c r="B1706"/>
      <c r="C1706"/>
      <c r="D1706"/>
      <c r="E1706"/>
      <c r="F1706"/>
      <c r="G1706"/>
    </row>
    <row r="1707" spans="1:7">
      <c r="A1707"/>
      <c r="B1707"/>
      <c r="C1707"/>
      <c r="D1707"/>
      <c r="E1707"/>
      <c r="F1707"/>
      <c r="G1707"/>
    </row>
    <row r="1708" spans="1:7">
      <c r="A1708"/>
      <c r="B1708"/>
      <c r="C1708"/>
      <c r="D1708"/>
      <c r="E1708"/>
      <c r="F1708"/>
      <c r="G1708"/>
    </row>
    <row r="1709" spans="1:7">
      <c r="A1709"/>
      <c r="B1709"/>
      <c r="C1709"/>
      <c r="D1709"/>
      <c r="E1709"/>
      <c r="F1709"/>
      <c r="G1709"/>
    </row>
    <row r="1710" spans="1:7">
      <c r="A1710"/>
      <c r="B1710"/>
      <c r="C1710"/>
      <c r="D1710"/>
      <c r="E1710"/>
      <c r="F1710"/>
      <c r="G1710"/>
    </row>
    <row r="1711" spans="1:7">
      <c r="A1711"/>
      <c r="B1711"/>
      <c r="C1711"/>
      <c r="D1711"/>
      <c r="E1711"/>
      <c r="F1711"/>
      <c r="G1711"/>
    </row>
    <row r="1712" spans="1:7">
      <c r="A1712"/>
      <c r="B1712"/>
      <c r="C1712"/>
      <c r="D1712"/>
      <c r="E1712"/>
      <c r="F1712"/>
      <c r="G1712"/>
    </row>
    <row r="1713" spans="1:7">
      <c r="A1713"/>
      <c r="B1713"/>
      <c r="C1713"/>
      <c r="D1713"/>
      <c r="E1713"/>
      <c r="F1713"/>
      <c r="G1713"/>
    </row>
    <row r="1714" spans="1:7">
      <c r="A1714"/>
      <c r="B1714"/>
      <c r="C1714"/>
      <c r="D1714"/>
      <c r="E1714"/>
      <c r="F1714"/>
      <c r="G1714"/>
    </row>
    <row r="1715" spans="1:7">
      <c r="A1715"/>
      <c r="B1715"/>
      <c r="C1715"/>
      <c r="D1715"/>
      <c r="E1715"/>
      <c r="F1715"/>
      <c r="G1715"/>
    </row>
    <row r="1716" spans="1:7">
      <c r="A1716"/>
      <c r="B1716"/>
      <c r="C1716"/>
      <c r="D1716"/>
      <c r="E1716"/>
      <c r="F1716"/>
      <c r="G1716"/>
    </row>
    <row r="1717" spans="1:7">
      <c r="A1717"/>
      <c r="B1717"/>
      <c r="C1717"/>
      <c r="D1717"/>
      <c r="E1717"/>
      <c r="F1717"/>
      <c r="G1717"/>
    </row>
    <row r="1718" spans="1:7">
      <c r="A1718"/>
      <c r="B1718"/>
      <c r="C1718"/>
      <c r="D1718"/>
      <c r="E1718"/>
      <c r="F1718"/>
      <c r="G1718"/>
    </row>
    <row r="1719" spans="1:7">
      <c r="A1719"/>
      <c r="B1719"/>
      <c r="C1719"/>
      <c r="D1719"/>
      <c r="E1719"/>
      <c r="F1719"/>
      <c r="G1719"/>
    </row>
    <row r="1720" spans="1:7">
      <c r="A1720"/>
      <c r="B1720"/>
      <c r="C1720"/>
      <c r="D1720"/>
      <c r="E1720"/>
      <c r="F1720"/>
      <c r="G1720"/>
    </row>
    <row r="1721" spans="1:7">
      <c r="A1721"/>
      <c r="B1721"/>
      <c r="C1721"/>
      <c r="D1721"/>
      <c r="E1721"/>
      <c r="F1721"/>
      <c r="G1721"/>
    </row>
    <row r="1722" spans="1:7">
      <c r="A1722"/>
      <c r="B1722"/>
      <c r="C1722"/>
      <c r="D1722"/>
      <c r="E1722"/>
      <c r="F1722"/>
      <c r="G1722"/>
    </row>
    <row r="1723" spans="1:7">
      <c r="A1723"/>
      <c r="B1723"/>
      <c r="C1723"/>
      <c r="D1723"/>
      <c r="E1723"/>
      <c r="F1723"/>
      <c r="G1723"/>
    </row>
    <row r="1724" spans="1:7">
      <c r="A1724"/>
      <c r="B1724"/>
      <c r="C1724"/>
      <c r="D1724"/>
      <c r="E1724"/>
      <c r="F1724"/>
      <c r="G1724"/>
    </row>
    <row r="1725" spans="1:7">
      <c r="A1725"/>
      <c r="B1725"/>
      <c r="C1725"/>
      <c r="D1725"/>
      <c r="E1725"/>
      <c r="F1725"/>
      <c r="G1725"/>
    </row>
    <row r="1726" spans="1:7">
      <c r="A1726"/>
      <c r="B1726"/>
      <c r="C1726"/>
      <c r="D1726"/>
      <c r="E1726"/>
      <c r="F1726"/>
      <c r="G1726"/>
    </row>
    <row r="1727" spans="1:7">
      <c r="A1727"/>
      <c r="B1727"/>
      <c r="C1727"/>
      <c r="D1727"/>
      <c r="E1727"/>
      <c r="F1727"/>
      <c r="G1727"/>
    </row>
    <row r="1728" spans="1:7">
      <c r="A1728"/>
      <c r="B1728"/>
      <c r="C1728"/>
      <c r="D1728"/>
      <c r="E1728"/>
      <c r="F1728"/>
      <c r="G1728"/>
    </row>
    <row r="1729" spans="1:7">
      <c r="A1729"/>
      <c r="B1729"/>
      <c r="C1729"/>
      <c r="D1729"/>
      <c r="E1729"/>
      <c r="F1729"/>
      <c r="G1729"/>
    </row>
    <row r="1730" spans="1:7">
      <c r="A1730"/>
      <c r="B1730"/>
      <c r="C1730"/>
      <c r="D1730"/>
      <c r="E1730"/>
      <c r="F1730"/>
      <c r="G1730"/>
    </row>
    <row r="1731" spans="1:7">
      <c r="A1731"/>
      <c r="B1731"/>
      <c r="C1731"/>
      <c r="D1731"/>
      <c r="E1731"/>
      <c r="F1731"/>
      <c r="G1731"/>
    </row>
    <row r="1732" spans="1:7">
      <c r="A1732"/>
      <c r="B1732"/>
      <c r="C1732"/>
      <c r="D1732"/>
      <c r="E1732"/>
      <c r="F1732"/>
      <c r="G1732"/>
    </row>
    <row r="1733" spans="1:7">
      <c r="A1733"/>
      <c r="B1733"/>
      <c r="C1733"/>
      <c r="D1733"/>
      <c r="E1733"/>
      <c r="F1733"/>
      <c r="G1733"/>
    </row>
    <row r="1734" spans="1:7">
      <c r="A1734"/>
      <c r="B1734"/>
      <c r="C1734"/>
      <c r="D1734"/>
      <c r="E1734"/>
      <c r="F1734"/>
      <c r="G1734"/>
    </row>
    <row r="1735" spans="1:7">
      <c r="A1735"/>
      <c r="B1735"/>
      <c r="C1735"/>
      <c r="D1735"/>
      <c r="E1735"/>
      <c r="F1735"/>
      <c r="G1735"/>
    </row>
    <row r="1736" spans="1:7">
      <c r="A1736"/>
      <c r="B1736"/>
      <c r="C1736"/>
      <c r="D1736"/>
      <c r="E1736"/>
      <c r="F1736"/>
      <c r="G1736"/>
    </row>
    <row r="1737" spans="1:7">
      <c r="A1737"/>
      <c r="B1737"/>
      <c r="C1737"/>
      <c r="D1737"/>
      <c r="E1737"/>
      <c r="F1737"/>
      <c r="G1737"/>
    </row>
    <row r="1738" spans="1:7">
      <c r="A1738"/>
      <c r="B1738"/>
      <c r="C1738"/>
      <c r="D1738"/>
      <c r="E1738"/>
      <c r="F1738"/>
      <c r="G1738"/>
    </row>
    <row r="1739" spans="1:7">
      <c r="A1739"/>
      <c r="B1739"/>
      <c r="C1739"/>
      <c r="D1739"/>
      <c r="E1739"/>
      <c r="F1739"/>
      <c r="G1739"/>
    </row>
    <row r="1740" spans="1:7">
      <c r="A1740"/>
      <c r="B1740"/>
      <c r="C1740"/>
      <c r="D1740"/>
      <c r="E1740"/>
      <c r="F1740"/>
      <c r="G1740"/>
    </row>
    <row r="1741" spans="1:7">
      <c r="A1741"/>
      <c r="B1741"/>
      <c r="C1741"/>
      <c r="D1741"/>
      <c r="E1741"/>
      <c r="F1741"/>
      <c r="G1741"/>
    </row>
    <row r="1742" spans="1:7">
      <c r="A1742"/>
      <c r="B1742"/>
      <c r="C1742"/>
      <c r="D1742"/>
      <c r="E1742"/>
      <c r="F1742"/>
      <c r="G1742"/>
    </row>
    <row r="1743" spans="1:7">
      <c r="A1743"/>
      <c r="B1743"/>
      <c r="C1743"/>
      <c r="D1743"/>
      <c r="E1743"/>
      <c r="F1743"/>
      <c r="G1743"/>
    </row>
    <row r="1744" spans="1:7">
      <c r="A1744"/>
      <c r="B1744"/>
      <c r="C1744"/>
      <c r="D1744"/>
      <c r="E1744"/>
      <c r="F1744"/>
      <c r="G1744"/>
    </row>
    <row r="1745" spans="1:7">
      <c r="A1745"/>
      <c r="B1745"/>
      <c r="C1745"/>
      <c r="D1745"/>
      <c r="E1745"/>
      <c r="F1745"/>
      <c r="G1745"/>
    </row>
    <row r="1746" spans="1:7">
      <c r="A1746"/>
      <c r="B1746"/>
      <c r="C1746"/>
      <c r="D1746"/>
      <c r="E1746"/>
      <c r="F1746"/>
      <c r="G1746"/>
    </row>
    <row r="1747" spans="1:7">
      <c r="A1747"/>
      <c r="B1747"/>
      <c r="C1747"/>
      <c r="D1747"/>
      <c r="E1747"/>
      <c r="F1747"/>
      <c r="G1747"/>
    </row>
    <row r="1748" spans="1:7">
      <c r="A1748"/>
      <c r="B1748"/>
      <c r="C1748"/>
      <c r="D1748"/>
      <c r="E1748"/>
      <c r="F1748"/>
      <c r="G1748"/>
    </row>
    <row r="1749" spans="1:7">
      <c r="A1749"/>
      <c r="B1749"/>
      <c r="C1749"/>
      <c r="D1749"/>
      <c r="E1749"/>
      <c r="F1749"/>
      <c r="G1749"/>
    </row>
    <row r="1750" spans="1:7">
      <c r="A1750"/>
      <c r="B1750"/>
      <c r="C1750"/>
      <c r="D1750"/>
      <c r="E1750"/>
      <c r="F1750"/>
      <c r="G1750"/>
    </row>
    <row r="1751" spans="1:7">
      <c r="A1751"/>
      <c r="B1751"/>
      <c r="C1751"/>
      <c r="D1751"/>
      <c r="E1751"/>
      <c r="F1751"/>
      <c r="G1751"/>
    </row>
    <row r="1752" spans="1:7">
      <c r="A1752"/>
      <c r="B1752"/>
      <c r="C1752"/>
      <c r="D1752"/>
      <c r="E1752"/>
      <c r="F1752"/>
      <c r="G1752"/>
    </row>
    <row r="1753" spans="1:7">
      <c r="A1753"/>
      <c r="B1753"/>
      <c r="C1753"/>
      <c r="D1753"/>
      <c r="E1753"/>
      <c r="F1753"/>
      <c r="G1753"/>
    </row>
    <row r="1754" spans="1:7">
      <c r="A1754"/>
      <c r="B1754"/>
      <c r="C1754"/>
      <c r="D1754"/>
      <c r="E1754"/>
      <c r="F1754"/>
      <c r="G1754"/>
    </row>
    <row r="1755" spans="1:7">
      <c r="A1755"/>
      <c r="B1755"/>
      <c r="C1755"/>
      <c r="D1755"/>
      <c r="E1755"/>
      <c r="F1755"/>
      <c r="G1755"/>
    </row>
    <row r="1756" spans="1:7">
      <c r="A1756"/>
      <c r="B1756"/>
      <c r="C1756"/>
      <c r="D1756"/>
      <c r="E1756"/>
      <c r="F1756"/>
      <c r="G1756"/>
    </row>
    <row r="1757" spans="1:7">
      <c r="A1757"/>
      <c r="B1757"/>
      <c r="C1757"/>
      <c r="D1757"/>
      <c r="E1757"/>
      <c r="F1757"/>
      <c r="G1757"/>
    </row>
    <row r="1758" spans="1:7">
      <c r="A1758"/>
      <c r="B1758"/>
      <c r="C1758"/>
      <c r="D1758"/>
      <c r="E1758"/>
      <c r="F1758"/>
      <c r="G1758"/>
    </row>
    <row r="1759" spans="1:7">
      <c r="A1759"/>
      <c r="B1759"/>
      <c r="C1759"/>
      <c r="D1759"/>
      <c r="E1759"/>
      <c r="F1759"/>
      <c r="G1759"/>
    </row>
    <row r="1760" spans="1:7">
      <c r="A1760"/>
      <c r="B1760"/>
      <c r="C1760"/>
      <c r="D1760"/>
      <c r="E1760"/>
      <c r="F1760"/>
      <c r="G1760"/>
    </row>
    <row r="1761" spans="1:7">
      <c r="A1761"/>
      <c r="B1761"/>
      <c r="C1761"/>
      <c r="D1761"/>
      <c r="E1761"/>
      <c r="F1761"/>
      <c r="G1761"/>
    </row>
    <row r="1762" spans="1:7">
      <c r="A1762"/>
      <c r="B1762"/>
      <c r="C1762"/>
      <c r="D1762"/>
      <c r="E1762"/>
      <c r="F1762"/>
      <c r="G1762"/>
    </row>
    <row r="1763" spans="1:7">
      <c r="A1763"/>
      <c r="B1763"/>
      <c r="C1763"/>
      <c r="D1763"/>
      <c r="E1763"/>
      <c r="F1763"/>
      <c r="G1763"/>
    </row>
    <row r="1764" spans="1:7">
      <c r="A1764"/>
      <c r="B1764"/>
      <c r="C1764"/>
      <c r="D1764"/>
      <c r="E1764"/>
      <c r="F1764"/>
      <c r="G1764"/>
    </row>
    <row r="1765" spans="1:7">
      <c r="A1765"/>
      <c r="B1765"/>
      <c r="C1765"/>
      <c r="D1765"/>
      <c r="E1765"/>
      <c r="F1765"/>
      <c r="G1765"/>
    </row>
    <row r="1766" spans="1:7">
      <c r="A1766"/>
      <c r="B1766"/>
      <c r="C1766"/>
      <c r="D1766"/>
      <c r="E1766"/>
      <c r="F1766"/>
      <c r="G1766"/>
    </row>
    <row r="1767" spans="1:7">
      <c r="A1767"/>
      <c r="B1767"/>
      <c r="C1767"/>
      <c r="D1767"/>
      <c r="E1767"/>
      <c r="F1767"/>
      <c r="G1767"/>
    </row>
    <row r="1768" spans="1:7">
      <c r="A1768"/>
      <c r="B1768"/>
      <c r="C1768"/>
      <c r="D1768"/>
      <c r="E1768"/>
      <c r="F1768"/>
      <c r="G1768"/>
    </row>
    <row r="1769" spans="1:7">
      <c r="A1769"/>
      <c r="B1769"/>
      <c r="C1769"/>
      <c r="D1769"/>
      <c r="E1769"/>
      <c r="F1769"/>
      <c r="G1769"/>
    </row>
    <row r="1770" spans="1:7">
      <c r="A1770"/>
      <c r="B1770"/>
      <c r="C1770"/>
      <c r="D1770"/>
      <c r="E1770"/>
      <c r="F1770"/>
      <c r="G1770"/>
    </row>
    <row r="1771" spans="1:7">
      <c r="A1771"/>
      <c r="B1771"/>
      <c r="C1771"/>
      <c r="D1771"/>
      <c r="E1771"/>
      <c r="F1771"/>
      <c r="G1771"/>
    </row>
    <row r="1772" spans="1:7">
      <c r="A1772"/>
      <c r="B1772"/>
      <c r="C1772"/>
      <c r="D1772"/>
      <c r="E1772"/>
      <c r="F1772"/>
      <c r="G1772"/>
    </row>
    <row r="1773" spans="1:7">
      <c r="A1773"/>
      <c r="B1773"/>
      <c r="C1773"/>
      <c r="D1773"/>
      <c r="E1773"/>
      <c r="F1773"/>
      <c r="G1773"/>
    </row>
    <row r="1774" spans="1:7">
      <c r="A1774"/>
      <c r="B1774"/>
      <c r="C1774"/>
      <c r="D1774"/>
      <c r="E1774"/>
      <c r="F1774"/>
      <c r="G1774"/>
    </row>
    <row r="1775" spans="1:7">
      <c r="A1775"/>
      <c r="B1775"/>
      <c r="C1775"/>
      <c r="D1775"/>
      <c r="E1775"/>
      <c r="F1775"/>
      <c r="G1775"/>
    </row>
    <row r="1776" spans="1:7">
      <c r="A1776"/>
      <c r="B1776"/>
      <c r="C1776"/>
      <c r="D1776"/>
      <c r="E1776"/>
      <c r="F1776"/>
      <c r="G1776"/>
    </row>
    <row r="1777" spans="1:7">
      <c r="A1777"/>
      <c r="B1777"/>
      <c r="C1777"/>
      <c r="D1777"/>
      <c r="E1777"/>
      <c r="F1777"/>
      <c r="G1777"/>
    </row>
    <row r="1778" spans="1:7">
      <c r="A1778"/>
      <c r="B1778"/>
      <c r="C1778"/>
      <c r="D1778"/>
      <c r="E1778"/>
      <c r="F1778"/>
      <c r="G1778"/>
    </row>
    <row r="1779" spans="1:7">
      <c r="A1779"/>
      <c r="B1779"/>
      <c r="C1779"/>
      <c r="D1779"/>
      <c r="E1779"/>
      <c r="F1779"/>
      <c r="G1779"/>
    </row>
    <row r="1780" spans="1:7">
      <c r="A1780"/>
      <c r="B1780"/>
      <c r="C1780"/>
      <c r="D1780"/>
      <c r="E1780"/>
      <c r="F1780"/>
      <c r="G1780"/>
    </row>
    <row r="1781" spans="1:7">
      <c r="A1781"/>
      <c r="B1781"/>
      <c r="C1781"/>
      <c r="D1781"/>
      <c r="E1781"/>
      <c r="F1781"/>
      <c r="G1781"/>
    </row>
    <row r="1782" spans="1:7">
      <c r="A1782"/>
      <c r="B1782"/>
      <c r="C1782"/>
      <c r="D1782"/>
      <c r="E1782"/>
      <c r="F1782"/>
      <c r="G1782"/>
    </row>
    <row r="1783" spans="1:7">
      <c r="A1783"/>
      <c r="B1783"/>
      <c r="C1783"/>
      <c r="D1783"/>
      <c r="E1783"/>
      <c r="F1783"/>
      <c r="G1783"/>
    </row>
    <row r="1784" spans="1:7">
      <c r="A1784"/>
      <c r="B1784"/>
      <c r="C1784"/>
      <c r="D1784"/>
      <c r="E1784"/>
      <c r="F1784"/>
      <c r="G1784"/>
    </row>
    <row r="1785" spans="1:7">
      <c r="A1785"/>
      <c r="B1785"/>
      <c r="C1785"/>
      <c r="D1785"/>
      <c r="E1785"/>
      <c r="F1785"/>
      <c r="G1785"/>
    </row>
    <row r="1786" spans="1:7">
      <c r="A1786"/>
      <c r="B1786"/>
      <c r="C1786"/>
      <c r="D1786"/>
      <c r="E1786"/>
      <c r="F1786"/>
      <c r="G1786"/>
    </row>
    <row r="1787" spans="1:7">
      <c r="A1787"/>
      <c r="B1787"/>
      <c r="C1787"/>
      <c r="D1787"/>
      <c r="E1787"/>
      <c r="F1787"/>
      <c r="G1787"/>
    </row>
    <row r="1788" spans="1:7">
      <c r="A1788"/>
      <c r="B1788"/>
      <c r="C1788"/>
      <c r="D1788"/>
      <c r="E1788"/>
      <c r="F1788"/>
      <c r="G1788"/>
    </row>
    <row r="1789" spans="1:7">
      <c r="A1789"/>
      <c r="B1789"/>
      <c r="C1789"/>
      <c r="D1789"/>
      <c r="E1789"/>
      <c r="F1789"/>
      <c r="G1789"/>
    </row>
    <row r="1790" spans="1:7">
      <c r="A1790"/>
      <c r="B1790"/>
      <c r="C1790"/>
      <c r="D1790"/>
      <c r="E1790"/>
      <c r="F1790"/>
      <c r="G1790"/>
    </row>
    <row r="1791" spans="1:7">
      <c r="A1791"/>
      <c r="B1791"/>
      <c r="C1791"/>
      <c r="D1791"/>
      <c r="E1791"/>
      <c r="F1791"/>
      <c r="G1791"/>
    </row>
    <row r="1792" spans="1:7">
      <c r="A1792"/>
      <c r="B1792"/>
      <c r="C1792"/>
      <c r="D1792"/>
      <c r="E1792"/>
      <c r="F1792"/>
      <c r="G1792"/>
    </row>
    <row r="1793" spans="1:7">
      <c r="A1793"/>
      <c r="B1793"/>
      <c r="C1793"/>
      <c r="D1793"/>
      <c r="E1793"/>
      <c r="F1793"/>
      <c r="G1793"/>
    </row>
    <row r="1794" spans="1:7">
      <c r="A1794"/>
      <c r="B1794"/>
      <c r="C1794"/>
      <c r="D1794"/>
      <c r="E1794"/>
      <c r="F1794"/>
      <c r="G1794"/>
    </row>
    <row r="1795" spans="1:7">
      <c r="A1795"/>
      <c r="B1795"/>
      <c r="C1795"/>
      <c r="D1795"/>
      <c r="E1795"/>
      <c r="F1795"/>
      <c r="G1795"/>
    </row>
    <row r="1796" spans="1:7">
      <c r="A1796"/>
      <c r="B1796"/>
      <c r="C1796"/>
      <c r="D1796"/>
      <c r="E1796"/>
      <c r="F1796"/>
      <c r="G1796"/>
    </row>
    <row r="1797" spans="1:7">
      <c r="A1797"/>
      <c r="B1797"/>
      <c r="C1797"/>
      <c r="D1797"/>
      <c r="E1797"/>
      <c r="F1797"/>
      <c r="G1797"/>
    </row>
    <row r="1798" spans="1:7">
      <c r="A1798"/>
      <c r="B1798"/>
      <c r="C1798"/>
      <c r="D1798"/>
      <c r="E1798"/>
      <c r="F1798"/>
      <c r="G1798"/>
    </row>
    <row r="1799" spans="1:7">
      <c r="A1799"/>
      <c r="B1799"/>
      <c r="C1799"/>
      <c r="D1799"/>
      <c r="E1799"/>
      <c r="F1799"/>
      <c r="G1799"/>
    </row>
    <row r="1800" spans="1:7">
      <c r="A1800"/>
      <c r="B1800"/>
      <c r="C1800"/>
      <c r="D1800"/>
      <c r="E1800"/>
      <c r="F1800"/>
      <c r="G1800"/>
    </row>
    <row r="1801" spans="1:7">
      <c r="A1801"/>
      <c r="B1801"/>
      <c r="C1801"/>
      <c r="D1801"/>
      <c r="E1801"/>
      <c r="F1801"/>
      <c r="G1801"/>
    </row>
    <row r="1802" spans="1:7">
      <c r="A1802"/>
      <c r="B1802"/>
      <c r="C1802"/>
      <c r="D1802"/>
      <c r="E1802"/>
      <c r="F1802"/>
      <c r="G1802"/>
    </row>
    <row r="1803" spans="1:7">
      <c r="A1803"/>
      <c r="B1803"/>
      <c r="C1803"/>
      <c r="D1803"/>
      <c r="E1803"/>
      <c r="F1803"/>
      <c r="G1803"/>
    </row>
    <row r="1804" spans="1:7">
      <c r="A1804"/>
      <c r="B1804"/>
      <c r="C1804"/>
      <c r="D1804"/>
      <c r="E1804"/>
      <c r="F1804"/>
      <c r="G1804"/>
    </row>
    <row r="1805" spans="1:7">
      <c r="A1805"/>
      <c r="B1805"/>
      <c r="C1805"/>
      <c r="D1805"/>
      <c r="E1805"/>
      <c r="F1805"/>
      <c r="G1805"/>
    </row>
    <row r="1806" spans="1:7">
      <c r="A1806"/>
      <c r="B1806"/>
      <c r="C1806"/>
      <c r="D1806"/>
      <c r="E1806"/>
      <c r="F1806"/>
      <c r="G1806"/>
    </row>
    <row r="1807" spans="1:7">
      <c r="A1807"/>
      <c r="B1807"/>
      <c r="C1807"/>
      <c r="D1807"/>
      <c r="E1807"/>
      <c r="F1807"/>
      <c r="G1807"/>
    </row>
    <row r="1808" spans="1:7">
      <c r="A1808"/>
      <c r="B1808"/>
      <c r="C1808"/>
      <c r="D1808"/>
      <c r="E1808"/>
      <c r="F1808"/>
      <c r="G1808"/>
    </row>
    <row r="1809" spans="1:7">
      <c r="A1809"/>
      <c r="B1809"/>
      <c r="C1809"/>
      <c r="D1809"/>
      <c r="E1809"/>
      <c r="F1809"/>
      <c r="G1809"/>
    </row>
    <row r="1810" spans="1:7">
      <c r="A1810"/>
      <c r="B1810"/>
      <c r="C1810"/>
      <c r="D1810"/>
      <c r="E1810"/>
      <c r="F1810"/>
      <c r="G1810"/>
    </row>
    <row r="1811" spans="1:7">
      <c r="A1811"/>
      <c r="B1811"/>
      <c r="C1811"/>
      <c r="D1811"/>
      <c r="E1811"/>
      <c r="F1811"/>
      <c r="G1811"/>
    </row>
    <row r="1812" spans="1:7">
      <c r="A1812"/>
      <c r="B1812"/>
      <c r="C1812"/>
      <c r="D1812"/>
      <c r="E1812"/>
      <c r="F1812"/>
      <c r="G1812"/>
    </row>
    <row r="1813" spans="1:7">
      <c r="A1813"/>
      <c r="B1813"/>
      <c r="C1813"/>
      <c r="D1813"/>
      <c r="E1813"/>
      <c r="F1813"/>
      <c r="G1813"/>
    </row>
    <row r="1814" spans="1:7">
      <c r="A1814"/>
      <c r="B1814"/>
      <c r="C1814"/>
      <c r="D1814"/>
      <c r="E1814"/>
      <c r="F1814"/>
      <c r="G1814"/>
    </row>
    <row r="1815" spans="1:7">
      <c r="A1815"/>
      <c r="B1815"/>
      <c r="C1815"/>
      <c r="D1815"/>
      <c r="E1815"/>
      <c r="F1815"/>
      <c r="G1815"/>
    </row>
    <row r="1816" spans="1:7">
      <c r="A1816"/>
      <c r="B1816"/>
      <c r="C1816"/>
      <c r="D1816"/>
      <c r="E1816"/>
      <c r="F1816"/>
      <c r="G1816"/>
    </row>
    <row r="1817" spans="1:7">
      <c r="A1817"/>
      <c r="B1817"/>
      <c r="C1817"/>
      <c r="D1817"/>
      <c r="E1817"/>
      <c r="F1817"/>
      <c r="G1817"/>
    </row>
    <row r="1818" spans="1:7">
      <c r="A1818"/>
      <c r="B1818"/>
      <c r="C1818"/>
      <c r="D1818"/>
      <c r="E1818"/>
      <c r="F1818"/>
      <c r="G1818"/>
    </row>
    <row r="1819" spans="1:7">
      <c r="A1819"/>
      <c r="B1819"/>
      <c r="C1819"/>
      <c r="D1819"/>
      <c r="E1819"/>
      <c r="F1819"/>
      <c r="G1819"/>
    </row>
    <row r="1820" spans="1:7">
      <c r="A1820"/>
      <c r="B1820"/>
      <c r="C1820"/>
      <c r="D1820"/>
      <c r="E1820"/>
      <c r="F1820"/>
      <c r="G1820"/>
    </row>
    <row r="1821" spans="1:7">
      <c r="A1821"/>
      <c r="B1821"/>
      <c r="C1821"/>
      <c r="D1821"/>
      <c r="E1821"/>
      <c r="F1821"/>
      <c r="G1821"/>
    </row>
    <row r="1822" spans="1:7">
      <c r="A1822"/>
      <c r="B1822"/>
      <c r="C1822"/>
      <c r="D1822"/>
      <c r="E1822"/>
      <c r="F1822"/>
      <c r="G1822"/>
    </row>
    <row r="1823" spans="1:7">
      <c r="A1823"/>
      <c r="B1823"/>
      <c r="C1823"/>
      <c r="D1823"/>
      <c r="E1823"/>
      <c r="F1823"/>
      <c r="G1823"/>
    </row>
    <row r="1824" spans="1:7">
      <c r="A1824"/>
      <c r="B1824"/>
      <c r="C1824"/>
      <c r="D1824"/>
      <c r="E1824"/>
      <c r="F1824"/>
      <c r="G1824"/>
    </row>
    <row r="1825" spans="1:7">
      <c r="A1825"/>
      <c r="B1825"/>
      <c r="C1825"/>
      <c r="D1825"/>
      <c r="E1825"/>
      <c r="F1825"/>
      <c r="G1825"/>
    </row>
    <row r="1826" spans="1:7">
      <c r="A1826"/>
      <c r="B1826"/>
      <c r="C1826"/>
      <c r="D1826"/>
      <c r="E1826"/>
      <c r="F1826"/>
      <c r="G1826"/>
    </row>
    <row r="1827" spans="1:7">
      <c r="A1827"/>
      <c r="B1827"/>
      <c r="C1827"/>
      <c r="D1827"/>
      <c r="E1827"/>
      <c r="F1827"/>
      <c r="G1827"/>
    </row>
    <row r="1828" spans="1:7">
      <c r="A1828"/>
      <c r="B1828"/>
      <c r="C1828"/>
      <c r="D1828"/>
      <c r="E1828"/>
      <c r="F1828"/>
      <c r="G1828"/>
    </row>
    <row r="1829" spans="1:7">
      <c r="A1829"/>
      <c r="B1829"/>
      <c r="C1829"/>
      <c r="D1829"/>
      <c r="E1829"/>
      <c r="F1829"/>
      <c r="G1829"/>
    </row>
    <row r="1830" spans="1:7">
      <c r="A1830"/>
      <c r="B1830"/>
      <c r="C1830"/>
      <c r="D1830"/>
      <c r="E1830"/>
      <c r="F1830"/>
      <c r="G1830"/>
    </row>
    <row r="1831" spans="1:7">
      <c r="A1831"/>
      <c r="B1831"/>
      <c r="C1831"/>
      <c r="D1831"/>
      <c r="E1831"/>
      <c r="F1831"/>
      <c r="G1831"/>
    </row>
    <row r="1832" spans="1:7">
      <c r="A1832"/>
      <c r="B1832"/>
      <c r="C1832"/>
      <c r="D1832"/>
      <c r="E1832"/>
      <c r="F1832"/>
      <c r="G1832"/>
    </row>
    <row r="1833" spans="1:7">
      <c r="A1833"/>
      <c r="B1833"/>
      <c r="C1833"/>
      <c r="D1833"/>
      <c r="E1833"/>
      <c r="F1833"/>
      <c r="G1833"/>
    </row>
    <row r="1834" spans="1:7">
      <c r="A1834"/>
      <c r="B1834"/>
      <c r="C1834"/>
      <c r="D1834"/>
      <c r="E1834"/>
      <c r="F1834"/>
      <c r="G1834"/>
    </row>
    <row r="1835" spans="1:7">
      <c r="A1835"/>
      <c r="B1835"/>
      <c r="C1835"/>
      <c r="D1835"/>
      <c r="E1835"/>
      <c r="F1835"/>
      <c r="G1835"/>
    </row>
    <row r="1836" spans="1:7">
      <c r="A1836"/>
      <c r="B1836"/>
      <c r="C1836"/>
      <c r="D1836"/>
      <c r="E1836"/>
      <c r="F1836"/>
      <c r="G1836"/>
    </row>
    <row r="1837" spans="1:7">
      <c r="A1837"/>
      <c r="B1837"/>
      <c r="C1837"/>
      <c r="D1837"/>
      <c r="E1837"/>
      <c r="F1837"/>
      <c r="G1837"/>
    </row>
    <row r="1838" spans="1:7">
      <c r="A1838"/>
      <c r="B1838"/>
      <c r="C1838"/>
      <c r="D1838"/>
      <c r="E1838"/>
      <c r="F1838"/>
      <c r="G1838"/>
    </row>
    <row r="1839" spans="1:7">
      <c r="A1839"/>
      <c r="B1839"/>
      <c r="C1839"/>
      <c r="D1839"/>
      <c r="E1839"/>
      <c r="F1839"/>
      <c r="G1839"/>
    </row>
    <row r="1840" spans="1:7">
      <c r="A1840"/>
      <c r="B1840"/>
      <c r="C1840"/>
      <c r="D1840"/>
      <c r="E1840"/>
      <c r="F1840"/>
      <c r="G1840"/>
    </row>
    <row r="1841" spans="1:7">
      <c r="A1841"/>
      <c r="B1841"/>
      <c r="C1841"/>
      <c r="D1841"/>
      <c r="E1841"/>
      <c r="F1841"/>
      <c r="G1841"/>
    </row>
    <row r="1842" spans="1:7">
      <c r="A1842"/>
      <c r="B1842"/>
      <c r="C1842"/>
      <c r="D1842"/>
      <c r="E1842"/>
      <c r="F1842"/>
      <c r="G1842"/>
    </row>
    <row r="1843" spans="1:7">
      <c r="A1843"/>
      <c r="B1843"/>
      <c r="C1843"/>
      <c r="D1843"/>
      <c r="E1843"/>
      <c r="F1843"/>
      <c r="G1843"/>
    </row>
    <row r="1844" spans="1:7">
      <c r="A1844"/>
      <c r="B1844"/>
      <c r="C1844"/>
      <c r="D1844"/>
      <c r="E1844"/>
      <c r="F1844"/>
      <c r="G1844"/>
    </row>
    <row r="1845" spans="1:7">
      <c r="A1845"/>
      <c r="B1845"/>
      <c r="C1845"/>
      <c r="D1845"/>
      <c r="E1845"/>
      <c r="F1845"/>
      <c r="G1845"/>
    </row>
    <row r="1846" spans="1:7">
      <c r="A1846"/>
      <c r="B1846"/>
      <c r="C1846"/>
      <c r="D1846"/>
      <c r="E1846"/>
      <c r="F1846"/>
      <c r="G1846"/>
    </row>
    <row r="1847" spans="1:7">
      <c r="A1847"/>
      <c r="B1847"/>
      <c r="C1847"/>
      <c r="D1847"/>
      <c r="E1847"/>
      <c r="F1847"/>
      <c r="G1847"/>
    </row>
    <row r="1848" spans="1:7">
      <c r="A1848"/>
      <c r="B1848"/>
      <c r="C1848"/>
      <c r="D1848"/>
      <c r="E1848"/>
      <c r="F1848"/>
      <c r="G1848"/>
    </row>
    <row r="1849" spans="1:7">
      <c r="A1849"/>
      <c r="B1849"/>
      <c r="C1849"/>
      <c r="D1849"/>
      <c r="E1849"/>
      <c r="F1849"/>
      <c r="G1849"/>
    </row>
    <row r="1850" spans="1:7">
      <c r="A1850"/>
      <c r="B1850"/>
      <c r="C1850"/>
      <c r="D1850"/>
      <c r="E1850"/>
      <c r="F1850"/>
      <c r="G1850"/>
    </row>
    <row r="1851" spans="1:7">
      <c r="A1851"/>
      <c r="B1851"/>
      <c r="C1851"/>
      <c r="D1851"/>
      <c r="E1851"/>
      <c r="F1851"/>
    </row>
    <row r="1852" spans="1:7">
      <c r="A1852"/>
      <c r="B1852"/>
      <c r="C1852"/>
      <c r="D1852"/>
      <c r="E1852"/>
      <c r="F1852"/>
    </row>
    <row r="1853" spans="1:7">
      <c r="A1853"/>
      <c r="B1853"/>
      <c r="C1853"/>
      <c r="D1853"/>
      <c r="E1853"/>
      <c r="F1853"/>
    </row>
    <row r="1854" spans="1:7">
      <c r="A1854"/>
      <c r="B1854"/>
      <c r="C1854"/>
      <c r="D1854"/>
      <c r="E1854"/>
      <c r="F1854"/>
    </row>
    <row r="1855" spans="1:7">
      <c r="A1855"/>
      <c r="B1855"/>
      <c r="C1855"/>
      <c r="D1855"/>
      <c r="E1855"/>
      <c r="F1855"/>
    </row>
    <row r="1856" spans="1:7">
      <c r="A1856"/>
      <c r="B1856"/>
      <c r="C1856"/>
      <c r="D1856"/>
      <c r="E1856"/>
      <c r="F1856"/>
    </row>
    <row r="1857" spans="1:6">
      <c r="A1857"/>
      <c r="B1857"/>
      <c r="C1857"/>
      <c r="D1857"/>
      <c r="E1857"/>
      <c r="F1857"/>
    </row>
    <row r="1858" spans="1:6">
      <c r="A1858"/>
      <c r="B1858"/>
      <c r="C1858"/>
      <c r="D1858"/>
      <c r="E1858"/>
      <c r="F1858"/>
    </row>
    <row r="1859" spans="1:6">
      <c r="A1859"/>
      <c r="B1859"/>
      <c r="C1859"/>
      <c r="D1859"/>
      <c r="E1859"/>
      <c r="F1859"/>
    </row>
    <row r="1860" spans="1:6">
      <c r="A1860"/>
      <c r="B1860"/>
      <c r="C1860"/>
      <c r="D1860"/>
      <c r="E1860"/>
      <c r="F1860"/>
    </row>
    <row r="1861" spans="1:6">
      <c r="A1861"/>
      <c r="B1861"/>
      <c r="C1861"/>
      <c r="D1861"/>
      <c r="E1861"/>
      <c r="F1861"/>
    </row>
    <row r="1862" spans="1:6">
      <c r="A1862"/>
      <c r="B1862"/>
      <c r="C1862"/>
      <c r="D1862"/>
      <c r="E1862"/>
      <c r="F1862"/>
    </row>
    <row r="1863" spans="1:6">
      <c r="A1863"/>
      <c r="B1863"/>
      <c r="C1863"/>
      <c r="D1863"/>
      <c r="E1863"/>
      <c r="F1863"/>
    </row>
    <row r="1864" spans="1:6">
      <c r="A1864"/>
      <c r="B1864"/>
      <c r="C1864"/>
      <c r="D1864"/>
      <c r="E1864"/>
      <c r="F1864"/>
    </row>
    <row r="1865" spans="1:6">
      <c r="A1865"/>
      <c r="B1865"/>
      <c r="C1865"/>
      <c r="D1865"/>
      <c r="E1865"/>
      <c r="F1865"/>
    </row>
    <row r="1866" spans="1:6">
      <c r="A1866"/>
      <c r="B1866"/>
      <c r="C1866"/>
      <c r="D1866"/>
      <c r="E1866"/>
      <c r="F1866"/>
    </row>
    <row r="1867" spans="1:6">
      <c r="A1867"/>
      <c r="B1867"/>
      <c r="C1867"/>
      <c r="D1867"/>
      <c r="E1867"/>
      <c r="F1867"/>
    </row>
    <row r="1868" spans="1:6">
      <c r="A1868"/>
      <c r="B1868"/>
      <c r="C1868"/>
      <c r="D1868"/>
      <c r="E1868"/>
      <c r="F1868"/>
    </row>
    <row r="1869" spans="1:6">
      <c r="A1869"/>
      <c r="B1869"/>
      <c r="C1869"/>
      <c r="D1869"/>
      <c r="E1869"/>
      <c r="F1869"/>
    </row>
    <row r="1870" spans="1:6">
      <c r="A1870"/>
      <c r="B1870"/>
      <c r="C1870"/>
      <c r="D1870"/>
      <c r="E1870"/>
      <c r="F1870"/>
    </row>
    <row r="1871" spans="1:6">
      <c r="A1871"/>
      <c r="B1871"/>
      <c r="C1871"/>
      <c r="D1871"/>
      <c r="E1871"/>
      <c r="F1871"/>
    </row>
    <row r="1872" spans="1:6">
      <c r="A1872"/>
      <c r="B1872"/>
      <c r="C1872"/>
      <c r="D1872"/>
      <c r="E1872"/>
      <c r="F1872"/>
    </row>
    <row r="1873" spans="1:6">
      <c r="A1873"/>
      <c r="B1873"/>
      <c r="C1873"/>
      <c r="D1873"/>
      <c r="E1873"/>
      <c r="F1873"/>
    </row>
    <row r="1874" spans="1:6">
      <c r="A1874"/>
      <c r="B1874"/>
      <c r="C1874"/>
      <c r="D1874"/>
      <c r="E1874"/>
      <c r="F1874"/>
    </row>
    <row r="1875" spans="1:6">
      <c r="A1875"/>
      <c r="B1875"/>
      <c r="C1875"/>
      <c r="D1875"/>
      <c r="E1875"/>
      <c r="F1875"/>
    </row>
    <row r="1876" spans="1:6">
      <c r="A1876"/>
      <c r="B1876"/>
      <c r="C1876"/>
      <c r="D1876"/>
      <c r="E1876"/>
      <c r="F1876"/>
    </row>
    <row r="1877" spans="1:6">
      <c r="A1877"/>
      <c r="B1877"/>
      <c r="C1877"/>
      <c r="D1877"/>
      <c r="E1877"/>
      <c r="F1877"/>
    </row>
    <row r="1878" spans="1:6">
      <c r="A1878"/>
      <c r="B1878"/>
      <c r="C1878"/>
      <c r="D1878"/>
      <c r="E1878"/>
      <c r="F1878"/>
    </row>
    <row r="1879" spans="1:6">
      <c r="A1879"/>
      <c r="B1879"/>
      <c r="C1879"/>
      <c r="D1879"/>
      <c r="E1879"/>
      <c r="F1879"/>
    </row>
    <row r="1880" spans="1:6">
      <c r="A1880"/>
      <c r="B1880"/>
      <c r="C1880"/>
      <c r="D1880"/>
      <c r="E1880"/>
      <c r="F1880"/>
    </row>
    <row r="1881" spans="1:6">
      <c r="A1881"/>
      <c r="B1881"/>
      <c r="C1881"/>
      <c r="D1881"/>
      <c r="E1881"/>
      <c r="F1881"/>
    </row>
    <row r="1882" spans="1:6">
      <c r="A1882"/>
      <c r="B1882"/>
      <c r="C1882"/>
      <c r="D1882"/>
      <c r="E1882"/>
      <c r="F1882"/>
    </row>
    <row r="1883" spans="1:6">
      <c r="A1883"/>
      <c r="B1883"/>
      <c r="C1883"/>
      <c r="D1883"/>
      <c r="E1883"/>
      <c r="F1883"/>
    </row>
    <row r="1884" spans="1:6">
      <c r="A1884"/>
      <c r="B1884"/>
      <c r="C1884"/>
      <c r="D1884"/>
      <c r="E1884"/>
      <c r="F1884"/>
    </row>
    <row r="1885" spans="1:6">
      <c r="A1885"/>
      <c r="B1885"/>
      <c r="C1885"/>
      <c r="D1885"/>
      <c r="E1885"/>
      <c r="F1885"/>
    </row>
    <row r="1886" spans="1:6">
      <c r="A1886"/>
      <c r="B1886"/>
      <c r="C1886"/>
      <c r="D1886"/>
      <c r="E1886"/>
      <c r="F1886"/>
    </row>
    <row r="1887" spans="1:6">
      <c r="A1887"/>
      <c r="B1887"/>
      <c r="C1887"/>
      <c r="D1887"/>
      <c r="E1887"/>
      <c r="F1887"/>
    </row>
    <row r="1888" spans="1:6">
      <c r="A1888"/>
      <c r="B1888"/>
      <c r="C1888"/>
      <c r="D1888"/>
      <c r="E1888"/>
      <c r="F1888"/>
    </row>
    <row r="1889" spans="1:6">
      <c r="A1889"/>
      <c r="B1889"/>
      <c r="C1889"/>
      <c r="D1889"/>
      <c r="E1889"/>
      <c r="F1889"/>
    </row>
    <row r="1890" spans="1:6">
      <c r="A1890"/>
      <c r="B1890"/>
      <c r="C1890"/>
      <c r="D1890"/>
      <c r="E1890"/>
      <c r="F1890"/>
    </row>
    <row r="1891" spans="1:6">
      <c r="A1891"/>
      <c r="B1891"/>
      <c r="C1891"/>
      <c r="D1891"/>
      <c r="E1891"/>
      <c r="F1891"/>
    </row>
    <row r="1892" spans="1:6">
      <c r="A1892"/>
      <c r="B1892"/>
      <c r="C1892"/>
      <c r="D1892"/>
      <c r="E1892"/>
      <c r="F1892"/>
    </row>
    <row r="1893" spans="1:6">
      <c r="A1893"/>
      <c r="B1893"/>
      <c r="C1893"/>
      <c r="D1893"/>
      <c r="E1893"/>
      <c r="F1893"/>
    </row>
    <row r="1894" spans="1:6">
      <c r="A1894"/>
      <c r="B1894"/>
      <c r="C1894"/>
      <c r="D1894"/>
      <c r="E1894"/>
      <c r="F1894"/>
    </row>
    <row r="1895" spans="1:6">
      <c r="A1895"/>
      <c r="B1895"/>
      <c r="C1895"/>
      <c r="D1895"/>
      <c r="E1895"/>
      <c r="F1895"/>
    </row>
    <row r="1896" spans="1:6">
      <c r="A1896"/>
      <c r="B1896"/>
      <c r="C1896"/>
      <c r="D1896"/>
      <c r="E1896"/>
      <c r="F1896"/>
    </row>
    <row r="1897" spans="1:6">
      <c r="A1897"/>
      <c r="B1897"/>
      <c r="C1897"/>
      <c r="D1897"/>
      <c r="E1897"/>
      <c r="F1897"/>
    </row>
    <row r="1898" spans="1:6">
      <c r="A1898"/>
      <c r="B1898"/>
      <c r="C1898"/>
      <c r="D1898"/>
      <c r="E1898"/>
      <c r="F1898"/>
    </row>
    <row r="1899" spans="1:6">
      <c r="A1899"/>
      <c r="B1899"/>
      <c r="C1899"/>
      <c r="D1899"/>
      <c r="E1899"/>
      <c r="F1899"/>
    </row>
    <row r="1900" spans="1:6">
      <c r="A1900"/>
      <c r="B1900"/>
      <c r="C1900"/>
      <c r="D1900"/>
      <c r="E1900"/>
      <c r="F1900"/>
    </row>
    <row r="1901" spans="1:6">
      <c r="A1901"/>
      <c r="B1901"/>
      <c r="C1901"/>
      <c r="D1901"/>
      <c r="E1901"/>
      <c r="F1901"/>
    </row>
    <row r="1902" spans="1:6">
      <c r="A1902"/>
      <c r="B1902"/>
      <c r="C1902"/>
      <c r="D1902"/>
      <c r="E1902"/>
      <c r="F1902"/>
    </row>
    <row r="1903" spans="1:6">
      <c r="A1903"/>
      <c r="B1903"/>
      <c r="C1903"/>
      <c r="D1903"/>
      <c r="E1903"/>
      <c r="F1903"/>
    </row>
    <row r="1904" spans="1:6">
      <c r="A1904"/>
      <c r="B1904"/>
      <c r="C1904"/>
      <c r="D1904"/>
      <c r="E1904"/>
      <c r="F1904"/>
    </row>
    <row r="1905" spans="1:6">
      <c r="A1905"/>
      <c r="B1905"/>
      <c r="C1905"/>
      <c r="D1905"/>
      <c r="E1905"/>
      <c r="F1905"/>
    </row>
    <row r="1906" spans="1:6">
      <c r="A1906"/>
      <c r="B1906"/>
      <c r="C1906"/>
      <c r="D1906"/>
      <c r="E1906"/>
      <c r="F1906"/>
    </row>
    <row r="1907" spans="1:6">
      <c r="A1907"/>
      <c r="B1907"/>
      <c r="C1907"/>
      <c r="D1907"/>
      <c r="E1907"/>
      <c r="F1907"/>
    </row>
    <row r="1908" spans="1:6">
      <c r="A1908"/>
      <c r="B1908"/>
      <c r="C1908"/>
      <c r="D1908"/>
      <c r="E1908"/>
      <c r="F1908"/>
    </row>
    <row r="1909" spans="1:6">
      <c r="A1909"/>
      <c r="B1909"/>
      <c r="C1909"/>
      <c r="D1909"/>
      <c r="E1909"/>
      <c r="F1909"/>
    </row>
    <row r="1910" spans="1:6">
      <c r="A1910"/>
      <c r="B1910"/>
      <c r="C1910"/>
      <c r="D1910"/>
      <c r="E1910"/>
      <c r="F1910"/>
    </row>
    <row r="1911" spans="1:6">
      <c r="A1911"/>
      <c r="B1911"/>
      <c r="C1911"/>
      <c r="D1911"/>
      <c r="E1911"/>
      <c r="F1911"/>
    </row>
    <row r="1912" spans="1:6">
      <c r="A1912"/>
      <c r="B1912"/>
      <c r="C1912"/>
      <c r="D1912"/>
      <c r="E1912"/>
      <c r="F1912"/>
    </row>
    <row r="1913" spans="1:6">
      <c r="A1913"/>
      <c r="B1913"/>
      <c r="C1913"/>
      <c r="D1913"/>
      <c r="E1913"/>
      <c r="F1913"/>
    </row>
    <row r="1914" spans="1:6">
      <c r="A1914"/>
      <c r="B1914"/>
      <c r="C1914"/>
      <c r="D1914"/>
      <c r="E1914"/>
      <c r="F1914"/>
    </row>
    <row r="1915" spans="1:6">
      <c r="A1915"/>
      <c r="B1915"/>
      <c r="C1915"/>
      <c r="D1915"/>
      <c r="E1915"/>
      <c r="F1915"/>
    </row>
    <row r="1916" spans="1:6">
      <c r="A1916"/>
      <c r="B1916"/>
      <c r="C1916"/>
      <c r="D1916"/>
      <c r="E1916"/>
      <c r="F1916"/>
    </row>
    <row r="1917" spans="1:6">
      <c r="A1917"/>
      <c r="B1917"/>
      <c r="C1917"/>
      <c r="D1917"/>
      <c r="E1917"/>
      <c r="F1917"/>
    </row>
    <row r="1918" spans="1:6">
      <c r="A1918"/>
      <c r="B1918"/>
      <c r="C1918"/>
      <c r="D1918"/>
      <c r="E1918"/>
      <c r="F1918"/>
    </row>
    <row r="1919" spans="1:6">
      <c r="A1919"/>
      <c r="B1919"/>
      <c r="C1919"/>
      <c r="D1919"/>
      <c r="E1919"/>
      <c r="F1919"/>
    </row>
    <row r="1920" spans="1:6">
      <c r="A1920"/>
      <c r="B1920"/>
      <c r="C1920"/>
      <c r="D1920"/>
      <c r="E1920"/>
      <c r="F1920"/>
    </row>
    <row r="1921" spans="1:6">
      <c r="A1921"/>
      <c r="B1921"/>
      <c r="C1921"/>
      <c r="D1921"/>
      <c r="E1921"/>
      <c r="F1921"/>
    </row>
    <row r="1922" spans="1:6">
      <c r="A1922"/>
      <c r="B1922"/>
      <c r="C1922"/>
      <c r="D1922"/>
      <c r="E1922"/>
      <c r="F1922"/>
    </row>
    <row r="1923" spans="1:6">
      <c r="A1923"/>
      <c r="B1923"/>
      <c r="C1923"/>
      <c r="D1923"/>
      <c r="E1923"/>
      <c r="F1923"/>
    </row>
    <row r="1924" spans="1:6">
      <c r="A1924"/>
      <c r="B1924"/>
      <c r="C1924"/>
      <c r="D1924"/>
      <c r="E1924"/>
      <c r="F1924"/>
    </row>
    <row r="1925" spans="1:6">
      <c r="A1925"/>
      <c r="B1925"/>
      <c r="C1925"/>
      <c r="D1925"/>
      <c r="E1925"/>
      <c r="F1925"/>
    </row>
    <row r="1926" spans="1:6">
      <c r="A1926"/>
      <c r="B1926"/>
      <c r="C1926"/>
      <c r="D1926"/>
      <c r="E1926"/>
      <c r="F1926"/>
    </row>
    <row r="1927" spans="1:6">
      <c r="A1927"/>
      <c r="B1927"/>
      <c r="C1927"/>
      <c r="D1927"/>
      <c r="E1927"/>
      <c r="F1927"/>
    </row>
    <row r="1928" spans="1:6">
      <c r="A1928"/>
      <c r="B1928"/>
      <c r="C1928"/>
      <c r="D1928"/>
      <c r="E1928"/>
      <c r="F1928"/>
    </row>
    <row r="1929" spans="1:6">
      <c r="A1929"/>
      <c r="B1929"/>
      <c r="C1929"/>
      <c r="D1929"/>
      <c r="E1929"/>
      <c r="F1929"/>
    </row>
    <row r="1930" spans="1:6">
      <c r="A1930"/>
      <c r="B1930"/>
      <c r="C1930"/>
      <c r="D1930"/>
      <c r="E1930"/>
      <c r="F1930"/>
    </row>
    <row r="1931" spans="1:6">
      <c r="A1931"/>
      <c r="B1931"/>
      <c r="C1931"/>
      <c r="D1931"/>
      <c r="E1931"/>
      <c r="F1931"/>
    </row>
    <row r="1932" spans="1:6">
      <c r="A1932"/>
      <c r="B1932"/>
      <c r="C1932"/>
      <c r="D1932"/>
      <c r="E1932"/>
      <c r="F1932"/>
    </row>
    <row r="1933" spans="1:6">
      <c r="A1933"/>
      <c r="B1933"/>
      <c r="C1933"/>
      <c r="D1933"/>
      <c r="E1933"/>
      <c r="F1933"/>
    </row>
    <row r="1934" spans="1:6">
      <c r="A1934"/>
      <c r="B1934"/>
      <c r="C1934"/>
      <c r="D1934"/>
      <c r="E1934"/>
      <c r="F1934"/>
    </row>
    <row r="1935" spans="1:6">
      <c r="A1935"/>
      <c r="B1935"/>
      <c r="C1935"/>
      <c r="D1935"/>
      <c r="E1935"/>
      <c r="F1935"/>
    </row>
    <row r="1936" spans="1:6">
      <c r="A1936"/>
      <c r="B1936"/>
      <c r="C1936"/>
      <c r="D1936"/>
      <c r="E1936"/>
      <c r="F1936"/>
    </row>
    <row r="1937" spans="1:6">
      <c r="A1937"/>
      <c r="B1937"/>
      <c r="C1937"/>
      <c r="D1937"/>
      <c r="E1937"/>
      <c r="F1937"/>
    </row>
    <row r="1938" spans="1:6">
      <c r="A1938"/>
      <c r="B1938"/>
      <c r="C1938"/>
      <c r="D1938"/>
      <c r="E1938"/>
      <c r="F1938"/>
    </row>
    <row r="1939" spans="1:6">
      <c r="A1939"/>
      <c r="B1939"/>
      <c r="C1939"/>
      <c r="D1939"/>
      <c r="E1939"/>
      <c r="F1939"/>
    </row>
    <row r="1940" spans="1:6">
      <c r="A1940"/>
      <c r="B1940"/>
      <c r="C1940"/>
      <c r="D1940"/>
      <c r="E1940"/>
      <c r="F1940"/>
    </row>
    <row r="1941" spans="1:6">
      <c r="A1941"/>
      <c r="B1941"/>
      <c r="C1941"/>
      <c r="D1941"/>
      <c r="E1941"/>
      <c r="F1941"/>
    </row>
    <row r="1942" spans="1:6">
      <c r="A1942"/>
      <c r="B1942"/>
      <c r="C1942"/>
      <c r="D1942"/>
      <c r="E1942"/>
      <c r="F1942"/>
    </row>
    <row r="1943" spans="1:6">
      <c r="A1943"/>
      <c r="B1943"/>
      <c r="C1943"/>
      <c r="D1943"/>
      <c r="E1943"/>
      <c r="F1943"/>
    </row>
    <row r="1944" spans="1:6">
      <c r="A1944"/>
      <c r="B1944"/>
      <c r="C1944"/>
      <c r="D1944"/>
      <c r="E1944"/>
      <c r="F1944"/>
    </row>
    <row r="1945" spans="1:6">
      <c r="A1945"/>
      <c r="B1945"/>
      <c r="C1945"/>
      <c r="D1945"/>
      <c r="E1945"/>
      <c r="F1945"/>
    </row>
    <row r="1946" spans="1:6">
      <c r="A1946"/>
      <c r="B1946"/>
      <c r="C1946"/>
      <c r="D1946"/>
      <c r="E1946"/>
      <c r="F1946"/>
    </row>
    <row r="1947" spans="1:6">
      <c r="A1947"/>
      <c r="B1947"/>
      <c r="C1947"/>
      <c r="D1947"/>
      <c r="E1947"/>
      <c r="F1947"/>
    </row>
    <row r="1948" spans="1:6">
      <c r="A1948"/>
      <c r="B1948"/>
      <c r="C1948"/>
      <c r="D1948"/>
      <c r="E1948"/>
      <c r="F1948"/>
    </row>
    <row r="1949" spans="1:6">
      <c r="A1949"/>
      <c r="B1949"/>
      <c r="C1949"/>
      <c r="D1949"/>
      <c r="E1949"/>
      <c r="F1949"/>
    </row>
    <row r="1950" spans="1:6">
      <c r="A1950"/>
      <c r="B1950"/>
      <c r="C1950"/>
      <c r="D1950"/>
      <c r="E1950"/>
      <c r="F1950"/>
    </row>
    <row r="1951" spans="1:6">
      <c r="A1951"/>
      <c r="B1951"/>
      <c r="C1951"/>
      <c r="D1951"/>
      <c r="E1951"/>
      <c r="F1951"/>
    </row>
    <row r="1952" spans="1:6">
      <c r="A1952"/>
      <c r="B1952"/>
      <c r="C1952"/>
      <c r="D1952"/>
      <c r="E1952"/>
      <c r="F1952"/>
    </row>
    <row r="1953" spans="1:6">
      <c r="A1953"/>
      <c r="B1953"/>
      <c r="C1953"/>
      <c r="D1953"/>
      <c r="E1953"/>
      <c r="F1953"/>
    </row>
    <row r="1954" spans="1:6">
      <c r="A1954"/>
      <c r="B1954"/>
      <c r="C1954"/>
      <c r="D1954"/>
      <c r="E1954"/>
      <c r="F1954"/>
    </row>
    <row r="1955" spans="1:6">
      <c r="A1955"/>
      <c r="B1955"/>
      <c r="C1955"/>
      <c r="D1955"/>
      <c r="E1955"/>
      <c r="F1955"/>
    </row>
    <row r="1956" spans="1:6">
      <c r="A1956"/>
      <c r="B1956"/>
      <c r="C1956"/>
      <c r="D1956"/>
      <c r="E1956"/>
      <c r="F1956"/>
    </row>
    <row r="1957" spans="1:6">
      <c r="A1957"/>
      <c r="B1957"/>
      <c r="C1957"/>
      <c r="D1957"/>
      <c r="E1957"/>
      <c r="F1957"/>
    </row>
    <row r="1958" spans="1:6">
      <c r="A1958"/>
      <c r="B1958"/>
      <c r="C1958"/>
      <c r="D1958"/>
      <c r="E1958"/>
      <c r="F1958"/>
    </row>
    <row r="1959" spans="1:6">
      <c r="A1959"/>
      <c r="B1959"/>
      <c r="C1959"/>
      <c r="D1959"/>
      <c r="E1959"/>
      <c r="F1959"/>
    </row>
    <row r="1960" spans="1:6">
      <c r="A1960"/>
      <c r="B1960"/>
      <c r="C1960"/>
      <c r="D1960"/>
      <c r="E1960"/>
      <c r="F1960"/>
    </row>
    <row r="1961" spans="1:6">
      <c r="A1961"/>
      <c r="B1961"/>
      <c r="C1961"/>
      <c r="D1961"/>
      <c r="E1961"/>
      <c r="F1961"/>
    </row>
    <row r="1962" spans="1:6">
      <c r="A1962"/>
      <c r="B1962"/>
      <c r="C1962"/>
      <c r="D1962"/>
      <c r="E1962"/>
      <c r="F1962"/>
    </row>
    <row r="1963" spans="1:6">
      <c r="A1963"/>
      <c r="B1963"/>
      <c r="C1963"/>
      <c r="D1963"/>
      <c r="E1963"/>
      <c r="F1963"/>
    </row>
    <row r="1964" spans="1:6">
      <c r="A1964"/>
      <c r="B1964"/>
      <c r="C1964"/>
      <c r="D1964"/>
      <c r="E1964"/>
      <c r="F1964"/>
    </row>
    <row r="1965" spans="1:6">
      <c r="A1965"/>
      <c r="B1965"/>
      <c r="C1965"/>
      <c r="D1965"/>
      <c r="E1965"/>
      <c r="F1965"/>
    </row>
    <row r="1966" spans="1:6">
      <c r="A1966"/>
      <c r="B1966"/>
      <c r="C1966"/>
      <c r="D1966"/>
      <c r="E1966"/>
      <c r="F1966"/>
    </row>
    <row r="1967" spans="1:6">
      <c r="A1967"/>
      <c r="B1967"/>
      <c r="C1967"/>
      <c r="D1967"/>
      <c r="E1967"/>
      <c r="F1967"/>
    </row>
    <row r="1968" spans="1:6">
      <c r="A1968"/>
      <c r="B1968"/>
      <c r="C1968"/>
      <c r="D1968"/>
      <c r="E1968"/>
      <c r="F1968"/>
    </row>
    <row r="1969" spans="1:6">
      <c r="A1969"/>
      <c r="B1969"/>
      <c r="C1969"/>
      <c r="D1969"/>
      <c r="E1969"/>
      <c r="F1969"/>
    </row>
    <row r="1970" spans="1:6">
      <c r="A1970"/>
      <c r="B1970"/>
      <c r="C1970"/>
      <c r="D1970"/>
      <c r="E1970"/>
      <c r="F1970"/>
    </row>
    <row r="1971" spans="1:6">
      <c r="A1971"/>
      <c r="B1971"/>
      <c r="C1971"/>
      <c r="D1971"/>
      <c r="E1971"/>
      <c r="F1971"/>
    </row>
    <row r="1972" spans="1:6">
      <c r="A1972"/>
      <c r="B1972"/>
      <c r="C1972"/>
      <c r="D1972"/>
      <c r="E1972"/>
      <c r="F1972"/>
    </row>
    <row r="1973" spans="1:6">
      <c r="A1973"/>
      <c r="B1973"/>
      <c r="C1973"/>
      <c r="D1973"/>
      <c r="E1973"/>
      <c r="F1973"/>
    </row>
    <row r="1974" spans="1:6">
      <c r="A1974"/>
      <c r="B1974"/>
      <c r="C1974"/>
      <c r="D1974"/>
      <c r="E1974"/>
      <c r="F1974"/>
    </row>
    <row r="1975" spans="1:6">
      <c r="A1975"/>
      <c r="B1975"/>
      <c r="C1975"/>
      <c r="D1975"/>
      <c r="E1975"/>
      <c r="F1975"/>
    </row>
    <row r="1976" spans="1:6">
      <c r="A1976"/>
      <c r="B1976"/>
      <c r="C1976"/>
      <c r="D1976"/>
      <c r="E1976"/>
      <c r="F1976"/>
    </row>
    <row r="1977" spans="1:6">
      <c r="A1977"/>
      <c r="B1977"/>
      <c r="C1977"/>
      <c r="D1977"/>
      <c r="E1977"/>
      <c r="F1977"/>
    </row>
    <row r="1978" spans="1:6">
      <c r="A1978"/>
      <c r="B1978"/>
      <c r="C1978"/>
      <c r="D1978"/>
      <c r="E1978"/>
      <c r="F1978"/>
    </row>
    <row r="1979" spans="1:6">
      <c r="A1979"/>
      <c r="B1979"/>
      <c r="C1979"/>
      <c r="D1979"/>
      <c r="E1979"/>
      <c r="F1979"/>
    </row>
    <row r="1980" spans="1:6">
      <c r="A1980"/>
      <c r="B1980"/>
      <c r="C1980"/>
      <c r="D1980"/>
      <c r="E1980"/>
      <c r="F1980"/>
    </row>
    <row r="1981" spans="1:6">
      <c r="A1981"/>
      <c r="B1981"/>
      <c r="C1981"/>
      <c r="D1981"/>
      <c r="E1981"/>
      <c r="F1981"/>
    </row>
    <row r="1982" spans="1:6">
      <c r="A1982"/>
      <c r="B1982"/>
      <c r="C1982"/>
      <c r="D1982"/>
      <c r="E1982"/>
      <c r="F1982"/>
    </row>
    <row r="1983" spans="1:6">
      <c r="A1983"/>
      <c r="B1983"/>
      <c r="C1983"/>
      <c r="D1983"/>
      <c r="E1983"/>
      <c r="F1983"/>
    </row>
    <row r="1984" spans="1:6">
      <c r="A1984"/>
      <c r="B1984"/>
      <c r="C1984"/>
      <c r="D1984"/>
      <c r="E1984"/>
      <c r="F1984"/>
    </row>
    <row r="1985" spans="1:6">
      <c r="A1985"/>
      <c r="B1985"/>
      <c r="C1985"/>
      <c r="D1985"/>
      <c r="E1985"/>
      <c r="F1985"/>
    </row>
    <row r="1986" spans="1:6">
      <c r="A1986"/>
      <c r="B1986"/>
      <c r="C1986"/>
      <c r="D1986"/>
      <c r="E1986"/>
      <c r="F1986"/>
    </row>
    <row r="1987" spans="1:6">
      <c r="A1987"/>
      <c r="B1987"/>
      <c r="C1987"/>
      <c r="D1987"/>
      <c r="E1987"/>
      <c r="F1987"/>
    </row>
    <row r="1988" spans="1:6">
      <c r="A1988"/>
      <c r="B1988"/>
      <c r="C1988"/>
      <c r="D1988"/>
      <c r="E1988"/>
      <c r="F1988"/>
    </row>
    <row r="1989" spans="1:6">
      <c r="A1989"/>
      <c r="B1989"/>
      <c r="C1989"/>
      <c r="D1989"/>
      <c r="E1989"/>
      <c r="F1989"/>
    </row>
    <row r="1990" spans="1:6">
      <c r="A1990"/>
      <c r="B1990"/>
      <c r="C1990"/>
      <c r="D1990"/>
      <c r="E1990"/>
      <c r="F1990"/>
    </row>
    <row r="1991" spans="1:6">
      <c r="A1991"/>
      <c r="B1991"/>
      <c r="C1991"/>
      <c r="D1991"/>
      <c r="E1991"/>
      <c r="F1991"/>
    </row>
    <row r="1992" spans="1:6">
      <c r="A1992"/>
      <c r="B1992"/>
      <c r="C1992"/>
      <c r="D1992"/>
      <c r="E1992"/>
      <c r="F1992"/>
    </row>
    <row r="1993" spans="1:6">
      <c r="A1993"/>
      <c r="B1993"/>
      <c r="C1993"/>
      <c r="D1993"/>
      <c r="E1993"/>
      <c r="F1993"/>
    </row>
    <row r="1994" spans="1:6">
      <c r="A1994"/>
      <c r="B1994"/>
      <c r="C1994"/>
      <c r="D1994"/>
      <c r="E1994"/>
      <c r="F1994"/>
    </row>
    <row r="1995" spans="1:6">
      <c r="A1995"/>
      <c r="B1995"/>
      <c r="C1995"/>
      <c r="D1995"/>
      <c r="E1995"/>
      <c r="F1995"/>
    </row>
    <row r="1996" spans="1:6">
      <c r="A1996"/>
      <c r="B1996"/>
      <c r="C1996"/>
      <c r="D1996"/>
      <c r="E1996"/>
      <c r="F1996"/>
    </row>
    <row r="1997" spans="1:6">
      <c r="A1997"/>
      <c r="B1997"/>
      <c r="C1997"/>
      <c r="D1997"/>
      <c r="E1997"/>
      <c r="F1997"/>
    </row>
    <row r="1998" spans="1:6">
      <c r="A1998"/>
      <c r="B1998"/>
      <c r="C1998"/>
      <c r="D1998"/>
      <c r="E1998"/>
      <c r="F1998"/>
    </row>
    <row r="1999" spans="1:6">
      <c r="A1999"/>
      <c r="B1999"/>
      <c r="C1999"/>
      <c r="D1999"/>
      <c r="E1999"/>
      <c r="F1999"/>
    </row>
    <row r="2000" spans="1:6">
      <c r="A2000"/>
      <c r="B2000"/>
      <c r="C2000"/>
      <c r="D2000"/>
      <c r="E2000"/>
      <c r="F2000"/>
    </row>
    <row r="2001" spans="1:6">
      <c r="A2001"/>
      <c r="B2001"/>
      <c r="C2001"/>
      <c r="D2001"/>
      <c r="E2001"/>
      <c r="F2001"/>
    </row>
    <row r="2002" spans="1:6">
      <c r="A2002"/>
      <c r="B2002"/>
      <c r="C2002"/>
      <c r="D2002"/>
      <c r="E2002"/>
      <c r="F2002"/>
    </row>
    <row r="2003" spans="1:6">
      <c r="A2003"/>
      <c r="B2003"/>
      <c r="C2003"/>
      <c r="D2003"/>
      <c r="E2003"/>
      <c r="F2003"/>
    </row>
    <row r="2004" spans="1:6">
      <c r="A2004"/>
      <c r="B2004"/>
      <c r="C2004"/>
      <c r="D2004"/>
      <c r="E2004"/>
      <c r="F2004"/>
    </row>
    <row r="2005" spans="1:6">
      <c r="A2005"/>
      <c r="B2005"/>
      <c r="C2005"/>
      <c r="D2005"/>
      <c r="E2005"/>
      <c r="F2005"/>
    </row>
    <row r="2006" spans="1:6">
      <c r="A2006"/>
      <c r="B2006"/>
      <c r="C2006"/>
      <c r="D2006"/>
      <c r="E2006"/>
      <c r="F2006"/>
    </row>
    <row r="2007" spans="1:6">
      <c r="A2007"/>
      <c r="B2007"/>
      <c r="C2007"/>
      <c r="D2007"/>
      <c r="E2007"/>
      <c r="F2007"/>
    </row>
    <row r="2008" spans="1:6">
      <c r="A2008"/>
      <c r="B2008"/>
      <c r="C2008"/>
      <c r="D2008"/>
      <c r="E2008"/>
      <c r="F2008"/>
    </row>
    <row r="2009" spans="1:6">
      <c r="A2009"/>
      <c r="B2009"/>
      <c r="C2009"/>
      <c r="D2009"/>
      <c r="E2009"/>
      <c r="F2009"/>
    </row>
    <row r="2010" spans="1:6">
      <c r="A2010"/>
      <c r="B2010"/>
      <c r="C2010"/>
      <c r="D2010"/>
      <c r="E2010"/>
      <c r="F2010"/>
    </row>
    <row r="2011" spans="1:6">
      <c r="A2011"/>
      <c r="B2011"/>
      <c r="C2011"/>
      <c r="D2011"/>
      <c r="E2011"/>
      <c r="F2011"/>
    </row>
    <row r="2012" spans="1:6">
      <c r="A2012"/>
      <c r="B2012"/>
      <c r="C2012"/>
      <c r="D2012"/>
      <c r="E2012"/>
      <c r="F2012"/>
    </row>
    <row r="2013" spans="1:6">
      <c r="A2013"/>
      <c r="B2013"/>
      <c r="C2013"/>
      <c r="D2013"/>
      <c r="E2013"/>
      <c r="F2013"/>
    </row>
    <row r="2014" spans="1:6">
      <c r="A2014"/>
      <c r="B2014"/>
      <c r="C2014"/>
      <c r="D2014"/>
      <c r="E2014"/>
      <c r="F2014"/>
    </row>
    <row r="2015" spans="1:6">
      <c r="A2015"/>
      <c r="B2015"/>
      <c r="C2015"/>
      <c r="D2015"/>
      <c r="E2015"/>
      <c r="F2015"/>
    </row>
    <row r="2016" spans="1:6">
      <c r="A2016"/>
      <c r="B2016"/>
      <c r="C2016"/>
      <c r="D2016"/>
      <c r="E2016"/>
      <c r="F2016"/>
    </row>
    <row r="2017" spans="1:6">
      <c r="A2017"/>
      <c r="B2017"/>
      <c r="C2017"/>
      <c r="D2017"/>
      <c r="E2017"/>
      <c r="F2017"/>
    </row>
    <row r="2018" spans="1:6">
      <c r="A2018"/>
      <c r="B2018"/>
      <c r="C2018"/>
      <c r="D2018"/>
      <c r="E2018"/>
      <c r="F2018"/>
    </row>
    <row r="2019" spans="1:6">
      <c r="A2019"/>
      <c r="B2019"/>
      <c r="C2019"/>
      <c r="D2019"/>
      <c r="E2019"/>
      <c r="F2019"/>
    </row>
    <row r="2020" spans="1:6">
      <c r="A2020"/>
      <c r="B2020"/>
      <c r="C2020"/>
      <c r="D2020"/>
      <c r="E2020"/>
      <c r="F2020"/>
    </row>
    <row r="2021" spans="1:6">
      <c r="A2021"/>
      <c r="B2021"/>
      <c r="C2021"/>
      <c r="D2021"/>
      <c r="E2021"/>
      <c r="F2021"/>
    </row>
    <row r="2022" spans="1:6">
      <c r="A2022"/>
      <c r="B2022"/>
      <c r="C2022"/>
      <c r="D2022"/>
      <c r="E2022"/>
      <c r="F2022"/>
    </row>
    <row r="2023" spans="1:6">
      <c r="A2023"/>
      <c r="B2023"/>
      <c r="C2023"/>
      <c r="D2023"/>
      <c r="E2023"/>
      <c r="F2023"/>
    </row>
    <row r="2024" spans="1:6">
      <c r="A2024"/>
      <c r="B2024"/>
      <c r="C2024"/>
      <c r="D2024"/>
      <c r="E2024"/>
      <c r="F2024"/>
    </row>
    <row r="2025" spans="1:6">
      <c r="A2025"/>
      <c r="B2025"/>
      <c r="C2025"/>
      <c r="D2025"/>
      <c r="E2025"/>
      <c r="F2025"/>
    </row>
    <row r="2026" spans="1:6">
      <c r="A2026"/>
      <c r="B2026"/>
      <c r="C2026"/>
      <c r="D2026"/>
      <c r="E2026"/>
      <c r="F2026"/>
    </row>
    <row r="2027" spans="1:6">
      <c r="A2027"/>
      <c r="B2027"/>
      <c r="C2027"/>
      <c r="D2027"/>
      <c r="E2027"/>
      <c r="F2027"/>
    </row>
    <row r="2028" spans="1:6">
      <c r="A2028"/>
      <c r="B2028"/>
      <c r="C2028"/>
      <c r="D2028"/>
      <c r="E2028"/>
      <c r="F2028"/>
    </row>
    <row r="2029" spans="1:6">
      <c r="A2029"/>
      <c r="B2029"/>
      <c r="C2029"/>
      <c r="D2029"/>
      <c r="E2029"/>
      <c r="F2029"/>
    </row>
    <row r="2030" spans="1:6">
      <c r="A2030"/>
      <c r="B2030"/>
      <c r="C2030"/>
      <c r="D2030"/>
      <c r="E2030"/>
      <c r="F2030"/>
    </row>
    <row r="2031" spans="1:6">
      <c r="A2031"/>
      <c r="B2031"/>
      <c r="C2031"/>
      <c r="D2031"/>
      <c r="E2031"/>
      <c r="F2031"/>
    </row>
    <row r="2032" spans="1:6">
      <c r="A2032"/>
      <c r="B2032"/>
      <c r="C2032"/>
      <c r="D2032"/>
      <c r="E2032"/>
      <c r="F2032"/>
    </row>
    <row r="2033" spans="1:6">
      <c r="A2033"/>
      <c r="B2033"/>
      <c r="C2033"/>
      <c r="D2033"/>
      <c r="E2033"/>
      <c r="F2033"/>
    </row>
    <row r="2034" spans="1:6">
      <c r="A2034"/>
      <c r="B2034"/>
      <c r="C2034"/>
      <c r="D2034"/>
      <c r="E2034"/>
      <c r="F2034"/>
    </row>
    <row r="2035" spans="1:6">
      <c r="A2035"/>
      <c r="B2035"/>
      <c r="C2035"/>
      <c r="D2035"/>
      <c r="E2035"/>
      <c r="F2035"/>
    </row>
    <row r="2036" spans="1:6">
      <c r="A2036"/>
      <c r="B2036"/>
      <c r="C2036"/>
      <c r="D2036"/>
      <c r="E2036"/>
      <c r="F2036"/>
    </row>
    <row r="2037" spans="1:6">
      <c r="A2037"/>
      <c r="B2037"/>
      <c r="C2037"/>
      <c r="D2037"/>
      <c r="E2037"/>
      <c r="F2037"/>
    </row>
    <row r="2038" spans="1:6">
      <c r="A2038"/>
      <c r="B2038"/>
      <c r="C2038"/>
      <c r="D2038"/>
      <c r="E2038"/>
      <c r="F2038"/>
    </row>
    <row r="2039" spans="1:6">
      <c r="A2039"/>
      <c r="B2039"/>
      <c r="C2039"/>
      <c r="D2039"/>
      <c r="E2039"/>
      <c r="F2039"/>
    </row>
    <row r="2040" spans="1:6">
      <c r="A2040"/>
      <c r="B2040"/>
      <c r="C2040"/>
      <c r="D2040"/>
      <c r="E2040"/>
      <c r="F2040"/>
    </row>
    <row r="2041" spans="1:6">
      <c r="A2041"/>
      <c r="B2041"/>
      <c r="C2041"/>
      <c r="D2041"/>
      <c r="E2041"/>
      <c r="F2041"/>
    </row>
    <row r="2042" spans="1:6">
      <c r="A2042"/>
      <c r="B2042"/>
      <c r="C2042"/>
      <c r="D2042"/>
      <c r="E2042"/>
      <c r="F2042"/>
    </row>
    <row r="2043" spans="1:6">
      <c r="A2043"/>
      <c r="B2043"/>
      <c r="C2043"/>
      <c r="D2043"/>
      <c r="E2043"/>
      <c r="F2043"/>
    </row>
    <row r="2044" spans="1:6">
      <c r="A2044"/>
      <c r="B2044"/>
      <c r="C2044"/>
      <c r="D2044"/>
      <c r="E2044"/>
      <c r="F2044"/>
    </row>
    <row r="2045" spans="1:6">
      <c r="A2045"/>
      <c r="B2045"/>
      <c r="C2045"/>
      <c r="D2045"/>
      <c r="E2045"/>
      <c r="F2045"/>
    </row>
    <row r="2046" spans="1:6">
      <c r="A2046"/>
      <c r="B2046"/>
      <c r="C2046"/>
      <c r="D2046"/>
      <c r="E2046"/>
      <c r="F2046"/>
    </row>
    <row r="2047" spans="1:6">
      <c r="A2047"/>
      <c r="B2047"/>
      <c r="C2047"/>
      <c r="D2047"/>
      <c r="E2047"/>
      <c r="F2047"/>
    </row>
    <row r="2048" spans="1:6">
      <c r="A2048"/>
      <c r="B2048"/>
      <c r="C2048"/>
      <c r="D2048"/>
      <c r="E2048"/>
      <c r="F2048"/>
    </row>
    <row r="2049" spans="1:6">
      <c r="A2049"/>
      <c r="B2049"/>
      <c r="C2049"/>
      <c r="D2049"/>
      <c r="E2049"/>
      <c r="F2049"/>
    </row>
    <row r="2050" spans="1:6">
      <c r="A2050"/>
      <c r="B2050"/>
      <c r="C2050"/>
      <c r="D2050"/>
      <c r="E2050"/>
      <c r="F2050"/>
    </row>
    <row r="2051" spans="1:6">
      <c r="A2051"/>
      <c r="B2051"/>
      <c r="C2051"/>
      <c r="D2051"/>
      <c r="E2051"/>
      <c r="F2051"/>
    </row>
    <row r="2052" spans="1:6">
      <c r="A2052"/>
      <c r="B2052"/>
      <c r="C2052"/>
      <c r="D2052"/>
      <c r="E2052"/>
      <c r="F2052"/>
    </row>
    <row r="2053" spans="1:6">
      <c r="A2053"/>
      <c r="B2053"/>
      <c r="C2053"/>
      <c r="D2053"/>
      <c r="E2053"/>
      <c r="F2053"/>
    </row>
    <row r="2054" spans="1:6">
      <c r="A2054"/>
      <c r="B2054"/>
      <c r="C2054"/>
      <c r="D2054"/>
      <c r="E2054"/>
      <c r="F2054"/>
    </row>
    <row r="2055" spans="1:6">
      <c r="A2055"/>
      <c r="B2055"/>
      <c r="C2055"/>
      <c r="D2055"/>
      <c r="E2055"/>
      <c r="F2055"/>
    </row>
    <row r="2056" spans="1:6">
      <c r="A2056"/>
      <c r="B2056"/>
      <c r="C2056"/>
      <c r="D2056"/>
      <c r="E2056"/>
      <c r="F2056"/>
    </row>
    <row r="2057" spans="1:6">
      <c r="A2057"/>
      <c r="B2057"/>
      <c r="C2057"/>
      <c r="D2057"/>
      <c r="E2057"/>
      <c r="F2057"/>
    </row>
    <row r="2058" spans="1:6">
      <c r="A2058"/>
      <c r="B2058"/>
      <c r="C2058"/>
      <c r="D2058"/>
      <c r="E2058"/>
      <c r="F2058"/>
    </row>
    <row r="2059" spans="1:6">
      <c r="A2059"/>
      <c r="B2059"/>
      <c r="C2059"/>
      <c r="D2059"/>
      <c r="E2059"/>
      <c r="F2059"/>
    </row>
    <row r="2060" spans="1:6">
      <c r="A2060"/>
      <c r="B2060"/>
      <c r="C2060"/>
      <c r="D2060"/>
      <c r="E2060"/>
      <c r="F2060"/>
    </row>
    <row r="2061" spans="1:6">
      <c r="A2061"/>
      <c r="B2061"/>
      <c r="C2061"/>
      <c r="D2061"/>
      <c r="E2061"/>
      <c r="F2061"/>
    </row>
    <row r="2062" spans="1:6">
      <c r="A2062"/>
      <c r="B2062"/>
      <c r="C2062"/>
      <c r="D2062"/>
      <c r="E2062"/>
      <c r="F2062"/>
    </row>
    <row r="2063" spans="1:6">
      <c r="A2063"/>
      <c r="B2063"/>
      <c r="C2063"/>
      <c r="D2063"/>
      <c r="E2063"/>
      <c r="F2063"/>
    </row>
    <row r="2064" spans="1:6">
      <c r="A2064"/>
      <c r="B2064"/>
      <c r="C2064"/>
      <c r="D2064"/>
      <c r="E2064"/>
      <c r="F2064"/>
    </row>
    <row r="2065" spans="1:6">
      <c r="A2065"/>
      <c r="B2065"/>
      <c r="C2065"/>
      <c r="D2065"/>
      <c r="E2065"/>
      <c r="F2065"/>
    </row>
    <row r="2066" spans="1:6">
      <c r="A2066"/>
      <c r="B2066"/>
      <c r="C2066"/>
      <c r="D2066"/>
      <c r="E2066"/>
      <c r="F2066"/>
    </row>
    <row r="2067" spans="1:6">
      <c r="A2067"/>
      <c r="B2067"/>
      <c r="C2067"/>
      <c r="D2067"/>
      <c r="E2067"/>
      <c r="F2067"/>
    </row>
    <row r="2068" spans="1:6">
      <c r="A2068"/>
      <c r="B2068"/>
      <c r="C2068"/>
      <c r="D2068"/>
      <c r="E2068"/>
      <c r="F2068"/>
    </row>
    <row r="2069" spans="1:6">
      <c r="A2069"/>
      <c r="B2069"/>
      <c r="C2069"/>
      <c r="D2069"/>
      <c r="E2069"/>
      <c r="F2069"/>
    </row>
    <row r="2070" spans="1:6">
      <c r="A2070"/>
      <c r="B2070"/>
      <c r="C2070"/>
      <c r="D2070"/>
      <c r="E2070"/>
      <c r="F2070"/>
    </row>
    <row r="2071" spans="1:6">
      <c r="A2071"/>
      <c r="B2071"/>
      <c r="C2071"/>
      <c r="D2071"/>
      <c r="E2071"/>
      <c r="F2071"/>
    </row>
    <row r="2072" spans="1:6">
      <c r="A2072"/>
      <c r="B2072"/>
      <c r="C2072"/>
      <c r="D2072"/>
      <c r="E2072"/>
      <c r="F2072"/>
    </row>
    <row r="2073" spans="1:6">
      <c r="A2073"/>
      <c r="B2073"/>
      <c r="C2073"/>
      <c r="D2073"/>
      <c r="E2073"/>
      <c r="F2073"/>
    </row>
    <row r="2074" spans="1:6">
      <c r="A2074"/>
      <c r="B2074"/>
      <c r="C2074"/>
      <c r="D2074"/>
      <c r="E2074"/>
      <c r="F2074"/>
    </row>
    <row r="2075" spans="1:6">
      <c r="A2075"/>
      <c r="B2075"/>
      <c r="C2075"/>
      <c r="D2075"/>
      <c r="E2075"/>
      <c r="F2075"/>
    </row>
    <row r="2076" spans="1:6">
      <c r="A2076"/>
      <c r="B2076"/>
      <c r="C2076"/>
      <c r="D2076"/>
      <c r="E2076"/>
      <c r="F2076"/>
    </row>
    <row r="2077" spans="1:6">
      <c r="A2077"/>
      <c r="B2077"/>
      <c r="C2077"/>
      <c r="D2077"/>
      <c r="E2077"/>
      <c r="F2077"/>
    </row>
    <row r="2078" spans="1:6">
      <c r="A2078"/>
      <c r="B2078"/>
      <c r="C2078"/>
      <c r="D2078"/>
      <c r="E2078"/>
      <c r="F2078"/>
    </row>
    <row r="2079" spans="1:6">
      <c r="A2079"/>
      <c r="B2079"/>
      <c r="C2079"/>
      <c r="D2079"/>
      <c r="E2079"/>
      <c r="F2079"/>
    </row>
    <row r="2080" spans="1:6">
      <c r="A2080"/>
      <c r="B2080"/>
      <c r="C2080"/>
      <c r="D2080"/>
      <c r="E2080"/>
      <c r="F2080"/>
    </row>
    <row r="2081" spans="1:6">
      <c r="A2081"/>
      <c r="B2081"/>
      <c r="C2081"/>
      <c r="D2081"/>
      <c r="E2081"/>
      <c r="F2081"/>
    </row>
    <row r="2082" spans="1:6">
      <c r="A2082"/>
      <c r="B2082"/>
      <c r="C2082"/>
      <c r="D2082"/>
      <c r="E2082"/>
      <c r="F2082"/>
    </row>
    <row r="2083" spans="1:6">
      <c r="A2083"/>
      <c r="B2083"/>
      <c r="C2083"/>
      <c r="D2083"/>
      <c r="E2083"/>
      <c r="F2083"/>
    </row>
    <row r="2084" spans="1:6">
      <c r="A2084"/>
      <c r="B2084"/>
      <c r="C2084"/>
      <c r="D2084"/>
      <c r="E2084"/>
      <c r="F2084"/>
    </row>
    <row r="2085" spans="1:6">
      <c r="A2085"/>
      <c r="B2085"/>
      <c r="C2085"/>
      <c r="D2085"/>
      <c r="E2085"/>
      <c r="F2085"/>
    </row>
    <row r="2086" spans="1:6">
      <c r="A2086"/>
      <c r="B2086"/>
      <c r="C2086"/>
      <c r="D2086"/>
      <c r="E2086"/>
      <c r="F2086"/>
    </row>
    <row r="2087" spans="1:6">
      <c r="A2087"/>
      <c r="B2087"/>
      <c r="C2087"/>
      <c r="D2087"/>
      <c r="E2087"/>
      <c r="F2087"/>
    </row>
    <row r="2088" spans="1:6">
      <c r="A2088"/>
      <c r="B2088"/>
      <c r="C2088"/>
      <c r="D2088"/>
      <c r="E2088"/>
      <c r="F2088"/>
    </row>
    <row r="2089" spans="1:6">
      <c r="A2089"/>
      <c r="B2089"/>
      <c r="C2089"/>
      <c r="D2089"/>
      <c r="E2089"/>
      <c r="F2089"/>
    </row>
    <row r="2090" spans="1:6">
      <c r="A2090"/>
      <c r="B2090"/>
      <c r="C2090"/>
      <c r="D2090"/>
      <c r="E2090"/>
      <c r="F2090"/>
    </row>
    <row r="2091" spans="1:6">
      <c r="A2091"/>
      <c r="B2091"/>
      <c r="C2091"/>
      <c r="D2091"/>
      <c r="E2091"/>
      <c r="F2091"/>
    </row>
    <row r="2092" spans="1:6">
      <c r="A2092"/>
      <c r="B2092"/>
      <c r="C2092"/>
      <c r="D2092"/>
      <c r="E2092"/>
      <c r="F2092"/>
    </row>
    <row r="2093" spans="1:6">
      <c r="A2093"/>
      <c r="B2093"/>
      <c r="C2093"/>
      <c r="D2093"/>
      <c r="E2093"/>
      <c r="F2093"/>
    </row>
    <row r="2094" spans="1:6">
      <c r="A2094"/>
      <c r="B2094"/>
      <c r="C2094"/>
      <c r="D2094"/>
      <c r="E2094"/>
      <c r="F2094"/>
    </row>
    <row r="2095" spans="1:6">
      <c r="A2095"/>
      <c r="B2095"/>
      <c r="C2095"/>
      <c r="D2095"/>
      <c r="E2095"/>
      <c r="F2095"/>
    </row>
    <row r="2096" spans="1:6">
      <c r="A2096"/>
      <c r="B2096"/>
      <c r="C2096"/>
      <c r="D2096"/>
      <c r="E2096"/>
      <c r="F2096"/>
    </row>
    <row r="2097" spans="1:6">
      <c r="A2097"/>
      <c r="B2097"/>
      <c r="C2097"/>
      <c r="D2097"/>
      <c r="E2097"/>
      <c r="F2097"/>
    </row>
    <row r="2098" spans="1:6">
      <c r="A2098"/>
      <c r="B2098"/>
      <c r="C2098"/>
      <c r="D2098"/>
      <c r="E2098"/>
      <c r="F2098"/>
    </row>
    <row r="2099" spans="1:6">
      <c r="A2099"/>
      <c r="B2099"/>
      <c r="C2099"/>
      <c r="D2099"/>
      <c r="E2099"/>
      <c r="F2099"/>
    </row>
    <row r="2100" spans="1:6">
      <c r="A2100"/>
      <c r="B2100"/>
      <c r="C2100"/>
      <c r="D2100"/>
      <c r="E2100"/>
      <c r="F2100"/>
    </row>
    <row r="2101" spans="1:6">
      <c r="A2101"/>
      <c r="B2101"/>
      <c r="C2101"/>
      <c r="D2101"/>
      <c r="E2101"/>
      <c r="F2101"/>
    </row>
    <row r="2102" spans="1:6">
      <c r="A2102"/>
      <c r="B2102"/>
      <c r="C2102"/>
      <c r="D2102"/>
      <c r="E2102"/>
      <c r="F2102"/>
    </row>
    <row r="2103" spans="1:6">
      <c r="A2103"/>
      <c r="B2103"/>
      <c r="C2103"/>
      <c r="D2103"/>
      <c r="E2103"/>
      <c r="F2103"/>
    </row>
    <row r="2104" spans="1:6">
      <c r="A2104"/>
      <c r="B2104"/>
      <c r="C2104"/>
      <c r="D2104"/>
      <c r="E2104"/>
      <c r="F2104"/>
    </row>
    <row r="2105" spans="1:6">
      <c r="A2105"/>
      <c r="B2105"/>
      <c r="C2105"/>
      <c r="D2105"/>
      <c r="E2105"/>
      <c r="F2105"/>
    </row>
    <row r="2106" spans="1:6">
      <c r="A2106"/>
      <c r="B2106"/>
      <c r="C2106"/>
      <c r="D2106"/>
      <c r="E2106"/>
      <c r="F2106"/>
    </row>
    <row r="2107" spans="1:6">
      <c r="A2107"/>
      <c r="B2107"/>
      <c r="C2107"/>
      <c r="D2107"/>
      <c r="E2107"/>
      <c r="F2107"/>
    </row>
    <row r="2108" spans="1:6">
      <c r="A2108"/>
      <c r="B2108"/>
      <c r="C2108"/>
      <c r="D2108"/>
      <c r="E2108"/>
      <c r="F2108"/>
    </row>
    <row r="2109" spans="1:6">
      <c r="A2109"/>
      <c r="B2109"/>
      <c r="C2109"/>
      <c r="D2109"/>
      <c r="E2109"/>
      <c r="F2109"/>
    </row>
    <row r="2110" spans="1:6">
      <c r="A2110"/>
      <c r="B2110"/>
      <c r="C2110"/>
      <c r="D2110"/>
      <c r="E2110"/>
      <c r="F2110"/>
    </row>
    <row r="2111" spans="1:6">
      <c r="A2111"/>
      <c r="B2111"/>
      <c r="C2111"/>
      <c r="D2111"/>
      <c r="E2111"/>
      <c r="F2111"/>
    </row>
    <row r="2112" spans="1:6">
      <c r="A2112"/>
      <c r="B2112"/>
      <c r="C2112"/>
      <c r="D2112"/>
      <c r="E2112"/>
      <c r="F2112"/>
    </row>
    <row r="2113" spans="1:6">
      <c r="A2113"/>
      <c r="B2113"/>
      <c r="C2113"/>
      <c r="D2113"/>
      <c r="E2113"/>
      <c r="F2113"/>
    </row>
    <row r="2114" spans="1:6">
      <c r="A2114"/>
      <c r="B2114"/>
      <c r="C2114"/>
      <c r="D2114"/>
      <c r="E2114"/>
      <c r="F2114"/>
    </row>
    <row r="2115" spans="1:6">
      <c r="A2115"/>
      <c r="B2115"/>
      <c r="C2115"/>
      <c r="D2115"/>
      <c r="E2115"/>
      <c r="F2115"/>
    </row>
    <row r="2116" spans="1:6">
      <c r="A2116"/>
      <c r="B2116"/>
      <c r="C2116"/>
      <c r="D2116"/>
      <c r="E2116"/>
      <c r="F2116"/>
    </row>
    <row r="2117" spans="1:6">
      <c r="A2117"/>
      <c r="B2117"/>
      <c r="C2117"/>
      <c r="D2117"/>
      <c r="E2117"/>
      <c r="F2117"/>
    </row>
    <row r="2118" spans="1:6">
      <c r="A2118"/>
      <c r="B2118"/>
      <c r="C2118"/>
      <c r="D2118"/>
      <c r="E2118"/>
      <c r="F2118"/>
    </row>
    <row r="2119" spans="1:6">
      <c r="A2119"/>
      <c r="B2119"/>
      <c r="C2119"/>
      <c r="D2119"/>
      <c r="E2119"/>
      <c r="F2119"/>
    </row>
    <row r="2120" spans="1:6">
      <c r="A2120"/>
      <c r="B2120"/>
      <c r="C2120"/>
      <c r="D2120"/>
      <c r="E2120"/>
      <c r="F2120"/>
    </row>
    <row r="2121" spans="1:6">
      <c r="A2121"/>
      <c r="B2121"/>
      <c r="C2121"/>
      <c r="D2121"/>
      <c r="E2121"/>
      <c r="F2121"/>
    </row>
    <row r="2122" spans="1:6">
      <c r="A2122"/>
      <c r="B2122"/>
      <c r="C2122"/>
      <c r="D2122"/>
      <c r="E2122"/>
      <c r="F2122"/>
    </row>
    <row r="2123" spans="1:6">
      <c r="A2123"/>
      <c r="B2123"/>
      <c r="C2123"/>
      <c r="D2123"/>
      <c r="E2123"/>
      <c r="F2123"/>
    </row>
    <row r="2124" spans="1:6">
      <c r="A2124"/>
      <c r="B2124"/>
      <c r="C2124"/>
      <c r="D2124"/>
      <c r="E2124"/>
      <c r="F2124"/>
    </row>
    <row r="2125" spans="1:6">
      <c r="A2125"/>
      <c r="B2125"/>
      <c r="C2125"/>
      <c r="D2125"/>
      <c r="E2125"/>
      <c r="F2125"/>
    </row>
    <row r="2126" spans="1:6">
      <c r="A2126"/>
      <c r="B2126"/>
      <c r="C2126"/>
      <c r="D2126"/>
      <c r="E2126"/>
      <c r="F2126"/>
    </row>
    <row r="2127" spans="1:6">
      <c r="A2127"/>
      <c r="B2127"/>
      <c r="C2127"/>
      <c r="D2127"/>
      <c r="E2127"/>
      <c r="F2127"/>
    </row>
    <row r="2128" spans="1:6">
      <c r="A2128"/>
      <c r="B2128"/>
      <c r="C2128"/>
      <c r="D2128"/>
      <c r="E2128"/>
      <c r="F2128"/>
    </row>
    <row r="2129" spans="1:6">
      <c r="A2129"/>
      <c r="B2129"/>
      <c r="C2129"/>
      <c r="D2129"/>
      <c r="E2129"/>
      <c r="F2129"/>
    </row>
    <row r="2130" spans="1:6">
      <c r="A2130"/>
      <c r="B2130"/>
      <c r="C2130"/>
      <c r="D2130"/>
      <c r="E2130"/>
      <c r="F2130"/>
    </row>
    <row r="2131" spans="1:6">
      <c r="A2131"/>
      <c r="B2131"/>
      <c r="C2131"/>
      <c r="D2131"/>
      <c r="E2131"/>
      <c r="F2131"/>
    </row>
    <row r="2132" spans="1:6">
      <c r="A2132"/>
      <c r="B2132"/>
      <c r="C2132"/>
      <c r="D2132"/>
      <c r="E2132"/>
      <c r="F2132"/>
    </row>
    <row r="2133" spans="1:6">
      <c r="A2133"/>
      <c r="B2133"/>
      <c r="C2133"/>
      <c r="D2133"/>
      <c r="E2133"/>
      <c r="F2133"/>
    </row>
    <row r="2134" spans="1:6">
      <c r="A2134"/>
      <c r="B2134"/>
      <c r="C2134"/>
      <c r="D2134"/>
      <c r="E2134"/>
      <c r="F2134"/>
    </row>
    <row r="2135" spans="1:6">
      <c r="A2135"/>
      <c r="B2135"/>
      <c r="C2135"/>
      <c r="D2135"/>
      <c r="E2135"/>
      <c r="F2135"/>
    </row>
    <row r="2136" spans="1:6">
      <c r="A2136"/>
      <c r="B2136"/>
      <c r="C2136"/>
      <c r="D2136"/>
      <c r="E2136"/>
      <c r="F2136"/>
    </row>
    <row r="2137" spans="1:6">
      <c r="A2137"/>
      <c r="B2137"/>
      <c r="C2137"/>
      <c r="D2137"/>
      <c r="E2137"/>
      <c r="F2137"/>
    </row>
    <row r="2138" spans="1:6">
      <c r="A2138"/>
      <c r="B2138"/>
      <c r="C2138"/>
      <c r="D2138"/>
      <c r="E2138"/>
      <c r="F2138"/>
    </row>
    <row r="2139" spans="1:6">
      <c r="A2139"/>
      <c r="B2139"/>
      <c r="C2139"/>
      <c r="D2139"/>
      <c r="E2139"/>
      <c r="F2139"/>
    </row>
    <row r="2140" spans="1:6">
      <c r="A2140"/>
      <c r="B2140"/>
      <c r="C2140"/>
      <c r="D2140"/>
      <c r="E2140"/>
      <c r="F2140"/>
    </row>
    <row r="2141" spans="1:6">
      <c r="A2141"/>
      <c r="B2141"/>
      <c r="C2141"/>
      <c r="D2141"/>
      <c r="E2141"/>
      <c r="F2141"/>
    </row>
    <row r="2142" spans="1:6">
      <c r="A2142"/>
      <c r="B2142"/>
      <c r="C2142"/>
      <c r="D2142"/>
      <c r="E2142"/>
      <c r="F2142"/>
    </row>
    <row r="2143" spans="1:6">
      <c r="A2143"/>
      <c r="B2143"/>
      <c r="C2143"/>
      <c r="D2143"/>
      <c r="E2143"/>
      <c r="F2143"/>
    </row>
    <row r="2144" spans="1:6">
      <c r="A2144"/>
      <c r="B2144"/>
      <c r="C2144"/>
      <c r="D2144"/>
      <c r="E2144"/>
      <c r="F2144"/>
    </row>
    <row r="2145" spans="1:6">
      <c r="A2145"/>
      <c r="B2145"/>
      <c r="C2145"/>
      <c r="D2145"/>
      <c r="E2145"/>
      <c r="F2145"/>
    </row>
    <row r="2146" spans="1:6">
      <c r="A2146"/>
      <c r="B2146"/>
      <c r="C2146"/>
      <c r="D2146"/>
      <c r="E2146"/>
      <c r="F2146"/>
    </row>
    <row r="2147" spans="1:6">
      <c r="A2147"/>
      <c r="B2147"/>
      <c r="C2147"/>
      <c r="D2147"/>
      <c r="E2147"/>
      <c r="F2147"/>
    </row>
    <row r="2148" spans="1:6">
      <c r="A2148"/>
      <c r="B2148"/>
      <c r="C2148"/>
      <c r="D2148"/>
      <c r="E2148"/>
      <c r="F2148"/>
    </row>
    <row r="2149" spans="1:6">
      <c r="A2149"/>
      <c r="B2149"/>
      <c r="C2149"/>
      <c r="D2149"/>
      <c r="E2149"/>
      <c r="F2149"/>
    </row>
    <row r="2150" spans="1:6">
      <c r="A2150"/>
      <c r="B2150"/>
      <c r="C2150"/>
      <c r="D2150"/>
      <c r="E2150"/>
      <c r="F2150"/>
    </row>
    <row r="2151" spans="1:6">
      <c r="A2151"/>
      <c r="B2151"/>
      <c r="C2151"/>
      <c r="D2151"/>
      <c r="E2151"/>
      <c r="F2151"/>
    </row>
    <row r="2152" spans="1:6">
      <c r="A2152"/>
      <c r="B2152"/>
      <c r="C2152"/>
      <c r="D2152"/>
      <c r="E2152"/>
      <c r="F2152"/>
    </row>
    <row r="2153" spans="1:6">
      <c r="A2153"/>
      <c r="B2153"/>
      <c r="C2153"/>
      <c r="D2153"/>
      <c r="E2153"/>
      <c r="F2153"/>
    </row>
    <row r="2154" spans="1:6">
      <c r="A2154"/>
      <c r="B2154"/>
      <c r="C2154"/>
      <c r="D2154"/>
      <c r="E2154"/>
      <c r="F2154"/>
    </row>
    <row r="2155" spans="1:6">
      <c r="A2155"/>
      <c r="B2155"/>
      <c r="C2155"/>
      <c r="D2155"/>
      <c r="E2155"/>
      <c r="F2155"/>
    </row>
    <row r="2156" spans="1:6">
      <c r="A2156"/>
      <c r="B2156"/>
      <c r="C2156"/>
      <c r="D2156"/>
      <c r="E2156"/>
      <c r="F2156"/>
    </row>
    <row r="2157" spans="1:6">
      <c r="A2157"/>
      <c r="B2157"/>
      <c r="C2157"/>
      <c r="D2157"/>
      <c r="E2157"/>
      <c r="F2157"/>
    </row>
    <row r="2158" spans="1:6">
      <c r="A2158"/>
      <c r="B2158"/>
      <c r="C2158"/>
      <c r="D2158"/>
      <c r="E2158"/>
      <c r="F2158"/>
    </row>
    <row r="2159" spans="1:6">
      <c r="A2159"/>
      <c r="B2159"/>
      <c r="C2159"/>
      <c r="D2159"/>
      <c r="E2159"/>
      <c r="F2159"/>
    </row>
    <row r="2160" spans="1:6">
      <c r="A2160"/>
      <c r="B2160"/>
      <c r="C2160"/>
      <c r="D2160"/>
      <c r="E2160"/>
      <c r="F2160"/>
    </row>
    <row r="2161" spans="1:6">
      <c r="A2161"/>
      <c r="B2161"/>
      <c r="C2161"/>
      <c r="D2161"/>
      <c r="E2161"/>
      <c r="F2161"/>
    </row>
    <row r="2162" spans="1:6">
      <c r="A2162"/>
      <c r="B2162"/>
      <c r="C2162"/>
      <c r="D2162"/>
      <c r="E2162"/>
      <c r="F2162"/>
    </row>
    <row r="2163" spans="1:6">
      <c r="A2163"/>
      <c r="B2163"/>
      <c r="C2163"/>
      <c r="D2163"/>
      <c r="E2163"/>
      <c r="F2163"/>
    </row>
    <row r="2164" spans="1:6">
      <c r="A2164"/>
      <c r="B2164"/>
      <c r="C2164"/>
      <c r="D2164"/>
      <c r="E2164"/>
      <c r="F2164"/>
    </row>
    <row r="2165" spans="1:6">
      <c r="A2165"/>
      <c r="B2165"/>
      <c r="C2165"/>
      <c r="D2165"/>
      <c r="E2165"/>
      <c r="F2165"/>
    </row>
    <row r="2166" spans="1:6">
      <c r="A2166"/>
      <c r="B2166"/>
      <c r="C2166"/>
      <c r="D2166"/>
      <c r="E2166"/>
      <c r="F2166"/>
    </row>
    <row r="2167" spans="1:6">
      <c r="A2167"/>
      <c r="B2167"/>
      <c r="C2167"/>
      <c r="D2167"/>
      <c r="E2167"/>
      <c r="F2167"/>
    </row>
    <row r="2168" spans="1:6">
      <c r="A2168"/>
      <c r="B2168"/>
      <c r="C2168"/>
      <c r="D2168"/>
      <c r="E2168"/>
      <c r="F2168"/>
    </row>
    <row r="2169" spans="1:6">
      <c r="A2169"/>
      <c r="B2169"/>
      <c r="C2169"/>
      <c r="D2169"/>
      <c r="E2169"/>
      <c r="F2169"/>
    </row>
    <row r="2170" spans="1:6">
      <c r="A2170"/>
      <c r="B2170"/>
      <c r="C2170"/>
      <c r="D2170"/>
      <c r="E2170"/>
      <c r="F2170"/>
    </row>
    <row r="2171" spans="1:6">
      <c r="A2171"/>
      <c r="B2171"/>
      <c r="C2171"/>
      <c r="D2171"/>
      <c r="E2171"/>
      <c r="F2171"/>
    </row>
    <row r="2172" spans="1:6">
      <c r="A2172"/>
      <c r="B2172"/>
      <c r="C2172"/>
      <c r="D2172"/>
      <c r="E2172"/>
      <c r="F2172"/>
    </row>
    <row r="2173" spans="1:6">
      <c r="A2173"/>
      <c r="B2173"/>
      <c r="C2173"/>
      <c r="D2173"/>
      <c r="E2173"/>
      <c r="F2173"/>
    </row>
    <row r="2174" spans="1:6">
      <c r="A2174"/>
      <c r="B2174"/>
      <c r="C2174"/>
      <c r="D2174"/>
      <c r="E2174"/>
      <c r="F2174"/>
    </row>
    <row r="2175" spans="1:6">
      <c r="A2175"/>
      <c r="B2175"/>
      <c r="C2175"/>
      <c r="D2175"/>
      <c r="E2175"/>
      <c r="F2175"/>
    </row>
    <row r="2176" spans="1:6">
      <c r="A2176"/>
      <c r="B2176"/>
      <c r="C2176"/>
      <c r="D2176"/>
      <c r="E2176"/>
      <c r="F2176"/>
    </row>
    <row r="2177" spans="1:6">
      <c r="A2177"/>
      <c r="B2177"/>
      <c r="C2177"/>
      <c r="D2177"/>
      <c r="E2177"/>
      <c r="F2177"/>
    </row>
    <row r="2178" spans="1:6">
      <c r="A2178"/>
      <c r="B2178"/>
      <c r="C2178"/>
      <c r="D2178"/>
      <c r="E2178"/>
      <c r="F2178"/>
    </row>
    <row r="2179" spans="1:6">
      <c r="A2179"/>
      <c r="B2179"/>
      <c r="C2179"/>
      <c r="D2179"/>
      <c r="E2179"/>
      <c r="F2179"/>
    </row>
    <row r="2180" spans="1:6">
      <c r="A2180"/>
      <c r="B2180"/>
      <c r="C2180"/>
      <c r="D2180"/>
      <c r="E2180"/>
      <c r="F2180"/>
    </row>
    <row r="2181" spans="1:6">
      <c r="A2181"/>
      <c r="B2181"/>
      <c r="C2181"/>
      <c r="D2181"/>
      <c r="E2181"/>
      <c r="F2181"/>
    </row>
    <row r="2182" spans="1:6">
      <c r="A2182"/>
      <c r="B2182"/>
      <c r="C2182"/>
      <c r="D2182"/>
      <c r="E2182"/>
      <c r="F2182"/>
    </row>
    <row r="2183" spans="1:6">
      <c r="A2183"/>
      <c r="B2183"/>
      <c r="C2183"/>
      <c r="D2183"/>
      <c r="E2183"/>
      <c r="F2183"/>
    </row>
    <row r="2184" spans="1:6">
      <c r="A2184"/>
      <c r="B2184"/>
      <c r="C2184"/>
      <c r="D2184"/>
      <c r="E2184"/>
      <c r="F2184"/>
    </row>
    <row r="2185" spans="1:6">
      <c r="A2185"/>
      <c r="B2185"/>
      <c r="C2185"/>
      <c r="D2185"/>
      <c r="E2185"/>
      <c r="F2185"/>
    </row>
    <row r="2186" spans="1:6">
      <c r="A2186"/>
      <c r="B2186"/>
      <c r="C2186"/>
      <c r="D2186"/>
      <c r="E2186"/>
      <c r="F2186"/>
    </row>
    <row r="2187" spans="1:6">
      <c r="A2187"/>
      <c r="B2187"/>
      <c r="C2187"/>
      <c r="D2187"/>
      <c r="E2187"/>
      <c r="F2187"/>
    </row>
    <row r="2188" spans="1:6">
      <c r="A2188"/>
      <c r="B2188"/>
      <c r="C2188"/>
      <c r="D2188"/>
      <c r="E2188"/>
      <c r="F2188"/>
    </row>
    <row r="2189" spans="1:6">
      <c r="A2189"/>
      <c r="B2189"/>
      <c r="C2189"/>
      <c r="D2189"/>
      <c r="E2189"/>
      <c r="F2189"/>
    </row>
    <row r="2190" spans="1:6">
      <c r="A2190"/>
      <c r="B2190"/>
      <c r="C2190"/>
      <c r="D2190"/>
      <c r="E2190"/>
      <c r="F2190"/>
    </row>
    <row r="2191" spans="1:6">
      <c r="A2191"/>
      <c r="B2191"/>
      <c r="C2191"/>
      <c r="D2191"/>
      <c r="E2191"/>
      <c r="F2191"/>
    </row>
    <row r="2192" spans="1:6">
      <c r="A2192"/>
      <c r="B2192"/>
      <c r="C2192"/>
      <c r="D2192"/>
      <c r="E2192"/>
      <c r="F2192"/>
    </row>
    <row r="2193" spans="1:6">
      <c r="A2193"/>
      <c r="B2193"/>
      <c r="C2193"/>
      <c r="D2193"/>
      <c r="E2193"/>
      <c r="F2193"/>
    </row>
    <row r="2194" spans="1:6">
      <c r="A2194"/>
      <c r="B2194"/>
      <c r="C2194"/>
      <c r="D2194"/>
      <c r="E2194"/>
      <c r="F2194"/>
    </row>
    <row r="2195" spans="1:6">
      <c r="A2195"/>
      <c r="B2195"/>
      <c r="C2195"/>
      <c r="D2195"/>
      <c r="E2195"/>
      <c r="F2195"/>
    </row>
    <row r="2196" spans="1:6">
      <c r="A2196"/>
      <c r="B2196"/>
      <c r="C2196"/>
      <c r="D2196"/>
      <c r="E2196"/>
      <c r="F2196"/>
    </row>
    <row r="2197" spans="1:6">
      <c r="A2197"/>
      <c r="B2197"/>
      <c r="C2197"/>
      <c r="D2197"/>
      <c r="E2197"/>
      <c r="F2197"/>
    </row>
    <row r="2198" spans="1:6">
      <c r="A2198"/>
      <c r="B2198"/>
      <c r="C2198"/>
      <c r="D2198"/>
      <c r="E2198"/>
      <c r="F2198"/>
    </row>
    <row r="2199" spans="1:6">
      <c r="A2199"/>
      <c r="B2199"/>
      <c r="C2199"/>
      <c r="D2199"/>
      <c r="E2199"/>
      <c r="F2199"/>
    </row>
    <row r="2200" spans="1:6">
      <c r="A2200"/>
      <c r="B2200"/>
      <c r="C2200"/>
      <c r="D2200"/>
      <c r="E2200"/>
      <c r="F2200"/>
    </row>
    <row r="2201" spans="1:6">
      <c r="A2201"/>
      <c r="B2201"/>
      <c r="C2201"/>
      <c r="D2201"/>
      <c r="E2201"/>
      <c r="F2201"/>
    </row>
    <row r="2202" spans="1:6">
      <c r="A2202"/>
      <c r="B2202"/>
      <c r="C2202"/>
      <c r="D2202"/>
      <c r="E2202"/>
      <c r="F2202"/>
    </row>
    <row r="2203" spans="1:6">
      <c r="A2203"/>
      <c r="B2203"/>
      <c r="C2203"/>
      <c r="D2203"/>
      <c r="E2203"/>
      <c r="F2203"/>
    </row>
    <row r="2204" spans="1:6">
      <c r="A2204"/>
      <c r="B2204"/>
      <c r="C2204"/>
      <c r="D2204"/>
      <c r="E2204"/>
      <c r="F2204"/>
    </row>
    <row r="2205" spans="1:6">
      <c r="A2205"/>
      <c r="B2205"/>
      <c r="C2205"/>
      <c r="D2205"/>
      <c r="E2205"/>
      <c r="F2205"/>
    </row>
    <row r="2206" spans="1:6">
      <c r="A2206"/>
      <c r="B2206"/>
      <c r="C2206"/>
      <c r="D2206"/>
      <c r="E2206"/>
      <c r="F2206"/>
    </row>
    <row r="2207" spans="1:6">
      <c r="A2207"/>
      <c r="B2207"/>
      <c r="C2207"/>
      <c r="D2207"/>
      <c r="E2207"/>
      <c r="F2207"/>
    </row>
    <row r="2208" spans="1:6">
      <c r="A2208"/>
      <c r="B2208"/>
      <c r="C2208"/>
      <c r="D2208"/>
      <c r="E2208"/>
      <c r="F2208"/>
    </row>
    <row r="2209" spans="1:6">
      <c r="A2209"/>
      <c r="B2209"/>
      <c r="C2209"/>
      <c r="D2209"/>
      <c r="E2209"/>
      <c r="F2209"/>
    </row>
    <row r="2210" spans="1:6">
      <c r="A2210"/>
      <c r="B2210"/>
      <c r="C2210"/>
      <c r="D2210"/>
      <c r="E2210"/>
      <c r="F2210"/>
    </row>
    <row r="2211" spans="1:6">
      <c r="A2211"/>
      <c r="B2211"/>
      <c r="C2211"/>
      <c r="D2211"/>
      <c r="E2211"/>
      <c r="F2211"/>
    </row>
    <row r="2212" spans="1:6">
      <c r="A2212"/>
      <c r="B2212"/>
      <c r="C2212"/>
      <c r="D2212"/>
      <c r="E2212"/>
      <c r="F2212"/>
    </row>
    <row r="2213" spans="1:6">
      <c r="A2213"/>
      <c r="B2213"/>
      <c r="C2213"/>
      <c r="D2213"/>
      <c r="E2213"/>
      <c r="F2213"/>
    </row>
    <row r="2214" spans="1:6">
      <c r="A2214"/>
      <c r="B2214"/>
      <c r="C2214"/>
      <c r="D2214"/>
      <c r="E2214"/>
      <c r="F2214"/>
    </row>
    <row r="2215" spans="1:6">
      <c r="A2215"/>
      <c r="B2215"/>
      <c r="C2215"/>
      <c r="D2215"/>
      <c r="E2215"/>
      <c r="F2215"/>
    </row>
    <row r="2216" spans="1:6">
      <c r="A2216"/>
      <c r="B2216"/>
      <c r="C2216"/>
      <c r="D2216"/>
      <c r="E2216"/>
      <c r="F2216"/>
    </row>
    <row r="2217" spans="1:6">
      <c r="A2217"/>
      <c r="B2217"/>
      <c r="C2217"/>
      <c r="D2217"/>
      <c r="E2217"/>
      <c r="F2217"/>
    </row>
    <row r="2218" spans="1:6">
      <c r="A2218"/>
      <c r="B2218"/>
      <c r="C2218"/>
      <c r="D2218"/>
      <c r="E2218"/>
      <c r="F2218"/>
    </row>
    <row r="2219" spans="1:6">
      <c r="A2219"/>
      <c r="B2219"/>
      <c r="C2219"/>
      <c r="D2219"/>
      <c r="E2219"/>
      <c r="F2219"/>
    </row>
    <row r="2220" spans="1:6">
      <c r="A2220"/>
      <c r="B2220"/>
      <c r="C2220"/>
      <c r="D2220"/>
      <c r="E2220"/>
      <c r="F2220"/>
    </row>
    <row r="2221" spans="1:6">
      <c r="A2221"/>
      <c r="B2221"/>
      <c r="C2221"/>
      <c r="D2221"/>
      <c r="E2221"/>
      <c r="F2221"/>
    </row>
    <row r="2222" spans="1:6">
      <c r="A2222"/>
      <c r="B2222"/>
      <c r="C2222"/>
      <c r="D2222"/>
      <c r="E2222"/>
      <c r="F2222"/>
    </row>
    <row r="2223" spans="1:6">
      <c r="A2223"/>
      <c r="B2223"/>
      <c r="C2223"/>
      <c r="D2223"/>
      <c r="E2223"/>
      <c r="F2223"/>
    </row>
    <row r="2224" spans="1:6">
      <c r="A2224"/>
      <c r="B2224"/>
      <c r="C2224"/>
      <c r="D2224"/>
      <c r="E2224"/>
      <c r="F2224"/>
    </row>
    <row r="2225" spans="1:6">
      <c r="A2225"/>
      <c r="B2225"/>
      <c r="C2225"/>
      <c r="D2225"/>
      <c r="E2225"/>
      <c r="F2225"/>
    </row>
    <row r="2226" spans="1:6">
      <c r="A2226"/>
      <c r="B2226"/>
      <c r="C2226"/>
      <c r="D2226"/>
      <c r="E2226"/>
      <c r="F2226"/>
    </row>
    <row r="2227" spans="1:6">
      <c r="A2227"/>
      <c r="B2227"/>
      <c r="C2227"/>
      <c r="D2227"/>
      <c r="E2227"/>
      <c r="F2227"/>
    </row>
    <row r="2228" spans="1:6">
      <c r="A2228"/>
      <c r="B2228"/>
      <c r="C2228"/>
      <c r="D2228"/>
      <c r="E2228"/>
      <c r="F2228"/>
    </row>
    <row r="2229" spans="1:6">
      <c r="A2229"/>
      <c r="B2229"/>
      <c r="C2229"/>
      <c r="D2229"/>
      <c r="E2229"/>
      <c r="F2229"/>
    </row>
    <row r="2230" spans="1:6">
      <c r="A2230"/>
      <c r="B2230"/>
      <c r="C2230"/>
      <c r="D2230"/>
      <c r="E2230"/>
      <c r="F2230"/>
    </row>
    <row r="2231" spans="1:6">
      <c r="A2231"/>
      <c r="B2231"/>
      <c r="C2231"/>
      <c r="D2231"/>
      <c r="E2231"/>
      <c r="F2231"/>
    </row>
    <row r="2232" spans="1:6">
      <c r="A2232"/>
      <c r="B2232"/>
      <c r="C2232"/>
      <c r="D2232"/>
      <c r="E2232"/>
      <c r="F2232"/>
    </row>
    <row r="2233" spans="1:6">
      <c r="A2233"/>
      <c r="B2233"/>
      <c r="C2233"/>
      <c r="D2233"/>
      <c r="E2233"/>
      <c r="F2233"/>
    </row>
    <row r="2234" spans="1:6">
      <c r="A2234"/>
      <c r="B2234"/>
      <c r="C2234"/>
      <c r="D2234"/>
      <c r="E2234"/>
      <c r="F2234"/>
    </row>
    <row r="2235" spans="1:6">
      <c r="A2235"/>
      <c r="B2235"/>
      <c r="C2235"/>
      <c r="D2235"/>
      <c r="E2235"/>
      <c r="F2235"/>
    </row>
    <row r="2236" spans="1:6">
      <c r="A2236"/>
      <c r="B2236"/>
      <c r="C2236"/>
      <c r="D2236"/>
      <c r="E2236"/>
      <c r="F2236"/>
    </row>
    <row r="2237" spans="1:6">
      <c r="A2237"/>
      <c r="B2237"/>
      <c r="C2237"/>
      <c r="D2237"/>
      <c r="E2237"/>
      <c r="F2237"/>
    </row>
    <row r="2238" spans="1:6">
      <c r="A2238"/>
      <c r="B2238"/>
      <c r="C2238"/>
      <c r="D2238"/>
      <c r="E2238"/>
      <c r="F2238"/>
    </row>
    <row r="2239" spans="1:6">
      <c r="A2239"/>
      <c r="B2239"/>
      <c r="C2239"/>
      <c r="D2239"/>
      <c r="E2239"/>
      <c r="F2239"/>
    </row>
    <row r="2240" spans="1:6">
      <c r="A2240"/>
      <c r="B2240"/>
      <c r="C2240"/>
      <c r="D2240"/>
      <c r="E2240"/>
      <c r="F2240"/>
    </row>
    <row r="2241" spans="1:6">
      <c r="A2241"/>
      <c r="B2241"/>
      <c r="C2241"/>
      <c r="D2241"/>
      <c r="E2241"/>
      <c r="F2241"/>
    </row>
    <row r="2242" spans="1:6">
      <c r="A2242"/>
      <c r="B2242"/>
      <c r="C2242"/>
      <c r="D2242"/>
      <c r="E2242"/>
      <c r="F2242"/>
    </row>
    <row r="2243" spans="1:6">
      <c r="A2243"/>
      <c r="B2243"/>
      <c r="C2243"/>
      <c r="D2243"/>
      <c r="E2243"/>
      <c r="F2243"/>
    </row>
    <row r="2244" spans="1:6">
      <c r="A2244"/>
      <c r="B2244"/>
      <c r="C2244"/>
      <c r="D2244"/>
      <c r="E2244"/>
      <c r="F2244"/>
    </row>
    <row r="2245" spans="1:6">
      <c r="A2245"/>
      <c r="B2245"/>
      <c r="C2245"/>
      <c r="D2245"/>
      <c r="E2245"/>
      <c r="F2245"/>
    </row>
    <row r="2246" spans="1:6">
      <c r="A2246"/>
      <c r="B2246"/>
      <c r="C2246"/>
      <c r="D2246"/>
      <c r="E2246"/>
      <c r="F2246"/>
    </row>
    <row r="2247" spans="1:6">
      <c r="A2247"/>
      <c r="B2247"/>
      <c r="C2247"/>
      <c r="D2247"/>
      <c r="E2247"/>
      <c r="F2247"/>
    </row>
    <row r="2248" spans="1:6">
      <c r="A2248"/>
      <c r="B2248"/>
      <c r="C2248"/>
      <c r="D2248"/>
      <c r="E2248"/>
      <c r="F2248"/>
    </row>
    <row r="2249" spans="1:6">
      <c r="A2249"/>
      <c r="B2249"/>
      <c r="C2249"/>
      <c r="D2249"/>
      <c r="E2249"/>
      <c r="F2249"/>
    </row>
    <row r="2250" spans="1:6">
      <c r="A2250"/>
      <c r="B2250"/>
      <c r="C2250"/>
      <c r="D2250"/>
      <c r="E2250"/>
      <c r="F2250"/>
    </row>
    <row r="2251" spans="1:6">
      <c r="A2251"/>
      <c r="B2251"/>
      <c r="C2251"/>
      <c r="D2251"/>
      <c r="E2251"/>
      <c r="F2251"/>
    </row>
    <row r="2252" spans="1:6">
      <c r="A2252"/>
      <c r="B2252"/>
      <c r="C2252"/>
      <c r="D2252"/>
      <c r="E2252"/>
      <c r="F2252"/>
    </row>
    <row r="2253" spans="1:6">
      <c r="A2253"/>
      <c r="B2253"/>
      <c r="C2253"/>
      <c r="D2253"/>
      <c r="E2253"/>
      <c r="F2253"/>
    </row>
    <row r="2254" spans="1:6">
      <c r="A2254"/>
      <c r="B2254"/>
      <c r="C2254"/>
      <c r="D2254"/>
      <c r="E2254"/>
      <c r="F2254"/>
    </row>
    <row r="2255" spans="1:6">
      <c r="A2255"/>
      <c r="B2255"/>
      <c r="C2255"/>
      <c r="D2255"/>
      <c r="E2255"/>
      <c r="F2255"/>
    </row>
    <row r="2256" spans="1:6">
      <c r="A2256"/>
      <c r="B2256"/>
      <c r="C2256"/>
      <c r="D2256"/>
      <c r="E2256"/>
      <c r="F2256"/>
    </row>
    <row r="2257" spans="1:6">
      <c r="A2257"/>
      <c r="B2257"/>
      <c r="C2257"/>
      <c r="D2257"/>
      <c r="E2257"/>
      <c r="F2257"/>
    </row>
    <row r="2258" spans="1:6">
      <c r="A2258"/>
      <c r="B2258"/>
      <c r="C2258"/>
      <c r="D2258"/>
      <c r="E2258"/>
      <c r="F2258"/>
    </row>
    <row r="2259" spans="1:6">
      <c r="A2259"/>
      <c r="B2259"/>
      <c r="C2259"/>
      <c r="D2259"/>
      <c r="E2259"/>
      <c r="F2259"/>
    </row>
    <row r="2260" spans="1:6">
      <c r="A2260"/>
      <c r="B2260"/>
      <c r="C2260"/>
      <c r="D2260"/>
      <c r="E2260"/>
      <c r="F2260"/>
    </row>
    <row r="2261" spans="1:6">
      <c r="A2261"/>
      <c r="B2261"/>
      <c r="C2261"/>
      <c r="D2261"/>
      <c r="E2261"/>
      <c r="F2261"/>
    </row>
    <row r="2262" spans="1:6">
      <c r="A2262"/>
      <c r="B2262"/>
      <c r="C2262"/>
      <c r="D2262"/>
      <c r="E2262"/>
      <c r="F2262"/>
    </row>
    <row r="2263" spans="1:6">
      <c r="A2263"/>
      <c r="B2263"/>
      <c r="C2263"/>
      <c r="D2263"/>
      <c r="E2263"/>
      <c r="F2263"/>
    </row>
    <row r="2264" spans="1:6">
      <c r="A2264"/>
      <c r="B2264"/>
      <c r="C2264"/>
      <c r="D2264"/>
      <c r="E2264"/>
      <c r="F2264"/>
    </row>
    <row r="2265" spans="1:6">
      <c r="A2265"/>
      <c r="B2265"/>
      <c r="C2265"/>
      <c r="D2265"/>
      <c r="E2265"/>
      <c r="F2265"/>
    </row>
    <row r="2266" spans="1:6">
      <c r="A2266"/>
      <c r="B2266"/>
      <c r="C2266"/>
      <c r="D2266"/>
      <c r="E2266"/>
      <c r="F2266"/>
    </row>
    <row r="2267" spans="1:6">
      <c r="A2267"/>
      <c r="B2267"/>
      <c r="C2267"/>
      <c r="D2267"/>
      <c r="E2267"/>
      <c r="F2267"/>
    </row>
    <row r="2268" spans="1:6">
      <c r="A2268"/>
      <c r="B2268"/>
      <c r="C2268"/>
      <c r="D2268"/>
      <c r="E2268"/>
      <c r="F2268"/>
    </row>
    <row r="2269" spans="1:6">
      <c r="A2269"/>
      <c r="B2269"/>
      <c r="C2269"/>
      <c r="D2269"/>
      <c r="E2269"/>
      <c r="F2269"/>
    </row>
    <row r="2270" spans="1:6">
      <c r="A2270"/>
      <c r="B2270"/>
      <c r="C2270"/>
      <c r="D2270"/>
      <c r="E2270"/>
      <c r="F2270"/>
    </row>
    <row r="2271" spans="1:6">
      <c r="A2271"/>
      <c r="B2271"/>
      <c r="C2271"/>
      <c r="D2271"/>
      <c r="E2271"/>
      <c r="F2271"/>
    </row>
    <row r="2272" spans="1:6">
      <c r="A2272"/>
      <c r="B2272"/>
      <c r="C2272"/>
      <c r="D2272"/>
      <c r="E2272"/>
      <c r="F2272"/>
    </row>
    <row r="2273" spans="1:6">
      <c r="A2273"/>
      <c r="B2273"/>
      <c r="C2273"/>
      <c r="D2273"/>
      <c r="E2273"/>
      <c r="F2273"/>
    </row>
    <row r="2274" spans="1:6">
      <c r="A2274"/>
      <c r="B2274"/>
      <c r="C2274"/>
      <c r="D2274"/>
      <c r="E2274"/>
      <c r="F2274"/>
    </row>
    <row r="2275" spans="1:6">
      <c r="A2275"/>
      <c r="B2275"/>
      <c r="C2275"/>
      <c r="D2275"/>
      <c r="E2275"/>
      <c r="F2275"/>
    </row>
    <row r="2276" spans="1:6">
      <c r="A2276"/>
      <c r="B2276"/>
      <c r="C2276"/>
      <c r="D2276"/>
      <c r="E2276"/>
      <c r="F2276"/>
    </row>
    <row r="2277" spans="1:6">
      <c r="A2277"/>
      <c r="B2277"/>
      <c r="C2277"/>
      <c r="D2277"/>
      <c r="E2277"/>
      <c r="F2277"/>
    </row>
    <row r="2278" spans="1:6">
      <c r="A2278"/>
      <c r="B2278"/>
      <c r="C2278"/>
      <c r="D2278"/>
      <c r="E2278"/>
      <c r="F2278"/>
    </row>
    <row r="2279" spans="1:6">
      <c r="A2279"/>
      <c r="B2279"/>
      <c r="C2279"/>
      <c r="D2279"/>
      <c r="E2279"/>
      <c r="F2279"/>
    </row>
    <row r="2280" spans="1:6">
      <c r="A2280"/>
      <c r="B2280"/>
      <c r="C2280"/>
      <c r="D2280"/>
      <c r="E2280"/>
      <c r="F2280"/>
    </row>
    <row r="2281" spans="1:6">
      <c r="A2281"/>
      <c r="B2281"/>
      <c r="C2281"/>
      <c r="D2281"/>
      <c r="E2281"/>
      <c r="F2281"/>
    </row>
    <row r="2282" spans="1:6">
      <c r="A2282"/>
      <c r="B2282"/>
      <c r="C2282"/>
      <c r="D2282"/>
      <c r="E2282"/>
      <c r="F2282"/>
    </row>
    <row r="2283" spans="1:6">
      <c r="A2283"/>
      <c r="B2283"/>
      <c r="C2283"/>
      <c r="D2283"/>
      <c r="E2283"/>
      <c r="F2283"/>
    </row>
    <row r="2284" spans="1:6">
      <c r="A2284"/>
      <c r="B2284"/>
      <c r="C2284"/>
      <c r="D2284"/>
      <c r="E2284"/>
      <c r="F2284"/>
    </row>
    <row r="2285" spans="1:6">
      <c r="A2285"/>
      <c r="B2285"/>
      <c r="C2285"/>
      <c r="D2285"/>
      <c r="E2285"/>
      <c r="F2285"/>
    </row>
    <row r="2286" spans="1:6">
      <c r="A2286"/>
      <c r="B2286"/>
      <c r="C2286"/>
      <c r="D2286"/>
      <c r="E2286"/>
      <c r="F2286"/>
    </row>
    <row r="2287" spans="1:6">
      <c r="A2287"/>
      <c r="B2287"/>
      <c r="C2287"/>
      <c r="D2287"/>
      <c r="E2287"/>
      <c r="F2287"/>
    </row>
    <row r="2288" spans="1:6">
      <c r="A2288"/>
      <c r="B2288"/>
      <c r="C2288"/>
      <c r="D2288"/>
      <c r="E2288"/>
      <c r="F2288"/>
    </row>
    <row r="2289" spans="1:6">
      <c r="A2289"/>
      <c r="B2289"/>
      <c r="C2289"/>
      <c r="D2289"/>
      <c r="E2289"/>
      <c r="F2289"/>
    </row>
    <row r="2290" spans="1:6">
      <c r="A2290"/>
      <c r="B2290"/>
      <c r="C2290"/>
      <c r="D2290"/>
      <c r="E2290"/>
      <c r="F2290"/>
    </row>
    <row r="2291" spans="1:6">
      <c r="A2291"/>
      <c r="B2291"/>
      <c r="C2291"/>
      <c r="D2291"/>
      <c r="E2291"/>
      <c r="F2291"/>
    </row>
    <row r="2292" spans="1:6">
      <c r="A2292"/>
      <c r="B2292"/>
      <c r="C2292"/>
      <c r="D2292"/>
      <c r="E2292"/>
      <c r="F2292"/>
    </row>
    <row r="2293" spans="1:6">
      <c r="A2293"/>
      <c r="B2293"/>
      <c r="C2293"/>
      <c r="D2293"/>
      <c r="E2293"/>
      <c r="F2293"/>
    </row>
    <row r="2294" spans="1:6">
      <c r="A2294"/>
      <c r="B2294"/>
      <c r="C2294"/>
      <c r="D2294"/>
      <c r="E2294"/>
      <c r="F2294"/>
    </row>
    <row r="2295" spans="1:6">
      <c r="A2295"/>
      <c r="B2295"/>
      <c r="C2295"/>
      <c r="D2295"/>
      <c r="E2295"/>
      <c r="F2295"/>
    </row>
    <row r="2296" spans="1:6">
      <c r="A2296"/>
      <c r="B2296"/>
      <c r="C2296"/>
      <c r="D2296"/>
      <c r="E2296"/>
      <c r="F2296"/>
    </row>
    <row r="2297" spans="1:6">
      <c r="A2297"/>
      <c r="B2297"/>
      <c r="C2297"/>
      <c r="D2297"/>
      <c r="E2297"/>
      <c r="F2297"/>
    </row>
    <row r="2298" spans="1:6">
      <c r="A2298"/>
      <c r="B2298"/>
      <c r="C2298"/>
      <c r="D2298"/>
      <c r="E2298"/>
      <c r="F2298"/>
    </row>
    <row r="2299" spans="1:6">
      <c r="A2299"/>
      <c r="B2299"/>
      <c r="C2299"/>
      <c r="D2299"/>
      <c r="E2299"/>
      <c r="F2299"/>
    </row>
    <row r="2300" spans="1:6">
      <c r="A2300"/>
      <c r="B2300"/>
      <c r="C2300"/>
      <c r="D2300"/>
      <c r="E2300"/>
      <c r="F2300"/>
    </row>
    <row r="2301" spans="1:6">
      <c r="A2301"/>
      <c r="B2301"/>
      <c r="C2301"/>
      <c r="D2301"/>
      <c r="E2301"/>
      <c r="F2301"/>
    </row>
    <row r="2302" spans="1:6">
      <c r="A2302"/>
      <c r="B2302"/>
      <c r="C2302"/>
      <c r="D2302"/>
      <c r="E2302"/>
      <c r="F2302"/>
    </row>
    <row r="2303" spans="1:6">
      <c r="A2303"/>
      <c r="B2303"/>
      <c r="C2303"/>
      <c r="D2303"/>
      <c r="E2303"/>
      <c r="F2303"/>
    </row>
    <row r="2304" spans="1:6">
      <c r="A2304"/>
      <c r="B2304"/>
      <c r="C2304"/>
      <c r="D2304"/>
      <c r="E2304"/>
      <c r="F2304"/>
    </row>
    <row r="2305" spans="1:6">
      <c r="A2305"/>
      <c r="B2305"/>
      <c r="C2305"/>
      <c r="D2305"/>
      <c r="E2305"/>
      <c r="F2305"/>
    </row>
    <row r="2306" spans="1:6">
      <c r="A2306"/>
      <c r="B2306"/>
      <c r="C2306"/>
      <c r="D2306"/>
      <c r="E2306"/>
      <c r="F2306"/>
    </row>
    <row r="2307" spans="1:6">
      <c r="A2307"/>
      <c r="B2307"/>
      <c r="C2307"/>
      <c r="D2307"/>
      <c r="E2307"/>
      <c r="F2307"/>
    </row>
    <row r="2308" spans="1:6">
      <c r="A2308"/>
      <c r="B2308"/>
      <c r="C2308"/>
      <c r="D2308"/>
      <c r="E2308"/>
      <c r="F2308"/>
    </row>
    <row r="2309" spans="1:6">
      <c r="A2309"/>
      <c r="B2309"/>
      <c r="C2309"/>
      <c r="D2309"/>
      <c r="E2309"/>
      <c r="F2309"/>
    </row>
    <row r="2310" spans="1:6">
      <c r="A2310"/>
      <c r="B2310"/>
      <c r="C2310"/>
      <c r="D2310"/>
      <c r="E2310"/>
      <c r="F2310"/>
    </row>
    <row r="2311" spans="1:6">
      <c r="A2311"/>
      <c r="B2311"/>
      <c r="C2311"/>
      <c r="D2311"/>
      <c r="E2311"/>
      <c r="F2311"/>
    </row>
    <row r="2312" spans="1:6">
      <c r="A2312"/>
      <c r="B2312"/>
      <c r="C2312"/>
      <c r="D2312"/>
      <c r="E2312"/>
      <c r="F2312"/>
    </row>
    <row r="2313" spans="1:6">
      <c r="A2313"/>
      <c r="B2313"/>
      <c r="C2313"/>
      <c r="D2313"/>
      <c r="E2313"/>
      <c r="F2313"/>
    </row>
    <row r="2314" spans="1:6">
      <c r="A2314"/>
      <c r="B2314"/>
      <c r="C2314"/>
      <c r="D2314"/>
      <c r="E2314"/>
      <c r="F2314"/>
    </row>
    <row r="2315" spans="1:6">
      <c r="A2315"/>
      <c r="B2315"/>
      <c r="C2315"/>
      <c r="D2315"/>
      <c r="E2315"/>
      <c r="F2315"/>
    </row>
    <row r="2316" spans="1:6">
      <c r="A2316"/>
      <c r="B2316"/>
      <c r="C2316"/>
      <c r="D2316"/>
      <c r="E2316"/>
      <c r="F2316"/>
    </row>
    <row r="2317" spans="1:6">
      <c r="A2317"/>
      <c r="B2317"/>
      <c r="C2317"/>
      <c r="D2317"/>
      <c r="E2317"/>
      <c r="F2317"/>
    </row>
    <row r="2318" spans="1:6">
      <c r="A2318"/>
      <c r="B2318"/>
      <c r="C2318"/>
      <c r="D2318"/>
      <c r="E2318"/>
      <c r="F2318"/>
    </row>
    <row r="2319" spans="1:6">
      <c r="A2319"/>
      <c r="B2319"/>
      <c r="C2319"/>
      <c r="D2319"/>
      <c r="E2319"/>
      <c r="F2319"/>
    </row>
    <row r="2320" spans="1:6">
      <c r="A2320"/>
      <c r="B2320"/>
      <c r="C2320"/>
      <c r="D2320"/>
      <c r="E2320"/>
      <c r="F2320"/>
    </row>
    <row r="2321" spans="1:6">
      <c r="A2321"/>
      <c r="B2321"/>
      <c r="C2321"/>
      <c r="D2321"/>
      <c r="E2321"/>
      <c r="F2321"/>
    </row>
    <row r="2322" spans="1:6">
      <c r="A2322"/>
      <c r="B2322"/>
      <c r="C2322"/>
      <c r="D2322"/>
      <c r="E2322"/>
      <c r="F2322"/>
    </row>
    <row r="2323" spans="1:6">
      <c r="A2323"/>
      <c r="B2323"/>
      <c r="C2323"/>
      <c r="D2323"/>
      <c r="E2323"/>
      <c r="F2323"/>
    </row>
    <row r="2324" spans="1:6">
      <c r="A2324"/>
      <c r="B2324"/>
      <c r="C2324"/>
      <c r="D2324"/>
      <c r="E2324"/>
      <c r="F2324"/>
    </row>
    <row r="2325" spans="1:6">
      <c r="A2325"/>
      <c r="B2325"/>
      <c r="C2325"/>
      <c r="D2325"/>
      <c r="E2325"/>
      <c r="F2325"/>
    </row>
    <row r="2326" spans="1:6">
      <c r="A2326"/>
      <c r="B2326"/>
      <c r="C2326"/>
      <c r="D2326"/>
      <c r="E2326"/>
      <c r="F2326"/>
    </row>
    <row r="2327" spans="1:6">
      <c r="A2327"/>
      <c r="B2327"/>
      <c r="C2327"/>
      <c r="D2327"/>
      <c r="E2327"/>
      <c r="F2327"/>
    </row>
    <row r="2328" spans="1:6">
      <c r="A2328"/>
      <c r="B2328"/>
      <c r="C2328"/>
      <c r="D2328"/>
      <c r="E2328"/>
      <c r="F2328"/>
    </row>
    <row r="2329" spans="1:6">
      <c r="A2329"/>
      <c r="B2329"/>
      <c r="C2329"/>
      <c r="D2329"/>
      <c r="E2329"/>
      <c r="F2329"/>
    </row>
    <row r="2330" spans="1:6">
      <c r="A2330"/>
      <c r="B2330"/>
      <c r="C2330"/>
      <c r="D2330"/>
      <c r="E2330"/>
      <c r="F2330"/>
    </row>
    <row r="2331" spans="1:6">
      <c r="A2331"/>
      <c r="B2331"/>
      <c r="C2331"/>
      <c r="D2331"/>
      <c r="E2331"/>
      <c r="F2331"/>
    </row>
    <row r="2332" spans="1:6">
      <c r="A2332"/>
      <c r="B2332"/>
      <c r="C2332"/>
      <c r="D2332"/>
      <c r="E2332"/>
      <c r="F2332"/>
    </row>
    <row r="2333" spans="1:6">
      <c r="A2333"/>
      <c r="B2333"/>
      <c r="C2333"/>
      <c r="D2333"/>
      <c r="E2333"/>
      <c r="F2333"/>
    </row>
    <row r="2334" spans="1:6">
      <c r="A2334"/>
      <c r="B2334"/>
      <c r="C2334"/>
      <c r="D2334"/>
      <c r="E2334"/>
      <c r="F2334"/>
    </row>
    <row r="2335" spans="1:6">
      <c r="A2335"/>
      <c r="B2335"/>
      <c r="C2335"/>
      <c r="D2335"/>
      <c r="E2335"/>
      <c r="F2335"/>
    </row>
    <row r="2336" spans="1:6">
      <c r="A2336"/>
      <c r="B2336"/>
      <c r="C2336"/>
      <c r="D2336"/>
      <c r="E2336"/>
      <c r="F2336"/>
    </row>
    <row r="2337" spans="1:6">
      <c r="A2337"/>
      <c r="B2337"/>
      <c r="C2337"/>
      <c r="D2337"/>
      <c r="E2337"/>
      <c r="F2337"/>
    </row>
    <row r="2338" spans="1:6">
      <c r="A2338"/>
      <c r="B2338"/>
      <c r="C2338"/>
      <c r="D2338"/>
      <c r="E2338"/>
      <c r="F2338"/>
    </row>
    <row r="2339" spans="1:6">
      <c r="A2339"/>
      <c r="B2339"/>
      <c r="C2339"/>
      <c r="D2339"/>
      <c r="E2339"/>
      <c r="F2339"/>
    </row>
    <row r="2340" spans="1:6">
      <c r="A2340"/>
      <c r="B2340"/>
      <c r="C2340"/>
      <c r="D2340"/>
      <c r="E2340"/>
      <c r="F2340"/>
    </row>
    <row r="2341" spans="1:6">
      <c r="A2341"/>
      <c r="B2341"/>
      <c r="C2341"/>
      <c r="D2341"/>
      <c r="E2341"/>
      <c r="F2341"/>
    </row>
    <row r="2342" spans="1:6">
      <c r="A2342"/>
      <c r="B2342"/>
      <c r="C2342"/>
      <c r="D2342"/>
      <c r="E2342"/>
      <c r="F2342"/>
    </row>
    <row r="2343" spans="1:6">
      <c r="A2343"/>
      <c r="B2343"/>
      <c r="C2343"/>
      <c r="D2343"/>
      <c r="E2343"/>
      <c r="F2343"/>
    </row>
    <row r="2344" spans="1:6">
      <c r="A2344"/>
      <c r="B2344"/>
      <c r="C2344"/>
      <c r="D2344"/>
      <c r="E2344"/>
      <c r="F2344"/>
    </row>
    <row r="2345" spans="1:6">
      <c r="A2345"/>
      <c r="B2345"/>
      <c r="C2345"/>
      <c r="D2345"/>
      <c r="E2345"/>
      <c r="F2345"/>
    </row>
    <row r="2346" spans="1:6">
      <c r="A2346"/>
      <c r="B2346"/>
      <c r="C2346"/>
      <c r="D2346"/>
      <c r="E2346"/>
      <c r="F2346"/>
    </row>
    <row r="2347" spans="1:6">
      <c r="A2347"/>
      <c r="B2347"/>
      <c r="C2347"/>
      <c r="D2347"/>
      <c r="E2347"/>
      <c r="F2347"/>
    </row>
    <row r="2348" spans="1:6">
      <c r="A2348"/>
      <c r="B2348"/>
      <c r="C2348"/>
      <c r="D2348"/>
      <c r="E2348"/>
      <c r="F2348"/>
    </row>
    <row r="2349" spans="1:6">
      <c r="A2349"/>
      <c r="B2349"/>
      <c r="C2349"/>
      <c r="D2349"/>
      <c r="E2349"/>
      <c r="F2349"/>
    </row>
    <row r="2350" spans="1:6">
      <c r="A2350"/>
      <c r="B2350"/>
      <c r="C2350"/>
      <c r="D2350"/>
      <c r="E2350"/>
      <c r="F2350"/>
    </row>
    <row r="2351" spans="1:6">
      <c r="A2351"/>
      <c r="B2351"/>
      <c r="C2351"/>
      <c r="D2351"/>
      <c r="E2351"/>
      <c r="F2351"/>
    </row>
    <row r="2352" spans="1:6">
      <c r="A2352"/>
      <c r="B2352"/>
      <c r="C2352"/>
      <c r="D2352"/>
      <c r="E2352"/>
      <c r="F2352"/>
    </row>
    <row r="2353" spans="1:6">
      <c r="A2353"/>
      <c r="B2353"/>
      <c r="C2353"/>
      <c r="D2353"/>
      <c r="E2353"/>
      <c r="F2353"/>
    </row>
    <row r="2354" spans="1:6">
      <c r="A2354"/>
      <c r="B2354"/>
      <c r="C2354"/>
      <c r="D2354"/>
      <c r="E2354"/>
      <c r="F2354"/>
    </row>
    <row r="2355" spans="1:6">
      <c r="A2355"/>
      <c r="B2355"/>
      <c r="C2355"/>
      <c r="D2355"/>
      <c r="E2355"/>
      <c r="F2355"/>
    </row>
    <row r="2356" spans="1:6">
      <c r="A2356"/>
      <c r="B2356"/>
      <c r="C2356"/>
      <c r="D2356"/>
      <c r="E2356"/>
      <c r="F2356"/>
    </row>
    <row r="2357" spans="1:6">
      <c r="A2357"/>
      <c r="B2357"/>
      <c r="C2357"/>
      <c r="D2357"/>
      <c r="E2357"/>
      <c r="F2357"/>
    </row>
    <row r="2358" spans="1:6">
      <c r="A2358"/>
      <c r="B2358"/>
      <c r="C2358"/>
      <c r="D2358"/>
      <c r="E2358"/>
      <c r="F2358"/>
    </row>
    <row r="2359" spans="1:6">
      <c r="A2359"/>
      <c r="B2359"/>
      <c r="C2359"/>
      <c r="D2359"/>
      <c r="E2359"/>
      <c r="F2359"/>
    </row>
    <row r="2360" spans="1:6">
      <c r="A2360"/>
      <c r="B2360"/>
      <c r="C2360"/>
      <c r="D2360"/>
      <c r="E2360"/>
      <c r="F2360"/>
    </row>
    <row r="2361" spans="1:6">
      <c r="A2361"/>
      <c r="B2361"/>
      <c r="C2361"/>
      <c r="D2361"/>
      <c r="E2361"/>
      <c r="F2361"/>
    </row>
    <row r="2362" spans="1:6">
      <c r="A2362"/>
      <c r="B2362"/>
      <c r="C2362"/>
      <c r="D2362"/>
      <c r="E2362"/>
      <c r="F2362"/>
    </row>
    <row r="2363" spans="1:6">
      <c r="A2363"/>
      <c r="B2363"/>
      <c r="C2363"/>
      <c r="D2363"/>
      <c r="E2363"/>
      <c r="F2363"/>
    </row>
    <row r="2364" spans="1:6">
      <c r="A2364"/>
      <c r="B2364"/>
      <c r="C2364"/>
      <c r="D2364"/>
      <c r="E2364"/>
      <c r="F2364"/>
    </row>
    <row r="2365" spans="1:6">
      <c r="A2365"/>
      <c r="B2365"/>
      <c r="C2365"/>
      <c r="D2365"/>
      <c r="E2365"/>
      <c r="F2365"/>
    </row>
    <row r="2366" spans="1:6">
      <c r="A2366"/>
      <c r="B2366"/>
      <c r="C2366"/>
      <c r="D2366"/>
      <c r="E2366"/>
      <c r="F2366"/>
    </row>
    <row r="2367" spans="1:6">
      <c r="A2367"/>
      <c r="B2367"/>
      <c r="C2367"/>
      <c r="D2367"/>
      <c r="E2367"/>
      <c r="F2367"/>
    </row>
    <row r="2368" spans="1:6">
      <c r="A2368"/>
      <c r="B2368"/>
      <c r="C2368"/>
      <c r="D2368"/>
      <c r="E2368"/>
      <c r="F2368"/>
    </row>
    <row r="2369" spans="1:6">
      <c r="A2369"/>
      <c r="B2369"/>
      <c r="C2369"/>
      <c r="D2369"/>
      <c r="E2369"/>
      <c r="F2369"/>
    </row>
    <row r="2370" spans="1:6">
      <c r="A2370"/>
      <c r="B2370"/>
      <c r="C2370"/>
      <c r="D2370"/>
      <c r="E2370"/>
      <c r="F2370"/>
    </row>
    <row r="2371" spans="1:6">
      <c r="A2371"/>
      <c r="B2371"/>
      <c r="C2371"/>
      <c r="D2371"/>
      <c r="E2371"/>
      <c r="F2371"/>
    </row>
    <row r="2372" spans="1:6">
      <c r="A2372"/>
      <c r="B2372"/>
      <c r="C2372"/>
      <c r="D2372"/>
      <c r="E2372"/>
      <c r="F2372"/>
    </row>
    <row r="2373" spans="1:6">
      <c r="A2373"/>
      <c r="B2373"/>
      <c r="C2373"/>
      <c r="D2373"/>
      <c r="E2373"/>
      <c r="F2373"/>
    </row>
    <row r="2374" spans="1:6">
      <c r="A2374"/>
      <c r="B2374"/>
      <c r="C2374"/>
      <c r="D2374"/>
      <c r="E2374"/>
      <c r="F2374"/>
    </row>
    <row r="2375" spans="1:6">
      <c r="A2375"/>
      <c r="B2375"/>
      <c r="C2375"/>
      <c r="D2375"/>
      <c r="E2375"/>
      <c r="F2375"/>
    </row>
    <row r="2376" spans="1:6">
      <c r="A2376"/>
      <c r="B2376"/>
      <c r="C2376"/>
      <c r="D2376"/>
      <c r="E2376"/>
      <c r="F2376"/>
    </row>
    <row r="2377" spans="1:6">
      <c r="A2377"/>
      <c r="B2377"/>
      <c r="C2377"/>
      <c r="D2377"/>
      <c r="E2377"/>
      <c r="F2377"/>
    </row>
    <row r="2378" spans="1:6">
      <c r="A2378"/>
      <c r="B2378"/>
      <c r="C2378"/>
      <c r="D2378"/>
      <c r="E2378"/>
      <c r="F2378"/>
    </row>
    <row r="2379" spans="1:6">
      <c r="A2379"/>
      <c r="B2379"/>
      <c r="C2379"/>
      <c r="D2379"/>
      <c r="E2379"/>
      <c r="F2379"/>
    </row>
    <row r="2380" spans="1:6">
      <c r="A2380"/>
      <c r="B2380"/>
      <c r="C2380"/>
      <c r="D2380"/>
      <c r="E2380"/>
      <c r="F2380"/>
    </row>
    <row r="2381" spans="1:6">
      <c r="A2381"/>
      <c r="B2381"/>
      <c r="C2381"/>
      <c r="D2381"/>
      <c r="E2381"/>
      <c r="F2381"/>
    </row>
    <row r="2382" spans="1:6">
      <c r="A2382"/>
      <c r="B2382"/>
      <c r="C2382"/>
      <c r="D2382"/>
      <c r="E2382"/>
      <c r="F2382"/>
    </row>
    <row r="2383" spans="1:6">
      <c r="A2383"/>
      <c r="B2383"/>
      <c r="C2383"/>
      <c r="D2383"/>
      <c r="E2383"/>
      <c r="F2383"/>
    </row>
    <row r="2384" spans="1:6">
      <c r="A2384"/>
      <c r="B2384"/>
      <c r="C2384"/>
      <c r="D2384"/>
      <c r="E2384"/>
      <c r="F2384"/>
    </row>
    <row r="2385" spans="1:6">
      <c r="A2385"/>
      <c r="B2385"/>
      <c r="C2385"/>
      <c r="D2385"/>
      <c r="E2385"/>
      <c r="F2385"/>
    </row>
    <row r="2386" spans="1:6">
      <c r="A2386"/>
      <c r="B2386"/>
      <c r="C2386"/>
      <c r="D2386"/>
      <c r="E2386"/>
      <c r="F2386"/>
    </row>
    <row r="2387" spans="1:6">
      <c r="A2387"/>
      <c r="B2387"/>
      <c r="C2387"/>
      <c r="D2387"/>
      <c r="E2387"/>
      <c r="F2387"/>
    </row>
    <row r="2388" spans="1:6">
      <c r="A2388"/>
      <c r="B2388"/>
      <c r="C2388"/>
      <c r="D2388"/>
      <c r="E2388"/>
      <c r="F2388"/>
    </row>
    <row r="2389" spans="1:6">
      <c r="A2389"/>
      <c r="B2389"/>
      <c r="C2389"/>
      <c r="D2389"/>
      <c r="E2389"/>
      <c r="F2389"/>
    </row>
    <row r="2390" spans="1:6">
      <c r="A2390"/>
      <c r="B2390"/>
      <c r="C2390"/>
      <c r="D2390"/>
      <c r="E2390"/>
      <c r="F2390"/>
    </row>
    <row r="2391" spans="1:6">
      <c r="A2391"/>
      <c r="B2391"/>
      <c r="C2391"/>
      <c r="D2391"/>
      <c r="E2391"/>
      <c r="F2391"/>
    </row>
    <row r="2392" spans="1:6">
      <c r="A2392"/>
      <c r="B2392"/>
      <c r="C2392"/>
      <c r="D2392"/>
      <c r="E2392"/>
      <c r="F2392"/>
    </row>
    <row r="2393" spans="1:6">
      <c r="A2393"/>
      <c r="B2393"/>
      <c r="C2393"/>
      <c r="D2393"/>
      <c r="E2393"/>
      <c r="F2393"/>
    </row>
    <row r="2394" spans="1:6">
      <c r="A2394"/>
      <c r="B2394"/>
      <c r="C2394"/>
      <c r="D2394"/>
      <c r="E2394"/>
      <c r="F2394"/>
    </row>
    <row r="2395" spans="1:6">
      <c r="A2395"/>
      <c r="B2395"/>
      <c r="C2395"/>
      <c r="D2395"/>
      <c r="E2395"/>
      <c r="F2395"/>
    </row>
    <row r="2396" spans="1:6">
      <c r="A2396"/>
      <c r="B2396"/>
      <c r="C2396"/>
      <c r="D2396"/>
      <c r="E2396"/>
      <c r="F2396"/>
    </row>
    <row r="2397" spans="1:6">
      <c r="A2397"/>
      <c r="B2397"/>
      <c r="C2397"/>
      <c r="D2397"/>
      <c r="E2397"/>
      <c r="F2397"/>
    </row>
    <row r="2398" spans="1:6">
      <c r="A2398"/>
      <c r="B2398"/>
      <c r="C2398"/>
      <c r="D2398"/>
      <c r="E2398"/>
      <c r="F2398"/>
    </row>
    <row r="2399" spans="1:6">
      <c r="A2399"/>
      <c r="B2399"/>
      <c r="C2399"/>
      <c r="D2399"/>
      <c r="E2399"/>
      <c r="F2399"/>
    </row>
    <row r="2400" spans="1:6">
      <c r="A2400"/>
      <c r="B2400"/>
      <c r="C2400"/>
      <c r="D2400"/>
      <c r="E2400"/>
      <c r="F2400"/>
    </row>
    <row r="2401" spans="1:6">
      <c r="A2401"/>
      <c r="B2401"/>
      <c r="C2401"/>
      <c r="D2401"/>
      <c r="E2401"/>
      <c r="F2401"/>
    </row>
    <row r="2402" spans="1:6">
      <c r="A2402"/>
      <c r="B2402"/>
      <c r="C2402"/>
      <c r="D2402"/>
      <c r="E2402"/>
      <c r="F2402"/>
    </row>
    <row r="2403" spans="1:6">
      <c r="A2403"/>
      <c r="B2403"/>
      <c r="C2403"/>
      <c r="D2403"/>
      <c r="E2403"/>
      <c r="F2403"/>
    </row>
    <row r="2404" spans="1:6">
      <c r="A2404"/>
      <c r="B2404"/>
      <c r="C2404"/>
      <c r="D2404"/>
      <c r="E2404"/>
      <c r="F2404"/>
    </row>
    <row r="2405" spans="1:6">
      <c r="A2405"/>
      <c r="B2405"/>
      <c r="C2405"/>
      <c r="D2405"/>
      <c r="E2405"/>
      <c r="F2405"/>
    </row>
    <row r="2406" spans="1:6">
      <c r="A2406"/>
      <c r="B2406"/>
      <c r="C2406"/>
      <c r="D2406"/>
      <c r="E2406"/>
      <c r="F2406"/>
    </row>
    <row r="2407" spans="1:6">
      <c r="A2407"/>
      <c r="B2407"/>
      <c r="C2407"/>
      <c r="D2407"/>
      <c r="E2407"/>
      <c r="F2407"/>
    </row>
    <row r="2408" spans="1:6">
      <c r="A2408"/>
      <c r="B2408"/>
      <c r="C2408"/>
      <c r="D2408"/>
      <c r="E2408"/>
      <c r="F2408"/>
    </row>
    <row r="2409" spans="1:6">
      <c r="A2409"/>
      <c r="B2409"/>
      <c r="C2409"/>
      <c r="D2409"/>
      <c r="E2409"/>
      <c r="F2409"/>
    </row>
    <row r="2410" spans="1:6">
      <c r="A2410"/>
      <c r="B2410"/>
      <c r="C2410"/>
      <c r="D2410"/>
      <c r="E2410"/>
      <c r="F2410"/>
    </row>
    <row r="2411" spans="1:6">
      <c r="A2411"/>
      <c r="B2411"/>
      <c r="C2411"/>
      <c r="D2411"/>
      <c r="E2411"/>
      <c r="F2411"/>
    </row>
    <row r="2412" spans="1:6">
      <c r="A2412"/>
      <c r="B2412"/>
      <c r="C2412"/>
      <c r="D2412"/>
      <c r="E2412"/>
      <c r="F2412"/>
    </row>
    <row r="2413" spans="1:6">
      <c r="A2413"/>
      <c r="B2413"/>
      <c r="C2413"/>
      <c r="D2413"/>
      <c r="E2413"/>
      <c r="F2413"/>
    </row>
    <row r="2414" spans="1:6">
      <c r="A2414"/>
      <c r="B2414"/>
      <c r="C2414"/>
      <c r="D2414"/>
      <c r="E2414"/>
      <c r="F2414"/>
    </row>
    <row r="2415" spans="1:6">
      <c r="A2415"/>
      <c r="B2415"/>
      <c r="C2415"/>
      <c r="D2415"/>
      <c r="E2415"/>
      <c r="F2415"/>
    </row>
    <row r="2416" spans="1:6">
      <c r="A2416"/>
      <c r="B2416"/>
      <c r="C2416"/>
      <c r="D2416"/>
      <c r="E2416"/>
      <c r="F2416"/>
    </row>
    <row r="2417" spans="1:6">
      <c r="A2417"/>
      <c r="B2417"/>
      <c r="C2417"/>
      <c r="D2417"/>
      <c r="E2417"/>
      <c r="F2417"/>
    </row>
    <row r="2418" spans="1:6">
      <c r="A2418"/>
      <c r="B2418"/>
      <c r="C2418"/>
      <c r="D2418"/>
      <c r="E2418"/>
      <c r="F2418"/>
    </row>
    <row r="2419" spans="1:6">
      <c r="A2419"/>
      <c r="B2419"/>
      <c r="C2419"/>
      <c r="D2419"/>
      <c r="E2419"/>
      <c r="F2419"/>
    </row>
    <row r="2420" spans="1:6">
      <c r="A2420"/>
      <c r="B2420"/>
      <c r="C2420"/>
      <c r="D2420"/>
      <c r="E2420"/>
      <c r="F2420"/>
    </row>
    <row r="2421" spans="1:6">
      <c r="A2421"/>
      <c r="B2421"/>
      <c r="C2421"/>
      <c r="D2421"/>
      <c r="E2421"/>
      <c r="F2421"/>
    </row>
    <row r="2422" spans="1:6">
      <c r="A2422"/>
      <c r="B2422"/>
      <c r="C2422"/>
      <c r="D2422"/>
      <c r="E2422"/>
      <c r="F2422"/>
    </row>
    <row r="2423" spans="1:6">
      <c r="A2423"/>
      <c r="B2423"/>
      <c r="C2423"/>
      <c r="D2423"/>
      <c r="E2423"/>
      <c r="F2423"/>
    </row>
    <row r="2424" spans="1:6">
      <c r="A2424"/>
      <c r="B2424"/>
      <c r="C2424"/>
      <c r="D2424"/>
      <c r="E2424"/>
      <c r="F2424"/>
    </row>
    <row r="2425" spans="1:6">
      <c r="A2425"/>
      <c r="B2425"/>
      <c r="C2425"/>
      <c r="D2425"/>
      <c r="E2425"/>
      <c r="F2425"/>
    </row>
    <row r="2426" spans="1:6">
      <c r="A2426"/>
      <c r="B2426"/>
      <c r="C2426"/>
      <c r="D2426"/>
      <c r="E2426"/>
      <c r="F2426"/>
    </row>
    <row r="2427" spans="1:6">
      <c r="A2427"/>
      <c r="B2427"/>
      <c r="C2427"/>
      <c r="D2427"/>
      <c r="E2427"/>
      <c r="F2427"/>
    </row>
    <row r="2428" spans="1:6">
      <c r="A2428"/>
      <c r="B2428"/>
      <c r="C2428"/>
      <c r="D2428"/>
      <c r="E2428"/>
      <c r="F2428"/>
    </row>
    <row r="2429" spans="1:6">
      <c r="A2429"/>
      <c r="B2429"/>
      <c r="C2429"/>
      <c r="D2429"/>
      <c r="E2429"/>
      <c r="F2429"/>
    </row>
    <row r="2430" spans="1:6">
      <c r="A2430"/>
      <c r="B2430"/>
      <c r="C2430"/>
      <c r="D2430"/>
      <c r="E2430"/>
      <c r="F2430"/>
    </row>
    <row r="2431" spans="1:6">
      <c r="A2431"/>
      <c r="B2431"/>
      <c r="C2431"/>
      <c r="D2431"/>
      <c r="E2431"/>
      <c r="F2431"/>
    </row>
    <row r="2432" spans="1:6">
      <c r="A2432"/>
      <c r="B2432"/>
      <c r="C2432"/>
      <c r="D2432"/>
      <c r="E2432"/>
      <c r="F2432"/>
    </row>
    <row r="2433" spans="1:6">
      <c r="A2433"/>
      <c r="B2433"/>
      <c r="C2433"/>
      <c r="D2433"/>
      <c r="E2433"/>
      <c r="F2433"/>
    </row>
    <row r="2434" spans="1:6">
      <c r="A2434"/>
      <c r="B2434"/>
      <c r="C2434"/>
      <c r="D2434"/>
      <c r="E2434"/>
      <c r="F2434"/>
    </row>
    <row r="2435" spans="1:6">
      <c r="A2435"/>
      <c r="B2435"/>
      <c r="C2435"/>
      <c r="D2435"/>
      <c r="E2435"/>
      <c r="F2435"/>
    </row>
    <row r="2436" spans="1:6">
      <c r="A2436"/>
      <c r="B2436"/>
      <c r="C2436"/>
      <c r="D2436"/>
      <c r="E2436"/>
      <c r="F2436"/>
    </row>
    <row r="2437" spans="1:6">
      <c r="A2437"/>
      <c r="B2437"/>
      <c r="C2437"/>
      <c r="D2437"/>
      <c r="E2437"/>
      <c r="F2437"/>
    </row>
    <row r="2438" spans="1:6">
      <c r="A2438"/>
      <c r="B2438"/>
      <c r="C2438"/>
      <c r="D2438"/>
      <c r="E2438"/>
      <c r="F2438"/>
    </row>
    <row r="2439" spans="1:6">
      <c r="A2439"/>
      <c r="B2439"/>
      <c r="C2439"/>
      <c r="D2439"/>
      <c r="E2439"/>
      <c r="F2439"/>
    </row>
    <row r="2440" spans="1:6">
      <c r="A2440"/>
      <c r="B2440"/>
      <c r="C2440"/>
      <c r="D2440"/>
      <c r="E2440"/>
      <c r="F2440"/>
    </row>
    <row r="2441" spans="1:6">
      <c r="A2441"/>
      <c r="B2441"/>
      <c r="C2441"/>
      <c r="D2441"/>
      <c r="E2441"/>
      <c r="F2441"/>
    </row>
    <row r="2442" spans="1:6">
      <c r="A2442"/>
      <c r="B2442"/>
      <c r="C2442"/>
      <c r="D2442"/>
      <c r="E2442"/>
      <c r="F2442"/>
    </row>
    <row r="2443" spans="1:6">
      <c r="A2443"/>
      <c r="B2443"/>
      <c r="C2443"/>
      <c r="D2443"/>
      <c r="E2443"/>
      <c r="F2443"/>
    </row>
    <row r="2444" spans="1:6">
      <c r="A2444"/>
      <c r="B2444"/>
      <c r="C2444"/>
      <c r="D2444"/>
      <c r="E2444"/>
      <c r="F2444"/>
    </row>
    <row r="2445" spans="1:6">
      <c r="A2445"/>
      <c r="B2445"/>
      <c r="C2445"/>
      <c r="D2445"/>
      <c r="E2445"/>
      <c r="F2445"/>
    </row>
    <row r="2446" spans="1:6">
      <c r="A2446"/>
      <c r="B2446"/>
      <c r="C2446"/>
      <c r="D2446"/>
      <c r="E2446"/>
      <c r="F2446"/>
    </row>
    <row r="2447" spans="1:6">
      <c r="A2447"/>
      <c r="B2447"/>
      <c r="C2447"/>
      <c r="D2447"/>
      <c r="E2447"/>
      <c r="F2447"/>
    </row>
    <row r="2448" spans="1:6">
      <c r="A2448"/>
      <c r="B2448"/>
      <c r="C2448"/>
      <c r="D2448"/>
      <c r="E2448"/>
      <c r="F2448"/>
    </row>
    <row r="2449" spans="1:6">
      <c r="A2449"/>
      <c r="B2449"/>
      <c r="C2449"/>
      <c r="D2449"/>
      <c r="E2449"/>
      <c r="F2449"/>
    </row>
    <row r="2450" spans="1:6">
      <c r="A2450"/>
      <c r="B2450"/>
      <c r="C2450"/>
      <c r="D2450"/>
      <c r="E2450"/>
      <c r="F2450"/>
    </row>
    <row r="2451" spans="1:6">
      <c r="A2451"/>
      <c r="B2451"/>
      <c r="C2451"/>
      <c r="D2451"/>
      <c r="E2451"/>
      <c r="F2451"/>
    </row>
    <row r="2452" spans="1:6">
      <c r="A2452"/>
      <c r="B2452"/>
      <c r="C2452"/>
      <c r="D2452"/>
      <c r="E2452"/>
      <c r="F2452"/>
    </row>
    <row r="2453" spans="1:6">
      <c r="A2453"/>
      <c r="B2453"/>
      <c r="C2453"/>
      <c r="D2453"/>
      <c r="E2453"/>
      <c r="F2453"/>
    </row>
    <row r="2454" spans="1:6">
      <c r="A2454"/>
      <c r="B2454"/>
      <c r="C2454"/>
      <c r="D2454"/>
      <c r="E2454"/>
      <c r="F2454"/>
    </row>
    <row r="2455" spans="1:6">
      <c r="A2455"/>
      <c r="B2455"/>
      <c r="C2455"/>
      <c r="D2455"/>
      <c r="E2455"/>
      <c r="F2455"/>
    </row>
    <row r="2456" spans="1:6">
      <c r="A2456"/>
      <c r="B2456"/>
      <c r="C2456"/>
      <c r="D2456"/>
      <c r="E2456"/>
      <c r="F2456"/>
    </row>
    <row r="2457" spans="1:6">
      <c r="A2457"/>
      <c r="B2457"/>
      <c r="C2457"/>
      <c r="D2457"/>
      <c r="E2457"/>
      <c r="F2457"/>
    </row>
    <row r="2458" spans="1:6">
      <c r="A2458"/>
      <c r="B2458"/>
      <c r="C2458"/>
      <c r="D2458"/>
      <c r="E2458"/>
      <c r="F2458"/>
    </row>
    <row r="2459" spans="1:6">
      <c r="A2459"/>
      <c r="B2459"/>
      <c r="C2459"/>
      <c r="D2459"/>
      <c r="E2459"/>
      <c r="F2459"/>
    </row>
    <row r="2460" spans="1:6">
      <c r="A2460"/>
      <c r="B2460"/>
      <c r="C2460"/>
      <c r="D2460"/>
      <c r="E2460"/>
      <c r="F2460"/>
    </row>
    <row r="2461" spans="1:6">
      <c r="A2461"/>
      <c r="B2461"/>
      <c r="C2461"/>
      <c r="D2461"/>
      <c r="E2461"/>
      <c r="F2461"/>
    </row>
    <row r="2462" spans="1:6">
      <c r="A2462"/>
      <c r="B2462"/>
      <c r="C2462"/>
      <c r="D2462"/>
      <c r="E2462"/>
      <c r="F2462"/>
    </row>
    <row r="2463" spans="1:6">
      <c r="A2463"/>
      <c r="B2463"/>
      <c r="C2463"/>
      <c r="D2463"/>
      <c r="E2463"/>
      <c r="F2463"/>
    </row>
    <row r="2464" spans="1:6">
      <c r="A2464"/>
      <c r="B2464"/>
      <c r="C2464"/>
      <c r="D2464"/>
      <c r="E2464"/>
      <c r="F2464"/>
    </row>
    <row r="2465" spans="1:6">
      <c r="A2465"/>
      <c r="B2465"/>
      <c r="C2465"/>
      <c r="D2465"/>
      <c r="E2465"/>
      <c r="F2465"/>
    </row>
    <row r="2466" spans="1:6">
      <c r="A2466"/>
      <c r="B2466"/>
      <c r="C2466"/>
      <c r="D2466"/>
      <c r="E2466"/>
      <c r="F2466"/>
    </row>
    <row r="2467" spans="1:6">
      <c r="A2467"/>
      <c r="B2467"/>
      <c r="C2467"/>
      <c r="D2467"/>
      <c r="E2467"/>
      <c r="F2467"/>
    </row>
    <row r="2468" spans="1:6">
      <c r="A2468"/>
      <c r="B2468"/>
      <c r="C2468"/>
      <c r="D2468"/>
      <c r="E2468"/>
      <c r="F2468"/>
    </row>
    <row r="2469" spans="1:6">
      <c r="A2469"/>
      <c r="B2469"/>
      <c r="C2469"/>
      <c r="D2469"/>
      <c r="E2469"/>
      <c r="F2469"/>
    </row>
    <row r="2470" spans="1:6">
      <c r="A2470"/>
      <c r="B2470"/>
      <c r="C2470"/>
      <c r="D2470"/>
      <c r="E2470"/>
      <c r="F2470"/>
    </row>
    <row r="2471" spans="1:6">
      <c r="A2471"/>
      <c r="B2471"/>
      <c r="C2471"/>
      <c r="D2471"/>
      <c r="E2471"/>
      <c r="F2471"/>
    </row>
    <row r="2472" spans="1:6">
      <c r="A2472"/>
      <c r="B2472"/>
      <c r="C2472"/>
      <c r="D2472"/>
      <c r="E2472"/>
      <c r="F2472"/>
    </row>
    <row r="2473" spans="1:6">
      <c r="A2473"/>
      <c r="B2473"/>
      <c r="C2473"/>
      <c r="D2473"/>
      <c r="E2473"/>
      <c r="F2473"/>
    </row>
    <row r="2474" spans="1:6">
      <c r="A2474"/>
      <c r="B2474"/>
      <c r="C2474"/>
      <c r="D2474"/>
      <c r="E2474"/>
      <c r="F2474"/>
    </row>
    <row r="2475" spans="1:6">
      <c r="A2475"/>
      <c r="B2475"/>
      <c r="C2475"/>
      <c r="D2475"/>
      <c r="E2475"/>
      <c r="F2475"/>
    </row>
    <row r="2476" spans="1:6">
      <c r="A2476"/>
      <c r="B2476"/>
      <c r="C2476"/>
      <c r="D2476"/>
      <c r="E2476"/>
      <c r="F2476"/>
    </row>
    <row r="2477" spans="1:6">
      <c r="A2477"/>
      <c r="B2477"/>
      <c r="C2477"/>
      <c r="D2477"/>
      <c r="E2477"/>
      <c r="F2477"/>
    </row>
    <row r="2478" spans="1:6">
      <c r="A2478"/>
      <c r="B2478"/>
      <c r="C2478"/>
      <c r="D2478"/>
      <c r="E2478"/>
      <c r="F2478"/>
    </row>
    <row r="2479" spans="1:6">
      <c r="A2479"/>
      <c r="B2479"/>
      <c r="C2479"/>
      <c r="D2479"/>
      <c r="E2479"/>
      <c r="F2479"/>
    </row>
    <row r="2480" spans="1:6">
      <c r="A2480"/>
      <c r="B2480"/>
      <c r="C2480"/>
      <c r="D2480"/>
      <c r="E2480"/>
      <c r="F2480"/>
    </row>
    <row r="2481" spans="1:6">
      <c r="A2481"/>
      <c r="B2481"/>
      <c r="C2481"/>
      <c r="D2481"/>
      <c r="E2481"/>
      <c r="F2481"/>
    </row>
    <row r="2482" spans="1:6">
      <c r="A2482"/>
      <c r="B2482"/>
      <c r="C2482"/>
      <c r="D2482"/>
      <c r="E2482"/>
      <c r="F2482"/>
    </row>
    <row r="2483" spans="1:6">
      <c r="A2483"/>
      <c r="B2483"/>
      <c r="C2483"/>
      <c r="D2483"/>
      <c r="E2483"/>
      <c r="F2483"/>
    </row>
    <row r="2484" spans="1:6">
      <c r="A2484"/>
      <c r="B2484"/>
      <c r="C2484"/>
      <c r="D2484"/>
      <c r="E2484"/>
      <c r="F2484"/>
    </row>
    <row r="2485" spans="1:6">
      <c r="A2485"/>
      <c r="B2485"/>
      <c r="C2485"/>
      <c r="D2485"/>
      <c r="E2485"/>
      <c r="F2485"/>
    </row>
    <row r="2486" spans="1:6">
      <c r="A2486"/>
      <c r="B2486"/>
      <c r="C2486"/>
      <c r="D2486"/>
      <c r="E2486"/>
      <c r="F2486"/>
    </row>
    <row r="2487" spans="1:6">
      <c r="A2487"/>
      <c r="B2487"/>
      <c r="C2487"/>
      <c r="D2487"/>
      <c r="E2487"/>
      <c r="F2487"/>
    </row>
    <row r="2488" spans="1:6">
      <c r="A2488"/>
      <c r="B2488"/>
      <c r="C2488"/>
      <c r="D2488"/>
      <c r="E2488"/>
      <c r="F2488"/>
    </row>
    <row r="2489" spans="1:6">
      <c r="A2489"/>
      <c r="B2489"/>
      <c r="C2489"/>
      <c r="D2489"/>
      <c r="E2489"/>
      <c r="F2489"/>
    </row>
    <row r="2490" spans="1:6">
      <c r="A2490"/>
      <c r="B2490"/>
      <c r="C2490"/>
      <c r="D2490"/>
      <c r="E2490"/>
      <c r="F2490"/>
    </row>
    <row r="2491" spans="1:6">
      <c r="A2491"/>
      <c r="B2491"/>
      <c r="C2491"/>
      <c r="D2491"/>
      <c r="E2491"/>
      <c r="F2491"/>
    </row>
    <row r="2492" spans="1:6">
      <c r="A2492"/>
      <c r="B2492"/>
      <c r="C2492"/>
      <c r="D2492"/>
      <c r="E2492"/>
      <c r="F2492"/>
    </row>
    <row r="2493" spans="1:6">
      <c r="A2493"/>
      <c r="B2493"/>
      <c r="C2493"/>
      <c r="D2493"/>
      <c r="E2493"/>
      <c r="F2493"/>
    </row>
    <row r="2494" spans="1:6">
      <c r="A2494"/>
      <c r="B2494"/>
      <c r="C2494"/>
      <c r="D2494"/>
      <c r="E2494"/>
      <c r="F2494"/>
    </row>
    <row r="2495" spans="1:6">
      <c r="A2495"/>
      <c r="B2495"/>
      <c r="C2495"/>
      <c r="D2495"/>
      <c r="E2495"/>
      <c r="F2495"/>
    </row>
    <row r="2496" spans="1:6">
      <c r="A2496"/>
      <c r="B2496"/>
      <c r="C2496"/>
      <c r="D2496"/>
      <c r="E2496"/>
      <c r="F2496"/>
    </row>
    <row r="2497" spans="1:6">
      <c r="A2497"/>
      <c r="B2497"/>
      <c r="C2497"/>
      <c r="D2497"/>
      <c r="E2497"/>
      <c r="F2497"/>
    </row>
    <row r="2498" spans="1:6">
      <c r="A2498"/>
      <c r="B2498"/>
      <c r="C2498"/>
      <c r="D2498"/>
      <c r="E2498"/>
      <c r="F2498"/>
    </row>
    <row r="2499" spans="1:6">
      <c r="A2499"/>
      <c r="B2499"/>
      <c r="C2499"/>
      <c r="D2499"/>
      <c r="E2499"/>
      <c r="F2499"/>
    </row>
    <row r="2500" spans="1:6">
      <c r="A2500"/>
      <c r="B2500"/>
      <c r="C2500"/>
      <c r="D2500"/>
      <c r="E2500"/>
      <c r="F2500"/>
    </row>
    <row r="2501" spans="1:6">
      <c r="A2501"/>
      <c r="B2501"/>
      <c r="C2501"/>
      <c r="D2501"/>
      <c r="E2501"/>
      <c r="F2501"/>
    </row>
    <row r="2502" spans="1:6">
      <c r="A2502"/>
      <c r="B2502"/>
      <c r="C2502"/>
      <c r="D2502"/>
      <c r="E2502"/>
      <c r="F2502"/>
    </row>
    <row r="2503" spans="1:6">
      <c r="A2503"/>
      <c r="B2503"/>
      <c r="C2503"/>
      <c r="D2503"/>
      <c r="E2503"/>
      <c r="F2503"/>
    </row>
    <row r="2504" spans="1:6">
      <c r="A2504"/>
      <c r="B2504"/>
      <c r="C2504"/>
      <c r="D2504"/>
      <c r="E2504"/>
      <c r="F2504"/>
    </row>
    <row r="2505" spans="1:6">
      <c r="A2505"/>
      <c r="B2505"/>
      <c r="C2505"/>
      <c r="D2505"/>
      <c r="E2505"/>
      <c r="F2505"/>
    </row>
    <row r="2506" spans="1:6">
      <c r="A2506"/>
      <c r="B2506"/>
      <c r="C2506"/>
      <c r="D2506"/>
      <c r="E2506"/>
      <c r="F2506"/>
    </row>
    <row r="2507" spans="1:6">
      <c r="A2507"/>
      <c r="B2507"/>
      <c r="C2507"/>
      <c r="D2507"/>
      <c r="E2507"/>
      <c r="F2507"/>
    </row>
    <row r="2508" spans="1:6">
      <c r="A2508"/>
      <c r="B2508"/>
      <c r="C2508"/>
      <c r="D2508"/>
      <c r="E2508"/>
      <c r="F2508"/>
    </row>
    <row r="2509" spans="1:6">
      <c r="A2509"/>
      <c r="B2509"/>
      <c r="C2509"/>
      <c r="D2509"/>
      <c r="E2509"/>
      <c r="F2509"/>
    </row>
    <row r="2510" spans="1:6">
      <c r="A2510"/>
      <c r="B2510"/>
      <c r="C2510"/>
      <c r="D2510"/>
      <c r="E2510"/>
      <c r="F2510"/>
    </row>
    <row r="2511" spans="1:6">
      <c r="A2511"/>
      <c r="B2511"/>
      <c r="C2511"/>
      <c r="D2511"/>
      <c r="E2511"/>
      <c r="F2511"/>
    </row>
    <row r="2512" spans="1:6">
      <c r="A2512"/>
      <c r="B2512"/>
      <c r="C2512"/>
      <c r="D2512"/>
      <c r="E2512"/>
      <c r="F2512"/>
    </row>
    <row r="2513" spans="1:6">
      <c r="A2513"/>
      <c r="B2513"/>
      <c r="C2513"/>
      <c r="D2513"/>
      <c r="E2513"/>
      <c r="F2513"/>
    </row>
    <row r="2514" spans="1:6">
      <c r="A2514"/>
      <c r="B2514"/>
      <c r="C2514"/>
      <c r="D2514"/>
      <c r="E2514"/>
      <c r="F2514"/>
    </row>
    <row r="2515" spans="1:6">
      <c r="A2515"/>
      <c r="B2515"/>
      <c r="C2515"/>
      <c r="D2515"/>
      <c r="E2515"/>
      <c r="F2515"/>
    </row>
    <row r="2516" spans="1:6">
      <c r="A2516"/>
      <c r="B2516"/>
      <c r="C2516"/>
      <c r="D2516"/>
      <c r="E2516"/>
      <c r="F2516"/>
    </row>
    <row r="2517" spans="1:6">
      <c r="A2517"/>
      <c r="B2517"/>
      <c r="C2517"/>
      <c r="D2517"/>
      <c r="E2517"/>
      <c r="F2517"/>
    </row>
    <row r="2518" spans="1:6">
      <c r="A2518"/>
      <c r="B2518"/>
      <c r="C2518"/>
      <c r="D2518"/>
      <c r="E2518"/>
      <c r="F2518"/>
    </row>
    <row r="2519" spans="1:6">
      <c r="A2519"/>
      <c r="B2519"/>
      <c r="C2519"/>
      <c r="D2519"/>
      <c r="E2519"/>
      <c r="F2519"/>
    </row>
    <row r="2520" spans="1:6">
      <c r="A2520"/>
      <c r="B2520"/>
      <c r="C2520"/>
      <c r="D2520"/>
      <c r="E2520"/>
      <c r="F2520"/>
    </row>
    <row r="2521" spans="1:6">
      <c r="A2521"/>
      <c r="B2521"/>
      <c r="C2521"/>
      <c r="D2521"/>
      <c r="E2521"/>
      <c r="F2521"/>
    </row>
    <row r="2522" spans="1:6">
      <c r="A2522"/>
      <c r="B2522"/>
      <c r="C2522"/>
      <c r="D2522"/>
      <c r="E2522"/>
      <c r="F2522"/>
    </row>
    <row r="2523" spans="1:6">
      <c r="A2523"/>
      <c r="B2523"/>
      <c r="C2523"/>
      <c r="D2523"/>
      <c r="E2523"/>
      <c r="F2523"/>
    </row>
    <row r="2524" spans="1:6">
      <c r="A2524"/>
      <c r="B2524"/>
      <c r="C2524"/>
      <c r="D2524"/>
      <c r="E2524"/>
      <c r="F2524"/>
    </row>
    <row r="2525" spans="1:6">
      <c r="A2525"/>
      <c r="B2525"/>
      <c r="C2525"/>
      <c r="D2525"/>
      <c r="E2525"/>
      <c r="F2525"/>
    </row>
    <row r="2526" spans="1:6">
      <c r="A2526"/>
      <c r="B2526"/>
      <c r="C2526"/>
      <c r="D2526"/>
      <c r="E2526"/>
      <c r="F2526"/>
    </row>
    <row r="2527" spans="1:6">
      <c r="A2527"/>
      <c r="B2527"/>
      <c r="C2527"/>
      <c r="D2527"/>
      <c r="E2527"/>
      <c r="F2527"/>
    </row>
    <row r="2528" spans="1:6">
      <c r="A2528"/>
      <c r="B2528"/>
      <c r="C2528"/>
      <c r="D2528"/>
      <c r="E2528"/>
      <c r="F2528"/>
    </row>
    <row r="2529" spans="1:6">
      <c r="A2529"/>
      <c r="B2529"/>
      <c r="C2529"/>
      <c r="D2529"/>
      <c r="E2529"/>
      <c r="F2529"/>
    </row>
    <row r="2530" spans="1:6">
      <c r="A2530"/>
      <c r="B2530"/>
      <c r="C2530"/>
      <c r="D2530"/>
      <c r="E2530"/>
      <c r="F2530"/>
    </row>
    <row r="2531" spans="1:6">
      <c r="A2531"/>
      <c r="B2531"/>
      <c r="C2531"/>
      <c r="D2531"/>
      <c r="E2531"/>
      <c r="F2531"/>
    </row>
    <row r="2532" spans="1:6">
      <c r="A2532"/>
      <c r="B2532"/>
      <c r="C2532"/>
      <c r="D2532"/>
      <c r="E2532"/>
      <c r="F2532"/>
    </row>
    <row r="2533" spans="1:6">
      <c r="A2533"/>
      <c r="B2533"/>
      <c r="C2533"/>
      <c r="D2533"/>
      <c r="E2533"/>
      <c r="F2533"/>
    </row>
    <row r="2534" spans="1:6">
      <c r="A2534"/>
      <c r="B2534"/>
      <c r="C2534"/>
      <c r="D2534"/>
      <c r="E2534"/>
      <c r="F2534"/>
    </row>
    <row r="2535" spans="1:6">
      <c r="A2535"/>
      <c r="B2535"/>
      <c r="C2535"/>
      <c r="D2535"/>
      <c r="E2535"/>
      <c r="F2535"/>
    </row>
    <row r="2536" spans="1:6">
      <c r="A2536"/>
      <c r="B2536"/>
      <c r="C2536"/>
      <c r="D2536"/>
      <c r="E2536"/>
      <c r="F2536"/>
    </row>
    <row r="2537" spans="1:6">
      <c r="A2537"/>
      <c r="B2537"/>
      <c r="C2537"/>
      <c r="D2537"/>
      <c r="E2537"/>
      <c r="F2537"/>
    </row>
    <row r="2538" spans="1:6">
      <c r="A2538"/>
      <c r="B2538"/>
      <c r="C2538"/>
      <c r="D2538"/>
      <c r="E2538"/>
      <c r="F2538"/>
    </row>
    <row r="2539" spans="1:6">
      <c r="A2539"/>
      <c r="B2539"/>
      <c r="C2539"/>
      <c r="D2539"/>
      <c r="E2539"/>
      <c r="F2539"/>
    </row>
    <row r="2540" spans="1:6">
      <c r="A2540"/>
      <c r="B2540"/>
      <c r="C2540"/>
      <c r="D2540"/>
      <c r="E2540"/>
      <c r="F2540"/>
    </row>
    <row r="2541" spans="1:6">
      <c r="A2541"/>
      <c r="B2541"/>
      <c r="C2541"/>
      <c r="D2541"/>
      <c r="E2541"/>
      <c r="F2541"/>
    </row>
    <row r="2542" spans="1:6">
      <c r="A2542"/>
      <c r="B2542"/>
      <c r="C2542"/>
      <c r="D2542"/>
      <c r="E2542"/>
      <c r="F2542"/>
    </row>
    <row r="2543" spans="1:6">
      <c r="A2543"/>
      <c r="B2543"/>
      <c r="C2543"/>
      <c r="D2543"/>
      <c r="E2543"/>
      <c r="F2543"/>
    </row>
    <row r="2544" spans="1:6">
      <c r="A2544"/>
      <c r="B2544"/>
      <c r="C2544"/>
      <c r="D2544"/>
      <c r="E2544"/>
      <c r="F2544"/>
    </row>
    <row r="2545" spans="1:6">
      <c r="A2545"/>
      <c r="B2545"/>
      <c r="C2545"/>
      <c r="D2545"/>
      <c r="E2545"/>
      <c r="F2545"/>
    </row>
    <row r="2546" spans="1:6">
      <c r="A2546"/>
      <c r="B2546"/>
      <c r="C2546"/>
      <c r="D2546"/>
      <c r="E2546"/>
      <c r="F2546"/>
    </row>
    <row r="2547" spans="1:6">
      <c r="A2547"/>
      <c r="B2547"/>
      <c r="C2547"/>
      <c r="D2547"/>
      <c r="E2547"/>
      <c r="F2547"/>
    </row>
    <row r="2548" spans="1:6">
      <c r="A2548"/>
      <c r="B2548"/>
      <c r="C2548"/>
      <c r="D2548"/>
      <c r="E2548"/>
      <c r="F2548"/>
    </row>
    <row r="2549" spans="1:6">
      <c r="A2549"/>
      <c r="B2549"/>
      <c r="C2549"/>
      <c r="D2549"/>
      <c r="E2549"/>
      <c r="F2549"/>
    </row>
    <row r="2550" spans="1:6">
      <c r="A2550"/>
      <c r="B2550"/>
      <c r="C2550"/>
      <c r="D2550"/>
      <c r="E2550"/>
      <c r="F2550"/>
    </row>
    <row r="2551" spans="1:6">
      <c r="A2551"/>
      <c r="B2551"/>
      <c r="C2551"/>
      <c r="D2551"/>
      <c r="E2551"/>
      <c r="F2551"/>
    </row>
    <row r="2552" spans="1:6">
      <c r="A2552"/>
      <c r="B2552"/>
      <c r="C2552"/>
      <c r="D2552"/>
      <c r="E2552"/>
      <c r="F2552"/>
    </row>
    <row r="2553" spans="1:6">
      <c r="A2553"/>
      <c r="B2553"/>
      <c r="C2553"/>
      <c r="D2553"/>
      <c r="E2553"/>
      <c r="F2553"/>
    </row>
    <row r="2554" spans="1:6">
      <c r="A2554"/>
      <c r="B2554"/>
      <c r="C2554"/>
      <c r="D2554"/>
      <c r="E2554"/>
      <c r="F2554"/>
    </row>
    <row r="2555" spans="1:6">
      <c r="A2555"/>
      <c r="B2555"/>
      <c r="C2555"/>
      <c r="D2555"/>
      <c r="E2555"/>
      <c r="F2555"/>
    </row>
    <row r="2556" spans="1:6">
      <c r="A2556"/>
      <c r="B2556"/>
      <c r="C2556"/>
      <c r="D2556"/>
      <c r="E2556"/>
      <c r="F2556"/>
    </row>
    <row r="2557" spans="1:6">
      <c r="A2557"/>
      <c r="B2557"/>
      <c r="C2557"/>
      <c r="D2557"/>
      <c r="E2557"/>
      <c r="F2557"/>
    </row>
    <row r="2558" spans="1:6">
      <c r="A2558"/>
      <c r="B2558"/>
      <c r="C2558"/>
      <c r="D2558"/>
      <c r="E2558"/>
      <c r="F2558"/>
    </row>
    <row r="2559" spans="1:6">
      <c r="A2559"/>
      <c r="B2559"/>
      <c r="C2559"/>
      <c r="D2559"/>
      <c r="E2559"/>
      <c r="F2559"/>
    </row>
    <row r="2560" spans="1:6">
      <c r="A2560"/>
      <c r="B2560"/>
      <c r="C2560"/>
      <c r="D2560"/>
      <c r="E2560"/>
      <c r="F2560"/>
    </row>
    <row r="2561" spans="1:6">
      <c r="A2561"/>
      <c r="B2561"/>
      <c r="C2561"/>
      <c r="D2561"/>
      <c r="E2561"/>
      <c r="F2561"/>
    </row>
    <row r="2562" spans="1:6">
      <c r="A2562"/>
      <c r="B2562"/>
      <c r="C2562"/>
      <c r="D2562"/>
      <c r="E2562"/>
      <c r="F2562"/>
    </row>
    <row r="2563" spans="1:6">
      <c r="A2563"/>
      <c r="B2563"/>
      <c r="C2563"/>
      <c r="D2563"/>
      <c r="E2563"/>
      <c r="F2563"/>
    </row>
    <row r="2564" spans="1:6">
      <c r="A2564"/>
      <c r="B2564"/>
      <c r="C2564"/>
      <c r="D2564"/>
      <c r="E2564"/>
      <c r="F2564"/>
    </row>
    <row r="2565" spans="1:6">
      <c r="A2565"/>
      <c r="B2565"/>
      <c r="C2565"/>
      <c r="D2565"/>
      <c r="E2565"/>
      <c r="F2565"/>
    </row>
    <row r="2566" spans="1:6">
      <c r="A2566"/>
      <c r="B2566"/>
      <c r="C2566"/>
      <c r="D2566"/>
      <c r="E2566"/>
      <c r="F2566"/>
    </row>
    <row r="2567" spans="1:6">
      <c r="A2567"/>
      <c r="B2567"/>
      <c r="C2567"/>
      <c r="D2567"/>
      <c r="E2567"/>
      <c r="F2567"/>
    </row>
    <row r="2568" spans="1:6">
      <c r="A2568"/>
      <c r="B2568"/>
      <c r="C2568"/>
      <c r="D2568"/>
      <c r="E2568"/>
      <c r="F2568"/>
    </row>
    <row r="2569" spans="1:6">
      <c r="A2569"/>
      <c r="B2569"/>
      <c r="C2569"/>
      <c r="D2569"/>
      <c r="E2569"/>
      <c r="F2569"/>
    </row>
    <row r="2570" spans="1:6">
      <c r="A2570"/>
      <c r="B2570"/>
      <c r="C2570"/>
      <c r="D2570"/>
      <c r="E2570"/>
      <c r="F2570"/>
    </row>
    <row r="2571" spans="1:6">
      <c r="A2571"/>
      <c r="B2571"/>
      <c r="C2571"/>
      <c r="D2571"/>
      <c r="E2571"/>
      <c r="F2571"/>
    </row>
    <row r="2572" spans="1:6">
      <c r="A2572"/>
      <c r="B2572"/>
      <c r="C2572"/>
      <c r="D2572"/>
      <c r="E2572"/>
      <c r="F2572"/>
    </row>
    <row r="2573" spans="1:6">
      <c r="A2573"/>
      <c r="B2573"/>
      <c r="C2573"/>
      <c r="D2573"/>
      <c r="E2573"/>
      <c r="F2573"/>
    </row>
    <row r="2574" spans="1:6">
      <c r="A2574"/>
      <c r="B2574"/>
      <c r="C2574"/>
      <c r="D2574"/>
      <c r="E2574"/>
      <c r="F2574"/>
    </row>
    <row r="2575" spans="1:6">
      <c r="A2575"/>
      <c r="B2575"/>
      <c r="C2575"/>
      <c r="D2575"/>
      <c r="E2575"/>
      <c r="F2575"/>
    </row>
    <row r="2576" spans="1:6">
      <c r="A2576"/>
      <c r="B2576"/>
      <c r="C2576"/>
      <c r="D2576"/>
      <c r="E2576"/>
      <c r="F2576"/>
    </row>
    <row r="2577" spans="1:6">
      <c r="A2577"/>
      <c r="B2577"/>
      <c r="C2577"/>
      <c r="D2577"/>
      <c r="E2577"/>
      <c r="F2577"/>
    </row>
    <row r="2578" spans="1:6">
      <c r="A2578"/>
      <c r="B2578"/>
      <c r="C2578"/>
      <c r="D2578"/>
      <c r="E2578"/>
      <c r="F2578"/>
    </row>
    <row r="2579" spans="1:6">
      <c r="A2579"/>
      <c r="B2579"/>
      <c r="C2579"/>
      <c r="D2579"/>
      <c r="E2579"/>
      <c r="F2579"/>
    </row>
    <row r="2580" spans="1:6">
      <c r="A2580"/>
      <c r="B2580"/>
      <c r="C2580"/>
      <c r="D2580"/>
      <c r="E2580"/>
      <c r="F2580"/>
    </row>
    <row r="2581" spans="1:6">
      <c r="A2581"/>
      <c r="B2581"/>
      <c r="C2581"/>
      <c r="D2581"/>
      <c r="E2581"/>
      <c r="F2581"/>
    </row>
    <row r="2582" spans="1:6">
      <c r="A2582"/>
      <c r="B2582"/>
      <c r="C2582"/>
      <c r="D2582"/>
      <c r="E2582"/>
      <c r="F2582"/>
    </row>
    <row r="2583" spans="1:6">
      <c r="A2583"/>
      <c r="B2583"/>
      <c r="C2583"/>
      <c r="D2583"/>
      <c r="E2583"/>
      <c r="F2583"/>
    </row>
    <row r="2584" spans="1:6">
      <c r="A2584"/>
      <c r="B2584"/>
      <c r="C2584"/>
      <c r="D2584"/>
      <c r="E2584"/>
      <c r="F2584"/>
    </row>
    <row r="2585" spans="1:6">
      <c r="A2585"/>
      <c r="B2585"/>
      <c r="C2585"/>
      <c r="D2585"/>
      <c r="E2585"/>
      <c r="F2585"/>
    </row>
    <row r="2586" spans="1:6">
      <c r="A2586"/>
      <c r="B2586"/>
      <c r="C2586"/>
      <c r="D2586"/>
      <c r="E2586"/>
      <c r="F2586"/>
    </row>
    <row r="2587" spans="1:6">
      <c r="A2587"/>
      <c r="B2587"/>
      <c r="C2587"/>
      <c r="D2587"/>
      <c r="E2587"/>
      <c r="F2587"/>
    </row>
    <row r="2588" spans="1:6">
      <c r="A2588"/>
      <c r="B2588"/>
      <c r="C2588"/>
      <c r="D2588"/>
      <c r="E2588"/>
      <c r="F2588"/>
    </row>
    <row r="2589" spans="1:6">
      <c r="A2589"/>
      <c r="B2589"/>
      <c r="C2589"/>
      <c r="D2589"/>
      <c r="E2589"/>
      <c r="F2589"/>
    </row>
    <row r="2590" spans="1:6">
      <c r="A2590"/>
      <c r="B2590"/>
      <c r="C2590"/>
      <c r="D2590"/>
      <c r="E2590"/>
      <c r="F2590"/>
    </row>
    <row r="2591" spans="1:6">
      <c r="A2591"/>
      <c r="B2591"/>
      <c r="C2591"/>
      <c r="D2591"/>
      <c r="E2591"/>
      <c r="F2591"/>
    </row>
    <row r="2592" spans="1:6">
      <c r="A2592"/>
      <c r="B2592"/>
      <c r="C2592"/>
      <c r="D2592"/>
      <c r="E2592"/>
      <c r="F2592"/>
    </row>
    <row r="2593" spans="1:6">
      <c r="A2593"/>
      <c r="B2593"/>
      <c r="C2593"/>
      <c r="D2593"/>
      <c r="E2593"/>
      <c r="F2593"/>
    </row>
    <row r="2594" spans="1:6">
      <c r="A2594"/>
      <c r="B2594"/>
      <c r="C2594"/>
      <c r="D2594"/>
      <c r="E2594"/>
      <c r="F2594"/>
    </row>
    <row r="2595" spans="1:6">
      <c r="A2595"/>
      <c r="B2595"/>
      <c r="C2595"/>
      <c r="D2595"/>
      <c r="E2595"/>
      <c r="F2595"/>
    </row>
    <row r="2596" spans="1:6">
      <c r="A2596"/>
      <c r="B2596"/>
      <c r="C2596"/>
      <c r="D2596"/>
      <c r="E2596"/>
      <c r="F2596"/>
    </row>
    <row r="2597" spans="1:6">
      <c r="A2597"/>
      <c r="B2597"/>
      <c r="C2597"/>
      <c r="D2597"/>
      <c r="E2597"/>
      <c r="F2597"/>
    </row>
    <row r="2598" spans="1:6">
      <c r="A2598"/>
      <c r="B2598"/>
      <c r="C2598"/>
      <c r="D2598"/>
      <c r="E2598"/>
      <c r="F2598"/>
    </row>
    <row r="2599" spans="1:6">
      <c r="A2599"/>
      <c r="B2599"/>
      <c r="C2599"/>
      <c r="D2599"/>
      <c r="E2599"/>
      <c r="F2599"/>
    </row>
    <row r="2600" spans="1:6">
      <c r="A2600"/>
      <c r="B2600"/>
      <c r="C2600"/>
      <c r="D2600"/>
      <c r="E2600"/>
      <c r="F2600"/>
    </row>
    <row r="2601" spans="1:6">
      <c r="A2601"/>
      <c r="B2601"/>
      <c r="C2601"/>
      <c r="D2601"/>
      <c r="E2601"/>
      <c r="F2601"/>
    </row>
    <row r="2602" spans="1:6">
      <c r="A2602"/>
      <c r="B2602"/>
      <c r="C2602"/>
      <c r="D2602"/>
      <c r="E2602"/>
      <c r="F2602"/>
    </row>
    <row r="2603" spans="1:6">
      <c r="A2603"/>
      <c r="B2603"/>
      <c r="C2603"/>
      <c r="D2603"/>
      <c r="E2603"/>
      <c r="F2603"/>
    </row>
    <row r="2604" spans="1:6">
      <c r="A2604"/>
      <c r="B2604"/>
      <c r="C2604"/>
      <c r="D2604"/>
      <c r="E2604"/>
      <c r="F2604"/>
    </row>
    <row r="2605" spans="1:6">
      <c r="A2605"/>
      <c r="B2605"/>
      <c r="C2605"/>
      <c r="D2605"/>
      <c r="E2605"/>
      <c r="F2605"/>
    </row>
    <row r="2606" spans="1:6">
      <c r="A2606"/>
      <c r="B2606"/>
      <c r="C2606"/>
      <c r="D2606"/>
      <c r="E2606"/>
      <c r="F2606"/>
    </row>
    <row r="2607" spans="1:6">
      <c r="A2607"/>
      <c r="B2607"/>
      <c r="C2607"/>
      <c r="D2607"/>
      <c r="E2607"/>
      <c r="F2607"/>
    </row>
    <row r="2608" spans="1:6">
      <c r="A2608"/>
      <c r="B2608"/>
      <c r="C2608"/>
      <c r="D2608"/>
      <c r="E2608"/>
      <c r="F2608"/>
    </row>
    <row r="2609" spans="1:6">
      <c r="A2609"/>
      <c r="B2609"/>
      <c r="C2609"/>
      <c r="D2609"/>
      <c r="E2609"/>
      <c r="F2609"/>
    </row>
    <row r="2610" spans="1:6">
      <c r="A2610"/>
      <c r="B2610"/>
      <c r="C2610"/>
      <c r="D2610"/>
      <c r="E2610"/>
      <c r="F2610"/>
    </row>
    <row r="2611" spans="1:6">
      <c r="A2611"/>
      <c r="B2611"/>
      <c r="C2611"/>
      <c r="D2611"/>
      <c r="E2611"/>
      <c r="F2611"/>
    </row>
    <row r="2612" spans="1:6">
      <c r="A2612"/>
      <c r="B2612"/>
      <c r="C2612"/>
      <c r="D2612"/>
      <c r="E2612"/>
      <c r="F2612"/>
    </row>
    <row r="2613" spans="1:6">
      <c r="A2613"/>
      <c r="B2613"/>
      <c r="C2613"/>
      <c r="D2613"/>
      <c r="E2613"/>
      <c r="F2613"/>
    </row>
    <row r="2614" spans="1:6">
      <c r="A2614"/>
      <c r="B2614"/>
      <c r="C2614"/>
      <c r="D2614"/>
      <c r="E2614"/>
      <c r="F2614"/>
    </row>
    <row r="2615" spans="1:6">
      <c r="A2615"/>
      <c r="B2615"/>
      <c r="C2615"/>
      <c r="D2615"/>
      <c r="E2615"/>
      <c r="F2615"/>
    </row>
    <row r="2616" spans="1:6">
      <c r="A2616"/>
      <c r="B2616"/>
      <c r="C2616"/>
      <c r="D2616"/>
      <c r="E2616"/>
      <c r="F2616"/>
    </row>
    <row r="2617" spans="1:6">
      <c r="A2617"/>
      <c r="B2617"/>
      <c r="C2617"/>
      <c r="D2617"/>
      <c r="E2617"/>
      <c r="F2617"/>
    </row>
    <row r="2618" spans="1:6">
      <c r="A2618"/>
      <c r="B2618"/>
      <c r="C2618"/>
      <c r="D2618"/>
      <c r="E2618"/>
      <c r="F2618"/>
    </row>
    <row r="2619" spans="1:6">
      <c r="A2619"/>
      <c r="B2619"/>
      <c r="C2619"/>
      <c r="D2619"/>
      <c r="E2619"/>
      <c r="F2619"/>
    </row>
    <row r="2620" spans="1:6">
      <c r="A2620"/>
      <c r="B2620"/>
      <c r="C2620"/>
      <c r="D2620"/>
      <c r="E2620"/>
      <c r="F2620"/>
    </row>
    <row r="2621" spans="1:6">
      <c r="A2621"/>
      <c r="B2621"/>
      <c r="C2621"/>
      <c r="D2621"/>
      <c r="E2621"/>
      <c r="F2621"/>
    </row>
    <row r="2622" spans="1:6">
      <c r="A2622"/>
      <c r="B2622"/>
      <c r="C2622"/>
      <c r="D2622"/>
      <c r="E2622"/>
      <c r="F2622"/>
    </row>
    <row r="2623" spans="1:6">
      <c r="A2623"/>
      <c r="B2623"/>
      <c r="C2623"/>
      <c r="D2623"/>
      <c r="E2623"/>
      <c r="F2623"/>
    </row>
    <row r="2624" spans="1:6">
      <c r="A2624"/>
      <c r="B2624"/>
      <c r="C2624"/>
      <c r="D2624"/>
      <c r="E2624"/>
      <c r="F2624"/>
    </row>
    <row r="2625" spans="1:6">
      <c r="A2625"/>
      <c r="B2625"/>
      <c r="C2625"/>
      <c r="D2625"/>
      <c r="E2625"/>
      <c r="F2625"/>
    </row>
    <row r="2626" spans="1:6">
      <c r="A2626"/>
      <c r="B2626"/>
      <c r="C2626"/>
      <c r="D2626"/>
      <c r="E2626"/>
      <c r="F2626"/>
    </row>
    <row r="2627" spans="1:6">
      <c r="A2627"/>
      <c r="B2627"/>
      <c r="C2627"/>
      <c r="D2627"/>
      <c r="E2627"/>
      <c r="F2627"/>
    </row>
    <row r="2628" spans="1:6">
      <c r="A2628"/>
      <c r="B2628"/>
      <c r="C2628"/>
      <c r="D2628"/>
      <c r="E2628"/>
      <c r="F2628"/>
    </row>
    <row r="2629" spans="1:6">
      <c r="A2629"/>
      <c r="B2629"/>
      <c r="C2629"/>
      <c r="D2629"/>
      <c r="E2629"/>
      <c r="F2629"/>
    </row>
    <row r="2630" spans="1:6">
      <c r="A2630"/>
      <c r="B2630"/>
      <c r="C2630"/>
      <c r="D2630"/>
      <c r="E2630"/>
      <c r="F2630"/>
    </row>
    <row r="2631" spans="1:6">
      <c r="A2631"/>
      <c r="B2631"/>
      <c r="C2631"/>
      <c r="D2631"/>
      <c r="E2631"/>
      <c r="F2631"/>
    </row>
    <row r="2632" spans="1:6">
      <c r="A2632"/>
      <c r="B2632"/>
      <c r="C2632"/>
      <c r="D2632"/>
      <c r="E2632"/>
      <c r="F2632"/>
    </row>
    <row r="2633" spans="1:6">
      <c r="A2633"/>
      <c r="B2633"/>
      <c r="C2633"/>
      <c r="D2633"/>
      <c r="E2633"/>
      <c r="F2633"/>
    </row>
    <row r="2634" spans="1:6">
      <c r="A2634"/>
      <c r="B2634"/>
      <c r="C2634"/>
      <c r="D2634"/>
      <c r="E2634"/>
      <c r="F2634"/>
    </row>
    <row r="2635" spans="1:6">
      <c r="A2635"/>
      <c r="B2635"/>
      <c r="C2635"/>
      <c r="D2635"/>
      <c r="E2635"/>
      <c r="F2635"/>
    </row>
    <row r="2636" spans="1:6">
      <c r="A2636"/>
      <c r="B2636"/>
      <c r="C2636"/>
      <c r="D2636"/>
      <c r="E2636"/>
      <c r="F2636"/>
    </row>
    <row r="2637" spans="1:6">
      <c r="A2637"/>
      <c r="B2637"/>
      <c r="C2637"/>
      <c r="D2637"/>
      <c r="E2637"/>
      <c r="F2637"/>
    </row>
    <row r="2638" spans="1:6">
      <c r="A2638"/>
      <c r="B2638"/>
      <c r="C2638"/>
      <c r="D2638"/>
      <c r="E2638"/>
      <c r="F2638"/>
    </row>
    <row r="2639" spans="1:6">
      <c r="A2639"/>
      <c r="B2639"/>
      <c r="C2639"/>
      <c r="D2639"/>
      <c r="E2639"/>
      <c r="F2639"/>
    </row>
    <row r="2640" spans="1:6">
      <c r="A2640"/>
      <c r="B2640"/>
      <c r="C2640"/>
      <c r="D2640"/>
      <c r="E2640"/>
      <c r="F2640"/>
    </row>
    <row r="2641" spans="1:6">
      <c r="A2641"/>
      <c r="B2641"/>
      <c r="C2641"/>
      <c r="D2641"/>
      <c r="E2641"/>
      <c r="F2641"/>
    </row>
    <row r="2642" spans="1:6">
      <c r="A2642"/>
      <c r="B2642"/>
      <c r="C2642"/>
      <c r="D2642"/>
      <c r="E2642"/>
      <c r="F2642"/>
    </row>
    <row r="2643" spans="1:6">
      <c r="A2643"/>
      <c r="B2643"/>
      <c r="C2643"/>
      <c r="D2643"/>
      <c r="E2643"/>
      <c r="F2643"/>
    </row>
    <row r="2644" spans="1:6">
      <c r="A2644"/>
      <c r="B2644"/>
      <c r="C2644"/>
      <c r="D2644"/>
      <c r="E2644"/>
      <c r="F2644"/>
    </row>
    <row r="2645" spans="1:6">
      <c r="A2645"/>
      <c r="B2645"/>
      <c r="C2645"/>
      <c r="D2645"/>
      <c r="E2645"/>
      <c r="F2645"/>
    </row>
    <row r="2646" spans="1:6">
      <c r="A2646"/>
      <c r="B2646"/>
      <c r="C2646"/>
      <c r="D2646"/>
      <c r="E2646"/>
      <c r="F2646"/>
    </row>
    <row r="2647" spans="1:6">
      <c r="A2647"/>
      <c r="B2647"/>
      <c r="C2647"/>
      <c r="D2647"/>
      <c r="E2647"/>
      <c r="F2647"/>
    </row>
    <row r="2648" spans="1:6">
      <c r="A2648"/>
      <c r="B2648"/>
      <c r="C2648"/>
      <c r="D2648"/>
      <c r="E2648"/>
      <c r="F2648"/>
    </row>
    <row r="2649" spans="1:6">
      <c r="A2649"/>
      <c r="B2649"/>
      <c r="C2649"/>
      <c r="D2649"/>
      <c r="E2649"/>
      <c r="F2649"/>
    </row>
    <row r="2650" spans="1:6">
      <c r="A2650"/>
      <c r="B2650"/>
      <c r="C2650"/>
      <c r="D2650"/>
      <c r="E2650"/>
      <c r="F2650"/>
    </row>
    <row r="2651" spans="1:6">
      <c r="A2651"/>
      <c r="B2651"/>
      <c r="C2651"/>
      <c r="D2651"/>
      <c r="E2651"/>
      <c r="F2651"/>
    </row>
    <row r="2652" spans="1:6">
      <c r="A2652"/>
      <c r="B2652"/>
      <c r="C2652"/>
      <c r="D2652"/>
      <c r="E2652"/>
      <c r="F2652"/>
    </row>
    <row r="2653" spans="1:6">
      <c r="A2653"/>
      <c r="B2653"/>
      <c r="C2653"/>
      <c r="D2653"/>
      <c r="E2653"/>
      <c r="F2653"/>
    </row>
    <row r="2654" spans="1:6">
      <c r="A2654"/>
      <c r="B2654"/>
      <c r="C2654"/>
      <c r="D2654"/>
      <c r="E2654"/>
      <c r="F2654"/>
    </row>
    <row r="2655" spans="1:6">
      <c r="A2655"/>
      <c r="B2655"/>
      <c r="C2655"/>
      <c r="D2655"/>
      <c r="E2655"/>
      <c r="F2655"/>
    </row>
    <row r="2656" spans="1:6">
      <c r="A2656"/>
      <c r="B2656"/>
      <c r="C2656"/>
      <c r="D2656"/>
      <c r="E2656"/>
      <c r="F2656"/>
    </row>
    <row r="2657" spans="1:6">
      <c r="A2657"/>
      <c r="B2657"/>
      <c r="C2657"/>
      <c r="D2657"/>
      <c r="E2657"/>
      <c r="F2657"/>
    </row>
    <row r="2658" spans="1:6">
      <c r="A2658"/>
      <c r="B2658"/>
      <c r="C2658"/>
      <c r="D2658"/>
      <c r="E2658"/>
      <c r="F2658"/>
    </row>
    <row r="2659" spans="1:6">
      <c r="A2659"/>
      <c r="B2659"/>
      <c r="C2659"/>
      <c r="D2659"/>
      <c r="E2659"/>
      <c r="F2659"/>
    </row>
    <row r="2660" spans="1:6">
      <c r="A2660"/>
      <c r="B2660"/>
      <c r="C2660"/>
      <c r="D2660"/>
      <c r="E2660"/>
      <c r="F2660"/>
    </row>
    <row r="2661" spans="1:6">
      <c r="A2661"/>
      <c r="B2661"/>
      <c r="C2661"/>
      <c r="D2661"/>
      <c r="E2661"/>
      <c r="F2661"/>
    </row>
    <row r="2662" spans="1:6">
      <c r="A2662"/>
      <c r="B2662"/>
      <c r="C2662"/>
      <c r="D2662"/>
      <c r="E2662"/>
      <c r="F2662"/>
    </row>
    <row r="2663" spans="1:6">
      <c r="A2663"/>
      <c r="B2663"/>
      <c r="C2663"/>
      <c r="D2663"/>
      <c r="E2663"/>
      <c r="F2663"/>
    </row>
    <row r="2664" spans="1:6">
      <c r="A2664"/>
      <c r="B2664"/>
      <c r="C2664"/>
      <c r="D2664"/>
      <c r="E2664"/>
      <c r="F2664"/>
    </row>
    <row r="2665" spans="1:6">
      <c r="A2665"/>
      <c r="B2665"/>
      <c r="C2665"/>
      <c r="D2665"/>
      <c r="E2665"/>
      <c r="F2665"/>
    </row>
    <row r="2666" spans="1:6">
      <c r="A2666"/>
      <c r="B2666"/>
      <c r="C2666"/>
      <c r="D2666"/>
      <c r="E2666"/>
      <c r="F2666"/>
    </row>
    <row r="2667" spans="1:6">
      <c r="A2667"/>
      <c r="B2667"/>
      <c r="C2667"/>
      <c r="D2667"/>
      <c r="E2667"/>
      <c r="F2667"/>
    </row>
    <row r="2668" spans="1:6">
      <c r="A2668"/>
      <c r="B2668"/>
      <c r="C2668"/>
      <c r="D2668"/>
      <c r="E2668"/>
      <c r="F2668"/>
    </row>
    <row r="2669" spans="1:6">
      <c r="A2669"/>
      <c r="B2669"/>
      <c r="C2669"/>
      <c r="D2669"/>
      <c r="E2669"/>
      <c r="F2669"/>
    </row>
    <row r="2670" spans="1:6">
      <c r="A2670"/>
      <c r="B2670"/>
      <c r="C2670"/>
      <c r="D2670"/>
      <c r="E2670"/>
      <c r="F2670"/>
    </row>
    <row r="2671" spans="1:6">
      <c r="A2671"/>
      <c r="B2671"/>
      <c r="C2671"/>
      <c r="D2671"/>
      <c r="E2671"/>
      <c r="F2671"/>
    </row>
    <row r="2672" spans="1:6">
      <c r="A2672"/>
      <c r="B2672"/>
      <c r="C2672"/>
      <c r="D2672"/>
      <c r="E2672"/>
      <c r="F2672"/>
    </row>
    <row r="2673" spans="1:6">
      <c r="A2673"/>
      <c r="B2673"/>
      <c r="C2673"/>
      <c r="D2673"/>
      <c r="E2673"/>
      <c r="F2673"/>
    </row>
    <row r="2674" spans="1:6">
      <c r="A2674"/>
      <c r="B2674"/>
      <c r="C2674"/>
      <c r="D2674"/>
      <c r="E2674"/>
      <c r="F2674"/>
    </row>
    <row r="2675" spans="1:6">
      <c r="A2675"/>
      <c r="B2675"/>
      <c r="C2675"/>
      <c r="D2675"/>
      <c r="E2675"/>
      <c r="F2675"/>
    </row>
    <row r="2676" spans="1:6">
      <c r="A2676"/>
      <c r="B2676"/>
      <c r="C2676"/>
      <c r="D2676"/>
      <c r="E2676"/>
      <c r="F2676"/>
    </row>
    <row r="2677" spans="1:6">
      <c r="A2677"/>
      <c r="B2677"/>
      <c r="C2677"/>
      <c r="D2677"/>
      <c r="E2677"/>
      <c r="F2677"/>
    </row>
    <row r="2678" spans="1:6">
      <c r="A2678"/>
      <c r="B2678"/>
      <c r="C2678"/>
      <c r="D2678"/>
      <c r="E2678"/>
      <c r="F2678"/>
    </row>
    <row r="2679" spans="1:6">
      <c r="A2679"/>
      <c r="B2679"/>
      <c r="C2679"/>
      <c r="D2679"/>
      <c r="E2679"/>
      <c r="F2679"/>
    </row>
    <row r="2680" spans="1:6">
      <c r="A2680"/>
      <c r="B2680"/>
      <c r="C2680"/>
      <c r="D2680"/>
      <c r="E2680"/>
      <c r="F2680"/>
    </row>
    <row r="2681" spans="1:6">
      <c r="A2681"/>
      <c r="B2681"/>
      <c r="C2681"/>
      <c r="D2681"/>
      <c r="E2681"/>
      <c r="F2681"/>
    </row>
    <row r="2682" spans="1:6">
      <c r="A2682"/>
      <c r="B2682"/>
      <c r="C2682"/>
      <c r="D2682"/>
      <c r="E2682"/>
      <c r="F2682"/>
    </row>
    <row r="2683" spans="1:6">
      <c r="A2683"/>
      <c r="B2683"/>
      <c r="C2683"/>
      <c r="D2683"/>
      <c r="E2683"/>
      <c r="F2683"/>
    </row>
    <row r="2684" spans="1:6">
      <c r="A2684"/>
      <c r="B2684"/>
      <c r="C2684"/>
      <c r="D2684"/>
      <c r="E2684"/>
      <c r="F2684"/>
    </row>
    <row r="2685" spans="1:6">
      <c r="A2685"/>
      <c r="B2685"/>
      <c r="C2685"/>
      <c r="D2685"/>
      <c r="E2685"/>
      <c r="F2685"/>
    </row>
    <row r="2686" spans="1:6">
      <c r="A2686"/>
      <c r="B2686"/>
      <c r="C2686"/>
      <c r="D2686"/>
      <c r="E2686"/>
      <c r="F2686"/>
    </row>
    <row r="2687" spans="1:6">
      <c r="A2687"/>
      <c r="B2687"/>
      <c r="C2687"/>
      <c r="D2687"/>
      <c r="E2687"/>
      <c r="F2687"/>
    </row>
    <row r="2688" spans="1:6">
      <c r="A2688"/>
      <c r="B2688"/>
      <c r="C2688"/>
      <c r="D2688"/>
      <c r="E2688"/>
      <c r="F2688"/>
    </row>
    <row r="2689" spans="1:6">
      <c r="A2689"/>
      <c r="B2689"/>
      <c r="C2689"/>
      <c r="D2689"/>
      <c r="E2689"/>
      <c r="F2689"/>
    </row>
    <row r="2690" spans="1:6">
      <c r="A2690"/>
      <c r="B2690"/>
      <c r="C2690"/>
      <c r="D2690"/>
      <c r="E2690"/>
      <c r="F2690"/>
    </row>
    <row r="2691" spans="1:6">
      <c r="A2691"/>
      <c r="B2691"/>
      <c r="C2691"/>
      <c r="D2691"/>
      <c r="E2691"/>
      <c r="F2691"/>
    </row>
    <row r="2692" spans="1:6">
      <c r="A2692"/>
      <c r="B2692"/>
      <c r="C2692"/>
      <c r="D2692"/>
      <c r="E2692"/>
      <c r="F2692"/>
    </row>
    <row r="2693" spans="1:6">
      <c r="A2693"/>
      <c r="B2693"/>
      <c r="C2693"/>
      <c r="D2693"/>
      <c r="E2693"/>
      <c r="F2693"/>
    </row>
    <row r="2694" spans="1:6">
      <c r="A2694"/>
      <c r="B2694"/>
      <c r="C2694"/>
      <c r="D2694"/>
      <c r="E2694"/>
      <c r="F2694"/>
    </row>
    <row r="2695" spans="1:6">
      <c r="A2695"/>
      <c r="B2695"/>
      <c r="C2695"/>
      <c r="D2695"/>
      <c r="E2695"/>
      <c r="F2695"/>
    </row>
    <row r="2696" spans="1:6">
      <c r="A2696"/>
      <c r="B2696"/>
      <c r="C2696"/>
      <c r="D2696"/>
      <c r="E2696"/>
      <c r="F2696"/>
    </row>
    <row r="2697" spans="1:6">
      <c r="A2697"/>
      <c r="B2697"/>
      <c r="C2697"/>
      <c r="D2697"/>
      <c r="E2697"/>
      <c r="F2697"/>
    </row>
    <row r="2698" spans="1:6">
      <c r="A2698"/>
      <c r="B2698"/>
      <c r="C2698"/>
      <c r="D2698"/>
      <c r="E2698"/>
      <c r="F2698"/>
    </row>
    <row r="2699" spans="1:6">
      <c r="A2699"/>
      <c r="B2699"/>
      <c r="C2699"/>
      <c r="D2699"/>
      <c r="E2699"/>
      <c r="F2699"/>
    </row>
    <row r="2700" spans="1:6">
      <c r="A2700"/>
      <c r="B2700"/>
      <c r="C2700"/>
      <c r="D2700"/>
      <c r="E2700"/>
      <c r="F2700"/>
    </row>
    <row r="2701" spans="1:6">
      <c r="A2701"/>
      <c r="B2701"/>
      <c r="C2701"/>
      <c r="D2701"/>
      <c r="E2701"/>
      <c r="F2701"/>
    </row>
    <row r="2702" spans="1:6">
      <c r="A2702"/>
      <c r="B2702"/>
      <c r="C2702"/>
      <c r="D2702"/>
      <c r="E2702"/>
      <c r="F2702"/>
    </row>
    <row r="2703" spans="1:6">
      <c r="A2703"/>
      <c r="B2703"/>
      <c r="C2703"/>
      <c r="D2703"/>
      <c r="E2703"/>
      <c r="F2703"/>
    </row>
    <row r="2704" spans="1:6">
      <c r="A2704"/>
      <c r="B2704"/>
      <c r="C2704"/>
      <c r="D2704"/>
      <c r="E2704"/>
      <c r="F2704"/>
    </row>
    <row r="2705" spans="1:6">
      <c r="A2705"/>
      <c r="B2705"/>
      <c r="C2705"/>
      <c r="D2705"/>
      <c r="E2705"/>
      <c r="F2705"/>
    </row>
    <row r="2706" spans="1:6">
      <c r="A2706"/>
      <c r="B2706"/>
      <c r="C2706"/>
      <c r="D2706"/>
      <c r="E2706"/>
      <c r="F2706"/>
    </row>
    <row r="2707" spans="1:6">
      <c r="A2707"/>
      <c r="B2707"/>
      <c r="C2707"/>
      <c r="D2707"/>
      <c r="E2707"/>
      <c r="F2707"/>
    </row>
    <row r="2708" spans="1:6">
      <c r="A2708"/>
      <c r="B2708"/>
      <c r="C2708"/>
      <c r="D2708"/>
      <c r="E2708"/>
      <c r="F2708"/>
    </row>
    <row r="2709" spans="1:6">
      <c r="A2709"/>
      <c r="B2709"/>
      <c r="C2709"/>
      <c r="D2709"/>
      <c r="E2709"/>
      <c r="F2709"/>
    </row>
    <row r="2710" spans="1:6">
      <c r="A2710"/>
      <c r="B2710"/>
      <c r="C2710"/>
      <c r="D2710"/>
      <c r="E2710"/>
      <c r="F2710"/>
    </row>
    <row r="2711" spans="1:6">
      <c r="A2711"/>
      <c r="B2711"/>
      <c r="C2711"/>
      <c r="D2711"/>
      <c r="E2711"/>
      <c r="F2711"/>
    </row>
    <row r="2712" spans="1:6">
      <c r="A2712"/>
      <c r="B2712"/>
      <c r="C2712"/>
      <c r="D2712"/>
      <c r="E2712"/>
      <c r="F2712"/>
    </row>
    <row r="2713" spans="1:6">
      <c r="A2713"/>
      <c r="B2713"/>
      <c r="C2713"/>
      <c r="D2713"/>
      <c r="E2713"/>
      <c r="F2713"/>
    </row>
    <row r="2714" spans="1:6">
      <c r="A2714"/>
      <c r="B2714"/>
      <c r="C2714"/>
      <c r="D2714"/>
      <c r="E2714"/>
      <c r="F2714"/>
    </row>
    <row r="2715" spans="1:6">
      <c r="A2715"/>
      <c r="B2715"/>
      <c r="C2715"/>
      <c r="D2715"/>
      <c r="E2715"/>
      <c r="F2715"/>
    </row>
    <row r="2716" spans="1:6">
      <c r="A2716"/>
      <c r="B2716"/>
      <c r="C2716"/>
      <c r="D2716"/>
      <c r="E2716"/>
      <c r="F2716"/>
    </row>
    <row r="2717" spans="1:6">
      <c r="A2717"/>
      <c r="B2717"/>
      <c r="C2717"/>
      <c r="D2717"/>
      <c r="E2717"/>
      <c r="F2717"/>
    </row>
    <row r="2718" spans="1:6">
      <c r="A2718"/>
      <c r="B2718"/>
      <c r="C2718"/>
      <c r="D2718"/>
      <c r="E2718"/>
      <c r="F2718"/>
    </row>
    <row r="2719" spans="1:6">
      <c r="A2719"/>
      <c r="B2719"/>
      <c r="C2719"/>
      <c r="D2719"/>
      <c r="E2719"/>
      <c r="F2719"/>
    </row>
    <row r="2720" spans="1:6">
      <c r="A2720"/>
      <c r="B2720"/>
      <c r="C2720"/>
      <c r="D2720"/>
      <c r="E2720"/>
      <c r="F2720"/>
    </row>
    <row r="2721" spans="1:6">
      <c r="A2721"/>
      <c r="B2721"/>
      <c r="C2721"/>
      <c r="D2721"/>
      <c r="E2721"/>
      <c r="F2721"/>
    </row>
    <row r="2722" spans="1:6">
      <c r="A2722"/>
      <c r="B2722"/>
      <c r="C2722"/>
      <c r="D2722"/>
      <c r="E2722"/>
      <c r="F2722"/>
    </row>
    <row r="2723" spans="1:6">
      <c r="A2723"/>
      <c r="B2723"/>
      <c r="C2723"/>
      <c r="D2723"/>
      <c r="E2723"/>
      <c r="F2723"/>
    </row>
    <row r="2724" spans="1:6">
      <c r="A2724"/>
      <c r="B2724"/>
      <c r="C2724"/>
      <c r="D2724"/>
      <c r="E2724"/>
      <c r="F2724"/>
    </row>
    <row r="2725" spans="1:6">
      <c r="A2725"/>
      <c r="B2725"/>
      <c r="C2725"/>
      <c r="D2725"/>
      <c r="E2725"/>
      <c r="F2725"/>
    </row>
    <row r="2726" spans="1:6">
      <c r="A2726"/>
      <c r="B2726"/>
      <c r="C2726"/>
      <c r="D2726"/>
      <c r="E2726"/>
      <c r="F2726"/>
    </row>
    <row r="2727" spans="1:6">
      <c r="A2727"/>
      <c r="B2727"/>
      <c r="C2727"/>
      <c r="D2727"/>
      <c r="E2727"/>
      <c r="F2727"/>
    </row>
    <row r="2728" spans="1:6">
      <c r="A2728"/>
      <c r="B2728"/>
      <c r="C2728"/>
      <c r="D2728"/>
      <c r="E2728"/>
      <c r="F2728"/>
    </row>
    <row r="2729" spans="1:6">
      <c r="A2729"/>
      <c r="B2729"/>
      <c r="C2729"/>
      <c r="D2729"/>
      <c r="E2729"/>
      <c r="F2729"/>
    </row>
    <row r="2730" spans="1:6">
      <c r="A2730"/>
      <c r="B2730"/>
      <c r="C2730"/>
      <c r="D2730"/>
      <c r="E2730"/>
      <c r="F2730"/>
    </row>
    <row r="2731" spans="1:6">
      <c r="A2731"/>
      <c r="B2731"/>
      <c r="C2731"/>
      <c r="D2731"/>
      <c r="E2731"/>
      <c r="F2731"/>
    </row>
    <row r="2732" spans="1:6">
      <c r="A2732"/>
      <c r="B2732"/>
      <c r="C2732"/>
      <c r="D2732"/>
      <c r="E2732"/>
      <c r="F2732"/>
    </row>
    <row r="2733" spans="1:6">
      <c r="A2733"/>
      <c r="B2733"/>
      <c r="C2733"/>
      <c r="D2733"/>
      <c r="E2733"/>
      <c r="F2733"/>
    </row>
    <row r="2734" spans="1:6">
      <c r="A2734"/>
      <c r="B2734"/>
      <c r="C2734"/>
      <c r="D2734"/>
      <c r="E2734"/>
      <c r="F2734"/>
    </row>
    <row r="2735" spans="1:6">
      <c r="A2735"/>
      <c r="B2735"/>
      <c r="C2735"/>
      <c r="D2735"/>
      <c r="E2735"/>
      <c r="F2735"/>
    </row>
    <row r="2736" spans="1:6">
      <c r="A2736"/>
      <c r="B2736"/>
      <c r="C2736"/>
      <c r="D2736"/>
      <c r="E2736"/>
      <c r="F2736"/>
    </row>
    <row r="2737" spans="1:6">
      <c r="A2737"/>
      <c r="B2737"/>
      <c r="C2737"/>
      <c r="D2737"/>
      <c r="E2737"/>
      <c r="F2737"/>
    </row>
    <row r="2738" spans="1:6">
      <c r="A2738"/>
      <c r="B2738"/>
      <c r="C2738"/>
      <c r="D2738"/>
      <c r="E2738"/>
      <c r="F2738"/>
    </row>
    <row r="2739" spans="1:6">
      <c r="A2739"/>
      <c r="B2739"/>
      <c r="C2739"/>
      <c r="D2739"/>
      <c r="E2739"/>
      <c r="F2739"/>
    </row>
    <row r="2740" spans="1:6">
      <c r="A2740"/>
      <c r="B2740"/>
      <c r="C2740"/>
      <c r="D2740"/>
      <c r="E2740"/>
      <c r="F2740"/>
    </row>
    <row r="2741" spans="1:6">
      <c r="A2741"/>
      <c r="B2741"/>
      <c r="C2741"/>
      <c r="D2741"/>
      <c r="E2741"/>
      <c r="F2741"/>
    </row>
    <row r="2742" spans="1:6">
      <c r="A2742"/>
      <c r="B2742"/>
      <c r="C2742"/>
      <c r="D2742"/>
      <c r="E2742"/>
      <c r="F2742"/>
    </row>
    <row r="2743" spans="1:6">
      <c r="A2743"/>
      <c r="B2743"/>
      <c r="C2743"/>
      <c r="D2743"/>
      <c r="E2743"/>
      <c r="F2743"/>
    </row>
    <row r="2744" spans="1:6">
      <c r="A2744"/>
      <c r="B2744"/>
      <c r="C2744"/>
      <c r="D2744"/>
      <c r="E2744"/>
      <c r="F2744"/>
    </row>
    <row r="2745" spans="1:6">
      <c r="A2745"/>
      <c r="B2745"/>
      <c r="C2745"/>
      <c r="D2745"/>
      <c r="E2745"/>
      <c r="F2745"/>
    </row>
    <row r="2746" spans="1:6">
      <c r="A2746"/>
      <c r="B2746"/>
      <c r="C2746"/>
      <c r="D2746"/>
      <c r="E2746"/>
      <c r="F2746"/>
    </row>
    <row r="2747" spans="1:6">
      <c r="A2747"/>
      <c r="B2747"/>
      <c r="C2747"/>
      <c r="D2747"/>
      <c r="E2747"/>
      <c r="F2747"/>
    </row>
    <row r="2748" spans="1:6">
      <c r="A2748"/>
      <c r="B2748"/>
      <c r="C2748"/>
      <c r="D2748"/>
      <c r="E2748"/>
      <c r="F2748"/>
    </row>
    <row r="2749" spans="1:6">
      <c r="A2749"/>
      <c r="B2749"/>
      <c r="C2749"/>
      <c r="D2749"/>
      <c r="E2749"/>
      <c r="F2749"/>
    </row>
    <row r="2750" spans="1:6">
      <c r="A2750"/>
      <c r="B2750"/>
      <c r="C2750"/>
      <c r="D2750"/>
      <c r="E2750"/>
      <c r="F2750"/>
    </row>
    <row r="2751" spans="1:6">
      <c r="A2751"/>
      <c r="B2751"/>
      <c r="C2751"/>
      <c r="D2751"/>
      <c r="E2751"/>
      <c r="F2751"/>
    </row>
    <row r="2752" spans="1:6">
      <c r="A2752"/>
      <c r="B2752"/>
      <c r="C2752"/>
      <c r="D2752"/>
      <c r="E2752"/>
      <c r="F2752"/>
    </row>
    <row r="2753" spans="1:6">
      <c r="A2753"/>
      <c r="B2753"/>
      <c r="C2753"/>
      <c r="D2753"/>
      <c r="E2753"/>
      <c r="F2753"/>
    </row>
    <row r="2754" spans="1:6">
      <c r="A2754"/>
      <c r="B2754"/>
      <c r="C2754"/>
      <c r="D2754"/>
      <c r="E2754"/>
      <c r="F2754"/>
    </row>
    <row r="2755" spans="1:6">
      <c r="A2755"/>
      <c r="B2755"/>
      <c r="C2755"/>
      <c r="D2755"/>
      <c r="E2755"/>
      <c r="F2755"/>
    </row>
    <row r="2756" spans="1:6">
      <c r="A2756"/>
      <c r="B2756"/>
      <c r="C2756"/>
      <c r="D2756"/>
      <c r="E2756"/>
      <c r="F2756"/>
    </row>
    <row r="2757" spans="1:6">
      <c r="A2757"/>
      <c r="B2757"/>
      <c r="C2757"/>
      <c r="D2757"/>
      <c r="E2757"/>
      <c r="F2757"/>
    </row>
    <row r="2758" spans="1:6">
      <c r="A2758"/>
      <c r="B2758"/>
      <c r="C2758"/>
      <c r="D2758"/>
      <c r="E2758"/>
      <c r="F2758"/>
    </row>
    <row r="2759" spans="1:6">
      <c r="A2759"/>
      <c r="B2759"/>
      <c r="C2759"/>
      <c r="D2759"/>
      <c r="E2759"/>
      <c r="F2759"/>
    </row>
    <row r="2760" spans="1:6">
      <c r="A2760"/>
      <c r="B2760"/>
      <c r="C2760"/>
      <c r="D2760"/>
      <c r="E2760"/>
      <c r="F2760"/>
    </row>
    <row r="2761" spans="1:6">
      <c r="A2761"/>
      <c r="B2761"/>
      <c r="C2761"/>
      <c r="D2761"/>
      <c r="E2761"/>
      <c r="F2761"/>
    </row>
    <row r="2762" spans="1:6">
      <c r="A2762"/>
      <c r="B2762"/>
      <c r="C2762"/>
      <c r="D2762"/>
      <c r="E2762"/>
      <c r="F2762"/>
    </row>
    <row r="2763" spans="1:6">
      <c r="A2763"/>
      <c r="B2763"/>
      <c r="C2763"/>
      <c r="D2763"/>
      <c r="E2763"/>
      <c r="F2763"/>
    </row>
    <row r="2764" spans="1:6">
      <c r="A2764"/>
      <c r="B2764"/>
      <c r="C2764"/>
      <c r="D2764"/>
      <c r="E2764"/>
      <c r="F2764"/>
    </row>
    <row r="2765" spans="1:6">
      <c r="A2765"/>
      <c r="B2765"/>
      <c r="C2765"/>
      <c r="D2765"/>
      <c r="E2765"/>
      <c r="F2765"/>
    </row>
    <row r="2766" spans="1:6">
      <c r="A2766"/>
      <c r="B2766"/>
      <c r="C2766"/>
      <c r="D2766"/>
      <c r="E2766"/>
      <c r="F2766"/>
    </row>
    <row r="2767" spans="1:6">
      <c r="A2767"/>
      <c r="B2767"/>
      <c r="C2767"/>
      <c r="D2767"/>
      <c r="E2767"/>
      <c r="F2767"/>
    </row>
    <row r="2768" spans="1:6">
      <c r="A2768"/>
      <c r="B2768"/>
      <c r="C2768"/>
      <c r="D2768"/>
      <c r="E2768"/>
      <c r="F2768"/>
    </row>
    <row r="2769" spans="1:6">
      <c r="A2769"/>
      <c r="B2769"/>
      <c r="C2769"/>
      <c r="D2769"/>
      <c r="E2769"/>
      <c r="F2769"/>
    </row>
    <row r="2770" spans="1:6">
      <c r="A2770"/>
      <c r="B2770"/>
      <c r="C2770"/>
      <c r="D2770"/>
      <c r="E2770"/>
      <c r="F2770"/>
    </row>
    <row r="2771" spans="1:6">
      <c r="A2771"/>
      <c r="B2771"/>
      <c r="C2771"/>
      <c r="D2771"/>
      <c r="E2771"/>
      <c r="F2771"/>
    </row>
    <row r="2772" spans="1:6">
      <c r="A2772"/>
      <c r="B2772"/>
      <c r="C2772"/>
      <c r="D2772"/>
      <c r="E2772"/>
      <c r="F2772"/>
    </row>
    <row r="2773" spans="1:6">
      <c r="A2773"/>
      <c r="B2773"/>
      <c r="C2773"/>
      <c r="D2773"/>
      <c r="E2773"/>
      <c r="F2773"/>
    </row>
    <row r="2774" spans="1:6">
      <c r="A2774"/>
      <c r="B2774"/>
      <c r="C2774"/>
      <c r="D2774"/>
      <c r="E2774"/>
      <c r="F2774"/>
    </row>
    <row r="2775" spans="1:6">
      <c r="A2775"/>
      <c r="B2775"/>
      <c r="C2775"/>
      <c r="D2775"/>
      <c r="E2775"/>
      <c r="F2775"/>
    </row>
    <row r="2776" spans="1:6">
      <c r="A2776"/>
      <c r="B2776"/>
      <c r="C2776"/>
      <c r="D2776"/>
      <c r="E2776"/>
      <c r="F2776"/>
    </row>
    <row r="2777" spans="1:6">
      <c r="A2777"/>
      <c r="B2777"/>
      <c r="C2777"/>
      <c r="D2777"/>
      <c r="E2777"/>
      <c r="F2777"/>
    </row>
    <row r="2778" spans="1:6">
      <c r="A2778"/>
      <c r="B2778"/>
      <c r="C2778"/>
      <c r="D2778"/>
      <c r="E2778"/>
      <c r="F2778"/>
    </row>
    <row r="2779" spans="1:6">
      <c r="A2779"/>
      <c r="B2779"/>
      <c r="C2779"/>
      <c r="D2779"/>
      <c r="E2779"/>
      <c r="F2779"/>
    </row>
    <row r="2780" spans="1:6">
      <c r="A2780"/>
      <c r="B2780"/>
      <c r="C2780"/>
      <c r="D2780"/>
      <c r="E2780"/>
      <c r="F2780"/>
    </row>
    <row r="2781" spans="1:6">
      <c r="A2781"/>
      <c r="B2781"/>
      <c r="C2781"/>
      <c r="D2781"/>
      <c r="E2781"/>
      <c r="F2781"/>
    </row>
    <row r="2782" spans="1:6">
      <c r="A2782"/>
      <c r="B2782"/>
      <c r="C2782"/>
      <c r="D2782"/>
      <c r="E2782"/>
      <c r="F2782"/>
    </row>
    <row r="2783" spans="1:6">
      <c r="A2783"/>
      <c r="B2783"/>
      <c r="C2783"/>
      <c r="D2783"/>
      <c r="E2783"/>
      <c r="F2783"/>
    </row>
    <row r="2784" spans="1:6">
      <c r="A2784"/>
      <c r="B2784"/>
      <c r="C2784"/>
      <c r="D2784"/>
      <c r="E2784"/>
      <c r="F2784"/>
    </row>
    <row r="2785" spans="1:6">
      <c r="A2785"/>
      <c r="B2785"/>
      <c r="C2785"/>
      <c r="D2785"/>
      <c r="E2785"/>
      <c r="F2785"/>
    </row>
    <row r="2786" spans="1:6">
      <c r="A2786"/>
      <c r="B2786"/>
      <c r="C2786"/>
      <c r="D2786"/>
      <c r="E2786"/>
      <c r="F2786"/>
    </row>
    <row r="2787" spans="1:6">
      <c r="A2787"/>
      <c r="B2787"/>
      <c r="C2787"/>
      <c r="D2787"/>
      <c r="E2787"/>
      <c r="F2787"/>
    </row>
    <row r="2788" spans="1:6">
      <c r="A2788"/>
      <c r="B2788"/>
      <c r="C2788"/>
      <c r="D2788"/>
      <c r="E2788"/>
      <c r="F2788"/>
    </row>
    <row r="2789" spans="1:6">
      <c r="A2789"/>
      <c r="B2789"/>
      <c r="C2789"/>
      <c r="D2789"/>
      <c r="E2789"/>
      <c r="F2789"/>
    </row>
    <row r="2790" spans="1:6">
      <c r="A2790"/>
      <c r="B2790"/>
      <c r="C2790"/>
      <c r="D2790"/>
      <c r="E2790"/>
      <c r="F2790"/>
    </row>
    <row r="2791" spans="1:6">
      <c r="A2791"/>
      <c r="B2791"/>
      <c r="C2791"/>
      <c r="D2791"/>
      <c r="E2791"/>
      <c r="F2791"/>
    </row>
    <row r="2792" spans="1:6">
      <c r="A2792"/>
      <c r="B2792"/>
      <c r="C2792"/>
      <c r="D2792"/>
      <c r="E2792"/>
      <c r="F2792"/>
    </row>
    <row r="2793" spans="1:6">
      <c r="A2793"/>
      <c r="B2793"/>
      <c r="C2793"/>
      <c r="D2793"/>
      <c r="E2793"/>
      <c r="F2793"/>
    </row>
    <row r="2794" spans="1:6">
      <c r="A2794"/>
      <c r="B2794"/>
      <c r="C2794"/>
      <c r="D2794"/>
      <c r="E2794"/>
      <c r="F2794"/>
    </row>
    <row r="2795" spans="1:6">
      <c r="A2795"/>
      <c r="B2795"/>
      <c r="C2795"/>
      <c r="D2795"/>
      <c r="E2795"/>
      <c r="F2795"/>
    </row>
    <row r="2796" spans="1:6">
      <c r="A2796"/>
      <c r="B2796"/>
      <c r="C2796"/>
      <c r="D2796"/>
      <c r="E2796"/>
      <c r="F2796"/>
    </row>
    <row r="2797" spans="1:6">
      <c r="A2797"/>
      <c r="B2797"/>
      <c r="C2797"/>
      <c r="D2797"/>
      <c r="E2797"/>
      <c r="F2797"/>
    </row>
    <row r="2798" spans="1:6">
      <c r="A2798"/>
      <c r="B2798"/>
      <c r="C2798"/>
      <c r="D2798"/>
      <c r="E2798"/>
      <c r="F2798"/>
    </row>
    <row r="2799" spans="1:6">
      <c r="A2799"/>
      <c r="B2799"/>
      <c r="C2799"/>
      <c r="D2799"/>
      <c r="E2799"/>
      <c r="F2799"/>
    </row>
    <row r="2800" spans="1:6">
      <c r="A2800"/>
      <c r="B2800"/>
      <c r="C2800"/>
      <c r="D2800"/>
      <c r="E2800"/>
      <c r="F2800"/>
    </row>
    <row r="2801" spans="1:6">
      <c r="A2801"/>
      <c r="B2801"/>
      <c r="C2801"/>
      <c r="D2801"/>
      <c r="E2801"/>
      <c r="F2801"/>
    </row>
    <row r="2802" spans="1:6">
      <c r="A2802"/>
      <c r="B2802"/>
      <c r="C2802"/>
      <c r="D2802"/>
      <c r="E2802"/>
      <c r="F2802"/>
    </row>
    <row r="2803" spans="1:6">
      <c r="A2803"/>
      <c r="B2803"/>
      <c r="C2803"/>
      <c r="D2803"/>
      <c r="E2803"/>
      <c r="F2803"/>
    </row>
    <row r="2804" spans="1:6">
      <c r="A2804"/>
      <c r="B2804"/>
      <c r="C2804"/>
      <c r="D2804"/>
      <c r="E2804"/>
      <c r="F2804"/>
    </row>
    <row r="2805" spans="1:6">
      <c r="A2805"/>
      <c r="B2805"/>
      <c r="C2805"/>
      <c r="D2805"/>
      <c r="E2805"/>
      <c r="F2805"/>
    </row>
    <row r="2806" spans="1:6">
      <c r="A2806"/>
      <c r="B2806"/>
      <c r="C2806"/>
      <c r="D2806"/>
      <c r="E2806"/>
      <c r="F2806"/>
    </row>
    <row r="2807" spans="1:6">
      <c r="A2807"/>
      <c r="B2807"/>
      <c r="C2807"/>
      <c r="D2807"/>
      <c r="E2807"/>
      <c r="F2807"/>
    </row>
    <row r="2808" spans="1:6">
      <c r="A2808"/>
      <c r="B2808"/>
      <c r="C2808"/>
      <c r="D2808"/>
      <c r="E2808"/>
      <c r="F2808"/>
    </row>
    <row r="2809" spans="1:6">
      <c r="A2809"/>
      <c r="B2809"/>
      <c r="C2809"/>
      <c r="D2809"/>
      <c r="E2809"/>
      <c r="F2809"/>
    </row>
    <row r="2810" spans="1:6">
      <c r="A2810"/>
      <c r="B2810"/>
      <c r="C2810"/>
      <c r="D2810"/>
      <c r="E2810"/>
      <c r="F2810"/>
    </row>
    <row r="2811" spans="1:6">
      <c r="A2811"/>
      <c r="B2811"/>
      <c r="C2811"/>
      <c r="D2811"/>
      <c r="E2811"/>
      <c r="F2811"/>
    </row>
    <row r="2812" spans="1:6">
      <c r="A2812"/>
      <c r="B2812"/>
      <c r="C2812"/>
      <c r="D2812"/>
      <c r="E2812"/>
      <c r="F2812"/>
    </row>
    <row r="2813" spans="1:6">
      <c r="A2813"/>
      <c r="B2813"/>
      <c r="C2813"/>
      <c r="D2813"/>
      <c r="E2813"/>
      <c r="F2813"/>
    </row>
    <row r="2814" spans="1:6">
      <c r="A2814"/>
      <c r="B2814"/>
      <c r="C2814"/>
      <c r="D2814"/>
      <c r="E2814"/>
      <c r="F2814"/>
    </row>
    <row r="2815" spans="1:6">
      <c r="A2815"/>
      <c r="B2815"/>
      <c r="C2815"/>
      <c r="D2815"/>
      <c r="E2815"/>
      <c r="F2815"/>
    </row>
    <row r="2816" spans="1:6">
      <c r="A2816"/>
      <c r="B2816"/>
      <c r="C2816"/>
      <c r="D2816"/>
      <c r="E2816"/>
      <c r="F2816"/>
    </row>
    <row r="2817" spans="1:6">
      <c r="A2817"/>
      <c r="B2817"/>
      <c r="C2817"/>
      <c r="D2817"/>
      <c r="E2817"/>
      <c r="F2817"/>
    </row>
    <row r="2818" spans="1:6">
      <c r="A2818"/>
      <c r="B2818"/>
      <c r="C2818"/>
      <c r="D2818"/>
      <c r="E2818"/>
      <c r="F2818"/>
    </row>
    <row r="2819" spans="1:6">
      <c r="A2819"/>
      <c r="B2819"/>
      <c r="C2819"/>
      <c r="D2819"/>
      <c r="E2819"/>
      <c r="F2819"/>
    </row>
    <row r="2820" spans="1:6">
      <c r="A2820"/>
      <c r="B2820"/>
      <c r="C2820"/>
      <c r="D2820"/>
      <c r="E2820"/>
      <c r="F2820"/>
    </row>
    <row r="2821" spans="1:6">
      <c r="A2821"/>
      <c r="B2821"/>
      <c r="C2821"/>
      <c r="D2821"/>
      <c r="E2821"/>
      <c r="F2821"/>
    </row>
    <row r="2822" spans="1:6">
      <c r="A2822"/>
      <c r="B2822"/>
      <c r="C2822"/>
      <c r="D2822"/>
      <c r="E2822"/>
      <c r="F2822"/>
    </row>
    <row r="2823" spans="1:6">
      <c r="A2823"/>
      <c r="B2823"/>
      <c r="C2823"/>
      <c r="D2823"/>
      <c r="E2823"/>
      <c r="F2823"/>
    </row>
    <row r="2824" spans="1:6">
      <c r="A2824"/>
      <c r="B2824"/>
      <c r="C2824"/>
      <c r="D2824"/>
      <c r="E2824"/>
      <c r="F2824"/>
    </row>
    <row r="2825" spans="1:6">
      <c r="A2825"/>
      <c r="B2825"/>
      <c r="C2825"/>
      <c r="D2825"/>
      <c r="E2825"/>
      <c r="F2825"/>
    </row>
    <row r="2826" spans="1:6">
      <c r="A2826"/>
      <c r="B2826"/>
      <c r="C2826"/>
      <c r="D2826"/>
      <c r="E2826"/>
      <c r="F2826"/>
    </row>
    <row r="2827" spans="1:6">
      <c r="A2827"/>
      <c r="B2827"/>
      <c r="C2827"/>
      <c r="D2827"/>
      <c r="E2827"/>
      <c r="F2827"/>
    </row>
    <row r="2828" spans="1:6">
      <c r="A2828"/>
      <c r="B2828"/>
      <c r="C2828"/>
      <c r="D2828"/>
      <c r="E2828"/>
      <c r="F2828"/>
    </row>
    <row r="2829" spans="1:6">
      <c r="A2829"/>
      <c r="B2829"/>
      <c r="C2829"/>
      <c r="D2829"/>
      <c r="E2829"/>
      <c r="F2829"/>
    </row>
    <row r="2830" spans="1:6">
      <c r="A2830"/>
      <c r="B2830"/>
      <c r="C2830"/>
      <c r="D2830"/>
      <c r="E2830"/>
      <c r="F2830"/>
    </row>
    <row r="2831" spans="1:6">
      <c r="A2831"/>
      <c r="B2831"/>
      <c r="C2831"/>
      <c r="D2831"/>
      <c r="E2831"/>
      <c r="F2831"/>
    </row>
    <row r="2832" spans="1:6">
      <c r="A2832"/>
      <c r="B2832"/>
      <c r="C2832"/>
      <c r="D2832"/>
      <c r="E2832"/>
      <c r="F2832"/>
    </row>
    <row r="2833" spans="1:6">
      <c r="A2833"/>
      <c r="B2833"/>
      <c r="C2833"/>
      <c r="D2833"/>
      <c r="E2833"/>
      <c r="F2833"/>
    </row>
    <row r="2834" spans="1:6">
      <c r="A2834"/>
      <c r="B2834"/>
      <c r="C2834"/>
      <c r="D2834"/>
      <c r="E2834"/>
      <c r="F2834"/>
    </row>
    <row r="2835" spans="1:6">
      <c r="A2835"/>
      <c r="B2835"/>
      <c r="C2835"/>
      <c r="D2835"/>
      <c r="E2835"/>
      <c r="F2835"/>
    </row>
    <row r="2836" spans="1:6">
      <c r="A2836"/>
      <c r="B2836"/>
      <c r="C2836"/>
      <c r="D2836"/>
      <c r="E2836"/>
      <c r="F2836"/>
    </row>
    <row r="2837" spans="1:6">
      <c r="A2837"/>
      <c r="B2837"/>
      <c r="C2837"/>
      <c r="D2837"/>
      <c r="E2837"/>
      <c r="F2837"/>
    </row>
    <row r="2838" spans="1:6">
      <c r="A2838"/>
      <c r="B2838"/>
      <c r="C2838"/>
      <c r="D2838"/>
      <c r="E2838"/>
      <c r="F2838"/>
    </row>
    <row r="2839" spans="1:6">
      <c r="A2839"/>
      <c r="B2839"/>
      <c r="C2839"/>
      <c r="D2839"/>
      <c r="E2839"/>
      <c r="F2839"/>
    </row>
    <row r="2840" spans="1:6">
      <c r="A2840"/>
      <c r="B2840"/>
      <c r="C2840"/>
      <c r="D2840"/>
      <c r="E2840"/>
      <c r="F2840"/>
    </row>
    <row r="2841" spans="1:6">
      <c r="A2841"/>
      <c r="B2841"/>
      <c r="C2841"/>
      <c r="D2841"/>
      <c r="E2841"/>
      <c r="F2841"/>
    </row>
    <row r="2842" spans="1:6">
      <c r="A2842"/>
      <c r="B2842"/>
      <c r="C2842"/>
      <c r="D2842"/>
      <c r="E2842"/>
      <c r="F2842"/>
    </row>
    <row r="2843" spans="1:6">
      <c r="A2843"/>
      <c r="B2843"/>
      <c r="C2843"/>
      <c r="D2843"/>
      <c r="E2843"/>
      <c r="F2843"/>
    </row>
    <row r="2844" spans="1:6">
      <c r="A2844"/>
      <c r="B2844"/>
      <c r="C2844"/>
      <c r="D2844"/>
      <c r="E2844"/>
      <c r="F2844"/>
    </row>
    <row r="2845" spans="1:6">
      <c r="A2845"/>
      <c r="B2845"/>
      <c r="C2845"/>
      <c r="D2845"/>
      <c r="E2845"/>
      <c r="F2845"/>
    </row>
    <row r="2846" spans="1:6">
      <c r="A2846"/>
      <c r="B2846"/>
      <c r="C2846"/>
      <c r="D2846"/>
      <c r="E2846"/>
      <c r="F2846"/>
    </row>
    <row r="2847" spans="1:6">
      <c r="A2847"/>
      <c r="B2847"/>
      <c r="C2847"/>
      <c r="D2847"/>
      <c r="E2847"/>
      <c r="F2847"/>
    </row>
    <row r="2848" spans="1:6">
      <c r="A2848"/>
      <c r="B2848"/>
      <c r="C2848"/>
      <c r="D2848"/>
      <c r="E2848"/>
      <c r="F2848"/>
    </row>
    <row r="2849" spans="1:6">
      <c r="A2849"/>
      <c r="B2849"/>
      <c r="C2849"/>
      <c r="D2849"/>
      <c r="E2849"/>
      <c r="F2849"/>
    </row>
    <row r="2850" spans="1:6">
      <c r="A2850"/>
      <c r="B2850"/>
      <c r="C2850"/>
      <c r="D2850"/>
      <c r="E2850"/>
      <c r="F2850"/>
    </row>
    <row r="2851" spans="1:6">
      <c r="A2851"/>
      <c r="B2851"/>
      <c r="C2851"/>
      <c r="D2851"/>
      <c r="E2851"/>
      <c r="F2851"/>
    </row>
    <row r="2852" spans="1:6">
      <c r="A2852"/>
      <c r="B2852"/>
      <c r="C2852"/>
      <c r="D2852"/>
      <c r="E2852"/>
      <c r="F2852"/>
    </row>
    <row r="2853" spans="1:6">
      <c r="A2853"/>
      <c r="B2853"/>
      <c r="C2853"/>
      <c r="D2853"/>
      <c r="E2853"/>
      <c r="F2853"/>
    </row>
    <row r="2854" spans="1:6">
      <c r="A2854"/>
      <c r="B2854"/>
      <c r="C2854"/>
      <c r="D2854"/>
      <c r="E2854"/>
      <c r="F2854"/>
    </row>
    <row r="2855" spans="1:6">
      <c r="A2855"/>
      <c r="B2855"/>
      <c r="C2855"/>
      <c r="D2855"/>
      <c r="E2855"/>
      <c r="F2855"/>
    </row>
    <row r="2856" spans="1:6">
      <c r="A2856"/>
      <c r="B2856"/>
      <c r="C2856"/>
      <c r="D2856"/>
      <c r="E2856"/>
      <c r="F2856"/>
    </row>
    <row r="2857" spans="1:6">
      <c r="A2857"/>
      <c r="B2857"/>
      <c r="C2857"/>
      <c r="D2857"/>
      <c r="E2857"/>
      <c r="F2857"/>
    </row>
    <row r="2858" spans="1:6">
      <c r="A2858"/>
      <c r="B2858"/>
      <c r="C2858"/>
      <c r="D2858"/>
      <c r="E2858"/>
      <c r="F2858"/>
    </row>
    <row r="2859" spans="1:6">
      <c r="A2859"/>
      <c r="B2859"/>
      <c r="C2859"/>
      <c r="D2859"/>
      <c r="E2859"/>
      <c r="F2859"/>
    </row>
    <row r="2860" spans="1:6">
      <c r="A2860"/>
      <c r="B2860"/>
      <c r="C2860"/>
      <c r="D2860"/>
      <c r="E2860"/>
      <c r="F2860"/>
    </row>
    <row r="2861" spans="1:6">
      <c r="A2861"/>
      <c r="B2861"/>
      <c r="C2861"/>
      <c r="D2861"/>
      <c r="E2861"/>
      <c r="F2861"/>
    </row>
    <row r="2862" spans="1:6">
      <c r="A2862"/>
      <c r="B2862"/>
      <c r="C2862"/>
      <c r="D2862"/>
      <c r="E2862"/>
      <c r="F2862"/>
    </row>
    <row r="2863" spans="1:6">
      <c r="A2863"/>
      <c r="B2863"/>
      <c r="C2863"/>
      <c r="D2863"/>
      <c r="E2863"/>
      <c r="F2863"/>
    </row>
    <row r="2864" spans="1:6">
      <c r="A2864"/>
      <c r="B2864"/>
      <c r="C2864"/>
      <c r="D2864"/>
      <c r="E2864"/>
      <c r="F2864"/>
    </row>
    <row r="2865" spans="1:6">
      <c r="A2865"/>
      <c r="B2865"/>
      <c r="C2865"/>
      <c r="D2865"/>
      <c r="E2865"/>
      <c r="F2865"/>
    </row>
    <row r="2866" spans="1:6">
      <c r="A2866"/>
      <c r="B2866"/>
      <c r="C2866"/>
      <c r="D2866"/>
      <c r="E2866"/>
      <c r="F2866"/>
    </row>
    <row r="2867" spans="1:6">
      <c r="A2867"/>
      <c r="B2867"/>
      <c r="C2867"/>
      <c r="D2867"/>
      <c r="E2867"/>
      <c r="F2867"/>
    </row>
    <row r="2868" spans="1:6">
      <c r="A2868"/>
      <c r="B2868"/>
      <c r="C2868"/>
      <c r="D2868"/>
      <c r="E2868"/>
      <c r="F2868"/>
    </row>
    <row r="2869" spans="1:6">
      <c r="A2869"/>
      <c r="B2869"/>
      <c r="C2869"/>
      <c r="D2869"/>
      <c r="E2869"/>
      <c r="F2869"/>
    </row>
    <row r="2870" spans="1:6">
      <c r="A2870"/>
      <c r="B2870"/>
      <c r="C2870"/>
      <c r="D2870"/>
      <c r="E2870"/>
      <c r="F2870"/>
    </row>
    <row r="2871" spans="1:6">
      <c r="A2871"/>
      <c r="B2871"/>
      <c r="C2871"/>
      <c r="D2871"/>
      <c r="E2871"/>
      <c r="F2871"/>
    </row>
    <row r="2872" spans="1:6">
      <c r="A2872"/>
      <c r="B2872"/>
      <c r="C2872"/>
      <c r="D2872"/>
      <c r="E2872"/>
      <c r="F2872"/>
    </row>
    <row r="2873" spans="1:6">
      <c r="A2873"/>
      <c r="B2873"/>
      <c r="C2873"/>
      <c r="D2873"/>
      <c r="E2873"/>
      <c r="F2873"/>
    </row>
    <row r="2874" spans="1:6">
      <c r="A2874"/>
      <c r="B2874"/>
      <c r="C2874"/>
      <c r="D2874"/>
      <c r="E2874"/>
      <c r="F2874"/>
    </row>
    <row r="2875" spans="1:6">
      <c r="A2875"/>
      <c r="B2875"/>
      <c r="C2875"/>
      <c r="D2875"/>
      <c r="E2875"/>
      <c r="F2875"/>
    </row>
    <row r="2876" spans="1:6">
      <c r="A2876"/>
      <c r="B2876"/>
      <c r="C2876"/>
      <c r="D2876"/>
      <c r="E2876"/>
      <c r="F2876"/>
    </row>
    <row r="2877" spans="1:6">
      <c r="A2877"/>
      <c r="B2877"/>
      <c r="C2877"/>
      <c r="D2877"/>
      <c r="E2877"/>
      <c r="F2877"/>
    </row>
    <row r="2878" spans="1:6">
      <c r="A2878"/>
      <c r="B2878"/>
      <c r="C2878"/>
      <c r="D2878"/>
      <c r="E2878"/>
      <c r="F2878"/>
    </row>
    <row r="2879" spans="1:6">
      <c r="A2879"/>
      <c r="B2879"/>
      <c r="C2879"/>
      <c r="D2879"/>
      <c r="E2879"/>
      <c r="F2879"/>
    </row>
    <row r="2880" spans="1:6">
      <c r="A2880"/>
      <c r="B2880"/>
      <c r="C2880"/>
      <c r="D2880"/>
      <c r="E2880"/>
      <c r="F2880"/>
    </row>
    <row r="2881" spans="1:6">
      <c r="A2881"/>
      <c r="B2881"/>
      <c r="C2881"/>
      <c r="D2881"/>
      <c r="E2881"/>
      <c r="F2881"/>
    </row>
    <row r="2882" spans="1:6">
      <c r="A2882"/>
      <c r="B2882"/>
      <c r="C2882"/>
      <c r="D2882"/>
      <c r="E2882"/>
      <c r="F2882"/>
    </row>
    <row r="2883" spans="1:6">
      <c r="A2883"/>
      <c r="B2883"/>
      <c r="C2883"/>
      <c r="D2883"/>
      <c r="E2883"/>
      <c r="F2883"/>
    </row>
    <row r="2884" spans="1:6">
      <c r="A2884"/>
      <c r="B2884"/>
      <c r="C2884"/>
      <c r="D2884"/>
      <c r="E2884"/>
      <c r="F2884"/>
    </row>
    <row r="2885" spans="1:6">
      <c r="A2885"/>
      <c r="B2885"/>
      <c r="C2885"/>
      <c r="D2885"/>
      <c r="E2885"/>
      <c r="F2885"/>
    </row>
    <row r="2886" spans="1:6">
      <c r="A2886"/>
      <c r="B2886"/>
      <c r="C2886"/>
      <c r="D2886"/>
      <c r="E2886"/>
      <c r="F2886"/>
    </row>
    <row r="2887" spans="1:6">
      <c r="A2887"/>
      <c r="B2887"/>
      <c r="C2887"/>
      <c r="D2887"/>
      <c r="E2887"/>
      <c r="F2887"/>
    </row>
    <row r="2888" spans="1:6">
      <c r="A2888"/>
      <c r="B2888"/>
      <c r="C2888"/>
      <c r="D2888"/>
      <c r="E2888"/>
      <c r="F2888"/>
    </row>
    <row r="2889" spans="1:6">
      <c r="A2889"/>
      <c r="B2889"/>
      <c r="C2889"/>
      <c r="D2889"/>
      <c r="E2889"/>
      <c r="F2889"/>
    </row>
    <row r="2890" spans="1:6">
      <c r="A2890"/>
      <c r="B2890"/>
      <c r="C2890"/>
      <c r="D2890"/>
      <c r="E2890"/>
      <c r="F2890"/>
    </row>
    <row r="2891" spans="1:6">
      <c r="A2891"/>
      <c r="B2891"/>
      <c r="C2891"/>
      <c r="D2891"/>
      <c r="E2891"/>
      <c r="F2891"/>
    </row>
    <row r="2892" spans="1:6">
      <c r="A2892"/>
      <c r="B2892"/>
      <c r="C2892"/>
      <c r="D2892"/>
      <c r="E2892"/>
      <c r="F2892"/>
    </row>
    <row r="2893" spans="1:6">
      <c r="A2893"/>
      <c r="B2893"/>
      <c r="C2893"/>
      <c r="D2893"/>
      <c r="E2893"/>
      <c r="F2893"/>
    </row>
    <row r="2894" spans="1:6">
      <c r="A2894"/>
      <c r="B2894"/>
      <c r="C2894"/>
      <c r="D2894"/>
      <c r="E2894"/>
      <c r="F2894"/>
    </row>
    <row r="2895" spans="1:6">
      <c r="A2895"/>
      <c r="B2895"/>
      <c r="C2895"/>
      <c r="D2895"/>
      <c r="E2895"/>
      <c r="F2895"/>
    </row>
    <row r="2896" spans="1:6">
      <c r="A2896"/>
      <c r="B2896"/>
      <c r="C2896"/>
      <c r="D2896"/>
      <c r="E2896"/>
      <c r="F2896"/>
    </row>
    <row r="2897" spans="1:6">
      <c r="A2897"/>
      <c r="B2897"/>
      <c r="C2897"/>
      <c r="D2897"/>
      <c r="E2897"/>
      <c r="F2897"/>
    </row>
    <row r="2898" spans="1:6">
      <c r="A2898"/>
      <c r="B2898"/>
      <c r="C2898"/>
      <c r="D2898"/>
      <c r="E2898"/>
      <c r="F2898"/>
    </row>
    <row r="2899" spans="1:6">
      <c r="A2899"/>
      <c r="B2899"/>
      <c r="C2899"/>
      <c r="D2899"/>
      <c r="E2899"/>
      <c r="F2899"/>
    </row>
    <row r="2900" spans="1:6">
      <c r="A2900"/>
      <c r="B2900"/>
      <c r="C2900"/>
      <c r="D2900"/>
      <c r="E2900"/>
      <c r="F2900"/>
    </row>
    <row r="2901" spans="1:6">
      <c r="A2901"/>
      <c r="B2901"/>
      <c r="C2901"/>
      <c r="D2901"/>
      <c r="E2901"/>
      <c r="F2901"/>
    </row>
    <row r="2902" spans="1:6">
      <c r="A2902"/>
      <c r="B2902"/>
      <c r="C2902"/>
      <c r="D2902"/>
      <c r="E2902"/>
      <c r="F2902"/>
    </row>
    <row r="2903" spans="1:6">
      <c r="A2903"/>
      <c r="B2903"/>
      <c r="C2903"/>
      <c r="D2903"/>
      <c r="E2903"/>
      <c r="F2903"/>
    </row>
    <row r="2904" spans="1:6">
      <c r="A2904"/>
      <c r="B2904"/>
      <c r="C2904"/>
      <c r="D2904"/>
      <c r="E2904"/>
      <c r="F2904"/>
    </row>
    <row r="2905" spans="1:6">
      <c r="A2905"/>
      <c r="B2905"/>
      <c r="C2905"/>
      <c r="D2905"/>
      <c r="E2905"/>
      <c r="F2905"/>
    </row>
    <row r="2906" spans="1:6">
      <c r="A2906"/>
      <c r="B2906"/>
      <c r="C2906"/>
      <c r="D2906"/>
      <c r="E2906"/>
      <c r="F2906"/>
    </row>
    <row r="2907" spans="1:6">
      <c r="A2907"/>
      <c r="B2907"/>
      <c r="C2907"/>
      <c r="D2907"/>
      <c r="E2907"/>
      <c r="F2907"/>
    </row>
    <row r="2908" spans="1:6">
      <c r="A2908"/>
      <c r="B2908"/>
      <c r="C2908"/>
      <c r="D2908"/>
      <c r="E2908"/>
      <c r="F2908"/>
    </row>
    <row r="2909" spans="1:6">
      <c r="A2909"/>
      <c r="B2909"/>
      <c r="C2909"/>
      <c r="D2909"/>
      <c r="E2909"/>
      <c r="F2909"/>
    </row>
    <row r="2910" spans="1:6">
      <c r="A2910"/>
      <c r="B2910"/>
      <c r="C2910"/>
      <c r="D2910"/>
      <c r="E2910"/>
      <c r="F2910"/>
    </row>
    <row r="2911" spans="1:6">
      <c r="A2911"/>
      <c r="B2911"/>
      <c r="C2911"/>
      <c r="D2911"/>
      <c r="E2911"/>
      <c r="F2911"/>
    </row>
    <row r="2912" spans="1:6">
      <c r="A2912"/>
      <c r="B2912"/>
      <c r="C2912"/>
      <c r="D2912"/>
      <c r="E2912"/>
      <c r="F2912"/>
    </row>
    <row r="2913" spans="1:6">
      <c r="A2913"/>
      <c r="B2913"/>
      <c r="C2913"/>
      <c r="D2913"/>
      <c r="E2913"/>
      <c r="F2913"/>
    </row>
    <row r="2914" spans="1:6">
      <c r="A2914"/>
      <c r="B2914"/>
      <c r="C2914"/>
      <c r="D2914"/>
      <c r="E2914"/>
      <c r="F2914"/>
    </row>
    <row r="2915" spans="1:6">
      <c r="A2915"/>
      <c r="B2915"/>
      <c r="C2915"/>
      <c r="D2915"/>
      <c r="E2915"/>
      <c r="F2915"/>
    </row>
    <row r="2916" spans="1:6">
      <c r="A2916"/>
      <c r="B2916"/>
      <c r="C2916"/>
      <c r="D2916"/>
      <c r="E2916"/>
      <c r="F2916"/>
    </row>
    <row r="2917" spans="1:6">
      <c r="A2917"/>
      <c r="B2917"/>
      <c r="C2917"/>
      <c r="D2917"/>
      <c r="E2917"/>
      <c r="F2917"/>
    </row>
    <row r="2918" spans="1:6">
      <c r="A2918"/>
      <c r="B2918"/>
      <c r="C2918"/>
      <c r="D2918"/>
      <c r="E2918"/>
      <c r="F2918"/>
    </row>
    <row r="2919" spans="1:6">
      <c r="A2919"/>
      <c r="B2919"/>
      <c r="C2919"/>
      <c r="D2919"/>
      <c r="E2919"/>
      <c r="F2919"/>
    </row>
    <row r="2920" spans="1:6">
      <c r="A2920"/>
      <c r="B2920"/>
      <c r="C2920"/>
      <c r="D2920"/>
      <c r="E2920"/>
      <c r="F2920"/>
    </row>
    <row r="2921" spans="1:6">
      <c r="A2921"/>
      <c r="B2921"/>
      <c r="C2921"/>
      <c r="D2921"/>
      <c r="E2921"/>
      <c r="F2921"/>
    </row>
    <row r="2922" spans="1:6">
      <c r="A2922"/>
      <c r="B2922"/>
      <c r="C2922"/>
      <c r="D2922"/>
      <c r="E2922"/>
      <c r="F2922"/>
    </row>
    <row r="2923" spans="1:6">
      <c r="A2923"/>
      <c r="B2923"/>
      <c r="C2923"/>
      <c r="D2923"/>
      <c r="E2923"/>
      <c r="F2923"/>
    </row>
    <row r="2924" spans="1:6">
      <c r="A2924"/>
      <c r="B2924"/>
      <c r="C2924"/>
      <c r="D2924"/>
      <c r="E2924"/>
      <c r="F2924"/>
    </row>
    <row r="2925" spans="1:6">
      <c r="A2925"/>
      <c r="B2925"/>
      <c r="C2925"/>
      <c r="D2925"/>
      <c r="E2925"/>
      <c r="F2925"/>
    </row>
    <row r="2926" spans="1:6">
      <c r="A2926"/>
      <c r="B2926"/>
      <c r="C2926"/>
      <c r="D2926"/>
      <c r="E2926"/>
      <c r="F2926"/>
    </row>
    <row r="2927" spans="1:6">
      <c r="A2927"/>
      <c r="B2927"/>
      <c r="C2927"/>
      <c r="D2927"/>
      <c r="E2927"/>
      <c r="F2927"/>
    </row>
    <row r="2928" spans="1:6">
      <c r="A2928"/>
      <c r="B2928"/>
      <c r="C2928"/>
      <c r="D2928"/>
      <c r="E2928"/>
      <c r="F2928"/>
    </row>
    <row r="2929" spans="1:6">
      <c r="A2929"/>
      <c r="B2929"/>
      <c r="C2929"/>
      <c r="D2929"/>
      <c r="E2929"/>
      <c r="F2929"/>
    </row>
    <row r="2930" spans="1:6">
      <c r="A2930"/>
      <c r="B2930"/>
      <c r="C2930"/>
      <c r="D2930"/>
      <c r="E2930"/>
      <c r="F2930"/>
    </row>
    <row r="2931" spans="1:6">
      <c r="A2931"/>
      <c r="B2931"/>
      <c r="C2931"/>
      <c r="D2931"/>
      <c r="E2931"/>
      <c r="F2931"/>
    </row>
    <row r="2932" spans="1:6">
      <c r="A2932"/>
      <c r="B2932"/>
      <c r="C2932"/>
      <c r="D2932"/>
      <c r="E2932"/>
      <c r="F2932"/>
    </row>
    <row r="2933" spans="1:6">
      <c r="A2933"/>
      <c r="B2933"/>
      <c r="C2933"/>
      <c r="D2933"/>
      <c r="E2933"/>
      <c r="F2933"/>
    </row>
    <row r="2934" spans="1:6">
      <c r="A2934"/>
      <c r="B2934"/>
      <c r="C2934"/>
      <c r="D2934"/>
      <c r="E2934"/>
      <c r="F2934"/>
    </row>
    <row r="2935" spans="1:6">
      <c r="A2935"/>
      <c r="B2935"/>
      <c r="C2935"/>
      <c r="D2935"/>
      <c r="E2935"/>
      <c r="F2935"/>
    </row>
    <row r="2936" spans="1:6">
      <c r="A2936"/>
      <c r="B2936"/>
      <c r="C2936"/>
      <c r="D2936"/>
      <c r="E2936"/>
      <c r="F2936"/>
    </row>
    <row r="2937" spans="1:6">
      <c r="A2937"/>
      <c r="B2937"/>
      <c r="C2937"/>
      <c r="D2937"/>
      <c r="E2937"/>
      <c r="F2937"/>
    </row>
    <row r="2938" spans="1:6">
      <c r="A2938"/>
      <c r="B2938"/>
      <c r="C2938"/>
      <c r="D2938"/>
      <c r="E2938"/>
      <c r="F2938"/>
    </row>
    <row r="2939" spans="1:6">
      <c r="A2939"/>
      <c r="B2939"/>
      <c r="C2939"/>
      <c r="D2939"/>
      <c r="E2939"/>
      <c r="F2939"/>
    </row>
    <row r="2940" spans="1:6">
      <c r="A2940"/>
      <c r="B2940"/>
      <c r="C2940"/>
      <c r="D2940"/>
      <c r="E2940"/>
      <c r="F2940"/>
    </row>
    <row r="2941" spans="1:6">
      <c r="A2941"/>
      <c r="B2941"/>
      <c r="C2941"/>
      <c r="D2941"/>
      <c r="E2941"/>
      <c r="F2941"/>
    </row>
    <row r="2942" spans="1:6">
      <c r="A2942"/>
      <c r="B2942"/>
      <c r="C2942"/>
      <c r="D2942"/>
      <c r="E2942"/>
      <c r="F2942"/>
    </row>
    <row r="2943" spans="1:6">
      <c r="A2943"/>
      <c r="B2943"/>
      <c r="C2943"/>
      <c r="D2943"/>
      <c r="E2943"/>
      <c r="F2943"/>
    </row>
    <row r="2944" spans="1:6">
      <c r="A2944"/>
      <c r="B2944"/>
      <c r="C2944"/>
      <c r="D2944"/>
      <c r="E2944"/>
      <c r="F2944"/>
    </row>
    <row r="2945" spans="1:6">
      <c r="A2945"/>
      <c r="B2945"/>
      <c r="C2945"/>
      <c r="D2945"/>
      <c r="E2945"/>
      <c r="F2945"/>
    </row>
    <row r="2946" spans="1:6">
      <c r="A2946"/>
      <c r="B2946"/>
      <c r="C2946"/>
      <c r="D2946"/>
      <c r="E2946"/>
      <c r="F2946"/>
    </row>
    <row r="2947" spans="1:6">
      <c r="A2947"/>
      <c r="B2947"/>
      <c r="C2947"/>
      <c r="D2947"/>
      <c r="E2947"/>
      <c r="F2947"/>
    </row>
    <row r="2948" spans="1:6">
      <c r="A2948"/>
      <c r="B2948"/>
      <c r="C2948"/>
      <c r="D2948"/>
      <c r="E2948"/>
      <c r="F2948"/>
    </row>
    <row r="2949" spans="1:6">
      <c r="A2949"/>
      <c r="B2949"/>
      <c r="C2949"/>
      <c r="D2949"/>
      <c r="E2949"/>
      <c r="F2949"/>
    </row>
    <row r="2950" spans="1:6">
      <c r="A2950"/>
      <c r="B2950"/>
      <c r="C2950"/>
      <c r="D2950"/>
      <c r="E2950"/>
      <c r="F2950"/>
    </row>
    <row r="2951" spans="1:6">
      <c r="A2951"/>
      <c r="B2951"/>
      <c r="C2951"/>
      <c r="D2951"/>
      <c r="E2951"/>
      <c r="F2951"/>
    </row>
    <row r="2952" spans="1:6">
      <c r="A2952"/>
      <c r="B2952"/>
      <c r="C2952"/>
      <c r="D2952"/>
      <c r="E2952"/>
      <c r="F2952"/>
    </row>
    <row r="2953" spans="1:6">
      <c r="A2953"/>
      <c r="B2953"/>
      <c r="C2953"/>
      <c r="D2953"/>
      <c r="E2953"/>
      <c r="F2953"/>
    </row>
    <row r="2954" spans="1:6">
      <c r="A2954"/>
      <c r="B2954"/>
      <c r="C2954"/>
      <c r="D2954"/>
      <c r="E2954"/>
      <c r="F2954"/>
    </row>
    <row r="2955" spans="1:6">
      <c r="A2955"/>
      <c r="B2955"/>
      <c r="C2955"/>
      <c r="D2955"/>
      <c r="E2955"/>
      <c r="F2955"/>
    </row>
    <row r="2956" spans="1:6">
      <c r="A2956"/>
      <c r="B2956"/>
      <c r="C2956"/>
      <c r="D2956"/>
      <c r="E2956"/>
      <c r="F2956"/>
    </row>
    <row r="2957" spans="1:6">
      <c r="A2957"/>
      <c r="B2957"/>
      <c r="C2957"/>
      <c r="D2957"/>
      <c r="E2957"/>
      <c r="F2957"/>
    </row>
    <row r="2958" spans="1:6">
      <c r="A2958"/>
      <c r="B2958"/>
      <c r="C2958"/>
      <c r="D2958"/>
      <c r="E2958"/>
      <c r="F2958"/>
    </row>
    <row r="2959" spans="1:6">
      <c r="A2959"/>
      <c r="B2959"/>
      <c r="C2959"/>
      <c r="D2959"/>
      <c r="E2959"/>
      <c r="F2959"/>
    </row>
    <row r="2960" spans="1:6">
      <c r="A2960"/>
      <c r="B2960"/>
      <c r="C2960"/>
      <c r="D2960"/>
      <c r="E2960"/>
      <c r="F2960"/>
    </row>
    <row r="2961" spans="1:6">
      <c r="A2961"/>
      <c r="B2961"/>
      <c r="C2961"/>
      <c r="D2961"/>
      <c r="E2961"/>
      <c r="F2961"/>
    </row>
    <row r="2962" spans="1:6">
      <c r="A2962"/>
      <c r="B2962"/>
      <c r="C2962"/>
      <c r="D2962"/>
      <c r="E2962"/>
      <c r="F2962"/>
    </row>
    <row r="2963" spans="1:6">
      <c r="A2963"/>
      <c r="B2963"/>
      <c r="C2963"/>
      <c r="D2963"/>
      <c r="E2963"/>
      <c r="F2963"/>
    </row>
    <row r="2964" spans="1:6">
      <c r="A2964"/>
      <c r="B2964"/>
      <c r="C2964"/>
      <c r="D2964"/>
      <c r="E2964"/>
      <c r="F2964"/>
    </row>
    <row r="2965" spans="1:6">
      <c r="A2965"/>
      <c r="B2965"/>
      <c r="C2965"/>
      <c r="D2965"/>
      <c r="E2965"/>
      <c r="F2965"/>
    </row>
    <row r="2966" spans="1:6">
      <c r="A2966"/>
      <c r="B2966"/>
      <c r="C2966"/>
      <c r="D2966"/>
      <c r="E2966"/>
      <c r="F2966"/>
    </row>
    <row r="2967" spans="1:6">
      <c r="A2967"/>
      <c r="B2967"/>
      <c r="C2967"/>
      <c r="D2967"/>
      <c r="E2967"/>
      <c r="F2967"/>
    </row>
    <row r="2968" spans="1:6">
      <c r="A2968"/>
      <c r="B2968"/>
      <c r="C2968"/>
      <c r="D2968"/>
      <c r="E2968"/>
      <c r="F2968"/>
    </row>
    <row r="2969" spans="1:6">
      <c r="A2969"/>
      <c r="B2969"/>
      <c r="C2969"/>
      <c r="D2969"/>
      <c r="E2969"/>
      <c r="F2969"/>
    </row>
    <row r="2970" spans="1:6">
      <c r="A2970"/>
      <c r="B2970"/>
      <c r="C2970"/>
      <c r="D2970"/>
      <c r="E2970"/>
      <c r="F2970"/>
    </row>
    <row r="2971" spans="1:6">
      <c r="A2971"/>
      <c r="B2971"/>
      <c r="C2971"/>
      <c r="D2971"/>
      <c r="E2971"/>
      <c r="F2971"/>
    </row>
    <row r="2972" spans="1:6">
      <c r="A2972"/>
      <c r="B2972"/>
      <c r="C2972"/>
      <c r="D2972"/>
      <c r="E2972"/>
      <c r="F2972"/>
    </row>
    <row r="2973" spans="1:6">
      <c r="A2973"/>
      <c r="B2973"/>
      <c r="C2973"/>
      <c r="D2973"/>
      <c r="E2973"/>
      <c r="F2973"/>
    </row>
    <row r="2974" spans="1:6">
      <c r="A2974"/>
      <c r="B2974"/>
      <c r="C2974"/>
      <c r="D2974"/>
      <c r="E2974"/>
      <c r="F2974"/>
    </row>
    <row r="2975" spans="1:6">
      <c r="A2975"/>
      <c r="B2975"/>
      <c r="C2975"/>
      <c r="D2975"/>
      <c r="E2975"/>
      <c r="F2975"/>
    </row>
    <row r="2976" spans="1:6">
      <c r="A2976"/>
      <c r="B2976"/>
      <c r="C2976"/>
      <c r="D2976"/>
      <c r="E2976"/>
      <c r="F2976"/>
    </row>
    <row r="2977" spans="1:6">
      <c r="A2977"/>
      <c r="B2977"/>
      <c r="C2977"/>
      <c r="D2977"/>
      <c r="E2977"/>
      <c r="F2977"/>
    </row>
    <row r="2978" spans="1:6">
      <c r="A2978"/>
      <c r="B2978"/>
      <c r="C2978"/>
      <c r="D2978"/>
      <c r="E2978"/>
      <c r="F2978"/>
    </row>
    <row r="2979" spans="1:6">
      <c r="A2979"/>
      <c r="B2979"/>
      <c r="C2979"/>
      <c r="D2979"/>
      <c r="E2979"/>
      <c r="F2979"/>
    </row>
    <row r="2980" spans="1:6">
      <c r="A2980"/>
      <c r="B2980"/>
      <c r="C2980"/>
      <c r="D2980"/>
      <c r="E2980"/>
      <c r="F2980"/>
    </row>
    <row r="2981" spans="1:6">
      <c r="A2981"/>
      <c r="B2981"/>
      <c r="C2981"/>
      <c r="D2981"/>
      <c r="E2981"/>
      <c r="F2981"/>
    </row>
    <row r="2982" spans="1:6">
      <c r="A2982"/>
      <c r="B2982"/>
      <c r="C2982"/>
      <c r="D2982"/>
      <c r="E2982"/>
      <c r="F2982"/>
    </row>
    <row r="2983" spans="1:6">
      <c r="A2983"/>
      <c r="B2983"/>
      <c r="C2983"/>
      <c r="D2983"/>
      <c r="E2983"/>
      <c r="F2983"/>
    </row>
    <row r="2984" spans="1:6">
      <c r="A2984"/>
      <c r="B2984"/>
      <c r="C2984"/>
      <c r="D2984"/>
      <c r="E2984"/>
      <c r="F2984"/>
    </row>
    <row r="2985" spans="1:6">
      <c r="A2985"/>
      <c r="B2985"/>
      <c r="C2985"/>
      <c r="D2985"/>
      <c r="E2985"/>
      <c r="F2985"/>
    </row>
    <row r="2986" spans="1:6">
      <c r="A2986"/>
      <c r="B2986"/>
      <c r="C2986"/>
      <c r="D2986"/>
      <c r="E2986"/>
      <c r="F2986"/>
    </row>
    <row r="2987" spans="1:6">
      <c r="A2987"/>
      <c r="B2987"/>
      <c r="C2987"/>
      <c r="D2987"/>
      <c r="E2987"/>
      <c r="F2987"/>
    </row>
    <row r="2988" spans="1:6">
      <c r="A2988"/>
      <c r="B2988"/>
      <c r="C2988"/>
      <c r="D2988"/>
      <c r="E2988"/>
      <c r="F2988"/>
    </row>
    <row r="2989" spans="1:6">
      <c r="A2989"/>
      <c r="B2989"/>
      <c r="C2989"/>
      <c r="D2989"/>
      <c r="E2989"/>
      <c r="F2989"/>
    </row>
    <row r="2990" spans="1:6">
      <c r="A2990"/>
      <c r="B2990"/>
      <c r="C2990"/>
      <c r="D2990"/>
      <c r="E2990"/>
      <c r="F2990"/>
    </row>
    <row r="2991" spans="1:6">
      <c r="A2991"/>
      <c r="B2991"/>
      <c r="C2991"/>
      <c r="D2991"/>
      <c r="E2991"/>
      <c r="F2991"/>
    </row>
    <row r="2992" spans="1:6">
      <c r="A2992"/>
      <c r="B2992"/>
      <c r="C2992"/>
      <c r="D2992"/>
      <c r="E2992"/>
      <c r="F2992"/>
    </row>
    <row r="2993" spans="1:6">
      <c r="A2993"/>
      <c r="B2993"/>
      <c r="C2993"/>
      <c r="D2993"/>
      <c r="E2993"/>
      <c r="F2993"/>
    </row>
    <row r="2994" spans="1:6">
      <c r="A2994"/>
      <c r="B2994"/>
      <c r="C2994"/>
      <c r="D2994"/>
      <c r="E2994"/>
      <c r="F2994"/>
    </row>
    <row r="2995" spans="1:6">
      <c r="A2995"/>
      <c r="B2995"/>
      <c r="C2995"/>
      <c r="D2995"/>
      <c r="E2995"/>
      <c r="F2995"/>
    </row>
    <row r="2996" spans="1:6">
      <c r="A2996"/>
      <c r="B2996"/>
      <c r="C2996"/>
      <c r="D2996"/>
      <c r="E2996"/>
      <c r="F2996"/>
    </row>
    <row r="2997" spans="1:6">
      <c r="A2997"/>
      <c r="B2997"/>
      <c r="C2997"/>
      <c r="D2997"/>
      <c r="E2997"/>
      <c r="F2997"/>
    </row>
    <row r="2998" spans="1:6">
      <c r="A2998"/>
      <c r="B2998"/>
      <c r="C2998"/>
      <c r="D2998"/>
      <c r="E2998"/>
      <c r="F2998"/>
    </row>
    <row r="2999" spans="1:6">
      <c r="A2999"/>
      <c r="B2999"/>
      <c r="C2999"/>
      <c r="D2999"/>
      <c r="E2999"/>
      <c r="F2999"/>
    </row>
    <row r="3000" spans="1:6">
      <c r="A3000"/>
      <c r="B3000"/>
      <c r="C3000"/>
      <c r="D3000"/>
      <c r="E3000"/>
      <c r="F3000"/>
    </row>
    <row r="3001" spans="1:6">
      <c r="A3001"/>
      <c r="B3001"/>
      <c r="C3001"/>
      <c r="D3001"/>
      <c r="E3001"/>
      <c r="F3001"/>
    </row>
    <row r="3002" spans="1:6">
      <c r="A3002"/>
      <c r="B3002"/>
      <c r="C3002"/>
      <c r="D3002"/>
      <c r="E3002"/>
      <c r="F3002"/>
    </row>
    <row r="3003" spans="1:6">
      <c r="A3003"/>
      <c r="B3003"/>
      <c r="C3003"/>
      <c r="D3003"/>
      <c r="E3003"/>
      <c r="F3003"/>
    </row>
    <row r="3004" spans="1:6">
      <c r="A3004"/>
      <c r="B3004"/>
      <c r="C3004"/>
      <c r="D3004"/>
      <c r="E3004"/>
      <c r="F3004"/>
    </row>
    <row r="3005" spans="1:6">
      <c r="A3005"/>
      <c r="B3005"/>
      <c r="C3005"/>
      <c r="D3005"/>
      <c r="E3005"/>
      <c r="F3005"/>
    </row>
    <row r="3006" spans="1:6">
      <c r="A3006"/>
      <c r="B3006"/>
      <c r="C3006"/>
      <c r="D3006"/>
      <c r="E3006"/>
      <c r="F3006"/>
    </row>
    <row r="3007" spans="1:6">
      <c r="A3007"/>
      <c r="B3007"/>
      <c r="C3007"/>
      <c r="D3007"/>
      <c r="E3007"/>
      <c r="F3007"/>
    </row>
    <row r="3008" spans="1:6">
      <c r="A3008"/>
      <c r="B3008"/>
      <c r="C3008"/>
      <c r="D3008"/>
      <c r="E3008"/>
      <c r="F3008"/>
    </row>
    <row r="3009" spans="1:6">
      <c r="A3009"/>
      <c r="B3009"/>
      <c r="C3009"/>
      <c r="D3009"/>
      <c r="E3009"/>
      <c r="F3009"/>
    </row>
    <row r="3010" spans="1:6">
      <c r="A3010"/>
      <c r="B3010"/>
      <c r="C3010"/>
      <c r="D3010"/>
      <c r="E3010"/>
      <c r="F3010"/>
    </row>
    <row r="3011" spans="1:6">
      <c r="A3011"/>
      <c r="B3011"/>
      <c r="C3011"/>
      <c r="D3011"/>
      <c r="E3011"/>
      <c r="F3011"/>
    </row>
    <row r="3012" spans="1:6">
      <c r="A3012"/>
      <c r="B3012"/>
      <c r="C3012"/>
      <c r="D3012"/>
      <c r="E3012"/>
      <c r="F3012"/>
    </row>
    <row r="3013" spans="1:6">
      <c r="A3013"/>
      <c r="B3013"/>
      <c r="C3013"/>
      <c r="D3013"/>
      <c r="E3013"/>
      <c r="F3013"/>
    </row>
    <row r="3014" spans="1:6">
      <c r="A3014"/>
      <c r="B3014"/>
      <c r="C3014"/>
      <c r="D3014"/>
      <c r="E3014"/>
      <c r="F3014"/>
    </row>
    <row r="3015" spans="1:6">
      <c r="A3015"/>
      <c r="B3015"/>
      <c r="C3015"/>
      <c r="D3015"/>
      <c r="E3015"/>
      <c r="F3015"/>
    </row>
    <row r="3016" spans="1:6">
      <c r="A3016"/>
      <c r="B3016"/>
      <c r="C3016"/>
      <c r="D3016"/>
      <c r="E3016"/>
      <c r="F3016"/>
    </row>
    <row r="3017" spans="1:6">
      <c r="A3017"/>
      <c r="B3017"/>
      <c r="C3017"/>
      <c r="D3017"/>
      <c r="E3017"/>
      <c r="F3017"/>
    </row>
    <row r="3018" spans="1:6">
      <c r="A3018"/>
      <c r="B3018"/>
      <c r="C3018"/>
      <c r="D3018"/>
      <c r="E3018"/>
      <c r="F3018"/>
    </row>
    <row r="3019" spans="1:6">
      <c r="A3019"/>
      <c r="B3019"/>
      <c r="C3019"/>
      <c r="D3019"/>
      <c r="E3019"/>
      <c r="F3019"/>
    </row>
    <row r="3020" spans="1:6">
      <c r="A3020"/>
      <c r="B3020"/>
      <c r="C3020"/>
      <c r="D3020"/>
      <c r="E3020"/>
      <c r="F3020"/>
    </row>
    <row r="3021" spans="1:6">
      <c r="A3021"/>
      <c r="B3021"/>
      <c r="C3021"/>
      <c r="D3021"/>
      <c r="E3021"/>
      <c r="F3021"/>
    </row>
    <row r="3022" spans="1:6">
      <c r="A3022"/>
      <c r="B3022"/>
      <c r="C3022"/>
      <c r="D3022"/>
      <c r="E3022"/>
      <c r="F3022"/>
    </row>
    <row r="3023" spans="1:6">
      <c r="A3023"/>
      <c r="B3023"/>
      <c r="C3023"/>
      <c r="D3023"/>
      <c r="E3023"/>
      <c r="F3023"/>
    </row>
    <row r="3024" spans="1:6">
      <c r="A3024"/>
      <c r="B3024"/>
      <c r="C3024"/>
      <c r="D3024"/>
      <c r="E3024"/>
      <c r="F3024"/>
    </row>
    <row r="3025" spans="1:6">
      <c r="A3025"/>
      <c r="B3025"/>
      <c r="C3025"/>
      <c r="D3025"/>
      <c r="E3025"/>
      <c r="F3025"/>
    </row>
    <row r="3026" spans="1:6">
      <c r="A3026"/>
      <c r="B3026"/>
      <c r="C3026"/>
      <c r="D3026"/>
      <c r="E3026"/>
      <c r="F3026"/>
    </row>
    <row r="3027" spans="1:6">
      <c r="A3027"/>
      <c r="B3027"/>
      <c r="C3027"/>
      <c r="D3027"/>
      <c r="E3027"/>
      <c r="F3027"/>
    </row>
    <row r="3028" spans="1:6">
      <c r="A3028"/>
      <c r="B3028"/>
      <c r="C3028"/>
      <c r="D3028"/>
      <c r="E3028"/>
      <c r="F3028"/>
    </row>
    <row r="3029" spans="1:6">
      <c r="A3029"/>
      <c r="B3029"/>
      <c r="C3029"/>
      <c r="D3029"/>
      <c r="E3029"/>
      <c r="F3029"/>
    </row>
    <row r="3030" spans="1:6">
      <c r="A3030"/>
      <c r="B3030"/>
      <c r="C3030"/>
      <c r="D3030"/>
      <c r="E3030"/>
      <c r="F3030"/>
    </row>
    <row r="3031" spans="1:6">
      <c r="A3031"/>
      <c r="B3031"/>
      <c r="C3031"/>
      <c r="D3031"/>
      <c r="E3031"/>
      <c r="F3031"/>
    </row>
    <row r="3032" spans="1:6">
      <c r="A3032"/>
      <c r="B3032"/>
      <c r="C3032"/>
      <c r="D3032"/>
      <c r="E3032"/>
      <c r="F3032"/>
    </row>
    <row r="3033" spans="1:6">
      <c r="A3033"/>
      <c r="B3033"/>
      <c r="C3033"/>
      <c r="D3033"/>
      <c r="E3033"/>
      <c r="F3033"/>
    </row>
    <row r="3034" spans="1:6">
      <c r="A3034"/>
      <c r="B3034"/>
      <c r="C3034"/>
      <c r="D3034"/>
      <c r="E3034"/>
      <c r="F3034"/>
    </row>
    <row r="3035" spans="1:6">
      <c r="A3035"/>
      <c r="B3035"/>
      <c r="C3035"/>
      <c r="D3035"/>
      <c r="E3035"/>
      <c r="F3035"/>
    </row>
    <row r="3036" spans="1:6">
      <c r="A3036"/>
      <c r="B3036"/>
      <c r="C3036"/>
      <c r="D3036"/>
      <c r="E3036"/>
      <c r="F3036"/>
    </row>
    <row r="3037" spans="1:6">
      <c r="A3037"/>
      <c r="B3037"/>
      <c r="C3037"/>
      <c r="D3037"/>
      <c r="E3037"/>
      <c r="F3037"/>
    </row>
    <row r="3038" spans="1:6">
      <c r="A3038"/>
      <c r="B3038"/>
      <c r="C3038"/>
      <c r="D3038"/>
      <c r="E3038"/>
      <c r="F3038"/>
    </row>
    <row r="3039" spans="1:6">
      <c r="A3039"/>
      <c r="B3039"/>
      <c r="C3039"/>
      <c r="D3039"/>
      <c r="E3039"/>
      <c r="F3039"/>
    </row>
    <row r="3040" spans="1:6">
      <c r="A3040"/>
      <c r="B3040"/>
      <c r="C3040"/>
      <c r="D3040"/>
      <c r="E3040"/>
      <c r="F3040"/>
    </row>
    <row r="3041" spans="1:6">
      <c r="A3041"/>
      <c r="B3041"/>
      <c r="C3041"/>
      <c r="D3041"/>
      <c r="E3041"/>
      <c r="F3041"/>
    </row>
    <row r="3042" spans="1:6">
      <c r="A3042"/>
      <c r="B3042"/>
      <c r="C3042"/>
      <c r="D3042"/>
      <c r="E3042"/>
      <c r="F3042"/>
    </row>
    <row r="3043" spans="1:6">
      <c r="A3043"/>
      <c r="B3043"/>
      <c r="C3043"/>
      <c r="D3043"/>
      <c r="E3043"/>
      <c r="F3043"/>
    </row>
    <row r="3044" spans="1:6">
      <c r="A3044"/>
      <c r="B3044"/>
      <c r="C3044"/>
      <c r="D3044"/>
      <c r="E3044"/>
      <c r="F3044"/>
    </row>
    <row r="3045" spans="1:6">
      <c r="A3045"/>
      <c r="B3045"/>
      <c r="C3045"/>
      <c r="D3045"/>
      <c r="E3045"/>
      <c r="F3045"/>
    </row>
    <row r="3046" spans="1:6">
      <c r="A3046"/>
      <c r="B3046"/>
      <c r="C3046"/>
      <c r="D3046"/>
      <c r="E3046"/>
      <c r="F3046"/>
    </row>
    <row r="3047" spans="1:6">
      <c r="A3047"/>
      <c r="B3047"/>
      <c r="C3047"/>
      <c r="D3047"/>
      <c r="E3047"/>
      <c r="F3047"/>
    </row>
    <row r="3048" spans="1:6">
      <c r="A3048"/>
      <c r="B3048"/>
      <c r="C3048"/>
      <c r="D3048"/>
      <c r="E3048"/>
      <c r="F3048"/>
    </row>
    <row r="3049" spans="1:6">
      <c r="A3049"/>
      <c r="B3049"/>
      <c r="C3049"/>
      <c r="D3049"/>
      <c r="E3049"/>
      <c r="F3049"/>
    </row>
    <row r="3050" spans="1:6">
      <c r="A3050"/>
      <c r="B3050"/>
      <c r="C3050"/>
      <c r="D3050"/>
      <c r="E3050"/>
      <c r="F3050"/>
    </row>
    <row r="3051" spans="1:6">
      <c r="A3051"/>
      <c r="B3051"/>
      <c r="C3051"/>
      <c r="D3051"/>
      <c r="E3051"/>
      <c r="F3051"/>
    </row>
    <row r="3052" spans="1:6">
      <c r="A3052"/>
      <c r="B3052"/>
      <c r="C3052"/>
      <c r="D3052"/>
      <c r="E3052"/>
      <c r="F3052"/>
    </row>
    <row r="3053" spans="1:6">
      <c r="A3053"/>
      <c r="B3053"/>
      <c r="C3053"/>
      <c r="D3053"/>
      <c r="E3053"/>
      <c r="F3053"/>
    </row>
    <row r="3054" spans="1:6">
      <c r="A3054"/>
      <c r="B3054"/>
      <c r="C3054"/>
      <c r="D3054"/>
      <c r="E3054"/>
      <c r="F3054"/>
    </row>
    <row r="3055" spans="1:6">
      <c r="A3055"/>
      <c r="B3055"/>
      <c r="C3055"/>
      <c r="D3055"/>
      <c r="E3055"/>
      <c r="F3055"/>
    </row>
    <row r="3056" spans="1:6">
      <c r="A3056"/>
      <c r="B3056"/>
      <c r="C3056"/>
      <c r="D3056"/>
      <c r="E3056"/>
      <c r="F3056"/>
    </row>
    <row r="3057" spans="1:6">
      <c r="A3057"/>
      <c r="B3057"/>
      <c r="C3057"/>
      <c r="D3057"/>
      <c r="E3057"/>
      <c r="F3057"/>
    </row>
    <row r="3058" spans="1:6">
      <c r="A3058"/>
      <c r="B3058"/>
      <c r="C3058"/>
      <c r="D3058"/>
      <c r="E3058"/>
      <c r="F3058"/>
    </row>
    <row r="3059" spans="1:6">
      <c r="A3059"/>
      <c r="B3059"/>
      <c r="C3059"/>
      <c r="D3059"/>
      <c r="E3059"/>
      <c r="F3059"/>
    </row>
    <row r="3060" spans="1:6">
      <c r="A3060"/>
      <c r="B3060"/>
      <c r="C3060"/>
      <c r="D3060"/>
      <c r="E3060"/>
      <c r="F3060"/>
    </row>
    <row r="3061" spans="1:6">
      <c r="A3061"/>
      <c r="B3061"/>
      <c r="C3061"/>
      <c r="D3061"/>
      <c r="E3061"/>
      <c r="F3061"/>
    </row>
    <row r="3062" spans="1:6">
      <c r="A3062"/>
      <c r="B3062"/>
      <c r="C3062"/>
      <c r="D3062"/>
      <c r="E3062"/>
      <c r="F3062"/>
    </row>
    <row r="3063" spans="1:6">
      <c r="A3063"/>
      <c r="B3063"/>
      <c r="C3063"/>
      <c r="D3063"/>
      <c r="E3063"/>
      <c r="F3063"/>
    </row>
    <row r="3064" spans="1:6">
      <c r="A3064"/>
      <c r="B3064"/>
      <c r="C3064"/>
      <c r="D3064"/>
      <c r="E3064"/>
      <c r="F3064"/>
    </row>
    <row r="3065" spans="1:6">
      <c r="A3065"/>
      <c r="B3065"/>
      <c r="C3065"/>
      <c r="D3065"/>
      <c r="E3065"/>
      <c r="F3065"/>
    </row>
    <row r="3066" spans="1:6">
      <c r="A3066"/>
      <c r="B3066"/>
      <c r="C3066"/>
      <c r="D3066"/>
      <c r="E3066"/>
      <c r="F3066"/>
    </row>
    <row r="3067" spans="1:6">
      <c r="A3067"/>
      <c r="B3067"/>
      <c r="C3067"/>
      <c r="D3067"/>
      <c r="E3067"/>
      <c r="F3067"/>
    </row>
    <row r="3068" spans="1:6">
      <c r="A3068"/>
      <c r="B3068"/>
      <c r="C3068"/>
      <c r="D3068"/>
      <c r="E3068"/>
      <c r="F3068"/>
    </row>
    <row r="3069" spans="1:6">
      <c r="A3069"/>
      <c r="B3069"/>
      <c r="C3069"/>
      <c r="D3069"/>
      <c r="E3069"/>
      <c r="F3069"/>
    </row>
    <row r="3070" spans="1:6">
      <c r="A3070"/>
      <c r="B3070"/>
      <c r="C3070"/>
      <c r="D3070"/>
      <c r="E3070"/>
      <c r="F3070"/>
    </row>
    <row r="3071" spans="1:6">
      <c r="A3071"/>
      <c r="B3071"/>
      <c r="C3071"/>
      <c r="D3071"/>
      <c r="E3071"/>
      <c r="F3071"/>
    </row>
    <row r="3072" spans="1:6">
      <c r="A3072"/>
      <c r="B3072"/>
      <c r="C3072"/>
      <c r="D3072"/>
      <c r="E3072"/>
      <c r="F3072"/>
    </row>
    <row r="3073" spans="1:6">
      <c r="A3073"/>
      <c r="B3073"/>
      <c r="C3073"/>
      <c r="D3073"/>
      <c r="E3073"/>
      <c r="F3073"/>
    </row>
    <row r="3074" spans="1:6">
      <c r="A3074"/>
      <c r="B3074"/>
      <c r="C3074"/>
      <c r="D3074"/>
      <c r="E3074"/>
      <c r="F3074"/>
    </row>
    <row r="3075" spans="1:6">
      <c r="A3075"/>
      <c r="B3075"/>
      <c r="C3075"/>
      <c r="D3075"/>
      <c r="E3075"/>
      <c r="F3075"/>
    </row>
    <row r="3076" spans="1:6">
      <c r="A3076"/>
      <c r="B3076"/>
      <c r="C3076"/>
      <c r="D3076"/>
      <c r="E3076"/>
      <c r="F3076"/>
    </row>
    <row r="3077" spans="1:6">
      <c r="A3077"/>
      <c r="B3077"/>
      <c r="C3077"/>
      <c r="D3077"/>
      <c r="E3077"/>
      <c r="F3077"/>
    </row>
    <row r="3078" spans="1:6">
      <c r="A3078"/>
      <c r="B3078"/>
      <c r="C3078"/>
      <c r="D3078"/>
      <c r="E3078"/>
      <c r="F3078"/>
    </row>
    <row r="3079" spans="1:6">
      <c r="A3079"/>
      <c r="B3079"/>
      <c r="C3079"/>
      <c r="D3079"/>
      <c r="E3079"/>
      <c r="F3079"/>
    </row>
    <row r="3080" spans="1:6">
      <c r="A3080"/>
      <c r="B3080"/>
      <c r="C3080"/>
      <c r="D3080"/>
      <c r="E3080"/>
      <c r="F3080"/>
    </row>
    <row r="3081" spans="1:6">
      <c r="A3081"/>
      <c r="B3081"/>
      <c r="C3081"/>
      <c r="D3081"/>
      <c r="E3081"/>
      <c r="F3081"/>
    </row>
    <row r="3082" spans="1:6">
      <c r="A3082"/>
      <c r="B3082"/>
      <c r="C3082"/>
      <c r="D3082"/>
      <c r="E3082"/>
      <c r="F3082"/>
    </row>
    <row r="3083" spans="1:6">
      <c r="A3083"/>
      <c r="B3083"/>
      <c r="C3083"/>
      <c r="D3083"/>
      <c r="E3083"/>
      <c r="F3083"/>
    </row>
    <row r="3084" spans="1:6">
      <c r="A3084"/>
      <c r="B3084"/>
      <c r="C3084"/>
      <c r="D3084"/>
      <c r="E3084"/>
      <c r="F3084"/>
    </row>
    <row r="3085" spans="1:6">
      <c r="A3085"/>
      <c r="B3085"/>
      <c r="C3085"/>
      <c r="D3085"/>
      <c r="E3085"/>
      <c r="F3085"/>
    </row>
    <row r="3086" spans="1:6">
      <c r="A3086"/>
      <c r="B3086"/>
      <c r="C3086"/>
      <c r="D3086"/>
      <c r="E3086"/>
      <c r="F3086"/>
    </row>
    <row r="3087" spans="1:6">
      <c r="A3087"/>
      <c r="B3087"/>
      <c r="C3087"/>
      <c r="D3087"/>
      <c r="E3087"/>
      <c r="F3087"/>
    </row>
    <row r="3088" spans="1:6">
      <c r="A3088"/>
      <c r="B3088"/>
      <c r="C3088"/>
      <c r="D3088"/>
      <c r="E3088"/>
      <c r="F3088"/>
    </row>
    <row r="3089" spans="1:6">
      <c r="A3089"/>
      <c r="B3089"/>
      <c r="C3089"/>
      <c r="D3089"/>
      <c r="E3089"/>
      <c r="F3089"/>
    </row>
    <row r="3090" spans="1:6">
      <c r="A3090"/>
      <c r="B3090"/>
      <c r="C3090"/>
      <c r="D3090"/>
      <c r="E3090"/>
      <c r="F3090"/>
    </row>
    <row r="3091" spans="1:6">
      <c r="A3091"/>
      <c r="B3091"/>
      <c r="C3091"/>
      <c r="D3091"/>
      <c r="E3091"/>
      <c r="F3091"/>
    </row>
    <row r="3092" spans="1:6">
      <c r="A3092"/>
      <c r="B3092"/>
      <c r="C3092"/>
      <c r="D3092"/>
      <c r="E3092"/>
      <c r="F3092"/>
    </row>
    <row r="3093" spans="1:6">
      <c r="A3093"/>
      <c r="B3093"/>
      <c r="C3093"/>
      <c r="D3093"/>
      <c r="E3093"/>
      <c r="F3093"/>
    </row>
    <row r="3094" spans="1:6">
      <c r="A3094"/>
      <c r="B3094"/>
      <c r="C3094"/>
      <c r="D3094"/>
      <c r="E3094"/>
      <c r="F3094"/>
    </row>
    <row r="3095" spans="1:6">
      <c r="A3095"/>
      <c r="B3095"/>
      <c r="C3095"/>
      <c r="D3095"/>
      <c r="E3095"/>
      <c r="F3095"/>
    </row>
    <row r="3096" spans="1:6">
      <c r="A3096"/>
      <c r="B3096"/>
      <c r="C3096"/>
      <c r="D3096"/>
      <c r="E3096"/>
      <c r="F3096"/>
    </row>
    <row r="3097" spans="1:6">
      <c r="A3097"/>
      <c r="B3097"/>
      <c r="C3097"/>
      <c r="D3097"/>
      <c r="E3097"/>
      <c r="F3097"/>
    </row>
    <row r="3098" spans="1:6">
      <c r="A3098"/>
      <c r="B3098"/>
      <c r="C3098"/>
      <c r="D3098"/>
      <c r="E3098"/>
      <c r="F3098"/>
    </row>
    <row r="3099" spans="1:6">
      <c r="A3099"/>
      <c r="B3099"/>
      <c r="C3099"/>
      <c r="D3099"/>
      <c r="E3099"/>
      <c r="F3099"/>
    </row>
    <row r="3100" spans="1:6">
      <c r="A3100"/>
      <c r="B3100"/>
      <c r="C3100"/>
      <c r="D3100"/>
      <c r="E3100"/>
      <c r="F3100"/>
    </row>
    <row r="3101" spans="1:6">
      <c r="A3101"/>
      <c r="B3101"/>
      <c r="C3101"/>
      <c r="D3101"/>
      <c r="E3101"/>
      <c r="F3101"/>
    </row>
    <row r="3102" spans="1:6">
      <c r="A3102"/>
      <c r="B3102"/>
      <c r="C3102"/>
      <c r="D3102"/>
      <c r="E3102"/>
      <c r="F3102"/>
    </row>
    <row r="3103" spans="1:6">
      <c r="A3103"/>
      <c r="B3103"/>
      <c r="C3103"/>
      <c r="D3103"/>
      <c r="E3103"/>
      <c r="F3103"/>
    </row>
    <row r="3104" spans="1:6">
      <c r="A3104"/>
      <c r="B3104"/>
      <c r="C3104"/>
      <c r="D3104"/>
      <c r="E3104"/>
      <c r="F3104"/>
    </row>
    <row r="3105" spans="1:6">
      <c r="A3105"/>
      <c r="B3105"/>
      <c r="C3105"/>
      <c r="D3105"/>
      <c r="E3105"/>
      <c r="F3105"/>
    </row>
    <row r="3106" spans="1:6">
      <c r="A3106"/>
      <c r="B3106"/>
      <c r="C3106"/>
      <c r="D3106"/>
      <c r="E3106"/>
      <c r="F3106"/>
    </row>
    <row r="3107" spans="1:6">
      <c r="A3107"/>
      <c r="B3107"/>
      <c r="C3107"/>
      <c r="D3107"/>
      <c r="E3107"/>
      <c r="F3107"/>
    </row>
    <row r="3108" spans="1:6">
      <c r="A3108"/>
      <c r="B3108"/>
      <c r="C3108"/>
      <c r="D3108"/>
      <c r="E3108"/>
      <c r="F3108"/>
    </row>
    <row r="3109" spans="1:6">
      <c r="A3109"/>
      <c r="B3109"/>
      <c r="C3109"/>
      <c r="D3109"/>
      <c r="E3109"/>
      <c r="F3109"/>
    </row>
    <row r="3110" spans="1:6">
      <c r="A3110"/>
      <c r="B3110"/>
      <c r="C3110"/>
      <c r="D3110"/>
      <c r="E3110"/>
      <c r="F3110"/>
    </row>
    <row r="3111" spans="1:6">
      <c r="A3111"/>
      <c r="B3111"/>
      <c r="C3111"/>
      <c r="D3111"/>
      <c r="E3111"/>
      <c r="F3111"/>
    </row>
    <row r="3112" spans="1:6">
      <c r="A3112"/>
      <c r="B3112"/>
      <c r="C3112"/>
      <c r="D3112"/>
      <c r="E3112"/>
      <c r="F3112"/>
    </row>
    <row r="3113" spans="1:6">
      <c r="A3113"/>
      <c r="B3113"/>
      <c r="C3113"/>
      <c r="D3113"/>
      <c r="E3113"/>
      <c r="F3113"/>
    </row>
    <row r="3114" spans="1:6">
      <c r="A3114"/>
      <c r="B3114"/>
      <c r="C3114"/>
      <c r="D3114"/>
      <c r="E3114"/>
      <c r="F3114"/>
    </row>
    <row r="3115" spans="1:6">
      <c r="A3115"/>
      <c r="B3115"/>
      <c r="C3115"/>
      <c r="D3115"/>
      <c r="E3115"/>
      <c r="F3115"/>
    </row>
    <row r="3116" spans="1:6">
      <c r="A3116"/>
      <c r="B3116"/>
      <c r="C3116"/>
      <c r="D3116"/>
      <c r="E3116"/>
      <c r="F3116"/>
    </row>
    <row r="3117" spans="1:6">
      <c r="A3117"/>
      <c r="B3117"/>
      <c r="C3117"/>
      <c r="D3117"/>
      <c r="E3117"/>
      <c r="F3117"/>
    </row>
    <row r="3118" spans="1:6">
      <c r="A3118"/>
      <c r="B3118"/>
      <c r="C3118"/>
      <c r="D3118"/>
      <c r="E3118"/>
      <c r="F3118"/>
    </row>
    <row r="3119" spans="1:6">
      <c r="A3119"/>
      <c r="B3119"/>
      <c r="C3119"/>
      <c r="D3119"/>
      <c r="E3119"/>
      <c r="F3119"/>
    </row>
    <row r="3120" spans="1:6">
      <c r="A3120"/>
      <c r="B3120"/>
      <c r="C3120"/>
      <c r="D3120"/>
      <c r="E3120"/>
      <c r="F3120"/>
    </row>
    <row r="3121" spans="1:6">
      <c r="A3121"/>
      <c r="B3121"/>
      <c r="C3121"/>
      <c r="D3121"/>
      <c r="E3121"/>
      <c r="F3121"/>
    </row>
    <row r="3122" spans="1:6">
      <c r="A3122"/>
      <c r="B3122"/>
      <c r="C3122"/>
      <c r="D3122"/>
      <c r="E3122"/>
      <c r="F3122"/>
    </row>
    <row r="3123" spans="1:6">
      <c r="A3123"/>
      <c r="B3123"/>
      <c r="C3123"/>
      <c r="D3123"/>
      <c r="E3123"/>
      <c r="F3123"/>
    </row>
    <row r="3124" spans="1:6">
      <c r="A3124"/>
      <c r="B3124"/>
      <c r="C3124"/>
      <c r="D3124"/>
      <c r="E3124"/>
      <c r="F3124"/>
    </row>
    <row r="3125" spans="1:6">
      <c r="A3125"/>
      <c r="B3125"/>
      <c r="C3125"/>
      <c r="D3125"/>
      <c r="E3125"/>
      <c r="F3125"/>
    </row>
    <row r="3126" spans="1:6">
      <c r="A3126"/>
      <c r="B3126"/>
      <c r="C3126"/>
      <c r="D3126"/>
      <c r="E3126"/>
      <c r="F3126"/>
    </row>
    <row r="3127" spans="1:6">
      <c r="A3127"/>
      <c r="B3127"/>
      <c r="C3127"/>
      <c r="D3127"/>
      <c r="E3127"/>
      <c r="F3127"/>
    </row>
    <row r="3128" spans="1:6">
      <c r="A3128"/>
      <c r="B3128"/>
      <c r="C3128"/>
      <c r="D3128"/>
      <c r="E3128"/>
      <c r="F3128"/>
    </row>
    <row r="3129" spans="1:6">
      <c r="A3129"/>
      <c r="B3129"/>
      <c r="C3129"/>
      <c r="D3129"/>
      <c r="E3129"/>
      <c r="F3129"/>
    </row>
    <row r="3130" spans="1:6">
      <c r="A3130"/>
      <c r="B3130"/>
      <c r="C3130"/>
      <c r="D3130"/>
      <c r="E3130"/>
      <c r="F3130"/>
    </row>
    <row r="3131" spans="1:6">
      <c r="A3131"/>
      <c r="B3131"/>
      <c r="C3131"/>
      <c r="D3131"/>
      <c r="E3131"/>
      <c r="F3131"/>
    </row>
    <row r="3132" spans="1:6">
      <c r="A3132"/>
      <c r="B3132"/>
      <c r="C3132"/>
      <c r="D3132"/>
      <c r="E3132"/>
      <c r="F3132"/>
    </row>
    <row r="3133" spans="1:6">
      <c r="A3133"/>
      <c r="B3133"/>
      <c r="C3133"/>
      <c r="D3133"/>
      <c r="E3133"/>
      <c r="F3133"/>
    </row>
    <row r="3134" spans="1:6">
      <c r="A3134"/>
      <c r="B3134"/>
      <c r="C3134"/>
      <c r="D3134"/>
      <c r="E3134"/>
      <c r="F3134"/>
    </row>
    <row r="3135" spans="1:6">
      <c r="A3135"/>
      <c r="B3135"/>
      <c r="C3135"/>
      <c r="D3135"/>
      <c r="E3135"/>
      <c r="F3135"/>
    </row>
    <row r="3136" spans="1:6">
      <c r="A3136"/>
      <c r="B3136"/>
      <c r="C3136"/>
      <c r="D3136"/>
      <c r="E3136"/>
      <c r="F3136"/>
    </row>
    <row r="3137" spans="1:6">
      <c r="A3137"/>
      <c r="B3137"/>
      <c r="C3137"/>
      <c r="D3137"/>
      <c r="E3137"/>
      <c r="F3137"/>
    </row>
    <row r="3138" spans="1:6">
      <c r="A3138"/>
      <c r="B3138"/>
      <c r="C3138"/>
      <c r="D3138"/>
      <c r="E3138"/>
      <c r="F3138"/>
    </row>
    <row r="3139" spans="1:6">
      <c r="A3139"/>
      <c r="B3139"/>
      <c r="C3139"/>
      <c r="D3139"/>
      <c r="E3139"/>
      <c r="F3139"/>
    </row>
    <row r="3140" spans="1:6">
      <c r="A3140"/>
      <c r="B3140"/>
      <c r="C3140"/>
      <c r="D3140"/>
      <c r="E3140"/>
      <c r="F3140"/>
    </row>
    <row r="3141" spans="1:6">
      <c r="A3141"/>
      <c r="B3141"/>
      <c r="C3141"/>
      <c r="D3141"/>
      <c r="E3141"/>
      <c r="F3141"/>
    </row>
    <row r="3142" spans="1:6">
      <c r="A3142"/>
      <c r="B3142"/>
      <c r="C3142"/>
      <c r="D3142"/>
      <c r="E3142"/>
      <c r="F3142"/>
    </row>
    <row r="3143" spans="1:6">
      <c r="A3143"/>
      <c r="B3143"/>
      <c r="C3143"/>
      <c r="D3143"/>
      <c r="E3143"/>
      <c r="F3143"/>
    </row>
    <row r="3144" spans="1:6">
      <c r="A3144"/>
      <c r="B3144"/>
      <c r="C3144"/>
      <c r="D3144"/>
      <c r="E3144"/>
      <c r="F3144"/>
    </row>
    <row r="3145" spans="1:6">
      <c r="A3145"/>
      <c r="B3145"/>
      <c r="C3145"/>
      <c r="D3145"/>
      <c r="E3145"/>
      <c r="F3145"/>
    </row>
    <row r="3146" spans="1:6">
      <c r="A3146"/>
      <c r="B3146"/>
      <c r="C3146"/>
      <c r="D3146"/>
      <c r="E3146"/>
      <c r="F3146"/>
    </row>
    <row r="3147" spans="1:6">
      <c r="A3147"/>
      <c r="B3147"/>
      <c r="C3147"/>
      <c r="D3147"/>
      <c r="E3147"/>
      <c r="F3147"/>
    </row>
    <row r="3148" spans="1:6">
      <c r="A3148"/>
      <c r="B3148"/>
      <c r="C3148"/>
      <c r="D3148"/>
      <c r="E3148"/>
      <c r="F3148"/>
    </row>
    <row r="3149" spans="1:6">
      <c r="A3149"/>
      <c r="B3149"/>
      <c r="C3149"/>
      <c r="D3149"/>
      <c r="E3149"/>
      <c r="F3149"/>
    </row>
    <row r="3150" spans="1:6">
      <c r="A3150"/>
      <c r="B3150"/>
      <c r="C3150"/>
      <c r="D3150"/>
      <c r="E3150"/>
      <c r="F3150"/>
    </row>
    <row r="3151" spans="1:6">
      <c r="A3151"/>
      <c r="B3151"/>
      <c r="C3151"/>
      <c r="D3151"/>
      <c r="E3151"/>
      <c r="F3151"/>
    </row>
    <row r="3152" spans="1:6">
      <c r="A3152"/>
      <c r="B3152"/>
      <c r="C3152"/>
      <c r="D3152"/>
      <c r="E3152"/>
      <c r="F3152"/>
    </row>
    <row r="3153" spans="1:6">
      <c r="A3153"/>
      <c r="B3153"/>
      <c r="C3153"/>
      <c r="D3153"/>
      <c r="E3153"/>
      <c r="F3153"/>
    </row>
    <row r="3154" spans="1:6">
      <c r="A3154"/>
      <c r="B3154"/>
      <c r="C3154"/>
      <c r="D3154"/>
      <c r="E3154"/>
      <c r="F3154"/>
    </row>
    <row r="3155" spans="1:6">
      <c r="A3155"/>
      <c r="B3155"/>
      <c r="C3155"/>
      <c r="D3155"/>
      <c r="E3155"/>
      <c r="F3155"/>
    </row>
    <row r="3156" spans="1:6">
      <c r="A3156"/>
      <c r="B3156"/>
      <c r="C3156"/>
      <c r="D3156"/>
      <c r="E3156"/>
      <c r="F3156"/>
    </row>
    <row r="3157" spans="1:6">
      <c r="A3157"/>
      <c r="B3157"/>
      <c r="C3157"/>
      <c r="D3157"/>
      <c r="E3157"/>
      <c r="F3157"/>
    </row>
    <row r="3158" spans="1:6">
      <c r="A3158"/>
      <c r="B3158"/>
      <c r="C3158"/>
      <c r="D3158"/>
      <c r="E3158"/>
      <c r="F3158"/>
    </row>
    <row r="3159" spans="1:6">
      <c r="A3159"/>
      <c r="B3159"/>
      <c r="C3159"/>
      <c r="D3159"/>
      <c r="E3159"/>
      <c r="F3159"/>
    </row>
    <row r="3160" spans="1:6">
      <c r="A3160"/>
      <c r="B3160"/>
      <c r="C3160"/>
      <c r="D3160"/>
      <c r="E3160"/>
      <c r="F3160"/>
    </row>
    <row r="3161" spans="1:6">
      <c r="A3161"/>
      <c r="B3161"/>
      <c r="C3161"/>
      <c r="D3161"/>
      <c r="E3161"/>
      <c r="F3161"/>
    </row>
    <row r="3162" spans="1:6">
      <c r="A3162"/>
      <c r="B3162"/>
      <c r="C3162"/>
      <c r="D3162"/>
      <c r="E3162"/>
      <c r="F3162"/>
    </row>
    <row r="3163" spans="1:6">
      <c r="A3163"/>
      <c r="B3163"/>
      <c r="C3163"/>
      <c r="D3163"/>
      <c r="E3163"/>
      <c r="F3163"/>
    </row>
    <row r="3164" spans="1:6">
      <c r="A3164"/>
      <c r="B3164"/>
      <c r="C3164"/>
      <c r="D3164"/>
      <c r="E3164"/>
      <c r="F3164"/>
    </row>
    <row r="3165" spans="1:6">
      <c r="A3165"/>
      <c r="B3165"/>
      <c r="C3165"/>
      <c r="D3165"/>
      <c r="E3165"/>
      <c r="F3165"/>
    </row>
    <row r="3166" spans="1:6">
      <c r="A3166"/>
      <c r="B3166"/>
      <c r="C3166"/>
      <c r="D3166"/>
      <c r="E3166"/>
      <c r="F3166"/>
    </row>
    <row r="3167" spans="1:6">
      <c r="A3167"/>
      <c r="B3167"/>
      <c r="C3167"/>
      <c r="D3167"/>
      <c r="E3167"/>
      <c r="F3167"/>
    </row>
    <row r="3168" spans="1:6">
      <c r="A3168"/>
      <c r="B3168"/>
      <c r="C3168"/>
      <c r="D3168"/>
      <c r="E3168"/>
      <c r="F3168"/>
    </row>
    <row r="3169" spans="1:6">
      <c r="A3169"/>
      <c r="B3169"/>
      <c r="C3169"/>
      <c r="D3169"/>
      <c r="E3169"/>
      <c r="F3169"/>
    </row>
    <row r="3170" spans="1:6">
      <c r="A3170"/>
      <c r="B3170"/>
      <c r="C3170"/>
      <c r="D3170"/>
      <c r="E3170"/>
      <c r="F3170"/>
    </row>
    <row r="3171" spans="1:6">
      <c r="A3171"/>
      <c r="B3171"/>
      <c r="C3171"/>
      <c r="D3171"/>
      <c r="E3171"/>
      <c r="F3171"/>
    </row>
    <row r="3172" spans="1:6">
      <c r="A3172"/>
      <c r="B3172"/>
      <c r="C3172"/>
      <c r="D3172"/>
      <c r="E3172"/>
      <c r="F3172"/>
    </row>
    <row r="3173" spans="1:6">
      <c r="A3173"/>
      <c r="B3173"/>
      <c r="C3173"/>
      <c r="D3173"/>
      <c r="E3173"/>
      <c r="F3173"/>
    </row>
    <row r="3174" spans="1:6">
      <c r="A3174"/>
      <c r="B3174"/>
      <c r="C3174"/>
      <c r="D3174"/>
      <c r="E3174"/>
      <c r="F3174"/>
    </row>
    <row r="3175" spans="1:6">
      <c r="A3175"/>
      <c r="B3175"/>
      <c r="C3175"/>
      <c r="D3175"/>
      <c r="E3175"/>
      <c r="F3175"/>
    </row>
    <row r="3176" spans="1:6">
      <c r="A3176"/>
      <c r="B3176"/>
      <c r="C3176"/>
      <c r="D3176"/>
      <c r="E3176"/>
      <c r="F3176"/>
    </row>
    <row r="3177" spans="1:6">
      <c r="A3177"/>
      <c r="B3177"/>
      <c r="C3177"/>
      <c r="D3177"/>
      <c r="E3177"/>
      <c r="F3177"/>
    </row>
    <row r="3178" spans="1:6">
      <c r="A3178"/>
      <c r="B3178"/>
      <c r="C3178"/>
      <c r="D3178"/>
      <c r="E3178"/>
      <c r="F3178"/>
    </row>
    <row r="3179" spans="1:6">
      <c r="A3179"/>
      <c r="B3179"/>
      <c r="C3179"/>
      <c r="D3179"/>
      <c r="E3179"/>
      <c r="F3179"/>
    </row>
    <row r="3180" spans="1:6">
      <c r="A3180"/>
      <c r="B3180"/>
      <c r="C3180"/>
      <c r="D3180"/>
      <c r="E3180"/>
      <c r="F3180"/>
    </row>
    <row r="3181" spans="1:6">
      <c r="A3181"/>
      <c r="B3181"/>
      <c r="C3181"/>
      <c r="D3181"/>
      <c r="E3181"/>
      <c r="F3181"/>
    </row>
    <row r="3182" spans="1:6">
      <c r="A3182"/>
      <c r="B3182"/>
      <c r="C3182"/>
      <c r="D3182"/>
      <c r="E3182"/>
      <c r="F3182"/>
    </row>
    <row r="3183" spans="1:6">
      <c r="A3183"/>
      <c r="B3183"/>
      <c r="C3183"/>
      <c r="D3183"/>
      <c r="E3183"/>
      <c r="F3183"/>
    </row>
    <row r="3184" spans="1:6">
      <c r="A3184"/>
      <c r="B3184"/>
      <c r="C3184"/>
      <c r="D3184"/>
      <c r="E3184"/>
      <c r="F3184"/>
    </row>
    <row r="3185" spans="1:6">
      <c r="A3185"/>
      <c r="B3185"/>
      <c r="C3185"/>
      <c r="D3185"/>
      <c r="E3185"/>
      <c r="F3185"/>
    </row>
    <row r="3186" spans="1:6">
      <c r="A3186"/>
      <c r="B3186"/>
      <c r="C3186"/>
      <c r="D3186"/>
      <c r="E3186"/>
      <c r="F3186"/>
    </row>
    <row r="3187" spans="1:6">
      <c r="A3187"/>
      <c r="B3187"/>
      <c r="C3187"/>
      <c r="D3187"/>
      <c r="E3187"/>
      <c r="F3187"/>
    </row>
    <row r="3188" spans="1:6">
      <c r="A3188"/>
      <c r="B3188"/>
      <c r="C3188"/>
      <c r="D3188"/>
      <c r="E3188"/>
      <c r="F3188"/>
    </row>
    <row r="3189" spans="1:6">
      <c r="A3189"/>
      <c r="B3189"/>
      <c r="C3189"/>
      <c r="D3189"/>
      <c r="E3189"/>
      <c r="F3189"/>
    </row>
    <row r="3190" spans="1:6">
      <c r="A3190"/>
      <c r="B3190"/>
      <c r="C3190"/>
      <c r="D3190"/>
      <c r="E3190"/>
      <c r="F3190"/>
    </row>
    <row r="3191" spans="1:6">
      <c r="A3191"/>
      <c r="B3191"/>
      <c r="C3191"/>
      <c r="D3191"/>
      <c r="E3191"/>
      <c r="F3191"/>
    </row>
    <row r="3192" spans="1:6">
      <c r="A3192"/>
      <c r="B3192"/>
      <c r="C3192"/>
      <c r="D3192"/>
      <c r="E3192"/>
      <c r="F3192"/>
    </row>
    <row r="3193" spans="1:6">
      <c r="A3193"/>
      <c r="B3193"/>
      <c r="C3193"/>
      <c r="D3193"/>
      <c r="E3193"/>
      <c r="F3193"/>
    </row>
    <row r="3194" spans="1:6">
      <c r="A3194"/>
      <c r="B3194"/>
      <c r="C3194"/>
      <c r="D3194"/>
      <c r="E3194"/>
      <c r="F3194"/>
    </row>
    <row r="3195" spans="1:6">
      <c r="A3195"/>
      <c r="B3195"/>
      <c r="C3195"/>
      <c r="D3195"/>
      <c r="E3195"/>
      <c r="F3195"/>
    </row>
    <row r="3196" spans="1:6">
      <c r="A3196"/>
      <c r="B3196"/>
      <c r="C3196"/>
      <c r="D3196"/>
      <c r="E3196"/>
      <c r="F3196"/>
    </row>
    <row r="3197" spans="1:6">
      <c r="A3197"/>
      <c r="B3197"/>
      <c r="C3197"/>
      <c r="D3197"/>
      <c r="E3197"/>
      <c r="F3197"/>
    </row>
    <row r="3198" spans="1:6">
      <c r="A3198"/>
      <c r="B3198"/>
      <c r="C3198"/>
      <c r="D3198"/>
      <c r="E3198"/>
      <c r="F3198"/>
    </row>
    <row r="3199" spans="1:6">
      <c r="A3199"/>
      <c r="B3199"/>
      <c r="C3199"/>
      <c r="D3199"/>
      <c r="E3199"/>
      <c r="F3199"/>
    </row>
    <row r="3200" spans="1:6">
      <c r="A3200"/>
      <c r="B3200"/>
      <c r="C3200"/>
      <c r="D3200"/>
      <c r="E3200"/>
      <c r="F3200"/>
    </row>
    <row r="3201" spans="1:6">
      <c r="A3201"/>
      <c r="B3201"/>
      <c r="C3201"/>
      <c r="D3201"/>
      <c r="E3201"/>
      <c r="F3201"/>
    </row>
    <row r="3202" spans="1:6">
      <c r="A3202"/>
      <c r="B3202"/>
      <c r="C3202"/>
      <c r="D3202"/>
      <c r="E3202"/>
      <c r="F3202"/>
    </row>
    <row r="3203" spans="1:6">
      <c r="A3203"/>
      <c r="B3203"/>
      <c r="C3203"/>
      <c r="D3203"/>
      <c r="E3203"/>
      <c r="F3203"/>
    </row>
    <row r="3204" spans="1:6">
      <c r="A3204"/>
      <c r="B3204"/>
      <c r="C3204"/>
      <c r="D3204"/>
      <c r="E3204"/>
      <c r="F3204"/>
    </row>
    <row r="3205" spans="1:6">
      <c r="A3205"/>
      <c r="B3205"/>
      <c r="C3205"/>
      <c r="D3205"/>
      <c r="E3205"/>
      <c r="F3205"/>
    </row>
    <row r="3206" spans="1:6">
      <c r="A3206"/>
      <c r="B3206"/>
      <c r="C3206"/>
      <c r="D3206"/>
      <c r="E3206"/>
      <c r="F3206"/>
    </row>
    <row r="3207" spans="1:6">
      <c r="A3207"/>
      <c r="B3207"/>
      <c r="C3207"/>
      <c r="D3207"/>
      <c r="E3207"/>
      <c r="F3207"/>
    </row>
    <row r="3208" spans="1:6">
      <c r="A3208"/>
      <c r="B3208"/>
      <c r="C3208"/>
      <c r="D3208"/>
      <c r="E3208"/>
      <c r="F3208"/>
    </row>
    <row r="3209" spans="1:6">
      <c r="A3209"/>
      <c r="B3209"/>
      <c r="C3209"/>
      <c r="D3209"/>
      <c r="E3209"/>
      <c r="F3209"/>
    </row>
    <row r="3210" spans="1:6">
      <c r="A3210"/>
      <c r="B3210"/>
      <c r="C3210"/>
      <c r="D3210"/>
      <c r="E3210"/>
      <c r="F3210"/>
    </row>
    <row r="3211" spans="1:6">
      <c r="A3211"/>
      <c r="B3211"/>
      <c r="C3211"/>
      <c r="D3211"/>
      <c r="E3211"/>
      <c r="F3211"/>
    </row>
    <row r="3212" spans="1:6">
      <c r="A3212"/>
      <c r="B3212"/>
      <c r="C3212"/>
      <c r="D3212"/>
      <c r="E3212"/>
      <c r="F3212"/>
    </row>
    <row r="3213" spans="1:6">
      <c r="A3213"/>
      <c r="B3213"/>
      <c r="C3213"/>
      <c r="D3213"/>
      <c r="E3213"/>
      <c r="F3213"/>
    </row>
    <row r="3214" spans="1:6">
      <c r="A3214"/>
      <c r="B3214"/>
      <c r="C3214"/>
      <c r="D3214"/>
      <c r="E3214"/>
      <c r="F3214"/>
    </row>
    <row r="3215" spans="1:6">
      <c r="A3215"/>
      <c r="B3215"/>
      <c r="C3215"/>
      <c r="D3215"/>
      <c r="E3215"/>
      <c r="F3215"/>
    </row>
    <row r="3216" spans="1:6">
      <c r="A3216"/>
      <c r="B3216"/>
      <c r="C3216"/>
      <c r="D3216"/>
      <c r="E3216"/>
      <c r="F3216"/>
    </row>
    <row r="3217" spans="1:6">
      <c r="A3217"/>
      <c r="B3217"/>
      <c r="C3217"/>
      <c r="D3217"/>
      <c r="E3217"/>
      <c r="F3217"/>
    </row>
    <row r="3218" spans="1:6">
      <c r="A3218"/>
      <c r="B3218"/>
      <c r="C3218"/>
      <c r="D3218"/>
      <c r="E3218"/>
      <c r="F3218"/>
    </row>
    <row r="3219" spans="1:6">
      <c r="A3219"/>
      <c r="B3219"/>
      <c r="C3219"/>
      <c r="D3219"/>
      <c r="E3219"/>
      <c r="F3219"/>
    </row>
    <row r="3220" spans="1:6">
      <c r="A3220"/>
      <c r="B3220"/>
      <c r="C3220"/>
      <c r="D3220"/>
      <c r="E3220"/>
      <c r="F3220"/>
    </row>
    <row r="3221" spans="1:6">
      <c r="A3221"/>
      <c r="B3221"/>
      <c r="C3221"/>
      <c r="D3221"/>
      <c r="E3221"/>
      <c r="F3221"/>
    </row>
    <row r="3222" spans="1:6">
      <c r="A3222"/>
      <c r="B3222"/>
      <c r="C3222"/>
      <c r="D3222"/>
      <c r="E3222"/>
      <c r="F3222"/>
    </row>
    <row r="3223" spans="1:6">
      <c r="A3223"/>
      <c r="B3223"/>
      <c r="C3223"/>
      <c r="D3223"/>
      <c r="E3223"/>
      <c r="F3223"/>
    </row>
    <row r="3224" spans="1:6">
      <c r="A3224"/>
      <c r="B3224"/>
      <c r="C3224"/>
      <c r="D3224"/>
      <c r="E3224"/>
      <c r="F3224"/>
    </row>
    <row r="3225" spans="1:6">
      <c r="A3225"/>
      <c r="B3225"/>
      <c r="C3225"/>
      <c r="D3225"/>
      <c r="E3225"/>
      <c r="F3225"/>
    </row>
    <row r="3226" spans="1:6">
      <c r="A3226"/>
      <c r="B3226"/>
      <c r="C3226"/>
      <c r="D3226"/>
      <c r="E3226"/>
      <c r="F3226"/>
    </row>
    <row r="3227" spans="1:6">
      <c r="A3227"/>
      <c r="B3227"/>
      <c r="C3227"/>
      <c r="D3227"/>
      <c r="E3227"/>
      <c r="F3227"/>
    </row>
    <row r="3228" spans="1:6">
      <c r="A3228"/>
      <c r="B3228"/>
      <c r="C3228"/>
      <c r="D3228"/>
      <c r="E3228"/>
      <c r="F3228"/>
    </row>
    <row r="3229" spans="1:6">
      <c r="A3229"/>
      <c r="B3229"/>
      <c r="C3229"/>
      <c r="D3229"/>
      <c r="E3229"/>
      <c r="F3229"/>
    </row>
    <row r="3230" spans="1:6">
      <c r="A3230"/>
      <c r="B3230"/>
      <c r="C3230"/>
      <c r="D3230"/>
      <c r="E3230"/>
      <c r="F3230"/>
    </row>
    <row r="3231" spans="1:6">
      <c r="A3231"/>
      <c r="B3231"/>
      <c r="C3231"/>
      <c r="D3231"/>
      <c r="E3231"/>
      <c r="F3231"/>
    </row>
    <row r="3232" spans="1:6">
      <c r="A3232"/>
      <c r="B3232"/>
      <c r="C3232"/>
      <c r="D3232"/>
      <c r="E3232"/>
      <c r="F3232"/>
    </row>
    <row r="3233" spans="1:6">
      <c r="A3233"/>
      <c r="B3233"/>
      <c r="C3233"/>
      <c r="D3233"/>
      <c r="E3233"/>
      <c r="F3233"/>
    </row>
    <row r="3234" spans="1:6">
      <c r="A3234"/>
      <c r="B3234"/>
      <c r="C3234"/>
      <c r="D3234"/>
      <c r="E3234"/>
      <c r="F3234"/>
    </row>
    <row r="3235" spans="1:6">
      <c r="A3235"/>
      <c r="B3235"/>
      <c r="C3235"/>
      <c r="D3235"/>
      <c r="E3235"/>
      <c r="F3235"/>
    </row>
    <row r="3236" spans="1:6">
      <c r="A3236"/>
      <c r="B3236"/>
      <c r="C3236"/>
      <c r="D3236"/>
      <c r="E3236"/>
      <c r="F3236"/>
    </row>
    <row r="3237" spans="1:6">
      <c r="A3237"/>
      <c r="B3237"/>
      <c r="C3237"/>
      <c r="D3237"/>
      <c r="E3237"/>
      <c r="F3237"/>
    </row>
    <row r="3238" spans="1:6">
      <c r="A3238"/>
      <c r="B3238"/>
      <c r="C3238"/>
      <c r="D3238"/>
      <c r="E3238"/>
      <c r="F3238"/>
    </row>
    <row r="3239" spans="1:6">
      <c r="A3239"/>
      <c r="B3239"/>
      <c r="C3239"/>
      <c r="D3239"/>
      <c r="E3239"/>
      <c r="F3239"/>
    </row>
    <row r="3240" spans="1:6">
      <c r="A3240"/>
      <c r="B3240"/>
      <c r="C3240"/>
      <c r="D3240"/>
      <c r="E3240"/>
      <c r="F3240"/>
    </row>
    <row r="3241" spans="1:6">
      <c r="A3241"/>
      <c r="B3241"/>
      <c r="C3241"/>
      <c r="D3241"/>
      <c r="E3241"/>
      <c r="F3241"/>
    </row>
    <row r="3242" spans="1:6">
      <c r="A3242"/>
      <c r="B3242"/>
      <c r="C3242"/>
      <c r="D3242"/>
      <c r="E3242"/>
      <c r="F3242"/>
    </row>
    <row r="3243" spans="1:6">
      <c r="A3243"/>
      <c r="B3243"/>
      <c r="C3243"/>
      <c r="D3243"/>
      <c r="E3243"/>
      <c r="F3243"/>
    </row>
    <row r="3244" spans="1:6">
      <c r="A3244"/>
      <c r="B3244"/>
      <c r="C3244"/>
      <c r="D3244"/>
      <c r="E3244"/>
      <c r="F3244"/>
    </row>
    <row r="3245" spans="1:6">
      <c r="A3245"/>
      <c r="B3245"/>
      <c r="C3245"/>
      <c r="D3245"/>
      <c r="E3245"/>
      <c r="F3245"/>
    </row>
    <row r="3246" spans="1:6">
      <c r="A3246"/>
      <c r="B3246"/>
      <c r="C3246"/>
      <c r="D3246"/>
      <c r="E3246"/>
      <c r="F3246"/>
    </row>
    <row r="3247" spans="1:6">
      <c r="A3247"/>
      <c r="B3247"/>
      <c r="C3247"/>
      <c r="D3247"/>
      <c r="E3247"/>
      <c r="F3247"/>
    </row>
    <row r="3248" spans="1:6">
      <c r="A3248"/>
      <c r="B3248"/>
      <c r="C3248"/>
      <c r="D3248"/>
      <c r="E3248"/>
      <c r="F3248"/>
    </row>
    <row r="3249" spans="1:6">
      <c r="A3249"/>
      <c r="B3249"/>
      <c r="C3249"/>
      <c r="D3249"/>
      <c r="E3249"/>
      <c r="F3249"/>
    </row>
    <row r="3250" spans="1:6">
      <c r="A3250"/>
      <c r="B3250"/>
      <c r="C3250"/>
      <c r="D3250"/>
      <c r="E3250"/>
      <c r="F3250"/>
    </row>
    <row r="3251" spans="1:6">
      <c r="A3251"/>
      <c r="B3251"/>
      <c r="C3251"/>
      <c r="D3251"/>
      <c r="E3251"/>
      <c r="F3251"/>
    </row>
    <row r="3252" spans="1:6">
      <c r="A3252"/>
      <c r="B3252"/>
      <c r="C3252"/>
      <c r="D3252"/>
      <c r="E3252"/>
      <c r="F3252"/>
    </row>
    <row r="3253" spans="1:6">
      <c r="A3253"/>
      <c r="B3253"/>
      <c r="C3253"/>
      <c r="D3253"/>
      <c r="E3253"/>
      <c r="F3253"/>
    </row>
    <row r="3254" spans="1:6">
      <c r="A3254"/>
      <c r="B3254"/>
      <c r="C3254"/>
      <c r="D3254"/>
      <c r="E3254"/>
      <c r="F3254"/>
    </row>
    <row r="3255" spans="1:6">
      <c r="A3255"/>
      <c r="B3255"/>
      <c r="C3255"/>
      <c r="D3255"/>
      <c r="E3255"/>
      <c r="F3255"/>
    </row>
    <row r="3256" spans="1:6">
      <c r="A3256"/>
      <c r="B3256"/>
      <c r="C3256"/>
      <c r="D3256"/>
      <c r="E3256"/>
      <c r="F3256"/>
    </row>
    <row r="3257" spans="1:6">
      <c r="A3257"/>
      <c r="B3257"/>
      <c r="C3257"/>
      <c r="D3257"/>
      <c r="E3257"/>
      <c r="F3257"/>
    </row>
    <row r="3258" spans="1:6">
      <c r="A3258"/>
      <c r="B3258"/>
      <c r="C3258"/>
      <c r="D3258"/>
      <c r="E3258"/>
      <c r="F3258"/>
    </row>
    <row r="3259" spans="1:6">
      <c r="A3259"/>
      <c r="B3259"/>
      <c r="C3259"/>
      <c r="D3259"/>
      <c r="E3259"/>
      <c r="F3259"/>
    </row>
    <row r="3260" spans="1:6">
      <c r="A3260"/>
      <c r="B3260"/>
      <c r="C3260"/>
      <c r="D3260"/>
      <c r="E3260"/>
      <c r="F3260"/>
    </row>
    <row r="3261" spans="1:6">
      <c r="A3261"/>
      <c r="B3261"/>
      <c r="C3261"/>
      <c r="D3261"/>
      <c r="E3261"/>
      <c r="F3261"/>
    </row>
    <row r="3262" spans="1:6">
      <c r="A3262"/>
      <c r="B3262"/>
      <c r="C3262"/>
      <c r="D3262"/>
      <c r="E3262"/>
      <c r="F3262"/>
    </row>
    <row r="3263" spans="1:6">
      <c r="A3263"/>
      <c r="B3263"/>
      <c r="C3263"/>
      <c r="D3263"/>
      <c r="E3263"/>
      <c r="F3263"/>
    </row>
    <row r="3264" spans="1:6">
      <c r="A3264"/>
      <c r="B3264"/>
      <c r="C3264"/>
      <c r="D3264"/>
      <c r="E3264"/>
      <c r="F3264"/>
    </row>
    <row r="3265" spans="1:6">
      <c r="A3265"/>
      <c r="B3265"/>
      <c r="C3265"/>
      <c r="D3265"/>
      <c r="E3265"/>
      <c r="F3265"/>
    </row>
    <row r="3266" spans="1:6">
      <c r="A3266"/>
      <c r="B3266"/>
      <c r="C3266"/>
      <c r="D3266"/>
      <c r="E3266"/>
      <c r="F3266"/>
    </row>
    <row r="3267" spans="1:6">
      <c r="A3267"/>
      <c r="B3267"/>
      <c r="C3267"/>
      <c r="D3267"/>
      <c r="E3267"/>
      <c r="F3267"/>
    </row>
    <row r="3268" spans="1:6">
      <c r="A3268"/>
      <c r="B3268"/>
      <c r="C3268"/>
      <c r="D3268"/>
      <c r="E3268"/>
      <c r="F3268"/>
    </row>
    <row r="3269" spans="1:6">
      <c r="A3269"/>
      <c r="B3269"/>
      <c r="C3269"/>
      <c r="D3269"/>
      <c r="E3269"/>
      <c r="F3269"/>
    </row>
    <row r="3270" spans="1:6">
      <c r="A3270"/>
      <c r="B3270"/>
      <c r="C3270"/>
      <c r="D3270"/>
      <c r="E3270"/>
      <c r="F3270"/>
    </row>
    <row r="3271" spans="1:6">
      <c r="A3271"/>
      <c r="B3271"/>
      <c r="C3271"/>
      <c r="D3271"/>
      <c r="E3271"/>
      <c r="F3271"/>
    </row>
    <row r="3272" spans="1:6">
      <c r="A3272"/>
      <c r="B3272"/>
      <c r="C3272"/>
      <c r="D3272"/>
      <c r="E3272"/>
      <c r="F3272"/>
    </row>
    <row r="3273" spans="1:6">
      <c r="A3273"/>
      <c r="B3273"/>
      <c r="C3273"/>
      <c r="D3273"/>
      <c r="E3273"/>
      <c r="F3273"/>
    </row>
    <row r="3274" spans="1:6">
      <c r="A3274"/>
      <c r="B3274"/>
      <c r="C3274"/>
      <c r="D3274"/>
      <c r="E3274"/>
      <c r="F3274"/>
    </row>
    <row r="3275" spans="1:6">
      <c r="A3275"/>
      <c r="B3275"/>
      <c r="C3275"/>
      <c r="D3275"/>
      <c r="E3275"/>
      <c r="F3275"/>
    </row>
    <row r="3276" spans="1:6">
      <c r="A3276"/>
      <c r="B3276"/>
      <c r="C3276"/>
      <c r="D3276"/>
      <c r="E3276"/>
      <c r="F3276"/>
    </row>
    <row r="3277" spans="1:6">
      <c r="A3277"/>
      <c r="B3277"/>
      <c r="C3277"/>
      <c r="D3277"/>
      <c r="E3277"/>
      <c r="F3277"/>
    </row>
    <row r="3278" spans="1:6">
      <c r="A3278"/>
      <c r="B3278"/>
      <c r="C3278"/>
      <c r="D3278"/>
      <c r="E3278"/>
      <c r="F3278"/>
    </row>
    <row r="3279" spans="1:6">
      <c r="A3279"/>
      <c r="B3279"/>
      <c r="C3279"/>
      <c r="D3279"/>
      <c r="E3279"/>
      <c r="F3279"/>
    </row>
    <row r="3280" spans="1:6">
      <c r="A3280"/>
      <c r="B3280"/>
      <c r="C3280"/>
      <c r="D3280"/>
      <c r="E3280"/>
      <c r="F3280"/>
    </row>
    <row r="3281" spans="1:6">
      <c r="A3281"/>
      <c r="B3281"/>
      <c r="C3281"/>
      <c r="D3281"/>
      <c r="E3281"/>
      <c r="F3281"/>
    </row>
    <row r="3282" spans="1:6">
      <c r="A3282"/>
      <c r="B3282"/>
      <c r="C3282"/>
      <c r="D3282"/>
      <c r="E3282"/>
      <c r="F3282"/>
    </row>
    <row r="3283" spans="1:6">
      <c r="A3283"/>
      <c r="B3283"/>
      <c r="C3283"/>
      <c r="D3283"/>
      <c r="E3283"/>
      <c r="F3283"/>
    </row>
    <row r="3284" spans="1:6">
      <c r="A3284"/>
      <c r="B3284"/>
      <c r="C3284"/>
      <c r="D3284"/>
      <c r="E3284"/>
      <c r="F3284"/>
    </row>
    <row r="3285" spans="1:6">
      <c r="A3285"/>
      <c r="B3285"/>
      <c r="C3285"/>
      <c r="D3285"/>
      <c r="E3285"/>
      <c r="F3285"/>
    </row>
    <row r="3286" spans="1:6">
      <c r="A3286"/>
      <c r="B3286"/>
      <c r="C3286"/>
      <c r="D3286"/>
      <c r="E3286"/>
      <c r="F3286"/>
    </row>
    <row r="3287" spans="1:6">
      <c r="A3287"/>
      <c r="B3287"/>
      <c r="C3287"/>
      <c r="D3287"/>
      <c r="E3287"/>
      <c r="F3287"/>
    </row>
    <row r="3288" spans="1:6">
      <c r="A3288"/>
      <c r="B3288"/>
      <c r="C3288"/>
      <c r="D3288"/>
      <c r="E3288"/>
      <c r="F3288"/>
    </row>
    <row r="3289" spans="1:6">
      <c r="A3289"/>
      <c r="B3289"/>
      <c r="C3289"/>
      <c r="D3289"/>
      <c r="E3289"/>
      <c r="F3289"/>
    </row>
    <row r="3290" spans="1:6">
      <c r="A3290"/>
      <c r="B3290"/>
      <c r="C3290"/>
      <c r="D3290"/>
      <c r="E3290"/>
      <c r="F3290"/>
    </row>
    <row r="3291" spans="1:6">
      <c r="A3291"/>
      <c r="B3291"/>
      <c r="C3291"/>
      <c r="D3291"/>
      <c r="E3291"/>
      <c r="F3291"/>
    </row>
    <row r="3292" spans="1:6">
      <c r="A3292"/>
      <c r="B3292"/>
      <c r="C3292"/>
      <c r="D3292"/>
      <c r="E3292"/>
      <c r="F3292"/>
    </row>
    <row r="3293" spans="1:6">
      <c r="A3293"/>
      <c r="B3293"/>
      <c r="C3293"/>
      <c r="D3293"/>
      <c r="E3293"/>
      <c r="F3293"/>
    </row>
    <row r="3294" spans="1:6">
      <c r="A3294"/>
      <c r="B3294"/>
      <c r="C3294"/>
      <c r="D3294"/>
      <c r="E3294"/>
      <c r="F3294"/>
    </row>
    <row r="3295" spans="1:6">
      <c r="A3295"/>
      <c r="B3295"/>
      <c r="C3295"/>
      <c r="D3295"/>
      <c r="E3295"/>
      <c r="F3295"/>
    </row>
    <row r="3296" spans="1:6">
      <c r="A3296"/>
      <c r="B3296"/>
      <c r="C3296"/>
      <c r="D3296"/>
      <c r="E3296"/>
      <c r="F3296"/>
    </row>
    <row r="3297" spans="1:6">
      <c r="A3297"/>
      <c r="B3297"/>
      <c r="C3297"/>
      <c r="D3297"/>
      <c r="E3297"/>
      <c r="F3297"/>
    </row>
    <row r="3298" spans="1:6">
      <c r="A3298"/>
      <c r="B3298"/>
      <c r="C3298"/>
      <c r="D3298"/>
      <c r="E3298"/>
      <c r="F3298"/>
    </row>
    <row r="3299" spans="1:6">
      <c r="A3299"/>
      <c r="B3299"/>
      <c r="C3299"/>
      <c r="D3299"/>
      <c r="E3299"/>
      <c r="F3299"/>
    </row>
    <row r="3300" spans="1:6">
      <c r="A3300"/>
      <c r="B3300"/>
      <c r="C3300"/>
      <c r="D3300"/>
      <c r="E3300"/>
      <c r="F3300"/>
    </row>
    <row r="3301" spans="1:6">
      <c r="A3301"/>
      <c r="B3301"/>
      <c r="C3301"/>
      <c r="D3301"/>
      <c r="E3301"/>
      <c r="F3301"/>
    </row>
    <row r="3302" spans="1:6">
      <c r="A3302"/>
      <c r="B3302"/>
      <c r="C3302"/>
      <c r="D3302"/>
      <c r="E3302"/>
      <c r="F3302"/>
    </row>
    <row r="3303" spans="1:6">
      <c r="A3303"/>
      <c r="B3303"/>
      <c r="C3303"/>
      <c r="D3303"/>
      <c r="E3303"/>
      <c r="F3303"/>
    </row>
    <row r="3304" spans="1:6">
      <c r="A3304"/>
      <c r="B3304"/>
      <c r="C3304"/>
      <c r="D3304"/>
      <c r="E3304"/>
      <c r="F3304"/>
    </row>
    <row r="3305" spans="1:6">
      <c r="A3305"/>
      <c r="B3305"/>
      <c r="C3305"/>
      <c r="D3305"/>
      <c r="E3305"/>
      <c r="F3305"/>
    </row>
    <row r="3306" spans="1:6">
      <c r="A3306"/>
      <c r="B3306"/>
      <c r="C3306"/>
      <c r="D3306"/>
      <c r="E3306"/>
      <c r="F3306"/>
    </row>
    <row r="3307" spans="1:6">
      <c r="A3307"/>
      <c r="B3307"/>
      <c r="C3307"/>
      <c r="D3307"/>
      <c r="E3307"/>
      <c r="F3307"/>
    </row>
    <row r="3308" spans="1:6">
      <c r="A3308"/>
      <c r="B3308"/>
      <c r="C3308"/>
      <c r="D3308"/>
      <c r="E3308"/>
      <c r="F3308"/>
    </row>
    <row r="3309" spans="1:6">
      <c r="A3309"/>
      <c r="B3309"/>
      <c r="C3309"/>
      <c r="D3309"/>
      <c r="E3309"/>
      <c r="F3309"/>
    </row>
    <row r="3310" spans="1:6">
      <c r="A3310"/>
      <c r="B3310"/>
      <c r="C3310"/>
      <c r="D3310"/>
      <c r="E3310"/>
      <c r="F3310"/>
    </row>
    <row r="3311" spans="1:6">
      <c r="A3311"/>
      <c r="B3311"/>
      <c r="C3311"/>
      <c r="D3311"/>
      <c r="E3311"/>
      <c r="F3311"/>
    </row>
    <row r="3312" spans="1:6">
      <c r="A3312"/>
      <c r="B3312"/>
      <c r="C3312"/>
      <c r="D3312"/>
      <c r="E3312"/>
      <c r="F3312"/>
    </row>
    <row r="3313" spans="1:6">
      <c r="A3313"/>
      <c r="B3313"/>
      <c r="C3313"/>
      <c r="D3313"/>
      <c r="E3313"/>
      <c r="F3313"/>
    </row>
    <row r="3314" spans="1:6">
      <c r="A3314"/>
      <c r="B3314"/>
      <c r="C3314"/>
      <c r="D3314"/>
      <c r="E3314"/>
      <c r="F3314"/>
    </row>
    <row r="3315" spans="1:6">
      <c r="A3315"/>
      <c r="B3315"/>
      <c r="C3315"/>
      <c r="D3315"/>
      <c r="E3315"/>
      <c r="F3315"/>
    </row>
    <row r="3316" spans="1:6">
      <c r="A3316"/>
      <c r="B3316"/>
      <c r="C3316"/>
      <c r="D3316"/>
      <c r="E3316"/>
      <c r="F3316"/>
    </row>
    <row r="3317" spans="1:6">
      <c r="A3317"/>
      <c r="B3317"/>
      <c r="C3317"/>
      <c r="D3317"/>
      <c r="E3317"/>
      <c r="F3317"/>
    </row>
    <row r="3318" spans="1:6">
      <c r="A3318"/>
      <c r="B3318"/>
      <c r="C3318"/>
      <c r="D3318"/>
      <c r="E3318"/>
      <c r="F3318"/>
    </row>
    <row r="3319" spans="1:6">
      <c r="A3319"/>
      <c r="B3319"/>
      <c r="C3319"/>
      <c r="D3319"/>
      <c r="E3319"/>
      <c r="F3319"/>
    </row>
    <row r="3320" spans="1:6">
      <c r="A3320"/>
      <c r="B3320"/>
      <c r="C3320"/>
      <c r="D3320"/>
      <c r="E3320"/>
      <c r="F3320"/>
    </row>
    <row r="3321" spans="1:6">
      <c r="A3321"/>
      <c r="B3321"/>
      <c r="C3321"/>
      <c r="D3321"/>
      <c r="E3321"/>
      <c r="F3321"/>
    </row>
    <row r="3322" spans="1:6">
      <c r="A3322"/>
      <c r="B3322"/>
      <c r="C3322"/>
      <c r="D3322"/>
      <c r="E3322"/>
      <c r="F3322"/>
    </row>
    <row r="3323" spans="1:6">
      <c r="A3323"/>
      <c r="B3323"/>
      <c r="C3323"/>
      <c r="D3323"/>
      <c r="E3323"/>
      <c r="F3323"/>
    </row>
    <row r="3324" spans="1:6">
      <c r="A3324"/>
      <c r="B3324"/>
      <c r="C3324"/>
      <c r="D3324"/>
      <c r="E3324"/>
      <c r="F3324"/>
    </row>
    <row r="3325" spans="1:6">
      <c r="A3325"/>
      <c r="B3325"/>
      <c r="C3325"/>
      <c r="D3325"/>
      <c r="E3325"/>
      <c r="F3325"/>
    </row>
    <row r="3326" spans="1:6">
      <c r="A3326"/>
      <c r="B3326"/>
      <c r="C3326"/>
      <c r="D3326"/>
      <c r="E3326"/>
      <c r="F3326"/>
    </row>
    <row r="3327" spans="1:6">
      <c r="A3327"/>
      <c r="B3327"/>
      <c r="C3327"/>
      <c r="D3327"/>
      <c r="E3327"/>
      <c r="F3327"/>
    </row>
    <row r="3328" spans="1:6">
      <c r="A3328"/>
      <c r="B3328"/>
      <c r="C3328"/>
      <c r="D3328"/>
      <c r="E3328"/>
      <c r="F3328"/>
    </row>
    <row r="3329" spans="1:6">
      <c r="A3329"/>
      <c r="B3329"/>
      <c r="C3329"/>
      <c r="D3329"/>
      <c r="E3329"/>
      <c r="F3329"/>
    </row>
    <row r="3330" spans="1:6">
      <c r="A3330"/>
      <c r="B3330"/>
      <c r="C3330"/>
      <c r="D3330"/>
      <c r="E3330"/>
      <c r="F3330"/>
    </row>
    <row r="3331" spans="1:6">
      <c r="A3331"/>
      <c r="B3331"/>
      <c r="C3331"/>
      <c r="D3331"/>
      <c r="E3331"/>
      <c r="F3331"/>
    </row>
    <row r="3332" spans="1:6">
      <c r="A3332"/>
      <c r="B3332"/>
      <c r="C3332"/>
      <c r="D3332"/>
      <c r="E3332"/>
      <c r="F3332"/>
    </row>
    <row r="3333" spans="1:6">
      <c r="A3333"/>
      <c r="B3333"/>
      <c r="C3333"/>
      <c r="D3333"/>
      <c r="E3333"/>
      <c r="F3333"/>
    </row>
    <row r="3334" spans="1:6">
      <c r="A3334"/>
      <c r="B3334"/>
      <c r="C3334"/>
      <c r="D3334"/>
      <c r="E3334"/>
      <c r="F3334"/>
    </row>
    <row r="3335" spans="1:6">
      <c r="A3335"/>
      <c r="B3335"/>
      <c r="C3335"/>
      <c r="D3335"/>
      <c r="E3335"/>
      <c r="F3335"/>
    </row>
    <row r="3336" spans="1:6">
      <c r="A3336"/>
      <c r="B3336"/>
      <c r="C3336"/>
      <c r="D3336"/>
      <c r="E3336"/>
      <c r="F3336"/>
    </row>
    <row r="3337" spans="1:6">
      <c r="A3337"/>
      <c r="B3337"/>
      <c r="C3337"/>
      <c r="D3337"/>
      <c r="E3337"/>
      <c r="F3337"/>
    </row>
    <row r="3338" spans="1:6">
      <c r="A3338"/>
      <c r="B3338"/>
      <c r="C3338"/>
      <c r="D3338"/>
      <c r="E3338"/>
      <c r="F3338"/>
    </row>
    <row r="3339" spans="1:6">
      <c r="A3339"/>
      <c r="B3339"/>
      <c r="C3339"/>
      <c r="D3339"/>
      <c r="E3339"/>
      <c r="F3339"/>
    </row>
    <row r="3340" spans="1:6">
      <c r="A3340"/>
      <c r="B3340"/>
      <c r="C3340"/>
      <c r="D3340"/>
      <c r="E3340"/>
      <c r="F3340"/>
    </row>
    <row r="3341" spans="1:6">
      <c r="A3341"/>
      <c r="B3341"/>
      <c r="C3341"/>
      <c r="D3341"/>
      <c r="E3341"/>
      <c r="F3341"/>
    </row>
    <row r="3342" spans="1:6">
      <c r="A3342"/>
      <c r="B3342"/>
      <c r="C3342"/>
      <c r="D3342"/>
      <c r="E3342"/>
      <c r="F3342"/>
    </row>
    <row r="3343" spans="1:6">
      <c r="A3343"/>
      <c r="B3343"/>
      <c r="C3343"/>
      <c r="D3343"/>
      <c r="E3343"/>
      <c r="F3343"/>
    </row>
    <row r="3344" spans="1:6">
      <c r="A3344"/>
      <c r="B3344"/>
      <c r="C3344"/>
      <c r="D3344"/>
      <c r="E3344"/>
      <c r="F3344"/>
    </row>
    <row r="3345" spans="1:6">
      <c r="A3345"/>
      <c r="B3345"/>
      <c r="C3345"/>
      <c r="D3345"/>
      <c r="E3345"/>
      <c r="F3345"/>
    </row>
    <row r="3346" spans="1:6">
      <c r="A3346"/>
      <c r="B3346"/>
      <c r="C3346"/>
      <c r="D3346"/>
      <c r="E3346"/>
      <c r="F3346"/>
    </row>
    <row r="3347" spans="1:6">
      <c r="A3347"/>
      <c r="B3347"/>
      <c r="C3347"/>
      <c r="D3347"/>
      <c r="E3347"/>
      <c r="F3347"/>
    </row>
    <row r="3348" spans="1:6">
      <c r="A3348"/>
      <c r="B3348"/>
      <c r="C3348"/>
      <c r="D3348"/>
      <c r="E3348"/>
      <c r="F3348"/>
    </row>
    <row r="3349" spans="1:6">
      <c r="A3349"/>
      <c r="B3349"/>
      <c r="C3349"/>
      <c r="D3349"/>
      <c r="E3349"/>
      <c r="F3349"/>
    </row>
    <row r="3350" spans="1:6">
      <c r="A3350"/>
      <c r="B3350"/>
      <c r="C3350"/>
      <c r="D3350"/>
      <c r="E3350"/>
      <c r="F3350"/>
    </row>
    <row r="3351" spans="1:6">
      <c r="A3351"/>
      <c r="B3351"/>
      <c r="C3351"/>
      <c r="D3351"/>
      <c r="E3351"/>
      <c r="F3351"/>
    </row>
    <row r="3352" spans="1:6">
      <c r="A3352"/>
      <c r="B3352"/>
      <c r="C3352"/>
      <c r="D3352"/>
      <c r="E3352"/>
      <c r="F3352"/>
    </row>
    <row r="3353" spans="1:6">
      <c r="A3353"/>
      <c r="B3353"/>
      <c r="C3353"/>
      <c r="D3353"/>
      <c r="E3353"/>
      <c r="F3353"/>
    </row>
    <row r="3354" spans="1:6">
      <c r="A3354"/>
      <c r="B3354"/>
      <c r="C3354"/>
      <c r="D3354"/>
      <c r="E3354"/>
      <c r="F3354"/>
    </row>
    <row r="3355" spans="1:6">
      <c r="A3355"/>
      <c r="B3355"/>
      <c r="C3355"/>
      <c r="D3355"/>
      <c r="E3355"/>
      <c r="F3355"/>
    </row>
    <row r="3356" spans="1:6">
      <c r="A3356"/>
      <c r="B3356"/>
      <c r="C3356"/>
      <c r="D3356"/>
      <c r="E3356"/>
      <c r="F3356"/>
    </row>
    <row r="3357" spans="1:6">
      <c r="A3357"/>
      <c r="B3357"/>
      <c r="C3357"/>
      <c r="D3357"/>
      <c r="E3357"/>
      <c r="F3357"/>
    </row>
    <row r="3358" spans="1:6">
      <c r="A3358"/>
      <c r="B3358"/>
      <c r="C3358"/>
      <c r="D3358"/>
      <c r="E3358"/>
      <c r="F3358"/>
    </row>
    <row r="3359" spans="1:6">
      <c r="A3359"/>
      <c r="B3359"/>
      <c r="C3359"/>
      <c r="D3359"/>
      <c r="E3359"/>
      <c r="F3359"/>
    </row>
    <row r="3360" spans="1:6">
      <c r="A3360"/>
      <c r="B3360"/>
      <c r="C3360"/>
      <c r="D3360"/>
      <c r="E3360"/>
      <c r="F3360"/>
    </row>
    <row r="3361" spans="1:6">
      <c r="A3361"/>
      <c r="B3361"/>
      <c r="C3361"/>
      <c r="D3361"/>
      <c r="E3361"/>
      <c r="F3361"/>
    </row>
    <row r="3362" spans="1:6">
      <c r="A3362"/>
      <c r="B3362"/>
      <c r="C3362"/>
      <c r="D3362"/>
      <c r="E3362"/>
      <c r="F3362"/>
    </row>
    <row r="3363" spans="1:6">
      <c r="A3363"/>
      <c r="B3363"/>
      <c r="C3363"/>
      <c r="D3363"/>
      <c r="E3363"/>
      <c r="F3363"/>
    </row>
    <row r="3364" spans="1:6">
      <c r="A3364"/>
      <c r="B3364"/>
      <c r="C3364"/>
      <c r="D3364"/>
      <c r="E3364"/>
      <c r="F3364"/>
    </row>
    <row r="3365" spans="1:6">
      <c r="A3365"/>
      <c r="B3365"/>
      <c r="C3365"/>
      <c r="D3365"/>
      <c r="E3365"/>
      <c r="F3365"/>
    </row>
    <row r="3366" spans="1:6">
      <c r="A3366"/>
      <c r="B3366"/>
      <c r="C3366"/>
      <c r="D3366"/>
      <c r="E3366"/>
      <c r="F3366"/>
    </row>
    <row r="3367" spans="1:6">
      <c r="A3367"/>
      <c r="B3367"/>
      <c r="C3367"/>
      <c r="D3367"/>
      <c r="E3367"/>
      <c r="F3367"/>
    </row>
    <row r="3368" spans="1:6">
      <c r="A3368"/>
      <c r="B3368"/>
      <c r="C3368"/>
      <c r="D3368"/>
      <c r="E3368"/>
      <c r="F3368"/>
    </row>
    <row r="3369" spans="1:6">
      <c r="A3369"/>
      <c r="B3369"/>
      <c r="C3369"/>
      <c r="D3369"/>
      <c r="E3369"/>
      <c r="F3369"/>
    </row>
    <row r="3370" spans="1:6">
      <c r="A3370"/>
      <c r="B3370"/>
      <c r="C3370"/>
      <c r="D3370"/>
      <c r="E3370"/>
      <c r="F3370"/>
    </row>
    <row r="3371" spans="1:6">
      <c r="A3371"/>
      <c r="B3371"/>
      <c r="C3371"/>
      <c r="D3371"/>
      <c r="E3371"/>
      <c r="F3371"/>
    </row>
    <row r="3372" spans="1:6">
      <c r="A3372"/>
      <c r="B3372"/>
      <c r="C3372"/>
      <c r="D3372"/>
      <c r="E3372"/>
      <c r="F3372"/>
    </row>
    <row r="3373" spans="1:6">
      <c r="A3373"/>
      <c r="B3373"/>
      <c r="C3373"/>
      <c r="D3373"/>
      <c r="E3373"/>
      <c r="F3373"/>
    </row>
    <row r="3374" spans="1:6">
      <c r="A3374"/>
      <c r="B3374"/>
      <c r="C3374"/>
      <c r="D3374"/>
      <c r="E3374"/>
      <c r="F3374"/>
    </row>
    <row r="3375" spans="1:6">
      <c r="A3375"/>
      <c r="B3375"/>
      <c r="C3375"/>
      <c r="D3375"/>
      <c r="E3375"/>
      <c r="F3375"/>
    </row>
    <row r="3376" spans="1:6">
      <c r="A3376"/>
      <c r="B3376"/>
      <c r="C3376"/>
      <c r="D3376"/>
      <c r="E3376"/>
      <c r="F3376"/>
    </row>
    <row r="3377" spans="1:6">
      <c r="A3377"/>
      <c r="B3377"/>
      <c r="C3377"/>
      <c r="D3377"/>
      <c r="E3377"/>
      <c r="F3377"/>
    </row>
    <row r="3378" spans="1:6">
      <c r="A3378"/>
      <c r="B3378"/>
      <c r="C3378"/>
      <c r="D3378"/>
      <c r="E3378"/>
      <c r="F3378"/>
    </row>
    <row r="3379" spans="1:6">
      <c r="A3379"/>
      <c r="B3379"/>
      <c r="C3379"/>
      <c r="D3379"/>
      <c r="E3379"/>
      <c r="F3379"/>
    </row>
    <row r="3380" spans="1:6">
      <c r="A3380"/>
      <c r="B3380"/>
      <c r="C3380"/>
      <c r="D3380"/>
      <c r="E3380"/>
      <c r="F3380"/>
    </row>
    <row r="3381" spans="1:6">
      <c r="A3381"/>
      <c r="B3381"/>
      <c r="C3381"/>
      <c r="D3381"/>
      <c r="E3381"/>
      <c r="F3381"/>
    </row>
    <row r="3382" spans="1:6">
      <c r="A3382"/>
      <c r="B3382"/>
      <c r="C3382"/>
      <c r="D3382"/>
      <c r="E3382"/>
      <c r="F3382"/>
    </row>
    <row r="3383" spans="1:6">
      <c r="A3383"/>
      <c r="B3383"/>
      <c r="C3383"/>
      <c r="D3383"/>
      <c r="E3383"/>
      <c r="F3383"/>
    </row>
    <row r="3384" spans="1:6">
      <c r="A3384"/>
      <c r="B3384"/>
      <c r="C3384"/>
      <c r="D3384"/>
      <c r="E3384"/>
      <c r="F3384"/>
    </row>
    <row r="3385" spans="1:6">
      <c r="A3385"/>
      <c r="B3385"/>
      <c r="C3385"/>
      <c r="D3385"/>
      <c r="E3385"/>
      <c r="F3385"/>
    </row>
    <row r="3386" spans="1:6">
      <c r="A3386"/>
      <c r="B3386"/>
      <c r="C3386"/>
      <c r="D3386"/>
      <c r="E3386"/>
      <c r="F3386"/>
    </row>
    <row r="3387" spans="1:6">
      <c r="A3387"/>
      <c r="B3387"/>
      <c r="C3387"/>
      <c r="D3387"/>
      <c r="E3387"/>
      <c r="F3387"/>
    </row>
    <row r="3388" spans="1:6">
      <c r="A3388"/>
      <c r="B3388"/>
      <c r="C3388"/>
      <c r="D3388"/>
      <c r="E3388"/>
      <c r="F3388"/>
    </row>
    <row r="3389" spans="1:6">
      <c r="A3389"/>
      <c r="B3389"/>
      <c r="C3389"/>
      <c r="D3389"/>
      <c r="E3389"/>
      <c r="F3389"/>
    </row>
    <row r="3390" spans="1:6">
      <c r="A3390"/>
      <c r="B3390"/>
      <c r="C3390"/>
      <c r="D3390"/>
      <c r="E3390"/>
      <c r="F3390"/>
    </row>
    <row r="3391" spans="1:6">
      <c r="A3391"/>
      <c r="B3391"/>
      <c r="C3391"/>
      <c r="D3391"/>
      <c r="E3391"/>
      <c r="F3391"/>
    </row>
    <row r="3392" spans="1:6">
      <c r="A3392"/>
      <c r="B3392"/>
      <c r="C3392"/>
      <c r="D3392"/>
      <c r="E3392"/>
      <c r="F3392"/>
    </row>
    <row r="3393" spans="1:6">
      <c r="A3393"/>
      <c r="B3393"/>
      <c r="C3393"/>
      <c r="D3393"/>
      <c r="E3393"/>
      <c r="F3393"/>
    </row>
    <row r="3394" spans="1:6">
      <c r="A3394"/>
      <c r="B3394"/>
      <c r="C3394"/>
      <c r="D3394"/>
      <c r="E3394"/>
      <c r="F3394"/>
    </row>
    <row r="3395" spans="1:6">
      <c r="A3395"/>
      <c r="B3395"/>
      <c r="C3395"/>
      <c r="D3395"/>
      <c r="E3395"/>
      <c r="F3395"/>
    </row>
    <row r="3396" spans="1:6">
      <c r="A3396"/>
      <c r="B3396"/>
      <c r="C3396"/>
      <c r="D3396"/>
      <c r="E3396"/>
      <c r="F3396"/>
    </row>
    <row r="3397" spans="1:6">
      <c r="A3397"/>
      <c r="B3397"/>
      <c r="C3397"/>
      <c r="D3397"/>
      <c r="E3397"/>
      <c r="F3397"/>
    </row>
    <row r="3398" spans="1:6">
      <c r="A3398"/>
      <c r="B3398"/>
      <c r="C3398"/>
      <c r="D3398"/>
      <c r="E3398"/>
      <c r="F3398"/>
    </row>
    <row r="3399" spans="1:6">
      <c r="A3399"/>
      <c r="B3399"/>
      <c r="C3399"/>
      <c r="D3399"/>
      <c r="E3399"/>
      <c r="F3399"/>
    </row>
    <row r="3400" spans="1:6">
      <c r="A3400"/>
      <c r="B3400"/>
      <c r="C3400"/>
      <c r="D3400"/>
      <c r="E3400"/>
      <c r="F3400"/>
    </row>
    <row r="3401" spans="1:6">
      <c r="A3401"/>
      <c r="B3401"/>
      <c r="C3401"/>
      <c r="D3401"/>
      <c r="E3401"/>
      <c r="F3401"/>
    </row>
    <row r="3402" spans="1:6">
      <c r="A3402"/>
      <c r="B3402"/>
      <c r="C3402"/>
      <c r="D3402"/>
      <c r="E3402"/>
      <c r="F3402"/>
    </row>
    <row r="3403" spans="1:6">
      <c r="A3403"/>
      <c r="B3403"/>
      <c r="C3403"/>
      <c r="D3403"/>
      <c r="E3403"/>
      <c r="F3403"/>
    </row>
    <row r="3404" spans="1:6">
      <c r="A3404"/>
      <c r="B3404"/>
      <c r="C3404"/>
      <c r="D3404"/>
      <c r="E3404"/>
      <c r="F3404"/>
    </row>
    <row r="3405" spans="1:6">
      <c r="A3405"/>
      <c r="B3405"/>
      <c r="C3405"/>
      <c r="D3405"/>
      <c r="E3405"/>
      <c r="F3405"/>
    </row>
    <row r="3406" spans="1:6">
      <c r="A3406"/>
      <c r="B3406"/>
      <c r="C3406"/>
      <c r="D3406"/>
      <c r="E3406"/>
      <c r="F3406"/>
    </row>
    <row r="3407" spans="1:6">
      <c r="A3407"/>
      <c r="B3407"/>
      <c r="C3407"/>
      <c r="D3407"/>
      <c r="E3407"/>
      <c r="F3407"/>
    </row>
    <row r="3408" spans="1:6">
      <c r="A3408"/>
      <c r="B3408"/>
      <c r="C3408"/>
      <c r="D3408"/>
      <c r="E3408"/>
      <c r="F3408"/>
    </row>
    <row r="3409" spans="1:6">
      <c r="A3409"/>
      <c r="B3409"/>
      <c r="C3409"/>
      <c r="D3409"/>
      <c r="E3409"/>
      <c r="F3409"/>
    </row>
    <row r="3410" spans="1:6">
      <c r="A3410"/>
      <c r="B3410"/>
      <c r="C3410"/>
      <c r="D3410"/>
      <c r="E3410"/>
      <c r="F3410"/>
    </row>
    <row r="3411" spans="1:6">
      <c r="A3411"/>
      <c r="B3411"/>
      <c r="C3411"/>
      <c r="D3411"/>
      <c r="E3411"/>
      <c r="F3411"/>
    </row>
    <row r="3412" spans="1:6">
      <c r="A3412"/>
      <c r="B3412"/>
      <c r="C3412"/>
      <c r="D3412"/>
      <c r="E3412"/>
      <c r="F3412"/>
    </row>
    <row r="3413" spans="1:6">
      <c r="A3413"/>
      <c r="B3413"/>
      <c r="C3413"/>
      <c r="D3413"/>
      <c r="E3413"/>
      <c r="F3413"/>
    </row>
    <row r="3414" spans="1:6">
      <c r="A3414"/>
      <c r="B3414"/>
      <c r="C3414"/>
      <c r="D3414"/>
      <c r="E3414"/>
      <c r="F3414"/>
    </row>
    <row r="3415" spans="1:6">
      <c r="A3415"/>
      <c r="B3415"/>
      <c r="C3415"/>
      <c r="D3415"/>
      <c r="E3415"/>
      <c r="F3415"/>
    </row>
    <row r="3416" spans="1:6">
      <c r="A3416"/>
      <c r="B3416"/>
      <c r="C3416"/>
      <c r="D3416"/>
      <c r="E3416"/>
      <c r="F3416"/>
    </row>
    <row r="3417" spans="1:6">
      <c r="A3417"/>
      <c r="B3417"/>
      <c r="C3417"/>
      <c r="D3417"/>
      <c r="E3417"/>
      <c r="F3417"/>
    </row>
    <row r="3418" spans="1:6">
      <c r="A3418"/>
      <c r="B3418"/>
      <c r="C3418"/>
      <c r="D3418"/>
      <c r="E3418"/>
      <c r="F3418"/>
    </row>
    <row r="3419" spans="1:6">
      <c r="A3419"/>
      <c r="B3419"/>
      <c r="C3419"/>
      <c r="D3419"/>
      <c r="E3419"/>
      <c r="F3419"/>
    </row>
    <row r="3420" spans="1:6">
      <c r="A3420"/>
      <c r="B3420"/>
      <c r="C3420"/>
      <c r="D3420"/>
      <c r="E3420"/>
      <c r="F3420"/>
    </row>
    <row r="3421" spans="1:6">
      <c r="A3421"/>
      <c r="B3421"/>
      <c r="C3421"/>
      <c r="D3421"/>
      <c r="E3421"/>
      <c r="F3421"/>
    </row>
    <row r="3422" spans="1:6">
      <c r="A3422"/>
      <c r="B3422"/>
      <c r="C3422"/>
      <c r="D3422"/>
      <c r="E3422"/>
      <c r="F3422"/>
    </row>
    <row r="3423" spans="1:6">
      <c r="A3423"/>
      <c r="B3423"/>
      <c r="C3423"/>
      <c r="D3423"/>
      <c r="E3423"/>
      <c r="F3423"/>
    </row>
    <row r="3424" spans="1:6">
      <c r="A3424"/>
      <c r="B3424"/>
      <c r="C3424"/>
      <c r="D3424"/>
      <c r="E3424"/>
      <c r="F3424"/>
    </row>
    <row r="3425" spans="1:6">
      <c r="A3425"/>
      <c r="B3425"/>
      <c r="C3425"/>
      <c r="D3425"/>
      <c r="E3425"/>
      <c r="F3425"/>
    </row>
    <row r="3426" spans="1:6">
      <c r="A3426"/>
      <c r="B3426"/>
      <c r="C3426"/>
      <c r="D3426"/>
      <c r="E3426"/>
      <c r="F3426"/>
    </row>
    <row r="3427" spans="1:6">
      <c r="A3427"/>
      <c r="B3427"/>
      <c r="C3427"/>
      <c r="D3427"/>
      <c r="E3427"/>
      <c r="F3427"/>
    </row>
    <row r="3428" spans="1:6">
      <c r="A3428"/>
      <c r="B3428"/>
      <c r="C3428"/>
      <c r="D3428"/>
      <c r="E3428"/>
      <c r="F3428"/>
    </row>
    <row r="3429" spans="1:6">
      <c r="A3429"/>
      <c r="B3429"/>
      <c r="C3429"/>
      <c r="D3429"/>
      <c r="E3429"/>
      <c r="F3429"/>
    </row>
    <row r="3430" spans="1:6">
      <c r="A3430"/>
      <c r="B3430"/>
      <c r="C3430"/>
      <c r="D3430"/>
      <c r="E3430"/>
      <c r="F3430"/>
    </row>
    <row r="3431" spans="1:6">
      <c r="A3431"/>
      <c r="B3431"/>
      <c r="C3431"/>
      <c r="D3431"/>
      <c r="E3431"/>
      <c r="F3431"/>
    </row>
    <row r="3432" spans="1:6">
      <c r="A3432"/>
      <c r="B3432"/>
      <c r="C3432"/>
      <c r="D3432"/>
      <c r="E3432"/>
      <c r="F3432"/>
    </row>
    <row r="3433" spans="1:6">
      <c r="A3433"/>
      <c r="B3433"/>
      <c r="C3433"/>
      <c r="D3433"/>
      <c r="E3433"/>
      <c r="F3433"/>
    </row>
    <row r="3434" spans="1:6">
      <c r="A3434"/>
      <c r="B3434"/>
      <c r="C3434"/>
      <c r="D3434"/>
      <c r="E3434"/>
      <c r="F3434"/>
    </row>
    <row r="3435" spans="1:6">
      <c r="A3435"/>
      <c r="B3435"/>
      <c r="C3435"/>
      <c r="D3435"/>
      <c r="E3435"/>
      <c r="F3435"/>
    </row>
    <row r="3436" spans="1:6">
      <c r="A3436"/>
      <c r="B3436"/>
      <c r="C3436"/>
      <c r="D3436"/>
      <c r="E3436"/>
      <c r="F3436"/>
    </row>
    <row r="3437" spans="1:6">
      <c r="A3437"/>
      <c r="B3437"/>
      <c r="C3437"/>
      <c r="D3437"/>
      <c r="E3437"/>
      <c r="F3437"/>
    </row>
    <row r="3438" spans="1:6">
      <c r="A3438"/>
      <c r="B3438"/>
      <c r="C3438"/>
      <c r="D3438"/>
      <c r="E3438"/>
      <c r="F3438"/>
    </row>
    <row r="3439" spans="1:6">
      <c r="A3439"/>
      <c r="B3439"/>
      <c r="C3439"/>
      <c r="D3439"/>
      <c r="E3439"/>
      <c r="F3439"/>
    </row>
    <row r="3440" spans="1:6">
      <c r="A3440"/>
      <c r="B3440"/>
      <c r="C3440"/>
      <c r="D3440"/>
      <c r="E3440"/>
      <c r="F3440"/>
    </row>
    <row r="3441" spans="1:6">
      <c r="A3441"/>
      <c r="B3441"/>
      <c r="C3441"/>
      <c r="D3441"/>
      <c r="E3441"/>
      <c r="F3441"/>
    </row>
    <row r="3442" spans="1:6">
      <c r="A3442"/>
      <c r="B3442"/>
      <c r="C3442"/>
      <c r="D3442"/>
      <c r="E3442"/>
      <c r="F3442"/>
    </row>
    <row r="3443" spans="1:6">
      <c r="A3443"/>
      <c r="B3443"/>
      <c r="C3443"/>
      <c r="D3443"/>
      <c r="E3443"/>
      <c r="F3443"/>
    </row>
    <row r="3444" spans="1:6">
      <c r="A3444"/>
      <c r="B3444"/>
      <c r="C3444"/>
      <c r="D3444"/>
      <c r="E3444"/>
      <c r="F3444"/>
    </row>
    <row r="3445" spans="1:6">
      <c r="A3445"/>
      <c r="B3445"/>
      <c r="C3445"/>
      <c r="D3445"/>
      <c r="E3445"/>
      <c r="F3445"/>
    </row>
    <row r="3446" spans="1:6">
      <c r="A3446"/>
      <c r="B3446"/>
      <c r="C3446"/>
      <c r="D3446"/>
      <c r="E3446"/>
      <c r="F3446"/>
    </row>
    <row r="3447" spans="1:6">
      <c r="A3447"/>
      <c r="B3447"/>
      <c r="C3447"/>
      <c r="D3447"/>
      <c r="E3447"/>
      <c r="F3447"/>
    </row>
    <row r="3448" spans="1:6">
      <c r="A3448"/>
      <c r="B3448"/>
      <c r="C3448"/>
      <c r="D3448"/>
      <c r="E3448"/>
      <c r="F3448"/>
    </row>
    <row r="3449" spans="1:6">
      <c r="A3449"/>
      <c r="B3449"/>
      <c r="C3449"/>
      <c r="D3449"/>
      <c r="E3449"/>
      <c r="F3449"/>
    </row>
    <row r="3450" spans="1:6">
      <c r="A3450"/>
      <c r="B3450"/>
      <c r="C3450"/>
      <c r="D3450"/>
      <c r="E3450"/>
      <c r="F3450"/>
    </row>
    <row r="3451" spans="1:6">
      <c r="A3451"/>
      <c r="B3451"/>
      <c r="C3451"/>
      <c r="D3451"/>
      <c r="E3451"/>
      <c r="F3451"/>
    </row>
    <row r="3452" spans="1:6">
      <c r="A3452"/>
      <c r="B3452"/>
      <c r="C3452"/>
      <c r="D3452"/>
      <c r="E3452"/>
      <c r="F3452"/>
    </row>
    <row r="3453" spans="1:6">
      <c r="A3453"/>
      <c r="B3453"/>
      <c r="C3453"/>
      <c r="D3453"/>
      <c r="E3453"/>
      <c r="F3453"/>
    </row>
    <row r="3454" spans="1:6">
      <c r="A3454"/>
      <c r="B3454"/>
      <c r="C3454"/>
      <c r="D3454"/>
      <c r="E3454"/>
      <c r="F3454"/>
    </row>
    <row r="3455" spans="1:6">
      <c r="A3455"/>
      <c r="B3455"/>
      <c r="C3455"/>
      <c r="D3455"/>
      <c r="E3455"/>
      <c r="F3455"/>
    </row>
    <row r="3456" spans="1:6">
      <c r="A3456"/>
      <c r="B3456"/>
      <c r="C3456"/>
      <c r="D3456"/>
      <c r="E3456"/>
      <c r="F3456"/>
    </row>
    <row r="3457" spans="1:6">
      <c r="A3457"/>
      <c r="B3457"/>
      <c r="C3457"/>
      <c r="D3457"/>
      <c r="E3457"/>
      <c r="F3457"/>
    </row>
    <row r="3458" spans="1:6">
      <c r="A3458"/>
      <c r="B3458"/>
      <c r="C3458"/>
      <c r="D3458"/>
      <c r="E3458"/>
      <c r="F3458"/>
    </row>
    <row r="3459" spans="1:6">
      <c r="A3459"/>
      <c r="B3459"/>
      <c r="C3459"/>
      <c r="D3459"/>
      <c r="E3459"/>
      <c r="F3459"/>
    </row>
    <row r="3460" spans="1:6">
      <c r="A3460"/>
      <c r="B3460"/>
      <c r="C3460"/>
      <c r="D3460"/>
      <c r="E3460"/>
      <c r="F3460"/>
    </row>
    <row r="3461" spans="1:6">
      <c r="A3461"/>
      <c r="B3461"/>
      <c r="C3461"/>
      <c r="D3461"/>
      <c r="E3461"/>
      <c r="F3461"/>
    </row>
    <row r="3462" spans="1:6">
      <c r="A3462"/>
      <c r="B3462"/>
      <c r="C3462"/>
      <c r="D3462"/>
      <c r="E3462"/>
      <c r="F3462"/>
    </row>
    <row r="3463" spans="1:6">
      <c r="A3463"/>
      <c r="B3463"/>
      <c r="C3463"/>
      <c r="D3463"/>
      <c r="E3463"/>
      <c r="F3463"/>
    </row>
    <row r="3464" spans="1:6">
      <c r="A3464"/>
      <c r="B3464"/>
      <c r="C3464"/>
      <c r="D3464"/>
      <c r="E3464"/>
      <c r="F3464"/>
    </row>
    <row r="3465" spans="1:6">
      <c r="A3465"/>
      <c r="B3465"/>
      <c r="C3465"/>
      <c r="D3465"/>
      <c r="E3465"/>
      <c r="F3465"/>
    </row>
    <row r="3466" spans="1:6">
      <c r="A3466"/>
      <c r="B3466"/>
      <c r="C3466"/>
      <c r="D3466"/>
      <c r="E3466"/>
      <c r="F3466"/>
    </row>
    <row r="3467" spans="1:6">
      <c r="A3467"/>
      <c r="B3467"/>
      <c r="C3467"/>
      <c r="D3467"/>
      <c r="E3467"/>
      <c r="F3467"/>
    </row>
    <row r="3468" spans="1:6">
      <c r="A3468"/>
      <c r="B3468"/>
      <c r="C3468"/>
      <c r="D3468"/>
      <c r="E3468"/>
      <c r="F3468"/>
    </row>
    <row r="3469" spans="1:6">
      <c r="A3469"/>
      <c r="B3469"/>
      <c r="C3469"/>
      <c r="D3469"/>
      <c r="E3469"/>
      <c r="F3469"/>
    </row>
    <row r="3470" spans="1:6">
      <c r="A3470"/>
      <c r="B3470"/>
      <c r="C3470"/>
      <c r="D3470"/>
      <c r="E3470"/>
      <c r="F3470"/>
    </row>
    <row r="3471" spans="1:6">
      <c r="A3471"/>
      <c r="B3471"/>
      <c r="C3471"/>
      <c r="D3471"/>
      <c r="E3471"/>
      <c r="F3471"/>
    </row>
    <row r="3472" spans="1:6">
      <c r="A3472"/>
      <c r="B3472"/>
      <c r="C3472"/>
      <c r="D3472"/>
      <c r="E3472"/>
      <c r="F3472"/>
    </row>
    <row r="3473" spans="1:6">
      <c r="A3473"/>
      <c r="B3473"/>
      <c r="C3473"/>
      <c r="D3473"/>
      <c r="E3473"/>
      <c r="F3473"/>
    </row>
    <row r="3474" spans="1:6">
      <c r="A3474"/>
      <c r="B3474"/>
      <c r="C3474"/>
      <c r="D3474"/>
      <c r="E3474"/>
      <c r="F3474"/>
    </row>
    <row r="3475" spans="1:6">
      <c r="A3475"/>
      <c r="B3475"/>
      <c r="C3475"/>
      <c r="D3475"/>
      <c r="E3475"/>
      <c r="F3475"/>
    </row>
    <row r="3476" spans="1:6">
      <c r="A3476"/>
      <c r="B3476"/>
      <c r="C3476"/>
      <c r="D3476"/>
      <c r="E3476"/>
      <c r="F3476"/>
    </row>
    <row r="3477" spans="1:6">
      <c r="A3477"/>
      <c r="B3477"/>
      <c r="C3477"/>
      <c r="D3477"/>
      <c r="E3477"/>
      <c r="F3477"/>
    </row>
    <row r="3478" spans="1:6">
      <c r="A3478"/>
      <c r="B3478"/>
      <c r="C3478"/>
      <c r="D3478"/>
      <c r="E3478"/>
      <c r="F3478"/>
    </row>
    <row r="3479" spans="1:6">
      <c r="A3479"/>
      <c r="B3479"/>
      <c r="C3479"/>
      <c r="D3479"/>
      <c r="E3479"/>
      <c r="F3479"/>
    </row>
    <row r="3480" spans="1:6">
      <c r="A3480"/>
      <c r="B3480"/>
      <c r="C3480"/>
      <c r="D3480"/>
      <c r="E3480"/>
      <c r="F3480"/>
    </row>
    <row r="3481" spans="1:6">
      <c r="A3481"/>
      <c r="B3481"/>
      <c r="C3481"/>
      <c r="D3481"/>
      <c r="E3481"/>
      <c r="F3481"/>
    </row>
    <row r="3482" spans="1:6">
      <c r="A3482"/>
      <c r="B3482"/>
      <c r="C3482"/>
      <c r="D3482"/>
      <c r="E3482"/>
      <c r="F3482"/>
    </row>
    <row r="3483" spans="1:6">
      <c r="A3483"/>
      <c r="B3483"/>
      <c r="C3483"/>
      <c r="D3483"/>
      <c r="E3483"/>
      <c r="F3483"/>
    </row>
    <row r="3484" spans="1:6">
      <c r="A3484"/>
      <c r="B3484"/>
      <c r="C3484"/>
      <c r="D3484"/>
      <c r="E3484"/>
      <c r="F3484"/>
    </row>
    <row r="3485" spans="1:6">
      <c r="A3485"/>
      <c r="B3485"/>
      <c r="C3485"/>
      <c r="D3485"/>
      <c r="E3485"/>
      <c r="F3485"/>
    </row>
    <row r="3486" spans="1:6">
      <c r="A3486"/>
      <c r="B3486"/>
      <c r="C3486"/>
      <c r="D3486"/>
      <c r="E3486"/>
      <c r="F3486"/>
    </row>
    <row r="3487" spans="1:6">
      <c r="A3487"/>
      <c r="B3487"/>
      <c r="C3487"/>
      <c r="D3487"/>
      <c r="E3487"/>
      <c r="F3487"/>
    </row>
    <row r="3488" spans="1:6">
      <c r="A3488"/>
      <c r="B3488"/>
      <c r="C3488"/>
      <c r="D3488"/>
      <c r="E3488"/>
      <c r="F3488"/>
    </row>
    <row r="3489" spans="1:6">
      <c r="A3489"/>
      <c r="B3489"/>
      <c r="C3489"/>
      <c r="D3489"/>
      <c r="E3489"/>
      <c r="F3489"/>
    </row>
    <row r="3490" spans="1:6">
      <c r="A3490"/>
      <c r="B3490"/>
      <c r="C3490"/>
      <c r="D3490"/>
      <c r="E3490"/>
      <c r="F3490"/>
    </row>
    <row r="3491" spans="1:6">
      <c r="A3491"/>
      <c r="B3491"/>
      <c r="C3491"/>
      <c r="D3491"/>
      <c r="E3491"/>
      <c r="F3491"/>
    </row>
    <row r="3492" spans="1:6">
      <c r="A3492"/>
      <c r="B3492"/>
      <c r="C3492"/>
      <c r="D3492"/>
      <c r="E3492"/>
      <c r="F3492"/>
    </row>
    <row r="3493" spans="1:6">
      <c r="A3493"/>
      <c r="B3493"/>
      <c r="C3493"/>
      <c r="D3493"/>
      <c r="E3493"/>
      <c r="F3493"/>
    </row>
    <row r="3494" spans="1:6">
      <c r="A3494"/>
      <c r="B3494"/>
      <c r="C3494"/>
      <c r="D3494"/>
      <c r="E3494"/>
      <c r="F3494"/>
    </row>
    <row r="3495" spans="1:6">
      <c r="A3495"/>
      <c r="B3495"/>
      <c r="C3495"/>
      <c r="D3495"/>
      <c r="E3495"/>
      <c r="F3495"/>
    </row>
    <row r="3496" spans="1:6">
      <c r="A3496"/>
      <c r="B3496"/>
      <c r="C3496"/>
      <c r="D3496"/>
      <c r="E3496"/>
      <c r="F3496"/>
    </row>
    <row r="3497" spans="1:6">
      <c r="A3497"/>
      <c r="B3497"/>
      <c r="C3497"/>
      <c r="D3497"/>
      <c r="E3497"/>
      <c r="F3497"/>
    </row>
    <row r="3498" spans="1:6">
      <c r="A3498"/>
      <c r="B3498"/>
      <c r="C3498"/>
      <c r="D3498"/>
      <c r="E3498"/>
      <c r="F3498"/>
    </row>
    <row r="3499" spans="1:6">
      <c r="A3499"/>
      <c r="B3499"/>
      <c r="C3499"/>
      <c r="D3499"/>
      <c r="E3499"/>
      <c r="F3499"/>
    </row>
    <row r="3500" spans="1:6">
      <c r="A3500"/>
      <c r="B3500"/>
      <c r="C3500"/>
      <c r="D3500"/>
      <c r="E3500"/>
      <c r="F3500"/>
    </row>
    <row r="3501" spans="1:6">
      <c r="A3501"/>
      <c r="B3501"/>
      <c r="C3501"/>
      <c r="D3501"/>
      <c r="E3501"/>
      <c r="F3501"/>
    </row>
    <row r="3502" spans="1:6">
      <c r="A3502"/>
      <c r="B3502"/>
      <c r="C3502"/>
      <c r="D3502"/>
      <c r="E3502"/>
      <c r="F3502"/>
    </row>
    <row r="3503" spans="1:6">
      <c r="A3503"/>
      <c r="B3503"/>
      <c r="C3503"/>
      <c r="D3503"/>
      <c r="E3503"/>
      <c r="F3503"/>
    </row>
    <row r="3504" spans="1:6">
      <c r="A3504"/>
      <c r="B3504"/>
      <c r="C3504"/>
      <c r="D3504"/>
      <c r="E3504"/>
      <c r="F3504"/>
    </row>
    <row r="3505" spans="1:6">
      <c r="A3505"/>
      <c r="B3505"/>
      <c r="C3505"/>
      <c r="D3505"/>
      <c r="E3505"/>
      <c r="F3505"/>
    </row>
    <row r="3506" spans="1:6">
      <c r="A3506"/>
      <c r="B3506"/>
      <c r="C3506"/>
      <c r="D3506"/>
      <c r="E3506"/>
      <c r="F3506"/>
    </row>
    <row r="3507" spans="1:6">
      <c r="A3507"/>
      <c r="B3507"/>
      <c r="C3507"/>
      <c r="D3507"/>
      <c r="E3507"/>
      <c r="F3507"/>
    </row>
    <row r="3508" spans="1:6">
      <c r="A3508"/>
      <c r="B3508"/>
      <c r="C3508"/>
      <c r="D3508"/>
      <c r="E3508"/>
      <c r="F3508"/>
    </row>
    <row r="3509" spans="1:6">
      <c r="A3509"/>
      <c r="B3509"/>
      <c r="C3509"/>
      <c r="D3509"/>
      <c r="E3509"/>
      <c r="F3509"/>
    </row>
    <row r="3510" spans="1:6">
      <c r="A3510"/>
      <c r="B3510"/>
      <c r="C3510"/>
      <c r="D3510"/>
      <c r="E3510"/>
      <c r="F3510"/>
    </row>
    <row r="3511" spans="1:6">
      <c r="A3511"/>
      <c r="B3511"/>
      <c r="C3511"/>
      <c r="D3511"/>
      <c r="E3511"/>
      <c r="F3511"/>
    </row>
    <row r="3512" spans="1:6">
      <c r="A3512"/>
      <c r="B3512"/>
      <c r="C3512"/>
      <c r="D3512"/>
      <c r="E3512"/>
      <c r="F3512"/>
    </row>
    <row r="3513" spans="1:6">
      <c r="A3513"/>
      <c r="B3513"/>
      <c r="C3513"/>
      <c r="D3513"/>
      <c r="E3513"/>
      <c r="F3513"/>
    </row>
    <row r="3514" spans="1:6">
      <c r="A3514"/>
      <c r="B3514"/>
      <c r="C3514"/>
      <c r="D3514"/>
      <c r="E3514"/>
      <c r="F3514"/>
    </row>
    <row r="3515" spans="1:6">
      <c r="A3515"/>
      <c r="B3515"/>
      <c r="C3515"/>
      <c r="D3515"/>
      <c r="E3515"/>
      <c r="F3515"/>
    </row>
    <row r="3516" spans="1:6">
      <c r="A3516"/>
      <c r="B3516"/>
      <c r="C3516"/>
      <c r="D3516"/>
      <c r="E3516"/>
      <c r="F3516"/>
    </row>
    <row r="3517" spans="1:6">
      <c r="A3517"/>
      <c r="B3517"/>
      <c r="C3517"/>
      <c r="D3517"/>
      <c r="E3517"/>
      <c r="F3517"/>
    </row>
    <row r="3518" spans="1:6">
      <c r="A3518"/>
      <c r="B3518"/>
      <c r="C3518"/>
      <c r="D3518"/>
      <c r="E3518"/>
      <c r="F3518"/>
    </row>
    <row r="3519" spans="1:6">
      <c r="A3519"/>
      <c r="B3519"/>
      <c r="C3519"/>
      <c r="D3519"/>
      <c r="E3519"/>
      <c r="F3519"/>
    </row>
    <row r="3520" spans="1:6">
      <c r="A3520"/>
      <c r="B3520"/>
      <c r="C3520"/>
      <c r="D3520"/>
      <c r="E3520"/>
      <c r="F3520"/>
    </row>
    <row r="3521" spans="1:6">
      <c r="A3521"/>
      <c r="B3521"/>
      <c r="C3521"/>
      <c r="D3521"/>
      <c r="E3521"/>
      <c r="F3521"/>
    </row>
    <row r="3522" spans="1:6">
      <c r="A3522"/>
      <c r="B3522"/>
      <c r="C3522"/>
      <c r="D3522"/>
      <c r="E3522"/>
      <c r="F3522"/>
    </row>
    <row r="3523" spans="1:6">
      <c r="A3523"/>
      <c r="B3523"/>
      <c r="C3523"/>
      <c r="D3523"/>
      <c r="E3523"/>
      <c r="F3523"/>
    </row>
    <row r="3524" spans="1:6">
      <c r="A3524"/>
      <c r="B3524"/>
      <c r="C3524"/>
      <c r="D3524"/>
      <c r="E3524"/>
      <c r="F3524"/>
    </row>
    <row r="3525" spans="1:6">
      <c r="A3525"/>
      <c r="B3525"/>
      <c r="C3525"/>
      <c r="D3525"/>
      <c r="E3525"/>
      <c r="F3525"/>
    </row>
    <row r="3526" spans="1:6">
      <c r="A3526"/>
      <c r="B3526"/>
      <c r="C3526"/>
      <c r="D3526"/>
      <c r="E3526"/>
      <c r="F3526"/>
    </row>
    <row r="3527" spans="1:6">
      <c r="A3527"/>
      <c r="B3527"/>
      <c r="C3527"/>
      <c r="D3527"/>
      <c r="E3527"/>
      <c r="F3527"/>
    </row>
    <row r="3528" spans="1:6">
      <c r="A3528"/>
      <c r="B3528"/>
      <c r="C3528"/>
      <c r="D3528"/>
      <c r="E3528"/>
      <c r="F3528"/>
    </row>
    <row r="3529" spans="1:6">
      <c r="A3529"/>
      <c r="B3529"/>
      <c r="C3529"/>
      <c r="D3529"/>
      <c r="E3529"/>
      <c r="F3529"/>
    </row>
    <row r="3530" spans="1:6">
      <c r="A3530"/>
      <c r="B3530"/>
      <c r="C3530"/>
      <c r="D3530"/>
      <c r="E3530"/>
      <c r="F3530"/>
    </row>
    <row r="3531" spans="1:6">
      <c r="A3531"/>
      <c r="B3531"/>
      <c r="C3531"/>
      <c r="D3531"/>
      <c r="E3531"/>
      <c r="F3531"/>
    </row>
    <row r="3532" spans="1:6">
      <c r="A3532"/>
      <c r="B3532"/>
      <c r="C3532"/>
      <c r="D3532"/>
      <c r="E3532"/>
      <c r="F3532"/>
    </row>
    <row r="3533" spans="1:6">
      <c r="A3533"/>
      <c r="B3533"/>
      <c r="C3533"/>
      <c r="D3533"/>
      <c r="E3533"/>
      <c r="F3533"/>
    </row>
    <row r="3534" spans="1:6">
      <c r="A3534"/>
      <c r="B3534"/>
      <c r="C3534"/>
      <c r="D3534"/>
      <c r="E3534"/>
      <c r="F3534"/>
    </row>
    <row r="3535" spans="1:6">
      <c r="A3535"/>
      <c r="B3535"/>
      <c r="C3535"/>
      <c r="D3535"/>
      <c r="E3535"/>
      <c r="F3535"/>
    </row>
    <row r="3536" spans="1:6">
      <c r="A3536"/>
      <c r="B3536"/>
      <c r="C3536"/>
      <c r="D3536"/>
      <c r="E3536"/>
      <c r="F3536"/>
    </row>
    <row r="3537" spans="1:6">
      <c r="A3537"/>
      <c r="B3537"/>
      <c r="C3537"/>
      <c r="D3537"/>
      <c r="E3537"/>
      <c r="F3537"/>
    </row>
    <row r="3538" spans="1:6">
      <c r="A3538"/>
      <c r="B3538"/>
      <c r="C3538"/>
      <c r="D3538"/>
      <c r="E3538"/>
      <c r="F3538"/>
    </row>
    <row r="3539" spans="1:6">
      <c r="A3539"/>
      <c r="B3539"/>
      <c r="C3539"/>
      <c r="D3539"/>
      <c r="E3539"/>
      <c r="F3539"/>
    </row>
    <row r="3540" spans="1:6">
      <c r="A3540"/>
      <c r="B3540"/>
      <c r="C3540"/>
      <c r="D3540"/>
      <c r="E3540"/>
      <c r="F3540"/>
    </row>
    <row r="3541" spans="1:6">
      <c r="A3541"/>
      <c r="B3541"/>
      <c r="C3541"/>
      <c r="D3541"/>
      <c r="E3541"/>
      <c r="F3541"/>
    </row>
    <row r="3542" spans="1:6">
      <c r="A3542"/>
      <c r="B3542"/>
      <c r="C3542"/>
      <c r="D3542"/>
      <c r="E3542"/>
      <c r="F3542"/>
    </row>
    <row r="3543" spans="1:6">
      <c r="A3543"/>
      <c r="B3543"/>
      <c r="C3543"/>
      <c r="D3543"/>
      <c r="E3543"/>
      <c r="F3543"/>
    </row>
    <row r="3544" spans="1:6">
      <c r="A3544"/>
      <c r="B3544"/>
      <c r="C3544"/>
      <c r="D3544"/>
      <c r="E3544"/>
      <c r="F3544"/>
    </row>
    <row r="3545" spans="1:6">
      <c r="A3545"/>
      <c r="B3545"/>
      <c r="C3545"/>
      <c r="D3545"/>
      <c r="E3545"/>
      <c r="F3545"/>
    </row>
    <row r="3546" spans="1:6">
      <c r="A3546"/>
      <c r="B3546"/>
      <c r="C3546"/>
      <c r="D3546"/>
      <c r="E3546"/>
      <c r="F3546"/>
    </row>
    <row r="3547" spans="1:6">
      <c r="A3547"/>
      <c r="B3547"/>
      <c r="C3547"/>
      <c r="D3547"/>
      <c r="E3547"/>
      <c r="F3547"/>
    </row>
    <row r="3548" spans="1:6">
      <c r="A3548"/>
      <c r="B3548"/>
      <c r="C3548"/>
      <c r="D3548"/>
      <c r="E3548"/>
      <c r="F3548"/>
    </row>
    <row r="3549" spans="1:6">
      <c r="A3549"/>
      <c r="B3549"/>
      <c r="C3549"/>
      <c r="D3549"/>
      <c r="E3549"/>
      <c r="F3549"/>
    </row>
    <row r="3550" spans="1:6">
      <c r="A3550"/>
      <c r="B3550"/>
      <c r="C3550"/>
      <c r="D3550"/>
      <c r="E3550"/>
      <c r="F3550"/>
    </row>
    <row r="3551" spans="1:6">
      <c r="A3551"/>
      <c r="B3551"/>
      <c r="C3551"/>
      <c r="D3551"/>
      <c r="E3551"/>
      <c r="F3551"/>
    </row>
    <row r="3552" spans="1:6">
      <c r="A3552"/>
      <c r="B3552"/>
      <c r="C3552"/>
      <c r="D3552"/>
      <c r="E3552"/>
      <c r="F3552"/>
    </row>
    <row r="3553" spans="1:6">
      <c r="A3553"/>
      <c r="B3553"/>
      <c r="C3553"/>
      <c r="D3553"/>
      <c r="E3553"/>
      <c r="F3553"/>
    </row>
    <row r="3554" spans="1:6">
      <c r="A3554"/>
      <c r="B3554"/>
      <c r="C3554"/>
      <c r="D3554"/>
      <c r="E3554"/>
      <c r="F3554"/>
    </row>
    <row r="3555" spans="1:6">
      <c r="A3555"/>
      <c r="B3555"/>
      <c r="C3555"/>
      <c r="D3555"/>
      <c r="E3555"/>
      <c r="F3555"/>
    </row>
    <row r="3556" spans="1:6">
      <c r="A3556"/>
      <c r="B3556"/>
      <c r="C3556"/>
      <c r="D3556"/>
      <c r="E3556"/>
      <c r="F3556"/>
    </row>
    <row r="3557" spans="1:6">
      <c r="A3557"/>
      <c r="B3557"/>
      <c r="C3557"/>
      <c r="D3557"/>
      <c r="E3557"/>
      <c r="F3557"/>
    </row>
    <row r="3558" spans="1:6">
      <c r="A3558"/>
      <c r="B3558"/>
      <c r="C3558"/>
      <c r="D3558"/>
      <c r="E3558"/>
      <c r="F3558"/>
    </row>
    <row r="3559" spans="1:6">
      <c r="A3559"/>
      <c r="B3559"/>
      <c r="C3559"/>
      <c r="D3559"/>
      <c r="E3559"/>
      <c r="F3559"/>
    </row>
    <row r="3560" spans="1:6">
      <c r="A3560"/>
      <c r="B3560"/>
      <c r="C3560"/>
      <c r="D3560"/>
      <c r="E3560"/>
      <c r="F3560"/>
    </row>
    <row r="3561" spans="1:6">
      <c r="A3561"/>
      <c r="B3561"/>
      <c r="C3561"/>
      <c r="D3561"/>
      <c r="E3561"/>
      <c r="F3561"/>
    </row>
    <row r="3562" spans="1:6">
      <c r="A3562"/>
      <c r="B3562"/>
      <c r="C3562"/>
      <c r="D3562"/>
      <c r="E3562"/>
      <c r="F3562"/>
    </row>
    <row r="3563" spans="1:6">
      <c r="A3563"/>
      <c r="B3563"/>
      <c r="C3563"/>
      <c r="D3563"/>
      <c r="E3563"/>
      <c r="F3563"/>
    </row>
    <row r="3564" spans="1:6">
      <c r="A3564"/>
      <c r="B3564"/>
      <c r="C3564"/>
      <c r="D3564"/>
      <c r="E3564"/>
      <c r="F3564"/>
    </row>
    <row r="3565" spans="1:6">
      <c r="A3565"/>
      <c r="B3565"/>
      <c r="C3565"/>
      <c r="D3565"/>
      <c r="E3565"/>
      <c r="F3565"/>
    </row>
    <row r="3566" spans="1:6">
      <c r="A3566"/>
      <c r="B3566"/>
      <c r="C3566"/>
      <c r="D3566"/>
      <c r="E3566"/>
      <c r="F3566"/>
    </row>
    <row r="3567" spans="1:6">
      <c r="A3567"/>
      <c r="B3567"/>
      <c r="C3567"/>
      <c r="D3567"/>
      <c r="E3567"/>
      <c r="F3567"/>
    </row>
    <row r="3568" spans="1:6">
      <c r="A3568"/>
      <c r="B3568"/>
      <c r="C3568"/>
      <c r="D3568"/>
      <c r="E3568"/>
      <c r="F3568"/>
    </row>
    <row r="3569" spans="1:6">
      <c r="A3569"/>
      <c r="B3569"/>
      <c r="C3569"/>
      <c r="D3569"/>
      <c r="E3569"/>
      <c r="F3569"/>
    </row>
    <row r="3570" spans="1:6">
      <c r="A3570"/>
      <c r="B3570"/>
      <c r="C3570"/>
      <c r="D3570"/>
      <c r="E3570"/>
      <c r="F3570"/>
    </row>
    <row r="3571" spans="1:6">
      <c r="A3571"/>
      <c r="B3571"/>
      <c r="C3571"/>
      <c r="D3571"/>
      <c r="E3571"/>
      <c r="F3571"/>
    </row>
    <row r="3572" spans="1:6">
      <c r="A3572"/>
      <c r="B3572"/>
      <c r="C3572"/>
      <c r="D3572"/>
      <c r="E3572"/>
      <c r="F3572"/>
    </row>
    <row r="3573" spans="1:6">
      <c r="A3573"/>
      <c r="B3573"/>
      <c r="C3573"/>
      <c r="D3573"/>
      <c r="E3573"/>
      <c r="F3573"/>
    </row>
    <row r="3574" spans="1:6">
      <c r="A3574"/>
      <c r="B3574"/>
      <c r="C3574"/>
      <c r="D3574"/>
      <c r="E3574"/>
      <c r="F3574"/>
    </row>
    <row r="3575" spans="1:6">
      <c r="A3575"/>
      <c r="B3575"/>
      <c r="C3575"/>
      <c r="D3575"/>
      <c r="E3575"/>
      <c r="F3575"/>
    </row>
    <row r="3576" spans="1:6">
      <c r="A3576"/>
      <c r="B3576"/>
      <c r="C3576"/>
      <c r="D3576"/>
      <c r="E3576"/>
      <c r="F3576"/>
    </row>
    <row r="3577" spans="1:6">
      <c r="A3577"/>
      <c r="B3577"/>
      <c r="C3577"/>
      <c r="D3577"/>
      <c r="E3577"/>
      <c r="F3577"/>
    </row>
    <row r="3578" spans="1:6">
      <c r="A3578"/>
      <c r="B3578"/>
      <c r="C3578"/>
      <c r="D3578"/>
      <c r="E3578"/>
      <c r="F3578"/>
    </row>
    <row r="3579" spans="1:6">
      <c r="A3579"/>
      <c r="B3579"/>
      <c r="C3579"/>
      <c r="D3579"/>
      <c r="E3579"/>
      <c r="F3579"/>
    </row>
    <row r="3580" spans="1:6">
      <c r="A3580"/>
      <c r="B3580"/>
      <c r="C3580"/>
      <c r="D3580"/>
      <c r="E3580"/>
      <c r="F3580"/>
    </row>
    <row r="3581" spans="1:6">
      <c r="A3581"/>
      <c r="B3581"/>
      <c r="C3581"/>
      <c r="D3581"/>
      <c r="E3581"/>
      <c r="F3581"/>
    </row>
    <row r="3582" spans="1:6">
      <c r="A3582"/>
      <c r="B3582"/>
      <c r="C3582"/>
      <c r="D3582"/>
      <c r="E3582"/>
      <c r="F3582"/>
    </row>
    <row r="3583" spans="1:6">
      <c r="A3583"/>
      <c r="B3583"/>
      <c r="C3583"/>
      <c r="D3583"/>
      <c r="E3583"/>
      <c r="F3583"/>
    </row>
    <row r="3584" spans="1:6">
      <c r="A3584"/>
      <c r="B3584"/>
      <c r="C3584"/>
      <c r="D3584"/>
      <c r="E3584"/>
      <c r="F3584"/>
    </row>
    <row r="3585" spans="1:6">
      <c r="A3585"/>
      <c r="B3585"/>
      <c r="C3585"/>
      <c r="D3585"/>
      <c r="E3585"/>
      <c r="F3585"/>
    </row>
    <row r="3586" spans="1:6">
      <c r="A3586"/>
      <c r="B3586"/>
      <c r="C3586"/>
      <c r="D3586"/>
      <c r="E3586"/>
      <c r="F3586"/>
    </row>
    <row r="3587" spans="1:6">
      <c r="A3587"/>
      <c r="B3587"/>
      <c r="C3587"/>
      <c r="D3587"/>
      <c r="E3587"/>
      <c r="F3587"/>
    </row>
    <row r="3588" spans="1:6">
      <c r="A3588"/>
      <c r="B3588"/>
      <c r="C3588"/>
      <c r="D3588"/>
      <c r="E3588"/>
      <c r="F3588"/>
    </row>
    <row r="3589" spans="1:6">
      <c r="A3589"/>
      <c r="B3589"/>
      <c r="C3589"/>
      <c r="D3589"/>
      <c r="E3589"/>
      <c r="F3589"/>
    </row>
    <row r="3590" spans="1:6">
      <c r="A3590"/>
      <c r="B3590"/>
      <c r="C3590"/>
      <c r="D3590"/>
      <c r="E3590"/>
      <c r="F3590"/>
    </row>
    <row r="3591" spans="1:6">
      <c r="A3591"/>
      <c r="B3591"/>
      <c r="C3591"/>
      <c r="D3591"/>
      <c r="E3591"/>
      <c r="F3591"/>
    </row>
    <row r="3592" spans="1:6">
      <c r="A3592"/>
      <c r="B3592"/>
      <c r="C3592"/>
      <c r="D3592"/>
      <c r="E3592"/>
      <c r="F3592"/>
    </row>
    <row r="3593" spans="1:6">
      <c r="A3593"/>
      <c r="B3593"/>
      <c r="C3593"/>
      <c r="D3593"/>
      <c r="E3593"/>
      <c r="F3593"/>
    </row>
    <row r="3594" spans="1:6">
      <c r="A3594"/>
      <c r="B3594"/>
      <c r="C3594"/>
      <c r="D3594"/>
      <c r="E3594"/>
      <c r="F3594"/>
    </row>
    <row r="3595" spans="1:6">
      <c r="A3595"/>
      <c r="B3595"/>
      <c r="C3595"/>
      <c r="D3595"/>
      <c r="E3595"/>
      <c r="F3595"/>
    </row>
    <row r="3596" spans="1:6">
      <c r="A3596"/>
      <c r="B3596"/>
      <c r="C3596"/>
      <c r="D3596"/>
      <c r="E3596"/>
      <c r="F3596"/>
    </row>
    <row r="3597" spans="1:6">
      <c r="A3597"/>
      <c r="B3597"/>
      <c r="C3597"/>
      <c r="D3597"/>
      <c r="E3597"/>
      <c r="F3597"/>
    </row>
    <row r="3598" spans="1:6">
      <c r="A3598"/>
      <c r="B3598"/>
      <c r="C3598"/>
      <c r="D3598"/>
      <c r="E3598"/>
      <c r="F3598"/>
    </row>
    <row r="3599" spans="1:6">
      <c r="A3599"/>
      <c r="B3599"/>
      <c r="C3599"/>
      <c r="D3599"/>
      <c r="E3599"/>
      <c r="F3599"/>
    </row>
    <row r="3600" spans="1:6">
      <c r="A3600"/>
      <c r="B3600"/>
      <c r="C3600"/>
      <c r="D3600"/>
      <c r="E3600"/>
      <c r="F3600"/>
    </row>
    <row r="3601" spans="1:6">
      <c r="A3601"/>
      <c r="B3601"/>
      <c r="C3601"/>
      <c r="D3601"/>
      <c r="E3601"/>
      <c r="F3601"/>
    </row>
    <row r="3602" spans="1:6">
      <c r="A3602"/>
      <c r="B3602"/>
      <c r="C3602"/>
      <c r="D3602"/>
      <c r="E3602"/>
      <c r="F3602"/>
    </row>
    <row r="3603" spans="1:6">
      <c r="A3603"/>
      <c r="B3603"/>
      <c r="C3603"/>
      <c r="D3603"/>
      <c r="E3603"/>
      <c r="F3603"/>
    </row>
    <row r="3604" spans="1:6">
      <c r="A3604"/>
      <c r="B3604"/>
      <c r="C3604"/>
      <c r="D3604"/>
      <c r="E3604"/>
      <c r="F3604"/>
    </row>
    <row r="3605" spans="1:6">
      <c r="A3605"/>
      <c r="B3605"/>
      <c r="C3605"/>
      <c r="D3605"/>
      <c r="E3605"/>
      <c r="F3605"/>
    </row>
    <row r="3606" spans="1:6">
      <c r="A3606"/>
      <c r="B3606"/>
      <c r="C3606"/>
      <c r="D3606"/>
      <c r="E3606"/>
      <c r="F3606"/>
    </row>
    <row r="3607" spans="1:6">
      <c r="A3607"/>
      <c r="B3607"/>
      <c r="C3607"/>
      <c r="D3607"/>
      <c r="E3607"/>
      <c r="F3607"/>
    </row>
    <row r="3608" spans="1:6">
      <c r="A3608"/>
      <c r="B3608"/>
      <c r="C3608"/>
      <c r="D3608"/>
      <c r="E3608"/>
      <c r="F3608"/>
    </row>
    <row r="3609" spans="1:6">
      <c r="A3609"/>
      <c r="B3609"/>
      <c r="C3609"/>
      <c r="D3609"/>
      <c r="E3609"/>
      <c r="F3609"/>
    </row>
    <row r="3610" spans="1:6">
      <c r="A3610"/>
      <c r="B3610"/>
      <c r="C3610"/>
      <c r="D3610"/>
      <c r="E3610"/>
      <c r="F3610"/>
    </row>
    <row r="3611" spans="1:6">
      <c r="A3611"/>
      <c r="B3611"/>
      <c r="C3611"/>
      <c r="D3611"/>
      <c r="E3611"/>
      <c r="F3611"/>
    </row>
    <row r="3612" spans="1:6">
      <c r="A3612"/>
      <c r="B3612"/>
      <c r="C3612"/>
      <c r="D3612"/>
      <c r="E3612"/>
      <c r="F3612"/>
    </row>
    <row r="3613" spans="1:6">
      <c r="A3613"/>
      <c r="B3613"/>
      <c r="C3613"/>
      <c r="D3613"/>
      <c r="E3613"/>
      <c r="F3613"/>
    </row>
    <row r="3614" spans="1:6">
      <c r="A3614"/>
      <c r="B3614"/>
      <c r="C3614"/>
      <c r="D3614"/>
      <c r="E3614"/>
      <c r="F3614"/>
    </row>
    <row r="3615" spans="1:6">
      <c r="A3615"/>
      <c r="B3615"/>
      <c r="C3615"/>
      <c r="D3615"/>
      <c r="E3615"/>
      <c r="F3615"/>
    </row>
    <row r="3616" spans="1:6">
      <c r="A3616"/>
      <c r="B3616"/>
      <c r="C3616"/>
      <c r="D3616"/>
      <c r="E3616"/>
      <c r="F3616"/>
    </row>
    <row r="3617" spans="1:6">
      <c r="A3617"/>
      <c r="B3617"/>
      <c r="C3617"/>
      <c r="D3617"/>
      <c r="E3617"/>
      <c r="F3617"/>
    </row>
    <row r="3618" spans="1:6">
      <c r="A3618"/>
      <c r="B3618"/>
      <c r="C3618"/>
      <c r="D3618"/>
      <c r="E3618"/>
      <c r="F3618"/>
    </row>
    <row r="3619" spans="1:6">
      <c r="A3619"/>
      <c r="B3619"/>
      <c r="C3619"/>
      <c r="D3619"/>
      <c r="E3619"/>
      <c r="F3619"/>
    </row>
    <row r="3620" spans="1:6">
      <c r="A3620"/>
      <c r="B3620"/>
      <c r="C3620"/>
      <c r="D3620"/>
      <c r="E3620"/>
      <c r="F3620"/>
    </row>
    <row r="3621" spans="1:6">
      <c r="A3621"/>
      <c r="B3621"/>
      <c r="C3621"/>
      <c r="D3621"/>
      <c r="E3621"/>
      <c r="F3621"/>
    </row>
    <row r="3622" spans="1:6">
      <c r="A3622"/>
      <c r="B3622"/>
      <c r="C3622"/>
      <c r="D3622"/>
      <c r="E3622"/>
      <c r="F3622"/>
    </row>
    <row r="3623" spans="1:6">
      <c r="A3623"/>
      <c r="B3623"/>
      <c r="C3623"/>
      <c r="D3623"/>
      <c r="E3623"/>
      <c r="F3623"/>
    </row>
    <row r="3624" spans="1:6">
      <c r="A3624"/>
      <c r="B3624"/>
      <c r="C3624"/>
      <c r="D3624"/>
      <c r="E3624"/>
      <c r="F3624"/>
    </row>
    <row r="3625" spans="1:6">
      <c r="A3625"/>
      <c r="B3625"/>
      <c r="C3625"/>
      <c r="D3625"/>
      <c r="E3625"/>
      <c r="F3625"/>
    </row>
    <row r="3626" spans="1:6">
      <c r="A3626"/>
      <c r="B3626"/>
      <c r="C3626"/>
      <c r="D3626"/>
      <c r="E3626"/>
      <c r="F3626"/>
    </row>
    <row r="3627" spans="1:6">
      <c r="A3627"/>
      <c r="B3627"/>
      <c r="C3627"/>
      <c r="D3627"/>
      <c r="E3627"/>
      <c r="F3627"/>
    </row>
    <row r="3628" spans="1:6">
      <c r="A3628"/>
      <c r="B3628"/>
      <c r="C3628"/>
      <c r="D3628"/>
      <c r="E3628"/>
      <c r="F3628"/>
    </row>
    <row r="3629" spans="1:6">
      <c r="A3629"/>
      <c r="B3629"/>
      <c r="C3629"/>
      <c r="D3629"/>
      <c r="E3629"/>
      <c r="F3629"/>
    </row>
    <row r="3630" spans="1:6">
      <c r="A3630"/>
      <c r="B3630"/>
      <c r="C3630"/>
      <c r="D3630"/>
      <c r="E3630"/>
      <c r="F3630"/>
    </row>
    <row r="3631" spans="1:6">
      <c r="A3631"/>
      <c r="B3631"/>
      <c r="C3631"/>
      <c r="D3631"/>
      <c r="E3631"/>
      <c r="F3631"/>
    </row>
    <row r="3632" spans="1:6">
      <c r="A3632"/>
      <c r="B3632"/>
      <c r="C3632"/>
      <c r="D3632"/>
      <c r="E3632"/>
      <c r="F3632"/>
    </row>
    <row r="3633" spans="1:6">
      <c r="A3633"/>
      <c r="B3633"/>
      <c r="C3633"/>
      <c r="D3633"/>
      <c r="E3633"/>
      <c r="F3633"/>
    </row>
    <row r="3634" spans="1:6">
      <c r="A3634"/>
      <c r="B3634"/>
      <c r="C3634"/>
      <c r="D3634"/>
      <c r="E3634"/>
      <c r="F3634"/>
    </row>
    <row r="3635" spans="1:6">
      <c r="A3635"/>
      <c r="B3635"/>
      <c r="C3635"/>
      <c r="D3635"/>
      <c r="E3635"/>
      <c r="F3635"/>
    </row>
    <row r="3636" spans="1:6">
      <c r="A3636"/>
      <c r="B3636"/>
      <c r="C3636"/>
      <c r="D3636"/>
      <c r="E3636"/>
      <c r="F3636"/>
    </row>
    <row r="3637" spans="1:6">
      <c r="A3637"/>
      <c r="B3637"/>
      <c r="C3637"/>
      <c r="D3637"/>
      <c r="E3637"/>
      <c r="F3637"/>
    </row>
    <row r="3638" spans="1:6">
      <c r="A3638"/>
      <c r="B3638"/>
      <c r="C3638"/>
      <c r="D3638"/>
      <c r="E3638"/>
      <c r="F3638"/>
    </row>
    <row r="3639" spans="1:6">
      <c r="A3639"/>
      <c r="B3639"/>
      <c r="C3639"/>
      <c r="D3639"/>
      <c r="E3639"/>
      <c r="F3639"/>
    </row>
    <row r="3640" spans="1:6">
      <c r="A3640"/>
      <c r="B3640"/>
      <c r="C3640"/>
      <c r="D3640"/>
      <c r="E3640"/>
      <c r="F3640"/>
    </row>
    <row r="3641" spans="1:6">
      <c r="A3641"/>
      <c r="B3641"/>
      <c r="C3641"/>
      <c r="D3641"/>
      <c r="E3641"/>
      <c r="F3641"/>
    </row>
    <row r="3642" spans="1:6">
      <c r="A3642"/>
      <c r="B3642"/>
      <c r="C3642"/>
      <c r="D3642"/>
      <c r="E3642"/>
      <c r="F3642"/>
    </row>
    <row r="3643" spans="1:6">
      <c r="A3643"/>
      <c r="B3643"/>
      <c r="C3643"/>
      <c r="D3643"/>
      <c r="E3643"/>
      <c r="F3643"/>
    </row>
    <row r="3644" spans="1:6">
      <c r="A3644"/>
      <c r="B3644"/>
      <c r="C3644"/>
      <c r="D3644"/>
      <c r="E3644"/>
      <c r="F3644"/>
    </row>
    <row r="3645" spans="1:6">
      <c r="A3645"/>
      <c r="B3645"/>
      <c r="C3645"/>
      <c r="D3645"/>
      <c r="E3645"/>
      <c r="F3645"/>
    </row>
    <row r="3646" spans="1:6">
      <c r="A3646"/>
      <c r="B3646"/>
      <c r="C3646"/>
      <c r="D3646"/>
      <c r="E3646"/>
      <c r="F3646"/>
    </row>
    <row r="3647" spans="1:6">
      <c r="A3647"/>
      <c r="B3647"/>
      <c r="C3647"/>
      <c r="D3647"/>
      <c r="E3647"/>
      <c r="F3647"/>
    </row>
    <row r="3648" spans="1:6">
      <c r="A3648"/>
      <c r="B3648"/>
      <c r="C3648"/>
      <c r="D3648"/>
      <c r="E3648"/>
      <c r="F3648"/>
    </row>
    <row r="3649" spans="1:6">
      <c r="A3649"/>
      <c r="B3649"/>
      <c r="C3649"/>
      <c r="D3649"/>
      <c r="E3649"/>
      <c r="F3649"/>
    </row>
    <row r="3650" spans="1:6">
      <c r="A3650"/>
      <c r="B3650"/>
      <c r="C3650"/>
      <c r="D3650"/>
      <c r="E3650"/>
      <c r="F3650"/>
    </row>
    <row r="3651" spans="1:6">
      <c r="A3651"/>
      <c r="B3651"/>
      <c r="C3651"/>
      <c r="D3651"/>
      <c r="E3651"/>
      <c r="F3651"/>
    </row>
    <row r="3652" spans="1:6">
      <c r="A3652"/>
      <c r="B3652"/>
      <c r="C3652"/>
      <c r="D3652"/>
      <c r="E3652"/>
      <c r="F3652"/>
    </row>
    <row r="3653" spans="1:6">
      <c r="A3653"/>
      <c r="B3653"/>
      <c r="C3653"/>
      <c r="D3653"/>
      <c r="E3653"/>
      <c r="F3653"/>
    </row>
    <row r="3654" spans="1:6">
      <c r="A3654"/>
      <c r="B3654"/>
      <c r="C3654"/>
      <c r="D3654"/>
      <c r="E3654"/>
      <c r="F3654"/>
    </row>
    <row r="3655" spans="1:6">
      <c r="A3655"/>
      <c r="B3655"/>
      <c r="C3655"/>
      <c r="D3655"/>
      <c r="E3655"/>
      <c r="F3655"/>
    </row>
    <row r="3656" spans="1:6">
      <c r="A3656"/>
      <c r="B3656"/>
      <c r="C3656"/>
      <c r="D3656"/>
      <c r="E3656"/>
      <c r="F3656"/>
    </row>
    <row r="3657" spans="1:6">
      <c r="A3657"/>
      <c r="B3657"/>
      <c r="C3657"/>
      <c r="D3657"/>
      <c r="E3657"/>
      <c r="F3657"/>
    </row>
    <row r="3658" spans="1:6">
      <c r="A3658"/>
      <c r="B3658"/>
      <c r="C3658"/>
      <c r="D3658"/>
      <c r="E3658"/>
      <c r="F3658"/>
    </row>
    <row r="3659" spans="1:6">
      <c r="A3659"/>
      <c r="B3659"/>
      <c r="C3659"/>
      <c r="D3659"/>
      <c r="E3659"/>
      <c r="F3659"/>
    </row>
    <row r="3660" spans="1:6">
      <c r="A3660"/>
      <c r="B3660"/>
      <c r="C3660"/>
      <c r="D3660"/>
      <c r="E3660"/>
      <c r="F3660"/>
    </row>
    <row r="3661" spans="1:6">
      <c r="A3661"/>
      <c r="B3661"/>
      <c r="C3661"/>
      <c r="D3661"/>
      <c r="E3661"/>
      <c r="F3661"/>
    </row>
    <row r="3662" spans="1:6">
      <c r="A3662"/>
      <c r="B3662"/>
      <c r="C3662"/>
      <c r="D3662"/>
      <c r="E3662"/>
      <c r="F3662"/>
    </row>
    <row r="3663" spans="1:6">
      <c r="A3663"/>
      <c r="B3663"/>
      <c r="C3663"/>
      <c r="D3663"/>
      <c r="E3663"/>
      <c r="F3663"/>
    </row>
    <row r="3664" spans="1:6">
      <c r="A3664"/>
      <c r="B3664"/>
      <c r="C3664"/>
      <c r="D3664"/>
      <c r="E3664"/>
      <c r="F3664"/>
    </row>
    <row r="3665" spans="1:6">
      <c r="A3665"/>
      <c r="B3665"/>
      <c r="C3665"/>
      <c r="D3665"/>
      <c r="E3665"/>
      <c r="F3665"/>
    </row>
    <row r="3666" spans="1:6">
      <c r="A3666"/>
      <c r="B3666"/>
      <c r="C3666"/>
      <c r="D3666"/>
      <c r="E3666"/>
      <c r="F3666"/>
    </row>
    <row r="3667" spans="1:6">
      <c r="A3667"/>
      <c r="B3667"/>
      <c r="C3667"/>
      <c r="D3667"/>
      <c r="E3667"/>
      <c r="F3667"/>
    </row>
    <row r="3668" spans="1:6">
      <c r="A3668"/>
      <c r="B3668"/>
      <c r="C3668"/>
      <c r="D3668"/>
      <c r="E3668"/>
      <c r="F3668"/>
    </row>
    <row r="3669" spans="1:6">
      <c r="A3669"/>
      <c r="B3669"/>
      <c r="C3669"/>
      <c r="D3669"/>
      <c r="E3669"/>
      <c r="F3669"/>
    </row>
    <row r="3670" spans="1:6">
      <c r="A3670"/>
      <c r="B3670"/>
      <c r="C3670"/>
      <c r="D3670"/>
      <c r="E3670"/>
      <c r="F3670"/>
    </row>
    <row r="3671" spans="1:6">
      <c r="A3671"/>
      <c r="B3671"/>
      <c r="C3671"/>
      <c r="D3671"/>
      <c r="E3671"/>
      <c r="F3671"/>
    </row>
    <row r="3672" spans="1:6">
      <c r="A3672"/>
      <c r="B3672"/>
      <c r="C3672"/>
      <c r="D3672"/>
      <c r="E3672"/>
      <c r="F3672"/>
    </row>
    <row r="3673" spans="1:6">
      <c r="A3673"/>
      <c r="B3673"/>
      <c r="C3673"/>
      <c r="D3673"/>
      <c r="E3673"/>
      <c r="F3673"/>
    </row>
    <row r="3674" spans="1:6">
      <c r="A3674"/>
      <c r="B3674"/>
      <c r="C3674"/>
      <c r="D3674"/>
      <c r="E3674"/>
      <c r="F3674"/>
    </row>
    <row r="3675" spans="1:6">
      <c r="A3675"/>
      <c r="B3675"/>
      <c r="C3675"/>
      <c r="D3675"/>
      <c r="E3675"/>
      <c r="F3675"/>
    </row>
    <row r="3676" spans="1:6">
      <c r="A3676"/>
      <c r="B3676"/>
      <c r="C3676"/>
      <c r="D3676"/>
      <c r="E3676"/>
      <c r="F3676"/>
    </row>
    <row r="3677" spans="1:6">
      <c r="A3677"/>
      <c r="B3677"/>
      <c r="C3677"/>
      <c r="D3677"/>
      <c r="E3677"/>
      <c r="F3677"/>
    </row>
    <row r="3678" spans="1:6">
      <c r="A3678"/>
      <c r="B3678"/>
      <c r="C3678"/>
      <c r="D3678"/>
      <c r="E3678"/>
      <c r="F3678"/>
    </row>
    <row r="3679" spans="1:6">
      <c r="A3679"/>
      <c r="B3679"/>
      <c r="C3679"/>
      <c r="D3679"/>
      <c r="E3679"/>
      <c r="F3679"/>
    </row>
    <row r="3680" spans="1:6">
      <c r="A3680"/>
      <c r="B3680"/>
      <c r="C3680"/>
      <c r="D3680"/>
      <c r="E3680"/>
      <c r="F3680"/>
    </row>
    <row r="3681" spans="1:6">
      <c r="A3681"/>
      <c r="B3681"/>
      <c r="C3681"/>
      <c r="D3681"/>
      <c r="E3681"/>
      <c r="F3681"/>
    </row>
    <row r="3682" spans="1:6">
      <c r="A3682"/>
      <c r="B3682"/>
      <c r="C3682"/>
      <c r="D3682"/>
      <c r="E3682"/>
      <c r="F3682"/>
    </row>
    <row r="3683" spans="1:6">
      <c r="A3683"/>
      <c r="B3683"/>
      <c r="C3683"/>
      <c r="D3683"/>
      <c r="E3683"/>
      <c r="F3683"/>
    </row>
    <row r="3684" spans="1:6">
      <c r="A3684"/>
      <c r="B3684"/>
      <c r="C3684"/>
      <c r="D3684"/>
      <c r="E3684"/>
      <c r="F3684"/>
    </row>
    <row r="3685" spans="1:6">
      <c r="A3685"/>
      <c r="B3685"/>
      <c r="C3685"/>
      <c r="D3685"/>
      <c r="E3685"/>
      <c r="F3685"/>
    </row>
    <row r="3686" spans="1:6">
      <c r="A3686"/>
      <c r="B3686"/>
      <c r="C3686"/>
      <c r="D3686"/>
      <c r="E3686"/>
      <c r="F3686"/>
    </row>
    <row r="3687" spans="1:6">
      <c r="A3687"/>
      <c r="B3687"/>
      <c r="C3687"/>
      <c r="D3687"/>
      <c r="E3687"/>
      <c r="F3687"/>
    </row>
    <row r="3688" spans="1:6">
      <c r="A3688"/>
      <c r="B3688"/>
      <c r="C3688"/>
      <c r="D3688"/>
      <c r="E3688"/>
      <c r="F3688"/>
    </row>
    <row r="3689" spans="1:6">
      <c r="A3689"/>
      <c r="B3689"/>
      <c r="C3689"/>
      <c r="D3689"/>
      <c r="E3689"/>
      <c r="F3689"/>
    </row>
    <row r="3690" spans="1:6">
      <c r="A3690"/>
      <c r="B3690"/>
      <c r="C3690"/>
      <c r="D3690"/>
      <c r="E3690"/>
      <c r="F3690"/>
    </row>
    <row r="3691" spans="1:6">
      <c r="A3691"/>
      <c r="B3691"/>
      <c r="C3691"/>
      <c r="D3691"/>
      <c r="E3691"/>
      <c r="F3691"/>
    </row>
    <row r="3692" spans="1:6">
      <c r="A3692"/>
      <c r="B3692"/>
      <c r="C3692"/>
      <c r="D3692"/>
      <c r="E3692"/>
      <c r="F3692"/>
    </row>
    <row r="3693" spans="1:6">
      <c r="A3693"/>
      <c r="B3693"/>
      <c r="C3693"/>
      <c r="D3693"/>
      <c r="E3693"/>
      <c r="F3693"/>
    </row>
    <row r="3694" spans="1:6">
      <c r="A3694"/>
      <c r="B3694"/>
      <c r="C3694"/>
      <c r="D3694"/>
      <c r="E3694"/>
      <c r="F3694"/>
    </row>
    <row r="3695" spans="1:6">
      <c r="A3695"/>
      <c r="B3695"/>
      <c r="C3695"/>
      <c r="D3695"/>
      <c r="E3695"/>
      <c r="F3695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31"/>
  <sheetViews>
    <sheetView zoomScale="80" zoomScaleNormal="80" workbookViewId="0">
      <pane xSplit="18" ySplit="2" topLeftCell="X782" activePane="bottomRight" state="frozen"/>
      <selection pane="topRight" activeCell="L1" sqref="L1"/>
      <selection pane="bottomLeft" activeCell="A3" sqref="A3"/>
      <selection pane="bottomRight" activeCell="A819" sqref="A819:Q831"/>
    </sheetView>
  </sheetViews>
  <sheetFormatPr defaultColWidth="6.125" defaultRowHeight="13.5"/>
  <cols>
    <col min="1" max="16" width="6.25" style="1" customWidth="1"/>
    <col min="17" max="17" width="13.125" style="1" bestFit="1" customWidth="1"/>
    <col min="18" max="18" width="15.75" style="1" bestFit="1" customWidth="1"/>
    <col min="19" max="19" width="5.25" style="1" bestFit="1" customWidth="1"/>
    <col min="20" max="20" width="8.75" style="26" bestFit="1" customWidth="1"/>
    <col min="21" max="21" width="10.875" style="26" bestFit="1" customWidth="1"/>
    <col min="22" max="22" width="10" style="26" bestFit="1" customWidth="1"/>
    <col min="23" max="23" width="5.25" style="26" bestFit="1" customWidth="1"/>
    <col min="24" max="24" width="9.375" style="26" bestFit="1" customWidth="1"/>
    <col min="25" max="25" width="11.125" style="26" bestFit="1" customWidth="1"/>
    <col min="26" max="16384" width="6.125" style="1"/>
  </cols>
  <sheetData>
    <row r="1" spans="1:25" s="2" customFormat="1">
      <c r="A1" s="23" t="s">
        <v>11</v>
      </c>
      <c r="B1" s="23" t="s">
        <v>763</v>
      </c>
      <c r="C1" s="28" t="s">
        <v>785</v>
      </c>
      <c r="D1" s="28" t="s">
        <v>786</v>
      </c>
      <c r="E1" s="28" t="s">
        <v>794</v>
      </c>
      <c r="F1" s="28" t="s">
        <v>787</v>
      </c>
      <c r="G1" s="23" t="s">
        <v>761</v>
      </c>
      <c r="H1" s="23" t="s">
        <v>764</v>
      </c>
      <c r="I1" s="23" t="s">
        <v>765</v>
      </c>
      <c r="J1" s="23" t="s">
        <v>766</v>
      </c>
      <c r="K1" s="28" t="s">
        <v>760</v>
      </c>
      <c r="L1" s="28" t="s">
        <v>759</v>
      </c>
      <c r="M1" s="28" t="s">
        <v>769</v>
      </c>
      <c r="N1" s="28" t="s">
        <v>43</v>
      </c>
      <c r="O1" s="28" t="s">
        <v>784</v>
      </c>
      <c r="P1" s="28" t="s">
        <v>1485</v>
      </c>
      <c r="Q1" s="23" t="s">
        <v>788</v>
      </c>
      <c r="R1" s="20" t="s">
        <v>0</v>
      </c>
      <c r="S1" s="20" t="s">
        <v>13</v>
      </c>
      <c r="T1" s="27" t="s">
        <v>780</v>
      </c>
      <c r="U1" s="27" t="s">
        <v>771</v>
      </c>
      <c r="V1" s="27" t="s">
        <v>781</v>
      </c>
      <c r="W1" s="27" t="s">
        <v>782</v>
      </c>
      <c r="X1" s="27" t="s">
        <v>40</v>
      </c>
      <c r="Y1" s="27" t="s">
        <v>41</v>
      </c>
    </row>
    <row r="2" spans="1:25">
      <c r="A2" s="24" t="str">
        <f>IF(OR(MID(R2,8,1)="0",MID(R2,8,1)="5"),"신규","러닝")</f>
        <v>신규</v>
      </c>
      <c r="B2" s="24" t="str">
        <f>IF(COUNTIF(R$1:R1,R2)=0,"최초","리오더")</f>
        <v>최초</v>
      </c>
      <c r="C2" s="24" t="str">
        <f>IF($B2="리오더","",Q2)</f>
        <v>NHLSNF3001</v>
      </c>
      <c r="D2" s="24">
        <f t="shared" ref="D2:D65" si="0">IF(C2="",0,1/COUNTIF(C:C,C2))</f>
        <v>1</v>
      </c>
      <c r="E2" s="24" t="str">
        <f>IF($B2="리오더",Q2,"")</f>
        <v/>
      </c>
      <c r="F2" s="24">
        <f t="shared" ref="F2:F65" si="1">IF(E2="",0,1/COUNTIF(E:E,E2))</f>
        <v>0</v>
      </c>
      <c r="G2" s="24" t="str">
        <f>IF($B2="리오더","",R2)</f>
        <v>NHLSNF3001BK</v>
      </c>
      <c r="H2" s="24">
        <f t="shared" ref="H2:H65" si="2">IF(G2="",0,1/COUNTIF(G:G,G2))</f>
        <v>1</v>
      </c>
      <c r="I2" s="24" t="str">
        <f>IF($B2="리오더",R2,"")</f>
        <v/>
      </c>
      <c r="J2" s="24">
        <f t="shared" ref="J2:J65" si="3">IF(I2="",0,1/COUNTIF(I:I,I2))</f>
        <v>0</v>
      </c>
      <c r="K2" s="24" t="str">
        <f>MID(R2,6,2)</f>
        <v>F3</v>
      </c>
      <c r="L2" s="24" t="str">
        <f>VLOOKUP(N2,CODE!K:P,CODE!$P$1,FALSE)</f>
        <v>모자</v>
      </c>
      <c r="M2" s="24" t="str">
        <f>VLOOKUP(MID(R2,1,3),CODE!$B:$G,CODE!D$1,FALSE)</f>
        <v>NHL</v>
      </c>
      <c r="N2" s="24" t="str">
        <f>MID(R2,4,2)</f>
        <v>SN</v>
      </c>
      <c r="O2" s="29" t="str">
        <f>IF(ISERROR(IF(VLOOKUP($N2,CODE!$K:$P,CODE!$O$1,FALSE)="",$M2,$M2&amp;"-"&amp;VLOOKUP($N2,CODE!$K:$P,CODE!$O$1,FALSE)))=TRUE,"",IF(VLOOKUP($N2,CODE!$K:$P,CODE!$O$1,FALSE)="",$M2,$M2&amp;"-"&amp;VLOOKUP($N2,CODE!$K:$P,CODE!$O$1,FALSE)))</f>
        <v>NHL</v>
      </c>
      <c r="P2" s="29" t="str">
        <f>IF(OR(MID(R2,8,1)="0",MID(R2,8,1)="1",MID(R2,8,1)="2",MID(R2,8,1)="3",MID(R2,8,1)="4"),"성인","키즈")</f>
        <v>성인</v>
      </c>
      <c r="Q2" s="29" t="str">
        <f>MID(R2,1,10)</f>
        <v>NHLSNF3001</v>
      </c>
      <c r="R2" s="1" t="s">
        <v>813</v>
      </c>
      <c r="S2" s="1" t="s">
        <v>15</v>
      </c>
      <c r="T2" s="26">
        <v>792</v>
      </c>
      <c r="U2" s="26">
        <v>34056000</v>
      </c>
      <c r="V2" s="26">
        <v>8990261.2799999993</v>
      </c>
      <c r="W2" s="26">
        <v>3.4437263874493311</v>
      </c>
      <c r="X2" s="26">
        <v>792</v>
      </c>
      <c r="Y2" s="26">
        <v>0</v>
      </c>
    </row>
    <row r="3" spans="1:25">
      <c r="A3" s="24" t="str">
        <f t="shared" ref="A3:A66" si="4">IF(OR(MID(R3,8,1)="0",MID(R3,8,1)="5"),"신규","러닝")</f>
        <v>신규</v>
      </c>
      <c r="B3" s="24" t="str">
        <f>IF(COUNTIF(R$1:R2,R3)=0,"최초","리오더")</f>
        <v>최초</v>
      </c>
      <c r="C3" s="24" t="str">
        <f t="shared" ref="C3:C66" si="5">IF($B3="리오더","",Q3)</f>
        <v>NHLSNF3002</v>
      </c>
      <c r="D3" s="24">
        <f t="shared" si="0"/>
        <v>1</v>
      </c>
      <c r="E3" s="24" t="str">
        <f t="shared" ref="E3:E66" si="6">IF($B3="리오더",Q3,"")</f>
        <v/>
      </c>
      <c r="F3" s="24">
        <f t="shared" si="1"/>
        <v>0</v>
      </c>
      <c r="G3" s="24" t="str">
        <f t="shared" ref="G3:G66" si="7">IF($B3="리오더","",R3)</f>
        <v>NHLSNF3002BK</v>
      </c>
      <c r="H3" s="24">
        <f t="shared" si="2"/>
        <v>1</v>
      </c>
      <c r="I3" s="24" t="str">
        <f t="shared" ref="I3:I66" si="8">IF($B3="리오더",R3,"")</f>
        <v/>
      </c>
      <c r="J3" s="24">
        <f t="shared" si="3"/>
        <v>0</v>
      </c>
      <c r="K3" s="24" t="str">
        <f t="shared" ref="K3:K66" si="9">MID(R3,6,2)</f>
        <v>F3</v>
      </c>
      <c r="L3" s="24" t="str">
        <f>VLOOKUP(N3,CODE!K:P,CODE!$P$1,FALSE)</f>
        <v>모자</v>
      </c>
      <c r="M3" s="24" t="str">
        <f>VLOOKUP(MID(R3,1,3),CODE!$B:$G,CODE!D$1,FALSE)</f>
        <v>NHL</v>
      </c>
      <c r="N3" s="24" t="str">
        <f t="shared" ref="N3:N66" si="10">MID(R3,4,2)</f>
        <v>SN</v>
      </c>
      <c r="O3" s="29" t="str">
        <f>IF(ISERROR(IF(VLOOKUP($N3,CODE!$K:$P,CODE!$O$1,FALSE)="",$M3,$M3&amp;"-"&amp;VLOOKUP($N3,CODE!$K:$P,CODE!$O$1,FALSE)))=TRUE,"",IF(VLOOKUP($N3,CODE!$K:$P,CODE!$O$1,FALSE)="",$M3,$M3&amp;"-"&amp;VLOOKUP($N3,CODE!$K:$P,CODE!$O$1,FALSE)))</f>
        <v>NHL</v>
      </c>
      <c r="P3" s="29" t="str">
        <f t="shared" ref="P3:P66" si="11">IF(OR(MID(R3,8,1)="0",MID(R3,8,1)="1",MID(R3,8,1)="2",MID(R3,8,1)="3",MID(R3,8,1)="4"),"성인","키즈")</f>
        <v>성인</v>
      </c>
      <c r="Q3" s="29" t="str">
        <f t="shared" ref="Q3:Q66" si="12">MID(R3,1,10)</f>
        <v>NHLSNF3002</v>
      </c>
      <c r="R3" s="1" t="s">
        <v>814</v>
      </c>
      <c r="S3" s="1" t="s">
        <v>15</v>
      </c>
      <c r="T3" s="26">
        <v>792</v>
      </c>
      <c r="U3" s="26">
        <v>34056000</v>
      </c>
      <c r="V3" s="26">
        <v>8990261.2799999993</v>
      </c>
      <c r="W3" s="26">
        <v>3.4437263874493311</v>
      </c>
      <c r="X3" s="26">
        <v>792</v>
      </c>
      <c r="Y3" s="26">
        <v>0</v>
      </c>
    </row>
    <row r="4" spans="1:25">
      <c r="A4" s="24" t="str">
        <f t="shared" si="4"/>
        <v>신규</v>
      </c>
      <c r="B4" s="24" t="str">
        <f>IF(COUNTIF(R$1:R3,R4)=0,"최초","리오더")</f>
        <v>최초</v>
      </c>
      <c r="C4" s="24" t="str">
        <f t="shared" si="5"/>
        <v>NHLSNF3003</v>
      </c>
      <c r="D4" s="24">
        <f t="shared" si="0"/>
        <v>1</v>
      </c>
      <c r="E4" s="24" t="str">
        <f t="shared" si="6"/>
        <v/>
      </c>
      <c r="F4" s="24">
        <f t="shared" si="1"/>
        <v>0</v>
      </c>
      <c r="G4" s="24" t="str">
        <f t="shared" si="7"/>
        <v>NHLSNF3003BK</v>
      </c>
      <c r="H4" s="24">
        <f t="shared" si="2"/>
        <v>1</v>
      </c>
      <c r="I4" s="24" t="str">
        <f t="shared" si="8"/>
        <v/>
      </c>
      <c r="J4" s="24">
        <f t="shared" si="3"/>
        <v>0</v>
      </c>
      <c r="K4" s="24" t="str">
        <f t="shared" si="9"/>
        <v>F3</v>
      </c>
      <c r="L4" s="24" t="str">
        <f>VLOOKUP(N4,CODE!K:P,CODE!$P$1,FALSE)</f>
        <v>모자</v>
      </c>
      <c r="M4" s="24" t="str">
        <f>VLOOKUP(MID(R4,1,3),CODE!$B:$G,CODE!D$1,FALSE)</f>
        <v>NHL</v>
      </c>
      <c r="N4" s="24" t="str">
        <f t="shared" si="10"/>
        <v>SN</v>
      </c>
      <c r="O4" s="29" t="str">
        <f>IF(ISERROR(IF(VLOOKUP($N4,CODE!$K:$P,CODE!$O$1,FALSE)="",$M4,$M4&amp;"-"&amp;VLOOKUP($N4,CODE!$K:$P,CODE!$O$1,FALSE)))=TRUE,"",IF(VLOOKUP($N4,CODE!$K:$P,CODE!$O$1,FALSE)="",$M4,$M4&amp;"-"&amp;VLOOKUP($N4,CODE!$K:$P,CODE!$O$1,FALSE)))</f>
        <v>NHL</v>
      </c>
      <c r="P4" s="29" t="str">
        <f t="shared" si="11"/>
        <v>성인</v>
      </c>
      <c r="Q4" s="29" t="str">
        <f t="shared" si="12"/>
        <v>NHLSNF3003</v>
      </c>
      <c r="R4" s="1" t="s">
        <v>815</v>
      </c>
      <c r="S4" s="1" t="s">
        <v>15</v>
      </c>
      <c r="T4" s="26">
        <v>792</v>
      </c>
      <c r="U4" s="26">
        <v>34056000</v>
      </c>
      <c r="V4" s="26">
        <v>8990261.2799999993</v>
      </c>
      <c r="W4" s="26">
        <v>3.4437263874493311</v>
      </c>
      <c r="X4" s="26">
        <v>792</v>
      </c>
      <c r="Y4" s="26">
        <v>0</v>
      </c>
    </row>
    <row r="5" spans="1:25">
      <c r="A5" s="24" t="str">
        <f t="shared" si="4"/>
        <v>신규</v>
      </c>
      <c r="B5" s="24" t="str">
        <f>IF(COUNTIF(R$1:R4,R5)=0,"최초","리오더")</f>
        <v>최초</v>
      </c>
      <c r="C5" s="24" t="str">
        <f t="shared" si="5"/>
        <v>NHLSNF3004</v>
      </c>
      <c r="D5" s="24">
        <f t="shared" si="0"/>
        <v>1</v>
      </c>
      <c r="E5" s="24" t="str">
        <f t="shared" si="6"/>
        <v/>
      </c>
      <c r="F5" s="24">
        <f t="shared" si="1"/>
        <v>0</v>
      </c>
      <c r="G5" s="24" t="str">
        <f t="shared" si="7"/>
        <v>NHLSNF3004RE</v>
      </c>
      <c r="H5" s="24">
        <f t="shared" si="2"/>
        <v>1</v>
      </c>
      <c r="I5" s="24" t="str">
        <f t="shared" si="8"/>
        <v/>
      </c>
      <c r="J5" s="24">
        <f t="shared" si="3"/>
        <v>0</v>
      </c>
      <c r="K5" s="24" t="str">
        <f t="shared" si="9"/>
        <v>F3</v>
      </c>
      <c r="L5" s="24" t="str">
        <f>VLOOKUP(N5,CODE!K:P,CODE!$P$1,FALSE)</f>
        <v>모자</v>
      </c>
      <c r="M5" s="24" t="str">
        <f>VLOOKUP(MID(R5,1,3),CODE!$B:$G,CODE!D$1,FALSE)</f>
        <v>NHL</v>
      </c>
      <c r="N5" s="24" t="str">
        <f t="shared" si="10"/>
        <v>SN</v>
      </c>
      <c r="O5" s="29" t="str">
        <f>IF(ISERROR(IF(VLOOKUP($N5,CODE!$K:$P,CODE!$O$1,FALSE)="",$M5,$M5&amp;"-"&amp;VLOOKUP($N5,CODE!$K:$P,CODE!$O$1,FALSE)))=TRUE,"",IF(VLOOKUP($N5,CODE!$K:$P,CODE!$O$1,FALSE)="",$M5,$M5&amp;"-"&amp;VLOOKUP($N5,CODE!$K:$P,CODE!$O$1,FALSE)))</f>
        <v>NHL</v>
      </c>
      <c r="P5" s="29" t="str">
        <f t="shared" si="11"/>
        <v>성인</v>
      </c>
      <c r="Q5" s="29" t="str">
        <f t="shared" si="12"/>
        <v>NHLSNF3004</v>
      </c>
      <c r="R5" s="1" t="s">
        <v>816</v>
      </c>
      <c r="S5" s="1" t="s">
        <v>15</v>
      </c>
      <c r="T5" s="26">
        <v>600</v>
      </c>
      <c r="U5" s="26">
        <v>28200000</v>
      </c>
      <c r="V5" s="26">
        <v>8180449.2000000002</v>
      </c>
      <c r="W5" s="26">
        <v>3.1338576904020909</v>
      </c>
      <c r="X5" s="26">
        <v>600</v>
      </c>
      <c r="Y5" s="26">
        <v>0</v>
      </c>
    </row>
    <row r="6" spans="1:25">
      <c r="A6" s="24" t="str">
        <f t="shared" si="4"/>
        <v>신규</v>
      </c>
      <c r="B6" s="24" t="str">
        <f>IF(COUNTIF(R$1:R5,R6)=0,"최초","리오더")</f>
        <v>최초</v>
      </c>
      <c r="C6" s="24" t="str">
        <f t="shared" si="5"/>
        <v>NHLSNF3005</v>
      </c>
      <c r="D6" s="24">
        <f t="shared" si="0"/>
        <v>1</v>
      </c>
      <c r="E6" s="24" t="str">
        <f t="shared" si="6"/>
        <v/>
      </c>
      <c r="F6" s="24">
        <f t="shared" si="1"/>
        <v>0</v>
      </c>
      <c r="G6" s="24" t="str">
        <f t="shared" si="7"/>
        <v>NHLSNF3005BK</v>
      </c>
      <c r="H6" s="24">
        <f t="shared" si="2"/>
        <v>1</v>
      </c>
      <c r="I6" s="24" t="str">
        <f t="shared" si="8"/>
        <v/>
      </c>
      <c r="J6" s="24">
        <f t="shared" si="3"/>
        <v>0</v>
      </c>
      <c r="K6" s="24" t="str">
        <f t="shared" si="9"/>
        <v>F3</v>
      </c>
      <c r="L6" s="24" t="str">
        <f>VLOOKUP(N6,CODE!K:P,CODE!$P$1,FALSE)</f>
        <v>모자</v>
      </c>
      <c r="M6" s="24" t="str">
        <f>VLOOKUP(MID(R6,1,3),CODE!$B:$G,CODE!D$1,FALSE)</f>
        <v>NHL</v>
      </c>
      <c r="N6" s="24" t="str">
        <f t="shared" si="10"/>
        <v>SN</v>
      </c>
      <c r="O6" s="29" t="str">
        <f>IF(ISERROR(IF(VLOOKUP($N6,CODE!$K:$P,CODE!$O$1,FALSE)="",$M6,$M6&amp;"-"&amp;VLOOKUP($N6,CODE!$K:$P,CODE!$O$1,FALSE)))=TRUE,"",IF(VLOOKUP($N6,CODE!$K:$P,CODE!$O$1,FALSE)="",$M6,$M6&amp;"-"&amp;VLOOKUP($N6,CODE!$K:$P,CODE!$O$1,FALSE)))</f>
        <v>NHL</v>
      </c>
      <c r="P6" s="29" t="str">
        <f t="shared" si="11"/>
        <v>성인</v>
      </c>
      <c r="Q6" s="29" t="str">
        <f t="shared" si="12"/>
        <v>NHLSNF3005</v>
      </c>
      <c r="R6" s="1" t="s">
        <v>817</v>
      </c>
      <c r="S6" s="1" t="s">
        <v>15</v>
      </c>
      <c r="T6" s="26">
        <v>996</v>
      </c>
      <c r="U6" s="26">
        <v>44820000</v>
      </c>
      <c r="V6" s="26">
        <v>12337135.272</v>
      </c>
      <c r="W6" s="26">
        <v>3.3026674059357388</v>
      </c>
      <c r="X6" s="26">
        <v>996</v>
      </c>
      <c r="Y6" s="26">
        <v>0</v>
      </c>
    </row>
    <row r="7" spans="1:25">
      <c r="A7" s="24" t="str">
        <f t="shared" si="4"/>
        <v>신규</v>
      </c>
      <c r="B7" s="24" t="str">
        <f>IF(COUNTIF(R$1:R6,R7)=0,"최초","리오더")</f>
        <v>최초</v>
      </c>
      <c r="C7" s="24" t="str">
        <f t="shared" si="5"/>
        <v>NHLSNF3006</v>
      </c>
      <c r="D7" s="24">
        <f t="shared" si="0"/>
        <v>1</v>
      </c>
      <c r="E7" s="24" t="str">
        <f t="shared" si="6"/>
        <v/>
      </c>
      <c r="F7" s="24">
        <f t="shared" si="1"/>
        <v>0</v>
      </c>
      <c r="G7" s="24" t="str">
        <f t="shared" si="7"/>
        <v>NHLSNF3006NY</v>
      </c>
      <c r="H7" s="24">
        <f t="shared" si="2"/>
        <v>1</v>
      </c>
      <c r="I7" s="24" t="str">
        <f t="shared" si="8"/>
        <v/>
      </c>
      <c r="J7" s="24">
        <f t="shared" si="3"/>
        <v>0</v>
      </c>
      <c r="K7" s="24" t="str">
        <f t="shared" si="9"/>
        <v>F3</v>
      </c>
      <c r="L7" s="24" t="str">
        <f>VLOOKUP(N7,CODE!K:P,CODE!$P$1,FALSE)</f>
        <v>모자</v>
      </c>
      <c r="M7" s="24" t="str">
        <f>VLOOKUP(MID(R7,1,3),CODE!$B:$G,CODE!D$1,FALSE)</f>
        <v>NHL</v>
      </c>
      <c r="N7" s="24" t="str">
        <f t="shared" si="10"/>
        <v>SN</v>
      </c>
      <c r="O7" s="29" t="str">
        <f>IF(ISERROR(IF(VLOOKUP($N7,CODE!$K:$P,CODE!$O$1,FALSE)="",$M7,$M7&amp;"-"&amp;VLOOKUP($N7,CODE!$K:$P,CODE!$O$1,FALSE)))=TRUE,"",IF(VLOOKUP($N7,CODE!$K:$P,CODE!$O$1,FALSE)="",$M7,$M7&amp;"-"&amp;VLOOKUP($N7,CODE!$K:$P,CODE!$O$1,FALSE)))</f>
        <v>NHL</v>
      </c>
      <c r="P7" s="29" t="str">
        <f t="shared" si="11"/>
        <v>성인</v>
      </c>
      <c r="Q7" s="29" t="str">
        <f t="shared" si="12"/>
        <v>NHLSNF3006</v>
      </c>
      <c r="R7" s="1" t="s">
        <v>818</v>
      </c>
      <c r="S7" s="1" t="s">
        <v>15</v>
      </c>
      <c r="T7" s="26">
        <v>600</v>
      </c>
      <c r="U7" s="26">
        <v>27000000</v>
      </c>
      <c r="V7" s="26">
        <v>7432009.2000000002</v>
      </c>
      <c r="W7" s="26">
        <v>3.3026674059357384</v>
      </c>
      <c r="X7" s="26">
        <v>600</v>
      </c>
      <c r="Y7" s="26">
        <v>0</v>
      </c>
    </row>
    <row r="8" spans="1:25">
      <c r="A8" s="24" t="str">
        <f t="shared" si="4"/>
        <v>신규</v>
      </c>
      <c r="B8" s="24" t="str">
        <f>IF(COUNTIF(R$1:R7,R8)=0,"최초","리오더")</f>
        <v>최초</v>
      </c>
      <c r="C8" s="24" t="str">
        <f t="shared" si="5"/>
        <v>NHLSNF3007</v>
      </c>
      <c r="D8" s="24">
        <f t="shared" si="0"/>
        <v>1</v>
      </c>
      <c r="E8" s="24" t="str">
        <f t="shared" si="6"/>
        <v/>
      </c>
      <c r="F8" s="24">
        <f t="shared" si="1"/>
        <v>0</v>
      </c>
      <c r="G8" s="24" t="str">
        <f t="shared" si="7"/>
        <v>NHLSNF3007RE</v>
      </c>
      <c r="H8" s="24">
        <f t="shared" si="2"/>
        <v>1</v>
      </c>
      <c r="I8" s="24" t="str">
        <f t="shared" si="8"/>
        <v/>
      </c>
      <c r="J8" s="24">
        <f t="shared" si="3"/>
        <v>0</v>
      </c>
      <c r="K8" s="24" t="str">
        <f t="shared" si="9"/>
        <v>F3</v>
      </c>
      <c r="L8" s="24" t="str">
        <f>VLOOKUP(N8,CODE!K:P,CODE!$P$1,FALSE)</f>
        <v>모자</v>
      </c>
      <c r="M8" s="24" t="str">
        <f>VLOOKUP(MID(R8,1,3),CODE!$B:$G,CODE!D$1,FALSE)</f>
        <v>NHL</v>
      </c>
      <c r="N8" s="24" t="str">
        <f t="shared" si="10"/>
        <v>SN</v>
      </c>
      <c r="O8" s="29" t="str">
        <f>IF(ISERROR(IF(VLOOKUP($N8,CODE!$K:$P,CODE!$O$1,FALSE)="",$M8,$M8&amp;"-"&amp;VLOOKUP($N8,CODE!$K:$P,CODE!$O$1,FALSE)))=TRUE,"",IF(VLOOKUP($N8,CODE!$K:$P,CODE!$O$1,FALSE)="",$M8,$M8&amp;"-"&amp;VLOOKUP($N8,CODE!$K:$P,CODE!$O$1,FALSE)))</f>
        <v>NHL</v>
      </c>
      <c r="P8" s="29" t="str">
        <f t="shared" si="11"/>
        <v>성인</v>
      </c>
      <c r="Q8" s="29" t="str">
        <f t="shared" si="12"/>
        <v>NHLSNF3007</v>
      </c>
      <c r="R8" s="1" t="s">
        <v>819</v>
      </c>
      <c r="S8" s="1" t="s">
        <v>15</v>
      </c>
      <c r="T8" s="26">
        <v>600</v>
      </c>
      <c r="U8" s="26">
        <v>27000000</v>
      </c>
      <c r="V8" s="26">
        <v>7432009.2000000002</v>
      </c>
      <c r="W8" s="26">
        <v>3.3026674059357384</v>
      </c>
      <c r="X8" s="26">
        <v>600</v>
      </c>
      <c r="Y8" s="26">
        <v>0</v>
      </c>
    </row>
    <row r="9" spans="1:25">
      <c r="A9" s="24" t="str">
        <f t="shared" si="4"/>
        <v>신규</v>
      </c>
      <c r="B9" s="24" t="str">
        <f>IF(COUNTIF(R$1:R8,R9)=0,"최초","리오더")</f>
        <v>최초</v>
      </c>
      <c r="C9" s="24" t="str">
        <f t="shared" si="5"/>
        <v>NHLSNF3008</v>
      </c>
      <c r="D9" s="24">
        <f t="shared" si="0"/>
        <v>1</v>
      </c>
      <c r="E9" s="24" t="str">
        <f t="shared" si="6"/>
        <v/>
      </c>
      <c r="F9" s="24">
        <f t="shared" si="1"/>
        <v>0</v>
      </c>
      <c r="G9" s="24" t="str">
        <f t="shared" si="7"/>
        <v>NHLSNF3008WH</v>
      </c>
      <c r="H9" s="24">
        <f t="shared" si="2"/>
        <v>1</v>
      </c>
      <c r="I9" s="24" t="str">
        <f t="shared" si="8"/>
        <v/>
      </c>
      <c r="J9" s="24">
        <f t="shared" si="3"/>
        <v>0</v>
      </c>
      <c r="K9" s="24" t="str">
        <f t="shared" si="9"/>
        <v>F3</v>
      </c>
      <c r="L9" s="24" t="str">
        <f>VLOOKUP(N9,CODE!K:P,CODE!$P$1,FALSE)</f>
        <v>모자</v>
      </c>
      <c r="M9" s="24" t="str">
        <f>VLOOKUP(MID(R9,1,3),CODE!$B:$G,CODE!D$1,FALSE)</f>
        <v>NHL</v>
      </c>
      <c r="N9" s="24" t="str">
        <f t="shared" si="10"/>
        <v>SN</v>
      </c>
      <c r="O9" s="29" t="str">
        <f>IF(ISERROR(IF(VLOOKUP($N9,CODE!$K:$P,CODE!$O$1,FALSE)="",$M9,$M9&amp;"-"&amp;VLOOKUP($N9,CODE!$K:$P,CODE!$O$1,FALSE)))=TRUE,"",IF(VLOOKUP($N9,CODE!$K:$P,CODE!$O$1,FALSE)="",$M9,$M9&amp;"-"&amp;VLOOKUP($N9,CODE!$K:$P,CODE!$O$1,FALSE)))</f>
        <v>NHL</v>
      </c>
      <c r="P9" s="29" t="str">
        <f t="shared" si="11"/>
        <v>성인</v>
      </c>
      <c r="Q9" s="29" t="str">
        <f t="shared" si="12"/>
        <v>NHLSNF3008</v>
      </c>
      <c r="R9" s="1" t="s">
        <v>820</v>
      </c>
      <c r="S9" s="1" t="s">
        <v>15</v>
      </c>
      <c r="T9" s="26">
        <v>600</v>
      </c>
      <c r="U9" s="26">
        <v>27000000</v>
      </c>
      <c r="V9" s="26">
        <v>7432009.2000000002</v>
      </c>
      <c r="W9" s="26">
        <v>3.3026674059357384</v>
      </c>
      <c r="X9" s="26">
        <v>600</v>
      </c>
      <c r="Y9" s="26">
        <v>0</v>
      </c>
    </row>
    <row r="10" spans="1:25">
      <c r="A10" s="24" t="str">
        <f t="shared" si="4"/>
        <v>신규</v>
      </c>
      <c r="B10" s="24" t="str">
        <f>IF(COUNTIF(R$1:R9,R10)=0,"최초","리오더")</f>
        <v>최초</v>
      </c>
      <c r="C10" s="24" t="str">
        <f t="shared" si="5"/>
        <v>NHLFIF3009</v>
      </c>
      <c r="D10" s="24">
        <f t="shared" si="0"/>
        <v>1</v>
      </c>
      <c r="E10" s="24" t="str">
        <f t="shared" si="6"/>
        <v/>
      </c>
      <c r="F10" s="24">
        <f t="shared" si="1"/>
        <v>0</v>
      </c>
      <c r="G10" s="24" t="str">
        <f t="shared" si="7"/>
        <v>NHLFIF3009BK</v>
      </c>
      <c r="H10" s="24">
        <f t="shared" si="2"/>
        <v>1</v>
      </c>
      <c r="I10" s="24" t="str">
        <f t="shared" si="8"/>
        <v/>
      </c>
      <c r="J10" s="24">
        <f t="shared" si="3"/>
        <v>0</v>
      </c>
      <c r="K10" s="24" t="str">
        <f t="shared" si="9"/>
        <v>F3</v>
      </c>
      <c r="L10" s="24" t="str">
        <f>VLOOKUP(N10,CODE!K:P,CODE!$P$1,FALSE)</f>
        <v>모자</v>
      </c>
      <c r="M10" s="24" t="str">
        <f>VLOOKUP(MID(R10,1,3),CODE!$B:$G,CODE!D$1,FALSE)</f>
        <v>NHL</v>
      </c>
      <c r="N10" s="24" t="str">
        <f t="shared" si="10"/>
        <v>FI</v>
      </c>
      <c r="O10" s="29" t="str">
        <f>IF(ISERROR(IF(VLOOKUP($N10,CODE!$K:$P,CODE!$O$1,FALSE)="",$M10,$M10&amp;"-"&amp;VLOOKUP($N10,CODE!$K:$P,CODE!$O$1,FALSE)))=TRUE,"",IF(VLOOKUP($N10,CODE!$K:$P,CODE!$O$1,FALSE)="",$M10,$M10&amp;"-"&amp;VLOOKUP($N10,CODE!$K:$P,CODE!$O$1,FALSE)))</f>
        <v>NHL</v>
      </c>
      <c r="P10" s="29" t="str">
        <f t="shared" si="11"/>
        <v>성인</v>
      </c>
      <c r="Q10" s="29" t="str">
        <f t="shared" si="12"/>
        <v>NHLFIF3009</v>
      </c>
      <c r="R10" s="1" t="s">
        <v>821</v>
      </c>
      <c r="S10" s="1" t="s">
        <v>15</v>
      </c>
      <c r="T10" s="26">
        <v>792</v>
      </c>
      <c r="U10" s="26">
        <v>35640000</v>
      </c>
      <c r="V10" s="26">
        <v>9810252.1439999994</v>
      </c>
      <c r="W10" s="26">
        <v>3.3026674059357388</v>
      </c>
      <c r="X10" s="26">
        <v>792</v>
      </c>
      <c r="Y10" s="26">
        <v>0</v>
      </c>
    </row>
    <row r="11" spans="1:25">
      <c r="A11" s="24" t="str">
        <f t="shared" si="4"/>
        <v>신규</v>
      </c>
      <c r="B11" s="24" t="str">
        <f>IF(COUNTIF(R$1:R10,R11)=0,"최초","리오더")</f>
        <v>최초</v>
      </c>
      <c r="C11" s="24" t="str">
        <f t="shared" si="5"/>
        <v>NHLFIF3010</v>
      </c>
      <c r="D11" s="24">
        <f t="shared" si="0"/>
        <v>1</v>
      </c>
      <c r="E11" s="24" t="str">
        <f t="shared" si="6"/>
        <v/>
      </c>
      <c r="F11" s="24">
        <f t="shared" si="1"/>
        <v>0</v>
      </c>
      <c r="G11" s="24" t="str">
        <f t="shared" si="7"/>
        <v>NHLFIF3010BK</v>
      </c>
      <c r="H11" s="24">
        <f t="shared" si="2"/>
        <v>1</v>
      </c>
      <c r="I11" s="24" t="str">
        <f t="shared" si="8"/>
        <v/>
      </c>
      <c r="J11" s="24">
        <f t="shared" si="3"/>
        <v>0</v>
      </c>
      <c r="K11" s="24" t="str">
        <f t="shared" si="9"/>
        <v>F3</v>
      </c>
      <c r="L11" s="24" t="str">
        <f>VLOOKUP(N11,CODE!K:P,CODE!$P$1,FALSE)</f>
        <v>모자</v>
      </c>
      <c r="M11" s="24" t="str">
        <f>VLOOKUP(MID(R11,1,3),CODE!$B:$G,CODE!D$1,FALSE)</f>
        <v>NHL</v>
      </c>
      <c r="N11" s="24" t="str">
        <f t="shared" si="10"/>
        <v>FI</v>
      </c>
      <c r="O11" s="29" t="str">
        <f>IF(ISERROR(IF(VLOOKUP($N11,CODE!$K:$P,CODE!$O$1,FALSE)="",$M11,$M11&amp;"-"&amp;VLOOKUP($N11,CODE!$K:$P,CODE!$O$1,FALSE)))=TRUE,"",IF(VLOOKUP($N11,CODE!$K:$P,CODE!$O$1,FALSE)="",$M11,$M11&amp;"-"&amp;VLOOKUP($N11,CODE!$K:$P,CODE!$O$1,FALSE)))</f>
        <v>NHL</v>
      </c>
      <c r="P11" s="29" t="str">
        <f t="shared" si="11"/>
        <v>성인</v>
      </c>
      <c r="Q11" s="29" t="str">
        <f t="shared" si="12"/>
        <v>NHLFIF3010</v>
      </c>
      <c r="R11" s="1" t="s">
        <v>822</v>
      </c>
      <c r="S11" s="1" t="s">
        <v>15</v>
      </c>
      <c r="T11" s="26">
        <v>792</v>
      </c>
      <c r="U11" s="26">
        <v>35640000</v>
      </c>
      <c r="V11" s="26">
        <v>9810252.1439999994</v>
      </c>
      <c r="W11" s="26">
        <v>3.3026674059357388</v>
      </c>
      <c r="X11" s="26">
        <v>792</v>
      </c>
      <c r="Y11" s="26">
        <v>0</v>
      </c>
    </row>
    <row r="12" spans="1:25">
      <c r="A12" s="24" t="str">
        <f t="shared" si="4"/>
        <v>신규</v>
      </c>
      <c r="B12" s="24" t="str">
        <f>IF(COUNTIF(R$1:R11,R12)=0,"최초","리오더")</f>
        <v>최초</v>
      </c>
      <c r="C12" s="24" t="str">
        <f t="shared" si="5"/>
        <v>NHLSNF3011</v>
      </c>
      <c r="D12" s="24">
        <f t="shared" si="0"/>
        <v>1</v>
      </c>
      <c r="E12" s="24" t="str">
        <f t="shared" si="6"/>
        <v/>
      </c>
      <c r="F12" s="24">
        <f t="shared" si="1"/>
        <v>0</v>
      </c>
      <c r="G12" s="24" t="str">
        <f t="shared" si="7"/>
        <v>NHLSNF3011BK</v>
      </c>
      <c r="H12" s="24">
        <f t="shared" si="2"/>
        <v>1</v>
      </c>
      <c r="I12" s="24" t="str">
        <f t="shared" si="8"/>
        <v/>
      </c>
      <c r="J12" s="24">
        <f t="shared" si="3"/>
        <v>0</v>
      </c>
      <c r="K12" s="24" t="str">
        <f t="shared" si="9"/>
        <v>F3</v>
      </c>
      <c r="L12" s="24" t="str">
        <f>VLOOKUP(N12,CODE!K:P,CODE!$P$1,FALSE)</f>
        <v>모자</v>
      </c>
      <c r="M12" s="24" t="str">
        <f>VLOOKUP(MID(R12,1,3),CODE!$B:$G,CODE!D$1,FALSE)</f>
        <v>NHL</v>
      </c>
      <c r="N12" s="24" t="str">
        <f t="shared" si="10"/>
        <v>SN</v>
      </c>
      <c r="O12" s="29" t="str">
        <f>IF(ISERROR(IF(VLOOKUP($N12,CODE!$K:$P,CODE!$O$1,FALSE)="",$M12,$M12&amp;"-"&amp;VLOOKUP($N12,CODE!$K:$P,CODE!$O$1,FALSE)))=TRUE,"",IF(VLOOKUP($N12,CODE!$K:$P,CODE!$O$1,FALSE)="",$M12,$M12&amp;"-"&amp;VLOOKUP($N12,CODE!$K:$P,CODE!$O$1,FALSE)))</f>
        <v>NHL</v>
      </c>
      <c r="P12" s="29" t="str">
        <f t="shared" si="11"/>
        <v>성인</v>
      </c>
      <c r="Q12" s="29" t="str">
        <f t="shared" si="12"/>
        <v>NHLSNF3011</v>
      </c>
      <c r="R12" s="1" t="s">
        <v>823</v>
      </c>
      <c r="S12" s="1" t="s">
        <v>15</v>
      </c>
      <c r="T12" s="26">
        <v>792</v>
      </c>
      <c r="U12" s="26">
        <v>35640000</v>
      </c>
      <c r="V12" s="26">
        <v>9810252.1440000013</v>
      </c>
      <c r="W12" s="26">
        <v>3.3026674059357384</v>
      </c>
      <c r="X12" s="26">
        <v>780</v>
      </c>
      <c r="Y12" s="26">
        <v>0</v>
      </c>
    </row>
    <row r="13" spans="1:25">
      <c r="A13" s="24" t="str">
        <f t="shared" si="4"/>
        <v>신규</v>
      </c>
      <c r="B13" s="24" t="str">
        <f>IF(COUNTIF(R$1:R12,R13)=0,"최초","리오더")</f>
        <v>최초</v>
      </c>
      <c r="C13" s="24" t="str">
        <f t="shared" si="5"/>
        <v>NHLSNF3012</v>
      </c>
      <c r="D13" s="24">
        <f t="shared" si="0"/>
        <v>1</v>
      </c>
      <c r="E13" s="24" t="str">
        <f t="shared" si="6"/>
        <v/>
      </c>
      <c r="F13" s="24">
        <f t="shared" si="1"/>
        <v>0</v>
      </c>
      <c r="G13" s="24" t="str">
        <f t="shared" si="7"/>
        <v>NHLSNF3012RE</v>
      </c>
      <c r="H13" s="24">
        <f t="shared" si="2"/>
        <v>1</v>
      </c>
      <c r="I13" s="24" t="str">
        <f t="shared" si="8"/>
        <v/>
      </c>
      <c r="J13" s="24">
        <f t="shared" si="3"/>
        <v>0</v>
      </c>
      <c r="K13" s="24" t="str">
        <f t="shared" si="9"/>
        <v>F3</v>
      </c>
      <c r="L13" s="24" t="str">
        <f>VLOOKUP(N13,CODE!K:P,CODE!$P$1,FALSE)</f>
        <v>모자</v>
      </c>
      <c r="M13" s="24" t="str">
        <f>VLOOKUP(MID(R13,1,3),CODE!$B:$G,CODE!D$1,FALSE)</f>
        <v>NHL</v>
      </c>
      <c r="N13" s="24" t="str">
        <f t="shared" si="10"/>
        <v>SN</v>
      </c>
      <c r="O13" s="29" t="str">
        <f>IF(ISERROR(IF(VLOOKUP($N13,CODE!$K:$P,CODE!$O$1,FALSE)="",$M13,$M13&amp;"-"&amp;VLOOKUP($N13,CODE!$K:$P,CODE!$O$1,FALSE)))=TRUE,"",IF(VLOOKUP($N13,CODE!$K:$P,CODE!$O$1,FALSE)="",$M13,$M13&amp;"-"&amp;VLOOKUP($N13,CODE!$K:$P,CODE!$O$1,FALSE)))</f>
        <v>NHL</v>
      </c>
      <c r="P13" s="29" t="str">
        <f t="shared" si="11"/>
        <v>성인</v>
      </c>
      <c r="Q13" s="29" t="str">
        <f t="shared" si="12"/>
        <v>NHLSNF3012</v>
      </c>
      <c r="R13" s="1" t="s">
        <v>824</v>
      </c>
      <c r="S13" s="1" t="s">
        <v>15</v>
      </c>
      <c r="T13" s="26">
        <v>792</v>
      </c>
      <c r="U13" s="26">
        <v>35640000</v>
      </c>
      <c r="V13" s="26">
        <v>9810252.1440000013</v>
      </c>
      <c r="W13" s="26">
        <v>3.3026674059357384</v>
      </c>
      <c r="X13" s="26">
        <v>792</v>
      </c>
      <c r="Y13" s="26">
        <v>0</v>
      </c>
    </row>
    <row r="14" spans="1:25">
      <c r="A14" s="24" t="str">
        <f t="shared" si="4"/>
        <v>신규</v>
      </c>
      <c r="B14" s="24" t="str">
        <f>IF(COUNTIF(R$1:R13,R14)=0,"최초","리오더")</f>
        <v>최초</v>
      </c>
      <c r="C14" s="24" t="str">
        <f t="shared" si="5"/>
        <v>NHLSNF3013</v>
      </c>
      <c r="D14" s="24">
        <f t="shared" si="0"/>
        <v>1</v>
      </c>
      <c r="E14" s="24" t="str">
        <f t="shared" si="6"/>
        <v/>
      </c>
      <c r="F14" s="24">
        <f t="shared" si="1"/>
        <v>0</v>
      </c>
      <c r="G14" s="24" t="str">
        <f t="shared" si="7"/>
        <v>NHLSNF3013BK</v>
      </c>
      <c r="H14" s="24">
        <f t="shared" si="2"/>
        <v>1</v>
      </c>
      <c r="I14" s="24" t="str">
        <f t="shared" si="8"/>
        <v/>
      </c>
      <c r="J14" s="24">
        <f t="shared" si="3"/>
        <v>0</v>
      </c>
      <c r="K14" s="24" t="str">
        <f t="shared" si="9"/>
        <v>F3</v>
      </c>
      <c r="L14" s="24" t="str">
        <f>VLOOKUP(N14,CODE!K:P,CODE!$P$1,FALSE)</f>
        <v>모자</v>
      </c>
      <c r="M14" s="24" t="str">
        <f>VLOOKUP(MID(R14,1,3),CODE!$B:$G,CODE!D$1,FALSE)</f>
        <v>NHL</v>
      </c>
      <c r="N14" s="24" t="str">
        <f t="shared" si="10"/>
        <v>SN</v>
      </c>
      <c r="O14" s="29" t="str">
        <f>IF(ISERROR(IF(VLOOKUP($N14,CODE!$K:$P,CODE!$O$1,FALSE)="",$M14,$M14&amp;"-"&amp;VLOOKUP($N14,CODE!$K:$P,CODE!$O$1,FALSE)))=TRUE,"",IF(VLOOKUP($N14,CODE!$K:$P,CODE!$O$1,FALSE)="",$M14,$M14&amp;"-"&amp;VLOOKUP($N14,CODE!$K:$P,CODE!$O$1,FALSE)))</f>
        <v>NHL</v>
      </c>
      <c r="P14" s="29" t="str">
        <f t="shared" si="11"/>
        <v>성인</v>
      </c>
      <c r="Q14" s="29" t="str">
        <f t="shared" si="12"/>
        <v>NHLSNF3013</v>
      </c>
      <c r="R14" s="1" t="s">
        <v>825</v>
      </c>
      <c r="S14" s="1" t="s">
        <v>15</v>
      </c>
      <c r="T14" s="26">
        <v>996</v>
      </c>
      <c r="U14" s="26">
        <v>46812000</v>
      </c>
      <c r="V14" s="26">
        <v>13219246.656000001</v>
      </c>
      <c r="W14" s="26">
        <v>3.2192729845953809</v>
      </c>
      <c r="X14" s="26">
        <v>996</v>
      </c>
      <c r="Y14" s="26">
        <v>0</v>
      </c>
    </row>
    <row r="15" spans="1:25">
      <c r="A15" s="24" t="str">
        <f t="shared" si="4"/>
        <v>신규</v>
      </c>
      <c r="B15" s="24" t="str">
        <f>IF(COUNTIF(R$1:R14,R15)=0,"최초","리오더")</f>
        <v>최초</v>
      </c>
      <c r="C15" s="24" t="str">
        <f t="shared" si="5"/>
        <v>NHLSNF3014</v>
      </c>
      <c r="D15" s="24">
        <f t="shared" si="0"/>
        <v>1</v>
      </c>
      <c r="E15" s="24" t="str">
        <f t="shared" si="6"/>
        <v/>
      </c>
      <c r="F15" s="24">
        <f t="shared" si="1"/>
        <v>0</v>
      </c>
      <c r="G15" s="24" t="str">
        <f t="shared" si="7"/>
        <v>NHLSNF3014BK</v>
      </c>
      <c r="H15" s="24">
        <f t="shared" si="2"/>
        <v>1</v>
      </c>
      <c r="I15" s="24" t="str">
        <f t="shared" si="8"/>
        <v/>
      </c>
      <c r="J15" s="24">
        <f t="shared" si="3"/>
        <v>0</v>
      </c>
      <c r="K15" s="24" t="str">
        <f t="shared" si="9"/>
        <v>F3</v>
      </c>
      <c r="L15" s="24" t="str">
        <f>VLOOKUP(N15,CODE!K:P,CODE!$P$1,FALSE)</f>
        <v>모자</v>
      </c>
      <c r="M15" s="24" t="str">
        <f>VLOOKUP(MID(R15,1,3),CODE!$B:$G,CODE!D$1,FALSE)</f>
        <v>NHL</v>
      </c>
      <c r="N15" s="24" t="str">
        <f t="shared" si="10"/>
        <v>SN</v>
      </c>
      <c r="O15" s="29" t="str">
        <f>IF(ISERROR(IF(VLOOKUP($N15,CODE!$K:$P,CODE!$O$1,FALSE)="",$M15,$M15&amp;"-"&amp;VLOOKUP($N15,CODE!$K:$P,CODE!$O$1,FALSE)))=TRUE,"",IF(VLOOKUP($N15,CODE!$K:$P,CODE!$O$1,FALSE)="",$M15,$M15&amp;"-"&amp;VLOOKUP($N15,CODE!$K:$P,CODE!$O$1,FALSE)))</f>
        <v>NHL</v>
      </c>
      <c r="P15" s="29" t="str">
        <f t="shared" si="11"/>
        <v>성인</v>
      </c>
      <c r="Q15" s="29" t="str">
        <f t="shared" si="12"/>
        <v>NHLSNF3014</v>
      </c>
      <c r="R15" s="1" t="s">
        <v>826</v>
      </c>
      <c r="S15" s="1" t="s">
        <v>15</v>
      </c>
      <c r="T15" s="26">
        <v>996</v>
      </c>
      <c r="U15" s="26">
        <v>46812000</v>
      </c>
      <c r="V15" s="26">
        <v>13219246.656000001</v>
      </c>
      <c r="W15" s="26">
        <v>3.2192729845953809</v>
      </c>
      <c r="X15" s="26">
        <v>996</v>
      </c>
      <c r="Y15" s="26">
        <v>0</v>
      </c>
    </row>
    <row r="16" spans="1:25">
      <c r="A16" s="24" t="str">
        <f t="shared" si="4"/>
        <v>신규</v>
      </c>
      <c r="B16" s="24" t="str">
        <f>IF(COUNTIF(R$1:R15,R16)=0,"최초","리오더")</f>
        <v>최초</v>
      </c>
      <c r="C16" s="24" t="str">
        <f t="shared" si="5"/>
        <v>NHLSNF3015</v>
      </c>
      <c r="D16" s="24">
        <f t="shared" si="0"/>
        <v>1</v>
      </c>
      <c r="E16" s="24" t="str">
        <f t="shared" si="6"/>
        <v/>
      </c>
      <c r="F16" s="24">
        <f t="shared" si="1"/>
        <v>0</v>
      </c>
      <c r="G16" s="24" t="str">
        <f t="shared" si="7"/>
        <v>NHLSNF3015BK</v>
      </c>
      <c r="H16" s="24">
        <f t="shared" si="2"/>
        <v>1</v>
      </c>
      <c r="I16" s="24" t="str">
        <f t="shared" si="8"/>
        <v/>
      </c>
      <c r="J16" s="24">
        <f t="shared" si="3"/>
        <v>0</v>
      </c>
      <c r="K16" s="24" t="str">
        <f t="shared" si="9"/>
        <v>F3</v>
      </c>
      <c r="L16" s="24" t="str">
        <f>VLOOKUP(N16,CODE!K:P,CODE!$P$1,FALSE)</f>
        <v>모자</v>
      </c>
      <c r="M16" s="24" t="str">
        <f>VLOOKUP(MID(R16,1,3),CODE!$B:$G,CODE!D$1,FALSE)</f>
        <v>NHL</v>
      </c>
      <c r="N16" s="24" t="str">
        <f t="shared" si="10"/>
        <v>SN</v>
      </c>
      <c r="O16" s="29" t="str">
        <f>IF(ISERROR(IF(VLOOKUP($N16,CODE!$K:$P,CODE!$O$1,FALSE)="",$M16,$M16&amp;"-"&amp;VLOOKUP($N16,CODE!$K:$P,CODE!$O$1,FALSE)))=TRUE,"",IF(VLOOKUP($N16,CODE!$K:$P,CODE!$O$1,FALSE)="",$M16,$M16&amp;"-"&amp;VLOOKUP($N16,CODE!$K:$P,CODE!$O$1,FALSE)))</f>
        <v>NHL</v>
      </c>
      <c r="P16" s="29" t="str">
        <f t="shared" si="11"/>
        <v>성인</v>
      </c>
      <c r="Q16" s="29" t="str">
        <f t="shared" si="12"/>
        <v>NHLSNF3015</v>
      </c>
      <c r="R16" s="1" t="s">
        <v>827</v>
      </c>
      <c r="S16" s="1" t="s">
        <v>15</v>
      </c>
      <c r="T16" s="26">
        <v>996</v>
      </c>
      <c r="U16" s="26">
        <v>42828000</v>
      </c>
      <c r="V16" s="26">
        <v>11492296.200000001</v>
      </c>
      <c r="W16" s="26">
        <v>3.387882175760963</v>
      </c>
      <c r="X16" s="26">
        <v>996</v>
      </c>
      <c r="Y16" s="26">
        <v>0</v>
      </c>
    </row>
    <row r="17" spans="1:25">
      <c r="A17" s="24" t="str">
        <f t="shared" si="4"/>
        <v>신규</v>
      </c>
      <c r="B17" s="24" t="str">
        <f>IF(COUNTIF(R$1:R16,R17)=0,"최초","리오더")</f>
        <v>최초</v>
      </c>
      <c r="C17" s="24" t="str">
        <f t="shared" si="5"/>
        <v>NHLSNF3016</v>
      </c>
      <c r="D17" s="24">
        <f t="shared" si="0"/>
        <v>1</v>
      </c>
      <c r="E17" s="24" t="str">
        <f t="shared" si="6"/>
        <v/>
      </c>
      <c r="F17" s="24">
        <f t="shared" si="1"/>
        <v>0</v>
      </c>
      <c r="G17" s="24" t="str">
        <f t="shared" si="7"/>
        <v>NHLSNF3016BK</v>
      </c>
      <c r="H17" s="24">
        <f t="shared" si="2"/>
        <v>1</v>
      </c>
      <c r="I17" s="24" t="str">
        <f t="shared" si="8"/>
        <v/>
      </c>
      <c r="J17" s="24">
        <f t="shared" si="3"/>
        <v>0</v>
      </c>
      <c r="K17" s="24" t="str">
        <f t="shared" si="9"/>
        <v>F3</v>
      </c>
      <c r="L17" s="24" t="str">
        <f>VLOOKUP(N17,CODE!K:P,CODE!$P$1,FALSE)</f>
        <v>모자</v>
      </c>
      <c r="M17" s="24" t="str">
        <f>VLOOKUP(MID(R17,1,3),CODE!$B:$G,CODE!D$1,FALSE)</f>
        <v>NHL</v>
      </c>
      <c r="N17" s="24" t="str">
        <f t="shared" si="10"/>
        <v>SN</v>
      </c>
      <c r="O17" s="29" t="str">
        <f>IF(ISERROR(IF(VLOOKUP($N17,CODE!$K:$P,CODE!$O$1,FALSE)="",$M17,$M17&amp;"-"&amp;VLOOKUP($N17,CODE!$K:$P,CODE!$O$1,FALSE)))=TRUE,"",IF(VLOOKUP($N17,CODE!$K:$P,CODE!$O$1,FALSE)="",$M17,$M17&amp;"-"&amp;VLOOKUP($N17,CODE!$K:$P,CODE!$O$1,FALSE)))</f>
        <v>NHL</v>
      </c>
      <c r="P17" s="29" t="str">
        <f t="shared" si="11"/>
        <v>성인</v>
      </c>
      <c r="Q17" s="29" t="str">
        <f t="shared" si="12"/>
        <v>NHLSNF3016</v>
      </c>
      <c r="R17" s="1" t="s">
        <v>828</v>
      </c>
      <c r="S17" s="1" t="s">
        <v>15</v>
      </c>
      <c r="T17" s="26">
        <v>996</v>
      </c>
      <c r="U17" s="26">
        <v>42828000</v>
      </c>
      <c r="V17" s="26">
        <v>11492296.200000001</v>
      </c>
      <c r="W17" s="26">
        <v>3.387882175760963</v>
      </c>
      <c r="X17" s="26">
        <v>996</v>
      </c>
      <c r="Y17" s="26">
        <v>0</v>
      </c>
    </row>
    <row r="18" spans="1:25">
      <c r="A18" s="24" t="str">
        <f t="shared" si="4"/>
        <v>신규</v>
      </c>
      <c r="B18" s="24" t="str">
        <f>IF(COUNTIF(R$1:R17,R18)=0,"최초","리오더")</f>
        <v>최초</v>
      </c>
      <c r="C18" s="24" t="str">
        <f t="shared" si="5"/>
        <v>NHLFIF3017</v>
      </c>
      <c r="D18" s="24">
        <f t="shared" si="0"/>
        <v>1</v>
      </c>
      <c r="E18" s="24" t="str">
        <f t="shared" si="6"/>
        <v/>
      </c>
      <c r="F18" s="24">
        <f t="shared" si="1"/>
        <v>0</v>
      </c>
      <c r="G18" s="24" t="str">
        <f t="shared" si="7"/>
        <v>NHLFIF3017PP</v>
      </c>
      <c r="H18" s="24">
        <f t="shared" si="2"/>
        <v>1</v>
      </c>
      <c r="I18" s="24" t="str">
        <f t="shared" si="8"/>
        <v/>
      </c>
      <c r="J18" s="24">
        <f t="shared" si="3"/>
        <v>0</v>
      </c>
      <c r="K18" s="24" t="str">
        <f t="shared" si="9"/>
        <v>F3</v>
      </c>
      <c r="L18" s="24" t="str">
        <f>VLOOKUP(N18,CODE!K:P,CODE!$P$1,FALSE)</f>
        <v>모자</v>
      </c>
      <c r="M18" s="24" t="str">
        <f>VLOOKUP(MID(R18,1,3),CODE!$B:$G,CODE!D$1,FALSE)</f>
        <v>NHL</v>
      </c>
      <c r="N18" s="24" t="str">
        <f t="shared" si="10"/>
        <v>FI</v>
      </c>
      <c r="O18" s="29" t="str">
        <f>IF(ISERROR(IF(VLOOKUP($N18,CODE!$K:$P,CODE!$O$1,FALSE)="",$M18,$M18&amp;"-"&amp;VLOOKUP($N18,CODE!$K:$P,CODE!$O$1,FALSE)))=TRUE,"",IF(VLOOKUP($N18,CODE!$K:$P,CODE!$O$1,FALSE)="",$M18,$M18&amp;"-"&amp;VLOOKUP($N18,CODE!$K:$P,CODE!$O$1,FALSE)))</f>
        <v>NHL</v>
      </c>
      <c r="P18" s="29" t="str">
        <f t="shared" si="11"/>
        <v>성인</v>
      </c>
      <c r="Q18" s="29" t="str">
        <f t="shared" si="12"/>
        <v>NHLFIF3017</v>
      </c>
      <c r="R18" s="1" t="s">
        <v>829</v>
      </c>
      <c r="S18" s="1" t="s">
        <v>15</v>
      </c>
      <c r="T18" s="26">
        <v>600</v>
      </c>
      <c r="U18" s="26">
        <v>27000000</v>
      </c>
      <c r="V18" s="26">
        <v>7432009.2000000002</v>
      </c>
      <c r="W18" s="26">
        <v>3.3026674059357384</v>
      </c>
      <c r="X18" s="26">
        <v>600</v>
      </c>
      <c r="Y18" s="26">
        <v>0</v>
      </c>
    </row>
    <row r="19" spans="1:25">
      <c r="A19" s="24" t="str">
        <f t="shared" si="4"/>
        <v>신규</v>
      </c>
      <c r="B19" s="24" t="str">
        <f>IF(COUNTIF(R$1:R18,R19)=0,"최초","리오더")</f>
        <v>최초</v>
      </c>
      <c r="C19" s="24" t="str">
        <f t="shared" si="5"/>
        <v>NHLFIF3018</v>
      </c>
      <c r="D19" s="24">
        <f t="shared" si="0"/>
        <v>1</v>
      </c>
      <c r="E19" s="24" t="str">
        <f t="shared" si="6"/>
        <v/>
      </c>
      <c r="F19" s="24">
        <f t="shared" si="1"/>
        <v>0</v>
      </c>
      <c r="G19" s="24" t="str">
        <f t="shared" si="7"/>
        <v>NHLFIF3018BU</v>
      </c>
      <c r="H19" s="24">
        <f t="shared" si="2"/>
        <v>1</v>
      </c>
      <c r="I19" s="24" t="str">
        <f t="shared" si="8"/>
        <v/>
      </c>
      <c r="J19" s="24">
        <f t="shared" si="3"/>
        <v>0</v>
      </c>
      <c r="K19" s="24" t="str">
        <f t="shared" si="9"/>
        <v>F3</v>
      </c>
      <c r="L19" s="24" t="str">
        <f>VLOOKUP(N19,CODE!K:P,CODE!$P$1,FALSE)</f>
        <v>모자</v>
      </c>
      <c r="M19" s="24" t="str">
        <f>VLOOKUP(MID(R19,1,3),CODE!$B:$G,CODE!D$1,FALSE)</f>
        <v>NHL</v>
      </c>
      <c r="N19" s="24" t="str">
        <f t="shared" si="10"/>
        <v>FI</v>
      </c>
      <c r="O19" s="29" t="str">
        <f>IF(ISERROR(IF(VLOOKUP($N19,CODE!$K:$P,CODE!$O$1,FALSE)="",$M19,$M19&amp;"-"&amp;VLOOKUP($N19,CODE!$K:$P,CODE!$O$1,FALSE)))=TRUE,"",IF(VLOOKUP($N19,CODE!$K:$P,CODE!$O$1,FALSE)="",$M19,$M19&amp;"-"&amp;VLOOKUP($N19,CODE!$K:$P,CODE!$O$1,FALSE)))</f>
        <v>NHL</v>
      </c>
      <c r="P19" s="29" t="str">
        <f t="shared" si="11"/>
        <v>성인</v>
      </c>
      <c r="Q19" s="29" t="str">
        <f t="shared" si="12"/>
        <v>NHLFIF3018</v>
      </c>
      <c r="R19" s="1" t="s">
        <v>830</v>
      </c>
      <c r="S19" s="1" t="s">
        <v>15</v>
      </c>
      <c r="T19" s="26">
        <v>600</v>
      </c>
      <c r="U19" s="26">
        <v>27000000</v>
      </c>
      <c r="V19" s="26">
        <v>7432009.2000000002</v>
      </c>
      <c r="W19" s="26">
        <v>3.3026674059357384</v>
      </c>
      <c r="X19" s="26">
        <v>600</v>
      </c>
      <c r="Y19" s="26">
        <v>0</v>
      </c>
    </row>
    <row r="20" spans="1:25">
      <c r="A20" s="24" t="str">
        <f t="shared" si="4"/>
        <v>신규</v>
      </c>
      <c r="B20" s="24" t="str">
        <f>IF(COUNTIF(R$1:R19,R20)=0,"최초","리오더")</f>
        <v>최초</v>
      </c>
      <c r="C20" s="24" t="str">
        <f t="shared" si="5"/>
        <v>NHLSNF3019</v>
      </c>
      <c r="D20" s="24">
        <f t="shared" si="0"/>
        <v>0.25</v>
      </c>
      <c r="E20" s="24" t="str">
        <f t="shared" si="6"/>
        <v/>
      </c>
      <c r="F20" s="24">
        <f t="shared" si="1"/>
        <v>0</v>
      </c>
      <c r="G20" s="24" t="str">
        <f t="shared" si="7"/>
        <v>NHLSNF3019BK</v>
      </c>
      <c r="H20" s="24">
        <f t="shared" si="2"/>
        <v>1</v>
      </c>
      <c r="I20" s="24" t="str">
        <f t="shared" si="8"/>
        <v/>
      </c>
      <c r="J20" s="24">
        <f t="shared" si="3"/>
        <v>0</v>
      </c>
      <c r="K20" s="24" t="str">
        <f t="shared" si="9"/>
        <v>F3</v>
      </c>
      <c r="L20" s="24" t="str">
        <f>VLOOKUP(N20,CODE!K:P,CODE!$P$1,FALSE)</f>
        <v>모자</v>
      </c>
      <c r="M20" s="24" t="str">
        <f>VLOOKUP(MID(R20,1,3),CODE!$B:$G,CODE!D$1,FALSE)</f>
        <v>NHL</v>
      </c>
      <c r="N20" s="24" t="str">
        <f t="shared" si="10"/>
        <v>SN</v>
      </c>
      <c r="O20" s="29" t="str">
        <f>IF(ISERROR(IF(VLOOKUP($N20,CODE!$K:$P,CODE!$O$1,FALSE)="",$M20,$M20&amp;"-"&amp;VLOOKUP($N20,CODE!$K:$P,CODE!$O$1,FALSE)))=TRUE,"",IF(VLOOKUP($N20,CODE!$K:$P,CODE!$O$1,FALSE)="",$M20,$M20&amp;"-"&amp;VLOOKUP($N20,CODE!$K:$P,CODE!$O$1,FALSE)))</f>
        <v>NHL</v>
      </c>
      <c r="P20" s="29" t="str">
        <f t="shared" si="11"/>
        <v>성인</v>
      </c>
      <c r="Q20" s="29" t="str">
        <f t="shared" si="12"/>
        <v>NHLSNF3019</v>
      </c>
      <c r="R20" s="1" t="s">
        <v>831</v>
      </c>
      <c r="S20" s="1" t="s">
        <v>15</v>
      </c>
      <c r="T20" s="26">
        <v>996</v>
      </c>
      <c r="U20" s="26">
        <v>42828000</v>
      </c>
      <c r="V20" s="26">
        <v>11492296.200000001</v>
      </c>
      <c r="W20" s="26">
        <v>3.387882175760963</v>
      </c>
      <c r="X20" s="26">
        <v>996</v>
      </c>
      <c r="Y20" s="26">
        <v>0</v>
      </c>
    </row>
    <row r="21" spans="1:25">
      <c r="A21" s="24" t="str">
        <f t="shared" si="4"/>
        <v>신규</v>
      </c>
      <c r="B21" s="24" t="str">
        <f>IF(COUNTIF(R$1:R20,R21)=0,"최초","리오더")</f>
        <v>최초</v>
      </c>
      <c r="C21" s="24" t="str">
        <f t="shared" si="5"/>
        <v>NHLSNF3019</v>
      </c>
      <c r="D21" s="24">
        <f t="shared" si="0"/>
        <v>0.25</v>
      </c>
      <c r="E21" s="24" t="str">
        <f t="shared" si="6"/>
        <v/>
      </c>
      <c r="F21" s="24">
        <f t="shared" si="1"/>
        <v>0</v>
      </c>
      <c r="G21" s="24" t="str">
        <f t="shared" si="7"/>
        <v>NHLSNF3019GY</v>
      </c>
      <c r="H21" s="24">
        <f t="shared" si="2"/>
        <v>1</v>
      </c>
      <c r="I21" s="24" t="str">
        <f t="shared" si="8"/>
        <v/>
      </c>
      <c r="J21" s="24">
        <f t="shared" si="3"/>
        <v>0</v>
      </c>
      <c r="K21" s="24" t="str">
        <f t="shared" si="9"/>
        <v>F3</v>
      </c>
      <c r="L21" s="24" t="str">
        <f>VLOOKUP(N21,CODE!K:P,CODE!$P$1,FALSE)</f>
        <v>모자</v>
      </c>
      <c r="M21" s="24" t="str">
        <f>VLOOKUP(MID(R21,1,3),CODE!$B:$G,CODE!D$1,FALSE)</f>
        <v>NHL</v>
      </c>
      <c r="N21" s="24" t="str">
        <f t="shared" si="10"/>
        <v>SN</v>
      </c>
      <c r="O21" s="29" t="str">
        <f>IF(ISERROR(IF(VLOOKUP($N21,CODE!$K:$P,CODE!$O$1,FALSE)="",$M21,$M21&amp;"-"&amp;VLOOKUP($N21,CODE!$K:$P,CODE!$O$1,FALSE)))=TRUE,"",IF(VLOOKUP($N21,CODE!$K:$P,CODE!$O$1,FALSE)="",$M21,$M21&amp;"-"&amp;VLOOKUP($N21,CODE!$K:$P,CODE!$O$1,FALSE)))</f>
        <v>NHL</v>
      </c>
      <c r="P21" s="29" t="str">
        <f t="shared" si="11"/>
        <v>성인</v>
      </c>
      <c r="Q21" s="29" t="str">
        <f t="shared" si="12"/>
        <v>NHLSNF3019</v>
      </c>
      <c r="R21" s="1" t="s">
        <v>832</v>
      </c>
      <c r="S21" s="1" t="s">
        <v>15</v>
      </c>
      <c r="T21" s="26">
        <v>996</v>
      </c>
      <c r="U21" s="26">
        <v>42828000</v>
      </c>
      <c r="V21" s="26">
        <v>11492296.200000001</v>
      </c>
      <c r="W21" s="26">
        <v>3.387882175760963</v>
      </c>
      <c r="X21" s="26">
        <v>996</v>
      </c>
      <c r="Y21" s="26">
        <v>0</v>
      </c>
    </row>
    <row r="22" spans="1:25">
      <c r="A22" s="24" t="str">
        <f t="shared" si="4"/>
        <v>신규</v>
      </c>
      <c r="B22" s="24" t="str">
        <f>IF(COUNTIF(R$1:R21,R22)=0,"최초","리오더")</f>
        <v>최초</v>
      </c>
      <c r="C22" s="24" t="str">
        <f t="shared" si="5"/>
        <v>NHLSNF3019</v>
      </c>
      <c r="D22" s="24">
        <f t="shared" si="0"/>
        <v>0.25</v>
      </c>
      <c r="E22" s="24" t="str">
        <f t="shared" si="6"/>
        <v/>
      </c>
      <c r="F22" s="24">
        <f t="shared" si="1"/>
        <v>0</v>
      </c>
      <c r="G22" s="24" t="str">
        <f t="shared" si="7"/>
        <v>NHLSNF3019PP</v>
      </c>
      <c r="H22" s="24">
        <f t="shared" si="2"/>
        <v>1</v>
      </c>
      <c r="I22" s="24" t="str">
        <f t="shared" si="8"/>
        <v/>
      </c>
      <c r="J22" s="24">
        <f t="shared" si="3"/>
        <v>0</v>
      </c>
      <c r="K22" s="24" t="str">
        <f t="shared" si="9"/>
        <v>F3</v>
      </c>
      <c r="L22" s="24" t="str">
        <f>VLOOKUP(N22,CODE!K:P,CODE!$P$1,FALSE)</f>
        <v>모자</v>
      </c>
      <c r="M22" s="24" t="str">
        <f>VLOOKUP(MID(R22,1,3),CODE!$B:$G,CODE!D$1,FALSE)</f>
        <v>NHL</v>
      </c>
      <c r="N22" s="24" t="str">
        <f t="shared" si="10"/>
        <v>SN</v>
      </c>
      <c r="O22" s="29" t="str">
        <f>IF(ISERROR(IF(VLOOKUP($N22,CODE!$K:$P,CODE!$O$1,FALSE)="",$M22,$M22&amp;"-"&amp;VLOOKUP($N22,CODE!$K:$P,CODE!$O$1,FALSE)))=TRUE,"",IF(VLOOKUP($N22,CODE!$K:$P,CODE!$O$1,FALSE)="",$M22,$M22&amp;"-"&amp;VLOOKUP($N22,CODE!$K:$P,CODE!$O$1,FALSE)))</f>
        <v>NHL</v>
      </c>
      <c r="P22" s="29" t="str">
        <f t="shared" si="11"/>
        <v>성인</v>
      </c>
      <c r="Q22" s="29" t="str">
        <f t="shared" si="12"/>
        <v>NHLSNF3019</v>
      </c>
      <c r="R22" s="1" t="s">
        <v>833</v>
      </c>
      <c r="S22" s="1" t="s">
        <v>15</v>
      </c>
      <c r="T22" s="26">
        <v>792</v>
      </c>
      <c r="U22" s="26">
        <v>34056000</v>
      </c>
      <c r="V22" s="26">
        <v>9138452.4000000004</v>
      </c>
      <c r="W22" s="26">
        <v>3.3878821757609634</v>
      </c>
      <c r="X22" s="26">
        <v>792</v>
      </c>
      <c r="Y22" s="26">
        <v>0</v>
      </c>
    </row>
    <row r="23" spans="1:25">
      <c r="A23" s="24" t="str">
        <f t="shared" si="4"/>
        <v>신규</v>
      </c>
      <c r="B23" s="24" t="str">
        <f>IF(COUNTIF(R$1:R22,R23)=0,"최초","리오더")</f>
        <v>최초</v>
      </c>
      <c r="C23" s="24" t="str">
        <f t="shared" si="5"/>
        <v>NHLSNF3019</v>
      </c>
      <c r="D23" s="24">
        <f t="shared" si="0"/>
        <v>0.25</v>
      </c>
      <c r="E23" s="24" t="str">
        <f t="shared" si="6"/>
        <v/>
      </c>
      <c r="F23" s="24">
        <f t="shared" si="1"/>
        <v>0</v>
      </c>
      <c r="G23" s="24" t="str">
        <f t="shared" si="7"/>
        <v>NHLSNF3019GR</v>
      </c>
      <c r="H23" s="24">
        <f t="shared" si="2"/>
        <v>1</v>
      </c>
      <c r="I23" s="24" t="str">
        <f t="shared" si="8"/>
        <v/>
      </c>
      <c r="J23" s="24">
        <f t="shared" si="3"/>
        <v>0</v>
      </c>
      <c r="K23" s="24" t="str">
        <f t="shared" si="9"/>
        <v>F3</v>
      </c>
      <c r="L23" s="24" t="str">
        <f>VLOOKUP(N23,CODE!K:P,CODE!$P$1,FALSE)</f>
        <v>모자</v>
      </c>
      <c r="M23" s="24" t="str">
        <f>VLOOKUP(MID(R23,1,3),CODE!$B:$G,CODE!D$1,FALSE)</f>
        <v>NHL</v>
      </c>
      <c r="N23" s="24" t="str">
        <f t="shared" si="10"/>
        <v>SN</v>
      </c>
      <c r="O23" s="29" t="str">
        <f>IF(ISERROR(IF(VLOOKUP($N23,CODE!$K:$P,CODE!$O$1,FALSE)="",$M23,$M23&amp;"-"&amp;VLOOKUP($N23,CODE!$K:$P,CODE!$O$1,FALSE)))=TRUE,"",IF(VLOOKUP($N23,CODE!$K:$P,CODE!$O$1,FALSE)="",$M23,$M23&amp;"-"&amp;VLOOKUP($N23,CODE!$K:$P,CODE!$O$1,FALSE)))</f>
        <v>NHL</v>
      </c>
      <c r="P23" s="29" t="str">
        <f t="shared" si="11"/>
        <v>성인</v>
      </c>
      <c r="Q23" s="29" t="str">
        <f t="shared" si="12"/>
        <v>NHLSNF3019</v>
      </c>
      <c r="R23" s="1" t="s">
        <v>834</v>
      </c>
      <c r="S23" s="1" t="s">
        <v>15</v>
      </c>
      <c r="T23" s="26">
        <v>792</v>
      </c>
      <c r="U23" s="26">
        <v>34056000</v>
      </c>
      <c r="V23" s="26">
        <v>9138452.4000000004</v>
      </c>
      <c r="W23" s="26">
        <v>3.3878821757609634</v>
      </c>
      <c r="X23" s="26">
        <v>792</v>
      </c>
      <c r="Y23" s="26">
        <v>0</v>
      </c>
    </row>
    <row r="24" spans="1:25">
      <c r="A24" s="24" t="str">
        <f t="shared" si="4"/>
        <v>신규</v>
      </c>
      <c r="B24" s="24" t="str">
        <f>IF(COUNTIF(R$1:R23,R24)=0,"최초","리오더")</f>
        <v>최초</v>
      </c>
      <c r="C24" s="24" t="str">
        <f t="shared" si="5"/>
        <v>MLNSNF3001</v>
      </c>
      <c r="D24" s="24">
        <f t="shared" si="0"/>
        <v>1</v>
      </c>
      <c r="E24" s="24" t="str">
        <f t="shared" si="6"/>
        <v/>
      </c>
      <c r="F24" s="24">
        <f t="shared" si="1"/>
        <v>0</v>
      </c>
      <c r="G24" s="24" t="str">
        <f t="shared" si="7"/>
        <v>MLNSNF3001BK</v>
      </c>
      <c r="H24" s="24">
        <f t="shared" si="2"/>
        <v>1</v>
      </c>
      <c r="I24" s="24" t="str">
        <f t="shared" si="8"/>
        <v/>
      </c>
      <c r="J24" s="24">
        <f t="shared" si="3"/>
        <v>0</v>
      </c>
      <c r="K24" s="24" t="str">
        <f t="shared" si="9"/>
        <v>F3</v>
      </c>
      <c r="L24" s="24" t="str">
        <f>VLOOKUP(N24,CODE!K:P,CODE!$P$1,FALSE)</f>
        <v>모자</v>
      </c>
      <c r="M24" s="24" t="str">
        <f>VLOOKUP(MID(R24,1,3),CODE!$B:$G,CODE!D$1,FALSE)</f>
        <v>MLN</v>
      </c>
      <c r="N24" s="24" t="str">
        <f t="shared" si="10"/>
        <v>SN</v>
      </c>
      <c r="O24" s="29" t="str">
        <f>IF(ISERROR(IF(VLOOKUP($N24,CODE!$K:$P,CODE!$O$1,FALSE)="",$M24,$M24&amp;"-"&amp;VLOOKUP($N24,CODE!$K:$P,CODE!$O$1,FALSE)))=TRUE,"",IF(VLOOKUP($N24,CODE!$K:$P,CODE!$O$1,FALSE)="",$M24,$M24&amp;"-"&amp;VLOOKUP($N24,CODE!$K:$P,CODE!$O$1,FALSE)))</f>
        <v>MLN</v>
      </c>
      <c r="P24" s="29" t="str">
        <f t="shared" si="11"/>
        <v>성인</v>
      </c>
      <c r="Q24" s="29" t="str">
        <f t="shared" si="12"/>
        <v>MLNSNF3001</v>
      </c>
      <c r="R24" s="1" t="s">
        <v>835</v>
      </c>
      <c r="S24" s="1" t="s">
        <v>15</v>
      </c>
      <c r="T24" s="26">
        <v>288</v>
      </c>
      <c r="U24" s="26">
        <v>14112000</v>
      </c>
      <c r="V24" s="26">
        <v>4849891.2</v>
      </c>
      <c r="W24" s="26">
        <v>2.6452327237961355</v>
      </c>
      <c r="X24" s="26">
        <v>288</v>
      </c>
      <c r="Y24" s="26">
        <v>0</v>
      </c>
    </row>
    <row r="25" spans="1:25">
      <c r="A25" s="24" t="str">
        <f t="shared" si="4"/>
        <v>신규</v>
      </c>
      <c r="B25" s="24" t="str">
        <f>IF(COUNTIF(R$1:R24,R25)=0,"최초","리오더")</f>
        <v>최초</v>
      </c>
      <c r="C25" s="24" t="str">
        <f t="shared" si="5"/>
        <v>MLNSNF3002</v>
      </c>
      <c r="D25" s="24">
        <f t="shared" si="0"/>
        <v>0.5</v>
      </c>
      <c r="E25" s="24" t="str">
        <f t="shared" si="6"/>
        <v/>
      </c>
      <c r="F25" s="24">
        <f t="shared" si="1"/>
        <v>0</v>
      </c>
      <c r="G25" s="24" t="str">
        <f t="shared" si="7"/>
        <v>MLNSNF3002RE</v>
      </c>
      <c r="H25" s="24">
        <f t="shared" si="2"/>
        <v>1</v>
      </c>
      <c r="I25" s="24" t="str">
        <f t="shared" si="8"/>
        <v/>
      </c>
      <c r="J25" s="24">
        <f t="shared" si="3"/>
        <v>0</v>
      </c>
      <c r="K25" s="24" t="str">
        <f t="shared" si="9"/>
        <v>F3</v>
      </c>
      <c r="L25" s="24" t="str">
        <f>VLOOKUP(N25,CODE!K:P,CODE!$P$1,FALSE)</f>
        <v>모자</v>
      </c>
      <c r="M25" s="24" t="str">
        <f>VLOOKUP(MID(R25,1,3),CODE!$B:$G,CODE!D$1,FALSE)</f>
        <v>MLN</v>
      </c>
      <c r="N25" s="24" t="str">
        <f t="shared" si="10"/>
        <v>SN</v>
      </c>
      <c r="O25" s="29" t="str">
        <f>IF(ISERROR(IF(VLOOKUP($N25,CODE!$K:$P,CODE!$O$1,FALSE)="",$M25,$M25&amp;"-"&amp;VLOOKUP($N25,CODE!$K:$P,CODE!$O$1,FALSE)))=TRUE,"",IF(VLOOKUP($N25,CODE!$K:$P,CODE!$O$1,FALSE)="",$M25,$M25&amp;"-"&amp;VLOOKUP($N25,CODE!$K:$P,CODE!$O$1,FALSE)))</f>
        <v>MLN</v>
      </c>
      <c r="P25" s="29" t="str">
        <f t="shared" si="11"/>
        <v>성인</v>
      </c>
      <c r="Q25" s="29" t="str">
        <f t="shared" si="12"/>
        <v>MLNSNF3002</v>
      </c>
      <c r="R25" s="1" t="s">
        <v>836</v>
      </c>
      <c r="S25" s="1" t="s">
        <v>15</v>
      </c>
      <c r="T25" s="26">
        <v>288</v>
      </c>
      <c r="U25" s="26">
        <v>14112000</v>
      </c>
      <c r="V25" s="26">
        <v>4526565.12</v>
      </c>
      <c r="W25" s="26">
        <v>2.8341779183530025</v>
      </c>
      <c r="X25" s="26">
        <v>288</v>
      </c>
      <c r="Y25" s="26">
        <v>0</v>
      </c>
    </row>
    <row r="26" spans="1:25">
      <c r="A26" s="24" t="str">
        <f t="shared" si="4"/>
        <v>신규</v>
      </c>
      <c r="B26" s="24" t="str">
        <f>IF(COUNTIF(R$1:R25,R26)=0,"최초","리오더")</f>
        <v>최초</v>
      </c>
      <c r="C26" s="24" t="str">
        <f t="shared" si="5"/>
        <v>MLNSNF3002</v>
      </c>
      <c r="D26" s="24">
        <f t="shared" si="0"/>
        <v>0.5</v>
      </c>
      <c r="E26" s="24" t="str">
        <f t="shared" si="6"/>
        <v/>
      </c>
      <c r="F26" s="24">
        <f t="shared" si="1"/>
        <v>0</v>
      </c>
      <c r="G26" s="24" t="str">
        <f t="shared" si="7"/>
        <v>MLNSNF3002BK</v>
      </c>
      <c r="H26" s="24">
        <f t="shared" si="2"/>
        <v>1</v>
      </c>
      <c r="I26" s="24" t="str">
        <f t="shared" si="8"/>
        <v/>
      </c>
      <c r="J26" s="24">
        <f t="shared" si="3"/>
        <v>0</v>
      </c>
      <c r="K26" s="24" t="str">
        <f t="shared" si="9"/>
        <v>F3</v>
      </c>
      <c r="L26" s="24" t="str">
        <f>VLOOKUP(N26,CODE!K:P,CODE!$P$1,FALSE)</f>
        <v>모자</v>
      </c>
      <c r="M26" s="24" t="str">
        <f>VLOOKUP(MID(R26,1,3),CODE!$B:$G,CODE!D$1,FALSE)</f>
        <v>MLN</v>
      </c>
      <c r="N26" s="24" t="str">
        <f t="shared" si="10"/>
        <v>SN</v>
      </c>
      <c r="O26" s="29" t="str">
        <f>IF(ISERROR(IF(VLOOKUP($N26,CODE!$K:$P,CODE!$O$1,FALSE)="",$M26,$M26&amp;"-"&amp;VLOOKUP($N26,CODE!$K:$P,CODE!$O$1,FALSE)))=TRUE,"",IF(VLOOKUP($N26,CODE!$K:$P,CODE!$O$1,FALSE)="",$M26,$M26&amp;"-"&amp;VLOOKUP($N26,CODE!$K:$P,CODE!$O$1,FALSE)))</f>
        <v>MLN</v>
      </c>
      <c r="P26" s="29" t="str">
        <f t="shared" si="11"/>
        <v>성인</v>
      </c>
      <c r="Q26" s="29" t="str">
        <f t="shared" si="12"/>
        <v>MLNSNF3002</v>
      </c>
      <c r="R26" s="1" t="s">
        <v>837</v>
      </c>
      <c r="S26" s="1" t="s">
        <v>15</v>
      </c>
      <c r="T26" s="26">
        <v>288</v>
      </c>
      <c r="U26" s="26">
        <v>14112000</v>
      </c>
      <c r="V26" s="26">
        <v>4526565.12</v>
      </c>
      <c r="W26" s="26">
        <v>2.8341779183530025</v>
      </c>
      <c r="X26" s="26">
        <v>288</v>
      </c>
      <c r="Y26" s="26">
        <v>0</v>
      </c>
    </row>
    <row r="27" spans="1:25">
      <c r="A27" s="24" t="str">
        <f t="shared" si="4"/>
        <v>신규</v>
      </c>
      <c r="B27" s="24" t="str">
        <f>IF(COUNTIF(R$1:R26,R27)=0,"최초","리오더")</f>
        <v>최초</v>
      </c>
      <c r="C27" s="24" t="str">
        <f t="shared" si="5"/>
        <v>MLNFIF3003</v>
      </c>
      <c r="D27" s="24">
        <f t="shared" si="0"/>
        <v>1</v>
      </c>
      <c r="E27" s="24" t="str">
        <f t="shared" si="6"/>
        <v/>
      </c>
      <c r="F27" s="24">
        <f t="shared" si="1"/>
        <v>0</v>
      </c>
      <c r="G27" s="24" t="str">
        <f t="shared" si="7"/>
        <v>MLNFIF3003GY</v>
      </c>
      <c r="H27" s="24">
        <f t="shared" si="2"/>
        <v>1</v>
      </c>
      <c r="I27" s="24" t="str">
        <f t="shared" si="8"/>
        <v/>
      </c>
      <c r="J27" s="24">
        <f t="shared" si="3"/>
        <v>0</v>
      </c>
      <c r="K27" s="24" t="str">
        <f t="shared" si="9"/>
        <v>F3</v>
      </c>
      <c r="L27" s="24" t="str">
        <f>VLOOKUP(N27,CODE!K:P,CODE!$P$1,FALSE)</f>
        <v>모자</v>
      </c>
      <c r="M27" s="24" t="str">
        <f>VLOOKUP(MID(R27,1,3),CODE!$B:$G,CODE!D$1,FALSE)</f>
        <v>MLN</v>
      </c>
      <c r="N27" s="24" t="str">
        <f t="shared" si="10"/>
        <v>FI</v>
      </c>
      <c r="O27" s="29" t="str">
        <f>IF(ISERROR(IF(VLOOKUP($N27,CODE!$K:$P,CODE!$O$1,FALSE)="",$M27,$M27&amp;"-"&amp;VLOOKUP($N27,CODE!$K:$P,CODE!$O$1,FALSE)))=TRUE,"",IF(VLOOKUP($N27,CODE!$K:$P,CODE!$O$1,FALSE)="",$M27,$M27&amp;"-"&amp;VLOOKUP($N27,CODE!$K:$P,CODE!$O$1,FALSE)))</f>
        <v>MLN</v>
      </c>
      <c r="P27" s="29" t="str">
        <f t="shared" si="11"/>
        <v>성인</v>
      </c>
      <c r="Q27" s="29" t="str">
        <f t="shared" si="12"/>
        <v>MLNFIF3003</v>
      </c>
      <c r="R27" s="1" t="s">
        <v>838</v>
      </c>
      <c r="S27" s="1" t="s">
        <v>15</v>
      </c>
      <c r="T27" s="26">
        <v>360</v>
      </c>
      <c r="U27" s="26">
        <v>17640000</v>
      </c>
      <c r="V27" s="26">
        <v>6466521.6000000006</v>
      </c>
      <c r="W27" s="26">
        <v>2.4799056785588767</v>
      </c>
      <c r="X27" s="26">
        <v>131</v>
      </c>
      <c r="Y27" s="26">
        <v>0</v>
      </c>
    </row>
    <row r="28" spans="1:25">
      <c r="A28" s="24" t="str">
        <f t="shared" si="4"/>
        <v>신규</v>
      </c>
      <c r="B28" s="24" t="str">
        <f>IF(COUNTIF(R$1:R27,R28)=0,"최초","리오더")</f>
        <v>최초</v>
      </c>
      <c r="C28" s="24" t="str">
        <f t="shared" si="5"/>
        <v>MLNFIF3004</v>
      </c>
      <c r="D28" s="24">
        <f t="shared" si="0"/>
        <v>1</v>
      </c>
      <c r="E28" s="24" t="str">
        <f t="shared" si="6"/>
        <v/>
      </c>
      <c r="F28" s="24">
        <f t="shared" si="1"/>
        <v>0</v>
      </c>
      <c r="G28" s="24" t="str">
        <f t="shared" si="7"/>
        <v>MLNFIF3004KH</v>
      </c>
      <c r="H28" s="24">
        <f t="shared" si="2"/>
        <v>1</v>
      </c>
      <c r="I28" s="24" t="str">
        <f t="shared" si="8"/>
        <v/>
      </c>
      <c r="J28" s="24">
        <f t="shared" si="3"/>
        <v>0</v>
      </c>
      <c r="K28" s="24" t="str">
        <f t="shared" si="9"/>
        <v>F3</v>
      </c>
      <c r="L28" s="24" t="str">
        <f>VLOOKUP(N28,CODE!K:P,CODE!$P$1,FALSE)</f>
        <v>모자</v>
      </c>
      <c r="M28" s="24" t="str">
        <f>VLOOKUP(MID(R28,1,3),CODE!$B:$G,CODE!D$1,FALSE)</f>
        <v>MLN</v>
      </c>
      <c r="N28" s="24" t="str">
        <f t="shared" si="10"/>
        <v>FI</v>
      </c>
      <c r="O28" s="29" t="str">
        <f>IF(ISERROR(IF(VLOOKUP($N28,CODE!$K:$P,CODE!$O$1,FALSE)="",$M28,$M28&amp;"-"&amp;VLOOKUP($N28,CODE!$K:$P,CODE!$O$1,FALSE)))=TRUE,"",IF(VLOOKUP($N28,CODE!$K:$P,CODE!$O$1,FALSE)="",$M28,$M28&amp;"-"&amp;VLOOKUP($N28,CODE!$K:$P,CODE!$O$1,FALSE)))</f>
        <v>MLN</v>
      </c>
      <c r="P28" s="29" t="str">
        <f t="shared" si="11"/>
        <v>성인</v>
      </c>
      <c r="Q28" s="29" t="str">
        <f t="shared" si="12"/>
        <v>MLNFIF3004</v>
      </c>
      <c r="R28" s="1" t="s">
        <v>839</v>
      </c>
      <c r="S28" s="1" t="s">
        <v>15</v>
      </c>
      <c r="T28" s="26">
        <v>360</v>
      </c>
      <c r="U28" s="26">
        <v>17640000</v>
      </c>
      <c r="V28" s="26">
        <v>6466521.6000000006</v>
      </c>
      <c r="W28" s="26">
        <v>2.4799056785588767</v>
      </c>
      <c r="X28" s="26">
        <v>0</v>
      </c>
      <c r="Y28" s="26">
        <v>0</v>
      </c>
    </row>
    <row r="29" spans="1:25">
      <c r="A29" s="24" t="str">
        <f t="shared" si="4"/>
        <v>신규</v>
      </c>
      <c r="B29" s="24" t="str">
        <f>IF(COUNTIF(R$1:R28,R29)=0,"최초","리오더")</f>
        <v>최초</v>
      </c>
      <c r="C29" s="24" t="str">
        <f t="shared" si="5"/>
        <v>MLNFIF3005</v>
      </c>
      <c r="D29" s="24">
        <f t="shared" si="0"/>
        <v>1</v>
      </c>
      <c r="E29" s="24" t="str">
        <f t="shared" si="6"/>
        <v/>
      </c>
      <c r="F29" s="24">
        <f t="shared" si="1"/>
        <v>0</v>
      </c>
      <c r="G29" s="24" t="str">
        <f t="shared" si="7"/>
        <v>MLNFIF3005GY</v>
      </c>
      <c r="H29" s="24">
        <f t="shared" si="2"/>
        <v>1</v>
      </c>
      <c r="I29" s="24" t="str">
        <f t="shared" si="8"/>
        <v/>
      </c>
      <c r="J29" s="24">
        <f t="shared" si="3"/>
        <v>0</v>
      </c>
      <c r="K29" s="24" t="str">
        <f t="shared" si="9"/>
        <v>F3</v>
      </c>
      <c r="L29" s="24" t="str">
        <f>VLOOKUP(N29,CODE!K:P,CODE!$P$1,FALSE)</f>
        <v>모자</v>
      </c>
      <c r="M29" s="24" t="str">
        <f>VLOOKUP(MID(R29,1,3),CODE!$B:$G,CODE!D$1,FALSE)</f>
        <v>MLN</v>
      </c>
      <c r="N29" s="24" t="str">
        <f t="shared" si="10"/>
        <v>FI</v>
      </c>
      <c r="O29" s="29" t="str">
        <f>IF(ISERROR(IF(VLOOKUP($N29,CODE!$K:$P,CODE!$O$1,FALSE)="",$M29,$M29&amp;"-"&amp;VLOOKUP($N29,CODE!$K:$P,CODE!$O$1,FALSE)))=TRUE,"",IF(VLOOKUP($N29,CODE!$K:$P,CODE!$O$1,FALSE)="",$M29,$M29&amp;"-"&amp;VLOOKUP($N29,CODE!$K:$P,CODE!$O$1,FALSE)))</f>
        <v>MLN</v>
      </c>
      <c r="P29" s="29" t="str">
        <f t="shared" si="11"/>
        <v>성인</v>
      </c>
      <c r="Q29" s="29" t="str">
        <f t="shared" si="12"/>
        <v>MLNFIF3005</v>
      </c>
      <c r="R29" s="1" t="s">
        <v>840</v>
      </c>
      <c r="S29" s="1" t="s">
        <v>15</v>
      </c>
      <c r="T29" s="26">
        <v>360</v>
      </c>
      <c r="U29" s="26">
        <v>17640000</v>
      </c>
      <c r="V29" s="26">
        <v>6466521.6000000006</v>
      </c>
      <c r="W29" s="26">
        <v>2.4799056785588767</v>
      </c>
      <c r="X29" s="26">
        <v>0</v>
      </c>
      <c r="Y29" s="26">
        <v>0</v>
      </c>
    </row>
    <row r="30" spans="1:25">
      <c r="A30" s="24" t="str">
        <f t="shared" si="4"/>
        <v>신규</v>
      </c>
      <c r="B30" s="24" t="str">
        <f>IF(COUNTIF(R$1:R29,R30)=0,"최초","리오더")</f>
        <v>최초</v>
      </c>
      <c r="C30" s="24" t="str">
        <f t="shared" si="5"/>
        <v>MLNFIF3006</v>
      </c>
      <c r="D30" s="24">
        <f t="shared" si="0"/>
        <v>1</v>
      </c>
      <c r="E30" s="24" t="str">
        <f t="shared" si="6"/>
        <v/>
      </c>
      <c r="F30" s="24">
        <f t="shared" si="1"/>
        <v>0</v>
      </c>
      <c r="G30" s="24" t="str">
        <f t="shared" si="7"/>
        <v>MLNFIF3006BK</v>
      </c>
      <c r="H30" s="24">
        <f t="shared" si="2"/>
        <v>1</v>
      </c>
      <c r="I30" s="24" t="str">
        <f t="shared" si="8"/>
        <v/>
      </c>
      <c r="J30" s="24">
        <f t="shared" si="3"/>
        <v>0</v>
      </c>
      <c r="K30" s="24" t="str">
        <f t="shared" si="9"/>
        <v>F3</v>
      </c>
      <c r="L30" s="24" t="str">
        <f>VLOOKUP(N30,CODE!K:P,CODE!$P$1,FALSE)</f>
        <v>모자</v>
      </c>
      <c r="M30" s="24" t="str">
        <f>VLOOKUP(MID(R30,1,3),CODE!$B:$G,CODE!D$1,FALSE)</f>
        <v>MLN</v>
      </c>
      <c r="N30" s="24" t="str">
        <f t="shared" si="10"/>
        <v>FI</v>
      </c>
      <c r="O30" s="29" t="str">
        <f>IF(ISERROR(IF(VLOOKUP($N30,CODE!$K:$P,CODE!$O$1,FALSE)="",$M30,$M30&amp;"-"&amp;VLOOKUP($N30,CODE!$K:$P,CODE!$O$1,FALSE)))=TRUE,"",IF(VLOOKUP($N30,CODE!$K:$P,CODE!$O$1,FALSE)="",$M30,$M30&amp;"-"&amp;VLOOKUP($N30,CODE!$K:$P,CODE!$O$1,FALSE)))</f>
        <v>MLN</v>
      </c>
      <c r="P30" s="29" t="str">
        <f t="shared" si="11"/>
        <v>성인</v>
      </c>
      <c r="Q30" s="29" t="str">
        <f t="shared" si="12"/>
        <v>MLNFIF3006</v>
      </c>
      <c r="R30" s="1" t="s">
        <v>841</v>
      </c>
      <c r="S30" s="1" t="s">
        <v>15</v>
      </c>
      <c r="T30" s="26">
        <v>360</v>
      </c>
      <c r="U30" s="26">
        <v>17640000</v>
      </c>
      <c r="V30" s="26">
        <v>6466521.6000000006</v>
      </c>
      <c r="W30" s="26">
        <v>2.4799056785588767</v>
      </c>
      <c r="X30" s="26">
        <v>0</v>
      </c>
      <c r="Y30" s="26">
        <v>0</v>
      </c>
    </row>
    <row r="31" spans="1:25">
      <c r="A31" s="24" t="str">
        <f t="shared" si="4"/>
        <v>신규</v>
      </c>
      <c r="B31" s="24" t="str">
        <f>IF(COUNTIF(R$1:R30,R31)=0,"최초","리오더")</f>
        <v>최초</v>
      </c>
      <c r="C31" s="24" t="str">
        <f t="shared" si="5"/>
        <v>GOOHUF3001</v>
      </c>
      <c r="D31" s="24">
        <f t="shared" si="0"/>
        <v>1</v>
      </c>
      <c r="E31" s="24" t="str">
        <f t="shared" si="6"/>
        <v/>
      </c>
      <c r="F31" s="24">
        <f t="shared" si="1"/>
        <v>0</v>
      </c>
      <c r="G31" s="24" t="str">
        <f t="shared" si="7"/>
        <v>GOOHUF3001BG</v>
      </c>
      <c r="H31" s="24">
        <f t="shared" si="2"/>
        <v>1</v>
      </c>
      <c r="I31" s="24" t="str">
        <f t="shared" si="8"/>
        <v/>
      </c>
      <c r="J31" s="24">
        <f t="shared" si="3"/>
        <v>0</v>
      </c>
      <c r="K31" s="24" t="str">
        <f t="shared" si="9"/>
        <v>F3</v>
      </c>
      <c r="L31" s="24" t="str">
        <f>VLOOKUP(N31,CODE!K:P,CODE!$P$1,FALSE)</f>
        <v>모자</v>
      </c>
      <c r="M31" s="24" t="str">
        <f>VLOOKUP(MID(R31,1,3),CODE!$B:$G,CODE!D$1,FALSE)</f>
        <v>GOO</v>
      </c>
      <c r="N31" s="24" t="str">
        <f t="shared" si="10"/>
        <v>HU</v>
      </c>
      <c r="O31" s="29" t="str">
        <f>IF(ISERROR(IF(VLOOKUP($N31,CODE!$K:$P,CODE!$O$1,FALSE)="",$M31,$M31&amp;"-"&amp;VLOOKUP($N31,CODE!$K:$P,CODE!$O$1,FALSE)))=TRUE,"",IF(VLOOKUP($N31,CODE!$K:$P,CODE!$O$1,FALSE)="",$M31,$M31&amp;"-"&amp;VLOOKUP($N31,CODE!$K:$P,CODE!$O$1,FALSE)))</f>
        <v>GOO</v>
      </c>
      <c r="P31" s="29" t="str">
        <f t="shared" si="11"/>
        <v>성인</v>
      </c>
      <c r="Q31" s="29" t="str">
        <f t="shared" si="12"/>
        <v>GOOHUF3001</v>
      </c>
      <c r="R31" s="1" t="s">
        <v>842</v>
      </c>
      <c r="S31" s="1" t="s">
        <v>15</v>
      </c>
      <c r="T31" s="26">
        <v>360</v>
      </c>
      <c r="U31" s="26">
        <v>17640000</v>
      </c>
      <c r="V31" s="26">
        <v>3615912</v>
      </c>
      <c r="W31" s="26">
        <v>4.4349430064569146</v>
      </c>
      <c r="X31" s="26">
        <v>359</v>
      </c>
      <c r="Y31" s="26">
        <v>0</v>
      </c>
    </row>
    <row r="32" spans="1:25">
      <c r="A32" s="24" t="str">
        <f t="shared" si="4"/>
        <v>신규</v>
      </c>
      <c r="B32" s="24" t="str">
        <f>IF(COUNTIF(R$1:R31,R32)=0,"최초","리오더")</f>
        <v>최초</v>
      </c>
      <c r="C32" s="24" t="str">
        <f t="shared" si="5"/>
        <v>GOOMIF3002</v>
      </c>
      <c r="D32" s="24">
        <f t="shared" si="0"/>
        <v>1</v>
      </c>
      <c r="E32" s="24" t="str">
        <f t="shared" si="6"/>
        <v/>
      </c>
      <c r="F32" s="24">
        <f t="shared" si="1"/>
        <v>0</v>
      </c>
      <c r="G32" s="24" t="str">
        <f t="shared" si="7"/>
        <v>GOOMIF3002KH</v>
      </c>
      <c r="H32" s="24">
        <f t="shared" si="2"/>
        <v>1</v>
      </c>
      <c r="I32" s="24" t="str">
        <f t="shared" si="8"/>
        <v/>
      </c>
      <c r="J32" s="24">
        <f t="shared" si="3"/>
        <v>0</v>
      </c>
      <c r="K32" s="24" t="str">
        <f t="shared" si="9"/>
        <v>F3</v>
      </c>
      <c r="L32" s="24" t="str">
        <f>VLOOKUP(N32,CODE!K:P,CODE!$P$1,FALSE)</f>
        <v>모자</v>
      </c>
      <c r="M32" s="24" t="str">
        <f>VLOOKUP(MID(R32,1,3),CODE!$B:$G,CODE!D$1,FALSE)</f>
        <v>GOO</v>
      </c>
      <c r="N32" s="24" t="str">
        <f t="shared" si="10"/>
        <v>MI</v>
      </c>
      <c r="O32" s="29" t="str">
        <f>IF(ISERROR(IF(VLOOKUP($N32,CODE!$K:$P,CODE!$O$1,FALSE)="",$M32,$M32&amp;"-"&amp;VLOOKUP($N32,CODE!$K:$P,CODE!$O$1,FALSE)))=TRUE,"",IF(VLOOKUP($N32,CODE!$K:$P,CODE!$O$1,FALSE)="",$M32,$M32&amp;"-"&amp;VLOOKUP($N32,CODE!$K:$P,CODE!$O$1,FALSE)))</f>
        <v>GOO</v>
      </c>
      <c r="P32" s="29" t="str">
        <f t="shared" si="11"/>
        <v>성인</v>
      </c>
      <c r="Q32" s="29" t="str">
        <f t="shared" si="12"/>
        <v>GOOMIF3002</v>
      </c>
      <c r="R32" s="1" t="s">
        <v>843</v>
      </c>
      <c r="S32" s="1" t="s">
        <v>15</v>
      </c>
      <c r="T32" s="26">
        <v>360</v>
      </c>
      <c r="U32" s="26">
        <v>16200000</v>
      </c>
      <c r="V32" s="26">
        <v>3391380</v>
      </c>
      <c r="W32" s="26">
        <v>4.3425604701545462</v>
      </c>
      <c r="X32" s="26">
        <v>360</v>
      </c>
      <c r="Y32" s="26">
        <v>0</v>
      </c>
    </row>
    <row r="33" spans="1:25">
      <c r="A33" s="24" t="str">
        <f t="shared" si="4"/>
        <v>신규</v>
      </c>
      <c r="B33" s="24" t="str">
        <f>IF(COUNTIF(R$1:R32,R33)=0,"최초","리오더")</f>
        <v>최초</v>
      </c>
      <c r="C33" s="24" t="str">
        <f t="shared" si="5"/>
        <v>GOOHUF3003</v>
      </c>
      <c r="D33" s="24">
        <f t="shared" si="0"/>
        <v>1</v>
      </c>
      <c r="E33" s="24" t="str">
        <f t="shared" si="6"/>
        <v/>
      </c>
      <c r="F33" s="24">
        <f t="shared" si="1"/>
        <v>0</v>
      </c>
      <c r="G33" s="24" t="str">
        <f t="shared" si="7"/>
        <v>GOOHUF3003KH</v>
      </c>
      <c r="H33" s="24">
        <f t="shared" si="2"/>
        <v>1</v>
      </c>
      <c r="I33" s="24" t="str">
        <f t="shared" si="8"/>
        <v/>
      </c>
      <c r="J33" s="24">
        <f t="shared" si="3"/>
        <v>0</v>
      </c>
      <c r="K33" s="24" t="str">
        <f t="shared" si="9"/>
        <v>F3</v>
      </c>
      <c r="L33" s="24" t="str">
        <f>VLOOKUP(N33,CODE!K:P,CODE!$P$1,FALSE)</f>
        <v>모자</v>
      </c>
      <c r="M33" s="24" t="str">
        <f>VLOOKUP(MID(R33,1,3),CODE!$B:$G,CODE!D$1,FALSE)</f>
        <v>GOO</v>
      </c>
      <c r="N33" s="24" t="str">
        <f t="shared" si="10"/>
        <v>HU</v>
      </c>
      <c r="O33" s="29" t="str">
        <f>IF(ISERROR(IF(VLOOKUP($N33,CODE!$K:$P,CODE!$O$1,FALSE)="",$M33,$M33&amp;"-"&amp;VLOOKUP($N33,CODE!$K:$P,CODE!$O$1,FALSE)))=TRUE,"",IF(VLOOKUP($N33,CODE!$K:$P,CODE!$O$1,FALSE)="",$M33,$M33&amp;"-"&amp;VLOOKUP($N33,CODE!$K:$P,CODE!$O$1,FALSE)))</f>
        <v>GOO</v>
      </c>
      <c r="P33" s="29" t="str">
        <f t="shared" si="11"/>
        <v>성인</v>
      </c>
      <c r="Q33" s="29" t="str">
        <f t="shared" si="12"/>
        <v>GOOHUF3003</v>
      </c>
      <c r="R33" s="1" t="s">
        <v>844</v>
      </c>
      <c r="S33" s="1" t="s">
        <v>15</v>
      </c>
      <c r="T33" s="26">
        <v>360</v>
      </c>
      <c r="U33" s="26">
        <v>19800000</v>
      </c>
      <c r="V33" s="26">
        <v>4289508</v>
      </c>
      <c r="W33" s="26">
        <v>4.1962854481213228</v>
      </c>
      <c r="X33" s="26">
        <v>359</v>
      </c>
      <c r="Y33" s="26">
        <v>0</v>
      </c>
    </row>
    <row r="34" spans="1:25">
      <c r="A34" s="24" t="str">
        <f t="shared" si="4"/>
        <v>신규</v>
      </c>
      <c r="B34" s="24" t="str">
        <f>IF(COUNTIF(R$1:R33,R34)=0,"최초","리오더")</f>
        <v>최초</v>
      </c>
      <c r="C34" s="24" t="str">
        <f t="shared" si="5"/>
        <v>GOOFEF3004</v>
      </c>
      <c r="D34" s="24">
        <f t="shared" si="0"/>
        <v>1</v>
      </c>
      <c r="E34" s="24" t="str">
        <f t="shared" si="6"/>
        <v/>
      </c>
      <c r="F34" s="24">
        <f t="shared" si="1"/>
        <v>0</v>
      </c>
      <c r="G34" s="24" t="str">
        <f t="shared" si="7"/>
        <v>GOOFEF3004BW</v>
      </c>
      <c r="H34" s="24">
        <f t="shared" si="2"/>
        <v>1</v>
      </c>
      <c r="I34" s="24" t="str">
        <f t="shared" si="8"/>
        <v/>
      </c>
      <c r="J34" s="24">
        <f t="shared" si="3"/>
        <v>0</v>
      </c>
      <c r="K34" s="24" t="str">
        <f t="shared" si="9"/>
        <v>F3</v>
      </c>
      <c r="L34" s="24" t="str">
        <f>VLOOKUP(N34,CODE!K:P,CODE!$P$1,FALSE)</f>
        <v>모자</v>
      </c>
      <c r="M34" s="24" t="str">
        <f>VLOOKUP(MID(R34,1,3),CODE!$B:$G,CODE!D$1,FALSE)</f>
        <v>GOO</v>
      </c>
      <c r="N34" s="24" t="str">
        <f t="shared" si="10"/>
        <v>FE</v>
      </c>
      <c r="O34" s="29" t="str">
        <f>IF(ISERROR(IF(VLOOKUP($N34,CODE!$K:$P,CODE!$O$1,FALSE)="",$M34,$M34&amp;"-"&amp;VLOOKUP($N34,CODE!$K:$P,CODE!$O$1,FALSE)))=TRUE,"",IF(VLOOKUP($N34,CODE!$K:$P,CODE!$O$1,FALSE)="",$M34,$M34&amp;"-"&amp;VLOOKUP($N34,CODE!$K:$P,CODE!$O$1,FALSE)))</f>
        <v>GOO</v>
      </c>
      <c r="P34" s="29" t="str">
        <f t="shared" si="11"/>
        <v>성인</v>
      </c>
      <c r="Q34" s="29" t="str">
        <f t="shared" si="12"/>
        <v>GOOFEF3004</v>
      </c>
      <c r="R34" s="1" t="s">
        <v>845</v>
      </c>
      <c r="S34" s="1" t="s">
        <v>15</v>
      </c>
      <c r="T34" s="26">
        <v>288</v>
      </c>
      <c r="U34" s="26">
        <v>21600000</v>
      </c>
      <c r="V34" s="26">
        <v>4868611.2</v>
      </c>
      <c r="W34" s="26">
        <v>4.0332577052699614</v>
      </c>
      <c r="X34" s="26">
        <v>288</v>
      </c>
      <c r="Y34" s="26">
        <v>0</v>
      </c>
    </row>
    <row r="35" spans="1:25">
      <c r="A35" s="24" t="str">
        <f t="shared" si="4"/>
        <v>신규</v>
      </c>
      <c r="B35" s="24" t="str">
        <f>IF(COUNTIF(R$1:R34,R35)=0,"최초","리오더")</f>
        <v>최초</v>
      </c>
      <c r="C35" s="24" t="str">
        <f t="shared" si="5"/>
        <v>GOOMIF3005</v>
      </c>
      <c r="D35" s="24">
        <f t="shared" si="0"/>
        <v>0.5</v>
      </c>
      <c r="E35" s="24" t="str">
        <f t="shared" si="6"/>
        <v/>
      </c>
      <c r="F35" s="24">
        <f t="shared" si="1"/>
        <v>0</v>
      </c>
      <c r="G35" s="24" t="str">
        <f t="shared" si="7"/>
        <v>GOOMIF3005RE</v>
      </c>
      <c r="H35" s="24">
        <f t="shared" si="2"/>
        <v>1</v>
      </c>
      <c r="I35" s="24" t="str">
        <f t="shared" si="8"/>
        <v/>
      </c>
      <c r="J35" s="24">
        <f t="shared" si="3"/>
        <v>0</v>
      </c>
      <c r="K35" s="24" t="str">
        <f t="shared" si="9"/>
        <v>F3</v>
      </c>
      <c r="L35" s="24" t="str">
        <f>VLOOKUP(N35,CODE!K:P,CODE!$P$1,FALSE)</f>
        <v>모자</v>
      </c>
      <c r="M35" s="24" t="str">
        <f>VLOOKUP(MID(R35,1,3),CODE!$B:$G,CODE!D$1,FALSE)</f>
        <v>GOO</v>
      </c>
      <c r="N35" s="24" t="str">
        <f t="shared" si="10"/>
        <v>MI</v>
      </c>
      <c r="O35" s="29" t="str">
        <f>IF(ISERROR(IF(VLOOKUP($N35,CODE!$K:$P,CODE!$O$1,FALSE)="",$M35,$M35&amp;"-"&amp;VLOOKUP($N35,CODE!$K:$P,CODE!$O$1,FALSE)))=TRUE,"",IF(VLOOKUP($N35,CODE!$K:$P,CODE!$O$1,FALSE)="",$M35,$M35&amp;"-"&amp;VLOOKUP($N35,CODE!$K:$P,CODE!$O$1,FALSE)))</f>
        <v>GOO</v>
      </c>
      <c r="P35" s="29" t="str">
        <f t="shared" si="11"/>
        <v>성인</v>
      </c>
      <c r="Q35" s="29" t="str">
        <f t="shared" si="12"/>
        <v>GOOMIF3005</v>
      </c>
      <c r="R35" s="1" t="s">
        <v>846</v>
      </c>
      <c r="S35" s="1" t="s">
        <v>15</v>
      </c>
      <c r="T35" s="26">
        <v>360</v>
      </c>
      <c r="U35" s="26">
        <v>14040000</v>
      </c>
      <c r="V35" s="26">
        <v>2942316</v>
      </c>
      <c r="W35" s="26">
        <v>4.3379556660930927</v>
      </c>
      <c r="X35" s="26">
        <v>360</v>
      </c>
      <c r="Y35" s="26">
        <v>0</v>
      </c>
    </row>
    <row r="36" spans="1:25">
      <c r="A36" s="24" t="str">
        <f t="shared" si="4"/>
        <v>신규</v>
      </c>
      <c r="B36" s="24" t="str">
        <f>IF(COUNTIF(R$1:R35,R36)=0,"최초","리오더")</f>
        <v>최초</v>
      </c>
      <c r="C36" s="24" t="str">
        <f t="shared" si="5"/>
        <v>GOOMIF3005</v>
      </c>
      <c r="D36" s="24">
        <f t="shared" si="0"/>
        <v>0.5</v>
      </c>
      <c r="E36" s="24" t="str">
        <f t="shared" si="6"/>
        <v/>
      </c>
      <c r="F36" s="24">
        <f t="shared" si="1"/>
        <v>0</v>
      </c>
      <c r="G36" s="24" t="str">
        <f t="shared" si="7"/>
        <v>GOOMIF3005GY</v>
      </c>
      <c r="H36" s="24">
        <f t="shared" si="2"/>
        <v>1</v>
      </c>
      <c r="I36" s="24" t="str">
        <f t="shared" si="8"/>
        <v/>
      </c>
      <c r="J36" s="24">
        <f t="shared" si="3"/>
        <v>0</v>
      </c>
      <c r="K36" s="24" t="str">
        <f t="shared" si="9"/>
        <v>F3</v>
      </c>
      <c r="L36" s="24" t="str">
        <f>VLOOKUP(N36,CODE!K:P,CODE!$P$1,FALSE)</f>
        <v>모자</v>
      </c>
      <c r="M36" s="24" t="str">
        <f>VLOOKUP(MID(R36,1,3),CODE!$B:$G,CODE!D$1,FALSE)</f>
        <v>GOO</v>
      </c>
      <c r="N36" s="24" t="str">
        <f t="shared" si="10"/>
        <v>MI</v>
      </c>
      <c r="O36" s="29" t="str">
        <f>IF(ISERROR(IF(VLOOKUP($N36,CODE!$K:$P,CODE!$O$1,FALSE)="",$M36,$M36&amp;"-"&amp;VLOOKUP($N36,CODE!$K:$P,CODE!$O$1,FALSE)))=TRUE,"",IF(VLOOKUP($N36,CODE!$K:$P,CODE!$O$1,FALSE)="",$M36,$M36&amp;"-"&amp;VLOOKUP($N36,CODE!$K:$P,CODE!$O$1,FALSE)))</f>
        <v>GOO</v>
      </c>
      <c r="P36" s="29" t="str">
        <f t="shared" si="11"/>
        <v>성인</v>
      </c>
      <c r="Q36" s="29" t="str">
        <f t="shared" si="12"/>
        <v>GOOMIF3005</v>
      </c>
      <c r="R36" s="1" t="s">
        <v>847</v>
      </c>
      <c r="S36" s="1" t="s">
        <v>15</v>
      </c>
      <c r="T36" s="26">
        <v>360</v>
      </c>
      <c r="U36" s="26">
        <v>14040000</v>
      </c>
      <c r="V36" s="26">
        <v>2942316</v>
      </c>
      <c r="W36" s="26">
        <v>4.3379556660930927</v>
      </c>
      <c r="X36" s="26">
        <v>360</v>
      </c>
      <c r="Y36" s="26">
        <v>0</v>
      </c>
    </row>
    <row r="37" spans="1:25">
      <c r="A37" s="24" t="str">
        <f t="shared" si="4"/>
        <v>신규</v>
      </c>
      <c r="B37" s="24" t="str">
        <f>IF(COUNTIF(R$1:R36,R37)=0,"최초","리오더")</f>
        <v>최초</v>
      </c>
      <c r="C37" s="24" t="str">
        <f t="shared" si="5"/>
        <v>GOOHUF3006</v>
      </c>
      <c r="D37" s="24">
        <f t="shared" si="0"/>
        <v>0.5</v>
      </c>
      <c r="E37" s="24" t="str">
        <f t="shared" si="6"/>
        <v/>
      </c>
      <c r="F37" s="24">
        <f t="shared" si="1"/>
        <v>0</v>
      </c>
      <c r="G37" s="24" t="str">
        <f t="shared" si="7"/>
        <v>GOOHUF3006BK</v>
      </c>
      <c r="H37" s="24">
        <f t="shared" si="2"/>
        <v>1</v>
      </c>
      <c r="I37" s="24" t="str">
        <f t="shared" si="8"/>
        <v/>
      </c>
      <c r="J37" s="24">
        <f t="shared" si="3"/>
        <v>0</v>
      </c>
      <c r="K37" s="24" t="str">
        <f t="shared" si="9"/>
        <v>F3</v>
      </c>
      <c r="L37" s="24" t="str">
        <f>VLOOKUP(N37,CODE!K:P,CODE!$P$1,FALSE)</f>
        <v>모자</v>
      </c>
      <c r="M37" s="24" t="str">
        <f>VLOOKUP(MID(R37,1,3),CODE!$B:$G,CODE!D$1,FALSE)</f>
        <v>GOO</v>
      </c>
      <c r="N37" s="24" t="str">
        <f t="shared" si="10"/>
        <v>HU</v>
      </c>
      <c r="O37" s="29" t="str">
        <f>IF(ISERROR(IF(VLOOKUP($N37,CODE!$K:$P,CODE!$O$1,FALSE)="",$M37,$M37&amp;"-"&amp;VLOOKUP($N37,CODE!$K:$P,CODE!$O$1,FALSE)))=TRUE,"",IF(VLOOKUP($N37,CODE!$K:$P,CODE!$O$1,FALSE)="",$M37,$M37&amp;"-"&amp;VLOOKUP($N37,CODE!$K:$P,CODE!$O$1,FALSE)))</f>
        <v>GOO</v>
      </c>
      <c r="P37" s="29" t="str">
        <f t="shared" si="11"/>
        <v>성인</v>
      </c>
      <c r="Q37" s="29" t="str">
        <f t="shared" si="12"/>
        <v>GOOHUF3006</v>
      </c>
      <c r="R37" s="1" t="s">
        <v>848</v>
      </c>
      <c r="S37" s="1" t="s">
        <v>15</v>
      </c>
      <c r="T37" s="26">
        <v>288</v>
      </c>
      <c r="U37" s="26">
        <v>15840000</v>
      </c>
      <c r="V37" s="26">
        <v>3611232</v>
      </c>
      <c r="W37" s="26">
        <v>3.9875588164925433</v>
      </c>
      <c r="X37" s="26">
        <v>288</v>
      </c>
      <c r="Y37" s="26">
        <v>0</v>
      </c>
    </row>
    <row r="38" spans="1:25">
      <c r="A38" s="24" t="str">
        <f t="shared" si="4"/>
        <v>신규</v>
      </c>
      <c r="B38" s="24" t="str">
        <f>IF(COUNTIF(R$1:R37,R38)=0,"최초","리오더")</f>
        <v>최초</v>
      </c>
      <c r="C38" s="24" t="str">
        <f t="shared" si="5"/>
        <v>GOOHUF3006</v>
      </c>
      <c r="D38" s="24">
        <f t="shared" si="0"/>
        <v>0.5</v>
      </c>
      <c r="E38" s="24" t="str">
        <f t="shared" si="6"/>
        <v/>
      </c>
      <c r="F38" s="24">
        <f t="shared" si="1"/>
        <v>0</v>
      </c>
      <c r="G38" s="24" t="str">
        <f t="shared" si="7"/>
        <v>GOOHUF3006GY</v>
      </c>
      <c r="H38" s="24">
        <f t="shared" si="2"/>
        <v>1</v>
      </c>
      <c r="I38" s="24" t="str">
        <f t="shared" si="8"/>
        <v/>
      </c>
      <c r="J38" s="24">
        <f t="shared" si="3"/>
        <v>0</v>
      </c>
      <c r="K38" s="24" t="str">
        <f t="shared" si="9"/>
        <v>F3</v>
      </c>
      <c r="L38" s="24" t="str">
        <f>VLOOKUP(N38,CODE!K:P,CODE!$P$1,FALSE)</f>
        <v>모자</v>
      </c>
      <c r="M38" s="24" t="str">
        <f>VLOOKUP(MID(R38,1,3),CODE!$B:$G,CODE!D$1,FALSE)</f>
        <v>GOO</v>
      </c>
      <c r="N38" s="24" t="str">
        <f t="shared" si="10"/>
        <v>HU</v>
      </c>
      <c r="O38" s="29" t="str">
        <f>IF(ISERROR(IF(VLOOKUP($N38,CODE!$K:$P,CODE!$O$1,FALSE)="",$M38,$M38&amp;"-"&amp;VLOOKUP($N38,CODE!$K:$P,CODE!$O$1,FALSE)))=TRUE,"",IF(VLOOKUP($N38,CODE!$K:$P,CODE!$O$1,FALSE)="",$M38,$M38&amp;"-"&amp;VLOOKUP($N38,CODE!$K:$P,CODE!$O$1,FALSE)))</f>
        <v>GOO</v>
      </c>
      <c r="P38" s="29" t="str">
        <f t="shared" si="11"/>
        <v>성인</v>
      </c>
      <c r="Q38" s="29" t="str">
        <f t="shared" si="12"/>
        <v>GOOHUF3006</v>
      </c>
      <c r="R38" s="1" t="s">
        <v>849</v>
      </c>
      <c r="S38" s="1" t="s">
        <v>15</v>
      </c>
      <c r="T38" s="26">
        <v>240</v>
      </c>
      <c r="U38" s="26">
        <v>13200000</v>
      </c>
      <c r="V38" s="26">
        <v>3009360</v>
      </c>
      <c r="W38" s="26">
        <v>3.9875588164925428</v>
      </c>
      <c r="X38" s="26">
        <v>240</v>
      </c>
      <c r="Y38" s="26">
        <v>0</v>
      </c>
    </row>
    <row r="39" spans="1:25">
      <c r="A39" s="24" t="str">
        <f t="shared" si="4"/>
        <v>신규</v>
      </c>
      <c r="B39" s="24" t="str">
        <f>IF(COUNTIF(R$1:R38,R39)=0,"최초","리오더")</f>
        <v>최초</v>
      </c>
      <c r="C39" s="24" t="str">
        <f t="shared" si="5"/>
        <v>GOOHUF3007</v>
      </c>
      <c r="D39" s="24">
        <f t="shared" si="0"/>
        <v>1</v>
      </c>
      <c r="E39" s="24" t="str">
        <f t="shared" si="6"/>
        <v/>
      </c>
      <c r="F39" s="24">
        <f t="shared" si="1"/>
        <v>0</v>
      </c>
      <c r="G39" s="24" t="str">
        <f t="shared" si="7"/>
        <v>GOOHUF3007BW</v>
      </c>
      <c r="H39" s="24">
        <f t="shared" si="2"/>
        <v>1</v>
      </c>
      <c r="I39" s="24" t="str">
        <f t="shared" si="8"/>
        <v/>
      </c>
      <c r="J39" s="24">
        <f t="shared" si="3"/>
        <v>0</v>
      </c>
      <c r="K39" s="24" t="str">
        <f t="shared" si="9"/>
        <v>F3</v>
      </c>
      <c r="L39" s="24" t="str">
        <f>VLOOKUP(N39,CODE!K:P,CODE!$P$1,FALSE)</f>
        <v>모자</v>
      </c>
      <c r="M39" s="24" t="str">
        <f>VLOOKUP(MID(R39,1,3),CODE!$B:$G,CODE!D$1,FALSE)</f>
        <v>GOO</v>
      </c>
      <c r="N39" s="24" t="str">
        <f t="shared" si="10"/>
        <v>HU</v>
      </c>
      <c r="O39" s="29" t="str">
        <f>IF(ISERROR(IF(VLOOKUP($N39,CODE!$K:$P,CODE!$O$1,FALSE)="",$M39,$M39&amp;"-"&amp;VLOOKUP($N39,CODE!$K:$P,CODE!$O$1,FALSE)))=TRUE,"",IF(VLOOKUP($N39,CODE!$K:$P,CODE!$O$1,FALSE)="",$M39,$M39&amp;"-"&amp;VLOOKUP($N39,CODE!$K:$P,CODE!$O$1,FALSE)))</f>
        <v>GOO</v>
      </c>
      <c r="P39" s="29" t="str">
        <f t="shared" si="11"/>
        <v>성인</v>
      </c>
      <c r="Q39" s="29" t="str">
        <f t="shared" si="12"/>
        <v>GOOHUF3007</v>
      </c>
      <c r="R39" s="1" t="s">
        <v>850</v>
      </c>
      <c r="S39" s="1" t="s">
        <v>15</v>
      </c>
      <c r="T39" s="26">
        <v>288</v>
      </c>
      <c r="U39" s="26">
        <v>15840000</v>
      </c>
      <c r="V39" s="26">
        <v>3611232</v>
      </c>
      <c r="W39" s="26">
        <v>3.9875588164925433</v>
      </c>
      <c r="X39" s="26">
        <v>288</v>
      </c>
      <c r="Y39" s="26">
        <v>0</v>
      </c>
    </row>
    <row r="40" spans="1:25">
      <c r="A40" s="24" t="str">
        <f t="shared" si="4"/>
        <v>신규</v>
      </c>
      <c r="B40" s="24" t="str">
        <f>IF(COUNTIF(R$1:R39,R40)=0,"최초","리오더")</f>
        <v>최초</v>
      </c>
      <c r="C40" s="24" t="str">
        <f t="shared" si="5"/>
        <v>GOOFEF3008</v>
      </c>
      <c r="D40" s="24">
        <f t="shared" si="0"/>
        <v>0.5</v>
      </c>
      <c r="E40" s="24" t="str">
        <f t="shared" si="6"/>
        <v/>
      </c>
      <c r="F40" s="24">
        <f t="shared" si="1"/>
        <v>0</v>
      </c>
      <c r="G40" s="24" t="str">
        <f t="shared" si="7"/>
        <v>GOOFEF3008BK</v>
      </c>
      <c r="H40" s="24">
        <f t="shared" si="2"/>
        <v>1</v>
      </c>
      <c r="I40" s="24" t="str">
        <f t="shared" si="8"/>
        <v/>
      </c>
      <c r="J40" s="24">
        <f t="shared" si="3"/>
        <v>0</v>
      </c>
      <c r="K40" s="24" t="str">
        <f t="shared" si="9"/>
        <v>F3</v>
      </c>
      <c r="L40" s="24" t="str">
        <f>VLOOKUP(N40,CODE!K:P,CODE!$P$1,FALSE)</f>
        <v>모자</v>
      </c>
      <c r="M40" s="24" t="str">
        <f>VLOOKUP(MID(R40,1,3),CODE!$B:$G,CODE!D$1,FALSE)</f>
        <v>GOO</v>
      </c>
      <c r="N40" s="24" t="str">
        <f t="shared" si="10"/>
        <v>FE</v>
      </c>
      <c r="O40" s="29" t="str">
        <f>IF(ISERROR(IF(VLOOKUP($N40,CODE!$K:$P,CODE!$O$1,FALSE)="",$M40,$M40&amp;"-"&amp;VLOOKUP($N40,CODE!$K:$P,CODE!$O$1,FALSE)))=TRUE,"",IF(VLOOKUP($N40,CODE!$K:$P,CODE!$O$1,FALSE)="",$M40,$M40&amp;"-"&amp;VLOOKUP($N40,CODE!$K:$P,CODE!$O$1,FALSE)))</f>
        <v>GOO</v>
      </c>
      <c r="P40" s="29" t="str">
        <f t="shared" si="11"/>
        <v>성인</v>
      </c>
      <c r="Q40" s="29" t="str">
        <f t="shared" si="12"/>
        <v>GOOFEF3008</v>
      </c>
      <c r="R40" s="1" t="s">
        <v>851</v>
      </c>
      <c r="S40" s="1" t="s">
        <v>15</v>
      </c>
      <c r="T40" s="26">
        <v>288</v>
      </c>
      <c r="U40" s="26">
        <v>19872000</v>
      </c>
      <c r="V40" s="26">
        <v>4329734.4000000004</v>
      </c>
      <c r="W40" s="26">
        <v>4.1724163370054619</v>
      </c>
      <c r="X40" s="26">
        <v>288</v>
      </c>
      <c r="Y40" s="26">
        <v>0</v>
      </c>
    </row>
    <row r="41" spans="1:25">
      <c r="A41" s="24" t="str">
        <f t="shared" si="4"/>
        <v>신규</v>
      </c>
      <c r="B41" s="24" t="str">
        <f>IF(COUNTIF(R$1:R40,R41)=0,"최초","리오더")</f>
        <v>최초</v>
      </c>
      <c r="C41" s="24" t="str">
        <f t="shared" si="5"/>
        <v>GOOFEF3008</v>
      </c>
      <c r="D41" s="24">
        <f t="shared" si="0"/>
        <v>0.5</v>
      </c>
      <c r="E41" s="24" t="str">
        <f t="shared" si="6"/>
        <v/>
      </c>
      <c r="F41" s="24">
        <f t="shared" si="1"/>
        <v>0</v>
      </c>
      <c r="G41" s="24" t="str">
        <f t="shared" si="7"/>
        <v>GOOFEF3008GY</v>
      </c>
      <c r="H41" s="24">
        <f t="shared" si="2"/>
        <v>1</v>
      </c>
      <c r="I41" s="24" t="str">
        <f t="shared" si="8"/>
        <v/>
      </c>
      <c r="J41" s="24">
        <f t="shared" si="3"/>
        <v>0</v>
      </c>
      <c r="K41" s="24" t="str">
        <f t="shared" si="9"/>
        <v>F3</v>
      </c>
      <c r="L41" s="24" t="str">
        <f>VLOOKUP(N41,CODE!K:P,CODE!$P$1,FALSE)</f>
        <v>모자</v>
      </c>
      <c r="M41" s="24" t="str">
        <f>VLOOKUP(MID(R41,1,3),CODE!$B:$G,CODE!D$1,FALSE)</f>
        <v>GOO</v>
      </c>
      <c r="N41" s="24" t="str">
        <f t="shared" si="10"/>
        <v>FE</v>
      </c>
      <c r="O41" s="29" t="str">
        <f>IF(ISERROR(IF(VLOOKUP($N41,CODE!$K:$P,CODE!$O$1,FALSE)="",$M41,$M41&amp;"-"&amp;VLOOKUP($N41,CODE!$K:$P,CODE!$O$1,FALSE)))=TRUE,"",IF(VLOOKUP($N41,CODE!$K:$P,CODE!$O$1,FALSE)="",$M41,$M41&amp;"-"&amp;VLOOKUP($N41,CODE!$K:$P,CODE!$O$1,FALSE)))</f>
        <v>GOO</v>
      </c>
      <c r="P41" s="29" t="str">
        <f t="shared" si="11"/>
        <v>성인</v>
      </c>
      <c r="Q41" s="29" t="str">
        <f t="shared" si="12"/>
        <v>GOOFEF3008</v>
      </c>
      <c r="R41" s="1" t="s">
        <v>852</v>
      </c>
      <c r="S41" s="1" t="s">
        <v>15</v>
      </c>
      <c r="T41" s="26">
        <v>288</v>
      </c>
      <c r="U41" s="26">
        <v>19872000</v>
      </c>
      <c r="V41" s="26">
        <v>4329734.4000000004</v>
      </c>
      <c r="W41" s="26">
        <v>4.1724163370054619</v>
      </c>
      <c r="X41" s="26">
        <v>288</v>
      </c>
      <c r="Y41" s="26">
        <v>0</v>
      </c>
    </row>
    <row r="42" spans="1:25">
      <c r="A42" s="24" t="str">
        <f t="shared" si="4"/>
        <v>신규</v>
      </c>
      <c r="B42" s="24" t="str">
        <f>IF(COUNTIF(R$1:R41,R42)=0,"최초","리오더")</f>
        <v>최초</v>
      </c>
      <c r="C42" s="24" t="str">
        <f t="shared" si="5"/>
        <v>GOOFAF3009</v>
      </c>
      <c r="D42" s="24">
        <f t="shared" si="0"/>
        <v>1</v>
      </c>
      <c r="E42" s="24" t="str">
        <f t="shared" si="6"/>
        <v/>
      </c>
      <c r="F42" s="24">
        <f t="shared" si="1"/>
        <v>0</v>
      </c>
      <c r="G42" s="24" t="str">
        <f t="shared" si="7"/>
        <v>GOOFAF3009GY</v>
      </c>
      <c r="H42" s="24">
        <f t="shared" si="2"/>
        <v>1</v>
      </c>
      <c r="I42" s="24" t="str">
        <f t="shared" si="8"/>
        <v/>
      </c>
      <c r="J42" s="24">
        <f t="shared" si="3"/>
        <v>0</v>
      </c>
      <c r="K42" s="24" t="str">
        <f t="shared" si="9"/>
        <v>F3</v>
      </c>
      <c r="L42" s="24" t="str">
        <f>VLOOKUP(N42,CODE!K:P,CODE!$P$1,FALSE)</f>
        <v>모자</v>
      </c>
      <c r="M42" s="24" t="str">
        <f>VLOOKUP(MID(R42,1,3),CODE!$B:$G,CODE!D$1,FALSE)</f>
        <v>GOO</v>
      </c>
      <c r="N42" s="24" t="str">
        <f t="shared" si="10"/>
        <v>FA</v>
      </c>
      <c r="O42" s="29" t="str">
        <f>IF(ISERROR(IF(VLOOKUP($N42,CODE!$K:$P,CODE!$O$1,FALSE)="",$M42,$M42&amp;"-"&amp;VLOOKUP($N42,CODE!$K:$P,CODE!$O$1,FALSE)))=TRUE,"",IF(VLOOKUP($N42,CODE!$K:$P,CODE!$O$1,FALSE)="",$M42,$M42&amp;"-"&amp;VLOOKUP($N42,CODE!$K:$P,CODE!$O$1,FALSE)))</f>
        <v>GOO</v>
      </c>
      <c r="P42" s="29" t="str">
        <f t="shared" si="11"/>
        <v>성인</v>
      </c>
      <c r="Q42" s="29" t="str">
        <f t="shared" si="12"/>
        <v>GOOFAF3009</v>
      </c>
      <c r="R42" s="1" t="s">
        <v>853</v>
      </c>
      <c r="S42" s="1" t="s">
        <v>15</v>
      </c>
      <c r="T42" s="26">
        <v>240</v>
      </c>
      <c r="U42" s="26">
        <v>18960000</v>
      </c>
      <c r="V42" s="26">
        <v>4655928</v>
      </c>
      <c r="W42" s="26">
        <v>3.7020253827730225</v>
      </c>
      <c r="X42" s="26">
        <v>240</v>
      </c>
      <c r="Y42" s="26">
        <v>0</v>
      </c>
    </row>
    <row r="43" spans="1:25">
      <c r="A43" s="24" t="str">
        <f t="shared" si="4"/>
        <v>러닝</v>
      </c>
      <c r="B43" s="24" t="str">
        <f>IF(COUNTIF(R$1:R42,R43)=0,"최초","리오더")</f>
        <v>최초</v>
      </c>
      <c r="C43" s="24" t="str">
        <f t="shared" si="5"/>
        <v>HCUMIF3210</v>
      </c>
      <c r="D43" s="24">
        <f t="shared" si="0"/>
        <v>1</v>
      </c>
      <c r="E43" s="24" t="str">
        <f t="shared" si="6"/>
        <v/>
      </c>
      <c r="F43" s="24">
        <f t="shared" si="1"/>
        <v>0</v>
      </c>
      <c r="G43" s="24" t="str">
        <f t="shared" si="7"/>
        <v>HCUMIF3210BK</v>
      </c>
      <c r="H43" s="24">
        <f t="shared" si="2"/>
        <v>1</v>
      </c>
      <c r="I43" s="24" t="str">
        <f t="shared" si="8"/>
        <v/>
      </c>
      <c r="J43" s="24">
        <f t="shared" si="3"/>
        <v>0</v>
      </c>
      <c r="K43" s="24" t="str">
        <f t="shared" si="9"/>
        <v>F3</v>
      </c>
      <c r="L43" s="24" t="str">
        <f>VLOOKUP(N43,CODE!K:P,CODE!$P$1,FALSE)</f>
        <v>모자</v>
      </c>
      <c r="M43" s="24" t="str">
        <f>VLOOKUP(MID(R43,1,3),CODE!$B:$G,CODE!D$1,FALSE)</f>
        <v>HCU</v>
      </c>
      <c r="N43" s="24" t="str">
        <f t="shared" si="10"/>
        <v>MI</v>
      </c>
      <c r="O43" s="29" t="str">
        <f>IF(ISERROR(IF(VLOOKUP($N43,CODE!$K:$P,CODE!$O$1,FALSE)="",$M43,$M43&amp;"-"&amp;VLOOKUP($N43,CODE!$K:$P,CODE!$O$1,FALSE)))=TRUE,"",IF(VLOOKUP($N43,CODE!$K:$P,CODE!$O$1,FALSE)="",$M43,$M43&amp;"-"&amp;VLOOKUP($N43,CODE!$K:$P,CODE!$O$1,FALSE)))</f>
        <v>HCU</v>
      </c>
      <c r="P43" s="29" t="str">
        <f t="shared" si="11"/>
        <v>성인</v>
      </c>
      <c r="Q43" s="29" t="str">
        <f t="shared" si="12"/>
        <v>HCUMIF3210</v>
      </c>
      <c r="R43" s="1" t="s">
        <v>854</v>
      </c>
      <c r="S43" s="1" t="s">
        <v>14</v>
      </c>
      <c r="T43" s="26">
        <v>3000</v>
      </c>
      <c r="U43" s="26">
        <v>159000000</v>
      </c>
      <c r="V43" s="26">
        <v>23261640.000000004</v>
      </c>
      <c r="W43" s="26">
        <v>6.2138978397677249</v>
      </c>
      <c r="X43" s="26">
        <v>3000</v>
      </c>
      <c r="Y43" s="26">
        <v>0</v>
      </c>
    </row>
    <row r="44" spans="1:25">
      <c r="A44" s="24" t="str">
        <f t="shared" si="4"/>
        <v>러닝</v>
      </c>
      <c r="B44" s="24" t="str">
        <f>IF(COUNTIF(R$1:R43,R44)=0,"최초","리오더")</f>
        <v>최초</v>
      </c>
      <c r="C44" s="24" t="str">
        <f t="shared" si="5"/>
        <v>HCUMIF3302</v>
      </c>
      <c r="D44" s="24">
        <f t="shared" si="0"/>
        <v>1</v>
      </c>
      <c r="E44" s="24" t="str">
        <f t="shared" si="6"/>
        <v/>
      </c>
      <c r="F44" s="24">
        <f t="shared" si="1"/>
        <v>0</v>
      </c>
      <c r="G44" s="24" t="str">
        <f t="shared" si="7"/>
        <v>HCUMIF3302BK</v>
      </c>
      <c r="H44" s="24">
        <f t="shared" si="2"/>
        <v>1</v>
      </c>
      <c r="I44" s="24" t="str">
        <f t="shared" si="8"/>
        <v/>
      </c>
      <c r="J44" s="24">
        <f t="shared" si="3"/>
        <v>0</v>
      </c>
      <c r="K44" s="24" t="str">
        <f t="shared" si="9"/>
        <v>F3</v>
      </c>
      <c r="L44" s="24" t="str">
        <f>VLOOKUP(N44,CODE!K:P,CODE!$P$1,FALSE)</f>
        <v>모자</v>
      </c>
      <c r="M44" s="24" t="str">
        <f>VLOOKUP(MID(R44,1,3),CODE!$B:$G,CODE!D$1,FALSE)</f>
        <v>HCU</v>
      </c>
      <c r="N44" s="24" t="str">
        <f t="shared" si="10"/>
        <v>MI</v>
      </c>
      <c r="O44" s="29" t="str">
        <f>IF(ISERROR(IF(VLOOKUP($N44,CODE!$K:$P,CODE!$O$1,FALSE)="",$M44,$M44&amp;"-"&amp;VLOOKUP($N44,CODE!$K:$P,CODE!$O$1,FALSE)))=TRUE,"",IF(VLOOKUP($N44,CODE!$K:$P,CODE!$O$1,FALSE)="",$M44,$M44&amp;"-"&amp;VLOOKUP($N44,CODE!$K:$P,CODE!$O$1,FALSE)))</f>
        <v>HCU</v>
      </c>
      <c r="P44" s="29" t="str">
        <f t="shared" si="11"/>
        <v>성인</v>
      </c>
      <c r="Q44" s="29" t="str">
        <f t="shared" si="12"/>
        <v>HCUMIF3302</v>
      </c>
      <c r="R44" s="1" t="s">
        <v>855</v>
      </c>
      <c r="S44" s="1" t="s">
        <v>14</v>
      </c>
      <c r="T44" s="26">
        <v>1000</v>
      </c>
      <c r="U44" s="26">
        <v>35000000</v>
      </c>
      <c r="V44" s="26">
        <v>5009600</v>
      </c>
      <c r="W44" s="26">
        <v>6.3514415957724806</v>
      </c>
      <c r="X44" s="26">
        <v>999</v>
      </c>
      <c r="Y44" s="26">
        <v>0</v>
      </c>
    </row>
    <row r="45" spans="1:25">
      <c r="A45" s="24" t="str">
        <f t="shared" si="4"/>
        <v>러닝</v>
      </c>
      <c r="B45" s="24" t="str">
        <f>IF(COUNTIF(R$1:R44,R45)=0,"최초","리오더")</f>
        <v>최초</v>
      </c>
      <c r="C45" s="24" t="str">
        <f t="shared" si="5"/>
        <v>HCUMIF3306</v>
      </c>
      <c r="D45" s="24">
        <f t="shared" si="0"/>
        <v>0.5</v>
      </c>
      <c r="E45" s="24" t="str">
        <f t="shared" si="6"/>
        <v/>
      </c>
      <c r="F45" s="24">
        <f t="shared" si="1"/>
        <v>0</v>
      </c>
      <c r="G45" s="24" t="str">
        <f t="shared" si="7"/>
        <v>HCUMIF3306BK</v>
      </c>
      <c r="H45" s="24">
        <f t="shared" si="2"/>
        <v>1</v>
      </c>
      <c r="I45" s="24" t="str">
        <f t="shared" si="8"/>
        <v/>
      </c>
      <c r="J45" s="24">
        <f t="shared" si="3"/>
        <v>0</v>
      </c>
      <c r="K45" s="24" t="str">
        <f t="shared" si="9"/>
        <v>F3</v>
      </c>
      <c r="L45" s="24" t="str">
        <f>VLOOKUP(N45,CODE!K:P,CODE!$P$1,FALSE)</f>
        <v>모자</v>
      </c>
      <c r="M45" s="24" t="str">
        <f>VLOOKUP(MID(R45,1,3),CODE!$B:$G,CODE!D$1,FALSE)</f>
        <v>HCU</v>
      </c>
      <c r="N45" s="24" t="str">
        <f t="shared" si="10"/>
        <v>MI</v>
      </c>
      <c r="O45" s="29" t="str">
        <f>IF(ISERROR(IF(VLOOKUP($N45,CODE!$K:$P,CODE!$O$1,FALSE)="",$M45,$M45&amp;"-"&amp;VLOOKUP($N45,CODE!$K:$P,CODE!$O$1,FALSE)))=TRUE,"",IF(VLOOKUP($N45,CODE!$K:$P,CODE!$O$1,FALSE)="",$M45,$M45&amp;"-"&amp;VLOOKUP($N45,CODE!$K:$P,CODE!$O$1,FALSE)))</f>
        <v>HCU</v>
      </c>
      <c r="P45" s="29" t="str">
        <f t="shared" si="11"/>
        <v>성인</v>
      </c>
      <c r="Q45" s="29" t="str">
        <f t="shared" si="12"/>
        <v>HCUMIF3306</v>
      </c>
      <c r="R45" s="1" t="s">
        <v>856</v>
      </c>
      <c r="S45" s="1" t="s">
        <v>14</v>
      </c>
      <c r="T45" s="26">
        <v>1500</v>
      </c>
      <c r="U45" s="26">
        <v>82500000</v>
      </c>
      <c r="V45" s="26">
        <v>9385500</v>
      </c>
      <c r="W45" s="26">
        <v>7.9910500239731501</v>
      </c>
      <c r="X45" s="26">
        <v>1507</v>
      </c>
      <c r="Y45" s="26">
        <v>0</v>
      </c>
    </row>
    <row r="46" spans="1:25">
      <c r="A46" s="24" t="str">
        <f t="shared" si="4"/>
        <v>러닝</v>
      </c>
      <c r="B46" s="24" t="str">
        <f>IF(COUNTIF(R$1:R45,R46)=0,"최초","리오더")</f>
        <v>최초</v>
      </c>
      <c r="C46" s="24" t="str">
        <f t="shared" si="5"/>
        <v>HCUMIF3306</v>
      </c>
      <c r="D46" s="24">
        <f t="shared" si="0"/>
        <v>0.5</v>
      </c>
      <c r="E46" s="24" t="str">
        <f t="shared" si="6"/>
        <v/>
      </c>
      <c r="F46" s="24">
        <f t="shared" si="1"/>
        <v>0</v>
      </c>
      <c r="G46" s="24" t="str">
        <f t="shared" si="7"/>
        <v>HCUMIF3306KH</v>
      </c>
      <c r="H46" s="24">
        <f t="shared" si="2"/>
        <v>1</v>
      </c>
      <c r="I46" s="24" t="str">
        <f t="shared" si="8"/>
        <v/>
      </c>
      <c r="J46" s="24">
        <f t="shared" si="3"/>
        <v>0</v>
      </c>
      <c r="K46" s="24" t="str">
        <f t="shared" si="9"/>
        <v>F3</v>
      </c>
      <c r="L46" s="24" t="str">
        <f>VLOOKUP(N46,CODE!K:P,CODE!$P$1,FALSE)</f>
        <v>모자</v>
      </c>
      <c r="M46" s="24" t="str">
        <f>VLOOKUP(MID(R46,1,3),CODE!$B:$G,CODE!D$1,FALSE)</f>
        <v>HCU</v>
      </c>
      <c r="N46" s="24" t="str">
        <f t="shared" si="10"/>
        <v>MI</v>
      </c>
      <c r="O46" s="29" t="str">
        <f>IF(ISERROR(IF(VLOOKUP($N46,CODE!$K:$P,CODE!$O$1,FALSE)="",$M46,$M46&amp;"-"&amp;VLOOKUP($N46,CODE!$K:$P,CODE!$O$1,FALSE)))=TRUE,"",IF(VLOOKUP($N46,CODE!$K:$P,CODE!$O$1,FALSE)="",$M46,$M46&amp;"-"&amp;VLOOKUP($N46,CODE!$K:$P,CODE!$O$1,FALSE)))</f>
        <v>HCU</v>
      </c>
      <c r="P46" s="29" t="str">
        <f t="shared" si="11"/>
        <v>성인</v>
      </c>
      <c r="Q46" s="29" t="str">
        <f t="shared" si="12"/>
        <v>HCUMIF3306</v>
      </c>
      <c r="R46" s="1" t="s">
        <v>857</v>
      </c>
      <c r="S46" s="1" t="s">
        <v>14</v>
      </c>
      <c r="T46" s="26">
        <v>1500</v>
      </c>
      <c r="U46" s="26">
        <v>82500000</v>
      </c>
      <c r="V46" s="26">
        <v>9385500</v>
      </c>
      <c r="W46" s="26">
        <v>7.9910500239731501</v>
      </c>
      <c r="X46" s="26">
        <v>1502</v>
      </c>
      <c r="Y46" s="26">
        <v>0</v>
      </c>
    </row>
    <row r="47" spans="1:25">
      <c r="A47" s="24" t="str">
        <f t="shared" si="4"/>
        <v>러닝</v>
      </c>
      <c r="B47" s="24" t="str">
        <f>IF(COUNTIF(R$1:R46,R47)=0,"최초","리오더")</f>
        <v>최초</v>
      </c>
      <c r="C47" s="24" t="str">
        <f t="shared" si="5"/>
        <v>HCUMIF3307</v>
      </c>
      <c r="D47" s="24">
        <f t="shared" si="0"/>
        <v>1</v>
      </c>
      <c r="E47" s="24" t="str">
        <f t="shared" si="6"/>
        <v/>
      </c>
      <c r="F47" s="24">
        <f t="shared" si="1"/>
        <v>0</v>
      </c>
      <c r="G47" s="24" t="str">
        <f t="shared" si="7"/>
        <v>HCUMIF3307GY</v>
      </c>
      <c r="H47" s="24">
        <f t="shared" si="2"/>
        <v>1</v>
      </c>
      <c r="I47" s="24" t="str">
        <f t="shared" si="8"/>
        <v/>
      </c>
      <c r="J47" s="24">
        <f t="shared" si="3"/>
        <v>0</v>
      </c>
      <c r="K47" s="24" t="str">
        <f t="shared" si="9"/>
        <v>F3</v>
      </c>
      <c r="L47" s="24" t="str">
        <f>VLOOKUP(N47,CODE!K:P,CODE!$P$1,FALSE)</f>
        <v>모자</v>
      </c>
      <c r="M47" s="24" t="str">
        <f>VLOOKUP(MID(R47,1,3),CODE!$B:$G,CODE!D$1,FALSE)</f>
        <v>HCU</v>
      </c>
      <c r="N47" s="24" t="str">
        <f t="shared" si="10"/>
        <v>MI</v>
      </c>
      <c r="O47" s="29" t="str">
        <f>IF(ISERROR(IF(VLOOKUP($N47,CODE!$K:$P,CODE!$O$1,FALSE)="",$M47,$M47&amp;"-"&amp;VLOOKUP($N47,CODE!$K:$P,CODE!$O$1,FALSE)))=TRUE,"",IF(VLOOKUP($N47,CODE!$K:$P,CODE!$O$1,FALSE)="",$M47,$M47&amp;"-"&amp;VLOOKUP($N47,CODE!$K:$P,CODE!$O$1,FALSE)))</f>
        <v>HCU</v>
      </c>
      <c r="P47" s="29" t="str">
        <f t="shared" si="11"/>
        <v>성인</v>
      </c>
      <c r="Q47" s="29" t="str">
        <f t="shared" si="12"/>
        <v>HCUMIF3307</v>
      </c>
      <c r="R47" s="1" t="s">
        <v>858</v>
      </c>
      <c r="S47" s="1" t="s">
        <v>14</v>
      </c>
      <c r="T47" s="26">
        <v>1500</v>
      </c>
      <c r="U47" s="26">
        <v>82500000</v>
      </c>
      <c r="V47" s="26">
        <v>9385500</v>
      </c>
      <c r="W47" s="26">
        <v>7.9910500239731501</v>
      </c>
      <c r="X47" s="26">
        <v>1504</v>
      </c>
      <c r="Y47" s="26">
        <v>0</v>
      </c>
    </row>
    <row r="48" spans="1:25">
      <c r="A48" s="24" t="str">
        <f t="shared" si="4"/>
        <v>러닝</v>
      </c>
      <c r="B48" s="24" t="str">
        <f>IF(COUNTIF(R$1:R47,R48)=0,"최초","리오더")</f>
        <v>최초</v>
      </c>
      <c r="C48" s="24" t="str">
        <f t="shared" si="5"/>
        <v>SMBFIF3634</v>
      </c>
      <c r="D48" s="24">
        <f t="shared" si="0"/>
        <v>1</v>
      </c>
      <c r="E48" s="24" t="str">
        <f t="shared" si="6"/>
        <v/>
      </c>
      <c r="F48" s="24">
        <f t="shared" si="1"/>
        <v>0</v>
      </c>
      <c r="G48" s="24" t="str">
        <f t="shared" si="7"/>
        <v>SMBFIF3634RE</v>
      </c>
      <c r="H48" s="24">
        <f t="shared" si="2"/>
        <v>1</v>
      </c>
      <c r="I48" s="24" t="str">
        <f t="shared" si="8"/>
        <v/>
      </c>
      <c r="J48" s="24">
        <f t="shared" si="3"/>
        <v>0</v>
      </c>
      <c r="K48" s="24" t="str">
        <f t="shared" si="9"/>
        <v>F3</v>
      </c>
      <c r="L48" s="24" t="str">
        <f>VLOOKUP(N48,CODE!K:P,CODE!$P$1,FALSE)</f>
        <v>모자</v>
      </c>
      <c r="M48" s="24" t="str">
        <f>VLOOKUP(MID(R48,1,3),CODE!$B:$G,CODE!D$1,FALSE)</f>
        <v>SMB</v>
      </c>
      <c r="N48" s="24" t="str">
        <f t="shared" si="10"/>
        <v>FI</v>
      </c>
      <c r="O48" s="29" t="str">
        <f>IF(ISERROR(IF(VLOOKUP($N48,CODE!$K:$P,CODE!$O$1,FALSE)="",$M48,$M48&amp;"-"&amp;VLOOKUP($N48,CODE!$K:$P,CODE!$O$1,FALSE)))=TRUE,"",IF(VLOOKUP($N48,CODE!$K:$P,CODE!$O$1,FALSE)="",$M48,$M48&amp;"-"&amp;VLOOKUP($N48,CODE!$K:$P,CODE!$O$1,FALSE)))</f>
        <v>SMB</v>
      </c>
      <c r="P48" s="29" t="str">
        <f t="shared" si="11"/>
        <v>키즈</v>
      </c>
      <c r="Q48" s="29" t="str">
        <f t="shared" si="12"/>
        <v>SMBFIF3634</v>
      </c>
      <c r="R48" s="1" t="s">
        <v>859</v>
      </c>
      <c r="S48" s="1" t="s">
        <v>14</v>
      </c>
      <c r="T48" s="26">
        <v>3000</v>
      </c>
      <c r="U48" s="26">
        <v>165000000</v>
      </c>
      <c r="V48" s="26">
        <v>23916750.000000004</v>
      </c>
      <c r="W48" s="26">
        <v>6.2717551506789153</v>
      </c>
      <c r="X48" s="26">
        <v>3000</v>
      </c>
      <c r="Y48" s="26">
        <v>0</v>
      </c>
    </row>
    <row r="49" spans="1:25">
      <c r="A49" s="24" t="str">
        <f t="shared" si="4"/>
        <v>러닝</v>
      </c>
      <c r="B49" s="24" t="str">
        <f>IF(COUNTIF(R$1:R48,R49)=0,"최초","리오더")</f>
        <v>최초</v>
      </c>
      <c r="C49" s="24" t="str">
        <f t="shared" si="5"/>
        <v>VBLBAF3103</v>
      </c>
      <c r="D49" s="24">
        <f t="shared" si="0"/>
        <v>1</v>
      </c>
      <c r="E49" s="24" t="str">
        <f t="shared" si="6"/>
        <v/>
      </c>
      <c r="F49" s="24">
        <f t="shared" si="1"/>
        <v>0</v>
      </c>
      <c r="G49" s="24" t="str">
        <f t="shared" si="7"/>
        <v>VBLBAF3103BK</v>
      </c>
      <c r="H49" s="24">
        <f t="shared" si="2"/>
        <v>1</v>
      </c>
      <c r="I49" s="24" t="str">
        <f t="shared" si="8"/>
        <v/>
      </c>
      <c r="J49" s="24">
        <f t="shared" si="3"/>
        <v>0</v>
      </c>
      <c r="K49" s="24" t="str">
        <f t="shared" si="9"/>
        <v>F3</v>
      </c>
      <c r="L49" s="24" t="str">
        <f>VLOOKUP(N49,CODE!K:P,CODE!$P$1,FALSE)</f>
        <v>모자</v>
      </c>
      <c r="M49" s="24" t="str">
        <f>VLOOKUP(MID(R49,1,3),CODE!$B:$G,CODE!D$1,FALSE)</f>
        <v>VBL</v>
      </c>
      <c r="N49" s="24" t="str">
        <f t="shared" si="10"/>
        <v>BA</v>
      </c>
      <c r="O49" s="29" t="str">
        <f>IF(ISERROR(IF(VLOOKUP($N49,CODE!$K:$P,CODE!$O$1,FALSE)="",$M49,$M49&amp;"-"&amp;VLOOKUP($N49,CODE!$K:$P,CODE!$O$1,FALSE)))=TRUE,"",IF(VLOOKUP($N49,CODE!$K:$P,CODE!$O$1,FALSE)="",$M49,$M49&amp;"-"&amp;VLOOKUP($N49,CODE!$K:$P,CODE!$O$1,FALSE)))</f>
        <v>VBL</v>
      </c>
      <c r="P49" s="29" t="str">
        <f t="shared" si="11"/>
        <v>성인</v>
      </c>
      <c r="Q49" s="29" t="str">
        <f t="shared" si="12"/>
        <v>VBLBAF3103</v>
      </c>
      <c r="R49" s="1" t="s">
        <v>860</v>
      </c>
      <c r="S49" s="1" t="s">
        <v>14</v>
      </c>
      <c r="T49" s="26">
        <v>1500</v>
      </c>
      <c r="U49" s="26">
        <v>82500000</v>
      </c>
      <c r="V49" s="26">
        <v>6017520</v>
      </c>
      <c r="W49" s="26">
        <v>12.463606269692496</v>
      </c>
      <c r="X49" s="26">
        <v>1500</v>
      </c>
      <c r="Y49" s="26">
        <v>0</v>
      </c>
    </row>
    <row r="50" spans="1:25">
      <c r="A50" s="24" t="str">
        <f t="shared" si="4"/>
        <v>러닝</v>
      </c>
      <c r="B50" s="24" t="str">
        <f>IF(COUNTIF(R$1:R49,R50)=0,"최초","리오더")</f>
        <v>최초</v>
      </c>
      <c r="C50" s="24" t="str">
        <f t="shared" si="5"/>
        <v>ELSTPF5321</v>
      </c>
      <c r="D50" s="24">
        <f t="shared" si="0"/>
        <v>1</v>
      </c>
      <c r="E50" s="24" t="str">
        <f t="shared" si="6"/>
        <v/>
      </c>
      <c r="F50" s="24">
        <f t="shared" si="1"/>
        <v>0</v>
      </c>
      <c r="G50" s="24" t="str">
        <f t="shared" si="7"/>
        <v>ELSTPF5321MT</v>
      </c>
      <c r="H50" s="24">
        <f t="shared" si="2"/>
        <v>1</v>
      </c>
      <c r="I50" s="24" t="str">
        <f t="shared" si="8"/>
        <v/>
      </c>
      <c r="J50" s="24">
        <f t="shared" si="3"/>
        <v>0</v>
      </c>
      <c r="K50" s="24" t="str">
        <f t="shared" si="9"/>
        <v>F5</v>
      </c>
      <c r="L50" s="24" t="str">
        <f>VLOOKUP(N50,CODE!K:P,CODE!$P$1,FALSE)</f>
        <v>모자</v>
      </c>
      <c r="M50" s="24" t="str">
        <f>VLOOKUP(MID(R50,1,3),CODE!$B:$G,CODE!D$1,FALSE)</f>
        <v>ELS</v>
      </c>
      <c r="N50" s="24" t="str">
        <f t="shared" si="10"/>
        <v>TP</v>
      </c>
      <c r="O50" s="29" t="str">
        <f>IF(ISERROR(IF(VLOOKUP($N50,CODE!$K:$P,CODE!$O$1,FALSE)="",$M50,$M50&amp;"-"&amp;VLOOKUP($N50,CODE!$K:$P,CODE!$O$1,FALSE)))=TRUE,"",IF(VLOOKUP($N50,CODE!$K:$P,CODE!$O$1,FALSE)="",$M50,$M50&amp;"-"&amp;VLOOKUP($N50,CODE!$K:$P,CODE!$O$1,FALSE)))</f>
        <v>ELS</v>
      </c>
      <c r="P50" s="29" t="str">
        <f t="shared" si="11"/>
        <v>성인</v>
      </c>
      <c r="Q50" s="29" t="str">
        <f t="shared" si="12"/>
        <v>ELSTPF5321</v>
      </c>
      <c r="R50" s="1" t="s">
        <v>861</v>
      </c>
      <c r="S50" s="1" t="s">
        <v>14</v>
      </c>
      <c r="T50" s="26">
        <v>1000</v>
      </c>
      <c r="U50" s="26">
        <v>49000000</v>
      </c>
      <c r="V50" s="26">
        <v>6822780.0000000009</v>
      </c>
      <c r="W50" s="26">
        <v>6.5289302227910815</v>
      </c>
      <c r="X50" s="26">
        <v>1000</v>
      </c>
      <c r="Y50" s="26">
        <v>0</v>
      </c>
    </row>
    <row r="51" spans="1:25">
      <c r="A51" s="24" t="str">
        <f t="shared" si="4"/>
        <v>러닝</v>
      </c>
      <c r="B51" s="24" t="str">
        <f>IF(COUNTIF(R$1:R50,R51)=0,"최초","리오더")</f>
        <v>최초</v>
      </c>
      <c r="C51" s="24" t="str">
        <f t="shared" si="5"/>
        <v>ELSTPF5821</v>
      </c>
      <c r="D51" s="24">
        <f t="shared" si="0"/>
        <v>1</v>
      </c>
      <c r="E51" s="24" t="str">
        <f t="shared" si="6"/>
        <v/>
      </c>
      <c r="F51" s="24">
        <f t="shared" si="1"/>
        <v>0</v>
      </c>
      <c r="G51" s="24" t="str">
        <f t="shared" si="7"/>
        <v>ELSTPF5821MT</v>
      </c>
      <c r="H51" s="24">
        <f t="shared" si="2"/>
        <v>1</v>
      </c>
      <c r="I51" s="24" t="str">
        <f t="shared" si="8"/>
        <v/>
      </c>
      <c r="J51" s="24">
        <f t="shared" si="3"/>
        <v>0</v>
      </c>
      <c r="K51" s="24" t="str">
        <f t="shared" si="9"/>
        <v>F5</v>
      </c>
      <c r="L51" s="24" t="str">
        <f>VLOOKUP(N51,CODE!K:P,CODE!$P$1,FALSE)</f>
        <v>모자</v>
      </c>
      <c r="M51" s="24" t="str">
        <f>VLOOKUP(MID(R51,1,3),CODE!$B:$G,CODE!D$1,FALSE)</f>
        <v>ELS</v>
      </c>
      <c r="N51" s="24" t="str">
        <f t="shared" si="10"/>
        <v>TP</v>
      </c>
      <c r="O51" s="29" t="str">
        <f>IF(ISERROR(IF(VLOOKUP($N51,CODE!$K:$P,CODE!$O$1,FALSE)="",$M51,$M51&amp;"-"&amp;VLOOKUP($N51,CODE!$K:$P,CODE!$O$1,FALSE)))=TRUE,"",IF(VLOOKUP($N51,CODE!$K:$P,CODE!$O$1,FALSE)="",$M51,$M51&amp;"-"&amp;VLOOKUP($N51,CODE!$K:$P,CODE!$O$1,FALSE)))</f>
        <v>ELS</v>
      </c>
      <c r="P51" s="29" t="str">
        <f t="shared" si="11"/>
        <v>키즈</v>
      </c>
      <c r="Q51" s="29" t="str">
        <f t="shared" si="12"/>
        <v>ELSTPF5821</v>
      </c>
      <c r="R51" s="1" t="s">
        <v>862</v>
      </c>
      <c r="S51" s="1" t="s">
        <v>14</v>
      </c>
      <c r="T51" s="26">
        <v>2000</v>
      </c>
      <c r="U51" s="26">
        <v>90000000</v>
      </c>
      <c r="V51" s="26">
        <v>13076080</v>
      </c>
      <c r="W51" s="26">
        <v>6.2570878901155247</v>
      </c>
      <c r="X51" s="26">
        <v>2000</v>
      </c>
      <c r="Y51" s="26">
        <v>0</v>
      </c>
    </row>
    <row r="52" spans="1:25">
      <c r="A52" s="24" t="str">
        <f t="shared" si="4"/>
        <v>러닝</v>
      </c>
      <c r="B52" s="24" t="str">
        <f>IF(COUNTIF(R$1:R51,R52)=0,"최초","리오더")</f>
        <v>최초</v>
      </c>
      <c r="C52" s="24" t="str">
        <f t="shared" si="5"/>
        <v>ELSTPF5301</v>
      </c>
      <c r="D52" s="24">
        <f t="shared" si="0"/>
        <v>1</v>
      </c>
      <c r="E52" s="24" t="str">
        <f t="shared" si="6"/>
        <v/>
      </c>
      <c r="F52" s="24">
        <f t="shared" si="1"/>
        <v>0</v>
      </c>
      <c r="G52" s="24" t="str">
        <f t="shared" si="7"/>
        <v>ELSTPF5301NY</v>
      </c>
      <c r="H52" s="24">
        <f t="shared" si="2"/>
        <v>1</v>
      </c>
      <c r="I52" s="24" t="str">
        <f t="shared" si="8"/>
        <v/>
      </c>
      <c r="J52" s="24">
        <f t="shared" si="3"/>
        <v>0</v>
      </c>
      <c r="K52" s="24" t="str">
        <f t="shared" si="9"/>
        <v>F5</v>
      </c>
      <c r="L52" s="24" t="str">
        <f>VLOOKUP(N52,CODE!K:P,CODE!$P$1,FALSE)</f>
        <v>모자</v>
      </c>
      <c r="M52" s="24" t="str">
        <f>VLOOKUP(MID(R52,1,3),CODE!$B:$G,CODE!D$1,FALSE)</f>
        <v>ELS</v>
      </c>
      <c r="N52" s="24" t="str">
        <f t="shared" si="10"/>
        <v>TP</v>
      </c>
      <c r="O52" s="29" t="str">
        <f>IF(ISERROR(IF(VLOOKUP($N52,CODE!$K:$P,CODE!$O$1,FALSE)="",$M52,$M52&amp;"-"&amp;VLOOKUP($N52,CODE!$K:$P,CODE!$O$1,FALSE)))=TRUE,"",IF(VLOOKUP($N52,CODE!$K:$P,CODE!$O$1,FALSE)="",$M52,$M52&amp;"-"&amp;VLOOKUP($N52,CODE!$K:$P,CODE!$O$1,FALSE)))</f>
        <v>ELS</v>
      </c>
      <c r="P52" s="29" t="str">
        <f t="shared" si="11"/>
        <v>성인</v>
      </c>
      <c r="Q52" s="29" t="str">
        <f t="shared" si="12"/>
        <v>ELSTPF5301</v>
      </c>
      <c r="R52" s="1" t="s">
        <v>863</v>
      </c>
      <c r="S52" s="1" t="s">
        <v>14</v>
      </c>
      <c r="T52" s="26">
        <v>2000</v>
      </c>
      <c r="U52" s="26">
        <v>118000000</v>
      </c>
      <c r="V52" s="26">
        <v>16979480.000000004</v>
      </c>
      <c r="W52" s="26">
        <v>6.3177863675876544</v>
      </c>
      <c r="X52" s="26">
        <v>2000</v>
      </c>
      <c r="Y52" s="26">
        <v>0</v>
      </c>
    </row>
    <row r="53" spans="1:25">
      <c r="A53" s="24" t="str">
        <f t="shared" si="4"/>
        <v>러닝</v>
      </c>
      <c r="B53" s="24" t="str">
        <f>IF(COUNTIF(R$1:R52,R53)=0,"최초","리오더")</f>
        <v>최초</v>
      </c>
      <c r="C53" s="24" t="str">
        <f t="shared" si="5"/>
        <v>ELSTPF5801</v>
      </c>
      <c r="D53" s="24">
        <f t="shared" si="0"/>
        <v>1</v>
      </c>
      <c r="E53" s="24" t="str">
        <f t="shared" si="6"/>
        <v/>
      </c>
      <c r="F53" s="24">
        <f t="shared" si="1"/>
        <v>0</v>
      </c>
      <c r="G53" s="24" t="str">
        <f t="shared" si="7"/>
        <v>ELSTPF5801NY</v>
      </c>
      <c r="H53" s="24">
        <f t="shared" si="2"/>
        <v>1</v>
      </c>
      <c r="I53" s="24" t="str">
        <f t="shared" si="8"/>
        <v/>
      </c>
      <c r="J53" s="24">
        <f t="shared" si="3"/>
        <v>0</v>
      </c>
      <c r="K53" s="24" t="str">
        <f t="shared" si="9"/>
        <v>F5</v>
      </c>
      <c r="L53" s="24" t="str">
        <f>VLOOKUP(N53,CODE!K:P,CODE!$P$1,FALSE)</f>
        <v>모자</v>
      </c>
      <c r="M53" s="24" t="str">
        <f>VLOOKUP(MID(R53,1,3),CODE!$B:$G,CODE!D$1,FALSE)</f>
        <v>ELS</v>
      </c>
      <c r="N53" s="24" t="str">
        <f t="shared" si="10"/>
        <v>TP</v>
      </c>
      <c r="O53" s="29" t="str">
        <f>IF(ISERROR(IF(VLOOKUP($N53,CODE!$K:$P,CODE!$O$1,FALSE)="",$M53,$M53&amp;"-"&amp;VLOOKUP($N53,CODE!$K:$P,CODE!$O$1,FALSE)))=TRUE,"",IF(VLOOKUP($N53,CODE!$K:$P,CODE!$O$1,FALSE)="",$M53,$M53&amp;"-"&amp;VLOOKUP($N53,CODE!$K:$P,CODE!$O$1,FALSE)))</f>
        <v>ELS</v>
      </c>
      <c r="P53" s="29" t="str">
        <f t="shared" si="11"/>
        <v>키즈</v>
      </c>
      <c r="Q53" s="29" t="str">
        <f t="shared" si="12"/>
        <v>ELSTPF5801</v>
      </c>
      <c r="R53" s="1" t="s">
        <v>864</v>
      </c>
      <c r="S53" s="1" t="s">
        <v>14</v>
      </c>
      <c r="T53" s="26">
        <v>2000</v>
      </c>
      <c r="U53" s="26">
        <v>110000000</v>
      </c>
      <c r="V53" s="26">
        <v>16196000</v>
      </c>
      <c r="W53" s="26">
        <v>6.1743640405038285</v>
      </c>
      <c r="X53" s="26">
        <v>2000</v>
      </c>
      <c r="Y53" s="26">
        <v>0</v>
      </c>
    </row>
    <row r="54" spans="1:25">
      <c r="A54" s="24" t="str">
        <f t="shared" si="4"/>
        <v>러닝</v>
      </c>
      <c r="B54" s="24" t="str">
        <f>IF(COUNTIF(R$1:R53,R54)=0,"최초","리오더")</f>
        <v>최초</v>
      </c>
      <c r="C54" s="24" t="str">
        <f t="shared" si="5"/>
        <v>JOIEBF5803</v>
      </c>
      <c r="D54" s="24">
        <f t="shared" si="0"/>
        <v>1</v>
      </c>
      <c r="E54" s="24" t="str">
        <f t="shared" si="6"/>
        <v/>
      </c>
      <c r="F54" s="24">
        <f t="shared" si="1"/>
        <v>0</v>
      </c>
      <c r="G54" s="24" t="str">
        <f t="shared" si="7"/>
        <v>JOIEBF5803BL</v>
      </c>
      <c r="H54" s="24">
        <f t="shared" si="2"/>
        <v>1</v>
      </c>
      <c r="I54" s="24" t="str">
        <f t="shared" si="8"/>
        <v/>
      </c>
      <c r="J54" s="24">
        <f t="shared" si="3"/>
        <v>0</v>
      </c>
      <c r="K54" s="24" t="str">
        <f t="shared" si="9"/>
        <v>F5</v>
      </c>
      <c r="L54" s="24" t="str">
        <f>VLOOKUP(N54,CODE!K:P,CODE!$P$1,FALSE)</f>
        <v>모자</v>
      </c>
      <c r="M54" s="24" t="str">
        <f>VLOOKUP(MID(R54,1,3),CODE!$B:$G,CODE!D$1,FALSE)</f>
        <v>JOI</v>
      </c>
      <c r="N54" s="24" t="str">
        <f t="shared" si="10"/>
        <v>EB</v>
      </c>
      <c r="O54" s="29" t="str">
        <f>IF(ISERROR(IF(VLOOKUP($N54,CODE!$K:$P,CODE!$O$1,FALSE)="",$M54,$M54&amp;"-"&amp;VLOOKUP($N54,CODE!$K:$P,CODE!$O$1,FALSE)))=TRUE,"",IF(VLOOKUP($N54,CODE!$K:$P,CODE!$O$1,FALSE)="",$M54,$M54&amp;"-"&amp;VLOOKUP($N54,CODE!$K:$P,CODE!$O$1,FALSE)))</f>
        <v>JOI</v>
      </c>
      <c r="P54" s="29" t="str">
        <f t="shared" si="11"/>
        <v>키즈</v>
      </c>
      <c r="Q54" s="29" t="str">
        <f t="shared" si="12"/>
        <v>JOIEBF5803</v>
      </c>
      <c r="R54" s="1" t="s">
        <v>865</v>
      </c>
      <c r="S54" s="1" t="s">
        <v>14</v>
      </c>
      <c r="T54" s="26">
        <v>1500</v>
      </c>
      <c r="U54" s="26">
        <v>82500000</v>
      </c>
      <c r="V54" s="26">
        <v>13484145.000000004</v>
      </c>
      <c r="W54" s="26">
        <v>5.5620879188113133</v>
      </c>
      <c r="X54" s="26">
        <v>1500</v>
      </c>
      <c r="Y54" s="26">
        <v>0</v>
      </c>
    </row>
    <row r="55" spans="1:25">
      <c r="A55" s="24" t="str">
        <f t="shared" si="4"/>
        <v>러닝</v>
      </c>
      <c r="B55" s="24" t="str">
        <f>IF(COUNTIF(R$1:R54,R55)=0,"최초","리오더")</f>
        <v>최초</v>
      </c>
      <c r="C55" s="24" t="str">
        <f t="shared" si="5"/>
        <v>JOIEBF5804</v>
      </c>
      <c r="D55" s="24">
        <f t="shared" si="0"/>
        <v>1</v>
      </c>
      <c r="E55" s="24" t="str">
        <f t="shared" si="6"/>
        <v/>
      </c>
      <c r="F55" s="24">
        <f t="shared" si="1"/>
        <v>0</v>
      </c>
      <c r="G55" s="24" t="str">
        <f t="shared" si="7"/>
        <v>JOIEBF5804RE</v>
      </c>
      <c r="H55" s="24">
        <f t="shared" si="2"/>
        <v>1</v>
      </c>
      <c r="I55" s="24" t="str">
        <f t="shared" si="8"/>
        <v/>
      </c>
      <c r="J55" s="24">
        <f t="shared" si="3"/>
        <v>0</v>
      </c>
      <c r="K55" s="24" t="str">
        <f t="shared" si="9"/>
        <v>F5</v>
      </c>
      <c r="L55" s="24" t="str">
        <f>VLOOKUP(N55,CODE!K:P,CODE!$P$1,FALSE)</f>
        <v>모자</v>
      </c>
      <c r="M55" s="24" t="str">
        <f>VLOOKUP(MID(R55,1,3),CODE!$B:$G,CODE!D$1,FALSE)</f>
        <v>JOI</v>
      </c>
      <c r="N55" s="24" t="str">
        <f t="shared" si="10"/>
        <v>EB</v>
      </c>
      <c r="O55" s="29" t="str">
        <f>IF(ISERROR(IF(VLOOKUP($N55,CODE!$K:$P,CODE!$O$1,FALSE)="",$M55,$M55&amp;"-"&amp;VLOOKUP($N55,CODE!$K:$P,CODE!$O$1,FALSE)))=TRUE,"",IF(VLOOKUP($N55,CODE!$K:$P,CODE!$O$1,FALSE)="",$M55,$M55&amp;"-"&amp;VLOOKUP($N55,CODE!$K:$P,CODE!$O$1,FALSE)))</f>
        <v>JOI</v>
      </c>
      <c r="P55" s="29" t="str">
        <f t="shared" si="11"/>
        <v>키즈</v>
      </c>
      <c r="Q55" s="29" t="str">
        <f t="shared" si="12"/>
        <v>JOIEBF5804</v>
      </c>
      <c r="R55" s="1" t="s">
        <v>866</v>
      </c>
      <c r="S55" s="1" t="s">
        <v>14</v>
      </c>
      <c r="T55" s="26">
        <v>1500</v>
      </c>
      <c r="U55" s="26">
        <v>82500000</v>
      </c>
      <c r="V55" s="26">
        <v>13203480</v>
      </c>
      <c r="W55" s="26">
        <v>5.6803206427396402</v>
      </c>
      <c r="X55" s="26">
        <v>1498</v>
      </c>
      <c r="Y55" s="26">
        <v>0</v>
      </c>
    </row>
    <row r="56" spans="1:25">
      <c r="A56" s="24" t="str">
        <f t="shared" si="4"/>
        <v>러닝</v>
      </c>
      <c r="B56" s="24" t="str">
        <f>IF(COUNTIF(R$1:R55,R56)=0,"최초","리오더")</f>
        <v>최초</v>
      </c>
      <c r="C56" s="24" t="str">
        <f t="shared" si="5"/>
        <v>JOIVBF5806</v>
      </c>
      <c r="D56" s="24">
        <f t="shared" si="0"/>
        <v>0.5</v>
      </c>
      <c r="E56" s="24" t="str">
        <f t="shared" si="6"/>
        <v/>
      </c>
      <c r="F56" s="24">
        <f t="shared" si="1"/>
        <v>0</v>
      </c>
      <c r="G56" s="24" t="str">
        <f t="shared" si="7"/>
        <v>JOIVBF5806NY</v>
      </c>
      <c r="H56" s="24">
        <f t="shared" si="2"/>
        <v>1</v>
      </c>
      <c r="I56" s="24" t="str">
        <f t="shared" si="8"/>
        <v/>
      </c>
      <c r="J56" s="24">
        <f t="shared" si="3"/>
        <v>0</v>
      </c>
      <c r="K56" s="24" t="str">
        <f t="shared" si="9"/>
        <v>F5</v>
      </c>
      <c r="L56" s="24" t="str">
        <f>VLOOKUP(N56,CODE!K:P,CODE!$P$1,FALSE)</f>
        <v>모자</v>
      </c>
      <c r="M56" s="24" t="str">
        <f>VLOOKUP(MID(R56,1,3),CODE!$B:$G,CODE!D$1,FALSE)</f>
        <v>JOI</v>
      </c>
      <c r="N56" s="24" t="str">
        <f t="shared" si="10"/>
        <v>VB</v>
      </c>
      <c r="O56" s="29" t="str">
        <f>IF(ISERROR(IF(VLOOKUP($N56,CODE!$K:$P,CODE!$O$1,FALSE)="",$M56,$M56&amp;"-"&amp;VLOOKUP($N56,CODE!$K:$P,CODE!$O$1,FALSE)))=TRUE,"",IF(VLOOKUP($N56,CODE!$K:$P,CODE!$O$1,FALSE)="",$M56,$M56&amp;"-"&amp;VLOOKUP($N56,CODE!$K:$P,CODE!$O$1,FALSE)))</f>
        <v>JOI</v>
      </c>
      <c r="P56" s="29" t="str">
        <f t="shared" si="11"/>
        <v>키즈</v>
      </c>
      <c r="Q56" s="29" t="str">
        <f t="shared" si="12"/>
        <v>JOIVBF5806</v>
      </c>
      <c r="R56" s="1" t="s">
        <v>867</v>
      </c>
      <c r="S56" s="1" t="s">
        <v>14</v>
      </c>
      <c r="T56" s="26">
        <v>1500</v>
      </c>
      <c r="U56" s="26">
        <v>82500000</v>
      </c>
      <c r="V56" s="26">
        <v>15074579.999999998</v>
      </c>
      <c r="W56" s="26">
        <v>4.9752629924017784</v>
      </c>
      <c r="X56" s="26">
        <v>1491</v>
      </c>
      <c r="Y56" s="26">
        <v>0</v>
      </c>
    </row>
    <row r="57" spans="1:25">
      <c r="A57" s="24" t="str">
        <f t="shared" si="4"/>
        <v>러닝</v>
      </c>
      <c r="B57" s="24" t="str">
        <f>IF(COUNTIF(R$1:R56,R57)=0,"최초","리오더")</f>
        <v>최초</v>
      </c>
      <c r="C57" s="24" t="str">
        <f t="shared" si="5"/>
        <v>JOIVBF5806</v>
      </c>
      <c r="D57" s="24">
        <f t="shared" si="0"/>
        <v>0.5</v>
      </c>
      <c r="E57" s="24" t="str">
        <f t="shared" si="6"/>
        <v/>
      </c>
      <c r="F57" s="24">
        <f t="shared" si="1"/>
        <v>0</v>
      </c>
      <c r="G57" s="24" t="str">
        <f t="shared" si="7"/>
        <v>JOIVBF5806PK</v>
      </c>
      <c r="H57" s="24">
        <f t="shared" si="2"/>
        <v>1</v>
      </c>
      <c r="I57" s="24" t="str">
        <f t="shared" si="8"/>
        <v/>
      </c>
      <c r="J57" s="24">
        <f t="shared" si="3"/>
        <v>0</v>
      </c>
      <c r="K57" s="24" t="str">
        <f t="shared" si="9"/>
        <v>F5</v>
      </c>
      <c r="L57" s="24" t="str">
        <f>VLOOKUP(N57,CODE!K:P,CODE!$P$1,FALSE)</f>
        <v>모자</v>
      </c>
      <c r="M57" s="24" t="str">
        <f>VLOOKUP(MID(R57,1,3),CODE!$B:$G,CODE!D$1,FALSE)</f>
        <v>JOI</v>
      </c>
      <c r="N57" s="24" t="str">
        <f t="shared" si="10"/>
        <v>VB</v>
      </c>
      <c r="O57" s="29" t="str">
        <f>IF(ISERROR(IF(VLOOKUP($N57,CODE!$K:$P,CODE!$O$1,FALSE)="",$M57,$M57&amp;"-"&amp;VLOOKUP($N57,CODE!$K:$P,CODE!$O$1,FALSE)))=TRUE,"",IF(VLOOKUP($N57,CODE!$K:$P,CODE!$O$1,FALSE)="",$M57,$M57&amp;"-"&amp;VLOOKUP($N57,CODE!$K:$P,CODE!$O$1,FALSE)))</f>
        <v>JOI</v>
      </c>
      <c r="P57" s="29" t="str">
        <f t="shared" si="11"/>
        <v>키즈</v>
      </c>
      <c r="Q57" s="29" t="str">
        <f t="shared" si="12"/>
        <v>JOIVBF5806</v>
      </c>
      <c r="R57" s="1" t="s">
        <v>868</v>
      </c>
      <c r="S57" s="1" t="s">
        <v>14</v>
      </c>
      <c r="T57" s="26">
        <v>1500</v>
      </c>
      <c r="U57" s="26">
        <v>82500000</v>
      </c>
      <c r="V57" s="26">
        <v>15074579.999999998</v>
      </c>
      <c r="W57" s="26">
        <v>4.9752629924017784</v>
      </c>
      <c r="X57" s="26">
        <v>1492</v>
      </c>
      <c r="Y57" s="26">
        <v>0</v>
      </c>
    </row>
    <row r="58" spans="1:25">
      <c r="A58" s="24" t="str">
        <f t="shared" si="4"/>
        <v>러닝</v>
      </c>
      <c r="B58" s="24" t="str">
        <f>IF(COUNTIF(R$1:R57,R58)=0,"최초","리오더")</f>
        <v>최초</v>
      </c>
      <c r="C58" s="24" t="str">
        <f t="shared" si="5"/>
        <v>VBLBAF5113</v>
      </c>
      <c r="D58" s="24">
        <f t="shared" si="0"/>
        <v>1</v>
      </c>
      <c r="E58" s="24" t="str">
        <f t="shared" si="6"/>
        <v/>
      </c>
      <c r="F58" s="24">
        <f t="shared" si="1"/>
        <v>0</v>
      </c>
      <c r="G58" s="24" t="str">
        <f t="shared" si="7"/>
        <v>VBLBAF5113RE</v>
      </c>
      <c r="H58" s="24">
        <f t="shared" si="2"/>
        <v>1</v>
      </c>
      <c r="I58" s="24" t="str">
        <f t="shared" si="8"/>
        <v/>
      </c>
      <c r="J58" s="24">
        <f t="shared" si="3"/>
        <v>0</v>
      </c>
      <c r="K58" s="24" t="str">
        <f t="shared" si="9"/>
        <v>F5</v>
      </c>
      <c r="L58" s="24" t="str">
        <f>VLOOKUP(N58,CODE!K:P,CODE!$P$1,FALSE)</f>
        <v>모자</v>
      </c>
      <c r="M58" s="24" t="str">
        <f>VLOOKUP(MID(R58,1,3),CODE!$B:$G,CODE!D$1,FALSE)</f>
        <v>VBL</v>
      </c>
      <c r="N58" s="24" t="str">
        <f t="shared" si="10"/>
        <v>BA</v>
      </c>
      <c r="O58" s="29" t="str">
        <f>IF(ISERROR(IF(VLOOKUP($N58,CODE!$K:$P,CODE!$O$1,FALSE)="",$M58,$M58&amp;"-"&amp;VLOOKUP($N58,CODE!$K:$P,CODE!$O$1,FALSE)))=TRUE,"",IF(VLOOKUP($N58,CODE!$K:$P,CODE!$O$1,FALSE)="",$M58,$M58&amp;"-"&amp;VLOOKUP($N58,CODE!$K:$P,CODE!$O$1,FALSE)))</f>
        <v>VBL</v>
      </c>
      <c r="P58" s="29" t="str">
        <f t="shared" si="11"/>
        <v>성인</v>
      </c>
      <c r="Q58" s="29" t="str">
        <f t="shared" si="12"/>
        <v>VBLBAF5113</v>
      </c>
      <c r="R58" s="1" t="s">
        <v>869</v>
      </c>
      <c r="S58" s="1" t="s">
        <v>14</v>
      </c>
      <c r="T58" s="26">
        <v>2500</v>
      </c>
      <c r="U58" s="26">
        <v>137500000</v>
      </c>
      <c r="V58" s="26">
        <v>11699575</v>
      </c>
      <c r="W58" s="26">
        <v>10.684148783182293</v>
      </c>
      <c r="X58" s="26">
        <v>2498</v>
      </c>
      <c r="Y58" s="26">
        <v>0</v>
      </c>
    </row>
    <row r="59" spans="1:25">
      <c r="A59" s="24" t="str">
        <f t="shared" si="4"/>
        <v>러닝</v>
      </c>
      <c r="B59" s="24" t="str">
        <f>IF(COUNTIF(R$1:R58,R59)=0,"최초","리오더")</f>
        <v>최초</v>
      </c>
      <c r="C59" s="24" t="str">
        <f t="shared" si="5"/>
        <v>VBLERF5315</v>
      </c>
      <c r="D59" s="24">
        <f t="shared" si="0"/>
        <v>1</v>
      </c>
      <c r="E59" s="24" t="str">
        <f t="shared" si="6"/>
        <v/>
      </c>
      <c r="F59" s="24">
        <f t="shared" si="1"/>
        <v>0</v>
      </c>
      <c r="G59" s="24" t="str">
        <f t="shared" si="7"/>
        <v>VBLERF5315GY</v>
      </c>
      <c r="H59" s="24">
        <f t="shared" si="2"/>
        <v>1</v>
      </c>
      <c r="I59" s="24" t="str">
        <f t="shared" si="8"/>
        <v/>
      </c>
      <c r="J59" s="24">
        <f t="shared" si="3"/>
        <v>0</v>
      </c>
      <c r="K59" s="24" t="str">
        <f t="shared" si="9"/>
        <v>F5</v>
      </c>
      <c r="L59" s="24" t="str">
        <f>VLOOKUP(N59,CODE!K:P,CODE!$P$1,FALSE)</f>
        <v>모자</v>
      </c>
      <c r="M59" s="24" t="str">
        <f>VLOOKUP(MID(R59,1,3),CODE!$B:$G,CODE!D$1,FALSE)</f>
        <v>VBL</v>
      </c>
      <c r="N59" s="24" t="str">
        <f t="shared" si="10"/>
        <v>ER</v>
      </c>
      <c r="O59" s="29" t="str">
        <f>IF(ISERROR(IF(VLOOKUP($N59,CODE!$K:$P,CODE!$O$1,FALSE)="",$M59,$M59&amp;"-"&amp;VLOOKUP($N59,CODE!$K:$P,CODE!$O$1,FALSE)))=TRUE,"",IF(VLOOKUP($N59,CODE!$K:$P,CODE!$O$1,FALSE)="",$M59,$M59&amp;"-"&amp;VLOOKUP($N59,CODE!$K:$P,CODE!$O$1,FALSE)))</f>
        <v>VBL</v>
      </c>
      <c r="P59" s="29" t="str">
        <f t="shared" si="11"/>
        <v>성인</v>
      </c>
      <c r="Q59" s="29" t="str">
        <f t="shared" si="12"/>
        <v>VBLERF5315</v>
      </c>
      <c r="R59" s="1" t="s">
        <v>870</v>
      </c>
      <c r="S59" s="1" t="s">
        <v>14</v>
      </c>
      <c r="T59" s="26">
        <v>1500</v>
      </c>
      <c r="U59" s="26">
        <v>88500000</v>
      </c>
      <c r="V59" s="26">
        <v>8741295.0000000019</v>
      </c>
      <c r="W59" s="26">
        <v>9.2039618219663595</v>
      </c>
      <c r="X59" s="26">
        <v>1498</v>
      </c>
      <c r="Y59" s="26">
        <v>0</v>
      </c>
    </row>
    <row r="60" spans="1:25">
      <c r="A60" s="24" t="str">
        <f t="shared" si="4"/>
        <v>러닝</v>
      </c>
      <c r="B60" s="24" t="str">
        <f>IF(COUNTIF(R$1:R59,R60)=0,"최초","리오더")</f>
        <v>최초</v>
      </c>
      <c r="C60" s="24" t="str">
        <f t="shared" si="5"/>
        <v>WTRMIF5301</v>
      </c>
      <c r="D60" s="24">
        <f t="shared" si="0"/>
        <v>1</v>
      </c>
      <c r="E60" s="24" t="str">
        <f t="shared" si="6"/>
        <v/>
      </c>
      <c r="F60" s="24">
        <f t="shared" si="1"/>
        <v>0</v>
      </c>
      <c r="G60" s="24" t="str">
        <f t="shared" si="7"/>
        <v>WTRMIF5301GY</v>
      </c>
      <c r="H60" s="24">
        <f t="shared" si="2"/>
        <v>1</v>
      </c>
      <c r="I60" s="24" t="str">
        <f t="shared" si="8"/>
        <v/>
      </c>
      <c r="J60" s="24">
        <f t="shared" si="3"/>
        <v>0</v>
      </c>
      <c r="K60" s="24" t="str">
        <f t="shared" si="9"/>
        <v>F5</v>
      </c>
      <c r="L60" s="24" t="str">
        <f>VLOOKUP(N60,CODE!K:P,CODE!$P$1,FALSE)</f>
        <v>모자</v>
      </c>
      <c r="M60" s="24" t="str">
        <f>VLOOKUP(MID(R60,1,3),CODE!$B:$G,CODE!D$1,FALSE)</f>
        <v>WTR</v>
      </c>
      <c r="N60" s="24" t="str">
        <f t="shared" si="10"/>
        <v>MI</v>
      </c>
      <c r="O60" s="29" t="str">
        <f>IF(ISERROR(IF(VLOOKUP($N60,CODE!$K:$P,CODE!$O$1,FALSE)="",$M60,$M60&amp;"-"&amp;VLOOKUP($N60,CODE!$K:$P,CODE!$O$1,FALSE)))=TRUE,"",IF(VLOOKUP($N60,CODE!$K:$P,CODE!$O$1,FALSE)="",$M60,$M60&amp;"-"&amp;VLOOKUP($N60,CODE!$K:$P,CODE!$O$1,FALSE)))</f>
        <v>WTR</v>
      </c>
      <c r="P60" s="29" t="str">
        <f t="shared" si="11"/>
        <v>성인</v>
      </c>
      <c r="Q60" s="29" t="str">
        <f t="shared" si="12"/>
        <v>WTRMIF5301</v>
      </c>
      <c r="R60" s="1" t="s">
        <v>871</v>
      </c>
      <c r="S60" s="1" t="s">
        <v>14</v>
      </c>
      <c r="T60" s="26">
        <v>1500</v>
      </c>
      <c r="U60" s="26">
        <v>73500000</v>
      </c>
      <c r="V60" s="26">
        <v>12422160</v>
      </c>
      <c r="W60" s="26">
        <v>5.3789503450431981</v>
      </c>
      <c r="X60" s="26">
        <v>1496</v>
      </c>
      <c r="Y60" s="26">
        <v>0</v>
      </c>
    </row>
    <row r="61" spans="1:25">
      <c r="A61" s="24" t="str">
        <f t="shared" si="4"/>
        <v>러닝</v>
      </c>
      <c r="B61" s="24" t="str">
        <f>IF(COUNTIF(R$1:R60,R61)=0,"최초","리오더")</f>
        <v>최초</v>
      </c>
      <c r="C61" s="24" t="str">
        <f t="shared" si="5"/>
        <v>WTRMIF5302</v>
      </c>
      <c r="D61" s="24">
        <f t="shared" si="0"/>
        <v>1</v>
      </c>
      <c r="E61" s="24" t="str">
        <f t="shared" si="6"/>
        <v/>
      </c>
      <c r="F61" s="24">
        <f t="shared" si="1"/>
        <v>0</v>
      </c>
      <c r="G61" s="24" t="str">
        <f t="shared" si="7"/>
        <v>WTRMIF5302GY</v>
      </c>
      <c r="H61" s="24">
        <f t="shared" si="2"/>
        <v>1</v>
      </c>
      <c r="I61" s="24" t="str">
        <f t="shared" si="8"/>
        <v/>
      </c>
      <c r="J61" s="24">
        <f t="shared" si="3"/>
        <v>0</v>
      </c>
      <c r="K61" s="24" t="str">
        <f t="shared" si="9"/>
        <v>F5</v>
      </c>
      <c r="L61" s="24" t="str">
        <f>VLOOKUP(N61,CODE!K:P,CODE!$P$1,FALSE)</f>
        <v>모자</v>
      </c>
      <c r="M61" s="24" t="str">
        <f>VLOOKUP(MID(R61,1,3),CODE!$B:$G,CODE!D$1,FALSE)</f>
        <v>WTR</v>
      </c>
      <c r="N61" s="24" t="str">
        <f t="shared" si="10"/>
        <v>MI</v>
      </c>
      <c r="O61" s="29" t="str">
        <f>IF(ISERROR(IF(VLOOKUP($N61,CODE!$K:$P,CODE!$O$1,FALSE)="",$M61,$M61&amp;"-"&amp;VLOOKUP($N61,CODE!$K:$P,CODE!$O$1,FALSE)))=TRUE,"",IF(VLOOKUP($N61,CODE!$K:$P,CODE!$O$1,FALSE)="",$M61,$M61&amp;"-"&amp;VLOOKUP($N61,CODE!$K:$P,CODE!$O$1,FALSE)))</f>
        <v>WTR</v>
      </c>
      <c r="P61" s="29" t="str">
        <f t="shared" si="11"/>
        <v>성인</v>
      </c>
      <c r="Q61" s="29" t="str">
        <f t="shared" si="12"/>
        <v>WTRMIF5302</v>
      </c>
      <c r="R61" s="1" t="s">
        <v>872</v>
      </c>
      <c r="S61" s="1" t="s">
        <v>14</v>
      </c>
      <c r="T61" s="26">
        <v>1500</v>
      </c>
      <c r="U61" s="26">
        <v>73500000</v>
      </c>
      <c r="V61" s="26">
        <v>12548160</v>
      </c>
      <c r="W61" s="26">
        <v>5.324938621931965</v>
      </c>
      <c r="X61" s="26">
        <v>1496</v>
      </c>
      <c r="Y61" s="26">
        <v>0</v>
      </c>
    </row>
    <row r="62" spans="1:25">
      <c r="A62" s="24" t="str">
        <f t="shared" si="4"/>
        <v>러닝</v>
      </c>
      <c r="B62" s="24" t="str">
        <f>IF(COUNTIF(R$1:R61,R62)=0,"최초","리오더")</f>
        <v>최초</v>
      </c>
      <c r="C62" s="24" t="str">
        <f t="shared" si="5"/>
        <v>WTRTPF5305</v>
      </c>
      <c r="D62" s="24">
        <f t="shared" si="0"/>
        <v>1</v>
      </c>
      <c r="E62" s="24" t="str">
        <f t="shared" si="6"/>
        <v/>
      </c>
      <c r="F62" s="24">
        <f t="shared" si="1"/>
        <v>0</v>
      </c>
      <c r="G62" s="24" t="str">
        <f t="shared" si="7"/>
        <v>WTRTPF5305GY</v>
      </c>
      <c r="H62" s="24">
        <f t="shared" si="2"/>
        <v>1</v>
      </c>
      <c r="I62" s="24" t="str">
        <f t="shared" si="8"/>
        <v/>
      </c>
      <c r="J62" s="24">
        <f t="shared" si="3"/>
        <v>0</v>
      </c>
      <c r="K62" s="24" t="str">
        <f t="shared" si="9"/>
        <v>F5</v>
      </c>
      <c r="L62" s="24" t="str">
        <f>VLOOKUP(N62,CODE!K:P,CODE!$P$1,FALSE)</f>
        <v>모자</v>
      </c>
      <c r="M62" s="24" t="str">
        <f>VLOOKUP(MID(R62,1,3),CODE!$B:$G,CODE!D$1,FALSE)</f>
        <v>WTR</v>
      </c>
      <c r="N62" s="24" t="str">
        <f t="shared" si="10"/>
        <v>TP</v>
      </c>
      <c r="O62" s="29" t="str">
        <f>IF(ISERROR(IF(VLOOKUP($N62,CODE!$K:$P,CODE!$O$1,FALSE)="",$M62,$M62&amp;"-"&amp;VLOOKUP($N62,CODE!$K:$P,CODE!$O$1,FALSE)))=TRUE,"",IF(VLOOKUP($N62,CODE!$K:$P,CODE!$O$1,FALSE)="",$M62,$M62&amp;"-"&amp;VLOOKUP($N62,CODE!$K:$P,CODE!$O$1,FALSE)))</f>
        <v>WTR</v>
      </c>
      <c r="P62" s="29" t="str">
        <f t="shared" si="11"/>
        <v>성인</v>
      </c>
      <c r="Q62" s="29" t="str">
        <f t="shared" si="12"/>
        <v>WTRTPF5305</v>
      </c>
      <c r="R62" s="1" t="s">
        <v>873</v>
      </c>
      <c r="S62" s="1" t="s">
        <v>14</v>
      </c>
      <c r="T62" s="26">
        <v>1000</v>
      </c>
      <c r="U62" s="26">
        <v>79000000</v>
      </c>
      <c r="V62" s="26">
        <v>14555760</v>
      </c>
      <c r="W62" s="26">
        <v>4.9340042579832186</v>
      </c>
      <c r="X62" s="26">
        <v>969</v>
      </c>
      <c r="Y62" s="26">
        <v>0</v>
      </c>
    </row>
    <row r="63" spans="1:25">
      <c r="A63" s="24" t="str">
        <f t="shared" si="4"/>
        <v>신규</v>
      </c>
      <c r="B63" s="24" t="str">
        <f>IF(COUNTIF(R$1:R62,R63)=0,"최초","리오더")</f>
        <v>최초</v>
      </c>
      <c r="C63" s="24" t="str">
        <f t="shared" si="5"/>
        <v>MGMSNF3001</v>
      </c>
      <c r="D63" s="24">
        <f t="shared" si="0"/>
        <v>1</v>
      </c>
      <c r="E63" s="24" t="str">
        <f t="shared" si="6"/>
        <v/>
      </c>
      <c r="F63" s="24">
        <f t="shared" si="1"/>
        <v>0</v>
      </c>
      <c r="G63" s="24" t="str">
        <f t="shared" si="7"/>
        <v>MGMSNF3001BK</v>
      </c>
      <c r="H63" s="24">
        <f t="shared" si="2"/>
        <v>1</v>
      </c>
      <c r="I63" s="24" t="str">
        <f t="shared" si="8"/>
        <v/>
      </c>
      <c r="J63" s="24">
        <f t="shared" si="3"/>
        <v>0</v>
      </c>
      <c r="K63" s="24" t="str">
        <f t="shared" si="9"/>
        <v>F3</v>
      </c>
      <c r="L63" s="24" t="str">
        <f>VLOOKUP(N63,CODE!K:P,CODE!$P$1,FALSE)</f>
        <v>모자</v>
      </c>
      <c r="M63" s="24" t="str">
        <f>VLOOKUP(MID(R63,1,3),CODE!$B:$G,CODE!D$1,FALSE)</f>
        <v>MGM</v>
      </c>
      <c r="N63" s="24" t="str">
        <f t="shared" si="10"/>
        <v>SN</v>
      </c>
      <c r="O63" s="29" t="str">
        <f>IF(ISERROR(IF(VLOOKUP($N63,CODE!$K:$P,CODE!$O$1,FALSE)="",$M63,$M63&amp;"-"&amp;VLOOKUP($N63,CODE!$K:$P,CODE!$O$1,FALSE)))=TRUE,"",IF(VLOOKUP($N63,CODE!$K:$P,CODE!$O$1,FALSE)="",$M63,$M63&amp;"-"&amp;VLOOKUP($N63,CODE!$K:$P,CODE!$O$1,FALSE)))</f>
        <v>MGM</v>
      </c>
      <c r="P63" s="29" t="str">
        <f t="shared" si="11"/>
        <v>성인</v>
      </c>
      <c r="Q63" s="29" t="str">
        <f t="shared" si="12"/>
        <v>MGMSNF3001</v>
      </c>
      <c r="R63" s="1" t="s">
        <v>874</v>
      </c>
      <c r="S63" s="1" t="s">
        <v>14</v>
      </c>
      <c r="T63" s="26">
        <v>1500</v>
      </c>
      <c r="U63" s="26">
        <v>67500000</v>
      </c>
      <c r="V63" s="26">
        <v>11467500</v>
      </c>
      <c r="W63" s="26">
        <v>5.351091028004042</v>
      </c>
      <c r="X63" s="26">
        <v>1479</v>
      </c>
      <c r="Y63" s="26">
        <v>0</v>
      </c>
    </row>
    <row r="64" spans="1:25">
      <c r="A64" s="24" t="str">
        <f t="shared" si="4"/>
        <v>신규</v>
      </c>
      <c r="B64" s="24" t="str">
        <f>IF(COUNTIF(R$1:R63,R64)=0,"최초","리오더")</f>
        <v>최초</v>
      </c>
      <c r="C64" s="24" t="str">
        <f t="shared" si="5"/>
        <v>MGMSNF3002</v>
      </c>
      <c r="D64" s="24">
        <f t="shared" si="0"/>
        <v>1</v>
      </c>
      <c r="E64" s="24" t="str">
        <f t="shared" si="6"/>
        <v/>
      </c>
      <c r="F64" s="24">
        <f t="shared" si="1"/>
        <v>0</v>
      </c>
      <c r="G64" s="24" t="str">
        <f t="shared" si="7"/>
        <v>MGMSNF3002BK</v>
      </c>
      <c r="H64" s="24">
        <f t="shared" si="2"/>
        <v>1</v>
      </c>
      <c r="I64" s="24" t="str">
        <f t="shared" si="8"/>
        <v/>
      </c>
      <c r="J64" s="24">
        <f t="shared" si="3"/>
        <v>0</v>
      </c>
      <c r="K64" s="24" t="str">
        <f t="shared" si="9"/>
        <v>F3</v>
      </c>
      <c r="L64" s="24" t="str">
        <f>VLOOKUP(N64,CODE!K:P,CODE!$P$1,FALSE)</f>
        <v>모자</v>
      </c>
      <c r="M64" s="24" t="str">
        <f>VLOOKUP(MID(R64,1,3),CODE!$B:$G,CODE!D$1,FALSE)</f>
        <v>MGM</v>
      </c>
      <c r="N64" s="24" t="str">
        <f t="shared" si="10"/>
        <v>SN</v>
      </c>
      <c r="O64" s="29" t="str">
        <f>IF(ISERROR(IF(VLOOKUP($N64,CODE!$K:$P,CODE!$O$1,FALSE)="",$M64,$M64&amp;"-"&amp;VLOOKUP($N64,CODE!$K:$P,CODE!$O$1,FALSE)))=TRUE,"",IF(VLOOKUP($N64,CODE!$K:$P,CODE!$O$1,FALSE)="",$M64,$M64&amp;"-"&amp;VLOOKUP($N64,CODE!$K:$P,CODE!$O$1,FALSE)))</f>
        <v>MGM</v>
      </c>
      <c r="P64" s="29" t="str">
        <f t="shared" si="11"/>
        <v>성인</v>
      </c>
      <c r="Q64" s="29" t="str">
        <f t="shared" si="12"/>
        <v>MGMSNF3002</v>
      </c>
      <c r="R64" s="1" t="s">
        <v>875</v>
      </c>
      <c r="S64" s="1" t="s">
        <v>14</v>
      </c>
      <c r="T64" s="26">
        <v>1500</v>
      </c>
      <c r="U64" s="26">
        <v>67500000</v>
      </c>
      <c r="V64" s="26">
        <v>10972500</v>
      </c>
      <c r="W64" s="26">
        <v>5.5924936307711421</v>
      </c>
      <c r="X64" s="26">
        <v>1500</v>
      </c>
      <c r="Y64" s="26">
        <v>0</v>
      </c>
    </row>
    <row r="65" spans="1:25">
      <c r="A65" s="24" t="str">
        <f t="shared" si="4"/>
        <v>신규</v>
      </c>
      <c r="B65" s="24" t="str">
        <f>IF(COUNTIF(R$1:R64,R65)=0,"최초","리오더")</f>
        <v>최초</v>
      </c>
      <c r="C65" s="24" t="str">
        <f t="shared" si="5"/>
        <v>MGMSNF3003</v>
      </c>
      <c r="D65" s="24">
        <f t="shared" si="0"/>
        <v>1</v>
      </c>
      <c r="E65" s="24" t="str">
        <f t="shared" si="6"/>
        <v/>
      </c>
      <c r="F65" s="24">
        <f t="shared" si="1"/>
        <v>0</v>
      </c>
      <c r="G65" s="24" t="str">
        <f t="shared" si="7"/>
        <v>MGMSNF3003WH</v>
      </c>
      <c r="H65" s="24">
        <f t="shared" si="2"/>
        <v>1</v>
      </c>
      <c r="I65" s="24" t="str">
        <f t="shared" si="8"/>
        <v/>
      </c>
      <c r="J65" s="24">
        <f t="shared" si="3"/>
        <v>0</v>
      </c>
      <c r="K65" s="24" t="str">
        <f t="shared" si="9"/>
        <v>F3</v>
      </c>
      <c r="L65" s="24" t="str">
        <f>VLOOKUP(N65,CODE!K:P,CODE!$P$1,FALSE)</f>
        <v>모자</v>
      </c>
      <c r="M65" s="24" t="str">
        <f>VLOOKUP(MID(R65,1,3),CODE!$B:$G,CODE!D$1,FALSE)</f>
        <v>MGM</v>
      </c>
      <c r="N65" s="24" t="str">
        <f t="shared" si="10"/>
        <v>SN</v>
      </c>
      <c r="O65" s="29" t="str">
        <f>IF(ISERROR(IF(VLOOKUP($N65,CODE!$K:$P,CODE!$O$1,FALSE)="",$M65,$M65&amp;"-"&amp;VLOOKUP($N65,CODE!$K:$P,CODE!$O$1,FALSE)))=TRUE,"",IF(VLOOKUP($N65,CODE!$K:$P,CODE!$O$1,FALSE)="",$M65,$M65&amp;"-"&amp;VLOOKUP($N65,CODE!$K:$P,CODE!$O$1,FALSE)))</f>
        <v>MGM</v>
      </c>
      <c r="P65" s="29" t="str">
        <f t="shared" si="11"/>
        <v>성인</v>
      </c>
      <c r="Q65" s="29" t="str">
        <f t="shared" si="12"/>
        <v>MGMSNF3003</v>
      </c>
      <c r="R65" s="1" t="s">
        <v>876</v>
      </c>
      <c r="S65" s="1" t="s">
        <v>14</v>
      </c>
      <c r="T65" s="26">
        <v>1000</v>
      </c>
      <c r="U65" s="26">
        <v>45000000</v>
      </c>
      <c r="V65" s="26">
        <v>7095000</v>
      </c>
      <c r="W65" s="26">
        <v>5.7659042859888521</v>
      </c>
      <c r="X65" s="26">
        <v>1001</v>
      </c>
      <c r="Y65" s="26">
        <v>0</v>
      </c>
    </row>
    <row r="66" spans="1:25">
      <c r="A66" s="24" t="str">
        <f t="shared" si="4"/>
        <v>신규</v>
      </c>
      <c r="B66" s="81" t="s">
        <v>809</v>
      </c>
      <c r="C66" s="24" t="str">
        <f t="shared" si="5"/>
        <v>MGMSNF3004</v>
      </c>
      <c r="D66" s="24">
        <f t="shared" ref="D66:D129" si="13">IF(C66="",0,1/COUNTIF(C:C,C66))</f>
        <v>1</v>
      </c>
      <c r="E66" s="24" t="str">
        <f t="shared" si="6"/>
        <v/>
      </c>
      <c r="F66" s="24">
        <f t="shared" ref="F66:F129" si="14">IF(E66="",0,1/COUNTIF(E:E,E66))</f>
        <v>0</v>
      </c>
      <c r="G66" s="24" t="str">
        <f t="shared" si="7"/>
        <v>MGMSNF3004GY</v>
      </c>
      <c r="H66" s="24">
        <f t="shared" ref="H66:H129" si="15">IF(G66="",0,1/COUNTIF(G:G,G66))</f>
        <v>1</v>
      </c>
      <c r="I66" s="24" t="str">
        <f t="shared" si="8"/>
        <v/>
      </c>
      <c r="J66" s="24">
        <f t="shared" ref="J66:J129" si="16">IF(I66="",0,1/COUNTIF(I:I,I66))</f>
        <v>0</v>
      </c>
      <c r="K66" s="24" t="str">
        <f t="shared" si="9"/>
        <v>F3</v>
      </c>
      <c r="L66" s="24" t="str">
        <f>VLOOKUP(N66,CODE!K:P,CODE!$P$1,FALSE)</f>
        <v>모자</v>
      </c>
      <c r="M66" s="24" t="str">
        <f>VLOOKUP(MID(R66,1,3),CODE!$B:$G,CODE!D$1,FALSE)</f>
        <v>MGM</v>
      </c>
      <c r="N66" s="24" t="str">
        <f t="shared" si="10"/>
        <v>SN</v>
      </c>
      <c r="O66" s="29" t="str">
        <f>IF(ISERROR(IF(VLOOKUP($N66,CODE!$K:$P,CODE!$O$1,FALSE)="",$M66,$M66&amp;"-"&amp;VLOOKUP($N66,CODE!$K:$P,CODE!$O$1,FALSE)))=TRUE,"",IF(VLOOKUP($N66,CODE!$K:$P,CODE!$O$1,FALSE)="",$M66,$M66&amp;"-"&amp;VLOOKUP($N66,CODE!$K:$P,CODE!$O$1,FALSE)))</f>
        <v>MGM</v>
      </c>
      <c r="P66" s="29" t="str">
        <f t="shared" si="11"/>
        <v>성인</v>
      </c>
      <c r="Q66" s="29" t="str">
        <f t="shared" si="12"/>
        <v>MGMSNF3004</v>
      </c>
      <c r="R66" s="1" t="s">
        <v>877</v>
      </c>
      <c r="S66" s="1" t="s">
        <v>14</v>
      </c>
      <c r="T66" s="26">
        <v>1200</v>
      </c>
      <c r="U66" s="26">
        <v>54000000</v>
      </c>
      <c r="V66" s="26">
        <v>8514000</v>
      </c>
      <c r="W66" s="26">
        <v>5.765904285988853</v>
      </c>
      <c r="X66" s="26">
        <v>1188</v>
      </c>
      <c r="Y66" s="26">
        <v>0</v>
      </c>
    </row>
    <row r="67" spans="1:25">
      <c r="A67" s="24" t="str">
        <f t="shared" ref="A67:A130" si="17">IF(OR(MID(R67,8,1)="0",MID(R67,8,1)="5"),"신규","러닝")</f>
        <v>신규</v>
      </c>
      <c r="B67" s="24" t="str">
        <f>IF(COUNTIF(R$1:R66,R67)=0,"최초","리오더")</f>
        <v>최초</v>
      </c>
      <c r="C67" s="24" t="str">
        <f t="shared" ref="C67:C130" si="18">IF($B67="리오더","",Q67)</f>
        <v>MGMSNF3005</v>
      </c>
      <c r="D67" s="24">
        <f t="shared" si="13"/>
        <v>1</v>
      </c>
      <c r="E67" s="24" t="str">
        <f t="shared" ref="E67:E130" si="19">IF($B67="리오더",Q67,"")</f>
        <v/>
      </c>
      <c r="F67" s="24">
        <f t="shared" si="14"/>
        <v>0</v>
      </c>
      <c r="G67" s="24" t="str">
        <f t="shared" ref="G67:G130" si="20">IF($B67="리오더","",R67)</f>
        <v>MGMSNF3005BG</v>
      </c>
      <c r="H67" s="24">
        <f t="shared" si="15"/>
        <v>1</v>
      </c>
      <c r="I67" s="24" t="str">
        <f t="shared" ref="I67:I130" si="21">IF($B67="리오더",R67,"")</f>
        <v/>
      </c>
      <c r="J67" s="24">
        <f t="shared" si="16"/>
        <v>0</v>
      </c>
      <c r="K67" s="24" t="str">
        <f t="shared" ref="K67:K130" si="22">MID(R67,6,2)</f>
        <v>F3</v>
      </c>
      <c r="L67" s="24" t="str">
        <f>VLOOKUP(N67,CODE!K:P,CODE!$P$1,FALSE)</f>
        <v>모자</v>
      </c>
      <c r="M67" s="24" t="str">
        <f>VLOOKUP(MID(R67,1,3),CODE!$B:$G,CODE!D$1,FALSE)</f>
        <v>MGM</v>
      </c>
      <c r="N67" s="24" t="str">
        <f t="shared" ref="N67:N130" si="23">MID(R67,4,2)</f>
        <v>SN</v>
      </c>
      <c r="O67" s="29" t="str">
        <f>IF(ISERROR(IF(VLOOKUP($N67,CODE!$K:$P,CODE!$O$1,FALSE)="",$M67,$M67&amp;"-"&amp;VLOOKUP($N67,CODE!$K:$P,CODE!$O$1,FALSE)))=TRUE,"",IF(VLOOKUP($N67,CODE!$K:$P,CODE!$O$1,FALSE)="",$M67,$M67&amp;"-"&amp;VLOOKUP($N67,CODE!$K:$P,CODE!$O$1,FALSE)))</f>
        <v>MGM</v>
      </c>
      <c r="P67" s="29" t="str">
        <f t="shared" ref="P67:P130" si="24">IF(OR(MID(R67,8,1)="0",MID(R67,8,1)="1",MID(R67,8,1)="2",MID(R67,8,1)="3",MID(R67,8,1)="4"),"성인","키즈")</f>
        <v>성인</v>
      </c>
      <c r="Q67" s="29" t="str">
        <f t="shared" ref="Q67:Q130" si="25">MID(R67,1,10)</f>
        <v>MGMSNF3005</v>
      </c>
      <c r="R67" s="1" t="s">
        <v>878</v>
      </c>
      <c r="S67" s="1" t="s">
        <v>14</v>
      </c>
      <c r="T67" s="26">
        <v>1000</v>
      </c>
      <c r="U67" s="26">
        <v>45000000</v>
      </c>
      <c r="V67" s="26">
        <v>7645000</v>
      </c>
      <c r="W67" s="26">
        <v>5.3510910280040429</v>
      </c>
      <c r="X67" s="26">
        <v>1003</v>
      </c>
      <c r="Y67" s="26">
        <v>0</v>
      </c>
    </row>
    <row r="68" spans="1:25">
      <c r="A68" s="24" t="str">
        <f t="shared" si="17"/>
        <v>신규</v>
      </c>
      <c r="B68" s="24" t="str">
        <f>IF(COUNTIF(R$1:R67,R68)=0,"최초","리오더")</f>
        <v>최초</v>
      </c>
      <c r="C68" s="24" t="str">
        <f t="shared" si="18"/>
        <v>MGMSNF3006</v>
      </c>
      <c r="D68" s="24">
        <f t="shared" si="13"/>
        <v>1</v>
      </c>
      <c r="E68" s="24" t="str">
        <f t="shared" si="19"/>
        <v/>
      </c>
      <c r="F68" s="24">
        <f t="shared" si="14"/>
        <v>0</v>
      </c>
      <c r="G68" s="24" t="str">
        <f t="shared" si="20"/>
        <v>MGMSNF3006GY</v>
      </c>
      <c r="H68" s="24">
        <f t="shared" si="15"/>
        <v>1</v>
      </c>
      <c r="I68" s="24" t="str">
        <f t="shared" si="21"/>
        <v/>
      </c>
      <c r="J68" s="24">
        <f t="shared" si="16"/>
        <v>0</v>
      </c>
      <c r="K68" s="24" t="str">
        <f t="shared" si="22"/>
        <v>F3</v>
      </c>
      <c r="L68" s="24" t="str">
        <f>VLOOKUP(N68,CODE!K:P,CODE!$P$1,FALSE)</f>
        <v>모자</v>
      </c>
      <c r="M68" s="24" t="str">
        <f>VLOOKUP(MID(R68,1,3),CODE!$B:$G,CODE!D$1,FALSE)</f>
        <v>MGM</v>
      </c>
      <c r="N68" s="24" t="str">
        <f t="shared" si="23"/>
        <v>SN</v>
      </c>
      <c r="O68" s="29" t="str">
        <f>IF(ISERROR(IF(VLOOKUP($N68,CODE!$K:$P,CODE!$O$1,FALSE)="",$M68,$M68&amp;"-"&amp;VLOOKUP($N68,CODE!$K:$P,CODE!$O$1,FALSE)))=TRUE,"",IF(VLOOKUP($N68,CODE!$K:$P,CODE!$O$1,FALSE)="",$M68,$M68&amp;"-"&amp;VLOOKUP($N68,CODE!$K:$P,CODE!$O$1,FALSE)))</f>
        <v>MGM</v>
      </c>
      <c r="P68" s="29" t="str">
        <f t="shared" si="24"/>
        <v>성인</v>
      </c>
      <c r="Q68" s="29" t="str">
        <f t="shared" si="25"/>
        <v>MGMSNF3006</v>
      </c>
      <c r="R68" s="1" t="s">
        <v>879</v>
      </c>
      <c r="S68" s="1" t="s">
        <v>14</v>
      </c>
      <c r="T68" s="26">
        <v>1000</v>
      </c>
      <c r="U68" s="26">
        <v>45000000</v>
      </c>
      <c r="V68" s="26">
        <v>7920000</v>
      </c>
      <c r="W68" s="26">
        <v>5.1652892561983474</v>
      </c>
      <c r="X68" s="26">
        <v>977</v>
      </c>
      <c r="Y68" s="26">
        <v>0</v>
      </c>
    </row>
    <row r="69" spans="1:25">
      <c r="A69" s="24" t="str">
        <f t="shared" si="17"/>
        <v>신규</v>
      </c>
      <c r="B69" s="24" t="str">
        <f>IF(COUNTIF(R$1:R68,R69)=0,"최초","리오더")</f>
        <v>최초</v>
      </c>
      <c r="C69" s="24" t="str">
        <f t="shared" si="18"/>
        <v>MGMSNF3007</v>
      </c>
      <c r="D69" s="24">
        <f t="shared" si="13"/>
        <v>1</v>
      </c>
      <c r="E69" s="24" t="str">
        <f t="shared" si="19"/>
        <v/>
      </c>
      <c r="F69" s="24">
        <f t="shared" si="14"/>
        <v>0</v>
      </c>
      <c r="G69" s="24" t="str">
        <f t="shared" si="20"/>
        <v>MGMSNF3007BL</v>
      </c>
      <c r="H69" s="24">
        <f t="shared" si="15"/>
        <v>1</v>
      </c>
      <c r="I69" s="24" t="str">
        <f t="shared" si="21"/>
        <v/>
      </c>
      <c r="J69" s="24">
        <f t="shared" si="16"/>
        <v>0</v>
      </c>
      <c r="K69" s="24" t="str">
        <f t="shared" si="22"/>
        <v>F3</v>
      </c>
      <c r="L69" s="24" t="str">
        <f>VLOOKUP(N69,CODE!K:P,CODE!$P$1,FALSE)</f>
        <v>모자</v>
      </c>
      <c r="M69" s="24" t="str">
        <f>VLOOKUP(MID(R69,1,3),CODE!$B:$G,CODE!D$1,FALSE)</f>
        <v>MGM</v>
      </c>
      <c r="N69" s="24" t="str">
        <f t="shared" si="23"/>
        <v>SN</v>
      </c>
      <c r="O69" s="29" t="str">
        <f>IF(ISERROR(IF(VLOOKUP($N69,CODE!$K:$P,CODE!$O$1,FALSE)="",$M69,$M69&amp;"-"&amp;VLOOKUP($N69,CODE!$K:$P,CODE!$O$1,FALSE)))=TRUE,"",IF(VLOOKUP($N69,CODE!$K:$P,CODE!$O$1,FALSE)="",$M69,$M69&amp;"-"&amp;VLOOKUP($N69,CODE!$K:$P,CODE!$O$1,FALSE)))</f>
        <v>MGM</v>
      </c>
      <c r="P69" s="29" t="str">
        <f t="shared" si="24"/>
        <v>성인</v>
      </c>
      <c r="Q69" s="29" t="str">
        <f t="shared" si="25"/>
        <v>MGMSNF3007</v>
      </c>
      <c r="R69" s="1" t="s">
        <v>880</v>
      </c>
      <c r="S69" s="1" t="s">
        <v>14</v>
      </c>
      <c r="T69" s="26">
        <v>1200</v>
      </c>
      <c r="U69" s="26">
        <v>54000000</v>
      </c>
      <c r="V69" s="26">
        <v>7870272.0000000019</v>
      </c>
      <c r="W69" s="26">
        <v>6.2375111166309214</v>
      </c>
      <c r="X69" s="26">
        <v>1176</v>
      </c>
      <c r="Y69" s="26">
        <v>0</v>
      </c>
    </row>
    <row r="70" spans="1:25">
      <c r="A70" s="24" t="str">
        <f t="shared" si="17"/>
        <v>신규</v>
      </c>
      <c r="B70" s="24" t="str">
        <f>IF(COUNTIF(R$1:R69,R70)=0,"최초","리오더")</f>
        <v>최초</v>
      </c>
      <c r="C70" s="24" t="str">
        <f t="shared" si="18"/>
        <v>MGMSNF3008</v>
      </c>
      <c r="D70" s="24">
        <f t="shared" si="13"/>
        <v>1</v>
      </c>
      <c r="E70" s="24" t="str">
        <f t="shared" si="19"/>
        <v/>
      </c>
      <c r="F70" s="24">
        <f t="shared" si="14"/>
        <v>0</v>
      </c>
      <c r="G70" s="24" t="str">
        <f t="shared" si="20"/>
        <v>MGMSNF3008BK</v>
      </c>
      <c r="H70" s="24">
        <f t="shared" si="15"/>
        <v>1</v>
      </c>
      <c r="I70" s="24" t="str">
        <f t="shared" si="21"/>
        <v/>
      </c>
      <c r="J70" s="24">
        <f t="shared" si="16"/>
        <v>0</v>
      </c>
      <c r="K70" s="24" t="str">
        <f t="shared" si="22"/>
        <v>F3</v>
      </c>
      <c r="L70" s="24" t="str">
        <f>VLOOKUP(N70,CODE!K:P,CODE!$P$1,FALSE)</f>
        <v>모자</v>
      </c>
      <c r="M70" s="24" t="str">
        <f>VLOOKUP(MID(R70,1,3),CODE!$B:$G,CODE!D$1,FALSE)</f>
        <v>MGM</v>
      </c>
      <c r="N70" s="24" t="str">
        <f t="shared" si="23"/>
        <v>SN</v>
      </c>
      <c r="O70" s="29" t="str">
        <f>IF(ISERROR(IF(VLOOKUP($N70,CODE!$K:$P,CODE!$O$1,FALSE)="",$M70,$M70&amp;"-"&amp;VLOOKUP($N70,CODE!$K:$P,CODE!$O$1,FALSE)))=TRUE,"",IF(VLOOKUP($N70,CODE!$K:$P,CODE!$O$1,FALSE)="",$M70,$M70&amp;"-"&amp;VLOOKUP($N70,CODE!$K:$P,CODE!$O$1,FALSE)))</f>
        <v>MGM</v>
      </c>
      <c r="P70" s="29" t="str">
        <f t="shared" si="24"/>
        <v>성인</v>
      </c>
      <c r="Q70" s="29" t="str">
        <f t="shared" si="25"/>
        <v>MGMSNF3008</v>
      </c>
      <c r="R70" s="1" t="s">
        <v>881</v>
      </c>
      <c r="S70" s="1" t="s">
        <v>14</v>
      </c>
      <c r="T70" s="26">
        <v>1200</v>
      </c>
      <c r="U70" s="26">
        <v>54000000</v>
      </c>
      <c r="V70" s="26">
        <v>7952130.0000000009</v>
      </c>
      <c r="W70" s="26">
        <v>6.1733031390217565</v>
      </c>
      <c r="X70" s="26">
        <v>1199</v>
      </c>
      <c r="Y70" s="26">
        <v>0</v>
      </c>
    </row>
    <row r="71" spans="1:25">
      <c r="A71" s="24" t="str">
        <f t="shared" si="17"/>
        <v>신규</v>
      </c>
      <c r="B71" s="24" t="str">
        <f>IF(COUNTIF(R$1:R70,R71)=0,"최초","리오더")</f>
        <v>최초</v>
      </c>
      <c r="C71" s="24" t="str">
        <f t="shared" si="18"/>
        <v>MGMSNF3009</v>
      </c>
      <c r="D71" s="24">
        <f t="shared" si="13"/>
        <v>1</v>
      </c>
      <c r="E71" s="24" t="str">
        <f t="shared" si="19"/>
        <v/>
      </c>
      <c r="F71" s="24">
        <f t="shared" si="14"/>
        <v>0</v>
      </c>
      <c r="G71" s="24" t="str">
        <f t="shared" si="20"/>
        <v>MGMSNF3009GY</v>
      </c>
      <c r="H71" s="24">
        <f t="shared" si="15"/>
        <v>1</v>
      </c>
      <c r="I71" s="24" t="str">
        <f t="shared" si="21"/>
        <v/>
      </c>
      <c r="J71" s="24">
        <f t="shared" si="16"/>
        <v>0</v>
      </c>
      <c r="K71" s="24" t="str">
        <f t="shared" si="22"/>
        <v>F3</v>
      </c>
      <c r="L71" s="24" t="str">
        <f>VLOOKUP(N71,CODE!K:P,CODE!$P$1,FALSE)</f>
        <v>모자</v>
      </c>
      <c r="M71" s="24" t="str">
        <f>VLOOKUP(MID(R71,1,3),CODE!$B:$G,CODE!D$1,FALSE)</f>
        <v>MGM</v>
      </c>
      <c r="N71" s="24" t="str">
        <f t="shared" si="23"/>
        <v>SN</v>
      </c>
      <c r="O71" s="29" t="str">
        <f>IF(ISERROR(IF(VLOOKUP($N71,CODE!$K:$P,CODE!$O$1,FALSE)="",$M71,$M71&amp;"-"&amp;VLOOKUP($N71,CODE!$K:$P,CODE!$O$1,FALSE)))=TRUE,"",IF(VLOOKUP($N71,CODE!$K:$P,CODE!$O$1,FALSE)="",$M71,$M71&amp;"-"&amp;VLOOKUP($N71,CODE!$K:$P,CODE!$O$1,FALSE)))</f>
        <v>MGM</v>
      </c>
      <c r="P71" s="29" t="str">
        <f t="shared" si="24"/>
        <v>성인</v>
      </c>
      <c r="Q71" s="29" t="str">
        <f t="shared" si="25"/>
        <v>MGMSNF3009</v>
      </c>
      <c r="R71" s="1" t="s">
        <v>882</v>
      </c>
      <c r="S71" s="1" t="s">
        <v>14</v>
      </c>
      <c r="T71" s="26">
        <v>1000</v>
      </c>
      <c r="U71" s="26">
        <v>45000000</v>
      </c>
      <c r="V71" s="26">
        <v>6780940.0000000009</v>
      </c>
      <c r="W71" s="26">
        <v>6.0329527925465936</v>
      </c>
      <c r="X71" s="26">
        <v>963</v>
      </c>
      <c r="Y71" s="26">
        <v>0</v>
      </c>
    </row>
    <row r="72" spans="1:25">
      <c r="A72" s="24" t="str">
        <f t="shared" si="17"/>
        <v>신규</v>
      </c>
      <c r="B72" s="24" t="str">
        <f>IF(COUNTIF(R$1:R71,R72)=0,"최초","리오더")</f>
        <v>최초</v>
      </c>
      <c r="C72" s="24" t="str">
        <f t="shared" si="18"/>
        <v>MGMSNF3010</v>
      </c>
      <c r="D72" s="24">
        <f t="shared" si="13"/>
        <v>1</v>
      </c>
      <c r="E72" s="24" t="str">
        <f t="shared" si="19"/>
        <v/>
      </c>
      <c r="F72" s="24">
        <f t="shared" si="14"/>
        <v>0</v>
      </c>
      <c r="G72" s="24" t="str">
        <f t="shared" si="20"/>
        <v>MGMSNF3010KH</v>
      </c>
      <c r="H72" s="24">
        <f t="shared" si="15"/>
        <v>1</v>
      </c>
      <c r="I72" s="24" t="str">
        <f t="shared" si="21"/>
        <v/>
      </c>
      <c r="J72" s="24">
        <f t="shared" si="16"/>
        <v>0</v>
      </c>
      <c r="K72" s="24" t="str">
        <f t="shared" si="22"/>
        <v>F3</v>
      </c>
      <c r="L72" s="24" t="str">
        <f>VLOOKUP(N72,CODE!K:P,CODE!$P$1,FALSE)</f>
        <v>모자</v>
      </c>
      <c r="M72" s="24" t="str">
        <f>VLOOKUP(MID(R72,1,3),CODE!$B:$G,CODE!D$1,FALSE)</f>
        <v>MGM</v>
      </c>
      <c r="N72" s="24" t="str">
        <f t="shared" si="23"/>
        <v>SN</v>
      </c>
      <c r="O72" s="29" t="str">
        <f>IF(ISERROR(IF(VLOOKUP($N72,CODE!$K:$P,CODE!$O$1,FALSE)="",$M72,$M72&amp;"-"&amp;VLOOKUP($N72,CODE!$K:$P,CODE!$O$1,FALSE)))=TRUE,"",IF(VLOOKUP($N72,CODE!$K:$P,CODE!$O$1,FALSE)="",$M72,$M72&amp;"-"&amp;VLOOKUP($N72,CODE!$K:$P,CODE!$O$1,FALSE)))</f>
        <v>MGM</v>
      </c>
      <c r="P72" s="29" t="str">
        <f t="shared" si="24"/>
        <v>성인</v>
      </c>
      <c r="Q72" s="29" t="str">
        <f t="shared" si="25"/>
        <v>MGMSNF3010</v>
      </c>
      <c r="R72" s="1" t="s">
        <v>883</v>
      </c>
      <c r="S72" s="1" t="s">
        <v>14</v>
      </c>
      <c r="T72" s="26">
        <v>1000</v>
      </c>
      <c r="U72" s="26">
        <v>45000000</v>
      </c>
      <c r="V72" s="26">
        <v>6727590</v>
      </c>
      <c r="W72" s="26">
        <v>6.0807942976743385</v>
      </c>
      <c r="X72" s="26">
        <v>931</v>
      </c>
      <c r="Y72" s="26">
        <v>0</v>
      </c>
    </row>
    <row r="73" spans="1:25">
      <c r="A73" s="24" t="str">
        <f t="shared" si="17"/>
        <v>신규</v>
      </c>
      <c r="B73" s="24" t="str">
        <f>IF(COUNTIF(R$1:R72,R73)=0,"최초","리오더")</f>
        <v>최초</v>
      </c>
      <c r="C73" s="24" t="str">
        <f t="shared" si="18"/>
        <v>MGMSNF3011</v>
      </c>
      <c r="D73" s="24">
        <f t="shared" si="13"/>
        <v>1</v>
      </c>
      <c r="E73" s="24" t="str">
        <f t="shared" si="19"/>
        <v/>
      </c>
      <c r="F73" s="24">
        <f t="shared" si="14"/>
        <v>0</v>
      </c>
      <c r="G73" s="24" t="str">
        <f t="shared" si="20"/>
        <v>MGMSNF3011NY</v>
      </c>
      <c r="H73" s="24">
        <f t="shared" si="15"/>
        <v>1</v>
      </c>
      <c r="I73" s="24" t="str">
        <f t="shared" si="21"/>
        <v/>
      </c>
      <c r="J73" s="24">
        <f t="shared" si="16"/>
        <v>0</v>
      </c>
      <c r="K73" s="24" t="str">
        <f t="shared" si="22"/>
        <v>F3</v>
      </c>
      <c r="L73" s="24" t="str">
        <f>VLOOKUP(N73,CODE!K:P,CODE!$P$1,FALSE)</f>
        <v>모자</v>
      </c>
      <c r="M73" s="24" t="str">
        <f>VLOOKUP(MID(R73,1,3),CODE!$B:$G,CODE!D$1,FALSE)</f>
        <v>MGM</v>
      </c>
      <c r="N73" s="24" t="str">
        <f t="shared" si="23"/>
        <v>SN</v>
      </c>
      <c r="O73" s="29" t="str">
        <f>IF(ISERROR(IF(VLOOKUP($N73,CODE!$K:$P,CODE!$O$1,FALSE)="",$M73,$M73&amp;"-"&amp;VLOOKUP($N73,CODE!$K:$P,CODE!$O$1,FALSE)))=TRUE,"",IF(VLOOKUP($N73,CODE!$K:$P,CODE!$O$1,FALSE)="",$M73,$M73&amp;"-"&amp;VLOOKUP($N73,CODE!$K:$P,CODE!$O$1,FALSE)))</f>
        <v>MGM</v>
      </c>
      <c r="P73" s="29" t="str">
        <f t="shared" si="24"/>
        <v>성인</v>
      </c>
      <c r="Q73" s="29" t="str">
        <f t="shared" si="25"/>
        <v>MGMSNF3011</v>
      </c>
      <c r="R73" s="1" t="s">
        <v>884</v>
      </c>
      <c r="S73" s="1" t="s">
        <v>14</v>
      </c>
      <c r="T73" s="26">
        <v>1000</v>
      </c>
      <c r="U73" s="26">
        <v>45000000</v>
      </c>
      <c r="V73" s="26">
        <v>3668240.0000000005</v>
      </c>
      <c r="W73" s="26">
        <v>11.152239468816353</v>
      </c>
      <c r="X73" s="26">
        <v>971</v>
      </c>
      <c r="Y73" s="26">
        <v>0</v>
      </c>
    </row>
    <row r="74" spans="1:25">
      <c r="A74" s="24" t="str">
        <f t="shared" si="17"/>
        <v>신규</v>
      </c>
      <c r="B74" s="24" t="str">
        <f>IF(COUNTIF(R$1:R73,R74)=0,"최초","리오더")</f>
        <v>최초</v>
      </c>
      <c r="C74" s="24" t="str">
        <f t="shared" si="18"/>
        <v>MGMSNF3012</v>
      </c>
      <c r="D74" s="24">
        <f t="shared" si="13"/>
        <v>1</v>
      </c>
      <c r="E74" s="24" t="str">
        <f t="shared" si="19"/>
        <v/>
      </c>
      <c r="F74" s="24">
        <f t="shared" si="14"/>
        <v>0</v>
      </c>
      <c r="G74" s="24" t="str">
        <f t="shared" si="20"/>
        <v>MGMSNF3012BK</v>
      </c>
      <c r="H74" s="24">
        <f t="shared" si="15"/>
        <v>1</v>
      </c>
      <c r="I74" s="24" t="str">
        <f t="shared" si="21"/>
        <v/>
      </c>
      <c r="J74" s="24">
        <f t="shared" si="16"/>
        <v>0</v>
      </c>
      <c r="K74" s="24" t="str">
        <f t="shared" si="22"/>
        <v>F3</v>
      </c>
      <c r="L74" s="24" t="str">
        <f>VLOOKUP(N74,CODE!K:P,CODE!$P$1,FALSE)</f>
        <v>모자</v>
      </c>
      <c r="M74" s="24" t="str">
        <f>VLOOKUP(MID(R74,1,3),CODE!$B:$G,CODE!D$1,FALSE)</f>
        <v>MGM</v>
      </c>
      <c r="N74" s="24" t="str">
        <f t="shared" si="23"/>
        <v>SN</v>
      </c>
      <c r="O74" s="29" t="str">
        <f>IF(ISERROR(IF(VLOOKUP($N74,CODE!$K:$P,CODE!$O$1,FALSE)="",$M74,$M74&amp;"-"&amp;VLOOKUP($N74,CODE!$K:$P,CODE!$O$1,FALSE)))=TRUE,"",IF(VLOOKUP($N74,CODE!$K:$P,CODE!$O$1,FALSE)="",$M74,$M74&amp;"-"&amp;VLOOKUP($N74,CODE!$K:$P,CODE!$O$1,FALSE)))</f>
        <v>MGM</v>
      </c>
      <c r="P74" s="29" t="str">
        <f t="shared" si="24"/>
        <v>성인</v>
      </c>
      <c r="Q74" s="29" t="str">
        <f t="shared" si="25"/>
        <v>MGMSNF3012</v>
      </c>
      <c r="R74" s="1" t="s">
        <v>885</v>
      </c>
      <c r="S74" s="1" t="s">
        <v>14</v>
      </c>
      <c r="T74" s="26">
        <v>1000</v>
      </c>
      <c r="U74" s="26">
        <v>45000000</v>
      </c>
      <c r="V74" s="26">
        <v>4102540.0000000009</v>
      </c>
      <c r="W74" s="26">
        <v>9.9716494925316752</v>
      </c>
      <c r="X74" s="26">
        <v>950</v>
      </c>
      <c r="Y74" s="26">
        <v>0</v>
      </c>
    </row>
    <row r="75" spans="1:25">
      <c r="A75" s="24" t="str">
        <f t="shared" si="17"/>
        <v>신규</v>
      </c>
      <c r="B75" s="24" t="str">
        <f>IF(COUNTIF(R$1:R74,R75)=0,"최초","리오더")</f>
        <v>최초</v>
      </c>
      <c r="C75" s="24" t="str">
        <f t="shared" si="18"/>
        <v>URBFIF3001</v>
      </c>
      <c r="D75" s="24">
        <f t="shared" si="13"/>
        <v>1</v>
      </c>
      <c r="E75" s="24" t="str">
        <f t="shared" si="19"/>
        <v/>
      </c>
      <c r="F75" s="24">
        <f t="shared" si="14"/>
        <v>0</v>
      </c>
      <c r="G75" s="24" t="str">
        <f t="shared" si="20"/>
        <v>URBFIF3001BW</v>
      </c>
      <c r="H75" s="24">
        <f t="shared" si="15"/>
        <v>1</v>
      </c>
      <c r="I75" s="24" t="str">
        <f t="shared" si="21"/>
        <v/>
      </c>
      <c r="J75" s="24">
        <f t="shared" si="16"/>
        <v>0</v>
      </c>
      <c r="K75" s="24" t="str">
        <f t="shared" si="22"/>
        <v>F3</v>
      </c>
      <c r="L75" s="24" t="str">
        <f>VLOOKUP(N75,CODE!K:P,CODE!$P$1,FALSE)</f>
        <v>모자</v>
      </c>
      <c r="M75" s="24" t="str">
        <f>VLOOKUP(MID(R75,1,3),CODE!$B:$G,CODE!D$1,FALSE)</f>
        <v>URB</v>
      </c>
      <c r="N75" s="24" t="str">
        <f t="shared" si="23"/>
        <v>FI</v>
      </c>
      <c r="O75" s="29" t="str">
        <f>IF(ISERROR(IF(VLOOKUP($N75,CODE!$K:$P,CODE!$O$1,FALSE)="",$M75,$M75&amp;"-"&amp;VLOOKUP($N75,CODE!$K:$P,CODE!$O$1,FALSE)))=TRUE,"",IF(VLOOKUP($N75,CODE!$K:$P,CODE!$O$1,FALSE)="",$M75,$M75&amp;"-"&amp;VLOOKUP($N75,CODE!$K:$P,CODE!$O$1,FALSE)))</f>
        <v>URB</v>
      </c>
      <c r="P75" s="29" t="str">
        <f t="shared" si="24"/>
        <v>성인</v>
      </c>
      <c r="Q75" s="29" t="str">
        <f t="shared" si="25"/>
        <v>URBFIF3001</v>
      </c>
      <c r="R75" s="1" t="s">
        <v>886</v>
      </c>
      <c r="S75" s="1" t="s">
        <v>14</v>
      </c>
      <c r="T75" s="26">
        <v>800</v>
      </c>
      <c r="U75" s="26">
        <v>42400000</v>
      </c>
      <c r="V75" s="26">
        <v>5984000</v>
      </c>
      <c r="W75" s="26">
        <v>6.4414195430238204</v>
      </c>
      <c r="X75" s="26">
        <v>800</v>
      </c>
      <c r="Y75" s="26">
        <v>0</v>
      </c>
    </row>
    <row r="76" spans="1:25">
      <c r="A76" s="24" t="str">
        <f t="shared" si="17"/>
        <v>신규</v>
      </c>
      <c r="B76" s="24" t="str">
        <f>IF(COUNTIF(R$1:R75,R76)=0,"최초","리오더")</f>
        <v>최초</v>
      </c>
      <c r="C76" s="24" t="str">
        <f t="shared" si="18"/>
        <v>URBFIF3002</v>
      </c>
      <c r="D76" s="24">
        <f t="shared" si="13"/>
        <v>1</v>
      </c>
      <c r="E76" s="24" t="str">
        <f t="shared" si="19"/>
        <v/>
      </c>
      <c r="F76" s="24">
        <f t="shared" si="14"/>
        <v>0</v>
      </c>
      <c r="G76" s="24" t="str">
        <f t="shared" si="20"/>
        <v>URBFIF3002BK</v>
      </c>
      <c r="H76" s="24">
        <f t="shared" si="15"/>
        <v>1</v>
      </c>
      <c r="I76" s="24" t="str">
        <f t="shared" si="21"/>
        <v/>
      </c>
      <c r="J76" s="24">
        <f t="shared" si="16"/>
        <v>0</v>
      </c>
      <c r="K76" s="24" t="str">
        <f t="shared" si="22"/>
        <v>F3</v>
      </c>
      <c r="L76" s="24" t="str">
        <f>VLOOKUP(N76,CODE!K:P,CODE!$P$1,FALSE)</f>
        <v>모자</v>
      </c>
      <c r="M76" s="24" t="str">
        <f>VLOOKUP(MID(R76,1,3),CODE!$B:$G,CODE!D$1,FALSE)</f>
        <v>URB</v>
      </c>
      <c r="N76" s="24" t="str">
        <f t="shared" si="23"/>
        <v>FI</v>
      </c>
      <c r="O76" s="29" t="str">
        <f>IF(ISERROR(IF(VLOOKUP($N76,CODE!$K:$P,CODE!$O$1,FALSE)="",$M76,$M76&amp;"-"&amp;VLOOKUP($N76,CODE!$K:$P,CODE!$O$1,FALSE)))=TRUE,"",IF(VLOOKUP($N76,CODE!$K:$P,CODE!$O$1,FALSE)="",$M76,$M76&amp;"-"&amp;VLOOKUP($N76,CODE!$K:$P,CODE!$O$1,FALSE)))</f>
        <v>URB</v>
      </c>
      <c r="P76" s="29" t="str">
        <f t="shared" si="24"/>
        <v>성인</v>
      </c>
      <c r="Q76" s="29" t="str">
        <f t="shared" si="25"/>
        <v>URBFIF3002</v>
      </c>
      <c r="R76" s="1" t="s">
        <v>887</v>
      </c>
      <c r="S76" s="1" t="s">
        <v>14</v>
      </c>
      <c r="T76" s="26">
        <v>800</v>
      </c>
      <c r="U76" s="26">
        <v>42400000</v>
      </c>
      <c r="V76" s="26">
        <v>5984000</v>
      </c>
      <c r="W76" s="26">
        <v>6.4414195430238204</v>
      </c>
      <c r="X76" s="26">
        <v>800</v>
      </c>
      <c r="Y76" s="26">
        <v>0</v>
      </c>
    </row>
    <row r="77" spans="1:25">
      <c r="A77" s="24" t="str">
        <f t="shared" si="17"/>
        <v>신규</v>
      </c>
      <c r="B77" s="24" t="str">
        <f>IF(COUNTIF(R$1:R76,R77)=0,"최초","리오더")</f>
        <v>최초</v>
      </c>
      <c r="C77" s="24" t="str">
        <f t="shared" si="18"/>
        <v>PLAUMF5001</v>
      </c>
      <c r="D77" s="24">
        <f t="shared" si="13"/>
        <v>0.25</v>
      </c>
      <c r="E77" s="24" t="str">
        <f t="shared" si="19"/>
        <v/>
      </c>
      <c r="F77" s="24">
        <f t="shared" si="14"/>
        <v>0</v>
      </c>
      <c r="G77" s="24" t="str">
        <f t="shared" si="20"/>
        <v>PLAUMF5001RE</v>
      </c>
      <c r="H77" s="24">
        <f t="shared" si="15"/>
        <v>1</v>
      </c>
      <c r="I77" s="24" t="str">
        <f t="shared" si="21"/>
        <v/>
      </c>
      <c r="J77" s="24">
        <f t="shared" si="16"/>
        <v>0</v>
      </c>
      <c r="K77" s="24" t="str">
        <f t="shared" si="22"/>
        <v>F5</v>
      </c>
      <c r="L77" s="24" t="str">
        <f>VLOOKUP(N77,CODE!K:P,CODE!$P$1,FALSE)</f>
        <v>모자</v>
      </c>
      <c r="M77" s="24" t="str">
        <f>VLOOKUP(MID(R77,1,3),CODE!$B:$G,CODE!D$1,FALSE)</f>
        <v>PLA</v>
      </c>
      <c r="N77" s="24" t="str">
        <f t="shared" si="23"/>
        <v>UM</v>
      </c>
      <c r="O77" s="29" t="str">
        <f>IF(ISERROR(IF(VLOOKUP($N77,CODE!$K:$P,CODE!$O$1,FALSE)="",$M77,$M77&amp;"-"&amp;VLOOKUP($N77,CODE!$K:$P,CODE!$O$1,FALSE)))=TRUE,"",IF(VLOOKUP($N77,CODE!$K:$P,CODE!$O$1,FALSE)="",$M77,$M77&amp;"-"&amp;VLOOKUP($N77,CODE!$K:$P,CODE!$O$1,FALSE)))</f>
        <v>PLA</v>
      </c>
      <c r="P77" s="29" t="str">
        <f t="shared" si="24"/>
        <v>성인</v>
      </c>
      <c r="Q77" s="29" t="str">
        <f t="shared" si="25"/>
        <v>PLAUMF5001</v>
      </c>
      <c r="R77" s="1" t="s">
        <v>888</v>
      </c>
      <c r="S77" s="1" t="s">
        <v>14</v>
      </c>
      <c r="T77" s="26">
        <v>1200</v>
      </c>
      <c r="U77" s="26">
        <v>66000000</v>
      </c>
      <c r="V77" s="26">
        <v>8382528.0000000009</v>
      </c>
      <c r="W77" s="26">
        <v>7.1577452529833465</v>
      </c>
      <c r="X77" s="26">
        <v>1200</v>
      </c>
      <c r="Y77" s="26">
        <v>0</v>
      </c>
    </row>
    <row r="78" spans="1:25">
      <c r="A78" s="24" t="str">
        <f t="shared" si="17"/>
        <v>신규</v>
      </c>
      <c r="B78" s="24" t="str">
        <f>IF(COUNTIF(R$1:R77,R78)=0,"최초","리오더")</f>
        <v>최초</v>
      </c>
      <c r="C78" s="24" t="str">
        <f t="shared" si="18"/>
        <v>PLAUMF5001</v>
      </c>
      <c r="D78" s="24">
        <f t="shared" si="13"/>
        <v>0.25</v>
      </c>
      <c r="E78" s="24" t="str">
        <f t="shared" si="19"/>
        <v/>
      </c>
      <c r="F78" s="24">
        <f t="shared" si="14"/>
        <v>0</v>
      </c>
      <c r="G78" s="24" t="str">
        <f t="shared" si="20"/>
        <v>PLAUMF5001GY</v>
      </c>
      <c r="H78" s="24">
        <f t="shared" si="15"/>
        <v>1</v>
      </c>
      <c r="I78" s="24" t="str">
        <f t="shared" si="21"/>
        <v/>
      </c>
      <c r="J78" s="24">
        <f t="shared" si="16"/>
        <v>0</v>
      </c>
      <c r="K78" s="24" t="str">
        <f t="shared" si="22"/>
        <v>F5</v>
      </c>
      <c r="L78" s="24" t="str">
        <f>VLOOKUP(N78,CODE!K:P,CODE!$P$1,FALSE)</f>
        <v>모자</v>
      </c>
      <c r="M78" s="24" t="str">
        <f>VLOOKUP(MID(R78,1,3),CODE!$B:$G,CODE!D$1,FALSE)</f>
        <v>PLA</v>
      </c>
      <c r="N78" s="24" t="str">
        <f t="shared" si="23"/>
        <v>UM</v>
      </c>
      <c r="O78" s="29" t="str">
        <f>IF(ISERROR(IF(VLOOKUP($N78,CODE!$K:$P,CODE!$O$1,FALSE)="",$M78,$M78&amp;"-"&amp;VLOOKUP($N78,CODE!$K:$P,CODE!$O$1,FALSE)))=TRUE,"",IF(VLOOKUP($N78,CODE!$K:$P,CODE!$O$1,FALSE)="",$M78,$M78&amp;"-"&amp;VLOOKUP($N78,CODE!$K:$P,CODE!$O$1,FALSE)))</f>
        <v>PLA</v>
      </c>
      <c r="P78" s="29" t="str">
        <f t="shared" si="24"/>
        <v>성인</v>
      </c>
      <c r="Q78" s="29" t="str">
        <f t="shared" si="25"/>
        <v>PLAUMF5001</v>
      </c>
      <c r="R78" s="1" t="s">
        <v>889</v>
      </c>
      <c r="S78" s="1" t="s">
        <v>14</v>
      </c>
      <c r="T78" s="26">
        <v>1000</v>
      </c>
      <c r="U78" s="26">
        <v>55000000</v>
      </c>
      <c r="V78" s="26">
        <v>7234920</v>
      </c>
      <c r="W78" s="26">
        <v>6.9109264511563353</v>
      </c>
      <c r="X78" s="26">
        <v>1000</v>
      </c>
      <c r="Y78" s="26">
        <v>0</v>
      </c>
    </row>
    <row r="79" spans="1:25">
      <c r="A79" s="24" t="str">
        <f t="shared" si="17"/>
        <v>신규</v>
      </c>
      <c r="B79" s="24" t="str">
        <f>IF(COUNTIF(R$1:R78,R79)=0,"최초","리오더")</f>
        <v>최초</v>
      </c>
      <c r="C79" s="24" t="str">
        <f t="shared" si="18"/>
        <v>PLAUMF5001</v>
      </c>
      <c r="D79" s="24">
        <f t="shared" si="13"/>
        <v>0.25</v>
      </c>
      <c r="E79" s="24" t="str">
        <f t="shared" si="19"/>
        <v/>
      </c>
      <c r="F79" s="24">
        <f t="shared" si="14"/>
        <v>0</v>
      </c>
      <c r="G79" s="24" t="str">
        <f t="shared" si="20"/>
        <v>PLAUMF5001NY</v>
      </c>
      <c r="H79" s="24">
        <f t="shared" si="15"/>
        <v>1</v>
      </c>
      <c r="I79" s="24" t="str">
        <f t="shared" si="21"/>
        <v/>
      </c>
      <c r="J79" s="24">
        <f t="shared" si="16"/>
        <v>0</v>
      </c>
      <c r="K79" s="24" t="str">
        <f t="shared" si="22"/>
        <v>F5</v>
      </c>
      <c r="L79" s="24" t="str">
        <f>VLOOKUP(N79,CODE!K:P,CODE!$P$1,FALSE)</f>
        <v>모자</v>
      </c>
      <c r="M79" s="24" t="str">
        <f>VLOOKUP(MID(R79,1,3),CODE!$B:$G,CODE!D$1,FALSE)</f>
        <v>PLA</v>
      </c>
      <c r="N79" s="24" t="str">
        <f t="shared" si="23"/>
        <v>UM</v>
      </c>
      <c r="O79" s="29" t="str">
        <f>IF(ISERROR(IF(VLOOKUP($N79,CODE!$K:$P,CODE!$O$1,FALSE)="",$M79,$M79&amp;"-"&amp;VLOOKUP($N79,CODE!$K:$P,CODE!$O$1,FALSE)))=TRUE,"",IF(VLOOKUP($N79,CODE!$K:$P,CODE!$O$1,FALSE)="",$M79,$M79&amp;"-"&amp;VLOOKUP($N79,CODE!$K:$P,CODE!$O$1,FALSE)))</f>
        <v>PLA</v>
      </c>
      <c r="P79" s="29" t="str">
        <f t="shared" si="24"/>
        <v>성인</v>
      </c>
      <c r="Q79" s="29" t="str">
        <f t="shared" si="25"/>
        <v>PLAUMF5001</v>
      </c>
      <c r="R79" s="1" t="s">
        <v>890</v>
      </c>
      <c r="S79" s="1" t="s">
        <v>14</v>
      </c>
      <c r="T79" s="26">
        <v>1000</v>
      </c>
      <c r="U79" s="26">
        <v>55000000</v>
      </c>
      <c r="V79" s="26">
        <v>7234920</v>
      </c>
      <c r="W79" s="26">
        <v>6.9109264511563353</v>
      </c>
      <c r="X79" s="26">
        <v>1005</v>
      </c>
      <c r="Y79" s="26">
        <v>0</v>
      </c>
    </row>
    <row r="80" spans="1:25">
      <c r="A80" s="24" t="str">
        <f t="shared" si="17"/>
        <v>신규</v>
      </c>
      <c r="B80" s="24" t="str">
        <f>IF(COUNTIF(R$1:R79,R80)=0,"최초","리오더")</f>
        <v>최초</v>
      </c>
      <c r="C80" s="24" t="str">
        <f t="shared" si="18"/>
        <v>PLAUMF5001</v>
      </c>
      <c r="D80" s="24">
        <f t="shared" si="13"/>
        <v>0.25</v>
      </c>
      <c r="E80" s="24" t="str">
        <f t="shared" si="19"/>
        <v/>
      </c>
      <c r="F80" s="24">
        <f t="shared" si="14"/>
        <v>0</v>
      </c>
      <c r="G80" s="24" t="str">
        <f t="shared" si="20"/>
        <v>PLAUMF5001BK</v>
      </c>
      <c r="H80" s="24">
        <f t="shared" si="15"/>
        <v>1</v>
      </c>
      <c r="I80" s="24" t="str">
        <f t="shared" si="21"/>
        <v/>
      </c>
      <c r="J80" s="24">
        <f t="shared" si="16"/>
        <v>0</v>
      </c>
      <c r="K80" s="24" t="str">
        <f t="shared" si="22"/>
        <v>F5</v>
      </c>
      <c r="L80" s="24" t="str">
        <f>VLOOKUP(N80,CODE!K:P,CODE!$P$1,FALSE)</f>
        <v>모자</v>
      </c>
      <c r="M80" s="24" t="str">
        <f>VLOOKUP(MID(R80,1,3),CODE!$B:$G,CODE!D$1,FALSE)</f>
        <v>PLA</v>
      </c>
      <c r="N80" s="24" t="str">
        <f t="shared" si="23"/>
        <v>UM</v>
      </c>
      <c r="O80" s="29" t="str">
        <f>IF(ISERROR(IF(VLOOKUP($N80,CODE!$K:$P,CODE!$O$1,FALSE)="",$M80,$M80&amp;"-"&amp;VLOOKUP($N80,CODE!$K:$P,CODE!$O$1,FALSE)))=TRUE,"",IF(VLOOKUP($N80,CODE!$K:$P,CODE!$O$1,FALSE)="",$M80,$M80&amp;"-"&amp;VLOOKUP($N80,CODE!$K:$P,CODE!$O$1,FALSE)))</f>
        <v>PLA</v>
      </c>
      <c r="P80" s="29" t="str">
        <f t="shared" si="24"/>
        <v>성인</v>
      </c>
      <c r="Q80" s="29" t="str">
        <f t="shared" si="25"/>
        <v>PLAUMF5001</v>
      </c>
      <c r="R80" s="1" t="s">
        <v>891</v>
      </c>
      <c r="S80" s="1" t="s">
        <v>14</v>
      </c>
      <c r="T80" s="26">
        <v>1200</v>
      </c>
      <c r="U80" s="26">
        <v>66000000</v>
      </c>
      <c r="V80" s="26">
        <v>7933464.0000000019</v>
      </c>
      <c r="W80" s="26">
        <v>7.5629006446616494</v>
      </c>
      <c r="X80" s="26">
        <v>1195</v>
      </c>
      <c r="Y80" s="26">
        <v>0</v>
      </c>
    </row>
    <row r="81" spans="1:25">
      <c r="A81" s="24" t="str">
        <f t="shared" si="17"/>
        <v>신규</v>
      </c>
      <c r="B81" s="24" t="str">
        <f>IF(COUNTIF(R$1:R80,R81)=0,"최초","리오더")</f>
        <v>최초</v>
      </c>
      <c r="C81" s="24" t="str">
        <f t="shared" si="18"/>
        <v>PLAUMF5002</v>
      </c>
      <c r="D81" s="24">
        <f t="shared" si="13"/>
        <v>0.5</v>
      </c>
      <c r="E81" s="24" t="str">
        <f t="shared" si="19"/>
        <v/>
      </c>
      <c r="F81" s="24">
        <f t="shared" si="14"/>
        <v>0</v>
      </c>
      <c r="G81" s="24" t="str">
        <f t="shared" si="20"/>
        <v>PLAUMF5002GR</v>
      </c>
      <c r="H81" s="24">
        <f t="shared" si="15"/>
        <v>1</v>
      </c>
      <c r="I81" s="24" t="str">
        <f t="shared" si="21"/>
        <v/>
      </c>
      <c r="J81" s="24">
        <f t="shared" si="16"/>
        <v>0</v>
      </c>
      <c r="K81" s="24" t="str">
        <f t="shared" si="22"/>
        <v>F5</v>
      </c>
      <c r="L81" s="24" t="str">
        <f>VLOOKUP(N81,CODE!K:P,CODE!$P$1,FALSE)</f>
        <v>모자</v>
      </c>
      <c r="M81" s="24" t="str">
        <f>VLOOKUP(MID(R81,1,3),CODE!$B:$G,CODE!D$1,FALSE)</f>
        <v>PLA</v>
      </c>
      <c r="N81" s="24" t="str">
        <f t="shared" si="23"/>
        <v>UM</v>
      </c>
      <c r="O81" s="29" t="str">
        <f>IF(ISERROR(IF(VLOOKUP($N81,CODE!$K:$P,CODE!$O$1,FALSE)="",$M81,$M81&amp;"-"&amp;VLOOKUP($N81,CODE!$K:$P,CODE!$O$1,FALSE)))=TRUE,"",IF(VLOOKUP($N81,CODE!$K:$P,CODE!$O$1,FALSE)="",$M81,$M81&amp;"-"&amp;VLOOKUP($N81,CODE!$K:$P,CODE!$O$1,FALSE)))</f>
        <v>PLA</v>
      </c>
      <c r="P81" s="29" t="str">
        <f t="shared" si="24"/>
        <v>성인</v>
      </c>
      <c r="Q81" s="29" t="str">
        <f t="shared" si="25"/>
        <v>PLAUMF5002</v>
      </c>
      <c r="R81" s="1" t="s">
        <v>892</v>
      </c>
      <c r="S81" s="1" t="s">
        <v>14</v>
      </c>
      <c r="T81" s="26">
        <v>1000</v>
      </c>
      <c r="U81" s="26">
        <v>53000000</v>
      </c>
      <c r="V81" s="26">
        <v>6860700.0000000009</v>
      </c>
      <c r="W81" s="26">
        <v>7.0228720366461399</v>
      </c>
      <c r="X81" s="26">
        <v>1000</v>
      </c>
      <c r="Y81" s="26">
        <v>0</v>
      </c>
    </row>
    <row r="82" spans="1:25">
      <c r="A82" s="24" t="str">
        <f t="shared" si="17"/>
        <v>신규</v>
      </c>
      <c r="B82" s="24" t="str">
        <f>IF(COUNTIF(R$1:R81,R82)=0,"최초","리오더")</f>
        <v>최초</v>
      </c>
      <c r="C82" s="24" t="str">
        <f t="shared" si="18"/>
        <v>PLAUMF5002</v>
      </c>
      <c r="D82" s="24">
        <f t="shared" si="13"/>
        <v>0.5</v>
      </c>
      <c r="E82" s="24" t="str">
        <f t="shared" si="19"/>
        <v/>
      </c>
      <c r="F82" s="24">
        <f t="shared" si="14"/>
        <v>0</v>
      </c>
      <c r="G82" s="24" t="str">
        <f t="shared" si="20"/>
        <v>PLAUMF5002OR</v>
      </c>
      <c r="H82" s="24">
        <f t="shared" si="15"/>
        <v>1</v>
      </c>
      <c r="I82" s="24" t="str">
        <f t="shared" si="21"/>
        <v/>
      </c>
      <c r="J82" s="24">
        <f t="shared" si="16"/>
        <v>0</v>
      </c>
      <c r="K82" s="24" t="str">
        <f t="shared" si="22"/>
        <v>F5</v>
      </c>
      <c r="L82" s="24" t="str">
        <f>VLOOKUP(N82,CODE!K:P,CODE!$P$1,FALSE)</f>
        <v>모자</v>
      </c>
      <c r="M82" s="24" t="str">
        <f>VLOOKUP(MID(R82,1,3),CODE!$B:$G,CODE!D$1,FALSE)</f>
        <v>PLA</v>
      </c>
      <c r="N82" s="24" t="str">
        <f t="shared" si="23"/>
        <v>UM</v>
      </c>
      <c r="O82" s="29" t="str">
        <f>IF(ISERROR(IF(VLOOKUP($N82,CODE!$K:$P,CODE!$O$1,FALSE)="",$M82,$M82&amp;"-"&amp;VLOOKUP($N82,CODE!$K:$P,CODE!$O$1,FALSE)))=TRUE,"",IF(VLOOKUP($N82,CODE!$K:$P,CODE!$O$1,FALSE)="",$M82,$M82&amp;"-"&amp;VLOOKUP($N82,CODE!$K:$P,CODE!$O$1,FALSE)))</f>
        <v>PLA</v>
      </c>
      <c r="P82" s="29" t="str">
        <f t="shared" si="24"/>
        <v>성인</v>
      </c>
      <c r="Q82" s="29" t="str">
        <f t="shared" si="25"/>
        <v>PLAUMF5002</v>
      </c>
      <c r="R82" s="1" t="s">
        <v>893</v>
      </c>
      <c r="S82" s="1" t="s">
        <v>14</v>
      </c>
      <c r="T82" s="26">
        <v>1000</v>
      </c>
      <c r="U82" s="26">
        <v>53000000</v>
      </c>
      <c r="V82" s="26">
        <v>6735960.0000000019</v>
      </c>
      <c r="W82" s="26">
        <v>7.152925222509956</v>
      </c>
      <c r="X82" s="26">
        <v>1000</v>
      </c>
      <c r="Y82" s="26">
        <v>0</v>
      </c>
    </row>
    <row r="83" spans="1:25">
      <c r="A83" s="24" t="str">
        <f t="shared" si="17"/>
        <v>신규</v>
      </c>
      <c r="B83" s="24" t="str">
        <f>IF(COUNTIF(R$1:R82,R83)=0,"최초","리오더")</f>
        <v>최초</v>
      </c>
      <c r="C83" s="24" t="str">
        <f t="shared" si="18"/>
        <v>PLAERF5003</v>
      </c>
      <c r="D83" s="24">
        <f t="shared" si="13"/>
        <v>0.5</v>
      </c>
      <c r="E83" s="24" t="str">
        <f t="shared" si="19"/>
        <v/>
      </c>
      <c r="F83" s="24">
        <f t="shared" si="14"/>
        <v>0</v>
      </c>
      <c r="G83" s="24" t="str">
        <f t="shared" si="20"/>
        <v>PLAERF5003BK</v>
      </c>
      <c r="H83" s="24">
        <f t="shared" si="15"/>
        <v>1</v>
      </c>
      <c r="I83" s="24" t="str">
        <f t="shared" si="21"/>
        <v/>
      </c>
      <c r="J83" s="24">
        <f t="shared" si="16"/>
        <v>0</v>
      </c>
      <c r="K83" s="24" t="str">
        <f t="shared" si="22"/>
        <v>F5</v>
      </c>
      <c r="L83" s="24" t="str">
        <f>VLOOKUP(N83,CODE!K:P,CODE!$P$1,FALSE)</f>
        <v>모자</v>
      </c>
      <c r="M83" s="24" t="str">
        <f>VLOOKUP(MID(R83,1,3),CODE!$B:$G,CODE!D$1,FALSE)</f>
        <v>PLA</v>
      </c>
      <c r="N83" s="24" t="str">
        <f t="shared" si="23"/>
        <v>ER</v>
      </c>
      <c r="O83" s="29" t="str">
        <f>IF(ISERROR(IF(VLOOKUP($N83,CODE!$K:$P,CODE!$O$1,FALSE)="",$M83,$M83&amp;"-"&amp;VLOOKUP($N83,CODE!$K:$P,CODE!$O$1,FALSE)))=TRUE,"",IF(VLOOKUP($N83,CODE!$K:$P,CODE!$O$1,FALSE)="",$M83,$M83&amp;"-"&amp;VLOOKUP($N83,CODE!$K:$P,CODE!$O$1,FALSE)))</f>
        <v>PLA</v>
      </c>
      <c r="P83" s="29" t="str">
        <f t="shared" si="24"/>
        <v>성인</v>
      </c>
      <c r="Q83" s="29" t="str">
        <f t="shared" si="25"/>
        <v>PLAERF5003</v>
      </c>
      <c r="R83" s="1" t="s">
        <v>894</v>
      </c>
      <c r="S83" s="1" t="s">
        <v>14</v>
      </c>
      <c r="T83" s="26">
        <v>1000</v>
      </c>
      <c r="U83" s="26">
        <v>63000000</v>
      </c>
      <c r="V83" s="26">
        <v>9594690</v>
      </c>
      <c r="W83" s="26">
        <v>5.9692108106387254</v>
      </c>
      <c r="X83" s="26">
        <v>932</v>
      </c>
      <c r="Y83" s="26">
        <v>0</v>
      </c>
    </row>
    <row r="84" spans="1:25">
      <c r="A84" s="24" t="str">
        <f t="shared" si="17"/>
        <v>신규</v>
      </c>
      <c r="B84" s="24" t="str">
        <f>IF(COUNTIF(R$1:R83,R84)=0,"최초","리오더")</f>
        <v>최초</v>
      </c>
      <c r="C84" s="24" t="str">
        <f t="shared" si="18"/>
        <v>PLAERF5003</v>
      </c>
      <c r="D84" s="24">
        <f t="shared" si="13"/>
        <v>0.5</v>
      </c>
      <c r="E84" s="24" t="str">
        <f t="shared" si="19"/>
        <v/>
      </c>
      <c r="F84" s="24">
        <f t="shared" si="14"/>
        <v>0</v>
      </c>
      <c r="G84" s="24" t="str">
        <f t="shared" si="20"/>
        <v>PLAERF5003NY</v>
      </c>
      <c r="H84" s="24">
        <f t="shared" si="15"/>
        <v>1</v>
      </c>
      <c r="I84" s="24" t="str">
        <f t="shared" si="21"/>
        <v/>
      </c>
      <c r="J84" s="24">
        <f t="shared" si="16"/>
        <v>0</v>
      </c>
      <c r="K84" s="24" t="str">
        <f t="shared" si="22"/>
        <v>F5</v>
      </c>
      <c r="L84" s="24" t="str">
        <f>VLOOKUP(N84,CODE!K:P,CODE!$P$1,FALSE)</f>
        <v>모자</v>
      </c>
      <c r="M84" s="24" t="str">
        <f>VLOOKUP(MID(R84,1,3),CODE!$B:$G,CODE!D$1,FALSE)</f>
        <v>PLA</v>
      </c>
      <c r="N84" s="24" t="str">
        <f t="shared" si="23"/>
        <v>ER</v>
      </c>
      <c r="O84" s="29" t="str">
        <f>IF(ISERROR(IF(VLOOKUP($N84,CODE!$K:$P,CODE!$O$1,FALSE)="",$M84,$M84&amp;"-"&amp;VLOOKUP($N84,CODE!$K:$P,CODE!$O$1,FALSE)))=TRUE,"",IF(VLOOKUP($N84,CODE!$K:$P,CODE!$O$1,FALSE)="",$M84,$M84&amp;"-"&amp;VLOOKUP($N84,CODE!$K:$P,CODE!$O$1,FALSE)))</f>
        <v>PLA</v>
      </c>
      <c r="P84" s="29" t="str">
        <f t="shared" si="24"/>
        <v>성인</v>
      </c>
      <c r="Q84" s="29" t="str">
        <f t="shared" si="25"/>
        <v>PLAERF5003</v>
      </c>
      <c r="R84" s="1" t="s">
        <v>895</v>
      </c>
      <c r="S84" s="1" t="s">
        <v>14</v>
      </c>
      <c r="T84" s="26">
        <v>1000</v>
      </c>
      <c r="U84" s="26">
        <v>63000000</v>
      </c>
      <c r="V84" s="26">
        <v>9744690</v>
      </c>
      <c r="W84" s="26">
        <v>5.8773267566979834</v>
      </c>
      <c r="X84" s="26">
        <v>1000</v>
      </c>
      <c r="Y84" s="26">
        <v>0</v>
      </c>
    </row>
    <row r="85" spans="1:25">
      <c r="A85" s="24" t="str">
        <f t="shared" si="17"/>
        <v>신규</v>
      </c>
      <c r="B85" s="24" t="str">
        <f>IF(COUNTIF(R$1:R84,R85)=0,"최초","리오더")</f>
        <v>최초</v>
      </c>
      <c r="C85" s="24" t="str">
        <f t="shared" si="18"/>
        <v>SMBFLF3001</v>
      </c>
      <c r="D85" s="24">
        <f t="shared" si="13"/>
        <v>1</v>
      </c>
      <c r="E85" s="24" t="str">
        <f t="shared" si="19"/>
        <v/>
      </c>
      <c r="F85" s="24">
        <f t="shared" si="14"/>
        <v>0</v>
      </c>
      <c r="G85" s="24" t="str">
        <f t="shared" si="20"/>
        <v>SMBFLF3001BK</v>
      </c>
      <c r="H85" s="24">
        <f t="shared" si="15"/>
        <v>1</v>
      </c>
      <c r="I85" s="24" t="str">
        <f t="shared" si="21"/>
        <v/>
      </c>
      <c r="J85" s="24">
        <f t="shared" si="16"/>
        <v>0</v>
      </c>
      <c r="K85" s="24" t="str">
        <f t="shared" si="22"/>
        <v>F3</v>
      </c>
      <c r="L85" s="24" t="str">
        <f>VLOOKUP(N85,CODE!K:P,CODE!$P$1,FALSE)</f>
        <v>모자</v>
      </c>
      <c r="M85" s="24" t="str">
        <f>VLOOKUP(MID(R85,1,3),CODE!$B:$G,CODE!D$1,FALSE)</f>
        <v>SMB</v>
      </c>
      <c r="N85" s="24" t="str">
        <f t="shared" si="23"/>
        <v>FL</v>
      </c>
      <c r="O85" s="29" t="str">
        <f>IF(ISERROR(IF(VLOOKUP($N85,CODE!$K:$P,CODE!$O$1,FALSE)="",$M85,$M85&amp;"-"&amp;VLOOKUP($N85,CODE!$K:$P,CODE!$O$1,FALSE)))=TRUE,"",IF(VLOOKUP($N85,CODE!$K:$P,CODE!$O$1,FALSE)="",$M85,$M85&amp;"-"&amp;VLOOKUP($N85,CODE!$K:$P,CODE!$O$1,FALSE)))</f>
        <v>SMB</v>
      </c>
      <c r="P85" s="29" t="str">
        <f t="shared" si="24"/>
        <v>성인</v>
      </c>
      <c r="Q85" s="29" t="str">
        <f t="shared" si="25"/>
        <v>SMBFLF3001</v>
      </c>
      <c r="R85" s="1" t="s">
        <v>896</v>
      </c>
      <c r="S85" s="1" t="s">
        <v>14</v>
      </c>
      <c r="T85" s="26">
        <v>1200</v>
      </c>
      <c r="U85" s="26">
        <v>42000000</v>
      </c>
      <c r="V85" s="26">
        <v>6815400.0000000009</v>
      </c>
      <c r="W85" s="26">
        <v>5.6022857325788911</v>
      </c>
      <c r="X85" s="26">
        <v>1199</v>
      </c>
      <c r="Y85" s="26">
        <v>0</v>
      </c>
    </row>
    <row r="86" spans="1:25">
      <c r="A86" s="24" t="str">
        <f t="shared" si="17"/>
        <v>신규</v>
      </c>
      <c r="B86" s="24" t="str">
        <f>IF(COUNTIF(R$1:R85,R86)=0,"최초","리오더")</f>
        <v>최초</v>
      </c>
      <c r="C86" s="24" t="str">
        <f t="shared" si="18"/>
        <v>SMBFLF3501</v>
      </c>
      <c r="D86" s="24">
        <f t="shared" si="13"/>
        <v>1</v>
      </c>
      <c r="E86" s="24" t="str">
        <f t="shared" si="19"/>
        <v/>
      </c>
      <c r="F86" s="24">
        <f t="shared" si="14"/>
        <v>0</v>
      </c>
      <c r="G86" s="24" t="str">
        <f t="shared" si="20"/>
        <v>SMBFLF3501BK</v>
      </c>
      <c r="H86" s="24">
        <f t="shared" si="15"/>
        <v>1</v>
      </c>
      <c r="I86" s="24" t="str">
        <f t="shared" si="21"/>
        <v/>
      </c>
      <c r="J86" s="24">
        <f t="shared" si="16"/>
        <v>0</v>
      </c>
      <c r="K86" s="24" t="str">
        <f t="shared" si="22"/>
        <v>F3</v>
      </c>
      <c r="L86" s="24" t="str">
        <f>VLOOKUP(N86,CODE!K:P,CODE!$P$1,FALSE)</f>
        <v>모자</v>
      </c>
      <c r="M86" s="24" t="str">
        <f>VLOOKUP(MID(R86,1,3),CODE!$B:$G,CODE!D$1,FALSE)</f>
        <v>SMB</v>
      </c>
      <c r="N86" s="24" t="str">
        <f t="shared" si="23"/>
        <v>FL</v>
      </c>
      <c r="O86" s="29" t="str">
        <f>IF(ISERROR(IF(VLOOKUP($N86,CODE!$K:$P,CODE!$O$1,FALSE)="",$M86,$M86&amp;"-"&amp;VLOOKUP($N86,CODE!$K:$P,CODE!$O$1,FALSE)))=TRUE,"",IF(VLOOKUP($N86,CODE!$K:$P,CODE!$O$1,FALSE)="",$M86,$M86&amp;"-"&amp;VLOOKUP($N86,CODE!$K:$P,CODE!$O$1,FALSE)))</f>
        <v>SMB</v>
      </c>
      <c r="P86" s="29" t="str">
        <f t="shared" si="24"/>
        <v>키즈</v>
      </c>
      <c r="Q86" s="29" t="str">
        <f t="shared" si="25"/>
        <v>SMBFLF3501</v>
      </c>
      <c r="R86" s="1" t="s">
        <v>897</v>
      </c>
      <c r="S86" s="1" t="s">
        <v>14</v>
      </c>
      <c r="T86" s="26">
        <v>1000</v>
      </c>
      <c r="U86" s="26">
        <v>33000000</v>
      </c>
      <c r="V86" s="26">
        <v>5679500.0000000009</v>
      </c>
      <c r="W86" s="26">
        <v>5.2821551192886682</v>
      </c>
      <c r="X86" s="26">
        <v>1000</v>
      </c>
      <c r="Y86" s="26">
        <v>0</v>
      </c>
    </row>
    <row r="87" spans="1:25">
      <c r="A87" s="24" t="str">
        <f t="shared" si="17"/>
        <v>신규</v>
      </c>
      <c r="B87" s="24" t="str">
        <f>IF(COUNTIF(R$1:R86,R87)=0,"최초","리오더")</f>
        <v>최초</v>
      </c>
      <c r="C87" s="24" t="str">
        <f t="shared" si="18"/>
        <v>SMBFLF3002</v>
      </c>
      <c r="D87" s="24">
        <f t="shared" si="13"/>
        <v>1</v>
      </c>
      <c r="E87" s="24" t="str">
        <f t="shared" si="19"/>
        <v/>
      </c>
      <c r="F87" s="24">
        <f t="shared" si="14"/>
        <v>0</v>
      </c>
      <c r="G87" s="24" t="str">
        <f t="shared" si="20"/>
        <v>SMBFLF3002BK</v>
      </c>
      <c r="H87" s="24">
        <f t="shared" si="15"/>
        <v>1</v>
      </c>
      <c r="I87" s="24" t="str">
        <f t="shared" si="21"/>
        <v/>
      </c>
      <c r="J87" s="24">
        <f t="shared" si="16"/>
        <v>0</v>
      </c>
      <c r="K87" s="24" t="str">
        <f t="shared" si="22"/>
        <v>F3</v>
      </c>
      <c r="L87" s="24" t="str">
        <f>VLOOKUP(N87,CODE!K:P,CODE!$P$1,FALSE)</f>
        <v>모자</v>
      </c>
      <c r="M87" s="24" t="str">
        <f>VLOOKUP(MID(R87,1,3),CODE!$B:$G,CODE!D$1,FALSE)</f>
        <v>SMB</v>
      </c>
      <c r="N87" s="24" t="str">
        <f t="shared" si="23"/>
        <v>FL</v>
      </c>
      <c r="O87" s="29" t="str">
        <f>IF(ISERROR(IF(VLOOKUP($N87,CODE!$K:$P,CODE!$O$1,FALSE)="",$M87,$M87&amp;"-"&amp;VLOOKUP($N87,CODE!$K:$P,CODE!$O$1,FALSE)))=TRUE,"",IF(VLOOKUP($N87,CODE!$K:$P,CODE!$O$1,FALSE)="",$M87,$M87&amp;"-"&amp;VLOOKUP($N87,CODE!$K:$P,CODE!$O$1,FALSE)))</f>
        <v>SMB</v>
      </c>
      <c r="P87" s="29" t="str">
        <f t="shared" si="24"/>
        <v>성인</v>
      </c>
      <c r="Q87" s="29" t="str">
        <f t="shared" si="25"/>
        <v>SMBFLF3002</v>
      </c>
      <c r="R87" s="1" t="s">
        <v>898</v>
      </c>
      <c r="S87" s="1" t="s">
        <v>14</v>
      </c>
      <c r="T87" s="26">
        <v>1200</v>
      </c>
      <c r="U87" s="26">
        <v>42000000</v>
      </c>
      <c r="V87" s="26">
        <v>7231200.0000000009</v>
      </c>
      <c r="W87" s="26">
        <v>5.2801496545273503</v>
      </c>
      <c r="X87" s="26">
        <v>1200</v>
      </c>
      <c r="Y87" s="26">
        <v>0</v>
      </c>
    </row>
    <row r="88" spans="1:25">
      <c r="A88" s="24" t="str">
        <f t="shared" si="17"/>
        <v>신규</v>
      </c>
      <c r="B88" s="24" t="str">
        <f>IF(COUNTIF(R$1:R87,R88)=0,"최초","리오더")</f>
        <v>최초</v>
      </c>
      <c r="C88" s="24" t="str">
        <f t="shared" si="18"/>
        <v>SMBBAF3003</v>
      </c>
      <c r="D88" s="24">
        <f t="shared" si="13"/>
        <v>0.5</v>
      </c>
      <c r="E88" s="24" t="str">
        <f t="shared" si="19"/>
        <v/>
      </c>
      <c r="F88" s="24">
        <f t="shared" si="14"/>
        <v>0</v>
      </c>
      <c r="G88" s="24" t="str">
        <f t="shared" si="20"/>
        <v>SMBBAF3003GR</v>
      </c>
      <c r="H88" s="24">
        <f t="shared" si="15"/>
        <v>1</v>
      </c>
      <c r="I88" s="24" t="str">
        <f t="shared" si="21"/>
        <v/>
      </c>
      <c r="J88" s="24">
        <f t="shared" si="16"/>
        <v>0</v>
      </c>
      <c r="K88" s="24" t="str">
        <f t="shared" si="22"/>
        <v>F3</v>
      </c>
      <c r="L88" s="24" t="str">
        <f>VLOOKUP(N88,CODE!K:P,CODE!$P$1,FALSE)</f>
        <v>모자</v>
      </c>
      <c r="M88" s="24" t="str">
        <f>VLOOKUP(MID(R88,1,3),CODE!$B:$G,CODE!D$1,FALSE)</f>
        <v>SMB</v>
      </c>
      <c r="N88" s="24" t="str">
        <f t="shared" si="23"/>
        <v>BA</v>
      </c>
      <c r="O88" s="29" t="str">
        <f>IF(ISERROR(IF(VLOOKUP($N88,CODE!$K:$P,CODE!$O$1,FALSE)="",$M88,$M88&amp;"-"&amp;VLOOKUP($N88,CODE!$K:$P,CODE!$O$1,FALSE)))=TRUE,"",IF(VLOOKUP($N88,CODE!$K:$P,CODE!$O$1,FALSE)="",$M88,$M88&amp;"-"&amp;VLOOKUP($N88,CODE!$K:$P,CODE!$O$1,FALSE)))</f>
        <v>SMB</v>
      </c>
      <c r="P88" s="29" t="str">
        <f t="shared" si="24"/>
        <v>성인</v>
      </c>
      <c r="Q88" s="29" t="str">
        <f t="shared" si="25"/>
        <v>SMBBAF3003</v>
      </c>
      <c r="R88" s="1" t="s">
        <v>899</v>
      </c>
      <c r="S88" s="1" t="s">
        <v>14</v>
      </c>
      <c r="T88" s="26">
        <v>1200</v>
      </c>
      <c r="U88" s="26">
        <v>42000000</v>
      </c>
      <c r="V88" s="26">
        <v>6810208</v>
      </c>
      <c r="W88" s="26">
        <v>5.6065568308366176</v>
      </c>
      <c r="X88" s="26">
        <v>1185</v>
      </c>
      <c r="Y88" s="26">
        <v>0</v>
      </c>
    </row>
    <row r="89" spans="1:25">
      <c r="A89" s="24" t="str">
        <f t="shared" si="17"/>
        <v>신규</v>
      </c>
      <c r="B89" s="24" t="str">
        <f>IF(COUNTIF(R$1:R88,R89)=0,"최초","리오더")</f>
        <v>최초</v>
      </c>
      <c r="C89" s="24" t="str">
        <f t="shared" si="18"/>
        <v>SMBBAF3503</v>
      </c>
      <c r="D89" s="24">
        <f t="shared" si="13"/>
        <v>0.5</v>
      </c>
      <c r="E89" s="24" t="str">
        <f t="shared" si="19"/>
        <v/>
      </c>
      <c r="F89" s="24">
        <f t="shared" si="14"/>
        <v>0</v>
      </c>
      <c r="G89" s="24" t="str">
        <f t="shared" si="20"/>
        <v>SMBBAF3503GR</v>
      </c>
      <c r="H89" s="24">
        <f t="shared" si="15"/>
        <v>1</v>
      </c>
      <c r="I89" s="24" t="str">
        <f t="shared" si="21"/>
        <v/>
      </c>
      <c r="J89" s="24">
        <f t="shared" si="16"/>
        <v>0</v>
      </c>
      <c r="K89" s="24" t="str">
        <f t="shared" si="22"/>
        <v>F3</v>
      </c>
      <c r="L89" s="24" t="str">
        <f>VLOOKUP(N89,CODE!K:P,CODE!$P$1,FALSE)</f>
        <v>모자</v>
      </c>
      <c r="M89" s="24" t="str">
        <f>VLOOKUP(MID(R89,1,3),CODE!$B:$G,CODE!D$1,FALSE)</f>
        <v>SMB</v>
      </c>
      <c r="N89" s="24" t="str">
        <f t="shared" si="23"/>
        <v>BA</v>
      </c>
      <c r="O89" s="29" t="str">
        <f>IF(ISERROR(IF(VLOOKUP($N89,CODE!$K:$P,CODE!$O$1,FALSE)="",$M89,$M89&amp;"-"&amp;VLOOKUP($N89,CODE!$K:$P,CODE!$O$1,FALSE)))=TRUE,"",IF(VLOOKUP($N89,CODE!$K:$P,CODE!$O$1,FALSE)="",$M89,$M89&amp;"-"&amp;VLOOKUP($N89,CODE!$K:$P,CODE!$O$1,FALSE)))</f>
        <v>SMB</v>
      </c>
      <c r="P89" s="29" t="str">
        <f t="shared" si="24"/>
        <v>키즈</v>
      </c>
      <c r="Q89" s="29" t="str">
        <f t="shared" si="25"/>
        <v>SMBBAF3503</v>
      </c>
      <c r="R89" s="1" t="s">
        <v>900</v>
      </c>
      <c r="S89" s="1" t="s">
        <v>14</v>
      </c>
      <c r="T89" s="26">
        <v>1000</v>
      </c>
      <c r="U89" s="26">
        <v>33000000</v>
      </c>
      <c r="V89" s="26">
        <v>5851240</v>
      </c>
      <c r="W89" s="26">
        <v>5.1271183544000927</v>
      </c>
      <c r="X89" s="26">
        <v>952</v>
      </c>
      <c r="Y89" s="26">
        <v>0</v>
      </c>
    </row>
    <row r="90" spans="1:25">
      <c r="A90" s="24" t="str">
        <f t="shared" si="17"/>
        <v>신규</v>
      </c>
      <c r="B90" s="24" t="str">
        <f>IF(COUNTIF(R$1:R89,R90)=0,"최초","리오더")</f>
        <v>최초</v>
      </c>
      <c r="C90" s="24" t="str">
        <f t="shared" si="18"/>
        <v>SMBBAF3003</v>
      </c>
      <c r="D90" s="24">
        <f t="shared" si="13"/>
        <v>0.5</v>
      </c>
      <c r="E90" s="24" t="str">
        <f t="shared" si="19"/>
        <v/>
      </c>
      <c r="F90" s="24">
        <f t="shared" si="14"/>
        <v>0</v>
      </c>
      <c r="G90" s="24" t="str">
        <f t="shared" si="20"/>
        <v>SMBBAF3003OR</v>
      </c>
      <c r="H90" s="24">
        <f t="shared" si="15"/>
        <v>1</v>
      </c>
      <c r="I90" s="24" t="str">
        <f t="shared" si="21"/>
        <v/>
      </c>
      <c r="J90" s="24">
        <f t="shared" si="16"/>
        <v>0</v>
      </c>
      <c r="K90" s="24" t="str">
        <f t="shared" si="22"/>
        <v>F3</v>
      </c>
      <c r="L90" s="24" t="str">
        <f>VLOOKUP(N90,CODE!K:P,CODE!$P$1,FALSE)</f>
        <v>모자</v>
      </c>
      <c r="M90" s="24" t="str">
        <f>VLOOKUP(MID(R90,1,3),CODE!$B:$G,CODE!D$1,FALSE)</f>
        <v>SMB</v>
      </c>
      <c r="N90" s="24" t="str">
        <f t="shared" si="23"/>
        <v>BA</v>
      </c>
      <c r="O90" s="29" t="str">
        <f>IF(ISERROR(IF(VLOOKUP($N90,CODE!$K:$P,CODE!$O$1,FALSE)="",$M90,$M90&amp;"-"&amp;VLOOKUP($N90,CODE!$K:$P,CODE!$O$1,FALSE)))=TRUE,"",IF(VLOOKUP($N90,CODE!$K:$P,CODE!$O$1,FALSE)="",$M90,$M90&amp;"-"&amp;VLOOKUP($N90,CODE!$K:$P,CODE!$O$1,FALSE)))</f>
        <v>SMB</v>
      </c>
      <c r="P90" s="29" t="str">
        <f t="shared" si="24"/>
        <v>성인</v>
      </c>
      <c r="Q90" s="29" t="str">
        <f t="shared" si="25"/>
        <v>SMBBAF3003</v>
      </c>
      <c r="R90" s="1" t="s">
        <v>901</v>
      </c>
      <c r="S90" s="1" t="s">
        <v>14</v>
      </c>
      <c r="T90" s="26">
        <v>1200</v>
      </c>
      <c r="U90" s="26">
        <v>42000000</v>
      </c>
      <c r="V90" s="26">
        <v>6810208</v>
      </c>
      <c r="W90" s="26">
        <v>5.6065568308366176</v>
      </c>
      <c r="X90" s="26">
        <v>1188</v>
      </c>
      <c r="Y90" s="26">
        <v>0</v>
      </c>
    </row>
    <row r="91" spans="1:25">
      <c r="A91" s="24" t="str">
        <f t="shared" si="17"/>
        <v>신규</v>
      </c>
      <c r="B91" s="24" t="str">
        <f>IF(COUNTIF(R$1:R90,R91)=0,"최초","리오더")</f>
        <v>최초</v>
      </c>
      <c r="C91" s="24" t="str">
        <f t="shared" si="18"/>
        <v>SMBBAF3503</v>
      </c>
      <c r="D91" s="24">
        <f t="shared" si="13"/>
        <v>0.5</v>
      </c>
      <c r="E91" s="24" t="str">
        <f t="shared" si="19"/>
        <v/>
      </c>
      <c r="F91" s="24">
        <f t="shared" si="14"/>
        <v>0</v>
      </c>
      <c r="G91" s="24" t="str">
        <f t="shared" si="20"/>
        <v>SMBBAF3503OR</v>
      </c>
      <c r="H91" s="24">
        <f t="shared" si="15"/>
        <v>1</v>
      </c>
      <c r="I91" s="24" t="str">
        <f t="shared" si="21"/>
        <v/>
      </c>
      <c r="J91" s="24">
        <f t="shared" si="16"/>
        <v>0</v>
      </c>
      <c r="K91" s="24" t="str">
        <f t="shared" si="22"/>
        <v>F3</v>
      </c>
      <c r="L91" s="24" t="str">
        <f>VLOOKUP(N91,CODE!K:P,CODE!$P$1,FALSE)</f>
        <v>모자</v>
      </c>
      <c r="M91" s="24" t="str">
        <f>VLOOKUP(MID(R91,1,3),CODE!$B:$G,CODE!D$1,FALSE)</f>
        <v>SMB</v>
      </c>
      <c r="N91" s="24" t="str">
        <f t="shared" si="23"/>
        <v>BA</v>
      </c>
      <c r="O91" s="29" t="str">
        <f>IF(ISERROR(IF(VLOOKUP($N91,CODE!$K:$P,CODE!$O$1,FALSE)="",$M91,$M91&amp;"-"&amp;VLOOKUP($N91,CODE!$K:$P,CODE!$O$1,FALSE)))=TRUE,"",IF(VLOOKUP($N91,CODE!$K:$P,CODE!$O$1,FALSE)="",$M91,$M91&amp;"-"&amp;VLOOKUP($N91,CODE!$K:$P,CODE!$O$1,FALSE)))</f>
        <v>SMB</v>
      </c>
      <c r="P91" s="29" t="str">
        <f t="shared" si="24"/>
        <v>키즈</v>
      </c>
      <c r="Q91" s="29" t="str">
        <f t="shared" si="25"/>
        <v>SMBBAF3503</v>
      </c>
      <c r="R91" s="1" t="s">
        <v>902</v>
      </c>
      <c r="S91" s="1" t="s">
        <v>14</v>
      </c>
      <c r="T91" s="26">
        <v>1000</v>
      </c>
      <c r="U91" s="26">
        <v>33000000</v>
      </c>
      <c r="V91" s="26">
        <v>5851240</v>
      </c>
      <c r="W91" s="26">
        <v>5.1271183544000927</v>
      </c>
      <c r="X91" s="26">
        <v>991</v>
      </c>
      <c r="Y91" s="26">
        <v>0</v>
      </c>
    </row>
    <row r="92" spans="1:25">
      <c r="A92" s="24" t="str">
        <f t="shared" si="17"/>
        <v>신규</v>
      </c>
      <c r="B92" s="24" t="str">
        <f>IF(COUNTIF(R$1:R91,R92)=0,"최초","리오더")</f>
        <v>최초</v>
      </c>
      <c r="C92" s="24" t="str">
        <f t="shared" si="18"/>
        <v>SMBBAF3004</v>
      </c>
      <c r="D92" s="24">
        <f t="shared" si="13"/>
        <v>0.5</v>
      </c>
      <c r="E92" s="24" t="str">
        <f t="shared" si="19"/>
        <v/>
      </c>
      <c r="F92" s="24">
        <f t="shared" si="14"/>
        <v>0</v>
      </c>
      <c r="G92" s="24" t="str">
        <f t="shared" si="20"/>
        <v>SMBBAF3004BU</v>
      </c>
      <c r="H92" s="24">
        <f t="shared" si="15"/>
        <v>1</v>
      </c>
      <c r="I92" s="24" t="str">
        <f t="shared" si="21"/>
        <v/>
      </c>
      <c r="J92" s="24">
        <f t="shared" si="16"/>
        <v>0</v>
      </c>
      <c r="K92" s="24" t="str">
        <f t="shared" si="22"/>
        <v>F3</v>
      </c>
      <c r="L92" s="24" t="str">
        <f>VLOOKUP(N92,CODE!K:P,CODE!$P$1,FALSE)</f>
        <v>모자</v>
      </c>
      <c r="M92" s="24" t="str">
        <f>VLOOKUP(MID(R92,1,3),CODE!$B:$G,CODE!D$1,FALSE)</f>
        <v>SMB</v>
      </c>
      <c r="N92" s="24" t="str">
        <f t="shared" si="23"/>
        <v>BA</v>
      </c>
      <c r="O92" s="29" t="str">
        <f>IF(ISERROR(IF(VLOOKUP($N92,CODE!$K:$P,CODE!$O$1,FALSE)="",$M92,$M92&amp;"-"&amp;VLOOKUP($N92,CODE!$K:$P,CODE!$O$1,FALSE)))=TRUE,"",IF(VLOOKUP($N92,CODE!$K:$P,CODE!$O$1,FALSE)="",$M92,$M92&amp;"-"&amp;VLOOKUP($N92,CODE!$K:$P,CODE!$O$1,FALSE)))</f>
        <v>SMB</v>
      </c>
      <c r="P92" s="29" t="str">
        <f t="shared" si="24"/>
        <v>성인</v>
      </c>
      <c r="Q92" s="29" t="str">
        <f t="shared" si="25"/>
        <v>SMBBAF3004</v>
      </c>
      <c r="R92" s="1" t="s">
        <v>903</v>
      </c>
      <c r="S92" s="1" t="s">
        <v>14</v>
      </c>
      <c r="T92" s="26">
        <v>1200</v>
      </c>
      <c r="U92" s="26">
        <v>42000000</v>
      </c>
      <c r="V92" s="26">
        <v>6161208</v>
      </c>
      <c r="W92" s="26">
        <v>6.1971318257423187</v>
      </c>
      <c r="X92" s="26">
        <v>1129</v>
      </c>
      <c r="Y92" s="26">
        <v>0</v>
      </c>
    </row>
    <row r="93" spans="1:25">
      <c r="A93" s="24" t="str">
        <f t="shared" si="17"/>
        <v>신규</v>
      </c>
      <c r="B93" s="24" t="str">
        <f>IF(COUNTIF(R$1:R92,R93)=0,"최초","리오더")</f>
        <v>최초</v>
      </c>
      <c r="C93" s="24" t="str">
        <f t="shared" si="18"/>
        <v>SMBBAF3004</v>
      </c>
      <c r="D93" s="24">
        <f t="shared" si="13"/>
        <v>0.5</v>
      </c>
      <c r="E93" s="24" t="str">
        <f t="shared" si="19"/>
        <v/>
      </c>
      <c r="F93" s="24">
        <f t="shared" si="14"/>
        <v>0</v>
      </c>
      <c r="G93" s="24" t="str">
        <f t="shared" si="20"/>
        <v>SMBBAF3004BL</v>
      </c>
      <c r="H93" s="24">
        <f t="shared" si="15"/>
        <v>1</v>
      </c>
      <c r="I93" s="24" t="str">
        <f t="shared" si="21"/>
        <v/>
      </c>
      <c r="J93" s="24">
        <f t="shared" si="16"/>
        <v>0</v>
      </c>
      <c r="K93" s="24" t="str">
        <f t="shared" si="22"/>
        <v>F3</v>
      </c>
      <c r="L93" s="24" t="str">
        <f>VLOOKUP(N93,CODE!K:P,CODE!$P$1,FALSE)</f>
        <v>모자</v>
      </c>
      <c r="M93" s="24" t="str">
        <f>VLOOKUP(MID(R93,1,3),CODE!$B:$G,CODE!D$1,FALSE)</f>
        <v>SMB</v>
      </c>
      <c r="N93" s="24" t="str">
        <f t="shared" si="23"/>
        <v>BA</v>
      </c>
      <c r="O93" s="29" t="str">
        <f>IF(ISERROR(IF(VLOOKUP($N93,CODE!$K:$P,CODE!$O$1,FALSE)="",$M93,$M93&amp;"-"&amp;VLOOKUP($N93,CODE!$K:$P,CODE!$O$1,FALSE)))=TRUE,"",IF(VLOOKUP($N93,CODE!$K:$P,CODE!$O$1,FALSE)="",$M93,$M93&amp;"-"&amp;VLOOKUP($N93,CODE!$K:$P,CODE!$O$1,FALSE)))</f>
        <v>SMB</v>
      </c>
      <c r="P93" s="29" t="str">
        <f t="shared" si="24"/>
        <v>성인</v>
      </c>
      <c r="Q93" s="29" t="str">
        <f t="shared" si="25"/>
        <v>SMBBAF3004</v>
      </c>
      <c r="R93" s="1" t="s">
        <v>904</v>
      </c>
      <c r="S93" s="1" t="s">
        <v>14</v>
      </c>
      <c r="T93" s="26">
        <v>1000</v>
      </c>
      <c r="U93" s="26">
        <v>35000000</v>
      </c>
      <c r="V93" s="26">
        <v>5134340</v>
      </c>
      <c r="W93" s="26">
        <v>6.1971318257423187</v>
      </c>
      <c r="X93" s="26">
        <v>981</v>
      </c>
      <c r="Y93" s="26">
        <v>0</v>
      </c>
    </row>
    <row r="94" spans="1:25">
      <c r="A94" s="24" t="str">
        <f t="shared" si="17"/>
        <v>신규</v>
      </c>
      <c r="B94" s="24" t="str">
        <f>IF(COUNTIF(R$1:R93,R94)=0,"최초","리오더")</f>
        <v>최초</v>
      </c>
      <c r="C94" s="24" t="str">
        <f t="shared" si="18"/>
        <v>SMBSNF3001</v>
      </c>
      <c r="D94" s="24">
        <f t="shared" si="13"/>
        <v>0.5</v>
      </c>
      <c r="E94" s="24" t="str">
        <f t="shared" si="19"/>
        <v/>
      </c>
      <c r="F94" s="24">
        <f t="shared" si="14"/>
        <v>0</v>
      </c>
      <c r="G94" s="24" t="str">
        <f t="shared" si="20"/>
        <v>SMBSNF3001NY</v>
      </c>
      <c r="H94" s="24">
        <f t="shared" si="15"/>
        <v>1</v>
      </c>
      <c r="I94" s="24" t="str">
        <f t="shared" si="21"/>
        <v/>
      </c>
      <c r="J94" s="24">
        <f t="shared" si="16"/>
        <v>0</v>
      </c>
      <c r="K94" s="24" t="str">
        <f t="shared" si="22"/>
        <v>F3</v>
      </c>
      <c r="L94" s="24" t="str">
        <f>VLOOKUP(N94,CODE!K:P,CODE!$P$1,FALSE)</f>
        <v>모자</v>
      </c>
      <c r="M94" s="24" t="str">
        <f>VLOOKUP(MID(R94,1,3),CODE!$B:$G,CODE!D$1,FALSE)</f>
        <v>SMB</v>
      </c>
      <c r="N94" s="24" t="str">
        <f t="shared" si="23"/>
        <v>SN</v>
      </c>
      <c r="O94" s="29" t="str">
        <f>IF(ISERROR(IF(VLOOKUP($N94,CODE!$K:$P,CODE!$O$1,FALSE)="",$M94,$M94&amp;"-"&amp;VLOOKUP($N94,CODE!$K:$P,CODE!$O$1,FALSE)))=TRUE,"",IF(VLOOKUP($N94,CODE!$K:$P,CODE!$O$1,FALSE)="",$M94,$M94&amp;"-"&amp;VLOOKUP($N94,CODE!$K:$P,CODE!$O$1,FALSE)))</f>
        <v>SMB</v>
      </c>
      <c r="P94" s="29" t="str">
        <f t="shared" si="24"/>
        <v>성인</v>
      </c>
      <c r="Q94" s="29" t="str">
        <f t="shared" si="25"/>
        <v>SMBSNF3001</v>
      </c>
      <c r="R94" s="1" t="s">
        <v>905</v>
      </c>
      <c r="S94" s="1" t="s">
        <v>14</v>
      </c>
      <c r="T94" s="26">
        <v>1500</v>
      </c>
      <c r="U94" s="26">
        <v>58500000</v>
      </c>
      <c r="V94" s="26">
        <v>8240295.0000000009</v>
      </c>
      <c r="W94" s="26">
        <v>6.4538730933562656</v>
      </c>
      <c r="X94" s="26">
        <v>1509</v>
      </c>
      <c r="Y94" s="26">
        <v>0</v>
      </c>
    </row>
    <row r="95" spans="1:25">
      <c r="A95" s="24" t="str">
        <f t="shared" si="17"/>
        <v>신규</v>
      </c>
      <c r="B95" s="24" t="str">
        <f>IF(COUNTIF(R$1:R94,R95)=0,"최초","리오더")</f>
        <v>최초</v>
      </c>
      <c r="C95" s="24" t="str">
        <f t="shared" si="18"/>
        <v>SMBSNF3001</v>
      </c>
      <c r="D95" s="24">
        <f t="shared" si="13"/>
        <v>0.5</v>
      </c>
      <c r="E95" s="24" t="str">
        <f t="shared" si="19"/>
        <v/>
      </c>
      <c r="F95" s="24">
        <f t="shared" si="14"/>
        <v>0</v>
      </c>
      <c r="G95" s="24" t="str">
        <f t="shared" si="20"/>
        <v>SMBSNF3001BU</v>
      </c>
      <c r="H95" s="24">
        <f t="shared" si="15"/>
        <v>1</v>
      </c>
      <c r="I95" s="24" t="str">
        <f t="shared" si="21"/>
        <v/>
      </c>
      <c r="J95" s="24">
        <f t="shared" si="16"/>
        <v>0</v>
      </c>
      <c r="K95" s="24" t="str">
        <f t="shared" si="22"/>
        <v>F3</v>
      </c>
      <c r="L95" s="24" t="str">
        <f>VLOOKUP(N95,CODE!K:P,CODE!$P$1,FALSE)</f>
        <v>모자</v>
      </c>
      <c r="M95" s="24" t="str">
        <f>VLOOKUP(MID(R95,1,3),CODE!$B:$G,CODE!D$1,FALSE)</f>
        <v>SMB</v>
      </c>
      <c r="N95" s="24" t="str">
        <f t="shared" si="23"/>
        <v>SN</v>
      </c>
      <c r="O95" s="29" t="str">
        <f>IF(ISERROR(IF(VLOOKUP($N95,CODE!$K:$P,CODE!$O$1,FALSE)="",$M95,$M95&amp;"-"&amp;VLOOKUP($N95,CODE!$K:$P,CODE!$O$1,FALSE)))=TRUE,"",IF(VLOOKUP($N95,CODE!$K:$P,CODE!$O$1,FALSE)="",$M95,$M95&amp;"-"&amp;VLOOKUP($N95,CODE!$K:$P,CODE!$O$1,FALSE)))</f>
        <v>SMB</v>
      </c>
      <c r="P95" s="29" t="str">
        <f t="shared" si="24"/>
        <v>성인</v>
      </c>
      <c r="Q95" s="29" t="str">
        <f t="shared" si="25"/>
        <v>SMBSNF3001</v>
      </c>
      <c r="R95" s="1" t="s">
        <v>906</v>
      </c>
      <c r="S95" s="1" t="s">
        <v>14</v>
      </c>
      <c r="T95" s="26">
        <v>1200</v>
      </c>
      <c r="U95" s="26">
        <v>46800000</v>
      </c>
      <c r="V95" s="26">
        <v>6598236.0000000009</v>
      </c>
      <c r="W95" s="26">
        <v>6.4480043674482905</v>
      </c>
      <c r="X95" s="26">
        <v>1192</v>
      </c>
      <c r="Y95" s="26">
        <v>0</v>
      </c>
    </row>
    <row r="96" spans="1:25">
      <c r="A96" s="24" t="str">
        <f t="shared" si="17"/>
        <v>신규</v>
      </c>
      <c r="B96" s="24" t="str">
        <f>IF(COUNTIF(R$1:R95,R96)=0,"최초","리오더")</f>
        <v>최초</v>
      </c>
      <c r="C96" s="24" t="str">
        <f t="shared" si="18"/>
        <v>SMBSNF3002</v>
      </c>
      <c r="D96" s="24">
        <f t="shared" si="13"/>
        <v>0.5</v>
      </c>
      <c r="E96" s="24" t="str">
        <f t="shared" si="19"/>
        <v/>
      </c>
      <c r="F96" s="24">
        <f t="shared" si="14"/>
        <v>0</v>
      </c>
      <c r="G96" s="24" t="str">
        <f t="shared" si="20"/>
        <v>SMBSNF3002BL</v>
      </c>
      <c r="H96" s="24">
        <f t="shared" si="15"/>
        <v>1</v>
      </c>
      <c r="I96" s="24" t="str">
        <f t="shared" si="21"/>
        <v/>
      </c>
      <c r="J96" s="24">
        <f t="shared" si="16"/>
        <v>0</v>
      </c>
      <c r="K96" s="24" t="str">
        <f t="shared" si="22"/>
        <v>F3</v>
      </c>
      <c r="L96" s="24" t="str">
        <f>VLOOKUP(N96,CODE!K:P,CODE!$P$1,FALSE)</f>
        <v>모자</v>
      </c>
      <c r="M96" s="24" t="str">
        <f>VLOOKUP(MID(R96,1,3),CODE!$B:$G,CODE!D$1,FALSE)</f>
        <v>SMB</v>
      </c>
      <c r="N96" s="24" t="str">
        <f t="shared" si="23"/>
        <v>SN</v>
      </c>
      <c r="O96" s="29" t="str">
        <f>IF(ISERROR(IF(VLOOKUP($N96,CODE!$K:$P,CODE!$O$1,FALSE)="",$M96,$M96&amp;"-"&amp;VLOOKUP($N96,CODE!$K:$P,CODE!$O$1,FALSE)))=TRUE,"",IF(VLOOKUP($N96,CODE!$K:$P,CODE!$O$1,FALSE)="",$M96,$M96&amp;"-"&amp;VLOOKUP($N96,CODE!$K:$P,CODE!$O$1,FALSE)))</f>
        <v>SMB</v>
      </c>
      <c r="P96" s="29" t="str">
        <f t="shared" si="24"/>
        <v>성인</v>
      </c>
      <c r="Q96" s="29" t="str">
        <f t="shared" si="25"/>
        <v>SMBSNF3002</v>
      </c>
      <c r="R96" s="1" t="s">
        <v>907</v>
      </c>
      <c r="S96" s="1" t="s">
        <v>14</v>
      </c>
      <c r="T96" s="26">
        <v>1200</v>
      </c>
      <c r="U96" s="26">
        <v>46800000</v>
      </c>
      <c r="V96" s="26">
        <v>5263080.0000000009</v>
      </c>
      <c r="W96" s="26">
        <v>8.0837560032252096</v>
      </c>
      <c r="X96" s="26">
        <v>1196</v>
      </c>
      <c r="Y96" s="26">
        <v>0</v>
      </c>
    </row>
    <row r="97" spans="1:25">
      <c r="A97" s="24" t="str">
        <f t="shared" si="17"/>
        <v>신규</v>
      </c>
      <c r="B97" s="24" t="str">
        <f>IF(COUNTIF(R$1:R96,R97)=0,"최초","리오더")</f>
        <v>최초</v>
      </c>
      <c r="C97" s="24" t="str">
        <f t="shared" si="18"/>
        <v>SMBSNF3502</v>
      </c>
      <c r="D97" s="24">
        <f t="shared" si="13"/>
        <v>1</v>
      </c>
      <c r="E97" s="24" t="str">
        <f t="shared" si="19"/>
        <v/>
      </c>
      <c r="F97" s="24">
        <f t="shared" si="14"/>
        <v>0</v>
      </c>
      <c r="G97" s="24" t="str">
        <f t="shared" si="20"/>
        <v>SMBSNF3502BL</v>
      </c>
      <c r="H97" s="24">
        <f t="shared" si="15"/>
        <v>1</v>
      </c>
      <c r="I97" s="24" t="str">
        <f t="shared" si="21"/>
        <v/>
      </c>
      <c r="J97" s="24">
        <f t="shared" si="16"/>
        <v>0</v>
      </c>
      <c r="K97" s="24" t="str">
        <f t="shared" si="22"/>
        <v>F3</v>
      </c>
      <c r="L97" s="24" t="str">
        <f>VLOOKUP(N97,CODE!K:P,CODE!$P$1,FALSE)</f>
        <v>모자</v>
      </c>
      <c r="M97" s="24" t="str">
        <f>VLOOKUP(MID(R97,1,3),CODE!$B:$G,CODE!D$1,FALSE)</f>
        <v>SMB</v>
      </c>
      <c r="N97" s="24" t="str">
        <f t="shared" si="23"/>
        <v>SN</v>
      </c>
      <c r="O97" s="29" t="str">
        <f>IF(ISERROR(IF(VLOOKUP($N97,CODE!$K:$P,CODE!$O$1,FALSE)="",$M97,$M97&amp;"-"&amp;VLOOKUP($N97,CODE!$K:$P,CODE!$O$1,FALSE)))=TRUE,"",IF(VLOOKUP($N97,CODE!$K:$P,CODE!$O$1,FALSE)="",$M97,$M97&amp;"-"&amp;VLOOKUP($N97,CODE!$K:$P,CODE!$O$1,FALSE)))</f>
        <v>SMB</v>
      </c>
      <c r="P97" s="29" t="str">
        <f t="shared" si="24"/>
        <v>키즈</v>
      </c>
      <c r="Q97" s="29" t="str">
        <f t="shared" si="25"/>
        <v>SMBSNF3502</v>
      </c>
      <c r="R97" s="1" t="s">
        <v>908</v>
      </c>
      <c r="S97" s="1" t="s">
        <v>14</v>
      </c>
      <c r="T97" s="26">
        <v>1000</v>
      </c>
      <c r="U97" s="26">
        <v>35000000</v>
      </c>
      <c r="V97" s="26">
        <v>4565900.0000000009</v>
      </c>
      <c r="W97" s="26">
        <v>6.9686549898556267</v>
      </c>
      <c r="X97" s="26">
        <v>1000</v>
      </c>
      <c r="Y97" s="26">
        <v>0</v>
      </c>
    </row>
    <row r="98" spans="1:25">
      <c r="A98" s="24" t="str">
        <f t="shared" si="17"/>
        <v>신규</v>
      </c>
      <c r="B98" s="24" t="str">
        <f>IF(COUNTIF(R$1:R97,R98)=0,"최초","리오더")</f>
        <v>최초</v>
      </c>
      <c r="C98" s="24" t="str">
        <f t="shared" si="18"/>
        <v>SMBSNF3002</v>
      </c>
      <c r="D98" s="24">
        <f t="shared" si="13"/>
        <v>0.5</v>
      </c>
      <c r="E98" s="24" t="str">
        <f t="shared" si="19"/>
        <v/>
      </c>
      <c r="F98" s="24">
        <f t="shared" si="14"/>
        <v>0</v>
      </c>
      <c r="G98" s="24" t="str">
        <f t="shared" si="20"/>
        <v>SMBSNF3002BK</v>
      </c>
      <c r="H98" s="24">
        <f t="shared" si="15"/>
        <v>1</v>
      </c>
      <c r="I98" s="24" t="str">
        <f t="shared" si="21"/>
        <v/>
      </c>
      <c r="J98" s="24">
        <f t="shared" si="16"/>
        <v>0</v>
      </c>
      <c r="K98" s="24" t="str">
        <f t="shared" si="22"/>
        <v>F3</v>
      </c>
      <c r="L98" s="24" t="str">
        <f>VLOOKUP(N98,CODE!K:P,CODE!$P$1,FALSE)</f>
        <v>모자</v>
      </c>
      <c r="M98" s="24" t="str">
        <f>VLOOKUP(MID(R98,1,3),CODE!$B:$G,CODE!D$1,FALSE)</f>
        <v>SMB</v>
      </c>
      <c r="N98" s="24" t="str">
        <f t="shared" si="23"/>
        <v>SN</v>
      </c>
      <c r="O98" s="29" t="str">
        <f>IF(ISERROR(IF(VLOOKUP($N98,CODE!$K:$P,CODE!$O$1,FALSE)="",$M98,$M98&amp;"-"&amp;VLOOKUP($N98,CODE!$K:$P,CODE!$O$1,FALSE)))=TRUE,"",IF(VLOOKUP($N98,CODE!$K:$P,CODE!$O$1,FALSE)="",$M98,$M98&amp;"-"&amp;VLOOKUP($N98,CODE!$K:$P,CODE!$O$1,FALSE)))</f>
        <v>SMB</v>
      </c>
      <c r="P98" s="29" t="str">
        <f t="shared" si="24"/>
        <v>성인</v>
      </c>
      <c r="Q98" s="29" t="str">
        <f t="shared" si="25"/>
        <v>SMBSNF3002</v>
      </c>
      <c r="R98" s="1" t="s">
        <v>909</v>
      </c>
      <c r="S98" s="1" t="s">
        <v>14</v>
      </c>
      <c r="T98" s="26">
        <v>1200</v>
      </c>
      <c r="U98" s="26">
        <v>46800000</v>
      </c>
      <c r="V98" s="26">
        <v>5263080.0000000009</v>
      </c>
      <c r="W98" s="26">
        <v>8.0837560032252096</v>
      </c>
      <c r="X98" s="26">
        <v>900</v>
      </c>
      <c r="Y98" s="26">
        <v>0</v>
      </c>
    </row>
    <row r="99" spans="1:25">
      <c r="A99" s="24" t="str">
        <f t="shared" si="17"/>
        <v>신규</v>
      </c>
      <c r="B99" s="24" t="str">
        <f>IF(COUNTIF(R$1:R98,R99)=0,"최초","리오더")</f>
        <v>최초</v>
      </c>
      <c r="C99" s="24" t="str">
        <f t="shared" si="18"/>
        <v>SMBFIF3003</v>
      </c>
      <c r="D99" s="24">
        <f t="shared" si="13"/>
        <v>0.33333333333333331</v>
      </c>
      <c r="E99" s="24" t="str">
        <f t="shared" si="19"/>
        <v/>
      </c>
      <c r="F99" s="24">
        <f t="shared" si="14"/>
        <v>0</v>
      </c>
      <c r="G99" s="24" t="str">
        <f t="shared" si="20"/>
        <v>SMBFIF3003BK</v>
      </c>
      <c r="H99" s="24">
        <f t="shared" si="15"/>
        <v>1</v>
      </c>
      <c r="I99" s="24" t="str">
        <f t="shared" si="21"/>
        <v/>
      </c>
      <c r="J99" s="24">
        <f t="shared" si="16"/>
        <v>0</v>
      </c>
      <c r="K99" s="24" t="str">
        <f t="shared" si="22"/>
        <v>F3</v>
      </c>
      <c r="L99" s="24" t="str">
        <f>VLOOKUP(N99,CODE!K:P,CODE!$P$1,FALSE)</f>
        <v>모자</v>
      </c>
      <c r="M99" s="24" t="str">
        <f>VLOOKUP(MID(R99,1,3),CODE!$B:$G,CODE!D$1,FALSE)</f>
        <v>SMB</v>
      </c>
      <c r="N99" s="24" t="str">
        <f t="shared" si="23"/>
        <v>FI</v>
      </c>
      <c r="O99" s="29" t="str">
        <f>IF(ISERROR(IF(VLOOKUP($N99,CODE!$K:$P,CODE!$O$1,FALSE)="",$M99,$M99&amp;"-"&amp;VLOOKUP($N99,CODE!$K:$P,CODE!$O$1,FALSE)))=TRUE,"",IF(VLOOKUP($N99,CODE!$K:$P,CODE!$O$1,FALSE)="",$M99,$M99&amp;"-"&amp;VLOOKUP($N99,CODE!$K:$P,CODE!$O$1,FALSE)))</f>
        <v>SMB</v>
      </c>
      <c r="P99" s="29" t="str">
        <f t="shared" si="24"/>
        <v>성인</v>
      </c>
      <c r="Q99" s="29" t="str">
        <f t="shared" si="25"/>
        <v>SMBFIF3003</v>
      </c>
      <c r="R99" s="1" t="s">
        <v>910</v>
      </c>
      <c r="S99" s="1" t="s">
        <v>14</v>
      </c>
      <c r="T99" s="26">
        <v>1500</v>
      </c>
      <c r="U99" s="26">
        <v>64500000</v>
      </c>
      <c r="V99" s="26">
        <v>5830410.0000000009</v>
      </c>
      <c r="W99" s="26">
        <v>10.0569880396685</v>
      </c>
      <c r="X99" s="26">
        <v>1499</v>
      </c>
      <c r="Y99" s="26">
        <v>0</v>
      </c>
    </row>
    <row r="100" spans="1:25">
      <c r="A100" s="24" t="str">
        <f t="shared" si="17"/>
        <v>신규</v>
      </c>
      <c r="B100" s="24" t="str">
        <f>IF(COUNTIF(R$1:R99,R100)=0,"최초","리오더")</f>
        <v>최초</v>
      </c>
      <c r="C100" s="24" t="str">
        <f t="shared" si="18"/>
        <v>SMBFIF3003</v>
      </c>
      <c r="D100" s="24">
        <f t="shared" si="13"/>
        <v>0.33333333333333331</v>
      </c>
      <c r="E100" s="24" t="str">
        <f t="shared" si="19"/>
        <v/>
      </c>
      <c r="F100" s="24">
        <f t="shared" si="14"/>
        <v>0</v>
      </c>
      <c r="G100" s="24" t="str">
        <f t="shared" si="20"/>
        <v>SMBFIF3003KH</v>
      </c>
      <c r="H100" s="24">
        <f t="shared" si="15"/>
        <v>1</v>
      </c>
      <c r="I100" s="24" t="str">
        <f t="shared" si="21"/>
        <v/>
      </c>
      <c r="J100" s="24">
        <f t="shared" si="16"/>
        <v>0</v>
      </c>
      <c r="K100" s="24" t="str">
        <f t="shared" si="22"/>
        <v>F3</v>
      </c>
      <c r="L100" s="24" t="str">
        <f>VLOOKUP(N100,CODE!K:P,CODE!$P$1,FALSE)</f>
        <v>모자</v>
      </c>
      <c r="M100" s="24" t="str">
        <f>VLOOKUP(MID(R100,1,3),CODE!$B:$G,CODE!D$1,FALSE)</f>
        <v>SMB</v>
      </c>
      <c r="N100" s="24" t="str">
        <f t="shared" si="23"/>
        <v>FI</v>
      </c>
      <c r="O100" s="29" t="str">
        <f>IF(ISERROR(IF(VLOOKUP($N100,CODE!$K:$P,CODE!$O$1,FALSE)="",$M100,$M100&amp;"-"&amp;VLOOKUP($N100,CODE!$K:$P,CODE!$O$1,FALSE)))=TRUE,"",IF(VLOOKUP($N100,CODE!$K:$P,CODE!$O$1,FALSE)="",$M100,$M100&amp;"-"&amp;VLOOKUP($N100,CODE!$K:$P,CODE!$O$1,FALSE)))</f>
        <v>SMB</v>
      </c>
      <c r="P100" s="29" t="str">
        <f t="shared" si="24"/>
        <v>성인</v>
      </c>
      <c r="Q100" s="29" t="str">
        <f t="shared" si="25"/>
        <v>SMBFIF3003</v>
      </c>
      <c r="R100" s="1" t="s">
        <v>911</v>
      </c>
      <c r="S100" s="1" t="s">
        <v>14</v>
      </c>
      <c r="T100" s="26">
        <v>1200</v>
      </c>
      <c r="U100" s="26">
        <v>51600000</v>
      </c>
      <c r="V100" s="26">
        <v>4814016</v>
      </c>
      <c r="W100" s="26">
        <v>9.7442739926686794</v>
      </c>
      <c r="X100" s="26">
        <v>1200</v>
      </c>
      <c r="Y100" s="26">
        <v>0</v>
      </c>
    </row>
    <row r="101" spans="1:25">
      <c r="A101" s="24" t="str">
        <f t="shared" si="17"/>
        <v>신규</v>
      </c>
      <c r="B101" s="24" t="str">
        <f>IF(COUNTIF(R$1:R100,R101)=0,"최초","리오더")</f>
        <v>최초</v>
      </c>
      <c r="C101" s="24" t="str">
        <f t="shared" si="18"/>
        <v>SMBFIF3003</v>
      </c>
      <c r="D101" s="24">
        <f t="shared" si="13"/>
        <v>0.33333333333333331</v>
      </c>
      <c r="E101" s="24" t="str">
        <f t="shared" si="19"/>
        <v/>
      </c>
      <c r="F101" s="24">
        <f t="shared" si="14"/>
        <v>0</v>
      </c>
      <c r="G101" s="24" t="str">
        <f t="shared" si="20"/>
        <v>SMBFIF3003RE</v>
      </c>
      <c r="H101" s="24">
        <f t="shared" si="15"/>
        <v>1</v>
      </c>
      <c r="I101" s="24" t="str">
        <f t="shared" si="21"/>
        <v/>
      </c>
      <c r="J101" s="24">
        <f t="shared" si="16"/>
        <v>0</v>
      </c>
      <c r="K101" s="24" t="str">
        <f t="shared" si="22"/>
        <v>F3</v>
      </c>
      <c r="L101" s="24" t="str">
        <f>VLOOKUP(N101,CODE!K:P,CODE!$P$1,FALSE)</f>
        <v>모자</v>
      </c>
      <c r="M101" s="24" t="str">
        <f>VLOOKUP(MID(R101,1,3),CODE!$B:$G,CODE!D$1,FALSE)</f>
        <v>SMB</v>
      </c>
      <c r="N101" s="24" t="str">
        <f t="shared" si="23"/>
        <v>FI</v>
      </c>
      <c r="O101" s="29" t="str">
        <f>IF(ISERROR(IF(VLOOKUP($N101,CODE!$K:$P,CODE!$O$1,FALSE)="",$M101,$M101&amp;"-"&amp;VLOOKUP($N101,CODE!$K:$P,CODE!$O$1,FALSE)))=TRUE,"",IF(VLOOKUP($N101,CODE!$K:$P,CODE!$O$1,FALSE)="",$M101,$M101&amp;"-"&amp;VLOOKUP($N101,CODE!$K:$P,CODE!$O$1,FALSE)))</f>
        <v>SMB</v>
      </c>
      <c r="P101" s="29" t="str">
        <f t="shared" si="24"/>
        <v>성인</v>
      </c>
      <c r="Q101" s="29" t="str">
        <f t="shared" si="25"/>
        <v>SMBFIF3003</v>
      </c>
      <c r="R101" s="1" t="s">
        <v>912</v>
      </c>
      <c r="S101" s="1" t="s">
        <v>14</v>
      </c>
      <c r="T101" s="26">
        <v>1200</v>
      </c>
      <c r="U101" s="26">
        <v>51600000</v>
      </c>
      <c r="V101" s="26">
        <v>4664328.0000000009</v>
      </c>
      <c r="W101" s="26">
        <v>10.0569880396685</v>
      </c>
      <c r="X101" s="26">
        <v>1200</v>
      </c>
      <c r="Y101" s="26">
        <v>0</v>
      </c>
    </row>
    <row r="102" spans="1:25">
      <c r="A102" s="24" t="str">
        <f t="shared" si="17"/>
        <v>신규</v>
      </c>
      <c r="B102" s="24" t="str">
        <f>IF(COUNTIF(R$1:R101,R102)=0,"최초","리오더")</f>
        <v>최초</v>
      </c>
      <c r="C102" s="24" t="str">
        <f t="shared" si="18"/>
        <v>SMBERF5004</v>
      </c>
      <c r="D102" s="24">
        <f t="shared" si="13"/>
        <v>1</v>
      </c>
      <c r="E102" s="24" t="str">
        <f t="shared" si="19"/>
        <v/>
      </c>
      <c r="F102" s="24">
        <f t="shared" si="14"/>
        <v>0</v>
      </c>
      <c r="G102" s="24" t="str">
        <f t="shared" si="20"/>
        <v>SMBERF5004BK</v>
      </c>
      <c r="H102" s="24">
        <f t="shared" si="15"/>
        <v>1</v>
      </c>
      <c r="I102" s="24" t="str">
        <f t="shared" si="21"/>
        <v/>
      </c>
      <c r="J102" s="24">
        <f t="shared" si="16"/>
        <v>0</v>
      </c>
      <c r="K102" s="24" t="str">
        <f t="shared" si="22"/>
        <v>F5</v>
      </c>
      <c r="L102" s="24" t="str">
        <f>VLOOKUP(N102,CODE!K:P,CODE!$P$1,FALSE)</f>
        <v>모자</v>
      </c>
      <c r="M102" s="24" t="str">
        <f>VLOOKUP(MID(R102,1,3),CODE!$B:$G,CODE!D$1,FALSE)</f>
        <v>SMB</v>
      </c>
      <c r="N102" s="24" t="str">
        <f t="shared" si="23"/>
        <v>ER</v>
      </c>
      <c r="O102" s="29" t="str">
        <f>IF(ISERROR(IF(VLOOKUP($N102,CODE!$K:$P,CODE!$O$1,FALSE)="",$M102,$M102&amp;"-"&amp;VLOOKUP($N102,CODE!$K:$P,CODE!$O$1,FALSE)))=TRUE,"",IF(VLOOKUP($N102,CODE!$K:$P,CODE!$O$1,FALSE)="",$M102,$M102&amp;"-"&amp;VLOOKUP($N102,CODE!$K:$P,CODE!$O$1,FALSE)))</f>
        <v>SMB</v>
      </c>
      <c r="P102" s="29" t="str">
        <f t="shared" si="24"/>
        <v>성인</v>
      </c>
      <c r="Q102" s="29" t="str">
        <f t="shared" si="25"/>
        <v>SMBERF5004</v>
      </c>
      <c r="R102" s="1" t="s">
        <v>913</v>
      </c>
      <c r="S102" s="1" t="s">
        <v>14</v>
      </c>
      <c r="T102" s="26">
        <v>1200</v>
      </c>
      <c r="U102" s="26">
        <v>63600000</v>
      </c>
      <c r="V102" s="26">
        <v>6610272.0000000019</v>
      </c>
      <c r="W102" s="26">
        <v>8.7467175054493662</v>
      </c>
      <c r="X102" s="26">
        <v>1198</v>
      </c>
      <c r="Y102" s="26">
        <v>0</v>
      </c>
    </row>
    <row r="103" spans="1:25">
      <c r="A103" s="24" t="str">
        <f t="shared" si="17"/>
        <v>신규</v>
      </c>
      <c r="B103" s="24" t="str">
        <f>IF(COUNTIF(R$1:R102,R103)=0,"최초","리오더")</f>
        <v>최초</v>
      </c>
      <c r="C103" s="24" t="str">
        <f t="shared" si="18"/>
        <v>SWBSNF3503</v>
      </c>
      <c r="D103" s="24">
        <f t="shared" si="13"/>
        <v>0.5</v>
      </c>
      <c r="E103" s="24" t="str">
        <f t="shared" si="19"/>
        <v/>
      </c>
      <c r="F103" s="24">
        <f t="shared" si="14"/>
        <v>0</v>
      </c>
      <c r="G103" s="24" t="str">
        <f t="shared" si="20"/>
        <v>SWBSNF3503PP</v>
      </c>
      <c r="H103" s="24">
        <f t="shared" si="15"/>
        <v>1</v>
      </c>
      <c r="I103" s="24" t="str">
        <f t="shared" si="21"/>
        <v/>
      </c>
      <c r="J103" s="24">
        <f t="shared" si="16"/>
        <v>0</v>
      </c>
      <c r="K103" s="24" t="str">
        <f t="shared" si="22"/>
        <v>F3</v>
      </c>
      <c r="L103" s="24" t="str">
        <f>VLOOKUP(N103,CODE!K:P,CODE!$P$1,FALSE)</f>
        <v>모자</v>
      </c>
      <c r="M103" s="24" t="str">
        <f>VLOOKUP(MID(R103,1,3),CODE!$B:$G,CODE!D$1,FALSE)</f>
        <v>SWB</v>
      </c>
      <c r="N103" s="24" t="str">
        <f t="shared" si="23"/>
        <v>SN</v>
      </c>
      <c r="O103" s="29" t="str">
        <f>IF(ISERROR(IF(VLOOKUP($N103,CODE!$K:$P,CODE!$O$1,FALSE)="",$M103,$M103&amp;"-"&amp;VLOOKUP($N103,CODE!$K:$P,CODE!$O$1,FALSE)))=TRUE,"",IF(VLOOKUP($N103,CODE!$K:$P,CODE!$O$1,FALSE)="",$M103,$M103&amp;"-"&amp;VLOOKUP($N103,CODE!$K:$P,CODE!$O$1,FALSE)))</f>
        <v>SWB</v>
      </c>
      <c r="P103" s="29" t="str">
        <f t="shared" si="24"/>
        <v>키즈</v>
      </c>
      <c r="Q103" s="29" t="str">
        <f t="shared" si="25"/>
        <v>SWBSNF3503</v>
      </c>
      <c r="R103" s="1" t="s">
        <v>914</v>
      </c>
      <c r="S103" s="1" t="s">
        <v>14</v>
      </c>
      <c r="T103" s="26">
        <v>1500</v>
      </c>
      <c r="U103" s="26">
        <v>67500000</v>
      </c>
      <c r="V103" s="26">
        <v>7757520</v>
      </c>
      <c r="W103" s="26">
        <v>7.9102131046566901</v>
      </c>
      <c r="X103" s="26">
        <v>1500</v>
      </c>
      <c r="Y103" s="26">
        <v>0</v>
      </c>
    </row>
    <row r="104" spans="1:25">
      <c r="A104" s="24" t="str">
        <f t="shared" si="17"/>
        <v>신규</v>
      </c>
      <c r="B104" s="24" t="str">
        <f>IF(COUNTIF(R$1:R103,R104)=0,"최초","리오더")</f>
        <v>최초</v>
      </c>
      <c r="C104" s="24" t="str">
        <f t="shared" si="18"/>
        <v>SWBSNF3503</v>
      </c>
      <c r="D104" s="24">
        <f t="shared" si="13"/>
        <v>0.5</v>
      </c>
      <c r="E104" s="24" t="str">
        <f t="shared" si="19"/>
        <v/>
      </c>
      <c r="F104" s="24">
        <f t="shared" si="14"/>
        <v>0</v>
      </c>
      <c r="G104" s="24" t="str">
        <f t="shared" si="20"/>
        <v>SWBSNF3503PK</v>
      </c>
      <c r="H104" s="24">
        <f t="shared" si="15"/>
        <v>1</v>
      </c>
      <c r="I104" s="24" t="str">
        <f t="shared" si="21"/>
        <v/>
      </c>
      <c r="J104" s="24">
        <f t="shared" si="16"/>
        <v>0</v>
      </c>
      <c r="K104" s="24" t="str">
        <f t="shared" si="22"/>
        <v>F3</v>
      </c>
      <c r="L104" s="24" t="str">
        <f>VLOOKUP(N104,CODE!K:P,CODE!$P$1,FALSE)</f>
        <v>모자</v>
      </c>
      <c r="M104" s="24" t="str">
        <f>VLOOKUP(MID(R104,1,3),CODE!$B:$G,CODE!D$1,FALSE)</f>
        <v>SWB</v>
      </c>
      <c r="N104" s="24" t="str">
        <f t="shared" si="23"/>
        <v>SN</v>
      </c>
      <c r="O104" s="29" t="str">
        <f>IF(ISERROR(IF(VLOOKUP($N104,CODE!$K:$P,CODE!$O$1,FALSE)="",$M104,$M104&amp;"-"&amp;VLOOKUP($N104,CODE!$K:$P,CODE!$O$1,FALSE)))=TRUE,"",IF(VLOOKUP($N104,CODE!$K:$P,CODE!$O$1,FALSE)="",$M104,$M104&amp;"-"&amp;VLOOKUP($N104,CODE!$K:$P,CODE!$O$1,FALSE)))</f>
        <v>SWB</v>
      </c>
      <c r="P104" s="29" t="str">
        <f t="shared" si="24"/>
        <v>키즈</v>
      </c>
      <c r="Q104" s="29" t="str">
        <f t="shared" si="25"/>
        <v>SWBSNF3503</v>
      </c>
      <c r="R104" s="1" t="s">
        <v>915</v>
      </c>
      <c r="S104" s="1" t="s">
        <v>14</v>
      </c>
      <c r="T104" s="26">
        <v>1500</v>
      </c>
      <c r="U104" s="26">
        <v>67500000</v>
      </c>
      <c r="V104" s="26">
        <v>7757520</v>
      </c>
      <c r="W104" s="26">
        <v>7.9102131046566901</v>
      </c>
      <c r="X104" s="26">
        <v>1500</v>
      </c>
      <c r="Y104" s="26">
        <v>0</v>
      </c>
    </row>
    <row r="105" spans="1:25">
      <c r="A105" s="24" t="str">
        <f t="shared" si="17"/>
        <v>신규</v>
      </c>
      <c r="B105" s="24" t="str">
        <f>IF(COUNTIF(R$1:R104,R105)=0,"최초","리오더")</f>
        <v>최초</v>
      </c>
      <c r="C105" s="24" t="str">
        <f t="shared" si="18"/>
        <v>SMBERF5005</v>
      </c>
      <c r="D105" s="24">
        <f t="shared" si="13"/>
        <v>1</v>
      </c>
      <c r="E105" s="24" t="str">
        <f t="shared" si="19"/>
        <v/>
      </c>
      <c r="F105" s="24">
        <f t="shared" si="14"/>
        <v>0</v>
      </c>
      <c r="G105" s="24" t="str">
        <f t="shared" si="20"/>
        <v>SMBERF5005NY</v>
      </c>
      <c r="H105" s="24">
        <f t="shared" si="15"/>
        <v>1</v>
      </c>
      <c r="I105" s="24" t="str">
        <f t="shared" si="21"/>
        <v/>
      </c>
      <c r="J105" s="24">
        <f t="shared" si="16"/>
        <v>0</v>
      </c>
      <c r="K105" s="24" t="str">
        <f t="shared" si="22"/>
        <v>F5</v>
      </c>
      <c r="L105" s="24" t="str">
        <f>VLOOKUP(N105,CODE!K:P,CODE!$P$1,FALSE)</f>
        <v>모자</v>
      </c>
      <c r="M105" s="24" t="str">
        <f>VLOOKUP(MID(R105,1,3),CODE!$B:$G,CODE!D$1,FALSE)</f>
        <v>SMB</v>
      </c>
      <c r="N105" s="24" t="str">
        <f t="shared" si="23"/>
        <v>ER</v>
      </c>
      <c r="O105" s="29" t="str">
        <f>IF(ISERROR(IF(VLOOKUP($N105,CODE!$K:$P,CODE!$O$1,FALSE)="",$M105,$M105&amp;"-"&amp;VLOOKUP($N105,CODE!$K:$P,CODE!$O$1,FALSE)))=TRUE,"",IF(VLOOKUP($N105,CODE!$K:$P,CODE!$O$1,FALSE)="",$M105,$M105&amp;"-"&amp;VLOOKUP($N105,CODE!$K:$P,CODE!$O$1,FALSE)))</f>
        <v>SMB</v>
      </c>
      <c r="P105" s="29" t="str">
        <f t="shared" si="24"/>
        <v>성인</v>
      </c>
      <c r="Q105" s="29" t="str">
        <f t="shared" si="25"/>
        <v>SMBERF5005</v>
      </c>
      <c r="R105" s="1" t="s">
        <v>916</v>
      </c>
      <c r="S105" s="1" t="s">
        <v>14</v>
      </c>
      <c r="T105" s="26">
        <v>1000</v>
      </c>
      <c r="U105" s="26">
        <v>49000000</v>
      </c>
      <c r="V105" s="26">
        <v>8820000</v>
      </c>
      <c r="W105" s="26">
        <v>5.0505050505050502</v>
      </c>
      <c r="X105" s="26">
        <v>985</v>
      </c>
      <c r="Y105" s="26">
        <v>0</v>
      </c>
    </row>
    <row r="106" spans="1:25">
      <c r="A106" s="24" t="str">
        <f t="shared" si="17"/>
        <v>신규</v>
      </c>
      <c r="B106" s="24" t="str">
        <f>IF(COUNTIF(R$1:R105,R106)=0,"최초","리오더")</f>
        <v>최초</v>
      </c>
      <c r="C106" s="24" t="str">
        <f t="shared" si="18"/>
        <v>SMBERF5006</v>
      </c>
      <c r="D106" s="24">
        <f t="shared" si="13"/>
        <v>1</v>
      </c>
      <c r="E106" s="24" t="str">
        <f t="shared" si="19"/>
        <v/>
      </c>
      <c r="F106" s="24">
        <f t="shared" si="14"/>
        <v>0</v>
      </c>
      <c r="G106" s="24" t="str">
        <f t="shared" si="20"/>
        <v>SMBERF5006NY</v>
      </c>
      <c r="H106" s="24">
        <f t="shared" si="15"/>
        <v>1</v>
      </c>
      <c r="I106" s="24" t="str">
        <f t="shared" si="21"/>
        <v/>
      </c>
      <c r="J106" s="24">
        <f t="shared" si="16"/>
        <v>0</v>
      </c>
      <c r="K106" s="24" t="str">
        <f t="shared" si="22"/>
        <v>F5</v>
      </c>
      <c r="L106" s="24" t="str">
        <f>VLOOKUP(N106,CODE!K:P,CODE!$P$1,FALSE)</f>
        <v>모자</v>
      </c>
      <c r="M106" s="24" t="str">
        <f>VLOOKUP(MID(R106,1,3),CODE!$B:$G,CODE!D$1,FALSE)</f>
        <v>SMB</v>
      </c>
      <c r="N106" s="24" t="str">
        <f t="shared" si="23"/>
        <v>ER</v>
      </c>
      <c r="O106" s="29" t="str">
        <f>IF(ISERROR(IF(VLOOKUP($N106,CODE!$K:$P,CODE!$O$1,FALSE)="",$M106,$M106&amp;"-"&amp;VLOOKUP($N106,CODE!$K:$P,CODE!$O$1,FALSE)))=TRUE,"",IF(VLOOKUP($N106,CODE!$K:$P,CODE!$O$1,FALSE)="",$M106,$M106&amp;"-"&amp;VLOOKUP($N106,CODE!$K:$P,CODE!$O$1,FALSE)))</f>
        <v>SMB</v>
      </c>
      <c r="P106" s="29" t="str">
        <f t="shared" si="24"/>
        <v>성인</v>
      </c>
      <c r="Q106" s="29" t="str">
        <f t="shared" si="25"/>
        <v>SMBERF5006</v>
      </c>
      <c r="R106" s="1" t="s">
        <v>917</v>
      </c>
      <c r="S106" s="1" t="s">
        <v>14</v>
      </c>
      <c r="T106" s="26">
        <v>1000</v>
      </c>
      <c r="U106" s="26">
        <v>49000000</v>
      </c>
      <c r="V106" s="26">
        <v>7855180.0000000009</v>
      </c>
      <c r="W106" s="26">
        <v>5.6708381660833407</v>
      </c>
      <c r="X106" s="26">
        <v>938</v>
      </c>
      <c r="Y106" s="26">
        <v>0</v>
      </c>
    </row>
    <row r="107" spans="1:25">
      <c r="A107" s="24" t="str">
        <f t="shared" si="17"/>
        <v>신규</v>
      </c>
      <c r="B107" s="24" t="str">
        <f>IF(COUNTIF(R$1:R106,R107)=0,"최초","리오더")</f>
        <v>최초</v>
      </c>
      <c r="C107" s="24" t="str">
        <f t="shared" si="18"/>
        <v>URBSNF3003</v>
      </c>
      <c r="D107" s="24">
        <f t="shared" si="13"/>
        <v>0.33333333333333331</v>
      </c>
      <c r="E107" s="24" t="str">
        <f t="shared" si="19"/>
        <v/>
      </c>
      <c r="F107" s="24">
        <f t="shared" si="14"/>
        <v>0</v>
      </c>
      <c r="G107" s="24" t="str">
        <f t="shared" si="20"/>
        <v>URBSNF3003NY</v>
      </c>
      <c r="H107" s="24">
        <f t="shared" si="15"/>
        <v>1</v>
      </c>
      <c r="I107" s="24" t="str">
        <f t="shared" si="21"/>
        <v/>
      </c>
      <c r="J107" s="24">
        <f t="shared" si="16"/>
        <v>0</v>
      </c>
      <c r="K107" s="24" t="str">
        <f t="shared" si="22"/>
        <v>F3</v>
      </c>
      <c r="L107" s="24" t="str">
        <f>VLOOKUP(N107,CODE!K:P,CODE!$P$1,FALSE)</f>
        <v>모자</v>
      </c>
      <c r="M107" s="24" t="str">
        <f>VLOOKUP(MID(R107,1,3),CODE!$B:$G,CODE!D$1,FALSE)</f>
        <v>URB</v>
      </c>
      <c r="N107" s="24" t="str">
        <f t="shared" si="23"/>
        <v>SN</v>
      </c>
      <c r="O107" s="29" t="str">
        <f>IF(ISERROR(IF(VLOOKUP($N107,CODE!$K:$P,CODE!$O$1,FALSE)="",$M107,$M107&amp;"-"&amp;VLOOKUP($N107,CODE!$K:$P,CODE!$O$1,FALSE)))=TRUE,"",IF(VLOOKUP($N107,CODE!$K:$P,CODE!$O$1,FALSE)="",$M107,$M107&amp;"-"&amp;VLOOKUP($N107,CODE!$K:$P,CODE!$O$1,FALSE)))</f>
        <v>URB</v>
      </c>
      <c r="P107" s="29" t="str">
        <f t="shared" si="24"/>
        <v>성인</v>
      </c>
      <c r="Q107" s="29" t="str">
        <f t="shared" si="25"/>
        <v>URBSNF3003</v>
      </c>
      <c r="R107" s="1" t="s">
        <v>918</v>
      </c>
      <c r="S107" s="1" t="s">
        <v>14</v>
      </c>
      <c r="T107" s="26">
        <v>1500</v>
      </c>
      <c r="U107" s="26">
        <v>64500000</v>
      </c>
      <c r="V107" s="26">
        <v>6387255</v>
      </c>
      <c r="W107" s="26">
        <v>9.1802133524281757</v>
      </c>
      <c r="X107" s="26">
        <v>1500</v>
      </c>
      <c r="Y107" s="26">
        <v>0</v>
      </c>
    </row>
    <row r="108" spans="1:25">
      <c r="A108" s="24" t="str">
        <f t="shared" si="17"/>
        <v>신규</v>
      </c>
      <c r="B108" s="24" t="str">
        <f>IF(COUNTIF(R$1:R107,R108)=0,"최초","리오더")</f>
        <v>최초</v>
      </c>
      <c r="C108" s="24" t="str">
        <f t="shared" si="18"/>
        <v>URBSNF3503</v>
      </c>
      <c r="D108" s="24">
        <f t="shared" si="13"/>
        <v>0.5</v>
      </c>
      <c r="E108" s="24" t="str">
        <f t="shared" si="19"/>
        <v/>
      </c>
      <c r="F108" s="24">
        <f t="shared" si="14"/>
        <v>0</v>
      </c>
      <c r="G108" s="24" t="str">
        <f t="shared" si="20"/>
        <v>URBSNF3503NY</v>
      </c>
      <c r="H108" s="24">
        <f t="shared" si="15"/>
        <v>1</v>
      </c>
      <c r="I108" s="24" t="str">
        <f t="shared" si="21"/>
        <v/>
      </c>
      <c r="J108" s="24">
        <f t="shared" si="16"/>
        <v>0</v>
      </c>
      <c r="K108" s="24" t="str">
        <f t="shared" si="22"/>
        <v>F3</v>
      </c>
      <c r="L108" s="24" t="str">
        <f>VLOOKUP(N108,CODE!K:P,CODE!$P$1,FALSE)</f>
        <v>모자</v>
      </c>
      <c r="M108" s="24" t="str">
        <f>VLOOKUP(MID(R108,1,3),CODE!$B:$G,CODE!D$1,FALSE)</f>
        <v>URB</v>
      </c>
      <c r="N108" s="24" t="str">
        <f t="shared" si="23"/>
        <v>SN</v>
      </c>
      <c r="O108" s="29" t="str">
        <f>IF(ISERROR(IF(VLOOKUP($N108,CODE!$K:$P,CODE!$O$1,FALSE)="",$M108,$M108&amp;"-"&amp;VLOOKUP($N108,CODE!$K:$P,CODE!$O$1,FALSE)))=TRUE,"",IF(VLOOKUP($N108,CODE!$K:$P,CODE!$O$1,FALSE)="",$M108,$M108&amp;"-"&amp;VLOOKUP($N108,CODE!$K:$P,CODE!$O$1,FALSE)))</f>
        <v>URB</v>
      </c>
      <c r="P108" s="29" t="str">
        <f t="shared" si="24"/>
        <v>키즈</v>
      </c>
      <c r="Q108" s="29" t="str">
        <f t="shared" si="25"/>
        <v>URBSNF3503</v>
      </c>
      <c r="R108" s="1" t="s">
        <v>919</v>
      </c>
      <c r="S108" s="1" t="s">
        <v>14</v>
      </c>
      <c r="T108" s="26">
        <v>1200</v>
      </c>
      <c r="U108" s="26">
        <v>46800000</v>
      </c>
      <c r="V108" s="26">
        <v>4961760</v>
      </c>
      <c r="W108" s="26">
        <v>8.5746699851372394</v>
      </c>
      <c r="X108" s="26">
        <v>1172</v>
      </c>
      <c r="Y108" s="26">
        <v>0</v>
      </c>
    </row>
    <row r="109" spans="1:25">
      <c r="A109" s="24" t="str">
        <f t="shared" si="17"/>
        <v>신규</v>
      </c>
      <c r="B109" s="24" t="str">
        <f>IF(COUNTIF(R$1:R108,R109)=0,"최초","리오더")</f>
        <v>최초</v>
      </c>
      <c r="C109" s="24" t="str">
        <f t="shared" si="18"/>
        <v>URBSNF3003</v>
      </c>
      <c r="D109" s="24">
        <f t="shared" si="13"/>
        <v>0.33333333333333331</v>
      </c>
      <c r="E109" s="24" t="str">
        <f t="shared" si="19"/>
        <v/>
      </c>
      <c r="F109" s="24">
        <f t="shared" si="14"/>
        <v>0</v>
      </c>
      <c r="G109" s="24" t="str">
        <f t="shared" si="20"/>
        <v>URBSNF3003BK</v>
      </c>
      <c r="H109" s="24">
        <f t="shared" si="15"/>
        <v>1</v>
      </c>
      <c r="I109" s="24" t="str">
        <f t="shared" si="21"/>
        <v/>
      </c>
      <c r="J109" s="24">
        <f t="shared" si="16"/>
        <v>0</v>
      </c>
      <c r="K109" s="24" t="str">
        <f t="shared" si="22"/>
        <v>F3</v>
      </c>
      <c r="L109" s="24" t="str">
        <f>VLOOKUP(N109,CODE!K:P,CODE!$P$1,FALSE)</f>
        <v>모자</v>
      </c>
      <c r="M109" s="24" t="str">
        <f>VLOOKUP(MID(R109,1,3),CODE!$B:$G,CODE!D$1,FALSE)</f>
        <v>URB</v>
      </c>
      <c r="N109" s="24" t="str">
        <f t="shared" si="23"/>
        <v>SN</v>
      </c>
      <c r="O109" s="29" t="str">
        <f>IF(ISERROR(IF(VLOOKUP($N109,CODE!$K:$P,CODE!$O$1,FALSE)="",$M109,$M109&amp;"-"&amp;VLOOKUP($N109,CODE!$K:$P,CODE!$O$1,FALSE)))=TRUE,"",IF(VLOOKUP($N109,CODE!$K:$P,CODE!$O$1,FALSE)="",$M109,$M109&amp;"-"&amp;VLOOKUP($N109,CODE!$K:$P,CODE!$O$1,FALSE)))</f>
        <v>URB</v>
      </c>
      <c r="P109" s="29" t="str">
        <f t="shared" si="24"/>
        <v>성인</v>
      </c>
      <c r="Q109" s="29" t="str">
        <f t="shared" si="25"/>
        <v>URBSNF3003</v>
      </c>
      <c r="R109" s="1" t="s">
        <v>920</v>
      </c>
      <c r="S109" s="1" t="s">
        <v>14</v>
      </c>
      <c r="T109" s="26">
        <v>1500</v>
      </c>
      <c r="U109" s="26">
        <v>64500000</v>
      </c>
      <c r="V109" s="26">
        <v>6381255</v>
      </c>
      <c r="W109" s="26">
        <v>9.1888450839785634</v>
      </c>
      <c r="X109" s="26">
        <v>1499</v>
      </c>
      <c r="Y109" s="26">
        <v>0</v>
      </c>
    </row>
    <row r="110" spans="1:25">
      <c r="A110" s="24" t="str">
        <f t="shared" si="17"/>
        <v>신규</v>
      </c>
      <c r="B110" s="24" t="str">
        <f>IF(COUNTIF(R$1:R109,R110)=0,"최초","리오더")</f>
        <v>최초</v>
      </c>
      <c r="C110" s="24" t="str">
        <f t="shared" si="18"/>
        <v>URBSNF3003</v>
      </c>
      <c r="D110" s="24">
        <f t="shared" si="13"/>
        <v>0.33333333333333331</v>
      </c>
      <c r="E110" s="24" t="str">
        <f t="shared" si="19"/>
        <v/>
      </c>
      <c r="F110" s="24">
        <f t="shared" si="14"/>
        <v>0</v>
      </c>
      <c r="G110" s="24" t="str">
        <f t="shared" si="20"/>
        <v>URBSNF3003YE</v>
      </c>
      <c r="H110" s="24">
        <f t="shared" si="15"/>
        <v>1</v>
      </c>
      <c r="I110" s="24" t="str">
        <f t="shared" si="21"/>
        <v/>
      </c>
      <c r="J110" s="24">
        <f t="shared" si="16"/>
        <v>0</v>
      </c>
      <c r="K110" s="24" t="str">
        <f t="shared" si="22"/>
        <v>F3</v>
      </c>
      <c r="L110" s="24" t="str">
        <f>VLOOKUP(N110,CODE!K:P,CODE!$P$1,FALSE)</f>
        <v>모자</v>
      </c>
      <c r="M110" s="24" t="str">
        <f>VLOOKUP(MID(R110,1,3),CODE!$B:$G,CODE!D$1,FALSE)</f>
        <v>URB</v>
      </c>
      <c r="N110" s="24" t="str">
        <f t="shared" si="23"/>
        <v>SN</v>
      </c>
      <c r="O110" s="29" t="str">
        <f>IF(ISERROR(IF(VLOOKUP($N110,CODE!$K:$P,CODE!$O$1,FALSE)="",$M110,$M110&amp;"-"&amp;VLOOKUP($N110,CODE!$K:$P,CODE!$O$1,FALSE)))=TRUE,"",IF(VLOOKUP($N110,CODE!$K:$P,CODE!$O$1,FALSE)="",$M110,$M110&amp;"-"&amp;VLOOKUP($N110,CODE!$K:$P,CODE!$O$1,FALSE)))</f>
        <v>URB</v>
      </c>
      <c r="P110" s="29" t="str">
        <f t="shared" si="24"/>
        <v>성인</v>
      </c>
      <c r="Q110" s="29" t="str">
        <f t="shared" si="25"/>
        <v>URBSNF3003</v>
      </c>
      <c r="R110" s="1" t="s">
        <v>921</v>
      </c>
      <c r="S110" s="1" t="s">
        <v>14</v>
      </c>
      <c r="T110" s="26">
        <v>2000</v>
      </c>
      <c r="U110" s="26">
        <v>86000000</v>
      </c>
      <c r="V110" s="26">
        <v>7117520</v>
      </c>
      <c r="W110" s="26">
        <v>10.984418474667885</v>
      </c>
      <c r="X110" s="26">
        <v>2000</v>
      </c>
      <c r="Y110" s="26">
        <v>0</v>
      </c>
    </row>
    <row r="111" spans="1:25">
      <c r="A111" s="24" t="str">
        <f t="shared" si="17"/>
        <v>신규</v>
      </c>
      <c r="B111" s="24" t="str">
        <f>IF(COUNTIF(R$1:R110,R111)=0,"최초","리오더")</f>
        <v>최초</v>
      </c>
      <c r="C111" s="24" t="str">
        <f t="shared" si="18"/>
        <v>URBSNF3503</v>
      </c>
      <c r="D111" s="24">
        <f t="shared" si="13"/>
        <v>0.5</v>
      </c>
      <c r="E111" s="24" t="str">
        <f t="shared" si="19"/>
        <v/>
      </c>
      <c r="F111" s="24">
        <f t="shared" si="14"/>
        <v>0</v>
      </c>
      <c r="G111" s="24" t="str">
        <f t="shared" si="20"/>
        <v>URBSNF3503YE</v>
      </c>
      <c r="H111" s="24">
        <f t="shared" si="15"/>
        <v>1</v>
      </c>
      <c r="I111" s="24" t="str">
        <f t="shared" si="21"/>
        <v/>
      </c>
      <c r="J111" s="24">
        <f t="shared" si="16"/>
        <v>0</v>
      </c>
      <c r="K111" s="24" t="str">
        <f t="shared" si="22"/>
        <v>F3</v>
      </c>
      <c r="L111" s="24" t="str">
        <f>VLOOKUP(N111,CODE!K:P,CODE!$P$1,FALSE)</f>
        <v>모자</v>
      </c>
      <c r="M111" s="24" t="str">
        <f>VLOOKUP(MID(R111,1,3),CODE!$B:$G,CODE!D$1,FALSE)</f>
        <v>URB</v>
      </c>
      <c r="N111" s="24" t="str">
        <f t="shared" si="23"/>
        <v>SN</v>
      </c>
      <c r="O111" s="29" t="str">
        <f>IF(ISERROR(IF(VLOOKUP($N111,CODE!$K:$P,CODE!$O$1,FALSE)="",$M111,$M111&amp;"-"&amp;VLOOKUP($N111,CODE!$K:$P,CODE!$O$1,FALSE)))=TRUE,"",IF(VLOOKUP($N111,CODE!$K:$P,CODE!$O$1,FALSE)="",$M111,$M111&amp;"-"&amp;VLOOKUP($N111,CODE!$K:$P,CODE!$O$1,FALSE)))</f>
        <v>URB</v>
      </c>
      <c r="P111" s="29" t="str">
        <f t="shared" si="24"/>
        <v>키즈</v>
      </c>
      <c r="Q111" s="29" t="str">
        <f t="shared" si="25"/>
        <v>URBSNF3503</v>
      </c>
      <c r="R111" s="1" t="s">
        <v>922</v>
      </c>
      <c r="S111" s="1" t="s">
        <v>14</v>
      </c>
      <c r="T111" s="26">
        <v>1500</v>
      </c>
      <c r="U111" s="26">
        <v>58500000</v>
      </c>
      <c r="V111" s="26">
        <v>5244585.0000000009</v>
      </c>
      <c r="W111" s="26">
        <v>10.140329155084371</v>
      </c>
      <c r="X111" s="26">
        <v>1498</v>
      </c>
      <c r="Y111" s="26">
        <v>0</v>
      </c>
    </row>
    <row r="112" spans="1:25">
      <c r="A112" s="24" t="str">
        <f t="shared" si="17"/>
        <v>신규</v>
      </c>
      <c r="B112" s="24" t="str">
        <f>IF(COUNTIF(R$1:R111,R112)=0,"최초","리오더")</f>
        <v>최초</v>
      </c>
      <c r="C112" s="24" t="str">
        <f t="shared" si="18"/>
        <v>URBSNF3004</v>
      </c>
      <c r="D112" s="24">
        <f t="shared" si="13"/>
        <v>1</v>
      </c>
      <c r="E112" s="24" t="str">
        <f t="shared" si="19"/>
        <v/>
      </c>
      <c r="F112" s="24">
        <f t="shared" si="14"/>
        <v>0</v>
      </c>
      <c r="G112" s="24" t="str">
        <f t="shared" si="20"/>
        <v>URBSNF3004KH</v>
      </c>
      <c r="H112" s="24">
        <f t="shared" si="15"/>
        <v>1</v>
      </c>
      <c r="I112" s="24" t="str">
        <f t="shared" si="21"/>
        <v/>
      </c>
      <c r="J112" s="24">
        <f t="shared" si="16"/>
        <v>0</v>
      </c>
      <c r="K112" s="24" t="str">
        <f t="shared" si="22"/>
        <v>F3</v>
      </c>
      <c r="L112" s="24" t="str">
        <f>VLOOKUP(N112,CODE!K:P,CODE!$P$1,FALSE)</f>
        <v>모자</v>
      </c>
      <c r="M112" s="24" t="str">
        <f>VLOOKUP(MID(R112,1,3),CODE!$B:$G,CODE!D$1,FALSE)</f>
        <v>URB</v>
      </c>
      <c r="N112" s="24" t="str">
        <f t="shared" si="23"/>
        <v>SN</v>
      </c>
      <c r="O112" s="29" t="str">
        <f>IF(ISERROR(IF(VLOOKUP($N112,CODE!$K:$P,CODE!$O$1,FALSE)="",$M112,$M112&amp;"-"&amp;VLOOKUP($N112,CODE!$K:$P,CODE!$O$1,FALSE)))=TRUE,"",IF(VLOOKUP($N112,CODE!$K:$P,CODE!$O$1,FALSE)="",$M112,$M112&amp;"-"&amp;VLOOKUP($N112,CODE!$K:$P,CODE!$O$1,FALSE)))</f>
        <v>URB</v>
      </c>
      <c r="P112" s="29" t="str">
        <f t="shared" si="24"/>
        <v>성인</v>
      </c>
      <c r="Q112" s="29" t="str">
        <f t="shared" si="25"/>
        <v>URBSNF3004</v>
      </c>
      <c r="R112" s="1" t="s">
        <v>923</v>
      </c>
      <c r="S112" s="1" t="s">
        <v>14</v>
      </c>
      <c r="T112" s="26">
        <v>1500</v>
      </c>
      <c r="U112" s="26">
        <v>64500000</v>
      </c>
      <c r="V112" s="26">
        <v>6387255</v>
      </c>
      <c r="W112" s="26">
        <v>9.1802133524281757</v>
      </c>
      <c r="X112" s="26">
        <v>1500</v>
      </c>
      <c r="Y112" s="26">
        <v>0</v>
      </c>
    </row>
    <row r="113" spans="1:25">
      <c r="A113" s="24" t="str">
        <f t="shared" si="17"/>
        <v>신규</v>
      </c>
      <c r="B113" s="24" t="str">
        <f>IF(COUNTIF(R$1:R112,R113)=0,"최초","리오더")</f>
        <v>최초</v>
      </c>
      <c r="C113" s="24" t="str">
        <f t="shared" si="18"/>
        <v>URBSNF3005</v>
      </c>
      <c r="D113" s="24">
        <f t="shared" si="13"/>
        <v>1</v>
      </c>
      <c r="E113" s="24" t="str">
        <f t="shared" si="19"/>
        <v/>
      </c>
      <c r="F113" s="24">
        <f t="shared" si="14"/>
        <v>0</v>
      </c>
      <c r="G113" s="24" t="str">
        <f t="shared" si="20"/>
        <v>URBSNF3005BL</v>
      </c>
      <c r="H113" s="24">
        <f t="shared" si="15"/>
        <v>1</v>
      </c>
      <c r="I113" s="24" t="str">
        <f t="shared" si="21"/>
        <v/>
      </c>
      <c r="J113" s="24">
        <f t="shared" si="16"/>
        <v>0</v>
      </c>
      <c r="K113" s="24" t="str">
        <f t="shared" si="22"/>
        <v>F3</v>
      </c>
      <c r="L113" s="24" t="str">
        <f>VLOOKUP(N113,CODE!K:P,CODE!$P$1,FALSE)</f>
        <v>모자</v>
      </c>
      <c r="M113" s="24" t="str">
        <f>VLOOKUP(MID(R113,1,3),CODE!$B:$G,CODE!D$1,FALSE)</f>
        <v>URB</v>
      </c>
      <c r="N113" s="24" t="str">
        <f t="shared" si="23"/>
        <v>SN</v>
      </c>
      <c r="O113" s="29" t="str">
        <f>IF(ISERROR(IF(VLOOKUP($N113,CODE!$K:$P,CODE!$O$1,FALSE)="",$M113,$M113&amp;"-"&amp;VLOOKUP($N113,CODE!$K:$P,CODE!$O$1,FALSE)))=TRUE,"",IF(VLOOKUP($N113,CODE!$K:$P,CODE!$O$1,FALSE)="",$M113,$M113&amp;"-"&amp;VLOOKUP($N113,CODE!$K:$P,CODE!$O$1,FALSE)))</f>
        <v>URB</v>
      </c>
      <c r="P113" s="29" t="str">
        <f t="shared" si="24"/>
        <v>성인</v>
      </c>
      <c r="Q113" s="29" t="str">
        <f t="shared" si="25"/>
        <v>URBSNF3005</v>
      </c>
      <c r="R113" s="1" t="s">
        <v>924</v>
      </c>
      <c r="S113" s="1" t="s">
        <v>14</v>
      </c>
      <c r="T113" s="26">
        <v>1500</v>
      </c>
      <c r="U113" s="26">
        <v>64500000</v>
      </c>
      <c r="V113" s="26">
        <v>9029460</v>
      </c>
      <c r="W113" s="26">
        <v>6.4938948327323711</v>
      </c>
      <c r="X113" s="26">
        <v>1500</v>
      </c>
      <c r="Y113" s="26">
        <v>0</v>
      </c>
    </row>
    <row r="114" spans="1:25">
      <c r="A114" s="24" t="str">
        <f t="shared" si="17"/>
        <v>신규</v>
      </c>
      <c r="B114" s="24" t="str">
        <f>IF(COUNTIF(R$1:R113,R114)=0,"최초","리오더")</f>
        <v>최초</v>
      </c>
      <c r="C114" s="24" t="str">
        <f t="shared" si="18"/>
        <v>URBSNF3505</v>
      </c>
      <c r="D114" s="24">
        <f t="shared" si="13"/>
        <v>1</v>
      </c>
      <c r="E114" s="24" t="str">
        <f t="shared" si="19"/>
        <v/>
      </c>
      <c r="F114" s="24">
        <f t="shared" si="14"/>
        <v>0</v>
      </c>
      <c r="G114" s="24" t="str">
        <f t="shared" si="20"/>
        <v>URBSNF3505BL</v>
      </c>
      <c r="H114" s="24">
        <f t="shared" si="15"/>
        <v>1</v>
      </c>
      <c r="I114" s="24" t="str">
        <f t="shared" si="21"/>
        <v/>
      </c>
      <c r="J114" s="24">
        <f t="shared" si="16"/>
        <v>0</v>
      </c>
      <c r="K114" s="24" t="str">
        <f t="shared" si="22"/>
        <v>F3</v>
      </c>
      <c r="L114" s="24" t="str">
        <f>VLOOKUP(N114,CODE!K:P,CODE!$P$1,FALSE)</f>
        <v>모자</v>
      </c>
      <c r="M114" s="24" t="str">
        <f>VLOOKUP(MID(R114,1,3),CODE!$B:$G,CODE!D$1,FALSE)</f>
        <v>URB</v>
      </c>
      <c r="N114" s="24" t="str">
        <f t="shared" si="23"/>
        <v>SN</v>
      </c>
      <c r="O114" s="29" t="str">
        <f>IF(ISERROR(IF(VLOOKUP($N114,CODE!$K:$P,CODE!$O$1,FALSE)="",$M114,$M114&amp;"-"&amp;VLOOKUP($N114,CODE!$K:$P,CODE!$O$1,FALSE)))=TRUE,"",IF(VLOOKUP($N114,CODE!$K:$P,CODE!$O$1,FALSE)="",$M114,$M114&amp;"-"&amp;VLOOKUP($N114,CODE!$K:$P,CODE!$O$1,FALSE)))</f>
        <v>URB</v>
      </c>
      <c r="P114" s="29" t="str">
        <f t="shared" si="24"/>
        <v>키즈</v>
      </c>
      <c r="Q114" s="29" t="str">
        <f t="shared" si="25"/>
        <v>URBSNF3505</v>
      </c>
      <c r="R114" s="1" t="s">
        <v>925</v>
      </c>
      <c r="S114" s="1" t="s">
        <v>14</v>
      </c>
      <c r="T114" s="26">
        <v>1500</v>
      </c>
      <c r="U114" s="26">
        <v>58500000</v>
      </c>
      <c r="V114" s="26">
        <v>9029460</v>
      </c>
      <c r="W114" s="26">
        <v>5.8898115924781971</v>
      </c>
      <c r="X114" s="26">
        <v>1498</v>
      </c>
      <c r="Y114" s="26">
        <v>0</v>
      </c>
    </row>
    <row r="115" spans="1:25">
      <c r="A115" s="24" t="str">
        <f t="shared" si="17"/>
        <v>신규</v>
      </c>
      <c r="B115" s="24" t="str">
        <f>IF(COUNTIF(R$1:R114,R115)=0,"최초","리오더")</f>
        <v>최초</v>
      </c>
      <c r="C115" s="24" t="str">
        <f t="shared" si="18"/>
        <v>URBSNF3006</v>
      </c>
      <c r="D115" s="24">
        <f t="shared" si="13"/>
        <v>1</v>
      </c>
      <c r="E115" s="24" t="str">
        <f t="shared" si="19"/>
        <v/>
      </c>
      <c r="F115" s="24">
        <f t="shared" si="14"/>
        <v>0</v>
      </c>
      <c r="G115" s="24" t="str">
        <f t="shared" si="20"/>
        <v>URBSNF3006BK</v>
      </c>
      <c r="H115" s="24">
        <f t="shared" si="15"/>
        <v>1</v>
      </c>
      <c r="I115" s="24" t="str">
        <f t="shared" si="21"/>
        <v/>
      </c>
      <c r="J115" s="24">
        <f t="shared" si="16"/>
        <v>0</v>
      </c>
      <c r="K115" s="24" t="str">
        <f t="shared" si="22"/>
        <v>F3</v>
      </c>
      <c r="L115" s="24" t="str">
        <f>VLOOKUP(N115,CODE!K:P,CODE!$P$1,FALSE)</f>
        <v>모자</v>
      </c>
      <c r="M115" s="24" t="str">
        <f>VLOOKUP(MID(R115,1,3),CODE!$B:$G,CODE!D$1,FALSE)</f>
        <v>URB</v>
      </c>
      <c r="N115" s="24" t="str">
        <f t="shared" si="23"/>
        <v>SN</v>
      </c>
      <c r="O115" s="29" t="str">
        <f>IF(ISERROR(IF(VLOOKUP($N115,CODE!$K:$P,CODE!$O$1,FALSE)="",$M115,$M115&amp;"-"&amp;VLOOKUP($N115,CODE!$K:$P,CODE!$O$1,FALSE)))=TRUE,"",IF(VLOOKUP($N115,CODE!$K:$P,CODE!$O$1,FALSE)="",$M115,$M115&amp;"-"&amp;VLOOKUP($N115,CODE!$K:$P,CODE!$O$1,FALSE)))</f>
        <v>URB</v>
      </c>
      <c r="P115" s="29" t="str">
        <f t="shared" si="24"/>
        <v>성인</v>
      </c>
      <c r="Q115" s="29" t="str">
        <f t="shared" si="25"/>
        <v>URBSNF3006</v>
      </c>
      <c r="R115" s="1" t="s">
        <v>926</v>
      </c>
      <c r="S115" s="1" t="s">
        <v>14</v>
      </c>
      <c r="T115" s="26">
        <v>1500</v>
      </c>
      <c r="U115" s="26">
        <v>64500000</v>
      </c>
      <c r="V115" s="26">
        <v>8772510</v>
      </c>
      <c r="W115" s="26">
        <v>6.6841033679486985</v>
      </c>
      <c r="X115" s="26">
        <v>1500</v>
      </c>
      <c r="Y115" s="26">
        <v>0</v>
      </c>
    </row>
    <row r="116" spans="1:25">
      <c r="A116" s="24" t="str">
        <f t="shared" si="17"/>
        <v>신규</v>
      </c>
      <c r="B116" s="24" t="str">
        <f>IF(COUNTIF(R$1:R115,R116)=0,"최초","리오더")</f>
        <v>최초</v>
      </c>
      <c r="C116" s="24" t="str">
        <f t="shared" si="18"/>
        <v>URBSNF3506</v>
      </c>
      <c r="D116" s="24">
        <f t="shared" si="13"/>
        <v>1</v>
      </c>
      <c r="E116" s="24" t="str">
        <f t="shared" si="19"/>
        <v/>
      </c>
      <c r="F116" s="24">
        <f t="shared" si="14"/>
        <v>0</v>
      </c>
      <c r="G116" s="24" t="str">
        <f t="shared" si="20"/>
        <v>URBSNF3506BK</v>
      </c>
      <c r="H116" s="24">
        <f t="shared" si="15"/>
        <v>1</v>
      </c>
      <c r="I116" s="24" t="str">
        <f t="shared" si="21"/>
        <v/>
      </c>
      <c r="J116" s="24">
        <f t="shared" si="16"/>
        <v>0</v>
      </c>
      <c r="K116" s="24" t="str">
        <f t="shared" si="22"/>
        <v>F3</v>
      </c>
      <c r="L116" s="24" t="str">
        <f>VLOOKUP(N116,CODE!K:P,CODE!$P$1,FALSE)</f>
        <v>모자</v>
      </c>
      <c r="M116" s="24" t="str">
        <f>VLOOKUP(MID(R116,1,3),CODE!$B:$G,CODE!D$1,FALSE)</f>
        <v>URB</v>
      </c>
      <c r="N116" s="24" t="str">
        <f t="shared" si="23"/>
        <v>SN</v>
      </c>
      <c r="O116" s="29" t="str">
        <f>IF(ISERROR(IF(VLOOKUP($N116,CODE!$K:$P,CODE!$O$1,FALSE)="",$M116,$M116&amp;"-"&amp;VLOOKUP($N116,CODE!$K:$P,CODE!$O$1,FALSE)))=TRUE,"",IF(VLOOKUP($N116,CODE!$K:$P,CODE!$O$1,FALSE)="",$M116,$M116&amp;"-"&amp;VLOOKUP($N116,CODE!$K:$P,CODE!$O$1,FALSE)))</f>
        <v>URB</v>
      </c>
      <c r="P116" s="29" t="str">
        <f t="shared" si="24"/>
        <v>키즈</v>
      </c>
      <c r="Q116" s="29" t="str">
        <f t="shared" si="25"/>
        <v>URBSNF3506</v>
      </c>
      <c r="R116" s="1" t="s">
        <v>927</v>
      </c>
      <c r="S116" s="1" t="s">
        <v>14</v>
      </c>
      <c r="T116" s="26">
        <v>1500</v>
      </c>
      <c r="U116" s="26">
        <v>58500000</v>
      </c>
      <c r="V116" s="26">
        <v>8772510</v>
      </c>
      <c r="W116" s="26">
        <v>6.0623263104650986</v>
      </c>
      <c r="X116" s="26">
        <v>1500</v>
      </c>
      <c r="Y116" s="26">
        <v>0</v>
      </c>
    </row>
    <row r="117" spans="1:25">
      <c r="A117" s="24" t="str">
        <f t="shared" si="17"/>
        <v>신규</v>
      </c>
      <c r="B117" s="24" t="str">
        <f>IF(COUNTIF(R$1:R116,R117)=0,"최초","리오더")</f>
        <v>최초</v>
      </c>
      <c r="C117" s="24" t="str">
        <f t="shared" si="18"/>
        <v>URBSNF3007</v>
      </c>
      <c r="D117" s="24">
        <f t="shared" si="13"/>
        <v>0.5</v>
      </c>
      <c r="E117" s="24" t="str">
        <f t="shared" si="19"/>
        <v/>
      </c>
      <c r="F117" s="24">
        <f t="shared" si="14"/>
        <v>0</v>
      </c>
      <c r="G117" s="24" t="str">
        <f t="shared" si="20"/>
        <v>URBSNF3007GY</v>
      </c>
      <c r="H117" s="24">
        <f t="shared" si="15"/>
        <v>1</v>
      </c>
      <c r="I117" s="24" t="str">
        <f t="shared" si="21"/>
        <v/>
      </c>
      <c r="J117" s="24">
        <f t="shared" si="16"/>
        <v>0</v>
      </c>
      <c r="K117" s="24" t="str">
        <f t="shared" si="22"/>
        <v>F3</v>
      </c>
      <c r="L117" s="24" t="str">
        <f>VLOOKUP(N117,CODE!K:P,CODE!$P$1,FALSE)</f>
        <v>모자</v>
      </c>
      <c r="M117" s="24" t="str">
        <f>VLOOKUP(MID(R117,1,3),CODE!$B:$G,CODE!D$1,FALSE)</f>
        <v>URB</v>
      </c>
      <c r="N117" s="24" t="str">
        <f t="shared" si="23"/>
        <v>SN</v>
      </c>
      <c r="O117" s="29" t="str">
        <f>IF(ISERROR(IF(VLOOKUP($N117,CODE!$K:$P,CODE!$O$1,FALSE)="",$M117,$M117&amp;"-"&amp;VLOOKUP($N117,CODE!$K:$P,CODE!$O$1,FALSE)))=TRUE,"",IF(VLOOKUP($N117,CODE!$K:$P,CODE!$O$1,FALSE)="",$M117,$M117&amp;"-"&amp;VLOOKUP($N117,CODE!$K:$P,CODE!$O$1,FALSE)))</f>
        <v>URB</v>
      </c>
      <c r="P117" s="29" t="str">
        <f t="shared" si="24"/>
        <v>성인</v>
      </c>
      <c r="Q117" s="29" t="str">
        <f t="shared" si="25"/>
        <v>URBSNF3007</v>
      </c>
      <c r="R117" s="1" t="s">
        <v>928</v>
      </c>
      <c r="S117" s="1" t="s">
        <v>14</v>
      </c>
      <c r="T117" s="26">
        <v>1500</v>
      </c>
      <c r="U117" s="26">
        <v>64500000</v>
      </c>
      <c r="V117" s="26">
        <v>7874850.0000000009</v>
      </c>
      <c r="W117" s="26">
        <v>7.4460292750164925</v>
      </c>
      <c r="X117" s="26">
        <v>1500</v>
      </c>
      <c r="Y117" s="26">
        <v>0</v>
      </c>
    </row>
    <row r="118" spans="1:25">
      <c r="A118" s="24" t="str">
        <f t="shared" si="17"/>
        <v>신규</v>
      </c>
      <c r="B118" s="24" t="str">
        <f>IF(COUNTIF(R$1:R117,R118)=0,"최초","리오더")</f>
        <v>최초</v>
      </c>
      <c r="C118" s="24" t="str">
        <f t="shared" si="18"/>
        <v>URBSNF3007</v>
      </c>
      <c r="D118" s="24">
        <f t="shared" si="13"/>
        <v>0.5</v>
      </c>
      <c r="E118" s="24" t="str">
        <f t="shared" si="19"/>
        <v/>
      </c>
      <c r="F118" s="24">
        <f t="shared" si="14"/>
        <v>0</v>
      </c>
      <c r="G118" s="24" t="str">
        <f t="shared" si="20"/>
        <v>URBSNF3007BK</v>
      </c>
      <c r="H118" s="24">
        <f t="shared" si="15"/>
        <v>1</v>
      </c>
      <c r="I118" s="24" t="str">
        <f t="shared" si="21"/>
        <v/>
      </c>
      <c r="J118" s="24">
        <f t="shared" si="16"/>
        <v>0</v>
      </c>
      <c r="K118" s="24" t="str">
        <f t="shared" si="22"/>
        <v>F3</v>
      </c>
      <c r="L118" s="24" t="str">
        <f>VLOOKUP(N118,CODE!K:P,CODE!$P$1,FALSE)</f>
        <v>모자</v>
      </c>
      <c r="M118" s="24" t="str">
        <f>VLOOKUP(MID(R118,1,3),CODE!$B:$G,CODE!D$1,FALSE)</f>
        <v>URB</v>
      </c>
      <c r="N118" s="24" t="str">
        <f t="shared" si="23"/>
        <v>SN</v>
      </c>
      <c r="O118" s="29" t="str">
        <f>IF(ISERROR(IF(VLOOKUP($N118,CODE!$K:$P,CODE!$O$1,FALSE)="",$M118,$M118&amp;"-"&amp;VLOOKUP($N118,CODE!$K:$P,CODE!$O$1,FALSE)))=TRUE,"",IF(VLOOKUP($N118,CODE!$K:$P,CODE!$O$1,FALSE)="",$M118,$M118&amp;"-"&amp;VLOOKUP($N118,CODE!$K:$P,CODE!$O$1,FALSE)))</f>
        <v>URB</v>
      </c>
      <c r="P118" s="29" t="str">
        <f t="shared" si="24"/>
        <v>성인</v>
      </c>
      <c r="Q118" s="29" t="str">
        <f t="shared" si="25"/>
        <v>URBSNF3007</v>
      </c>
      <c r="R118" s="1" t="s">
        <v>929</v>
      </c>
      <c r="S118" s="1" t="s">
        <v>14</v>
      </c>
      <c r="T118" s="26">
        <v>1500</v>
      </c>
      <c r="U118" s="26">
        <v>64500000</v>
      </c>
      <c r="V118" s="26">
        <v>8436180</v>
      </c>
      <c r="W118" s="26">
        <v>6.9505823294860516</v>
      </c>
      <c r="X118" s="26">
        <v>1500</v>
      </c>
      <c r="Y118" s="26">
        <v>0</v>
      </c>
    </row>
    <row r="119" spans="1:25">
      <c r="A119" s="24" t="str">
        <f t="shared" si="17"/>
        <v>신규</v>
      </c>
      <c r="B119" s="24" t="str">
        <f>IF(COUNTIF(R$1:R118,R119)=0,"최초","리오더")</f>
        <v>최초</v>
      </c>
      <c r="C119" s="24" t="str">
        <f t="shared" si="18"/>
        <v>URBSNF3008</v>
      </c>
      <c r="D119" s="24">
        <f t="shared" si="13"/>
        <v>1</v>
      </c>
      <c r="E119" s="24" t="str">
        <f t="shared" si="19"/>
        <v/>
      </c>
      <c r="F119" s="24">
        <f t="shared" si="14"/>
        <v>0</v>
      </c>
      <c r="G119" s="24" t="str">
        <f t="shared" si="20"/>
        <v>URBSNF3008GY</v>
      </c>
      <c r="H119" s="24">
        <f t="shared" si="15"/>
        <v>1</v>
      </c>
      <c r="I119" s="24" t="str">
        <f t="shared" si="21"/>
        <v/>
      </c>
      <c r="J119" s="24">
        <f t="shared" si="16"/>
        <v>0</v>
      </c>
      <c r="K119" s="24" t="str">
        <f t="shared" si="22"/>
        <v>F3</v>
      </c>
      <c r="L119" s="24" t="str">
        <f>VLOOKUP(N119,CODE!K:P,CODE!$P$1,FALSE)</f>
        <v>모자</v>
      </c>
      <c r="M119" s="24" t="str">
        <f>VLOOKUP(MID(R119,1,3),CODE!$B:$G,CODE!D$1,FALSE)</f>
        <v>URB</v>
      </c>
      <c r="N119" s="24" t="str">
        <f t="shared" si="23"/>
        <v>SN</v>
      </c>
      <c r="O119" s="29" t="str">
        <f>IF(ISERROR(IF(VLOOKUP($N119,CODE!$K:$P,CODE!$O$1,FALSE)="",$M119,$M119&amp;"-"&amp;VLOOKUP($N119,CODE!$K:$P,CODE!$O$1,FALSE)))=TRUE,"",IF(VLOOKUP($N119,CODE!$K:$P,CODE!$O$1,FALSE)="",$M119,$M119&amp;"-"&amp;VLOOKUP($N119,CODE!$K:$P,CODE!$O$1,FALSE)))</f>
        <v>URB</v>
      </c>
      <c r="P119" s="29" t="str">
        <f t="shared" si="24"/>
        <v>성인</v>
      </c>
      <c r="Q119" s="29" t="str">
        <f t="shared" si="25"/>
        <v>URBSNF3008</v>
      </c>
      <c r="R119" s="1" t="s">
        <v>930</v>
      </c>
      <c r="S119" s="1" t="s">
        <v>14</v>
      </c>
      <c r="T119" s="26">
        <v>1500</v>
      </c>
      <c r="U119" s="26">
        <v>64500000</v>
      </c>
      <c r="V119" s="26">
        <v>7504410.0000000009</v>
      </c>
      <c r="W119" s="26">
        <v>7.8135874287736975</v>
      </c>
      <c r="X119" s="26">
        <v>1500</v>
      </c>
      <c r="Y119" s="26">
        <v>0</v>
      </c>
    </row>
    <row r="120" spans="1:25">
      <c r="A120" s="24" t="str">
        <f t="shared" si="17"/>
        <v>신규</v>
      </c>
      <c r="B120" s="24" t="str">
        <f>IF(COUNTIF(R$1:R119,R120)=0,"최초","리오더")</f>
        <v>최초</v>
      </c>
      <c r="C120" s="24" t="str">
        <f t="shared" si="18"/>
        <v>URBSNF3009</v>
      </c>
      <c r="D120" s="24">
        <f t="shared" si="13"/>
        <v>1</v>
      </c>
      <c r="E120" s="24" t="str">
        <f t="shared" si="19"/>
        <v/>
      </c>
      <c r="F120" s="24">
        <f t="shared" si="14"/>
        <v>0</v>
      </c>
      <c r="G120" s="24" t="str">
        <f t="shared" si="20"/>
        <v>URBSNF3009BK</v>
      </c>
      <c r="H120" s="24">
        <f t="shared" si="15"/>
        <v>1</v>
      </c>
      <c r="I120" s="24" t="str">
        <f t="shared" si="21"/>
        <v/>
      </c>
      <c r="J120" s="24">
        <f t="shared" si="16"/>
        <v>0</v>
      </c>
      <c r="K120" s="24" t="str">
        <f t="shared" si="22"/>
        <v>F3</v>
      </c>
      <c r="L120" s="24" t="str">
        <f>VLOOKUP(N120,CODE!K:P,CODE!$P$1,FALSE)</f>
        <v>모자</v>
      </c>
      <c r="M120" s="24" t="str">
        <f>VLOOKUP(MID(R120,1,3),CODE!$B:$G,CODE!D$1,FALSE)</f>
        <v>URB</v>
      </c>
      <c r="N120" s="24" t="str">
        <f t="shared" si="23"/>
        <v>SN</v>
      </c>
      <c r="O120" s="29" t="str">
        <f>IF(ISERROR(IF(VLOOKUP($N120,CODE!$K:$P,CODE!$O$1,FALSE)="",$M120,$M120&amp;"-"&amp;VLOOKUP($N120,CODE!$K:$P,CODE!$O$1,FALSE)))=TRUE,"",IF(VLOOKUP($N120,CODE!$K:$P,CODE!$O$1,FALSE)="",$M120,$M120&amp;"-"&amp;VLOOKUP($N120,CODE!$K:$P,CODE!$O$1,FALSE)))</f>
        <v>URB</v>
      </c>
      <c r="P120" s="29" t="str">
        <f t="shared" si="24"/>
        <v>성인</v>
      </c>
      <c r="Q120" s="29" t="str">
        <f t="shared" si="25"/>
        <v>URBSNF3009</v>
      </c>
      <c r="R120" s="1" t="s">
        <v>931</v>
      </c>
      <c r="S120" s="1" t="s">
        <v>14</v>
      </c>
      <c r="T120" s="26">
        <v>1500</v>
      </c>
      <c r="U120" s="26">
        <v>64500000</v>
      </c>
      <c r="V120" s="26">
        <v>7320630</v>
      </c>
      <c r="W120" s="26">
        <v>8.0097428276478428</v>
      </c>
      <c r="X120" s="26">
        <v>1500</v>
      </c>
      <c r="Y120" s="26">
        <v>0</v>
      </c>
    </row>
    <row r="121" spans="1:25">
      <c r="A121" s="24" t="str">
        <f t="shared" si="17"/>
        <v>신규</v>
      </c>
      <c r="B121" s="24" t="str">
        <f>IF(COUNTIF(R$1:R120,R121)=0,"최초","리오더")</f>
        <v>최초</v>
      </c>
      <c r="C121" s="24" t="str">
        <f t="shared" si="18"/>
        <v>URBSNF3010</v>
      </c>
      <c r="D121" s="24">
        <f t="shared" si="13"/>
        <v>0.5</v>
      </c>
      <c r="E121" s="24" t="str">
        <f t="shared" si="19"/>
        <v/>
      </c>
      <c r="F121" s="24">
        <f t="shared" si="14"/>
        <v>0</v>
      </c>
      <c r="G121" s="24" t="str">
        <f t="shared" si="20"/>
        <v>URBSNF3010BK</v>
      </c>
      <c r="H121" s="24">
        <f t="shared" si="15"/>
        <v>1</v>
      </c>
      <c r="I121" s="24" t="str">
        <f t="shared" si="21"/>
        <v/>
      </c>
      <c r="J121" s="24">
        <f t="shared" si="16"/>
        <v>0</v>
      </c>
      <c r="K121" s="24" t="str">
        <f t="shared" si="22"/>
        <v>F3</v>
      </c>
      <c r="L121" s="24" t="str">
        <f>VLOOKUP(N121,CODE!K:P,CODE!$P$1,FALSE)</f>
        <v>모자</v>
      </c>
      <c r="M121" s="24" t="str">
        <f>VLOOKUP(MID(R121,1,3),CODE!$B:$G,CODE!D$1,FALSE)</f>
        <v>URB</v>
      </c>
      <c r="N121" s="24" t="str">
        <f t="shared" si="23"/>
        <v>SN</v>
      </c>
      <c r="O121" s="29" t="str">
        <f>IF(ISERROR(IF(VLOOKUP($N121,CODE!$K:$P,CODE!$O$1,FALSE)="",$M121,$M121&amp;"-"&amp;VLOOKUP($N121,CODE!$K:$P,CODE!$O$1,FALSE)))=TRUE,"",IF(VLOOKUP($N121,CODE!$K:$P,CODE!$O$1,FALSE)="",$M121,$M121&amp;"-"&amp;VLOOKUP($N121,CODE!$K:$P,CODE!$O$1,FALSE)))</f>
        <v>URB</v>
      </c>
      <c r="P121" s="29" t="str">
        <f t="shared" si="24"/>
        <v>성인</v>
      </c>
      <c r="Q121" s="29" t="str">
        <f t="shared" si="25"/>
        <v>URBSNF3010</v>
      </c>
      <c r="R121" s="1" t="s">
        <v>932</v>
      </c>
      <c r="S121" s="1" t="s">
        <v>14</v>
      </c>
      <c r="T121" s="26">
        <v>1500</v>
      </c>
      <c r="U121" s="26">
        <v>64500000</v>
      </c>
      <c r="V121" s="26">
        <v>7494300.0000000009</v>
      </c>
      <c r="W121" s="26">
        <v>7.8241281555800573</v>
      </c>
      <c r="X121" s="26">
        <v>1500</v>
      </c>
      <c r="Y121" s="26">
        <v>0</v>
      </c>
    </row>
    <row r="122" spans="1:25">
      <c r="A122" s="24" t="str">
        <f t="shared" si="17"/>
        <v>신규</v>
      </c>
      <c r="B122" s="24" t="str">
        <f>IF(COUNTIF(R$1:R121,R122)=0,"최초","리오더")</f>
        <v>최초</v>
      </c>
      <c r="C122" s="24" t="str">
        <f t="shared" si="18"/>
        <v>URBSNF3010</v>
      </c>
      <c r="D122" s="24">
        <f t="shared" si="13"/>
        <v>0.5</v>
      </c>
      <c r="E122" s="24" t="str">
        <f t="shared" si="19"/>
        <v/>
      </c>
      <c r="F122" s="24">
        <f t="shared" si="14"/>
        <v>0</v>
      </c>
      <c r="G122" s="24" t="str">
        <f t="shared" si="20"/>
        <v>URBSNF3010PK</v>
      </c>
      <c r="H122" s="24">
        <f t="shared" si="15"/>
        <v>1</v>
      </c>
      <c r="I122" s="24" t="str">
        <f t="shared" si="21"/>
        <v/>
      </c>
      <c r="J122" s="24">
        <f t="shared" si="16"/>
        <v>0</v>
      </c>
      <c r="K122" s="24" t="str">
        <f t="shared" si="22"/>
        <v>F3</v>
      </c>
      <c r="L122" s="24" t="str">
        <f>VLOOKUP(N122,CODE!K:P,CODE!$P$1,FALSE)</f>
        <v>모자</v>
      </c>
      <c r="M122" s="24" t="str">
        <f>VLOOKUP(MID(R122,1,3),CODE!$B:$G,CODE!D$1,FALSE)</f>
        <v>URB</v>
      </c>
      <c r="N122" s="24" t="str">
        <f t="shared" si="23"/>
        <v>SN</v>
      </c>
      <c r="O122" s="29" t="str">
        <f>IF(ISERROR(IF(VLOOKUP($N122,CODE!$K:$P,CODE!$O$1,FALSE)="",$M122,$M122&amp;"-"&amp;VLOOKUP($N122,CODE!$K:$P,CODE!$O$1,FALSE)))=TRUE,"",IF(VLOOKUP($N122,CODE!$K:$P,CODE!$O$1,FALSE)="",$M122,$M122&amp;"-"&amp;VLOOKUP($N122,CODE!$K:$P,CODE!$O$1,FALSE)))</f>
        <v>URB</v>
      </c>
      <c r="P122" s="29" t="str">
        <f t="shared" si="24"/>
        <v>성인</v>
      </c>
      <c r="Q122" s="29" t="str">
        <f t="shared" si="25"/>
        <v>URBSNF3010</v>
      </c>
      <c r="R122" s="1" t="s">
        <v>933</v>
      </c>
      <c r="S122" s="1" t="s">
        <v>14</v>
      </c>
      <c r="T122" s="26">
        <v>1200</v>
      </c>
      <c r="U122" s="26">
        <v>51600000</v>
      </c>
      <c r="V122" s="26">
        <v>6156504</v>
      </c>
      <c r="W122" s="26">
        <v>7.619436438129644</v>
      </c>
      <c r="X122" s="26">
        <v>1200</v>
      </c>
      <c r="Y122" s="26">
        <v>0</v>
      </c>
    </row>
    <row r="123" spans="1:25">
      <c r="A123" s="24" t="str">
        <f t="shared" si="17"/>
        <v>신규</v>
      </c>
      <c r="B123" s="24" t="str">
        <f>IF(COUNTIF(R$1:R122,R123)=0,"최초","리오더")</f>
        <v>최초</v>
      </c>
      <c r="C123" s="24" t="str">
        <f t="shared" si="18"/>
        <v>URBSNF3510</v>
      </c>
      <c r="D123" s="24">
        <f t="shared" si="13"/>
        <v>1</v>
      </c>
      <c r="E123" s="24" t="str">
        <f t="shared" si="19"/>
        <v/>
      </c>
      <c r="F123" s="24">
        <f t="shared" si="14"/>
        <v>0</v>
      </c>
      <c r="G123" s="24" t="str">
        <f t="shared" si="20"/>
        <v>URBSNF3510PK</v>
      </c>
      <c r="H123" s="24">
        <f t="shared" si="15"/>
        <v>1</v>
      </c>
      <c r="I123" s="24" t="str">
        <f t="shared" si="21"/>
        <v/>
      </c>
      <c r="J123" s="24">
        <f t="shared" si="16"/>
        <v>0</v>
      </c>
      <c r="K123" s="24" t="str">
        <f t="shared" si="22"/>
        <v>F3</v>
      </c>
      <c r="L123" s="24" t="str">
        <f>VLOOKUP(N123,CODE!K:P,CODE!$P$1,FALSE)</f>
        <v>모자</v>
      </c>
      <c r="M123" s="24" t="str">
        <f>VLOOKUP(MID(R123,1,3),CODE!$B:$G,CODE!D$1,FALSE)</f>
        <v>URB</v>
      </c>
      <c r="N123" s="24" t="str">
        <f t="shared" si="23"/>
        <v>SN</v>
      </c>
      <c r="O123" s="29" t="str">
        <f>IF(ISERROR(IF(VLOOKUP($N123,CODE!$K:$P,CODE!$O$1,FALSE)="",$M123,$M123&amp;"-"&amp;VLOOKUP($N123,CODE!$K:$P,CODE!$O$1,FALSE)))=TRUE,"",IF(VLOOKUP($N123,CODE!$K:$P,CODE!$O$1,FALSE)="",$M123,$M123&amp;"-"&amp;VLOOKUP($N123,CODE!$K:$P,CODE!$O$1,FALSE)))</f>
        <v>URB</v>
      </c>
      <c r="P123" s="29" t="str">
        <f t="shared" si="24"/>
        <v>키즈</v>
      </c>
      <c r="Q123" s="29" t="str">
        <f t="shared" si="25"/>
        <v>URBSNF3510</v>
      </c>
      <c r="R123" s="1" t="s">
        <v>934</v>
      </c>
      <c r="S123" s="1" t="s">
        <v>14</v>
      </c>
      <c r="T123" s="26">
        <v>1200</v>
      </c>
      <c r="U123" s="26">
        <v>46800000</v>
      </c>
      <c r="V123" s="26">
        <v>6156504</v>
      </c>
      <c r="W123" s="26">
        <v>6.9106516531873519</v>
      </c>
      <c r="X123" s="26">
        <v>1199</v>
      </c>
      <c r="Y123" s="26">
        <v>0</v>
      </c>
    </row>
    <row r="124" spans="1:25">
      <c r="A124" s="24" t="str">
        <f t="shared" si="17"/>
        <v>신규</v>
      </c>
      <c r="B124" s="24" t="str">
        <f>IF(COUNTIF(R$1:R123,R124)=0,"최초","리오더")</f>
        <v>최초</v>
      </c>
      <c r="C124" s="24" t="str">
        <f t="shared" si="18"/>
        <v>URBSNF3011</v>
      </c>
      <c r="D124" s="24">
        <f t="shared" si="13"/>
        <v>0.33333333333333331</v>
      </c>
      <c r="E124" s="24" t="str">
        <f t="shared" si="19"/>
        <v/>
      </c>
      <c r="F124" s="24">
        <f t="shared" si="14"/>
        <v>0</v>
      </c>
      <c r="G124" s="24" t="str">
        <f t="shared" si="20"/>
        <v>URBSNF3011BK</v>
      </c>
      <c r="H124" s="24">
        <f t="shared" si="15"/>
        <v>1</v>
      </c>
      <c r="I124" s="24" t="str">
        <f t="shared" si="21"/>
        <v/>
      </c>
      <c r="J124" s="24">
        <f t="shared" si="16"/>
        <v>0</v>
      </c>
      <c r="K124" s="24" t="str">
        <f t="shared" si="22"/>
        <v>F3</v>
      </c>
      <c r="L124" s="24" t="str">
        <f>VLOOKUP(N124,CODE!K:P,CODE!$P$1,FALSE)</f>
        <v>모자</v>
      </c>
      <c r="M124" s="24" t="str">
        <f>VLOOKUP(MID(R124,1,3),CODE!$B:$G,CODE!D$1,FALSE)</f>
        <v>URB</v>
      </c>
      <c r="N124" s="24" t="str">
        <f t="shared" si="23"/>
        <v>SN</v>
      </c>
      <c r="O124" s="29" t="str">
        <f>IF(ISERROR(IF(VLOOKUP($N124,CODE!$K:$P,CODE!$O$1,FALSE)="",$M124,$M124&amp;"-"&amp;VLOOKUP($N124,CODE!$K:$P,CODE!$O$1,FALSE)))=TRUE,"",IF(VLOOKUP($N124,CODE!$K:$P,CODE!$O$1,FALSE)="",$M124,$M124&amp;"-"&amp;VLOOKUP($N124,CODE!$K:$P,CODE!$O$1,FALSE)))</f>
        <v>URB</v>
      </c>
      <c r="P124" s="29" t="str">
        <f t="shared" si="24"/>
        <v>성인</v>
      </c>
      <c r="Q124" s="29" t="str">
        <f t="shared" si="25"/>
        <v>URBSNF3011</v>
      </c>
      <c r="R124" s="1" t="s">
        <v>935</v>
      </c>
      <c r="S124" s="1" t="s">
        <v>14</v>
      </c>
      <c r="T124" s="26">
        <v>2000</v>
      </c>
      <c r="U124" s="26">
        <v>98000000</v>
      </c>
      <c r="V124" s="26">
        <v>16500000</v>
      </c>
      <c r="W124" s="26">
        <v>5.3994490358126725</v>
      </c>
      <c r="X124" s="26">
        <v>2000</v>
      </c>
      <c r="Y124" s="26">
        <v>0</v>
      </c>
    </row>
    <row r="125" spans="1:25">
      <c r="A125" s="24" t="str">
        <f t="shared" si="17"/>
        <v>신규</v>
      </c>
      <c r="B125" s="24" t="str">
        <f>IF(COUNTIF(R$1:R124,R125)=0,"최초","리오더")</f>
        <v>최초</v>
      </c>
      <c r="C125" s="24" t="str">
        <f t="shared" si="18"/>
        <v>URBSNF3011</v>
      </c>
      <c r="D125" s="24">
        <f t="shared" si="13"/>
        <v>0.33333333333333331</v>
      </c>
      <c r="E125" s="24" t="str">
        <f t="shared" si="19"/>
        <v/>
      </c>
      <c r="F125" s="24">
        <f t="shared" si="14"/>
        <v>0</v>
      </c>
      <c r="G125" s="24" t="str">
        <f t="shared" si="20"/>
        <v>URBSNF3011RE</v>
      </c>
      <c r="H125" s="24">
        <f t="shared" si="15"/>
        <v>1</v>
      </c>
      <c r="I125" s="24" t="str">
        <f t="shared" si="21"/>
        <v/>
      </c>
      <c r="J125" s="24">
        <f t="shared" si="16"/>
        <v>0</v>
      </c>
      <c r="K125" s="24" t="str">
        <f t="shared" si="22"/>
        <v>F3</v>
      </c>
      <c r="L125" s="24" t="str">
        <f>VLOOKUP(N125,CODE!K:P,CODE!$P$1,FALSE)</f>
        <v>모자</v>
      </c>
      <c r="M125" s="24" t="str">
        <f>VLOOKUP(MID(R125,1,3),CODE!$B:$G,CODE!D$1,FALSE)</f>
        <v>URB</v>
      </c>
      <c r="N125" s="24" t="str">
        <f t="shared" si="23"/>
        <v>SN</v>
      </c>
      <c r="O125" s="29" t="str">
        <f>IF(ISERROR(IF(VLOOKUP($N125,CODE!$K:$P,CODE!$O$1,FALSE)="",$M125,$M125&amp;"-"&amp;VLOOKUP($N125,CODE!$K:$P,CODE!$O$1,FALSE)))=TRUE,"",IF(VLOOKUP($N125,CODE!$K:$P,CODE!$O$1,FALSE)="",$M125,$M125&amp;"-"&amp;VLOOKUP($N125,CODE!$K:$P,CODE!$O$1,FALSE)))</f>
        <v>URB</v>
      </c>
      <c r="P125" s="29" t="str">
        <f t="shared" si="24"/>
        <v>성인</v>
      </c>
      <c r="Q125" s="29" t="str">
        <f t="shared" si="25"/>
        <v>URBSNF3011</v>
      </c>
      <c r="R125" s="1" t="s">
        <v>936</v>
      </c>
      <c r="S125" s="1" t="s">
        <v>14</v>
      </c>
      <c r="T125" s="26">
        <v>1800</v>
      </c>
      <c r="U125" s="26">
        <v>88200000</v>
      </c>
      <c r="V125" s="26">
        <v>14850000</v>
      </c>
      <c r="W125" s="26">
        <v>5.3994490358126717</v>
      </c>
      <c r="X125" s="26">
        <v>1800</v>
      </c>
      <c r="Y125" s="26">
        <v>0</v>
      </c>
    </row>
    <row r="126" spans="1:25">
      <c r="A126" s="24" t="str">
        <f t="shared" si="17"/>
        <v>신규</v>
      </c>
      <c r="B126" s="24" t="str">
        <f>IF(COUNTIF(R$1:R125,R126)=0,"최초","리오더")</f>
        <v>최초</v>
      </c>
      <c r="C126" s="24" t="str">
        <f t="shared" si="18"/>
        <v>URBSNF3011</v>
      </c>
      <c r="D126" s="24">
        <f t="shared" si="13"/>
        <v>0.33333333333333331</v>
      </c>
      <c r="E126" s="24" t="str">
        <f t="shared" si="19"/>
        <v/>
      </c>
      <c r="F126" s="24">
        <f t="shared" si="14"/>
        <v>0</v>
      </c>
      <c r="G126" s="24" t="str">
        <f t="shared" si="20"/>
        <v>URBSNF3011GY</v>
      </c>
      <c r="H126" s="24">
        <f t="shared" si="15"/>
        <v>1</v>
      </c>
      <c r="I126" s="24" t="str">
        <f t="shared" si="21"/>
        <v/>
      </c>
      <c r="J126" s="24">
        <f t="shared" si="16"/>
        <v>0</v>
      </c>
      <c r="K126" s="24" t="str">
        <f t="shared" si="22"/>
        <v>F3</v>
      </c>
      <c r="L126" s="24" t="str">
        <f>VLOOKUP(N126,CODE!K:P,CODE!$P$1,FALSE)</f>
        <v>모자</v>
      </c>
      <c r="M126" s="24" t="str">
        <f>VLOOKUP(MID(R126,1,3),CODE!$B:$G,CODE!D$1,FALSE)</f>
        <v>URB</v>
      </c>
      <c r="N126" s="24" t="str">
        <f t="shared" si="23"/>
        <v>SN</v>
      </c>
      <c r="O126" s="29" t="str">
        <f>IF(ISERROR(IF(VLOOKUP($N126,CODE!$K:$P,CODE!$O$1,FALSE)="",$M126,$M126&amp;"-"&amp;VLOOKUP($N126,CODE!$K:$P,CODE!$O$1,FALSE)))=TRUE,"",IF(VLOOKUP($N126,CODE!$K:$P,CODE!$O$1,FALSE)="",$M126,$M126&amp;"-"&amp;VLOOKUP($N126,CODE!$K:$P,CODE!$O$1,FALSE)))</f>
        <v>URB</v>
      </c>
      <c r="P126" s="29" t="str">
        <f t="shared" si="24"/>
        <v>성인</v>
      </c>
      <c r="Q126" s="29" t="str">
        <f t="shared" si="25"/>
        <v>URBSNF3011</v>
      </c>
      <c r="R126" s="1" t="s">
        <v>937</v>
      </c>
      <c r="S126" s="1" t="s">
        <v>14</v>
      </c>
      <c r="T126" s="26">
        <v>1200</v>
      </c>
      <c r="U126" s="26">
        <v>58800000</v>
      </c>
      <c r="V126" s="26">
        <v>9900000</v>
      </c>
      <c r="W126" s="26">
        <v>5.3994490358126725</v>
      </c>
      <c r="X126" s="26">
        <v>1199</v>
      </c>
      <c r="Y126" s="26">
        <v>0</v>
      </c>
    </row>
    <row r="127" spans="1:25">
      <c r="A127" s="24" t="str">
        <f t="shared" si="17"/>
        <v>신규</v>
      </c>
      <c r="B127" s="24" t="str">
        <f>IF(COUNTIF(R$1:R126,R127)=0,"최초","리오더")</f>
        <v>최초</v>
      </c>
      <c r="C127" s="24" t="str">
        <f t="shared" si="18"/>
        <v>URBSNF3012</v>
      </c>
      <c r="D127" s="24">
        <f t="shared" si="13"/>
        <v>1</v>
      </c>
      <c r="E127" s="24" t="str">
        <f t="shared" si="19"/>
        <v/>
      </c>
      <c r="F127" s="24">
        <f t="shared" si="14"/>
        <v>0</v>
      </c>
      <c r="G127" s="24" t="str">
        <f t="shared" si="20"/>
        <v>URBSNF3012BK</v>
      </c>
      <c r="H127" s="24">
        <f t="shared" si="15"/>
        <v>1</v>
      </c>
      <c r="I127" s="24" t="str">
        <f t="shared" si="21"/>
        <v/>
      </c>
      <c r="J127" s="24">
        <f t="shared" si="16"/>
        <v>0</v>
      </c>
      <c r="K127" s="24" t="str">
        <f t="shared" si="22"/>
        <v>F3</v>
      </c>
      <c r="L127" s="24" t="str">
        <f>VLOOKUP(N127,CODE!K:P,CODE!$P$1,FALSE)</f>
        <v>모자</v>
      </c>
      <c r="M127" s="24" t="str">
        <f>VLOOKUP(MID(R127,1,3),CODE!$B:$G,CODE!D$1,FALSE)</f>
        <v>URB</v>
      </c>
      <c r="N127" s="24" t="str">
        <f t="shared" si="23"/>
        <v>SN</v>
      </c>
      <c r="O127" s="29" t="str">
        <f>IF(ISERROR(IF(VLOOKUP($N127,CODE!$K:$P,CODE!$O$1,FALSE)="",$M127,$M127&amp;"-"&amp;VLOOKUP($N127,CODE!$K:$P,CODE!$O$1,FALSE)))=TRUE,"",IF(VLOOKUP($N127,CODE!$K:$P,CODE!$O$1,FALSE)="",$M127,$M127&amp;"-"&amp;VLOOKUP($N127,CODE!$K:$P,CODE!$O$1,FALSE)))</f>
        <v>URB</v>
      </c>
      <c r="P127" s="29" t="str">
        <f t="shared" si="24"/>
        <v>성인</v>
      </c>
      <c r="Q127" s="29" t="str">
        <f t="shared" si="25"/>
        <v>URBSNF3012</v>
      </c>
      <c r="R127" s="1" t="s">
        <v>938</v>
      </c>
      <c r="S127" s="1" t="s">
        <v>14</v>
      </c>
      <c r="T127" s="26">
        <v>1800</v>
      </c>
      <c r="U127" s="26">
        <v>88200000</v>
      </c>
      <c r="V127" s="26">
        <v>13860000</v>
      </c>
      <c r="W127" s="26">
        <v>5.7851239669421481</v>
      </c>
      <c r="X127" s="26">
        <v>1800</v>
      </c>
      <c r="Y127" s="26">
        <v>0</v>
      </c>
    </row>
    <row r="128" spans="1:25">
      <c r="A128" s="24" t="str">
        <f t="shared" si="17"/>
        <v>신규</v>
      </c>
      <c r="B128" s="24" t="str">
        <f>IF(COUNTIF(R$1:R127,R128)=0,"최초","리오더")</f>
        <v>최초</v>
      </c>
      <c r="C128" s="24" t="str">
        <f t="shared" si="18"/>
        <v>URBSNF3013</v>
      </c>
      <c r="D128" s="24">
        <f t="shared" si="13"/>
        <v>1</v>
      </c>
      <c r="E128" s="24" t="str">
        <f t="shared" si="19"/>
        <v/>
      </c>
      <c r="F128" s="24">
        <f t="shared" si="14"/>
        <v>0</v>
      </c>
      <c r="G128" s="24" t="str">
        <f t="shared" si="20"/>
        <v>URBSNF3013BK</v>
      </c>
      <c r="H128" s="24">
        <f t="shared" si="15"/>
        <v>1</v>
      </c>
      <c r="I128" s="24" t="str">
        <f t="shared" si="21"/>
        <v/>
      </c>
      <c r="J128" s="24">
        <f t="shared" si="16"/>
        <v>0</v>
      </c>
      <c r="K128" s="24" t="str">
        <f t="shared" si="22"/>
        <v>F3</v>
      </c>
      <c r="L128" s="24" t="str">
        <f>VLOOKUP(N128,CODE!K:P,CODE!$P$1,FALSE)</f>
        <v>모자</v>
      </c>
      <c r="M128" s="24" t="str">
        <f>VLOOKUP(MID(R128,1,3),CODE!$B:$G,CODE!D$1,FALSE)</f>
        <v>URB</v>
      </c>
      <c r="N128" s="24" t="str">
        <f t="shared" si="23"/>
        <v>SN</v>
      </c>
      <c r="O128" s="29" t="str">
        <f>IF(ISERROR(IF(VLOOKUP($N128,CODE!$K:$P,CODE!$O$1,FALSE)="",$M128,$M128&amp;"-"&amp;VLOOKUP($N128,CODE!$K:$P,CODE!$O$1,FALSE)))=TRUE,"",IF(VLOOKUP($N128,CODE!$K:$P,CODE!$O$1,FALSE)="",$M128,$M128&amp;"-"&amp;VLOOKUP($N128,CODE!$K:$P,CODE!$O$1,FALSE)))</f>
        <v>URB</v>
      </c>
      <c r="P128" s="29" t="str">
        <f t="shared" si="24"/>
        <v>성인</v>
      </c>
      <c r="Q128" s="29" t="str">
        <f t="shared" si="25"/>
        <v>URBSNF3013</v>
      </c>
      <c r="R128" s="1" t="s">
        <v>939</v>
      </c>
      <c r="S128" s="1" t="s">
        <v>14</v>
      </c>
      <c r="T128" s="26">
        <v>600</v>
      </c>
      <c r="U128" s="26">
        <v>59400000</v>
      </c>
      <c r="V128" s="26">
        <v>14100000</v>
      </c>
      <c r="W128" s="26">
        <v>3.8297872340425529</v>
      </c>
      <c r="X128" s="26">
        <v>603</v>
      </c>
      <c r="Y128" s="26">
        <v>0</v>
      </c>
    </row>
    <row r="129" spans="1:25">
      <c r="A129" s="24" t="str">
        <f t="shared" si="17"/>
        <v>신규</v>
      </c>
      <c r="B129" s="24" t="str">
        <f>IF(COUNTIF(R$1:R128,R129)=0,"최초","리오더")</f>
        <v>최초</v>
      </c>
      <c r="C129" s="24" t="str">
        <f t="shared" si="18"/>
        <v>URBSNF3014</v>
      </c>
      <c r="D129" s="24">
        <f t="shared" si="13"/>
        <v>1</v>
      </c>
      <c r="E129" s="24" t="str">
        <f t="shared" si="19"/>
        <v/>
      </c>
      <c r="F129" s="24">
        <f t="shared" si="14"/>
        <v>0</v>
      </c>
      <c r="G129" s="24" t="str">
        <f t="shared" si="20"/>
        <v>URBSNF3014BK</v>
      </c>
      <c r="H129" s="24">
        <f t="shared" si="15"/>
        <v>1</v>
      </c>
      <c r="I129" s="24" t="str">
        <f t="shared" si="21"/>
        <v/>
      </c>
      <c r="J129" s="24">
        <f t="shared" si="16"/>
        <v>0</v>
      </c>
      <c r="K129" s="24" t="str">
        <f t="shared" si="22"/>
        <v>F3</v>
      </c>
      <c r="L129" s="24" t="str">
        <f>VLOOKUP(N129,CODE!K:P,CODE!$P$1,FALSE)</f>
        <v>모자</v>
      </c>
      <c r="M129" s="24" t="str">
        <f>VLOOKUP(MID(R129,1,3),CODE!$B:$G,CODE!D$1,FALSE)</f>
        <v>URB</v>
      </c>
      <c r="N129" s="24" t="str">
        <f t="shared" si="23"/>
        <v>SN</v>
      </c>
      <c r="O129" s="29" t="str">
        <f>IF(ISERROR(IF(VLOOKUP($N129,CODE!$K:$P,CODE!$O$1,FALSE)="",$M129,$M129&amp;"-"&amp;VLOOKUP($N129,CODE!$K:$P,CODE!$O$1,FALSE)))=TRUE,"",IF(VLOOKUP($N129,CODE!$K:$P,CODE!$O$1,FALSE)="",$M129,$M129&amp;"-"&amp;VLOOKUP($N129,CODE!$K:$P,CODE!$O$1,FALSE)))</f>
        <v>URB</v>
      </c>
      <c r="P129" s="29" t="str">
        <f t="shared" si="24"/>
        <v>성인</v>
      </c>
      <c r="Q129" s="29" t="str">
        <f t="shared" si="25"/>
        <v>URBSNF3014</v>
      </c>
      <c r="R129" s="1" t="s">
        <v>940</v>
      </c>
      <c r="S129" s="1" t="s">
        <v>14</v>
      </c>
      <c r="T129" s="26">
        <v>600</v>
      </c>
      <c r="U129" s="26">
        <v>71400000</v>
      </c>
      <c r="V129" s="26">
        <v>16500000</v>
      </c>
      <c r="W129" s="26">
        <v>3.9338842975206614</v>
      </c>
      <c r="X129" s="26">
        <v>600</v>
      </c>
      <c r="Y129" s="26">
        <v>0</v>
      </c>
    </row>
    <row r="130" spans="1:25">
      <c r="A130" s="24" t="str">
        <f t="shared" si="17"/>
        <v>신규</v>
      </c>
      <c r="B130" s="24" t="str">
        <f>IF(COUNTIF(R$1:R129,R130)=0,"최초","리오더")</f>
        <v>최초</v>
      </c>
      <c r="C130" s="24" t="str">
        <f t="shared" si="18"/>
        <v>URBSNF3015</v>
      </c>
      <c r="D130" s="24">
        <f t="shared" ref="D130:D193" si="26">IF(C130="",0,1/COUNTIF(C:C,C130))</f>
        <v>1</v>
      </c>
      <c r="E130" s="24" t="str">
        <f t="shared" si="19"/>
        <v/>
      </c>
      <c r="F130" s="24">
        <f t="shared" ref="F130:F193" si="27">IF(E130="",0,1/COUNTIF(E:E,E130))</f>
        <v>0</v>
      </c>
      <c r="G130" s="24" t="str">
        <f t="shared" si="20"/>
        <v>URBSNF3015BK</v>
      </c>
      <c r="H130" s="24">
        <f t="shared" ref="H130:H193" si="28">IF(G130="",0,1/COUNTIF(G:G,G130))</f>
        <v>1</v>
      </c>
      <c r="I130" s="24" t="str">
        <f t="shared" si="21"/>
        <v/>
      </c>
      <c r="J130" s="24">
        <f t="shared" ref="J130:J193" si="29">IF(I130="",0,1/COUNTIF(I:I,I130))</f>
        <v>0</v>
      </c>
      <c r="K130" s="24" t="str">
        <f t="shared" si="22"/>
        <v>F3</v>
      </c>
      <c r="L130" s="24" t="str">
        <f>VLOOKUP(N130,CODE!K:P,CODE!$P$1,FALSE)</f>
        <v>모자</v>
      </c>
      <c r="M130" s="24" t="str">
        <f>VLOOKUP(MID(R130,1,3),CODE!$B:$G,CODE!D$1,FALSE)</f>
        <v>URB</v>
      </c>
      <c r="N130" s="24" t="str">
        <f t="shared" si="23"/>
        <v>SN</v>
      </c>
      <c r="O130" s="29" t="str">
        <f>IF(ISERROR(IF(VLOOKUP($N130,CODE!$K:$P,CODE!$O$1,FALSE)="",$M130,$M130&amp;"-"&amp;VLOOKUP($N130,CODE!$K:$P,CODE!$O$1,FALSE)))=TRUE,"",IF(VLOOKUP($N130,CODE!$K:$P,CODE!$O$1,FALSE)="",$M130,$M130&amp;"-"&amp;VLOOKUP($N130,CODE!$K:$P,CODE!$O$1,FALSE)))</f>
        <v>URB</v>
      </c>
      <c r="P130" s="29" t="str">
        <f t="shared" si="24"/>
        <v>성인</v>
      </c>
      <c r="Q130" s="29" t="str">
        <f t="shared" si="25"/>
        <v>URBSNF3015</v>
      </c>
      <c r="R130" s="1" t="s">
        <v>941</v>
      </c>
      <c r="S130" s="1" t="s">
        <v>14</v>
      </c>
      <c r="T130" s="26">
        <v>600</v>
      </c>
      <c r="U130" s="26">
        <v>59400000</v>
      </c>
      <c r="V130" s="26">
        <v>14100000</v>
      </c>
      <c r="W130" s="26">
        <v>3.8297872340425529</v>
      </c>
      <c r="X130" s="26">
        <v>600</v>
      </c>
      <c r="Y130" s="26">
        <v>0</v>
      </c>
    </row>
    <row r="131" spans="1:25">
      <c r="A131" s="24" t="str">
        <f t="shared" ref="A131:A194" si="30">IF(OR(MID(R131,8,1)="0",MID(R131,8,1)="5"),"신규","러닝")</f>
        <v>신규</v>
      </c>
      <c r="B131" s="24" t="str">
        <f>IF(COUNTIF(R$1:R130,R131)=0,"최초","리오더")</f>
        <v>최초</v>
      </c>
      <c r="C131" s="24" t="str">
        <f t="shared" ref="C131:C194" si="31">IF($B131="리오더","",Q131)</f>
        <v>URBSNF3016</v>
      </c>
      <c r="D131" s="24">
        <f t="shared" si="26"/>
        <v>1</v>
      </c>
      <c r="E131" s="24" t="str">
        <f t="shared" ref="E131:E194" si="32">IF($B131="리오더",Q131,"")</f>
        <v/>
      </c>
      <c r="F131" s="24">
        <f t="shared" si="27"/>
        <v>0</v>
      </c>
      <c r="G131" s="24" t="str">
        <f t="shared" ref="G131:G194" si="33">IF($B131="리오더","",R131)</f>
        <v>URBSNF3016BK</v>
      </c>
      <c r="H131" s="24">
        <f t="shared" si="28"/>
        <v>1</v>
      </c>
      <c r="I131" s="24" t="str">
        <f t="shared" ref="I131:I194" si="34">IF($B131="리오더",R131,"")</f>
        <v/>
      </c>
      <c r="J131" s="24">
        <f t="shared" si="29"/>
        <v>0</v>
      </c>
      <c r="K131" s="24" t="str">
        <f t="shared" ref="K131:K194" si="35">MID(R131,6,2)</f>
        <v>F3</v>
      </c>
      <c r="L131" s="24" t="str">
        <f>VLOOKUP(N131,CODE!K:P,CODE!$P$1,FALSE)</f>
        <v>모자</v>
      </c>
      <c r="M131" s="24" t="str">
        <f>VLOOKUP(MID(R131,1,3),CODE!$B:$G,CODE!D$1,FALSE)</f>
        <v>URB</v>
      </c>
      <c r="N131" s="24" t="str">
        <f t="shared" ref="N131:N194" si="36">MID(R131,4,2)</f>
        <v>SN</v>
      </c>
      <c r="O131" s="29" t="str">
        <f>IF(ISERROR(IF(VLOOKUP($N131,CODE!$K:$P,CODE!$O$1,FALSE)="",$M131,$M131&amp;"-"&amp;VLOOKUP($N131,CODE!$K:$P,CODE!$O$1,FALSE)))=TRUE,"",IF(VLOOKUP($N131,CODE!$K:$P,CODE!$O$1,FALSE)="",$M131,$M131&amp;"-"&amp;VLOOKUP($N131,CODE!$K:$P,CODE!$O$1,FALSE)))</f>
        <v>URB</v>
      </c>
      <c r="P131" s="29" t="str">
        <f t="shared" ref="P131:P194" si="37">IF(OR(MID(R131,8,1)="0",MID(R131,8,1)="1",MID(R131,8,1)="2",MID(R131,8,1)="3",MID(R131,8,1)="4"),"성인","키즈")</f>
        <v>성인</v>
      </c>
      <c r="Q131" s="29" t="str">
        <f t="shared" ref="Q131:Q194" si="38">MID(R131,1,10)</f>
        <v>URBSNF3016</v>
      </c>
      <c r="R131" s="1" t="s">
        <v>942</v>
      </c>
      <c r="S131" s="1" t="s">
        <v>14</v>
      </c>
      <c r="T131" s="26">
        <v>1000</v>
      </c>
      <c r="U131" s="26">
        <v>43000000</v>
      </c>
      <c r="V131" s="26">
        <v>5527460</v>
      </c>
      <c r="W131" s="26">
        <v>7.0721288061621586</v>
      </c>
      <c r="X131" s="26">
        <v>1000</v>
      </c>
      <c r="Y131" s="26">
        <v>0</v>
      </c>
    </row>
    <row r="132" spans="1:25">
      <c r="A132" s="24" t="str">
        <f t="shared" si="30"/>
        <v>신규</v>
      </c>
      <c r="B132" s="24" t="str">
        <f>IF(COUNTIF(R$1:R131,R132)=0,"최초","리오더")</f>
        <v>최초</v>
      </c>
      <c r="C132" s="24" t="str">
        <f t="shared" si="31"/>
        <v>URBERF5017</v>
      </c>
      <c r="D132" s="24">
        <f t="shared" si="26"/>
        <v>1</v>
      </c>
      <c r="E132" s="24" t="str">
        <f t="shared" si="32"/>
        <v/>
      </c>
      <c r="F132" s="24">
        <f t="shared" si="27"/>
        <v>0</v>
      </c>
      <c r="G132" s="24" t="str">
        <f t="shared" si="33"/>
        <v>URBERF5017BK</v>
      </c>
      <c r="H132" s="24">
        <f t="shared" si="28"/>
        <v>1</v>
      </c>
      <c r="I132" s="24" t="str">
        <f t="shared" si="34"/>
        <v/>
      </c>
      <c r="J132" s="24">
        <f t="shared" si="29"/>
        <v>0</v>
      </c>
      <c r="K132" s="24" t="str">
        <f t="shared" si="35"/>
        <v>F5</v>
      </c>
      <c r="L132" s="24" t="str">
        <f>VLOOKUP(N132,CODE!K:P,CODE!$P$1,FALSE)</f>
        <v>모자</v>
      </c>
      <c r="M132" s="24" t="str">
        <f>VLOOKUP(MID(R132,1,3),CODE!$B:$G,CODE!D$1,FALSE)</f>
        <v>URB</v>
      </c>
      <c r="N132" s="24" t="str">
        <f t="shared" si="36"/>
        <v>ER</v>
      </c>
      <c r="O132" s="29" t="str">
        <f>IF(ISERROR(IF(VLOOKUP($N132,CODE!$K:$P,CODE!$O$1,FALSE)="",$M132,$M132&amp;"-"&amp;VLOOKUP($N132,CODE!$K:$P,CODE!$O$1,FALSE)))=TRUE,"",IF(VLOOKUP($N132,CODE!$K:$P,CODE!$O$1,FALSE)="",$M132,$M132&amp;"-"&amp;VLOOKUP($N132,CODE!$K:$P,CODE!$O$1,FALSE)))</f>
        <v>URB</v>
      </c>
      <c r="P132" s="29" t="str">
        <f t="shared" si="37"/>
        <v>성인</v>
      </c>
      <c r="Q132" s="29" t="str">
        <f t="shared" si="38"/>
        <v>URBERF5017</v>
      </c>
      <c r="R132" s="1" t="s">
        <v>943</v>
      </c>
      <c r="S132" s="1" t="s">
        <v>14</v>
      </c>
      <c r="T132" s="26">
        <v>1200</v>
      </c>
      <c r="U132" s="26">
        <v>66000000</v>
      </c>
      <c r="V132" s="26">
        <v>8504184</v>
      </c>
      <c r="W132" s="26">
        <v>7.0553506368159482</v>
      </c>
      <c r="X132" s="26">
        <v>1199</v>
      </c>
      <c r="Y132" s="26">
        <v>0</v>
      </c>
    </row>
    <row r="133" spans="1:25">
      <c r="A133" s="24" t="str">
        <f t="shared" si="30"/>
        <v>신규</v>
      </c>
      <c r="B133" s="24" t="str">
        <f>IF(COUNTIF(R$1:R132,R133)=0,"최초","리오더")</f>
        <v>최초</v>
      </c>
      <c r="C133" s="24" t="str">
        <f t="shared" si="31"/>
        <v>URBERF5018</v>
      </c>
      <c r="D133" s="24">
        <f t="shared" si="26"/>
        <v>1</v>
      </c>
      <c r="E133" s="24" t="str">
        <f t="shared" si="32"/>
        <v/>
      </c>
      <c r="F133" s="24">
        <f t="shared" si="27"/>
        <v>0</v>
      </c>
      <c r="G133" s="24" t="str">
        <f t="shared" si="33"/>
        <v>URBERF5018GY</v>
      </c>
      <c r="H133" s="24">
        <f t="shared" si="28"/>
        <v>1</v>
      </c>
      <c r="I133" s="24" t="str">
        <f t="shared" si="34"/>
        <v/>
      </c>
      <c r="J133" s="24">
        <f t="shared" si="29"/>
        <v>0</v>
      </c>
      <c r="K133" s="24" t="str">
        <f t="shared" si="35"/>
        <v>F5</v>
      </c>
      <c r="L133" s="24" t="str">
        <f>VLOOKUP(N133,CODE!K:P,CODE!$P$1,FALSE)</f>
        <v>모자</v>
      </c>
      <c r="M133" s="24" t="str">
        <f>VLOOKUP(MID(R133,1,3),CODE!$B:$G,CODE!D$1,FALSE)</f>
        <v>URB</v>
      </c>
      <c r="N133" s="24" t="str">
        <f t="shared" si="36"/>
        <v>ER</v>
      </c>
      <c r="O133" s="29" t="str">
        <f>IF(ISERROR(IF(VLOOKUP($N133,CODE!$K:$P,CODE!$O$1,FALSE)="",$M133,$M133&amp;"-"&amp;VLOOKUP($N133,CODE!$K:$P,CODE!$O$1,FALSE)))=TRUE,"",IF(VLOOKUP($N133,CODE!$K:$P,CODE!$O$1,FALSE)="",$M133,$M133&amp;"-"&amp;VLOOKUP($N133,CODE!$K:$P,CODE!$O$1,FALSE)))</f>
        <v>URB</v>
      </c>
      <c r="P133" s="29" t="str">
        <f t="shared" si="37"/>
        <v>성인</v>
      </c>
      <c r="Q133" s="29" t="str">
        <f t="shared" si="38"/>
        <v>URBERF5018</v>
      </c>
      <c r="R133" s="1" t="s">
        <v>944</v>
      </c>
      <c r="S133" s="1" t="s">
        <v>14</v>
      </c>
      <c r="T133" s="26">
        <v>1200</v>
      </c>
      <c r="U133" s="26">
        <v>66000000</v>
      </c>
      <c r="V133" s="26">
        <v>10501428</v>
      </c>
      <c r="W133" s="26">
        <v>5.7135086771056276</v>
      </c>
      <c r="X133" s="26">
        <v>1200</v>
      </c>
      <c r="Y133" s="26">
        <v>0</v>
      </c>
    </row>
    <row r="134" spans="1:25">
      <c r="A134" s="24" t="str">
        <f t="shared" si="30"/>
        <v>신규</v>
      </c>
      <c r="B134" s="24" t="str">
        <f>IF(COUNTIF(R$1:R133,R134)=0,"최초","리오더")</f>
        <v>최초</v>
      </c>
      <c r="C134" s="24" t="str">
        <f t="shared" si="31"/>
        <v>DPSSNF3501</v>
      </c>
      <c r="D134" s="24">
        <f t="shared" si="26"/>
        <v>1</v>
      </c>
      <c r="E134" s="24" t="str">
        <f t="shared" si="32"/>
        <v/>
      </c>
      <c r="F134" s="24">
        <f t="shared" si="27"/>
        <v>0</v>
      </c>
      <c r="G134" s="24" t="str">
        <f t="shared" si="33"/>
        <v>DPSSNF3501PK</v>
      </c>
      <c r="H134" s="24">
        <f t="shared" si="28"/>
        <v>1</v>
      </c>
      <c r="I134" s="24" t="str">
        <f t="shared" si="34"/>
        <v/>
      </c>
      <c r="J134" s="24">
        <f t="shared" si="29"/>
        <v>0</v>
      </c>
      <c r="K134" s="24" t="str">
        <f t="shared" si="35"/>
        <v>F3</v>
      </c>
      <c r="L134" s="24" t="str">
        <f>VLOOKUP(N134,CODE!K:P,CODE!$P$1,FALSE)</f>
        <v>모자</v>
      </c>
      <c r="M134" s="24" t="str">
        <f>VLOOKUP(MID(R134,1,3),CODE!$B:$G,CODE!D$1,FALSE)</f>
        <v>DPS</v>
      </c>
      <c r="N134" s="24" t="str">
        <f t="shared" si="36"/>
        <v>SN</v>
      </c>
      <c r="O134" s="29" t="str">
        <f>IF(ISERROR(IF(VLOOKUP($N134,CODE!$K:$P,CODE!$O$1,FALSE)="",$M134,$M134&amp;"-"&amp;VLOOKUP($N134,CODE!$K:$P,CODE!$O$1,FALSE)))=TRUE,"",IF(VLOOKUP($N134,CODE!$K:$P,CODE!$O$1,FALSE)="",$M134,$M134&amp;"-"&amp;VLOOKUP($N134,CODE!$K:$P,CODE!$O$1,FALSE)))</f>
        <v>DPS</v>
      </c>
      <c r="P134" s="29" t="str">
        <f t="shared" si="37"/>
        <v>키즈</v>
      </c>
      <c r="Q134" s="29" t="str">
        <f t="shared" si="38"/>
        <v>DPSSNF3501</v>
      </c>
      <c r="R134" s="1" t="s">
        <v>945</v>
      </c>
      <c r="S134" s="1" t="s">
        <v>14</v>
      </c>
      <c r="T134" s="26">
        <v>1000</v>
      </c>
      <c r="U134" s="26">
        <v>45000000</v>
      </c>
      <c r="V134" s="26">
        <v>11700000</v>
      </c>
      <c r="W134" s="26">
        <v>3.4965034965034958</v>
      </c>
      <c r="X134" s="26">
        <v>1000</v>
      </c>
      <c r="Y134" s="26">
        <v>0</v>
      </c>
    </row>
    <row r="135" spans="1:25">
      <c r="A135" s="24" t="str">
        <f t="shared" si="30"/>
        <v>신규</v>
      </c>
      <c r="B135" s="24" t="str">
        <f>IF(COUNTIF(R$1:R134,R135)=0,"최초","리오더")</f>
        <v>최초</v>
      </c>
      <c r="C135" s="24" t="str">
        <f t="shared" si="31"/>
        <v>DPSSNF3502</v>
      </c>
      <c r="D135" s="24">
        <f t="shared" si="26"/>
        <v>1</v>
      </c>
      <c r="E135" s="24" t="str">
        <f t="shared" si="32"/>
        <v/>
      </c>
      <c r="F135" s="24">
        <f t="shared" si="27"/>
        <v>0</v>
      </c>
      <c r="G135" s="24" t="str">
        <f t="shared" si="33"/>
        <v>DPSSNF3502BL</v>
      </c>
      <c r="H135" s="24">
        <f t="shared" si="28"/>
        <v>1</v>
      </c>
      <c r="I135" s="24" t="str">
        <f t="shared" si="34"/>
        <v/>
      </c>
      <c r="J135" s="24">
        <f t="shared" si="29"/>
        <v>0</v>
      </c>
      <c r="K135" s="24" t="str">
        <f t="shared" si="35"/>
        <v>F3</v>
      </c>
      <c r="L135" s="24" t="str">
        <f>VLOOKUP(N135,CODE!K:P,CODE!$P$1,FALSE)</f>
        <v>모자</v>
      </c>
      <c r="M135" s="24" t="str">
        <f>VLOOKUP(MID(R135,1,3),CODE!$B:$G,CODE!D$1,FALSE)</f>
        <v>DPS</v>
      </c>
      <c r="N135" s="24" t="str">
        <f t="shared" si="36"/>
        <v>SN</v>
      </c>
      <c r="O135" s="29" t="str">
        <f>IF(ISERROR(IF(VLOOKUP($N135,CODE!$K:$P,CODE!$O$1,FALSE)="",$M135,$M135&amp;"-"&amp;VLOOKUP($N135,CODE!$K:$P,CODE!$O$1,FALSE)))=TRUE,"",IF(VLOOKUP($N135,CODE!$K:$P,CODE!$O$1,FALSE)="",$M135,$M135&amp;"-"&amp;VLOOKUP($N135,CODE!$K:$P,CODE!$O$1,FALSE)))</f>
        <v>DPS</v>
      </c>
      <c r="P135" s="29" t="str">
        <f t="shared" si="37"/>
        <v>키즈</v>
      </c>
      <c r="Q135" s="29" t="str">
        <f t="shared" si="38"/>
        <v>DPSSNF3502</v>
      </c>
      <c r="R135" s="1" t="s">
        <v>946</v>
      </c>
      <c r="S135" s="1" t="s">
        <v>14</v>
      </c>
      <c r="T135" s="26">
        <v>1000</v>
      </c>
      <c r="U135" s="26">
        <v>45000000</v>
      </c>
      <c r="V135" s="26">
        <v>12500000</v>
      </c>
      <c r="W135" s="26">
        <v>3.2727272727272725</v>
      </c>
      <c r="X135" s="26">
        <v>1008</v>
      </c>
      <c r="Y135" s="26">
        <v>0</v>
      </c>
    </row>
    <row r="136" spans="1:25">
      <c r="A136" s="24" t="str">
        <f t="shared" si="30"/>
        <v>신규</v>
      </c>
      <c r="B136" s="24" t="str">
        <f>IF(COUNTIF(R$1:R135,R136)=0,"최초","리오더")</f>
        <v>최초</v>
      </c>
      <c r="C136" s="24" t="str">
        <f t="shared" si="31"/>
        <v>DPSSNF3003</v>
      </c>
      <c r="D136" s="24">
        <f t="shared" si="26"/>
        <v>1</v>
      </c>
      <c r="E136" s="24" t="str">
        <f t="shared" si="32"/>
        <v/>
      </c>
      <c r="F136" s="24">
        <f t="shared" si="27"/>
        <v>0</v>
      </c>
      <c r="G136" s="24" t="str">
        <f t="shared" si="33"/>
        <v>DPSSNF3003PP</v>
      </c>
      <c r="H136" s="24">
        <f t="shared" si="28"/>
        <v>1</v>
      </c>
      <c r="I136" s="24" t="str">
        <f t="shared" si="34"/>
        <v/>
      </c>
      <c r="J136" s="24">
        <f t="shared" si="29"/>
        <v>0</v>
      </c>
      <c r="K136" s="24" t="str">
        <f t="shared" si="35"/>
        <v>F3</v>
      </c>
      <c r="L136" s="24" t="str">
        <f>VLOOKUP(N136,CODE!K:P,CODE!$P$1,FALSE)</f>
        <v>모자</v>
      </c>
      <c r="M136" s="24" t="str">
        <f>VLOOKUP(MID(R136,1,3),CODE!$B:$G,CODE!D$1,FALSE)</f>
        <v>DPS</v>
      </c>
      <c r="N136" s="24" t="str">
        <f t="shared" si="36"/>
        <v>SN</v>
      </c>
      <c r="O136" s="29" t="str">
        <f>IF(ISERROR(IF(VLOOKUP($N136,CODE!$K:$P,CODE!$O$1,FALSE)="",$M136,$M136&amp;"-"&amp;VLOOKUP($N136,CODE!$K:$P,CODE!$O$1,FALSE)))=TRUE,"",IF(VLOOKUP($N136,CODE!$K:$P,CODE!$O$1,FALSE)="",$M136,$M136&amp;"-"&amp;VLOOKUP($N136,CODE!$K:$P,CODE!$O$1,FALSE)))</f>
        <v>DPS</v>
      </c>
      <c r="P136" s="29" t="str">
        <f t="shared" si="37"/>
        <v>성인</v>
      </c>
      <c r="Q136" s="29" t="str">
        <f t="shared" si="38"/>
        <v>DPSSNF3003</v>
      </c>
      <c r="R136" s="1" t="s">
        <v>947</v>
      </c>
      <c r="S136" s="1" t="s">
        <v>14</v>
      </c>
      <c r="T136" s="26">
        <v>1000</v>
      </c>
      <c r="U136" s="26">
        <v>47000000</v>
      </c>
      <c r="V136" s="26">
        <v>11300000</v>
      </c>
      <c r="W136" s="26">
        <v>3.7811745776347538</v>
      </c>
      <c r="X136" s="26">
        <v>1014</v>
      </c>
      <c r="Y136" s="26">
        <v>0</v>
      </c>
    </row>
    <row r="137" spans="1:25">
      <c r="A137" s="24" t="str">
        <f t="shared" si="30"/>
        <v>신규</v>
      </c>
      <c r="B137" s="24" t="str">
        <f>IF(COUNTIF(R$1:R136,R137)=0,"최초","리오더")</f>
        <v>최초</v>
      </c>
      <c r="C137" s="24" t="str">
        <f t="shared" si="31"/>
        <v>DPSSNF3503</v>
      </c>
      <c r="D137" s="24">
        <f t="shared" si="26"/>
        <v>1</v>
      </c>
      <c r="E137" s="24" t="str">
        <f t="shared" si="32"/>
        <v/>
      </c>
      <c r="F137" s="24">
        <f t="shared" si="27"/>
        <v>0</v>
      </c>
      <c r="G137" s="24" t="str">
        <f t="shared" si="33"/>
        <v>DPSSNF3503PP</v>
      </c>
      <c r="H137" s="24">
        <f t="shared" si="28"/>
        <v>1</v>
      </c>
      <c r="I137" s="24" t="str">
        <f t="shared" si="34"/>
        <v/>
      </c>
      <c r="J137" s="24">
        <f t="shared" si="29"/>
        <v>0</v>
      </c>
      <c r="K137" s="24" t="str">
        <f t="shared" si="35"/>
        <v>F3</v>
      </c>
      <c r="L137" s="24" t="str">
        <f>VLOOKUP(N137,CODE!K:P,CODE!$P$1,FALSE)</f>
        <v>모자</v>
      </c>
      <c r="M137" s="24" t="str">
        <f>VLOOKUP(MID(R137,1,3),CODE!$B:$G,CODE!D$1,FALSE)</f>
        <v>DPS</v>
      </c>
      <c r="N137" s="24" t="str">
        <f t="shared" si="36"/>
        <v>SN</v>
      </c>
      <c r="O137" s="29" t="str">
        <f>IF(ISERROR(IF(VLOOKUP($N137,CODE!$K:$P,CODE!$O$1,FALSE)="",$M137,$M137&amp;"-"&amp;VLOOKUP($N137,CODE!$K:$P,CODE!$O$1,FALSE)))=TRUE,"",IF(VLOOKUP($N137,CODE!$K:$P,CODE!$O$1,FALSE)="",$M137,$M137&amp;"-"&amp;VLOOKUP($N137,CODE!$K:$P,CODE!$O$1,FALSE)))</f>
        <v>DPS</v>
      </c>
      <c r="P137" s="29" t="str">
        <f t="shared" si="37"/>
        <v>키즈</v>
      </c>
      <c r="Q137" s="29" t="str">
        <f t="shared" si="38"/>
        <v>DPSSNF3503</v>
      </c>
      <c r="R137" s="1" t="s">
        <v>948</v>
      </c>
      <c r="S137" s="1" t="s">
        <v>14</v>
      </c>
      <c r="T137" s="26">
        <v>1000</v>
      </c>
      <c r="U137" s="26">
        <v>43000000</v>
      </c>
      <c r="V137" s="26">
        <v>11300000</v>
      </c>
      <c r="W137" s="26">
        <v>3.4593724859211581</v>
      </c>
      <c r="X137" s="26">
        <v>989</v>
      </c>
      <c r="Y137" s="26">
        <v>0</v>
      </c>
    </row>
    <row r="138" spans="1:25">
      <c r="A138" s="24" t="str">
        <f t="shared" si="30"/>
        <v>신규</v>
      </c>
      <c r="B138" s="24" t="str">
        <f>IF(COUNTIF(R$1:R137,R138)=0,"최초","리오더")</f>
        <v>최초</v>
      </c>
      <c r="C138" s="24" t="str">
        <f t="shared" si="31"/>
        <v>DPSSNF3004</v>
      </c>
      <c r="D138" s="24">
        <f t="shared" si="26"/>
        <v>1</v>
      </c>
      <c r="E138" s="24" t="str">
        <f t="shared" si="32"/>
        <v/>
      </c>
      <c r="F138" s="24">
        <f t="shared" si="27"/>
        <v>0</v>
      </c>
      <c r="G138" s="24" t="str">
        <f t="shared" si="33"/>
        <v>DPSSNF3004MT</v>
      </c>
      <c r="H138" s="24">
        <f t="shared" si="28"/>
        <v>1</v>
      </c>
      <c r="I138" s="24" t="str">
        <f t="shared" si="34"/>
        <v/>
      </c>
      <c r="J138" s="24">
        <f t="shared" si="29"/>
        <v>0</v>
      </c>
      <c r="K138" s="24" t="str">
        <f t="shared" si="35"/>
        <v>F3</v>
      </c>
      <c r="L138" s="24" t="str">
        <f>VLOOKUP(N138,CODE!K:P,CODE!$P$1,FALSE)</f>
        <v>모자</v>
      </c>
      <c r="M138" s="24" t="str">
        <f>VLOOKUP(MID(R138,1,3),CODE!$B:$G,CODE!D$1,FALSE)</f>
        <v>DPS</v>
      </c>
      <c r="N138" s="24" t="str">
        <f t="shared" si="36"/>
        <v>SN</v>
      </c>
      <c r="O138" s="29" t="str">
        <f>IF(ISERROR(IF(VLOOKUP($N138,CODE!$K:$P,CODE!$O$1,FALSE)="",$M138,$M138&amp;"-"&amp;VLOOKUP($N138,CODE!$K:$P,CODE!$O$1,FALSE)))=TRUE,"",IF(VLOOKUP($N138,CODE!$K:$P,CODE!$O$1,FALSE)="",$M138,$M138&amp;"-"&amp;VLOOKUP($N138,CODE!$K:$P,CODE!$O$1,FALSE)))</f>
        <v>DPS</v>
      </c>
      <c r="P138" s="29" t="str">
        <f t="shared" si="37"/>
        <v>성인</v>
      </c>
      <c r="Q138" s="29" t="str">
        <f t="shared" si="38"/>
        <v>DPSSNF3004</v>
      </c>
      <c r="R138" s="1" t="s">
        <v>949</v>
      </c>
      <c r="S138" s="1" t="s">
        <v>14</v>
      </c>
      <c r="T138" s="26">
        <v>1200</v>
      </c>
      <c r="U138" s="26">
        <v>56400000</v>
      </c>
      <c r="V138" s="26">
        <v>13560000</v>
      </c>
      <c r="W138" s="26">
        <v>3.7811745776347543</v>
      </c>
      <c r="X138" s="26">
        <v>1200</v>
      </c>
      <c r="Y138" s="26">
        <v>0</v>
      </c>
    </row>
    <row r="139" spans="1:25">
      <c r="A139" s="24" t="str">
        <f t="shared" si="30"/>
        <v>신규</v>
      </c>
      <c r="B139" s="24" t="str">
        <f>IF(COUNTIF(R$1:R138,R139)=0,"최초","리오더")</f>
        <v>최초</v>
      </c>
      <c r="C139" s="24" t="str">
        <f t="shared" si="31"/>
        <v>DPSSNF3504</v>
      </c>
      <c r="D139" s="24">
        <f t="shared" si="26"/>
        <v>1</v>
      </c>
      <c r="E139" s="24" t="str">
        <f t="shared" si="32"/>
        <v/>
      </c>
      <c r="F139" s="24">
        <f t="shared" si="27"/>
        <v>0</v>
      </c>
      <c r="G139" s="24" t="str">
        <f t="shared" si="33"/>
        <v>DPSSNF3504MT</v>
      </c>
      <c r="H139" s="24">
        <f t="shared" si="28"/>
        <v>1</v>
      </c>
      <c r="I139" s="24" t="str">
        <f t="shared" si="34"/>
        <v/>
      </c>
      <c r="J139" s="24">
        <f t="shared" si="29"/>
        <v>0</v>
      </c>
      <c r="K139" s="24" t="str">
        <f t="shared" si="35"/>
        <v>F3</v>
      </c>
      <c r="L139" s="24" t="str">
        <f>VLOOKUP(N139,CODE!K:P,CODE!$P$1,FALSE)</f>
        <v>모자</v>
      </c>
      <c r="M139" s="24" t="str">
        <f>VLOOKUP(MID(R139,1,3),CODE!$B:$G,CODE!D$1,FALSE)</f>
        <v>DPS</v>
      </c>
      <c r="N139" s="24" t="str">
        <f t="shared" si="36"/>
        <v>SN</v>
      </c>
      <c r="O139" s="29" t="str">
        <f>IF(ISERROR(IF(VLOOKUP($N139,CODE!$K:$P,CODE!$O$1,FALSE)="",$M139,$M139&amp;"-"&amp;VLOOKUP($N139,CODE!$K:$P,CODE!$O$1,FALSE)))=TRUE,"",IF(VLOOKUP($N139,CODE!$K:$P,CODE!$O$1,FALSE)="",$M139,$M139&amp;"-"&amp;VLOOKUP($N139,CODE!$K:$P,CODE!$O$1,FALSE)))</f>
        <v>DPS</v>
      </c>
      <c r="P139" s="29" t="str">
        <f t="shared" si="37"/>
        <v>키즈</v>
      </c>
      <c r="Q139" s="29" t="str">
        <f t="shared" si="38"/>
        <v>DPSSNF3504</v>
      </c>
      <c r="R139" s="1" t="s">
        <v>950</v>
      </c>
      <c r="S139" s="1" t="s">
        <v>14</v>
      </c>
      <c r="T139" s="26">
        <v>1200</v>
      </c>
      <c r="U139" s="26">
        <v>51600000</v>
      </c>
      <c r="V139" s="26">
        <v>13560000</v>
      </c>
      <c r="W139" s="26">
        <v>3.4593724859211581</v>
      </c>
      <c r="X139" s="26">
        <v>1199</v>
      </c>
      <c r="Y139" s="26">
        <v>0</v>
      </c>
    </row>
    <row r="140" spans="1:25">
      <c r="A140" s="24" t="str">
        <f t="shared" si="30"/>
        <v>신규</v>
      </c>
      <c r="B140" s="24" t="str">
        <f>IF(COUNTIF(R$1:R139,R140)=0,"최초","리오더")</f>
        <v>최초</v>
      </c>
      <c r="C140" s="24" t="str">
        <f t="shared" si="31"/>
        <v>DPSSNF3005</v>
      </c>
      <c r="D140" s="24">
        <f t="shared" si="26"/>
        <v>0.5</v>
      </c>
      <c r="E140" s="24" t="str">
        <f t="shared" si="32"/>
        <v/>
      </c>
      <c r="F140" s="24">
        <f t="shared" si="27"/>
        <v>0</v>
      </c>
      <c r="G140" s="24" t="str">
        <f t="shared" si="33"/>
        <v>DPSSNF3005GY</v>
      </c>
      <c r="H140" s="24">
        <f t="shared" si="28"/>
        <v>1</v>
      </c>
      <c r="I140" s="24" t="str">
        <f t="shared" si="34"/>
        <v/>
      </c>
      <c r="J140" s="24">
        <f t="shared" si="29"/>
        <v>0</v>
      </c>
      <c r="K140" s="24" t="str">
        <f t="shared" si="35"/>
        <v>F3</v>
      </c>
      <c r="L140" s="24" t="str">
        <f>VLOOKUP(N140,CODE!K:P,CODE!$P$1,FALSE)</f>
        <v>모자</v>
      </c>
      <c r="M140" s="24" t="str">
        <f>VLOOKUP(MID(R140,1,3),CODE!$B:$G,CODE!D$1,FALSE)</f>
        <v>DPS</v>
      </c>
      <c r="N140" s="24" t="str">
        <f t="shared" si="36"/>
        <v>SN</v>
      </c>
      <c r="O140" s="29" t="str">
        <f>IF(ISERROR(IF(VLOOKUP($N140,CODE!$K:$P,CODE!$O$1,FALSE)="",$M140,$M140&amp;"-"&amp;VLOOKUP($N140,CODE!$K:$P,CODE!$O$1,FALSE)))=TRUE,"",IF(VLOOKUP($N140,CODE!$K:$P,CODE!$O$1,FALSE)="",$M140,$M140&amp;"-"&amp;VLOOKUP($N140,CODE!$K:$P,CODE!$O$1,FALSE)))</f>
        <v>DPS</v>
      </c>
      <c r="P140" s="29" t="str">
        <f t="shared" si="37"/>
        <v>성인</v>
      </c>
      <c r="Q140" s="29" t="str">
        <f t="shared" si="38"/>
        <v>DPSSNF3005</v>
      </c>
      <c r="R140" s="1" t="s">
        <v>951</v>
      </c>
      <c r="S140" s="1" t="s">
        <v>14</v>
      </c>
      <c r="T140" s="26">
        <v>1200</v>
      </c>
      <c r="U140" s="26">
        <v>56400000</v>
      </c>
      <c r="V140" s="26">
        <v>12120000</v>
      </c>
      <c r="W140" s="26">
        <v>4.2304230423042295</v>
      </c>
      <c r="X140" s="26">
        <v>1210</v>
      </c>
      <c r="Y140" s="26">
        <v>0</v>
      </c>
    </row>
    <row r="141" spans="1:25">
      <c r="A141" s="24" t="str">
        <f t="shared" si="30"/>
        <v>신규</v>
      </c>
      <c r="B141" s="24" t="str">
        <f>IF(COUNTIF(R$1:R140,R141)=0,"최초","리오더")</f>
        <v>최초</v>
      </c>
      <c r="C141" s="24" t="str">
        <f t="shared" si="31"/>
        <v>DPSSNF3005</v>
      </c>
      <c r="D141" s="24">
        <f t="shared" si="26"/>
        <v>0.5</v>
      </c>
      <c r="E141" s="24" t="str">
        <f t="shared" si="32"/>
        <v/>
      </c>
      <c r="F141" s="24">
        <f t="shared" si="27"/>
        <v>0</v>
      </c>
      <c r="G141" s="24" t="str">
        <f t="shared" si="33"/>
        <v>DPSSNF3005BK</v>
      </c>
      <c r="H141" s="24">
        <f t="shared" si="28"/>
        <v>1</v>
      </c>
      <c r="I141" s="24" t="str">
        <f t="shared" si="34"/>
        <v/>
      </c>
      <c r="J141" s="24">
        <f t="shared" si="29"/>
        <v>0</v>
      </c>
      <c r="K141" s="24" t="str">
        <f t="shared" si="35"/>
        <v>F3</v>
      </c>
      <c r="L141" s="24" t="str">
        <f>VLOOKUP(N141,CODE!K:P,CODE!$P$1,FALSE)</f>
        <v>모자</v>
      </c>
      <c r="M141" s="24" t="str">
        <f>VLOOKUP(MID(R141,1,3),CODE!$B:$G,CODE!D$1,FALSE)</f>
        <v>DPS</v>
      </c>
      <c r="N141" s="24" t="str">
        <f t="shared" si="36"/>
        <v>SN</v>
      </c>
      <c r="O141" s="29" t="str">
        <f>IF(ISERROR(IF(VLOOKUP($N141,CODE!$K:$P,CODE!$O$1,FALSE)="",$M141,$M141&amp;"-"&amp;VLOOKUP($N141,CODE!$K:$P,CODE!$O$1,FALSE)))=TRUE,"",IF(VLOOKUP($N141,CODE!$K:$P,CODE!$O$1,FALSE)="",$M141,$M141&amp;"-"&amp;VLOOKUP($N141,CODE!$K:$P,CODE!$O$1,FALSE)))</f>
        <v>DPS</v>
      </c>
      <c r="P141" s="29" t="str">
        <f t="shared" si="37"/>
        <v>성인</v>
      </c>
      <c r="Q141" s="29" t="str">
        <f t="shared" si="38"/>
        <v>DPSSNF3005</v>
      </c>
      <c r="R141" s="1" t="s">
        <v>952</v>
      </c>
      <c r="S141" s="1" t="s">
        <v>14</v>
      </c>
      <c r="T141" s="26">
        <v>1200</v>
      </c>
      <c r="U141" s="26">
        <v>56400000</v>
      </c>
      <c r="V141" s="26">
        <v>12600000</v>
      </c>
      <c r="W141" s="26">
        <v>4.0692640692640687</v>
      </c>
      <c r="X141" s="26">
        <v>1182</v>
      </c>
      <c r="Y141" s="26">
        <v>0</v>
      </c>
    </row>
    <row r="142" spans="1:25">
      <c r="A142" s="24" t="str">
        <f t="shared" si="30"/>
        <v>신규</v>
      </c>
      <c r="B142" s="24" t="str">
        <f>IF(COUNTIF(R$1:R141,R142)=0,"최초","리오더")</f>
        <v>최초</v>
      </c>
      <c r="C142" s="24" t="str">
        <f t="shared" si="31"/>
        <v>ELSSNF3001</v>
      </c>
      <c r="D142" s="24">
        <f t="shared" si="26"/>
        <v>1</v>
      </c>
      <c r="E142" s="24" t="str">
        <f t="shared" si="32"/>
        <v/>
      </c>
      <c r="F142" s="24">
        <f t="shared" si="27"/>
        <v>0</v>
      </c>
      <c r="G142" s="24" t="str">
        <f t="shared" si="33"/>
        <v>ELSSNF3001BK</v>
      </c>
      <c r="H142" s="24">
        <f t="shared" si="28"/>
        <v>1</v>
      </c>
      <c r="I142" s="24" t="str">
        <f t="shared" si="34"/>
        <v/>
      </c>
      <c r="J142" s="24">
        <f t="shared" si="29"/>
        <v>0</v>
      </c>
      <c r="K142" s="24" t="str">
        <f t="shared" si="35"/>
        <v>F3</v>
      </c>
      <c r="L142" s="24" t="str">
        <f>VLOOKUP(N142,CODE!K:P,CODE!$P$1,FALSE)</f>
        <v>모자</v>
      </c>
      <c r="M142" s="24" t="str">
        <f>VLOOKUP(MID(R142,1,3),CODE!$B:$G,CODE!D$1,FALSE)</f>
        <v>ELS</v>
      </c>
      <c r="N142" s="24" t="str">
        <f t="shared" si="36"/>
        <v>SN</v>
      </c>
      <c r="O142" s="29" t="str">
        <f>IF(ISERROR(IF(VLOOKUP($N142,CODE!$K:$P,CODE!$O$1,FALSE)="",$M142,$M142&amp;"-"&amp;VLOOKUP($N142,CODE!$K:$P,CODE!$O$1,FALSE)))=TRUE,"",IF(VLOOKUP($N142,CODE!$K:$P,CODE!$O$1,FALSE)="",$M142,$M142&amp;"-"&amp;VLOOKUP($N142,CODE!$K:$P,CODE!$O$1,FALSE)))</f>
        <v>ELS</v>
      </c>
      <c r="P142" s="29" t="str">
        <f t="shared" si="37"/>
        <v>성인</v>
      </c>
      <c r="Q142" s="29" t="str">
        <f t="shared" si="38"/>
        <v>ELSSNF3001</v>
      </c>
      <c r="R142" s="1" t="s">
        <v>953</v>
      </c>
      <c r="S142" s="1" t="s">
        <v>14</v>
      </c>
      <c r="T142" s="26">
        <v>1500</v>
      </c>
      <c r="U142" s="26">
        <v>67500000</v>
      </c>
      <c r="V142" s="26">
        <v>8865749.9999999981</v>
      </c>
      <c r="W142" s="26">
        <v>6.9214264290822971</v>
      </c>
      <c r="X142" s="26">
        <v>1497</v>
      </c>
      <c r="Y142" s="26">
        <v>0</v>
      </c>
    </row>
    <row r="143" spans="1:25">
      <c r="A143" s="24" t="str">
        <f t="shared" si="30"/>
        <v>신규</v>
      </c>
      <c r="B143" s="24" t="str">
        <f>IF(COUNTIF(R$1:R142,R143)=0,"최초","리오더")</f>
        <v>최초</v>
      </c>
      <c r="C143" s="24" t="str">
        <f t="shared" si="31"/>
        <v>ELSSNF3002</v>
      </c>
      <c r="D143" s="24">
        <f t="shared" si="26"/>
        <v>1</v>
      </c>
      <c r="E143" s="24" t="str">
        <f t="shared" si="32"/>
        <v/>
      </c>
      <c r="F143" s="24">
        <f t="shared" si="27"/>
        <v>0</v>
      </c>
      <c r="G143" s="24" t="str">
        <f t="shared" si="33"/>
        <v>ELSSNF3002BK</v>
      </c>
      <c r="H143" s="24">
        <f t="shared" si="28"/>
        <v>1</v>
      </c>
      <c r="I143" s="24" t="str">
        <f t="shared" si="34"/>
        <v/>
      </c>
      <c r="J143" s="24">
        <f t="shared" si="29"/>
        <v>0</v>
      </c>
      <c r="K143" s="24" t="str">
        <f t="shared" si="35"/>
        <v>F3</v>
      </c>
      <c r="L143" s="24" t="str">
        <f>VLOOKUP(N143,CODE!K:P,CODE!$P$1,FALSE)</f>
        <v>모자</v>
      </c>
      <c r="M143" s="24" t="str">
        <f>VLOOKUP(MID(R143,1,3),CODE!$B:$G,CODE!D$1,FALSE)</f>
        <v>ELS</v>
      </c>
      <c r="N143" s="24" t="str">
        <f t="shared" si="36"/>
        <v>SN</v>
      </c>
      <c r="O143" s="29" t="str">
        <f>IF(ISERROR(IF(VLOOKUP($N143,CODE!$K:$P,CODE!$O$1,FALSE)="",$M143,$M143&amp;"-"&amp;VLOOKUP($N143,CODE!$K:$P,CODE!$O$1,FALSE)))=TRUE,"",IF(VLOOKUP($N143,CODE!$K:$P,CODE!$O$1,FALSE)="",$M143,$M143&amp;"-"&amp;VLOOKUP($N143,CODE!$K:$P,CODE!$O$1,FALSE)))</f>
        <v>ELS</v>
      </c>
      <c r="P143" s="29" t="str">
        <f t="shared" si="37"/>
        <v>성인</v>
      </c>
      <c r="Q143" s="29" t="str">
        <f t="shared" si="38"/>
        <v>ELSSNF3002</v>
      </c>
      <c r="R143" s="1" t="s">
        <v>954</v>
      </c>
      <c r="S143" s="1" t="s">
        <v>14</v>
      </c>
      <c r="T143" s="26">
        <v>1500</v>
      </c>
      <c r="U143" s="26">
        <v>67500000</v>
      </c>
      <c r="V143" s="26">
        <v>9385500.0000000019</v>
      </c>
      <c r="W143" s="26">
        <v>6.538131837796211</v>
      </c>
      <c r="X143" s="26">
        <v>1500</v>
      </c>
      <c r="Y143" s="26">
        <v>0</v>
      </c>
    </row>
    <row r="144" spans="1:25">
      <c r="A144" s="24" t="str">
        <f t="shared" si="30"/>
        <v>신규</v>
      </c>
      <c r="B144" s="24" t="str">
        <f>IF(COUNTIF(R$1:R143,R144)=0,"최초","리오더")</f>
        <v>최초</v>
      </c>
      <c r="C144" s="24" t="str">
        <f t="shared" si="31"/>
        <v>ELSSNF5003</v>
      </c>
      <c r="D144" s="24">
        <f t="shared" si="26"/>
        <v>1</v>
      </c>
      <c r="E144" s="24" t="str">
        <f t="shared" si="32"/>
        <v/>
      </c>
      <c r="F144" s="24">
        <f t="shared" si="27"/>
        <v>0</v>
      </c>
      <c r="G144" s="24" t="str">
        <f t="shared" si="33"/>
        <v>ELSSNF5003RE</v>
      </c>
      <c r="H144" s="24">
        <f t="shared" si="28"/>
        <v>1</v>
      </c>
      <c r="I144" s="24" t="str">
        <f t="shared" si="34"/>
        <v/>
      </c>
      <c r="J144" s="24">
        <f t="shared" si="29"/>
        <v>0</v>
      </c>
      <c r="K144" s="24" t="str">
        <f t="shared" si="35"/>
        <v>F5</v>
      </c>
      <c r="L144" s="24" t="str">
        <f>VLOOKUP(N144,CODE!K:P,CODE!$P$1,FALSE)</f>
        <v>모자</v>
      </c>
      <c r="M144" s="24" t="str">
        <f>VLOOKUP(MID(R144,1,3),CODE!$B:$G,CODE!D$1,FALSE)</f>
        <v>ELS</v>
      </c>
      <c r="N144" s="24" t="str">
        <f t="shared" si="36"/>
        <v>SN</v>
      </c>
      <c r="O144" s="29" t="str">
        <f>IF(ISERROR(IF(VLOOKUP($N144,CODE!$K:$P,CODE!$O$1,FALSE)="",$M144,$M144&amp;"-"&amp;VLOOKUP($N144,CODE!$K:$P,CODE!$O$1,FALSE)))=TRUE,"",IF(VLOOKUP($N144,CODE!$K:$P,CODE!$O$1,FALSE)="",$M144,$M144&amp;"-"&amp;VLOOKUP($N144,CODE!$K:$P,CODE!$O$1,FALSE)))</f>
        <v>ELS</v>
      </c>
      <c r="P144" s="29" t="str">
        <f t="shared" si="37"/>
        <v>성인</v>
      </c>
      <c r="Q144" s="29" t="str">
        <f t="shared" si="38"/>
        <v>ELSSNF5003</v>
      </c>
      <c r="R144" s="1" t="s">
        <v>955</v>
      </c>
      <c r="S144" s="1" t="s">
        <v>14</v>
      </c>
      <c r="T144" s="26">
        <v>1000</v>
      </c>
      <c r="U144" s="26">
        <v>49000000</v>
      </c>
      <c r="V144" s="26">
        <v>7181000.0000000009</v>
      </c>
      <c r="W144" s="26">
        <v>6.2032383436087644</v>
      </c>
      <c r="X144" s="26">
        <v>1000</v>
      </c>
      <c r="Y144" s="26">
        <v>0</v>
      </c>
    </row>
    <row r="145" spans="1:25">
      <c r="A145" s="24" t="str">
        <f t="shared" si="30"/>
        <v>신규</v>
      </c>
      <c r="B145" s="24" t="str">
        <f>IF(COUNTIF(R$1:R144,R145)=0,"최초","리오더")</f>
        <v>최초</v>
      </c>
      <c r="C145" s="24" t="str">
        <f t="shared" si="31"/>
        <v>ELSSNF5503</v>
      </c>
      <c r="D145" s="24">
        <f t="shared" si="26"/>
        <v>1</v>
      </c>
      <c r="E145" s="24" t="str">
        <f t="shared" si="32"/>
        <v/>
      </c>
      <c r="F145" s="24">
        <f t="shared" si="27"/>
        <v>0</v>
      </c>
      <c r="G145" s="24" t="str">
        <f t="shared" si="33"/>
        <v>ELSSNF5503RE</v>
      </c>
      <c r="H145" s="24">
        <f t="shared" si="28"/>
        <v>1</v>
      </c>
      <c r="I145" s="24" t="str">
        <f t="shared" si="34"/>
        <v/>
      </c>
      <c r="J145" s="24">
        <f t="shared" si="29"/>
        <v>0</v>
      </c>
      <c r="K145" s="24" t="str">
        <f t="shared" si="35"/>
        <v>F5</v>
      </c>
      <c r="L145" s="24" t="str">
        <f>VLOOKUP(N145,CODE!K:P,CODE!$P$1,FALSE)</f>
        <v>모자</v>
      </c>
      <c r="M145" s="24" t="str">
        <f>VLOOKUP(MID(R145,1,3),CODE!$B:$G,CODE!D$1,FALSE)</f>
        <v>ELS</v>
      </c>
      <c r="N145" s="24" t="str">
        <f t="shared" si="36"/>
        <v>SN</v>
      </c>
      <c r="O145" s="29" t="str">
        <f>IF(ISERROR(IF(VLOOKUP($N145,CODE!$K:$P,CODE!$O$1,FALSE)="",$M145,$M145&amp;"-"&amp;VLOOKUP($N145,CODE!$K:$P,CODE!$O$1,FALSE)))=TRUE,"",IF(VLOOKUP($N145,CODE!$K:$P,CODE!$O$1,FALSE)="",$M145,$M145&amp;"-"&amp;VLOOKUP($N145,CODE!$K:$P,CODE!$O$1,FALSE)))</f>
        <v>ELS</v>
      </c>
      <c r="P145" s="29" t="str">
        <f t="shared" si="37"/>
        <v>키즈</v>
      </c>
      <c r="Q145" s="29" t="str">
        <f t="shared" si="38"/>
        <v>ELSSNF5503</v>
      </c>
      <c r="R145" s="1" t="s">
        <v>956</v>
      </c>
      <c r="S145" s="1" t="s">
        <v>14</v>
      </c>
      <c r="T145" s="26">
        <v>1500</v>
      </c>
      <c r="U145" s="26">
        <v>67500000</v>
      </c>
      <c r="V145" s="26">
        <v>10598250</v>
      </c>
      <c r="W145" s="26">
        <v>5.7899781910821462</v>
      </c>
      <c r="X145" s="26">
        <v>1999</v>
      </c>
      <c r="Y145" s="26">
        <v>0</v>
      </c>
    </row>
    <row r="146" spans="1:25">
      <c r="A146" s="24" t="str">
        <f t="shared" si="30"/>
        <v>신규</v>
      </c>
      <c r="B146" s="24" t="str">
        <f>IF(COUNTIF(R$1:R145,R146)=0,"최초","리오더")</f>
        <v>최초</v>
      </c>
      <c r="C146" s="24" t="str">
        <f t="shared" si="31"/>
        <v>ELSSNF5004</v>
      </c>
      <c r="D146" s="24">
        <f t="shared" si="26"/>
        <v>1</v>
      </c>
      <c r="E146" s="24" t="str">
        <f t="shared" si="32"/>
        <v/>
      </c>
      <c r="F146" s="24">
        <f t="shared" si="27"/>
        <v>0</v>
      </c>
      <c r="G146" s="24" t="str">
        <f t="shared" si="33"/>
        <v>ELSSNF5004NY</v>
      </c>
      <c r="H146" s="24">
        <f t="shared" si="28"/>
        <v>1</v>
      </c>
      <c r="I146" s="24" t="str">
        <f t="shared" si="34"/>
        <v/>
      </c>
      <c r="J146" s="24">
        <f t="shared" si="29"/>
        <v>0</v>
      </c>
      <c r="K146" s="24" t="str">
        <f t="shared" si="35"/>
        <v>F5</v>
      </c>
      <c r="L146" s="24" t="str">
        <f>VLOOKUP(N146,CODE!K:P,CODE!$P$1,FALSE)</f>
        <v>모자</v>
      </c>
      <c r="M146" s="24" t="str">
        <f>VLOOKUP(MID(R146,1,3),CODE!$B:$G,CODE!D$1,FALSE)</f>
        <v>ELS</v>
      </c>
      <c r="N146" s="24" t="str">
        <f t="shared" si="36"/>
        <v>SN</v>
      </c>
      <c r="O146" s="29" t="str">
        <f>IF(ISERROR(IF(VLOOKUP($N146,CODE!$K:$P,CODE!$O$1,FALSE)="",$M146,$M146&amp;"-"&amp;VLOOKUP($N146,CODE!$K:$P,CODE!$O$1,FALSE)))=TRUE,"",IF(VLOOKUP($N146,CODE!$K:$P,CODE!$O$1,FALSE)="",$M146,$M146&amp;"-"&amp;VLOOKUP($N146,CODE!$K:$P,CODE!$O$1,FALSE)))</f>
        <v>ELS</v>
      </c>
      <c r="P146" s="29" t="str">
        <f t="shared" si="37"/>
        <v>성인</v>
      </c>
      <c r="Q146" s="29" t="str">
        <f t="shared" si="38"/>
        <v>ELSSNF5004</v>
      </c>
      <c r="R146" s="1" t="s">
        <v>957</v>
      </c>
      <c r="S146" s="1" t="s">
        <v>14</v>
      </c>
      <c r="T146" s="26">
        <v>1200</v>
      </c>
      <c r="U146" s="26">
        <v>54000000</v>
      </c>
      <c r="V146" s="26">
        <v>8107152.0000000019</v>
      </c>
      <c r="W146" s="26">
        <v>6.0552594907446009</v>
      </c>
      <c r="X146" s="26">
        <v>1185</v>
      </c>
      <c r="Y146" s="26">
        <v>0</v>
      </c>
    </row>
    <row r="147" spans="1:25">
      <c r="A147" s="24" t="str">
        <f t="shared" si="30"/>
        <v>신규</v>
      </c>
      <c r="B147" s="24" t="str">
        <f>IF(COUNTIF(R$1:R146,R147)=0,"최초","리오더")</f>
        <v>최초</v>
      </c>
      <c r="C147" s="24" t="str">
        <f t="shared" si="31"/>
        <v>ELSSNF3005</v>
      </c>
      <c r="D147" s="24">
        <f t="shared" si="26"/>
        <v>1</v>
      </c>
      <c r="E147" s="24" t="str">
        <f t="shared" si="32"/>
        <v/>
      </c>
      <c r="F147" s="24">
        <f t="shared" si="27"/>
        <v>0</v>
      </c>
      <c r="G147" s="24" t="str">
        <f t="shared" si="33"/>
        <v>ELSSNF3005GY</v>
      </c>
      <c r="H147" s="24">
        <f t="shared" si="28"/>
        <v>1</v>
      </c>
      <c r="I147" s="24" t="str">
        <f t="shared" si="34"/>
        <v/>
      </c>
      <c r="J147" s="24">
        <f t="shared" si="29"/>
        <v>0</v>
      </c>
      <c r="K147" s="24" t="str">
        <f t="shared" si="35"/>
        <v>F3</v>
      </c>
      <c r="L147" s="24" t="str">
        <f>VLOOKUP(N147,CODE!K:P,CODE!$P$1,FALSE)</f>
        <v>모자</v>
      </c>
      <c r="M147" s="24" t="str">
        <f>VLOOKUP(MID(R147,1,3),CODE!$B:$G,CODE!D$1,FALSE)</f>
        <v>ELS</v>
      </c>
      <c r="N147" s="24" t="str">
        <f t="shared" si="36"/>
        <v>SN</v>
      </c>
      <c r="O147" s="29" t="str">
        <f>IF(ISERROR(IF(VLOOKUP($N147,CODE!$K:$P,CODE!$O$1,FALSE)="",$M147,$M147&amp;"-"&amp;VLOOKUP($N147,CODE!$K:$P,CODE!$O$1,FALSE)))=TRUE,"",IF(VLOOKUP($N147,CODE!$K:$P,CODE!$O$1,FALSE)="",$M147,$M147&amp;"-"&amp;VLOOKUP($N147,CODE!$K:$P,CODE!$O$1,FALSE)))</f>
        <v>ELS</v>
      </c>
      <c r="P147" s="29" t="str">
        <f t="shared" si="37"/>
        <v>성인</v>
      </c>
      <c r="Q147" s="29" t="str">
        <f t="shared" si="38"/>
        <v>ELSSNF3005</v>
      </c>
      <c r="R147" s="1" t="s">
        <v>958</v>
      </c>
      <c r="S147" s="1" t="s">
        <v>14</v>
      </c>
      <c r="T147" s="26">
        <v>1200</v>
      </c>
      <c r="U147" s="26">
        <v>54000000</v>
      </c>
      <c r="V147" s="26">
        <v>7741248</v>
      </c>
      <c r="W147" s="26">
        <v>6.3414722136416621</v>
      </c>
      <c r="X147" s="26">
        <v>1199</v>
      </c>
      <c r="Y147" s="26">
        <v>0</v>
      </c>
    </row>
    <row r="148" spans="1:25">
      <c r="A148" s="24" t="str">
        <f t="shared" si="30"/>
        <v>신규</v>
      </c>
      <c r="B148" s="24" t="str">
        <f>IF(COUNTIF(R$1:R147,R148)=0,"최초","리오더")</f>
        <v>최초</v>
      </c>
      <c r="C148" s="24" t="str">
        <f t="shared" si="31"/>
        <v>ELSBAF5506</v>
      </c>
      <c r="D148" s="24">
        <f t="shared" si="26"/>
        <v>1</v>
      </c>
      <c r="E148" s="24" t="str">
        <f t="shared" si="32"/>
        <v/>
      </c>
      <c r="F148" s="24">
        <f t="shared" si="27"/>
        <v>0</v>
      </c>
      <c r="G148" s="24" t="str">
        <f t="shared" si="33"/>
        <v>ELSBAF5506GR</v>
      </c>
      <c r="H148" s="24">
        <f t="shared" si="28"/>
        <v>1</v>
      </c>
      <c r="I148" s="24" t="str">
        <f t="shared" si="34"/>
        <v/>
      </c>
      <c r="J148" s="24">
        <f t="shared" si="29"/>
        <v>0</v>
      </c>
      <c r="K148" s="24" t="str">
        <f t="shared" si="35"/>
        <v>F5</v>
      </c>
      <c r="L148" s="24" t="str">
        <f>VLOOKUP(N148,CODE!K:P,CODE!$P$1,FALSE)</f>
        <v>모자</v>
      </c>
      <c r="M148" s="24" t="str">
        <f>VLOOKUP(MID(R148,1,3),CODE!$B:$G,CODE!D$1,FALSE)</f>
        <v>ELS</v>
      </c>
      <c r="N148" s="24" t="str">
        <f t="shared" si="36"/>
        <v>BA</v>
      </c>
      <c r="O148" s="29" t="str">
        <f>IF(ISERROR(IF(VLOOKUP($N148,CODE!$K:$P,CODE!$O$1,FALSE)="",$M148,$M148&amp;"-"&amp;VLOOKUP($N148,CODE!$K:$P,CODE!$O$1,FALSE)))=TRUE,"",IF(VLOOKUP($N148,CODE!$K:$P,CODE!$O$1,FALSE)="",$M148,$M148&amp;"-"&amp;VLOOKUP($N148,CODE!$K:$P,CODE!$O$1,FALSE)))</f>
        <v>ELS</v>
      </c>
      <c r="P148" s="29" t="str">
        <f t="shared" si="37"/>
        <v>키즈</v>
      </c>
      <c r="Q148" s="29" t="str">
        <f t="shared" si="38"/>
        <v>ELSBAF5506</v>
      </c>
      <c r="R148" s="1" t="s">
        <v>959</v>
      </c>
      <c r="S148" s="1" t="s">
        <v>14</v>
      </c>
      <c r="T148" s="26">
        <v>1500</v>
      </c>
      <c r="U148" s="26">
        <v>67500000</v>
      </c>
      <c r="V148" s="26">
        <v>11374380</v>
      </c>
      <c r="W148" s="26">
        <v>5.3948994462675204</v>
      </c>
      <c r="X148" s="26">
        <v>1508</v>
      </c>
      <c r="Y148" s="26">
        <v>0</v>
      </c>
    </row>
    <row r="149" spans="1:25">
      <c r="A149" s="24" t="str">
        <f t="shared" si="30"/>
        <v>신규</v>
      </c>
      <c r="B149" s="24" t="str">
        <f>IF(COUNTIF(R$1:R148,R149)=0,"최초","리오더")</f>
        <v>최초</v>
      </c>
      <c r="C149" s="24" t="str">
        <f t="shared" si="31"/>
        <v>ELSBAF5507</v>
      </c>
      <c r="D149" s="24">
        <f t="shared" si="26"/>
        <v>1</v>
      </c>
      <c r="E149" s="24" t="str">
        <f t="shared" si="32"/>
        <v/>
      </c>
      <c r="F149" s="24">
        <f t="shared" si="27"/>
        <v>0</v>
      </c>
      <c r="G149" s="24" t="str">
        <f t="shared" si="33"/>
        <v>ELSBAF5507RE</v>
      </c>
      <c r="H149" s="24">
        <f t="shared" si="28"/>
        <v>1</v>
      </c>
      <c r="I149" s="24" t="str">
        <f t="shared" si="34"/>
        <v/>
      </c>
      <c r="J149" s="24">
        <f t="shared" si="29"/>
        <v>0</v>
      </c>
      <c r="K149" s="24" t="str">
        <f t="shared" si="35"/>
        <v>F5</v>
      </c>
      <c r="L149" s="24" t="str">
        <f>VLOOKUP(N149,CODE!K:P,CODE!$P$1,FALSE)</f>
        <v>모자</v>
      </c>
      <c r="M149" s="24" t="str">
        <f>VLOOKUP(MID(R149,1,3),CODE!$B:$G,CODE!D$1,FALSE)</f>
        <v>ELS</v>
      </c>
      <c r="N149" s="24" t="str">
        <f t="shared" si="36"/>
        <v>BA</v>
      </c>
      <c r="O149" s="29" t="str">
        <f>IF(ISERROR(IF(VLOOKUP($N149,CODE!$K:$P,CODE!$O$1,FALSE)="",$M149,$M149&amp;"-"&amp;VLOOKUP($N149,CODE!$K:$P,CODE!$O$1,FALSE)))=TRUE,"",IF(VLOOKUP($N149,CODE!$K:$P,CODE!$O$1,FALSE)="",$M149,$M149&amp;"-"&amp;VLOOKUP($N149,CODE!$K:$P,CODE!$O$1,FALSE)))</f>
        <v>ELS</v>
      </c>
      <c r="P149" s="29" t="str">
        <f t="shared" si="37"/>
        <v>키즈</v>
      </c>
      <c r="Q149" s="29" t="str">
        <f t="shared" si="38"/>
        <v>ELSBAF5507</v>
      </c>
      <c r="R149" s="1" t="s">
        <v>960</v>
      </c>
      <c r="S149" s="1" t="s">
        <v>14</v>
      </c>
      <c r="T149" s="26">
        <v>1500</v>
      </c>
      <c r="U149" s="26">
        <v>67500000</v>
      </c>
      <c r="V149" s="26">
        <v>11615490.000000002</v>
      </c>
      <c r="W149" s="26">
        <v>5.2829141399662305</v>
      </c>
      <c r="X149" s="26">
        <v>1500</v>
      </c>
      <c r="Y149" s="26">
        <v>0</v>
      </c>
    </row>
    <row r="150" spans="1:25">
      <c r="A150" s="24" t="str">
        <f t="shared" si="30"/>
        <v>신규</v>
      </c>
      <c r="B150" s="24" t="str">
        <f>IF(COUNTIF(R$1:R149,R150)=0,"최초","리오더")</f>
        <v>최초</v>
      </c>
      <c r="C150" s="24" t="str">
        <f t="shared" si="31"/>
        <v>ELSBAF5508</v>
      </c>
      <c r="D150" s="24">
        <f t="shared" si="26"/>
        <v>1</v>
      </c>
      <c r="E150" s="24" t="str">
        <f t="shared" si="32"/>
        <v/>
      </c>
      <c r="F150" s="24">
        <f t="shared" si="27"/>
        <v>0</v>
      </c>
      <c r="G150" s="24" t="str">
        <f t="shared" si="33"/>
        <v>ELSBAF5508PK</v>
      </c>
      <c r="H150" s="24">
        <f t="shared" si="28"/>
        <v>1</v>
      </c>
      <c r="I150" s="24" t="str">
        <f t="shared" si="34"/>
        <v/>
      </c>
      <c r="J150" s="24">
        <f t="shared" si="29"/>
        <v>0</v>
      </c>
      <c r="K150" s="24" t="str">
        <f t="shared" si="35"/>
        <v>F5</v>
      </c>
      <c r="L150" s="24" t="str">
        <f>VLOOKUP(N150,CODE!K:P,CODE!$P$1,FALSE)</f>
        <v>모자</v>
      </c>
      <c r="M150" s="24" t="str">
        <f>VLOOKUP(MID(R150,1,3),CODE!$B:$G,CODE!D$1,FALSE)</f>
        <v>ELS</v>
      </c>
      <c r="N150" s="24" t="str">
        <f t="shared" si="36"/>
        <v>BA</v>
      </c>
      <c r="O150" s="29" t="str">
        <f>IF(ISERROR(IF(VLOOKUP($N150,CODE!$K:$P,CODE!$O$1,FALSE)="",$M150,$M150&amp;"-"&amp;VLOOKUP($N150,CODE!$K:$P,CODE!$O$1,FALSE)))=TRUE,"",IF(VLOOKUP($N150,CODE!$K:$P,CODE!$O$1,FALSE)="",$M150,$M150&amp;"-"&amp;VLOOKUP($N150,CODE!$K:$P,CODE!$O$1,FALSE)))</f>
        <v>ELS</v>
      </c>
      <c r="P150" s="29" t="str">
        <f t="shared" si="37"/>
        <v>키즈</v>
      </c>
      <c r="Q150" s="29" t="str">
        <f t="shared" si="38"/>
        <v>ELSBAF5508</v>
      </c>
      <c r="R150" s="1" t="s">
        <v>961</v>
      </c>
      <c r="S150" s="1" t="s">
        <v>14</v>
      </c>
      <c r="T150" s="26">
        <v>1500</v>
      </c>
      <c r="U150" s="26">
        <v>67500000</v>
      </c>
      <c r="V150" s="26">
        <v>11187660.000000002</v>
      </c>
      <c r="W150" s="26">
        <v>5.4849393316954878</v>
      </c>
      <c r="X150" s="26">
        <v>1510</v>
      </c>
      <c r="Y150" s="26">
        <v>0</v>
      </c>
    </row>
    <row r="151" spans="1:25">
      <c r="A151" s="24" t="str">
        <f t="shared" si="30"/>
        <v>신규</v>
      </c>
      <c r="B151" s="24" t="str">
        <f>IF(COUNTIF(R$1:R150,R151)=0,"최초","리오더")</f>
        <v>최초</v>
      </c>
      <c r="C151" s="24" t="str">
        <f t="shared" si="31"/>
        <v>ELSERF5009</v>
      </c>
      <c r="D151" s="24">
        <f t="shared" si="26"/>
        <v>1</v>
      </c>
      <c r="E151" s="24" t="str">
        <f t="shared" si="32"/>
        <v/>
      </c>
      <c r="F151" s="24">
        <f t="shared" si="27"/>
        <v>0</v>
      </c>
      <c r="G151" s="24" t="str">
        <f t="shared" si="33"/>
        <v>ELSERF5009BK</v>
      </c>
      <c r="H151" s="24">
        <f t="shared" si="28"/>
        <v>1</v>
      </c>
      <c r="I151" s="24" t="str">
        <f t="shared" si="34"/>
        <v/>
      </c>
      <c r="J151" s="24">
        <f t="shared" si="29"/>
        <v>0</v>
      </c>
      <c r="K151" s="24" t="str">
        <f t="shared" si="35"/>
        <v>F5</v>
      </c>
      <c r="L151" s="24" t="str">
        <f>VLOOKUP(N151,CODE!K:P,CODE!$P$1,FALSE)</f>
        <v>모자</v>
      </c>
      <c r="M151" s="24" t="str">
        <f>VLOOKUP(MID(R151,1,3),CODE!$B:$G,CODE!D$1,FALSE)</f>
        <v>ELS</v>
      </c>
      <c r="N151" s="24" t="str">
        <f t="shared" si="36"/>
        <v>ER</v>
      </c>
      <c r="O151" s="29" t="str">
        <f>IF(ISERROR(IF(VLOOKUP($N151,CODE!$K:$P,CODE!$O$1,FALSE)="",$M151,$M151&amp;"-"&amp;VLOOKUP($N151,CODE!$K:$P,CODE!$O$1,FALSE)))=TRUE,"",IF(VLOOKUP($N151,CODE!$K:$P,CODE!$O$1,FALSE)="",$M151,$M151&amp;"-"&amp;VLOOKUP($N151,CODE!$K:$P,CODE!$O$1,FALSE)))</f>
        <v>ELS</v>
      </c>
      <c r="P151" s="29" t="str">
        <f t="shared" si="37"/>
        <v>성인</v>
      </c>
      <c r="Q151" s="29" t="str">
        <f t="shared" si="38"/>
        <v>ELSERF5009</v>
      </c>
      <c r="R151" s="1" t="s">
        <v>962</v>
      </c>
      <c r="S151" s="1" t="s">
        <v>14</v>
      </c>
      <c r="T151" s="26">
        <v>1500</v>
      </c>
      <c r="U151" s="26">
        <v>82500000</v>
      </c>
      <c r="V151" s="26">
        <v>12937770</v>
      </c>
      <c r="W151" s="26">
        <v>5.7969804688134037</v>
      </c>
      <c r="X151" s="26">
        <v>1493</v>
      </c>
      <c r="Y151" s="26">
        <v>0</v>
      </c>
    </row>
    <row r="152" spans="1:25">
      <c r="A152" s="24" t="str">
        <f t="shared" si="30"/>
        <v>신규</v>
      </c>
      <c r="B152" s="24" t="str">
        <f>IF(COUNTIF(R$1:R151,R152)=0,"최초","리오더")</f>
        <v>최초</v>
      </c>
      <c r="C152" s="24" t="str">
        <f t="shared" si="31"/>
        <v>ELSERF5010</v>
      </c>
      <c r="D152" s="24">
        <f t="shared" si="26"/>
        <v>1</v>
      </c>
      <c r="E152" s="24" t="str">
        <f t="shared" si="32"/>
        <v/>
      </c>
      <c r="F152" s="24">
        <f t="shared" si="27"/>
        <v>0</v>
      </c>
      <c r="G152" s="24" t="str">
        <f t="shared" si="33"/>
        <v>ELSERF5010BK</v>
      </c>
      <c r="H152" s="24">
        <f t="shared" si="28"/>
        <v>1</v>
      </c>
      <c r="I152" s="24" t="str">
        <f t="shared" si="34"/>
        <v/>
      </c>
      <c r="J152" s="24">
        <f t="shared" si="29"/>
        <v>0</v>
      </c>
      <c r="K152" s="24" t="str">
        <f t="shared" si="35"/>
        <v>F5</v>
      </c>
      <c r="L152" s="24" t="str">
        <f>VLOOKUP(N152,CODE!K:P,CODE!$P$1,FALSE)</f>
        <v>모자</v>
      </c>
      <c r="M152" s="24" t="str">
        <f>VLOOKUP(MID(R152,1,3),CODE!$B:$G,CODE!D$1,FALSE)</f>
        <v>ELS</v>
      </c>
      <c r="N152" s="24" t="str">
        <f t="shared" si="36"/>
        <v>ER</v>
      </c>
      <c r="O152" s="29" t="str">
        <f>IF(ISERROR(IF(VLOOKUP($N152,CODE!$K:$P,CODE!$O$1,FALSE)="",$M152,$M152&amp;"-"&amp;VLOOKUP($N152,CODE!$K:$P,CODE!$O$1,FALSE)))=TRUE,"",IF(VLOOKUP($N152,CODE!$K:$P,CODE!$O$1,FALSE)="",$M152,$M152&amp;"-"&amp;VLOOKUP($N152,CODE!$K:$P,CODE!$O$1,FALSE)))</f>
        <v>ELS</v>
      </c>
      <c r="P152" s="29" t="str">
        <f t="shared" si="37"/>
        <v>성인</v>
      </c>
      <c r="Q152" s="29" t="str">
        <f t="shared" si="38"/>
        <v>ELSERF5010</v>
      </c>
      <c r="R152" s="1" t="s">
        <v>963</v>
      </c>
      <c r="S152" s="1" t="s">
        <v>14</v>
      </c>
      <c r="T152" s="26">
        <v>1500</v>
      </c>
      <c r="U152" s="26">
        <v>82500000</v>
      </c>
      <c r="V152" s="26">
        <v>14428035</v>
      </c>
      <c r="W152" s="26">
        <v>5.198213062277711</v>
      </c>
      <c r="X152" s="26">
        <v>1486</v>
      </c>
      <c r="Y152" s="26">
        <v>0</v>
      </c>
    </row>
    <row r="153" spans="1:25">
      <c r="A153" s="24" t="str">
        <f t="shared" si="30"/>
        <v>신규</v>
      </c>
      <c r="B153" s="24" t="str">
        <f>IF(COUNTIF(R$1:R152,R153)=0,"최초","리오더")</f>
        <v>최초</v>
      </c>
      <c r="C153" s="24" t="str">
        <f t="shared" si="31"/>
        <v>ELSERF5511</v>
      </c>
      <c r="D153" s="24">
        <f t="shared" si="26"/>
        <v>1</v>
      </c>
      <c r="E153" s="24" t="str">
        <f t="shared" si="32"/>
        <v/>
      </c>
      <c r="F153" s="24">
        <f t="shared" si="27"/>
        <v>0</v>
      </c>
      <c r="G153" s="24" t="str">
        <f t="shared" si="33"/>
        <v>ELSERF5511GR</v>
      </c>
      <c r="H153" s="24">
        <f t="shared" si="28"/>
        <v>1</v>
      </c>
      <c r="I153" s="24" t="str">
        <f t="shared" si="34"/>
        <v/>
      </c>
      <c r="J153" s="24">
        <f t="shared" si="29"/>
        <v>0</v>
      </c>
      <c r="K153" s="24" t="str">
        <f t="shared" si="35"/>
        <v>F5</v>
      </c>
      <c r="L153" s="24" t="str">
        <f>VLOOKUP(N153,CODE!K:P,CODE!$P$1,FALSE)</f>
        <v>모자</v>
      </c>
      <c r="M153" s="24" t="str">
        <f>VLOOKUP(MID(R153,1,3),CODE!$B:$G,CODE!D$1,FALSE)</f>
        <v>ELS</v>
      </c>
      <c r="N153" s="24" t="str">
        <f t="shared" si="36"/>
        <v>ER</v>
      </c>
      <c r="O153" s="29" t="str">
        <f>IF(ISERROR(IF(VLOOKUP($N153,CODE!$K:$P,CODE!$O$1,FALSE)="",$M153,$M153&amp;"-"&amp;VLOOKUP($N153,CODE!$K:$P,CODE!$O$1,FALSE)))=TRUE,"",IF(VLOOKUP($N153,CODE!$K:$P,CODE!$O$1,FALSE)="",$M153,$M153&amp;"-"&amp;VLOOKUP($N153,CODE!$K:$P,CODE!$O$1,FALSE)))</f>
        <v>ELS</v>
      </c>
      <c r="P153" s="29" t="str">
        <f t="shared" si="37"/>
        <v>키즈</v>
      </c>
      <c r="Q153" s="29" t="str">
        <f t="shared" si="38"/>
        <v>ELSERF5511</v>
      </c>
      <c r="R153" s="1" t="s">
        <v>964</v>
      </c>
      <c r="S153" s="1" t="s">
        <v>14</v>
      </c>
      <c r="T153" s="26">
        <v>1500</v>
      </c>
      <c r="U153" s="26">
        <v>82500000</v>
      </c>
      <c r="V153" s="26">
        <v>13600590.000000004</v>
      </c>
      <c r="W153" s="26">
        <v>5.5144666518143675</v>
      </c>
      <c r="X153" s="26">
        <v>1509</v>
      </c>
      <c r="Y153" s="26">
        <v>0</v>
      </c>
    </row>
    <row r="154" spans="1:25">
      <c r="A154" s="24" t="str">
        <f t="shared" si="30"/>
        <v>신규</v>
      </c>
      <c r="B154" s="24" t="str">
        <f>IF(COUNTIF(R$1:R153,R154)=0,"최초","리오더")</f>
        <v>최초</v>
      </c>
      <c r="C154" s="24" t="str">
        <f t="shared" si="31"/>
        <v>ELSERF5512</v>
      </c>
      <c r="D154" s="24">
        <f t="shared" si="26"/>
        <v>1</v>
      </c>
      <c r="E154" s="24" t="str">
        <f t="shared" si="32"/>
        <v/>
      </c>
      <c r="F154" s="24">
        <f t="shared" si="27"/>
        <v>0</v>
      </c>
      <c r="G154" s="24" t="str">
        <f t="shared" si="33"/>
        <v>ELSERF5512RE</v>
      </c>
      <c r="H154" s="24">
        <f t="shared" si="28"/>
        <v>1</v>
      </c>
      <c r="I154" s="24" t="str">
        <f t="shared" si="34"/>
        <v/>
      </c>
      <c r="J154" s="24">
        <f t="shared" si="29"/>
        <v>0</v>
      </c>
      <c r="K154" s="24" t="str">
        <f t="shared" si="35"/>
        <v>F5</v>
      </c>
      <c r="L154" s="24" t="str">
        <f>VLOOKUP(N154,CODE!K:P,CODE!$P$1,FALSE)</f>
        <v>모자</v>
      </c>
      <c r="M154" s="24" t="str">
        <f>VLOOKUP(MID(R154,1,3),CODE!$B:$G,CODE!D$1,FALSE)</f>
        <v>ELS</v>
      </c>
      <c r="N154" s="24" t="str">
        <f t="shared" si="36"/>
        <v>ER</v>
      </c>
      <c r="O154" s="29" t="str">
        <f>IF(ISERROR(IF(VLOOKUP($N154,CODE!$K:$P,CODE!$O$1,FALSE)="",$M154,$M154&amp;"-"&amp;VLOOKUP($N154,CODE!$K:$P,CODE!$O$1,FALSE)))=TRUE,"",IF(VLOOKUP($N154,CODE!$K:$P,CODE!$O$1,FALSE)="",$M154,$M154&amp;"-"&amp;VLOOKUP($N154,CODE!$K:$P,CODE!$O$1,FALSE)))</f>
        <v>ELS</v>
      </c>
      <c r="P154" s="29" t="str">
        <f t="shared" si="37"/>
        <v>키즈</v>
      </c>
      <c r="Q154" s="29" t="str">
        <f t="shared" si="38"/>
        <v>ELSERF5512</v>
      </c>
      <c r="R154" s="1" t="s">
        <v>965</v>
      </c>
      <c r="S154" s="1" t="s">
        <v>14</v>
      </c>
      <c r="T154" s="26">
        <v>1500</v>
      </c>
      <c r="U154" s="26">
        <v>82500000</v>
      </c>
      <c r="V154" s="26">
        <v>13828200.000000004</v>
      </c>
      <c r="W154" s="26">
        <v>5.4236993968846248</v>
      </c>
      <c r="X154" s="26">
        <v>1489</v>
      </c>
      <c r="Y154" s="26">
        <v>0</v>
      </c>
    </row>
    <row r="155" spans="1:25">
      <c r="A155" s="24" t="str">
        <f t="shared" si="30"/>
        <v>신규</v>
      </c>
      <c r="B155" s="24" t="str">
        <f>IF(COUNTIF(R$1:R154,R155)=0,"최초","리오더")</f>
        <v>최초</v>
      </c>
      <c r="C155" s="24" t="str">
        <f t="shared" si="31"/>
        <v>ELSERF5513</v>
      </c>
      <c r="D155" s="24">
        <f t="shared" si="26"/>
        <v>1</v>
      </c>
      <c r="E155" s="24" t="str">
        <f t="shared" si="32"/>
        <v/>
      </c>
      <c r="F155" s="24">
        <f t="shared" si="27"/>
        <v>0</v>
      </c>
      <c r="G155" s="24" t="str">
        <f t="shared" si="33"/>
        <v>ELSERF5513PK</v>
      </c>
      <c r="H155" s="24">
        <f t="shared" si="28"/>
        <v>1</v>
      </c>
      <c r="I155" s="24" t="str">
        <f t="shared" si="34"/>
        <v/>
      </c>
      <c r="J155" s="24">
        <f t="shared" si="29"/>
        <v>0</v>
      </c>
      <c r="K155" s="24" t="str">
        <f t="shared" si="35"/>
        <v>F5</v>
      </c>
      <c r="L155" s="24" t="str">
        <f>VLOOKUP(N155,CODE!K:P,CODE!$P$1,FALSE)</f>
        <v>모자</v>
      </c>
      <c r="M155" s="24" t="str">
        <f>VLOOKUP(MID(R155,1,3),CODE!$B:$G,CODE!D$1,FALSE)</f>
        <v>ELS</v>
      </c>
      <c r="N155" s="24" t="str">
        <f t="shared" si="36"/>
        <v>ER</v>
      </c>
      <c r="O155" s="29" t="str">
        <f>IF(ISERROR(IF(VLOOKUP($N155,CODE!$K:$P,CODE!$O$1,FALSE)="",$M155,$M155&amp;"-"&amp;VLOOKUP($N155,CODE!$K:$P,CODE!$O$1,FALSE)))=TRUE,"",IF(VLOOKUP($N155,CODE!$K:$P,CODE!$O$1,FALSE)="",$M155,$M155&amp;"-"&amp;VLOOKUP($N155,CODE!$K:$P,CODE!$O$1,FALSE)))</f>
        <v>ELS</v>
      </c>
      <c r="P155" s="29" t="str">
        <f t="shared" si="37"/>
        <v>키즈</v>
      </c>
      <c r="Q155" s="29" t="str">
        <f t="shared" si="38"/>
        <v>ELSERF5513</v>
      </c>
      <c r="R155" s="1" t="s">
        <v>966</v>
      </c>
      <c r="S155" s="1" t="s">
        <v>14</v>
      </c>
      <c r="T155" s="26">
        <v>1500</v>
      </c>
      <c r="U155" s="26">
        <v>82500000</v>
      </c>
      <c r="V155" s="26">
        <v>13926090.000000004</v>
      </c>
      <c r="W155" s="26">
        <v>5.3855748454878558</v>
      </c>
      <c r="X155" s="26">
        <v>1517</v>
      </c>
      <c r="Y155" s="26">
        <v>0</v>
      </c>
    </row>
    <row r="156" spans="1:25">
      <c r="A156" s="24" t="str">
        <f t="shared" si="30"/>
        <v>신규</v>
      </c>
      <c r="B156" s="24" t="str">
        <f>IF(COUNTIF(R$1:R155,R156)=0,"최초","리오더")</f>
        <v>최초</v>
      </c>
      <c r="C156" s="24" t="str">
        <f t="shared" si="31"/>
        <v>VBLTLF4001</v>
      </c>
      <c r="D156" s="24">
        <f t="shared" si="26"/>
        <v>1</v>
      </c>
      <c r="E156" s="24" t="str">
        <f t="shared" si="32"/>
        <v/>
      </c>
      <c r="F156" s="24">
        <f t="shared" si="27"/>
        <v>0</v>
      </c>
      <c r="G156" s="24" t="str">
        <f t="shared" si="33"/>
        <v>VBLTLF4001BK</v>
      </c>
      <c r="H156" s="24">
        <f t="shared" si="28"/>
        <v>1</v>
      </c>
      <c r="I156" s="24" t="str">
        <f t="shared" si="34"/>
        <v/>
      </c>
      <c r="J156" s="24">
        <f t="shared" si="29"/>
        <v>0</v>
      </c>
      <c r="K156" s="24" t="str">
        <f t="shared" si="35"/>
        <v>F4</v>
      </c>
      <c r="L156" s="24" t="str">
        <f>VLOOKUP(N156,CODE!K:P,CODE!$P$1,FALSE)</f>
        <v>의류</v>
      </c>
      <c r="M156" s="24" t="str">
        <f>VLOOKUP(MID(R156,1,3),CODE!$B:$G,CODE!D$1,FALSE)</f>
        <v>VBL</v>
      </c>
      <c r="N156" s="24" t="str">
        <f t="shared" si="36"/>
        <v>TL</v>
      </c>
      <c r="O156" s="29" t="str">
        <f>IF(ISERROR(IF(VLOOKUP($N156,CODE!$K:$P,CODE!$O$1,FALSE)="",$M156,$M156&amp;"-"&amp;VLOOKUP($N156,CODE!$K:$P,CODE!$O$1,FALSE)))=TRUE,"",IF(VLOOKUP($N156,CODE!$K:$P,CODE!$O$1,FALSE)="",$M156,$M156&amp;"-"&amp;VLOOKUP($N156,CODE!$K:$P,CODE!$O$1,FALSE)))</f>
        <v>VBL-의류</v>
      </c>
      <c r="P156" s="29" t="str">
        <f t="shared" si="37"/>
        <v>성인</v>
      </c>
      <c r="Q156" s="29" t="str">
        <f t="shared" si="38"/>
        <v>VBLTLF4001</v>
      </c>
      <c r="R156" s="1" t="s">
        <v>967</v>
      </c>
      <c r="S156" s="1" t="s">
        <v>14</v>
      </c>
      <c r="T156" s="26">
        <v>1200</v>
      </c>
      <c r="U156" s="26">
        <v>94800000</v>
      </c>
      <c r="V156" s="26">
        <v>19800000</v>
      </c>
      <c r="W156" s="26">
        <v>4.3526170798898072</v>
      </c>
      <c r="X156" s="26">
        <v>1236</v>
      </c>
      <c r="Y156" s="26">
        <v>0</v>
      </c>
    </row>
    <row r="157" spans="1:25">
      <c r="A157" s="24" t="str">
        <f t="shared" si="30"/>
        <v>신규</v>
      </c>
      <c r="B157" s="24" t="str">
        <f>IF(COUNTIF(R$1:R156,R157)=0,"최초","리오더")</f>
        <v>최초</v>
      </c>
      <c r="C157" s="24" t="str">
        <f t="shared" si="31"/>
        <v>VBLTLF4002</v>
      </c>
      <c r="D157" s="24">
        <f t="shared" si="26"/>
        <v>1</v>
      </c>
      <c r="E157" s="24" t="str">
        <f t="shared" si="32"/>
        <v/>
      </c>
      <c r="F157" s="24">
        <f t="shared" si="27"/>
        <v>0</v>
      </c>
      <c r="G157" s="24" t="str">
        <f t="shared" si="33"/>
        <v>VBLTLF4002GY</v>
      </c>
      <c r="H157" s="24">
        <f t="shared" si="28"/>
        <v>1</v>
      </c>
      <c r="I157" s="24" t="str">
        <f t="shared" si="34"/>
        <v/>
      </c>
      <c r="J157" s="24">
        <f t="shared" si="29"/>
        <v>0</v>
      </c>
      <c r="K157" s="24" t="str">
        <f t="shared" si="35"/>
        <v>F4</v>
      </c>
      <c r="L157" s="24" t="str">
        <f>VLOOKUP(N157,CODE!K:P,CODE!$P$1,FALSE)</f>
        <v>의류</v>
      </c>
      <c r="M157" s="24" t="str">
        <f>VLOOKUP(MID(R157,1,3),CODE!$B:$G,CODE!D$1,FALSE)</f>
        <v>VBL</v>
      </c>
      <c r="N157" s="24" t="str">
        <f t="shared" si="36"/>
        <v>TL</v>
      </c>
      <c r="O157" s="29" t="str">
        <f>IF(ISERROR(IF(VLOOKUP($N157,CODE!$K:$P,CODE!$O$1,FALSE)="",$M157,$M157&amp;"-"&amp;VLOOKUP($N157,CODE!$K:$P,CODE!$O$1,FALSE)))=TRUE,"",IF(VLOOKUP($N157,CODE!$K:$P,CODE!$O$1,FALSE)="",$M157,$M157&amp;"-"&amp;VLOOKUP($N157,CODE!$K:$P,CODE!$O$1,FALSE)))</f>
        <v>VBL-의류</v>
      </c>
      <c r="P157" s="29" t="str">
        <f t="shared" si="37"/>
        <v>성인</v>
      </c>
      <c r="Q157" s="29" t="str">
        <f t="shared" si="38"/>
        <v>VBLTLF4002</v>
      </c>
      <c r="R157" s="1" t="s">
        <v>968</v>
      </c>
      <c r="S157" s="1" t="s">
        <v>14</v>
      </c>
      <c r="T157" s="26">
        <v>1200</v>
      </c>
      <c r="U157" s="26">
        <v>94800000</v>
      </c>
      <c r="V157" s="26">
        <v>20340000</v>
      </c>
      <c r="W157" s="26">
        <v>4.2370608742290159</v>
      </c>
      <c r="X157" s="26">
        <v>1248</v>
      </c>
      <c r="Y157" s="26">
        <v>0</v>
      </c>
    </row>
    <row r="158" spans="1:25">
      <c r="A158" s="24" t="str">
        <f t="shared" si="30"/>
        <v>신규</v>
      </c>
      <c r="B158" s="24" t="str">
        <f>IF(COUNTIF(R$1:R157,R158)=0,"최초","리오더")</f>
        <v>최초</v>
      </c>
      <c r="C158" s="24" t="str">
        <f t="shared" si="31"/>
        <v>VBLTLF4003</v>
      </c>
      <c r="D158" s="24">
        <f t="shared" si="26"/>
        <v>0.5</v>
      </c>
      <c r="E158" s="24" t="str">
        <f t="shared" si="32"/>
        <v/>
      </c>
      <c r="F158" s="24">
        <f t="shared" si="27"/>
        <v>0</v>
      </c>
      <c r="G158" s="24" t="str">
        <f t="shared" si="33"/>
        <v>VBLTLF4003NY</v>
      </c>
      <c r="H158" s="24">
        <f t="shared" si="28"/>
        <v>1</v>
      </c>
      <c r="I158" s="24" t="str">
        <f t="shared" si="34"/>
        <v/>
      </c>
      <c r="J158" s="24">
        <f t="shared" si="29"/>
        <v>0</v>
      </c>
      <c r="K158" s="24" t="str">
        <f t="shared" si="35"/>
        <v>F4</v>
      </c>
      <c r="L158" s="24" t="str">
        <f>VLOOKUP(N158,CODE!K:P,CODE!$P$1,FALSE)</f>
        <v>의류</v>
      </c>
      <c r="M158" s="24" t="str">
        <f>VLOOKUP(MID(R158,1,3),CODE!$B:$G,CODE!D$1,FALSE)</f>
        <v>VBL</v>
      </c>
      <c r="N158" s="24" t="str">
        <f t="shared" si="36"/>
        <v>TL</v>
      </c>
      <c r="O158" s="29" t="str">
        <f>IF(ISERROR(IF(VLOOKUP($N158,CODE!$K:$P,CODE!$O$1,FALSE)="",$M158,$M158&amp;"-"&amp;VLOOKUP($N158,CODE!$K:$P,CODE!$O$1,FALSE)))=TRUE,"",IF(VLOOKUP($N158,CODE!$K:$P,CODE!$O$1,FALSE)="",$M158,$M158&amp;"-"&amp;VLOOKUP($N158,CODE!$K:$P,CODE!$O$1,FALSE)))</f>
        <v>VBL-의류</v>
      </c>
      <c r="P158" s="29" t="str">
        <f t="shared" si="37"/>
        <v>성인</v>
      </c>
      <c r="Q158" s="29" t="str">
        <f t="shared" si="38"/>
        <v>VBLTLF4003</v>
      </c>
      <c r="R158" s="1" t="s">
        <v>969</v>
      </c>
      <c r="S158" s="1" t="s">
        <v>14</v>
      </c>
      <c r="T158" s="26">
        <v>1000</v>
      </c>
      <c r="U158" s="26">
        <v>69000000</v>
      </c>
      <c r="V158" s="26">
        <v>13754075</v>
      </c>
      <c r="W158" s="26">
        <v>4.5606318656305653</v>
      </c>
      <c r="X158" s="26">
        <v>1008</v>
      </c>
      <c r="Y158" s="26">
        <v>0</v>
      </c>
    </row>
    <row r="159" spans="1:25">
      <c r="A159" s="24" t="str">
        <f t="shared" si="30"/>
        <v>신규</v>
      </c>
      <c r="B159" s="24" t="str">
        <f>IF(COUNTIF(R$1:R158,R159)=0,"최초","리오더")</f>
        <v>최초</v>
      </c>
      <c r="C159" s="24" t="str">
        <f t="shared" si="31"/>
        <v>VBLTLF4003</v>
      </c>
      <c r="D159" s="24">
        <f t="shared" si="26"/>
        <v>0.5</v>
      </c>
      <c r="E159" s="24" t="str">
        <f t="shared" si="32"/>
        <v/>
      </c>
      <c r="F159" s="24">
        <f t="shared" si="27"/>
        <v>0</v>
      </c>
      <c r="G159" s="24" t="str">
        <f t="shared" si="33"/>
        <v>VBLTLF4003BU</v>
      </c>
      <c r="H159" s="24">
        <f t="shared" si="28"/>
        <v>1</v>
      </c>
      <c r="I159" s="24" t="str">
        <f t="shared" si="34"/>
        <v/>
      </c>
      <c r="J159" s="24">
        <f t="shared" si="29"/>
        <v>0</v>
      </c>
      <c r="K159" s="24" t="str">
        <f t="shared" si="35"/>
        <v>F4</v>
      </c>
      <c r="L159" s="24" t="str">
        <f>VLOOKUP(N159,CODE!K:P,CODE!$P$1,FALSE)</f>
        <v>의류</v>
      </c>
      <c r="M159" s="24" t="str">
        <f>VLOOKUP(MID(R159,1,3),CODE!$B:$G,CODE!D$1,FALSE)</f>
        <v>VBL</v>
      </c>
      <c r="N159" s="24" t="str">
        <f t="shared" si="36"/>
        <v>TL</v>
      </c>
      <c r="O159" s="29" t="str">
        <f>IF(ISERROR(IF(VLOOKUP($N159,CODE!$K:$P,CODE!$O$1,FALSE)="",$M159,$M159&amp;"-"&amp;VLOOKUP($N159,CODE!$K:$P,CODE!$O$1,FALSE)))=TRUE,"",IF(VLOOKUP($N159,CODE!$K:$P,CODE!$O$1,FALSE)="",$M159,$M159&amp;"-"&amp;VLOOKUP($N159,CODE!$K:$P,CODE!$O$1,FALSE)))</f>
        <v>VBL-의류</v>
      </c>
      <c r="P159" s="29" t="str">
        <f t="shared" si="37"/>
        <v>성인</v>
      </c>
      <c r="Q159" s="29" t="str">
        <f t="shared" si="38"/>
        <v>VBLTLF4003</v>
      </c>
      <c r="R159" s="1" t="s">
        <v>970</v>
      </c>
      <c r="S159" s="1" t="s">
        <v>14</v>
      </c>
      <c r="T159" s="26">
        <v>1000</v>
      </c>
      <c r="U159" s="26">
        <v>69000000</v>
      </c>
      <c r="V159" s="26">
        <v>13754074.999999998</v>
      </c>
      <c r="W159" s="26">
        <v>4.5606318656305662</v>
      </c>
      <c r="X159" s="26">
        <v>1007</v>
      </c>
      <c r="Y159" s="26">
        <v>0</v>
      </c>
    </row>
    <row r="160" spans="1:25">
      <c r="A160" s="24" t="str">
        <f t="shared" si="30"/>
        <v>신규</v>
      </c>
      <c r="B160" s="24" t="str">
        <f>IF(COUNTIF(R$1:R159,R160)=0,"최초","리오더")</f>
        <v>최초</v>
      </c>
      <c r="C160" s="24" t="str">
        <f t="shared" si="31"/>
        <v>ELSJPF5001</v>
      </c>
      <c r="D160" s="24">
        <f t="shared" si="26"/>
        <v>0.5</v>
      </c>
      <c r="E160" s="24" t="str">
        <f t="shared" si="32"/>
        <v/>
      </c>
      <c r="F160" s="24">
        <f t="shared" si="27"/>
        <v>0</v>
      </c>
      <c r="G160" s="24" t="str">
        <f t="shared" si="33"/>
        <v>ELSJPF5001BK</v>
      </c>
      <c r="H160" s="24">
        <f t="shared" si="28"/>
        <v>1</v>
      </c>
      <c r="I160" s="24" t="str">
        <f t="shared" si="34"/>
        <v/>
      </c>
      <c r="J160" s="24">
        <f t="shared" si="29"/>
        <v>0</v>
      </c>
      <c r="K160" s="24" t="str">
        <f t="shared" si="35"/>
        <v>F5</v>
      </c>
      <c r="L160" s="24" t="str">
        <f>VLOOKUP(N160,CODE!K:P,CODE!$P$1,FALSE)</f>
        <v>의류</v>
      </c>
      <c r="M160" s="24" t="str">
        <f>VLOOKUP(MID(R160,1,3),CODE!$B:$G,CODE!D$1,FALSE)</f>
        <v>ELS</v>
      </c>
      <c r="N160" s="24" t="str">
        <f t="shared" si="36"/>
        <v>JP</v>
      </c>
      <c r="O160" s="29" t="str">
        <f>IF(ISERROR(IF(VLOOKUP($N160,CODE!$K:$P,CODE!$O$1,FALSE)="",$M160,$M160&amp;"-"&amp;VLOOKUP($N160,CODE!$K:$P,CODE!$O$1,FALSE)))=TRUE,"",IF(VLOOKUP($N160,CODE!$K:$P,CODE!$O$1,FALSE)="",$M160,$M160&amp;"-"&amp;VLOOKUP($N160,CODE!$K:$P,CODE!$O$1,FALSE)))</f>
        <v>ELS-의류</v>
      </c>
      <c r="P160" s="29" t="str">
        <f t="shared" si="37"/>
        <v>성인</v>
      </c>
      <c r="Q160" s="29" t="str">
        <f t="shared" si="38"/>
        <v>ELSJPF5001</v>
      </c>
      <c r="R160" s="1" t="s">
        <v>971</v>
      </c>
      <c r="S160" s="1" t="s">
        <v>14</v>
      </c>
      <c r="T160" s="26">
        <v>1500</v>
      </c>
      <c r="U160" s="26">
        <v>357000000</v>
      </c>
      <c r="V160" s="26">
        <v>85528875</v>
      </c>
      <c r="W160" s="26">
        <v>3.7945717694223675</v>
      </c>
      <c r="X160" s="26">
        <v>1613</v>
      </c>
      <c r="Y160" s="26">
        <v>0</v>
      </c>
    </row>
    <row r="161" spans="1:25">
      <c r="A161" s="24" t="str">
        <f t="shared" si="30"/>
        <v>신규</v>
      </c>
      <c r="B161" s="24" t="str">
        <f>IF(COUNTIF(R$1:R160,R161)=0,"최초","리오더")</f>
        <v>최초</v>
      </c>
      <c r="C161" s="24" t="str">
        <f t="shared" si="31"/>
        <v>ELSJPF5001</v>
      </c>
      <c r="D161" s="24">
        <f t="shared" si="26"/>
        <v>0.5</v>
      </c>
      <c r="E161" s="24" t="str">
        <f t="shared" si="32"/>
        <v/>
      </c>
      <c r="F161" s="24">
        <f t="shared" si="27"/>
        <v>0</v>
      </c>
      <c r="G161" s="24" t="str">
        <f t="shared" si="33"/>
        <v>ELSJPF5001RE</v>
      </c>
      <c r="H161" s="24">
        <f t="shared" si="28"/>
        <v>1</v>
      </c>
      <c r="I161" s="24" t="str">
        <f t="shared" si="34"/>
        <v/>
      </c>
      <c r="J161" s="24">
        <f t="shared" si="29"/>
        <v>0</v>
      </c>
      <c r="K161" s="24" t="str">
        <f t="shared" si="35"/>
        <v>F5</v>
      </c>
      <c r="L161" s="24" t="str">
        <f>VLOOKUP(N161,CODE!K:P,CODE!$P$1,FALSE)</f>
        <v>의류</v>
      </c>
      <c r="M161" s="24" t="str">
        <f>VLOOKUP(MID(R161,1,3),CODE!$B:$G,CODE!D$1,FALSE)</f>
        <v>ELS</v>
      </c>
      <c r="N161" s="24" t="str">
        <f t="shared" si="36"/>
        <v>JP</v>
      </c>
      <c r="O161" s="29" t="str">
        <f>IF(ISERROR(IF(VLOOKUP($N161,CODE!$K:$P,CODE!$O$1,FALSE)="",$M161,$M161&amp;"-"&amp;VLOOKUP($N161,CODE!$K:$P,CODE!$O$1,FALSE)))=TRUE,"",IF(VLOOKUP($N161,CODE!$K:$P,CODE!$O$1,FALSE)="",$M161,$M161&amp;"-"&amp;VLOOKUP($N161,CODE!$K:$P,CODE!$O$1,FALSE)))</f>
        <v>ELS-의류</v>
      </c>
      <c r="P161" s="29" t="str">
        <f t="shared" si="37"/>
        <v>성인</v>
      </c>
      <c r="Q161" s="29" t="str">
        <f t="shared" si="38"/>
        <v>ELSJPF5001</v>
      </c>
      <c r="R161" s="1" t="s">
        <v>972</v>
      </c>
      <c r="S161" s="1" t="s">
        <v>14</v>
      </c>
      <c r="T161" s="26">
        <v>1500</v>
      </c>
      <c r="U161" s="26">
        <v>357000000</v>
      </c>
      <c r="V161" s="26">
        <v>85528875</v>
      </c>
      <c r="W161" s="26">
        <v>3.7945717694223675</v>
      </c>
      <c r="X161" s="26">
        <v>1455</v>
      </c>
      <c r="Y161" s="26">
        <v>0</v>
      </c>
    </row>
    <row r="162" spans="1:25">
      <c r="A162" s="24" t="str">
        <f t="shared" si="30"/>
        <v>신규</v>
      </c>
      <c r="B162" s="24" t="str">
        <f>IF(COUNTIF(R$1:R161,R162)=0,"최초","리오더")</f>
        <v>최초</v>
      </c>
      <c r="C162" s="24" t="str">
        <f t="shared" si="31"/>
        <v>ELSJPF5502</v>
      </c>
      <c r="D162" s="24">
        <f t="shared" si="26"/>
        <v>0.33333333333333331</v>
      </c>
      <c r="E162" s="24" t="str">
        <f t="shared" si="32"/>
        <v/>
      </c>
      <c r="F162" s="24">
        <f t="shared" si="27"/>
        <v>0</v>
      </c>
      <c r="G162" s="24" t="str">
        <f t="shared" si="33"/>
        <v>ELSJPF5502RE</v>
      </c>
      <c r="H162" s="24">
        <f t="shared" si="28"/>
        <v>1</v>
      </c>
      <c r="I162" s="24" t="str">
        <f t="shared" si="34"/>
        <v/>
      </c>
      <c r="J162" s="24">
        <f t="shared" si="29"/>
        <v>0</v>
      </c>
      <c r="K162" s="24" t="str">
        <f t="shared" si="35"/>
        <v>F5</v>
      </c>
      <c r="L162" s="24" t="str">
        <f>VLOOKUP(N162,CODE!K:P,CODE!$P$1,FALSE)</f>
        <v>의류</v>
      </c>
      <c r="M162" s="24" t="str">
        <f>VLOOKUP(MID(R162,1,3),CODE!$B:$G,CODE!D$1,FALSE)</f>
        <v>ELS</v>
      </c>
      <c r="N162" s="24" t="str">
        <f t="shared" si="36"/>
        <v>JP</v>
      </c>
      <c r="O162" s="29" t="str">
        <f>IF(ISERROR(IF(VLOOKUP($N162,CODE!$K:$P,CODE!$O$1,FALSE)="",$M162,$M162&amp;"-"&amp;VLOOKUP($N162,CODE!$K:$P,CODE!$O$1,FALSE)))=TRUE,"",IF(VLOOKUP($N162,CODE!$K:$P,CODE!$O$1,FALSE)="",$M162,$M162&amp;"-"&amp;VLOOKUP($N162,CODE!$K:$P,CODE!$O$1,FALSE)))</f>
        <v>ELS-의류</v>
      </c>
      <c r="P162" s="29" t="str">
        <f t="shared" si="37"/>
        <v>키즈</v>
      </c>
      <c r="Q162" s="29" t="str">
        <f t="shared" si="38"/>
        <v>ELSJPF5502</v>
      </c>
      <c r="R162" s="1" t="s">
        <v>973</v>
      </c>
      <c r="S162" s="1" t="s">
        <v>14</v>
      </c>
      <c r="T162" s="26">
        <v>1500</v>
      </c>
      <c r="U162" s="26">
        <v>327000000</v>
      </c>
      <c r="V162" s="26">
        <v>79291875</v>
      </c>
      <c r="W162" s="26">
        <v>3.749094434615492</v>
      </c>
      <c r="X162" s="26">
        <v>1594</v>
      </c>
      <c r="Y162" s="26">
        <v>0</v>
      </c>
    </row>
    <row r="163" spans="1:25">
      <c r="A163" s="24" t="str">
        <f t="shared" si="30"/>
        <v>신규</v>
      </c>
      <c r="B163" s="24" t="str">
        <f>IF(COUNTIF(R$1:R162,R163)=0,"최초","리오더")</f>
        <v>최초</v>
      </c>
      <c r="C163" s="24" t="str">
        <f t="shared" si="31"/>
        <v>ELSJPF5502</v>
      </c>
      <c r="D163" s="24">
        <f t="shared" si="26"/>
        <v>0.33333333333333331</v>
      </c>
      <c r="E163" s="24" t="str">
        <f t="shared" si="32"/>
        <v/>
      </c>
      <c r="F163" s="24">
        <f t="shared" si="27"/>
        <v>0</v>
      </c>
      <c r="G163" s="24" t="str">
        <f t="shared" si="33"/>
        <v>ELSJPF5502YE</v>
      </c>
      <c r="H163" s="24">
        <f t="shared" si="28"/>
        <v>1</v>
      </c>
      <c r="I163" s="24" t="str">
        <f t="shared" si="34"/>
        <v/>
      </c>
      <c r="J163" s="24">
        <f t="shared" si="29"/>
        <v>0</v>
      </c>
      <c r="K163" s="24" t="str">
        <f t="shared" si="35"/>
        <v>F5</v>
      </c>
      <c r="L163" s="24" t="str">
        <f>VLOOKUP(N163,CODE!K:P,CODE!$P$1,FALSE)</f>
        <v>의류</v>
      </c>
      <c r="M163" s="24" t="str">
        <f>VLOOKUP(MID(R163,1,3),CODE!$B:$G,CODE!D$1,FALSE)</f>
        <v>ELS</v>
      </c>
      <c r="N163" s="24" t="str">
        <f t="shared" si="36"/>
        <v>JP</v>
      </c>
      <c r="O163" s="29" t="str">
        <f>IF(ISERROR(IF(VLOOKUP($N163,CODE!$K:$P,CODE!$O$1,FALSE)="",$M163,$M163&amp;"-"&amp;VLOOKUP($N163,CODE!$K:$P,CODE!$O$1,FALSE)))=TRUE,"",IF(VLOOKUP($N163,CODE!$K:$P,CODE!$O$1,FALSE)="",$M163,$M163&amp;"-"&amp;VLOOKUP($N163,CODE!$K:$P,CODE!$O$1,FALSE)))</f>
        <v>ELS-의류</v>
      </c>
      <c r="P163" s="29" t="str">
        <f t="shared" si="37"/>
        <v>키즈</v>
      </c>
      <c r="Q163" s="29" t="str">
        <f t="shared" si="38"/>
        <v>ELSJPF5502</v>
      </c>
      <c r="R163" s="1" t="s">
        <v>974</v>
      </c>
      <c r="S163" s="1" t="s">
        <v>14</v>
      </c>
      <c r="T163" s="26">
        <v>1500</v>
      </c>
      <c r="U163" s="26">
        <v>327000000</v>
      </c>
      <c r="V163" s="26">
        <v>79291875</v>
      </c>
      <c r="W163" s="26">
        <v>3.749094434615492</v>
      </c>
      <c r="X163" s="26">
        <v>1603</v>
      </c>
      <c r="Y163" s="26">
        <v>0</v>
      </c>
    </row>
    <row r="164" spans="1:25">
      <c r="A164" s="24" t="str">
        <f t="shared" si="30"/>
        <v>신규</v>
      </c>
      <c r="B164" s="24" t="str">
        <f>IF(COUNTIF(R$1:R163,R164)=0,"최초","리오더")</f>
        <v>최초</v>
      </c>
      <c r="C164" s="24" t="str">
        <f t="shared" si="31"/>
        <v>ELSJPF5502</v>
      </c>
      <c r="D164" s="24">
        <f t="shared" si="26"/>
        <v>0.33333333333333331</v>
      </c>
      <c r="E164" s="24" t="str">
        <f t="shared" si="32"/>
        <v/>
      </c>
      <c r="F164" s="24">
        <f t="shared" si="27"/>
        <v>0</v>
      </c>
      <c r="G164" s="24" t="str">
        <f t="shared" si="33"/>
        <v>ELSJPF5502BL</v>
      </c>
      <c r="H164" s="24">
        <f t="shared" si="28"/>
        <v>1</v>
      </c>
      <c r="I164" s="24" t="str">
        <f t="shared" si="34"/>
        <v/>
      </c>
      <c r="J164" s="24">
        <f t="shared" si="29"/>
        <v>0</v>
      </c>
      <c r="K164" s="24" t="str">
        <f t="shared" si="35"/>
        <v>F5</v>
      </c>
      <c r="L164" s="24" t="str">
        <f>VLOOKUP(N164,CODE!K:P,CODE!$P$1,FALSE)</f>
        <v>의류</v>
      </c>
      <c r="M164" s="24" t="str">
        <f>VLOOKUP(MID(R164,1,3),CODE!$B:$G,CODE!D$1,FALSE)</f>
        <v>ELS</v>
      </c>
      <c r="N164" s="24" t="str">
        <f t="shared" si="36"/>
        <v>JP</v>
      </c>
      <c r="O164" s="29" t="str">
        <f>IF(ISERROR(IF(VLOOKUP($N164,CODE!$K:$P,CODE!$O$1,FALSE)="",$M164,$M164&amp;"-"&amp;VLOOKUP($N164,CODE!$K:$P,CODE!$O$1,FALSE)))=TRUE,"",IF(VLOOKUP($N164,CODE!$K:$P,CODE!$O$1,FALSE)="",$M164,$M164&amp;"-"&amp;VLOOKUP($N164,CODE!$K:$P,CODE!$O$1,FALSE)))</f>
        <v>ELS-의류</v>
      </c>
      <c r="P164" s="29" t="str">
        <f t="shared" si="37"/>
        <v>키즈</v>
      </c>
      <c r="Q164" s="29" t="str">
        <f t="shared" si="38"/>
        <v>ELSJPF5502</v>
      </c>
      <c r="R164" s="1" t="s">
        <v>975</v>
      </c>
      <c r="S164" s="1" t="s">
        <v>14</v>
      </c>
      <c r="T164" s="26">
        <v>1500</v>
      </c>
      <c r="U164" s="26">
        <v>327000000</v>
      </c>
      <c r="V164" s="26">
        <v>79291875</v>
      </c>
      <c r="W164" s="26">
        <v>3.749094434615492</v>
      </c>
      <c r="X164" s="26">
        <v>1590</v>
      </c>
      <c r="Y164" s="26">
        <v>0</v>
      </c>
    </row>
    <row r="165" spans="1:25">
      <c r="A165" s="24" t="str">
        <f t="shared" si="30"/>
        <v>신규</v>
      </c>
      <c r="B165" s="24" t="str">
        <f>IF(COUNTIF(R$1:R164,R165)=0,"최초","리오더")</f>
        <v>최초</v>
      </c>
      <c r="C165" s="24" t="str">
        <f t="shared" si="31"/>
        <v>ELSPTF5503</v>
      </c>
      <c r="D165" s="24">
        <f t="shared" si="26"/>
        <v>1</v>
      </c>
      <c r="E165" s="24" t="str">
        <f t="shared" si="32"/>
        <v/>
      </c>
      <c r="F165" s="24">
        <f t="shared" si="27"/>
        <v>0</v>
      </c>
      <c r="G165" s="24" t="str">
        <f t="shared" si="33"/>
        <v>ELSPTF5503BK</v>
      </c>
      <c r="H165" s="24">
        <f t="shared" si="28"/>
        <v>1</v>
      </c>
      <c r="I165" s="24" t="str">
        <f t="shared" si="34"/>
        <v/>
      </c>
      <c r="J165" s="24">
        <f t="shared" si="29"/>
        <v>0</v>
      </c>
      <c r="K165" s="24" t="str">
        <f t="shared" si="35"/>
        <v>F5</v>
      </c>
      <c r="L165" s="24" t="str">
        <f>VLOOKUP(N165,CODE!K:P,CODE!$P$1,FALSE)</f>
        <v>의류</v>
      </c>
      <c r="M165" s="24" t="str">
        <f>VLOOKUP(MID(R165,1,3),CODE!$B:$G,CODE!D$1,FALSE)</f>
        <v>ELS</v>
      </c>
      <c r="N165" s="24" t="str">
        <f t="shared" si="36"/>
        <v>PT</v>
      </c>
      <c r="O165" s="29" t="str">
        <f>IF(ISERROR(IF(VLOOKUP($N165,CODE!$K:$P,CODE!$O$1,FALSE)="",$M165,$M165&amp;"-"&amp;VLOOKUP($N165,CODE!$K:$P,CODE!$O$1,FALSE)))=TRUE,"",IF(VLOOKUP($N165,CODE!$K:$P,CODE!$O$1,FALSE)="",$M165,$M165&amp;"-"&amp;VLOOKUP($N165,CODE!$K:$P,CODE!$O$1,FALSE)))</f>
        <v>ELS-의류</v>
      </c>
      <c r="P165" s="29" t="str">
        <f t="shared" si="37"/>
        <v>키즈</v>
      </c>
      <c r="Q165" s="29" t="str">
        <f t="shared" si="38"/>
        <v>ELSPTF5503</v>
      </c>
      <c r="R165" s="1" t="s">
        <v>976</v>
      </c>
      <c r="S165" s="1" t="s">
        <v>14</v>
      </c>
      <c r="T165" s="26">
        <v>1200</v>
      </c>
      <c r="U165" s="26">
        <v>106800000</v>
      </c>
      <c r="V165" s="26">
        <v>24348300.000000004</v>
      </c>
      <c r="W165" s="26">
        <v>3.9875847221739944</v>
      </c>
      <c r="X165" s="26">
        <v>1291</v>
      </c>
      <c r="Y165" s="26">
        <v>0</v>
      </c>
    </row>
    <row r="166" spans="1:25">
      <c r="A166" s="24" t="str">
        <f t="shared" si="30"/>
        <v>신규</v>
      </c>
      <c r="B166" s="24" t="str">
        <f>IF(COUNTIF(R$1:R165,R166)=0,"최초","리오더")</f>
        <v>최초</v>
      </c>
      <c r="C166" s="24" t="str">
        <f t="shared" si="31"/>
        <v>ELSJPF5028</v>
      </c>
      <c r="D166" s="24">
        <f t="shared" si="26"/>
        <v>1</v>
      </c>
      <c r="E166" s="24" t="str">
        <f t="shared" si="32"/>
        <v/>
      </c>
      <c r="F166" s="24">
        <f t="shared" si="27"/>
        <v>0</v>
      </c>
      <c r="G166" s="24" t="str">
        <f t="shared" si="33"/>
        <v>ELSJPF5028BK</v>
      </c>
      <c r="H166" s="24">
        <f t="shared" si="28"/>
        <v>1</v>
      </c>
      <c r="I166" s="24" t="str">
        <f t="shared" si="34"/>
        <v/>
      </c>
      <c r="J166" s="24">
        <f t="shared" si="29"/>
        <v>0</v>
      </c>
      <c r="K166" s="24" t="str">
        <f t="shared" si="35"/>
        <v>F5</v>
      </c>
      <c r="L166" s="24" t="str">
        <f>VLOOKUP(N166,CODE!K:P,CODE!$P$1,FALSE)</f>
        <v>의류</v>
      </c>
      <c r="M166" s="24" t="str">
        <f>VLOOKUP(MID(R166,1,3),CODE!$B:$G,CODE!D$1,FALSE)</f>
        <v>ELS</v>
      </c>
      <c r="N166" s="24" t="str">
        <f t="shared" si="36"/>
        <v>JP</v>
      </c>
      <c r="O166" s="29" t="str">
        <f>IF(ISERROR(IF(VLOOKUP($N166,CODE!$K:$P,CODE!$O$1,FALSE)="",$M166,$M166&amp;"-"&amp;VLOOKUP($N166,CODE!$K:$P,CODE!$O$1,FALSE)))=TRUE,"",IF(VLOOKUP($N166,CODE!$K:$P,CODE!$O$1,FALSE)="",$M166,$M166&amp;"-"&amp;VLOOKUP($N166,CODE!$K:$P,CODE!$O$1,FALSE)))</f>
        <v>ELS-의류</v>
      </c>
      <c r="P166" s="29" t="str">
        <f t="shared" si="37"/>
        <v>성인</v>
      </c>
      <c r="Q166" s="29" t="str">
        <f t="shared" si="38"/>
        <v>ELSJPF5028</v>
      </c>
      <c r="R166" s="1" t="s">
        <v>977</v>
      </c>
      <c r="S166" s="1" t="s">
        <v>14</v>
      </c>
      <c r="T166" s="26">
        <v>1500</v>
      </c>
      <c r="U166" s="26">
        <v>327000000</v>
      </c>
      <c r="V166" s="26">
        <v>79725000.000000015</v>
      </c>
      <c r="W166" s="26">
        <v>3.7287265885572554</v>
      </c>
      <c r="X166" s="26">
        <v>1610</v>
      </c>
      <c r="Y166" s="26">
        <v>0</v>
      </c>
    </row>
    <row r="167" spans="1:25">
      <c r="A167" s="24" t="str">
        <f t="shared" si="30"/>
        <v>신규</v>
      </c>
      <c r="B167" s="24" t="str">
        <f>IF(COUNTIF(R$1:R166,R167)=0,"최초","리오더")</f>
        <v>최초</v>
      </c>
      <c r="C167" s="24" t="str">
        <f t="shared" si="31"/>
        <v>ELSJPF5529</v>
      </c>
      <c r="D167" s="24">
        <f t="shared" si="26"/>
        <v>0.5</v>
      </c>
      <c r="E167" s="24" t="str">
        <f t="shared" si="32"/>
        <v/>
      </c>
      <c r="F167" s="24">
        <f t="shared" si="27"/>
        <v>0</v>
      </c>
      <c r="G167" s="24" t="str">
        <f t="shared" si="33"/>
        <v>ELSJPF5529PK</v>
      </c>
      <c r="H167" s="24">
        <f t="shared" si="28"/>
        <v>1</v>
      </c>
      <c r="I167" s="24" t="str">
        <f t="shared" si="34"/>
        <v/>
      </c>
      <c r="J167" s="24">
        <f t="shared" si="29"/>
        <v>0</v>
      </c>
      <c r="K167" s="24" t="str">
        <f t="shared" si="35"/>
        <v>F5</v>
      </c>
      <c r="L167" s="24" t="str">
        <f>VLOOKUP(N167,CODE!K:P,CODE!$P$1,FALSE)</f>
        <v>의류</v>
      </c>
      <c r="M167" s="24" t="str">
        <f>VLOOKUP(MID(R167,1,3),CODE!$B:$G,CODE!D$1,FALSE)</f>
        <v>ELS</v>
      </c>
      <c r="N167" s="24" t="str">
        <f t="shared" si="36"/>
        <v>JP</v>
      </c>
      <c r="O167" s="29" t="str">
        <f>IF(ISERROR(IF(VLOOKUP($N167,CODE!$K:$P,CODE!$O$1,FALSE)="",$M167,$M167&amp;"-"&amp;VLOOKUP($N167,CODE!$K:$P,CODE!$O$1,FALSE)))=TRUE,"",IF(VLOOKUP($N167,CODE!$K:$P,CODE!$O$1,FALSE)="",$M167,$M167&amp;"-"&amp;VLOOKUP($N167,CODE!$K:$P,CODE!$O$1,FALSE)))</f>
        <v>ELS-의류</v>
      </c>
      <c r="P167" s="29" t="str">
        <f t="shared" si="37"/>
        <v>키즈</v>
      </c>
      <c r="Q167" s="29" t="str">
        <f t="shared" si="38"/>
        <v>ELSJPF5529</v>
      </c>
      <c r="R167" s="1" t="s">
        <v>978</v>
      </c>
      <c r="S167" s="1" t="s">
        <v>14</v>
      </c>
      <c r="T167" s="26">
        <v>1500</v>
      </c>
      <c r="U167" s="26">
        <v>327000000</v>
      </c>
      <c r="V167" s="26">
        <v>82497000.000000015</v>
      </c>
      <c r="W167" s="26">
        <v>3.6034368191901183</v>
      </c>
      <c r="X167" s="26">
        <v>1602</v>
      </c>
      <c r="Y167" s="26">
        <v>0</v>
      </c>
    </row>
    <row r="168" spans="1:25">
      <c r="A168" s="24" t="str">
        <f t="shared" si="30"/>
        <v>신규</v>
      </c>
      <c r="B168" s="24" t="str">
        <f>IF(COUNTIF(R$1:R167,R168)=0,"최초","리오더")</f>
        <v>최초</v>
      </c>
      <c r="C168" s="24" t="str">
        <f t="shared" si="31"/>
        <v>ELSJPF5529</v>
      </c>
      <c r="D168" s="24">
        <f t="shared" si="26"/>
        <v>0.5</v>
      </c>
      <c r="E168" s="24" t="str">
        <f t="shared" si="32"/>
        <v/>
      </c>
      <c r="F168" s="24">
        <f t="shared" si="27"/>
        <v>0</v>
      </c>
      <c r="G168" s="24" t="str">
        <f t="shared" si="33"/>
        <v>ELSJPF5529OR</v>
      </c>
      <c r="H168" s="24">
        <f t="shared" si="28"/>
        <v>1</v>
      </c>
      <c r="I168" s="24" t="str">
        <f t="shared" si="34"/>
        <v/>
      </c>
      <c r="J168" s="24">
        <f t="shared" si="29"/>
        <v>0</v>
      </c>
      <c r="K168" s="24" t="str">
        <f t="shared" si="35"/>
        <v>F5</v>
      </c>
      <c r="L168" s="24" t="str">
        <f>VLOOKUP(N168,CODE!K:P,CODE!$P$1,FALSE)</f>
        <v>의류</v>
      </c>
      <c r="M168" s="24" t="str">
        <f>VLOOKUP(MID(R168,1,3),CODE!$B:$G,CODE!D$1,FALSE)</f>
        <v>ELS</v>
      </c>
      <c r="N168" s="24" t="str">
        <f t="shared" si="36"/>
        <v>JP</v>
      </c>
      <c r="O168" s="29" t="str">
        <f>IF(ISERROR(IF(VLOOKUP($N168,CODE!$K:$P,CODE!$O$1,FALSE)="",$M168,$M168&amp;"-"&amp;VLOOKUP($N168,CODE!$K:$P,CODE!$O$1,FALSE)))=TRUE,"",IF(VLOOKUP($N168,CODE!$K:$P,CODE!$O$1,FALSE)="",$M168,$M168&amp;"-"&amp;VLOOKUP($N168,CODE!$K:$P,CODE!$O$1,FALSE)))</f>
        <v>ELS-의류</v>
      </c>
      <c r="P168" s="29" t="str">
        <f t="shared" si="37"/>
        <v>키즈</v>
      </c>
      <c r="Q168" s="29" t="str">
        <f t="shared" si="38"/>
        <v>ELSJPF5529</v>
      </c>
      <c r="R168" s="1" t="s">
        <v>979</v>
      </c>
      <c r="S168" s="1" t="s">
        <v>14</v>
      </c>
      <c r="T168" s="26">
        <v>1500</v>
      </c>
      <c r="U168" s="26">
        <v>327000000</v>
      </c>
      <c r="V168" s="26">
        <v>82497000.000000015</v>
      </c>
      <c r="W168" s="26">
        <v>3.6034368191901183</v>
      </c>
      <c r="X168" s="26">
        <v>1614</v>
      </c>
      <c r="Y168" s="26">
        <v>0</v>
      </c>
    </row>
    <row r="169" spans="1:25">
      <c r="A169" s="24" t="str">
        <f t="shared" si="30"/>
        <v>신규</v>
      </c>
      <c r="B169" s="24" t="str">
        <f>IF(COUNTIF(R$1:R168,R169)=0,"최초","리오더")</f>
        <v>최초</v>
      </c>
      <c r="C169" s="24" t="str">
        <f t="shared" si="31"/>
        <v>ELSVEF5530</v>
      </c>
      <c r="D169" s="24">
        <f t="shared" si="26"/>
        <v>1</v>
      </c>
      <c r="E169" s="24" t="str">
        <f t="shared" si="32"/>
        <v/>
      </c>
      <c r="F169" s="24">
        <f t="shared" si="27"/>
        <v>0</v>
      </c>
      <c r="G169" s="24" t="str">
        <f t="shared" si="33"/>
        <v>ELSVEF5530RE</v>
      </c>
      <c r="H169" s="24">
        <f t="shared" si="28"/>
        <v>1</v>
      </c>
      <c r="I169" s="24" t="str">
        <f t="shared" si="34"/>
        <v/>
      </c>
      <c r="J169" s="24">
        <f t="shared" si="29"/>
        <v>0</v>
      </c>
      <c r="K169" s="24" t="str">
        <f t="shared" si="35"/>
        <v>F5</v>
      </c>
      <c r="L169" s="24" t="str">
        <f>VLOOKUP(N169,CODE!K:P,CODE!$P$1,FALSE)</f>
        <v>의류</v>
      </c>
      <c r="M169" s="24" t="str">
        <f>VLOOKUP(MID(R169,1,3),CODE!$B:$G,CODE!D$1,FALSE)</f>
        <v>ELS</v>
      </c>
      <c r="N169" s="24" t="str">
        <f t="shared" si="36"/>
        <v>VE</v>
      </c>
      <c r="O169" s="29" t="str">
        <f>IF(ISERROR(IF(VLOOKUP($N169,CODE!$K:$P,CODE!$O$1,FALSE)="",$M169,$M169&amp;"-"&amp;VLOOKUP($N169,CODE!$K:$P,CODE!$O$1,FALSE)))=TRUE,"",IF(VLOOKUP($N169,CODE!$K:$P,CODE!$O$1,FALSE)="",$M169,$M169&amp;"-"&amp;VLOOKUP($N169,CODE!$K:$P,CODE!$O$1,FALSE)))</f>
        <v>ELS-의류</v>
      </c>
      <c r="P169" s="29" t="str">
        <f t="shared" si="37"/>
        <v>키즈</v>
      </c>
      <c r="Q169" s="29" t="str">
        <f t="shared" si="38"/>
        <v>ELSVEF5530</v>
      </c>
      <c r="R169" s="1" t="s">
        <v>980</v>
      </c>
      <c r="S169" s="1" t="s">
        <v>14</v>
      </c>
      <c r="T169" s="26">
        <v>1000</v>
      </c>
      <c r="U169" s="26">
        <v>98000000</v>
      </c>
      <c r="V169" s="26">
        <v>24852500</v>
      </c>
      <c r="W169" s="26">
        <v>3.5847866046035239</v>
      </c>
      <c r="X169" s="26">
        <v>1078</v>
      </c>
      <c r="Y169" s="26">
        <v>0</v>
      </c>
    </row>
    <row r="170" spans="1:25">
      <c r="A170" s="24" t="str">
        <f t="shared" si="30"/>
        <v>신규</v>
      </c>
      <c r="B170" s="24" t="str">
        <f>IF(COUNTIF(R$1:R169,R170)=0,"최초","리오더")</f>
        <v>최초</v>
      </c>
      <c r="C170" s="24" t="str">
        <f t="shared" si="31"/>
        <v>PNYTLF4001</v>
      </c>
      <c r="D170" s="24">
        <f t="shared" si="26"/>
        <v>1</v>
      </c>
      <c r="E170" s="24" t="str">
        <f t="shared" si="32"/>
        <v/>
      </c>
      <c r="F170" s="24">
        <f t="shared" si="27"/>
        <v>0</v>
      </c>
      <c r="G170" s="24" t="str">
        <f t="shared" si="33"/>
        <v>PNYTLF4001NY</v>
      </c>
      <c r="H170" s="24">
        <f t="shared" si="28"/>
        <v>1</v>
      </c>
      <c r="I170" s="24" t="str">
        <f t="shared" si="34"/>
        <v/>
      </c>
      <c r="J170" s="24">
        <f t="shared" si="29"/>
        <v>0</v>
      </c>
      <c r="K170" s="24" t="str">
        <f t="shared" si="35"/>
        <v>F4</v>
      </c>
      <c r="L170" s="24" t="str">
        <f>VLOOKUP(N170,CODE!K:P,CODE!$P$1,FALSE)</f>
        <v>의류</v>
      </c>
      <c r="M170" s="24" t="str">
        <f>VLOOKUP(MID(R170,1,3),CODE!$B:$G,CODE!D$1,FALSE)</f>
        <v>PNY</v>
      </c>
      <c r="N170" s="24" t="str">
        <f t="shared" si="36"/>
        <v>TL</v>
      </c>
      <c r="O170" s="29" t="str">
        <f>IF(ISERROR(IF(VLOOKUP($N170,CODE!$K:$P,CODE!$O$1,FALSE)="",$M170,$M170&amp;"-"&amp;VLOOKUP($N170,CODE!$K:$P,CODE!$O$1,FALSE)))=TRUE,"",IF(VLOOKUP($N170,CODE!$K:$P,CODE!$O$1,FALSE)="",$M170,$M170&amp;"-"&amp;VLOOKUP($N170,CODE!$K:$P,CODE!$O$1,FALSE)))</f>
        <v>PNY-의류</v>
      </c>
      <c r="P170" s="29" t="str">
        <f t="shared" si="37"/>
        <v>성인</v>
      </c>
      <c r="Q170" s="29" t="str">
        <f t="shared" si="38"/>
        <v>PNYTLF4001</v>
      </c>
      <c r="R170" s="1" t="s">
        <v>1403</v>
      </c>
      <c r="S170" s="1" t="s">
        <v>14</v>
      </c>
      <c r="T170" s="26">
        <v>1000</v>
      </c>
      <c r="U170" s="26">
        <v>89000000</v>
      </c>
      <c r="V170" s="26">
        <v>19193000.000000004</v>
      </c>
      <c r="W170" s="26">
        <v>4.2155520715412331</v>
      </c>
      <c r="X170" s="26">
        <v>991</v>
      </c>
      <c r="Y170" s="26">
        <v>0</v>
      </c>
    </row>
    <row r="171" spans="1:25">
      <c r="A171" s="24" t="str">
        <f t="shared" si="30"/>
        <v>신규</v>
      </c>
      <c r="B171" s="24" t="str">
        <f>IF(COUNTIF(R$1:R170,R171)=0,"최초","리오더")</f>
        <v>최초</v>
      </c>
      <c r="C171" s="24" t="str">
        <f t="shared" si="31"/>
        <v>PNYHPF5006</v>
      </c>
      <c r="D171" s="24">
        <f t="shared" si="26"/>
        <v>1</v>
      </c>
      <c r="E171" s="24" t="str">
        <f t="shared" si="32"/>
        <v/>
      </c>
      <c r="F171" s="24">
        <f t="shared" si="27"/>
        <v>0</v>
      </c>
      <c r="G171" s="24" t="str">
        <f t="shared" si="33"/>
        <v>PNYHPF5006BK</v>
      </c>
      <c r="H171" s="24">
        <f t="shared" si="28"/>
        <v>1</v>
      </c>
      <c r="I171" s="24" t="str">
        <f t="shared" si="34"/>
        <v/>
      </c>
      <c r="J171" s="24">
        <f t="shared" si="29"/>
        <v>0</v>
      </c>
      <c r="K171" s="24" t="str">
        <f t="shared" si="35"/>
        <v>F5</v>
      </c>
      <c r="L171" s="24" t="str">
        <f>VLOOKUP(N171,CODE!K:P,CODE!$P$1,FALSE)</f>
        <v>의류</v>
      </c>
      <c r="M171" s="24" t="str">
        <f>VLOOKUP(MID(R171,1,3),CODE!$B:$G,CODE!D$1,FALSE)</f>
        <v>PNY</v>
      </c>
      <c r="N171" s="24" t="str">
        <f t="shared" si="36"/>
        <v>HP</v>
      </c>
      <c r="O171" s="29" t="str">
        <f>IF(ISERROR(IF(VLOOKUP($N171,CODE!$K:$P,CODE!$O$1,FALSE)="",$M171,$M171&amp;"-"&amp;VLOOKUP($N171,CODE!$K:$P,CODE!$O$1,FALSE)))=TRUE,"",IF(VLOOKUP($N171,CODE!$K:$P,CODE!$O$1,FALSE)="",$M171,$M171&amp;"-"&amp;VLOOKUP($N171,CODE!$K:$P,CODE!$O$1,FALSE)))</f>
        <v>PNY-의류</v>
      </c>
      <c r="P171" s="29" t="str">
        <f t="shared" si="37"/>
        <v>성인</v>
      </c>
      <c r="Q171" s="29" t="str">
        <f t="shared" si="38"/>
        <v>PNYHPF5006</v>
      </c>
      <c r="R171" s="1" t="s">
        <v>1404</v>
      </c>
      <c r="S171" s="1" t="s">
        <v>14</v>
      </c>
      <c r="T171" s="26">
        <v>1000</v>
      </c>
      <c r="U171" s="26">
        <v>119000000</v>
      </c>
      <c r="V171" s="26">
        <v>25083500</v>
      </c>
      <c r="W171" s="26">
        <v>4.3128677489910965</v>
      </c>
      <c r="X171" s="26">
        <v>1044</v>
      </c>
      <c r="Y171" s="26">
        <v>0</v>
      </c>
    </row>
    <row r="172" spans="1:25">
      <c r="A172" s="24" t="str">
        <f t="shared" si="30"/>
        <v>신규</v>
      </c>
      <c r="B172" s="24" t="str">
        <f>IF(COUNTIF(R$1:R171,R172)=0,"최초","리오더")</f>
        <v>최초</v>
      </c>
      <c r="C172" s="24" t="str">
        <f t="shared" si="31"/>
        <v>PNYJPF5009</v>
      </c>
      <c r="D172" s="24">
        <f t="shared" si="26"/>
        <v>1</v>
      </c>
      <c r="E172" s="24" t="str">
        <f t="shared" si="32"/>
        <v/>
      </c>
      <c r="F172" s="24">
        <f t="shared" si="27"/>
        <v>0</v>
      </c>
      <c r="G172" s="24" t="str">
        <f t="shared" si="33"/>
        <v>PNYJPF5009BK</v>
      </c>
      <c r="H172" s="24">
        <f t="shared" si="28"/>
        <v>1</v>
      </c>
      <c r="I172" s="24" t="str">
        <f t="shared" si="34"/>
        <v/>
      </c>
      <c r="J172" s="24">
        <f t="shared" si="29"/>
        <v>0</v>
      </c>
      <c r="K172" s="24" t="str">
        <f t="shared" si="35"/>
        <v>F5</v>
      </c>
      <c r="L172" s="24" t="str">
        <f>VLOOKUP(N172,CODE!K:P,CODE!$P$1,FALSE)</f>
        <v>의류</v>
      </c>
      <c r="M172" s="24" t="str">
        <f>VLOOKUP(MID(R172,1,3),CODE!$B:$G,CODE!D$1,FALSE)</f>
        <v>PNY</v>
      </c>
      <c r="N172" s="24" t="str">
        <f t="shared" si="36"/>
        <v>JP</v>
      </c>
      <c r="O172" s="29" t="str">
        <f>IF(ISERROR(IF(VLOOKUP($N172,CODE!$K:$P,CODE!$O$1,FALSE)="",$M172,$M172&amp;"-"&amp;VLOOKUP($N172,CODE!$K:$P,CODE!$O$1,FALSE)))=TRUE,"",IF(VLOOKUP($N172,CODE!$K:$P,CODE!$O$1,FALSE)="",$M172,$M172&amp;"-"&amp;VLOOKUP($N172,CODE!$K:$P,CODE!$O$1,FALSE)))</f>
        <v>PNY-의류</v>
      </c>
      <c r="P172" s="29" t="str">
        <f t="shared" si="37"/>
        <v>성인</v>
      </c>
      <c r="Q172" s="29" t="str">
        <f t="shared" si="38"/>
        <v>PNYJPF5009</v>
      </c>
      <c r="R172" s="1" t="s">
        <v>1405</v>
      </c>
      <c r="S172" s="1" t="s">
        <v>14</v>
      </c>
      <c r="T172" s="26">
        <v>1000</v>
      </c>
      <c r="U172" s="26">
        <v>158000000</v>
      </c>
      <c r="V172" s="26">
        <v>37326500</v>
      </c>
      <c r="W172" s="26">
        <v>3.8481069384047162</v>
      </c>
      <c r="X172" s="26">
        <v>1051</v>
      </c>
      <c r="Y172" s="26">
        <v>0</v>
      </c>
    </row>
    <row r="173" spans="1:25">
      <c r="A173" s="24" t="str">
        <f t="shared" si="30"/>
        <v>신규</v>
      </c>
      <c r="B173" s="24" t="str">
        <f>IF(COUNTIF(R$1:R172,R173)=0,"최초","리오더")</f>
        <v>최초</v>
      </c>
      <c r="C173" s="24" t="str">
        <f t="shared" si="31"/>
        <v>PNYTLF5002</v>
      </c>
      <c r="D173" s="24">
        <f t="shared" si="26"/>
        <v>1</v>
      </c>
      <c r="E173" s="24" t="str">
        <f t="shared" si="32"/>
        <v/>
      </c>
      <c r="F173" s="24">
        <f t="shared" si="27"/>
        <v>0</v>
      </c>
      <c r="G173" s="24" t="str">
        <f t="shared" si="33"/>
        <v>PNYTLF5002BK</v>
      </c>
      <c r="H173" s="24">
        <f t="shared" si="28"/>
        <v>1</v>
      </c>
      <c r="I173" s="24" t="str">
        <f t="shared" si="34"/>
        <v/>
      </c>
      <c r="J173" s="24">
        <f t="shared" si="29"/>
        <v>0</v>
      </c>
      <c r="K173" s="24" t="str">
        <f t="shared" si="35"/>
        <v>F5</v>
      </c>
      <c r="L173" s="24" t="str">
        <f>VLOOKUP(N173,CODE!K:P,CODE!$P$1,FALSE)</f>
        <v>의류</v>
      </c>
      <c r="M173" s="24" t="str">
        <f>VLOOKUP(MID(R173,1,3),CODE!$B:$G,CODE!D$1,FALSE)</f>
        <v>PNY</v>
      </c>
      <c r="N173" s="24" t="str">
        <f t="shared" si="36"/>
        <v>TL</v>
      </c>
      <c r="O173" s="29" t="str">
        <f>IF(ISERROR(IF(VLOOKUP($N173,CODE!$K:$P,CODE!$O$1,FALSE)="",$M173,$M173&amp;"-"&amp;VLOOKUP($N173,CODE!$K:$P,CODE!$O$1,FALSE)))=TRUE,"",IF(VLOOKUP($N173,CODE!$K:$P,CODE!$O$1,FALSE)="",$M173,$M173&amp;"-"&amp;VLOOKUP($N173,CODE!$K:$P,CODE!$O$1,FALSE)))</f>
        <v>PNY-의류</v>
      </c>
      <c r="P173" s="29" t="str">
        <f t="shared" si="37"/>
        <v>성인</v>
      </c>
      <c r="Q173" s="29" t="str">
        <f t="shared" si="38"/>
        <v>PNYTLF5002</v>
      </c>
      <c r="R173" s="1" t="s">
        <v>1406</v>
      </c>
      <c r="S173" s="1" t="s">
        <v>14</v>
      </c>
      <c r="T173" s="26">
        <v>1000</v>
      </c>
      <c r="U173" s="26">
        <v>79000000</v>
      </c>
      <c r="V173" s="26">
        <v>16103345</v>
      </c>
      <c r="W173" s="26">
        <v>4.4598300426515003</v>
      </c>
      <c r="X173" s="26">
        <v>993</v>
      </c>
      <c r="Y173" s="26">
        <v>0</v>
      </c>
    </row>
    <row r="174" spans="1:25">
      <c r="A174" s="24" t="str">
        <f t="shared" si="30"/>
        <v>신규</v>
      </c>
      <c r="B174" s="24" t="str">
        <f>IF(COUNTIF(R$1:R173,R174)=0,"최초","리오더")</f>
        <v>최초</v>
      </c>
      <c r="C174" s="24" t="str">
        <f t="shared" si="31"/>
        <v>PNYTHF5003</v>
      </c>
      <c r="D174" s="24">
        <f t="shared" si="26"/>
        <v>1</v>
      </c>
      <c r="E174" s="24" t="str">
        <f t="shared" si="32"/>
        <v/>
      </c>
      <c r="F174" s="24">
        <f t="shared" si="27"/>
        <v>0</v>
      </c>
      <c r="G174" s="24" t="str">
        <f t="shared" si="33"/>
        <v>PNYTHF5003BK</v>
      </c>
      <c r="H174" s="24">
        <f t="shared" si="28"/>
        <v>1</v>
      </c>
      <c r="I174" s="24" t="str">
        <f t="shared" si="34"/>
        <v/>
      </c>
      <c r="J174" s="24">
        <f t="shared" si="29"/>
        <v>0</v>
      </c>
      <c r="K174" s="24" t="str">
        <f t="shared" si="35"/>
        <v>F5</v>
      </c>
      <c r="L174" s="24" t="str">
        <f>VLOOKUP(N174,CODE!K:P,CODE!$P$1,FALSE)</f>
        <v>의류</v>
      </c>
      <c r="M174" s="24" t="str">
        <f>VLOOKUP(MID(R174,1,3),CODE!$B:$G,CODE!D$1,FALSE)</f>
        <v>PNY</v>
      </c>
      <c r="N174" s="24" t="str">
        <f t="shared" si="36"/>
        <v>TH</v>
      </c>
      <c r="O174" s="29" t="str">
        <f>IF(ISERROR(IF(VLOOKUP($N174,CODE!$K:$P,CODE!$O$1,FALSE)="",$M174,$M174&amp;"-"&amp;VLOOKUP($N174,CODE!$K:$P,CODE!$O$1,FALSE)))=TRUE,"",IF(VLOOKUP($N174,CODE!$K:$P,CODE!$O$1,FALSE)="",$M174,$M174&amp;"-"&amp;VLOOKUP($N174,CODE!$K:$P,CODE!$O$1,FALSE)))</f>
        <v>PNY-의류</v>
      </c>
      <c r="P174" s="29" t="str">
        <f t="shared" si="37"/>
        <v>성인</v>
      </c>
      <c r="Q174" s="29" t="str">
        <f t="shared" si="38"/>
        <v>PNYTHF5003</v>
      </c>
      <c r="R174" s="1" t="s">
        <v>1407</v>
      </c>
      <c r="S174" s="1" t="s">
        <v>14</v>
      </c>
      <c r="T174" s="26">
        <v>1000</v>
      </c>
      <c r="U174" s="26">
        <v>89000000</v>
      </c>
      <c r="V174" s="26">
        <v>18061070</v>
      </c>
      <c r="W174" s="26">
        <v>4.4797506963369784</v>
      </c>
      <c r="X174" s="26">
        <v>956</v>
      </c>
      <c r="Y174" s="26">
        <v>0</v>
      </c>
    </row>
    <row r="175" spans="1:25">
      <c r="A175" s="24" t="str">
        <f t="shared" si="30"/>
        <v>신규</v>
      </c>
      <c r="B175" s="24" t="str">
        <f>IF(COUNTIF(R$1:R174,R175)=0,"최초","리오더")</f>
        <v>최초</v>
      </c>
      <c r="C175" s="24" t="str">
        <f t="shared" si="31"/>
        <v>PNYPTF5004</v>
      </c>
      <c r="D175" s="24">
        <f t="shared" si="26"/>
        <v>0.5</v>
      </c>
      <c r="E175" s="24" t="str">
        <f t="shared" si="32"/>
        <v/>
      </c>
      <c r="F175" s="24">
        <f t="shared" si="27"/>
        <v>0</v>
      </c>
      <c r="G175" s="24" t="str">
        <f t="shared" si="33"/>
        <v>PNYPTF5004BK</v>
      </c>
      <c r="H175" s="24">
        <f t="shared" si="28"/>
        <v>1</v>
      </c>
      <c r="I175" s="24" t="str">
        <f t="shared" si="34"/>
        <v/>
      </c>
      <c r="J175" s="24">
        <f t="shared" si="29"/>
        <v>0</v>
      </c>
      <c r="K175" s="24" t="str">
        <f t="shared" si="35"/>
        <v>F5</v>
      </c>
      <c r="L175" s="24" t="str">
        <f>VLOOKUP(N175,CODE!K:P,CODE!$P$1,FALSE)</f>
        <v>의류</v>
      </c>
      <c r="M175" s="24" t="str">
        <f>VLOOKUP(MID(R175,1,3),CODE!$B:$G,CODE!D$1,FALSE)</f>
        <v>PNY</v>
      </c>
      <c r="N175" s="24" t="str">
        <f t="shared" si="36"/>
        <v>PT</v>
      </c>
      <c r="O175" s="29" t="str">
        <f>IF(ISERROR(IF(VLOOKUP($N175,CODE!$K:$P,CODE!$O$1,FALSE)="",$M175,$M175&amp;"-"&amp;VLOOKUP($N175,CODE!$K:$P,CODE!$O$1,FALSE)))=TRUE,"",IF(VLOOKUP($N175,CODE!$K:$P,CODE!$O$1,FALSE)="",$M175,$M175&amp;"-"&amp;VLOOKUP($N175,CODE!$K:$P,CODE!$O$1,FALSE)))</f>
        <v>PNY-의류</v>
      </c>
      <c r="P175" s="29" t="str">
        <f t="shared" si="37"/>
        <v>성인</v>
      </c>
      <c r="Q175" s="29" t="str">
        <f t="shared" si="38"/>
        <v>PNYPTF5004</v>
      </c>
      <c r="R175" s="1" t="s">
        <v>1408</v>
      </c>
      <c r="S175" s="1" t="s">
        <v>14</v>
      </c>
      <c r="T175" s="26">
        <v>1500</v>
      </c>
      <c r="U175" s="26">
        <v>118500000</v>
      </c>
      <c r="V175" s="26">
        <v>24546562.499999996</v>
      </c>
      <c r="W175" s="26">
        <v>4.3886907882630304</v>
      </c>
      <c r="X175" s="26">
        <v>1500</v>
      </c>
      <c r="Y175" s="26">
        <v>0</v>
      </c>
    </row>
    <row r="176" spans="1:25">
      <c r="A176" s="24" t="str">
        <f t="shared" si="30"/>
        <v>신규</v>
      </c>
      <c r="B176" s="24" t="str">
        <f>IF(COUNTIF(R$1:R175,R176)=0,"최초","리오더")</f>
        <v>최초</v>
      </c>
      <c r="C176" s="24" t="str">
        <f t="shared" si="31"/>
        <v>PNYPTF5004</v>
      </c>
      <c r="D176" s="24">
        <f t="shared" si="26"/>
        <v>0.5</v>
      </c>
      <c r="E176" s="24" t="str">
        <f t="shared" si="32"/>
        <v/>
      </c>
      <c r="F176" s="24">
        <f t="shared" si="27"/>
        <v>0</v>
      </c>
      <c r="G176" s="24" t="str">
        <f t="shared" si="33"/>
        <v>PNYPTF5004GY</v>
      </c>
      <c r="H176" s="24">
        <f t="shared" si="28"/>
        <v>1</v>
      </c>
      <c r="I176" s="24" t="str">
        <f t="shared" si="34"/>
        <v/>
      </c>
      <c r="J176" s="24">
        <f t="shared" si="29"/>
        <v>0</v>
      </c>
      <c r="K176" s="24" t="str">
        <f t="shared" si="35"/>
        <v>F5</v>
      </c>
      <c r="L176" s="24" t="str">
        <f>VLOOKUP(N176,CODE!K:P,CODE!$P$1,FALSE)</f>
        <v>의류</v>
      </c>
      <c r="M176" s="24" t="str">
        <f>VLOOKUP(MID(R176,1,3),CODE!$B:$G,CODE!D$1,FALSE)</f>
        <v>PNY</v>
      </c>
      <c r="N176" s="24" t="str">
        <f t="shared" si="36"/>
        <v>PT</v>
      </c>
      <c r="O176" s="29" t="str">
        <f>IF(ISERROR(IF(VLOOKUP($N176,CODE!$K:$P,CODE!$O$1,FALSE)="",$M176,$M176&amp;"-"&amp;VLOOKUP($N176,CODE!$K:$P,CODE!$O$1,FALSE)))=TRUE,"",IF(VLOOKUP($N176,CODE!$K:$P,CODE!$O$1,FALSE)="",$M176,$M176&amp;"-"&amp;VLOOKUP($N176,CODE!$K:$P,CODE!$O$1,FALSE)))</f>
        <v>PNY-의류</v>
      </c>
      <c r="P176" s="29" t="str">
        <f t="shared" si="37"/>
        <v>성인</v>
      </c>
      <c r="Q176" s="29" t="str">
        <f t="shared" si="38"/>
        <v>PNYPTF5004</v>
      </c>
      <c r="R176" s="1" t="s">
        <v>1409</v>
      </c>
      <c r="S176" s="1" t="s">
        <v>14</v>
      </c>
      <c r="T176" s="26">
        <v>1000</v>
      </c>
      <c r="U176" s="26">
        <v>79000000</v>
      </c>
      <c r="V176" s="26">
        <v>16364374.999999996</v>
      </c>
      <c r="W176" s="26">
        <v>4.3886907882630304</v>
      </c>
      <c r="X176" s="26">
        <v>997</v>
      </c>
      <c r="Y176" s="26">
        <v>0</v>
      </c>
    </row>
    <row r="177" spans="1:25">
      <c r="A177" s="24" t="str">
        <f t="shared" si="30"/>
        <v>신규</v>
      </c>
      <c r="B177" s="24" t="str">
        <f>IF(COUNTIF(R$1:R176,R177)=0,"최초","리오더")</f>
        <v>최초</v>
      </c>
      <c r="C177" s="24" t="str">
        <f t="shared" si="31"/>
        <v>PNYTLF5008</v>
      </c>
      <c r="D177" s="24">
        <f t="shared" si="26"/>
        <v>0.5</v>
      </c>
      <c r="E177" s="24" t="str">
        <f t="shared" si="32"/>
        <v/>
      </c>
      <c r="F177" s="24">
        <f t="shared" si="27"/>
        <v>0</v>
      </c>
      <c r="G177" s="24" t="str">
        <f t="shared" si="33"/>
        <v>PNYTLF5008GY</v>
      </c>
      <c r="H177" s="24">
        <f t="shared" si="28"/>
        <v>1</v>
      </c>
      <c r="I177" s="24" t="str">
        <f t="shared" si="34"/>
        <v/>
      </c>
      <c r="J177" s="24">
        <f t="shared" si="29"/>
        <v>0</v>
      </c>
      <c r="K177" s="24" t="str">
        <f t="shared" si="35"/>
        <v>F5</v>
      </c>
      <c r="L177" s="24" t="str">
        <f>VLOOKUP(N177,CODE!K:P,CODE!$P$1,FALSE)</f>
        <v>의류</v>
      </c>
      <c r="M177" s="24" t="str">
        <f>VLOOKUP(MID(R177,1,3),CODE!$B:$G,CODE!D$1,FALSE)</f>
        <v>PNY</v>
      </c>
      <c r="N177" s="24" t="str">
        <f t="shared" si="36"/>
        <v>TL</v>
      </c>
      <c r="O177" s="29" t="str">
        <f>IF(ISERROR(IF(VLOOKUP($N177,CODE!$K:$P,CODE!$O$1,FALSE)="",$M177,$M177&amp;"-"&amp;VLOOKUP($N177,CODE!$K:$P,CODE!$O$1,FALSE)))=TRUE,"",IF(VLOOKUP($N177,CODE!$K:$P,CODE!$O$1,FALSE)="",$M177,$M177&amp;"-"&amp;VLOOKUP($N177,CODE!$K:$P,CODE!$O$1,FALSE)))</f>
        <v>PNY-의류</v>
      </c>
      <c r="P177" s="29" t="str">
        <f t="shared" si="37"/>
        <v>성인</v>
      </c>
      <c r="Q177" s="29" t="str">
        <f t="shared" si="38"/>
        <v>PNYTLF5008</v>
      </c>
      <c r="R177" s="1" t="s">
        <v>1410</v>
      </c>
      <c r="S177" s="1" t="s">
        <v>14</v>
      </c>
      <c r="T177" s="26">
        <v>1500</v>
      </c>
      <c r="U177" s="26">
        <v>118500000</v>
      </c>
      <c r="V177" s="26">
        <v>23567700</v>
      </c>
      <c r="W177" s="26">
        <v>4.5709709783845138</v>
      </c>
      <c r="X177" s="26">
        <v>1553</v>
      </c>
      <c r="Y177" s="26">
        <v>0</v>
      </c>
    </row>
    <row r="178" spans="1:25">
      <c r="A178" s="24" t="str">
        <f t="shared" si="30"/>
        <v>신규</v>
      </c>
      <c r="B178" s="24" t="str">
        <f>IF(COUNTIF(R$1:R177,R178)=0,"최초","리오더")</f>
        <v>최초</v>
      </c>
      <c r="C178" s="24" t="str">
        <f t="shared" si="31"/>
        <v>PNYTLF5008</v>
      </c>
      <c r="D178" s="24">
        <f t="shared" si="26"/>
        <v>0.5</v>
      </c>
      <c r="E178" s="24" t="str">
        <f t="shared" si="32"/>
        <v/>
      </c>
      <c r="F178" s="24">
        <f t="shared" si="27"/>
        <v>0</v>
      </c>
      <c r="G178" s="24" t="str">
        <f t="shared" si="33"/>
        <v>PNYTLF5008BK</v>
      </c>
      <c r="H178" s="24">
        <f t="shared" si="28"/>
        <v>1</v>
      </c>
      <c r="I178" s="24" t="str">
        <f t="shared" si="34"/>
        <v/>
      </c>
      <c r="J178" s="24">
        <f t="shared" si="29"/>
        <v>0</v>
      </c>
      <c r="K178" s="24" t="str">
        <f t="shared" si="35"/>
        <v>F5</v>
      </c>
      <c r="L178" s="24" t="str">
        <f>VLOOKUP(N178,CODE!K:P,CODE!$P$1,FALSE)</f>
        <v>의류</v>
      </c>
      <c r="M178" s="24" t="str">
        <f>VLOOKUP(MID(R178,1,3),CODE!$B:$G,CODE!D$1,FALSE)</f>
        <v>PNY</v>
      </c>
      <c r="N178" s="24" t="str">
        <f t="shared" si="36"/>
        <v>TL</v>
      </c>
      <c r="O178" s="29" t="str">
        <f>IF(ISERROR(IF(VLOOKUP($N178,CODE!$K:$P,CODE!$O$1,FALSE)="",$M178,$M178&amp;"-"&amp;VLOOKUP($N178,CODE!$K:$P,CODE!$O$1,FALSE)))=TRUE,"",IF(VLOOKUP($N178,CODE!$K:$P,CODE!$O$1,FALSE)="",$M178,$M178&amp;"-"&amp;VLOOKUP($N178,CODE!$K:$P,CODE!$O$1,FALSE)))</f>
        <v>PNY-의류</v>
      </c>
      <c r="P178" s="29" t="str">
        <f t="shared" si="37"/>
        <v>성인</v>
      </c>
      <c r="Q178" s="29" t="str">
        <f t="shared" si="38"/>
        <v>PNYTLF5008</v>
      </c>
      <c r="R178" s="1" t="s">
        <v>1411</v>
      </c>
      <c r="S178" s="1" t="s">
        <v>14</v>
      </c>
      <c r="T178" s="26">
        <v>1500</v>
      </c>
      <c r="U178" s="26">
        <v>118500000</v>
      </c>
      <c r="V178" s="26">
        <v>22588837.5</v>
      </c>
      <c r="W178" s="26">
        <v>4.7690489927723245</v>
      </c>
      <c r="X178" s="26">
        <v>1527</v>
      </c>
      <c r="Y178" s="26">
        <v>0</v>
      </c>
    </row>
    <row r="179" spans="1:25">
      <c r="A179" s="24" t="str">
        <f t="shared" si="30"/>
        <v>신규</v>
      </c>
      <c r="B179" s="24" t="str">
        <f>IF(COUNTIF(R$1:R178,R179)=0,"최초","리오더")</f>
        <v>최초</v>
      </c>
      <c r="C179" s="24" t="str">
        <f t="shared" si="31"/>
        <v>PNYTHF5005</v>
      </c>
      <c r="D179" s="24">
        <f t="shared" si="26"/>
        <v>1</v>
      </c>
      <c r="E179" s="24" t="str">
        <f t="shared" si="32"/>
        <v/>
      </c>
      <c r="F179" s="24">
        <f t="shared" si="27"/>
        <v>0</v>
      </c>
      <c r="G179" s="24" t="str">
        <f t="shared" si="33"/>
        <v>PNYTHF5005BK</v>
      </c>
      <c r="H179" s="24">
        <f t="shared" si="28"/>
        <v>1</v>
      </c>
      <c r="I179" s="24" t="str">
        <f t="shared" si="34"/>
        <v/>
      </c>
      <c r="J179" s="24">
        <f t="shared" si="29"/>
        <v>0</v>
      </c>
      <c r="K179" s="24" t="str">
        <f t="shared" si="35"/>
        <v>F5</v>
      </c>
      <c r="L179" s="24" t="str">
        <f>VLOOKUP(N179,CODE!K:P,CODE!$P$1,FALSE)</f>
        <v>의류</v>
      </c>
      <c r="M179" s="24" t="str">
        <f>VLOOKUP(MID(R179,1,3),CODE!$B:$G,CODE!D$1,FALSE)</f>
        <v>PNY</v>
      </c>
      <c r="N179" s="24" t="str">
        <f t="shared" si="36"/>
        <v>TH</v>
      </c>
      <c r="O179" s="29" t="str">
        <f>IF(ISERROR(IF(VLOOKUP($N179,CODE!$K:$P,CODE!$O$1,FALSE)="",$M179,$M179&amp;"-"&amp;VLOOKUP($N179,CODE!$K:$P,CODE!$O$1,FALSE)))=TRUE,"",IF(VLOOKUP($N179,CODE!$K:$P,CODE!$O$1,FALSE)="",$M179,$M179&amp;"-"&amp;VLOOKUP($N179,CODE!$K:$P,CODE!$O$1,FALSE)))</f>
        <v>PNY-의류</v>
      </c>
      <c r="P179" s="29" t="str">
        <f t="shared" si="37"/>
        <v>성인</v>
      </c>
      <c r="Q179" s="29" t="str">
        <f t="shared" si="38"/>
        <v>PNYTHF5005</v>
      </c>
      <c r="R179" s="1" t="s">
        <v>1412</v>
      </c>
      <c r="S179" s="1" t="s">
        <v>14</v>
      </c>
      <c r="T179" s="26">
        <v>1000</v>
      </c>
      <c r="U179" s="26">
        <v>109000000</v>
      </c>
      <c r="V179" s="26">
        <v>24700000</v>
      </c>
      <c r="W179" s="26">
        <v>4.0117776959882221</v>
      </c>
      <c r="X179" s="26">
        <v>1019</v>
      </c>
      <c r="Y179" s="26">
        <v>0</v>
      </c>
    </row>
    <row r="180" spans="1:25">
      <c r="A180" s="24" t="str">
        <f t="shared" si="30"/>
        <v>신규</v>
      </c>
      <c r="B180" s="24" t="str">
        <f>IF(COUNTIF(R$1:R179,R180)=0,"최초","리오더")</f>
        <v>최초</v>
      </c>
      <c r="C180" s="24" t="str">
        <f t="shared" si="31"/>
        <v>PNYJPF5007</v>
      </c>
      <c r="D180" s="24">
        <f t="shared" si="26"/>
        <v>1</v>
      </c>
      <c r="E180" s="24" t="str">
        <f t="shared" si="32"/>
        <v/>
      </c>
      <c r="F180" s="24">
        <f t="shared" si="27"/>
        <v>0</v>
      </c>
      <c r="G180" s="24" t="str">
        <f t="shared" si="33"/>
        <v>PNYJPF5007BK</v>
      </c>
      <c r="H180" s="24">
        <f t="shared" si="28"/>
        <v>1</v>
      </c>
      <c r="I180" s="24" t="str">
        <f t="shared" si="34"/>
        <v/>
      </c>
      <c r="J180" s="24">
        <f t="shared" si="29"/>
        <v>0</v>
      </c>
      <c r="K180" s="24" t="str">
        <f t="shared" si="35"/>
        <v>F5</v>
      </c>
      <c r="L180" s="24" t="str">
        <f>VLOOKUP(N180,CODE!K:P,CODE!$P$1,FALSE)</f>
        <v>의류</v>
      </c>
      <c r="M180" s="24" t="str">
        <f>VLOOKUP(MID(R180,1,3),CODE!$B:$G,CODE!D$1,FALSE)</f>
        <v>PNY</v>
      </c>
      <c r="N180" s="24" t="str">
        <f t="shared" si="36"/>
        <v>JP</v>
      </c>
      <c r="O180" s="29" t="str">
        <f>IF(ISERROR(IF(VLOOKUP($N180,CODE!$K:$P,CODE!$O$1,FALSE)="",$M180,$M180&amp;"-"&amp;VLOOKUP($N180,CODE!$K:$P,CODE!$O$1,FALSE)))=TRUE,"",IF(VLOOKUP($N180,CODE!$K:$P,CODE!$O$1,FALSE)="",$M180,$M180&amp;"-"&amp;VLOOKUP($N180,CODE!$K:$P,CODE!$O$1,FALSE)))</f>
        <v>PNY-의류</v>
      </c>
      <c r="P180" s="29" t="str">
        <f t="shared" si="37"/>
        <v>성인</v>
      </c>
      <c r="Q180" s="29" t="str">
        <f t="shared" si="38"/>
        <v>PNYJPF5007</v>
      </c>
      <c r="R180" s="1" t="s">
        <v>1413</v>
      </c>
      <c r="S180" s="1" t="s">
        <v>14</v>
      </c>
      <c r="T180" s="26">
        <v>600</v>
      </c>
      <c r="U180" s="26">
        <v>178800000</v>
      </c>
      <c r="V180" s="26">
        <v>43212000</v>
      </c>
      <c r="W180" s="26">
        <v>3.7615813789098982</v>
      </c>
      <c r="X180" s="26">
        <v>598</v>
      </c>
      <c r="Y180" s="26">
        <v>0</v>
      </c>
    </row>
    <row r="181" spans="1:25">
      <c r="A181" s="24" t="str">
        <f t="shared" si="30"/>
        <v>신규</v>
      </c>
      <c r="B181" s="24" t="str">
        <f>IF(COUNTIF(R$1:R180,R181)=0,"최초","리오더")</f>
        <v>최초</v>
      </c>
      <c r="C181" s="24" t="str">
        <f t="shared" si="31"/>
        <v>ELSTLF4004</v>
      </c>
      <c r="D181" s="24">
        <f t="shared" si="26"/>
        <v>1</v>
      </c>
      <c r="E181" s="24" t="str">
        <f t="shared" si="32"/>
        <v/>
      </c>
      <c r="F181" s="24">
        <f t="shared" si="27"/>
        <v>0</v>
      </c>
      <c r="G181" s="24" t="str">
        <f t="shared" si="33"/>
        <v>ELSTLF4004BK</v>
      </c>
      <c r="H181" s="24">
        <f t="shared" si="28"/>
        <v>1</v>
      </c>
      <c r="I181" s="24" t="str">
        <f t="shared" si="34"/>
        <v/>
      </c>
      <c r="J181" s="24">
        <f t="shared" si="29"/>
        <v>0</v>
      </c>
      <c r="K181" s="24" t="str">
        <f t="shared" si="35"/>
        <v>F4</v>
      </c>
      <c r="L181" s="24" t="str">
        <f>VLOOKUP(N181,CODE!K:P,CODE!$P$1,FALSE)</f>
        <v>의류</v>
      </c>
      <c r="M181" s="24" t="str">
        <f>VLOOKUP(MID(R181,1,3),CODE!$B:$G,CODE!D$1,FALSE)</f>
        <v>ELS</v>
      </c>
      <c r="N181" s="24" t="str">
        <f t="shared" si="36"/>
        <v>TL</v>
      </c>
      <c r="O181" s="29" t="str">
        <f>IF(ISERROR(IF(VLOOKUP($N181,CODE!$K:$P,CODE!$O$1,FALSE)="",$M181,$M181&amp;"-"&amp;VLOOKUP($N181,CODE!$K:$P,CODE!$O$1,FALSE)))=TRUE,"",IF(VLOOKUP($N181,CODE!$K:$P,CODE!$O$1,FALSE)="",$M181,$M181&amp;"-"&amp;VLOOKUP($N181,CODE!$K:$P,CODE!$O$1,FALSE)))</f>
        <v>ELS-의류</v>
      </c>
      <c r="P181" s="29" t="str">
        <f t="shared" si="37"/>
        <v>성인</v>
      </c>
      <c r="Q181" s="29" t="str">
        <f t="shared" si="38"/>
        <v>ELSTLF4004</v>
      </c>
      <c r="R181" s="1" t="s">
        <v>981</v>
      </c>
      <c r="S181" s="1" t="s">
        <v>14</v>
      </c>
      <c r="T181" s="26">
        <v>1000</v>
      </c>
      <c r="U181" s="26">
        <v>75000000</v>
      </c>
      <c r="V181" s="26">
        <v>15059225</v>
      </c>
      <c r="W181" s="26">
        <v>4.5275781576952445</v>
      </c>
      <c r="X181" s="26">
        <v>830</v>
      </c>
      <c r="Y181" s="26">
        <v>0</v>
      </c>
    </row>
    <row r="182" spans="1:25">
      <c r="A182" s="24" t="str">
        <f t="shared" si="30"/>
        <v>신규</v>
      </c>
      <c r="B182" s="24" t="str">
        <f>IF(COUNTIF(R$1:R181,R182)=0,"최초","리오더")</f>
        <v>최초</v>
      </c>
      <c r="C182" s="24" t="str">
        <f t="shared" si="31"/>
        <v>ELSPTF4005</v>
      </c>
      <c r="D182" s="24">
        <f t="shared" si="26"/>
        <v>1</v>
      </c>
      <c r="E182" s="24" t="str">
        <f t="shared" si="32"/>
        <v/>
      </c>
      <c r="F182" s="24">
        <f t="shared" si="27"/>
        <v>0</v>
      </c>
      <c r="G182" s="24" t="str">
        <f t="shared" si="33"/>
        <v>ELSPTF4005BK</v>
      </c>
      <c r="H182" s="24">
        <f t="shared" si="28"/>
        <v>1</v>
      </c>
      <c r="I182" s="24" t="str">
        <f t="shared" si="34"/>
        <v/>
      </c>
      <c r="J182" s="24">
        <f t="shared" si="29"/>
        <v>0</v>
      </c>
      <c r="K182" s="24" t="str">
        <f t="shared" si="35"/>
        <v>F4</v>
      </c>
      <c r="L182" s="24" t="str">
        <f>VLOOKUP(N182,CODE!K:P,CODE!$P$1,FALSE)</f>
        <v>의류</v>
      </c>
      <c r="M182" s="24" t="str">
        <f>VLOOKUP(MID(R182,1,3),CODE!$B:$G,CODE!D$1,FALSE)</f>
        <v>ELS</v>
      </c>
      <c r="N182" s="24" t="str">
        <f t="shared" si="36"/>
        <v>PT</v>
      </c>
      <c r="O182" s="29" t="str">
        <f>IF(ISERROR(IF(VLOOKUP($N182,CODE!$K:$P,CODE!$O$1,FALSE)="",$M182,$M182&amp;"-"&amp;VLOOKUP($N182,CODE!$K:$P,CODE!$O$1,FALSE)))=TRUE,"",IF(VLOOKUP($N182,CODE!$K:$P,CODE!$O$1,FALSE)="",$M182,$M182&amp;"-"&amp;VLOOKUP($N182,CODE!$K:$P,CODE!$O$1,FALSE)))</f>
        <v>ELS-의류</v>
      </c>
      <c r="P182" s="29" t="str">
        <f t="shared" si="37"/>
        <v>성인</v>
      </c>
      <c r="Q182" s="29" t="str">
        <f t="shared" si="38"/>
        <v>ELSPTF4005</v>
      </c>
      <c r="R182" s="1" t="s">
        <v>1414</v>
      </c>
      <c r="S182" s="1" t="s">
        <v>14</v>
      </c>
      <c r="T182" s="26">
        <v>1500</v>
      </c>
      <c r="U182" s="26">
        <v>112500000</v>
      </c>
      <c r="V182" s="26">
        <v>23567700</v>
      </c>
      <c r="W182" s="26">
        <v>4.3395294098587156</v>
      </c>
      <c r="X182" s="26">
        <v>1388</v>
      </c>
      <c r="Y182" s="26">
        <v>0</v>
      </c>
    </row>
    <row r="183" spans="1:25">
      <c r="A183" s="24" t="str">
        <f t="shared" si="30"/>
        <v>신규</v>
      </c>
      <c r="B183" s="24" t="str">
        <f>IF(COUNTIF(R$1:R182,R183)=0,"최초","리오더")</f>
        <v>최초</v>
      </c>
      <c r="C183" s="24" t="str">
        <f t="shared" si="31"/>
        <v>ELSTLF4506</v>
      </c>
      <c r="D183" s="24">
        <f t="shared" si="26"/>
        <v>0.5</v>
      </c>
      <c r="E183" s="24" t="str">
        <f t="shared" si="32"/>
        <v/>
      </c>
      <c r="F183" s="24">
        <f t="shared" si="27"/>
        <v>0</v>
      </c>
      <c r="G183" s="24" t="str">
        <f t="shared" si="33"/>
        <v>ELSTLF4506BL</v>
      </c>
      <c r="H183" s="24">
        <f t="shared" si="28"/>
        <v>1</v>
      </c>
      <c r="I183" s="24" t="str">
        <f t="shared" si="34"/>
        <v/>
      </c>
      <c r="J183" s="24">
        <f t="shared" si="29"/>
        <v>0</v>
      </c>
      <c r="K183" s="24" t="str">
        <f t="shared" si="35"/>
        <v>F4</v>
      </c>
      <c r="L183" s="24" t="str">
        <f>VLOOKUP(N183,CODE!K:P,CODE!$P$1,FALSE)</f>
        <v>의류</v>
      </c>
      <c r="M183" s="24" t="str">
        <f>VLOOKUP(MID(R183,1,3),CODE!$B:$G,CODE!D$1,FALSE)</f>
        <v>ELS</v>
      </c>
      <c r="N183" s="24" t="str">
        <f t="shared" si="36"/>
        <v>TL</v>
      </c>
      <c r="O183" s="29" t="str">
        <f>IF(ISERROR(IF(VLOOKUP($N183,CODE!$K:$P,CODE!$O$1,FALSE)="",$M183,$M183&amp;"-"&amp;VLOOKUP($N183,CODE!$K:$P,CODE!$O$1,FALSE)))=TRUE,"",IF(VLOOKUP($N183,CODE!$K:$P,CODE!$O$1,FALSE)="",$M183,$M183&amp;"-"&amp;VLOOKUP($N183,CODE!$K:$P,CODE!$O$1,FALSE)))</f>
        <v>ELS-의류</v>
      </c>
      <c r="P183" s="29" t="str">
        <f t="shared" si="37"/>
        <v>키즈</v>
      </c>
      <c r="Q183" s="29" t="str">
        <f t="shared" si="38"/>
        <v>ELSTLF4506</v>
      </c>
      <c r="R183" s="1" t="s">
        <v>982</v>
      </c>
      <c r="S183" s="1" t="s">
        <v>14</v>
      </c>
      <c r="T183" s="26">
        <v>1200</v>
      </c>
      <c r="U183" s="26">
        <v>78000000</v>
      </c>
      <c r="V183" s="26">
        <v>15721799.999999998</v>
      </c>
      <c r="W183" s="26">
        <v>4.510239979461061</v>
      </c>
      <c r="X183" s="26">
        <v>1254</v>
      </c>
      <c r="Y183" s="26">
        <v>0</v>
      </c>
    </row>
    <row r="184" spans="1:25">
      <c r="A184" s="24" t="str">
        <f t="shared" si="30"/>
        <v>신규</v>
      </c>
      <c r="B184" s="24" t="str">
        <f>IF(COUNTIF(R$1:R183,R184)=0,"최초","리오더")</f>
        <v>최초</v>
      </c>
      <c r="C184" s="24" t="str">
        <f t="shared" si="31"/>
        <v>ELSTLF4506</v>
      </c>
      <c r="D184" s="24">
        <f t="shared" si="26"/>
        <v>0.5</v>
      </c>
      <c r="E184" s="24" t="str">
        <f t="shared" si="32"/>
        <v/>
      </c>
      <c r="F184" s="24">
        <f t="shared" si="27"/>
        <v>0</v>
      </c>
      <c r="G184" s="24" t="str">
        <f t="shared" si="33"/>
        <v>ELSTLF4506YE</v>
      </c>
      <c r="H184" s="24">
        <f t="shared" si="28"/>
        <v>1</v>
      </c>
      <c r="I184" s="24" t="str">
        <f t="shared" si="34"/>
        <v/>
      </c>
      <c r="J184" s="24">
        <f t="shared" si="29"/>
        <v>0</v>
      </c>
      <c r="K184" s="24" t="str">
        <f t="shared" si="35"/>
        <v>F4</v>
      </c>
      <c r="L184" s="24" t="str">
        <f>VLOOKUP(N184,CODE!K:P,CODE!$P$1,FALSE)</f>
        <v>의류</v>
      </c>
      <c r="M184" s="24" t="str">
        <f>VLOOKUP(MID(R184,1,3),CODE!$B:$G,CODE!D$1,FALSE)</f>
        <v>ELS</v>
      </c>
      <c r="N184" s="24" t="str">
        <f t="shared" si="36"/>
        <v>TL</v>
      </c>
      <c r="O184" s="29" t="str">
        <f>IF(ISERROR(IF(VLOOKUP($N184,CODE!$K:$P,CODE!$O$1,FALSE)="",$M184,$M184&amp;"-"&amp;VLOOKUP($N184,CODE!$K:$P,CODE!$O$1,FALSE)))=TRUE,"",IF(VLOOKUP($N184,CODE!$K:$P,CODE!$O$1,FALSE)="",$M184,$M184&amp;"-"&amp;VLOOKUP($N184,CODE!$K:$P,CODE!$O$1,FALSE)))</f>
        <v>ELS-의류</v>
      </c>
      <c r="P184" s="29" t="str">
        <f t="shared" si="37"/>
        <v>키즈</v>
      </c>
      <c r="Q184" s="29" t="str">
        <f t="shared" si="38"/>
        <v>ELSTLF4506</v>
      </c>
      <c r="R184" s="1" t="s">
        <v>983</v>
      </c>
      <c r="S184" s="1" t="s">
        <v>14</v>
      </c>
      <c r="T184" s="26">
        <v>1200</v>
      </c>
      <c r="U184" s="26">
        <v>78000000</v>
      </c>
      <c r="V184" s="26">
        <v>15721799.999999998</v>
      </c>
      <c r="W184" s="26">
        <v>4.510239979461061</v>
      </c>
      <c r="X184" s="26">
        <v>952</v>
      </c>
      <c r="Y184" s="26">
        <v>0</v>
      </c>
    </row>
    <row r="185" spans="1:25">
      <c r="A185" s="24" t="str">
        <f t="shared" si="30"/>
        <v>신규</v>
      </c>
      <c r="B185" s="24" t="str">
        <f>IF(COUNTIF(R$1:R184,R185)=0,"최초","리오더")</f>
        <v>최초</v>
      </c>
      <c r="C185" s="24" t="str">
        <f t="shared" si="31"/>
        <v>ELSPTF4507</v>
      </c>
      <c r="D185" s="24">
        <f t="shared" si="26"/>
        <v>0.5</v>
      </c>
      <c r="E185" s="24" t="str">
        <f t="shared" si="32"/>
        <v/>
      </c>
      <c r="F185" s="24">
        <f t="shared" si="27"/>
        <v>0</v>
      </c>
      <c r="G185" s="24" t="str">
        <f t="shared" si="33"/>
        <v>ELSPTF4507RE</v>
      </c>
      <c r="H185" s="24">
        <f t="shared" si="28"/>
        <v>1</v>
      </c>
      <c r="I185" s="24" t="str">
        <f t="shared" si="34"/>
        <v/>
      </c>
      <c r="J185" s="24">
        <f t="shared" si="29"/>
        <v>0</v>
      </c>
      <c r="K185" s="24" t="str">
        <f t="shared" si="35"/>
        <v>F4</v>
      </c>
      <c r="L185" s="24" t="str">
        <f>VLOOKUP(N185,CODE!K:P,CODE!$P$1,FALSE)</f>
        <v>의류</v>
      </c>
      <c r="M185" s="24" t="str">
        <f>VLOOKUP(MID(R185,1,3),CODE!$B:$G,CODE!D$1,FALSE)</f>
        <v>ELS</v>
      </c>
      <c r="N185" s="24" t="str">
        <f t="shared" si="36"/>
        <v>PT</v>
      </c>
      <c r="O185" s="29" t="str">
        <f>IF(ISERROR(IF(VLOOKUP($N185,CODE!$K:$P,CODE!$O$1,FALSE)="",$M185,$M185&amp;"-"&amp;VLOOKUP($N185,CODE!$K:$P,CODE!$O$1,FALSE)))=TRUE,"",IF(VLOOKUP($N185,CODE!$K:$P,CODE!$O$1,FALSE)="",$M185,$M185&amp;"-"&amp;VLOOKUP($N185,CODE!$K:$P,CODE!$O$1,FALSE)))</f>
        <v>ELS-의류</v>
      </c>
      <c r="P185" s="29" t="str">
        <f t="shared" si="37"/>
        <v>키즈</v>
      </c>
      <c r="Q185" s="29" t="str">
        <f t="shared" si="38"/>
        <v>ELSPTF4507</v>
      </c>
      <c r="R185" s="1" t="s">
        <v>1415</v>
      </c>
      <c r="S185" s="1" t="s">
        <v>14</v>
      </c>
      <c r="T185" s="26">
        <v>1000</v>
      </c>
      <c r="U185" s="26">
        <v>65000000</v>
      </c>
      <c r="V185" s="26">
        <v>13754075</v>
      </c>
      <c r="W185" s="26">
        <v>4.2962474096519818</v>
      </c>
      <c r="X185" s="26">
        <v>963</v>
      </c>
      <c r="Y185" s="26">
        <v>0</v>
      </c>
    </row>
    <row r="186" spans="1:25">
      <c r="A186" s="24" t="str">
        <f t="shared" si="30"/>
        <v>신규</v>
      </c>
      <c r="B186" s="24" t="str">
        <f>IF(COUNTIF(R$1:R185,R186)=0,"최초","리오더")</f>
        <v>최초</v>
      </c>
      <c r="C186" s="24" t="str">
        <f t="shared" si="31"/>
        <v>ELSPTF4507</v>
      </c>
      <c r="D186" s="24">
        <f t="shared" si="26"/>
        <v>0.5</v>
      </c>
      <c r="E186" s="24" t="str">
        <f t="shared" si="32"/>
        <v/>
      </c>
      <c r="F186" s="24">
        <f t="shared" si="27"/>
        <v>0</v>
      </c>
      <c r="G186" s="24" t="str">
        <f t="shared" si="33"/>
        <v>ELSPTF4507YE</v>
      </c>
      <c r="H186" s="24">
        <f t="shared" si="28"/>
        <v>1</v>
      </c>
      <c r="I186" s="24" t="str">
        <f t="shared" si="34"/>
        <v/>
      </c>
      <c r="J186" s="24">
        <f t="shared" si="29"/>
        <v>0</v>
      </c>
      <c r="K186" s="24" t="str">
        <f t="shared" si="35"/>
        <v>F4</v>
      </c>
      <c r="L186" s="24" t="str">
        <f>VLOOKUP(N186,CODE!K:P,CODE!$P$1,FALSE)</f>
        <v>의류</v>
      </c>
      <c r="M186" s="24" t="str">
        <f>VLOOKUP(MID(R186,1,3),CODE!$B:$G,CODE!D$1,FALSE)</f>
        <v>ELS</v>
      </c>
      <c r="N186" s="24" t="str">
        <f t="shared" si="36"/>
        <v>PT</v>
      </c>
      <c r="O186" s="29" t="str">
        <f>IF(ISERROR(IF(VLOOKUP($N186,CODE!$K:$P,CODE!$O$1,FALSE)="",$M186,$M186&amp;"-"&amp;VLOOKUP($N186,CODE!$K:$P,CODE!$O$1,FALSE)))=TRUE,"",IF(VLOOKUP($N186,CODE!$K:$P,CODE!$O$1,FALSE)="",$M186,$M186&amp;"-"&amp;VLOOKUP($N186,CODE!$K:$P,CODE!$O$1,FALSE)))</f>
        <v>ELS-의류</v>
      </c>
      <c r="P186" s="29" t="str">
        <f t="shared" si="37"/>
        <v>키즈</v>
      </c>
      <c r="Q186" s="29" t="str">
        <f t="shared" si="38"/>
        <v>ELSPTF4507</v>
      </c>
      <c r="R186" s="1" t="s">
        <v>1416</v>
      </c>
      <c r="S186" s="1" t="s">
        <v>14</v>
      </c>
      <c r="T186" s="26">
        <v>1000</v>
      </c>
      <c r="U186" s="26">
        <v>65000000</v>
      </c>
      <c r="V186" s="26">
        <v>13754075</v>
      </c>
      <c r="W186" s="26">
        <v>4.2962474096519818</v>
      </c>
      <c r="X186" s="26">
        <v>1011</v>
      </c>
      <c r="Y186" s="26">
        <v>0</v>
      </c>
    </row>
    <row r="187" spans="1:25">
      <c r="A187" s="24" t="str">
        <f t="shared" si="30"/>
        <v>신규</v>
      </c>
      <c r="B187" s="24" t="str">
        <f>IF(COUNTIF(R$1:R186,R187)=0,"최초","리오더")</f>
        <v>최초</v>
      </c>
      <c r="C187" s="24" t="str">
        <f t="shared" si="31"/>
        <v>ELSTHF4008</v>
      </c>
      <c r="D187" s="24">
        <f t="shared" si="26"/>
        <v>1</v>
      </c>
      <c r="E187" s="24" t="str">
        <f t="shared" si="32"/>
        <v/>
      </c>
      <c r="F187" s="24">
        <f t="shared" si="27"/>
        <v>0</v>
      </c>
      <c r="G187" s="24" t="str">
        <f t="shared" si="33"/>
        <v>ELSTHF4008BK</v>
      </c>
      <c r="H187" s="24">
        <f t="shared" si="28"/>
        <v>1</v>
      </c>
      <c r="I187" s="24" t="str">
        <f t="shared" si="34"/>
        <v/>
      </c>
      <c r="J187" s="24">
        <f t="shared" si="29"/>
        <v>0</v>
      </c>
      <c r="K187" s="24" t="str">
        <f t="shared" si="35"/>
        <v>F4</v>
      </c>
      <c r="L187" s="24" t="str">
        <f>VLOOKUP(N187,CODE!K:P,CODE!$P$1,FALSE)</f>
        <v>의류</v>
      </c>
      <c r="M187" s="24" t="str">
        <f>VLOOKUP(MID(R187,1,3),CODE!$B:$G,CODE!D$1,FALSE)</f>
        <v>ELS</v>
      </c>
      <c r="N187" s="24" t="str">
        <f t="shared" si="36"/>
        <v>TH</v>
      </c>
      <c r="O187" s="29" t="str">
        <f>IF(ISERROR(IF(VLOOKUP($N187,CODE!$K:$P,CODE!$O$1,FALSE)="",$M187,$M187&amp;"-"&amp;VLOOKUP($N187,CODE!$K:$P,CODE!$O$1,FALSE)))=TRUE,"",IF(VLOOKUP($N187,CODE!$K:$P,CODE!$O$1,FALSE)="",$M187,$M187&amp;"-"&amp;VLOOKUP($N187,CODE!$K:$P,CODE!$O$1,FALSE)))</f>
        <v>ELS-의류</v>
      </c>
      <c r="P187" s="29" t="str">
        <f t="shared" si="37"/>
        <v>성인</v>
      </c>
      <c r="Q187" s="29" t="str">
        <f t="shared" si="38"/>
        <v>ELSTHF4008</v>
      </c>
      <c r="R187" s="1" t="s">
        <v>984</v>
      </c>
      <c r="S187" s="1" t="s">
        <v>14</v>
      </c>
      <c r="T187" s="26">
        <v>1000</v>
      </c>
      <c r="U187" s="26">
        <v>89000000</v>
      </c>
      <c r="V187" s="26">
        <v>19655000</v>
      </c>
      <c r="W187" s="26">
        <v>4.1164635415462181</v>
      </c>
      <c r="X187" s="26">
        <v>1048</v>
      </c>
      <c r="Y187" s="26">
        <v>0</v>
      </c>
    </row>
    <row r="188" spans="1:25">
      <c r="A188" s="24" t="str">
        <f t="shared" si="30"/>
        <v>신규</v>
      </c>
      <c r="B188" s="24" t="str">
        <f>IF(COUNTIF(R$1:R187,R188)=0,"최초","리오더")</f>
        <v>최초</v>
      </c>
      <c r="C188" s="24" t="str">
        <f t="shared" si="31"/>
        <v>NOVERF5004</v>
      </c>
      <c r="D188" s="24">
        <f t="shared" si="26"/>
        <v>0.5</v>
      </c>
      <c r="E188" s="24" t="str">
        <f t="shared" si="32"/>
        <v/>
      </c>
      <c r="F188" s="24">
        <f t="shared" si="27"/>
        <v>0</v>
      </c>
      <c r="G188" s="24" t="str">
        <f t="shared" si="33"/>
        <v>NOVERF5004BK</v>
      </c>
      <c r="H188" s="24">
        <f t="shared" si="28"/>
        <v>1</v>
      </c>
      <c r="I188" s="24" t="str">
        <f t="shared" si="34"/>
        <v/>
      </c>
      <c r="J188" s="24">
        <f t="shared" si="29"/>
        <v>0</v>
      </c>
      <c r="K188" s="24" t="str">
        <f t="shared" si="35"/>
        <v>F5</v>
      </c>
      <c r="L188" s="24" t="str">
        <f>VLOOKUP(N188,CODE!K:P,CODE!$P$1,FALSE)</f>
        <v>모자</v>
      </c>
      <c r="M188" s="24" t="str">
        <f>VLOOKUP(MID(R188,1,3),CODE!$B:$G,CODE!D$1,FALSE)</f>
        <v>NOV</v>
      </c>
      <c r="N188" s="24" t="str">
        <f t="shared" si="36"/>
        <v>ER</v>
      </c>
      <c r="O188" s="29" t="str">
        <f>IF(ISERROR(IF(VLOOKUP($N188,CODE!$K:$P,CODE!$O$1,FALSE)="",$M188,$M188&amp;"-"&amp;VLOOKUP($N188,CODE!$K:$P,CODE!$O$1,FALSE)))=TRUE,"",IF(VLOOKUP($N188,CODE!$K:$P,CODE!$O$1,FALSE)="",$M188,$M188&amp;"-"&amp;VLOOKUP($N188,CODE!$K:$P,CODE!$O$1,FALSE)))</f>
        <v>NOV</v>
      </c>
      <c r="P188" s="29" t="str">
        <f t="shared" si="37"/>
        <v>성인</v>
      </c>
      <c r="Q188" s="29" t="str">
        <f t="shared" si="38"/>
        <v>NOVERF5004</v>
      </c>
      <c r="R188" s="1" t="s">
        <v>985</v>
      </c>
      <c r="S188" s="1" t="s">
        <v>14</v>
      </c>
      <c r="T188" s="26">
        <v>1000</v>
      </c>
      <c r="U188" s="26">
        <v>69000000</v>
      </c>
      <c r="V188" s="26">
        <v>13052520</v>
      </c>
      <c r="W188" s="26">
        <v>4.8057595565662963</v>
      </c>
      <c r="X188" s="26">
        <v>999</v>
      </c>
      <c r="Y188" s="26">
        <v>0</v>
      </c>
    </row>
    <row r="189" spans="1:25">
      <c r="A189" s="24" t="str">
        <f t="shared" si="30"/>
        <v>신규</v>
      </c>
      <c r="B189" s="24" t="str">
        <f>IF(COUNTIF(R$1:R188,R189)=0,"최초","리오더")</f>
        <v>최초</v>
      </c>
      <c r="C189" s="24" t="str">
        <f t="shared" si="31"/>
        <v>NOVERF5004</v>
      </c>
      <c r="D189" s="24">
        <f t="shared" si="26"/>
        <v>0.5</v>
      </c>
      <c r="E189" s="24" t="str">
        <f t="shared" si="32"/>
        <v/>
      </c>
      <c r="F189" s="24">
        <f t="shared" si="27"/>
        <v>0</v>
      </c>
      <c r="G189" s="24" t="str">
        <f t="shared" si="33"/>
        <v>NOVERF5004RE</v>
      </c>
      <c r="H189" s="24">
        <f t="shared" si="28"/>
        <v>1</v>
      </c>
      <c r="I189" s="24" t="str">
        <f t="shared" si="34"/>
        <v/>
      </c>
      <c r="J189" s="24">
        <f t="shared" si="29"/>
        <v>0</v>
      </c>
      <c r="K189" s="24" t="str">
        <f t="shared" si="35"/>
        <v>F5</v>
      </c>
      <c r="L189" s="24" t="str">
        <f>VLOOKUP(N189,CODE!K:P,CODE!$P$1,FALSE)</f>
        <v>모자</v>
      </c>
      <c r="M189" s="24" t="str">
        <f>VLOOKUP(MID(R189,1,3),CODE!$B:$G,CODE!D$1,FALSE)</f>
        <v>NOV</v>
      </c>
      <c r="N189" s="24" t="str">
        <f t="shared" si="36"/>
        <v>ER</v>
      </c>
      <c r="O189" s="29" t="str">
        <f>IF(ISERROR(IF(VLOOKUP($N189,CODE!$K:$P,CODE!$O$1,FALSE)="",$M189,$M189&amp;"-"&amp;VLOOKUP($N189,CODE!$K:$P,CODE!$O$1,FALSE)))=TRUE,"",IF(VLOOKUP($N189,CODE!$K:$P,CODE!$O$1,FALSE)="",$M189,$M189&amp;"-"&amp;VLOOKUP($N189,CODE!$K:$P,CODE!$O$1,FALSE)))</f>
        <v>NOV</v>
      </c>
      <c r="P189" s="29" t="str">
        <f t="shared" si="37"/>
        <v>성인</v>
      </c>
      <c r="Q189" s="29" t="str">
        <f t="shared" si="38"/>
        <v>NOVERF5004</v>
      </c>
      <c r="R189" s="1" t="s">
        <v>986</v>
      </c>
      <c r="S189" s="1" t="s">
        <v>14</v>
      </c>
      <c r="T189" s="26">
        <v>1000</v>
      </c>
      <c r="U189" s="26">
        <v>69000000</v>
      </c>
      <c r="V189" s="26">
        <v>13052520</v>
      </c>
      <c r="W189" s="26">
        <v>4.8057595565662963</v>
      </c>
      <c r="X189" s="26">
        <v>1000</v>
      </c>
      <c r="Y189" s="26">
        <v>0</v>
      </c>
    </row>
    <row r="190" spans="1:25">
      <c r="A190" s="24" t="str">
        <f t="shared" si="30"/>
        <v>신규</v>
      </c>
      <c r="B190" s="24" t="str">
        <f>IF(COUNTIF(R$1:R189,R190)=0,"최초","리오더")</f>
        <v>최초</v>
      </c>
      <c r="C190" s="24" t="str">
        <f t="shared" si="31"/>
        <v>NOVERF5005</v>
      </c>
      <c r="D190" s="24">
        <f t="shared" si="26"/>
        <v>1</v>
      </c>
      <c r="E190" s="24" t="str">
        <f t="shared" si="32"/>
        <v/>
      </c>
      <c r="F190" s="24">
        <f t="shared" si="27"/>
        <v>0</v>
      </c>
      <c r="G190" s="24" t="str">
        <f t="shared" si="33"/>
        <v>NOVERF5005BK</v>
      </c>
      <c r="H190" s="24">
        <f t="shared" si="28"/>
        <v>1</v>
      </c>
      <c r="I190" s="24" t="str">
        <f t="shared" si="34"/>
        <v/>
      </c>
      <c r="J190" s="24">
        <f t="shared" si="29"/>
        <v>0</v>
      </c>
      <c r="K190" s="24" t="str">
        <f t="shared" si="35"/>
        <v>F5</v>
      </c>
      <c r="L190" s="24" t="str">
        <f>VLOOKUP(N190,CODE!K:P,CODE!$P$1,FALSE)</f>
        <v>모자</v>
      </c>
      <c r="M190" s="24" t="str">
        <f>VLOOKUP(MID(R190,1,3),CODE!$B:$G,CODE!D$1,FALSE)</f>
        <v>NOV</v>
      </c>
      <c r="N190" s="24" t="str">
        <f t="shared" si="36"/>
        <v>ER</v>
      </c>
      <c r="O190" s="29" t="str">
        <f>IF(ISERROR(IF(VLOOKUP($N190,CODE!$K:$P,CODE!$O$1,FALSE)="",$M190,$M190&amp;"-"&amp;VLOOKUP($N190,CODE!$K:$P,CODE!$O$1,FALSE)))=TRUE,"",IF(VLOOKUP($N190,CODE!$K:$P,CODE!$O$1,FALSE)="",$M190,$M190&amp;"-"&amp;VLOOKUP($N190,CODE!$K:$P,CODE!$O$1,FALSE)))</f>
        <v>NOV</v>
      </c>
      <c r="P190" s="29" t="str">
        <f t="shared" si="37"/>
        <v>성인</v>
      </c>
      <c r="Q190" s="29" t="str">
        <f t="shared" si="38"/>
        <v>NOVERF5005</v>
      </c>
      <c r="R190" s="1" t="s">
        <v>987</v>
      </c>
      <c r="S190" s="1" t="s">
        <v>14</v>
      </c>
      <c r="T190" s="26">
        <v>800</v>
      </c>
      <c r="U190" s="26">
        <v>55200000</v>
      </c>
      <c r="V190" s="26">
        <v>10292344</v>
      </c>
      <c r="W190" s="26">
        <v>4.8756452545521389</v>
      </c>
      <c r="X190" s="26">
        <v>785</v>
      </c>
      <c r="Y190" s="26">
        <v>0</v>
      </c>
    </row>
    <row r="191" spans="1:25">
      <c r="A191" s="24" t="str">
        <f t="shared" si="30"/>
        <v>신규</v>
      </c>
      <c r="B191" s="24" t="str">
        <f>IF(COUNTIF(R$1:R190,R191)=0,"최초","리오더")</f>
        <v>최초</v>
      </c>
      <c r="C191" s="24" t="str">
        <f t="shared" si="31"/>
        <v>NOVERF5006</v>
      </c>
      <c r="D191" s="24">
        <f t="shared" si="26"/>
        <v>0.5</v>
      </c>
      <c r="E191" s="24" t="str">
        <f t="shared" si="32"/>
        <v/>
      </c>
      <c r="F191" s="24">
        <f t="shared" si="27"/>
        <v>0</v>
      </c>
      <c r="G191" s="24" t="str">
        <f t="shared" si="33"/>
        <v>NOVERF5006BK</v>
      </c>
      <c r="H191" s="24">
        <f t="shared" si="28"/>
        <v>1</v>
      </c>
      <c r="I191" s="24" t="str">
        <f t="shared" si="34"/>
        <v/>
      </c>
      <c r="J191" s="24">
        <f t="shared" si="29"/>
        <v>0</v>
      </c>
      <c r="K191" s="24" t="str">
        <f t="shared" si="35"/>
        <v>F5</v>
      </c>
      <c r="L191" s="24" t="str">
        <f>VLOOKUP(N191,CODE!K:P,CODE!$P$1,FALSE)</f>
        <v>모자</v>
      </c>
      <c r="M191" s="24" t="str">
        <f>VLOOKUP(MID(R191,1,3),CODE!$B:$G,CODE!D$1,FALSE)</f>
        <v>NOV</v>
      </c>
      <c r="N191" s="24" t="str">
        <f t="shared" si="36"/>
        <v>ER</v>
      </c>
      <c r="O191" s="29" t="str">
        <f>IF(ISERROR(IF(VLOOKUP($N191,CODE!$K:$P,CODE!$O$1,FALSE)="",$M191,$M191&amp;"-"&amp;VLOOKUP($N191,CODE!$K:$P,CODE!$O$1,FALSE)))=TRUE,"",IF(VLOOKUP($N191,CODE!$K:$P,CODE!$O$1,FALSE)="",$M191,$M191&amp;"-"&amp;VLOOKUP($N191,CODE!$K:$P,CODE!$O$1,FALSE)))</f>
        <v>NOV</v>
      </c>
      <c r="P191" s="29" t="str">
        <f t="shared" si="37"/>
        <v>성인</v>
      </c>
      <c r="Q191" s="29" t="str">
        <f t="shared" si="38"/>
        <v>NOVERF5006</v>
      </c>
      <c r="R191" s="1" t="s">
        <v>988</v>
      </c>
      <c r="S191" s="1" t="s">
        <v>14</v>
      </c>
      <c r="T191" s="26">
        <v>800</v>
      </c>
      <c r="U191" s="26">
        <v>55200000</v>
      </c>
      <c r="V191" s="26">
        <v>10691512</v>
      </c>
      <c r="W191" s="26">
        <v>4.6936128567987554</v>
      </c>
      <c r="X191" s="26">
        <v>800</v>
      </c>
      <c r="Y191" s="26">
        <v>0</v>
      </c>
    </row>
    <row r="192" spans="1:25">
      <c r="A192" s="24" t="str">
        <f t="shared" si="30"/>
        <v>신규</v>
      </c>
      <c r="B192" s="24" t="str">
        <f>IF(COUNTIF(R$1:R191,R192)=0,"최초","리오더")</f>
        <v>최초</v>
      </c>
      <c r="C192" s="24" t="str">
        <f t="shared" si="31"/>
        <v>NOVERF5006</v>
      </c>
      <c r="D192" s="24">
        <f t="shared" si="26"/>
        <v>0.5</v>
      </c>
      <c r="E192" s="24" t="str">
        <f t="shared" si="32"/>
        <v/>
      </c>
      <c r="F192" s="24">
        <f t="shared" si="27"/>
        <v>0</v>
      </c>
      <c r="G192" s="24" t="str">
        <f t="shared" si="33"/>
        <v>NOVERF5006PK</v>
      </c>
      <c r="H192" s="24">
        <f t="shared" si="28"/>
        <v>1</v>
      </c>
      <c r="I192" s="24" t="str">
        <f t="shared" si="34"/>
        <v/>
      </c>
      <c r="J192" s="24">
        <f t="shared" si="29"/>
        <v>0</v>
      </c>
      <c r="K192" s="24" t="str">
        <f t="shared" si="35"/>
        <v>F5</v>
      </c>
      <c r="L192" s="24" t="str">
        <f>VLOOKUP(N192,CODE!K:P,CODE!$P$1,FALSE)</f>
        <v>모자</v>
      </c>
      <c r="M192" s="24" t="str">
        <f>VLOOKUP(MID(R192,1,3),CODE!$B:$G,CODE!D$1,FALSE)</f>
        <v>NOV</v>
      </c>
      <c r="N192" s="24" t="str">
        <f t="shared" si="36"/>
        <v>ER</v>
      </c>
      <c r="O192" s="29" t="str">
        <f>IF(ISERROR(IF(VLOOKUP($N192,CODE!$K:$P,CODE!$O$1,FALSE)="",$M192,$M192&amp;"-"&amp;VLOOKUP($N192,CODE!$K:$P,CODE!$O$1,FALSE)))=TRUE,"",IF(VLOOKUP($N192,CODE!$K:$P,CODE!$O$1,FALSE)="",$M192,$M192&amp;"-"&amp;VLOOKUP($N192,CODE!$K:$P,CODE!$O$1,FALSE)))</f>
        <v>NOV</v>
      </c>
      <c r="P192" s="29" t="str">
        <f t="shared" si="37"/>
        <v>성인</v>
      </c>
      <c r="Q192" s="29" t="str">
        <f t="shared" si="38"/>
        <v>NOVERF5006</v>
      </c>
      <c r="R192" s="1" t="s">
        <v>989</v>
      </c>
      <c r="S192" s="1" t="s">
        <v>14</v>
      </c>
      <c r="T192" s="26">
        <v>800</v>
      </c>
      <c r="U192" s="26">
        <v>55200000</v>
      </c>
      <c r="V192" s="26">
        <v>10835512</v>
      </c>
      <c r="W192" s="26">
        <v>4.631236454891857</v>
      </c>
      <c r="X192" s="26">
        <v>800</v>
      </c>
      <c r="Y192" s="26">
        <v>0</v>
      </c>
    </row>
    <row r="193" spans="1:25">
      <c r="A193" s="24" t="str">
        <f t="shared" si="30"/>
        <v>신규</v>
      </c>
      <c r="B193" s="24" t="str">
        <f>IF(COUNTIF(R$1:R192,R193)=0,"최초","리오더")</f>
        <v>최초</v>
      </c>
      <c r="C193" s="24" t="str">
        <f t="shared" si="31"/>
        <v>NOVERF5007</v>
      </c>
      <c r="D193" s="24">
        <f t="shared" si="26"/>
        <v>1</v>
      </c>
      <c r="E193" s="24" t="str">
        <f t="shared" si="32"/>
        <v/>
      </c>
      <c r="F193" s="24">
        <f t="shared" si="27"/>
        <v>0</v>
      </c>
      <c r="G193" s="24" t="str">
        <f t="shared" si="33"/>
        <v>NOVERF5007BK</v>
      </c>
      <c r="H193" s="24">
        <f t="shared" si="28"/>
        <v>1</v>
      </c>
      <c r="I193" s="24" t="str">
        <f t="shared" si="34"/>
        <v/>
      </c>
      <c r="J193" s="24">
        <f t="shared" si="29"/>
        <v>0</v>
      </c>
      <c r="K193" s="24" t="str">
        <f t="shared" si="35"/>
        <v>F5</v>
      </c>
      <c r="L193" s="24" t="str">
        <f>VLOOKUP(N193,CODE!K:P,CODE!$P$1,FALSE)</f>
        <v>모자</v>
      </c>
      <c r="M193" s="24" t="str">
        <f>VLOOKUP(MID(R193,1,3),CODE!$B:$G,CODE!D$1,FALSE)</f>
        <v>NOV</v>
      </c>
      <c r="N193" s="24" t="str">
        <f t="shared" si="36"/>
        <v>ER</v>
      </c>
      <c r="O193" s="29" t="str">
        <f>IF(ISERROR(IF(VLOOKUP($N193,CODE!$K:$P,CODE!$O$1,FALSE)="",$M193,$M193&amp;"-"&amp;VLOOKUP($N193,CODE!$K:$P,CODE!$O$1,FALSE)))=TRUE,"",IF(VLOOKUP($N193,CODE!$K:$P,CODE!$O$1,FALSE)="",$M193,$M193&amp;"-"&amp;VLOOKUP($N193,CODE!$K:$P,CODE!$O$1,FALSE)))</f>
        <v>NOV</v>
      </c>
      <c r="P193" s="29" t="str">
        <f t="shared" si="37"/>
        <v>성인</v>
      </c>
      <c r="Q193" s="29" t="str">
        <f t="shared" si="38"/>
        <v>NOVERF5007</v>
      </c>
      <c r="R193" s="1" t="s">
        <v>990</v>
      </c>
      <c r="S193" s="1" t="s">
        <v>14</v>
      </c>
      <c r="T193" s="26">
        <v>1000</v>
      </c>
      <c r="U193" s="26">
        <v>65000000</v>
      </c>
      <c r="V193" s="26">
        <v>11623270.000000002</v>
      </c>
      <c r="W193" s="26">
        <v>5.0838455177337423</v>
      </c>
      <c r="X193" s="26">
        <v>992</v>
      </c>
      <c r="Y193" s="26">
        <v>0</v>
      </c>
    </row>
    <row r="194" spans="1:25">
      <c r="A194" s="24" t="str">
        <f t="shared" si="30"/>
        <v>신규</v>
      </c>
      <c r="B194" s="24" t="str">
        <f>IF(COUNTIF(R$1:R193,R194)=0,"최초","리오더")</f>
        <v>최초</v>
      </c>
      <c r="C194" s="24" t="str">
        <f t="shared" si="31"/>
        <v>NOVTPF5008</v>
      </c>
      <c r="D194" s="24">
        <f t="shared" ref="D194:D257" si="39">IF(C194="",0,1/COUNTIF(C:C,C194))</f>
        <v>1</v>
      </c>
      <c r="E194" s="24" t="str">
        <f t="shared" si="32"/>
        <v/>
      </c>
      <c r="F194" s="24">
        <f t="shared" ref="F194:F257" si="40">IF(E194="",0,1/COUNTIF(E:E,E194))</f>
        <v>0</v>
      </c>
      <c r="G194" s="24" t="str">
        <f t="shared" si="33"/>
        <v>NOVTPF5008BK</v>
      </c>
      <c r="H194" s="24">
        <f t="shared" ref="H194:H257" si="41">IF(G194="",0,1/COUNTIF(G:G,G194))</f>
        <v>1</v>
      </c>
      <c r="I194" s="24" t="str">
        <f t="shared" si="34"/>
        <v/>
      </c>
      <c r="J194" s="24">
        <f t="shared" ref="J194:J257" si="42">IF(I194="",0,1/COUNTIF(I:I,I194))</f>
        <v>0</v>
      </c>
      <c r="K194" s="24" t="str">
        <f t="shared" si="35"/>
        <v>F5</v>
      </c>
      <c r="L194" s="24" t="str">
        <f>VLOOKUP(N194,CODE!K:P,CODE!$P$1,FALSE)</f>
        <v>모자</v>
      </c>
      <c r="M194" s="24" t="str">
        <f>VLOOKUP(MID(R194,1,3),CODE!$B:$G,CODE!D$1,FALSE)</f>
        <v>NOV</v>
      </c>
      <c r="N194" s="24" t="str">
        <f t="shared" si="36"/>
        <v>TP</v>
      </c>
      <c r="O194" s="29" t="str">
        <f>IF(ISERROR(IF(VLOOKUP($N194,CODE!$K:$P,CODE!$O$1,FALSE)="",$M194,$M194&amp;"-"&amp;VLOOKUP($N194,CODE!$K:$P,CODE!$O$1,FALSE)))=TRUE,"",IF(VLOOKUP($N194,CODE!$K:$P,CODE!$O$1,FALSE)="",$M194,$M194&amp;"-"&amp;VLOOKUP($N194,CODE!$K:$P,CODE!$O$1,FALSE)))</f>
        <v>NOV</v>
      </c>
      <c r="P194" s="29" t="str">
        <f t="shared" si="37"/>
        <v>성인</v>
      </c>
      <c r="Q194" s="29" t="str">
        <f t="shared" si="38"/>
        <v>NOVTPF5008</v>
      </c>
      <c r="R194" s="1" t="s">
        <v>991</v>
      </c>
      <c r="S194" s="1" t="s">
        <v>14</v>
      </c>
      <c r="T194" s="26">
        <v>800</v>
      </c>
      <c r="U194" s="26">
        <v>63200000</v>
      </c>
      <c r="V194" s="26">
        <v>10721906.000000002</v>
      </c>
      <c r="W194" s="26">
        <v>5.3586130539239418</v>
      </c>
      <c r="X194" s="26">
        <v>800</v>
      </c>
      <c r="Y194" s="26">
        <v>0</v>
      </c>
    </row>
    <row r="195" spans="1:25">
      <c r="A195" s="24" t="str">
        <f t="shared" ref="A195:A258" si="43">IF(OR(MID(R195,8,1)="0",MID(R195,8,1)="5"),"신규","러닝")</f>
        <v>신규</v>
      </c>
      <c r="B195" s="24" t="str">
        <f>IF(COUNTIF(R$1:R194,R195)=0,"최초","리오더")</f>
        <v>최초</v>
      </c>
      <c r="C195" s="24" t="str">
        <f t="shared" ref="C195:C258" si="44">IF($B195="리오더","",Q195)</f>
        <v>NOVTPF5009</v>
      </c>
      <c r="D195" s="24">
        <f t="shared" si="39"/>
        <v>1</v>
      </c>
      <c r="E195" s="24" t="str">
        <f t="shared" ref="E195:E258" si="45">IF($B195="리오더",Q195,"")</f>
        <v/>
      </c>
      <c r="F195" s="24">
        <f t="shared" si="40"/>
        <v>0</v>
      </c>
      <c r="G195" s="24" t="str">
        <f t="shared" ref="G195:G258" si="46">IF($B195="리오더","",R195)</f>
        <v>NOVTPF5009BK</v>
      </c>
      <c r="H195" s="24">
        <f t="shared" si="41"/>
        <v>1</v>
      </c>
      <c r="I195" s="24" t="str">
        <f t="shared" ref="I195:I258" si="47">IF($B195="리오더",R195,"")</f>
        <v/>
      </c>
      <c r="J195" s="24">
        <f t="shared" si="42"/>
        <v>0</v>
      </c>
      <c r="K195" s="24" t="str">
        <f t="shared" ref="K195:K258" si="48">MID(R195,6,2)</f>
        <v>F5</v>
      </c>
      <c r="L195" s="24" t="str">
        <f>VLOOKUP(N195,CODE!K:P,CODE!$P$1,FALSE)</f>
        <v>모자</v>
      </c>
      <c r="M195" s="24" t="str">
        <f>VLOOKUP(MID(R195,1,3),CODE!$B:$G,CODE!D$1,FALSE)</f>
        <v>NOV</v>
      </c>
      <c r="N195" s="24" t="str">
        <f t="shared" ref="N195:N258" si="49">MID(R195,4,2)</f>
        <v>TP</v>
      </c>
      <c r="O195" s="29" t="str">
        <f>IF(ISERROR(IF(VLOOKUP($N195,CODE!$K:$P,CODE!$O$1,FALSE)="",$M195,$M195&amp;"-"&amp;VLOOKUP($N195,CODE!$K:$P,CODE!$O$1,FALSE)))=TRUE,"",IF(VLOOKUP($N195,CODE!$K:$P,CODE!$O$1,FALSE)="",$M195,$M195&amp;"-"&amp;VLOOKUP($N195,CODE!$K:$P,CODE!$O$1,FALSE)))</f>
        <v>NOV</v>
      </c>
      <c r="P195" s="29" t="str">
        <f t="shared" ref="P195:P258" si="50">IF(OR(MID(R195,8,1)="0",MID(R195,8,1)="1",MID(R195,8,1)="2",MID(R195,8,1)="3",MID(R195,8,1)="4"),"성인","키즈")</f>
        <v>성인</v>
      </c>
      <c r="Q195" s="29" t="str">
        <f t="shared" ref="Q195:Q258" si="51">MID(R195,1,10)</f>
        <v>NOVTPF5009</v>
      </c>
      <c r="R195" s="1" t="s">
        <v>992</v>
      </c>
      <c r="S195" s="1" t="s">
        <v>14</v>
      </c>
      <c r="T195" s="26">
        <v>800</v>
      </c>
      <c r="U195" s="26">
        <v>63200000</v>
      </c>
      <c r="V195" s="26">
        <v>10362656.000000002</v>
      </c>
      <c r="W195" s="26">
        <v>5.5443841284073736</v>
      </c>
      <c r="X195" s="26">
        <v>800</v>
      </c>
      <c r="Y195" s="26">
        <v>0</v>
      </c>
    </row>
    <row r="196" spans="1:25">
      <c r="A196" s="24" t="str">
        <f t="shared" si="43"/>
        <v>신규</v>
      </c>
      <c r="B196" s="24" t="str">
        <f>IF(COUNTIF(R$1:R195,R196)=0,"최초","리오더")</f>
        <v>최초</v>
      </c>
      <c r="C196" s="24" t="str">
        <f t="shared" si="44"/>
        <v>NOVTPF5010</v>
      </c>
      <c r="D196" s="24">
        <f t="shared" si="39"/>
        <v>1</v>
      </c>
      <c r="E196" s="24" t="str">
        <f t="shared" si="45"/>
        <v/>
      </c>
      <c r="F196" s="24">
        <f t="shared" si="40"/>
        <v>0</v>
      </c>
      <c r="G196" s="24" t="str">
        <f t="shared" si="46"/>
        <v>NOVTPF5010BK</v>
      </c>
      <c r="H196" s="24">
        <f t="shared" si="41"/>
        <v>1</v>
      </c>
      <c r="I196" s="24" t="str">
        <f t="shared" si="47"/>
        <v/>
      </c>
      <c r="J196" s="24">
        <f t="shared" si="42"/>
        <v>0</v>
      </c>
      <c r="K196" s="24" t="str">
        <f t="shared" si="48"/>
        <v>F5</v>
      </c>
      <c r="L196" s="24" t="str">
        <f>VLOOKUP(N196,CODE!K:P,CODE!$P$1,FALSE)</f>
        <v>모자</v>
      </c>
      <c r="M196" s="24" t="str">
        <f>VLOOKUP(MID(R196,1,3),CODE!$B:$G,CODE!D$1,FALSE)</f>
        <v>NOV</v>
      </c>
      <c r="N196" s="24" t="str">
        <f t="shared" si="49"/>
        <v>TP</v>
      </c>
      <c r="O196" s="29" t="str">
        <f>IF(ISERROR(IF(VLOOKUP($N196,CODE!$K:$P,CODE!$O$1,FALSE)="",$M196,$M196&amp;"-"&amp;VLOOKUP($N196,CODE!$K:$P,CODE!$O$1,FALSE)))=TRUE,"",IF(VLOOKUP($N196,CODE!$K:$P,CODE!$O$1,FALSE)="",$M196,$M196&amp;"-"&amp;VLOOKUP($N196,CODE!$K:$P,CODE!$O$1,FALSE)))</f>
        <v>NOV</v>
      </c>
      <c r="P196" s="29" t="str">
        <f t="shared" si="50"/>
        <v>성인</v>
      </c>
      <c r="Q196" s="29" t="str">
        <f t="shared" si="51"/>
        <v>NOVTPF5010</v>
      </c>
      <c r="R196" s="1" t="s">
        <v>1617</v>
      </c>
      <c r="S196" s="1" t="s">
        <v>14</v>
      </c>
      <c r="T196" s="26">
        <v>800</v>
      </c>
      <c r="U196" s="26">
        <v>63200000</v>
      </c>
      <c r="V196" s="26">
        <v>10450672</v>
      </c>
      <c r="W196" s="26">
        <v>5.497689091624486</v>
      </c>
      <c r="X196" s="26">
        <v>800</v>
      </c>
      <c r="Y196" s="26">
        <v>0</v>
      </c>
    </row>
    <row r="197" spans="1:25">
      <c r="A197" s="24" t="str">
        <f t="shared" si="43"/>
        <v>신규</v>
      </c>
      <c r="B197" s="24" t="str">
        <f>IF(COUNTIF(R$1:R196,R197)=0,"최초","리오더")</f>
        <v>최초</v>
      </c>
      <c r="C197" s="24" t="str">
        <f t="shared" si="44"/>
        <v>NOVTPF5011</v>
      </c>
      <c r="D197" s="24">
        <f t="shared" si="39"/>
        <v>0.33333333333333331</v>
      </c>
      <c r="E197" s="24" t="str">
        <f t="shared" si="45"/>
        <v/>
      </c>
      <c r="F197" s="24">
        <f t="shared" si="40"/>
        <v>0</v>
      </c>
      <c r="G197" s="24" t="str">
        <f t="shared" si="46"/>
        <v>NOVTPF5011BK</v>
      </c>
      <c r="H197" s="24">
        <f t="shared" si="41"/>
        <v>1</v>
      </c>
      <c r="I197" s="24" t="str">
        <f t="shared" si="47"/>
        <v/>
      </c>
      <c r="J197" s="24">
        <f t="shared" si="42"/>
        <v>0</v>
      </c>
      <c r="K197" s="24" t="str">
        <f t="shared" si="48"/>
        <v>F5</v>
      </c>
      <c r="L197" s="24" t="str">
        <f>VLOOKUP(N197,CODE!K:P,CODE!$P$1,FALSE)</f>
        <v>모자</v>
      </c>
      <c r="M197" s="24" t="str">
        <f>VLOOKUP(MID(R197,1,3),CODE!$B:$G,CODE!D$1,FALSE)</f>
        <v>NOV</v>
      </c>
      <c r="N197" s="24" t="str">
        <f t="shared" si="49"/>
        <v>TP</v>
      </c>
      <c r="O197" s="29" t="str">
        <f>IF(ISERROR(IF(VLOOKUP($N197,CODE!$K:$P,CODE!$O$1,FALSE)="",$M197,$M197&amp;"-"&amp;VLOOKUP($N197,CODE!$K:$P,CODE!$O$1,FALSE)))=TRUE,"",IF(VLOOKUP($N197,CODE!$K:$P,CODE!$O$1,FALSE)="",$M197,$M197&amp;"-"&amp;VLOOKUP($N197,CODE!$K:$P,CODE!$O$1,FALSE)))</f>
        <v>NOV</v>
      </c>
      <c r="P197" s="29" t="str">
        <f t="shared" si="50"/>
        <v>성인</v>
      </c>
      <c r="Q197" s="29" t="str">
        <f t="shared" si="51"/>
        <v>NOVTPF5011</v>
      </c>
      <c r="R197" s="1" t="s">
        <v>993</v>
      </c>
      <c r="S197" s="1" t="s">
        <v>14</v>
      </c>
      <c r="T197" s="26">
        <v>800</v>
      </c>
      <c r="U197" s="26">
        <v>63200000</v>
      </c>
      <c r="V197" s="26">
        <v>9812032</v>
      </c>
      <c r="W197" s="26">
        <v>5.8555195758172669</v>
      </c>
      <c r="X197" s="26">
        <v>800</v>
      </c>
      <c r="Y197" s="26">
        <v>0</v>
      </c>
    </row>
    <row r="198" spans="1:25">
      <c r="A198" s="24" t="str">
        <f t="shared" si="43"/>
        <v>신규</v>
      </c>
      <c r="B198" s="24" t="str">
        <f>IF(COUNTIF(R$1:R197,R198)=0,"최초","리오더")</f>
        <v>최초</v>
      </c>
      <c r="C198" s="24" t="str">
        <f t="shared" si="44"/>
        <v>NOVTPF5011</v>
      </c>
      <c r="D198" s="24">
        <f t="shared" si="39"/>
        <v>0.33333333333333331</v>
      </c>
      <c r="E198" s="24" t="str">
        <f t="shared" si="45"/>
        <v/>
      </c>
      <c r="F198" s="24">
        <f t="shared" si="40"/>
        <v>0</v>
      </c>
      <c r="G198" s="24" t="str">
        <f t="shared" si="46"/>
        <v>NOVTPF5011RE</v>
      </c>
      <c r="H198" s="24">
        <f t="shared" si="41"/>
        <v>1</v>
      </c>
      <c r="I198" s="24" t="str">
        <f t="shared" si="47"/>
        <v/>
      </c>
      <c r="J198" s="24">
        <f t="shared" si="42"/>
        <v>0</v>
      </c>
      <c r="K198" s="24" t="str">
        <f t="shared" si="48"/>
        <v>F5</v>
      </c>
      <c r="L198" s="24" t="str">
        <f>VLOOKUP(N198,CODE!K:P,CODE!$P$1,FALSE)</f>
        <v>모자</v>
      </c>
      <c r="M198" s="24" t="str">
        <f>VLOOKUP(MID(R198,1,3),CODE!$B:$G,CODE!D$1,FALSE)</f>
        <v>NOV</v>
      </c>
      <c r="N198" s="24" t="str">
        <f t="shared" si="49"/>
        <v>TP</v>
      </c>
      <c r="O198" s="29" t="str">
        <f>IF(ISERROR(IF(VLOOKUP($N198,CODE!$K:$P,CODE!$O$1,FALSE)="",$M198,$M198&amp;"-"&amp;VLOOKUP($N198,CODE!$K:$P,CODE!$O$1,FALSE)))=TRUE,"",IF(VLOOKUP($N198,CODE!$K:$P,CODE!$O$1,FALSE)="",$M198,$M198&amp;"-"&amp;VLOOKUP($N198,CODE!$K:$P,CODE!$O$1,FALSE)))</f>
        <v>NOV</v>
      </c>
      <c r="P198" s="29" t="str">
        <f t="shared" si="50"/>
        <v>성인</v>
      </c>
      <c r="Q198" s="29" t="str">
        <f t="shared" si="51"/>
        <v>NOVTPF5011</v>
      </c>
      <c r="R198" s="1" t="s">
        <v>994</v>
      </c>
      <c r="S198" s="1" t="s">
        <v>14</v>
      </c>
      <c r="T198" s="26">
        <v>800</v>
      </c>
      <c r="U198" s="26">
        <v>63200000</v>
      </c>
      <c r="V198" s="26">
        <v>10212656.000000002</v>
      </c>
      <c r="W198" s="26">
        <v>5.6258181470662905</v>
      </c>
      <c r="X198" s="26">
        <v>800</v>
      </c>
      <c r="Y198" s="26">
        <v>0</v>
      </c>
    </row>
    <row r="199" spans="1:25">
      <c r="A199" s="24" t="str">
        <f t="shared" si="43"/>
        <v>신규</v>
      </c>
      <c r="B199" s="24" t="str">
        <f>IF(COUNTIF(R$1:R198,R199)=0,"최초","리오더")</f>
        <v>최초</v>
      </c>
      <c r="C199" s="24" t="str">
        <f t="shared" si="44"/>
        <v>NOVTPF5511</v>
      </c>
      <c r="D199" s="24">
        <f t="shared" si="39"/>
        <v>0.5</v>
      </c>
      <c r="E199" s="24" t="str">
        <f t="shared" si="45"/>
        <v/>
      </c>
      <c r="F199" s="24">
        <f t="shared" si="40"/>
        <v>0</v>
      </c>
      <c r="G199" s="24" t="str">
        <f t="shared" si="46"/>
        <v>NOVTPF5511RE</v>
      </c>
      <c r="H199" s="24">
        <f t="shared" si="41"/>
        <v>1</v>
      </c>
      <c r="I199" s="24" t="str">
        <f t="shared" si="47"/>
        <v/>
      </c>
      <c r="J199" s="24">
        <f t="shared" si="42"/>
        <v>0</v>
      </c>
      <c r="K199" s="24" t="str">
        <f t="shared" si="48"/>
        <v>F5</v>
      </c>
      <c r="L199" s="24" t="str">
        <f>VLOOKUP(N199,CODE!K:P,CODE!$P$1,FALSE)</f>
        <v>모자</v>
      </c>
      <c r="M199" s="24" t="str">
        <f>VLOOKUP(MID(R199,1,3),CODE!$B:$G,CODE!D$1,FALSE)</f>
        <v>NOV</v>
      </c>
      <c r="N199" s="24" t="str">
        <f t="shared" si="49"/>
        <v>TP</v>
      </c>
      <c r="O199" s="29" t="str">
        <f>IF(ISERROR(IF(VLOOKUP($N199,CODE!$K:$P,CODE!$O$1,FALSE)="",$M199,$M199&amp;"-"&amp;VLOOKUP($N199,CODE!$K:$P,CODE!$O$1,FALSE)))=TRUE,"",IF(VLOOKUP($N199,CODE!$K:$P,CODE!$O$1,FALSE)="",$M199,$M199&amp;"-"&amp;VLOOKUP($N199,CODE!$K:$P,CODE!$O$1,FALSE)))</f>
        <v>NOV</v>
      </c>
      <c r="P199" s="29" t="str">
        <f t="shared" si="50"/>
        <v>키즈</v>
      </c>
      <c r="Q199" s="29" t="str">
        <f t="shared" si="51"/>
        <v>NOVTPF5511</v>
      </c>
      <c r="R199" s="1" t="s">
        <v>995</v>
      </c>
      <c r="S199" s="1" t="s">
        <v>14</v>
      </c>
      <c r="T199" s="26">
        <v>600</v>
      </c>
      <c r="U199" s="26">
        <v>45000000</v>
      </c>
      <c r="V199" s="26">
        <v>7614492.0000000009</v>
      </c>
      <c r="W199" s="26">
        <v>5.3725305521485742</v>
      </c>
      <c r="X199" s="26">
        <v>596</v>
      </c>
      <c r="Y199" s="26">
        <v>0</v>
      </c>
    </row>
    <row r="200" spans="1:25">
      <c r="A200" s="24" t="str">
        <f t="shared" si="43"/>
        <v>신규</v>
      </c>
      <c r="B200" s="24" t="str">
        <f>IF(COUNTIF(R$1:R199,R200)=0,"최초","리오더")</f>
        <v>최초</v>
      </c>
      <c r="C200" s="24" t="str">
        <f t="shared" si="44"/>
        <v>NOVTPF5011</v>
      </c>
      <c r="D200" s="24">
        <f t="shared" si="39"/>
        <v>0.33333333333333331</v>
      </c>
      <c r="E200" s="24" t="str">
        <f t="shared" si="45"/>
        <v/>
      </c>
      <c r="F200" s="24">
        <f t="shared" si="40"/>
        <v>0</v>
      </c>
      <c r="G200" s="24" t="str">
        <f t="shared" si="46"/>
        <v>NOVTPF5011PK</v>
      </c>
      <c r="H200" s="24">
        <f t="shared" si="41"/>
        <v>1</v>
      </c>
      <c r="I200" s="24" t="str">
        <f t="shared" si="47"/>
        <v/>
      </c>
      <c r="J200" s="24">
        <f t="shared" si="42"/>
        <v>0</v>
      </c>
      <c r="K200" s="24" t="str">
        <f t="shared" si="48"/>
        <v>F5</v>
      </c>
      <c r="L200" s="24" t="str">
        <f>VLOOKUP(N200,CODE!K:P,CODE!$P$1,FALSE)</f>
        <v>모자</v>
      </c>
      <c r="M200" s="24" t="str">
        <f>VLOOKUP(MID(R200,1,3),CODE!$B:$G,CODE!D$1,FALSE)</f>
        <v>NOV</v>
      </c>
      <c r="N200" s="24" t="str">
        <f t="shared" si="49"/>
        <v>TP</v>
      </c>
      <c r="O200" s="29" t="str">
        <f>IF(ISERROR(IF(VLOOKUP($N200,CODE!$K:$P,CODE!$O$1,FALSE)="",$M200,$M200&amp;"-"&amp;VLOOKUP($N200,CODE!$K:$P,CODE!$O$1,FALSE)))=TRUE,"",IF(VLOOKUP($N200,CODE!$K:$P,CODE!$O$1,FALSE)="",$M200,$M200&amp;"-"&amp;VLOOKUP($N200,CODE!$K:$P,CODE!$O$1,FALSE)))</f>
        <v>NOV</v>
      </c>
      <c r="P200" s="29" t="str">
        <f t="shared" si="50"/>
        <v>성인</v>
      </c>
      <c r="Q200" s="29" t="str">
        <f t="shared" si="51"/>
        <v>NOVTPF5011</v>
      </c>
      <c r="R200" s="1" t="s">
        <v>996</v>
      </c>
      <c r="S200" s="1" t="s">
        <v>14</v>
      </c>
      <c r="T200" s="26">
        <v>800</v>
      </c>
      <c r="U200" s="26">
        <v>63200000</v>
      </c>
      <c r="V200" s="26">
        <v>10275572</v>
      </c>
      <c r="W200" s="26">
        <v>5.5913719892717841</v>
      </c>
      <c r="X200" s="26">
        <v>800</v>
      </c>
      <c r="Y200" s="26">
        <v>0</v>
      </c>
    </row>
    <row r="201" spans="1:25">
      <c r="A201" s="24" t="str">
        <f t="shared" si="43"/>
        <v>신규</v>
      </c>
      <c r="B201" s="24" t="str">
        <f>IF(COUNTIF(R$1:R200,R201)=0,"최초","리오더")</f>
        <v>최초</v>
      </c>
      <c r="C201" s="24" t="str">
        <f t="shared" si="44"/>
        <v>NOVTPF5511</v>
      </c>
      <c r="D201" s="24">
        <f t="shared" si="39"/>
        <v>0.5</v>
      </c>
      <c r="E201" s="24" t="str">
        <f t="shared" si="45"/>
        <v/>
      </c>
      <c r="F201" s="24">
        <f t="shared" si="40"/>
        <v>0</v>
      </c>
      <c r="G201" s="24" t="str">
        <f t="shared" si="46"/>
        <v>NOVTPF5511PK</v>
      </c>
      <c r="H201" s="24">
        <f t="shared" si="41"/>
        <v>1</v>
      </c>
      <c r="I201" s="24" t="str">
        <f t="shared" si="47"/>
        <v/>
      </c>
      <c r="J201" s="24">
        <f t="shared" si="42"/>
        <v>0</v>
      </c>
      <c r="K201" s="24" t="str">
        <f t="shared" si="48"/>
        <v>F5</v>
      </c>
      <c r="L201" s="24" t="str">
        <f>VLOOKUP(N201,CODE!K:P,CODE!$P$1,FALSE)</f>
        <v>모자</v>
      </c>
      <c r="M201" s="24" t="str">
        <f>VLOOKUP(MID(R201,1,3),CODE!$B:$G,CODE!D$1,FALSE)</f>
        <v>NOV</v>
      </c>
      <c r="N201" s="24" t="str">
        <f t="shared" si="49"/>
        <v>TP</v>
      </c>
      <c r="O201" s="29" t="str">
        <f>IF(ISERROR(IF(VLOOKUP($N201,CODE!$K:$P,CODE!$O$1,FALSE)="",$M201,$M201&amp;"-"&amp;VLOOKUP($N201,CODE!$K:$P,CODE!$O$1,FALSE)))=TRUE,"",IF(VLOOKUP($N201,CODE!$K:$P,CODE!$O$1,FALSE)="",$M201,$M201&amp;"-"&amp;VLOOKUP($N201,CODE!$K:$P,CODE!$O$1,FALSE)))</f>
        <v>NOV</v>
      </c>
      <c r="P201" s="29" t="str">
        <f t="shared" si="50"/>
        <v>키즈</v>
      </c>
      <c r="Q201" s="29" t="str">
        <f t="shared" si="51"/>
        <v>NOVTPF5511</v>
      </c>
      <c r="R201" s="1" t="s">
        <v>997</v>
      </c>
      <c r="S201" s="1" t="s">
        <v>14</v>
      </c>
      <c r="T201" s="26">
        <v>600</v>
      </c>
      <c r="U201" s="26">
        <v>45000000</v>
      </c>
      <c r="V201" s="26">
        <v>7644804</v>
      </c>
      <c r="W201" s="26">
        <v>5.3512282210362629</v>
      </c>
      <c r="X201" s="26">
        <v>596</v>
      </c>
      <c r="Y201" s="26">
        <v>0</v>
      </c>
    </row>
    <row r="202" spans="1:25">
      <c r="A202" s="24" t="str">
        <f t="shared" si="43"/>
        <v>신규</v>
      </c>
      <c r="B202" s="24" t="str">
        <f>IF(COUNTIF(R$1:R201,R202)=0,"최초","리오더")</f>
        <v>최초</v>
      </c>
      <c r="C202" s="24" t="str">
        <f t="shared" si="44"/>
        <v>VBLBAF5001</v>
      </c>
      <c r="D202" s="24">
        <f t="shared" si="39"/>
        <v>1</v>
      </c>
      <c r="E202" s="24" t="str">
        <f t="shared" si="45"/>
        <v/>
      </c>
      <c r="F202" s="24">
        <f t="shared" si="40"/>
        <v>0</v>
      </c>
      <c r="G202" s="24" t="str">
        <f t="shared" si="46"/>
        <v>VBLBAF5001BK</v>
      </c>
      <c r="H202" s="24">
        <f t="shared" si="41"/>
        <v>1</v>
      </c>
      <c r="I202" s="24" t="str">
        <f t="shared" si="47"/>
        <v/>
      </c>
      <c r="J202" s="24">
        <f t="shared" si="42"/>
        <v>0</v>
      </c>
      <c r="K202" s="24" t="str">
        <f t="shared" si="48"/>
        <v>F5</v>
      </c>
      <c r="L202" s="24" t="str">
        <f>VLOOKUP(N202,CODE!K:P,CODE!$P$1,FALSE)</f>
        <v>모자</v>
      </c>
      <c r="M202" s="24" t="str">
        <f>VLOOKUP(MID(R202,1,3),CODE!$B:$G,CODE!D$1,FALSE)</f>
        <v>VBL</v>
      </c>
      <c r="N202" s="24" t="str">
        <f t="shared" si="49"/>
        <v>BA</v>
      </c>
      <c r="O202" s="29" t="str">
        <f>IF(ISERROR(IF(VLOOKUP($N202,CODE!$K:$P,CODE!$O$1,FALSE)="",$M202,$M202&amp;"-"&amp;VLOOKUP($N202,CODE!$K:$P,CODE!$O$1,FALSE)))=TRUE,"",IF(VLOOKUP($N202,CODE!$K:$P,CODE!$O$1,FALSE)="",$M202,$M202&amp;"-"&amp;VLOOKUP($N202,CODE!$K:$P,CODE!$O$1,FALSE)))</f>
        <v>VBL</v>
      </c>
      <c r="P202" s="29" t="str">
        <f t="shared" si="50"/>
        <v>성인</v>
      </c>
      <c r="Q202" s="29" t="str">
        <f t="shared" si="51"/>
        <v>VBLBAF5001</v>
      </c>
      <c r="R202" s="1" t="s">
        <v>998</v>
      </c>
      <c r="S202" s="1" t="s">
        <v>14</v>
      </c>
      <c r="T202" s="26">
        <v>800</v>
      </c>
      <c r="U202" s="26">
        <v>39200000</v>
      </c>
      <c r="V202" s="26">
        <v>4756120</v>
      </c>
      <c r="W202" s="26">
        <v>7.4927385424176922</v>
      </c>
      <c r="X202" s="26">
        <v>800</v>
      </c>
      <c r="Y202" s="26">
        <v>0</v>
      </c>
    </row>
    <row r="203" spans="1:25">
      <c r="A203" s="24" t="str">
        <f t="shared" si="43"/>
        <v>신규</v>
      </c>
      <c r="B203" s="24" t="str">
        <f>IF(COUNTIF(R$1:R202,R203)=0,"최초","리오더")</f>
        <v>최초</v>
      </c>
      <c r="C203" s="24" t="str">
        <f t="shared" si="44"/>
        <v>VBLBAF5002</v>
      </c>
      <c r="D203" s="24">
        <f t="shared" si="39"/>
        <v>1</v>
      </c>
      <c r="E203" s="24" t="str">
        <f t="shared" si="45"/>
        <v/>
      </c>
      <c r="F203" s="24">
        <f t="shared" si="40"/>
        <v>0</v>
      </c>
      <c r="G203" s="24" t="str">
        <f t="shared" si="46"/>
        <v>VBLBAF5002BK</v>
      </c>
      <c r="H203" s="24">
        <f t="shared" si="41"/>
        <v>1</v>
      </c>
      <c r="I203" s="24" t="str">
        <f t="shared" si="47"/>
        <v/>
      </c>
      <c r="J203" s="24">
        <f t="shared" si="42"/>
        <v>0</v>
      </c>
      <c r="K203" s="24" t="str">
        <f t="shared" si="48"/>
        <v>F5</v>
      </c>
      <c r="L203" s="24" t="str">
        <f>VLOOKUP(N203,CODE!K:P,CODE!$P$1,FALSE)</f>
        <v>모자</v>
      </c>
      <c r="M203" s="24" t="str">
        <f>VLOOKUP(MID(R203,1,3),CODE!$B:$G,CODE!D$1,FALSE)</f>
        <v>VBL</v>
      </c>
      <c r="N203" s="24" t="str">
        <f t="shared" si="49"/>
        <v>BA</v>
      </c>
      <c r="O203" s="29" t="str">
        <f>IF(ISERROR(IF(VLOOKUP($N203,CODE!$K:$P,CODE!$O$1,FALSE)="",$M203,$M203&amp;"-"&amp;VLOOKUP($N203,CODE!$K:$P,CODE!$O$1,FALSE)))=TRUE,"",IF(VLOOKUP($N203,CODE!$K:$P,CODE!$O$1,FALSE)="",$M203,$M203&amp;"-"&amp;VLOOKUP($N203,CODE!$K:$P,CODE!$O$1,FALSE)))</f>
        <v>VBL</v>
      </c>
      <c r="P203" s="29" t="str">
        <f t="shared" si="50"/>
        <v>성인</v>
      </c>
      <c r="Q203" s="29" t="str">
        <f t="shared" si="51"/>
        <v>VBLBAF5002</v>
      </c>
      <c r="R203" s="1" t="s">
        <v>999</v>
      </c>
      <c r="S203" s="1" t="s">
        <v>14</v>
      </c>
      <c r="T203" s="26">
        <v>1200</v>
      </c>
      <c r="U203" s="26">
        <v>58800000</v>
      </c>
      <c r="V203" s="26">
        <v>7164768</v>
      </c>
      <c r="W203" s="26">
        <v>7.4607503626838234</v>
      </c>
      <c r="X203" s="26">
        <v>1200</v>
      </c>
      <c r="Y203" s="26">
        <v>0</v>
      </c>
    </row>
    <row r="204" spans="1:25">
      <c r="A204" s="24" t="str">
        <f t="shared" si="43"/>
        <v>신규</v>
      </c>
      <c r="B204" s="24" t="str">
        <f>IF(COUNTIF(R$1:R203,R204)=0,"최초","리오더")</f>
        <v>최초</v>
      </c>
      <c r="C204" s="24" t="str">
        <f t="shared" si="44"/>
        <v>VBLBAF3003</v>
      </c>
      <c r="D204" s="24">
        <f t="shared" si="39"/>
        <v>1</v>
      </c>
      <c r="E204" s="24" t="str">
        <f t="shared" si="45"/>
        <v/>
      </c>
      <c r="F204" s="24">
        <f t="shared" si="40"/>
        <v>0</v>
      </c>
      <c r="G204" s="24" t="str">
        <f t="shared" si="46"/>
        <v>VBLBAF3003GY</v>
      </c>
      <c r="H204" s="24">
        <f t="shared" si="41"/>
        <v>1</v>
      </c>
      <c r="I204" s="24" t="str">
        <f t="shared" si="47"/>
        <v/>
      </c>
      <c r="J204" s="24">
        <f t="shared" si="42"/>
        <v>0</v>
      </c>
      <c r="K204" s="24" t="str">
        <f t="shared" si="48"/>
        <v>F3</v>
      </c>
      <c r="L204" s="24" t="str">
        <f>VLOOKUP(N204,CODE!K:P,CODE!$P$1,FALSE)</f>
        <v>모자</v>
      </c>
      <c r="M204" s="24" t="str">
        <f>VLOOKUP(MID(R204,1,3),CODE!$B:$G,CODE!D$1,FALSE)</f>
        <v>VBL</v>
      </c>
      <c r="N204" s="24" t="str">
        <f t="shared" si="49"/>
        <v>BA</v>
      </c>
      <c r="O204" s="29" t="str">
        <f>IF(ISERROR(IF(VLOOKUP($N204,CODE!$K:$P,CODE!$O$1,FALSE)="",$M204,$M204&amp;"-"&amp;VLOOKUP($N204,CODE!$K:$P,CODE!$O$1,FALSE)))=TRUE,"",IF(VLOOKUP($N204,CODE!$K:$P,CODE!$O$1,FALSE)="",$M204,$M204&amp;"-"&amp;VLOOKUP($N204,CODE!$K:$P,CODE!$O$1,FALSE)))</f>
        <v>VBL</v>
      </c>
      <c r="P204" s="29" t="str">
        <f t="shared" si="50"/>
        <v>성인</v>
      </c>
      <c r="Q204" s="29" t="str">
        <f t="shared" si="51"/>
        <v>VBLBAF3003</v>
      </c>
      <c r="R204" s="1" t="s">
        <v>1000</v>
      </c>
      <c r="S204" s="1" t="s">
        <v>14</v>
      </c>
      <c r="T204" s="26">
        <v>800</v>
      </c>
      <c r="U204" s="26">
        <v>39200000</v>
      </c>
      <c r="V204" s="26">
        <v>5304976.0000000009</v>
      </c>
      <c r="W204" s="26">
        <v>6.7175353170991965</v>
      </c>
      <c r="X204" s="26">
        <v>800</v>
      </c>
      <c r="Y204" s="26">
        <v>0</v>
      </c>
    </row>
    <row r="205" spans="1:25">
      <c r="A205" s="24" t="str">
        <f t="shared" si="43"/>
        <v>신규</v>
      </c>
      <c r="B205" s="24" t="str">
        <f>IF(COUNTIF(R$1:R204,R205)=0,"최초","리오더")</f>
        <v>최초</v>
      </c>
      <c r="C205" s="24" t="str">
        <f t="shared" si="44"/>
        <v>VBLBAF5004</v>
      </c>
      <c r="D205" s="24">
        <f t="shared" si="39"/>
        <v>1</v>
      </c>
      <c r="E205" s="24" t="str">
        <f t="shared" si="45"/>
        <v/>
      </c>
      <c r="F205" s="24">
        <f t="shared" si="40"/>
        <v>0</v>
      </c>
      <c r="G205" s="24" t="str">
        <f t="shared" si="46"/>
        <v>VBLBAF5004BK</v>
      </c>
      <c r="H205" s="24">
        <f t="shared" si="41"/>
        <v>1</v>
      </c>
      <c r="I205" s="24" t="str">
        <f t="shared" si="47"/>
        <v/>
      </c>
      <c r="J205" s="24">
        <f t="shared" si="42"/>
        <v>0</v>
      </c>
      <c r="K205" s="24" t="str">
        <f t="shared" si="48"/>
        <v>F5</v>
      </c>
      <c r="L205" s="24" t="str">
        <f>VLOOKUP(N205,CODE!K:P,CODE!$P$1,FALSE)</f>
        <v>모자</v>
      </c>
      <c r="M205" s="24" t="str">
        <f>VLOOKUP(MID(R205,1,3),CODE!$B:$G,CODE!D$1,FALSE)</f>
        <v>VBL</v>
      </c>
      <c r="N205" s="24" t="str">
        <f t="shared" si="49"/>
        <v>BA</v>
      </c>
      <c r="O205" s="29" t="str">
        <f>IF(ISERROR(IF(VLOOKUP($N205,CODE!$K:$P,CODE!$O$1,FALSE)="",$M205,$M205&amp;"-"&amp;VLOOKUP($N205,CODE!$K:$P,CODE!$O$1,FALSE)))=TRUE,"",IF(VLOOKUP($N205,CODE!$K:$P,CODE!$O$1,FALSE)="",$M205,$M205&amp;"-"&amp;VLOOKUP($N205,CODE!$K:$P,CODE!$O$1,FALSE)))</f>
        <v>VBL</v>
      </c>
      <c r="P205" s="29" t="str">
        <f t="shared" si="50"/>
        <v>성인</v>
      </c>
      <c r="Q205" s="29" t="str">
        <f t="shared" si="51"/>
        <v>VBLBAF5004</v>
      </c>
      <c r="R205" s="1" t="s">
        <v>1001</v>
      </c>
      <c r="S205" s="1" t="s">
        <v>14</v>
      </c>
      <c r="T205" s="26">
        <v>1200</v>
      </c>
      <c r="U205" s="26">
        <v>58800000</v>
      </c>
      <c r="V205" s="26">
        <v>7999020.0000000019</v>
      </c>
      <c r="W205" s="26">
        <v>6.6826368048267719</v>
      </c>
      <c r="X205" s="26">
        <v>1199</v>
      </c>
      <c r="Y205" s="26">
        <v>0</v>
      </c>
    </row>
    <row r="206" spans="1:25">
      <c r="A206" s="24" t="str">
        <f t="shared" si="43"/>
        <v>신규</v>
      </c>
      <c r="B206" s="24" t="str">
        <f>IF(COUNTIF(R$1:R205,R206)=0,"최초","리오더")</f>
        <v>최초</v>
      </c>
      <c r="C206" s="24" t="str">
        <f t="shared" si="44"/>
        <v>VBLERF5005</v>
      </c>
      <c r="D206" s="24">
        <f t="shared" si="39"/>
        <v>1</v>
      </c>
      <c r="E206" s="24" t="str">
        <f t="shared" si="45"/>
        <v/>
      </c>
      <c r="F206" s="24">
        <f t="shared" si="40"/>
        <v>0</v>
      </c>
      <c r="G206" s="24" t="str">
        <f t="shared" si="46"/>
        <v>VBLERF5005BK</v>
      </c>
      <c r="H206" s="24">
        <f t="shared" si="41"/>
        <v>1</v>
      </c>
      <c r="I206" s="24" t="str">
        <f t="shared" si="47"/>
        <v/>
      </c>
      <c r="J206" s="24">
        <f t="shared" si="42"/>
        <v>0</v>
      </c>
      <c r="K206" s="24" t="str">
        <f t="shared" si="48"/>
        <v>F5</v>
      </c>
      <c r="L206" s="24" t="str">
        <f>VLOOKUP(N206,CODE!K:P,CODE!$P$1,FALSE)</f>
        <v>모자</v>
      </c>
      <c r="M206" s="24" t="str">
        <f>VLOOKUP(MID(R206,1,3),CODE!$B:$G,CODE!D$1,FALSE)</f>
        <v>VBL</v>
      </c>
      <c r="N206" s="24" t="str">
        <f t="shared" si="49"/>
        <v>ER</v>
      </c>
      <c r="O206" s="29" t="str">
        <f>IF(ISERROR(IF(VLOOKUP($N206,CODE!$K:$P,CODE!$O$1,FALSE)="",$M206,$M206&amp;"-"&amp;VLOOKUP($N206,CODE!$K:$P,CODE!$O$1,FALSE)))=TRUE,"",IF(VLOOKUP($N206,CODE!$K:$P,CODE!$O$1,FALSE)="",$M206,$M206&amp;"-"&amp;VLOOKUP($N206,CODE!$K:$P,CODE!$O$1,FALSE)))</f>
        <v>VBL</v>
      </c>
      <c r="P206" s="29" t="str">
        <f t="shared" si="50"/>
        <v>성인</v>
      </c>
      <c r="Q206" s="29" t="str">
        <f t="shared" si="51"/>
        <v>VBLERF5005</v>
      </c>
      <c r="R206" s="1" t="s">
        <v>1002</v>
      </c>
      <c r="S206" s="1" t="s">
        <v>14</v>
      </c>
      <c r="T206" s="26">
        <v>1200</v>
      </c>
      <c r="U206" s="26">
        <v>66000000</v>
      </c>
      <c r="V206" s="26">
        <v>8125824.0000000009</v>
      </c>
      <c r="W206" s="26">
        <v>7.3838665469495748</v>
      </c>
      <c r="X206" s="26">
        <v>1200</v>
      </c>
      <c r="Y206" s="26">
        <v>0</v>
      </c>
    </row>
    <row r="207" spans="1:25">
      <c r="A207" s="24" t="str">
        <f t="shared" si="43"/>
        <v>신규</v>
      </c>
      <c r="B207" s="24" t="str">
        <f>IF(COUNTIF(R$1:R206,R207)=0,"최초","리오더")</f>
        <v>최초</v>
      </c>
      <c r="C207" s="24" t="str">
        <f t="shared" si="44"/>
        <v>VBLERF5006</v>
      </c>
      <c r="D207" s="24">
        <f t="shared" si="39"/>
        <v>1</v>
      </c>
      <c r="E207" s="24" t="str">
        <f t="shared" si="45"/>
        <v/>
      </c>
      <c r="F207" s="24">
        <f t="shared" si="40"/>
        <v>0</v>
      </c>
      <c r="G207" s="24" t="str">
        <f t="shared" si="46"/>
        <v>VBLERF5006GY</v>
      </c>
      <c r="H207" s="24">
        <f t="shared" si="41"/>
        <v>1</v>
      </c>
      <c r="I207" s="24" t="str">
        <f t="shared" si="47"/>
        <v/>
      </c>
      <c r="J207" s="24">
        <f t="shared" si="42"/>
        <v>0</v>
      </c>
      <c r="K207" s="24" t="str">
        <f t="shared" si="48"/>
        <v>F5</v>
      </c>
      <c r="L207" s="24" t="str">
        <f>VLOOKUP(N207,CODE!K:P,CODE!$P$1,FALSE)</f>
        <v>모자</v>
      </c>
      <c r="M207" s="24" t="str">
        <f>VLOOKUP(MID(R207,1,3),CODE!$B:$G,CODE!D$1,FALSE)</f>
        <v>VBL</v>
      </c>
      <c r="N207" s="24" t="str">
        <f t="shared" si="49"/>
        <v>ER</v>
      </c>
      <c r="O207" s="29" t="str">
        <f>IF(ISERROR(IF(VLOOKUP($N207,CODE!$K:$P,CODE!$O$1,FALSE)="",$M207,$M207&amp;"-"&amp;VLOOKUP($N207,CODE!$K:$P,CODE!$O$1,FALSE)))=TRUE,"",IF(VLOOKUP($N207,CODE!$K:$P,CODE!$O$1,FALSE)="",$M207,$M207&amp;"-"&amp;VLOOKUP($N207,CODE!$K:$P,CODE!$O$1,FALSE)))</f>
        <v>VBL</v>
      </c>
      <c r="P207" s="29" t="str">
        <f t="shared" si="50"/>
        <v>성인</v>
      </c>
      <c r="Q207" s="29" t="str">
        <f t="shared" si="51"/>
        <v>VBLERF5006</v>
      </c>
      <c r="R207" s="1" t="s">
        <v>1003</v>
      </c>
      <c r="S207" s="1" t="s">
        <v>14</v>
      </c>
      <c r="T207" s="26">
        <v>1200</v>
      </c>
      <c r="U207" s="26">
        <v>70800000</v>
      </c>
      <c r="V207" s="26">
        <v>8867244.0000000019</v>
      </c>
      <c r="W207" s="26">
        <v>7.2585841061367375</v>
      </c>
      <c r="X207" s="26">
        <v>1014</v>
      </c>
      <c r="Y207" s="26">
        <v>0</v>
      </c>
    </row>
    <row r="208" spans="1:25">
      <c r="A208" s="24" t="str">
        <f t="shared" si="43"/>
        <v>신규</v>
      </c>
      <c r="B208" s="24" t="str">
        <f>IF(COUNTIF(R$1:R207,R208)=0,"최초","리오더")</f>
        <v>최초</v>
      </c>
      <c r="C208" s="24" t="str">
        <f t="shared" si="44"/>
        <v>VBLERF5506</v>
      </c>
      <c r="D208" s="24">
        <f t="shared" si="39"/>
        <v>1</v>
      </c>
      <c r="E208" s="24" t="str">
        <f t="shared" si="45"/>
        <v/>
      </c>
      <c r="F208" s="24">
        <f t="shared" si="40"/>
        <v>0</v>
      </c>
      <c r="G208" s="24" t="str">
        <f t="shared" si="46"/>
        <v>VBLERF5506GY</v>
      </c>
      <c r="H208" s="24">
        <f t="shared" si="41"/>
        <v>1</v>
      </c>
      <c r="I208" s="24" t="str">
        <f t="shared" si="47"/>
        <v/>
      </c>
      <c r="J208" s="24">
        <f t="shared" si="42"/>
        <v>0</v>
      </c>
      <c r="K208" s="24" t="str">
        <f t="shared" si="48"/>
        <v>F5</v>
      </c>
      <c r="L208" s="24" t="str">
        <f>VLOOKUP(N208,CODE!K:P,CODE!$P$1,FALSE)</f>
        <v>모자</v>
      </c>
      <c r="M208" s="24" t="str">
        <f>VLOOKUP(MID(R208,1,3),CODE!$B:$G,CODE!D$1,FALSE)</f>
        <v>VBL</v>
      </c>
      <c r="N208" s="24" t="str">
        <f t="shared" si="49"/>
        <v>ER</v>
      </c>
      <c r="O208" s="29" t="str">
        <f>IF(ISERROR(IF(VLOOKUP($N208,CODE!$K:$P,CODE!$O$1,FALSE)="",$M208,$M208&amp;"-"&amp;VLOOKUP($N208,CODE!$K:$P,CODE!$O$1,FALSE)))=TRUE,"",IF(VLOOKUP($N208,CODE!$K:$P,CODE!$O$1,FALSE)="",$M208,$M208&amp;"-"&amp;VLOOKUP($N208,CODE!$K:$P,CODE!$O$1,FALSE)))</f>
        <v>VBL</v>
      </c>
      <c r="P208" s="29" t="str">
        <f t="shared" si="50"/>
        <v>키즈</v>
      </c>
      <c r="Q208" s="29" t="str">
        <f t="shared" si="51"/>
        <v>VBLERF5506</v>
      </c>
      <c r="R208" s="1" t="s">
        <v>1004</v>
      </c>
      <c r="S208" s="1" t="s">
        <v>14</v>
      </c>
      <c r="T208" s="26">
        <v>1200</v>
      </c>
      <c r="U208" s="26">
        <v>66000000</v>
      </c>
      <c r="V208" s="26">
        <v>8698044.0000000019</v>
      </c>
      <c r="W208" s="26">
        <v>6.8981026078966705</v>
      </c>
      <c r="X208" s="26">
        <v>1183</v>
      </c>
      <c r="Y208" s="26">
        <v>0</v>
      </c>
    </row>
    <row r="209" spans="1:25">
      <c r="A209" s="24" t="str">
        <f t="shared" si="43"/>
        <v>신규</v>
      </c>
      <c r="B209" s="24" t="str">
        <f>IF(COUNTIF(R$1:R208,R209)=0,"최초","리오더")</f>
        <v>최초</v>
      </c>
      <c r="C209" s="24" t="str">
        <f t="shared" si="44"/>
        <v>VBLERF5007</v>
      </c>
      <c r="D209" s="24">
        <f t="shared" si="39"/>
        <v>1</v>
      </c>
      <c r="E209" s="24" t="str">
        <f t="shared" si="45"/>
        <v/>
      </c>
      <c r="F209" s="24">
        <f t="shared" si="40"/>
        <v>0</v>
      </c>
      <c r="G209" s="24" t="str">
        <f t="shared" si="46"/>
        <v>VBLERF5007GY</v>
      </c>
      <c r="H209" s="24">
        <f t="shared" si="41"/>
        <v>1</v>
      </c>
      <c r="I209" s="24" t="str">
        <f t="shared" si="47"/>
        <v/>
      </c>
      <c r="J209" s="24">
        <f t="shared" si="42"/>
        <v>0</v>
      </c>
      <c r="K209" s="24" t="str">
        <f t="shared" si="48"/>
        <v>F5</v>
      </c>
      <c r="L209" s="24" t="str">
        <f>VLOOKUP(N209,CODE!K:P,CODE!$P$1,FALSE)</f>
        <v>모자</v>
      </c>
      <c r="M209" s="24" t="str">
        <f>VLOOKUP(MID(R209,1,3),CODE!$B:$G,CODE!D$1,FALSE)</f>
        <v>VBL</v>
      </c>
      <c r="N209" s="24" t="str">
        <f t="shared" si="49"/>
        <v>ER</v>
      </c>
      <c r="O209" s="29" t="str">
        <f>IF(ISERROR(IF(VLOOKUP($N209,CODE!$K:$P,CODE!$O$1,FALSE)="",$M209,$M209&amp;"-"&amp;VLOOKUP($N209,CODE!$K:$P,CODE!$O$1,FALSE)))=TRUE,"",IF(VLOOKUP($N209,CODE!$K:$P,CODE!$O$1,FALSE)="",$M209,$M209&amp;"-"&amp;VLOOKUP($N209,CODE!$K:$P,CODE!$O$1,FALSE)))</f>
        <v>VBL</v>
      </c>
      <c r="P209" s="29" t="str">
        <f t="shared" si="50"/>
        <v>성인</v>
      </c>
      <c r="Q209" s="29" t="str">
        <f t="shared" si="51"/>
        <v>VBLERF5007</v>
      </c>
      <c r="R209" s="1" t="s">
        <v>1005</v>
      </c>
      <c r="S209" s="1" t="s">
        <v>14</v>
      </c>
      <c r="T209" s="26">
        <v>1200</v>
      </c>
      <c r="U209" s="26">
        <v>70800000</v>
      </c>
      <c r="V209" s="26">
        <v>8897148.0000000019</v>
      </c>
      <c r="W209" s="26">
        <v>7.2341874456439692</v>
      </c>
      <c r="X209" s="26">
        <v>1198</v>
      </c>
      <c r="Y209" s="26">
        <v>0</v>
      </c>
    </row>
    <row r="210" spans="1:25">
      <c r="A210" s="24" t="str">
        <f t="shared" si="43"/>
        <v>신규</v>
      </c>
      <c r="B210" s="24" t="str">
        <f>IF(COUNTIF(R$1:R209,R210)=0,"최초","리오더")</f>
        <v>최초</v>
      </c>
      <c r="C210" s="24" t="str">
        <f t="shared" si="44"/>
        <v>VBLERF5507</v>
      </c>
      <c r="D210" s="24">
        <f t="shared" si="39"/>
        <v>1</v>
      </c>
      <c r="E210" s="24" t="str">
        <f t="shared" si="45"/>
        <v/>
      </c>
      <c r="F210" s="24">
        <f t="shared" si="40"/>
        <v>0</v>
      </c>
      <c r="G210" s="24" t="str">
        <f t="shared" si="46"/>
        <v>VBLERF5507GY</v>
      </c>
      <c r="H210" s="24">
        <f t="shared" si="41"/>
        <v>1</v>
      </c>
      <c r="I210" s="24" t="str">
        <f t="shared" si="47"/>
        <v/>
      </c>
      <c r="J210" s="24">
        <f t="shared" si="42"/>
        <v>0</v>
      </c>
      <c r="K210" s="24" t="str">
        <f t="shared" si="48"/>
        <v>F5</v>
      </c>
      <c r="L210" s="24" t="str">
        <f>VLOOKUP(N210,CODE!K:P,CODE!$P$1,FALSE)</f>
        <v>모자</v>
      </c>
      <c r="M210" s="24" t="str">
        <f>VLOOKUP(MID(R210,1,3),CODE!$B:$G,CODE!D$1,FALSE)</f>
        <v>VBL</v>
      </c>
      <c r="N210" s="24" t="str">
        <f t="shared" si="49"/>
        <v>ER</v>
      </c>
      <c r="O210" s="29" t="str">
        <f>IF(ISERROR(IF(VLOOKUP($N210,CODE!$K:$P,CODE!$O$1,FALSE)="",$M210,$M210&amp;"-"&amp;VLOOKUP($N210,CODE!$K:$P,CODE!$O$1,FALSE)))=TRUE,"",IF(VLOOKUP($N210,CODE!$K:$P,CODE!$O$1,FALSE)="",$M210,$M210&amp;"-"&amp;VLOOKUP($N210,CODE!$K:$P,CODE!$O$1,FALSE)))</f>
        <v>VBL</v>
      </c>
      <c r="P210" s="29" t="str">
        <f t="shared" si="50"/>
        <v>키즈</v>
      </c>
      <c r="Q210" s="29" t="str">
        <f t="shared" si="51"/>
        <v>VBLERF5507</v>
      </c>
      <c r="R210" s="1" t="s">
        <v>1006</v>
      </c>
      <c r="S210" s="1" t="s">
        <v>14</v>
      </c>
      <c r="T210" s="26">
        <v>1200</v>
      </c>
      <c r="U210" s="26">
        <v>66000000</v>
      </c>
      <c r="V210" s="26">
        <v>8897148.0000000019</v>
      </c>
      <c r="W210" s="26">
        <v>6.7437340594986148</v>
      </c>
      <c r="X210" s="26">
        <v>1198</v>
      </c>
      <c r="Y210" s="26">
        <v>0</v>
      </c>
    </row>
    <row r="211" spans="1:25">
      <c r="A211" s="24" t="str">
        <f t="shared" si="43"/>
        <v>신규</v>
      </c>
      <c r="B211" s="24" t="str">
        <f>IF(COUNTIF(R$1:R210,R211)=0,"최초","리오더")</f>
        <v>최초</v>
      </c>
      <c r="C211" s="24" t="str">
        <f t="shared" si="44"/>
        <v>HCUMIF5001</v>
      </c>
      <c r="D211" s="24">
        <f t="shared" si="39"/>
        <v>0.5</v>
      </c>
      <c r="E211" s="24" t="str">
        <f t="shared" si="45"/>
        <v/>
      </c>
      <c r="F211" s="24">
        <f t="shared" si="40"/>
        <v>0</v>
      </c>
      <c r="G211" s="24" t="str">
        <f t="shared" si="46"/>
        <v>HCUMIF5001NY</v>
      </c>
      <c r="H211" s="24">
        <f t="shared" si="41"/>
        <v>1</v>
      </c>
      <c r="I211" s="24" t="str">
        <f t="shared" si="47"/>
        <v/>
      </c>
      <c r="J211" s="24">
        <f t="shared" si="42"/>
        <v>0</v>
      </c>
      <c r="K211" s="24" t="str">
        <f t="shared" si="48"/>
        <v>F5</v>
      </c>
      <c r="L211" s="24" t="str">
        <f>VLOOKUP(N211,CODE!K:P,CODE!$P$1,FALSE)</f>
        <v>모자</v>
      </c>
      <c r="M211" s="24" t="str">
        <f>VLOOKUP(MID(R211,1,3),CODE!$B:$G,CODE!D$1,FALSE)</f>
        <v>HCU</v>
      </c>
      <c r="N211" s="24" t="str">
        <f t="shared" si="49"/>
        <v>MI</v>
      </c>
      <c r="O211" s="29" t="str">
        <f>IF(ISERROR(IF(VLOOKUP($N211,CODE!$K:$P,CODE!$O$1,FALSE)="",$M211,$M211&amp;"-"&amp;VLOOKUP($N211,CODE!$K:$P,CODE!$O$1,FALSE)))=TRUE,"",IF(VLOOKUP($N211,CODE!$K:$P,CODE!$O$1,FALSE)="",$M211,$M211&amp;"-"&amp;VLOOKUP($N211,CODE!$K:$P,CODE!$O$1,FALSE)))</f>
        <v>HCU</v>
      </c>
      <c r="P211" s="29" t="str">
        <f t="shared" si="50"/>
        <v>성인</v>
      </c>
      <c r="Q211" s="29" t="str">
        <f t="shared" si="51"/>
        <v>HCUMIF5001</v>
      </c>
      <c r="R211" s="1" t="s">
        <v>1007</v>
      </c>
      <c r="S211" s="1" t="s">
        <v>14</v>
      </c>
      <c r="T211" s="26">
        <v>1000</v>
      </c>
      <c r="U211" s="26">
        <v>53000000</v>
      </c>
      <c r="V211" s="26">
        <v>7678520</v>
      </c>
      <c r="W211" s="26">
        <v>6.2748834647585969</v>
      </c>
      <c r="X211" s="26">
        <v>1010</v>
      </c>
      <c r="Y211" s="26">
        <v>0</v>
      </c>
    </row>
    <row r="212" spans="1:25">
      <c r="A212" s="24" t="str">
        <f t="shared" si="43"/>
        <v>신규</v>
      </c>
      <c r="B212" s="24" t="str">
        <f>IF(COUNTIF(R$1:R211,R212)=0,"최초","리오더")</f>
        <v>최초</v>
      </c>
      <c r="C212" s="24" t="str">
        <f t="shared" si="44"/>
        <v>HCUMIF5001</v>
      </c>
      <c r="D212" s="24">
        <f t="shared" si="39"/>
        <v>0.5</v>
      </c>
      <c r="E212" s="24" t="str">
        <f t="shared" si="45"/>
        <v/>
      </c>
      <c r="F212" s="24">
        <f t="shared" si="40"/>
        <v>0</v>
      </c>
      <c r="G212" s="24" t="str">
        <f t="shared" si="46"/>
        <v>HCUMIF5001BK</v>
      </c>
      <c r="H212" s="24">
        <f t="shared" si="41"/>
        <v>1</v>
      </c>
      <c r="I212" s="24" t="str">
        <f t="shared" si="47"/>
        <v/>
      </c>
      <c r="J212" s="24">
        <f t="shared" si="42"/>
        <v>0</v>
      </c>
      <c r="K212" s="24" t="str">
        <f t="shared" si="48"/>
        <v>F5</v>
      </c>
      <c r="L212" s="24" t="str">
        <f>VLOOKUP(N212,CODE!K:P,CODE!$P$1,FALSE)</f>
        <v>모자</v>
      </c>
      <c r="M212" s="24" t="str">
        <f>VLOOKUP(MID(R212,1,3),CODE!$B:$G,CODE!D$1,FALSE)</f>
        <v>HCU</v>
      </c>
      <c r="N212" s="24" t="str">
        <f t="shared" si="49"/>
        <v>MI</v>
      </c>
      <c r="O212" s="29" t="str">
        <f>IF(ISERROR(IF(VLOOKUP($N212,CODE!$K:$P,CODE!$O$1,FALSE)="",$M212,$M212&amp;"-"&amp;VLOOKUP($N212,CODE!$K:$P,CODE!$O$1,FALSE)))=TRUE,"",IF(VLOOKUP($N212,CODE!$K:$P,CODE!$O$1,FALSE)="",$M212,$M212&amp;"-"&amp;VLOOKUP($N212,CODE!$K:$P,CODE!$O$1,FALSE)))</f>
        <v>HCU</v>
      </c>
      <c r="P212" s="29" t="str">
        <f t="shared" si="50"/>
        <v>성인</v>
      </c>
      <c r="Q212" s="29" t="str">
        <f t="shared" si="51"/>
        <v>HCUMIF5001</v>
      </c>
      <c r="R212" s="1" t="s">
        <v>1008</v>
      </c>
      <c r="S212" s="1" t="s">
        <v>14</v>
      </c>
      <c r="T212" s="26">
        <v>1000</v>
      </c>
      <c r="U212" s="26">
        <v>53000000</v>
      </c>
      <c r="V212" s="26">
        <v>7678520</v>
      </c>
      <c r="W212" s="26">
        <v>6.2748834647585969</v>
      </c>
      <c r="X212" s="26">
        <v>994</v>
      </c>
      <c r="Y212" s="26">
        <v>0</v>
      </c>
    </row>
    <row r="213" spans="1:25">
      <c r="A213" s="24" t="str">
        <f t="shared" si="43"/>
        <v>신규</v>
      </c>
      <c r="B213" s="24" t="str">
        <f>IF(COUNTIF(R$1:R212,R213)=0,"최초","리오더")</f>
        <v>최초</v>
      </c>
      <c r="C213" s="24" t="str">
        <f t="shared" si="44"/>
        <v>HCUMIF5002</v>
      </c>
      <c r="D213" s="24">
        <f t="shared" si="39"/>
        <v>1</v>
      </c>
      <c r="E213" s="24" t="str">
        <f t="shared" si="45"/>
        <v/>
      </c>
      <c r="F213" s="24">
        <f t="shared" si="40"/>
        <v>0</v>
      </c>
      <c r="G213" s="24" t="str">
        <f t="shared" si="46"/>
        <v>HCUMIF5002GY</v>
      </c>
      <c r="H213" s="24">
        <f t="shared" si="41"/>
        <v>1</v>
      </c>
      <c r="I213" s="24" t="str">
        <f t="shared" si="47"/>
        <v/>
      </c>
      <c r="J213" s="24">
        <f t="shared" si="42"/>
        <v>0</v>
      </c>
      <c r="K213" s="24" t="str">
        <f t="shared" si="48"/>
        <v>F5</v>
      </c>
      <c r="L213" s="24" t="str">
        <f>VLOOKUP(N213,CODE!K:P,CODE!$P$1,FALSE)</f>
        <v>모자</v>
      </c>
      <c r="M213" s="24" t="str">
        <f>VLOOKUP(MID(R213,1,3),CODE!$B:$G,CODE!D$1,FALSE)</f>
        <v>HCU</v>
      </c>
      <c r="N213" s="24" t="str">
        <f t="shared" si="49"/>
        <v>MI</v>
      </c>
      <c r="O213" s="29" t="str">
        <f>IF(ISERROR(IF(VLOOKUP($N213,CODE!$K:$P,CODE!$O$1,FALSE)="",$M213,$M213&amp;"-"&amp;VLOOKUP($N213,CODE!$K:$P,CODE!$O$1,FALSE)))=TRUE,"",IF(VLOOKUP($N213,CODE!$K:$P,CODE!$O$1,FALSE)="",$M213,$M213&amp;"-"&amp;VLOOKUP($N213,CODE!$K:$P,CODE!$O$1,FALSE)))</f>
        <v>HCU</v>
      </c>
      <c r="P213" s="29" t="str">
        <f t="shared" si="50"/>
        <v>성인</v>
      </c>
      <c r="Q213" s="29" t="str">
        <f t="shared" si="51"/>
        <v>HCUMIF5002</v>
      </c>
      <c r="R213" s="1" t="s">
        <v>1009</v>
      </c>
      <c r="S213" s="1" t="s">
        <v>14</v>
      </c>
      <c r="T213" s="26">
        <v>1000</v>
      </c>
      <c r="U213" s="26">
        <v>53000000</v>
      </c>
      <c r="V213" s="26">
        <v>6865520</v>
      </c>
      <c r="W213" s="26">
        <v>7.0179415662350664</v>
      </c>
      <c r="X213" s="26">
        <v>1006</v>
      </c>
      <c r="Y213" s="26">
        <v>0</v>
      </c>
    </row>
    <row r="214" spans="1:25">
      <c r="A214" s="24" t="str">
        <f t="shared" si="43"/>
        <v>신규</v>
      </c>
      <c r="B214" s="24" t="str">
        <f>IF(COUNTIF(R$1:R213,R214)=0,"최초","리오더")</f>
        <v>최초</v>
      </c>
      <c r="C214" s="24" t="str">
        <f t="shared" si="44"/>
        <v>BROBAF5001</v>
      </c>
      <c r="D214" s="24">
        <f t="shared" si="39"/>
        <v>0.5</v>
      </c>
      <c r="E214" s="24" t="str">
        <f t="shared" si="45"/>
        <v/>
      </c>
      <c r="F214" s="24">
        <f t="shared" si="40"/>
        <v>0</v>
      </c>
      <c r="G214" s="24" t="str">
        <f t="shared" si="46"/>
        <v>BROBAF5001GY</v>
      </c>
      <c r="H214" s="24">
        <f t="shared" si="41"/>
        <v>1</v>
      </c>
      <c r="I214" s="24" t="str">
        <f t="shared" si="47"/>
        <v/>
      </c>
      <c r="J214" s="24">
        <f t="shared" si="42"/>
        <v>0</v>
      </c>
      <c r="K214" s="24" t="str">
        <f t="shared" si="48"/>
        <v>F5</v>
      </c>
      <c r="L214" s="24" t="str">
        <f>VLOOKUP(N214,CODE!K:P,CODE!$P$1,FALSE)</f>
        <v>모자</v>
      </c>
      <c r="M214" s="24" t="str">
        <f>VLOOKUP(MID(R214,1,3),CODE!$B:$G,CODE!D$1,FALSE)</f>
        <v>BRO</v>
      </c>
      <c r="N214" s="24" t="str">
        <f t="shared" si="49"/>
        <v>BA</v>
      </c>
      <c r="O214" s="29" t="str">
        <f>IF(ISERROR(IF(VLOOKUP($N214,CODE!$K:$P,CODE!$O$1,FALSE)="",$M214,$M214&amp;"-"&amp;VLOOKUP($N214,CODE!$K:$P,CODE!$O$1,FALSE)))=TRUE,"",IF(VLOOKUP($N214,CODE!$K:$P,CODE!$O$1,FALSE)="",$M214,$M214&amp;"-"&amp;VLOOKUP($N214,CODE!$K:$P,CODE!$O$1,FALSE)))</f>
        <v>BRO</v>
      </c>
      <c r="P214" s="29" t="str">
        <f t="shared" si="50"/>
        <v>성인</v>
      </c>
      <c r="Q214" s="29" t="str">
        <f t="shared" si="51"/>
        <v>BROBAF5001</v>
      </c>
      <c r="R214" s="1" t="s">
        <v>1010</v>
      </c>
      <c r="S214" s="1" t="s">
        <v>14</v>
      </c>
      <c r="T214" s="26">
        <v>1000</v>
      </c>
      <c r="U214" s="26">
        <v>49000000</v>
      </c>
      <c r="V214" s="26">
        <v>7379660.0000000009</v>
      </c>
      <c r="W214" s="26">
        <v>6.0362475433088427</v>
      </c>
      <c r="X214" s="26">
        <v>1013</v>
      </c>
      <c r="Y214" s="26">
        <v>0</v>
      </c>
    </row>
    <row r="215" spans="1:25">
      <c r="A215" s="24" t="str">
        <f t="shared" si="43"/>
        <v>신규</v>
      </c>
      <c r="B215" s="24" t="str">
        <f>IF(COUNTIF(R$1:R214,R215)=0,"최초","리오더")</f>
        <v>최초</v>
      </c>
      <c r="C215" s="24" t="str">
        <f t="shared" si="44"/>
        <v>BROBAF5001</v>
      </c>
      <c r="D215" s="24">
        <f t="shared" si="39"/>
        <v>0.5</v>
      </c>
      <c r="E215" s="24" t="str">
        <f t="shared" si="45"/>
        <v/>
      </c>
      <c r="F215" s="24">
        <f t="shared" si="40"/>
        <v>0</v>
      </c>
      <c r="G215" s="24" t="str">
        <f t="shared" si="46"/>
        <v>BROBAF5001PK</v>
      </c>
      <c r="H215" s="24">
        <f t="shared" si="41"/>
        <v>1</v>
      </c>
      <c r="I215" s="24" t="str">
        <f t="shared" si="47"/>
        <v/>
      </c>
      <c r="J215" s="24">
        <f t="shared" si="42"/>
        <v>0</v>
      </c>
      <c r="K215" s="24" t="str">
        <f t="shared" si="48"/>
        <v>F5</v>
      </c>
      <c r="L215" s="24" t="str">
        <f>VLOOKUP(N215,CODE!K:P,CODE!$P$1,FALSE)</f>
        <v>모자</v>
      </c>
      <c r="M215" s="24" t="str">
        <f>VLOOKUP(MID(R215,1,3),CODE!$B:$G,CODE!D$1,FALSE)</f>
        <v>BRO</v>
      </c>
      <c r="N215" s="24" t="str">
        <f t="shared" si="49"/>
        <v>BA</v>
      </c>
      <c r="O215" s="29" t="str">
        <f>IF(ISERROR(IF(VLOOKUP($N215,CODE!$K:$P,CODE!$O$1,FALSE)="",$M215,$M215&amp;"-"&amp;VLOOKUP($N215,CODE!$K:$P,CODE!$O$1,FALSE)))=TRUE,"",IF(VLOOKUP($N215,CODE!$K:$P,CODE!$O$1,FALSE)="",$M215,$M215&amp;"-"&amp;VLOOKUP($N215,CODE!$K:$P,CODE!$O$1,FALSE)))</f>
        <v>BRO</v>
      </c>
      <c r="P215" s="29" t="str">
        <f t="shared" si="50"/>
        <v>성인</v>
      </c>
      <c r="Q215" s="29" t="str">
        <f t="shared" si="51"/>
        <v>BROBAF5001</v>
      </c>
      <c r="R215" s="1" t="s">
        <v>1011</v>
      </c>
      <c r="S215" s="1" t="s">
        <v>14</v>
      </c>
      <c r="T215" s="26">
        <v>1000</v>
      </c>
      <c r="U215" s="26">
        <v>49000000</v>
      </c>
      <c r="V215" s="26">
        <v>7379660.0000000009</v>
      </c>
      <c r="W215" s="26">
        <v>6.0362475433088427</v>
      </c>
      <c r="X215" s="26">
        <v>983</v>
      </c>
      <c r="Y215" s="26">
        <v>0</v>
      </c>
    </row>
    <row r="216" spans="1:25">
      <c r="A216" s="24" t="str">
        <f t="shared" si="43"/>
        <v>신규</v>
      </c>
      <c r="B216" s="24" t="str">
        <f>IF(COUNTIF(R$1:R215,R216)=0,"최초","리오더")</f>
        <v>최초</v>
      </c>
      <c r="C216" s="24" t="str">
        <f t="shared" si="44"/>
        <v>BROBAF5002</v>
      </c>
      <c r="D216" s="24">
        <f t="shared" si="39"/>
        <v>1</v>
      </c>
      <c r="E216" s="24" t="str">
        <f t="shared" si="45"/>
        <v/>
      </c>
      <c r="F216" s="24">
        <f t="shared" si="40"/>
        <v>0</v>
      </c>
      <c r="G216" s="24" t="str">
        <f t="shared" si="46"/>
        <v>BROBAF5002BG</v>
      </c>
      <c r="H216" s="24">
        <f t="shared" si="41"/>
        <v>1</v>
      </c>
      <c r="I216" s="24" t="str">
        <f t="shared" si="47"/>
        <v/>
      </c>
      <c r="J216" s="24">
        <f t="shared" si="42"/>
        <v>0</v>
      </c>
      <c r="K216" s="24" t="str">
        <f t="shared" si="48"/>
        <v>F5</v>
      </c>
      <c r="L216" s="24" t="str">
        <f>VLOOKUP(N216,CODE!K:P,CODE!$P$1,FALSE)</f>
        <v>모자</v>
      </c>
      <c r="M216" s="24" t="str">
        <f>VLOOKUP(MID(R216,1,3),CODE!$B:$G,CODE!D$1,FALSE)</f>
        <v>BRO</v>
      </c>
      <c r="N216" s="24" t="str">
        <f t="shared" si="49"/>
        <v>BA</v>
      </c>
      <c r="O216" s="29" t="str">
        <f>IF(ISERROR(IF(VLOOKUP($N216,CODE!$K:$P,CODE!$O$1,FALSE)="",$M216,$M216&amp;"-"&amp;VLOOKUP($N216,CODE!$K:$P,CODE!$O$1,FALSE)))=TRUE,"",IF(VLOOKUP($N216,CODE!$K:$P,CODE!$O$1,FALSE)="",$M216,$M216&amp;"-"&amp;VLOOKUP($N216,CODE!$K:$P,CODE!$O$1,FALSE)))</f>
        <v>BRO</v>
      </c>
      <c r="P216" s="29" t="str">
        <f t="shared" si="50"/>
        <v>성인</v>
      </c>
      <c r="Q216" s="29" t="str">
        <f t="shared" si="51"/>
        <v>BROBAF5002</v>
      </c>
      <c r="R216" s="1" t="s">
        <v>1012</v>
      </c>
      <c r="S216" s="1" t="s">
        <v>14</v>
      </c>
      <c r="T216" s="26">
        <v>1000</v>
      </c>
      <c r="U216" s="26">
        <v>49000000</v>
      </c>
      <c r="V216" s="26">
        <v>7691510.0000000009</v>
      </c>
      <c r="W216" s="26">
        <v>5.7915096704619167</v>
      </c>
      <c r="X216" s="26">
        <v>998</v>
      </c>
      <c r="Y216" s="26">
        <v>0</v>
      </c>
    </row>
    <row r="217" spans="1:25">
      <c r="A217" s="24" t="str">
        <f t="shared" si="43"/>
        <v>신규</v>
      </c>
      <c r="B217" s="24" t="str">
        <f>IF(COUNTIF(R$1:R216,R217)=0,"최초","리오더")</f>
        <v>최초</v>
      </c>
      <c r="C217" s="24" t="str">
        <f t="shared" si="44"/>
        <v>BROBAF5003</v>
      </c>
      <c r="D217" s="24">
        <f t="shared" si="39"/>
        <v>1</v>
      </c>
      <c r="E217" s="24" t="str">
        <f t="shared" si="45"/>
        <v/>
      </c>
      <c r="F217" s="24">
        <f t="shared" si="40"/>
        <v>0</v>
      </c>
      <c r="G217" s="24" t="str">
        <f t="shared" si="46"/>
        <v>BROBAF5003NY</v>
      </c>
      <c r="H217" s="24">
        <f t="shared" si="41"/>
        <v>1</v>
      </c>
      <c r="I217" s="24" t="str">
        <f t="shared" si="47"/>
        <v/>
      </c>
      <c r="J217" s="24">
        <f t="shared" si="42"/>
        <v>0</v>
      </c>
      <c r="K217" s="24" t="str">
        <f t="shared" si="48"/>
        <v>F5</v>
      </c>
      <c r="L217" s="24" t="str">
        <f>VLOOKUP(N217,CODE!K:P,CODE!$P$1,FALSE)</f>
        <v>모자</v>
      </c>
      <c r="M217" s="24" t="str">
        <f>VLOOKUP(MID(R217,1,3),CODE!$B:$G,CODE!D$1,FALSE)</f>
        <v>BRO</v>
      </c>
      <c r="N217" s="24" t="str">
        <f t="shared" si="49"/>
        <v>BA</v>
      </c>
      <c r="O217" s="29" t="str">
        <f>IF(ISERROR(IF(VLOOKUP($N217,CODE!$K:$P,CODE!$O$1,FALSE)="",$M217,$M217&amp;"-"&amp;VLOOKUP($N217,CODE!$K:$P,CODE!$O$1,FALSE)))=TRUE,"",IF(VLOOKUP($N217,CODE!$K:$P,CODE!$O$1,FALSE)="",$M217,$M217&amp;"-"&amp;VLOOKUP($N217,CODE!$K:$P,CODE!$O$1,FALSE)))</f>
        <v>BRO</v>
      </c>
      <c r="P217" s="29" t="str">
        <f t="shared" si="50"/>
        <v>성인</v>
      </c>
      <c r="Q217" s="29" t="str">
        <f t="shared" si="51"/>
        <v>BROBAF5003</v>
      </c>
      <c r="R217" s="1" t="s">
        <v>1013</v>
      </c>
      <c r="S217" s="1" t="s">
        <v>14</v>
      </c>
      <c r="T217" s="26">
        <v>1000</v>
      </c>
      <c r="U217" s="26">
        <v>49000000</v>
      </c>
      <c r="V217" s="26">
        <v>8375730.0000000009</v>
      </c>
      <c r="W217" s="26">
        <v>5.3183966705534367</v>
      </c>
      <c r="X217" s="26">
        <v>997</v>
      </c>
      <c r="Y217" s="26">
        <v>0</v>
      </c>
    </row>
    <row r="218" spans="1:25">
      <c r="A218" s="24" t="str">
        <f t="shared" si="43"/>
        <v>신규</v>
      </c>
      <c r="B218" s="24" t="str">
        <f>IF(COUNTIF(R$1:R217,R218)=0,"최초","리오더")</f>
        <v>최초</v>
      </c>
      <c r="C218" s="24" t="str">
        <f t="shared" si="44"/>
        <v>BROERF5004</v>
      </c>
      <c r="D218" s="24">
        <f t="shared" si="39"/>
        <v>1</v>
      </c>
      <c r="E218" s="24" t="str">
        <f t="shared" si="45"/>
        <v/>
      </c>
      <c r="F218" s="24">
        <f t="shared" si="40"/>
        <v>0</v>
      </c>
      <c r="G218" s="24" t="str">
        <f t="shared" si="46"/>
        <v>BROERF5004WH</v>
      </c>
      <c r="H218" s="24">
        <f t="shared" si="41"/>
        <v>1</v>
      </c>
      <c r="I218" s="24" t="str">
        <f t="shared" si="47"/>
        <v/>
      </c>
      <c r="J218" s="24">
        <f t="shared" si="42"/>
        <v>0</v>
      </c>
      <c r="K218" s="24" t="str">
        <f t="shared" si="48"/>
        <v>F5</v>
      </c>
      <c r="L218" s="24" t="str">
        <f>VLOOKUP(N218,CODE!K:P,CODE!$P$1,FALSE)</f>
        <v>모자</v>
      </c>
      <c r="M218" s="24" t="str">
        <f>VLOOKUP(MID(R218,1,3),CODE!$B:$G,CODE!D$1,FALSE)</f>
        <v>BRO</v>
      </c>
      <c r="N218" s="24" t="str">
        <f t="shared" si="49"/>
        <v>ER</v>
      </c>
      <c r="O218" s="29" t="str">
        <f>IF(ISERROR(IF(VLOOKUP($N218,CODE!$K:$P,CODE!$O$1,FALSE)="",$M218,$M218&amp;"-"&amp;VLOOKUP($N218,CODE!$K:$P,CODE!$O$1,FALSE)))=TRUE,"",IF(VLOOKUP($N218,CODE!$K:$P,CODE!$O$1,FALSE)="",$M218,$M218&amp;"-"&amp;VLOOKUP($N218,CODE!$K:$P,CODE!$O$1,FALSE)))</f>
        <v>BRO</v>
      </c>
      <c r="P218" s="29" t="str">
        <f t="shared" si="50"/>
        <v>성인</v>
      </c>
      <c r="Q218" s="29" t="str">
        <f t="shared" si="51"/>
        <v>BROERF5004</v>
      </c>
      <c r="R218" s="1" t="s">
        <v>1014</v>
      </c>
      <c r="S218" s="1" t="s">
        <v>14</v>
      </c>
      <c r="T218" s="26">
        <v>1000</v>
      </c>
      <c r="U218" s="26">
        <v>59000000</v>
      </c>
      <c r="V218" s="26">
        <v>9375500</v>
      </c>
      <c r="W218" s="26">
        <v>5.7209070061717924</v>
      </c>
      <c r="X218" s="26">
        <v>975</v>
      </c>
      <c r="Y218" s="26">
        <v>0</v>
      </c>
    </row>
    <row r="219" spans="1:25">
      <c r="A219" s="24" t="str">
        <f t="shared" si="43"/>
        <v>신규</v>
      </c>
      <c r="B219" s="24" t="str">
        <f>IF(COUNTIF(R$1:R218,R219)=0,"최초","리오더")</f>
        <v>최초</v>
      </c>
      <c r="C219" s="24" t="str">
        <f t="shared" si="44"/>
        <v>BROERF5504</v>
      </c>
      <c r="D219" s="24">
        <f t="shared" si="39"/>
        <v>1</v>
      </c>
      <c r="E219" s="24" t="str">
        <f t="shared" si="45"/>
        <v/>
      </c>
      <c r="F219" s="24">
        <f t="shared" si="40"/>
        <v>0</v>
      </c>
      <c r="G219" s="24" t="str">
        <f t="shared" si="46"/>
        <v>BROERF5504WH</v>
      </c>
      <c r="H219" s="24">
        <f t="shared" si="41"/>
        <v>1</v>
      </c>
      <c r="I219" s="24" t="str">
        <f t="shared" si="47"/>
        <v/>
      </c>
      <c r="J219" s="24">
        <f t="shared" si="42"/>
        <v>0</v>
      </c>
      <c r="K219" s="24" t="str">
        <f t="shared" si="48"/>
        <v>F5</v>
      </c>
      <c r="L219" s="24" t="str">
        <f>VLOOKUP(N219,CODE!K:P,CODE!$P$1,FALSE)</f>
        <v>모자</v>
      </c>
      <c r="M219" s="24" t="str">
        <f>VLOOKUP(MID(R219,1,3),CODE!$B:$G,CODE!D$1,FALSE)</f>
        <v>BRO</v>
      </c>
      <c r="N219" s="24" t="str">
        <f t="shared" si="49"/>
        <v>ER</v>
      </c>
      <c r="O219" s="29" t="str">
        <f>IF(ISERROR(IF(VLOOKUP($N219,CODE!$K:$P,CODE!$O$1,FALSE)="",$M219,$M219&amp;"-"&amp;VLOOKUP($N219,CODE!$K:$P,CODE!$O$1,FALSE)))=TRUE,"",IF(VLOOKUP($N219,CODE!$K:$P,CODE!$O$1,FALSE)="",$M219,$M219&amp;"-"&amp;VLOOKUP($N219,CODE!$K:$P,CODE!$O$1,FALSE)))</f>
        <v>BRO</v>
      </c>
      <c r="P219" s="29" t="str">
        <f t="shared" si="50"/>
        <v>키즈</v>
      </c>
      <c r="Q219" s="29" t="str">
        <f t="shared" si="51"/>
        <v>BROERF5504</v>
      </c>
      <c r="R219" s="1" t="s">
        <v>1015</v>
      </c>
      <c r="S219" s="1" t="s">
        <v>14</v>
      </c>
      <c r="T219" s="26">
        <v>1000</v>
      </c>
      <c r="U219" s="26">
        <v>55000000</v>
      </c>
      <c r="V219" s="26">
        <v>9375500</v>
      </c>
      <c r="W219" s="26">
        <v>5.3330489040584501</v>
      </c>
      <c r="X219" s="26">
        <v>903</v>
      </c>
      <c r="Y219" s="26">
        <v>0</v>
      </c>
    </row>
    <row r="220" spans="1:25">
      <c r="A220" s="24" t="str">
        <f t="shared" si="43"/>
        <v>신규</v>
      </c>
      <c r="B220" s="24" t="str">
        <f>IF(COUNTIF(R$1:R219,R220)=0,"최초","리오더")</f>
        <v>최초</v>
      </c>
      <c r="C220" s="24" t="str">
        <f t="shared" si="44"/>
        <v>BROERF5005</v>
      </c>
      <c r="D220" s="24">
        <f t="shared" si="39"/>
        <v>1</v>
      </c>
      <c r="E220" s="24" t="str">
        <f t="shared" si="45"/>
        <v/>
      </c>
      <c r="F220" s="24">
        <f t="shared" si="40"/>
        <v>0</v>
      </c>
      <c r="G220" s="24" t="str">
        <f t="shared" si="46"/>
        <v>BROERF5005RE</v>
      </c>
      <c r="H220" s="24">
        <f t="shared" si="41"/>
        <v>1</v>
      </c>
      <c r="I220" s="24" t="str">
        <f t="shared" si="47"/>
        <v/>
      </c>
      <c r="J220" s="24">
        <f t="shared" si="42"/>
        <v>0</v>
      </c>
      <c r="K220" s="24" t="str">
        <f t="shared" si="48"/>
        <v>F5</v>
      </c>
      <c r="L220" s="24" t="str">
        <f>VLOOKUP(N220,CODE!K:P,CODE!$P$1,FALSE)</f>
        <v>모자</v>
      </c>
      <c r="M220" s="24" t="str">
        <f>VLOOKUP(MID(R220,1,3),CODE!$B:$G,CODE!D$1,FALSE)</f>
        <v>BRO</v>
      </c>
      <c r="N220" s="24" t="str">
        <f t="shared" si="49"/>
        <v>ER</v>
      </c>
      <c r="O220" s="29" t="str">
        <f>IF(ISERROR(IF(VLOOKUP($N220,CODE!$K:$P,CODE!$O$1,FALSE)="",$M220,$M220&amp;"-"&amp;VLOOKUP($N220,CODE!$K:$P,CODE!$O$1,FALSE)))=TRUE,"",IF(VLOOKUP($N220,CODE!$K:$P,CODE!$O$1,FALSE)="",$M220,$M220&amp;"-"&amp;VLOOKUP($N220,CODE!$K:$P,CODE!$O$1,FALSE)))</f>
        <v>BRO</v>
      </c>
      <c r="P220" s="29" t="str">
        <f t="shared" si="50"/>
        <v>성인</v>
      </c>
      <c r="Q220" s="29" t="str">
        <f t="shared" si="51"/>
        <v>BROERF5005</v>
      </c>
      <c r="R220" s="1" t="s">
        <v>1016</v>
      </c>
      <c r="S220" s="1" t="s">
        <v>14</v>
      </c>
      <c r="T220" s="26">
        <v>1000</v>
      </c>
      <c r="U220" s="26">
        <v>59000000</v>
      </c>
      <c r="V220" s="26">
        <v>9001280</v>
      </c>
      <c r="W220" s="26">
        <v>5.9587484931436014</v>
      </c>
      <c r="X220" s="26">
        <v>1015</v>
      </c>
      <c r="Y220" s="26">
        <v>0</v>
      </c>
    </row>
    <row r="221" spans="1:25">
      <c r="A221" s="24" t="str">
        <f t="shared" si="43"/>
        <v>신규</v>
      </c>
      <c r="B221" s="24" t="str">
        <f>IF(COUNTIF(R$1:R220,R221)=0,"최초","리오더")</f>
        <v>최초</v>
      </c>
      <c r="C221" s="24" t="str">
        <f t="shared" si="44"/>
        <v>BROERF5006</v>
      </c>
      <c r="D221" s="24">
        <f t="shared" si="39"/>
        <v>1</v>
      </c>
      <c r="E221" s="24" t="str">
        <f t="shared" si="45"/>
        <v/>
      </c>
      <c r="F221" s="24">
        <f t="shared" si="40"/>
        <v>0</v>
      </c>
      <c r="G221" s="24" t="str">
        <f t="shared" si="46"/>
        <v>BROERF5006BK</v>
      </c>
      <c r="H221" s="24">
        <f t="shared" si="41"/>
        <v>1</v>
      </c>
      <c r="I221" s="24" t="str">
        <f t="shared" si="47"/>
        <v/>
      </c>
      <c r="J221" s="24">
        <f t="shared" si="42"/>
        <v>0</v>
      </c>
      <c r="K221" s="24" t="str">
        <f t="shared" si="48"/>
        <v>F5</v>
      </c>
      <c r="L221" s="24" t="str">
        <f>VLOOKUP(N221,CODE!K:P,CODE!$P$1,FALSE)</f>
        <v>모자</v>
      </c>
      <c r="M221" s="24" t="str">
        <f>VLOOKUP(MID(R221,1,3),CODE!$B:$G,CODE!D$1,FALSE)</f>
        <v>BRO</v>
      </c>
      <c r="N221" s="24" t="str">
        <f t="shared" si="49"/>
        <v>ER</v>
      </c>
      <c r="O221" s="29" t="str">
        <f>IF(ISERROR(IF(VLOOKUP($N221,CODE!$K:$P,CODE!$O$1,FALSE)="",$M221,$M221&amp;"-"&amp;VLOOKUP($N221,CODE!$K:$P,CODE!$O$1,FALSE)))=TRUE,"",IF(VLOOKUP($N221,CODE!$K:$P,CODE!$O$1,FALSE)="",$M221,$M221&amp;"-"&amp;VLOOKUP($N221,CODE!$K:$P,CODE!$O$1,FALSE)))</f>
        <v>BRO</v>
      </c>
      <c r="P221" s="29" t="str">
        <f t="shared" si="50"/>
        <v>성인</v>
      </c>
      <c r="Q221" s="29" t="str">
        <f t="shared" si="51"/>
        <v>BROERF5006</v>
      </c>
      <c r="R221" s="1" t="s">
        <v>1017</v>
      </c>
      <c r="S221" s="1" t="s">
        <v>14</v>
      </c>
      <c r="T221" s="26">
        <v>1000</v>
      </c>
      <c r="U221" s="26">
        <v>59000000</v>
      </c>
      <c r="V221" s="26">
        <v>9562610</v>
      </c>
      <c r="W221" s="26">
        <v>5.608966969934321</v>
      </c>
      <c r="X221" s="26">
        <v>987</v>
      </c>
      <c r="Y221" s="26">
        <v>0</v>
      </c>
    </row>
    <row r="222" spans="1:25">
      <c r="A222" s="24" t="str">
        <f t="shared" si="43"/>
        <v>신규</v>
      </c>
      <c r="B222" s="24" t="str">
        <f>IF(COUNTIF(R$1:R221,R222)=0,"최초","리오더")</f>
        <v>최초</v>
      </c>
      <c r="C222" s="24" t="str">
        <f t="shared" si="44"/>
        <v>SBRMIF3001</v>
      </c>
      <c r="D222" s="24">
        <f t="shared" si="39"/>
        <v>0.5</v>
      </c>
      <c r="E222" s="24" t="str">
        <f t="shared" si="45"/>
        <v/>
      </c>
      <c r="F222" s="24">
        <f t="shared" si="40"/>
        <v>0</v>
      </c>
      <c r="G222" s="24" t="str">
        <f t="shared" si="46"/>
        <v>SBRMIF3001KH</v>
      </c>
      <c r="H222" s="24">
        <f t="shared" si="41"/>
        <v>1</v>
      </c>
      <c r="I222" s="24" t="str">
        <f t="shared" si="47"/>
        <v/>
      </c>
      <c r="J222" s="24">
        <f t="shared" si="42"/>
        <v>0</v>
      </c>
      <c r="K222" s="24" t="str">
        <f t="shared" si="48"/>
        <v>F3</v>
      </c>
      <c r="L222" s="24" t="str">
        <f>VLOOKUP(N222,CODE!K:P,CODE!$P$1,FALSE)</f>
        <v>모자</v>
      </c>
      <c r="M222" s="24" t="str">
        <f>VLOOKUP(MID(R222,1,3),CODE!$B:$G,CODE!D$1,FALSE)</f>
        <v>SBR</v>
      </c>
      <c r="N222" s="24" t="str">
        <f t="shared" si="49"/>
        <v>MI</v>
      </c>
      <c r="O222" s="29" t="str">
        <f>IF(ISERROR(IF(VLOOKUP($N222,CODE!$K:$P,CODE!$O$1,FALSE)="",$M222,$M222&amp;"-"&amp;VLOOKUP($N222,CODE!$K:$P,CODE!$O$1,FALSE)))=TRUE,"",IF(VLOOKUP($N222,CODE!$K:$P,CODE!$O$1,FALSE)="",$M222,$M222&amp;"-"&amp;VLOOKUP($N222,CODE!$K:$P,CODE!$O$1,FALSE)))</f>
        <v>SBR</v>
      </c>
      <c r="P222" s="29" t="str">
        <f t="shared" si="50"/>
        <v>성인</v>
      </c>
      <c r="Q222" s="29" t="str">
        <f t="shared" si="51"/>
        <v>SBRMIF3001</v>
      </c>
      <c r="R222" s="1" t="s">
        <v>1018</v>
      </c>
      <c r="S222" s="1" t="s">
        <v>14</v>
      </c>
      <c r="T222" s="26">
        <v>2000</v>
      </c>
      <c r="U222" s="26">
        <v>90000000</v>
      </c>
      <c r="V222" s="26">
        <v>12449052.000000004</v>
      </c>
      <c r="W222" s="26">
        <v>6.5722419520925603</v>
      </c>
      <c r="X222" s="26">
        <v>2000</v>
      </c>
      <c r="Y222" s="26">
        <v>0</v>
      </c>
    </row>
    <row r="223" spans="1:25">
      <c r="A223" s="24" t="str">
        <f t="shared" si="43"/>
        <v>신규</v>
      </c>
      <c r="B223" s="24" t="str">
        <f>IF(COUNTIF(R$1:R222,R223)=0,"최초","리오더")</f>
        <v>최초</v>
      </c>
      <c r="C223" s="24" t="str">
        <f t="shared" si="44"/>
        <v>SBRMIF3002</v>
      </c>
      <c r="D223" s="24">
        <f t="shared" si="39"/>
        <v>1</v>
      </c>
      <c r="E223" s="24" t="str">
        <f t="shared" si="45"/>
        <v/>
      </c>
      <c r="F223" s="24">
        <f t="shared" si="40"/>
        <v>0</v>
      </c>
      <c r="G223" s="24" t="str">
        <f t="shared" si="46"/>
        <v>SBRMIF3002BK</v>
      </c>
      <c r="H223" s="24">
        <f t="shared" si="41"/>
        <v>1</v>
      </c>
      <c r="I223" s="24" t="str">
        <f t="shared" si="47"/>
        <v/>
      </c>
      <c r="J223" s="24">
        <f t="shared" si="42"/>
        <v>0</v>
      </c>
      <c r="K223" s="24" t="str">
        <f t="shared" si="48"/>
        <v>F3</v>
      </c>
      <c r="L223" s="24" t="str">
        <f>VLOOKUP(N223,CODE!K:P,CODE!$P$1,FALSE)</f>
        <v>모자</v>
      </c>
      <c r="M223" s="24" t="str">
        <f>VLOOKUP(MID(R223,1,3),CODE!$B:$G,CODE!D$1,FALSE)</f>
        <v>SBR</v>
      </c>
      <c r="N223" s="24" t="str">
        <f t="shared" si="49"/>
        <v>MI</v>
      </c>
      <c r="O223" s="29" t="str">
        <f>IF(ISERROR(IF(VLOOKUP($N223,CODE!$K:$P,CODE!$O$1,FALSE)="",$M223,$M223&amp;"-"&amp;VLOOKUP($N223,CODE!$K:$P,CODE!$O$1,FALSE)))=TRUE,"",IF(VLOOKUP($N223,CODE!$K:$P,CODE!$O$1,FALSE)="",$M223,$M223&amp;"-"&amp;VLOOKUP($N223,CODE!$K:$P,CODE!$O$1,FALSE)))</f>
        <v>SBR</v>
      </c>
      <c r="P223" s="29" t="str">
        <f t="shared" si="50"/>
        <v>성인</v>
      </c>
      <c r="Q223" s="29" t="str">
        <f t="shared" si="51"/>
        <v>SBRMIF3002</v>
      </c>
      <c r="R223" s="1" t="s">
        <v>1019</v>
      </c>
      <c r="S223" s="1" t="s">
        <v>14</v>
      </c>
      <c r="T223" s="26">
        <v>2000</v>
      </c>
      <c r="U223" s="26">
        <v>58000000</v>
      </c>
      <c r="V223" s="26">
        <v>9473660</v>
      </c>
      <c r="W223" s="26">
        <v>5.5656707890374708</v>
      </c>
      <c r="X223" s="26">
        <v>2000</v>
      </c>
      <c r="Y223" s="26">
        <v>0</v>
      </c>
    </row>
    <row r="224" spans="1:25">
      <c r="A224" s="24" t="str">
        <f t="shared" si="43"/>
        <v>신규</v>
      </c>
      <c r="B224" s="24" t="str">
        <f>IF(COUNTIF(R$1:R223,R224)=0,"최초","리오더")</f>
        <v>최초</v>
      </c>
      <c r="C224" s="24" t="str">
        <f t="shared" si="44"/>
        <v>SBRMIF3003</v>
      </c>
      <c r="D224" s="24">
        <f t="shared" si="39"/>
        <v>1</v>
      </c>
      <c r="E224" s="24" t="str">
        <f t="shared" si="45"/>
        <v/>
      </c>
      <c r="F224" s="24">
        <f t="shared" si="40"/>
        <v>0</v>
      </c>
      <c r="G224" s="24" t="str">
        <f t="shared" si="46"/>
        <v>SBRMIF3003BK</v>
      </c>
      <c r="H224" s="24">
        <f t="shared" si="41"/>
        <v>1</v>
      </c>
      <c r="I224" s="24" t="str">
        <f t="shared" si="47"/>
        <v/>
      </c>
      <c r="J224" s="24">
        <f t="shared" si="42"/>
        <v>0</v>
      </c>
      <c r="K224" s="24" t="str">
        <f t="shared" si="48"/>
        <v>F3</v>
      </c>
      <c r="L224" s="24" t="str">
        <f>VLOOKUP(N224,CODE!K:P,CODE!$P$1,FALSE)</f>
        <v>모자</v>
      </c>
      <c r="M224" s="24" t="str">
        <f>VLOOKUP(MID(R224,1,3),CODE!$B:$G,CODE!D$1,FALSE)</f>
        <v>SBR</v>
      </c>
      <c r="N224" s="24" t="str">
        <f t="shared" si="49"/>
        <v>MI</v>
      </c>
      <c r="O224" s="29" t="str">
        <f>IF(ISERROR(IF(VLOOKUP($N224,CODE!$K:$P,CODE!$O$1,FALSE)="",$M224,$M224&amp;"-"&amp;VLOOKUP($N224,CODE!$K:$P,CODE!$O$1,FALSE)))=TRUE,"",IF(VLOOKUP($N224,CODE!$K:$P,CODE!$O$1,FALSE)="",$M224,$M224&amp;"-"&amp;VLOOKUP($N224,CODE!$K:$P,CODE!$O$1,FALSE)))</f>
        <v>SBR</v>
      </c>
      <c r="P224" s="29" t="str">
        <f t="shared" si="50"/>
        <v>성인</v>
      </c>
      <c r="Q224" s="29" t="str">
        <f t="shared" si="51"/>
        <v>SBRMIF3003</v>
      </c>
      <c r="R224" s="1" t="s">
        <v>1020</v>
      </c>
      <c r="S224" s="1" t="s">
        <v>14</v>
      </c>
      <c r="T224" s="26">
        <v>2000</v>
      </c>
      <c r="U224" s="26">
        <v>58000000</v>
      </c>
      <c r="V224" s="26">
        <v>9989660</v>
      </c>
      <c r="W224" s="26">
        <v>5.2781849159303444</v>
      </c>
      <c r="X224" s="26">
        <v>2000</v>
      </c>
      <c r="Y224" s="26">
        <v>0</v>
      </c>
    </row>
    <row r="225" spans="1:25">
      <c r="A225" s="24" t="str">
        <f t="shared" si="43"/>
        <v>신규</v>
      </c>
      <c r="B225" s="24" t="str">
        <f>IF(COUNTIF(R$1:R224,R225)=0,"최초","리오더")</f>
        <v>최초</v>
      </c>
      <c r="C225" s="24" t="str">
        <f t="shared" si="44"/>
        <v>SBRMIF5004</v>
      </c>
      <c r="D225" s="24">
        <f t="shared" si="39"/>
        <v>0.5</v>
      </c>
      <c r="E225" s="24" t="str">
        <f t="shared" si="45"/>
        <v/>
      </c>
      <c r="F225" s="24">
        <f t="shared" si="40"/>
        <v>0</v>
      </c>
      <c r="G225" s="24" t="str">
        <f t="shared" si="46"/>
        <v>SBRMIF5004BK</v>
      </c>
      <c r="H225" s="24">
        <f t="shared" si="41"/>
        <v>1</v>
      </c>
      <c r="I225" s="24" t="str">
        <f t="shared" si="47"/>
        <v/>
      </c>
      <c r="J225" s="24">
        <f t="shared" si="42"/>
        <v>0</v>
      </c>
      <c r="K225" s="24" t="str">
        <f t="shared" si="48"/>
        <v>F5</v>
      </c>
      <c r="L225" s="24" t="str">
        <f>VLOOKUP(N225,CODE!K:P,CODE!$P$1,FALSE)</f>
        <v>모자</v>
      </c>
      <c r="M225" s="24" t="str">
        <f>VLOOKUP(MID(R225,1,3),CODE!$B:$G,CODE!D$1,FALSE)</f>
        <v>SBR</v>
      </c>
      <c r="N225" s="24" t="str">
        <f t="shared" si="49"/>
        <v>MI</v>
      </c>
      <c r="O225" s="29" t="str">
        <f>IF(ISERROR(IF(VLOOKUP($N225,CODE!$K:$P,CODE!$O$1,FALSE)="",$M225,$M225&amp;"-"&amp;VLOOKUP($N225,CODE!$K:$P,CODE!$O$1,FALSE)))=TRUE,"",IF(VLOOKUP($N225,CODE!$K:$P,CODE!$O$1,FALSE)="",$M225,$M225&amp;"-"&amp;VLOOKUP($N225,CODE!$K:$P,CODE!$O$1,FALSE)))</f>
        <v>SBR</v>
      </c>
      <c r="P225" s="29" t="str">
        <f t="shared" si="50"/>
        <v>성인</v>
      </c>
      <c r="Q225" s="29" t="str">
        <f t="shared" si="51"/>
        <v>SBRMIF5004</v>
      </c>
      <c r="R225" s="1" t="s">
        <v>1021</v>
      </c>
      <c r="S225" s="1" t="s">
        <v>14</v>
      </c>
      <c r="T225" s="26">
        <v>800</v>
      </c>
      <c r="U225" s="26">
        <v>31200000</v>
      </c>
      <c r="V225" s="26">
        <v>5439624.0000000009</v>
      </c>
      <c r="W225" s="26">
        <v>5.2142641409840751</v>
      </c>
      <c r="X225" s="26">
        <v>795</v>
      </c>
      <c r="Y225" s="26">
        <v>0</v>
      </c>
    </row>
    <row r="226" spans="1:25">
      <c r="A226" s="24" t="str">
        <f t="shared" si="43"/>
        <v>신규</v>
      </c>
      <c r="B226" s="24" t="str">
        <f>IF(COUNTIF(R$1:R225,R226)=0,"최초","리오더")</f>
        <v>최초</v>
      </c>
      <c r="C226" s="24" t="str">
        <f t="shared" si="44"/>
        <v>SBRMIF5004</v>
      </c>
      <c r="D226" s="24">
        <f t="shared" si="39"/>
        <v>0.5</v>
      </c>
      <c r="E226" s="24" t="str">
        <f t="shared" si="45"/>
        <v/>
      </c>
      <c r="F226" s="24">
        <f t="shared" si="40"/>
        <v>0</v>
      </c>
      <c r="G226" s="24" t="str">
        <f t="shared" si="46"/>
        <v>SBRMIF5004GY</v>
      </c>
      <c r="H226" s="24">
        <f t="shared" si="41"/>
        <v>1</v>
      </c>
      <c r="I226" s="24" t="str">
        <f t="shared" si="47"/>
        <v/>
      </c>
      <c r="J226" s="24">
        <f t="shared" si="42"/>
        <v>0</v>
      </c>
      <c r="K226" s="24" t="str">
        <f t="shared" si="48"/>
        <v>F5</v>
      </c>
      <c r="L226" s="24" t="str">
        <f>VLOOKUP(N226,CODE!K:P,CODE!$P$1,FALSE)</f>
        <v>모자</v>
      </c>
      <c r="M226" s="24" t="str">
        <f>VLOOKUP(MID(R226,1,3),CODE!$B:$G,CODE!D$1,FALSE)</f>
        <v>SBR</v>
      </c>
      <c r="N226" s="24" t="str">
        <f t="shared" si="49"/>
        <v>MI</v>
      </c>
      <c r="O226" s="29" t="str">
        <f>IF(ISERROR(IF(VLOOKUP($N226,CODE!$K:$P,CODE!$O$1,FALSE)="",$M226,$M226&amp;"-"&amp;VLOOKUP($N226,CODE!$K:$P,CODE!$O$1,FALSE)))=TRUE,"",IF(VLOOKUP($N226,CODE!$K:$P,CODE!$O$1,FALSE)="",$M226,$M226&amp;"-"&amp;VLOOKUP($N226,CODE!$K:$P,CODE!$O$1,FALSE)))</f>
        <v>SBR</v>
      </c>
      <c r="P226" s="29" t="str">
        <f t="shared" si="50"/>
        <v>성인</v>
      </c>
      <c r="Q226" s="29" t="str">
        <f t="shared" si="51"/>
        <v>SBRMIF5004</v>
      </c>
      <c r="R226" s="1" t="s">
        <v>1022</v>
      </c>
      <c r="S226" s="1" t="s">
        <v>14</v>
      </c>
      <c r="T226" s="26">
        <v>800</v>
      </c>
      <c r="U226" s="26">
        <v>31200000</v>
      </c>
      <c r="V226" s="26">
        <v>5439624.0000000009</v>
      </c>
      <c r="W226" s="26">
        <v>5.2142641409840751</v>
      </c>
      <c r="X226" s="26">
        <v>800</v>
      </c>
      <c r="Y226" s="26">
        <v>0</v>
      </c>
    </row>
    <row r="227" spans="1:25">
      <c r="A227" s="24" t="str">
        <f t="shared" si="43"/>
        <v>신규</v>
      </c>
      <c r="B227" s="24" t="str">
        <f>IF(COUNTIF(R$1:R226,R227)=0,"최초","리오더")</f>
        <v>최초</v>
      </c>
      <c r="C227" s="24" t="str">
        <f t="shared" si="44"/>
        <v>SBRMIF5005</v>
      </c>
      <c r="D227" s="24">
        <f t="shared" si="39"/>
        <v>1</v>
      </c>
      <c r="E227" s="24" t="str">
        <f t="shared" si="45"/>
        <v/>
      </c>
      <c r="F227" s="24">
        <f t="shared" si="40"/>
        <v>0</v>
      </c>
      <c r="G227" s="24" t="str">
        <f t="shared" si="46"/>
        <v>SBRMIF5005BK</v>
      </c>
      <c r="H227" s="24">
        <f t="shared" si="41"/>
        <v>1</v>
      </c>
      <c r="I227" s="24" t="str">
        <f t="shared" si="47"/>
        <v/>
      </c>
      <c r="J227" s="24">
        <f t="shared" si="42"/>
        <v>0</v>
      </c>
      <c r="K227" s="24" t="str">
        <f t="shared" si="48"/>
        <v>F5</v>
      </c>
      <c r="L227" s="24" t="str">
        <f>VLOOKUP(N227,CODE!K:P,CODE!$P$1,FALSE)</f>
        <v>모자</v>
      </c>
      <c r="M227" s="24" t="str">
        <f>VLOOKUP(MID(R227,1,3),CODE!$B:$G,CODE!D$1,FALSE)</f>
        <v>SBR</v>
      </c>
      <c r="N227" s="24" t="str">
        <f t="shared" si="49"/>
        <v>MI</v>
      </c>
      <c r="O227" s="29" t="str">
        <f>IF(ISERROR(IF(VLOOKUP($N227,CODE!$K:$P,CODE!$O$1,FALSE)="",$M227,$M227&amp;"-"&amp;VLOOKUP($N227,CODE!$K:$P,CODE!$O$1,FALSE)))=TRUE,"",IF(VLOOKUP($N227,CODE!$K:$P,CODE!$O$1,FALSE)="",$M227,$M227&amp;"-"&amp;VLOOKUP($N227,CODE!$K:$P,CODE!$O$1,FALSE)))</f>
        <v>SBR</v>
      </c>
      <c r="P227" s="29" t="str">
        <f t="shared" si="50"/>
        <v>성인</v>
      </c>
      <c r="Q227" s="29" t="str">
        <f t="shared" si="51"/>
        <v>SBRMIF5005</v>
      </c>
      <c r="R227" s="1" t="s">
        <v>1023</v>
      </c>
      <c r="S227" s="1" t="s">
        <v>14</v>
      </c>
      <c r="T227" s="26">
        <v>1000</v>
      </c>
      <c r="U227" s="26">
        <v>39000000</v>
      </c>
      <c r="V227" s="26">
        <v>6779230</v>
      </c>
      <c r="W227" s="26">
        <v>5.2298779440357457</v>
      </c>
      <c r="X227" s="26">
        <v>994</v>
      </c>
      <c r="Y227" s="26">
        <v>0</v>
      </c>
    </row>
    <row r="228" spans="1:25">
      <c r="A228" s="24" t="str">
        <f t="shared" si="43"/>
        <v>신규</v>
      </c>
      <c r="B228" s="24" t="str">
        <f>IF(COUNTIF(R$1:R227,R228)=0,"최초","리오더")</f>
        <v>최초</v>
      </c>
      <c r="C228" s="24" t="str">
        <f t="shared" si="44"/>
        <v>SBRMIF5006</v>
      </c>
      <c r="D228" s="24">
        <f t="shared" si="39"/>
        <v>0.5</v>
      </c>
      <c r="E228" s="24" t="str">
        <f t="shared" si="45"/>
        <v/>
      </c>
      <c r="F228" s="24">
        <f t="shared" si="40"/>
        <v>0</v>
      </c>
      <c r="G228" s="24" t="str">
        <f t="shared" si="46"/>
        <v>SBRMIF5006BK</v>
      </c>
      <c r="H228" s="24">
        <f t="shared" si="41"/>
        <v>1</v>
      </c>
      <c r="I228" s="24" t="str">
        <f t="shared" si="47"/>
        <v/>
      </c>
      <c r="J228" s="24">
        <f t="shared" si="42"/>
        <v>0</v>
      </c>
      <c r="K228" s="24" t="str">
        <f t="shared" si="48"/>
        <v>F5</v>
      </c>
      <c r="L228" s="24" t="str">
        <f>VLOOKUP(N228,CODE!K:P,CODE!$P$1,FALSE)</f>
        <v>모자</v>
      </c>
      <c r="M228" s="24" t="str">
        <f>VLOOKUP(MID(R228,1,3),CODE!$B:$G,CODE!D$1,FALSE)</f>
        <v>SBR</v>
      </c>
      <c r="N228" s="24" t="str">
        <f t="shared" si="49"/>
        <v>MI</v>
      </c>
      <c r="O228" s="29" t="str">
        <f>IF(ISERROR(IF(VLOOKUP($N228,CODE!$K:$P,CODE!$O$1,FALSE)="",$M228,$M228&amp;"-"&amp;VLOOKUP($N228,CODE!$K:$P,CODE!$O$1,FALSE)))=TRUE,"",IF(VLOOKUP($N228,CODE!$K:$P,CODE!$O$1,FALSE)="",$M228,$M228&amp;"-"&amp;VLOOKUP($N228,CODE!$K:$P,CODE!$O$1,FALSE)))</f>
        <v>SBR</v>
      </c>
      <c r="P228" s="29" t="str">
        <f t="shared" si="50"/>
        <v>성인</v>
      </c>
      <c r="Q228" s="29" t="str">
        <f t="shared" si="51"/>
        <v>SBRMIF5006</v>
      </c>
      <c r="R228" s="1" t="s">
        <v>1024</v>
      </c>
      <c r="S228" s="1" t="s">
        <v>14</v>
      </c>
      <c r="T228" s="26">
        <v>1200</v>
      </c>
      <c r="U228" s="26">
        <v>54000000</v>
      </c>
      <c r="V228" s="26">
        <v>9431340.0000000019</v>
      </c>
      <c r="W228" s="26">
        <v>5.2050831685538927</v>
      </c>
      <c r="X228" s="26">
        <v>1189</v>
      </c>
      <c r="Y228" s="26">
        <v>0</v>
      </c>
    </row>
    <row r="229" spans="1:25">
      <c r="A229" s="24" t="str">
        <f t="shared" si="43"/>
        <v>신규</v>
      </c>
      <c r="B229" s="24" t="str">
        <f>IF(COUNTIF(R$1:R228,R229)=0,"최초","리오더")</f>
        <v>최초</v>
      </c>
      <c r="C229" s="24" t="str">
        <f t="shared" si="44"/>
        <v>SBRMIF5006</v>
      </c>
      <c r="D229" s="24">
        <f t="shared" si="39"/>
        <v>0.5</v>
      </c>
      <c r="E229" s="24" t="str">
        <f t="shared" si="45"/>
        <v/>
      </c>
      <c r="F229" s="24">
        <f t="shared" si="40"/>
        <v>0</v>
      </c>
      <c r="G229" s="24" t="str">
        <f t="shared" si="46"/>
        <v>SBRMIF5006NY</v>
      </c>
      <c r="H229" s="24">
        <f t="shared" si="41"/>
        <v>1</v>
      </c>
      <c r="I229" s="24" t="str">
        <f t="shared" si="47"/>
        <v/>
      </c>
      <c r="J229" s="24">
        <f t="shared" si="42"/>
        <v>0</v>
      </c>
      <c r="K229" s="24" t="str">
        <f t="shared" si="48"/>
        <v>F5</v>
      </c>
      <c r="L229" s="24" t="str">
        <f>VLOOKUP(N229,CODE!K:P,CODE!$P$1,FALSE)</f>
        <v>모자</v>
      </c>
      <c r="M229" s="24" t="str">
        <f>VLOOKUP(MID(R229,1,3),CODE!$B:$G,CODE!D$1,FALSE)</f>
        <v>SBR</v>
      </c>
      <c r="N229" s="24" t="str">
        <f t="shared" si="49"/>
        <v>MI</v>
      </c>
      <c r="O229" s="29" t="str">
        <f>IF(ISERROR(IF(VLOOKUP($N229,CODE!$K:$P,CODE!$O$1,FALSE)="",$M229,$M229&amp;"-"&amp;VLOOKUP($N229,CODE!$K:$P,CODE!$O$1,FALSE)))=TRUE,"",IF(VLOOKUP($N229,CODE!$K:$P,CODE!$O$1,FALSE)="",$M229,$M229&amp;"-"&amp;VLOOKUP($N229,CODE!$K:$P,CODE!$O$1,FALSE)))</f>
        <v>SBR</v>
      </c>
      <c r="P229" s="29" t="str">
        <f t="shared" si="50"/>
        <v>성인</v>
      </c>
      <c r="Q229" s="29" t="str">
        <f t="shared" si="51"/>
        <v>SBRMIF5006</v>
      </c>
      <c r="R229" s="1" t="s">
        <v>1025</v>
      </c>
      <c r="S229" s="1" t="s">
        <v>14</v>
      </c>
      <c r="T229" s="26">
        <v>1200</v>
      </c>
      <c r="U229" s="26">
        <v>54000000</v>
      </c>
      <c r="V229" s="26">
        <v>8765340.0000000019</v>
      </c>
      <c r="W229" s="26">
        <v>5.6005710093286822</v>
      </c>
      <c r="X229" s="26">
        <v>1189</v>
      </c>
      <c r="Y229" s="26">
        <v>0</v>
      </c>
    </row>
    <row r="230" spans="1:25">
      <c r="A230" s="24" t="str">
        <f t="shared" si="43"/>
        <v>신규</v>
      </c>
      <c r="B230" s="24" t="str">
        <f>IF(COUNTIF(R$1:R229,R230)=0,"최초","리오더")</f>
        <v>최초</v>
      </c>
      <c r="C230" s="24" t="str">
        <f t="shared" si="44"/>
        <v>SBRMIF5007</v>
      </c>
      <c r="D230" s="24">
        <f t="shared" si="39"/>
        <v>0.5</v>
      </c>
      <c r="E230" s="24" t="str">
        <f t="shared" si="45"/>
        <v/>
      </c>
      <c r="F230" s="24">
        <f t="shared" si="40"/>
        <v>0</v>
      </c>
      <c r="G230" s="24" t="str">
        <f t="shared" si="46"/>
        <v>SBRMIF5007BK</v>
      </c>
      <c r="H230" s="24">
        <f t="shared" si="41"/>
        <v>1</v>
      </c>
      <c r="I230" s="24" t="str">
        <f t="shared" si="47"/>
        <v/>
      </c>
      <c r="J230" s="24">
        <f t="shared" si="42"/>
        <v>0</v>
      </c>
      <c r="K230" s="24" t="str">
        <f t="shared" si="48"/>
        <v>F5</v>
      </c>
      <c r="L230" s="24" t="str">
        <f>VLOOKUP(N230,CODE!K:P,CODE!$P$1,FALSE)</f>
        <v>모자</v>
      </c>
      <c r="M230" s="24" t="str">
        <f>VLOOKUP(MID(R230,1,3),CODE!$B:$G,CODE!D$1,FALSE)</f>
        <v>SBR</v>
      </c>
      <c r="N230" s="24" t="str">
        <f t="shared" si="49"/>
        <v>MI</v>
      </c>
      <c r="O230" s="29" t="str">
        <f>IF(ISERROR(IF(VLOOKUP($N230,CODE!$K:$P,CODE!$O$1,FALSE)="",$M230,$M230&amp;"-"&amp;VLOOKUP($N230,CODE!$K:$P,CODE!$O$1,FALSE)))=TRUE,"",IF(VLOOKUP($N230,CODE!$K:$P,CODE!$O$1,FALSE)="",$M230,$M230&amp;"-"&amp;VLOOKUP($N230,CODE!$K:$P,CODE!$O$1,FALSE)))</f>
        <v>SBR</v>
      </c>
      <c r="P230" s="29" t="str">
        <f t="shared" si="50"/>
        <v>성인</v>
      </c>
      <c r="Q230" s="29" t="str">
        <f t="shared" si="51"/>
        <v>SBRMIF5007</v>
      </c>
      <c r="R230" s="1" t="s">
        <v>1026</v>
      </c>
      <c r="S230" s="1" t="s">
        <v>14</v>
      </c>
      <c r="T230" s="26">
        <v>1200</v>
      </c>
      <c r="U230" s="26">
        <v>46800000</v>
      </c>
      <c r="V230" s="26">
        <v>7791828</v>
      </c>
      <c r="W230" s="26">
        <v>5.4602661333713405</v>
      </c>
      <c r="X230" s="26">
        <v>1188</v>
      </c>
      <c r="Y230" s="26">
        <v>0</v>
      </c>
    </row>
    <row r="231" spans="1:25">
      <c r="A231" s="24" t="str">
        <f t="shared" si="43"/>
        <v>신규</v>
      </c>
      <c r="B231" s="24" t="str">
        <f>IF(COUNTIF(R$1:R230,R231)=0,"최초","리오더")</f>
        <v>최초</v>
      </c>
      <c r="C231" s="24" t="str">
        <f t="shared" si="44"/>
        <v>SBRMIF5007</v>
      </c>
      <c r="D231" s="24">
        <f t="shared" si="39"/>
        <v>0.5</v>
      </c>
      <c r="E231" s="24" t="str">
        <f t="shared" si="45"/>
        <v/>
      </c>
      <c r="F231" s="24">
        <f t="shared" si="40"/>
        <v>0</v>
      </c>
      <c r="G231" s="24" t="str">
        <f t="shared" si="46"/>
        <v>SBRMIF5007GY</v>
      </c>
      <c r="H231" s="24">
        <f t="shared" si="41"/>
        <v>1</v>
      </c>
      <c r="I231" s="24" t="str">
        <f t="shared" si="47"/>
        <v/>
      </c>
      <c r="J231" s="24">
        <f t="shared" si="42"/>
        <v>0</v>
      </c>
      <c r="K231" s="24" t="str">
        <f t="shared" si="48"/>
        <v>F5</v>
      </c>
      <c r="L231" s="24" t="str">
        <f>VLOOKUP(N231,CODE!K:P,CODE!$P$1,FALSE)</f>
        <v>모자</v>
      </c>
      <c r="M231" s="24" t="str">
        <f>VLOOKUP(MID(R231,1,3),CODE!$B:$G,CODE!D$1,FALSE)</f>
        <v>SBR</v>
      </c>
      <c r="N231" s="24" t="str">
        <f t="shared" si="49"/>
        <v>MI</v>
      </c>
      <c r="O231" s="29" t="str">
        <f>IF(ISERROR(IF(VLOOKUP($N231,CODE!$K:$P,CODE!$O$1,FALSE)="",$M231,$M231&amp;"-"&amp;VLOOKUP($N231,CODE!$K:$P,CODE!$O$1,FALSE)))=TRUE,"",IF(VLOOKUP($N231,CODE!$K:$P,CODE!$O$1,FALSE)="",$M231,$M231&amp;"-"&amp;VLOOKUP($N231,CODE!$K:$P,CODE!$O$1,FALSE)))</f>
        <v>SBR</v>
      </c>
      <c r="P231" s="29" t="str">
        <f t="shared" si="50"/>
        <v>성인</v>
      </c>
      <c r="Q231" s="29" t="str">
        <f t="shared" si="51"/>
        <v>SBRMIF5007</v>
      </c>
      <c r="R231" s="1" t="s">
        <v>1027</v>
      </c>
      <c r="S231" s="1" t="s">
        <v>14</v>
      </c>
      <c r="T231" s="26">
        <v>1200</v>
      </c>
      <c r="U231" s="26">
        <v>46800000</v>
      </c>
      <c r="V231" s="26">
        <v>8244228</v>
      </c>
      <c r="W231" s="26">
        <v>5.1606353615468352</v>
      </c>
      <c r="X231" s="26">
        <v>1173</v>
      </c>
      <c r="Y231" s="26">
        <v>0</v>
      </c>
    </row>
    <row r="232" spans="1:25">
      <c r="A232" s="24" t="str">
        <f t="shared" si="43"/>
        <v>신규</v>
      </c>
      <c r="B232" s="24" t="str">
        <f>IF(COUNTIF(R$1:R231,R232)=0,"최초","리오더")</f>
        <v>최초</v>
      </c>
      <c r="C232" s="24" t="str">
        <f t="shared" si="44"/>
        <v>SBRBAF5008</v>
      </c>
      <c r="D232" s="24">
        <f t="shared" si="39"/>
        <v>1</v>
      </c>
      <c r="E232" s="24" t="str">
        <f t="shared" si="45"/>
        <v/>
      </c>
      <c r="F232" s="24">
        <f t="shared" si="40"/>
        <v>0</v>
      </c>
      <c r="G232" s="24" t="str">
        <f t="shared" si="46"/>
        <v>SBRBAF5008BG</v>
      </c>
      <c r="H232" s="24">
        <f t="shared" si="41"/>
        <v>1</v>
      </c>
      <c r="I232" s="24" t="str">
        <f t="shared" si="47"/>
        <v/>
      </c>
      <c r="J232" s="24">
        <f t="shared" si="42"/>
        <v>0</v>
      </c>
      <c r="K232" s="24" t="str">
        <f t="shared" si="48"/>
        <v>F5</v>
      </c>
      <c r="L232" s="24" t="str">
        <f>VLOOKUP(N232,CODE!K:P,CODE!$P$1,FALSE)</f>
        <v>모자</v>
      </c>
      <c r="M232" s="24" t="str">
        <f>VLOOKUP(MID(R232,1,3),CODE!$B:$G,CODE!D$1,FALSE)</f>
        <v>SBR</v>
      </c>
      <c r="N232" s="24" t="str">
        <f t="shared" si="49"/>
        <v>BA</v>
      </c>
      <c r="O232" s="29" t="str">
        <f>IF(ISERROR(IF(VLOOKUP($N232,CODE!$K:$P,CODE!$O$1,FALSE)="",$M232,$M232&amp;"-"&amp;VLOOKUP($N232,CODE!$K:$P,CODE!$O$1,FALSE)))=TRUE,"",IF(VLOOKUP($N232,CODE!$K:$P,CODE!$O$1,FALSE)="",$M232,$M232&amp;"-"&amp;VLOOKUP($N232,CODE!$K:$P,CODE!$O$1,FALSE)))</f>
        <v>SBR</v>
      </c>
      <c r="P232" s="29" t="str">
        <f t="shared" si="50"/>
        <v>성인</v>
      </c>
      <c r="Q232" s="29" t="str">
        <f t="shared" si="51"/>
        <v>SBRBAF5008</v>
      </c>
      <c r="R232" s="1" t="s">
        <v>1028</v>
      </c>
      <c r="S232" s="1" t="s">
        <v>14</v>
      </c>
      <c r="T232" s="26">
        <v>2000</v>
      </c>
      <c r="U232" s="26">
        <v>78000000</v>
      </c>
      <c r="V232" s="26">
        <v>10925500</v>
      </c>
      <c r="W232" s="26">
        <v>6.4902376009419154</v>
      </c>
      <c r="X232" s="26">
        <v>2000</v>
      </c>
      <c r="Y232" s="26">
        <v>0</v>
      </c>
    </row>
    <row r="233" spans="1:25">
      <c r="A233" s="24" t="str">
        <f t="shared" si="43"/>
        <v>신규</v>
      </c>
      <c r="B233" s="24" t="str">
        <f>IF(COUNTIF(R$1:R232,R233)=0,"최초","리오더")</f>
        <v>최초</v>
      </c>
      <c r="C233" s="24" t="str">
        <f t="shared" si="44"/>
        <v>SBRMIF5009</v>
      </c>
      <c r="D233" s="24">
        <f t="shared" si="39"/>
        <v>1</v>
      </c>
      <c r="E233" s="24" t="str">
        <f t="shared" si="45"/>
        <v/>
      </c>
      <c r="F233" s="24">
        <f t="shared" si="40"/>
        <v>0</v>
      </c>
      <c r="G233" s="24" t="str">
        <f t="shared" si="46"/>
        <v>SBRMIF5009KH</v>
      </c>
      <c r="H233" s="24">
        <f t="shared" si="41"/>
        <v>1</v>
      </c>
      <c r="I233" s="24" t="str">
        <f t="shared" si="47"/>
        <v/>
      </c>
      <c r="J233" s="24">
        <f t="shared" si="42"/>
        <v>0</v>
      </c>
      <c r="K233" s="24" t="str">
        <f t="shared" si="48"/>
        <v>F5</v>
      </c>
      <c r="L233" s="24" t="str">
        <f>VLOOKUP(N233,CODE!K:P,CODE!$P$1,FALSE)</f>
        <v>모자</v>
      </c>
      <c r="M233" s="24" t="str">
        <f>VLOOKUP(MID(R233,1,3),CODE!$B:$G,CODE!D$1,FALSE)</f>
        <v>SBR</v>
      </c>
      <c r="N233" s="24" t="str">
        <f t="shared" si="49"/>
        <v>MI</v>
      </c>
      <c r="O233" s="29" t="str">
        <f>IF(ISERROR(IF(VLOOKUP($N233,CODE!$K:$P,CODE!$O$1,FALSE)="",$M233,$M233&amp;"-"&amp;VLOOKUP($N233,CODE!$K:$P,CODE!$O$1,FALSE)))=TRUE,"",IF(VLOOKUP($N233,CODE!$K:$P,CODE!$O$1,FALSE)="",$M233,$M233&amp;"-"&amp;VLOOKUP($N233,CODE!$K:$P,CODE!$O$1,FALSE)))</f>
        <v>SBR</v>
      </c>
      <c r="P233" s="29" t="str">
        <f t="shared" si="50"/>
        <v>성인</v>
      </c>
      <c r="Q233" s="29" t="str">
        <f t="shared" si="51"/>
        <v>SBRMIF5009</v>
      </c>
      <c r="R233" s="1" t="s">
        <v>1029</v>
      </c>
      <c r="S233" s="1" t="s">
        <v>14</v>
      </c>
      <c r="T233" s="26">
        <v>1000</v>
      </c>
      <c r="U233" s="26">
        <v>39000000</v>
      </c>
      <c r="V233" s="26">
        <v>5865640</v>
      </c>
      <c r="W233" s="26">
        <v>6.0444462078384369</v>
      </c>
      <c r="X233" s="26">
        <v>998</v>
      </c>
      <c r="Y233" s="26">
        <v>0</v>
      </c>
    </row>
    <row r="234" spans="1:25">
      <c r="A234" s="24" t="str">
        <f t="shared" si="43"/>
        <v>신규</v>
      </c>
      <c r="B234" s="24" t="str">
        <f>IF(COUNTIF(R$1:R233,R234)=0,"최초","리오더")</f>
        <v>최초</v>
      </c>
      <c r="C234" s="24" t="str">
        <f t="shared" si="44"/>
        <v>SBRBAF5010</v>
      </c>
      <c r="D234" s="24">
        <f t="shared" si="39"/>
        <v>0.5</v>
      </c>
      <c r="E234" s="24" t="str">
        <f t="shared" si="45"/>
        <v/>
      </c>
      <c r="F234" s="24">
        <f t="shared" si="40"/>
        <v>0</v>
      </c>
      <c r="G234" s="24" t="str">
        <f t="shared" si="46"/>
        <v>SBRBAF5010BG</v>
      </c>
      <c r="H234" s="24">
        <f t="shared" si="41"/>
        <v>1</v>
      </c>
      <c r="I234" s="24" t="str">
        <f t="shared" si="47"/>
        <v/>
      </c>
      <c r="J234" s="24">
        <f t="shared" si="42"/>
        <v>0</v>
      </c>
      <c r="K234" s="24" t="str">
        <f t="shared" si="48"/>
        <v>F5</v>
      </c>
      <c r="L234" s="24" t="str">
        <f>VLOOKUP(N234,CODE!K:P,CODE!$P$1,FALSE)</f>
        <v>모자</v>
      </c>
      <c r="M234" s="24" t="str">
        <f>VLOOKUP(MID(R234,1,3),CODE!$B:$G,CODE!D$1,FALSE)</f>
        <v>SBR</v>
      </c>
      <c r="N234" s="24" t="str">
        <f t="shared" si="49"/>
        <v>BA</v>
      </c>
      <c r="O234" s="29" t="str">
        <f>IF(ISERROR(IF(VLOOKUP($N234,CODE!$K:$P,CODE!$O$1,FALSE)="",$M234,$M234&amp;"-"&amp;VLOOKUP($N234,CODE!$K:$P,CODE!$O$1,FALSE)))=TRUE,"",IF(VLOOKUP($N234,CODE!$K:$P,CODE!$O$1,FALSE)="",$M234,$M234&amp;"-"&amp;VLOOKUP($N234,CODE!$K:$P,CODE!$O$1,FALSE)))</f>
        <v>SBR</v>
      </c>
      <c r="P234" s="29" t="str">
        <f t="shared" si="50"/>
        <v>성인</v>
      </c>
      <c r="Q234" s="29" t="str">
        <f t="shared" si="51"/>
        <v>SBRBAF5010</v>
      </c>
      <c r="R234" s="1" t="s">
        <v>1030</v>
      </c>
      <c r="S234" s="1" t="s">
        <v>14</v>
      </c>
      <c r="T234" s="26">
        <v>1000</v>
      </c>
      <c r="U234" s="26">
        <v>45000000</v>
      </c>
      <c r="V234" s="26">
        <v>7467850.0000000009</v>
      </c>
      <c r="W234" s="26">
        <v>5.478027934290445</v>
      </c>
      <c r="X234" s="26">
        <v>998</v>
      </c>
      <c r="Y234" s="26">
        <v>0</v>
      </c>
    </row>
    <row r="235" spans="1:25">
      <c r="A235" s="24" t="str">
        <f t="shared" si="43"/>
        <v>신규</v>
      </c>
      <c r="B235" s="24" t="str">
        <f>IF(COUNTIF(R$1:R234,R235)=0,"최초","리오더")</f>
        <v>최초</v>
      </c>
      <c r="C235" s="24" t="str">
        <f t="shared" si="44"/>
        <v>SBRBAF5010</v>
      </c>
      <c r="D235" s="24">
        <f t="shared" si="39"/>
        <v>0.5</v>
      </c>
      <c r="E235" s="24" t="str">
        <f t="shared" si="45"/>
        <v/>
      </c>
      <c r="F235" s="24">
        <f t="shared" si="40"/>
        <v>0</v>
      </c>
      <c r="G235" s="24" t="str">
        <f t="shared" si="46"/>
        <v>SBRBAF5010BK</v>
      </c>
      <c r="H235" s="24">
        <f t="shared" si="41"/>
        <v>1</v>
      </c>
      <c r="I235" s="24" t="str">
        <f t="shared" si="47"/>
        <v/>
      </c>
      <c r="J235" s="24">
        <f t="shared" si="42"/>
        <v>0</v>
      </c>
      <c r="K235" s="24" t="str">
        <f t="shared" si="48"/>
        <v>F5</v>
      </c>
      <c r="L235" s="24" t="str">
        <f>VLOOKUP(N235,CODE!K:P,CODE!$P$1,FALSE)</f>
        <v>모자</v>
      </c>
      <c r="M235" s="24" t="str">
        <f>VLOOKUP(MID(R235,1,3),CODE!$B:$G,CODE!D$1,FALSE)</f>
        <v>SBR</v>
      </c>
      <c r="N235" s="24" t="str">
        <f t="shared" si="49"/>
        <v>BA</v>
      </c>
      <c r="O235" s="29" t="str">
        <f>IF(ISERROR(IF(VLOOKUP($N235,CODE!$K:$P,CODE!$O$1,FALSE)="",$M235,$M235&amp;"-"&amp;VLOOKUP($N235,CODE!$K:$P,CODE!$O$1,FALSE)))=TRUE,"",IF(VLOOKUP($N235,CODE!$K:$P,CODE!$O$1,FALSE)="",$M235,$M235&amp;"-"&amp;VLOOKUP($N235,CODE!$K:$P,CODE!$O$1,FALSE)))</f>
        <v>SBR</v>
      </c>
      <c r="P235" s="29" t="str">
        <f t="shared" si="50"/>
        <v>성인</v>
      </c>
      <c r="Q235" s="29" t="str">
        <f t="shared" si="51"/>
        <v>SBRBAF5010</v>
      </c>
      <c r="R235" s="1" t="s">
        <v>1031</v>
      </c>
      <c r="S235" s="1" t="s">
        <v>14</v>
      </c>
      <c r="T235" s="26">
        <v>1000</v>
      </c>
      <c r="U235" s="26">
        <v>45000000</v>
      </c>
      <c r="V235" s="26">
        <v>7467850.0000000009</v>
      </c>
      <c r="W235" s="26">
        <v>5.478027934290445</v>
      </c>
      <c r="X235" s="26">
        <v>1000</v>
      </c>
      <c r="Y235" s="26">
        <v>0</v>
      </c>
    </row>
    <row r="236" spans="1:25">
      <c r="A236" s="24" t="str">
        <f t="shared" si="43"/>
        <v>신규</v>
      </c>
      <c r="B236" s="24" t="str">
        <f>IF(COUNTIF(R$1:R235,R236)=0,"최초","리오더")</f>
        <v>최초</v>
      </c>
      <c r="C236" s="24" t="str">
        <f t="shared" si="44"/>
        <v>SBRBAF5011</v>
      </c>
      <c r="D236" s="24">
        <f t="shared" si="39"/>
        <v>1</v>
      </c>
      <c r="E236" s="24" t="str">
        <f t="shared" si="45"/>
        <v/>
      </c>
      <c r="F236" s="24">
        <f t="shared" si="40"/>
        <v>0</v>
      </c>
      <c r="G236" s="24" t="str">
        <f t="shared" si="46"/>
        <v>SBRBAF5011GY</v>
      </c>
      <c r="H236" s="24">
        <f t="shared" si="41"/>
        <v>1</v>
      </c>
      <c r="I236" s="24" t="str">
        <f t="shared" si="47"/>
        <v/>
      </c>
      <c r="J236" s="24">
        <f t="shared" si="42"/>
        <v>0</v>
      </c>
      <c r="K236" s="24" t="str">
        <f t="shared" si="48"/>
        <v>F5</v>
      </c>
      <c r="L236" s="24" t="str">
        <f>VLOOKUP(N236,CODE!K:P,CODE!$P$1,FALSE)</f>
        <v>모자</v>
      </c>
      <c r="M236" s="24" t="str">
        <f>VLOOKUP(MID(R236,1,3),CODE!$B:$G,CODE!D$1,FALSE)</f>
        <v>SBR</v>
      </c>
      <c r="N236" s="24" t="str">
        <f t="shared" si="49"/>
        <v>BA</v>
      </c>
      <c r="O236" s="29" t="str">
        <f>IF(ISERROR(IF(VLOOKUP($N236,CODE!$K:$P,CODE!$O$1,FALSE)="",$M236,$M236&amp;"-"&amp;VLOOKUP($N236,CODE!$K:$P,CODE!$O$1,FALSE)))=TRUE,"",IF(VLOOKUP($N236,CODE!$K:$P,CODE!$O$1,FALSE)="",$M236,$M236&amp;"-"&amp;VLOOKUP($N236,CODE!$K:$P,CODE!$O$1,FALSE)))</f>
        <v>SBR</v>
      </c>
      <c r="P236" s="29" t="str">
        <f t="shared" si="50"/>
        <v>성인</v>
      </c>
      <c r="Q236" s="29" t="str">
        <f t="shared" si="51"/>
        <v>SBRBAF5011</v>
      </c>
      <c r="R236" s="1" t="s">
        <v>1032</v>
      </c>
      <c r="S236" s="1" t="s">
        <v>14</v>
      </c>
      <c r="T236" s="26">
        <v>1000</v>
      </c>
      <c r="U236" s="26">
        <v>49000000</v>
      </c>
      <c r="V236" s="26">
        <v>8063150</v>
      </c>
      <c r="W236" s="26">
        <v>5.5245722261714771</v>
      </c>
      <c r="X236" s="26">
        <v>921</v>
      </c>
      <c r="Y236" s="26">
        <v>0</v>
      </c>
    </row>
    <row r="237" spans="1:25">
      <c r="A237" s="24" t="str">
        <f t="shared" si="43"/>
        <v>신규</v>
      </c>
      <c r="B237" s="24" t="str">
        <f>IF(COUNTIF(R$1:R236,R237)=0,"최초","리오더")</f>
        <v>최초</v>
      </c>
      <c r="C237" s="24" t="str">
        <f t="shared" si="44"/>
        <v>SBRBAF5511</v>
      </c>
      <c r="D237" s="24">
        <f t="shared" si="39"/>
        <v>1</v>
      </c>
      <c r="E237" s="24" t="str">
        <f t="shared" si="45"/>
        <v/>
      </c>
      <c r="F237" s="24">
        <f t="shared" si="40"/>
        <v>0</v>
      </c>
      <c r="G237" s="24" t="str">
        <f t="shared" si="46"/>
        <v>SBRBAF5511GY</v>
      </c>
      <c r="H237" s="24">
        <f t="shared" si="41"/>
        <v>1</v>
      </c>
      <c r="I237" s="24" t="str">
        <f t="shared" si="47"/>
        <v/>
      </c>
      <c r="J237" s="24">
        <f t="shared" si="42"/>
        <v>0</v>
      </c>
      <c r="K237" s="24" t="str">
        <f t="shared" si="48"/>
        <v>F5</v>
      </c>
      <c r="L237" s="24" t="str">
        <f>VLOOKUP(N237,CODE!K:P,CODE!$P$1,FALSE)</f>
        <v>모자</v>
      </c>
      <c r="M237" s="24" t="str">
        <f>VLOOKUP(MID(R237,1,3),CODE!$B:$G,CODE!D$1,FALSE)</f>
        <v>SBR</v>
      </c>
      <c r="N237" s="24" t="str">
        <f t="shared" si="49"/>
        <v>BA</v>
      </c>
      <c r="O237" s="29" t="str">
        <f>IF(ISERROR(IF(VLOOKUP($N237,CODE!$K:$P,CODE!$O$1,FALSE)="",$M237,$M237&amp;"-"&amp;VLOOKUP($N237,CODE!$K:$P,CODE!$O$1,FALSE)))=TRUE,"",IF(VLOOKUP($N237,CODE!$K:$P,CODE!$O$1,FALSE)="",$M237,$M237&amp;"-"&amp;VLOOKUP($N237,CODE!$K:$P,CODE!$O$1,FALSE)))</f>
        <v>SBR</v>
      </c>
      <c r="P237" s="29" t="str">
        <f t="shared" si="50"/>
        <v>키즈</v>
      </c>
      <c r="Q237" s="29" t="str">
        <f t="shared" si="51"/>
        <v>SBRBAF5511</v>
      </c>
      <c r="R237" s="1" t="s">
        <v>1033</v>
      </c>
      <c r="S237" s="1" t="s">
        <v>14</v>
      </c>
      <c r="T237" s="26">
        <v>800</v>
      </c>
      <c r="U237" s="26">
        <v>36000000</v>
      </c>
      <c r="V237" s="26">
        <v>6210520</v>
      </c>
      <c r="W237" s="26">
        <v>5.2696509675957444</v>
      </c>
      <c r="X237" s="26">
        <v>798</v>
      </c>
      <c r="Y237" s="26">
        <v>0</v>
      </c>
    </row>
    <row r="238" spans="1:25">
      <c r="A238" s="24" t="str">
        <f t="shared" si="43"/>
        <v>신규</v>
      </c>
      <c r="B238" s="24" t="str">
        <f>IF(COUNTIF(R$1:R237,R238)=0,"최초","리오더")</f>
        <v>최초</v>
      </c>
      <c r="C238" s="24" t="str">
        <f t="shared" si="44"/>
        <v>SBRBAF5012</v>
      </c>
      <c r="D238" s="24">
        <f t="shared" si="39"/>
        <v>0.5</v>
      </c>
      <c r="E238" s="24" t="str">
        <f t="shared" si="45"/>
        <v/>
      </c>
      <c r="F238" s="24">
        <f t="shared" si="40"/>
        <v>0</v>
      </c>
      <c r="G238" s="24" t="str">
        <f t="shared" si="46"/>
        <v>SBRBAF5012BG</v>
      </c>
      <c r="H238" s="24">
        <f t="shared" si="41"/>
        <v>1</v>
      </c>
      <c r="I238" s="24" t="str">
        <f t="shared" si="47"/>
        <v/>
      </c>
      <c r="J238" s="24">
        <f t="shared" si="42"/>
        <v>0</v>
      </c>
      <c r="K238" s="24" t="str">
        <f t="shared" si="48"/>
        <v>F5</v>
      </c>
      <c r="L238" s="24" t="str">
        <f>VLOOKUP(N238,CODE!K:P,CODE!$P$1,FALSE)</f>
        <v>모자</v>
      </c>
      <c r="M238" s="24" t="str">
        <f>VLOOKUP(MID(R238,1,3),CODE!$B:$G,CODE!D$1,FALSE)</f>
        <v>SBR</v>
      </c>
      <c r="N238" s="24" t="str">
        <f t="shared" si="49"/>
        <v>BA</v>
      </c>
      <c r="O238" s="29" t="str">
        <f>IF(ISERROR(IF(VLOOKUP($N238,CODE!$K:$P,CODE!$O$1,FALSE)="",$M238,$M238&amp;"-"&amp;VLOOKUP($N238,CODE!$K:$P,CODE!$O$1,FALSE)))=TRUE,"",IF(VLOOKUP($N238,CODE!$K:$P,CODE!$O$1,FALSE)="",$M238,$M238&amp;"-"&amp;VLOOKUP($N238,CODE!$K:$P,CODE!$O$1,FALSE)))</f>
        <v>SBR</v>
      </c>
      <c r="P238" s="29" t="str">
        <f t="shared" si="50"/>
        <v>성인</v>
      </c>
      <c r="Q238" s="29" t="str">
        <f t="shared" si="51"/>
        <v>SBRBAF5012</v>
      </c>
      <c r="R238" s="1" t="s">
        <v>1034</v>
      </c>
      <c r="S238" s="1" t="s">
        <v>14</v>
      </c>
      <c r="T238" s="26">
        <v>2000</v>
      </c>
      <c r="U238" s="26">
        <v>98000000</v>
      </c>
      <c r="V238" s="26">
        <v>14437780</v>
      </c>
      <c r="W238" s="26">
        <v>6.1706792242927291</v>
      </c>
      <c r="X238" s="26">
        <v>2000</v>
      </c>
      <c r="Y238" s="26">
        <v>0</v>
      </c>
    </row>
    <row r="239" spans="1:25">
      <c r="A239" s="24" t="str">
        <f t="shared" si="43"/>
        <v>신규</v>
      </c>
      <c r="B239" s="24" t="str">
        <f>IF(COUNTIF(R$1:R238,R239)=0,"최초","리오더")</f>
        <v>최초</v>
      </c>
      <c r="C239" s="24" t="str">
        <f t="shared" si="44"/>
        <v>SBRBAF5512</v>
      </c>
      <c r="D239" s="24">
        <f t="shared" si="39"/>
        <v>1</v>
      </c>
      <c r="E239" s="24" t="str">
        <f t="shared" si="45"/>
        <v/>
      </c>
      <c r="F239" s="24">
        <f t="shared" si="40"/>
        <v>0</v>
      </c>
      <c r="G239" s="24" t="str">
        <f t="shared" si="46"/>
        <v>SBRBAF5512BG</v>
      </c>
      <c r="H239" s="24">
        <f t="shared" si="41"/>
        <v>1</v>
      </c>
      <c r="I239" s="24" t="str">
        <f t="shared" si="47"/>
        <v/>
      </c>
      <c r="J239" s="24">
        <f t="shared" si="42"/>
        <v>0</v>
      </c>
      <c r="K239" s="24" t="str">
        <f t="shared" si="48"/>
        <v>F5</v>
      </c>
      <c r="L239" s="24" t="str">
        <f>VLOOKUP(N239,CODE!K:P,CODE!$P$1,FALSE)</f>
        <v>모자</v>
      </c>
      <c r="M239" s="24" t="str">
        <f>VLOOKUP(MID(R239,1,3),CODE!$B:$G,CODE!D$1,FALSE)</f>
        <v>SBR</v>
      </c>
      <c r="N239" s="24" t="str">
        <f t="shared" si="49"/>
        <v>BA</v>
      </c>
      <c r="O239" s="29" t="str">
        <f>IF(ISERROR(IF(VLOOKUP($N239,CODE!$K:$P,CODE!$O$1,FALSE)="",$M239,$M239&amp;"-"&amp;VLOOKUP($N239,CODE!$K:$P,CODE!$O$1,FALSE)))=TRUE,"",IF(VLOOKUP($N239,CODE!$K:$P,CODE!$O$1,FALSE)="",$M239,$M239&amp;"-"&amp;VLOOKUP($N239,CODE!$K:$P,CODE!$O$1,FALSE)))</f>
        <v>SBR</v>
      </c>
      <c r="P239" s="29" t="str">
        <f t="shared" si="50"/>
        <v>키즈</v>
      </c>
      <c r="Q239" s="29" t="str">
        <f t="shared" si="51"/>
        <v>SBRBAF5512</v>
      </c>
      <c r="R239" s="1" t="s">
        <v>1035</v>
      </c>
      <c r="S239" s="1" t="s">
        <v>14</v>
      </c>
      <c r="T239" s="26">
        <v>1200</v>
      </c>
      <c r="U239" s="26">
        <v>54000000</v>
      </c>
      <c r="V239" s="26">
        <v>8302668</v>
      </c>
      <c r="W239" s="26">
        <v>5.912666758553887</v>
      </c>
      <c r="X239" s="26">
        <v>1198</v>
      </c>
      <c r="Y239" s="26">
        <v>0</v>
      </c>
    </row>
    <row r="240" spans="1:25">
      <c r="A240" s="24" t="str">
        <f t="shared" si="43"/>
        <v>신규</v>
      </c>
      <c r="B240" s="24" t="str">
        <f>IF(COUNTIF(R$1:R239,R240)=0,"최초","리오더")</f>
        <v>최초</v>
      </c>
      <c r="C240" s="24" t="str">
        <f t="shared" si="44"/>
        <v>SBRBAF5012</v>
      </c>
      <c r="D240" s="24">
        <f t="shared" si="39"/>
        <v>0.5</v>
      </c>
      <c r="E240" s="24" t="str">
        <f t="shared" si="45"/>
        <v/>
      </c>
      <c r="F240" s="24">
        <f t="shared" si="40"/>
        <v>0</v>
      </c>
      <c r="G240" s="24" t="str">
        <f t="shared" si="46"/>
        <v>SBRBAF5012GY</v>
      </c>
      <c r="H240" s="24">
        <f t="shared" si="41"/>
        <v>1</v>
      </c>
      <c r="I240" s="24" t="str">
        <f t="shared" si="47"/>
        <v/>
      </c>
      <c r="J240" s="24">
        <f t="shared" si="42"/>
        <v>0</v>
      </c>
      <c r="K240" s="24" t="str">
        <f t="shared" si="48"/>
        <v>F5</v>
      </c>
      <c r="L240" s="24" t="str">
        <f>VLOOKUP(N240,CODE!K:P,CODE!$P$1,FALSE)</f>
        <v>모자</v>
      </c>
      <c r="M240" s="24" t="str">
        <f>VLOOKUP(MID(R240,1,3),CODE!$B:$G,CODE!D$1,FALSE)</f>
        <v>SBR</v>
      </c>
      <c r="N240" s="24" t="str">
        <f t="shared" si="49"/>
        <v>BA</v>
      </c>
      <c r="O240" s="29" t="str">
        <f>IF(ISERROR(IF(VLOOKUP($N240,CODE!$K:$P,CODE!$O$1,FALSE)="",$M240,$M240&amp;"-"&amp;VLOOKUP($N240,CODE!$K:$P,CODE!$O$1,FALSE)))=TRUE,"",IF(VLOOKUP($N240,CODE!$K:$P,CODE!$O$1,FALSE)="",$M240,$M240&amp;"-"&amp;VLOOKUP($N240,CODE!$K:$P,CODE!$O$1,FALSE)))</f>
        <v>SBR</v>
      </c>
      <c r="P240" s="29" t="str">
        <f t="shared" si="50"/>
        <v>성인</v>
      </c>
      <c r="Q240" s="29" t="str">
        <f t="shared" si="51"/>
        <v>SBRBAF5012</v>
      </c>
      <c r="R240" s="1" t="s">
        <v>1036</v>
      </c>
      <c r="S240" s="1" t="s">
        <v>14</v>
      </c>
      <c r="T240" s="26">
        <v>2000</v>
      </c>
      <c r="U240" s="26">
        <v>98000000</v>
      </c>
      <c r="V240" s="26">
        <v>14437780</v>
      </c>
      <c r="W240" s="26">
        <v>6.1706792242927291</v>
      </c>
      <c r="X240" s="26">
        <v>2000</v>
      </c>
      <c r="Y240" s="26">
        <v>0</v>
      </c>
    </row>
    <row r="241" spans="1:25">
      <c r="A241" s="24" t="str">
        <f t="shared" si="43"/>
        <v>신규</v>
      </c>
      <c r="B241" s="24" t="str">
        <f>IF(COUNTIF(R$1:R240,R241)=0,"최초","리오더")</f>
        <v>최초</v>
      </c>
      <c r="C241" s="24" t="str">
        <f t="shared" si="44"/>
        <v>SBRBAF5013</v>
      </c>
      <c r="D241" s="24">
        <f t="shared" si="39"/>
        <v>0.5</v>
      </c>
      <c r="E241" s="24" t="str">
        <f t="shared" si="45"/>
        <v/>
      </c>
      <c r="F241" s="24">
        <f t="shared" si="40"/>
        <v>0</v>
      </c>
      <c r="G241" s="24" t="str">
        <f t="shared" si="46"/>
        <v>SBRBAF5013KH</v>
      </c>
      <c r="H241" s="24">
        <f t="shared" si="41"/>
        <v>1</v>
      </c>
      <c r="I241" s="24" t="str">
        <f t="shared" si="47"/>
        <v/>
      </c>
      <c r="J241" s="24">
        <f t="shared" si="42"/>
        <v>0</v>
      </c>
      <c r="K241" s="24" t="str">
        <f t="shared" si="48"/>
        <v>F5</v>
      </c>
      <c r="L241" s="24" t="str">
        <f>VLOOKUP(N241,CODE!K:P,CODE!$P$1,FALSE)</f>
        <v>모자</v>
      </c>
      <c r="M241" s="24" t="str">
        <f>VLOOKUP(MID(R241,1,3),CODE!$B:$G,CODE!D$1,FALSE)</f>
        <v>SBR</v>
      </c>
      <c r="N241" s="24" t="str">
        <f t="shared" si="49"/>
        <v>BA</v>
      </c>
      <c r="O241" s="29" t="str">
        <f>IF(ISERROR(IF(VLOOKUP($N241,CODE!$K:$P,CODE!$O$1,FALSE)="",$M241,$M241&amp;"-"&amp;VLOOKUP($N241,CODE!$K:$P,CODE!$O$1,FALSE)))=TRUE,"",IF(VLOOKUP($N241,CODE!$K:$P,CODE!$O$1,FALSE)="",$M241,$M241&amp;"-"&amp;VLOOKUP($N241,CODE!$K:$P,CODE!$O$1,FALSE)))</f>
        <v>SBR</v>
      </c>
      <c r="P241" s="29" t="str">
        <f t="shared" si="50"/>
        <v>성인</v>
      </c>
      <c r="Q241" s="29" t="str">
        <f t="shared" si="51"/>
        <v>SBRBAF5013</v>
      </c>
      <c r="R241" s="1" t="s">
        <v>1037</v>
      </c>
      <c r="S241" s="1" t="s">
        <v>14</v>
      </c>
      <c r="T241" s="26">
        <v>800</v>
      </c>
      <c r="U241" s="26">
        <v>36000000</v>
      </c>
      <c r="V241" s="26">
        <v>5689304.0000000019</v>
      </c>
      <c r="W241" s="26">
        <v>5.7524211621092345</v>
      </c>
      <c r="X241" s="26">
        <v>800</v>
      </c>
      <c r="Y241" s="26">
        <v>0</v>
      </c>
    </row>
    <row r="242" spans="1:25">
      <c r="A242" s="24" t="str">
        <f t="shared" si="43"/>
        <v>신규</v>
      </c>
      <c r="B242" s="24" t="str">
        <f>IF(COUNTIF(R$1:R241,R242)=0,"최초","리오더")</f>
        <v>최초</v>
      </c>
      <c r="C242" s="24" t="str">
        <f t="shared" si="44"/>
        <v>SBRBAF5013</v>
      </c>
      <c r="D242" s="24">
        <f t="shared" si="39"/>
        <v>0.5</v>
      </c>
      <c r="E242" s="24" t="str">
        <f t="shared" si="45"/>
        <v/>
      </c>
      <c r="F242" s="24">
        <f t="shared" si="40"/>
        <v>0</v>
      </c>
      <c r="G242" s="24" t="str">
        <f t="shared" si="46"/>
        <v>SBRBAF5013GY</v>
      </c>
      <c r="H242" s="24">
        <f t="shared" si="41"/>
        <v>1</v>
      </c>
      <c r="I242" s="24" t="str">
        <f t="shared" si="47"/>
        <v/>
      </c>
      <c r="J242" s="24">
        <f t="shared" si="42"/>
        <v>0</v>
      </c>
      <c r="K242" s="24" t="str">
        <f t="shared" si="48"/>
        <v>F5</v>
      </c>
      <c r="L242" s="24" t="str">
        <f>VLOOKUP(N242,CODE!K:P,CODE!$P$1,FALSE)</f>
        <v>모자</v>
      </c>
      <c r="M242" s="24" t="str">
        <f>VLOOKUP(MID(R242,1,3),CODE!$B:$G,CODE!D$1,FALSE)</f>
        <v>SBR</v>
      </c>
      <c r="N242" s="24" t="str">
        <f t="shared" si="49"/>
        <v>BA</v>
      </c>
      <c r="O242" s="29" t="str">
        <f>IF(ISERROR(IF(VLOOKUP($N242,CODE!$K:$P,CODE!$O$1,FALSE)="",$M242,$M242&amp;"-"&amp;VLOOKUP($N242,CODE!$K:$P,CODE!$O$1,FALSE)))=TRUE,"",IF(VLOOKUP($N242,CODE!$K:$P,CODE!$O$1,FALSE)="",$M242,$M242&amp;"-"&amp;VLOOKUP($N242,CODE!$K:$P,CODE!$O$1,FALSE)))</f>
        <v>SBR</v>
      </c>
      <c r="P242" s="29" t="str">
        <f t="shared" si="50"/>
        <v>성인</v>
      </c>
      <c r="Q242" s="29" t="str">
        <f t="shared" si="51"/>
        <v>SBRBAF5013</v>
      </c>
      <c r="R242" s="1" t="s">
        <v>1038</v>
      </c>
      <c r="S242" s="1" t="s">
        <v>14</v>
      </c>
      <c r="T242" s="26">
        <v>800</v>
      </c>
      <c r="U242" s="26">
        <v>36000000</v>
      </c>
      <c r="V242" s="26">
        <v>5689304.0000000019</v>
      </c>
      <c r="W242" s="26">
        <v>5.7524211621092345</v>
      </c>
      <c r="X242" s="26">
        <v>800</v>
      </c>
      <c r="Y242" s="26">
        <v>0</v>
      </c>
    </row>
    <row r="243" spans="1:25">
      <c r="A243" s="24" t="str">
        <f t="shared" si="43"/>
        <v>신규</v>
      </c>
      <c r="B243" s="24" t="str">
        <f>IF(COUNTIF(R$1:R242,R243)=0,"최초","리오더")</f>
        <v>최초</v>
      </c>
      <c r="C243" s="24" t="str">
        <f t="shared" si="44"/>
        <v>SBRMIF5014</v>
      </c>
      <c r="D243" s="24">
        <f t="shared" si="39"/>
        <v>0.5</v>
      </c>
      <c r="E243" s="24" t="str">
        <f t="shared" si="45"/>
        <v/>
      </c>
      <c r="F243" s="24">
        <f t="shared" si="40"/>
        <v>0</v>
      </c>
      <c r="G243" s="24" t="str">
        <f t="shared" si="46"/>
        <v>SBRMIF5014BK</v>
      </c>
      <c r="H243" s="24">
        <f t="shared" si="41"/>
        <v>1</v>
      </c>
      <c r="I243" s="24" t="str">
        <f t="shared" si="47"/>
        <v/>
      </c>
      <c r="J243" s="24">
        <f t="shared" si="42"/>
        <v>0</v>
      </c>
      <c r="K243" s="24" t="str">
        <f t="shared" si="48"/>
        <v>F5</v>
      </c>
      <c r="L243" s="24" t="str">
        <f>VLOOKUP(N243,CODE!K:P,CODE!$P$1,FALSE)</f>
        <v>모자</v>
      </c>
      <c r="M243" s="24" t="str">
        <f>VLOOKUP(MID(R243,1,3),CODE!$B:$G,CODE!D$1,FALSE)</f>
        <v>SBR</v>
      </c>
      <c r="N243" s="24" t="str">
        <f t="shared" si="49"/>
        <v>MI</v>
      </c>
      <c r="O243" s="29" t="str">
        <f>IF(ISERROR(IF(VLOOKUP($N243,CODE!$K:$P,CODE!$O$1,FALSE)="",$M243,$M243&amp;"-"&amp;VLOOKUP($N243,CODE!$K:$P,CODE!$O$1,FALSE)))=TRUE,"",IF(VLOOKUP($N243,CODE!$K:$P,CODE!$O$1,FALSE)="",$M243,$M243&amp;"-"&amp;VLOOKUP($N243,CODE!$K:$P,CODE!$O$1,FALSE)))</f>
        <v>SBR</v>
      </c>
      <c r="P243" s="29" t="str">
        <f t="shared" si="50"/>
        <v>성인</v>
      </c>
      <c r="Q243" s="29" t="str">
        <f t="shared" si="51"/>
        <v>SBRMIF5014</v>
      </c>
      <c r="R243" s="1" t="s">
        <v>1039</v>
      </c>
      <c r="S243" s="1" t="s">
        <v>14</v>
      </c>
      <c r="T243" s="26">
        <v>800</v>
      </c>
      <c r="U243" s="26">
        <v>36000000</v>
      </c>
      <c r="V243" s="26">
        <v>6173360</v>
      </c>
      <c r="W243" s="26">
        <v>5.3013711702011097</v>
      </c>
      <c r="X243" s="26">
        <v>800</v>
      </c>
      <c r="Y243" s="26">
        <v>0</v>
      </c>
    </row>
    <row r="244" spans="1:25">
      <c r="A244" s="24" t="str">
        <f t="shared" si="43"/>
        <v>신규</v>
      </c>
      <c r="B244" s="24" t="str">
        <f>IF(COUNTIF(R$1:R243,R244)=0,"최초","리오더")</f>
        <v>최초</v>
      </c>
      <c r="C244" s="24" t="str">
        <f t="shared" si="44"/>
        <v>SBRMIF5014</v>
      </c>
      <c r="D244" s="24">
        <f t="shared" si="39"/>
        <v>0.5</v>
      </c>
      <c r="E244" s="24" t="str">
        <f t="shared" si="45"/>
        <v/>
      </c>
      <c r="F244" s="24">
        <f t="shared" si="40"/>
        <v>0</v>
      </c>
      <c r="G244" s="24" t="str">
        <f t="shared" si="46"/>
        <v>SBRMIF5014RE</v>
      </c>
      <c r="H244" s="24">
        <f t="shared" si="41"/>
        <v>1</v>
      </c>
      <c r="I244" s="24" t="str">
        <f t="shared" si="47"/>
        <v/>
      </c>
      <c r="J244" s="24">
        <f t="shared" si="42"/>
        <v>0</v>
      </c>
      <c r="K244" s="24" t="str">
        <f t="shared" si="48"/>
        <v>F5</v>
      </c>
      <c r="L244" s="24" t="str">
        <f>VLOOKUP(N244,CODE!K:P,CODE!$P$1,FALSE)</f>
        <v>모자</v>
      </c>
      <c r="M244" s="24" t="str">
        <f>VLOOKUP(MID(R244,1,3),CODE!$B:$G,CODE!D$1,FALSE)</f>
        <v>SBR</v>
      </c>
      <c r="N244" s="24" t="str">
        <f t="shared" si="49"/>
        <v>MI</v>
      </c>
      <c r="O244" s="29" t="str">
        <f>IF(ISERROR(IF(VLOOKUP($N244,CODE!$K:$P,CODE!$O$1,FALSE)="",$M244,$M244&amp;"-"&amp;VLOOKUP($N244,CODE!$K:$P,CODE!$O$1,FALSE)))=TRUE,"",IF(VLOOKUP($N244,CODE!$K:$P,CODE!$O$1,FALSE)="",$M244,$M244&amp;"-"&amp;VLOOKUP($N244,CODE!$K:$P,CODE!$O$1,FALSE)))</f>
        <v>SBR</v>
      </c>
      <c r="P244" s="29" t="str">
        <f t="shared" si="50"/>
        <v>성인</v>
      </c>
      <c r="Q244" s="29" t="str">
        <f t="shared" si="51"/>
        <v>SBRMIF5014</v>
      </c>
      <c r="R244" s="1" t="s">
        <v>1040</v>
      </c>
      <c r="S244" s="1" t="s">
        <v>14</v>
      </c>
      <c r="T244" s="26">
        <v>800</v>
      </c>
      <c r="U244" s="26">
        <v>36000000</v>
      </c>
      <c r="V244" s="26">
        <v>6173360</v>
      </c>
      <c r="W244" s="26">
        <v>5.3013711702011097</v>
      </c>
      <c r="X244" s="26">
        <v>799</v>
      </c>
      <c r="Y244" s="26">
        <v>0</v>
      </c>
    </row>
    <row r="245" spans="1:25">
      <c r="A245" s="24" t="str">
        <f t="shared" si="43"/>
        <v>신규</v>
      </c>
      <c r="B245" s="24" t="str">
        <f>IF(COUNTIF(R$1:R244,R245)=0,"최초","리오더")</f>
        <v>최초</v>
      </c>
      <c r="C245" s="24" t="str">
        <f t="shared" si="44"/>
        <v>SBRMIF5015</v>
      </c>
      <c r="D245" s="24">
        <f t="shared" si="39"/>
        <v>0.5</v>
      </c>
      <c r="E245" s="24" t="str">
        <f t="shared" si="45"/>
        <v/>
      </c>
      <c r="F245" s="24">
        <f t="shared" si="40"/>
        <v>0</v>
      </c>
      <c r="G245" s="24" t="str">
        <f t="shared" si="46"/>
        <v>SBRMIF5015NY</v>
      </c>
      <c r="H245" s="24">
        <f t="shared" si="41"/>
        <v>1</v>
      </c>
      <c r="I245" s="24" t="str">
        <f t="shared" si="47"/>
        <v/>
      </c>
      <c r="J245" s="24">
        <f t="shared" si="42"/>
        <v>0</v>
      </c>
      <c r="K245" s="24" t="str">
        <f t="shared" si="48"/>
        <v>F5</v>
      </c>
      <c r="L245" s="24" t="str">
        <f>VLOOKUP(N245,CODE!K:P,CODE!$P$1,FALSE)</f>
        <v>모자</v>
      </c>
      <c r="M245" s="24" t="str">
        <f>VLOOKUP(MID(R245,1,3),CODE!$B:$G,CODE!D$1,FALSE)</f>
        <v>SBR</v>
      </c>
      <c r="N245" s="24" t="str">
        <f t="shared" si="49"/>
        <v>MI</v>
      </c>
      <c r="O245" s="29" t="str">
        <f>IF(ISERROR(IF(VLOOKUP($N245,CODE!$K:$P,CODE!$O$1,FALSE)="",$M245,$M245&amp;"-"&amp;VLOOKUP($N245,CODE!$K:$P,CODE!$O$1,FALSE)))=TRUE,"",IF(VLOOKUP($N245,CODE!$K:$P,CODE!$O$1,FALSE)="",$M245,$M245&amp;"-"&amp;VLOOKUP($N245,CODE!$K:$P,CODE!$O$1,FALSE)))</f>
        <v>SBR</v>
      </c>
      <c r="P245" s="29" t="str">
        <f t="shared" si="50"/>
        <v>성인</v>
      </c>
      <c r="Q245" s="29" t="str">
        <f t="shared" si="51"/>
        <v>SBRMIF5015</v>
      </c>
      <c r="R245" s="1" t="s">
        <v>1041</v>
      </c>
      <c r="S245" s="1" t="s">
        <v>14</v>
      </c>
      <c r="T245" s="26">
        <v>800</v>
      </c>
      <c r="U245" s="26">
        <v>39200000</v>
      </c>
      <c r="V245" s="26">
        <v>6520296.0000000009</v>
      </c>
      <c r="W245" s="26">
        <v>5.4654518194210242</v>
      </c>
      <c r="X245" s="26">
        <v>800</v>
      </c>
      <c r="Y245" s="26">
        <v>0</v>
      </c>
    </row>
    <row r="246" spans="1:25">
      <c r="A246" s="24" t="str">
        <f t="shared" si="43"/>
        <v>신규</v>
      </c>
      <c r="B246" s="24" t="str">
        <f>IF(COUNTIF(R$1:R245,R246)=0,"최초","리오더")</f>
        <v>최초</v>
      </c>
      <c r="C246" s="24" t="str">
        <f t="shared" si="44"/>
        <v>SBRMIF5015</v>
      </c>
      <c r="D246" s="24">
        <f t="shared" si="39"/>
        <v>0.5</v>
      </c>
      <c r="E246" s="24" t="str">
        <f t="shared" si="45"/>
        <v/>
      </c>
      <c r="F246" s="24">
        <f t="shared" si="40"/>
        <v>0</v>
      </c>
      <c r="G246" s="24" t="str">
        <f t="shared" si="46"/>
        <v>SBRMIF5015BK</v>
      </c>
      <c r="H246" s="24">
        <f t="shared" si="41"/>
        <v>1</v>
      </c>
      <c r="I246" s="24" t="str">
        <f t="shared" si="47"/>
        <v/>
      </c>
      <c r="J246" s="24">
        <f t="shared" si="42"/>
        <v>0</v>
      </c>
      <c r="K246" s="24" t="str">
        <f t="shared" si="48"/>
        <v>F5</v>
      </c>
      <c r="L246" s="24" t="str">
        <f>VLOOKUP(N246,CODE!K:P,CODE!$P$1,FALSE)</f>
        <v>모자</v>
      </c>
      <c r="M246" s="24" t="str">
        <f>VLOOKUP(MID(R246,1,3),CODE!$B:$G,CODE!D$1,FALSE)</f>
        <v>SBR</v>
      </c>
      <c r="N246" s="24" t="str">
        <f t="shared" si="49"/>
        <v>MI</v>
      </c>
      <c r="O246" s="29" t="str">
        <f>IF(ISERROR(IF(VLOOKUP($N246,CODE!$K:$P,CODE!$O$1,FALSE)="",$M246,$M246&amp;"-"&amp;VLOOKUP($N246,CODE!$K:$P,CODE!$O$1,FALSE)))=TRUE,"",IF(VLOOKUP($N246,CODE!$K:$P,CODE!$O$1,FALSE)="",$M246,$M246&amp;"-"&amp;VLOOKUP($N246,CODE!$K:$P,CODE!$O$1,FALSE)))</f>
        <v>SBR</v>
      </c>
      <c r="P246" s="29" t="str">
        <f t="shared" si="50"/>
        <v>성인</v>
      </c>
      <c r="Q246" s="29" t="str">
        <f t="shared" si="51"/>
        <v>SBRMIF5015</v>
      </c>
      <c r="R246" s="1" t="s">
        <v>1042</v>
      </c>
      <c r="S246" s="1" t="s">
        <v>14</v>
      </c>
      <c r="T246" s="26">
        <v>800</v>
      </c>
      <c r="U246" s="26">
        <v>39200000</v>
      </c>
      <c r="V246" s="26">
        <v>6584296.0000000009</v>
      </c>
      <c r="W246" s="26">
        <v>5.4123270940983863</v>
      </c>
      <c r="X246" s="26">
        <v>798</v>
      </c>
      <c r="Y246" s="26">
        <v>0</v>
      </c>
    </row>
    <row r="247" spans="1:25">
      <c r="A247" s="24" t="str">
        <f t="shared" si="43"/>
        <v>신규</v>
      </c>
      <c r="B247" s="24" t="str">
        <f>IF(COUNTIF(R$1:R246,R247)=0,"최초","리오더")</f>
        <v>최초</v>
      </c>
      <c r="C247" s="24" t="str">
        <f t="shared" si="44"/>
        <v>SBRMIF5016</v>
      </c>
      <c r="D247" s="24">
        <f t="shared" si="39"/>
        <v>1</v>
      </c>
      <c r="E247" s="24" t="str">
        <f t="shared" si="45"/>
        <v/>
      </c>
      <c r="F247" s="24">
        <f t="shared" si="40"/>
        <v>0</v>
      </c>
      <c r="G247" s="24" t="str">
        <f t="shared" si="46"/>
        <v>SBRMIF5016GY</v>
      </c>
      <c r="H247" s="24">
        <f t="shared" si="41"/>
        <v>1</v>
      </c>
      <c r="I247" s="24" t="str">
        <f t="shared" si="47"/>
        <v/>
      </c>
      <c r="J247" s="24">
        <f t="shared" si="42"/>
        <v>0</v>
      </c>
      <c r="K247" s="24" t="str">
        <f t="shared" si="48"/>
        <v>F5</v>
      </c>
      <c r="L247" s="24" t="str">
        <f>VLOOKUP(N247,CODE!K:P,CODE!$P$1,FALSE)</f>
        <v>모자</v>
      </c>
      <c r="M247" s="24" t="str">
        <f>VLOOKUP(MID(R247,1,3),CODE!$B:$G,CODE!D$1,FALSE)</f>
        <v>SBR</v>
      </c>
      <c r="N247" s="24" t="str">
        <f t="shared" si="49"/>
        <v>MI</v>
      </c>
      <c r="O247" s="29" t="str">
        <f>IF(ISERROR(IF(VLOOKUP($N247,CODE!$K:$P,CODE!$O$1,FALSE)="",$M247,$M247&amp;"-"&amp;VLOOKUP($N247,CODE!$K:$P,CODE!$O$1,FALSE)))=TRUE,"",IF(VLOOKUP($N247,CODE!$K:$P,CODE!$O$1,FALSE)="",$M247,$M247&amp;"-"&amp;VLOOKUP($N247,CODE!$K:$P,CODE!$O$1,FALSE)))</f>
        <v>SBR</v>
      </c>
      <c r="P247" s="29" t="str">
        <f t="shared" si="50"/>
        <v>성인</v>
      </c>
      <c r="Q247" s="29" t="str">
        <f t="shared" si="51"/>
        <v>SBRMIF5016</v>
      </c>
      <c r="R247" s="1" t="s">
        <v>1043</v>
      </c>
      <c r="S247" s="1" t="s">
        <v>14</v>
      </c>
      <c r="T247" s="26">
        <v>1000</v>
      </c>
      <c r="U247" s="26">
        <v>49000000</v>
      </c>
      <c r="V247" s="26">
        <v>8055700</v>
      </c>
      <c r="W247" s="26">
        <v>5.5296814113552575</v>
      </c>
      <c r="X247" s="26">
        <v>1000</v>
      </c>
      <c r="Y247" s="26">
        <v>0</v>
      </c>
    </row>
    <row r="248" spans="1:25">
      <c r="A248" s="24" t="str">
        <f t="shared" si="43"/>
        <v>신규</v>
      </c>
      <c r="B248" s="24" t="str">
        <f>IF(COUNTIF(R$1:R247,R248)=0,"최초","리오더")</f>
        <v>최초</v>
      </c>
      <c r="C248" s="24" t="str">
        <f t="shared" si="44"/>
        <v>SBRBAF5017</v>
      </c>
      <c r="D248" s="24">
        <f t="shared" si="39"/>
        <v>0.5</v>
      </c>
      <c r="E248" s="24" t="str">
        <f t="shared" si="45"/>
        <v/>
      </c>
      <c r="F248" s="24">
        <f t="shared" si="40"/>
        <v>0</v>
      </c>
      <c r="G248" s="24" t="str">
        <f t="shared" si="46"/>
        <v>SBRBAF5017BW</v>
      </c>
      <c r="H248" s="24">
        <f t="shared" si="41"/>
        <v>1</v>
      </c>
      <c r="I248" s="24" t="str">
        <f t="shared" si="47"/>
        <v/>
      </c>
      <c r="J248" s="24">
        <f t="shared" si="42"/>
        <v>0</v>
      </c>
      <c r="K248" s="24" t="str">
        <f t="shared" si="48"/>
        <v>F5</v>
      </c>
      <c r="L248" s="24" t="str">
        <f>VLOOKUP(N248,CODE!K:P,CODE!$P$1,FALSE)</f>
        <v>모자</v>
      </c>
      <c r="M248" s="24" t="str">
        <f>VLOOKUP(MID(R248,1,3),CODE!$B:$G,CODE!D$1,FALSE)</f>
        <v>SBR</v>
      </c>
      <c r="N248" s="24" t="str">
        <f t="shared" si="49"/>
        <v>BA</v>
      </c>
      <c r="O248" s="29" t="str">
        <f>IF(ISERROR(IF(VLOOKUP($N248,CODE!$K:$P,CODE!$O$1,FALSE)="",$M248,$M248&amp;"-"&amp;VLOOKUP($N248,CODE!$K:$P,CODE!$O$1,FALSE)))=TRUE,"",IF(VLOOKUP($N248,CODE!$K:$P,CODE!$O$1,FALSE)="",$M248,$M248&amp;"-"&amp;VLOOKUP($N248,CODE!$K:$P,CODE!$O$1,FALSE)))</f>
        <v>SBR</v>
      </c>
      <c r="P248" s="29" t="str">
        <f t="shared" si="50"/>
        <v>성인</v>
      </c>
      <c r="Q248" s="29" t="str">
        <f t="shared" si="51"/>
        <v>SBRBAF5017</v>
      </c>
      <c r="R248" s="1" t="s">
        <v>1044</v>
      </c>
      <c r="S248" s="1" t="s">
        <v>14</v>
      </c>
      <c r="T248" s="26">
        <v>1200</v>
      </c>
      <c r="U248" s="26">
        <v>46800000</v>
      </c>
      <c r="V248" s="26">
        <v>6735384</v>
      </c>
      <c r="W248" s="26">
        <v>6.3167080815963192</v>
      </c>
      <c r="X248" s="26">
        <v>1200</v>
      </c>
      <c r="Y248" s="26">
        <v>0</v>
      </c>
    </row>
    <row r="249" spans="1:25">
      <c r="A249" s="24" t="str">
        <f t="shared" si="43"/>
        <v>신규</v>
      </c>
      <c r="B249" s="24" t="str">
        <f>IF(COUNTIF(R$1:R248,R249)=0,"최초","리오더")</f>
        <v>최초</v>
      </c>
      <c r="C249" s="24" t="str">
        <f t="shared" si="44"/>
        <v>SBRBAF5017</v>
      </c>
      <c r="D249" s="24">
        <f t="shared" si="39"/>
        <v>0.5</v>
      </c>
      <c r="E249" s="24" t="str">
        <f t="shared" si="45"/>
        <v/>
      </c>
      <c r="F249" s="24">
        <f t="shared" si="40"/>
        <v>0</v>
      </c>
      <c r="G249" s="24" t="str">
        <f t="shared" si="46"/>
        <v>SBRBAF5017BK</v>
      </c>
      <c r="H249" s="24">
        <f t="shared" si="41"/>
        <v>1</v>
      </c>
      <c r="I249" s="24" t="str">
        <f t="shared" si="47"/>
        <v/>
      </c>
      <c r="J249" s="24">
        <f t="shared" si="42"/>
        <v>0</v>
      </c>
      <c r="K249" s="24" t="str">
        <f t="shared" si="48"/>
        <v>F5</v>
      </c>
      <c r="L249" s="24" t="str">
        <f>VLOOKUP(N249,CODE!K:P,CODE!$P$1,FALSE)</f>
        <v>모자</v>
      </c>
      <c r="M249" s="24" t="str">
        <f>VLOOKUP(MID(R249,1,3),CODE!$B:$G,CODE!D$1,FALSE)</f>
        <v>SBR</v>
      </c>
      <c r="N249" s="24" t="str">
        <f t="shared" si="49"/>
        <v>BA</v>
      </c>
      <c r="O249" s="29" t="str">
        <f>IF(ISERROR(IF(VLOOKUP($N249,CODE!$K:$P,CODE!$O$1,FALSE)="",$M249,$M249&amp;"-"&amp;VLOOKUP($N249,CODE!$K:$P,CODE!$O$1,FALSE)))=TRUE,"",IF(VLOOKUP($N249,CODE!$K:$P,CODE!$O$1,FALSE)="",$M249,$M249&amp;"-"&amp;VLOOKUP($N249,CODE!$K:$P,CODE!$O$1,FALSE)))</f>
        <v>SBR</v>
      </c>
      <c r="P249" s="29" t="str">
        <f t="shared" si="50"/>
        <v>성인</v>
      </c>
      <c r="Q249" s="29" t="str">
        <f t="shared" si="51"/>
        <v>SBRBAF5017</v>
      </c>
      <c r="R249" s="1" t="s">
        <v>1045</v>
      </c>
      <c r="S249" s="1" t="s">
        <v>14</v>
      </c>
      <c r="T249" s="26">
        <v>1200</v>
      </c>
      <c r="U249" s="26">
        <v>46800000</v>
      </c>
      <c r="V249" s="26">
        <v>6729072.0000000019</v>
      </c>
      <c r="W249" s="26">
        <v>6.322633276245897</v>
      </c>
      <c r="X249" s="26">
        <v>1200</v>
      </c>
      <c r="Y249" s="26">
        <v>0</v>
      </c>
    </row>
    <row r="250" spans="1:25">
      <c r="A250" s="24" t="str">
        <f t="shared" si="43"/>
        <v>신규</v>
      </c>
      <c r="B250" s="24" t="str">
        <f>IF(COUNTIF(R$1:R249,R250)=0,"최초","리오더")</f>
        <v>최초</v>
      </c>
      <c r="C250" s="24" t="str">
        <f t="shared" si="44"/>
        <v>SBRERF5018</v>
      </c>
      <c r="D250" s="24">
        <f t="shared" si="39"/>
        <v>1</v>
      </c>
      <c r="E250" s="24" t="str">
        <f t="shared" si="45"/>
        <v/>
      </c>
      <c r="F250" s="24">
        <f t="shared" si="40"/>
        <v>0</v>
      </c>
      <c r="G250" s="24" t="str">
        <f t="shared" si="46"/>
        <v>SBRERF5018BK</v>
      </c>
      <c r="H250" s="24">
        <f t="shared" si="41"/>
        <v>1</v>
      </c>
      <c r="I250" s="24" t="str">
        <f t="shared" si="47"/>
        <v/>
      </c>
      <c r="J250" s="24">
        <f t="shared" si="42"/>
        <v>0</v>
      </c>
      <c r="K250" s="24" t="str">
        <f t="shared" si="48"/>
        <v>F5</v>
      </c>
      <c r="L250" s="24" t="str">
        <f>VLOOKUP(N250,CODE!K:P,CODE!$P$1,FALSE)</f>
        <v>모자</v>
      </c>
      <c r="M250" s="24" t="str">
        <f>VLOOKUP(MID(R250,1,3),CODE!$B:$G,CODE!D$1,FALSE)</f>
        <v>SBR</v>
      </c>
      <c r="N250" s="24" t="str">
        <f t="shared" si="49"/>
        <v>ER</v>
      </c>
      <c r="O250" s="29" t="str">
        <f>IF(ISERROR(IF(VLOOKUP($N250,CODE!$K:$P,CODE!$O$1,FALSE)="",$M250,$M250&amp;"-"&amp;VLOOKUP($N250,CODE!$K:$P,CODE!$O$1,FALSE)))=TRUE,"",IF(VLOOKUP($N250,CODE!$K:$P,CODE!$O$1,FALSE)="",$M250,$M250&amp;"-"&amp;VLOOKUP($N250,CODE!$K:$P,CODE!$O$1,FALSE)))</f>
        <v>SBR</v>
      </c>
      <c r="P250" s="29" t="str">
        <f t="shared" si="50"/>
        <v>성인</v>
      </c>
      <c r="Q250" s="29" t="str">
        <f t="shared" si="51"/>
        <v>SBRERF5018</v>
      </c>
      <c r="R250" s="1" t="s">
        <v>1046</v>
      </c>
      <c r="S250" s="1" t="s">
        <v>14</v>
      </c>
      <c r="T250" s="26">
        <v>1000</v>
      </c>
      <c r="U250" s="26">
        <v>55000000</v>
      </c>
      <c r="V250" s="26">
        <v>6219400.0000000009</v>
      </c>
      <c r="W250" s="26">
        <v>8.0393607100363358</v>
      </c>
      <c r="X250" s="26">
        <v>999</v>
      </c>
      <c r="Y250" s="26">
        <v>0</v>
      </c>
    </row>
    <row r="251" spans="1:25">
      <c r="A251" s="24" t="str">
        <f t="shared" si="43"/>
        <v>신규</v>
      </c>
      <c r="B251" s="24" t="str">
        <f>IF(COUNTIF(R$1:R250,R251)=0,"최초","리오더")</f>
        <v>최초</v>
      </c>
      <c r="C251" s="24" t="str">
        <f t="shared" si="44"/>
        <v>SBRERF5019</v>
      </c>
      <c r="D251" s="24">
        <f t="shared" si="39"/>
        <v>1</v>
      </c>
      <c r="E251" s="24" t="str">
        <f t="shared" si="45"/>
        <v/>
      </c>
      <c r="F251" s="24">
        <f t="shared" si="40"/>
        <v>0</v>
      </c>
      <c r="G251" s="24" t="str">
        <f t="shared" si="46"/>
        <v>SBRERF5019PK</v>
      </c>
      <c r="H251" s="24">
        <f t="shared" si="41"/>
        <v>1</v>
      </c>
      <c r="I251" s="24" t="str">
        <f t="shared" si="47"/>
        <v/>
      </c>
      <c r="J251" s="24">
        <f t="shared" si="42"/>
        <v>0</v>
      </c>
      <c r="K251" s="24" t="str">
        <f t="shared" si="48"/>
        <v>F5</v>
      </c>
      <c r="L251" s="24" t="str">
        <f>VLOOKUP(N251,CODE!K:P,CODE!$P$1,FALSE)</f>
        <v>모자</v>
      </c>
      <c r="M251" s="24" t="str">
        <f>VLOOKUP(MID(R251,1,3),CODE!$B:$G,CODE!D$1,FALSE)</f>
        <v>SBR</v>
      </c>
      <c r="N251" s="24" t="str">
        <f t="shared" si="49"/>
        <v>ER</v>
      </c>
      <c r="O251" s="29" t="str">
        <f>IF(ISERROR(IF(VLOOKUP($N251,CODE!$K:$P,CODE!$O$1,FALSE)="",$M251,$M251&amp;"-"&amp;VLOOKUP($N251,CODE!$K:$P,CODE!$O$1,FALSE)))=TRUE,"",IF(VLOOKUP($N251,CODE!$K:$P,CODE!$O$1,FALSE)="",$M251,$M251&amp;"-"&amp;VLOOKUP($N251,CODE!$K:$P,CODE!$O$1,FALSE)))</f>
        <v>SBR</v>
      </c>
      <c r="P251" s="29" t="str">
        <f t="shared" si="50"/>
        <v>성인</v>
      </c>
      <c r="Q251" s="29" t="str">
        <f t="shared" si="51"/>
        <v>SBRERF5019</v>
      </c>
      <c r="R251" s="1" t="s">
        <v>1047</v>
      </c>
      <c r="S251" s="1" t="s">
        <v>14</v>
      </c>
      <c r="T251" s="26">
        <v>1000</v>
      </c>
      <c r="U251" s="26">
        <v>49000000</v>
      </c>
      <c r="V251" s="26">
        <v>7830780.0000000009</v>
      </c>
      <c r="W251" s="26">
        <v>5.688507983298539</v>
      </c>
      <c r="X251" s="26">
        <v>988</v>
      </c>
      <c r="Y251" s="26">
        <v>0</v>
      </c>
    </row>
    <row r="252" spans="1:25">
      <c r="A252" s="24" t="str">
        <f t="shared" si="43"/>
        <v>신규</v>
      </c>
      <c r="B252" s="24" t="str">
        <f>IF(COUNTIF(R$1:R251,R252)=0,"최초","리오더")</f>
        <v>최초</v>
      </c>
      <c r="C252" s="24" t="str">
        <f t="shared" si="44"/>
        <v>SBRERF5020</v>
      </c>
      <c r="D252" s="24">
        <f t="shared" si="39"/>
        <v>1</v>
      </c>
      <c r="E252" s="24" t="str">
        <f t="shared" si="45"/>
        <v/>
      </c>
      <c r="F252" s="24">
        <f t="shared" si="40"/>
        <v>0</v>
      </c>
      <c r="G252" s="24" t="str">
        <f t="shared" si="46"/>
        <v>SBRERF5020GY</v>
      </c>
      <c r="H252" s="24">
        <f t="shared" si="41"/>
        <v>1</v>
      </c>
      <c r="I252" s="24" t="str">
        <f t="shared" si="47"/>
        <v/>
      </c>
      <c r="J252" s="24">
        <f t="shared" si="42"/>
        <v>0</v>
      </c>
      <c r="K252" s="24" t="str">
        <f t="shared" si="48"/>
        <v>F5</v>
      </c>
      <c r="L252" s="24" t="str">
        <f>VLOOKUP(N252,CODE!K:P,CODE!$P$1,FALSE)</f>
        <v>모자</v>
      </c>
      <c r="M252" s="24" t="str">
        <f>VLOOKUP(MID(R252,1,3),CODE!$B:$G,CODE!D$1,FALSE)</f>
        <v>SBR</v>
      </c>
      <c r="N252" s="24" t="str">
        <f t="shared" si="49"/>
        <v>ER</v>
      </c>
      <c r="O252" s="29" t="str">
        <f>IF(ISERROR(IF(VLOOKUP($N252,CODE!$K:$P,CODE!$O$1,FALSE)="",$M252,$M252&amp;"-"&amp;VLOOKUP($N252,CODE!$K:$P,CODE!$O$1,FALSE)))=TRUE,"",IF(VLOOKUP($N252,CODE!$K:$P,CODE!$O$1,FALSE)="",$M252,$M252&amp;"-"&amp;VLOOKUP($N252,CODE!$K:$P,CODE!$O$1,FALSE)))</f>
        <v>SBR</v>
      </c>
      <c r="P252" s="29" t="str">
        <f t="shared" si="50"/>
        <v>성인</v>
      </c>
      <c r="Q252" s="29" t="str">
        <f t="shared" si="51"/>
        <v>SBRERF5020</v>
      </c>
      <c r="R252" s="1" t="s">
        <v>1048</v>
      </c>
      <c r="S252" s="1" t="s">
        <v>14</v>
      </c>
      <c r="T252" s="26">
        <v>1000</v>
      </c>
      <c r="U252" s="26">
        <v>59000000</v>
      </c>
      <c r="V252" s="26">
        <v>11095500</v>
      </c>
      <c r="W252" s="26">
        <v>4.8340645880188928</v>
      </c>
      <c r="X252" s="26">
        <v>999</v>
      </c>
      <c r="Y252" s="26">
        <v>0</v>
      </c>
    </row>
    <row r="253" spans="1:25">
      <c r="A253" s="24" t="str">
        <f t="shared" si="43"/>
        <v>신규</v>
      </c>
      <c r="B253" s="24" t="str">
        <f>IF(COUNTIF(R$1:R252,R253)=0,"최초","리오더")</f>
        <v>최초</v>
      </c>
      <c r="C253" s="24" t="str">
        <f t="shared" si="44"/>
        <v>SBRERF5021</v>
      </c>
      <c r="D253" s="24">
        <f t="shared" si="39"/>
        <v>1</v>
      </c>
      <c r="E253" s="24" t="str">
        <f t="shared" si="45"/>
        <v/>
      </c>
      <c r="F253" s="24">
        <f t="shared" si="40"/>
        <v>0</v>
      </c>
      <c r="G253" s="24" t="str">
        <f t="shared" si="46"/>
        <v>SBRERF5021NY</v>
      </c>
      <c r="H253" s="24">
        <f t="shared" si="41"/>
        <v>1</v>
      </c>
      <c r="I253" s="24" t="str">
        <f t="shared" si="47"/>
        <v/>
      </c>
      <c r="J253" s="24">
        <f t="shared" si="42"/>
        <v>0</v>
      </c>
      <c r="K253" s="24" t="str">
        <f t="shared" si="48"/>
        <v>F5</v>
      </c>
      <c r="L253" s="24" t="str">
        <f>VLOOKUP(N253,CODE!K:P,CODE!$P$1,FALSE)</f>
        <v>모자</v>
      </c>
      <c r="M253" s="24" t="str">
        <f>VLOOKUP(MID(R253,1,3),CODE!$B:$G,CODE!D$1,FALSE)</f>
        <v>SBR</v>
      </c>
      <c r="N253" s="24" t="str">
        <f t="shared" si="49"/>
        <v>ER</v>
      </c>
      <c r="O253" s="29" t="str">
        <f>IF(ISERROR(IF(VLOOKUP($N253,CODE!$K:$P,CODE!$O$1,FALSE)="",$M253,$M253&amp;"-"&amp;VLOOKUP($N253,CODE!$K:$P,CODE!$O$1,FALSE)))=TRUE,"",IF(VLOOKUP($N253,CODE!$K:$P,CODE!$O$1,FALSE)="",$M253,$M253&amp;"-"&amp;VLOOKUP($N253,CODE!$K:$P,CODE!$O$1,FALSE)))</f>
        <v>SBR</v>
      </c>
      <c r="P253" s="29" t="str">
        <f t="shared" si="50"/>
        <v>성인</v>
      </c>
      <c r="Q253" s="29" t="str">
        <f t="shared" si="51"/>
        <v>SBRERF5021</v>
      </c>
      <c r="R253" s="1" t="s">
        <v>1049</v>
      </c>
      <c r="S253" s="1" t="s">
        <v>14</v>
      </c>
      <c r="T253" s="26">
        <v>800</v>
      </c>
      <c r="U253" s="26">
        <v>39200000</v>
      </c>
      <c r="V253" s="26">
        <v>6844104.0000000009</v>
      </c>
      <c r="W253" s="26">
        <v>5.2068705613420878</v>
      </c>
      <c r="X253" s="26">
        <v>776</v>
      </c>
      <c r="Y253" s="26">
        <v>0</v>
      </c>
    </row>
    <row r="254" spans="1:25">
      <c r="A254" s="24" t="str">
        <f t="shared" si="43"/>
        <v>신규</v>
      </c>
      <c r="B254" s="24" t="str">
        <f>IF(COUNTIF(R$1:R253,R254)=0,"최초","리오더")</f>
        <v>최초</v>
      </c>
      <c r="C254" s="24" t="str">
        <f t="shared" si="44"/>
        <v>SBRERF5022</v>
      </c>
      <c r="D254" s="24">
        <f t="shared" si="39"/>
        <v>1</v>
      </c>
      <c r="E254" s="24" t="str">
        <f t="shared" si="45"/>
        <v/>
      </c>
      <c r="F254" s="24">
        <f t="shared" si="40"/>
        <v>0</v>
      </c>
      <c r="G254" s="24" t="str">
        <f t="shared" si="46"/>
        <v>SBRERF5022IV</v>
      </c>
      <c r="H254" s="24">
        <f t="shared" si="41"/>
        <v>1</v>
      </c>
      <c r="I254" s="24" t="str">
        <f t="shared" si="47"/>
        <v/>
      </c>
      <c r="J254" s="24">
        <f t="shared" si="42"/>
        <v>0</v>
      </c>
      <c r="K254" s="24" t="str">
        <f t="shared" si="48"/>
        <v>F5</v>
      </c>
      <c r="L254" s="24" t="str">
        <f>VLOOKUP(N254,CODE!K:P,CODE!$P$1,FALSE)</f>
        <v>모자</v>
      </c>
      <c r="M254" s="24" t="str">
        <f>VLOOKUP(MID(R254,1,3),CODE!$B:$G,CODE!D$1,FALSE)</f>
        <v>SBR</v>
      </c>
      <c r="N254" s="24" t="str">
        <f t="shared" si="49"/>
        <v>ER</v>
      </c>
      <c r="O254" s="29" t="str">
        <f>IF(ISERROR(IF(VLOOKUP($N254,CODE!$K:$P,CODE!$O$1,FALSE)="",$M254,$M254&amp;"-"&amp;VLOOKUP($N254,CODE!$K:$P,CODE!$O$1,FALSE)))=TRUE,"",IF(VLOOKUP($N254,CODE!$K:$P,CODE!$O$1,FALSE)="",$M254,$M254&amp;"-"&amp;VLOOKUP($N254,CODE!$K:$P,CODE!$O$1,FALSE)))</f>
        <v>SBR</v>
      </c>
      <c r="P254" s="29" t="str">
        <f t="shared" si="50"/>
        <v>성인</v>
      </c>
      <c r="Q254" s="29" t="str">
        <f t="shared" si="51"/>
        <v>SBRERF5022</v>
      </c>
      <c r="R254" s="1" t="s">
        <v>1050</v>
      </c>
      <c r="S254" s="1" t="s">
        <v>14</v>
      </c>
      <c r="T254" s="26">
        <v>1200</v>
      </c>
      <c r="U254" s="26">
        <v>58800000</v>
      </c>
      <c r="V254" s="26">
        <v>10709259.999999998</v>
      </c>
      <c r="W254" s="26">
        <v>4.9914322235659103</v>
      </c>
      <c r="X254" s="26">
        <v>800</v>
      </c>
      <c r="Y254" s="26">
        <v>0</v>
      </c>
    </row>
    <row r="255" spans="1:25">
      <c r="A255" s="24" t="str">
        <f t="shared" si="43"/>
        <v>신규</v>
      </c>
      <c r="B255" s="24" t="str">
        <f>IF(COUNTIF(R$1:R254,R255)=0,"최초","리오더")</f>
        <v>최초</v>
      </c>
      <c r="C255" s="24" t="str">
        <f t="shared" si="44"/>
        <v>ELSTLF5009</v>
      </c>
      <c r="D255" s="24">
        <f t="shared" si="39"/>
        <v>1</v>
      </c>
      <c r="E255" s="24" t="str">
        <f t="shared" si="45"/>
        <v/>
      </c>
      <c r="F255" s="24">
        <f t="shared" si="40"/>
        <v>0</v>
      </c>
      <c r="G255" s="24" t="str">
        <f t="shared" si="46"/>
        <v>ELSTLF5009BK</v>
      </c>
      <c r="H255" s="24">
        <f t="shared" si="41"/>
        <v>1</v>
      </c>
      <c r="I255" s="24" t="str">
        <f t="shared" si="47"/>
        <v/>
      </c>
      <c r="J255" s="24">
        <f t="shared" si="42"/>
        <v>0</v>
      </c>
      <c r="K255" s="24" t="str">
        <f t="shared" si="48"/>
        <v>F5</v>
      </c>
      <c r="L255" s="24" t="str">
        <f>VLOOKUP(N255,CODE!K:P,CODE!$P$1,FALSE)</f>
        <v>의류</v>
      </c>
      <c r="M255" s="24" t="str">
        <f>VLOOKUP(MID(R255,1,3),CODE!$B:$G,CODE!D$1,FALSE)</f>
        <v>ELS</v>
      </c>
      <c r="N255" s="24" t="str">
        <f t="shared" si="49"/>
        <v>TL</v>
      </c>
      <c r="O255" s="29" t="str">
        <f>IF(ISERROR(IF(VLOOKUP($N255,CODE!$K:$P,CODE!$O$1,FALSE)="",$M255,$M255&amp;"-"&amp;VLOOKUP($N255,CODE!$K:$P,CODE!$O$1,FALSE)))=TRUE,"",IF(VLOOKUP($N255,CODE!$K:$P,CODE!$O$1,FALSE)="",$M255,$M255&amp;"-"&amp;VLOOKUP($N255,CODE!$K:$P,CODE!$O$1,FALSE)))</f>
        <v>ELS-의류</v>
      </c>
      <c r="P255" s="29" t="str">
        <f t="shared" si="50"/>
        <v>성인</v>
      </c>
      <c r="Q255" s="29" t="str">
        <f t="shared" si="51"/>
        <v>ELSTLF5009</v>
      </c>
      <c r="R255" s="1" t="s">
        <v>1051</v>
      </c>
      <c r="S255" s="1" t="s">
        <v>14</v>
      </c>
      <c r="T255" s="26">
        <v>1000</v>
      </c>
      <c r="U255" s="26">
        <v>89000000</v>
      </c>
      <c r="V255" s="26">
        <v>19193000.000000004</v>
      </c>
      <c r="W255" s="26">
        <v>4.2155520715412331</v>
      </c>
      <c r="X255" s="26">
        <v>1046</v>
      </c>
      <c r="Y255" s="26">
        <v>0</v>
      </c>
    </row>
    <row r="256" spans="1:25">
      <c r="A256" s="24" t="str">
        <f t="shared" si="43"/>
        <v>신규</v>
      </c>
      <c r="B256" s="24" t="str">
        <f>IF(COUNTIF(R$1:R255,R256)=0,"최초","리오더")</f>
        <v>최초</v>
      </c>
      <c r="C256" s="24" t="str">
        <f t="shared" si="44"/>
        <v>ELSTLF5511</v>
      </c>
      <c r="D256" s="24">
        <f t="shared" si="39"/>
        <v>0.5</v>
      </c>
      <c r="E256" s="24" t="str">
        <f t="shared" si="45"/>
        <v/>
      </c>
      <c r="F256" s="24">
        <f t="shared" si="40"/>
        <v>0</v>
      </c>
      <c r="G256" s="24" t="str">
        <f t="shared" si="46"/>
        <v>ELSTLF5511MT</v>
      </c>
      <c r="H256" s="24">
        <f t="shared" si="41"/>
        <v>1</v>
      </c>
      <c r="I256" s="24" t="str">
        <f t="shared" si="47"/>
        <v/>
      </c>
      <c r="J256" s="24">
        <f t="shared" si="42"/>
        <v>0</v>
      </c>
      <c r="K256" s="24" t="str">
        <f t="shared" si="48"/>
        <v>F5</v>
      </c>
      <c r="L256" s="24" t="str">
        <f>VLOOKUP(N256,CODE!K:P,CODE!$P$1,FALSE)</f>
        <v>의류</v>
      </c>
      <c r="M256" s="24" t="str">
        <f>VLOOKUP(MID(R256,1,3),CODE!$B:$G,CODE!D$1,FALSE)</f>
        <v>ELS</v>
      </c>
      <c r="N256" s="24" t="str">
        <f t="shared" si="49"/>
        <v>TL</v>
      </c>
      <c r="O256" s="29" t="str">
        <f>IF(ISERROR(IF(VLOOKUP($N256,CODE!$K:$P,CODE!$O$1,FALSE)="",$M256,$M256&amp;"-"&amp;VLOOKUP($N256,CODE!$K:$P,CODE!$O$1,FALSE)))=TRUE,"",IF(VLOOKUP($N256,CODE!$K:$P,CODE!$O$1,FALSE)="",$M256,$M256&amp;"-"&amp;VLOOKUP($N256,CODE!$K:$P,CODE!$O$1,FALSE)))</f>
        <v>ELS-의류</v>
      </c>
      <c r="P256" s="29" t="str">
        <f t="shared" si="50"/>
        <v>키즈</v>
      </c>
      <c r="Q256" s="29" t="str">
        <f t="shared" si="51"/>
        <v>ELSTLF5511</v>
      </c>
      <c r="R256" s="1" t="s">
        <v>1052</v>
      </c>
      <c r="S256" s="1" t="s">
        <v>14</v>
      </c>
      <c r="T256" s="26">
        <v>1200</v>
      </c>
      <c r="U256" s="26">
        <v>94800000</v>
      </c>
      <c r="V256" s="26">
        <v>21299100</v>
      </c>
      <c r="W256" s="26">
        <v>4.0462657192941567</v>
      </c>
      <c r="X256" s="26">
        <v>1252</v>
      </c>
      <c r="Y256" s="26">
        <v>0</v>
      </c>
    </row>
    <row r="257" spans="1:25">
      <c r="A257" s="24" t="str">
        <f t="shared" si="43"/>
        <v>신규</v>
      </c>
      <c r="B257" s="24" t="str">
        <f>IF(COUNTIF(R$1:R256,R257)=0,"최초","리오더")</f>
        <v>최초</v>
      </c>
      <c r="C257" s="24" t="str">
        <f t="shared" si="44"/>
        <v>ELSTLF5511</v>
      </c>
      <c r="D257" s="24">
        <f t="shared" si="39"/>
        <v>0.5</v>
      </c>
      <c r="E257" s="24" t="str">
        <f t="shared" si="45"/>
        <v/>
      </c>
      <c r="F257" s="24">
        <f t="shared" si="40"/>
        <v>0</v>
      </c>
      <c r="G257" s="24" t="str">
        <f t="shared" si="46"/>
        <v>ELSTLF5511PK</v>
      </c>
      <c r="H257" s="24">
        <f t="shared" si="41"/>
        <v>1</v>
      </c>
      <c r="I257" s="24" t="str">
        <f t="shared" si="47"/>
        <v/>
      </c>
      <c r="J257" s="24">
        <f t="shared" si="42"/>
        <v>0</v>
      </c>
      <c r="K257" s="24" t="str">
        <f t="shared" si="48"/>
        <v>F5</v>
      </c>
      <c r="L257" s="24" t="str">
        <f>VLOOKUP(N257,CODE!K:P,CODE!$P$1,FALSE)</f>
        <v>의류</v>
      </c>
      <c r="M257" s="24" t="str">
        <f>VLOOKUP(MID(R257,1,3),CODE!$B:$G,CODE!D$1,FALSE)</f>
        <v>ELS</v>
      </c>
      <c r="N257" s="24" t="str">
        <f t="shared" si="49"/>
        <v>TL</v>
      </c>
      <c r="O257" s="29" t="str">
        <f>IF(ISERROR(IF(VLOOKUP($N257,CODE!$K:$P,CODE!$O$1,FALSE)="",$M257,$M257&amp;"-"&amp;VLOOKUP($N257,CODE!$K:$P,CODE!$O$1,FALSE)))=TRUE,"",IF(VLOOKUP($N257,CODE!$K:$P,CODE!$O$1,FALSE)="",$M257,$M257&amp;"-"&amp;VLOOKUP($N257,CODE!$K:$P,CODE!$O$1,FALSE)))</f>
        <v>ELS-의류</v>
      </c>
      <c r="P257" s="29" t="str">
        <f t="shared" si="50"/>
        <v>키즈</v>
      </c>
      <c r="Q257" s="29" t="str">
        <f t="shared" si="51"/>
        <v>ELSTLF5511</v>
      </c>
      <c r="R257" s="1" t="s">
        <v>1053</v>
      </c>
      <c r="S257" s="1" t="s">
        <v>14</v>
      </c>
      <c r="T257" s="26">
        <v>1200</v>
      </c>
      <c r="U257" s="26">
        <v>94800000</v>
      </c>
      <c r="V257" s="26">
        <v>21299100</v>
      </c>
      <c r="W257" s="26">
        <v>4.0462657192941567</v>
      </c>
      <c r="X257" s="26">
        <v>1259</v>
      </c>
      <c r="Y257" s="26">
        <v>0</v>
      </c>
    </row>
    <row r="258" spans="1:25">
      <c r="A258" s="24" t="str">
        <f t="shared" si="43"/>
        <v>신규</v>
      </c>
      <c r="B258" s="24" t="str">
        <f>IF(COUNTIF(R$1:R257,R258)=0,"최초","리오더")</f>
        <v>최초</v>
      </c>
      <c r="C258" s="24" t="str">
        <f t="shared" si="44"/>
        <v>ELSHPF5012</v>
      </c>
      <c r="D258" s="24">
        <f t="shared" ref="D258:D321" si="52">IF(C258="",0,1/COUNTIF(C:C,C258))</f>
        <v>1</v>
      </c>
      <c r="E258" s="24" t="str">
        <f t="shared" si="45"/>
        <v/>
      </c>
      <c r="F258" s="24">
        <f t="shared" ref="F258:F321" si="53">IF(E258="",0,1/COUNTIF(E:E,E258))</f>
        <v>0</v>
      </c>
      <c r="G258" s="24" t="str">
        <f t="shared" si="46"/>
        <v>ELSHPF5012BK</v>
      </c>
      <c r="H258" s="24">
        <f t="shared" ref="H258:H321" si="54">IF(G258="",0,1/COUNTIF(G:G,G258))</f>
        <v>1</v>
      </c>
      <c r="I258" s="24" t="str">
        <f t="shared" si="47"/>
        <v/>
      </c>
      <c r="J258" s="24">
        <f t="shared" ref="J258:J321" si="55">IF(I258="",0,1/COUNTIF(I:I,I258))</f>
        <v>0</v>
      </c>
      <c r="K258" s="24" t="str">
        <f t="shared" si="48"/>
        <v>F5</v>
      </c>
      <c r="L258" s="24" t="str">
        <f>VLOOKUP(N258,CODE!K:P,CODE!$P$1,FALSE)</f>
        <v>의류</v>
      </c>
      <c r="M258" s="24" t="str">
        <f>VLOOKUP(MID(R258,1,3),CODE!$B:$G,CODE!D$1,FALSE)</f>
        <v>ELS</v>
      </c>
      <c r="N258" s="24" t="str">
        <f t="shared" si="49"/>
        <v>HP</v>
      </c>
      <c r="O258" s="29" t="str">
        <f>IF(ISERROR(IF(VLOOKUP($N258,CODE!$K:$P,CODE!$O$1,FALSE)="",$M258,$M258&amp;"-"&amp;VLOOKUP($N258,CODE!$K:$P,CODE!$O$1,FALSE)))=TRUE,"",IF(VLOOKUP($N258,CODE!$K:$P,CODE!$O$1,FALSE)="",$M258,$M258&amp;"-"&amp;VLOOKUP($N258,CODE!$K:$P,CODE!$O$1,FALSE)))</f>
        <v>ELS-의류</v>
      </c>
      <c r="P258" s="29" t="str">
        <f t="shared" si="50"/>
        <v>성인</v>
      </c>
      <c r="Q258" s="29" t="str">
        <f t="shared" si="51"/>
        <v>ELSHPF5012</v>
      </c>
      <c r="R258" s="1" t="s">
        <v>1054</v>
      </c>
      <c r="S258" s="1" t="s">
        <v>14</v>
      </c>
      <c r="T258" s="26">
        <v>1000</v>
      </c>
      <c r="U258" s="26">
        <v>159000000</v>
      </c>
      <c r="V258" s="26">
        <v>35998250</v>
      </c>
      <c r="W258" s="26">
        <v>4.0153467056163716</v>
      </c>
      <c r="X258" s="26">
        <v>1021</v>
      </c>
      <c r="Y258" s="26">
        <v>0</v>
      </c>
    </row>
    <row r="259" spans="1:25">
      <c r="A259" s="24" t="str">
        <f t="shared" ref="A259:A322" si="56">IF(OR(MID(R259,8,1)="0",MID(R259,8,1)="5"),"신규","러닝")</f>
        <v>신규</v>
      </c>
      <c r="B259" s="24" t="str">
        <f>IF(COUNTIF(R$1:R258,R259)=0,"최초","리오더")</f>
        <v>최초</v>
      </c>
      <c r="C259" s="24" t="str">
        <f t="shared" ref="C259:C322" si="57">IF($B259="리오더","",Q259)</f>
        <v>ELSHPF5513</v>
      </c>
      <c r="D259" s="24">
        <f t="shared" si="52"/>
        <v>1</v>
      </c>
      <c r="E259" s="24" t="str">
        <f t="shared" ref="E259:E322" si="58">IF($B259="리오더",Q259,"")</f>
        <v/>
      </c>
      <c r="F259" s="24">
        <f t="shared" si="53"/>
        <v>0</v>
      </c>
      <c r="G259" s="24" t="str">
        <f t="shared" ref="G259:G322" si="59">IF($B259="리오더","",R259)</f>
        <v>ELSHPF5513MT</v>
      </c>
      <c r="H259" s="24">
        <f t="shared" si="54"/>
        <v>1</v>
      </c>
      <c r="I259" s="24" t="str">
        <f t="shared" ref="I259:I322" si="60">IF($B259="리오더",R259,"")</f>
        <v/>
      </c>
      <c r="J259" s="24">
        <f t="shared" si="55"/>
        <v>0</v>
      </c>
      <c r="K259" s="24" t="str">
        <f t="shared" ref="K259:K322" si="61">MID(R259,6,2)</f>
        <v>F5</v>
      </c>
      <c r="L259" s="24" t="str">
        <f>VLOOKUP(N259,CODE!K:P,CODE!$P$1,FALSE)</f>
        <v>의류</v>
      </c>
      <c r="M259" s="24" t="str">
        <f>VLOOKUP(MID(R259,1,3),CODE!$B:$G,CODE!D$1,FALSE)</f>
        <v>ELS</v>
      </c>
      <c r="N259" s="24" t="str">
        <f t="shared" ref="N259:N322" si="62">MID(R259,4,2)</f>
        <v>HP</v>
      </c>
      <c r="O259" s="29" t="str">
        <f>IF(ISERROR(IF(VLOOKUP($N259,CODE!$K:$P,CODE!$O$1,FALSE)="",$M259,$M259&amp;"-"&amp;VLOOKUP($N259,CODE!$K:$P,CODE!$O$1,FALSE)))=TRUE,"",IF(VLOOKUP($N259,CODE!$K:$P,CODE!$O$1,FALSE)="",$M259,$M259&amp;"-"&amp;VLOOKUP($N259,CODE!$K:$P,CODE!$O$1,FALSE)))</f>
        <v>ELS-의류</v>
      </c>
      <c r="P259" s="29" t="str">
        <f t="shared" ref="P259:P322" si="63">IF(OR(MID(R259,8,1)="0",MID(R259,8,1)="1",MID(R259,8,1)="2",MID(R259,8,1)="3",MID(R259,8,1)="4"),"성인","키즈")</f>
        <v>키즈</v>
      </c>
      <c r="Q259" s="29" t="str">
        <f t="shared" ref="Q259:Q322" si="64">MID(R259,1,10)</f>
        <v>ELSHPF5513</v>
      </c>
      <c r="R259" s="1" t="s">
        <v>1055</v>
      </c>
      <c r="S259" s="1" t="s">
        <v>14</v>
      </c>
      <c r="T259" s="26">
        <v>1000</v>
      </c>
      <c r="U259" s="26">
        <v>119000000</v>
      </c>
      <c r="V259" s="26">
        <v>24044000.000000004</v>
      </c>
      <c r="W259" s="26">
        <v>4.4993269914248106</v>
      </c>
      <c r="X259" s="26">
        <v>1051</v>
      </c>
      <c r="Y259" s="26">
        <v>0</v>
      </c>
    </row>
    <row r="260" spans="1:25">
      <c r="A260" s="24" t="str">
        <f t="shared" si="56"/>
        <v>신규</v>
      </c>
      <c r="B260" s="24" t="str">
        <f>IF(COUNTIF(R$1:R259,R260)=0,"최초","리오더")</f>
        <v>최초</v>
      </c>
      <c r="C260" s="24" t="str">
        <f t="shared" si="57"/>
        <v>ELSHPF5514</v>
      </c>
      <c r="D260" s="24">
        <f t="shared" si="52"/>
        <v>1</v>
      </c>
      <c r="E260" s="24" t="str">
        <f t="shared" si="58"/>
        <v/>
      </c>
      <c r="F260" s="24">
        <f t="shared" si="53"/>
        <v>0</v>
      </c>
      <c r="G260" s="24" t="str">
        <f t="shared" si="59"/>
        <v>ELSHPF5514PK</v>
      </c>
      <c r="H260" s="24">
        <f t="shared" si="54"/>
        <v>1</v>
      </c>
      <c r="I260" s="24" t="str">
        <f t="shared" si="60"/>
        <v/>
      </c>
      <c r="J260" s="24">
        <f t="shared" si="55"/>
        <v>0</v>
      </c>
      <c r="K260" s="24" t="str">
        <f t="shared" si="61"/>
        <v>F5</v>
      </c>
      <c r="L260" s="24" t="str">
        <f>VLOOKUP(N260,CODE!K:P,CODE!$P$1,FALSE)</f>
        <v>의류</v>
      </c>
      <c r="M260" s="24" t="str">
        <f>VLOOKUP(MID(R260,1,3),CODE!$B:$G,CODE!D$1,FALSE)</f>
        <v>ELS</v>
      </c>
      <c r="N260" s="24" t="str">
        <f t="shared" si="62"/>
        <v>HP</v>
      </c>
      <c r="O260" s="29" t="str">
        <f>IF(ISERROR(IF(VLOOKUP($N260,CODE!$K:$P,CODE!$O$1,FALSE)="",$M260,$M260&amp;"-"&amp;VLOOKUP($N260,CODE!$K:$P,CODE!$O$1,FALSE)))=TRUE,"",IF(VLOOKUP($N260,CODE!$K:$P,CODE!$O$1,FALSE)="",$M260,$M260&amp;"-"&amp;VLOOKUP($N260,CODE!$K:$P,CODE!$O$1,FALSE)))</f>
        <v>ELS-의류</v>
      </c>
      <c r="P260" s="29" t="str">
        <f t="shared" si="63"/>
        <v>키즈</v>
      </c>
      <c r="Q260" s="29" t="str">
        <f t="shared" si="64"/>
        <v>ELSHPF5514</v>
      </c>
      <c r="R260" s="1" t="s">
        <v>1056</v>
      </c>
      <c r="S260" s="1" t="s">
        <v>14</v>
      </c>
      <c r="T260" s="26">
        <v>1000</v>
      </c>
      <c r="U260" s="26">
        <v>119000000</v>
      </c>
      <c r="V260" s="26">
        <v>24044000.000000004</v>
      </c>
      <c r="W260" s="26">
        <v>4.4993269914248106</v>
      </c>
      <c r="X260" s="26">
        <v>1050</v>
      </c>
      <c r="Y260" s="26">
        <v>0</v>
      </c>
    </row>
    <row r="261" spans="1:25">
      <c r="A261" s="24" t="str">
        <f t="shared" si="56"/>
        <v>신규</v>
      </c>
      <c r="B261" s="24" t="str">
        <f>IF(COUNTIF(R$1:R260,R261)=0,"최초","리오더")</f>
        <v>최초</v>
      </c>
      <c r="C261" s="24" t="str">
        <f t="shared" si="57"/>
        <v>ELSHPF5515</v>
      </c>
      <c r="D261" s="24">
        <f t="shared" si="52"/>
        <v>1</v>
      </c>
      <c r="E261" s="24" t="str">
        <f t="shared" si="58"/>
        <v/>
      </c>
      <c r="F261" s="24">
        <f t="shared" si="53"/>
        <v>0</v>
      </c>
      <c r="G261" s="24" t="str">
        <f t="shared" si="59"/>
        <v>ELSHPF5515RE</v>
      </c>
      <c r="H261" s="24">
        <f t="shared" si="54"/>
        <v>1</v>
      </c>
      <c r="I261" s="24" t="str">
        <f t="shared" si="60"/>
        <v/>
      </c>
      <c r="J261" s="24">
        <f t="shared" si="55"/>
        <v>0</v>
      </c>
      <c r="K261" s="24" t="str">
        <f t="shared" si="61"/>
        <v>F5</v>
      </c>
      <c r="L261" s="24" t="str">
        <f>VLOOKUP(N261,CODE!K:P,CODE!$P$1,FALSE)</f>
        <v>의류</v>
      </c>
      <c r="M261" s="24" t="str">
        <f>VLOOKUP(MID(R261,1,3),CODE!$B:$G,CODE!D$1,FALSE)</f>
        <v>ELS</v>
      </c>
      <c r="N261" s="24" t="str">
        <f t="shared" si="62"/>
        <v>HP</v>
      </c>
      <c r="O261" s="29" t="str">
        <f>IF(ISERROR(IF(VLOOKUP($N261,CODE!$K:$P,CODE!$O$1,FALSE)="",$M261,$M261&amp;"-"&amp;VLOOKUP($N261,CODE!$K:$P,CODE!$O$1,FALSE)))=TRUE,"",IF(VLOOKUP($N261,CODE!$K:$P,CODE!$O$1,FALSE)="",$M261,$M261&amp;"-"&amp;VLOOKUP($N261,CODE!$K:$P,CODE!$O$1,FALSE)))</f>
        <v>ELS-의류</v>
      </c>
      <c r="P261" s="29" t="str">
        <f t="shared" si="63"/>
        <v>키즈</v>
      </c>
      <c r="Q261" s="29" t="str">
        <f t="shared" si="64"/>
        <v>ELSHPF5515</v>
      </c>
      <c r="R261" s="1" t="s">
        <v>1057</v>
      </c>
      <c r="S261" s="1" t="s">
        <v>14</v>
      </c>
      <c r="T261" s="26">
        <v>1000</v>
      </c>
      <c r="U261" s="26">
        <v>119000000</v>
      </c>
      <c r="V261" s="26">
        <v>23928500</v>
      </c>
      <c r="W261" s="26">
        <v>4.5210447032542014</v>
      </c>
      <c r="X261" s="26">
        <v>1050</v>
      </c>
      <c r="Y261" s="26">
        <v>0</v>
      </c>
    </row>
    <row r="262" spans="1:25">
      <c r="A262" s="24" t="str">
        <f t="shared" si="56"/>
        <v>신규</v>
      </c>
      <c r="B262" s="24" t="str">
        <f>IF(COUNTIF(R$1:R261,R262)=0,"최초","리오더")</f>
        <v>최초</v>
      </c>
      <c r="C262" s="24" t="str">
        <f t="shared" si="57"/>
        <v>ELSJPF5516</v>
      </c>
      <c r="D262" s="24">
        <f t="shared" si="52"/>
        <v>0.5</v>
      </c>
      <c r="E262" s="24" t="str">
        <f t="shared" si="58"/>
        <v/>
      </c>
      <c r="F262" s="24">
        <f t="shared" si="53"/>
        <v>0</v>
      </c>
      <c r="G262" s="24" t="str">
        <f t="shared" si="59"/>
        <v>ELSJPF5516BL</v>
      </c>
      <c r="H262" s="24">
        <f t="shared" si="54"/>
        <v>1</v>
      </c>
      <c r="I262" s="24" t="str">
        <f t="shared" si="60"/>
        <v/>
      </c>
      <c r="J262" s="24">
        <f t="shared" si="55"/>
        <v>0</v>
      </c>
      <c r="K262" s="24" t="str">
        <f t="shared" si="61"/>
        <v>F5</v>
      </c>
      <c r="L262" s="24" t="str">
        <f>VLOOKUP(N262,CODE!K:P,CODE!$P$1,FALSE)</f>
        <v>의류</v>
      </c>
      <c r="M262" s="24" t="str">
        <f>VLOOKUP(MID(R262,1,3),CODE!$B:$G,CODE!D$1,FALSE)</f>
        <v>ELS</v>
      </c>
      <c r="N262" s="24" t="str">
        <f t="shared" si="62"/>
        <v>JP</v>
      </c>
      <c r="O262" s="29" t="str">
        <f>IF(ISERROR(IF(VLOOKUP($N262,CODE!$K:$P,CODE!$O$1,FALSE)="",$M262,$M262&amp;"-"&amp;VLOOKUP($N262,CODE!$K:$P,CODE!$O$1,FALSE)))=TRUE,"",IF(VLOOKUP($N262,CODE!$K:$P,CODE!$O$1,FALSE)="",$M262,$M262&amp;"-"&amp;VLOOKUP($N262,CODE!$K:$P,CODE!$O$1,FALSE)))</f>
        <v>ELS-의류</v>
      </c>
      <c r="P262" s="29" t="str">
        <f t="shared" si="63"/>
        <v>키즈</v>
      </c>
      <c r="Q262" s="29" t="str">
        <f t="shared" si="64"/>
        <v>ELSJPF5516</v>
      </c>
      <c r="R262" s="1" t="s">
        <v>1058</v>
      </c>
      <c r="S262" s="1" t="s">
        <v>14</v>
      </c>
      <c r="T262" s="26">
        <v>1000</v>
      </c>
      <c r="U262" s="26">
        <v>159000000</v>
      </c>
      <c r="V262" s="26">
        <v>35825000.000000007</v>
      </c>
      <c r="W262" s="26">
        <v>4.0347649559094068</v>
      </c>
      <c r="X262" s="26">
        <v>1053</v>
      </c>
      <c r="Y262" s="26">
        <v>0</v>
      </c>
    </row>
    <row r="263" spans="1:25">
      <c r="A263" s="24" t="str">
        <f t="shared" si="56"/>
        <v>신규</v>
      </c>
      <c r="B263" s="24" t="str">
        <f>IF(COUNTIF(R$1:R262,R263)=0,"최초","리오더")</f>
        <v>최초</v>
      </c>
      <c r="C263" s="24" t="str">
        <f t="shared" si="57"/>
        <v>ELSJPF5516</v>
      </c>
      <c r="D263" s="24">
        <f t="shared" si="52"/>
        <v>0.5</v>
      </c>
      <c r="E263" s="24" t="str">
        <f t="shared" si="58"/>
        <v/>
      </c>
      <c r="F263" s="24">
        <f t="shared" si="53"/>
        <v>0</v>
      </c>
      <c r="G263" s="24" t="str">
        <f t="shared" si="59"/>
        <v>ELSJPF5516PK</v>
      </c>
      <c r="H263" s="24">
        <f t="shared" si="54"/>
        <v>1</v>
      </c>
      <c r="I263" s="24" t="str">
        <f t="shared" si="60"/>
        <v/>
      </c>
      <c r="J263" s="24">
        <f t="shared" si="55"/>
        <v>0</v>
      </c>
      <c r="K263" s="24" t="str">
        <f t="shared" si="61"/>
        <v>F5</v>
      </c>
      <c r="L263" s="24" t="str">
        <f>VLOOKUP(N263,CODE!K:P,CODE!$P$1,FALSE)</f>
        <v>의류</v>
      </c>
      <c r="M263" s="24" t="str">
        <f>VLOOKUP(MID(R263,1,3),CODE!$B:$G,CODE!D$1,FALSE)</f>
        <v>ELS</v>
      </c>
      <c r="N263" s="24" t="str">
        <f t="shared" si="62"/>
        <v>JP</v>
      </c>
      <c r="O263" s="29" t="str">
        <f>IF(ISERROR(IF(VLOOKUP($N263,CODE!$K:$P,CODE!$O$1,FALSE)="",$M263,$M263&amp;"-"&amp;VLOOKUP($N263,CODE!$K:$P,CODE!$O$1,FALSE)))=TRUE,"",IF(VLOOKUP($N263,CODE!$K:$P,CODE!$O$1,FALSE)="",$M263,$M263&amp;"-"&amp;VLOOKUP($N263,CODE!$K:$P,CODE!$O$1,FALSE)))</f>
        <v>ELS-의류</v>
      </c>
      <c r="P263" s="29" t="str">
        <f t="shared" si="63"/>
        <v>키즈</v>
      </c>
      <c r="Q263" s="29" t="str">
        <f t="shared" si="64"/>
        <v>ELSJPF5516</v>
      </c>
      <c r="R263" s="1" t="s">
        <v>1059</v>
      </c>
      <c r="S263" s="1" t="s">
        <v>14</v>
      </c>
      <c r="T263" s="26">
        <v>1000</v>
      </c>
      <c r="U263" s="26">
        <v>159000000</v>
      </c>
      <c r="V263" s="26">
        <v>35825000.000000007</v>
      </c>
      <c r="W263" s="26">
        <v>4.0347649559094068</v>
      </c>
      <c r="X263" s="26">
        <v>1053</v>
      </c>
      <c r="Y263" s="26">
        <v>0</v>
      </c>
    </row>
    <row r="264" spans="1:25">
      <c r="A264" s="24" t="str">
        <f t="shared" si="56"/>
        <v>신규</v>
      </c>
      <c r="B264" s="24" t="str">
        <f>IF(COUNTIF(R$1:R263,R264)=0,"최초","리오더")</f>
        <v>최초</v>
      </c>
      <c r="C264" s="24" t="str">
        <f t="shared" si="57"/>
        <v>ELSTHF5017</v>
      </c>
      <c r="D264" s="24">
        <f t="shared" si="52"/>
        <v>0.5</v>
      </c>
      <c r="E264" s="24" t="str">
        <f t="shared" si="58"/>
        <v/>
      </c>
      <c r="F264" s="24">
        <f t="shared" si="53"/>
        <v>0</v>
      </c>
      <c r="G264" s="24" t="str">
        <f t="shared" si="59"/>
        <v>ELSTHF5017BK</v>
      </c>
      <c r="H264" s="24">
        <f t="shared" si="54"/>
        <v>1</v>
      </c>
      <c r="I264" s="24" t="str">
        <f t="shared" si="60"/>
        <v/>
      </c>
      <c r="J264" s="24">
        <f t="shared" si="55"/>
        <v>0</v>
      </c>
      <c r="K264" s="24" t="str">
        <f t="shared" si="61"/>
        <v>F5</v>
      </c>
      <c r="L264" s="24" t="str">
        <f>VLOOKUP(N264,CODE!K:P,CODE!$P$1,FALSE)</f>
        <v>의류</v>
      </c>
      <c r="M264" s="24" t="str">
        <f>VLOOKUP(MID(R264,1,3),CODE!$B:$G,CODE!D$1,FALSE)</f>
        <v>ELS</v>
      </c>
      <c r="N264" s="24" t="str">
        <f t="shared" si="62"/>
        <v>TH</v>
      </c>
      <c r="O264" s="29" t="str">
        <f>IF(ISERROR(IF(VLOOKUP($N264,CODE!$K:$P,CODE!$O$1,FALSE)="",$M264,$M264&amp;"-"&amp;VLOOKUP($N264,CODE!$K:$P,CODE!$O$1,FALSE)))=TRUE,"",IF(VLOOKUP($N264,CODE!$K:$P,CODE!$O$1,FALSE)="",$M264,$M264&amp;"-"&amp;VLOOKUP($N264,CODE!$K:$P,CODE!$O$1,FALSE)))</f>
        <v>ELS-의류</v>
      </c>
      <c r="P264" s="29" t="str">
        <f t="shared" si="63"/>
        <v>성인</v>
      </c>
      <c r="Q264" s="29" t="str">
        <f t="shared" si="64"/>
        <v>ELSTHF5017</v>
      </c>
      <c r="R264" s="1" t="s">
        <v>1060</v>
      </c>
      <c r="S264" s="1" t="s">
        <v>14</v>
      </c>
      <c r="T264" s="26">
        <v>1000</v>
      </c>
      <c r="U264" s="26">
        <v>109000000</v>
      </c>
      <c r="V264" s="26">
        <v>24804000</v>
      </c>
      <c r="W264" s="26">
        <v>3.9949568251455037</v>
      </c>
      <c r="X264" s="26">
        <v>1024</v>
      </c>
      <c r="Y264" s="26">
        <v>0</v>
      </c>
    </row>
    <row r="265" spans="1:25">
      <c r="A265" s="24" t="str">
        <f t="shared" si="56"/>
        <v>신규</v>
      </c>
      <c r="B265" s="24" t="str">
        <f>IF(COUNTIF(R$1:R264,R265)=0,"최초","리오더")</f>
        <v>최초</v>
      </c>
      <c r="C265" s="24" t="str">
        <f t="shared" si="57"/>
        <v>ELSTHF5017</v>
      </c>
      <c r="D265" s="24">
        <f t="shared" si="52"/>
        <v>0.5</v>
      </c>
      <c r="E265" s="24" t="str">
        <f t="shared" si="58"/>
        <v/>
      </c>
      <c r="F265" s="24">
        <f t="shared" si="53"/>
        <v>0</v>
      </c>
      <c r="G265" s="24" t="str">
        <f t="shared" si="59"/>
        <v>ELSTHF5017RE</v>
      </c>
      <c r="H265" s="24">
        <f t="shared" si="54"/>
        <v>1</v>
      </c>
      <c r="I265" s="24" t="str">
        <f t="shared" si="60"/>
        <v/>
      </c>
      <c r="J265" s="24">
        <f t="shared" si="55"/>
        <v>0</v>
      </c>
      <c r="K265" s="24" t="str">
        <f t="shared" si="61"/>
        <v>F5</v>
      </c>
      <c r="L265" s="24" t="str">
        <f>VLOOKUP(N265,CODE!K:P,CODE!$P$1,FALSE)</f>
        <v>의류</v>
      </c>
      <c r="M265" s="24" t="str">
        <f>VLOOKUP(MID(R265,1,3),CODE!$B:$G,CODE!D$1,FALSE)</f>
        <v>ELS</v>
      </c>
      <c r="N265" s="24" t="str">
        <f t="shared" si="62"/>
        <v>TH</v>
      </c>
      <c r="O265" s="29" t="str">
        <f>IF(ISERROR(IF(VLOOKUP($N265,CODE!$K:$P,CODE!$O$1,FALSE)="",$M265,$M265&amp;"-"&amp;VLOOKUP($N265,CODE!$K:$P,CODE!$O$1,FALSE)))=TRUE,"",IF(VLOOKUP($N265,CODE!$K:$P,CODE!$O$1,FALSE)="",$M265,$M265&amp;"-"&amp;VLOOKUP($N265,CODE!$K:$P,CODE!$O$1,FALSE)))</f>
        <v>ELS-의류</v>
      </c>
      <c r="P265" s="29" t="str">
        <f t="shared" si="63"/>
        <v>성인</v>
      </c>
      <c r="Q265" s="29" t="str">
        <f t="shared" si="64"/>
        <v>ELSTHF5017</v>
      </c>
      <c r="R265" s="1" t="s">
        <v>1061</v>
      </c>
      <c r="S265" s="1" t="s">
        <v>14</v>
      </c>
      <c r="T265" s="26">
        <v>1000</v>
      </c>
      <c r="U265" s="26">
        <v>109000000</v>
      </c>
      <c r="V265" s="26">
        <v>25129000</v>
      </c>
      <c r="W265" s="26">
        <v>3.9432889924353964</v>
      </c>
      <c r="X265" s="26">
        <v>989</v>
      </c>
      <c r="Y265" s="26">
        <v>0</v>
      </c>
    </row>
    <row r="266" spans="1:25">
      <c r="A266" s="24" t="str">
        <f t="shared" si="56"/>
        <v>신규</v>
      </c>
      <c r="B266" s="24" t="str">
        <f>IF(COUNTIF(R$1:R265,R266)=0,"최초","리오더")</f>
        <v>최초</v>
      </c>
      <c r="C266" s="24" t="str">
        <f t="shared" si="57"/>
        <v>ELSTHF5517</v>
      </c>
      <c r="D266" s="24">
        <f t="shared" si="52"/>
        <v>0.5</v>
      </c>
      <c r="E266" s="24" t="str">
        <f t="shared" si="58"/>
        <v/>
      </c>
      <c r="F266" s="24">
        <f t="shared" si="53"/>
        <v>0</v>
      </c>
      <c r="G266" s="24" t="str">
        <f t="shared" si="59"/>
        <v>ELSTHF5517BK</v>
      </c>
      <c r="H266" s="24">
        <f t="shared" si="54"/>
        <v>1</v>
      </c>
      <c r="I266" s="24" t="str">
        <f t="shared" si="60"/>
        <v/>
      </c>
      <c r="J266" s="24">
        <f t="shared" si="55"/>
        <v>0</v>
      </c>
      <c r="K266" s="24" t="str">
        <f t="shared" si="61"/>
        <v>F5</v>
      </c>
      <c r="L266" s="24" t="str">
        <f>VLOOKUP(N266,CODE!K:P,CODE!$P$1,FALSE)</f>
        <v>의류</v>
      </c>
      <c r="M266" s="24" t="str">
        <f>VLOOKUP(MID(R266,1,3),CODE!$B:$G,CODE!D$1,FALSE)</f>
        <v>ELS</v>
      </c>
      <c r="N266" s="24" t="str">
        <f t="shared" si="62"/>
        <v>TH</v>
      </c>
      <c r="O266" s="29" t="str">
        <f>IF(ISERROR(IF(VLOOKUP($N266,CODE!$K:$P,CODE!$O$1,FALSE)="",$M266,$M266&amp;"-"&amp;VLOOKUP($N266,CODE!$K:$P,CODE!$O$1,FALSE)))=TRUE,"",IF(VLOOKUP($N266,CODE!$K:$P,CODE!$O$1,FALSE)="",$M266,$M266&amp;"-"&amp;VLOOKUP($N266,CODE!$K:$P,CODE!$O$1,FALSE)))</f>
        <v>ELS-의류</v>
      </c>
      <c r="P266" s="29" t="str">
        <f t="shared" si="63"/>
        <v>키즈</v>
      </c>
      <c r="Q266" s="29" t="str">
        <f t="shared" si="64"/>
        <v>ELSTHF5517</v>
      </c>
      <c r="R266" s="1" t="s">
        <v>1062</v>
      </c>
      <c r="S266" s="1" t="s">
        <v>14</v>
      </c>
      <c r="T266" s="26">
        <v>1000</v>
      </c>
      <c r="U266" s="26">
        <v>99000000</v>
      </c>
      <c r="V266" s="26">
        <v>22325000</v>
      </c>
      <c r="W266" s="26">
        <v>4.0313549832026867</v>
      </c>
      <c r="X266" s="26">
        <v>1014</v>
      </c>
      <c r="Y266" s="26">
        <v>0</v>
      </c>
    </row>
    <row r="267" spans="1:25">
      <c r="A267" s="24" t="str">
        <f t="shared" si="56"/>
        <v>신규</v>
      </c>
      <c r="B267" s="24" t="str">
        <f>IF(COUNTIF(R$1:R266,R267)=0,"최초","리오더")</f>
        <v>최초</v>
      </c>
      <c r="C267" s="24" t="str">
        <f t="shared" si="57"/>
        <v>ELSTHF5517</v>
      </c>
      <c r="D267" s="24">
        <f t="shared" si="52"/>
        <v>0.5</v>
      </c>
      <c r="E267" s="24" t="str">
        <f t="shared" si="58"/>
        <v/>
      </c>
      <c r="F267" s="24">
        <f t="shared" si="53"/>
        <v>0</v>
      </c>
      <c r="G267" s="24" t="str">
        <f t="shared" si="59"/>
        <v>ELSTHF5517RE</v>
      </c>
      <c r="H267" s="24">
        <f t="shared" si="54"/>
        <v>1</v>
      </c>
      <c r="I267" s="24" t="str">
        <f t="shared" si="60"/>
        <v/>
      </c>
      <c r="J267" s="24">
        <f t="shared" si="55"/>
        <v>0</v>
      </c>
      <c r="K267" s="24" t="str">
        <f t="shared" si="61"/>
        <v>F5</v>
      </c>
      <c r="L267" s="24" t="str">
        <f>VLOOKUP(N267,CODE!K:P,CODE!$P$1,FALSE)</f>
        <v>의류</v>
      </c>
      <c r="M267" s="24" t="str">
        <f>VLOOKUP(MID(R267,1,3),CODE!$B:$G,CODE!D$1,FALSE)</f>
        <v>ELS</v>
      </c>
      <c r="N267" s="24" t="str">
        <f t="shared" si="62"/>
        <v>TH</v>
      </c>
      <c r="O267" s="29" t="str">
        <f>IF(ISERROR(IF(VLOOKUP($N267,CODE!$K:$P,CODE!$O$1,FALSE)="",$M267,$M267&amp;"-"&amp;VLOOKUP($N267,CODE!$K:$P,CODE!$O$1,FALSE)))=TRUE,"",IF(VLOOKUP($N267,CODE!$K:$P,CODE!$O$1,FALSE)="",$M267,$M267&amp;"-"&amp;VLOOKUP($N267,CODE!$K:$P,CODE!$O$1,FALSE)))</f>
        <v>ELS-의류</v>
      </c>
      <c r="P267" s="29" t="str">
        <f t="shared" si="63"/>
        <v>키즈</v>
      </c>
      <c r="Q267" s="29" t="str">
        <f t="shared" si="64"/>
        <v>ELSTHF5517</v>
      </c>
      <c r="R267" s="1" t="s">
        <v>1063</v>
      </c>
      <c r="S267" s="1" t="s">
        <v>14</v>
      </c>
      <c r="T267" s="26">
        <v>1000</v>
      </c>
      <c r="U267" s="26">
        <v>99000000</v>
      </c>
      <c r="V267" s="26">
        <v>22620000</v>
      </c>
      <c r="W267" s="26">
        <v>3.978779840848806</v>
      </c>
      <c r="X267" s="26">
        <v>1000</v>
      </c>
      <c r="Y267" s="26">
        <v>0</v>
      </c>
    </row>
    <row r="268" spans="1:25">
      <c r="A268" s="24" t="str">
        <f t="shared" si="56"/>
        <v>신규</v>
      </c>
      <c r="B268" s="24" t="str">
        <f>IF(COUNTIF(R$1:R267,R268)=0,"최초","리오더")</f>
        <v>최초</v>
      </c>
      <c r="C268" s="24" t="str">
        <f t="shared" si="57"/>
        <v>ELSTHF5518</v>
      </c>
      <c r="D268" s="24">
        <f t="shared" si="52"/>
        <v>1</v>
      </c>
      <c r="E268" s="24" t="str">
        <f t="shared" si="58"/>
        <v/>
      </c>
      <c r="F268" s="24">
        <f t="shared" si="53"/>
        <v>0</v>
      </c>
      <c r="G268" s="24" t="str">
        <f t="shared" si="59"/>
        <v>ELSTHF5518YE</v>
      </c>
      <c r="H268" s="24">
        <f t="shared" si="54"/>
        <v>1</v>
      </c>
      <c r="I268" s="24" t="str">
        <f t="shared" si="60"/>
        <v/>
      </c>
      <c r="J268" s="24">
        <f t="shared" si="55"/>
        <v>0</v>
      </c>
      <c r="K268" s="24" t="str">
        <f t="shared" si="61"/>
        <v>F5</v>
      </c>
      <c r="L268" s="24" t="str">
        <f>VLOOKUP(N268,CODE!K:P,CODE!$P$1,FALSE)</f>
        <v>의류</v>
      </c>
      <c r="M268" s="24" t="str">
        <f>VLOOKUP(MID(R268,1,3),CODE!$B:$G,CODE!D$1,FALSE)</f>
        <v>ELS</v>
      </c>
      <c r="N268" s="24" t="str">
        <f t="shared" si="62"/>
        <v>TH</v>
      </c>
      <c r="O268" s="29" t="str">
        <f>IF(ISERROR(IF(VLOOKUP($N268,CODE!$K:$P,CODE!$O$1,FALSE)="",$M268,$M268&amp;"-"&amp;VLOOKUP($N268,CODE!$K:$P,CODE!$O$1,FALSE)))=TRUE,"",IF(VLOOKUP($N268,CODE!$K:$P,CODE!$O$1,FALSE)="",$M268,$M268&amp;"-"&amp;VLOOKUP($N268,CODE!$K:$P,CODE!$O$1,FALSE)))</f>
        <v>ELS-의류</v>
      </c>
      <c r="P268" s="29" t="str">
        <f t="shared" si="63"/>
        <v>키즈</v>
      </c>
      <c r="Q268" s="29" t="str">
        <f t="shared" si="64"/>
        <v>ELSTHF5518</v>
      </c>
      <c r="R268" s="1" t="s">
        <v>1064</v>
      </c>
      <c r="S268" s="1" t="s">
        <v>14</v>
      </c>
      <c r="T268" s="26">
        <v>1000</v>
      </c>
      <c r="U268" s="26">
        <v>99000000</v>
      </c>
      <c r="V268" s="26">
        <v>23740000</v>
      </c>
      <c r="W268" s="26">
        <v>3.791069924178601</v>
      </c>
      <c r="X268" s="26">
        <v>1001</v>
      </c>
      <c r="Y268" s="26">
        <v>0</v>
      </c>
    </row>
    <row r="269" spans="1:25">
      <c r="A269" s="24" t="str">
        <f t="shared" si="56"/>
        <v>신규</v>
      </c>
      <c r="B269" s="24" t="str">
        <f>IF(COUNTIF(R$1:R268,R269)=0,"최초","리오더")</f>
        <v>최초</v>
      </c>
      <c r="C269" s="24" t="str">
        <f t="shared" si="57"/>
        <v>ELSHPF5019</v>
      </c>
      <c r="D269" s="24">
        <f t="shared" si="52"/>
        <v>1</v>
      </c>
      <c r="E269" s="24" t="str">
        <f t="shared" si="58"/>
        <v/>
      </c>
      <c r="F269" s="24">
        <f t="shared" si="53"/>
        <v>0</v>
      </c>
      <c r="G269" s="24" t="str">
        <f t="shared" si="59"/>
        <v>ELSHPF5019BK</v>
      </c>
      <c r="H269" s="24">
        <f t="shared" si="54"/>
        <v>1</v>
      </c>
      <c r="I269" s="24" t="str">
        <f t="shared" si="60"/>
        <v/>
      </c>
      <c r="J269" s="24">
        <f t="shared" si="55"/>
        <v>0</v>
      </c>
      <c r="K269" s="24" t="str">
        <f t="shared" si="61"/>
        <v>F5</v>
      </c>
      <c r="L269" s="24" t="str">
        <f>VLOOKUP(N269,CODE!K:P,CODE!$P$1,FALSE)</f>
        <v>의류</v>
      </c>
      <c r="M269" s="24" t="str">
        <f>VLOOKUP(MID(R269,1,3),CODE!$B:$G,CODE!D$1,FALSE)</f>
        <v>ELS</v>
      </c>
      <c r="N269" s="24" t="str">
        <f t="shared" si="62"/>
        <v>HP</v>
      </c>
      <c r="O269" s="29" t="str">
        <f>IF(ISERROR(IF(VLOOKUP($N269,CODE!$K:$P,CODE!$O$1,FALSE)="",$M269,$M269&amp;"-"&amp;VLOOKUP($N269,CODE!$K:$P,CODE!$O$1,FALSE)))=TRUE,"",IF(VLOOKUP($N269,CODE!$K:$P,CODE!$O$1,FALSE)="",$M269,$M269&amp;"-"&amp;VLOOKUP($N269,CODE!$K:$P,CODE!$O$1,FALSE)))</f>
        <v>ELS-의류</v>
      </c>
      <c r="P269" s="29" t="str">
        <f t="shared" si="63"/>
        <v>성인</v>
      </c>
      <c r="Q269" s="29" t="str">
        <f t="shared" si="64"/>
        <v>ELSHPF5019</v>
      </c>
      <c r="R269" s="1" t="s">
        <v>1065</v>
      </c>
      <c r="S269" s="1" t="s">
        <v>14</v>
      </c>
      <c r="T269" s="26">
        <v>1000</v>
      </c>
      <c r="U269" s="26">
        <v>129000000</v>
      </c>
      <c r="V269" s="26">
        <v>31895000</v>
      </c>
      <c r="W269" s="26">
        <v>3.6768373498268465</v>
      </c>
      <c r="X269" s="26">
        <v>1020</v>
      </c>
      <c r="Y269" s="26">
        <v>0</v>
      </c>
    </row>
    <row r="270" spans="1:25">
      <c r="A270" s="24" t="str">
        <f t="shared" si="56"/>
        <v>신규</v>
      </c>
      <c r="B270" s="24" t="str">
        <f>IF(COUNTIF(R$1:R269,R270)=0,"최초","리오더")</f>
        <v>최초</v>
      </c>
      <c r="C270" s="24" t="str">
        <f t="shared" si="57"/>
        <v>GRACTF5001</v>
      </c>
      <c r="D270" s="24">
        <f t="shared" si="52"/>
        <v>0.5</v>
      </c>
      <c r="E270" s="24" t="str">
        <f t="shared" si="58"/>
        <v/>
      </c>
      <c r="F270" s="24">
        <f t="shared" si="53"/>
        <v>0</v>
      </c>
      <c r="G270" s="24" t="str">
        <f t="shared" si="59"/>
        <v>GRACTF5001BK</v>
      </c>
      <c r="H270" s="24">
        <f t="shared" si="54"/>
        <v>1</v>
      </c>
      <c r="I270" s="24" t="str">
        <f t="shared" si="60"/>
        <v/>
      </c>
      <c r="J270" s="24">
        <f t="shared" si="55"/>
        <v>0</v>
      </c>
      <c r="K270" s="24" t="str">
        <f t="shared" si="61"/>
        <v>F5</v>
      </c>
      <c r="L270" s="24" t="str">
        <f>VLOOKUP(N270,CODE!K:P,CODE!$P$1,FALSE)</f>
        <v>모자</v>
      </c>
      <c r="M270" s="24" t="str">
        <f>VLOOKUP(MID(R270,1,3),CODE!$B:$G,CODE!D$1,FALSE)</f>
        <v>GRA</v>
      </c>
      <c r="N270" s="24" t="str">
        <f t="shared" si="62"/>
        <v>CT</v>
      </c>
      <c r="O270" s="29" t="str">
        <f>IF(ISERROR(IF(VLOOKUP($N270,CODE!$K:$P,CODE!$O$1,FALSE)="",$M270,$M270&amp;"-"&amp;VLOOKUP($N270,CODE!$K:$P,CODE!$O$1,FALSE)))=TRUE,"",IF(VLOOKUP($N270,CODE!$K:$P,CODE!$O$1,FALSE)="",$M270,$M270&amp;"-"&amp;VLOOKUP($N270,CODE!$K:$P,CODE!$O$1,FALSE)))</f>
        <v>GRA</v>
      </c>
      <c r="P270" s="29" t="str">
        <f t="shared" si="63"/>
        <v>성인</v>
      </c>
      <c r="Q270" s="29" t="str">
        <f t="shared" si="64"/>
        <v>GRACTF5001</v>
      </c>
      <c r="R270" s="1" t="s">
        <v>1066</v>
      </c>
      <c r="S270" s="1" t="s">
        <v>15</v>
      </c>
      <c r="T270" s="26">
        <v>100</v>
      </c>
      <c r="U270" s="26">
        <v>6300000</v>
      </c>
      <c r="V270" s="26">
        <v>1135397.0000000002</v>
      </c>
      <c r="W270" s="26">
        <v>5.0442908755904101</v>
      </c>
      <c r="X270" s="26">
        <v>100</v>
      </c>
      <c r="Y270" s="26">
        <v>0</v>
      </c>
    </row>
    <row r="271" spans="1:25">
      <c r="A271" s="24" t="str">
        <f t="shared" si="56"/>
        <v>신규</v>
      </c>
      <c r="B271" s="24" t="str">
        <f>IF(COUNTIF(R$1:R270,R271)=0,"최초","리오더")</f>
        <v>최초</v>
      </c>
      <c r="C271" s="24" t="str">
        <f t="shared" si="57"/>
        <v>GRACTF5001</v>
      </c>
      <c r="D271" s="24">
        <f t="shared" si="52"/>
        <v>0.5</v>
      </c>
      <c r="E271" s="24" t="str">
        <f t="shared" si="58"/>
        <v/>
      </c>
      <c r="F271" s="24">
        <f t="shared" si="53"/>
        <v>0</v>
      </c>
      <c r="G271" s="24" t="str">
        <f t="shared" si="59"/>
        <v>GRACTF5001BW</v>
      </c>
      <c r="H271" s="24">
        <f t="shared" si="54"/>
        <v>1</v>
      </c>
      <c r="I271" s="24" t="str">
        <f t="shared" si="60"/>
        <v/>
      </c>
      <c r="J271" s="24">
        <f t="shared" si="55"/>
        <v>0</v>
      </c>
      <c r="K271" s="24" t="str">
        <f t="shared" si="61"/>
        <v>F5</v>
      </c>
      <c r="L271" s="24" t="str">
        <f>VLOOKUP(N271,CODE!K:P,CODE!$P$1,FALSE)</f>
        <v>모자</v>
      </c>
      <c r="M271" s="24" t="str">
        <f>VLOOKUP(MID(R271,1,3),CODE!$B:$G,CODE!D$1,FALSE)</f>
        <v>GRA</v>
      </c>
      <c r="N271" s="24" t="str">
        <f t="shared" si="62"/>
        <v>CT</v>
      </c>
      <c r="O271" s="29" t="str">
        <f>IF(ISERROR(IF(VLOOKUP($N271,CODE!$K:$P,CODE!$O$1,FALSE)="",$M271,$M271&amp;"-"&amp;VLOOKUP($N271,CODE!$K:$P,CODE!$O$1,FALSE)))=TRUE,"",IF(VLOOKUP($N271,CODE!$K:$P,CODE!$O$1,FALSE)="",$M271,$M271&amp;"-"&amp;VLOOKUP($N271,CODE!$K:$P,CODE!$O$1,FALSE)))</f>
        <v>GRA</v>
      </c>
      <c r="P271" s="29" t="str">
        <f t="shared" si="63"/>
        <v>성인</v>
      </c>
      <c r="Q271" s="29" t="str">
        <f t="shared" si="64"/>
        <v>GRACTF5001</v>
      </c>
      <c r="R271" s="1" t="s">
        <v>1067</v>
      </c>
      <c r="S271" s="1" t="s">
        <v>15</v>
      </c>
      <c r="T271" s="26">
        <v>100</v>
      </c>
      <c r="U271" s="26">
        <v>6300000</v>
      </c>
      <c r="V271" s="26">
        <v>1135397.0000000002</v>
      </c>
      <c r="W271" s="26">
        <v>5.0442908755904101</v>
      </c>
      <c r="X271" s="26">
        <v>100</v>
      </c>
      <c r="Y271" s="26">
        <v>0</v>
      </c>
    </row>
    <row r="272" spans="1:25">
      <c r="A272" s="24" t="str">
        <f t="shared" si="56"/>
        <v>신규</v>
      </c>
      <c r="B272" s="24" t="str">
        <f>IF(COUNTIF(R$1:R271,R272)=0,"최초","리오더")</f>
        <v>최초</v>
      </c>
      <c r="C272" s="24" t="str">
        <f t="shared" si="57"/>
        <v>GRAHUF5002</v>
      </c>
      <c r="D272" s="24">
        <f t="shared" si="52"/>
        <v>0.5</v>
      </c>
      <c r="E272" s="24" t="str">
        <f t="shared" si="58"/>
        <v/>
      </c>
      <c r="F272" s="24">
        <f t="shared" si="53"/>
        <v>0</v>
      </c>
      <c r="G272" s="24" t="str">
        <f t="shared" si="59"/>
        <v>GRAHUF5002BK</v>
      </c>
      <c r="H272" s="24">
        <f t="shared" si="54"/>
        <v>1</v>
      </c>
      <c r="I272" s="24" t="str">
        <f t="shared" si="60"/>
        <v/>
      </c>
      <c r="J272" s="24">
        <f t="shared" si="55"/>
        <v>0</v>
      </c>
      <c r="K272" s="24" t="str">
        <f t="shared" si="61"/>
        <v>F5</v>
      </c>
      <c r="L272" s="24" t="str">
        <f>VLOOKUP(N272,CODE!K:P,CODE!$P$1,FALSE)</f>
        <v>모자</v>
      </c>
      <c r="M272" s="24" t="str">
        <f>VLOOKUP(MID(R272,1,3),CODE!$B:$G,CODE!D$1,FALSE)</f>
        <v>GRA</v>
      </c>
      <c r="N272" s="24" t="str">
        <f t="shared" si="62"/>
        <v>HU</v>
      </c>
      <c r="O272" s="29" t="str">
        <f>IF(ISERROR(IF(VLOOKUP($N272,CODE!$K:$P,CODE!$O$1,FALSE)="",$M272,$M272&amp;"-"&amp;VLOOKUP($N272,CODE!$K:$P,CODE!$O$1,FALSE)))=TRUE,"",IF(VLOOKUP($N272,CODE!$K:$P,CODE!$O$1,FALSE)="",$M272,$M272&amp;"-"&amp;VLOOKUP($N272,CODE!$K:$P,CODE!$O$1,FALSE)))</f>
        <v>GRA</v>
      </c>
      <c r="P272" s="29" t="str">
        <f t="shared" si="63"/>
        <v>성인</v>
      </c>
      <c r="Q272" s="29" t="str">
        <f t="shared" si="64"/>
        <v>GRAHUF5002</v>
      </c>
      <c r="R272" s="1" t="s">
        <v>1068</v>
      </c>
      <c r="S272" s="1" t="s">
        <v>15</v>
      </c>
      <c r="T272" s="26">
        <v>200</v>
      </c>
      <c r="U272" s="26">
        <v>9800000</v>
      </c>
      <c r="V272" s="26">
        <v>2378070.4000000004</v>
      </c>
      <c r="W272" s="26">
        <v>3.7463528872361844</v>
      </c>
      <c r="X272" s="26">
        <v>200</v>
      </c>
      <c r="Y272" s="26">
        <v>0</v>
      </c>
    </row>
    <row r="273" spans="1:25">
      <c r="A273" s="24" t="str">
        <f t="shared" si="56"/>
        <v>신규</v>
      </c>
      <c r="B273" s="24" t="str">
        <f>IF(COUNTIF(R$1:R272,R273)=0,"최초","리오더")</f>
        <v>최초</v>
      </c>
      <c r="C273" s="24" t="str">
        <f t="shared" si="57"/>
        <v>GRAHUF5002</v>
      </c>
      <c r="D273" s="24">
        <f t="shared" si="52"/>
        <v>0.5</v>
      </c>
      <c r="E273" s="24" t="str">
        <f t="shared" si="58"/>
        <v/>
      </c>
      <c r="F273" s="24">
        <f t="shared" si="53"/>
        <v>0</v>
      </c>
      <c r="G273" s="24" t="str">
        <f t="shared" si="59"/>
        <v>GRAHUF5002GY</v>
      </c>
      <c r="H273" s="24">
        <f t="shared" si="54"/>
        <v>1</v>
      </c>
      <c r="I273" s="24" t="str">
        <f t="shared" si="60"/>
        <v/>
      </c>
      <c r="J273" s="24">
        <f t="shared" si="55"/>
        <v>0</v>
      </c>
      <c r="K273" s="24" t="str">
        <f t="shared" si="61"/>
        <v>F5</v>
      </c>
      <c r="L273" s="24" t="str">
        <f>VLOOKUP(N273,CODE!K:P,CODE!$P$1,FALSE)</f>
        <v>모자</v>
      </c>
      <c r="M273" s="24" t="str">
        <f>VLOOKUP(MID(R273,1,3),CODE!$B:$G,CODE!D$1,FALSE)</f>
        <v>GRA</v>
      </c>
      <c r="N273" s="24" t="str">
        <f t="shared" si="62"/>
        <v>HU</v>
      </c>
      <c r="O273" s="29" t="str">
        <f>IF(ISERROR(IF(VLOOKUP($N273,CODE!$K:$P,CODE!$O$1,FALSE)="",$M273,$M273&amp;"-"&amp;VLOOKUP($N273,CODE!$K:$P,CODE!$O$1,FALSE)))=TRUE,"",IF(VLOOKUP($N273,CODE!$K:$P,CODE!$O$1,FALSE)="",$M273,$M273&amp;"-"&amp;VLOOKUP($N273,CODE!$K:$P,CODE!$O$1,FALSE)))</f>
        <v>GRA</v>
      </c>
      <c r="P273" s="29" t="str">
        <f t="shared" si="63"/>
        <v>성인</v>
      </c>
      <c r="Q273" s="29" t="str">
        <f t="shared" si="64"/>
        <v>GRAHUF5002</v>
      </c>
      <c r="R273" s="1" t="s">
        <v>1069</v>
      </c>
      <c r="S273" s="1" t="s">
        <v>15</v>
      </c>
      <c r="T273" s="26">
        <v>150</v>
      </c>
      <c r="U273" s="26">
        <v>7350000</v>
      </c>
      <c r="V273" s="26">
        <v>1783552.8000000003</v>
      </c>
      <c r="W273" s="26">
        <v>3.746352887236184</v>
      </c>
      <c r="X273" s="26">
        <v>150</v>
      </c>
      <c r="Y273" s="26">
        <v>0</v>
      </c>
    </row>
    <row r="274" spans="1:25">
      <c r="A274" s="24" t="str">
        <f t="shared" si="56"/>
        <v>신규</v>
      </c>
      <c r="B274" s="24" t="str">
        <f>IF(COUNTIF(R$1:R273,R274)=0,"최초","리오더")</f>
        <v>최초</v>
      </c>
      <c r="C274" s="24" t="str">
        <f t="shared" si="57"/>
        <v>GRACTF5003</v>
      </c>
      <c r="D274" s="24">
        <f t="shared" si="52"/>
        <v>1</v>
      </c>
      <c r="E274" s="24" t="str">
        <f t="shared" si="58"/>
        <v/>
      </c>
      <c r="F274" s="24">
        <f t="shared" si="53"/>
        <v>0</v>
      </c>
      <c r="G274" s="24" t="str">
        <f t="shared" si="59"/>
        <v>GRACTF5003BK</v>
      </c>
      <c r="H274" s="24">
        <f t="shared" si="54"/>
        <v>1</v>
      </c>
      <c r="I274" s="24" t="str">
        <f t="shared" si="60"/>
        <v/>
      </c>
      <c r="J274" s="24">
        <f t="shared" si="55"/>
        <v>0</v>
      </c>
      <c r="K274" s="24" t="str">
        <f t="shared" si="61"/>
        <v>F5</v>
      </c>
      <c r="L274" s="24" t="str">
        <f>VLOOKUP(N274,CODE!K:P,CODE!$P$1,FALSE)</f>
        <v>모자</v>
      </c>
      <c r="M274" s="24" t="str">
        <f>VLOOKUP(MID(R274,1,3),CODE!$B:$G,CODE!D$1,FALSE)</f>
        <v>GRA</v>
      </c>
      <c r="N274" s="24" t="str">
        <f t="shared" si="62"/>
        <v>CT</v>
      </c>
      <c r="O274" s="29" t="str">
        <f>IF(ISERROR(IF(VLOOKUP($N274,CODE!$K:$P,CODE!$O$1,FALSE)="",$M274,$M274&amp;"-"&amp;VLOOKUP($N274,CODE!$K:$P,CODE!$O$1,FALSE)))=TRUE,"",IF(VLOOKUP($N274,CODE!$K:$P,CODE!$O$1,FALSE)="",$M274,$M274&amp;"-"&amp;VLOOKUP($N274,CODE!$K:$P,CODE!$O$1,FALSE)))</f>
        <v>GRA</v>
      </c>
      <c r="P274" s="29" t="str">
        <f t="shared" si="63"/>
        <v>성인</v>
      </c>
      <c r="Q274" s="29" t="str">
        <f t="shared" si="64"/>
        <v>GRACTF5003</v>
      </c>
      <c r="R274" s="1" t="s">
        <v>1070</v>
      </c>
      <c r="S274" s="1" t="s">
        <v>15</v>
      </c>
      <c r="T274" s="26">
        <v>100</v>
      </c>
      <c r="U274" s="26">
        <v>5900000</v>
      </c>
      <c r="V274" s="26">
        <v>1296311.6000000001</v>
      </c>
      <c r="W274" s="26">
        <v>4.1376134901796471</v>
      </c>
      <c r="X274" s="26">
        <v>100</v>
      </c>
      <c r="Y274" s="26">
        <v>0</v>
      </c>
    </row>
    <row r="275" spans="1:25">
      <c r="A275" s="24" t="str">
        <f t="shared" si="56"/>
        <v>신규</v>
      </c>
      <c r="B275" s="24" t="str">
        <f>IF(COUNTIF(R$1:R274,R275)=0,"최초","리오더")</f>
        <v>최초</v>
      </c>
      <c r="C275" s="24" t="str">
        <f t="shared" si="57"/>
        <v>GRAMIF5004</v>
      </c>
      <c r="D275" s="24">
        <f t="shared" si="52"/>
        <v>0.5</v>
      </c>
      <c r="E275" s="24" t="str">
        <f t="shared" si="58"/>
        <v/>
      </c>
      <c r="F275" s="24">
        <f t="shared" si="53"/>
        <v>0</v>
      </c>
      <c r="G275" s="24" t="str">
        <f t="shared" si="59"/>
        <v>GRAMIF5004BK</v>
      </c>
      <c r="H275" s="24">
        <f t="shared" si="54"/>
        <v>1</v>
      </c>
      <c r="I275" s="24" t="str">
        <f t="shared" si="60"/>
        <v/>
      </c>
      <c r="J275" s="24">
        <f t="shared" si="55"/>
        <v>0</v>
      </c>
      <c r="K275" s="24" t="str">
        <f t="shared" si="61"/>
        <v>F5</v>
      </c>
      <c r="L275" s="24" t="str">
        <f>VLOOKUP(N275,CODE!K:P,CODE!$P$1,FALSE)</f>
        <v>모자</v>
      </c>
      <c r="M275" s="24" t="str">
        <f>VLOOKUP(MID(R275,1,3),CODE!$B:$G,CODE!D$1,FALSE)</f>
        <v>GRA</v>
      </c>
      <c r="N275" s="24" t="str">
        <f t="shared" si="62"/>
        <v>MI</v>
      </c>
      <c r="O275" s="29" t="str">
        <f>IF(ISERROR(IF(VLOOKUP($N275,CODE!$K:$P,CODE!$O$1,FALSE)="",$M275,$M275&amp;"-"&amp;VLOOKUP($N275,CODE!$K:$P,CODE!$O$1,FALSE)))=TRUE,"",IF(VLOOKUP($N275,CODE!$K:$P,CODE!$O$1,FALSE)="",$M275,$M275&amp;"-"&amp;VLOOKUP($N275,CODE!$K:$P,CODE!$O$1,FALSE)))</f>
        <v>GRA</v>
      </c>
      <c r="P275" s="29" t="str">
        <f t="shared" si="63"/>
        <v>성인</v>
      </c>
      <c r="Q275" s="29" t="str">
        <f t="shared" si="64"/>
        <v>GRAMIF5004</v>
      </c>
      <c r="R275" s="1" t="s">
        <v>1071</v>
      </c>
      <c r="S275" s="1" t="s">
        <v>15</v>
      </c>
      <c r="T275" s="26">
        <v>200</v>
      </c>
      <c r="U275" s="26">
        <v>8600000</v>
      </c>
      <c r="V275" s="26">
        <v>1909510.0000000002</v>
      </c>
      <c r="W275" s="26">
        <v>4.094339290279609</v>
      </c>
      <c r="X275" s="26">
        <v>200</v>
      </c>
      <c r="Y275" s="26">
        <v>0</v>
      </c>
    </row>
    <row r="276" spans="1:25">
      <c r="A276" s="24" t="str">
        <f t="shared" si="56"/>
        <v>신규</v>
      </c>
      <c r="B276" s="24" t="str">
        <f>IF(COUNTIF(R$1:R275,R276)=0,"최초","리오더")</f>
        <v>최초</v>
      </c>
      <c r="C276" s="24" t="str">
        <f t="shared" si="57"/>
        <v>GRAMIF5004</v>
      </c>
      <c r="D276" s="24">
        <f t="shared" si="52"/>
        <v>0.5</v>
      </c>
      <c r="E276" s="24" t="str">
        <f t="shared" si="58"/>
        <v/>
      </c>
      <c r="F276" s="24">
        <f t="shared" si="53"/>
        <v>0</v>
      </c>
      <c r="G276" s="24" t="str">
        <f t="shared" si="59"/>
        <v>GRAMIF5004GY</v>
      </c>
      <c r="H276" s="24">
        <f t="shared" si="54"/>
        <v>1</v>
      </c>
      <c r="I276" s="24" t="str">
        <f t="shared" si="60"/>
        <v/>
      </c>
      <c r="J276" s="24">
        <f t="shared" si="55"/>
        <v>0</v>
      </c>
      <c r="K276" s="24" t="str">
        <f t="shared" si="61"/>
        <v>F5</v>
      </c>
      <c r="L276" s="24" t="str">
        <f>VLOOKUP(N276,CODE!K:P,CODE!$P$1,FALSE)</f>
        <v>모자</v>
      </c>
      <c r="M276" s="24" t="str">
        <f>VLOOKUP(MID(R276,1,3),CODE!$B:$G,CODE!D$1,FALSE)</f>
        <v>GRA</v>
      </c>
      <c r="N276" s="24" t="str">
        <f t="shared" si="62"/>
        <v>MI</v>
      </c>
      <c r="O276" s="29" t="str">
        <f>IF(ISERROR(IF(VLOOKUP($N276,CODE!$K:$P,CODE!$O$1,FALSE)="",$M276,$M276&amp;"-"&amp;VLOOKUP($N276,CODE!$K:$P,CODE!$O$1,FALSE)))=TRUE,"",IF(VLOOKUP($N276,CODE!$K:$P,CODE!$O$1,FALSE)="",$M276,$M276&amp;"-"&amp;VLOOKUP($N276,CODE!$K:$P,CODE!$O$1,FALSE)))</f>
        <v>GRA</v>
      </c>
      <c r="P276" s="29" t="str">
        <f t="shared" si="63"/>
        <v>성인</v>
      </c>
      <c r="Q276" s="29" t="str">
        <f t="shared" si="64"/>
        <v>GRAMIF5004</v>
      </c>
      <c r="R276" s="1" t="s">
        <v>1072</v>
      </c>
      <c r="S276" s="1" t="s">
        <v>15</v>
      </c>
      <c r="T276" s="26">
        <v>150</v>
      </c>
      <c r="U276" s="26">
        <v>6450000</v>
      </c>
      <c r="V276" s="26">
        <v>1432132.5000000002</v>
      </c>
      <c r="W276" s="26">
        <v>4.094339290279609</v>
      </c>
      <c r="X276" s="26">
        <v>150</v>
      </c>
      <c r="Y276" s="26">
        <v>0</v>
      </c>
    </row>
    <row r="277" spans="1:25">
      <c r="A277" s="24" t="str">
        <f t="shared" si="56"/>
        <v>신규</v>
      </c>
      <c r="B277" s="24" t="str">
        <f>IF(COUNTIF(R$1:R276,R277)=0,"최초","리오더")</f>
        <v>최초</v>
      </c>
      <c r="C277" s="24" t="str">
        <f t="shared" si="57"/>
        <v>GRAMIF3005</v>
      </c>
      <c r="D277" s="24">
        <f t="shared" si="52"/>
        <v>0.5</v>
      </c>
      <c r="E277" s="24" t="str">
        <f t="shared" si="58"/>
        <v/>
      </c>
      <c r="F277" s="24">
        <f t="shared" si="53"/>
        <v>0</v>
      </c>
      <c r="G277" s="24" t="str">
        <f t="shared" si="59"/>
        <v>GRAMIF3005BK</v>
      </c>
      <c r="H277" s="24">
        <f t="shared" si="54"/>
        <v>1</v>
      </c>
      <c r="I277" s="24" t="str">
        <f t="shared" si="60"/>
        <v/>
      </c>
      <c r="J277" s="24">
        <f t="shared" si="55"/>
        <v>0</v>
      </c>
      <c r="K277" s="24" t="str">
        <f t="shared" si="61"/>
        <v>F3</v>
      </c>
      <c r="L277" s="24" t="str">
        <f>VLOOKUP(N277,CODE!K:P,CODE!$P$1,FALSE)</f>
        <v>모자</v>
      </c>
      <c r="M277" s="24" t="str">
        <f>VLOOKUP(MID(R277,1,3),CODE!$B:$G,CODE!D$1,FALSE)</f>
        <v>GRA</v>
      </c>
      <c r="N277" s="24" t="str">
        <f t="shared" si="62"/>
        <v>MI</v>
      </c>
      <c r="O277" s="29" t="str">
        <f>IF(ISERROR(IF(VLOOKUP($N277,CODE!$K:$P,CODE!$O$1,FALSE)="",$M277,$M277&amp;"-"&amp;VLOOKUP($N277,CODE!$K:$P,CODE!$O$1,FALSE)))=TRUE,"",IF(VLOOKUP($N277,CODE!$K:$P,CODE!$O$1,FALSE)="",$M277,$M277&amp;"-"&amp;VLOOKUP($N277,CODE!$K:$P,CODE!$O$1,FALSE)))</f>
        <v>GRA</v>
      </c>
      <c r="P277" s="29" t="str">
        <f t="shared" si="63"/>
        <v>성인</v>
      </c>
      <c r="Q277" s="29" t="str">
        <f t="shared" si="64"/>
        <v>GRAMIF3005</v>
      </c>
      <c r="R277" s="1" t="s">
        <v>1073</v>
      </c>
      <c r="S277" s="1" t="s">
        <v>15</v>
      </c>
      <c r="T277" s="26">
        <v>200</v>
      </c>
      <c r="U277" s="26">
        <v>9800000</v>
      </c>
      <c r="V277" s="26">
        <v>2562685.6000000006</v>
      </c>
      <c r="W277" s="26">
        <v>3.4764666056151823</v>
      </c>
      <c r="X277" s="26">
        <v>200</v>
      </c>
      <c r="Y277" s="26">
        <v>0</v>
      </c>
    </row>
    <row r="278" spans="1:25">
      <c r="A278" s="24" t="str">
        <f t="shared" si="56"/>
        <v>신규</v>
      </c>
      <c r="B278" s="24" t="str">
        <f>IF(COUNTIF(R$1:R277,R278)=0,"최초","리오더")</f>
        <v>최초</v>
      </c>
      <c r="C278" s="24" t="str">
        <f t="shared" si="57"/>
        <v>GRAMIF3005</v>
      </c>
      <c r="D278" s="24">
        <f t="shared" si="52"/>
        <v>0.5</v>
      </c>
      <c r="E278" s="24" t="str">
        <f t="shared" si="58"/>
        <v/>
      </c>
      <c r="F278" s="24">
        <f t="shared" si="53"/>
        <v>0</v>
      </c>
      <c r="G278" s="24" t="str">
        <f t="shared" si="59"/>
        <v>GRAMIF3005BW</v>
      </c>
      <c r="H278" s="24">
        <f t="shared" si="54"/>
        <v>1</v>
      </c>
      <c r="I278" s="24" t="str">
        <f t="shared" si="60"/>
        <v/>
      </c>
      <c r="J278" s="24">
        <f t="shared" si="55"/>
        <v>0</v>
      </c>
      <c r="K278" s="24" t="str">
        <f t="shared" si="61"/>
        <v>F3</v>
      </c>
      <c r="L278" s="24" t="str">
        <f>VLOOKUP(N278,CODE!K:P,CODE!$P$1,FALSE)</f>
        <v>모자</v>
      </c>
      <c r="M278" s="24" t="str">
        <f>VLOOKUP(MID(R278,1,3),CODE!$B:$G,CODE!D$1,FALSE)</f>
        <v>GRA</v>
      </c>
      <c r="N278" s="24" t="str">
        <f t="shared" si="62"/>
        <v>MI</v>
      </c>
      <c r="O278" s="29" t="str">
        <f>IF(ISERROR(IF(VLOOKUP($N278,CODE!$K:$P,CODE!$O$1,FALSE)="",$M278,$M278&amp;"-"&amp;VLOOKUP($N278,CODE!$K:$P,CODE!$O$1,FALSE)))=TRUE,"",IF(VLOOKUP($N278,CODE!$K:$P,CODE!$O$1,FALSE)="",$M278,$M278&amp;"-"&amp;VLOOKUP($N278,CODE!$K:$P,CODE!$O$1,FALSE)))</f>
        <v>GRA</v>
      </c>
      <c r="P278" s="29" t="str">
        <f t="shared" si="63"/>
        <v>성인</v>
      </c>
      <c r="Q278" s="29" t="str">
        <f t="shared" si="64"/>
        <v>GRAMIF3005</v>
      </c>
      <c r="R278" s="1" t="s">
        <v>1074</v>
      </c>
      <c r="S278" s="1" t="s">
        <v>15</v>
      </c>
      <c r="T278" s="26">
        <v>150</v>
      </c>
      <c r="U278" s="26">
        <v>7350000</v>
      </c>
      <c r="V278" s="26">
        <v>1922014.2000000002</v>
      </c>
      <c r="W278" s="26">
        <v>3.4764666056151823</v>
      </c>
      <c r="X278" s="26">
        <v>150</v>
      </c>
      <c r="Y278" s="26">
        <v>0</v>
      </c>
    </row>
    <row r="279" spans="1:25">
      <c r="A279" s="24" t="str">
        <f t="shared" si="56"/>
        <v>신규</v>
      </c>
      <c r="B279" s="24" t="str">
        <f>IF(COUNTIF(R$1:R278,R279)=0,"최초","리오더")</f>
        <v>최초</v>
      </c>
      <c r="C279" s="24" t="str">
        <f t="shared" si="57"/>
        <v>GRAFAF3006</v>
      </c>
      <c r="D279" s="24">
        <f t="shared" si="52"/>
        <v>0.5</v>
      </c>
      <c r="E279" s="24" t="str">
        <f t="shared" si="58"/>
        <v/>
      </c>
      <c r="F279" s="24">
        <f t="shared" si="53"/>
        <v>0</v>
      </c>
      <c r="G279" s="24" t="str">
        <f t="shared" si="59"/>
        <v>GRAFAF3006NY</v>
      </c>
      <c r="H279" s="24">
        <f t="shared" si="54"/>
        <v>1</v>
      </c>
      <c r="I279" s="24" t="str">
        <f t="shared" si="60"/>
        <v/>
      </c>
      <c r="J279" s="24">
        <f t="shared" si="55"/>
        <v>0</v>
      </c>
      <c r="K279" s="24" t="str">
        <f t="shared" si="61"/>
        <v>F3</v>
      </c>
      <c r="L279" s="24" t="str">
        <f>VLOOKUP(N279,CODE!K:P,CODE!$P$1,FALSE)</f>
        <v>모자</v>
      </c>
      <c r="M279" s="24" t="str">
        <f>VLOOKUP(MID(R279,1,3),CODE!$B:$G,CODE!D$1,FALSE)</f>
        <v>GRA</v>
      </c>
      <c r="N279" s="24" t="str">
        <f t="shared" si="62"/>
        <v>FA</v>
      </c>
      <c r="O279" s="29" t="str">
        <f>IF(ISERROR(IF(VLOOKUP($N279,CODE!$K:$P,CODE!$O$1,FALSE)="",$M279,$M279&amp;"-"&amp;VLOOKUP($N279,CODE!$K:$P,CODE!$O$1,FALSE)))=TRUE,"",IF(VLOOKUP($N279,CODE!$K:$P,CODE!$O$1,FALSE)="",$M279,$M279&amp;"-"&amp;VLOOKUP($N279,CODE!$K:$P,CODE!$O$1,FALSE)))</f>
        <v>GRA</v>
      </c>
      <c r="P279" s="29" t="str">
        <f t="shared" si="63"/>
        <v>성인</v>
      </c>
      <c r="Q279" s="29" t="str">
        <f t="shared" si="64"/>
        <v>GRAFAF3006</v>
      </c>
      <c r="R279" s="1" t="s">
        <v>1075</v>
      </c>
      <c r="S279" s="1" t="s">
        <v>15</v>
      </c>
      <c r="T279" s="26">
        <v>150</v>
      </c>
      <c r="U279" s="26">
        <v>7350000</v>
      </c>
      <c r="V279" s="26">
        <v>1740517.5</v>
      </c>
      <c r="W279" s="26">
        <v>3.8389836251679061</v>
      </c>
      <c r="X279" s="26">
        <v>150</v>
      </c>
      <c r="Y279" s="26">
        <v>0</v>
      </c>
    </row>
    <row r="280" spans="1:25">
      <c r="A280" s="24" t="str">
        <f t="shared" si="56"/>
        <v>신규</v>
      </c>
      <c r="B280" s="24" t="str">
        <f>IF(COUNTIF(R$1:R279,R280)=0,"최초","리오더")</f>
        <v>최초</v>
      </c>
      <c r="C280" s="24" t="str">
        <f t="shared" si="57"/>
        <v>GRAFAF3006</v>
      </c>
      <c r="D280" s="24">
        <f t="shared" si="52"/>
        <v>0.5</v>
      </c>
      <c r="E280" s="24" t="str">
        <f t="shared" si="58"/>
        <v/>
      </c>
      <c r="F280" s="24">
        <f t="shared" si="53"/>
        <v>0</v>
      </c>
      <c r="G280" s="24" t="str">
        <f t="shared" si="59"/>
        <v>GRAFAF3006RE</v>
      </c>
      <c r="H280" s="24">
        <f t="shared" si="54"/>
        <v>1</v>
      </c>
      <c r="I280" s="24" t="str">
        <f t="shared" si="60"/>
        <v/>
      </c>
      <c r="J280" s="24">
        <f t="shared" si="55"/>
        <v>0</v>
      </c>
      <c r="K280" s="24" t="str">
        <f t="shared" si="61"/>
        <v>F3</v>
      </c>
      <c r="L280" s="24" t="str">
        <f>VLOOKUP(N280,CODE!K:P,CODE!$P$1,FALSE)</f>
        <v>모자</v>
      </c>
      <c r="M280" s="24" t="str">
        <f>VLOOKUP(MID(R280,1,3),CODE!$B:$G,CODE!D$1,FALSE)</f>
        <v>GRA</v>
      </c>
      <c r="N280" s="24" t="str">
        <f t="shared" si="62"/>
        <v>FA</v>
      </c>
      <c r="O280" s="29" t="str">
        <f>IF(ISERROR(IF(VLOOKUP($N280,CODE!$K:$P,CODE!$O$1,FALSE)="",$M280,$M280&amp;"-"&amp;VLOOKUP($N280,CODE!$K:$P,CODE!$O$1,FALSE)))=TRUE,"",IF(VLOOKUP($N280,CODE!$K:$P,CODE!$O$1,FALSE)="",$M280,$M280&amp;"-"&amp;VLOOKUP($N280,CODE!$K:$P,CODE!$O$1,FALSE)))</f>
        <v>GRA</v>
      </c>
      <c r="P280" s="29" t="str">
        <f t="shared" si="63"/>
        <v>성인</v>
      </c>
      <c r="Q280" s="29" t="str">
        <f t="shared" si="64"/>
        <v>GRAFAF3006</v>
      </c>
      <c r="R280" s="1" t="s">
        <v>1076</v>
      </c>
      <c r="S280" s="1" t="s">
        <v>15</v>
      </c>
      <c r="T280" s="26">
        <v>100</v>
      </c>
      <c r="U280" s="26">
        <v>4900000</v>
      </c>
      <c r="V280" s="26">
        <v>1160345</v>
      </c>
      <c r="W280" s="26">
        <v>3.8389836251679066</v>
      </c>
      <c r="X280" s="26">
        <v>100</v>
      </c>
      <c r="Y280" s="26">
        <v>0</v>
      </c>
    </row>
    <row r="281" spans="1:25">
      <c r="A281" s="24" t="str">
        <f t="shared" si="56"/>
        <v>신규</v>
      </c>
      <c r="B281" s="24" t="str">
        <f>IF(COUNTIF(R$1:R280,R281)=0,"최초","리오더")</f>
        <v>최초</v>
      </c>
      <c r="C281" s="24" t="str">
        <f t="shared" si="57"/>
        <v>GRAFAF5007</v>
      </c>
      <c r="D281" s="24">
        <f t="shared" si="52"/>
        <v>0.5</v>
      </c>
      <c r="E281" s="24" t="str">
        <f t="shared" si="58"/>
        <v/>
      </c>
      <c r="F281" s="24">
        <f t="shared" si="53"/>
        <v>0</v>
      </c>
      <c r="G281" s="24" t="str">
        <f t="shared" si="59"/>
        <v>GRAFAF5007GY</v>
      </c>
      <c r="H281" s="24">
        <f t="shared" si="54"/>
        <v>1</v>
      </c>
      <c r="I281" s="24" t="str">
        <f t="shared" si="60"/>
        <v/>
      </c>
      <c r="J281" s="24">
        <f t="shared" si="55"/>
        <v>0</v>
      </c>
      <c r="K281" s="24" t="str">
        <f t="shared" si="61"/>
        <v>F5</v>
      </c>
      <c r="L281" s="24" t="str">
        <f>VLOOKUP(N281,CODE!K:P,CODE!$P$1,FALSE)</f>
        <v>모자</v>
      </c>
      <c r="M281" s="24" t="str">
        <f>VLOOKUP(MID(R281,1,3),CODE!$B:$G,CODE!D$1,FALSE)</f>
        <v>GRA</v>
      </c>
      <c r="N281" s="24" t="str">
        <f t="shared" si="62"/>
        <v>FA</v>
      </c>
      <c r="O281" s="29" t="str">
        <f>IF(ISERROR(IF(VLOOKUP($N281,CODE!$K:$P,CODE!$O$1,FALSE)="",$M281,$M281&amp;"-"&amp;VLOOKUP($N281,CODE!$K:$P,CODE!$O$1,FALSE)))=TRUE,"",IF(VLOOKUP($N281,CODE!$K:$P,CODE!$O$1,FALSE)="",$M281,$M281&amp;"-"&amp;VLOOKUP($N281,CODE!$K:$P,CODE!$O$1,FALSE)))</f>
        <v>GRA</v>
      </c>
      <c r="P281" s="29" t="str">
        <f t="shared" si="63"/>
        <v>성인</v>
      </c>
      <c r="Q281" s="29" t="str">
        <f t="shared" si="64"/>
        <v>GRAFAF5007</v>
      </c>
      <c r="R281" s="1" t="s">
        <v>1077</v>
      </c>
      <c r="S281" s="1" t="s">
        <v>15</v>
      </c>
      <c r="T281" s="26">
        <v>150</v>
      </c>
      <c r="U281" s="26">
        <v>8850000</v>
      </c>
      <c r="V281" s="26">
        <v>2148417.3000000003</v>
      </c>
      <c r="W281" s="26">
        <v>3.7448285979891072</v>
      </c>
      <c r="X281" s="26">
        <v>150</v>
      </c>
      <c r="Y281" s="26">
        <v>0</v>
      </c>
    </row>
    <row r="282" spans="1:25">
      <c r="A282" s="24" t="str">
        <f t="shared" si="56"/>
        <v>신규</v>
      </c>
      <c r="B282" s="24" t="str">
        <f>IF(COUNTIF(R$1:R281,R282)=0,"최초","리오더")</f>
        <v>최초</v>
      </c>
      <c r="C282" s="24" t="str">
        <f t="shared" si="57"/>
        <v>GRAFAF5007</v>
      </c>
      <c r="D282" s="24">
        <f t="shared" si="52"/>
        <v>0.5</v>
      </c>
      <c r="E282" s="24" t="str">
        <f t="shared" si="58"/>
        <v/>
      </c>
      <c r="F282" s="24">
        <f t="shared" si="53"/>
        <v>0</v>
      </c>
      <c r="G282" s="24" t="str">
        <f t="shared" si="59"/>
        <v>GRAFAF5007NY</v>
      </c>
      <c r="H282" s="24">
        <f t="shared" si="54"/>
        <v>1</v>
      </c>
      <c r="I282" s="24" t="str">
        <f t="shared" si="60"/>
        <v/>
      </c>
      <c r="J282" s="24">
        <f t="shared" si="55"/>
        <v>0</v>
      </c>
      <c r="K282" s="24" t="str">
        <f t="shared" si="61"/>
        <v>F5</v>
      </c>
      <c r="L282" s="24" t="str">
        <f>VLOOKUP(N282,CODE!K:P,CODE!$P$1,FALSE)</f>
        <v>모자</v>
      </c>
      <c r="M282" s="24" t="str">
        <f>VLOOKUP(MID(R282,1,3),CODE!$B:$G,CODE!D$1,FALSE)</f>
        <v>GRA</v>
      </c>
      <c r="N282" s="24" t="str">
        <f t="shared" si="62"/>
        <v>FA</v>
      </c>
      <c r="O282" s="29" t="str">
        <f>IF(ISERROR(IF(VLOOKUP($N282,CODE!$K:$P,CODE!$O$1,FALSE)="",$M282,$M282&amp;"-"&amp;VLOOKUP($N282,CODE!$K:$P,CODE!$O$1,FALSE)))=TRUE,"",IF(VLOOKUP($N282,CODE!$K:$P,CODE!$O$1,FALSE)="",$M282,$M282&amp;"-"&amp;VLOOKUP($N282,CODE!$K:$P,CODE!$O$1,FALSE)))</f>
        <v>GRA</v>
      </c>
      <c r="P282" s="29" t="str">
        <f t="shared" si="63"/>
        <v>성인</v>
      </c>
      <c r="Q282" s="29" t="str">
        <f t="shared" si="64"/>
        <v>GRAFAF5007</v>
      </c>
      <c r="R282" s="1" t="s">
        <v>1078</v>
      </c>
      <c r="S282" s="1" t="s">
        <v>15</v>
      </c>
      <c r="T282" s="26">
        <v>150</v>
      </c>
      <c r="U282" s="26">
        <v>8850000</v>
      </c>
      <c r="V282" s="26">
        <v>2148417.3000000003</v>
      </c>
      <c r="W282" s="26">
        <v>3.7448285979891072</v>
      </c>
      <c r="X282" s="26">
        <v>150</v>
      </c>
      <c r="Y282" s="26">
        <v>0</v>
      </c>
    </row>
    <row r="283" spans="1:25">
      <c r="A283" s="24" t="str">
        <f t="shared" si="56"/>
        <v>신규</v>
      </c>
      <c r="B283" s="24" t="str">
        <f>IF(COUNTIF(R$1:R282,R283)=0,"최초","리오더")</f>
        <v>최초</v>
      </c>
      <c r="C283" s="24" t="str">
        <f t="shared" si="57"/>
        <v>GRAFEF5008</v>
      </c>
      <c r="D283" s="24">
        <f t="shared" si="52"/>
        <v>0.5</v>
      </c>
      <c r="E283" s="24" t="str">
        <f t="shared" si="58"/>
        <v/>
      </c>
      <c r="F283" s="24">
        <f t="shared" si="53"/>
        <v>0</v>
      </c>
      <c r="G283" s="24" t="str">
        <f t="shared" si="59"/>
        <v>GRAFEF5008GY</v>
      </c>
      <c r="H283" s="24">
        <f t="shared" si="54"/>
        <v>1</v>
      </c>
      <c r="I283" s="24" t="str">
        <f t="shared" si="60"/>
        <v/>
      </c>
      <c r="J283" s="24">
        <f t="shared" si="55"/>
        <v>0</v>
      </c>
      <c r="K283" s="24" t="str">
        <f t="shared" si="61"/>
        <v>F5</v>
      </c>
      <c r="L283" s="24" t="str">
        <f>VLOOKUP(N283,CODE!K:P,CODE!$P$1,FALSE)</f>
        <v>모자</v>
      </c>
      <c r="M283" s="24" t="str">
        <f>VLOOKUP(MID(R283,1,3),CODE!$B:$G,CODE!D$1,FALSE)</f>
        <v>GRA</v>
      </c>
      <c r="N283" s="24" t="str">
        <f t="shared" si="62"/>
        <v>FE</v>
      </c>
      <c r="O283" s="29" t="str">
        <f>IF(ISERROR(IF(VLOOKUP($N283,CODE!$K:$P,CODE!$O$1,FALSE)="",$M283,$M283&amp;"-"&amp;VLOOKUP($N283,CODE!$K:$P,CODE!$O$1,FALSE)))=TRUE,"",IF(VLOOKUP($N283,CODE!$K:$P,CODE!$O$1,FALSE)="",$M283,$M283&amp;"-"&amp;VLOOKUP($N283,CODE!$K:$P,CODE!$O$1,FALSE)))</f>
        <v>GRA</v>
      </c>
      <c r="P283" s="29" t="str">
        <f t="shared" si="63"/>
        <v>성인</v>
      </c>
      <c r="Q283" s="29" t="str">
        <f t="shared" si="64"/>
        <v>GRAFEF5008</v>
      </c>
      <c r="R283" s="1" t="s">
        <v>1079</v>
      </c>
      <c r="S283" s="1" t="s">
        <v>15</v>
      </c>
      <c r="T283" s="26">
        <v>100</v>
      </c>
      <c r="U283" s="26">
        <v>6900000</v>
      </c>
      <c r="V283" s="26">
        <v>1288827.2000000002</v>
      </c>
      <c r="W283" s="26">
        <v>4.8670041047607242</v>
      </c>
      <c r="X283" s="26">
        <v>100</v>
      </c>
      <c r="Y283" s="26">
        <v>0</v>
      </c>
    </row>
    <row r="284" spans="1:25">
      <c r="A284" s="24" t="str">
        <f t="shared" si="56"/>
        <v>신규</v>
      </c>
      <c r="B284" s="24" t="str">
        <f>IF(COUNTIF(R$1:R283,R284)=0,"최초","리오더")</f>
        <v>최초</v>
      </c>
      <c r="C284" s="24" t="str">
        <f t="shared" si="57"/>
        <v>GRAFEF5008</v>
      </c>
      <c r="D284" s="24">
        <f t="shared" si="52"/>
        <v>0.5</v>
      </c>
      <c r="E284" s="24" t="str">
        <f t="shared" si="58"/>
        <v/>
      </c>
      <c r="F284" s="24">
        <f t="shared" si="53"/>
        <v>0</v>
      </c>
      <c r="G284" s="24" t="str">
        <f t="shared" si="59"/>
        <v>GRAFEF5008BK</v>
      </c>
      <c r="H284" s="24">
        <f t="shared" si="54"/>
        <v>1</v>
      </c>
      <c r="I284" s="24" t="str">
        <f t="shared" si="60"/>
        <v/>
      </c>
      <c r="J284" s="24">
        <f t="shared" si="55"/>
        <v>0</v>
      </c>
      <c r="K284" s="24" t="str">
        <f t="shared" si="61"/>
        <v>F5</v>
      </c>
      <c r="L284" s="24" t="str">
        <f>VLOOKUP(N284,CODE!K:P,CODE!$P$1,FALSE)</f>
        <v>모자</v>
      </c>
      <c r="M284" s="24" t="str">
        <f>VLOOKUP(MID(R284,1,3),CODE!$B:$G,CODE!D$1,FALSE)</f>
        <v>GRA</v>
      </c>
      <c r="N284" s="24" t="str">
        <f t="shared" si="62"/>
        <v>FE</v>
      </c>
      <c r="O284" s="29" t="str">
        <f>IF(ISERROR(IF(VLOOKUP($N284,CODE!$K:$P,CODE!$O$1,FALSE)="",$M284,$M284&amp;"-"&amp;VLOOKUP($N284,CODE!$K:$P,CODE!$O$1,FALSE)))=TRUE,"",IF(VLOOKUP($N284,CODE!$K:$P,CODE!$O$1,FALSE)="",$M284,$M284&amp;"-"&amp;VLOOKUP($N284,CODE!$K:$P,CODE!$O$1,FALSE)))</f>
        <v>GRA</v>
      </c>
      <c r="P284" s="29" t="str">
        <f t="shared" si="63"/>
        <v>성인</v>
      </c>
      <c r="Q284" s="29" t="str">
        <f t="shared" si="64"/>
        <v>GRAFEF5008</v>
      </c>
      <c r="R284" s="1" t="s">
        <v>1080</v>
      </c>
      <c r="S284" s="1" t="s">
        <v>15</v>
      </c>
      <c r="T284" s="26">
        <v>100</v>
      </c>
      <c r="U284" s="26">
        <v>6900000</v>
      </c>
      <c r="V284" s="26">
        <v>1288827.2000000002</v>
      </c>
      <c r="W284" s="26">
        <v>4.8670041047607242</v>
      </c>
      <c r="X284" s="26">
        <v>100</v>
      </c>
      <c r="Y284" s="26">
        <v>0</v>
      </c>
    </row>
    <row r="285" spans="1:25">
      <c r="A285" s="24" t="str">
        <f t="shared" si="56"/>
        <v>신규</v>
      </c>
      <c r="B285" s="24" t="str">
        <f>IF(COUNTIF(R$1:R284,R285)=0,"최초","리오더")</f>
        <v>최초</v>
      </c>
      <c r="C285" s="24" t="str">
        <f t="shared" si="57"/>
        <v>GRAFAF5009</v>
      </c>
      <c r="D285" s="24">
        <f t="shared" si="52"/>
        <v>0.5</v>
      </c>
      <c r="E285" s="24" t="str">
        <f t="shared" si="58"/>
        <v/>
      </c>
      <c r="F285" s="24">
        <f t="shared" si="53"/>
        <v>0</v>
      </c>
      <c r="G285" s="24" t="str">
        <f t="shared" si="59"/>
        <v>GRAFAF5009GY</v>
      </c>
      <c r="H285" s="24">
        <f t="shared" si="54"/>
        <v>1</v>
      </c>
      <c r="I285" s="24" t="str">
        <f t="shared" si="60"/>
        <v/>
      </c>
      <c r="J285" s="24">
        <f t="shared" si="55"/>
        <v>0</v>
      </c>
      <c r="K285" s="24" t="str">
        <f t="shared" si="61"/>
        <v>F5</v>
      </c>
      <c r="L285" s="24" t="str">
        <f>VLOOKUP(N285,CODE!K:P,CODE!$P$1,FALSE)</f>
        <v>모자</v>
      </c>
      <c r="M285" s="24" t="str">
        <f>VLOOKUP(MID(R285,1,3),CODE!$B:$G,CODE!D$1,FALSE)</f>
        <v>GRA</v>
      </c>
      <c r="N285" s="24" t="str">
        <f t="shared" si="62"/>
        <v>FA</v>
      </c>
      <c r="O285" s="29" t="str">
        <f>IF(ISERROR(IF(VLOOKUP($N285,CODE!$K:$P,CODE!$O$1,FALSE)="",$M285,$M285&amp;"-"&amp;VLOOKUP($N285,CODE!$K:$P,CODE!$O$1,FALSE)))=TRUE,"",IF(VLOOKUP($N285,CODE!$K:$P,CODE!$O$1,FALSE)="",$M285,$M285&amp;"-"&amp;VLOOKUP($N285,CODE!$K:$P,CODE!$O$1,FALSE)))</f>
        <v>GRA</v>
      </c>
      <c r="P285" s="29" t="str">
        <f t="shared" si="63"/>
        <v>성인</v>
      </c>
      <c r="Q285" s="29" t="str">
        <f t="shared" si="64"/>
        <v>GRAFAF5009</v>
      </c>
      <c r="R285" s="1" t="s">
        <v>1081</v>
      </c>
      <c r="S285" s="1" t="s">
        <v>15</v>
      </c>
      <c r="T285" s="26">
        <v>100</v>
      </c>
      <c r="U285" s="26">
        <v>4900000</v>
      </c>
      <c r="V285" s="26">
        <v>1189035.2000000002</v>
      </c>
      <c r="W285" s="26">
        <v>3.7463528872361844</v>
      </c>
      <c r="X285" s="26">
        <v>100</v>
      </c>
      <c r="Y285" s="26">
        <v>0</v>
      </c>
    </row>
    <row r="286" spans="1:25">
      <c r="A286" s="24" t="str">
        <f t="shared" si="56"/>
        <v>신규</v>
      </c>
      <c r="B286" s="24" t="str">
        <f>IF(COUNTIF(R$1:R285,R286)=0,"최초","리오더")</f>
        <v>최초</v>
      </c>
      <c r="C286" s="24" t="str">
        <f t="shared" si="57"/>
        <v>GRAFAF5009</v>
      </c>
      <c r="D286" s="24">
        <f t="shared" si="52"/>
        <v>0.5</v>
      </c>
      <c r="E286" s="24" t="str">
        <f t="shared" si="58"/>
        <v/>
      </c>
      <c r="F286" s="24">
        <f t="shared" si="53"/>
        <v>0</v>
      </c>
      <c r="G286" s="24" t="str">
        <f t="shared" si="59"/>
        <v>GRAFAF5009BW</v>
      </c>
      <c r="H286" s="24">
        <f t="shared" si="54"/>
        <v>1</v>
      </c>
      <c r="I286" s="24" t="str">
        <f t="shared" si="60"/>
        <v/>
      </c>
      <c r="J286" s="24">
        <f t="shared" si="55"/>
        <v>0</v>
      </c>
      <c r="K286" s="24" t="str">
        <f t="shared" si="61"/>
        <v>F5</v>
      </c>
      <c r="L286" s="24" t="str">
        <f>VLOOKUP(N286,CODE!K:P,CODE!$P$1,FALSE)</f>
        <v>모자</v>
      </c>
      <c r="M286" s="24" t="str">
        <f>VLOOKUP(MID(R286,1,3),CODE!$B:$G,CODE!D$1,FALSE)</f>
        <v>GRA</v>
      </c>
      <c r="N286" s="24" t="str">
        <f t="shared" si="62"/>
        <v>FA</v>
      </c>
      <c r="O286" s="29" t="str">
        <f>IF(ISERROR(IF(VLOOKUP($N286,CODE!$K:$P,CODE!$O$1,FALSE)="",$M286,$M286&amp;"-"&amp;VLOOKUP($N286,CODE!$K:$P,CODE!$O$1,FALSE)))=TRUE,"",IF(VLOOKUP($N286,CODE!$K:$P,CODE!$O$1,FALSE)="",$M286,$M286&amp;"-"&amp;VLOOKUP($N286,CODE!$K:$P,CODE!$O$1,FALSE)))</f>
        <v>GRA</v>
      </c>
      <c r="P286" s="29" t="str">
        <f t="shared" si="63"/>
        <v>성인</v>
      </c>
      <c r="Q286" s="29" t="str">
        <f t="shared" si="64"/>
        <v>GRAFAF5009</v>
      </c>
      <c r="R286" s="1" t="s">
        <v>1082</v>
      </c>
      <c r="S286" s="1" t="s">
        <v>15</v>
      </c>
      <c r="T286" s="26">
        <v>100</v>
      </c>
      <c r="U286" s="26">
        <v>4900000</v>
      </c>
      <c r="V286" s="26">
        <v>1189035.2000000002</v>
      </c>
      <c r="W286" s="26">
        <v>3.7463528872361844</v>
      </c>
      <c r="X286" s="26">
        <v>100</v>
      </c>
      <c r="Y286" s="26">
        <v>0</v>
      </c>
    </row>
    <row r="287" spans="1:25">
      <c r="A287" s="24" t="str">
        <f t="shared" si="56"/>
        <v>신규</v>
      </c>
      <c r="B287" s="24" t="str">
        <f>IF(COUNTIF(R$1:R286,R287)=0,"최초","리오더")</f>
        <v>최초</v>
      </c>
      <c r="C287" s="24" t="str">
        <f t="shared" si="57"/>
        <v>GRAFEF5010</v>
      </c>
      <c r="D287" s="24">
        <f t="shared" si="52"/>
        <v>1</v>
      </c>
      <c r="E287" s="24" t="str">
        <f t="shared" si="58"/>
        <v/>
      </c>
      <c r="F287" s="24">
        <f t="shared" si="53"/>
        <v>0</v>
      </c>
      <c r="G287" s="24" t="str">
        <f t="shared" si="59"/>
        <v>GRAFEF5010GY</v>
      </c>
      <c r="H287" s="24">
        <f t="shared" si="54"/>
        <v>1</v>
      </c>
      <c r="I287" s="24" t="str">
        <f t="shared" si="60"/>
        <v/>
      </c>
      <c r="J287" s="24">
        <f t="shared" si="55"/>
        <v>0</v>
      </c>
      <c r="K287" s="24" t="str">
        <f t="shared" si="61"/>
        <v>F5</v>
      </c>
      <c r="L287" s="24" t="str">
        <f>VLOOKUP(N287,CODE!K:P,CODE!$P$1,FALSE)</f>
        <v>모자</v>
      </c>
      <c r="M287" s="24" t="str">
        <f>VLOOKUP(MID(R287,1,3),CODE!$B:$G,CODE!D$1,FALSE)</f>
        <v>GRA</v>
      </c>
      <c r="N287" s="24" t="str">
        <f t="shared" si="62"/>
        <v>FE</v>
      </c>
      <c r="O287" s="29" t="str">
        <f>IF(ISERROR(IF(VLOOKUP($N287,CODE!$K:$P,CODE!$O$1,FALSE)="",$M287,$M287&amp;"-"&amp;VLOOKUP($N287,CODE!$K:$P,CODE!$O$1,FALSE)))=TRUE,"",IF(VLOOKUP($N287,CODE!$K:$P,CODE!$O$1,FALSE)="",$M287,$M287&amp;"-"&amp;VLOOKUP($N287,CODE!$K:$P,CODE!$O$1,FALSE)))</f>
        <v>GRA</v>
      </c>
      <c r="P287" s="29" t="str">
        <f t="shared" si="63"/>
        <v>성인</v>
      </c>
      <c r="Q287" s="29" t="str">
        <f t="shared" si="64"/>
        <v>GRAFEF5010</v>
      </c>
      <c r="R287" s="1" t="s">
        <v>1083</v>
      </c>
      <c r="S287" s="1" t="s">
        <v>15</v>
      </c>
      <c r="T287" s="26">
        <v>100</v>
      </c>
      <c r="U287" s="26">
        <v>7500000</v>
      </c>
      <c r="V287" s="26">
        <v>1705458.8</v>
      </c>
      <c r="W287" s="26">
        <v>3.9978578305039192</v>
      </c>
      <c r="X287" s="26">
        <v>100</v>
      </c>
      <c r="Y287" s="26">
        <v>0</v>
      </c>
    </row>
    <row r="288" spans="1:25">
      <c r="A288" s="24" t="str">
        <f t="shared" si="56"/>
        <v>신규</v>
      </c>
      <c r="B288" s="24" t="str">
        <f>IF(COUNTIF(R$1:R287,R288)=0,"최초","리오더")</f>
        <v>최초</v>
      </c>
      <c r="C288" s="24" t="str">
        <f t="shared" si="57"/>
        <v>GRAFEF5011</v>
      </c>
      <c r="D288" s="24">
        <f t="shared" si="52"/>
        <v>0.33333333333333331</v>
      </c>
      <c r="E288" s="24" t="str">
        <f t="shared" si="58"/>
        <v/>
      </c>
      <c r="F288" s="24">
        <f t="shared" si="53"/>
        <v>0</v>
      </c>
      <c r="G288" s="24" t="str">
        <f t="shared" si="59"/>
        <v>GRAFEF5011BK</v>
      </c>
      <c r="H288" s="24">
        <f t="shared" si="54"/>
        <v>1</v>
      </c>
      <c r="I288" s="24" t="str">
        <f t="shared" si="60"/>
        <v/>
      </c>
      <c r="J288" s="24">
        <f t="shared" si="55"/>
        <v>0</v>
      </c>
      <c r="K288" s="24" t="str">
        <f t="shared" si="61"/>
        <v>F5</v>
      </c>
      <c r="L288" s="24" t="str">
        <f>VLOOKUP(N288,CODE!K:P,CODE!$P$1,FALSE)</f>
        <v>모자</v>
      </c>
      <c r="M288" s="24" t="str">
        <f>VLOOKUP(MID(R288,1,3),CODE!$B:$G,CODE!D$1,FALSE)</f>
        <v>GRA</v>
      </c>
      <c r="N288" s="24" t="str">
        <f t="shared" si="62"/>
        <v>FE</v>
      </c>
      <c r="O288" s="29" t="str">
        <f>IF(ISERROR(IF(VLOOKUP($N288,CODE!$K:$P,CODE!$O$1,FALSE)="",$M288,$M288&amp;"-"&amp;VLOOKUP($N288,CODE!$K:$P,CODE!$O$1,FALSE)))=TRUE,"",IF(VLOOKUP($N288,CODE!$K:$P,CODE!$O$1,FALSE)="",$M288,$M288&amp;"-"&amp;VLOOKUP($N288,CODE!$K:$P,CODE!$O$1,FALSE)))</f>
        <v>GRA</v>
      </c>
      <c r="P288" s="29" t="str">
        <f t="shared" si="63"/>
        <v>성인</v>
      </c>
      <c r="Q288" s="29" t="str">
        <f t="shared" si="64"/>
        <v>GRAFEF5011</v>
      </c>
      <c r="R288" s="1" t="s">
        <v>1084</v>
      </c>
      <c r="S288" s="1" t="s">
        <v>15</v>
      </c>
      <c r="T288" s="26">
        <v>70</v>
      </c>
      <c r="U288" s="26">
        <v>5110000</v>
      </c>
      <c r="V288" s="26">
        <v>1169372.1200000001</v>
      </c>
      <c r="W288" s="26">
        <v>3.9726058677151843</v>
      </c>
      <c r="X288" s="26">
        <v>70</v>
      </c>
      <c r="Y288" s="26">
        <v>0</v>
      </c>
    </row>
    <row r="289" spans="1:25">
      <c r="A289" s="24" t="str">
        <f t="shared" si="56"/>
        <v>신규</v>
      </c>
      <c r="B289" s="24" t="str">
        <f>IF(COUNTIF(R$1:R288,R289)=0,"최초","리오더")</f>
        <v>최초</v>
      </c>
      <c r="C289" s="24" t="str">
        <f t="shared" si="57"/>
        <v>GRAFEF5011</v>
      </c>
      <c r="D289" s="24">
        <f t="shared" si="52"/>
        <v>0.33333333333333331</v>
      </c>
      <c r="E289" s="24" t="str">
        <f t="shared" si="58"/>
        <v/>
      </c>
      <c r="F289" s="24">
        <f t="shared" si="53"/>
        <v>0</v>
      </c>
      <c r="G289" s="24" t="str">
        <f t="shared" si="59"/>
        <v>GRAFEF5011BG</v>
      </c>
      <c r="H289" s="24">
        <f t="shared" si="54"/>
        <v>1</v>
      </c>
      <c r="I289" s="24" t="str">
        <f t="shared" si="60"/>
        <v/>
      </c>
      <c r="J289" s="24">
        <f t="shared" si="55"/>
        <v>0</v>
      </c>
      <c r="K289" s="24" t="str">
        <f t="shared" si="61"/>
        <v>F5</v>
      </c>
      <c r="L289" s="24" t="str">
        <f>VLOOKUP(N289,CODE!K:P,CODE!$P$1,FALSE)</f>
        <v>모자</v>
      </c>
      <c r="M289" s="24" t="str">
        <f>VLOOKUP(MID(R289,1,3),CODE!$B:$G,CODE!D$1,FALSE)</f>
        <v>GRA</v>
      </c>
      <c r="N289" s="24" t="str">
        <f t="shared" si="62"/>
        <v>FE</v>
      </c>
      <c r="O289" s="29" t="str">
        <f>IF(ISERROR(IF(VLOOKUP($N289,CODE!$K:$P,CODE!$O$1,FALSE)="",$M289,$M289&amp;"-"&amp;VLOOKUP($N289,CODE!$K:$P,CODE!$O$1,FALSE)))=TRUE,"",IF(VLOOKUP($N289,CODE!$K:$P,CODE!$O$1,FALSE)="",$M289,$M289&amp;"-"&amp;VLOOKUP($N289,CODE!$K:$P,CODE!$O$1,FALSE)))</f>
        <v>GRA</v>
      </c>
      <c r="P289" s="29" t="str">
        <f t="shared" si="63"/>
        <v>성인</v>
      </c>
      <c r="Q289" s="29" t="str">
        <f t="shared" si="64"/>
        <v>GRAFEF5011</v>
      </c>
      <c r="R289" s="1" t="s">
        <v>1085</v>
      </c>
      <c r="S289" s="1" t="s">
        <v>15</v>
      </c>
      <c r="T289" s="26">
        <v>70</v>
      </c>
      <c r="U289" s="26">
        <v>5110000</v>
      </c>
      <c r="V289" s="26">
        <v>1169372.1200000001</v>
      </c>
      <c r="W289" s="26">
        <v>3.9726058677151843</v>
      </c>
      <c r="X289" s="26">
        <v>70</v>
      </c>
      <c r="Y289" s="26">
        <v>0</v>
      </c>
    </row>
    <row r="290" spans="1:25">
      <c r="A290" s="24" t="str">
        <f t="shared" si="56"/>
        <v>신규</v>
      </c>
      <c r="B290" s="24" t="str">
        <f>IF(COUNTIF(R$1:R289,R290)=0,"최초","리오더")</f>
        <v>최초</v>
      </c>
      <c r="C290" s="24" t="str">
        <f t="shared" si="57"/>
        <v>GRAFEF5011</v>
      </c>
      <c r="D290" s="24">
        <f t="shared" si="52"/>
        <v>0.33333333333333331</v>
      </c>
      <c r="E290" s="24" t="str">
        <f t="shared" si="58"/>
        <v/>
      </c>
      <c r="F290" s="24">
        <f t="shared" si="53"/>
        <v>0</v>
      </c>
      <c r="G290" s="24" t="str">
        <f t="shared" si="59"/>
        <v>GRAFEF5011BU</v>
      </c>
      <c r="H290" s="24">
        <f t="shared" si="54"/>
        <v>1</v>
      </c>
      <c r="I290" s="24" t="str">
        <f t="shared" si="60"/>
        <v/>
      </c>
      <c r="J290" s="24">
        <f t="shared" si="55"/>
        <v>0</v>
      </c>
      <c r="K290" s="24" t="str">
        <f t="shared" si="61"/>
        <v>F5</v>
      </c>
      <c r="L290" s="24" t="str">
        <f>VLOOKUP(N290,CODE!K:P,CODE!$P$1,FALSE)</f>
        <v>모자</v>
      </c>
      <c r="M290" s="24" t="str">
        <f>VLOOKUP(MID(R290,1,3),CODE!$B:$G,CODE!D$1,FALSE)</f>
        <v>GRA</v>
      </c>
      <c r="N290" s="24" t="str">
        <f t="shared" si="62"/>
        <v>FE</v>
      </c>
      <c r="O290" s="29" t="str">
        <f>IF(ISERROR(IF(VLOOKUP($N290,CODE!$K:$P,CODE!$O$1,FALSE)="",$M290,$M290&amp;"-"&amp;VLOOKUP($N290,CODE!$K:$P,CODE!$O$1,FALSE)))=TRUE,"",IF(VLOOKUP($N290,CODE!$K:$P,CODE!$O$1,FALSE)="",$M290,$M290&amp;"-"&amp;VLOOKUP($N290,CODE!$K:$P,CODE!$O$1,FALSE)))</f>
        <v>GRA</v>
      </c>
      <c r="P290" s="29" t="str">
        <f t="shared" si="63"/>
        <v>성인</v>
      </c>
      <c r="Q290" s="29" t="str">
        <f t="shared" si="64"/>
        <v>GRAFEF5011</v>
      </c>
      <c r="R290" s="1" t="s">
        <v>1086</v>
      </c>
      <c r="S290" s="1" t="s">
        <v>15</v>
      </c>
      <c r="T290" s="26">
        <v>70</v>
      </c>
      <c r="U290" s="26">
        <v>5110000</v>
      </c>
      <c r="V290" s="26">
        <v>1169372.1200000001</v>
      </c>
      <c r="W290" s="26">
        <v>3.9726058677151843</v>
      </c>
      <c r="X290" s="26">
        <v>70</v>
      </c>
      <c r="Y290" s="26">
        <v>0</v>
      </c>
    </row>
    <row r="291" spans="1:25">
      <c r="A291" s="24" t="str">
        <f t="shared" si="56"/>
        <v>신규</v>
      </c>
      <c r="B291" s="24" t="str">
        <f>IF(COUNTIF(R$1:R290,R291)=0,"최초","리오더")</f>
        <v>최초</v>
      </c>
      <c r="C291" s="24" t="str">
        <f t="shared" si="57"/>
        <v>GRAFAF5012</v>
      </c>
      <c r="D291" s="24">
        <f t="shared" si="52"/>
        <v>0.33333333333333331</v>
      </c>
      <c r="E291" s="24" t="str">
        <f t="shared" si="58"/>
        <v/>
      </c>
      <c r="F291" s="24">
        <f t="shared" si="53"/>
        <v>0</v>
      </c>
      <c r="G291" s="24" t="str">
        <f t="shared" si="59"/>
        <v>GRAFAF5012GY</v>
      </c>
      <c r="H291" s="24">
        <f t="shared" si="54"/>
        <v>1</v>
      </c>
      <c r="I291" s="24" t="str">
        <f t="shared" si="60"/>
        <v/>
      </c>
      <c r="J291" s="24">
        <f t="shared" si="55"/>
        <v>0</v>
      </c>
      <c r="K291" s="24" t="str">
        <f t="shared" si="61"/>
        <v>F5</v>
      </c>
      <c r="L291" s="24" t="str">
        <f>VLOOKUP(N291,CODE!K:P,CODE!$P$1,FALSE)</f>
        <v>모자</v>
      </c>
      <c r="M291" s="24" t="str">
        <f>VLOOKUP(MID(R291,1,3),CODE!$B:$G,CODE!D$1,FALSE)</f>
        <v>GRA</v>
      </c>
      <c r="N291" s="24" t="str">
        <f t="shared" si="62"/>
        <v>FA</v>
      </c>
      <c r="O291" s="29" t="str">
        <f>IF(ISERROR(IF(VLOOKUP($N291,CODE!$K:$P,CODE!$O$1,FALSE)="",$M291,$M291&amp;"-"&amp;VLOOKUP($N291,CODE!$K:$P,CODE!$O$1,FALSE)))=TRUE,"",IF(VLOOKUP($N291,CODE!$K:$P,CODE!$O$1,FALSE)="",$M291,$M291&amp;"-"&amp;VLOOKUP($N291,CODE!$K:$P,CODE!$O$1,FALSE)))</f>
        <v>GRA</v>
      </c>
      <c r="P291" s="29" t="str">
        <f t="shared" si="63"/>
        <v>성인</v>
      </c>
      <c r="Q291" s="29" t="str">
        <f t="shared" si="64"/>
        <v>GRAFAF5012</v>
      </c>
      <c r="R291" s="1" t="s">
        <v>1087</v>
      </c>
      <c r="S291" s="1" t="s">
        <v>15</v>
      </c>
      <c r="T291" s="26">
        <v>100</v>
      </c>
      <c r="U291" s="26">
        <v>6300000</v>
      </c>
      <c r="V291" s="26">
        <v>1419804.2000000004</v>
      </c>
      <c r="W291" s="26">
        <v>4.0338468693589755</v>
      </c>
      <c r="X291" s="26">
        <v>100</v>
      </c>
      <c r="Y291" s="26">
        <v>0</v>
      </c>
    </row>
    <row r="292" spans="1:25">
      <c r="A292" s="24" t="str">
        <f t="shared" si="56"/>
        <v>신규</v>
      </c>
      <c r="B292" s="24" t="str">
        <f>IF(COUNTIF(R$1:R291,R292)=0,"최초","리오더")</f>
        <v>최초</v>
      </c>
      <c r="C292" s="24" t="str">
        <f t="shared" si="57"/>
        <v>GRAFAF5012</v>
      </c>
      <c r="D292" s="24">
        <f t="shared" si="52"/>
        <v>0.33333333333333331</v>
      </c>
      <c r="E292" s="24" t="str">
        <f t="shared" si="58"/>
        <v/>
      </c>
      <c r="F292" s="24">
        <f t="shared" si="53"/>
        <v>0</v>
      </c>
      <c r="G292" s="24" t="str">
        <f t="shared" si="59"/>
        <v>GRAFAF5012NY</v>
      </c>
      <c r="H292" s="24">
        <f t="shared" si="54"/>
        <v>1</v>
      </c>
      <c r="I292" s="24" t="str">
        <f t="shared" si="60"/>
        <v/>
      </c>
      <c r="J292" s="24">
        <f t="shared" si="55"/>
        <v>0</v>
      </c>
      <c r="K292" s="24" t="str">
        <f t="shared" si="61"/>
        <v>F5</v>
      </c>
      <c r="L292" s="24" t="str">
        <f>VLOOKUP(N292,CODE!K:P,CODE!$P$1,FALSE)</f>
        <v>모자</v>
      </c>
      <c r="M292" s="24" t="str">
        <f>VLOOKUP(MID(R292,1,3),CODE!$B:$G,CODE!D$1,FALSE)</f>
        <v>GRA</v>
      </c>
      <c r="N292" s="24" t="str">
        <f t="shared" si="62"/>
        <v>FA</v>
      </c>
      <c r="O292" s="29" t="str">
        <f>IF(ISERROR(IF(VLOOKUP($N292,CODE!$K:$P,CODE!$O$1,FALSE)="",$M292,$M292&amp;"-"&amp;VLOOKUP($N292,CODE!$K:$P,CODE!$O$1,FALSE)))=TRUE,"",IF(VLOOKUP($N292,CODE!$K:$P,CODE!$O$1,FALSE)="",$M292,$M292&amp;"-"&amp;VLOOKUP($N292,CODE!$K:$P,CODE!$O$1,FALSE)))</f>
        <v>GRA</v>
      </c>
      <c r="P292" s="29" t="str">
        <f t="shared" si="63"/>
        <v>성인</v>
      </c>
      <c r="Q292" s="29" t="str">
        <f t="shared" si="64"/>
        <v>GRAFAF5012</v>
      </c>
      <c r="R292" s="1" t="s">
        <v>1088</v>
      </c>
      <c r="S292" s="1" t="s">
        <v>15</v>
      </c>
      <c r="T292" s="26">
        <v>100</v>
      </c>
      <c r="U292" s="26">
        <v>6300000</v>
      </c>
      <c r="V292" s="26">
        <v>1419804.2000000004</v>
      </c>
      <c r="W292" s="26">
        <v>4.0338468693589755</v>
      </c>
      <c r="X292" s="26">
        <v>100</v>
      </c>
      <c r="Y292" s="26">
        <v>0</v>
      </c>
    </row>
    <row r="293" spans="1:25">
      <c r="A293" s="24" t="str">
        <f t="shared" si="56"/>
        <v>신규</v>
      </c>
      <c r="B293" s="24" t="str">
        <f>IF(COUNTIF(R$1:R292,R293)=0,"최초","리오더")</f>
        <v>최초</v>
      </c>
      <c r="C293" s="24" t="str">
        <f t="shared" si="57"/>
        <v>GRAFAF5012</v>
      </c>
      <c r="D293" s="24">
        <f t="shared" si="52"/>
        <v>0.33333333333333331</v>
      </c>
      <c r="E293" s="24" t="str">
        <f t="shared" si="58"/>
        <v/>
      </c>
      <c r="F293" s="24">
        <f t="shared" si="53"/>
        <v>0</v>
      </c>
      <c r="G293" s="24" t="str">
        <f t="shared" si="59"/>
        <v>GRAFAF5012BW</v>
      </c>
      <c r="H293" s="24">
        <f t="shared" si="54"/>
        <v>1</v>
      </c>
      <c r="I293" s="24" t="str">
        <f t="shared" si="60"/>
        <v/>
      </c>
      <c r="J293" s="24">
        <f t="shared" si="55"/>
        <v>0</v>
      </c>
      <c r="K293" s="24" t="str">
        <f t="shared" si="61"/>
        <v>F5</v>
      </c>
      <c r="L293" s="24" t="str">
        <f>VLOOKUP(N293,CODE!K:P,CODE!$P$1,FALSE)</f>
        <v>모자</v>
      </c>
      <c r="M293" s="24" t="str">
        <f>VLOOKUP(MID(R293,1,3),CODE!$B:$G,CODE!D$1,FALSE)</f>
        <v>GRA</v>
      </c>
      <c r="N293" s="24" t="str">
        <f t="shared" si="62"/>
        <v>FA</v>
      </c>
      <c r="O293" s="29" t="str">
        <f>IF(ISERROR(IF(VLOOKUP($N293,CODE!$K:$P,CODE!$O$1,FALSE)="",$M293,$M293&amp;"-"&amp;VLOOKUP($N293,CODE!$K:$P,CODE!$O$1,FALSE)))=TRUE,"",IF(VLOOKUP($N293,CODE!$K:$P,CODE!$O$1,FALSE)="",$M293,$M293&amp;"-"&amp;VLOOKUP($N293,CODE!$K:$P,CODE!$O$1,FALSE)))</f>
        <v>GRA</v>
      </c>
      <c r="P293" s="29" t="str">
        <f t="shared" si="63"/>
        <v>성인</v>
      </c>
      <c r="Q293" s="29" t="str">
        <f t="shared" si="64"/>
        <v>GRAFAF5012</v>
      </c>
      <c r="R293" s="1" t="s">
        <v>1089</v>
      </c>
      <c r="S293" s="1" t="s">
        <v>15</v>
      </c>
      <c r="T293" s="26">
        <v>100</v>
      </c>
      <c r="U293" s="26">
        <v>6300000</v>
      </c>
      <c r="V293" s="26">
        <v>1419804.2000000004</v>
      </c>
      <c r="W293" s="26">
        <v>4.0338468693589755</v>
      </c>
      <c r="X293" s="26">
        <v>100</v>
      </c>
      <c r="Y293" s="26">
        <v>0</v>
      </c>
    </row>
    <row r="294" spans="1:25">
      <c r="A294" s="24" t="str">
        <f t="shared" si="56"/>
        <v>신규</v>
      </c>
      <c r="B294" s="24" t="str">
        <f>IF(COUNTIF(R$1:R293,R294)=0,"최초","리오더")</f>
        <v>최초</v>
      </c>
      <c r="C294" s="24" t="str">
        <f t="shared" si="57"/>
        <v>GRAHUF5013</v>
      </c>
      <c r="D294" s="24">
        <f t="shared" si="52"/>
        <v>1</v>
      </c>
      <c r="E294" s="24" t="str">
        <f t="shared" si="58"/>
        <v/>
      </c>
      <c r="F294" s="24">
        <f t="shared" si="53"/>
        <v>0</v>
      </c>
      <c r="G294" s="24" t="str">
        <f t="shared" si="59"/>
        <v>GRAHUF5013BK</v>
      </c>
      <c r="H294" s="24">
        <f t="shared" si="54"/>
        <v>1</v>
      </c>
      <c r="I294" s="24" t="str">
        <f t="shared" si="60"/>
        <v/>
      </c>
      <c r="J294" s="24">
        <f t="shared" si="55"/>
        <v>0</v>
      </c>
      <c r="K294" s="24" t="str">
        <f t="shared" si="61"/>
        <v>F5</v>
      </c>
      <c r="L294" s="24" t="str">
        <f>VLOOKUP(N294,CODE!K:P,CODE!$P$1,FALSE)</f>
        <v>모자</v>
      </c>
      <c r="M294" s="24" t="str">
        <f>VLOOKUP(MID(R294,1,3),CODE!$B:$G,CODE!D$1,FALSE)</f>
        <v>GRA</v>
      </c>
      <c r="N294" s="24" t="str">
        <f t="shared" si="62"/>
        <v>HU</v>
      </c>
      <c r="O294" s="29" t="str">
        <f>IF(ISERROR(IF(VLOOKUP($N294,CODE!$K:$P,CODE!$O$1,FALSE)="",$M294,$M294&amp;"-"&amp;VLOOKUP($N294,CODE!$K:$P,CODE!$O$1,FALSE)))=TRUE,"",IF(VLOOKUP($N294,CODE!$K:$P,CODE!$O$1,FALSE)="",$M294,$M294&amp;"-"&amp;VLOOKUP($N294,CODE!$K:$P,CODE!$O$1,FALSE)))</f>
        <v>GRA</v>
      </c>
      <c r="P294" s="29" t="str">
        <f t="shared" si="63"/>
        <v>성인</v>
      </c>
      <c r="Q294" s="29" t="str">
        <f t="shared" si="64"/>
        <v>GRAHUF5013</v>
      </c>
      <c r="R294" s="1" t="s">
        <v>1090</v>
      </c>
      <c r="S294" s="1" t="s">
        <v>15</v>
      </c>
      <c r="T294" s="26">
        <v>200</v>
      </c>
      <c r="U294" s="26">
        <v>9800000</v>
      </c>
      <c r="V294" s="26">
        <v>2323184.8000000007</v>
      </c>
      <c r="W294" s="26">
        <v>3.8348610532794916</v>
      </c>
      <c r="X294" s="26">
        <v>200</v>
      </c>
      <c r="Y294" s="26">
        <v>0</v>
      </c>
    </row>
    <row r="295" spans="1:25">
      <c r="A295" s="24" t="str">
        <f t="shared" si="56"/>
        <v>신규</v>
      </c>
      <c r="B295" s="24" t="str">
        <f>IF(COUNTIF(R$1:R294,R295)=0,"최초","리오더")</f>
        <v>최초</v>
      </c>
      <c r="C295" s="24" t="str">
        <f t="shared" si="57"/>
        <v>GRAHUF5014</v>
      </c>
      <c r="D295" s="24">
        <f t="shared" si="52"/>
        <v>0.5</v>
      </c>
      <c r="E295" s="24" t="str">
        <f t="shared" si="58"/>
        <v/>
      </c>
      <c r="F295" s="24">
        <f t="shared" si="53"/>
        <v>0</v>
      </c>
      <c r="G295" s="24" t="str">
        <f t="shared" si="59"/>
        <v>GRAHUF5014BK</v>
      </c>
      <c r="H295" s="24">
        <f t="shared" si="54"/>
        <v>1</v>
      </c>
      <c r="I295" s="24" t="str">
        <f t="shared" si="60"/>
        <v/>
      </c>
      <c r="J295" s="24">
        <f t="shared" si="55"/>
        <v>0</v>
      </c>
      <c r="K295" s="24" t="str">
        <f t="shared" si="61"/>
        <v>F5</v>
      </c>
      <c r="L295" s="24" t="str">
        <f>VLOOKUP(N295,CODE!K:P,CODE!$P$1,FALSE)</f>
        <v>모자</v>
      </c>
      <c r="M295" s="24" t="str">
        <f>VLOOKUP(MID(R295,1,3),CODE!$B:$G,CODE!D$1,FALSE)</f>
        <v>GRA</v>
      </c>
      <c r="N295" s="24" t="str">
        <f t="shared" si="62"/>
        <v>HU</v>
      </c>
      <c r="O295" s="29" t="str">
        <f>IF(ISERROR(IF(VLOOKUP($N295,CODE!$K:$P,CODE!$O$1,FALSE)="",$M295,$M295&amp;"-"&amp;VLOOKUP($N295,CODE!$K:$P,CODE!$O$1,FALSE)))=TRUE,"",IF(VLOOKUP($N295,CODE!$K:$P,CODE!$O$1,FALSE)="",$M295,$M295&amp;"-"&amp;VLOOKUP($N295,CODE!$K:$P,CODE!$O$1,FALSE)))</f>
        <v>GRA</v>
      </c>
      <c r="P295" s="29" t="str">
        <f t="shared" si="63"/>
        <v>성인</v>
      </c>
      <c r="Q295" s="29" t="str">
        <f t="shared" si="64"/>
        <v>GRAHUF5014</v>
      </c>
      <c r="R295" s="1" t="s">
        <v>1091</v>
      </c>
      <c r="S295" s="1" t="s">
        <v>15</v>
      </c>
      <c r="T295" s="26">
        <v>120</v>
      </c>
      <c r="U295" s="26">
        <v>5880000</v>
      </c>
      <c r="V295" s="26">
        <v>1368463.9200000002</v>
      </c>
      <c r="W295" s="26">
        <v>3.9061713409693288</v>
      </c>
      <c r="X295" s="26">
        <v>120</v>
      </c>
      <c r="Y295" s="26">
        <v>0</v>
      </c>
    </row>
    <row r="296" spans="1:25">
      <c r="A296" s="24" t="str">
        <f t="shared" si="56"/>
        <v>신규</v>
      </c>
      <c r="B296" s="24" t="str">
        <f>IF(COUNTIF(R$1:R295,R296)=0,"최초","리오더")</f>
        <v>최초</v>
      </c>
      <c r="C296" s="24" t="str">
        <f t="shared" si="57"/>
        <v>GRAHUF5014</v>
      </c>
      <c r="D296" s="24">
        <f t="shared" si="52"/>
        <v>0.5</v>
      </c>
      <c r="E296" s="24" t="str">
        <f t="shared" si="58"/>
        <v/>
      </c>
      <c r="F296" s="24">
        <f t="shared" si="53"/>
        <v>0</v>
      </c>
      <c r="G296" s="24" t="str">
        <f t="shared" si="59"/>
        <v>GRAHUF5014BU</v>
      </c>
      <c r="H296" s="24">
        <f t="shared" si="54"/>
        <v>1</v>
      </c>
      <c r="I296" s="24" t="str">
        <f t="shared" si="60"/>
        <v/>
      </c>
      <c r="J296" s="24">
        <f t="shared" si="55"/>
        <v>0</v>
      </c>
      <c r="K296" s="24" t="str">
        <f t="shared" si="61"/>
        <v>F5</v>
      </c>
      <c r="L296" s="24" t="str">
        <f>VLOOKUP(N296,CODE!K:P,CODE!$P$1,FALSE)</f>
        <v>모자</v>
      </c>
      <c r="M296" s="24" t="str">
        <f>VLOOKUP(MID(R296,1,3),CODE!$B:$G,CODE!D$1,FALSE)</f>
        <v>GRA</v>
      </c>
      <c r="N296" s="24" t="str">
        <f t="shared" si="62"/>
        <v>HU</v>
      </c>
      <c r="O296" s="29" t="str">
        <f>IF(ISERROR(IF(VLOOKUP($N296,CODE!$K:$P,CODE!$O$1,FALSE)="",$M296,$M296&amp;"-"&amp;VLOOKUP($N296,CODE!$K:$P,CODE!$O$1,FALSE)))=TRUE,"",IF(VLOOKUP($N296,CODE!$K:$P,CODE!$O$1,FALSE)="",$M296,$M296&amp;"-"&amp;VLOOKUP($N296,CODE!$K:$P,CODE!$O$1,FALSE)))</f>
        <v>GRA</v>
      </c>
      <c r="P296" s="29" t="str">
        <f t="shared" si="63"/>
        <v>성인</v>
      </c>
      <c r="Q296" s="29" t="str">
        <f t="shared" si="64"/>
        <v>GRAHUF5014</v>
      </c>
      <c r="R296" s="1" t="s">
        <v>1092</v>
      </c>
      <c r="S296" s="1" t="s">
        <v>15</v>
      </c>
      <c r="T296" s="26">
        <v>120</v>
      </c>
      <c r="U296" s="26">
        <v>5880000</v>
      </c>
      <c r="V296" s="26">
        <v>1368463.9200000002</v>
      </c>
      <c r="W296" s="26">
        <v>3.9061713409693288</v>
      </c>
      <c r="X296" s="26">
        <v>120</v>
      </c>
      <c r="Y296" s="26">
        <v>0</v>
      </c>
    </row>
    <row r="297" spans="1:25">
      <c r="A297" s="24" t="str">
        <f t="shared" si="56"/>
        <v>신규</v>
      </c>
      <c r="B297" s="24" t="str">
        <f>IF(COUNTIF(R$1:R296,R297)=0,"최초","리오더")</f>
        <v>최초</v>
      </c>
      <c r="C297" s="24" t="str">
        <f t="shared" si="57"/>
        <v>GRAHUF5015</v>
      </c>
      <c r="D297" s="24">
        <f t="shared" si="52"/>
        <v>0.5</v>
      </c>
      <c r="E297" s="24" t="str">
        <f t="shared" si="58"/>
        <v/>
      </c>
      <c r="F297" s="24">
        <f t="shared" si="53"/>
        <v>0</v>
      </c>
      <c r="G297" s="24" t="str">
        <f t="shared" si="59"/>
        <v>GRAHUF5015BK</v>
      </c>
      <c r="H297" s="24">
        <f t="shared" si="54"/>
        <v>1</v>
      </c>
      <c r="I297" s="24" t="str">
        <f t="shared" si="60"/>
        <v/>
      </c>
      <c r="J297" s="24">
        <f t="shared" si="55"/>
        <v>0</v>
      </c>
      <c r="K297" s="24" t="str">
        <f t="shared" si="61"/>
        <v>F5</v>
      </c>
      <c r="L297" s="24" t="str">
        <f>VLOOKUP(N297,CODE!K:P,CODE!$P$1,FALSE)</f>
        <v>모자</v>
      </c>
      <c r="M297" s="24" t="str">
        <f>VLOOKUP(MID(R297,1,3),CODE!$B:$G,CODE!D$1,FALSE)</f>
        <v>GRA</v>
      </c>
      <c r="N297" s="24" t="str">
        <f t="shared" si="62"/>
        <v>HU</v>
      </c>
      <c r="O297" s="29" t="str">
        <f>IF(ISERROR(IF(VLOOKUP($N297,CODE!$K:$P,CODE!$O$1,FALSE)="",$M297,$M297&amp;"-"&amp;VLOOKUP($N297,CODE!$K:$P,CODE!$O$1,FALSE)))=TRUE,"",IF(VLOOKUP($N297,CODE!$K:$P,CODE!$O$1,FALSE)="",$M297,$M297&amp;"-"&amp;VLOOKUP($N297,CODE!$K:$P,CODE!$O$1,FALSE)))</f>
        <v>GRA</v>
      </c>
      <c r="P297" s="29" t="str">
        <f t="shared" si="63"/>
        <v>성인</v>
      </c>
      <c r="Q297" s="29" t="str">
        <f t="shared" si="64"/>
        <v>GRAHUF5015</v>
      </c>
      <c r="R297" s="1" t="s">
        <v>1093</v>
      </c>
      <c r="S297" s="1" t="s">
        <v>15</v>
      </c>
      <c r="T297" s="26">
        <v>200</v>
      </c>
      <c r="U297" s="26">
        <v>8600000</v>
      </c>
      <c r="V297" s="26">
        <v>2071210.0000000002</v>
      </c>
      <c r="W297" s="26">
        <v>3.7746929660352242</v>
      </c>
      <c r="X297" s="26">
        <v>200</v>
      </c>
      <c r="Y297" s="26">
        <v>0</v>
      </c>
    </row>
    <row r="298" spans="1:25">
      <c r="A298" s="24" t="str">
        <f t="shared" si="56"/>
        <v>신규</v>
      </c>
      <c r="B298" s="24" t="str">
        <f>IF(COUNTIF(R$1:R297,R298)=0,"최초","리오더")</f>
        <v>최초</v>
      </c>
      <c r="C298" s="24" t="str">
        <f t="shared" si="57"/>
        <v>GRAHUF5015</v>
      </c>
      <c r="D298" s="24">
        <f t="shared" si="52"/>
        <v>0.5</v>
      </c>
      <c r="E298" s="24" t="str">
        <f t="shared" si="58"/>
        <v/>
      </c>
      <c r="F298" s="24">
        <f t="shared" si="53"/>
        <v>0</v>
      </c>
      <c r="G298" s="24" t="str">
        <f t="shared" si="59"/>
        <v>GRAHUF5015BW</v>
      </c>
      <c r="H298" s="24">
        <f t="shared" si="54"/>
        <v>1</v>
      </c>
      <c r="I298" s="24" t="str">
        <f t="shared" si="60"/>
        <v/>
      </c>
      <c r="J298" s="24">
        <f t="shared" si="55"/>
        <v>0</v>
      </c>
      <c r="K298" s="24" t="str">
        <f t="shared" si="61"/>
        <v>F5</v>
      </c>
      <c r="L298" s="24" t="str">
        <f>VLOOKUP(N298,CODE!K:P,CODE!$P$1,FALSE)</f>
        <v>모자</v>
      </c>
      <c r="M298" s="24" t="str">
        <f>VLOOKUP(MID(R298,1,3),CODE!$B:$G,CODE!D$1,FALSE)</f>
        <v>GRA</v>
      </c>
      <c r="N298" s="24" t="str">
        <f t="shared" si="62"/>
        <v>HU</v>
      </c>
      <c r="O298" s="29" t="str">
        <f>IF(ISERROR(IF(VLOOKUP($N298,CODE!$K:$P,CODE!$O$1,FALSE)="",$M298,$M298&amp;"-"&amp;VLOOKUP($N298,CODE!$K:$P,CODE!$O$1,FALSE)))=TRUE,"",IF(VLOOKUP($N298,CODE!$K:$P,CODE!$O$1,FALSE)="",$M298,$M298&amp;"-"&amp;VLOOKUP($N298,CODE!$K:$P,CODE!$O$1,FALSE)))</f>
        <v>GRA</v>
      </c>
      <c r="P298" s="29" t="str">
        <f t="shared" si="63"/>
        <v>성인</v>
      </c>
      <c r="Q298" s="29" t="str">
        <f t="shared" si="64"/>
        <v>GRAHUF5015</v>
      </c>
      <c r="R298" s="1" t="s">
        <v>1094</v>
      </c>
      <c r="S298" s="1" t="s">
        <v>15</v>
      </c>
      <c r="T298" s="26">
        <v>200</v>
      </c>
      <c r="U298" s="26">
        <v>8600000</v>
      </c>
      <c r="V298" s="26">
        <v>2071210.0000000002</v>
      </c>
      <c r="W298" s="26">
        <v>3.7746929660352242</v>
      </c>
      <c r="X298" s="26">
        <v>200</v>
      </c>
      <c r="Y298" s="26">
        <v>0</v>
      </c>
    </row>
    <row r="299" spans="1:25">
      <c r="A299" s="24" t="str">
        <f t="shared" si="56"/>
        <v>신규</v>
      </c>
      <c r="B299" s="24" t="str">
        <f>IF(COUNTIF(R$1:R298,R299)=0,"최초","리오더")</f>
        <v>최초</v>
      </c>
      <c r="C299" s="24" t="str">
        <f t="shared" si="57"/>
        <v>GRAHUF5016</v>
      </c>
      <c r="D299" s="24">
        <f t="shared" si="52"/>
        <v>0.5</v>
      </c>
      <c r="E299" s="24" t="str">
        <f t="shared" si="58"/>
        <v/>
      </c>
      <c r="F299" s="24">
        <f t="shared" si="53"/>
        <v>0</v>
      </c>
      <c r="G299" s="24" t="str">
        <f t="shared" si="59"/>
        <v>GRAHUF5016GY</v>
      </c>
      <c r="H299" s="24">
        <f t="shared" si="54"/>
        <v>1</v>
      </c>
      <c r="I299" s="24" t="str">
        <f t="shared" si="60"/>
        <v/>
      </c>
      <c r="J299" s="24">
        <f t="shared" si="55"/>
        <v>0</v>
      </c>
      <c r="K299" s="24" t="str">
        <f t="shared" si="61"/>
        <v>F5</v>
      </c>
      <c r="L299" s="24" t="str">
        <f>VLOOKUP(N299,CODE!K:P,CODE!$P$1,FALSE)</f>
        <v>모자</v>
      </c>
      <c r="M299" s="24" t="str">
        <f>VLOOKUP(MID(R299,1,3),CODE!$B:$G,CODE!D$1,FALSE)</f>
        <v>GRA</v>
      </c>
      <c r="N299" s="24" t="str">
        <f t="shared" si="62"/>
        <v>HU</v>
      </c>
      <c r="O299" s="29" t="str">
        <f>IF(ISERROR(IF(VLOOKUP($N299,CODE!$K:$P,CODE!$O$1,FALSE)="",$M299,$M299&amp;"-"&amp;VLOOKUP($N299,CODE!$K:$P,CODE!$O$1,FALSE)))=TRUE,"",IF(VLOOKUP($N299,CODE!$K:$P,CODE!$O$1,FALSE)="",$M299,$M299&amp;"-"&amp;VLOOKUP($N299,CODE!$K:$P,CODE!$O$1,FALSE)))</f>
        <v>GRA</v>
      </c>
      <c r="P299" s="29" t="str">
        <f t="shared" si="63"/>
        <v>성인</v>
      </c>
      <c r="Q299" s="29" t="str">
        <f t="shared" si="64"/>
        <v>GRAHUF5016</v>
      </c>
      <c r="R299" s="1" t="s">
        <v>1095</v>
      </c>
      <c r="S299" s="1" t="s">
        <v>15</v>
      </c>
      <c r="T299" s="26">
        <v>200</v>
      </c>
      <c r="U299" s="26">
        <v>9800000</v>
      </c>
      <c r="V299" s="26">
        <v>2098652.8000000007</v>
      </c>
      <c r="W299" s="26">
        <v>4.2451476056882322</v>
      </c>
      <c r="X299" s="26">
        <v>200</v>
      </c>
      <c r="Y299" s="26">
        <v>0</v>
      </c>
    </row>
    <row r="300" spans="1:25">
      <c r="A300" s="24" t="str">
        <f t="shared" si="56"/>
        <v>신규</v>
      </c>
      <c r="B300" s="24" t="str">
        <f>IF(COUNTIF(R$1:R299,R300)=0,"최초","리오더")</f>
        <v>최초</v>
      </c>
      <c r="C300" s="24" t="str">
        <f t="shared" si="57"/>
        <v>GRAHUF5016</v>
      </c>
      <c r="D300" s="24">
        <f t="shared" si="52"/>
        <v>0.5</v>
      </c>
      <c r="E300" s="24" t="str">
        <f t="shared" si="58"/>
        <v/>
      </c>
      <c r="F300" s="24">
        <f t="shared" si="53"/>
        <v>0</v>
      </c>
      <c r="G300" s="24" t="str">
        <f t="shared" si="59"/>
        <v>GRAHUF5016BW</v>
      </c>
      <c r="H300" s="24">
        <f t="shared" si="54"/>
        <v>1</v>
      </c>
      <c r="I300" s="24" t="str">
        <f t="shared" si="60"/>
        <v/>
      </c>
      <c r="J300" s="24">
        <f t="shared" si="55"/>
        <v>0</v>
      </c>
      <c r="K300" s="24" t="str">
        <f t="shared" si="61"/>
        <v>F5</v>
      </c>
      <c r="L300" s="24" t="str">
        <f>VLOOKUP(N300,CODE!K:P,CODE!$P$1,FALSE)</f>
        <v>모자</v>
      </c>
      <c r="M300" s="24" t="str">
        <f>VLOOKUP(MID(R300,1,3),CODE!$B:$G,CODE!D$1,FALSE)</f>
        <v>GRA</v>
      </c>
      <c r="N300" s="24" t="str">
        <f t="shared" si="62"/>
        <v>HU</v>
      </c>
      <c r="O300" s="29" t="str">
        <f>IF(ISERROR(IF(VLOOKUP($N300,CODE!$K:$P,CODE!$O$1,FALSE)="",$M300,$M300&amp;"-"&amp;VLOOKUP($N300,CODE!$K:$P,CODE!$O$1,FALSE)))=TRUE,"",IF(VLOOKUP($N300,CODE!$K:$P,CODE!$O$1,FALSE)="",$M300,$M300&amp;"-"&amp;VLOOKUP($N300,CODE!$K:$P,CODE!$O$1,FALSE)))</f>
        <v>GRA</v>
      </c>
      <c r="P300" s="29" t="str">
        <f t="shared" si="63"/>
        <v>성인</v>
      </c>
      <c r="Q300" s="29" t="str">
        <f t="shared" si="64"/>
        <v>GRAHUF5016</v>
      </c>
      <c r="R300" s="1" t="s">
        <v>1096</v>
      </c>
      <c r="S300" s="1" t="s">
        <v>15</v>
      </c>
      <c r="T300" s="26">
        <v>200</v>
      </c>
      <c r="U300" s="26">
        <v>9800000</v>
      </c>
      <c r="V300" s="26">
        <v>2098652.8000000007</v>
      </c>
      <c r="W300" s="26">
        <v>4.2451476056882322</v>
      </c>
      <c r="X300" s="26">
        <v>200</v>
      </c>
      <c r="Y300" s="26">
        <v>0</v>
      </c>
    </row>
    <row r="301" spans="1:25">
      <c r="A301" s="24" t="str">
        <f t="shared" si="56"/>
        <v>신규</v>
      </c>
      <c r="B301" s="24" t="str">
        <f>IF(COUNTIF(R$1:R300,R301)=0,"최초","리오더")</f>
        <v>최초</v>
      </c>
      <c r="C301" s="24" t="str">
        <f t="shared" si="57"/>
        <v>GRACMF5017</v>
      </c>
      <c r="D301" s="24">
        <f t="shared" si="52"/>
        <v>0.5</v>
      </c>
      <c r="E301" s="24" t="str">
        <f t="shared" si="58"/>
        <v/>
      </c>
      <c r="F301" s="24">
        <f t="shared" si="53"/>
        <v>0</v>
      </c>
      <c r="G301" s="24" t="str">
        <f t="shared" si="59"/>
        <v>GRACMF5017BK</v>
      </c>
      <c r="H301" s="24">
        <f t="shared" si="54"/>
        <v>1</v>
      </c>
      <c r="I301" s="24" t="str">
        <f t="shared" si="60"/>
        <v/>
      </c>
      <c r="J301" s="24">
        <f t="shared" si="55"/>
        <v>0</v>
      </c>
      <c r="K301" s="24" t="str">
        <f t="shared" si="61"/>
        <v>F5</v>
      </c>
      <c r="L301" s="24" t="str">
        <f>VLOOKUP(N301,CODE!K:P,CODE!$P$1,FALSE)</f>
        <v>모자</v>
      </c>
      <c r="M301" s="24" t="str">
        <f>VLOOKUP(MID(R301,1,3),CODE!$B:$G,CODE!D$1,FALSE)</f>
        <v>GRA</v>
      </c>
      <c r="N301" s="24" t="str">
        <f t="shared" si="62"/>
        <v>CM</v>
      </c>
      <c r="O301" s="29" t="str">
        <f>IF(ISERROR(IF(VLOOKUP($N301,CODE!$K:$P,CODE!$O$1,FALSE)="",$M301,$M301&amp;"-"&amp;VLOOKUP($N301,CODE!$K:$P,CODE!$O$1,FALSE)))=TRUE,"",IF(VLOOKUP($N301,CODE!$K:$P,CODE!$O$1,FALSE)="",$M301,$M301&amp;"-"&amp;VLOOKUP($N301,CODE!$K:$P,CODE!$O$1,FALSE)))</f>
        <v>GRA</v>
      </c>
      <c r="P301" s="29" t="str">
        <f t="shared" si="63"/>
        <v>성인</v>
      </c>
      <c r="Q301" s="29" t="str">
        <f t="shared" si="64"/>
        <v>GRACMF5017</v>
      </c>
      <c r="R301" s="1" t="s">
        <v>1097</v>
      </c>
      <c r="S301" s="1" t="s">
        <v>15</v>
      </c>
      <c r="T301" s="26">
        <v>150</v>
      </c>
      <c r="U301" s="26">
        <v>7350000</v>
      </c>
      <c r="V301" s="26">
        <v>1834072.5000000002</v>
      </c>
      <c r="W301" s="26">
        <v>3.64315924360579</v>
      </c>
      <c r="X301" s="26">
        <v>150</v>
      </c>
      <c r="Y301" s="26">
        <v>0</v>
      </c>
    </row>
    <row r="302" spans="1:25">
      <c r="A302" s="24" t="str">
        <f t="shared" si="56"/>
        <v>신규</v>
      </c>
      <c r="B302" s="24" t="str">
        <f>IF(COUNTIF(R$1:R301,R302)=0,"최초","리오더")</f>
        <v>최초</v>
      </c>
      <c r="C302" s="24" t="str">
        <f t="shared" si="57"/>
        <v>GRACMF5017</v>
      </c>
      <c r="D302" s="24">
        <f t="shared" si="52"/>
        <v>0.5</v>
      </c>
      <c r="E302" s="24" t="str">
        <f t="shared" si="58"/>
        <v/>
      </c>
      <c r="F302" s="24">
        <f t="shared" si="53"/>
        <v>0</v>
      </c>
      <c r="G302" s="24" t="str">
        <f t="shared" si="59"/>
        <v>GRACMF5017RE</v>
      </c>
      <c r="H302" s="24">
        <f t="shared" si="54"/>
        <v>1</v>
      </c>
      <c r="I302" s="24" t="str">
        <f t="shared" si="60"/>
        <v/>
      </c>
      <c r="J302" s="24">
        <f t="shared" si="55"/>
        <v>0</v>
      </c>
      <c r="K302" s="24" t="str">
        <f t="shared" si="61"/>
        <v>F5</v>
      </c>
      <c r="L302" s="24" t="str">
        <f>VLOOKUP(N302,CODE!K:P,CODE!$P$1,FALSE)</f>
        <v>모자</v>
      </c>
      <c r="M302" s="24" t="str">
        <f>VLOOKUP(MID(R302,1,3),CODE!$B:$G,CODE!D$1,FALSE)</f>
        <v>GRA</v>
      </c>
      <c r="N302" s="24" t="str">
        <f t="shared" si="62"/>
        <v>CM</v>
      </c>
      <c r="O302" s="29" t="str">
        <f>IF(ISERROR(IF(VLOOKUP($N302,CODE!$K:$P,CODE!$O$1,FALSE)="",$M302,$M302&amp;"-"&amp;VLOOKUP($N302,CODE!$K:$P,CODE!$O$1,FALSE)))=TRUE,"",IF(VLOOKUP($N302,CODE!$K:$P,CODE!$O$1,FALSE)="",$M302,$M302&amp;"-"&amp;VLOOKUP($N302,CODE!$K:$P,CODE!$O$1,FALSE)))</f>
        <v>GRA</v>
      </c>
      <c r="P302" s="29" t="str">
        <f t="shared" si="63"/>
        <v>성인</v>
      </c>
      <c r="Q302" s="29" t="str">
        <f t="shared" si="64"/>
        <v>GRACMF5017</v>
      </c>
      <c r="R302" s="1" t="s">
        <v>1098</v>
      </c>
      <c r="S302" s="1" t="s">
        <v>15</v>
      </c>
      <c r="T302" s="26">
        <v>100</v>
      </c>
      <c r="U302" s="26">
        <v>4900000</v>
      </c>
      <c r="V302" s="26">
        <v>1222715.0000000002</v>
      </c>
      <c r="W302" s="26">
        <v>3.6431592436057896</v>
      </c>
      <c r="X302" s="26">
        <v>100</v>
      </c>
      <c r="Y302" s="26">
        <v>0</v>
      </c>
    </row>
    <row r="303" spans="1:25">
      <c r="A303" s="24" t="str">
        <f t="shared" si="56"/>
        <v>신규</v>
      </c>
      <c r="B303" s="24" t="str">
        <f>IF(COUNTIF(R$1:R302,R303)=0,"최초","리오더")</f>
        <v>최초</v>
      </c>
      <c r="C303" s="24" t="str">
        <f t="shared" si="57"/>
        <v>GRACTF5018</v>
      </c>
      <c r="D303" s="24">
        <f t="shared" si="52"/>
        <v>1</v>
      </c>
      <c r="E303" s="24" t="str">
        <f t="shared" si="58"/>
        <v/>
      </c>
      <c r="F303" s="24">
        <f t="shared" si="53"/>
        <v>0</v>
      </c>
      <c r="G303" s="24" t="str">
        <f t="shared" si="59"/>
        <v>GRACTF5018NY</v>
      </c>
      <c r="H303" s="24">
        <f t="shared" si="54"/>
        <v>1</v>
      </c>
      <c r="I303" s="24" t="str">
        <f t="shared" si="60"/>
        <v/>
      </c>
      <c r="J303" s="24">
        <f t="shared" si="55"/>
        <v>0</v>
      </c>
      <c r="K303" s="24" t="str">
        <f t="shared" si="61"/>
        <v>F5</v>
      </c>
      <c r="L303" s="24" t="str">
        <f>VLOOKUP(N303,CODE!K:P,CODE!$P$1,FALSE)</f>
        <v>모자</v>
      </c>
      <c r="M303" s="24" t="str">
        <f>VLOOKUP(MID(R303,1,3),CODE!$B:$G,CODE!D$1,FALSE)</f>
        <v>GRA</v>
      </c>
      <c r="N303" s="24" t="str">
        <f t="shared" si="62"/>
        <v>CT</v>
      </c>
      <c r="O303" s="29" t="str">
        <f>IF(ISERROR(IF(VLOOKUP($N303,CODE!$K:$P,CODE!$O$1,FALSE)="",$M303,$M303&amp;"-"&amp;VLOOKUP($N303,CODE!$K:$P,CODE!$O$1,FALSE)))=TRUE,"",IF(VLOOKUP($N303,CODE!$K:$P,CODE!$O$1,FALSE)="",$M303,$M303&amp;"-"&amp;VLOOKUP($N303,CODE!$K:$P,CODE!$O$1,FALSE)))</f>
        <v>GRA</v>
      </c>
      <c r="P303" s="29" t="str">
        <f t="shared" si="63"/>
        <v>성인</v>
      </c>
      <c r="Q303" s="29" t="str">
        <f t="shared" si="64"/>
        <v>GRACTF5018</v>
      </c>
      <c r="R303" s="1" t="s">
        <v>1099</v>
      </c>
      <c r="S303" s="1" t="s">
        <v>15</v>
      </c>
      <c r="T303" s="26">
        <v>150</v>
      </c>
      <c r="U303" s="26">
        <v>8250000</v>
      </c>
      <c r="V303" s="26">
        <v>1542180.9</v>
      </c>
      <c r="W303" s="26">
        <v>4.8632426974033978</v>
      </c>
      <c r="X303" s="26">
        <v>150</v>
      </c>
      <c r="Y303" s="26">
        <v>0</v>
      </c>
    </row>
    <row r="304" spans="1:25">
      <c r="A304" s="24" t="str">
        <f t="shared" si="56"/>
        <v>신규</v>
      </c>
      <c r="B304" s="24" t="str">
        <f>IF(COUNTIF(R$1:R303,R304)=0,"최초","리오더")</f>
        <v>최초</v>
      </c>
      <c r="C304" s="24" t="str">
        <f t="shared" si="57"/>
        <v>GRACMF5019</v>
      </c>
      <c r="D304" s="24">
        <f t="shared" si="52"/>
        <v>1</v>
      </c>
      <c r="E304" s="24" t="str">
        <f t="shared" si="58"/>
        <v/>
      </c>
      <c r="F304" s="24">
        <f t="shared" si="53"/>
        <v>0</v>
      </c>
      <c r="G304" s="24" t="str">
        <f t="shared" si="59"/>
        <v>GRACMF5019NY</v>
      </c>
      <c r="H304" s="24">
        <f t="shared" si="54"/>
        <v>1</v>
      </c>
      <c r="I304" s="24" t="str">
        <f t="shared" si="60"/>
        <v/>
      </c>
      <c r="J304" s="24">
        <f t="shared" si="55"/>
        <v>0</v>
      </c>
      <c r="K304" s="24" t="str">
        <f t="shared" si="61"/>
        <v>F5</v>
      </c>
      <c r="L304" s="24" t="str">
        <f>VLOOKUP(N304,CODE!K:P,CODE!$P$1,FALSE)</f>
        <v>모자</v>
      </c>
      <c r="M304" s="24" t="str">
        <f>VLOOKUP(MID(R304,1,3),CODE!$B:$G,CODE!D$1,FALSE)</f>
        <v>GRA</v>
      </c>
      <c r="N304" s="24" t="str">
        <f t="shared" si="62"/>
        <v>CM</v>
      </c>
      <c r="O304" s="29" t="str">
        <f>IF(ISERROR(IF(VLOOKUP($N304,CODE!$K:$P,CODE!$O$1,FALSE)="",$M304,$M304&amp;"-"&amp;VLOOKUP($N304,CODE!$K:$P,CODE!$O$1,FALSE)))=TRUE,"",IF(VLOOKUP($N304,CODE!$K:$P,CODE!$O$1,FALSE)="",$M304,$M304&amp;"-"&amp;VLOOKUP($N304,CODE!$K:$P,CODE!$O$1,FALSE)))</f>
        <v>GRA</v>
      </c>
      <c r="P304" s="29" t="str">
        <f t="shared" si="63"/>
        <v>성인</v>
      </c>
      <c r="Q304" s="29" t="str">
        <f t="shared" si="64"/>
        <v>GRACMF5019</v>
      </c>
      <c r="R304" s="1" t="s">
        <v>1100</v>
      </c>
      <c r="S304" s="1" t="s">
        <v>15</v>
      </c>
      <c r="T304" s="26">
        <v>150</v>
      </c>
      <c r="U304" s="26">
        <v>7350000</v>
      </c>
      <c r="V304" s="26">
        <v>1381266.3000000005</v>
      </c>
      <c r="W304" s="26">
        <v>4.837458339364523</v>
      </c>
      <c r="X304" s="26">
        <v>150</v>
      </c>
      <c r="Y304" s="26">
        <v>0</v>
      </c>
    </row>
    <row r="305" spans="1:25">
      <c r="A305" s="24" t="str">
        <f t="shared" si="56"/>
        <v>신규</v>
      </c>
      <c r="B305" s="24" t="str">
        <f>IF(COUNTIF(R$1:R304,R305)=0,"최초","리오더")</f>
        <v>최초</v>
      </c>
      <c r="C305" s="24" t="str">
        <f t="shared" si="57"/>
        <v>GRACTF3020</v>
      </c>
      <c r="D305" s="24">
        <f t="shared" si="52"/>
        <v>1</v>
      </c>
      <c r="E305" s="24" t="str">
        <f t="shared" si="58"/>
        <v/>
      </c>
      <c r="F305" s="24">
        <f t="shared" si="53"/>
        <v>0</v>
      </c>
      <c r="G305" s="24" t="str">
        <f t="shared" si="59"/>
        <v>GRACTF3020BK</v>
      </c>
      <c r="H305" s="24">
        <f t="shared" si="54"/>
        <v>1</v>
      </c>
      <c r="I305" s="24" t="str">
        <f t="shared" si="60"/>
        <v/>
      </c>
      <c r="J305" s="24">
        <f t="shared" si="55"/>
        <v>0</v>
      </c>
      <c r="K305" s="24" t="str">
        <f t="shared" si="61"/>
        <v>F3</v>
      </c>
      <c r="L305" s="24" t="str">
        <f>VLOOKUP(N305,CODE!K:P,CODE!$P$1,FALSE)</f>
        <v>모자</v>
      </c>
      <c r="M305" s="24" t="str">
        <f>VLOOKUP(MID(R305,1,3),CODE!$B:$G,CODE!D$1,FALSE)</f>
        <v>GRA</v>
      </c>
      <c r="N305" s="24" t="str">
        <f t="shared" si="62"/>
        <v>CT</v>
      </c>
      <c r="O305" s="29" t="str">
        <f>IF(ISERROR(IF(VLOOKUP($N305,CODE!$K:$P,CODE!$O$1,FALSE)="",$M305,$M305&amp;"-"&amp;VLOOKUP($N305,CODE!$K:$P,CODE!$O$1,FALSE)))=TRUE,"",IF(VLOOKUP($N305,CODE!$K:$P,CODE!$O$1,FALSE)="",$M305,$M305&amp;"-"&amp;VLOOKUP($N305,CODE!$K:$P,CODE!$O$1,FALSE)))</f>
        <v>GRA</v>
      </c>
      <c r="P305" s="29" t="str">
        <f t="shared" si="63"/>
        <v>성인</v>
      </c>
      <c r="Q305" s="29" t="str">
        <f t="shared" si="64"/>
        <v>GRACTF3020</v>
      </c>
      <c r="R305" s="1" t="s">
        <v>1101</v>
      </c>
      <c r="S305" s="1" t="s">
        <v>15</v>
      </c>
      <c r="T305" s="26">
        <v>100</v>
      </c>
      <c r="U305" s="26">
        <v>5900000</v>
      </c>
      <c r="V305" s="26">
        <v>1726664.6</v>
      </c>
      <c r="W305" s="26">
        <v>3.1063568243863706</v>
      </c>
      <c r="X305" s="26">
        <v>100</v>
      </c>
      <c r="Y305" s="26">
        <v>0</v>
      </c>
    </row>
    <row r="306" spans="1:25">
      <c r="A306" s="24" t="str">
        <f t="shared" si="56"/>
        <v>신규</v>
      </c>
      <c r="B306" s="24" t="str">
        <f>IF(COUNTIF(R$1:R305,R306)=0,"최초","리오더")</f>
        <v>최초</v>
      </c>
      <c r="C306" s="24" t="str">
        <f t="shared" si="57"/>
        <v>GRACTF5021</v>
      </c>
      <c r="D306" s="24">
        <f t="shared" si="52"/>
        <v>1</v>
      </c>
      <c r="E306" s="24" t="str">
        <f t="shared" si="58"/>
        <v/>
      </c>
      <c r="F306" s="24">
        <f t="shared" si="53"/>
        <v>0</v>
      </c>
      <c r="G306" s="24" t="str">
        <f t="shared" si="59"/>
        <v>GRACTF5021BK</v>
      </c>
      <c r="H306" s="24">
        <f t="shared" si="54"/>
        <v>1</v>
      </c>
      <c r="I306" s="24" t="str">
        <f t="shared" si="60"/>
        <v/>
      </c>
      <c r="J306" s="24">
        <f t="shared" si="55"/>
        <v>0</v>
      </c>
      <c r="K306" s="24" t="str">
        <f t="shared" si="61"/>
        <v>F5</v>
      </c>
      <c r="L306" s="24" t="str">
        <f>VLOOKUP(N306,CODE!K:P,CODE!$P$1,FALSE)</f>
        <v>모자</v>
      </c>
      <c r="M306" s="24" t="str">
        <f>VLOOKUP(MID(R306,1,3),CODE!$B:$G,CODE!D$1,FALSE)</f>
        <v>GRA</v>
      </c>
      <c r="N306" s="24" t="str">
        <f t="shared" si="62"/>
        <v>CT</v>
      </c>
      <c r="O306" s="29" t="str">
        <f>IF(ISERROR(IF(VLOOKUP($N306,CODE!$K:$P,CODE!$O$1,FALSE)="",$M306,$M306&amp;"-"&amp;VLOOKUP($N306,CODE!$K:$P,CODE!$O$1,FALSE)))=TRUE,"",IF(VLOOKUP($N306,CODE!$K:$P,CODE!$O$1,FALSE)="",$M306,$M306&amp;"-"&amp;VLOOKUP($N306,CODE!$K:$P,CODE!$O$1,FALSE)))</f>
        <v>GRA</v>
      </c>
      <c r="P306" s="29" t="str">
        <f t="shared" si="63"/>
        <v>성인</v>
      </c>
      <c r="Q306" s="29" t="str">
        <f t="shared" si="64"/>
        <v>GRACTF5021</v>
      </c>
      <c r="R306" s="1" t="s">
        <v>1102</v>
      </c>
      <c r="S306" s="1" t="s">
        <v>15</v>
      </c>
      <c r="T306" s="26">
        <v>150</v>
      </c>
      <c r="U306" s="26">
        <v>6450000</v>
      </c>
      <c r="V306" s="26">
        <v>1590829.5000000005</v>
      </c>
      <c r="W306" s="26">
        <v>3.6858986859599732</v>
      </c>
      <c r="X306" s="26">
        <v>150</v>
      </c>
      <c r="Y306" s="26">
        <v>0</v>
      </c>
    </row>
    <row r="307" spans="1:25">
      <c r="A307" s="24" t="str">
        <f t="shared" si="56"/>
        <v>신규</v>
      </c>
      <c r="B307" s="24" t="str">
        <f>IF(COUNTIF(R$1:R306,R307)=0,"최초","리오더")</f>
        <v>최초</v>
      </c>
      <c r="C307" s="24" t="str">
        <f t="shared" si="57"/>
        <v>GRABAF5022</v>
      </c>
      <c r="D307" s="24">
        <f t="shared" si="52"/>
        <v>0.5</v>
      </c>
      <c r="E307" s="24" t="str">
        <f t="shared" si="58"/>
        <v/>
      </c>
      <c r="F307" s="24">
        <f t="shared" si="53"/>
        <v>0</v>
      </c>
      <c r="G307" s="24" t="str">
        <f t="shared" si="59"/>
        <v>GRABAF5022BK</v>
      </c>
      <c r="H307" s="24">
        <f t="shared" si="54"/>
        <v>1</v>
      </c>
      <c r="I307" s="24" t="str">
        <f t="shared" si="60"/>
        <v/>
      </c>
      <c r="J307" s="24">
        <f t="shared" si="55"/>
        <v>0</v>
      </c>
      <c r="K307" s="24" t="str">
        <f t="shared" si="61"/>
        <v>F5</v>
      </c>
      <c r="L307" s="24" t="str">
        <f>VLOOKUP(N307,CODE!K:P,CODE!$P$1,FALSE)</f>
        <v>모자</v>
      </c>
      <c r="M307" s="24" t="str">
        <f>VLOOKUP(MID(R307,1,3),CODE!$B:$G,CODE!D$1,FALSE)</f>
        <v>GRA</v>
      </c>
      <c r="N307" s="24" t="str">
        <f t="shared" si="62"/>
        <v>BA</v>
      </c>
      <c r="O307" s="29" t="str">
        <f>IF(ISERROR(IF(VLOOKUP($N307,CODE!$K:$P,CODE!$O$1,FALSE)="",$M307,$M307&amp;"-"&amp;VLOOKUP($N307,CODE!$K:$P,CODE!$O$1,FALSE)))=TRUE,"",IF(VLOOKUP($N307,CODE!$K:$P,CODE!$O$1,FALSE)="",$M307,$M307&amp;"-"&amp;VLOOKUP($N307,CODE!$K:$P,CODE!$O$1,FALSE)))</f>
        <v>GRA</v>
      </c>
      <c r="P307" s="29" t="str">
        <f t="shared" si="63"/>
        <v>성인</v>
      </c>
      <c r="Q307" s="29" t="str">
        <f t="shared" si="64"/>
        <v>GRABAF5022</v>
      </c>
      <c r="R307" s="1" t="s">
        <v>1103</v>
      </c>
      <c r="S307" s="1" t="s">
        <v>15</v>
      </c>
      <c r="T307" s="26">
        <v>150</v>
      </c>
      <c r="U307" s="26">
        <v>6450000</v>
      </c>
      <c r="V307" s="26">
        <v>1553407.5000000002</v>
      </c>
      <c r="W307" s="26">
        <v>3.7746929660352238</v>
      </c>
      <c r="X307" s="26">
        <v>150</v>
      </c>
      <c r="Y307" s="26">
        <v>0</v>
      </c>
    </row>
    <row r="308" spans="1:25">
      <c r="A308" s="24" t="str">
        <f t="shared" si="56"/>
        <v>신규</v>
      </c>
      <c r="B308" s="24" t="str">
        <f>IF(COUNTIF(R$1:R307,R308)=0,"최초","리오더")</f>
        <v>최초</v>
      </c>
      <c r="C308" s="24" t="str">
        <f t="shared" si="57"/>
        <v>GRABAF5022</v>
      </c>
      <c r="D308" s="24">
        <f t="shared" si="52"/>
        <v>0.5</v>
      </c>
      <c r="E308" s="24" t="str">
        <f t="shared" si="58"/>
        <v/>
      </c>
      <c r="F308" s="24">
        <f t="shared" si="53"/>
        <v>0</v>
      </c>
      <c r="G308" s="24" t="str">
        <f t="shared" si="59"/>
        <v>GRABAF5022GY</v>
      </c>
      <c r="H308" s="24">
        <f t="shared" si="54"/>
        <v>1</v>
      </c>
      <c r="I308" s="24" t="str">
        <f t="shared" si="60"/>
        <v/>
      </c>
      <c r="J308" s="24">
        <f t="shared" si="55"/>
        <v>0</v>
      </c>
      <c r="K308" s="24" t="str">
        <f t="shared" si="61"/>
        <v>F5</v>
      </c>
      <c r="L308" s="24" t="str">
        <f>VLOOKUP(N308,CODE!K:P,CODE!$P$1,FALSE)</f>
        <v>모자</v>
      </c>
      <c r="M308" s="24" t="str">
        <f>VLOOKUP(MID(R308,1,3),CODE!$B:$G,CODE!D$1,FALSE)</f>
        <v>GRA</v>
      </c>
      <c r="N308" s="24" t="str">
        <f t="shared" si="62"/>
        <v>BA</v>
      </c>
      <c r="O308" s="29" t="str">
        <f>IF(ISERROR(IF(VLOOKUP($N308,CODE!$K:$P,CODE!$O$1,FALSE)="",$M308,$M308&amp;"-"&amp;VLOOKUP($N308,CODE!$K:$P,CODE!$O$1,FALSE)))=TRUE,"",IF(VLOOKUP($N308,CODE!$K:$P,CODE!$O$1,FALSE)="",$M308,$M308&amp;"-"&amp;VLOOKUP($N308,CODE!$K:$P,CODE!$O$1,FALSE)))</f>
        <v>GRA</v>
      </c>
      <c r="P308" s="29" t="str">
        <f t="shared" si="63"/>
        <v>성인</v>
      </c>
      <c r="Q308" s="29" t="str">
        <f t="shared" si="64"/>
        <v>GRABAF5022</v>
      </c>
      <c r="R308" s="1" t="s">
        <v>1104</v>
      </c>
      <c r="S308" s="1" t="s">
        <v>15</v>
      </c>
      <c r="T308" s="26">
        <v>150</v>
      </c>
      <c r="U308" s="26">
        <v>6450000</v>
      </c>
      <c r="V308" s="26">
        <v>1553407.5000000002</v>
      </c>
      <c r="W308" s="26">
        <v>3.7746929660352238</v>
      </c>
      <c r="X308" s="26">
        <v>150</v>
      </c>
      <c r="Y308" s="26">
        <v>0</v>
      </c>
    </row>
    <row r="309" spans="1:25">
      <c r="A309" s="24" t="str">
        <f t="shared" si="56"/>
        <v>신규</v>
      </c>
      <c r="B309" s="24" t="str">
        <f>IF(COUNTIF(R$1:R308,R309)=0,"최초","리오더")</f>
        <v>최초</v>
      </c>
      <c r="C309" s="24" t="str">
        <f t="shared" si="57"/>
        <v>GRABAF3023</v>
      </c>
      <c r="D309" s="24">
        <f t="shared" si="52"/>
        <v>0.5</v>
      </c>
      <c r="E309" s="24" t="str">
        <f t="shared" si="58"/>
        <v/>
      </c>
      <c r="F309" s="24">
        <f t="shared" si="53"/>
        <v>0</v>
      </c>
      <c r="G309" s="24" t="str">
        <f t="shared" si="59"/>
        <v>GRABAF3023BK</v>
      </c>
      <c r="H309" s="24">
        <f t="shared" si="54"/>
        <v>1</v>
      </c>
      <c r="I309" s="24" t="str">
        <f t="shared" si="60"/>
        <v/>
      </c>
      <c r="J309" s="24">
        <f t="shared" si="55"/>
        <v>0</v>
      </c>
      <c r="K309" s="24" t="str">
        <f t="shared" si="61"/>
        <v>F3</v>
      </c>
      <c r="L309" s="24" t="str">
        <f>VLOOKUP(N309,CODE!K:P,CODE!$P$1,FALSE)</f>
        <v>모자</v>
      </c>
      <c r="M309" s="24" t="str">
        <f>VLOOKUP(MID(R309,1,3),CODE!$B:$G,CODE!D$1,FALSE)</f>
        <v>GRA</v>
      </c>
      <c r="N309" s="24" t="str">
        <f t="shared" si="62"/>
        <v>BA</v>
      </c>
      <c r="O309" s="29" t="str">
        <f>IF(ISERROR(IF(VLOOKUP($N309,CODE!$K:$P,CODE!$O$1,FALSE)="",$M309,$M309&amp;"-"&amp;VLOOKUP($N309,CODE!$K:$P,CODE!$O$1,FALSE)))=TRUE,"",IF(VLOOKUP($N309,CODE!$K:$P,CODE!$O$1,FALSE)="",$M309,$M309&amp;"-"&amp;VLOOKUP($N309,CODE!$K:$P,CODE!$O$1,FALSE)))</f>
        <v>GRA</v>
      </c>
      <c r="P309" s="29" t="str">
        <f t="shared" si="63"/>
        <v>성인</v>
      </c>
      <c r="Q309" s="29" t="str">
        <f t="shared" si="64"/>
        <v>GRABAF3023</v>
      </c>
      <c r="R309" s="1" t="s">
        <v>1105</v>
      </c>
      <c r="S309" s="1" t="s">
        <v>15</v>
      </c>
      <c r="T309" s="26">
        <v>150</v>
      </c>
      <c r="U309" s="26">
        <v>7350000</v>
      </c>
      <c r="V309" s="26">
        <v>1813490.4000000006</v>
      </c>
      <c r="W309" s="26">
        <v>3.6845070598764562</v>
      </c>
      <c r="X309" s="26">
        <v>150</v>
      </c>
      <c r="Y309" s="26">
        <v>0</v>
      </c>
    </row>
    <row r="310" spans="1:25">
      <c r="A310" s="24" t="str">
        <f t="shared" si="56"/>
        <v>신규</v>
      </c>
      <c r="B310" s="24" t="str">
        <f>IF(COUNTIF(R$1:R309,R310)=0,"최초","리오더")</f>
        <v>최초</v>
      </c>
      <c r="C310" s="24" t="str">
        <f t="shared" si="57"/>
        <v>GRABAF3023</v>
      </c>
      <c r="D310" s="24">
        <f t="shared" si="52"/>
        <v>0.5</v>
      </c>
      <c r="E310" s="24" t="str">
        <f t="shared" si="58"/>
        <v/>
      </c>
      <c r="F310" s="24">
        <f t="shared" si="53"/>
        <v>0</v>
      </c>
      <c r="G310" s="24" t="str">
        <f t="shared" si="59"/>
        <v>GRABAF3023KH</v>
      </c>
      <c r="H310" s="24">
        <f t="shared" si="54"/>
        <v>1</v>
      </c>
      <c r="I310" s="24" t="str">
        <f t="shared" si="60"/>
        <v/>
      </c>
      <c r="J310" s="24">
        <f t="shared" si="55"/>
        <v>0</v>
      </c>
      <c r="K310" s="24" t="str">
        <f t="shared" si="61"/>
        <v>F3</v>
      </c>
      <c r="L310" s="24" t="str">
        <f>VLOOKUP(N310,CODE!K:P,CODE!$P$1,FALSE)</f>
        <v>모자</v>
      </c>
      <c r="M310" s="24" t="str">
        <f>VLOOKUP(MID(R310,1,3),CODE!$B:$G,CODE!D$1,FALSE)</f>
        <v>GRA</v>
      </c>
      <c r="N310" s="24" t="str">
        <f t="shared" si="62"/>
        <v>BA</v>
      </c>
      <c r="O310" s="29" t="str">
        <f>IF(ISERROR(IF(VLOOKUP($N310,CODE!$K:$P,CODE!$O$1,FALSE)="",$M310,$M310&amp;"-"&amp;VLOOKUP($N310,CODE!$K:$P,CODE!$O$1,FALSE)))=TRUE,"",IF(VLOOKUP($N310,CODE!$K:$P,CODE!$O$1,FALSE)="",$M310,$M310&amp;"-"&amp;VLOOKUP($N310,CODE!$K:$P,CODE!$O$1,FALSE)))</f>
        <v>GRA</v>
      </c>
      <c r="P310" s="29" t="str">
        <f t="shared" si="63"/>
        <v>성인</v>
      </c>
      <c r="Q310" s="29" t="str">
        <f t="shared" si="64"/>
        <v>GRABAF3023</v>
      </c>
      <c r="R310" s="1" t="s">
        <v>1106</v>
      </c>
      <c r="S310" s="1" t="s">
        <v>15</v>
      </c>
      <c r="T310" s="26">
        <v>150</v>
      </c>
      <c r="U310" s="26">
        <v>7350000</v>
      </c>
      <c r="V310" s="26">
        <v>1813490.4000000006</v>
      </c>
      <c r="W310" s="26">
        <v>3.6845070598764562</v>
      </c>
      <c r="X310" s="26">
        <v>150</v>
      </c>
      <c r="Y310" s="26">
        <v>0</v>
      </c>
    </row>
    <row r="311" spans="1:25">
      <c r="A311" s="24" t="str">
        <f t="shared" si="56"/>
        <v>신규</v>
      </c>
      <c r="B311" s="24" t="str">
        <f>IF(COUNTIF(R$1:R310,R311)=0,"최초","리오더")</f>
        <v>최초</v>
      </c>
      <c r="C311" s="24" t="str">
        <f t="shared" si="57"/>
        <v>GRABAF5024</v>
      </c>
      <c r="D311" s="24">
        <f t="shared" si="52"/>
        <v>0.5</v>
      </c>
      <c r="E311" s="24" t="str">
        <f t="shared" si="58"/>
        <v/>
      </c>
      <c r="F311" s="24">
        <f t="shared" si="53"/>
        <v>0</v>
      </c>
      <c r="G311" s="24" t="str">
        <f t="shared" si="59"/>
        <v>GRABAF5024BK</v>
      </c>
      <c r="H311" s="24">
        <f t="shared" si="54"/>
        <v>1</v>
      </c>
      <c r="I311" s="24" t="str">
        <f t="shared" si="60"/>
        <v/>
      </c>
      <c r="J311" s="24">
        <f t="shared" si="55"/>
        <v>0</v>
      </c>
      <c r="K311" s="24" t="str">
        <f t="shared" si="61"/>
        <v>F5</v>
      </c>
      <c r="L311" s="24" t="str">
        <f>VLOOKUP(N311,CODE!K:P,CODE!$P$1,FALSE)</f>
        <v>모자</v>
      </c>
      <c r="M311" s="24" t="str">
        <f>VLOOKUP(MID(R311,1,3),CODE!$B:$G,CODE!D$1,FALSE)</f>
        <v>GRA</v>
      </c>
      <c r="N311" s="24" t="str">
        <f t="shared" si="62"/>
        <v>BA</v>
      </c>
      <c r="O311" s="29" t="str">
        <f>IF(ISERROR(IF(VLOOKUP($N311,CODE!$K:$P,CODE!$O$1,FALSE)="",$M311,$M311&amp;"-"&amp;VLOOKUP($N311,CODE!$K:$P,CODE!$O$1,FALSE)))=TRUE,"",IF(VLOOKUP($N311,CODE!$K:$P,CODE!$O$1,FALSE)="",$M311,$M311&amp;"-"&amp;VLOOKUP($N311,CODE!$K:$P,CODE!$O$1,FALSE)))</f>
        <v>GRA</v>
      </c>
      <c r="P311" s="29" t="str">
        <f t="shared" si="63"/>
        <v>성인</v>
      </c>
      <c r="Q311" s="29" t="str">
        <f t="shared" si="64"/>
        <v>GRABAF5024</v>
      </c>
      <c r="R311" s="1" t="s">
        <v>1107</v>
      </c>
      <c r="S311" s="1" t="s">
        <v>15</v>
      </c>
      <c r="T311" s="26">
        <v>150</v>
      </c>
      <c r="U311" s="26">
        <v>8250000</v>
      </c>
      <c r="V311" s="26">
        <v>2021182.5</v>
      </c>
      <c r="W311" s="26">
        <v>3.7106990585956487</v>
      </c>
      <c r="X311" s="26">
        <v>150</v>
      </c>
      <c r="Y311" s="26">
        <v>0</v>
      </c>
    </row>
    <row r="312" spans="1:25">
      <c r="A312" s="24" t="str">
        <f t="shared" si="56"/>
        <v>신규</v>
      </c>
      <c r="B312" s="24" t="str">
        <f>IF(COUNTIF(R$1:R311,R312)=0,"최초","리오더")</f>
        <v>최초</v>
      </c>
      <c r="C312" s="24" t="str">
        <f t="shared" si="57"/>
        <v>GRABAF5024</v>
      </c>
      <c r="D312" s="24">
        <f t="shared" si="52"/>
        <v>0.5</v>
      </c>
      <c r="E312" s="24" t="str">
        <f t="shared" si="58"/>
        <v/>
      </c>
      <c r="F312" s="24">
        <f t="shared" si="53"/>
        <v>0</v>
      </c>
      <c r="G312" s="24" t="str">
        <f t="shared" si="59"/>
        <v>GRABAF5024GY</v>
      </c>
      <c r="H312" s="24">
        <f t="shared" si="54"/>
        <v>1</v>
      </c>
      <c r="I312" s="24" t="str">
        <f t="shared" si="60"/>
        <v/>
      </c>
      <c r="J312" s="24">
        <f t="shared" si="55"/>
        <v>0</v>
      </c>
      <c r="K312" s="24" t="str">
        <f t="shared" si="61"/>
        <v>F5</v>
      </c>
      <c r="L312" s="24" t="str">
        <f>VLOOKUP(N312,CODE!K:P,CODE!$P$1,FALSE)</f>
        <v>모자</v>
      </c>
      <c r="M312" s="24" t="str">
        <f>VLOOKUP(MID(R312,1,3),CODE!$B:$G,CODE!D$1,FALSE)</f>
        <v>GRA</v>
      </c>
      <c r="N312" s="24" t="str">
        <f t="shared" si="62"/>
        <v>BA</v>
      </c>
      <c r="O312" s="29" t="str">
        <f>IF(ISERROR(IF(VLOOKUP($N312,CODE!$K:$P,CODE!$O$1,FALSE)="",$M312,$M312&amp;"-"&amp;VLOOKUP($N312,CODE!$K:$P,CODE!$O$1,FALSE)))=TRUE,"",IF(VLOOKUP($N312,CODE!$K:$P,CODE!$O$1,FALSE)="",$M312,$M312&amp;"-"&amp;VLOOKUP($N312,CODE!$K:$P,CODE!$O$1,FALSE)))</f>
        <v>GRA</v>
      </c>
      <c r="P312" s="29" t="str">
        <f t="shared" si="63"/>
        <v>성인</v>
      </c>
      <c r="Q312" s="29" t="str">
        <f t="shared" si="64"/>
        <v>GRABAF5024</v>
      </c>
      <c r="R312" s="1" t="s">
        <v>1108</v>
      </c>
      <c r="S312" s="1" t="s">
        <v>15</v>
      </c>
      <c r="T312" s="26">
        <v>150</v>
      </c>
      <c r="U312" s="26">
        <v>8250000</v>
      </c>
      <c r="V312" s="26">
        <v>2021182.5</v>
      </c>
      <c r="W312" s="26">
        <v>3.7106990585956487</v>
      </c>
      <c r="X312" s="26">
        <v>150</v>
      </c>
      <c r="Y312" s="26">
        <v>0</v>
      </c>
    </row>
    <row r="313" spans="1:25">
      <c r="A313" s="24" t="str">
        <f t="shared" si="56"/>
        <v>신규</v>
      </c>
      <c r="B313" s="24" t="str">
        <f>IF(COUNTIF(R$1:R312,R313)=0,"최초","리오더")</f>
        <v>최초</v>
      </c>
      <c r="C313" s="24" t="str">
        <f t="shared" si="57"/>
        <v>GRASNF5025</v>
      </c>
      <c r="D313" s="24">
        <f t="shared" si="52"/>
        <v>0.5</v>
      </c>
      <c r="E313" s="24" t="str">
        <f t="shared" si="58"/>
        <v/>
      </c>
      <c r="F313" s="24">
        <f t="shared" si="53"/>
        <v>0</v>
      </c>
      <c r="G313" s="24" t="str">
        <f t="shared" si="59"/>
        <v>GRASNF5025BK</v>
      </c>
      <c r="H313" s="24">
        <f t="shared" si="54"/>
        <v>1</v>
      </c>
      <c r="I313" s="24" t="str">
        <f t="shared" si="60"/>
        <v/>
      </c>
      <c r="J313" s="24">
        <f t="shared" si="55"/>
        <v>0</v>
      </c>
      <c r="K313" s="24" t="str">
        <f t="shared" si="61"/>
        <v>F5</v>
      </c>
      <c r="L313" s="24" t="str">
        <f>VLOOKUP(N313,CODE!K:P,CODE!$P$1,FALSE)</f>
        <v>모자</v>
      </c>
      <c r="M313" s="24" t="str">
        <f>VLOOKUP(MID(R313,1,3),CODE!$B:$G,CODE!D$1,FALSE)</f>
        <v>GRA</v>
      </c>
      <c r="N313" s="24" t="str">
        <f t="shared" si="62"/>
        <v>SN</v>
      </c>
      <c r="O313" s="29" t="str">
        <f>IF(ISERROR(IF(VLOOKUP($N313,CODE!$K:$P,CODE!$O$1,FALSE)="",$M313,$M313&amp;"-"&amp;VLOOKUP($N313,CODE!$K:$P,CODE!$O$1,FALSE)))=TRUE,"",IF(VLOOKUP($N313,CODE!$K:$P,CODE!$O$1,FALSE)="",$M313,$M313&amp;"-"&amp;VLOOKUP($N313,CODE!$K:$P,CODE!$O$1,FALSE)))</f>
        <v>GRA</v>
      </c>
      <c r="P313" s="29" t="str">
        <f t="shared" si="63"/>
        <v>성인</v>
      </c>
      <c r="Q313" s="29" t="str">
        <f t="shared" si="64"/>
        <v>GRASNF5025</v>
      </c>
      <c r="R313" s="1" t="s">
        <v>1488</v>
      </c>
      <c r="S313" s="1" t="s">
        <v>15</v>
      </c>
      <c r="T313" s="26">
        <v>400</v>
      </c>
      <c r="U313" s="26">
        <v>19600000</v>
      </c>
      <c r="V313" s="26">
        <v>3227660</v>
      </c>
      <c r="W313" s="26">
        <v>5.5204643048467981</v>
      </c>
      <c r="X313" s="26">
        <v>400</v>
      </c>
      <c r="Y313" s="26">
        <v>0</v>
      </c>
    </row>
    <row r="314" spans="1:25">
      <c r="A314" s="24" t="str">
        <f t="shared" si="56"/>
        <v>신규</v>
      </c>
      <c r="B314" s="24" t="str">
        <f>IF(COUNTIF(R$1:R313,R314)=0,"최초","리오더")</f>
        <v>최초</v>
      </c>
      <c r="C314" s="24" t="str">
        <f t="shared" si="57"/>
        <v>GRASNF5025</v>
      </c>
      <c r="D314" s="24">
        <f t="shared" si="52"/>
        <v>0.5</v>
      </c>
      <c r="E314" s="24" t="str">
        <f t="shared" si="58"/>
        <v/>
      </c>
      <c r="F314" s="24">
        <f t="shared" si="53"/>
        <v>0</v>
      </c>
      <c r="G314" s="24" t="str">
        <f t="shared" si="59"/>
        <v>GRASNF5025CL</v>
      </c>
      <c r="H314" s="24">
        <f t="shared" si="54"/>
        <v>1</v>
      </c>
      <c r="I314" s="24" t="str">
        <f t="shared" si="60"/>
        <v/>
      </c>
      <c r="J314" s="24">
        <f t="shared" si="55"/>
        <v>0</v>
      </c>
      <c r="K314" s="24" t="str">
        <f t="shared" si="61"/>
        <v>F5</v>
      </c>
      <c r="L314" s="24" t="str">
        <f>VLOOKUP(N314,CODE!K:P,CODE!$P$1,FALSE)</f>
        <v>모자</v>
      </c>
      <c r="M314" s="24" t="str">
        <f>VLOOKUP(MID(R314,1,3),CODE!$B:$G,CODE!D$1,FALSE)</f>
        <v>GRA</v>
      </c>
      <c r="N314" s="24" t="str">
        <f t="shared" si="62"/>
        <v>SN</v>
      </c>
      <c r="O314" s="29" t="str">
        <f>IF(ISERROR(IF(VLOOKUP($N314,CODE!$K:$P,CODE!$O$1,FALSE)="",$M314,$M314&amp;"-"&amp;VLOOKUP($N314,CODE!$K:$P,CODE!$O$1,FALSE)))=TRUE,"",IF(VLOOKUP($N314,CODE!$K:$P,CODE!$O$1,FALSE)="",$M314,$M314&amp;"-"&amp;VLOOKUP($N314,CODE!$K:$P,CODE!$O$1,FALSE)))</f>
        <v>GRA</v>
      </c>
      <c r="P314" s="29" t="str">
        <f t="shared" si="63"/>
        <v>성인</v>
      </c>
      <c r="Q314" s="29" t="str">
        <f t="shared" si="64"/>
        <v>GRASNF5025</v>
      </c>
      <c r="R314" s="1" t="s">
        <v>1489</v>
      </c>
      <c r="S314" s="1" t="s">
        <v>15</v>
      </c>
      <c r="T314" s="26">
        <v>400</v>
      </c>
      <c r="U314" s="26">
        <v>19600000</v>
      </c>
      <c r="V314" s="26">
        <v>3227660</v>
      </c>
      <c r="W314" s="26">
        <v>5.5204643048467981</v>
      </c>
      <c r="X314" s="26">
        <v>400</v>
      </c>
      <c r="Y314" s="26">
        <v>0</v>
      </c>
    </row>
    <row r="315" spans="1:25">
      <c r="A315" s="24" t="str">
        <f t="shared" si="56"/>
        <v>신규</v>
      </c>
      <c r="B315" s="24" t="str">
        <f>IF(COUNTIF(R$1:R314,R315)=0,"최초","리오더")</f>
        <v>최초</v>
      </c>
      <c r="C315" s="24" t="str">
        <f t="shared" si="57"/>
        <v>ELSTLF5510</v>
      </c>
      <c r="D315" s="24">
        <f t="shared" si="52"/>
        <v>1</v>
      </c>
      <c r="E315" s="24" t="str">
        <f t="shared" si="58"/>
        <v/>
      </c>
      <c r="F315" s="24">
        <f t="shared" si="53"/>
        <v>0</v>
      </c>
      <c r="G315" s="24" t="str">
        <f t="shared" si="59"/>
        <v>ELSTLF5510NY</v>
      </c>
      <c r="H315" s="24">
        <f t="shared" si="54"/>
        <v>1</v>
      </c>
      <c r="I315" s="24" t="str">
        <f t="shared" si="60"/>
        <v/>
      </c>
      <c r="J315" s="24">
        <f t="shared" si="55"/>
        <v>0</v>
      </c>
      <c r="K315" s="24" t="str">
        <f t="shared" si="61"/>
        <v>F5</v>
      </c>
      <c r="L315" s="24" t="str">
        <f>VLOOKUP(N315,CODE!K:P,CODE!$P$1,FALSE)</f>
        <v>의류</v>
      </c>
      <c r="M315" s="24" t="str">
        <f>VLOOKUP(MID(R315,1,3),CODE!$B:$G,CODE!D$1,FALSE)</f>
        <v>ELS</v>
      </c>
      <c r="N315" s="24" t="str">
        <f t="shared" si="62"/>
        <v>TL</v>
      </c>
      <c r="O315" s="29" t="str">
        <f>IF(ISERROR(IF(VLOOKUP($N315,CODE!$K:$P,CODE!$O$1,FALSE)="",$M315,$M315&amp;"-"&amp;VLOOKUP($N315,CODE!$K:$P,CODE!$O$1,FALSE)))=TRUE,"",IF(VLOOKUP($N315,CODE!$K:$P,CODE!$O$1,FALSE)="",$M315,$M315&amp;"-"&amp;VLOOKUP($N315,CODE!$K:$P,CODE!$O$1,FALSE)))</f>
        <v>ELS-의류</v>
      </c>
      <c r="P315" s="29" t="str">
        <f t="shared" si="63"/>
        <v>키즈</v>
      </c>
      <c r="Q315" s="29" t="str">
        <f t="shared" si="64"/>
        <v>ELSTLF5510</v>
      </c>
      <c r="R315" s="1" t="s">
        <v>1109</v>
      </c>
      <c r="S315" s="1" t="s">
        <v>14</v>
      </c>
      <c r="T315" s="26">
        <v>1200</v>
      </c>
      <c r="U315" s="26">
        <v>82800000</v>
      </c>
      <c r="V315" s="26">
        <v>16974744</v>
      </c>
      <c r="W315" s="26">
        <v>4.4343954331639557</v>
      </c>
      <c r="X315" s="26">
        <v>1182</v>
      </c>
      <c r="Y315" s="26">
        <v>0</v>
      </c>
    </row>
    <row r="316" spans="1:25">
      <c r="A316" s="24" t="str">
        <f t="shared" si="56"/>
        <v>신규</v>
      </c>
      <c r="B316" s="24" t="str">
        <f>IF(COUNTIF(R$1:R315,R316)=0,"최초","리오더")</f>
        <v>최초</v>
      </c>
      <c r="C316" s="24" t="str">
        <f t="shared" si="57"/>
        <v>ELSTLF5521</v>
      </c>
      <c r="D316" s="24">
        <f t="shared" si="52"/>
        <v>1</v>
      </c>
      <c r="E316" s="24" t="str">
        <f t="shared" si="58"/>
        <v/>
      </c>
      <c r="F316" s="24">
        <f t="shared" si="53"/>
        <v>0</v>
      </c>
      <c r="G316" s="24" t="str">
        <f t="shared" si="59"/>
        <v>ELSTLF5521RE</v>
      </c>
      <c r="H316" s="24">
        <f t="shared" si="54"/>
        <v>1</v>
      </c>
      <c r="I316" s="24" t="str">
        <f t="shared" si="60"/>
        <v/>
      </c>
      <c r="J316" s="24">
        <f t="shared" si="55"/>
        <v>0</v>
      </c>
      <c r="K316" s="24" t="str">
        <f t="shared" si="61"/>
        <v>F5</v>
      </c>
      <c r="L316" s="24" t="str">
        <f>VLOOKUP(N316,CODE!K:P,CODE!$P$1,FALSE)</f>
        <v>의류</v>
      </c>
      <c r="M316" s="24" t="str">
        <f>VLOOKUP(MID(R316,1,3),CODE!$B:$G,CODE!D$1,FALSE)</f>
        <v>ELS</v>
      </c>
      <c r="N316" s="24" t="str">
        <f t="shared" si="62"/>
        <v>TL</v>
      </c>
      <c r="O316" s="29" t="str">
        <f>IF(ISERROR(IF(VLOOKUP($N316,CODE!$K:$P,CODE!$O$1,FALSE)="",$M316,$M316&amp;"-"&amp;VLOOKUP($N316,CODE!$K:$P,CODE!$O$1,FALSE)))=TRUE,"",IF(VLOOKUP($N316,CODE!$K:$P,CODE!$O$1,FALSE)="",$M316,$M316&amp;"-"&amp;VLOOKUP($N316,CODE!$K:$P,CODE!$O$1,FALSE)))</f>
        <v>ELS-의류</v>
      </c>
      <c r="P316" s="29" t="str">
        <f t="shared" si="63"/>
        <v>키즈</v>
      </c>
      <c r="Q316" s="29" t="str">
        <f t="shared" si="64"/>
        <v>ELSTLF5521</v>
      </c>
      <c r="R316" s="1" t="s">
        <v>1110</v>
      </c>
      <c r="S316" s="1" t="s">
        <v>14</v>
      </c>
      <c r="T316" s="26">
        <v>1200</v>
      </c>
      <c r="U316" s="26">
        <v>82800000</v>
      </c>
      <c r="V316" s="26">
        <v>16504890</v>
      </c>
      <c r="W316" s="26">
        <v>4.5606318656305662</v>
      </c>
      <c r="X316" s="26">
        <v>1109</v>
      </c>
      <c r="Y316" s="26">
        <v>0</v>
      </c>
    </row>
    <row r="317" spans="1:25">
      <c r="A317" s="24" t="str">
        <f t="shared" si="56"/>
        <v>신규</v>
      </c>
      <c r="B317" s="24" t="str">
        <f>IF(COUNTIF(R$1:R316,R317)=0,"최초","리오더")</f>
        <v>최초</v>
      </c>
      <c r="C317" s="24" t="str">
        <f t="shared" si="57"/>
        <v>ELSTHF5522</v>
      </c>
      <c r="D317" s="24">
        <f t="shared" si="52"/>
        <v>0.5</v>
      </c>
      <c r="E317" s="24" t="str">
        <f t="shared" si="58"/>
        <v/>
      </c>
      <c r="F317" s="24">
        <f t="shared" si="53"/>
        <v>0</v>
      </c>
      <c r="G317" s="24" t="str">
        <f t="shared" si="59"/>
        <v>ELSTHF5522BL</v>
      </c>
      <c r="H317" s="24">
        <f t="shared" si="54"/>
        <v>1</v>
      </c>
      <c r="I317" s="24" t="str">
        <f t="shared" si="60"/>
        <v/>
      </c>
      <c r="J317" s="24">
        <f t="shared" si="55"/>
        <v>0</v>
      </c>
      <c r="K317" s="24" t="str">
        <f t="shared" si="61"/>
        <v>F5</v>
      </c>
      <c r="L317" s="24" t="str">
        <f>VLOOKUP(N317,CODE!K:P,CODE!$P$1,FALSE)</f>
        <v>의류</v>
      </c>
      <c r="M317" s="24" t="str">
        <f>VLOOKUP(MID(R317,1,3),CODE!$B:$G,CODE!D$1,FALSE)</f>
        <v>ELS</v>
      </c>
      <c r="N317" s="24" t="str">
        <f t="shared" si="62"/>
        <v>TH</v>
      </c>
      <c r="O317" s="29" t="str">
        <f>IF(ISERROR(IF(VLOOKUP($N317,CODE!$K:$P,CODE!$O$1,FALSE)="",$M317,$M317&amp;"-"&amp;VLOOKUP($N317,CODE!$K:$P,CODE!$O$1,FALSE)))=TRUE,"",IF(VLOOKUP($N317,CODE!$K:$P,CODE!$O$1,FALSE)="",$M317,$M317&amp;"-"&amp;VLOOKUP($N317,CODE!$K:$P,CODE!$O$1,FALSE)))</f>
        <v>ELS-의류</v>
      </c>
      <c r="P317" s="29" t="str">
        <f t="shared" si="63"/>
        <v>키즈</v>
      </c>
      <c r="Q317" s="29" t="str">
        <f t="shared" si="64"/>
        <v>ELSTHF5522</v>
      </c>
      <c r="R317" s="1" t="s">
        <v>1111</v>
      </c>
      <c r="S317" s="1" t="s">
        <v>14</v>
      </c>
      <c r="T317" s="26">
        <v>1000</v>
      </c>
      <c r="U317" s="26">
        <v>79000000</v>
      </c>
      <c r="V317" s="26">
        <v>15059225</v>
      </c>
      <c r="W317" s="26">
        <v>4.7690489927723245</v>
      </c>
      <c r="X317" s="26">
        <v>1019</v>
      </c>
      <c r="Y317" s="26">
        <v>0</v>
      </c>
    </row>
    <row r="318" spans="1:25">
      <c r="A318" s="24" t="str">
        <f t="shared" si="56"/>
        <v>신규</v>
      </c>
      <c r="B318" s="24" t="str">
        <f>IF(COUNTIF(R$1:R317,R318)=0,"최초","리오더")</f>
        <v>최초</v>
      </c>
      <c r="C318" s="24" t="str">
        <f t="shared" si="57"/>
        <v>ELSTHF5522</v>
      </c>
      <c r="D318" s="24">
        <f t="shared" si="52"/>
        <v>0.5</v>
      </c>
      <c r="E318" s="24" t="str">
        <f t="shared" si="58"/>
        <v/>
      </c>
      <c r="F318" s="24">
        <f t="shared" si="53"/>
        <v>0</v>
      </c>
      <c r="G318" s="24" t="str">
        <f t="shared" si="59"/>
        <v>ELSTHF5522PK</v>
      </c>
      <c r="H318" s="24">
        <f t="shared" si="54"/>
        <v>1</v>
      </c>
      <c r="I318" s="24" t="str">
        <f t="shared" si="60"/>
        <v/>
      </c>
      <c r="J318" s="24">
        <f t="shared" si="55"/>
        <v>0</v>
      </c>
      <c r="K318" s="24" t="str">
        <f t="shared" si="61"/>
        <v>F5</v>
      </c>
      <c r="L318" s="24" t="str">
        <f>VLOOKUP(N318,CODE!K:P,CODE!$P$1,FALSE)</f>
        <v>의류</v>
      </c>
      <c r="M318" s="24" t="str">
        <f>VLOOKUP(MID(R318,1,3),CODE!$B:$G,CODE!D$1,FALSE)</f>
        <v>ELS</v>
      </c>
      <c r="N318" s="24" t="str">
        <f t="shared" si="62"/>
        <v>TH</v>
      </c>
      <c r="O318" s="29" t="str">
        <f>IF(ISERROR(IF(VLOOKUP($N318,CODE!$K:$P,CODE!$O$1,FALSE)="",$M318,$M318&amp;"-"&amp;VLOOKUP($N318,CODE!$K:$P,CODE!$O$1,FALSE)))=TRUE,"",IF(VLOOKUP($N318,CODE!$K:$P,CODE!$O$1,FALSE)="",$M318,$M318&amp;"-"&amp;VLOOKUP($N318,CODE!$K:$P,CODE!$O$1,FALSE)))</f>
        <v>ELS-의류</v>
      </c>
      <c r="P318" s="29" t="str">
        <f t="shared" si="63"/>
        <v>키즈</v>
      </c>
      <c r="Q318" s="29" t="str">
        <f t="shared" si="64"/>
        <v>ELSTHF5522</v>
      </c>
      <c r="R318" s="1" t="s">
        <v>1112</v>
      </c>
      <c r="S318" s="1" t="s">
        <v>14</v>
      </c>
      <c r="T318" s="26">
        <v>1000</v>
      </c>
      <c r="U318" s="26">
        <v>79000000</v>
      </c>
      <c r="V318" s="26">
        <v>15059225</v>
      </c>
      <c r="W318" s="26">
        <v>4.7690489927723245</v>
      </c>
      <c r="X318" s="26">
        <v>992</v>
      </c>
      <c r="Y318" s="26">
        <v>0</v>
      </c>
    </row>
    <row r="319" spans="1:25">
      <c r="A319" s="24" t="str">
        <f t="shared" si="56"/>
        <v>신규</v>
      </c>
      <c r="B319" s="24" t="str">
        <f>IF(COUNTIF(R$1:R318,R319)=0,"최초","리오더")</f>
        <v>최초</v>
      </c>
      <c r="C319" s="24" t="str">
        <f t="shared" si="57"/>
        <v>ELSPTF5023</v>
      </c>
      <c r="D319" s="24">
        <f t="shared" si="52"/>
        <v>1</v>
      </c>
      <c r="E319" s="24" t="str">
        <f t="shared" si="58"/>
        <v/>
      </c>
      <c r="F319" s="24">
        <f t="shared" si="53"/>
        <v>0</v>
      </c>
      <c r="G319" s="24" t="str">
        <f t="shared" si="59"/>
        <v>ELSPTF5023BK</v>
      </c>
      <c r="H319" s="24">
        <f t="shared" si="54"/>
        <v>1</v>
      </c>
      <c r="I319" s="24" t="str">
        <f t="shared" si="60"/>
        <v/>
      </c>
      <c r="J319" s="24">
        <f t="shared" si="55"/>
        <v>0</v>
      </c>
      <c r="K319" s="24" t="str">
        <f t="shared" si="61"/>
        <v>F5</v>
      </c>
      <c r="L319" s="24" t="str">
        <f>VLOOKUP(N319,CODE!K:P,CODE!$P$1,FALSE)</f>
        <v>의류</v>
      </c>
      <c r="M319" s="24" t="str">
        <f>VLOOKUP(MID(R319,1,3),CODE!$B:$G,CODE!D$1,FALSE)</f>
        <v>ELS</v>
      </c>
      <c r="N319" s="24" t="str">
        <f t="shared" si="62"/>
        <v>PT</v>
      </c>
      <c r="O319" s="29" t="str">
        <f>IF(ISERROR(IF(VLOOKUP($N319,CODE!$K:$P,CODE!$O$1,FALSE)="",$M319,$M319&amp;"-"&amp;VLOOKUP($N319,CODE!$K:$P,CODE!$O$1,FALSE)))=TRUE,"",IF(VLOOKUP($N319,CODE!$K:$P,CODE!$O$1,FALSE)="",$M319,$M319&amp;"-"&amp;VLOOKUP($N319,CODE!$K:$P,CODE!$O$1,FALSE)))</f>
        <v>ELS-의류</v>
      </c>
      <c r="P319" s="29" t="str">
        <f t="shared" si="63"/>
        <v>성인</v>
      </c>
      <c r="Q319" s="29" t="str">
        <f t="shared" si="64"/>
        <v>ELSPTF5023</v>
      </c>
      <c r="R319" s="1" t="s">
        <v>1113</v>
      </c>
      <c r="S319" s="1" t="s">
        <v>14</v>
      </c>
      <c r="T319" s="26">
        <v>1500</v>
      </c>
      <c r="U319" s="26">
        <v>118500000</v>
      </c>
      <c r="V319" s="26">
        <v>27091605</v>
      </c>
      <c r="W319" s="26">
        <v>3.9764079214676542</v>
      </c>
      <c r="X319" s="26">
        <v>1457</v>
      </c>
      <c r="Y319" s="26">
        <v>0</v>
      </c>
    </row>
    <row r="320" spans="1:25">
      <c r="A320" s="24" t="str">
        <f t="shared" si="56"/>
        <v>신규</v>
      </c>
      <c r="B320" s="24" t="str">
        <f>IF(COUNTIF(R$1:R319,R320)=0,"최초","리오더")</f>
        <v>최초</v>
      </c>
      <c r="C320" s="24" t="str">
        <f t="shared" si="57"/>
        <v>ELSPTF5524</v>
      </c>
      <c r="D320" s="24">
        <f t="shared" si="52"/>
        <v>1</v>
      </c>
      <c r="E320" s="24" t="str">
        <f t="shared" si="58"/>
        <v/>
      </c>
      <c r="F320" s="24">
        <f t="shared" si="53"/>
        <v>0</v>
      </c>
      <c r="G320" s="24" t="str">
        <f t="shared" si="59"/>
        <v>ELSPTF5524BK</v>
      </c>
      <c r="H320" s="24">
        <f t="shared" si="54"/>
        <v>1</v>
      </c>
      <c r="I320" s="24" t="str">
        <f t="shared" si="60"/>
        <v/>
      </c>
      <c r="J320" s="24">
        <f t="shared" si="55"/>
        <v>0</v>
      </c>
      <c r="K320" s="24" t="str">
        <f t="shared" si="61"/>
        <v>F5</v>
      </c>
      <c r="L320" s="24" t="str">
        <f>VLOOKUP(N320,CODE!K:P,CODE!$P$1,FALSE)</f>
        <v>의류</v>
      </c>
      <c r="M320" s="24" t="str">
        <f>VLOOKUP(MID(R320,1,3),CODE!$B:$G,CODE!D$1,FALSE)</f>
        <v>ELS</v>
      </c>
      <c r="N320" s="24" t="str">
        <f t="shared" si="62"/>
        <v>PT</v>
      </c>
      <c r="O320" s="29" t="str">
        <f>IF(ISERROR(IF(VLOOKUP($N320,CODE!$K:$P,CODE!$O$1,FALSE)="",$M320,$M320&amp;"-"&amp;VLOOKUP($N320,CODE!$K:$P,CODE!$O$1,FALSE)))=TRUE,"",IF(VLOOKUP($N320,CODE!$K:$P,CODE!$O$1,FALSE)="",$M320,$M320&amp;"-"&amp;VLOOKUP($N320,CODE!$K:$P,CODE!$O$1,FALSE)))</f>
        <v>ELS-의류</v>
      </c>
      <c r="P320" s="29" t="str">
        <f t="shared" si="63"/>
        <v>키즈</v>
      </c>
      <c r="Q320" s="29" t="str">
        <f t="shared" si="64"/>
        <v>ELSPTF5524</v>
      </c>
      <c r="R320" s="1" t="s">
        <v>1114</v>
      </c>
      <c r="S320" s="1" t="s">
        <v>14</v>
      </c>
      <c r="T320" s="26">
        <v>1000</v>
      </c>
      <c r="U320" s="26">
        <v>75000000</v>
      </c>
      <c r="V320" s="26">
        <v>16364374.999999998</v>
      </c>
      <c r="W320" s="26">
        <v>4.1664785964522437</v>
      </c>
      <c r="X320" s="26">
        <v>975</v>
      </c>
      <c r="Y320" s="26">
        <v>0</v>
      </c>
    </row>
    <row r="321" spans="1:25">
      <c r="A321" s="24" t="str">
        <f t="shared" si="56"/>
        <v>신규</v>
      </c>
      <c r="B321" s="24" t="str">
        <f>IF(COUNTIF(R$1:R320,R321)=0,"최초","리오더")</f>
        <v>최초</v>
      </c>
      <c r="C321" s="24" t="str">
        <f t="shared" si="57"/>
        <v>ELSTLF5044</v>
      </c>
      <c r="D321" s="24">
        <f t="shared" si="52"/>
        <v>1</v>
      </c>
      <c r="E321" s="24" t="str">
        <f t="shared" si="58"/>
        <v/>
      </c>
      <c r="F321" s="24">
        <f t="shared" si="53"/>
        <v>0</v>
      </c>
      <c r="G321" s="24" t="str">
        <f t="shared" si="59"/>
        <v>ELSTLF5044BK</v>
      </c>
      <c r="H321" s="24">
        <f t="shared" si="54"/>
        <v>1</v>
      </c>
      <c r="I321" s="24" t="str">
        <f t="shared" si="60"/>
        <v/>
      </c>
      <c r="J321" s="24">
        <f t="shared" si="55"/>
        <v>0</v>
      </c>
      <c r="K321" s="24" t="str">
        <f t="shared" si="61"/>
        <v>F5</v>
      </c>
      <c r="L321" s="24" t="str">
        <f>VLOOKUP(N321,CODE!K:P,CODE!$P$1,FALSE)</f>
        <v>의류</v>
      </c>
      <c r="M321" s="24" t="str">
        <f>VLOOKUP(MID(R321,1,3),CODE!$B:$G,CODE!D$1,FALSE)</f>
        <v>ELS</v>
      </c>
      <c r="N321" s="24" t="str">
        <f t="shared" si="62"/>
        <v>TL</v>
      </c>
      <c r="O321" s="29" t="str">
        <f>IF(ISERROR(IF(VLOOKUP($N321,CODE!$K:$P,CODE!$O$1,FALSE)="",$M321,$M321&amp;"-"&amp;VLOOKUP($N321,CODE!$K:$P,CODE!$O$1,FALSE)))=TRUE,"",IF(VLOOKUP($N321,CODE!$K:$P,CODE!$O$1,FALSE)="",$M321,$M321&amp;"-"&amp;VLOOKUP($N321,CODE!$K:$P,CODE!$O$1,FALSE)))</f>
        <v>ELS-의류</v>
      </c>
      <c r="P321" s="29" t="str">
        <f t="shared" si="63"/>
        <v>성인</v>
      </c>
      <c r="Q321" s="29" t="str">
        <f t="shared" si="64"/>
        <v>ELSTLF5044</v>
      </c>
      <c r="R321" s="1" t="s">
        <v>1115</v>
      </c>
      <c r="S321" s="1" t="s">
        <v>14</v>
      </c>
      <c r="T321" s="26">
        <v>1000</v>
      </c>
      <c r="U321" s="26">
        <v>79000000</v>
      </c>
      <c r="V321" s="26">
        <v>17016949.999999996</v>
      </c>
      <c r="W321" s="26">
        <v>4.2203909524434069</v>
      </c>
      <c r="X321" s="26">
        <v>926</v>
      </c>
      <c r="Y321" s="26">
        <v>0</v>
      </c>
    </row>
    <row r="322" spans="1:25">
      <c r="A322" s="24" t="str">
        <f t="shared" si="56"/>
        <v>신규</v>
      </c>
      <c r="B322" s="24" t="str">
        <f>IF(COUNTIF(R$1:R321,R322)=0,"최초","리오더")</f>
        <v>최초</v>
      </c>
      <c r="C322" s="24" t="str">
        <f t="shared" si="57"/>
        <v>ELSTLF5025</v>
      </c>
      <c r="D322" s="24">
        <f t="shared" ref="D322:D385" si="65">IF(C322="",0,1/COUNTIF(C:C,C322))</f>
        <v>1</v>
      </c>
      <c r="E322" s="24" t="str">
        <f t="shared" si="58"/>
        <v/>
      </c>
      <c r="F322" s="24">
        <f t="shared" ref="F322:F385" si="66">IF(E322="",0,1/COUNTIF(E:E,E322))</f>
        <v>0</v>
      </c>
      <c r="G322" s="24" t="str">
        <f t="shared" si="59"/>
        <v>ELSTLF5025BK</v>
      </c>
      <c r="H322" s="24">
        <f t="shared" ref="H322:H385" si="67">IF(G322="",0,1/COUNTIF(G:G,G322))</f>
        <v>1</v>
      </c>
      <c r="I322" s="24" t="str">
        <f t="shared" si="60"/>
        <v/>
      </c>
      <c r="J322" s="24">
        <f t="shared" ref="J322:J385" si="68">IF(I322="",0,1/COUNTIF(I:I,I322))</f>
        <v>0</v>
      </c>
      <c r="K322" s="24" t="str">
        <f t="shared" si="61"/>
        <v>F5</v>
      </c>
      <c r="L322" s="24" t="str">
        <f>VLOOKUP(N322,CODE!K:P,CODE!$P$1,FALSE)</f>
        <v>의류</v>
      </c>
      <c r="M322" s="24" t="str">
        <f>VLOOKUP(MID(R322,1,3),CODE!$B:$G,CODE!D$1,FALSE)</f>
        <v>ELS</v>
      </c>
      <c r="N322" s="24" t="str">
        <f t="shared" si="62"/>
        <v>TL</v>
      </c>
      <c r="O322" s="29" t="str">
        <f>IF(ISERROR(IF(VLOOKUP($N322,CODE!$K:$P,CODE!$O$1,FALSE)="",$M322,$M322&amp;"-"&amp;VLOOKUP($N322,CODE!$K:$P,CODE!$O$1,FALSE)))=TRUE,"",IF(VLOOKUP($N322,CODE!$K:$P,CODE!$O$1,FALSE)="",$M322,$M322&amp;"-"&amp;VLOOKUP($N322,CODE!$K:$P,CODE!$O$1,FALSE)))</f>
        <v>ELS-의류</v>
      </c>
      <c r="P322" s="29" t="str">
        <f t="shared" si="63"/>
        <v>성인</v>
      </c>
      <c r="Q322" s="29" t="str">
        <f t="shared" si="64"/>
        <v>ELSTLF5025</v>
      </c>
      <c r="R322" s="1" t="s">
        <v>1116</v>
      </c>
      <c r="S322" s="1" t="s">
        <v>14</v>
      </c>
      <c r="T322" s="26">
        <v>1000</v>
      </c>
      <c r="U322" s="26">
        <v>89000000</v>
      </c>
      <c r="V322" s="26">
        <v>21920000</v>
      </c>
      <c r="W322" s="26">
        <v>3.6911081619110813</v>
      </c>
      <c r="X322" s="26">
        <v>961</v>
      </c>
      <c r="Y322" s="26">
        <v>0</v>
      </c>
    </row>
    <row r="323" spans="1:25">
      <c r="A323" s="24" t="str">
        <f t="shared" ref="A323:A386" si="69">IF(OR(MID(R323,8,1)="0",MID(R323,8,1)="5"),"신규","러닝")</f>
        <v>신규</v>
      </c>
      <c r="B323" s="24" t="str">
        <f>IF(COUNTIF(R$1:R322,R323)=0,"최초","리오더")</f>
        <v>최초</v>
      </c>
      <c r="C323" s="24" t="str">
        <f t="shared" ref="C323:C386" si="70">IF($B323="리오더","",Q323)</f>
        <v>ELSTLF5526</v>
      </c>
      <c r="D323" s="24">
        <f t="shared" si="65"/>
        <v>1</v>
      </c>
      <c r="E323" s="24" t="str">
        <f t="shared" ref="E323:E386" si="71">IF($B323="리오더",Q323,"")</f>
        <v/>
      </c>
      <c r="F323" s="24">
        <f t="shared" si="66"/>
        <v>0</v>
      </c>
      <c r="G323" s="24" t="str">
        <f t="shared" ref="G323:G386" si="72">IF($B323="리오더","",R323)</f>
        <v>ELSTLF5526BK</v>
      </c>
      <c r="H323" s="24">
        <f t="shared" si="67"/>
        <v>1</v>
      </c>
      <c r="I323" s="24" t="str">
        <f t="shared" ref="I323:I386" si="73">IF($B323="리오더",R323,"")</f>
        <v/>
      </c>
      <c r="J323" s="24">
        <f t="shared" si="68"/>
        <v>0</v>
      </c>
      <c r="K323" s="24" t="str">
        <f t="shared" ref="K323:K386" si="74">MID(R323,6,2)</f>
        <v>F5</v>
      </c>
      <c r="L323" s="24" t="str">
        <f>VLOOKUP(N323,CODE!K:P,CODE!$P$1,FALSE)</f>
        <v>의류</v>
      </c>
      <c r="M323" s="24" t="str">
        <f>VLOOKUP(MID(R323,1,3),CODE!$B:$G,CODE!D$1,FALSE)</f>
        <v>ELS</v>
      </c>
      <c r="N323" s="24" t="str">
        <f t="shared" ref="N323:N386" si="75">MID(R323,4,2)</f>
        <v>TL</v>
      </c>
      <c r="O323" s="29" t="str">
        <f>IF(ISERROR(IF(VLOOKUP($N323,CODE!$K:$P,CODE!$O$1,FALSE)="",$M323,$M323&amp;"-"&amp;VLOOKUP($N323,CODE!$K:$P,CODE!$O$1,FALSE)))=TRUE,"",IF(VLOOKUP($N323,CODE!$K:$P,CODE!$O$1,FALSE)="",$M323,$M323&amp;"-"&amp;VLOOKUP($N323,CODE!$K:$P,CODE!$O$1,FALSE)))</f>
        <v>ELS-의류</v>
      </c>
      <c r="P323" s="29" t="str">
        <f t="shared" ref="P323:P386" si="76">IF(OR(MID(R323,8,1)="0",MID(R323,8,1)="1",MID(R323,8,1)="2",MID(R323,8,1)="3",MID(R323,8,1)="4"),"성인","키즈")</f>
        <v>키즈</v>
      </c>
      <c r="Q323" s="29" t="str">
        <f t="shared" ref="Q323:Q386" si="77">MID(R323,1,10)</f>
        <v>ELSTLF5526</v>
      </c>
      <c r="R323" s="1" t="s">
        <v>1117</v>
      </c>
      <c r="S323" s="1" t="s">
        <v>14</v>
      </c>
      <c r="T323" s="26">
        <v>1200</v>
      </c>
      <c r="U323" s="26">
        <v>94800000</v>
      </c>
      <c r="V323" s="26">
        <v>20556000</v>
      </c>
      <c r="W323" s="26">
        <v>4.1925383431513028</v>
      </c>
      <c r="X323" s="26">
        <v>1229</v>
      </c>
      <c r="Y323" s="26">
        <v>0</v>
      </c>
    </row>
    <row r="324" spans="1:25">
      <c r="A324" s="24" t="str">
        <f t="shared" si="69"/>
        <v>신규</v>
      </c>
      <c r="B324" s="24" t="str">
        <f>IF(COUNTIF(R$1:R323,R324)=0,"최초","리오더")</f>
        <v>최초</v>
      </c>
      <c r="C324" s="24" t="str">
        <f t="shared" si="70"/>
        <v>ELSHPF5027</v>
      </c>
      <c r="D324" s="24">
        <f t="shared" si="65"/>
        <v>1</v>
      </c>
      <c r="E324" s="24" t="str">
        <f t="shared" si="71"/>
        <v/>
      </c>
      <c r="F324" s="24">
        <f t="shared" si="66"/>
        <v>0</v>
      </c>
      <c r="G324" s="24" t="str">
        <f t="shared" si="72"/>
        <v>ELSHPF5027BK</v>
      </c>
      <c r="H324" s="24">
        <f t="shared" si="67"/>
        <v>1</v>
      </c>
      <c r="I324" s="24" t="str">
        <f t="shared" si="73"/>
        <v/>
      </c>
      <c r="J324" s="24">
        <f t="shared" si="68"/>
        <v>0</v>
      </c>
      <c r="K324" s="24" t="str">
        <f t="shared" si="74"/>
        <v>F5</v>
      </c>
      <c r="L324" s="24" t="str">
        <f>VLOOKUP(N324,CODE!K:P,CODE!$P$1,FALSE)</f>
        <v>의류</v>
      </c>
      <c r="M324" s="24" t="str">
        <f>VLOOKUP(MID(R324,1,3),CODE!$B:$G,CODE!D$1,FALSE)</f>
        <v>ELS</v>
      </c>
      <c r="N324" s="24" t="str">
        <f t="shared" si="75"/>
        <v>HP</v>
      </c>
      <c r="O324" s="29" t="str">
        <f>IF(ISERROR(IF(VLOOKUP($N324,CODE!$K:$P,CODE!$O$1,FALSE)="",$M324,$M324&amp;"-"&amp;VLOOKUP($N324,CODE!$K:$P,CODE!$O$1,FALSE)))=TRUE,"",IF(VLOOKUP($N324,CODE!$K:$P,CODE!$O$1,FALSE)="",$M324,$M324&amp;"-"&amp;VLOOKUP($N324,CODE!$K:$P,CODE!$O$1,FALSE)))</f>
        <v>ELS-의류</v>
      </c>
      <c r="P324" s="29" t="str">
        <f t="shared" si="76"/>
        <v>성인</v>
      </c>
      <c r="Q324" s="29" t="str">
        <f t="shared" si="77"/>
        <v>ELSHPF5027</v>
      </c>
      <c r="R324" s="1" t="s">
        <v>1118</v>
      </c>
      <c r="S324" s="1" t="s">
        <v>14</v>
      </c>
      <c r="T324" s="26">
        <v>1000</v>
      </c>
      <c r="U324" s="26">
        <v>119000000</v>
      </c>
      <c r="V324" s="26">
        <v>25975000</v>
      </c>
      <c r="W324" s="26">
        <v>4.1648438183568111</v>
      </c>
      <c r="X324" s="26">
        <v>1017</v>
      </c>
      <c r="Y324" s="26">
        <v>0</v>
      </c>
    </row>
    <row r="325" spans="1:25">
      <c r="A325" s="24" t="str">
        <f t="shared" si="69"/>
        <v>신규</v>
      </c>
      <c r="B325" s="24" t="str">
        <f>IF(COUNTIF(R$1:R324,R325)=0,"최초","리오더")</f>
        <v>최초</v>
      </c>
      <c r="C325" s="24" t="str">
        <f t="shared" si="70"/>
        <v>BMDERF5001</v>
      </c>
      <c r="D325" s="24">
        <f t="shared" si="65"/>
        <v>1</v>
      </c>
      <c r="E325" s="24" t="str">
        <f t="shared" si="71"/>
        <v/>
      </c>
      <c r="F325" s="24">
        <f t="shared" si="66"/>
        <v>0</v>
      </c>
      <c r="G325" s="24" t="str">
        <f t="shared" si="72"/>
        <v>BMDERF5001BK</v>
      </c>
      <c r="H325" s="24">
        <f t="shared" si="67"/>
        <v>1</v>
      </c>
      <c r="I325" s="24" t="str">
        <f t="shared" si="73"/>
        <v/>
      </c>
      <c r="J325" s="24">
        <f t="shared" si="68"/>
        <v>0</v>
      </c>
      <c r="K325" s="24" t="str">
        <f t="shared" si="74"/>
        <v>F5</v>
      </c>
      <c r="L325" s="24" t="str">
        <f>VLOOKUP(N325,CODE!K:P,CODE!$P$1,FALSE)</f>
        <v>모자</v>
      </c>
      <c r="M325" s="24" t="str">
        <f>VLOOKUP(MID(R325,1,3),CODE!$B:$G,CODE!D$1,FALSE)</f>
        <v>BMD</v>
      </c>
      <c r="N325" s="24" t="str">
        <f t="shared" si="75"/>
        <v>ER</v>
      </c>
      <c r="O325" s="29" t="str">
        <f>IF(ISERROR(IF(VLOOKUP($N325,CODE!$K:$P,CODE!$O$1,FALSE)="",$M325,$M325&amp;"-"&amp;VLOOKUP($N325,CODE!$K:$P,CODE!$O$1,FALSE)))=TRUE,"",IF(VLOOKUP($N325,CODE!$K:$P,CODE!$O$1,FALSE)="",$M325,$M325&amp;"-"&amp;VLOOKUP($N325,CODE!$K:$P,CODE!$O$1,FALSE)))</f>
        <v>BMD</v>
      </c>
      <c r="P325" s="29" t="str">
        <f t="shared" si="76"/>
        <v>성인</v>
      </c>
      <c r="Q325" s="29" t="str">
        <f t="shared" si="77"/>
        <v>BMDERF5001</v>
      </c>
      <c r="R325" s="1" t="s">
        <v>1119</v>
      </c>
      <c r="S325" s="1" t="s">
        <v>14</v>
      </c>
      <c r="T325" s="26">
        <v>1000</v>
      </c>
      <c r="U325" s="26">
        <v>55000000</v>
      </c>
      <c r="V325" s="26">
        <v>8453360</v>
      </c>
      <c r="W325" s="26">
        <v>5.9148078397229034</v>
      </c>
      <c r="X325" s="26">
        <v>995</v>
      </c>
      <c r="Y325" s="26">
        <v>0</v>
      </c>
    </row>
    <row r="326" spans="1:25">
      <c r="A326" s="24" t="str">
        <f t="shared" si="69"/>
        <v>신규</v>
      </c>
      <c r="B326" s="24" t="str">
        <f>IF(COUNTIF(R$1:R325,R326)=0,"최초","리오더")</f>
        <v>최초</v>
      </c>
      <c r="C326" s="24" t="str">
        <f t="shared" si="70"/>
        <v>BMDBAF5002</v>
      </c>
      <c r="D326" s="24">
        <f t="shared" si="65"/>
        <v>1</v>
      </c>
      <c r="E326" s="24" t="str">
        <f t="shared" si="71"/>
        <v/>
      </c>
      <c r="F326" s="24">
        <f t="shared" si="66"/>
        <v>0</v>
      </c>
      <c r="G326" s="24" t="str">
        <f t="shared" si="72"/>
        <v>BMDBAF5002BK</v>
      </c>
      <c r="H326" s="24">
        <f t="shared" si="67"/>
        <v>1</v>
      </c>
      <c r="I326" s="24" t="str">
        <f t="shared" si="73"/>
        <v/>
      </c>
      <c r="J326" s="24">
        <f t="shared" si="68"/>
        <v>0</v>
      </c>
      <c r="K326" s="24" t="str">
        <f t="shared" si="74"/>
        <v>F5</v>
      </c>
      <c r="L326" s="24" t="str">
        <f>VLOOKUP(N326,CODE!K:P,CODE!$P$1,FALSE)</f>
        <v>모자</v>
      </c>
      <c r="M326" s="24" t="str">
        <f>VLOOKUP(MID(R326,1,3),CODE!$B:$G,CODE!D$1,FALSE)</f>
        <v>BMD</v>
      </c>
      <c r="N326" s="24" t="str">
        <f t="shared" si="75"/>
        <v>BA</v>
      </c>
      <c r="O326" s="29" t="str">
        <f>IF(ISERROR(IF(VLOOKUP($N326,CODE!$K:$P,CODE!$O$1,FALSE)="",$M326,$M326&amp;"-"&amp;VLOOKUP($N326,CODE!$K:$P,CODE!$O$1,FALSE)))=TRUE,"",IF(VLOOKUP($N326,CODE!$K:$P,CODE!$O$1,FALSE)="",$M326,$M326&amp;"-"&amp;VLOOKUP($N326,CODE!$K:$P,CODE!$O$1,FALSE)))</f>
        <v>BMD</v>
      </c>
      <c r="P326" s="29" t="str">
        <f t="shared" si="76"/>
        <v>성인</v>
      </c>
      <c r="Q326" s="29" t="str">
        <f t="shared" si="77"/>
        <v>BMDBAF5002</v>
      </c>
      <c r="R326" s="1" t="s">
        <v>1120</v>
      </c>
      <c r="S326" s="1" t="s">
        <v>14</v>
      </c>
      <c r="T326" s="26">
        <v>1000</v>
      </c>
      <c r="U326" s="26">
        <v>49000000</v>
      </c>
      <c r="V326" s="26">
        <v>7379660.0000000009</v>
      </c>
      <c r="W326" s="26">
        <v>6.0362475433088427</v>
      </c>
      <c r="X326" s="26">
        <v>997</v>
      </c>
      <c r="Y326" s="26">
        <v>0</v>
      </c>
    </row>
    <row r="327" spans="1:25">
      <c r="A327" s="24" t="str">
        <f t="shared" si="69"/>
        <v>신규</v>
      </c>
      <c r="B327" s="24" t="str">
        <f>IF(COUNTIF(R$1:R326,R327)=0,"최초","리오더")</f>
        <v>최초</v>
      </c>
      <c r="C327" s="24" t="str">
        <f t="shared" si="70"/>
        <v>SBRBEF5023</v>
      </c>
      <c r="D327" s="24">
        <f t="shared" si="65"/>
        <v>0.5</v>
      </c>
      <c r="E327" s="24" t="str">
        <f t="shared" si="71"/>
        <v/>
      </c>
      <c r="F327" s="24">
        <f t="shared" si="66"/>
        <v>0</v>
      </c>
      <c r="G327" s="24" t="str">
        <f t="shared" si="72"/>
        <v>SBRBEF5023BK</v>
      </c>
      <c r="H327" s="24">
        <f t="shared" si="67"/>
        <v>1</v>
      </c>
      <c r="I327" s="24" t="str">
        <f t="shared" si="73"/>
        <v/>
      </c>
      <c r="J327" s="24">
        <f t="shared" si="68"/>
        <v>0</v>
      </c>
      <c r="K327" s="24" t="str">
        <f t="shared" si="74"/>
        <v>F5</v>
      </c>
      <c r="L327" s="24" t="str">
        <f>VLOOKUP(N327,CODE!K:P,CODE!$P$1,FALSE)</f>
        <v>모자</v>
      </c>
      <c r="M327" s="24" t="str">
        <f>VLOOKUP(MID(R327,1,3),CODE!$B:$G,CODE!D$1,FALSE)</f>
        <v>SBR</v>
      </c>
      <c r="N327" s="24" t="str">
        <f t="shared" si="75"/>
        <v>BE</v>
      </c>
      <c r="O327" s="29" t="str">
        <f>IF(ISERROR(IF(VLOOKUP($N327,CODE!$K:$P,CODE!$O$1,FALSE)="",$M327,$M327&amp;"-"&amp;VLOOKUP($N327,CODE!$K:$P,CODE!$O$1,FALSE)))=TRUE,"",IF(VLOOKUP($N327,CODE!$K:$P,CODE!$O$1,FALSE)="",$M327,$M327&amp;"-"&amp;VLOOKUP($N327,CODE!$K:$P,CODE!$O$1,FALSE)))</f>
        <v>SBR</v>
      </c>
      <c r="P327" s="29" t="str">
        <f t="shared" si="76"/>
        <v>성인</v>
      </c>
      <c r="Q327" s="29" t="str">
        <f t="shared" si="77"/>
        <v>SBRBEF5023</v>
      </c>
      <c r="R327" s="1" t="s">
        <v>1121</v>
      </c>
      <c r="S327" s="1" t="s">
        <v>14</v>
      </c>
      <c r="T327" s="26">
        <v>2000</v>
      </c>
      <c r="U327" s="26">
        <v>78000000</v>
      </c>
      <c r="V327" s="26">
        <v>9480240</v>
      </c>
      <c r="W327" s="26">
        <v>7.4796725514428868</v>
      </c>
      <c r="X327" s="26">
        <v>2000</v>
      </c>
      <c r="Y327" s="26">
        <v>0</v>
      </c>
    </row>
    <row r="328" spans="1:25">
      <c r="A328" s="24" t="str">
        <f t="shared" si="69"/>
        <v>신규</v>
      </c>
      <c r="B328" s="24" t="str">
        <f>IF(COUNTIF(R$1:R327,R328)=0,"최초","리오더")</f>
        <v>최초</v>
      </c>
      <c r="C328" s="24" t="str">
        <f t="shared" si="70"/>
        <v>SBRBEF5023</v>
      </c>
      <c r="D328" s="24">
        <f t="shared" si="65"/>
        <v>0.5</v>
      </c>
      <c r="E328" s="24" t="str">
        <f t="shared" si="71"/>
        <v/>
      </c>
      <c r="F328" s="24">
        <f t="shared" si="66"/>
        <v>0</v>
      </c>
      <c r="G328" s="24" t="str">
        <f t="shared" si="72"/>
        <v>SBRBEF5023RE</v>
      </c>
      <c r="H328" s="24">
        <f t="shared" si="67"/>
        <v>1</v>
      </c>
      <c r="I328" s="24" t="str">
        <f t="shared" si="73"/>
        <v/>
      </c>
      <c r="J328" s="24">
        <f t="shared" si="68"/>
        <v>0</v>
      </c>
      <c r="K328" s="24" t="str">
        <f t="shared" si="74"/>
        <v>F5</v>
      </c>
      <c r="L328" s="24" t="str">
        <f>VLOOKUP(N328,CODE!K:P,CODE!$P$1,FALSE)</f>
        <v>모자</v>
      </c>
      <c r="M328" s="24" t="str">
        <f>VLOOKUP(MID(R328,1,3),CODE!$B:$G,CODE!D$1,FALSE)</f>
        <v>SBR</v>
      </c>
      <c r="N328" s="24" t="str">
        <f t="shared" si="75"/>
        <v>BE</v>
      </c>
      <c r="O328" s="29" t="str">
        <f>IF(ISERROR(IF(VLOOKUP($N328,CODE!$K:$P,CODE!$O$1,FALSE)="",$M328,$M328&amp;"-"&amp;VLOOKUP($N328,CODE!$K:$P,CODE!$O$1,FALSE)))=TRUE,"",IF(VLOOKUP($N328,CODE!$K:$P,CODE!$O$1,FALSE)="",$M328,$M328&amp;"-"&amp;VLOOKUP($N328,CODE!$K:$P,CODE!$O$1,FALSE)))</f>
        <v>SBR</v>
      </c>
      <c r="P328" s="29" t="str">
        <f t="shared" si="76"/>
        <v>성인</v>
      </c>
      <c r="Q328" s="29" t="str">
        <f t="shared" si="77"/>
        <v>SBRBEF5023</v>
      </c>
      <c r="R328" s="1" t="s">
        <v>1122</v>
      </c>
      <c r="S328" s="1" t="s">
        <v>14</v>
      </c>
      <c r="T328" s="26">
        <v>2000</v>
      </c>
      <c r="U328" s="26">
        <v>78000000</v>
      </c>
      <c r="V328" s="26">
        <v>9480240</v>
      </c>
      <c r="W328" s="26">
        <v>7.4796725514428868</v>
      </c>
      <c r="X328" s="26">
        <v>1998</v>
      </c>
      <c r="Y328" s="26">
        <v>0</v>
      </c>
    </row>
    <row r="329" spans="1:25">
      <c r="A329" s="24" t="str">
        <f t="shared" si="69"/>
        <v>신규</v>
      </c>
      <c r="B329" s="24" t="str">
        <f>IF(COUNTIF(R$1:R328,R329)=0,"최초","리오더")</f>
        <v>최초</v>
      </c>
      <c r="C329" s="24" t="str">
        <f t="shared" si="70"/>
        <v>SBRBEF5024</v>
      </c>
      <c r="D329" s="24">
        <f t="shared" si="65"/>
        <v>1</v>
      </c>
      <c r="E329" s="24" t="str">
        <f t="shared" si="71"/>
        <v/>
      </c>
      <c r="F329" s="24">
        <f t="shared" si="66"/>
        <v>0</v>
      </c>
      <c r="G329" s="24" t="str">
        <f t="shared" si="72"/>
        <v>SBRBEF5024NY</v>
      </c>
      <c r="H329" s="24">
        <f t="shared" si="67"/>
        <v>1</v>
      </c>
      <c r="I329" s="24" t="str">
        <f t="shared" si="73"/>
        <v/>
      </c>
      <c r="J329" s="24">
        <f t="shared" si="68"/>
        <v>0</v>
      </c>
      <c r="K329" s="24" t="str">
        <f t="shared" si="74"/>
        <v>F5</v>
      </c>
      <c r="L329" s="24" t="str">
        <f>VLOOKUP(N329,CODE!K:P,CODE!$P$1,FALSE)</f>
        <v>모자</v>
      </c>
      <c r="M329" s="24" t="str">
        <f>VLOOKUP(MID(R329,1,3),CODE!$B:$G,CODE!D$1,FALSE)</f>
        <v>SBR</v>
      </c>
      <c r="N329" s="24" t="str">
        <f t="shared" si="75"/>
        <v>BE</v>
      </c>
      <c r="O329" s="29" t="str">
        <f>IF(ISERROR(IF(VLOOKUP($N329,CODE!$K:$P,CODE!$O$1,FALSE)="",$M329,$M329&amp;"-"&amp;VLOOKUP($N329,CODE!$K:$P,CODE!$O$1,FALSE)))=TRUE,"",IF(VLOOKUP($N329,CODE!$K:$P,CODE!$O$1,FALSE)="",$M329,$M329&amp;"-"&amp;VLOOKUP($N329,CODE!$K:$P,CODE!$O$1,FALSE)))</f>
        <v>SBR</v>
      </c>
      <c r="P329" s="29" t="str">
        <f t="shared" si="76"/>
        <v>성인</v>
      </c>
      <c r="Q329" s="29" t="str">
        <f t="shared" si="77"/>
        <v>SBRBEF5024</v>
      </c>
      <c r="R329" s="1" t="s">
        <v>1123</v>
      </c>
      <c r="S329" s="1" t="s">
        <v>14</v>
      </c>
      <c r="T329" s="26">
        <v>2000</v>
      </c>
      <c r="U329" s="26">
        <v>78000000</v>
      </c>
      <c r="V329" s="26">
        <v>7983360.0000000009</v>
      </c>
      <c r="W329" s="26">
        <v>8.8821111548384248</v>
      </c>
      <c r="X329" s="26">
        <v>1999</v>
      </c>
      <c r="Y329" s="26">
        <v>0</v>
      </c>
    </row>
    <row r="330" spans="1:25">
      <c r="A330" s="24" t="str">
        <f t="shared" si="69"/>
        <v>신규</v>
      </c>
      <c r="B330" s="24" t="str">
        <f>IF(COUNTIF(R$1:R329,R330)=0,"최초","리오더")</f>
        <v>최초</v>
      </c>
      <c r="C330" s="24" t="str">
        <f t="shared" si="70"/>
        <v>SBRBEF5025</v>
      </c>
      <c r="D330" s="24">
        <f t="shared" si="65"/>
        <v>0.5</v>
      </c>
      <c r="E330" s="24" t="str">
        <f t="shared" si="71"/>
        <v/>
      </c>
      <c r="F330" s="24">
        <f t="shared" si="66"/>
        <v>0</v>
      </c>
      <c r="G330" s="24" t="str">
        <f t="shared" si="72"/>
        <v>SBRBEF5025BK</v>
      </c>
      <c r="H330" s="24">
        <f t="shared" si="67"/>
        <v>1</v>
      </c>
      <c r="I330" s="24" t="str">
        <f t="shared" si="73"/>
        <v/>
      </c>
      <c r="J330" s="24">
        <f t="shared" si="68"/>
        <v>0</v>
      </c>
      <c r="K330" s="24" t="str">
        <f t="shared" si="74"/>
        <v>F5</v>
      </c>
      <c r="L330" s="24" t="str">
        <f>VLOOKUP(N330,CODE!K:P,CODE!$P$1,FALSE)</f>
        <v>모자</v>
      </c>
      <c r="M330" s="24" t="str">
        <f>VLOOKUP(MID(R330,1,3),CODE!$B:$G,CODE!D$1,FALSE)</f>
        <v>SBR</v>
      </c>
      <c r="N330" s="24" t="str">
        <f t="shared" si="75"/>
        <v>BE</v>
      </c>
      <c r="O330" s="29" t="str">
        <f>IF(ISERROR(IF(VLOOKUP($N330,CODE!$K:$P,CODE!$O$1,FALSE)="",$M330,$M330&amp;"-"&amp;VLOOKUP($N330,CODE!$K:$P,CODE!$O$1,FALSE)))=TRUE,"",IF(VLOOKUP($N330,CODE!$K:$P,CODE!$O$1,FALSE)="",$M330,$M330&amp;"-"&amp;VLOOKUP($N330,CODE!$K:$P,CODE!$O$1,FALSE)))</f>
        <v>SBR</v>
      </c>
      <c r="P330" s="29" t="str">
        <f t="shared" si="76"/>
        <v>성인</v>
      </c>
      <c r="Q330" s="29" t="str">
        <f t="shared" si="77"/>
        <v>SBRBEF5025</v>
      </c>
      <c r="R330" s="1" t="s">
        <v>1124</v>
      </c>
      <c r="S330" s="1" t="s">
        <v>14</v>
      </c>
      <c r="T330" s="26">
        <v>2000</v>
      </c>
      <c r="U330" s="26">
        <v>78000000</v>
      </c>
      <c r="V330" s="26">
        <v>9854460.0000000019</v>
      </c>
      <c r="W330" s="26">
        <v>7.1956343532868248</v>
      </c>
      <c r="X330" s="26">
        <v>2000</v>
      </c>
      <c r="Y330" s="26">
        <v>0</v>
      </c>
    </row>
    <row r="331" spans="1:25">
      <c r="A331" s="24" t="str">
        <f t="shared" si="69"/>
        <v>신규</v>
      </c>
      <c r="B331" s="24" t="str">
        <f>IF(COUNTIF(R$1:R330,R331)=0,"최초","리오더")</f>
        <v>최초</v>
      </c>
      <c r="C331" s="24" t="str">
        <f t="shared" si="70"/>
        <v>SBRBEF5025</v>
      </c>
      <c r="D331" s="24">
        <f t="shared" si="65"/>
        <v>0.5</v>
      </c>
      <c r="E331" s="24" t="str">
        <f t="shared" si="71"/>
        <v/>
      </c>
      <c r="F331" s="24">
        <f t="shared" si="66"/>
        <v>0</v>
      </c>
      <c r="G331" s="24" t="str">
        <f t="shared" si="72"/>
        <v>SBRBEF5025KH</v>
      </c>
      <c r="H331" s="24">
        <f t="shared" si="67"/>
        <v>1</v>
      </c>
      <c r="I331" s="24" t="str">
        <f t="shared" si="73"/>
        <v/>
      </c>
      <c r="J331" s="24">
        <f t="shared" si="68"/>
        <v>0</v>
      </c>
      <c r="K331" s="24" t="str">
        <f t="shared" si="74"/>
        <v>F5</v>
      </c>
      <c r="L331" s="24" t="str">
        <f>VLOOKUP(N331,CODE!K:P,CODE!$P$1,FALSE)</f>
        <v>모자</v>
      </c>
      <c r="M331" s="24" t="str">
        <f>VLOOKUP(MID(R331,1,3),CODE!$B:$G,CODE!D$1,FALSE)</f>
        <v>SBR</v>
      </c>
      <c r="N331" s="24" t="str">
        <f t="shared" si="75"/>
        <v>BE</v>
      </c>
      <c r="O331" s="29" t="str">
        <f>IF(ISERROR(IF(VLOOKUP($N331,CODE!$K:$P,CODE!$O$1,FALSE)="",$M331,$M331&amp;"-"&amp;VLOOKUP($N331,CODE!$K:$P,CODE!$O$1,FALSE)))=TRUE,"",IF(VLOOKUP($N331,CODE!$K:$P,CODE!$O$1,FALSE)="",$M331,$M331&amp;"-"&amp;VLOOKUP($N331,CODE!$K:$P,CODE!$O$1,FALSE)))</f>
        <v>SBR</v>
      </c>
      <c r="P331" s="29" t="str">
        <f t="shared" si="76"/>
        <v>성인</v>
      </c>
      <c r="Q331" s="29" t="str">
        <f t="shared" si="77"/>
        <v>SBRBEF5025</v>
      </c>
      <c r="R331" s="1" t="s">
        <v>1125</v>
      </c>
      <c r="S331" s="1" t="s">
        <v>14</v>
      </c>
      <c r="T331" s="26">
        <v>2000</v>
      </c>
      <c r="U331" s="26">
        <v>78000000</v>
      </c>
      <c r="V331" s="26">
        <v>9854460.0000000019</v>
      </c>
      <c r="W331" s="26">
        <v>7.1956343532868248</v>
      </c>
      <c r="X331" s="26">
        <v>2000</v>
      </c>
      <c r="Y331" s="26">
        <v>0</v>
      </c>
    </row>
    <row r="332" spans="1:25">
      <c r="A332" s="24" t="str">
        <f t="shared" si="69"/>
        <v>신규</v>
      </c>
      <c r="B332" s="24" t="str">
        <f>IF(COUNTIF(R$1:R331,R332)=0,"최초","리오더")</f>
        <v>최초</v>
      </c>
      <c r="C332" s="24" t="str">
        <f t="shared" si="70"/>
        <v>SBREBF5026</v>
      </c>
      <c r="D332" s="24">
        <f t="shared" si="65"/>
        <v>1</v>
      </c>
      <c r="E332" s="24" t="str">
        <f t="shared" si="71"/>
        <v/>
      </c>
      <c r="F332" s="24">
        <f t="shared" si="66"/>
        <v>0</v>
      </c>
      <c r="G332" s="24" t="str">
        <f t="shared" si="72"/>
        <v>SBREBF5026CL</v>
      </c>
      <c r="H332" s="24">
        <f t="shared" si="67"/>
        <v>1</v>
      </c>
      <c r="I332" s="24" t="str">
        <f t="shared" si="73"/>
        <v/>
      </c>
      <c r="J332" s="24">
        <f t="shared" si="68"/>
        <v>0</v>
      </c>
      <c r="K332" s="24" t="str">
        <f t="shared" si="74"/>
        <v>F5</v>
      </c>
      <c r="L332" s="24" t="str">
        <f>VLOOKUP(N332,CODE!K:P,CODE!$P$1,FALSE)</f>
        <v>모자</v>
      </c>
      <c r="M332" s="24" t="str">
        <f>VLOOKUP(MID(R332,1,3),CODE!$B:$G,CODE!D$1,FALSE)</f>
        <v>SBR</v>
      </c>
      <c r="N332" s="24" t="str">
        <f t="shared" si="75"/>
        <v>EB</v>
      </c>
      <c r="O332" s="29" t="str">
        <f>IF(ISERROR(IF(VLOOKUP($N332,CODE!$K:$P,CODE!$O$1,FALSE)="",$M332,$M332&amp;"-"&amp;VLOOKUP($N332,CODE!$K:$P,CODE!$O$1,FALSE)))=TRUE,"",IF(VLOOKUP($N332,CODE!$K:$P,CODE!$O$1,FALSE)="",$M332,$M332&amp;"-"&amp;VLOOKUP($N332,CODE!$K:$P,CODE!$O$1,FALSE)))</f>
        <v>SBR</v>
      </c>
      <c r="P332" s="29" t="str">
        <f t="shared" si="76"/>
        <v>성인</v>
      </c>
      <c r="Q332" s="29" t="str">
        <f t="shared" si="77"/>
        <v>SBREBF5026</v>
      </c>
      <c r="R332" s="1" t="s">
        <v>1126</v>
      </c>
      <c r="S332" s="1" t="s">
        <v>14</v>
      </c>
      <c r="T332" s="26">
        <v>2000</v>
      </c>
      <c r="U332" s="26">
        <v>90000000</v>
      </c>
      <c r="V332" s="26">
        <v>14220360.000000002</v>
      </c>
      <c r="W332" s="26">
        <v>5.7535942703406802</v>
      </c>
      <c r="X332" s="26">
        <v>2000</v>
      </c>
      <c r="Y332" s="26">
        <v>0</v>
      </c>
    </row>
    <row r="333" spans="1:25">
      <c r="A333" s="24" t="str">
        <f t="shared" si="69"/>
        <v>신규</v>
      </c>
      <c r="B333" s="24" t="str">
        <f>IF(COUNTIF(R$1:R332,R333)=0,"최초","리오더")</f>
        <v>최초</v>
      </c>
      <c r="C333" s="24" t="str">
        <f t="shared" si="70"/>
        <v>SBREBF5027</v>
      </c>
      <c r="D333" s="24">
        <f t="shared" si="65"/>
        <v>1</v>
      </c>
      <c r="E333" s="24" t="str">
        <f t="shared" si="71"/>
        <v/>
      </c>
      <c r="F333" s="24">
        <f t="shared" si="66"/>
        <v>0</v>
      </c>
      <c r="G333" s="24" t="str">
        <f t="shared" si="72"/>
        <v>SBREBF5027BK</v>
      </c>
      <c r="H333" s="24">
        <f t="shared" si="67"/>
        <v>1</v>
      </c>
      <c r="I333" s="24" t="str">
        <f t="shared" si="73"/>
        <v/>
      </c>
      <c r="J333" s="24">
        <f t="shared" si="68"/>
        <v>0</v>
      </c>
      <c r="K333" s="24" t="str">
        <f t="shared" si="74"/>
        <v>F5</v>
      </c>
      <c r="L333" s="24" t="str">
        <f>VLOOKUP(N333,CODE!K:P,CODE!$P$1,FALSE)</f>
        <v>모자</v>
      </c>
      <c r="M333" s="24" t="str">
        <f>VLOOKUP(MID(R333,1,3),CODE!$B:$G,CODE!D$1,FALSE)</f>
        <v>SBR</v>
      </c>
      <c r="N333" s="24" t="str">
        <f t="shared" si="75"/>
        <v>EB</v>
      </c>
      <c r="O333" s="29" t="str">
        <f>IF(ISERROR(IF(VLOOKUP($N333,CODE!$K:$P,CODE!$O$1,FALSE)="",$M333,$M333&amp;"-"&amp;VLOOKUP($N333,CODE!$K:$P,CODE!$O$1,FALSE)))=TRUE,"",IF(VLOOKUP($N333,CODE!$K:$P,CODE!$O$1,FALSE)="",$M333,$M333&amp;"-"&amp;VLOOKUP($N333,CODE!$K:$P,CODE!$O$1,FALSE)))</f>
        <v>SBR</v>
      </c>
      <c r="P333" s="29" t="str">
        <f t="shared" si="76"/>
        <v>성인</v>
      </c>
      <c r="Q333" s="29" t="str">
        <f t="shared" si="77"/>
        <v>SBREBF5027</v>
      </c>
      <c r="R333" s="1" t="s">
        <v>1127</v>
      </c>
      <c r="S333" s="1" t="s">
        <v>14</v>
      </c>
      <c r="T333" s="26">
        <v>1500</v>
      </c>
      <c r="U333" s="26">
        <v>88500000</v>
      </c>
      <c r="V333" s="26">
        <v>18188340.000000004</v>
      </c>
      <c r="W333" s="26">
        <v>4.4234133216415259</v>
      </c>
      <c r="X333" s="26">
        <v>1500</v>
      </c>
      <c r="Y333" s="26">
        <v>0</v>
      </c>
    </row>
    <row r="334" spans="1:25">
      <c r="A334" s="24" t="str">
        <f t="shared" si="69"/>
        <v>신규</v>
      </c>
      <c r="B334" s="24" t="str">
        <f>IF(COUNTIF(R$1:R333,R334)=0,"최초","리오더")</f>
        <v>최초</v>
      </c>
      <c r="C334" s="24" t="str">
        <f t="shared" si="70"/>
        <v>SBREBF5028</v>
      </c>
      <c r="D334" s="24">
        <f t="shared" si="65"/>
        <v>0.5</v>
      </c>
      <c r="E334" s="24" t="str">
        <f t="shared" si="71"/>
        <v/>
      </c>
      <c r="F334" s="24">
        <f t="shared" si="66"/>
        <v>0</v>
      </c>
      <c r="G334" s="24" t="str">
        <f t="shared" si="72"/>
        <v>SBREBF5028GY</v>
      </c>
      <c r="H334" s="24">
        <f t="shared" si="67"/>
        <v>1</v>
      </c>
      <c r="I334" s="24" t="str">
        <f t="shared" si="73"/>
        <v/>
      </c>
      <c r="J334" s="24">
        <f t="shared" si="68"/>
        <v>0</v>
      </c>
      <c r="K334" s="24" t="str">
        <f t="shared" si="74"/>
        <v>F5</v>
      </c>
      <c r="L334" s="24" t="str">
        <f>VLOOKUP(N334,CODE!K:P,CODE!$P$1,FALSE)</f>
        <v>모자</v>
      </c>
      <c r="M334" s="24" t="str">
        <f>VLOOKUP(MID(R334,1,3),CODE!$B:$G,CODE!D$1,FALSE)</f>
        <v>SBR</v>
      </c>
      <c r="N334" s="24" t="str">
        <f t="shared" si="75"/>
        <v>EB</v>
      </c>
      <c r="O334" s="29" t="str">
        <f>IF(ISERROR(IF(VLOOKUP($N334,CODE!$K:$P,CODE!$O$1,FALSE)="",$M334,$M334&amp;"-"&amp;VLOOKUP($N334,CODE!$K:$P,CODE!$O$1,FALSE)))=TRUE,"",IF(VLOOKUP($N334,CODE!$K:$P,CODE!$O$1,FALSE)="",$M334,$M334&amp;"-"&amp;VLOOKUP($N334,CODE!$K:$P,CODE!$O$1,FALSE)))</f>
        <v>SBR</v>
      </c>
      <c r="P334" s="29" t="str">
        <f t="shared" si="76"/>
        <v>성인</v>
      </c>
      <c r="Q334" s="29" t="str">
        <f t="shared" si="77"/>
        <v>SBREBF5028</v>
      </c>
      <c r="R334" s="1" t="s">
        <v>1128</v>
      </c>
      <c r="S334" s="1" t="s">
        <v>14</v>
      </c>
      <c r="T334" s="26">
        <v>1500</v>
      </c>
      <c r="U334" s="26">
        <v>73500000</v>
      </c>
      <c r="V334" s="26">
        <v>13756035</v>
      </c>
      <c r="W334" s="26">
        <v>4.8573721874204168</v>
      </c>
      <c r="X334" s="26">
        <v>1483</v>
      </c>
      <c r="Y334" s="26">
        <v>0</v>
      </c>
    </row>
    <row r="335" spans="1:25">
      <c r="A335" s="24" t="str">
        <f t="shared" si="69"/>
        <v>신규</v>
      </c>
      <c r="B335" s="24" t="str">
        <f>IF(COUNTIF(R$1:R334,R335)=0,"최초","리오더")</f>
        <v>최초</v>
      </c>
      <c r="C335" s="24" t="str">
        <f t="shared" si="70"/>
        <v>SBREBF5028</v>
      </c>
      <c r="D335" s="24">
        <f t="shared" si="65"/>
        <v>0.5</v>
      </c>
      <c r="E335" s="24" t="str">
        <f t="shared" si="71"/>
        <v/>
      </c>
      <c r="F335" s="24">
        <f t="shared" si="66"/>
        <v>0</v>
      </c>
      <c r="G335" s="24" t="str">
        <f t="shared" si="72"/>
        <v>SBREBF5028NY</v>
      </c>
      <c r="H335" s="24">
        <f t="shared" si="67"/>
        <v>1</v>
      </c>
      <c r="I335" s="24" t="str">
        <f t="shared" si="73"/>
        <v/>
      </c>
      <c r="J335" s="24">
        <f t="shared" si="68"/>
        <v>0</v>
      </c>
      <c r="K335" s="24" t="str">
        <f t="shared" si="74"/>
        <v>F5</v>
      </c>
      <c r="L335" s="24" t="str">
        <f>VLOOKUP(N335,CODE!K:P,CODE!$P$1,FALSE)</f>
        <v>모자</v>
      </c>
      <c r="M335" s="24" t="str">
        <f>VLOOKUP(MID(R335,1,3),CODE!$B:$G,CODE!D$1,FALSE)</f>
        <v>SBR</v>
      </c>
      <c r="N335" s="24" t="str">
        <f t="shared" si="75"/>
        <v>EB</v>
      </c>
      <c r="O335" s="29" t="str">
        <f>IF(ISERROR(IF(VLOOKUP($N335,CODE!$K:$P,CODE!$O$1,FALSE)="",$M335,$M335&amp;"-"&amp;VLOOKUP($N335,CODE!$K:$P,CODE!$O$1,FALSE)))=TRUE,"",IF(VLOOKUP($N335,CODE!$K:$P,CODE!$O$1,FALSE)="",$M335,$M335&amp;"-"&amp;VLOOKUP($N335,CODE!$K:$P,CODE!$O$1,FALSE)))</f>
        <v>SBR</v>
      </c>
      <c r="P335" s="29" t="str">
        <f t="shared" si="76"/>
        <v>성인</v>
      </c>
      <c r="Q335" s="29" t="str">
        <f t="shared" si="77"/>
        <v>SBREBF5028</v>
      </c>
      <c r="R335" s="1" t="s">
        <v>1129</v>
      </c>
      <c r="S335" s="1" t="s">
        <v>14</v>
      </c>
      <c r="T335" s="26">
        <v>1500</v>
      </c>
      <c r="U335" s="26">
        <v>73500000</v>
      </c>
      <c r="V335" s="26">
        <v>13756035</v>
      </c>
      <c r="W335" s="26">
        <v>4.8573721874204168</v>
      </c>
      <c r="X335" s="26">
        <v>1484</v>
      </c>
      <c r="Y335" s="26">
        <v>0</v>
      </c>
    </row>
    <row r="336" spans="1:25">
      <c r="A336" s="24" t="str">
        <f t="shared" si="69"/>
        <v>신규</v>
      </c>
      <c r="B336" s="24" t="str">
        <f>IF(COUNTIF(R$1:R335,R336)=0,"최초","리오더")</f>
        <v>최초</v>
      </c>
      <c r="C336" s="24" t="str">
        <f t="shared" si="70"/>
        <v>SBRTPF5029</v>
      </c>
      <c r="D336" s="24">
        <f t="shared" si="65"/>
        <v>0.5</v>
      </c>
      <c r="E336" s="24" t="str">
        <f t="shared" si="71"/>
        <v/>
      </c>
      <c r="F336" s="24">
        <f t="shared" si="66"/>
        <v>0</v>
      </c>
      <c r="G336" s="24" t="str">
        <f t="shared" si="72"/>
        <v>SBRTPF5029BK</v>
      </c>
      <c r="H336" s="24">
        <f t="shared" si="67"/>
        <v>1</v>
      </c>
      <c r="I336" s="24" t="str">
        <f t="shared" si="73"/>
        <v/>
      </c>
      <c r="J336" s="24">
        <f t="shared" si="68"/>
        <v>0</v>
      </c>
      <c r="K336" s="24" t="str">
        <f t="shared" si="74"/>
        <v>F5</v>
      </c>
      <c r="L336" s="24" t="str">
        <f>VLOOKUP(N336,CODE!K:P,CODE!$P$1,FALSE)</f>
        <v>모자</v>
      </c>
      <c r="M336" s="24" t="str">
        <f>VLOOKUP(MID(R336,1,3),CODE!$B:$G,CODE!D$1,FALSE)</f>
        <v>SBR</v>
      </c>
      <c r="N336" s="24" t="str">
        <f t="shared" si="75"/>
        <v>TP</v>
      </c>
      <c r="O336" s="29" t="str">
        <f>IF(ISERROR(IF(VLOOKUP($N336,CODE!$K:$P,CODE!$O$1,FALSE)="",$M336,$M336&amp;"-"&amp;VLOOKUP($N336,CODE!$K:$P,CODE!$O$1,FALSE)))=TRUE,"",IF(VLOOKUP($N336,CODE!$K:$P,CODE!$O$1,FALSE)="",$M336,$M336&amp;"-"&amp;VLOOKUP($N336,CODE!$K:$P,CODE!$O$1,FALSE)))</f>
        <v>SBR</v>
      </c>
      <c r="P336" s="29" t="str">
        <f t="shared" si="76"/>
        <v>성인</v>
      </c>
      <c r="Q336" s="29" t="str">
        <f t="shared" si="77"/>
        <v>SBRTPF5029</v>
      </c>
      <c r="R336" s="1" t="s">
        <v>1130</v>
      </c>
      <c r="S336" s="1" t="s">
        <v>14</v>
      </c>
      <c r="T336" s="26">
        <v>1800</v>
      </c>
      <c r="U336" s="26">
        <v>117000000</v>
      </c>
      <c r="V336" s="26">
        <v>16107784.000000002</v>
      </c>
      <c r="W336" s="26">
        <v>6.6032445160449349</v>
      </c>
      <c r="X336" s="26">
        <v>1800</v>
      </c>
      <c r="Y336" s="26">
        <v>0</v>
      </c>
    </row>
    <row r="337" spans="1:25">
      <c r="A337" s="24" t="str">
        <f t="shared" si="69"/>
        <v>신규</v>
      </c>
      <c r="B337" s="24" t="str">
        <f>IF(COUNTIF(R$1:R336,R337)=0,"최초","리오더")</f>
        <v>최초</v>
      </c>
      <c r="C337" s="24" t="str">
        <f t="shared" si="70"/>
        <v>SBRTPF5029</v>
      </c>
      <c r="D337" s="24">
        <f t="shared" si="65"/>
        <v>0.5</v>
      </c>
      <c r="E337" s="24" t="str">
        <f t="shared" si="71"/>
        <v/>
      </c>
      <c r="F337" s="24">
        <f t="shared" si="66"/>
        <v>0</v>
      </c>
      <c r="G337" s="24" t="str">
        <f t="shared" si="72"/>
        <v>SBRTPF5029RE</v>
      </c>
      <c r="H337" s="24">
        <f t="shared" si="67"/>
        <v>1</v>
      </c>
      <c r="I337" s="24" t="str">
        <f t="shared" si="73"/>
        <v/>
      </c>
      <c r="J337" s="24">
        <f t="shared" si="68"/>
        <v>0</v>
      </c>
      <c r="K337" s="24" t="str">
        <f t="shared" si="74"/>
        <v>F5</v>
      </c>
      <c r="L337" s="24" t="str">
        <f>VLOOKUP(N337,CODE!K:P,CODE!$P$1,FALSE)</f>
        <v>모자</v>
      </c>
      <c r="M337" s="24" t="str">
        <f>VLOOKUP(MID(R337,1,3),CODE!$B:$G,CODE!D$1,FALSE)</f>
        <v>SBR</v>
      </c>
      <c r="N337" s="24" t="str">
        <f t="shared" si="75"/>
        <v>TP</v>
      </c>
      <c r="O337" s="29" t="str">
        <f>IF(ISERROR(IF(VLOOKUP($N337,CODE!$K:$P,CODE!$O$1,FALSE)="",$M337,$M337&amp;"-"&amp;VLOOKUP($N337,CODE!$K:$P,CODE!$O$1,FALSE)))=TRUE,"",IF(VLOOKUP($N337,CODE!$K:$P,CODE!$O$1,FALSE)="",$M337,$M337&amp;"-"&amp;VLOOKUP($N337,CODE!$K:$P,CODE!$O$1,FALSE)))</f>
        <v>SBR</v>
      </c>
      <c r="P337" s="29" t="str">
        <f t="shared" si="76"/>
        <v>성인</v>
      </c>
      <c r="Q337" s="29" t="str">
        <f t="shared" si="77"/>
        <v>SBRTPF5029</v>
      </c>
      <c r="R337" s="1" t="s">
        <v>1131</v>
      </c>
      <c r="S337" s="1" t="s">
        <v>14</v>
      </c>
      <c r="T337" s="26">
        <v>1800</v>
      </c>
      <c r="U337" s="26">
        <v>117000000</v>
      </c>
      <c r="V337" s="26">
        <v>16107784.000000002</v>
      </c>
      <c r="W337" s="26">
        <v>6.6032445160449349</v>
      </c>
      <c r="X337" s="26">
        <v>1798</v>
      </c>
      <c r="Y337" s="26">
        <v>0</v>
      </c>
    </row>
    <row r="338" spans="1:25">
      <c r="A338" s="24" t="str">
        <f t="shared" si="69"/>
        <v>신규</v>
      </c>
      <c r="B338" s="24" t="str">
        <f>IF(COUNTIF(R$1:R337,R338)=0,"최초","리오더")</f>
        <v>최초</v>
      </c>
      <c r="C338" s="24" t="str">
        <f t="shared" si="70"/>
        <v>SBRTPF5030</v>
      </c>
      <c r="D338" s="24">
        <f t="shared" si="65"/>
        <v>1</v>
      </c>
      <c r="E338" s="24" t="str">
        <f t="shared" si="71"/>
        <v/>
      </c>
      <c r="F338" s="24">
        <f t="shared" si="66"/>
        <v>0</v>
      </c>
      <c r="G338" s="24" t="str">
        <f t="shared" si="72"/>
        <v>SBRTPF5030GY</v>
      </c>
      <c r="H338" s="24">
        <f t="shared" si="67"/>
        <v>1</v>
      </c>
      <c r="I338" s="24" t="str">
        <f t="shared" si="73"/>
        <v/>
      </c>
      <c r="J338" s="24">
        <f t="shared" si="68"/>
        <v>0</v>
      </c>
      <c r="K338" s="24" t="str">
        <f t="shared" si="74"/>
        <v>F5</v>
      </c>
      <c r="L338" s="24" t="str">
        <f>VLOOKUP(N338,CODE!K:P,CODE!$P$1,FALSE)</f>
        <v>모자</v>
      </c>
      <c r="M338" s="24" t="str">
        <f>VLOOKUP(MID(R338,1,3),CODE!$B:$G,CODE!D$1,FALSE)</f>
        <v>SBR</v>
      </c>
      <c r="N338" s="24" t="str">
        <f t="shared" si="75"/>
        <v>TP</v>
      </c>
      <c r="O338" s="29" t="str">
        <f>IF(ISERROR(IF(VLOOKUP($N338,CODE!$K:$P,CODE!$O$1,FALSE)="",$M338,$M338&amp;"-"&amp;VLOOKUP($N338,CODE!$K:$P,CODE!$O$1,FALSE)))=TRUE,"",IF(VLOOKUP($N338,CODE!$K:$P,CODE!$O$1,FALSE)="",$M338,$M338&amp;"-"&amp;VLOOKUP($N338,CODE!$K:$P,CODE!$O$1,FALSE)))</f>
        <v>SBR</v>
      </c>
      <c r="P338" s="29" t="str">
        <f t="shared" si="76"/>
        <v>성인</v>
      </c>
      <c r="Q338" s="29" t="str">
        <f t="shared" si="77"/>
        <v>SBRTPF5030</v>
      </c>
      <c r="R338" s="1" t="s">
        <v>1132</v>
      </c>
      <c r="S338" s="1" t="s">
        <v>14</v>
      </c>
      <c r="T338" s="26">
        <v>1200</v>
      </c>
      <c r="U338" s="26">
        <v>82800000</v>
      </c>
      <c r="V338" s="26">
        <v>11463903.999999996</v>
      </c>
      <c r="W338" s="26">
        <v>6.5660639929231168</v>
      </c>
      <c r="X338" s="26">
        <v>1200</v>
      </c>
      <c r="Y338" s="26">
        <v>0</v>
      </c>
    </row>
    <row r="339" spans="1:25">
      <c r="A339" s="24" t="str">
        <f t="shared" si="69"/>
        <v>신규</v>
      </c>
      <c r="B339" s="24" t="str">
        <f>IF(COUNTIF(R$1:R338,R339)=0,"최초","리오더")</f>
        <v>최초</v>
      </c>
      <c r="C339" s="24" t="str">
        <f t="shared" si="70"/>
        <v>JOIERF5501</v>
      </c>
      <c r="D339" s="24">
        <f t="shared" si="65"/>
        <v>1</v>
      </c>
      <c r="E339" s="24" t="str">
        <f t="shared" si="71"/>
        <v/>
      </c>
      <c r="F339" s="24">
        <f t="shared" si="66"/>
        <v>0</v>
      </c>
      <c r="G339" s="24" t="str">
        <f t="shared" si="72"/>
        <v>JOIERF5501IV</v>
      </c>
      <c r="H339" s="24">
        <f t="shared" si="67"/>
        <v>1</v>
      </c>
      <c r="I339" s="24" t="str">
        <f t="shared" si="73"/>
        <v/>
      </c>
      <c r="J339" s="24">
        <f t="shared" si="68"/>
        <v>0</v>
      </c>
      <c r="K339" s="24" t="str">
        <f t="shared" si="74"/>
        <v>F5</v>
      </c>
      <c r="L339" s="24" t="str">
        <f>VLOOKUP(N339,CODE!K:P,CODE!$P$1,FALSE)</f>
        <v>모자</v>
      </c>
      <c r="M339" s="24" t="str">
        <f>VLOOKUP(MID(R339,1,3),CODE!$B:$G,CODE!D$1,FALSE)</f>
        <v>JOI</v>
      </c>
      <c r="N339" s="24" t="str">
        <f t="shared" si="75"/>
        <v>ER</v>
      </c>
      <c r="O339" s="29" t="str">
        <f>IF(ISERROR(IF(VLOOKUP($N339,CODE!$K:$P,CODE!$O$1,FALSE)="",$M339,$M339&amp;"-"&amp;VLOOKUP($N339,CODE!$K:$P,CODE!$O$1,FALSE)))=TRUE,"",IF(VLOOKUP($N339,CODE!$K:$P,CODE!$O$1,FALSE)="",$M339,$M339&amp;"-"&amp;VLOOKUP($N339,CODE!$K:$P,CODE!$O$1,FALSE)))</f>
        <v>JOI</v>
      </c>
      <c r="P339" s="29" t="str">
        <f t="shared" si="76"/>
        <v>키즈</v>
      </c>
      <c r="Q339" s="29" t="str">
        <f t="shared" si="77"/>
        <v>JOIERF5501</v>
      </c>
      <c r="R339" s="1" t="s">
        <v>1133</v>
      </c>
      <c r="S339" s="1" t="s">
        <v>14</v>
      </c>
      <c r="T339" s="26">
        <v>1500</v>
      </c>
      <c r="U339" s="26">
        <v>82500000</v>
      </c>
      <c r="V339" s="26">
        <v>14156805.000000002</v>
      </c>
      <c r="W339" s="26">
        <v>5.297805542987982</v>
      </c>
      <c r="X339" s="26">
        <v>1499</v>
      </c>
      <c r="Y339" s="26">
        <v>0</v>
      </c>
    </row>
    <row r="340" spans="1:25">
      <c r="A340" s="24" t="str">
        <f t="shared" si="69"/>
        <v>신규</v>
      </c>
      <c r="B340" s="24" t="str">
        <f>IF(COUNTIF(R$1:R339,R340)=0,"최초","리오더")</f>
        <v>최초</v>
      </c>
      <c r="C340" s="24" t="str">
        <f t="shared" si="70"/>
        <v>JOIEBF5502</v>
      </c>
      <c r="D340" s="24">
        <f t="shared" si="65"/>
        <v>1</v>
      </c>
      <c r="E340" s="24" t="str">
        <f t="shared" si="71"/>
        <v/>
      </c>
      <c r="F340" s="24">
        <f t="shared" si="66"/>
        <v>0</v>
      </c>
      <c r="G340" s="24" t="str">
        <f t="shared" si="72"/>
        <v>JOIEBF5502PK</v>
      </c>
      <c r="H340" s="24">
        <f t="shared" si="67"/>
        <v>1</v>
      </c>
      <c r="I340" s="24" t="str">
        <f t="shared" si="73"/>
        <v/>
      </c>
      <c r="J340" s="24">
        <f t="shared" si="68"/>
        <v>0</v>
      </c>
      <c r="K340" s="24" t="str">
        <f t="shared" si="74"/>
        <v>F5</v>
      </c>
      <c r="L340" s="24" t="str">
        <f>VLOOKUP(N340,CODE!K:P,CODE!$P$1,FALSE)</f>
        <v>모자</v>
      </c>
      <c r="M340" s="24" t="str">
        <f>VLOOKUP(MID(R340,1,3),CODE!$B:$G,CODE!D$1,FALSE)</f>
        <v>JOI</v>
      </c>
      <c r="N340" s="24" t="str">
        <f t="shared" si="75"/>
        <v>EB</v>
      </c>
      <c r="O340" s="29" t="str">
        <f>IF(ISERROR(IF(VLOOKUP($N340,CODE!$K:$P,CODE!$O$1,FALSE)="",$M340,$M340&amp;"-"&amp;VLOOKUP($N340,CODE!$K:$P,CODE!$O$1,FALSE)))=TRUE,"",IF(VLOOKUP($N340,CODE!$K:$P,CODE!$O$1,FALSE)="",$M340,$M340&amp;"-"&amp;VLOOKUP($N340,CODE!$K:$P,CODE!$O$1,FALSE)))</f>
        <v>JOI</v>
      </c>
      <c r="P340" s="29" t="str">
        <f t="shared" si="76"/>
        <v>키즈</v>
      </c>
      <c r="Q340" s="29" t="str">
        <f t="shared" si="77"/>
        <v>JOIEBF5502</v>
      </c>
      <c r="R340" s="1" t="s">
        <v>1134</v>
      </c>
      <c r="S340" s="1" t="s">
        <v>14</v>
      </c>
      <c r="T340" s="26">
        <v>1200</v>
      </c>
      <c r="U340" s="26">
        <v>58800000</v>
      </c>
      <c r="V340" s="26">
        <v>9730212.0000000019</v>
      </c>
      <c r="W340" s="26">
        <v>5.4936670911739069</v>
      </c>
      <c r="X340" s="26">
        <v>1200</v>
      </c>
      <c r="Y340" s="26">
        <v>0</v>
      </c>
    </row>
    <row r="341" spans="1:25">
      <c r="A341" s="24" t="str">
        <f t="shared" si="69"/>
        <v>신규</v>
      </c>
      <c r="B341" s="24" t="str">
        <f>IF(COUNTIF(R$1:R340,R341)=0,"최초","리오더")</f>
        <v>최초</v>
      </c>
      <c r="C341" s="24" t="str">
        <f t="shared" si="70"/>
        <v>JOIMUF5503</v>
      </c>
      <c r="D341" s="24">
        <f t="shared" si="65"/>
        <v>1</v>
      </c>
      <c r="E341" s="24" t="str">
        <f t="shared" si="71"/>
        <v/>
      </c>
      <c r="F341" s="24">
        <f t="shared" si="66"/>
        <v>0</v>
      </c>
      <c r="G341" s="24" t="str">
        <f t="shared" si="72"/>
        <v>JOIMUF5503PK</v>
      </c>
      <c r="H341" s="24">
        <f t="shared" si="67"/>
        <v>1</v>
      </c>
      <c r="I341" s="24" t="str">
        <f t="shared" si="73"/>
        <v/>
      </c>
      <c r="J341" s="24">
        <f t="shared" si="68"/>
        <v>0</v>
      </c>
      <c r="K341" s="24" t="str">
        <f t="shared" si="74"/>
        <v>F5</v>
      </c>
      <c r="L341" s="24" t="str">
        <f>VLOOKUP(N341,CODE!K:P,CODE!$P$1,FALSE)</f>
        <v>ACC</v>
      </c>
      <c r="M341" s="24" t="str">
        <f>VLOOKUP(MID(R341,1,3),CODE!$B:$G,CODE!D$1,FALSE)</f>
        <v>JOI</v>
      </c>
      <c r="N341" s="24" t="str">
        <f t="shared" si="75"/>
        <v>MU</v>
      </c>
      <c r="O341" s="29" t="str">
        <f>IF(ISERROR(IF(VLOOKUP($N341,CODE!$K:$P,CODE!$O$1,FALSE)="",$M341,$M341&amp;"-"&amp;VLOOKUP($N341,CODE!$K:$P,CODE!$O$1,FALSE)))=TRUE,"",IF(VLOOKUP($N341,CODE!$K:$P,CODE!$O$1,FALSE)="",$M341,$M341&amp;"-"&amp;VLOOKUP($N341,CODE!$K:$P,CODE!$O$1,FALSE)))</f>
        <v>JOI-ACC</v>
      </c>
      <c r="P341" s="29" t="str">
        <f t="shared" si="76"/>
        <v>키즈</v>
      </c>
      <c r="Q341" s="29" t="str">
        <f t="shared" si="77"/>
        <v>JOIMUF5503</v>
      </c>
      <c r="R341" s="1" t="s">
        <v>1135</v>
      </c>
      <c r="S341" s="1" t="s">
        <v>14</v>
      </c>
      <c r="T341" s="26">
        <v>800</v>
      </c>
      <c r="U341" s="26">
        <v>36000000</v>
      </c>
      <c r="V341" s="26">
        <v>4895828.8000000007</v>
      </c>
      <c r="W341" s="26">
        <v>6.6847257255549293</v>
      </c>
      <c r="X341" s="26">
        <v>800</v>
      </c>
      <c r="Y341" s="26">
        <v>0</v>
      </c>
    </row>
    <row r="342" spans="1:25">
      <c r="A342" s="24" t="str">
        <f t="shared" si="69"/>
        <v>신규</v>
      </c>
      <c r="B342" s="24" t="str">
        <f>IF(COUNTIF(R$1:R341,R342)=0,"최초","리오더")</f>
        <v>최초</v>
      </c>
      <c r="C342" s="24" t="str">
        <f t="shared" si="70"/>
        <v>JOIEDF5504</v>
      </c>
      <c r="D342" s="24">
        <f t="shared" si="65"/>
        <v>1</v>
      </c>
      <c r="E342" s="24" t="str">
        <f t="shared" si="71"/>
        <v/>
      </c>
      <c r="F342" s="24">
        <f t="shared" si="66"/>
        <v>0</v>
      </c>
      <c r="G342" s="24" t="str">
        <f t="shared" si="72"/>
        <v>JOIEDF5504PK</v>
      </c>
      <c r="H342" s="24">
        <f t="shared" si="67"/>
        <v>1</v>
      </c>
      <c r="I342" s="24" t="str">
        <f t="shared" si="73"/>
        <v/>
      </c>
      <c r="J342" s="24">
        <f t="shared" si="68"/>
        <v>0</v>
      </c>
      <c r="K342" s="24" t="str">
        <f t="shared" si="74"/>
        <v>F5</v>
      </c>
      <c r="L342" s="24" t="str">
        <f>VLOOKUP(N342,CODE!K:P,CODE!$P$1,FALSE)</f>
        <v>ACC</v>
      </c>
      <c r="M342" s="24" t="str">
        <f>VLOOKUP(MID(R342,1,3),CODE!$B:$G,CODE!D$1,FALSE)</f>
        <v>JOI</v>
      </c>
      <c r="N342" s="24" t="str">
        <f t="shared" si="75"/>
        <v>ED</v>
      </c>
      <c r="O342" s="29" t="str">
        <f>IF(ISERROR(IF(VLOOKUP($N342,CODE!$K:$P,CODE!$O$1,FALSE)="",$M342,$M342&amp;"-"&amp;VLOOKUP($N342,CODE!$K:$P,CODE!$O$1,FALSE)))=TRUE,"",IF(VLOOKUP($N342,CODE!$K:$P,CODE!$O$1,FALSE)="",$M342,$M342&amp;"-"&amp;VLOOKUP($N342,CODE!$K:$P,CODE!$O$1,FALSE)))</f>
        <v>JOI-ACC</v>
      </c>
      <c r="P342" s="29" t="str">
        <f t="shared" si="76"/>
        <v>키즈</v>
      </c>
      <c r="Q342" s="29" t="str">
        <f t="shared" si="77"/>
        <v>JOIEDF5504</v>
      </c>
      <c r="R342" s="1" t="s">
        <v>1136</v>
      </c>
      <c r="S342" s="1" t="s">
        <v>14</v>
      </c>
      <c r="T342" s="26">
        <v>800</v>
      </c>
      <c r="U342" s="26">
        <v>23200000</v>
      </c>
      <c r="V342" s="26">
        <v>3508720.0000000005</v>
      </c>
      <c r="W342" s="26">
        <v>6.0109980536802841</v>
      </c>
      <c r="X342" s="26">
        <v>798</v>
      </c>
      <c r="Y342" s="26">
        <v>0</v>
      </c>
    </row>
    <row r="343" spans="1:25">
      <c r="A343" s="24" t="str">
        <f t="shared" si="69"/>
        <v>신규</v>
      </c>
      <c r="B343" s="24" t="str">
        <f>IF(COUNTIF(R$1:R342,R343)=0,"최초","리오더")</f>
        <v>최초</v>
      </c>
      <c r="C343" s="24" t="str">
        <f t="shared" si="70"/>
        <v>JOIEBF5505</v>
      </c>
      <c r="D343" s="24">
        <f t="shared" si="65"/>
        <v>1</v>
      </c>
      <c r="E343" s="24" t="str">
        <f t="shared" si="71"/>
        <v/>
      </c>
      <c r="F343" s="24">
        <f t="shared" si="66"/>
        <v>0</v>
      </c>
      <c r="G343" s="24" t="str">
        <f t="shared" si="72"/>
        <v>JOIEBF5505BL</v>
      </c>
      <c r="H343" s="24">
        <f t="shared" si="67"/>
        <v>1</v>
      </c>
      <c r="I343" s="24" t="str">
        <f t="shared" si="73"/>
        <v/>
      </c>
      <c r="J343" s="24">
        <f t="shared" si="68"/>
        <v>0</v>
      </c>
      <c r="K343" s="24" t="str">
        <f t="shared" si="74"/>
        <v>F5</v>
      </c>
      <c r="L343" s="24" t="str">
        <f>VLOOKUP(N343,CODE!K:P,CODE!$P$1,FALSE)</f>
        <v>모자</v>
      </c>
      <c r="M343" s="24" t="str">
        <f>VLOOKUP(MID(R343,1,3),CODE!$B:$G,CODE!D$1,FALSE)</f>
        <v>JOI</v>
      </c>
      <c r="N343" s="24" t="str">
        <f t="shared" si="75"/>
        <v>EB</v>
      </c>
      <c r="O343" s="29" t="str">
        <f>IF(ISERROR(IF(VLOOKUP($N343,CODE!$K:$P,CODE!$O$1,FALSE)="",$M343,$M343&amp;"-"&amp;VLOOKUP($N343,CODE!$K:$P,CODE!$O$1,FALSE)))=TRUE,"",IF(VLOOKUP($N343,CODE!$K:$P,CODE!$O$1,FALSE)="",$M343,$M343&amp;"-"&amp;VLOOKUP($N343,CODE!$K:$P,CODE!$O$1,FALSE)))</f>
        <v>JOI</v>
      </c>
      <c r="P343" s="29" t="str">
        <f t="shared" si="76"/>
        <v>키즈</v>
      </c>
      <c r="Q343" s="29" t="str">
        <f t="shared" si="77"/>
        <v>JOIEBF5505</v>
      </c>
      <c r="R343" s="1" t="s">
        <v>1137</v>
      </c>
      <c r="S343" s="1" t="s">
        <v>14</v>
      </c>
      <c r="T343" s="26">
        <v>1200</v>
      </c>
      <c r="U343" s="26">
        <v>58800000</v>
      </c>
      <c r="V343" s="26">
        <v>9597012.0000000019</v>
      </c>
      <c r="W343" s="26">
        <v>5.5699154543669884</v>
      </c>
      <c r="X343" s="26">
        <v>1200</v>
      </c>
      <c r="Y343" s="26">
        <v>0</v>
      </c>
    </row>
    <row r="344" spans="1:25">
      <c r="A344" s="24" t="str">
        <f t="shared" si="69"/>
        <v>신규</v>
      </c>
      <c r="B344" s="81" t="s">
        <v>809</v>
      </c>
      <c r="C344" s="24" t="str">
        <f t="shared" si="70"/>
        <v>JOIMUF5506</v>
      </c>
      <c r="D344" s="24">
        <f t="shared" si="65"/>
        <v>1</v>
      </c>
      <c r="E344" s="24" t="str">
        <f t="shared" si="71"/>
        <v/>
      </c>
      <c r="F344" s="24">
        <f t="shared" si="66"/>
        <v>0</v>
      </c>
      <c r="G344" s="24" t="str">
        <f t="shared" si="72"/>
        <v>JOIMUF5506BL</v>
      </c>
      <c r="H344" s="24">
        <f t="shared" si="67"/>
        <v>1</v>
      </c>
      <c r="I344" s="24" t="str">
        <f t="shared" si="73"/>
        <v/>
      </c>
      <c r="J344" s="24">
        <f t="shared" si="68"/>
        <v>0</v>
      </c>
      <c r="K344" s="24" t="str">
        <f t="shared" si="74"/>
        <v>F5</v>
      </c>
      <c r="L344" s="24" t="str">
        <f>VLOOKUP(N344,CODE!K:P,CODE!$P$1,FALSE)</f>
        <v>ACC</v>
      </c>
      <c r="M344" s="24" t="str">
        <f>VLOOKUP(MID(R344,1,3),CODE!$B:$G,CODE!D$1,FALSE)</f>
        <v>JOI</v>
      </c>
      <c r="N344" s="24" t="str">
        <f t="shared" si="75"/>
        <v>MU</v>
      </c>
      <c r="O344" s="29" t="str">
        <f>IF(ISERROR(IF(VLOOKUP($N344,CODE!$K:$P,CODE!$O$1,FALSE)="",$M344,$M344&amp;"-"&amp;VLOOKUP($N344,CODE!$K:$P,CODE!$O$1,FALSE)))=TRUE,"",IF(VLOOKUP($N344,CODE!$K:$P,CODE!$O$1,FALSE)="",$M344,$M344&amp;"-"&amp;VLOOKUP($N344,CODE!$K:$P,CODE!$O$1,FALSE)))</f>
        <v>JOI-ACC</v>
      </c>
      <c r="P344" s="29" t="str">
        <f t="shared" si="76"/>
        <v>키즈</v>
      </c>
      <c r="Q344" s="29" t="str">
        <f t="shared" si="77"/>
        <v>JOIMUF5506</v>
      </c>
      <c r="R344" s="1" t="s">
        <v>1138</v>
      </c>
      <c r="S344" s="1" t="s">
        <v>14</v>
      </c>
      <c r="T344" s="26">
        <v>800</v>
      </c>
      <c r="U344" s="26">
        <v>36000000</v>
      </c>
      <c r="V344" s="26">
        <v>4895828.8000000007</v>
      </c>
      <c r="W344" s="26">
        <v>6.6847257255549293</v>
      </c>
      <c r="X344" s="26">
        <v>800</v>
      </c>
      <c r="Y344" s="26">
        <v>0</v>
      </c>
    </row>
    <row r="345" spans="1:25">
      <c r="A345" s="24" t="str">
        <f t="shared" si="69"/>
        <v>신규</v>
      </c>
      <c r="B345" s="24" t="str">
        <f>IF(COUNTIF(R$1:R344,R345)=0,"최초","리오더")</f>
        <v>최초</v>
      </c>
      <c r="C345" s="24" t="str">
        <f t="shared" si="70"/>
        <v>JOIEDF5507</v>
      </c>
      <c r="D345" s="24">
        <f t="shared" si="65"/>
        <v>1</v>
      </c>
      <c r="E345" s="24" t="str">
        <f t="shared" si="71"/>
        <v/>
      </c>
      <c r="F345" s="24">
        <f t="shared" si="66"/>
        <v>0</v>
      </c>
      <c r="G345" s="24" t="str">
        <f t="shared" si="72"/>
        <v>JOIEDF5507BL</v>
      </c>
      <c r="H345" s="24">
        <f t="shared" si="67"/>
        <v>1</v>
      </c>
      <c r="I345" s="24" t="str">
        <f t="shared" si="73"/>
        <v/>
      </c>
      <c r="J345" s="24">
        <f t="shared" si="68"/>
        <v>0</v>
      </c>
      <c r="K345" s="24" t="str">
        <f t="shared" si="74"/>
        <v>F5</v>
      </c>
      <c r="L345" s="24" t="str">
        <f>VLOOKUP(N345,CODE!K:P,CODE!$P$1,FALSE)</f>
        <v>ACC</v>
      </c>
      <c r="M345" s="24" t="str">
        <f>VLOOKUP(MID(R345,1,3),CODE!$B:$G,CODE!D$1,FALSE)</f>
        <v>JOI</v>
      </c>
      <c r="N345" s="24" t="str">
        <f t="shared" si="75"/>
        <v>ED</v>
      </c>
      <c r="O345" s="29" t="str">
        <f>IF(ISERROR(IF(VLOOKUP($N345,CODE!$K:$P,CODE!$O$1,FALSE)="",$M345,$M345&amp;"-"&amp;VLOOKUP($N345,CODE!$K:$P,CODE!$O$1,FALSE)))=TRUE,"",IF(VLOOKUP($N345,CODE!$K:$P,CODE!$O$1,FALSE)="",$M345,$M345&amp;"-"&amp;VLOOKUP($N345,CODE!$K:$P,CODE!$O$1,FALSE)))</f>
        <v>JOI-ACC</v>
      </c>
      <c r="P345" s="29" t="str">
        <f t="shared" si="76"/>
        <v>키즈</v>
      </c>
      <c r="Q345" s="29" t="str">
        <f t="shared" si="77"/>
        <v>JOIEDF5507</v>
      </c>
      <c r="R345" s="1" t="s">
        <v>1139</v>
      </c>
      <c r="S345" s="1" t="s">
        <v>14</v>
      </c>
      <c r="T345" s="26">
        <v>800</v>
      </c>
      <c r="U345" s="26">
        <v>23200000</v>
      </c>
      <c r="V345" s="26">
        <v>3508720.0000000005</v>
      </c>
      <c r="W345" s="26">
        <v>6.0109980536802841</v>
      </c>
      <c r="X345" s="26">
        <v>799</v>
      </c>
      <c r="Y345" s="26">
        <v>0</v>
      </c>
    </row>
    <row r="346" spans="1:25">
      <c r="A346" s="24" t="str">
        <f t="shared" si="69"/>
        <v>신규</v>
      </c>
      <c r="B346" s="24" t="str">
        <f>IF(COUNTIF(R$1:R345,R346)=0,"최초","리오더")</f>
        <v>최초</v>
      </c>
      <c r="C346" s="24" t="str">
        <f t="shared" si="70"/>
        <v>JOIEBF5508</v>
      </c>
      <c r="D346" s="24">
        <f t="shared" si="65"/>
        <v>1</v>
      </c>
      <c r="E346" s="24" t="str">
        <f t="shared" si="71"/>
        <v/>
      </c>
      <c r="F346" s="24">
        <f t="shared" si="66"/>
        <v>0</v>
      </c>
      <c r="G346" s="24" t="str">
        <f t="shared" si="72"/>
        <v>JOIEBF5508IV</v>
      </c>
      <c r="H346" s="24">
        <f t="shared" si="67"/>
        <v>1</v>
      </c>
      <c r="I346" s="24" t="str">
        <f t="shared" si="73"/>
        <v/>
      </c>
      <c r="J346" s="24">
        <f t="shared" si="68"/>
        <v>0</v>
      </c>
      <c r="K346" s="24" t="str">
        <f t="shared" si="74"/>
        <v>F5</v>
      </c>
      <c r="L346" s="24" t="str">
        <f>VLOOKUP(N346,CODE!K:P,CODE!$P$1,FALSE)</f>
        <v>모자</v>
      </c>
      <c r="M346" s="24" t="str">
        <f>VLOOKUP(MID(R346,1,3),CODE!$B:$G,CODE!D$1,FALSE)</f>
        <v>JOI</v>
      </c>
      <c r="N346" s="24" t="str">
        <f t="shared" si="75"/>
        <v>EB</v>
      </c>
      <c r="O346" s="29" t="str">
        <f>IF(ISERROR(IF(VLOOKUP($N346,CODE!$K:$P,CODE!$O$1,FALSE)="",$M346,$M346&amp;"-"&amp;VLOOKUP($N346,CODE!$K:$P,CODE!$O$1,FALSE)))=TRUE,"",IF(VLOOKUP($N346,CODE!$K:$P,CODE!$O$1,FALSE)="",$M346,$M346&amp;"-"&amp;VLOOKUP($N346,CODE!$K:$P,CODE!$O$1,FALSE)))</f>
        <v>JOI</v>
      </c>
      <c r="P346" s="29" t="str">
        <f t="shared" si="76"/>
        <v>키즈</v>
      </c>
      <c r="Q346" s="29" t="str">
        <f t="shared" si="77"/>
        <v>JOIEBF5508</v>
      </c>
      <c r="R346" s="1" t="s">
        <v>1140</v>
      </c>
      <c r="S346" s="1" t="s">
        <v>14</v>
      </c>
      <c r="T346" s="26">
        <v>1200</v>
      </c>
      <c r="U346" s="26">
        <v>58800000</v>
      </c>
      <c r="V346" s="26">
        <v>7732812</v>
      </c>
      <c r="W346" s="26">
        <v>6.9126917160982897</v>
      </c>
      <c r="X346" s="26">
        <v>1201</v>
      </c>
      <c r="Y346" s="26">
        <v>0</v>
      </c>
    </row>
    <row r="347" spans="1:25">
      <c r="A347" s="24" t="str">
        <f t="shared" si="69"/>
        <v>신규</v>
      </c>
      <c r="B347" s="24" t="str">
        <f>IF(COUNTIF(R$1:R346,R347)=0,"최초","리오더")</f>
        <v>최초</v>
      </c>
      <c r="C347" s="24" t="str">
        <f t="shared" si="70"/>
        <v>URBTHF5003</v>
      </c>
      <c r="D347" s="24">
        <f t="shared" si="65"/>
        <v>1</v>
      </c>
      <c r="E347" s="24" t="str">
        <f t="shared" si="71"/>
        <v/>
      </c>
      <c r="F347" s="24">
        <f t="shared" si="66"/>
        <v>0</v>
      </c>
      <c r="G347" s="24" t="str">
        <f t="shared" si="72"/>
        <v>URBTHF5003BK</v>
      </c>
      <c r="H347" s="24">
        <f t="shared" si="67"/>
        <v>1</v>
      </c>
      <c r="I347" s="24" t="str">
        <f t="shared" si="73"/>
        <v/>
      </c>
      <c r="J347" s="24">
        <f t="shared" si="68"/>
        <v>0</v>
      </c>
      <c r="K347" s="24" t="str">
        <f t="shared" si="74"/>
        <v>F5</v>
      </c>
      <c r="L347" s="24" t="str">
        <f>VLOOKUP(N347,CODE!K:P,CODE!$P$1,FALSE)</f>
        <v>의류</v>
      </c>
      <c r="M347" s="24" t="str">
        <f>VLOOKUP(MID(R347,1,3),CODE!$B:$G,CODE!D$1,FALSE)</f>
        <v>URB</v>
      </c>
      <c r="N347" s="24" t="str">
        <f t="shared" si="75"/>
        <v>TH</v>
      </c>
      <c r="O347" s="29" t="str">
        <f>IF(ISERROR(IF(VLOOKUP($N347,CODE!$K:$P,CODE!$O$1,FALSE)="",$M347,$M347&amp;"-"&amp;VLOOKUP($N347,CODE!$K:$P,CODE!$O$1,FALSE)))=TRUE,"",IF(VLOOKUP($N347,CODE!$K:$P,CODE!$O$1,FALSE)="",$M347,$M347&amp;"-"&amp;VLOOKUP($N347,CODE!$K:$P,CODE!$O$1,FALSE)))</f>
        <v>URB-의류</v>
      </c>
      <c r="P347" s="29" t="str">
        <f t="shared" si="76"/>
        <v>성인</v>
      </c>
      <c r="Q347" s="29" t="str">
        <f t="shared" si="77"/>
        <v>URBTHF5003</v>
      </c>
      <c r="R347" s="1" t="s">
        <v>1141</v>
      </c>
      <c r="S347" s="1" t="s">
        <v>14</v>
      </c>
      <c r="T347" s="26">
        <v>1200</v>
      </c>
      <c r="U347" s="26">
        <v>106800000</v>
      </c>
      <c r="V347" s="26">
        <v>24279000</v>
      </c>
      <c r="W347" s="26">
        <v>3.9989665592038008</v>
      </c>
      <c r="X347" s="26">
        <v>1266</v>
      </c>
      <c r="Y347" s="26">
        <v>0</v>
      </c>
    </row>
    <row r="348" spans="1:25">
      <c r="A348" s="24" t="str">
        <f t="shared" si="69"/>
        <v>신규</v>
      </c>
      <c r="B348" s="24" t="str">
        <f>IF(COUNTIF(R$1:R347,R348)=0,"최초","리오더")</f>
        <v>최초</v>
      </c>
      <c r="C348" s="24" t="str">
        <f t="shared" si="70"/>
        <v>URBHPF5004</v>
      </c>
      <c r="D348" s="24">
        <f t="shared" si="65"/>
        <v>1</v>
      </c>
      <c r="E348" s="24" t="str">
        <f t="shared" si="71"/>
        <v/>
      </c>
      <c r="F348" s="24">
        <f t="shared" si="66"/>
        <v>0</v>
      </c>
      <c r="G348" s="24" t="str">
        <f t="shared" si="72"/>
        <v>URBHPF5004BK</v>
      </c>
      <c r="H348" s="24">
        <f t="shared" si="67"/>
        <v>1</v>
      </c>
      <c r="I348" s="24" t="str">
        <f t="shared" si="73"/>
        <v/>
      </c>
      <c r="J348" s="24">
        <f t="shared" si="68"/>
        <v>0</v>
      </c>
      <c r="K348" s="24" t="str">
        <f t="shared" si="74"/>
        <v>F5</v>
      </c>
      <c r="L348" s="24" t="str">
        <f>VLOOKUP(N348,CODE!K:P,CODE!$P$1,FALSE)</f>
        <v>의류</v>
      </c>
      <c r="M348" s="24" t="str">
        <f>VLOOKUP(MID(R348,1,3),CODE!$B:$G,CODE!D$1,FALSE)</f>
        <v>URB</v>
      </c>
      <c r="N348" s="24" t="str">
        <f t="shared" si="75"/>
        <v>HP</v>
      </c>
      <c r="O348" s="29" t="str">
        <f>IF(ISERROR(IF(VLOOKUP($N348,CODE!$K:$P,CODE!$O$1,FALSE)="",$M348,$M348&amp;"-"&amp;VLOOKUP($N348,CODE!$K:$P,CODE!$O$1,FALSE)))=TRUE,"",IF(VLOOKUP($N348,CODE!$K:$P,CODE!$O$1,FALSE)="",$M348,$M348&amp;"-"&amp;VLOOKUP($N348,CODE!$K:$P,CODE!$O$1,FALSE)))</f>
        <v>URB-의류</v>
      </c>
      <c r="P348" s="29" t="str">
        <f t="shared" si="76"/>
        <v>성인</v>
      </c>
      <c r="Q348" s="29" t="str">
        <f t="shared" si="77"/>
        <v>URBHPF5004</v>
      </c>
      <c r="R348" s="1" t="s">
        <v>1142</v>
      </c>
      <c r="S348" s="1" t="s">
        <v>14</v>
      </c>
      <c r="T348" s="26">
        <v>1200</v>
      </c>
      <c r="U348" s="26">
        <v>142800000</v>
      </c>
      <c r="V348" s="26">
        <v>35782800.000000007</v>
      </c>
      <c r="W348" s="26">
        <v>3.6279492331003098</v>
      </c>
      <c r="X348" s="26">
        <v>1242</v>
      </c>
      <c r="Y348" s="26">
        <v>0</v>
      </c>
    </row>
    <row r="349" spans="1:25">
      <c r="A349" s="24" t="str">
        <f t="shared" si="69"/>
        <v>신규</v>
      </c>
      <c r="B349" s="24" t="str">
        <f>IF(COUNTIF(R$1:R348,R349)=0,"최초","리오더")</f>
        <v>최초</v>
      </c>
      <c r="C349" s="24" t="str">
        <f t="shared" si="70"/>
        <v>URBJPF5005</v>
      </c>
      <c r="D349" s="24">
        <f t="shared" si="65"/>
        <v>1</v>
      </c>
      <c r="E349" s="24" t="str">
        <f t="shared" si="71"/>
        <v/>
      </c>
      <c r="F349" s="24">
        <f t="shared" si="66"/>
        <v>0</v>
      </c>
      <c r="G349" s="24" t="str">
        <f t="shared" si="72"/>
        <v>URBJPF5005BK</v>
      </c>
      <c r="H349" s="24">
        <f t="shared" si="67"/>
        <v>1</v>
      </c>
      <c r="I349" s="24" t="str">
        <f t="shared" si="73"/>
        <v/>
      </c>
      <c r="J349" s="24">
        <f t="shared" si="68"/>
        <v>0</v>
      </c>
      <c r="K349" s="24" t="str">
        <f t="shared" si="74"/>
        <v>F5</v>
      </c>
      <c r="L349" s="24" t="str">
        <f>VLOOKUP(N349,CODE!K:P,CODE!$P$1,FALSE)</f>
        <v>의류</v>
      </c>
      <c r="M349" s="24" t="str">
        <f>VLOOKUP(MID(R349,1,3),CODE!$B:$G,CODE!D$1,FALSE)</f>
        <v>URB</v>
      </c>
      <c r="N349" s="24" t="str">
        <f t="shared" si="75"/>
        <v>JP</v>
      </c>
      <c r="O349" s="29" t="str">
        <f>IF(ISERROR(IF(VLOOKUP($N349,CODE!$K:$P,CODE!$O$1,FALSE)="",$M349,$M349&amp;"-"&amp;VLOOKUP($N349,CODE!$K:$P,CODE!$O$1,FALSE)))=TRUE,"",IF(VLOOKUP($N349,CODE!$K:$P,CODE!$O$1,FALSE)="",$M349,$M349&amp;"-"&amp;VLOOKUP($N349,CODE!$K:$P,CODE!$O$1,FALSE)))</f>
        <v>URB-의류</v>
      </c>
      <c r="P349" s="29" t="str">
        <f t="shared" si="76"/>
        <v>성인</v>
      </c>
      <c r="Q349" s="29" t="str">
        <f t="shared" si="77"/>
        <v>URBJPF5005</v>
      </c>
      <c r="R349" s="1" t="s">
        <v>1143</v>
      </c>
      <c r="S349" s="1" t="s">
        <v>14</v>
      </c>
      <c r="T349" s="26">
        <v>1000</v>
      </c>
      <c r="U349" s="26">
        <v>158000000</v>
      </c>
      <c r="V349" s="26">
        <v>37557500</v>
      </c>
      <c r="W349" s="26">
        <v>3.8244388906706686</v>
      </c>
      <c r="X349" s="26">
        <v>1073</v>
      </c>
      <c r="Y349" s="26">
        <v>0</v>
      </c>
    </row>
    <row r="350" spans="1:25">
      <c r="A350" s="24" t="str">
        <f t="shared" si="69"/>
        <v>신규</v>
      </c>
      <c r="B350" s="24" t="str">
        <f>IF(COUNTIF(R$1:R349,R350)=0,"최초","리오더")</f>
        <v>최초</v>
      </c>
      <c r="C350" s="24" t="str">
        <f t="shared" si="70"/>
        <v>URBJPF5007</v>
      </c>
      <c r="D350" s="24">
        <f t="shared" si="65"/>
        <v>0.5</v>
      </c>
      <c r="E350" s="24" t="str">
        <f t="shared" si="71"/>
        <v/>
      </c>
      <c r="F350" s="24">
        <f t="shared" si="66"/>
        <v>0</v>
      </c>
      <c r="G350" s="24" t="str">
        <f t="shared" si="72"/>
        <v>URBJPF5007BK</v>
      </c>
      <c r="H350" s="24">
        <f t="shared" si="67"/>
        <v>1</v>
      </c>
      <c r="I350" s="24" t="str">
        <f t="shared" si="73"/>
        <v/>
      </c>
      <c r="J350" s="24">
        <f t="shared" si="68"/>
        <v>0</v>
      </c>
      <c r="K350" s="24" t="str">
        <f t="shared" si="74"/>
        <v>F5</v>
      </c>
      <c r="L350" s="24" t="str">
        <f>VLOOKUP(N350,CODE!K:P,CODE!$P$1,FALSE)</f>
        <v>의류</v>
      </c>
      <c r="M350" s="24" t="str">
        <f>VLOOKUP(MID(R350,1,3),CODE!$B:$G,CODE!D$1,FALSE)</f>
        <v>URB</v>
      </c>
      <c r="N350" s="24" t="str">
        <f t="shared" si="75"/>
        <v>JP</v>
      </c>
      <c r="O350" s="29" t="str">
        <f>IF(ISERROR(IF(VLOOKUP($N350,CODE!$K:$P,CODE!$O$1,FALSE)="",$M350,$M350&amp;"-"&amp;VLOOKUP($N350,CODE!$K:$P,CODE!$O$1,FALSE)))=TRUE,"",IF(VLOOKUP($N350,CODE!$K:$P,CODE!$O$1,FALSE)="",$M350,$M350&amp;"-"&amp;VLOOKUP($N350,CODE!$K:$P,CODE!$O$1,FALSE)))</f>
        <v>URB-의류</v>
      </c>
      <c r="P350" s="29" t="str">
        <f t="shared" si="76"/>
        <v>성인</v>
      </c>
      <c r="Q350" s="29" t="str">
        <f t="shared" si="77"/>
        <v>URBJPF5007</v>
      </c>
      <c r="R350" s="1" t="s">
        <v>1144</v>
      </c>
      <c r="S350" s="1" t="s">
        <v>14</v>
      </c>
      <c r="T350" s="26">
        <v>1500</v>
      </c>
      <c r="U350" s="26">
        <v>417000000</v>
      </c>
      <c r="V350" s="26">
        <v>100948125</v>
      </c>
      <c r="W350" s="26">
        <v>3.7553041137803107</v>
      </c>
      <c r="X350" s="26">
        <v>1640</v>
      </c>
      <c r="Y350" s="26">
        <v>0</v>
      </c>
    </row>
    <row r="351" spans="1:25">
      <c r="A351" s="24" t="str">
        <f t="shared" si="69"/>
        <v>신규</v>
      </c>
      <c r="B351" s="24" t="str">
        <f>IF(COUNTIF(R$1:R350,R351)=0,"최초","리오더")</f>
        <v>최초</v>
      </c>
      <c r="C351" s="24" t="str">
        <f t="shared" si="70"/>
        <v>URBJPF5007</v>
      </c>
      <c r="D351" s="24">
        <f t="shared" si="65"/>
        <v>0.5</v>
      </c>
      <c r="E351" s="24" t="str">
        <f t="shared" si="71"/>
        <v/>
      </c>
      <c r="F351" s="24">
        <f t="shared" si="66"/>
        <v>0</v>
      </c>
      <c r="G351" s="24" t="str">
        <f t="shared" si="72"/>
        <v>URBJPF5007RE</v>
      </c>
      <c r="H351" s="24">
        <f t="shared" si="67"/>
        <v>1</v>
      </c>
      <c r="I351" s="24" t="str">
        <f t="shared" si="73"/>
        <v/>
      </c>
      <c r="J351" s="24">
        <f t="shared" si="68"/>
        <v>0</v>
      </c>
      <c r="K351" s="24" t="str">
        <f t="shared" si="74"/>
        <v>F5</v>
      </c>
      <c r="L351" s="24" t="str">
        <f>VLOOKUP(N351,CODE!K:P,CODE!$P$1,FALSE)</f>
        <v>의류</v>
      </c>
      <c r="M351" s="24" t="str">
        <f>VLOOKUP(MID(R351,1,3),CODE!$B:$G,CODE!D$1,FALSE)</f>
        <v>URB</v>
      </c>
      <c r="N351" s="24" t="str">
        <f t="shared" si="75"/>
        <v>JP</v>
      </c>
      <c r="O351" s="29" t="str">
        <f>IF(ISERROR(IF(VLOOKUP($N351,CODE!$K:$P,CODE!$O$1,FALSE)="",$M351,$M351&amp;"-"&amp;VLOOKUP($N351,CODE!$K:$P,CODE!$O$1,FALSE)))=TRUE,"",IF(VLOOKUP($N351,CODE!$K:$P,CODE!$O$1,FALSE)="",$M351,$M351&amp;"-"&amp;VLOOKUP($N351,CODE!$K:$P,CODE!$O$1,FALSE)))</f>
        <v>URB-의류</v>
      </c>
      <c r="P351" s="29" t="str">
        <f t="shared" si="76"/>
        <v>성인</v>
      </c>
      <c r="Q351" s="29" t="str">
        <f t="shared" si="77"/>
        <v>URBJPF5007</v>
      </c>
      <c r="R351" s="1" t="s">
        <v>1145</v>
      </c>
      <c r="S351" s="1" t="s">
        <v>14</v>
      </c>
      <c r="T351" s="26">
        <v>1500</v>
      </c>
      <c r="U351" s="26">
        <v>417000000</v>
      </c>
      <c r="V351" s="26">
        <v>100948125</v>
      </c>
      <c r="W351" s="26">
        <v>3.7553041137803107</v>
      </c>
      <c r="X351" s="26">
        <v>1653</v>
      </c>
      <c r="Y351" s="26">
        <v>0</v>
      </c>
    </row>
    <row r="352" spans="1:25">
      <c r="A352" s="24" t="str">
        <f t="shared" si="69"/>
        <v>신규</v>
      </c>
      <c r="B352" s="24" t="str">
        <f>IF(COUNTIF(R$1:R351,R352)=0,"최초","리오더")</f>
        <v>최초</v>
      </c>
      <c r="C352" s="24" t="str">
        <f t="shared" si="70"/>
        <v>URBJPF5008</v>
      </c>
      <c r="D352" s="24">
        <f t="shared" si="65"/>
        <v>1</v>
      </c>
      <c r="E352" s="24" t="str">
        <f t="shared" si="71"/>
        <v/>
      </c>
      <c r="F352" s="24">
        <f t="shared" si="66"/>
        <v>0</v>
      </c>
      <c r="G352" s="24" t="str">
        <f t="shared" si="72"/>
        <v>URBJPF5008GY</v>
      </c>
      <c r="H352" s="24">
        <f t="shared" si="67"/>
        <v>1</v>
      </c>
      <c r="I352" s="24" t="str">
        <f t="shared" si="73"/>
        <v/>
      </c>
      <c r="J352" s="24">
        <f t="shared" si="68"/>
        <v>0</v>
      </c>
      <c r="K352" s="24" t="str">
        <f t="shared" si="74"/>
        <v>F5</v>
      </c>
      <c r="L352" s="24" t="str">
        <f>VLOOKUP(N352,CODE!K:P,CODE!$P$1,FALSE)</f>
        <v>의류</v>
      </c>
      <c r="M352" s="24" t="str">
        <f>VLOOKUP(MID(R352,1,3),CODE!$B:$G,CODE!D$1,FALSE)</f>
        <v>URB</v>
      </c>
      <c r="N352" s="24" t="str">
        <f t="shared" si="75"/>
        <v>JP</v>
      </c>
      <c r="O352" s="29" t="str">
        <f>IF(ISERROR(IF(VLOOKUP($N352,CODE!$K:$P,CODE!$O$1,FALSE)="",$M352,$M352&amp;"-"&amp;VLOOKUP($N352,CODE!$K:$P,CODE!$O$1,FALSE)))=TRUE,"",IF(VLOOKUP($N352,CODE!$K:$P,CODE!$O$1,FALSE)="",$M352,$M352&amp;"-"&amp;VLOOKUP($N352,CODE!$K:$P,CODE!$O$1,FALSE)))</f>
        <v>URB-의류</v>
      </c>
      <c r="P352" s="29" t="str">
        <f t="shared" si="76"/>
        <v>성인</v>
      </c>
      <c r="Q352" s="29" t="str">
        <f t="shared" si="77"/>
        <v>URBJPF5008</v>
      </c>
      <c r="R352" s="1" t="s">
        <v>1146</v>
      </c>
      <c r="S352" s="1" t="s">
        <v>14</v>
      </c>
      <c r="T352" s="26">
        <v>1500</v>
      </c>
      <c r="U352" s="26">
        <v>387000000</v>
      </c>
      <c r="V352" s="26">
        <v>88040999.999999985</v>
      </c>
      <c r="W352" s="26">
        <v>3.9960720779884586</v>
      </c>
      <c r="X352" s="26">
        <v>1618</v>
      </c>
      <c r="Y352" s="26">
        <v>0</v>
      </c>
    </row>
    <row r="353" spans="1:25">
      <c r="A353" s="24" t="str">
        <f t="shared" si="69"/>
        <v>신규</v>
      </c>
      <c r="B353" s="24" t="str">
        <f>IF(COUNTIF(R$1:R352,R353)=0,"최초","리오더")</f>
        <v>최초</v>
      </c>
      <c r="C353" s="24" t="str">
        <f t="shared" si="70"/>
        <v>WTRTPF5001</v>
      </c>
      <c r="D353" s="24">
        <f t="shared" si="65"/>
        <v>1</v>
      </c>
      <c r="E353" s="24" t="str">
        <f t="shared" si="71"/>
        <v/>
      </c>
      <c r="F353" s="24">
        <f t="shared" si="66"/>
        <v>0</v>
      </c>
      <c r="G353" s="24" t="str">
        <f t="shared" si="72"/>
        <v>WTRTPF5001BU</v>
      </c>
      <c r="H353" s="24">
        <f t="shared" si="67"/>
        <v>1</v>
      </c>
      <c r="I353" s="24" t="str">
        <f t="shared" si="73"/>
        <v/>
      </c>
      <c r="J353" s="24">
        <f t="shared" si="68"/>
        <v>0</v>
      </c>
      <c r="K353" s="24" t="str">
        <f t="shared" si="74"/>
        <v>F5</v>
      </c>
      <c r="L353" s="24" t="str">
        <f>VLOOKUP(N353,CODE!K:P,CODE!$P$1,FALSE)</f>
        <v>모자</v>
      </c>
      <c r="M353" s="24" t="str">
        <f>VLOOKUP(MID(R353,1,3),CODE!$B:$G,CODE!D$1,FALSE)</f>
        <v>WTR</v>
      </c>
      <c r="N353" s="24" t="str">
        <f t="shared" si="75"/>
        <v>TP</v>
      </c>
      <c r="O353" s="29" t="str">
        <f>IF(ISERROR(IF(VLOOKUP($N353,CODE!$K:$P,CODE!$O$1,FALSE)="",$M353,$M353&amp;"-"&amp;VLOOKUP($N353,CODE!$K:$P,CODE!$O$1,FALSE)))=TRUE,"",IF(VLOOKUP($N353,CODE!$K:$P,CODE!$O$1,FALSE)="",$M353,$M353&amp;"-"&amp;VLOOKUP($N353,CODE!$K:$P,CODE!$O$1,FALSE)))</f>
        <v>WTR</v>
      </c>
      <c r="P353" s="29" t="str">
        <f t="shared" si="76"/>
        <v>성인</v>
      </c>
      <c r="Q353" s="29" t="str">
        <f t="shared" si="77"/>
        <v>WTRTPF5001</v>
      </c>
      <c r="R353" s="1" t="s">
        <v>1147</v>
      </c>
      <c r="S353" s="1" t="s">
        <v>14</v>
      </c>
      <c r="T353" s="26">
        <v>800</v>
      </c>
      <c r="U353" s="26">
        <v>55200000</v>
      </c>
      <c r="V353" s="26">
        <v>10205912.000000002</v>
      </c>
      <c r="W353" s="26">
        <v>4.9169362014701052</v>
      </c>
      <c r="X353" s="26">
        <v>798</v>
      </c>
      <c r="Y353" s="26">
        <v>0</v>
      </c>
    </row>
    <row r="354" spans="1:25">
      <c r="A354" s="24" t="str">
        <f t="shared" si="69"/>
        <v>신규</v>
      </c>
      <c r="B354" s="24" t="str">
        <f>IF(COUNTIF(R$1:R353,R354)=0,"최초","리오더")</f>
        <v>최초</v>
      </c>
      <c r="C354" s="24" t="str">
        <f t="shared" si="70"/>
        <v>WTRTPF5002</v>
      </c>
      <c r="D354" s="24">
        <f t="shared" si="65"/>
        <v>1</v>
      </c>
      <c r="E354" s="24" t="str">
        <f t="shared" si="71"/>
        <v/>
      </c>
      <c r="F354" s="24">
        <f t="shared" si="66"/>
        <v>0</v>
      </c>
      <c r="G354" s="24" t="str">
        <f t="shared" si="72"/>
        <v>WTRTPF5002BK</v>
      </c>
      <c r="H354" s="24">
        <f t="shared" si="67"/>
        <v>1</v>
      </c>
      <c r="I354" s="24" t="str">
        <f t="shared" si="73"/>
        <v/>
      </c>
      <c r="J354" s="24">
        <f t="shared" si="68"/>
        <v>0</v>
      </c>
      <c r="K354" s="24" t="str">
        <f t="shared" si="74"/>
        <v>F5</v>
      </c>
      <c r="L354" s="24" t="str">
        <f>VLOOKUP(N354,CODE!K:P,CODE!$P$1,FALSE)</f>
        <v>모자</v>
      </c>
      <c r="M354" s="24" t="str">
        <f>VLOOKUP(MID(R354,1,3),CODE!$B:$G,CODE!D$1,FALSE)</f>
        <v>WTR</v>
      </c>
      <c r="N354" s="24" t="str">
        <f t="shared" si="75"/>
        <v>TP</v>
      </c>
      <c r="O354" s="29" t="str">
        <f>IF(ISERROR(IF(VLOOKUP($N354,CODE!$K:$P,CODE!$O$1,FALSE)="",$M354,$M354&amp;"-"&amp;VLOOKUP($N354,CODE!$K:$P,CODE!$O$1,FALSE)))=TRUE,"",IF(VLOOKUP($N354,CODE!$K:$P,CODE!$O$1,FALSE)="",$M354,$M354&amp;"-"&amp;VLOOKUP($N354,CODE!$K:$P,CODE!$O$1,FALSE)))</f>
        <v>WTR</v>
      </c>
      <c r="P354" s="29" t="str">
        <f t="shared" si="76"/>
        <v>성인</v>
      </c>
      <c r="Q354" s="29" t="str">
        <f t="shared" si="77"/>
        <v>WTRTPF5002</v>
      </c>
      <c r="R354" s="1" t="s">
        <v>1148</v>
      </c>
      <c r="S354" s="1" t="s">
        <v>14</v>
      </c>
      <c r="T354" s="26">
        <v>1000</v>
      </c>
      <c r="U354" s="26">
        <v>75000000</v>
      </c>
      <c r="V354" s="26">
        <v>14065760</v>
      </c>
      <c r="W354" s="26">
        <v>4.8473611224575262</v>
      </c>
      <c r="X354" s="26">
        <v>1000</v>
      </c>
      <c r="Y354" s="26">
        <v>0</v>
      </c>
    </row>
    <row r="355" spans="1:25">
      <c r="A355" s="24" t="str">
        <f t="shared" si="69"/>
        <v>신규</v>
      </c>
      <c r="B355" s="24" t="str">
        <f>IF(COUNTIF(R$1:R354,R355)=0,"최초","리오더")</f>
        <v>최초</v>
      </c>
      <c r="C355" s="24" t="str">
        <f t="shared" si="70"/>
        <v>SBRMIF3001</v>
      </c>
      <c r="D355" s="24">
        <f t="shared" si="65"/>
        <v>0.5</v>
      </c>
      <c r="E355" s="24" t="str">
        <f t="shared" si="71"/>
        <v/>
      </c>
      <c r="F355" s="24">
        <f t="shared" si="66"/>
        <v>0</v>
      </c>
      <c r="G355" s="24" t="str">
        <f t="shared" si="72"/>
        <v>SBRMIF3001BK</v>
      </c>
      <c r="H355" s="24">
        <f t="shared" si="67"/>
        <v>1</v>
      </c>
      <c r="I355" s="24" t="str">
        <f t="shared" si="73"/>
        <v/>
      </c>
      <c r="J355" s="24">
        <f t="shared" si="68"/>
        <v>0</v>
      </c>
      <c r="K355" s="24" t="str">
        <f t="shared" si="74"/>
        <v>F3</v>
      </c>
      <c r="L355" s="24" t="str">
        <f>VLOOKUP(N355,CODE!K:P,CODE!$P$1,FALSE)</f>
        <v>모자</v>
      </c>
      <c r="M355" s="24" t="str">
        <f>VLOOKUP(MID(R355,1,3),CODE!$B:$G,CODE!D$1,FALSE)</f>
        <v>SBR</v>
      </c>
      <c r="N355" s="24" t="str">
        <f t="shared" si="75"/>
        <v>MI</v>
      </c>
      <c r="O355" s="29" t="str">
        <f>IF(ISERROR(IF(VLOOKUP($N355,CODE!$K:$P,CODE!$O$1,FALSE)="",$M355,$M355&amp;"-"&amp;VLOOKUP($N355,CODE!$K:$P,CODE!$O$1,FALSE)))=TRUE,"",IF(VLOOKUP($N355,CODE!$K:$P,CODE!$O$1,FALSE)="",$M355,$M355&amp;"-"&amp;VLOOKUP($N355,CODE!$K:$P,CODE!$O$1,FALSE)))</f>
        <v>SBR</v>
      </c>
      <c r="P355" s="29" t="str">
        <f t="shared" si="76"/>
        <v>성인</v>
      </c>
      <c r="Q355" s="29" t="str">
        <f t="shared" si="77"/>
        <v>SBRMIF3001</v>
      </c>
      <c r="R355" s="1" t="s">
        <v>1149</v>
      </c>
      <c r="S355" s="1" t="s">
        <v>14</v>
      </c>
      <c r="T355" s="26">
        <v>4000</v>
      </c>
      <c r="U355" s="26">
        <v>180000000</v>
      </c>
      <c r="V355" s="26">
        <v>24898104.000000007</v>
      </c>
      <c r="W355" s="26">
        <v>6.5722419520925603</v>
      </c>
      <c r="X355" s="26">
        <v>3996</v>
      </c>
      <c r="Y355" s="26">
        <v>0</v>
      </c>
    </row>
    <row r="356" spans="1:25">
      <c r="A356" s="24" t="str">
        <f t="shared" si="69"/>
        <v>신규</v>
      </c>
      <c r="B356" s="24" t="str">
        <f>IF(COUNTIF(R$1:R355,R356)=0,"최초","리오더")</f>
        <v>최초</v>
      </c>
      <c r="C356" s="24" t="str">
        <f t="shared" si="70"/>
        <v>URBBEF5019</v>
      </c>
      <c r="D356" s="24">
        <f t="shared" si="65"/>
        <v>0.5</v>
      </c>
      <c r="E356" s="24" t="str">
        <f t="shared" si="71"/>
        <v/>
      </c>
      <c r="F356" s="24">
        <f t="shared" si="66"/>
        <v>0</v>
      </c>
      <c r="G356" s="24" t="str">
        <f t="shared" si="72"/>
        <v>URBBEF5019BK</v>
      </c>
      <c r="H356" s="24">
        <f t="shared" si="67"/>
        <v>1</v>
      </c>
      <c r="I356" s="24" t="str">
        <f t="shared" si="73"/>
        <v/>
      </c>
      <c r="J356" s="24">
        <f t="shared" si="68"/>
        <v>0</v>
      </c>
      <c r="K356" s="24" t="str">
        <f t="shared" si="74"/>
        <v>F5</v>
      </c>
      <c r="L356" s="24" t="str">
        <f>VLOOKUP(N356,CODE!K:P,CODE!$P$1,FALSE)</f>
        <v>모자</v>
      </c>
      <c r="M356" s="24" t="str">
        <f>VLOOKUP(MID(R356,1,3),CODE!$B:$G,CODE!D$1,FALSE)</f>
        <v>URB</v>
      </c>
      <c r="N356" s="24" t="str">
        <f t="shared" si="75"/>
        <v>BE</v>
      </c>
      <c r="O356" s="29" t="str">
        <f>IF(ISERROR(IF(VLOOKUP($N356,CODE!$K:$P,CODE!$O$1,FALSE)="",$M356,$M356&amp;"-"&amp;VLOOKUP($N356,CODE!$K:$P,CODE!$O$1,FALSE)))=TRUE,"",IF(VLOOKUP($N356,CODE!$K:$P,CODE!$O$1,FALSE)="",$M356,$M356&amp;"-"&amp;VLOOKUP($N356,CODE!$K:$P,CODE!$O$1,FALSE)))</f>
        <v>URB</v>
      </c>
      <c r="P356" s="29" t="str">
        <f t="shared" si="76"/>
        <v>성인</v>
      </c>
      <c r="Q356" s="29" t="str">
        <f t="shared" si="77"/>
        <v>URBBEF5019</v>
      </c>
      <c r="R356" s="1" t="s">
        <v>1150</v>
      </c>
      <c r="S356" s="1" t="s">
        <v>14</v>
      </c>
      <c r="T356" s="26">
        <v>1500</v>
      </c>
      <c r="U356" s="26">
        <v>58500000</v>
      </c>
      <c r="V356" s="26">
        <v>8009355</v>
      </c>
      <c r="W356" s="26">
        <v>6.6399626663842692</v>
      </c>
      <c r="X356" s="26">
        <v>1489</v>
      </c>
      <c r="Y356" s="26">
        <v>0</v>
      </c>
    </row>
    <row r="357" spans="1:25">
      <c r="A357" s="24" t="str">
        <f t="shared" si="69"/>
        <v>신규</v>
      </c>
      <c r="B357" s="24" t="str">
        <f>IF(COUNTIF(R$1:R356,R357)=0,"최초","리오더")</f>
        <v>최초</v>
      </c>
      <c r="C357" s="24" t="str">
        <f t="shared" si="70"/>
        <v>URBBEF5019</v>
      </c>
      <c r="D357" s="24">
        <f t="shared" si="65"/>
        <v>0.5</v>
      </c>
      <c r="E357" s="24" t="str">
        <f t="shared" si="71"/>
        <v/>
      </c>
      <c r="F357" s="24">
        <f t="shared" si="66"/>
        <v>0</v>
      </c>
      <c r="G357" s="24" t="str">
        <f t="shared" si="72"/>
        <v>URBBEF5019GY</v>
      </c>
      <c r="H357" s="24">
        <f t="shared" si="67"/>
        <v>1</v>
      </c>
      <c r="I357" s="24" t="str">
        <f t="shared" si="73"/>
        <v/>
      </c>
      <c r="J357" s="24">
        <f t="shared" si="68"/>
        <v>0</v>
      </c>
      <c r="K357" s="24" t="str">
        <f t="shared" si="74"/>
        <v>F5</v>
      </c>
      <c r="L357" s="24" t="str">
        <f>VLOOKUP(N357,CODE!K:P,CODE!$P$1,FALSE)</f>
        <v>모자</v>
      </c>
      <c r="M357" s="24" t="str">
        <f>VLOOKUP(MID(R357,1,3),CODE!$B:$G,CODE!D$1,FALSE)</f>
        <v>URB</v>
      </c>
      <c r="N357" s="24" t="str">
        <f t="shared" si="75"/>
        <v>BE</v>
      </c>
      <c r="O357" s="29" t="str">
        <f>IF(ISERROR(IF(VLOOKUP($N357,CODE!$K:$P,CODE!$O$1,FALSE)="",$M357,$M357&amp;"-"&amp;VLOOKUP($N357,CODE!$K:$P,CODE!$O$1,FALSE)))=TRUE,"",IF(VLOOKUP($N357,CODE!$K:$P,CODE!$O$1,FALSE)="",$M357,$M357&amp;"-"&amp;VLOOKUP($N357,CODE!$K:$P,CODE!$O$1,FALSE)))</f>
        <v>URB</v>
      </c>
      <c r="P357" s="29" t="str">
        <f t="shared" si="76"/>
        <v>성인</v>
      </c>
      <c r="Q357" s="29" t="str">
        <f t="shared" si="77"/>
        <v>URBBEF5019</v>
      </c>
      <c r="R357" s="1" t="s">
        <v>1151</v>
      </c>
      <c r="S357" s="1" t="s">
        <v>14</v>
      </c>
      <c r="T357" s="26">
        <v>1000</v>
      </c>
      <c r="U357" s="26">
        <v>39000000</v>
      </c>
      <c r="V357" s="26">
        <v>5339570</v>
      </c>
      <c r="W357" s="26">
        <v>6.6399626663842684</v>
      </c>
      <c r="X357" s="26">
        <v>1000</v>
      </c>
      <c r="Y357" s="26">
        <v>0</v>
      </c>
    </row>
    <row r="358" spans="1:25">
      <c r="A358" s="24" t="str">
        <f t="shared" si="69"/>
        <v>신규</v>
      </c>
      <c r="B358" s="24" t="str">
        <f>IF(COUNTIF(R$1:R357,R358)=0,"최초","리오더")</f>
        <v>최초</v>
      </c>
      <c r="C358" s="24" t="str">
        <f t="shared" si="70"/>
        <v>SBRBEF5031</v>
      </c>
      <c r="D358" s="24">
        <f t="shared" si="65"/>
        <v>0.2</v>
      </c>
      <c r="E358" s="24" t="str">
        <f t="shared" si="71"/>
        <v/>
      </c>
      <c r="F358" s="24">
        <f t="shared" si="66"/>
        <v>0</v>
      </c>
      <c r="G358" s="24" t="str">
        <f t="shared" si="72"/>
        <v>SBRBEF5031BK</v>
      </c>
      <c r="H358" s="24">
        <f t="shared" si="67"/>
        <v>1</v>
      </c>
      <c r="I358" s="24" t="str">
        <f t="shared" si="73"/>
        <v/>
      </c>
      <c r="J358" s="24">
        <f t="shared" si="68"/>
        <v>0</v>
      </c>
      <c r="K358" s="24" t="str">
        <f t="shared" si="74"/>
        <v>F5</v>
      </c>
      <c r="L358" s="24" t="str">
        <f>VLOOKUP(N358,CODE!K:P,CODE!$P$1,FALSE)</f>
        <v>모자</v>
      </c>
      <c r="M358" s="24" t="str">
        <f>VLOOKUP(MID(R358,1,3),CODE!$B:$G,CODE!D$1,FALSE)</f>
        <v>SBR</v>
      </c>
      <c r="N358" s="24" t="str">
        <f t="shared" si="75"/>
        <v>BE</v>
      </c>
      <c r="O358" s="29" t="str">
        <f>IF(ISERROR(IF(VLOOKUP($N358,CODE!$K:$P,CODE!$O$1,FALSE)="",$M358,$M358&amp;"-"&amp;VLOOKUP($N358,CODE!$K:$P,CODE!$O$1,FALSE)))=TRUE,"",IF(VLOOKUP($N358,CODE!$K:$P,CODE!$O$1,FALSE)="",$M358,$M358&amp;"-"&amp;VLOOKUP($N358,CODE!$K:$P,CODE!$O$1,FALSE)))</f>
        <v>SBR</v>
      </c>
      <c r="P358" s="29" t="str">
        <f t="shared" si="76"/>
        <v>성인</v>
      </c>
      <c r="Q358" s="29" t="str">
        <f t="shared" si="77"/>
        <v>SBRBEF5031</v>
      </c>
      <c r="R358" s="1" t="s">
        <v>1152</v>
      </c>
      <c r="S358" s="1" t="s">
        <v>14</v>
      </c>
      <c r="T358" s="26">
        <v>1500</v>
      </c>
      <c r="U358" s="26">
        <v>43500000</v>
      </c>
      <c r="V358" s="26">
        <v>5913300.0000000009</v>
      </c>
      <c r="W358" s="26">
        <v>6.6875441032003335</v>
      </c>
      <c r="X358" s="26">
        <v>1500</v>
      </c>
      <c r="Y358" s="26">
        <v>0</v>
      </c>
    </row>
    <row r="359" spans="1:25">
      <c r="A359" s="24" t="str">
        <f t="shared" si="69"/>
        <v>신규</v>
      </c>
      <c r="B359" s="24" t="str">
        <f>IF(COUNTIF(R$1:R358,R359)=0,"최초","리오더")</f>
        <v>최초</v>
      </c>
      <c r="C359" s="24" t="str">
        <f t="shared" si="70"/>
        <v>SBRBEF5031</v>
      </c>
      <c r="D359" s="24">
        <f t="shared" si="65"/>
        <v>0.2</v>
      </c>
      <c r="E359" s="24" t="str">
        <f t="shared" si="71"/>
        <v/>
      </c>
      <c r="F359" s="24">
        <f t="shared" si="66"/>
        <v>0</v>
      </c>
      <c r="G359" s="24" t="str">
        <f t="shared" si="72"/>
        <v>SBRBEF5031GY</v>
      </c>
      <c r="H359" s="24">
        <f t="shared" si="67"/>
        <v>1</v>
      </c>
      <c r="I359" s="24" t="str">
        <f t="shared" si="73"/>
        <v/>
      </c>
      <c r="J359" s="24">
        <f t="shared" si="68"/>
        <v>0</v>
      </c>
      <c r="K359" s="24" t="str">
        <f t="shared" si="74"/>
        <v>F5</v>
      </c>
      <c r="L359" s="24" t="str">
        <f>VLOOKUP(N359,CODE!K:P,CODE!$P$1,FALSE)</f>
        <v>모자</v>
      </c>
      <c r="M359" s="24" t="str">
        <f>VLOOKUP(MID(R359,1,3),CODE!$B:$G,CODE!D$1,FALSE)</f>
        <v>SBR</v>
      </c>
      <c r="N359" s="24" t="str">
        <f t="shared" si="75"/>
        <v>BE</v>
      </c>
      <c r="O359" s="29" t="str">
        <f>IF(ISERROR(IF(VLOOKUP($N359,CODE!$K:$P,CODE!$O$1,FALSE)="",$M359,$M359&amp;"-"&amp;VLOOKUP($N359,CODE!$K:$P,CODE!$O$1,FALSE)))=TRUE,"",IF(VLOOKUP($N359,CODE!$K:$P,CODE!$O$1,FALSE)="",$M359,$M359&amp;"-"&amp;VLOOKUP($N359,CODE!$K:$P,CODE!$O$1,FALSE)))</f>
        <v>SBR</v>
      </c>
      <c r="P359" s="29" t="str">
        <f t="shared" si="76"/>
        <v>성인</v>
      </c>
      <c r="Q359" s="29" t="str">
        <f t="shared" si="77"/>
        <v>SBRBEF5031</v>
      </c>
      <c r="R359" s="1" t="s">
        <v>1153</v>
      </c>
      <c r="S359" s="1" t="s">
        <v>14</v>
      </c>
      <c r="T359" s="26">
        <v>1000</v>
      </c>
      <c r="U359" s="26">
        <v>29000000</v>
      </c>
      <c r="V359" s="26">
        <v>3942200.0000000009</v>
      </c>
      <c r="W359" s="26">
        <v>6.6875441032003344</v>
      </c>
      <c r="X359" s="26">
        <v>1000</v>
      </c>
      <c r="Y359" s="26">
        <v>0</v>
      </c>
    </row>
    <row r="360" spans="1:25">
      <c r="A360" s="24" t="str">
        <f t="shared" si="69"/>
        <v>신규</v>
      </c>
      <c r="B360" s="24" t="str">
        <f>IF(COUNTIF(R$1:R359,R360)=0,"최초","리오더")</f>
        <v>최초</v>
      </c>
      <c r="C360" s="24" t="str">
        <f t="shared" si="70"/>
        <v>SBRBEF5031</v>
      </c>
      <c r="D360" s="24">
        <f t="shared" si="65"/>
        <v>0.2</v>
      </c>
      <c r="E360" s="24" t="str">
        <f t="shared" si="71"/>
        <v/>
      </c>
      <c r="F360" s="24">
        <f t="shared" si="66"/>
        <v>0</v>
      </c>
      <c r="G360" s="24" t="str">
        <f t="shared" si="72"/>
        <v>SBRBEF5031BL</v>
      </c>
      <c r="H360" s="24">
        <f t="shared" si="67"/>
        <v>1</v>
      </c>
      <c r="I360" s="24" t="str">
        <f t="shared" si="73"/>
        <v/>
      </c>
      <c r="J360" s="24">
        <f t="shared" si="68"/>
        <v>0</v>
      </c>
      <c r="K360" s="24" t="str">
        <f t="shared" si="74"/>
        <v>F5</v>
      </c>
      <c r="L360" s="24" t="str">
        <f>VLOOKUP(N360,CODE!K:P,CODE!$P$1,FALSE)</f>
        <v>모자</v>
      </c>
      <c r="M360" s="24" t="str">
        <f>VLOOKUP(MID(R360,1,3),CODE!$B:$G,CODE!D$1,FALSE)</f>
        <v>SBR</v>
      </c>
      <c r="N360" s="24" t="str">
        <f t="shared" si="75"/>
        <v>BE</v>
      </c>
      <c r="O360" s="29" t="str">
        <f>IF(ISERROR(IF(VLOOKUP($N360,CODE!$K:$P,CODE!$O$1,FALSE)="",$M360,$M360&amp;"-"&amp;VLOOKUP($N360,CODE!$K:$P,CODE!$O$1,FALSE)))=TRUE,"",IF(VLOOKUP($N360,CODE!$K:$P,CODE!$O$1,FALSE)="",$M360,$M360&amp;"-"&amp;VLOOKUP($N360,CODE!$K:$P,CODE!$O$1,FALSE)))</f>
        <v>SBR</v>
      </c>
      <c r="P360" s="29" t="str">
        <f t="shared" si="76"/>
        <v>성인</v>
      </c>
      <c r="Q360" s="29" t="str">
        <f t="shared" si="77"/>
        <v>SBRBEF5031</v>
      </c>
      <c r="R360" s="1" t="s">
        <v>1154</v>
      </c>
      <c r="S360" s="1" t="s">
        <v>14</v>
      </c>
      <c r="T360" s="26">
        <v>1200</v>
      </c>
      <c r="U360" s="26">
        <v>34800000</v>
      </c>
      <c r="V360" s="26">
        <v>4730640.0000000009</v>
      </c>
      <c r="W360" s="26">
        <v>6.6875441032003335</v>
      </c>
      <c r="X360" s="26">
        <v>1198</v>
      </c>
      <c r="Y360" s="26">
        <v>0</v>
      </c>
    </row>
    <row r="361" spans="1:25">
      <c r="A361" s="24" t="str">
        <f t="shared" si="69"/>
        <v>신규</v>
      </c>
      <c r="B361" s="24" t="str">
        <f>IF(COUNTIF(R$1:R360,R361)=0,"최초","리오더")</f>
        <v>최초</v>
      </c>
      <c r="C361" s="24" t="str">
        <f t="shared" si="70"/>
        <v>SBRBEF5031</v>
      </c>
      <c r="D361" s="24">
        <f t="shared" si="65"/>
        <v>0.2</v>
      </c>
      <c r="E361" s="24" t="str">
        <f t="shared" si="71"/>
        <v/>
      </c>
      <c r="F361" s="24">
        <f t="shared" si="66"/>
        <v>0</v>
      </c>
      <c r="G361" s="24" t="str">
        <f t="shared" si="72"/>
        <v>SBRBEF5031RE</v>
      </c>
      <c r="H361" s="24">
        <f t="shared" si="67"/>
        <v>1</v>
      </c>
      <c r="I361" s="24" t="str">
        <f t="shared" si="73"/>
        <v/>
      </c>
      <c r="J361" s="24">
        <f t="shared" si="68"/>
        <v>0</v>
      </c>
      <c r="K361" s="24" t="str">
        <f t="shared" si="74"/>
        <v>F5</v>
      </c>
      <c r="L361" s="24" t="str">
        <f>VLOOKUP(N361,CODE!K:P,CODE!$P$1,FALSE)</f>
        <v>모자</v>
      </c>
      <c r="M361" s="24" t="str">
        <f>VLOOKUP(MID(R361,1,3),CODE!$B:$G,CODE!D$1,FALSE)</f>
        <v>SBR</v>
      </c>
      <c r="N361" s="24" t="str">
        <f t="shared" si="75"/>
        <v>BE</v>
      </c>
      <c r="O361" s="29" t="str">
        <f>IF(ISERROR(IF(VLOOKUP($N361,CODE!$K:$P,CODE!$O$1,FALSE)="",$M361,$M361&amp;"-"&amp;VLOOKUP($N361,CODE!$K:$P,CODE!$O$1,FALSE)))=TRUE,"",IF(VLOOKUP($N361,CODE!$K:$P,CODE!$O$1,FALSE)="",$M361,$M361&amp;"-"&amp;VLOOKUP($N361,CODE!$K:$P,CODE!$O$1,FALSE)))</f>
        <v>SBR</v>
      </c>
      <c r="P361" s="29" t="str">
        <f t="shared" si="76"/>
        <v>성인</v>
      </c>
      <c r="Q361" s="29" t="str">
        <f t="shared" si="77"/>
        <v>SBRBEF5031</v>
      </c>
      <c r="R361" s="1" t="s">
        <v>1155</v>
      </c>
      <c r="S361" s="1" t="s">
        <v>14</v>
      </c>
      <c r="T361" s="26">
        <v>1000</v>
      </c>
      <c r="U361" s="26">
        <v>29000000</v>
      </c>
      <c r="V361" s="26">
        <v>3942200.0000000009</v>
      </c>
      <c r="W361" s="26">
        <v>6.6875441032003344</v>
      </c>
      <c r="X361" s="26">
        <v>999</v>
      </c>
      <c r="Y361" s="26">
        <v>0</v>
      </c>
    </row>
    <row r="362" spans="1:25">
      <c r="A362" s="24" t="str">
        <f t="shared" si="69"/>
        <v>신규</v>
      </c>
      <c r="B362" s="24" t="str">
        <f>IF(COUNTIF(R$1:R361,R362)=0,"최초","리오더")</f>
        <v>최초</v>
      </c>
      <c r="C362" s="24" t="str">
        <f t="shared" si="70"/>
        <v>SBRBEF5031</v>
      </c>
      <c r="D362" s="24">
        <f t="shared" si="65"/>
        <v>0.2</v>
      </c>
      <c r="E362" s="24" t="str">
        <f t="shared" si="71"/>
        <v/>
      </c>
      <c r="F362" s="24">
        <f t="shared" si="66"/>
        <v>0</v>
      </c>
      <c r="G362" s="24" t="str">
        <f t="shared" si="72"/>
        <v>SBRBEF5031PK</v>
      </c>
      <c r="H362" s="24">
        <f t="shared" si="67"/>
        <v>1</v>
      </c>
      <c r="I362" s="24" t="str">
        <f t="shared" si="73"/>
        <v/>
      </c>
      <c r="J362" s="24">
        <f t="shared" si="68"/>
        <v>0</v>
      </c>
      <c r="K362" s="24" t="str">
        <f t="shared" si="74"/>
        <v>F5</v>
      </c>
      <c r="L362" s="24" t="str">
        <f>VLOOKUP(N362,CODE!K:P,CODE!$P$1,FALSE)</f>
        <v>모자</v>
      </c>
      <c r="M362" s="24" t="str">
        <f>VLOOKUP(MID(R362,1,3),CODE!$B:$G,CODE!D$1,FALSE)</f>
        <v>SBR</v>
      </c>
      <c r="N362" s="24" t="str">
        <f t="shared" si="75"/>
        <v>BE</v>
      </c>
      <c r="O362" s="29" t="str">
        <f>IF(ISERROR(IF(VLOOKUP($N362,CODE!$K:$P,CODE!$O$1,FALSE)="",$M362,$M362&amp;"-"&amp;VLOOKUP($N362,CODE!$K:$P,CODE!$O$1,FALSE)))=TRUE,"",IF(VLOOKUP($N362,CODE!$K:$P,CODE!$O$1,FALSE)="",$M362,$M362&amp;"-"&amp;VLOOKUP($N362,CODE!$K:$P,CODE!$O$1,FALSE)))</f>
        <v>SBR</v>
      </c>
      <c r="P362" s="29" t="str">
        <f t="shared" si="76"/>
        <v>성인</v>
      </c>
      <c r="Q362" s="29" t="str">
        <f t="shared" si="77"/>
        <v>SBRBEF5031</v>
      </c>
      <c r="R362" s="1" t="s">
        <v>1156</v>
      </c>
      <c r="S362" s="1" t="s">
        <v>14</v>
      </c>
      <c r="T362" s="26">
        <v>800</v>
      </c>
      <c r="U362" s="26">
        <v>23200000</v>
      </c>
      <c r="V362" s="26">
        <v>3153760.0000000005</v>
      </c>
      <c r="W362" s="26">
        <v>6.6875441032003335</v>
      </c>
      <c r="X362" s="26">
        <v>799</v>
      </c>
      <c r="Y362" s="26">
        <v>0</v>
      </c>
    </row>
    <row r="363" spans="1:25">
      <c r="A363" s="24" t="str">
        <f t="shared" si="69"/>
        <v>신규</v>
      </c>
      <c r="B363" s="24" t="str">
        <f>IF(COUNTIF(R$1:R362,R363)=0,"최초","리오더")</f>
        <v>최초</v>
      </c>
      <c r="C363" s="24" t="str">
        <f t="shared" si="70"/>
        <v>SBRBEF5032</v>
      </c>
      <c r="D363" s="24">
        <f t="shared" si="65"/>
        <v>0.14285714285714285</v>
      </c>
      <c r="E363" s="24" t="str">
        <f t="shared" si="71"/>
        <v/>
      </c>
      <c r="F363" s="24">
        <f t="shared" si="66"/>
        <v>0</v>
      </c>
      <c r="G363" s="24" t="str">
        <f t="shared" si="72"/>
        <v>SBRBEF5032YE</v>
      </c>
      <c r="H363" s="24">
        <f t="shared" si="67"/>
        <v>1</v>
      </c>
      <c r="I363" s="24" t="str">
        <f t="shared" si="73"/>
        <v/>
      </c>
      <c r="J363" s="24">
        <f t="shared" si="68"/>
        <v>0</v>
      </c>
      <c r="K363" s="24" t="str">
        <f t="shared" si="74"/>
        <v>F5</v>
      </c>
      <c r="L363" s="24" t="str">
        <f>VLOOKUP(N363,CODE!K:P,CODE!$P$1,FALSE)</f>
        <v>모자</v>
      </c>
      <c r="M363" s="24" t="str">
        <f>VLOOKUP(MID(R363,1,3),CODE!$B:$G,CODE!D$1,FALSE)</f>
        <v>SBR</v>
      </c>
      <c r="N363" s="24" t="str">
        <f t="shared" si="75"/>
        <v>BE</v>
      </c>
      <c r="O363" s="29" t="str">
        <f>IF(ISERROR(IF(VLOOKUP($N363,CODE!$K:$P,CODE!$O$1,FALSE)="",$M363,$M363&amp;"-"&amp;VLOOKUP($N363,CODE!$K:$P,CODE!$O$1,FALSE)))=TRUE,"",IF(VLOOKUP($N363,CODE!$K:$P,CODE!$O$1,FALSE)="",$M363,$M363&amp;"-"&amp;VLOOKUP($N363,CODE!$K:$P,CODE!$O$1,FALSE)))</f>
        <v>SBR</v>
      </c>
      <c r="P363" s="29" t="str">
        <f t="shared" si="76"/>
        <v>성인</v>
      </c>
      <c r="Q363" s="29" t="str">
        <f t="shared" si="77"/>
        <v>SBRBEF5032</v>
      </c>
      <c r="R363" s="1" t="s">
        <v>1157</v>
      </c>
      <c r="S363" s="1" t="s">
        <v>14</v>
      </c>
      <c r="T363" s="26">
        <v>1200</v>
      </c>
      <c r="U363" s="26">
        <v>42000000</v>
      </c>
      <c r="V363" s="26">
        <v>4820702.4000000004</v>
      </c>
      <c r="W363" s="26">
        <v>7.9203848347531629</v>
      </c>
      <c r="X363" s="26">
        <v>1198</v>
      </c>
      <c r="Y363" s="26">
        <v>0</v>
      </c>
    </row>
    <row r="364" spans="1:25">
      <c r="A364" s="24" t="str">
        <f t="shared" si="69"/>
        <v>신규</v>
      </c>
      <c r="B364" s="24" t="str">
        <f>IF(COUNTIF(R$1:R363,R364)=0,"최초","리오더")</f>
        <v>최초</v>
      </c>
      <c r="C364" s="24" t="str">
        <f t="shared" si="70"/>
        <v>SBRBEF5032</v>
      </c>
      <c r="D364" s="24">
        <f t="shared" si="65"/>
        <v>0.14285714285714285</v>
      </c>
      <c r="E364" s="24" t="str">
        <f t="shared" si="71"/>
        <v/>
      </c>
      <c r="F364" s="24">
        <f t="shared" si="66"/>
        <v>0</v>
      </c>
      <c r="G364" s="24" t="str">
        <f t="shared" si="72"/>
        <v>SBRBEF5032BL</v>
      </c>
      <c r="H364" s="24">
        <f t="shared" si="67"/>
        <v>1</v>
      </c>
      <c r="I364" s="24" t="str">
        <f t="shared" si="73"/>
        <v/>
      </c>
      <c r="J364" s="24">
        <f t="shared" si="68"/>
        <v>0</v>
      </c>
      <c r="K364" s="24" t="str">
        <f t="shared" si="74"/>
        <v>F5</v>
      </c>
      <c r="L364" s="24" t="str">
        <f>VLOOKUP(N364,CODE!K:P,CODE!$P$1,FALSE)</f>
        <v>모자</v>
      </c>
      <c r="M364" s="24" t="str">
        <f>VLOOKUP(MID(R364,1,3),CODE!$B:$G,CODE!D$1,FALSE)</f>
        <v>SBR</v>
      </c>
      <c r="N364" s="24" t="str">
        <f t="shared" si="75"/>
        <v>BE</v>
      </c>
      <c r="O364" s="29" t="str">
        <f>IF(ISERROR(IF(VLOOKUP($N364,CODE!$K:$P,CODE!$O$1,FALSE)="",$M364,$M364&amp;"-"&amp;VLOOKUP($N364,CODE!$K:$P,CODE!$O$1,FALSE)))=TRUE,"",IF(VLOOKUP($N364,CODE!$K:$P,CODE!$O$1,FALSE)="",$M364,$M364&amp;"-"&amp;VLOOKUP($N364,CODE!$K:$P,CODE!$O$1,FALSE)))</f>
        <v>SBR</v>
      </c>
      <c r="P364" s="29" t="str">
        <f t="shared" si="76"/>
        <v>성인</v>
      </c>
      <c r="Q364" s="29" t="str">
        <f t="shared" si="77"/>
        <v>SBRBEF5032</v>
      </c>
      <c r="R364" s="1" t="s">
        <v>1158</v>
      </c>
      <c r="S364" s="1" t="s">
        <v>14</v>
      </c>
      <c r="T364" s="26">
        <v>1500</v>
      </c>
      <c r="U364" s="26">
        <v>52500000</v>
      </c>
      <c r="V364" s="26">
        <v>5575878.0000000009</v>
      </c>
      <c r="W364" s="26">
        <v>8.559597739992288</v>
      </c>
      <c r="X364" s="26">
        <v>1500</v>
      </c>
      <c r="Y364" s="26">
        <v>0</v>
      </c>
    </row>
    <row r="365" spans="1:25">
      <c r="A365" s="24" t="str">
        <f t="shared" si="69"/>
        <v>신규</v>
      </c>
      <c r="B365" s="24" t="str">
        <f>IF(COUNTIF(R$1:R364,R365)=0,"최초","리오더")</f>
        <v>최초</v>
      </c>
      <c r="C365" s="24" t="str">
        <f t="shared" si="70"/>
        <v>SBRBEF5032</v>
      </c>
      <c r="D365" s="24">
        <f t="shared" si="65"/>
        <v>0.14285714285714285</v>
      </c>
      <c r="E365" s="24" t="str">
        <f t="shared" si="71"/>
        <v/>
      </c>
      <c r="F365" s="24">
        <f t="shared" si="66"/>
        <v>0</v>
      </c>
      <c r="G365" s="24" t="str">
        <f t="shared" si="72"/>
        <v>SBRBEF5032RE</v>
      </c>
      <c r="H365" s="24">
        <f t="shared" si="67"/>
        <v>1</v>
      </c>
      <c r="I365" s="24" t="str">
        <f t="shared" si="73"/>
        <v/>
      </c>
      <c r="J365" s="24">
        <f t="shared" si="68"/>
        <v>0</v>
      </c>
      <c r="K365" s="24" t="str">
        <f t="shared" si="74"/>
        <v>F5</v>
      </c>
      <c r="L365" s="24" t="str">
        <f>VLOOKUP(N365,CODE!K:P,CODE!$P$1,FALSE)</f>
        <v>모자</v>
      </c>
      <c r="M365" s="24" t="str">
        <f>VLOOKUP(MID(R365,1,3),CODE!$B:$G,CODE!D$1,FALSE)</f>
        <v>SBR</v>
      </c>
      <c r="N365" s="24" t="str">
        <f t="shared" si="75"/>
        <v>BE</v>
      </c>
      <c r="O365" s="29" t="str">
        <f>IF(ISERROR(IF(VLOOKUP($N365,CODE!$K:$P,CODE!$O$1,FALSE)="",$M365,$M365&amp;"-"&amp;VLOOKUP($N365,CODE!$K:$P,CODE!$O$1,FALSE)))=TRUE,"",IF(VLOOKUP($N365,CODE!$K:$P,CODE!$O$1,FALSE)="",$M365,$M365&amp;"-"&amp;VLOOKUP($N365,CODE!$K:$P,CODE!$O$1,FALSE)))</f>
        <v>SBR</v>
      </c>
      <c r="P365" s="29" t="str">
        <f t="shared" si="76"/>
        <v>성인</v>
      </c>
      <c r="Q365" s="29" t="str">
        <f t="shared" si="77"/>
        <v>SBRBEF5032</v>
      </c>
      <c r="R365" s="1" t="s">
        <v>1159</v>
      </c>
      <c r="S365" s="1" t="s">
        <v>14</v>
      </c>
      <c r="T365" s="26">
        <v>2000</v>
      </c>
      <c r="U365" s="26">
        <v>70000000</v>
      </c>
      <c r="V365" s="26">
        <v>7434504.0000000009</v>
      </c>
      <c r="W365" s="26">
        <v>8.559597739992288</v>
      </c>
      <c r="X365" s="26">
        <v>2000</v>
      </c>
      <c r="Y365" s="26">
        <v>0</v>
      </c>
    </row>
    <row r="366" spans="1:25">
      <c r="A366" s="24" t="str">
        <f t="shared" si="69"/>
        <v>신규</v>
      </c>
      <c r="B366" s="24" t="str">
        <f>IF(COUNTIF(R$1:R365,R366)=0,"최초","리오더")</f>
        <v>최초</v>
      </c>
      <c r="C366" s="24" t="str">
        <f t="shared" si="70"/>
        <v>SBRBEF5032</v>
      </c>
      <c r="D366" s="24">
        <f t="shared" si="65"/>
        <v>0.14285714285714285</v>
      </c>
      <c r="E366" s="24" t="str">
        <f t="shared" si="71"/>
        <v/>
      </c>
      <c r="F366" s="24">
        <f t="shared" si="66"/>
        <v>0</v>
      </c>
      <c r="G366" s="24" t="str">
        <f t="shared" si="72"/>
        <v>SBRBEF5032GR</v>
      </c>
      <c r="H366" s="24">
        <f t="shared" si="67"/>
        <v>1</v>
      </c>
      <c r="I366" s="24" t="str">
        <f t="shared" si="73"/>
        <v/>
      </c>
      <c r="J366" s="24">
        <f t="shared" si="68"/>
        <v>0</v>
      </c>
      <c r="K366" s="24" t="str">
        <f t="shared" si="74"/>
        <v>F5</v>
      </c>
      <c r="L366" s="24" t="str">
        <f>VLOOKUP(N366,CODE!K:P,CODE!$P$1,FALSE)</f>
        <v>모자</v>
      </c>
      <c r="M366" s="24" t="str">
        <f>VLOOKUP(MID(R366,1,3),CODE!$B:$G,CODE!D$1,FALSE)</f>
        <v>SBR</v>
      </c>
      <c r="N366" s="24" t="str">
        <f t="shared" si="75"/>
        <v>BE</v>
      </c>
      <c r="O366" s="29" t="str">
        <f>IF(ISERROR(IF(VLOOKUP($N366,CODE!$K:$P,CODE!$O$1,FALSE)="",$M366,$M366&amp;"-"&amp;VLOOKUP($N366,CODE!$K:$P,CODE!$O$1,FALSE)))=TRUE,"",IF(VLOOKUP($N366,CODE!$K:$P,CODE!$O$1,FALSE)="",$M366,$M366&amp;"-"&amp;VLOOKUP($N366,CODE!$K:$P,CODE!$O$1,FALSE)))</f>
        <v>SBR</v>
      </c>
      <c r="P366" s="29" t="str">
        <f t="shared" si="76"/>
        <v>성인</v>
      </c>
      <c r="Q366" s="29" t="str">
        <f t="shared" si="77"/>
        <v>SBRBEF5032</v>
      </c>
      <c r="R366" s="1" t="s">
        <v>1160</v>
      </c>
      <c r="S366" s="1" t="s">
        <v>14</v>
      </c>
      <c r="T366" s="26">
        <v>1200</v>
      </c>
      <c r="U366" s="26">
        <v>42000000</v>
      </c>
      <c r="V366" s="26">
        <v>4460702.4000000004</v>
      </c>
      <c r="W366" s="26">
        <v>8.559597739992288</v>
      </c>
      <c r="X366" s="26">
        <v>1200</v>
      </c>
      <c r="Y366" s="26">
        <v>0</v>
      </c>
    </row>
    <row r="367" spans="1:25">
      <c r="A367" s="24" t="str">
        <f t="shared" si="69"/>
        <v>신규</v>
      </c>
      <c r="B367" s="24" t="str">
        <f>IF(COUNTIF(R$1:R366,R367)=0,"최초","리오더")</f>
        <v>최초</v>
      </c>
      <c r="C367" s="24" t="str">
        <f t="shared" si="70"/>
        <v>SBRBEF5032</v>
      </c>
      <c r="D367" s="24">
        <f t="shared" si="65"/>
        <v>0.14285714285714285</v>
      </c>
      <c r="E367" s="24" t="str">
        <f t="shared" si="71"/>
        <v/>
      </c>
      <c r="F367" s="24">
        <f t="shared" si="66"/>
        <v>0</v>
      </c>
      <c r="G367" s="24" t="str">
        <f t="shared" si="72"/>
        <v>SBRBEF5032IV</v>
      </c>
      <c r="H367" s="24">
        <f t="shared" si="67"/>
        <v>1</v>
      </c>
      <c r="I367" s="24" t="str">
        <f t="shared" si="73"/>
        <v/>
      </c>
      <c r="J367" s="24">
        <f t="shared" si="68"/>
        <v>0</v>
      </c>
      <c r="K367" s="24" t="str">
        <f t="shared" si="74"/>
        <v>F5</v>
      </c>
      <c r="L367" s="24" t="str">
        <f>VLOOKUP(N367,CODE!K:P,CODE!$P$1,FALSE)</f>
        <v>모자</v>
      </c>
      <c r="M367" s="24" t="str">
        <f>VLOOKUP(MID(R367,1,3),CODE!$B:$G,CODE!D$1,FALSE)</f>
        <v>SBR</v>
      </c>
      <c r="N367" s="24" t="str">
        <f t="shared" si="75"/>
        <v>BE</v>
      </c>
      <c r="O367" s="29" t="str">
        <f>IF(ISERROR(IF(VLOOKUP($N367,CODE!$K:$P,CODE!$O$1,FALSE)="",$M367,$M367&amp;"-"&amp;VLOOKUP($N367,CODE!$K:$P,CODE!$O$1,FALSE)))=TRUE,"",IF(VLOOKUP($N367,CODE!$K:$P,CODE!$O$1,FALSE)="",$M367,$M367&amp;"-"&amp;VLOOKUP($N367,CODE!$K:$P,CODE!$O$1,FALSE)))</f>
        <v>SBR</v>
      </c>
      <c r="P367" s="29" t="str">
        <f t="shared" si="76"/>
        <v>성인</v>
      </c>
      <c r="Q367" s="29" t="str">
        <f t="shared" si="77"/>
        <v>SBRBEF5032</v>
      </c>
      <c r="R367" s="1" t="s">
        <v>1161</v>
      </c>
      <c r="S367" s="1" t="s">
        <v>14</v>
      </c>
      <c r="T367" s="26">
        <v>1000</v>
      </c>
      <c r="U367" s="26">
        <v>35000000</v>
      </c>
      <c r="V367" s="26">
        <v>3717252.0000000005</v>
      </c>
      <c r="W367" s="26">
        <v>8.559597739992288</v>
      </c>
      <c r="X367" s="26">
        <v>1000</v>
      </c>
      <c r="Y367" s="26">
        <v>0</v>
      </c>
    </row>
    <row r="368" spans="1:25">
      <c r="A368" s="24" t="str">
        <f t="shared" si="69"/>
        <v>신규</v>
      </c>
      <c r="B368" s="24" t="str">
        <f>IF(COUNTIF(R$1:R367,R368)=0,"최초","리오더")</f>
        <v>최초</v>
      </c>
      <c r="C368" s="24" t="str">
        <f t="shared" si="70"/>
        <v>SBRBEF5032</v>
      </c>
      <c r="D368" s="24">
        <f t="shared" si="65"/>
        <v>0.14285714285714285</v>
      </c>
      <c r="E368" s="24" t="str">
        <f t="shared" si="71"/>
        <v/>
      </c>
      <c r="F368" s="24">
        <f t="shared" si="66"/>
        <v>0</v>
      </c>
      <c r="G368" s="24" t="str">
        <f t="shared" si="72"/>
        <v>SBRBEF5032GY</v>
      </c>
      <c r="H368" s="24">
        <f t="shared" si="67"/>
        <v>1</v>
      </c>
      <c r="I368" s="24" t="str">
        <f t="shared" si="73"/>
        <v/>
      </c>
      <c r="J368" s="24">
        <f t="shared" si="68"/>
        <v>0</v>
      </c>
      <c r="K368" s="24" t="str">
        <f t="shared" si="74"/>
        <v>F5</v>
      </c>
      <c r="L368" s="24" t="str">
        <f>VLOOKUP(N368,CODE!K:P,CODE!$P$1,FALSE)</f>
        <v>모자</v>
      </c>
      <c r="M368" s="24" t="str">
        <f>VLOOKUP(MID(R368,1,3),CODE!$B:$G,CODE!D$1,FALSE)</f>
        <v>SBR</v>
      </c>
      <c r="N368" s="24" t="str">
        <f t="shared" si="75"/>
        <v>BE</v>
      </c>
      <c r="O368" s="29" t="str">
        <f>IF(ISERROR(IF(VLOOKUP($N368,CODE!$K:$P,CODE!$O$1,FALSE)="",$M368,$M368&amp;"-"&amp;VLOOKUP($N368,CODE!$K:$P,CODE!$O$1,FALSE)))=TRUE,"",IF(VLOOKUP($N368,CODE!$K:$P,CODE!$O$1,FALSE)="",$M368,$M368&amp;"-"&amp;VLOOKUP($N368,CODE!$K:$P,CODE!$O$1,FALSE)))</f>
        <v>SBR</v>
      </c>
      <c r="P368" s="29" t="str">
        <f t="shared" si="76"/>
        <v>성인</v>
      </c>
      <c r="Q368" s="29" t="str">
        <f t="shared" si="77"/>
        <v>SBRBEF5032</v>
      </c>
      <c r="R368" s="1" t="s">
        <v>1162</v>
      </c>
      <c r="S368" s="1" t="s">
        <v>14</v>
      </c>
      <c r="T368" s="26">
        <v>1200</v>
      </c>
      <c r="U368" s="26">
        <v>42000000</v>
      </c>
      <c r="V368" s="26">
        <v>4460702.4000000004</v>
      </c>
      <c r="W368" s="26">
        <v>8.559597739992288</v>
      </c>
      <c r="X368" s="26">
        <v>1199</v>
      </c>
      <c r="Y368" s="26">
        <v>0</v>
      </c>
    </row>
    <row r="369" spans="1:25">
      <c r="A369" s="24" t="str">
        <f t="shared" si="69"/>
        <v>신규</v>
      </c>
      <c r="B369" s="24" t="str">
        <f>IF(COUNTIF(R$1:R368,R369)=0,"최초","리오더")</f>
        <v>최초</v>
      </c>
      <c r="C369" s="24" t="str">
        <f t="shared" si="70"/>
        <v>SBRBEF5032</v>
      </c>
      <c r="D369" s="24">
        <f t="shared" si="65"/>
        <v>0.14285714285714285</v>
      </c>
      <c r="E369" s="24" t="str">
        <f t="shared" si="71"/>
        <v/>
      </c>
      <c r="F369" s="24">
        <f t="shared" si="66"/>
        <v>0</v>
      </c>
      <c r="G369" s="24" t="str">
        <f t="shared" si="72"/>
        <v>SBRBEF5032BK</v>
      </c>
      <c r="H369" s="24">
        <f t="shared" si="67"/>
        <v>1</v>
      </c>
      <c r="I369" s="24" t="str">
        <f t="shared" si="73"/>
        <v/>
      </c>
      <c r="J369" s="24">
        <f t="shared" si="68"/>
        <v>0</v>
      </c>
      <c r="K369" s="24" t="str">
        <f t="shared" si="74"/>
        <v>F5</v>
      </c>
      <c r="L369" s="24" t="str">
        <f>VLOOKUP(N369,CODE!K:P,CODE!$P$1,FALSE)</f>
        <v>모자</v>
      </c>
      <c r="M369" s="24" t="str">
        <f>VLOOKUP(MID(R369,1,3),CODE!$B:$G,CODE!D$1,FALSE)</f>
        <v>SBR</v>
      </c>
      <c r="N369" s="24" t="str">
        <f t="shared" si="75"/>
        <v>BE</v>
      </c>
      <c r="O369" s="29" t="str">
        <f>IF(ISERROR(IF(VLOOKUP($N369,CODE!$K:$P,CODE!$O$1,FALSE)="",$M369,$M369&amp;"-"&amp;VLOOKUP($N369,CODE!$K:$P,CODE!$O$1,FALSE)))=TRUE,"",IF(VLOOKUP($N369,CODE!$K:$P,CODE!$O$1,FALSE)="",$M369,$M369&amp;"-"&amp;VLOOKUP($N369,CODE!$K:$P,CODE!$O$1,FALSE)))</f>
        <v>SBR</v>
      </c>
      <c r="P369" s="29" t="str">
        <f t="shared" si="76"/>
        <v>성인</v>
      </c>
      <c r="Q369" s="29" t="str">
        <f t="shared" si="77"/>
        <v>SBRBEF5032</v>
      </c>
      <c r="R369" s="1" t="s">
        <v>1163</v>
      </c>
      <c r="S369" s="1" t="s">
        <v>14</v>
      </c>
      <c r="T369" s="26">
        <v>2500</v>
      </c>
      <c r="U369" s="26">
        <v>87500000</v>
      </c>
      <c r="V369" s="26">
        <v>9293130.0000000019</v>
      </c>
      <c r="W369" s="26">
        <v>8.5595977399922862</v>
      </c>
      <c r="X369" s="26">
        <v>2500</v>
      </c>
      <c r="Y369" s="26">
        <v>0</v>
      </c>
    </row>
    <row r="370" spans="1:25">
      <c r="A370" s="24" t="str">
        <f t="shared" si="69"/>
        <v>신규</v>
      </c>
      <c r="B370" s="24" t="str">
        <f>IF(COUNTIF(R$1:R369,R370)=0,"최초","리오더")</f>
        <v>최초</v>
      </c>
      <c r="C370" s="24" t="str">
        <f t="shared" si="70"/>
        <v>SBRBEF5033</v>
      </c>
      <c r="D370" s="24">
        <f t="shared" si="65"/>
        <v>0.5</v>
      </c>
      <c r="E370" s="24" t="str">
        <f t="shared" si="71"/>
        <v/>
      </c>
      <c r="F370" s="24">
        <f t="shared" si="66"/>
        <v>0</v>
      </c>
      <c r="G370" s="24" t="str">
        <f t="shared" si="72"/>
        <v>SBRBEF5033BL</v>
      </c>
      <c r="H370" s="24">
        <f t="shared" si="67"/>
        <v>1</v>
      </c>
      <c r="I370" s="24" t="str">
        <f t="shared" si="73"/>
        <v/>
      </c>
      <c r="J370" s="24">
        <f t="shared" si="68"/>
        <v>0</v>
      </c>
      <c r="K370" s="24" t="str">
        <f t="shared" si="74"/>
        <v>F5</v>
      </c>
      <c r="L370" s="24" t="str">
        <f>VLOOKUP(N370,CODE!K:P,CODE!$P$1,FALSE)</f>
        <v>모자</v>
      </c>
      <c r="M370" s="24" t="str">
        <f>VLOOKUP(MID(R370,1,3),CODE!$B:$G,CODE!D$1,FALSE)</f>
        <v>SBR</v>
      </c>
      <c r="N370" s="24" t="str">
        <f t="shared" si="75"/>
        <v>BE</v>
      </c>
      <c r="O370" s="29" t="str">
        <f>IF(ISERROR(IF(VLOOKUP($N370,CODE!$K:$P,CODE!$O$1,FALSE)="",$M370,$M370&amp;"-"&amp;VLOOKUP($N370,CODE!$K:$P,CODE!$O$1,FALSE)))=TRUE,"",IF(VLOOKUP($N370,CODE!$K:$P,CODE!$O$1,FALSE)="",$M370,$M370&amp;"-"&amp;VLOOKUP($N370,CODE!$K:$P,CODE!$O$1,FALSE)))</f>
        <v>SBR</v>
      </c>
      <c r="P370" s="29" t="str">
        <f t="shared" si="76"/>
        <v>성인</v>
      </c>
      <c r="Q370" s="29" t="str">
        <f t="shared" si="77"/>
        <v>SBRBEF5033</v>
      </c>
      <c r="R370" s="1" t="s">
        <v>1164</v>
      </c>
      <c r="S370" s="1" t="s">
        <v>14</v>
      </c>
      <c r="T370" s="26">
        <v>800</v>
      </c>
      <c r="U370" s="26">
        <v>31200000</v>
      </c>
      <c r="V370" s="26">
        <v>3891887.9999999995</v>
      </c>
      <c r="W370" s="26">
        <v>7.287886075764864</v>
      </c>
      <c r="X370" s="26">
        <v>800</v>
      </c>
      <c r="Y370" s="26">
        <v>0</v>
      </c>
    </row>
    <row r="371" spans="1:25">
      <c r="A371" s="24" t="str">
        <f t="shared" si="69"/>
        <v>신규</v>
      </c>
      <c r="B371" s="24" t="str">
        <f>IF(COUNTIF(R$1:R370,R371)=0,"최초","리오더")</f>
        <v>최초</v>
      </c>
      <c r="C371" s="24" t="str">
        <f t="shared" si="70"/>
        <v>SBRBEF5033</v>
      </c>
      <c r="D371" s="24">
        <f t="shared" si="65"/>
        <v>0.5</v>
      </c>
      <c r="E371" s="24" t="str">
        <f t="shared" si="71"/>
        <v/>
      </c>
      <c r="F371" s="24">
        <f t="shared" si="66"/>
        <v>0</v>
      </c>
      <c r="G371" s="24" t="str">
        <f t="shared" si="72"/>
        <v>SBRBEF5033RE</v>
      </c>
      <c r="H371" s="24">
        <f t="shared" si="67"/>
        <v>1</v>
      </c>
      <c r="I371" s="24" t="str">
        <f t="shared" si="73"/>
        <v/>
      </c>
      <c r="J371" s="24">
        <f t="shared" si="68"/>
        <v>0</v>
      </c>
      <c r="K371" s="24" t="str">
        <f t="shared" si="74"/>
        <v>F5</v>
      </c>
      <c r="L371" s="24" t="str">
        <f>VLOOKUP(N371,CODE!K:P,CODE!$P$1,FALSE)</f>
        <v>모자</v>
      </c>
      <c r="M371" s="24" t="str">
        <f>VLOOKUP(MID(R371,1,3),CODE!$B:$G,CODE!D$1,FALSE)</f>
        <v>SBR</v>
      </c>
      <c r="N371" s="24" t="str">
        <f t="shared" si="75"/>
        <v>BE</v>
      </c>
      <c r="O371" s="29" t="str">
        <f>IF(ISERROR(IF(VLOOKUP($N371,CODE!$K:$P,CODE!$O$1,FALSE)="",$M371,$M371&amp;"-"&amp;VLOOKUP($N371,CODE!$K:$P,CODE!$O$1,FALSE)))=TRUE,"",IF(VLOOKUP($N371,CODE!$K:$P,CODE!$O$1,FALSE)="",$M371,$M371&amp;"-"&amp;VLOOKUP($N371,CODE!$K:$P,CODE!$O$1,FALSE)))</f>
        <v>SBR</v>
      </c>
      <c r="P371" s="29" t="str">
        <f t="shared" si="76"/>
        <v>성인</v>
      </c>
      <c r="Q371" s="29" t="str">
        <f t="shared" si="77"/>
        <v>SBRBEF5033</v>
      </c>
      <c r="R371" s="1" t="s">
        <v>1165</v>
      </c>
      <c r="S371" s="1" t="s">
        <v>14</v>
      </c>
      <c r="T371" s="26">
        <v>800</v>
      </c>
      <c r="U371" s="26">
        <v>31200000</v>
      </c>
      <c r="V371" s="26">
        <v>3891887.9999999995</v>
      </c>
      <c r="W371" s="26">
        <v>7.287886075764864</v>
      </c>
      <c r="X371" s="26">
        <v>799</v>
      </c>
      <c r="Y371" s="26">
        <v>0</v>
      </c>
    </row>
    <row r="372" spans="1:25">
      <c r="A372" s="24" t="str">
        <f t="shared" si="69"/>
        <v>신규</v>
      </c>
      <c r="B372" s="24" t="str">
        <f>IF(COUNTIF(R$1:R371,R372)=0,"최초","리오더")</f>
        <v>최초</v>
      </c>
      <c r="C372" s="24" t="str">
        <f t="shared" si="70"/>
        <v>SBRBEF5034</v>
      </c>
      <c r="D372" s="24">
        <f t="shared" si="65"/>
        <v>0.33333333333333331</v>
      </c>
      <c r="E372" s="24" t="str">
        <f t="shared" si="71"/>
        <v/>
      </c>
      <c r="F372" s="24">
        <f t="shared" si="66"/>
        <v>0</v>
      </c>
      <c r="G372" s="24" t="str">
        <f t="shared" si="72"/>
        <v>SBRBEF5034BK</v>
      </c>
      <c r="H372" s="24">
        <f t="shared" si="67"/>
        <v>1</v>
      </c>
      <c r="I372" s="24" t="str">
        <f t="shared" si="73"/>
        <v/>
      </c>
      <c r="J372" s="24">
        <f t="shared" si="68"/>
        <v>0</v>
      </c>
      <c r="K372" s="24" t="str">
        <f t="shared" si="74"/>
        <v>F5</v>
      </c>
      <c r="L372" s="24" t="str">
        <f>VLOOKUP(N372,CODE!K:P,CODE!$P$1,FALSE)</f>
        <v>모자</v>
      </c>
      <c r="M372" s="24" t="str">
        <f>VLOOKUP(MID(R372,1,3),CODE!$B:$G,CODE!D$1,FALSE)</f>
        <v>SBR</v>
      </c>
      <c r="N372" s="24" t="str">
        <f t="shared" si="75"/>
        <v>BE</v>
      </c>
      <c r="O372" s="29" t="str">
        <f>IF(ISERROR(IF(VLOOKUP($N372,CODE!$K:$P,CODE!$O$1,FALSE)="",$M372,$M372&amp;"-"&amp;VLOOKUP($N372,CODE!$K:$P,CODE!$O$1,FALSE)))=TRUE,"",IF(VLOOKUP($N372,CODE!$K:$P,CODE!$O$1,FALSE)="",$M372,$M372&amp;"-"&amp;VLOOKUP($N372,CODE!$K:$P,CODE!$O$1,FALSE)))</f>
        <v>SBR</v>
      </c>
      <c r="P372" s="29" t="str">
        <f t="shared" si="76"/>
        <v>성인</v>
      </c>
      <c r="Q372" s="29" t="str">
        <f t="shared" si="77"/>
        <v>SBRBEF5034</v>
      </c>
      <c r="R372" s="1" t="s">
        <v>1166</v>
      </c>
      <c r="S372" s="1" t="s">
        <v>14</v>
      </c>
      <c r="T372" s="26">
        <v>1500</v>
      </c>
      <c r="U372" s="26">
        <v>52500000</v>
      </c>
      <c r="V372" s="26">
        <v>9729720.0000000019</v>
      </c>
      <c r="W372" s="26">
        <v>4.9053079356109643</v>
      </c>
      <c r="X372" s="26">
        <v>1497</v>
      </c>
      <c r="Y372" s="26">
        <v>0</v>
      </c>
    </row>
    <row r="373" spans="1:25">
      <c r="A373" s="24" t="str">
        <f t="shared" si="69"/>
        <v>신규</v>
      </c>
      <c r="B373" s="24" t="str">
        <f>IF(COUNTIF(R$1:R372,R373)=0,"최초","리오더")</f>
        <v>최초</v>
      </c>
      <c r="C373" s="24" t="str">
        <f t="shared" si="70"/>
        <v>SBRBEF5034</v>
      </c>
      <c r="D373" s="24">
        <f t="shared" si="65"/>
        <v>0.33333333333333331</v>
      </c>
      <c r="E373" s="24" t="str">
        <f t="shared" si="71"/>
        <v/>
      </c>
      <c r="F373" s="24">
        <f t="shared" si="66"/>
        <v>0</v>
      </c>
      <c r="G373" s="24" t="str">
        <f t="shared" si="72"/>
        <v>SBRBEF5034BL</v>
      </c>
      <c r="H373" s="24">
        <f t="shared" si="67"/>
        <v>1</v>
      </c>
      <c r="I373" s="24" t="str">
        <f t="shared" si="73"/>
        <v/>
      </c>
      <c r="J373" s="24">
        <f t="shared" si="68"/>
        <v>0</v>
      </c>
      <c r="K373" s="24" t="str">
        <f t="shared" si="74"/>
        <v>F5</v>
      </c>
      <c r="L373" s="24" t="str">
        <f>VLOOKUP(N373,CODE!K:P,CODE!$P$1,FALSE)</f>
        <v>모자</v>
      </c>
      <c r="M373" s="24" t="str">
        <f>VLOOKUP(MID(R373,1,3),CODE!$B:$G,CODE!D$1,FALSE)</f>
        <v>SBR</v>
      </c>
      <c r="N373" s="24" t="str">
        <f t="shared" si="75"/>
        <v>BE</v>
      </c>
      <c r="O373" s="29" t="str">
        <f>IF(ISERROR(IF(VLOOKUP($N373,CODE!$K:$P,CODE!$O$1,FALSE)="",$M373,$M373&amp;"-"&amp;VLOOKUP($N373,CODE!$K:$P,CODE!$O$1,FALSE)))=TRUE,"",IF(VLOOKUP($N373,CODE!$K:$P,CODE!$O$1,FALSE)="",$M373,$M373&amp;"-"&amp;VLOOKUP($N373,CODE!$K:$P,CODE!$O$1,FALSE)))</f>
        <v>SBR</v>
      </c>
      <c r="P373" s="29" t="str">
        <f t="shared" si="76"/>
        <v>성인</v>
      </c>
      <c r="Q373" s="29" t="str">
        <f t="shared" si="77"/>
        <v>SBRBEF5034</v>
      </c>
      <c r="R373" s="1" t="s">
        <v>1167</v>
      </c>
      <c r="S373" s="1" t="s">
        <v>14</v>
      </c>
      <c r="T373" s="26">
        <v>1200</v>
      </c>
      <c r="U373" s="26">
        <v>42000000</v>
      </c>
      <c r="V373" s="26">
        <v>7783776.0000000019</v>
      </c>
      <c r="W373" s="26">
        <v>4.9053079356109643</v>
      </c>
      <c r="X373" s="26">
        <v>1197</v>
      </c>
      <c r="Y373" s="26">
        <v>0</v>
      </c>
    </row>
    <row r="374" spans="1:25">
      <c r="A374" s="24" t="str">
        <f t="shared" si="69"/>
        <v>신규</v>
      </c>
      <c r="B374" s="24" t="str">
        <f>IF(COUNTIF(R$1:R373,R374)=0,"최초","리오더")</f>
        <v>최초</v>
      </c>
      <c r="C374" s="24" t="str">
        <f t="shared" si="70"/>
        <v>SBRBEF5034</v>
      </c>
      <c r="D374" s="24">
        <f t="shared" si="65"/>
        <v>0.33333333333333331</v>
      </c>
      <c r="E374" s="24" t="str">
        <f t="shared" si="71"/>
        <v/>
      </c>
      <c r="F374" s="24">
        <f t="shared" si="66"/>
        <v>0</v>
      </c>
      <c r="G374" s="24" t="str">
        <f t="shared" si="72"/>
        <v>SBRBEF5034PP</v>
      </c>
      <c r="H374" s="24">
        <f t="shared" si="67"/>
        <v>1</v>
      </c>
      <c r="I374" s="24" t="str">
        <f t="shared" si="73"/>
        <v/>
      </c>
      <c r="J374" s="24">
        <f t="shared" si="68"/>
        <v>0</v>
      </c>
      <c r="K374" s="24" t="str">
        <f t="shared" si="74"/>
        <v>F5</v>
      </c>
      <c r="L374" s="24" t="str">
        <f>VLOOKUP(N374,CODE!K:P,CODE!$P$1,FALSE)</f>
        <v>모자</v>
      </c>
      <c r="M374" s="24" t="str">
        <f>VLOOKUP(MID(R374,1,3),CODE!$B:$G,CODE!D$1,FALSE)</f>
        <v>SBR</v>
      </c>
      <c r="N374" s="24" t="str">
        <f t="shared" si="75"/>
        <v>BE</v>
      </c>
      <c r="O374" s="29" t="str">
        <f>IF(ISERROR(IF(VLOOKUP($N374,CODE!$K:$P,CODE!$O$1,FALSE)="",$M374,$M374&amp;"-"&amp;VLOOKUP($N374,CODE!$K:$P,CODE!$O$1,FALSE)))=TRUE,"",IF(VLOOKUP($N374,CODE!$K:$P,CODE!$O$1,FALSE)="",$M374,$M374&amp;"-"&amp;VLOOKUP($N374,CODE!$K:$P,CODE!$O$1,FALSE)))</f>
        <v>SBR</v>
      </c>
      <c r="P374" s="29" t="str">
        <f t="shared" si="76"/>
        <v>성인</v>
      </c>
      <c r="Q374" s="29" t="str">
        <f t="shared" si="77"/>
        <v>SBRBEF5034</v>
      </c>
      <c r="R374" s="1" t="s">
        <v>1168</v>
      </c>
      <c r="S374" s="1" t="s">
        <v>14</v>
      </c>
      <c r="T374" s="26">
        <v>1200</v>
      </c>
      <c r="U374" s="26">
        <v>42000000</v>
      </c>
      <c r="V374" s="26">
        <v>7783776.0000000019</v>
      </c>
      <c r="W374" s="26">
        <v>4.9053079356109643</v>
      </c>
      <c r="X374" s="26">
        <v>1200</v>
      </c>
      <c r="Y374" s="26">
        <v>0</v>
      </c>
    </row>
    <row r="375" spans="1:25">
      <c r="A375" s="24" t="str">
        <f t="shared" si="69"/>
        <v>신규</v>
      </c>
      <c r="B375" s="24" t="str">
        <f>IF(COUNTIF(R$1:R374,R375)=0,"최초","리오더")</f>
        <v>최초</v>
      </c>
      <c r="C375" s="24" t="str">
        <f t="shared" si="70"/>
        <v>SBRBEF5035</v>
      </c>
      <c r="D375" s="24">
        <f t="shared" si="65"/>
        <v>0.5</v>
      </c>
      <c r="E375" s="24" t="str">
        <f t="shared" si="71"/>
        <v/>
      </c>
      <c r="F375" s="24">
        <f t="shared" si="66"/>
        <v>0</v>
      </c>
      <c r="G375" s="24" t="str">
        <f t="shared" si="72"/>
        <v>SBRBEF5035BL</v>
      </c>
      <c r="H375" s="24">
        <f t="shared" si="67"/>
        <v>1</v>
      </c>
      <c r="I375" s="24" t="str">
        <f t="shared" si="73"/>
        <v/>
      </c>
      <c r="J375" s="24">
        <f t="shared" si="68"/>
        <v>0</v>
      </c>
      <c r="K375" s="24" t="str">
        <f t="shared" si="74"/>
        <v>F5</v>
      </c>
      <c r="L375" s="24" t="str">
        <f>VLOOKUP(N375,CODE!K:P,CODE!$P$1,FALSE)</f>
        <v>모자</v>
      </c>
      <c r="M375" s="24" t="str">
        <f>VLOOKUP(MID(R375,1,3),CODE!$B:$G,CODE!D$1,FALSE)</f>
        <v>SBR</v>
      </c>
      <c r="N375" s="24" t="str">
        <f t="shared" si="75"/>
        <v>BE</v>
      </c>
      <c r="O375" s="29" t="str">
        <f>IF(ISERROR(IF(VLOOKUP($N375,CODE!$K:$P,CODE!$O$1,FALSE)="",$M375,$M375&amp;"-"&amp;VLOOKUP($N375,CODE!$K:$P,CODE!$O$1,FALSE)))=TRUE,"",IF(VLOOKUP($N375,CODE!$K:$P,CODE!$O$1,FALSE)="",$M375,$M375&amp;"-"&amp;VLOOKUP($N375,CODE!$K:$P,CODE!$O$1,FALSE)))</f>
        <v>SBR</v>
      </c>
      <c r="P375" s="29" t="str">
        <f t="shared" si="76"/>
        <v>성인</v>
      </c>
      <c r="Q375" s="29" t="str">
        <f t="shared" si="77"/>
        <v>SBRBEF5035</v>
      </c>
      <c r="R375" s="1" t="s">
        <v>1169</v>
      </c>
      <c r="S375" s="1" t="s">
        <v>14</v>
      </c>
      <c r="T375" s="26">
        <v>1000</v>
      </c>
      <c r="U375" s="26">
        <v>35000000</v>
      </c>
      <c r="V375" s="26">
        <v>6038040</v>
      </c>
      <c r="W375" s="26">
        <v>5.2696209064831985</v>
      </c>
      <c r="X375" s="26">
        <v>998</v>
      </c>
      <c r="Y375" s="26">
        <v>0</v>
      </c>
    </row>
    <row r="376" spans="1:25">
      <c r="A376" s="24" t="str">
        <f t="shared" si="69"/>
        <v>신규</v>
      </c>
      <c r="B376" s="24" t="str">
        <f>IF(COUNTIF(R$1:R375,R376)=0,"최초","리오더")</f>
        <v>최초</v>
      </c>
      <c r="C376" s="24" t="str">
        <f t="shared" si="70"/>
        <v>SBRBEF5035</v>
      </c>
      <c r="D376" s="24">
        <f t="shared" si="65"/>
        <v>0.5</v>
      </c>
      <c r="E376" s="24" t="str">
        <f t="shared" si="71"/>
        <v/>
      </c>
      <c r="F376" s="24">
        <f t="shared" si="66"/>
        <v>0</v>
      </c>
      <c r="G376" s="24" t="str">
        <f t="shared" si="72"/>
        <v>SBRBEF5035KH</v>
      </c>
      <c r="H376" s="24">
        <f t="shared" si="67"/>
        <v>1</v>
      </c>
      <c r="I376" s="24" t="str">
        <f t="shared" si="73"/>
        <v/>
      </c>
      <c r="J376" s="24">
        <f t="shared" si="68"/>
        <v>0</v>
      </c>
      <c r="K376" s="24" t="str">
        <f t="shared" si="74"/>
        <v>F5</v>
      </c>
      <c r="L376" s="24" t="str">
        <f>VLOOKUP(N376,CODE!K:P,CODE!$P$1,FALSE)</f>
        <v>모자</v>
      </c>
      <c r="M376" s="24" t="str">
        <f>VLOOKUP(MID(R376,1,3),CODE!$B:$G,CODE!D$1,FALSE)</f>
        <v>SBR</v>
      </c>
      <c r="N376" s="24" t="str">
        <f t="shared" si="75"/>
        <v>BE</v>
      </c>
      <c r="O376" s="29" t="str">
        <f>IF(ISERROR(IF(VLOOKUP($N376,CODE!$K:$P,CODE!$O$1,FALSE)="",$M376,$M376&amp;"-"&amp;VLOOKUP($N376,CODE!$K:$P,CODE!$O$1,FALSE)))=TRUE,"",IF(VLOOKUP($N376,CODE!$K:$P,CODE!$O$1,FALSE)="",$M376,$M376&amp;"-"&amp;VLOOKUP($N376,CODE!$K:$P,CODE!$O$1,FALSE)))</f>
        <v>SBR</v>
      </c>
      <c r="P376" s="29" t="str">
        <f t="shared" si="76"/>
        <v>성인</v>
      </c>
      <c r="Q376" s="29" t="str">
        <f t="shared" si="77"/>
        <v>SBRBEF5035</v>
      </c>
      <c r="R376" s="1" t="s">
        <v>1170</v>
      </c>
      <c r="S376" s="1" t="s">
        <v>14</v>
      </c>
      <c r="T376" s="26">
        <v>1000</v>
      </c>
      <c r="U376" s="26">
        <v>35000000</v>
      </c>
      <c r="V376" s="26">
        <v>6038040</v>
      </c>
      <c r="W376" s="26">
        <v>5.2696209064831985</v>
      </c>
      <c r="X376" s="26">
        <v>999</v>
      </c>
      <c r="Y376" s="26">
        <v>0</v>
      </c>
    </row>
    <row r="377" spans="1:25">
      <c r="A377" s="24" t="str">
        <f t="shared" si="69"/>
        <v>신규</v>
      </c>
      <c r="B377" s="24" t="str">
        <f>IF(COUNTIF(R$1:R376,R377)=0,"최초","리오더")</f>
        <v>최초</v>
      </c>
      <c r="C377" s="24" t="str">
        <f t="shared" si="70"/>
        <v>SBRBEF5036</v>
      </c>
      <c r="D377" s="24">
        <f t="shared" si="65"/>
        <v>0.5</v>
      </c>
      <c r="E377" s="24" t="str">
        <f t="shared" si="71"/>
        <v/>
      </c>
      <c r="F377" s="24">
        <f t="shared" si="66"/>
        <v>0</v>
      </c>
      <c r="G377" s="24" t="str">
        <f t="shared" si="72"/>
        <v>SBRBEF5036KH</v>
      </c>
      <c r="H377" s="24">
        <f t="shared" si="67"/>
        <v>1</v>
      </c>
      <c r="I377" s="24" t="str">
        <f t="shared" si="73"/>
        <v/>
      </c>
      <c r="J377" s="24">
        <f t="shared" si="68"/>
        <v>0</v>
      </c>
      <c r="K377" s="24" t="str">
        <f t="shared" si="74"/>
        <v>F5</v>
      </c>
      <c r="L377" s="24" t="str">
        <f>VLOOKUP(N377,CODE!K:P,CODE!$P$1,FALSE)</f>
        <v>모자</v>
      </c>
      <c r="M377" s="24" t="str">
        <f>VLOOKUP(MID(R377,1,3),CODE!$B:$G,CODE!D$1,FALSE)</f>
        <v>SBR</v>
      </c>
      <c r="N377" s="24" t="str">
        <f t="shared" si="75"/>
        <v>BE</v>
      </c>
      <c r="O377" s="29" t="str">
        <f>IF(ISERROR(IF(VLOOKUP($N377,CODE!$K:$P,CODE!$O$1,FALSE)="",$M377,$M377&amp;"-"&amp;VLOOKUP($N377,CODE!$K:$P,CODE!$O$1,FALSE)))=TRUE,"",IF(VLOOKUP($N377,CODE!$K:$P,CODE!$O$1,FALSE)="",$M377,$M377&amp;"-"&amp;VLOOKUP($N377,CODE!$K:$P,CODE!$O$1,FALSE)))</f>
        <v>SBR</v>
      </c>
      <c r="P377" s="29" t="str">
        <f t="shared" si="76"/>
        <v>성인</v>
      </c>
      <c r="Q377" s="29" t="str">
        <f t="shared" si="77"/>
        <v>SBRBEF5036</v>
      </c>
      <c r="R377" s="1" t="s">
        <v>1171</v>
      </c>
      <c r="S377" s="1" t="s">
        <v>14</v>
      </c>
      <c r="T377" s="26">
        <v>1000</v>
      </c>
      <c r="U377" s="26">
        <v>39000000</v>
      </c>
      <c r="V377" s="26">
        <v>5102490.0000000009</v>
      </c>
      <c r="W377" s="26">
        <v>6.9484791649852218</v>
      </c>
      <c r="X377" s="26">
        <v>999</v>
      </c>
      <c r="Y377" s="26">
        <v>0</v>
      </c>
    </row>
    <row r="378" spans="1:25">
      <c r="A378" s="24" t="str">
        <f t="shared" si="69"/>
        <v>신규</v>
      </c>
      <c r="B378" s="24" t="str">
        <f>IF(COUNTIF(R$1:R377,R378)=0,"최초","리오더")</f>
        <v>최초</v>
      </c>
      <c r="C378" s="24" t="str">
        <f t="shared" si="70"/>
        <v>SBRBEF5036</v>
      </c>
      <c r="D378" s="24">
        <f t="shared" si="65"/>
        <v>0.5</v>
      </c>
      <c r="E378" s="24" t="str">
        <f t="shared" si="71"/>
        <v/>
      </c>
      <c r="F378" s="24">
        <f t="shared" si="66"/>
        <v>0</v>
      </c>
      <c r="G378" s="24" t="str">
        <f t="shared" si="72"/>
        <v>SBRBEF5036RE</v>
      </c>
      <c r="H378" s="24">
        <f t="shared" si="67"/>
        <v>1</v>
      </c>
      <c r="I378" s="24" t="str">
        <f t="shared" si="73"/>
        <v/>
      </c>
      <c r="J378" s="24">
        <f t="shared" si="68"/>
        <v>0</v>
      </c>
      <c r="K378" s="24" t="str">
        <f t="shared" si="74"/>
        <v>F5</v>
      </c>
      <c r="L378" s="24" t="str">
        <f>VLOOKUP(N378,CODE!K:P,CODE!$P$1,FALSE)</f>
        <v>모자</v>
      </c>
      <c r="M378" s="24" t="str">
        <f>VLOOKUP(MID(R378,1,3),CODE!$B:$G,CODE!D$1,FALSE)</f>
        <v>SBR</v>
      </c>
      <c r="N378" s="24" t="str">
        <f t="shared" si="75"/>
        <v>BE</v>
      </c>
      <c r="O378" s="29" t="str">
        <f>IF(ISERROR(IF(VLOOKUP($N378,CODE!$K:$P,CODE!$O$1,FALSE)="",$M378,$M378&amp;"-"&amp;VLOOKUP($N378,CODE!$K:$P,CODE!$O$1,FALSE)))=TRUE,"",IF(VLOOKUP($N378,CODE!$K:$P,CODE!$O$1,FALSE)="",$M378,$M378&amp;"-"&amp;VLOOKUP($N378,CODE!$K:$P,CODE!$O$1,FALSE)))</f>
        <v>SBR</v>
      </c>
      <c r="P378" s="29" t="str">
        <f t="shared" si="76"/>
        <v>성인</v>
      </c>
      <c r="Q378" s="29" t="str">
        <f t="shared" si="77"/>
        <v>SBRBEF5036</v>
      </c>
      <c r="R378" s="1" t="s">
        <v>1172</v>
      </c>
      <c r="S378" s="1" t="s">
        <v>14</v>
      </c>
      <c r="T378" s="26">
        <v>1200</v>
      </c>
      <c r="U378" s="26">
        <v>46800000</v>
      </c>
      <c r="V378" s="26">
        <v>6122988.0000000009</v>
      </c>
      <c r="W378" s="26">
        <v>6.9484791649852218</v>
      </c>
      <c r="X378" s="26">
        <v>1189</v>
      </c>
      <c r="Y378" s="26">
        <v>0</v>
      </c>
    </row>
    <row r="379" spans="1:25">
      <c r="A379" s="24" t="str">
        <f t="shared" si="69"/>
        <v>신규</v>
      </c>
      <c r="B379" s="24" t="str">
        <f>IF(COUNTIF(R$1:R378,R379)=0,"최초","리오더")</f>
        <v>최초</v>
      </c>
      <c r="C379" s="24" t="str">
        <f t="shared" si="70"/>
        <v>SBRBEF5037</v>
      </c>
      <c r="D379" s="24">
        <f t="shared" si="65"/>
        <v>0.5</v>
      </c>
      <c r="E379" s="24" t="str">
        <f t="shared" si="71"/>
        <v/>
      </c>
      <c r="F379" s="24">
        <f t="shared" si="66"/>
        <v>0</v>
      </c>
      <c r="G379" s="24" t="str">
        <f t="shared" si="72"/>
        <v>SBRBEF5037BW</v>
      </c>
      <c r="H379" s="24">
        <f t="shared" si="67"/>
        <v>1</v>
      </c>
      <c r="I379" s="24" t="str">
        <f t="shared" si="73"/>
        <v/>
      </c>
      <c r="J379" s="24">
        <f t="shared" si="68"/>
        <v>0</v>
      </c>
      <c r="K379" s="24" t="str">
        <f t="shared" si="74"/>
        <v>F5</v>
      </c>
      <c r="L379" s="24" t="str">
        <f>VLOOKUP(N379,CODE!K:P,CODE!$P$1,FALSE)</f>
        <v>모자</v>
      </c>
      <c r="M379" s="24" t="str">
        <f>VLOOKUP(MID(R379,1,3),CODE!$B:$G,CODE!D$1,FALSE)</f>
        <v>SBR</v>
      </c>
      <c r="N379" s="24" t="str">
        <f t="shared" si="75"/>
        <v>BE</v>
      </c>
      <c r="O379" s="29" t="str">
        <f>IF(ISERROR(IF(VLOOKUP($N379,CODE!$K:$P,CODE!$O$1,FALSE)="",$M379,$M379&amp;"-"&amp;VLOOKUP($N379,CODE!$K:$P,CODE!$O$1,FALSE)))=TRUE,"",IF(VLOOKUP($N379,CODE!$K:$P,CODE!$O$1,FALSE)="",$M379,$M379&amp;"-"&amp;VLOOKUP($N379,CODE!$K:$P,CODE!$O$1,FALSE)))</f>
        <v>SBR</v>
      </c>
      <c r="P379" s="29" t="str">
        <f t="shared" si="76"/>
        <v>성인</v>
      </c>
      <c r="Q379" s="29" t="str">
        <f t="shared" si="77"/>
        <v>SBRBEF5037</v>
      </c>
      <c r="R379" s="1" t="s">
        <v>1173</v>
      </c>
      <c r="S379" s="1" t="s">
        <v>14</v>
      </c>
      <c r="T379" s="26">
        <v>1200</v>
      </c>
      <c r="U379" s="26">
        <v>46800000</v>
      </c>
      <c r="V379" s="26">
        <v>5613300</v>
      </c>
      <c r="W379" s="26">
        <v>7.5794015187954571</v>
      </c>
      <c r="X379" s="26">
        <v>1198</v>
      </c>
      <c r="Y379" s="26">
        <v>0</v>
      </c>
    </row>
    <row r="380" spans="1:25">
      <c r="A380" s="24" t="str">
        <f t="shared" si="69"/>
        <v>신규</v>
      </c>
      <c r="B380" s="24" t="str">
        <f>IF(COUNTIF(R$1:R379,R380)=0,"최초","리오더")</f>
        <v>최초</v>
      </c>
      <c r="C380" s="24" t="str">
        <f t="shared" si="70"/>
        <v>SBRBEF5037</v>
      </c>
      <c r="D380" s="24">
        <f t="shared" si="65"/>
        <v>0.5</v>
      </c>
      <c r="E380" s="24" t="str">
        <f t="shared" si="71"/>
        <v/>
      </c>
      <c r="F380" s="24">
        <f t="shared" si="66"/>
        <v>0</v>
      </c>
      <c r="G380" s="24" t="str">
        <f t="shared" si="72"/>
        <v>SBRBEF5037GY</v>
      </c>
      <c r="H380" s="24">
        <f t="shared" si="67"/>
        <v>1</v>
      </c>
      <c r="I380" s="24" t="str">
        <f t="shared" si="73"/>
        <v/>
      </c>
      <c r="J380" s="24">
        <f t="shared" si="68"/>
        <v>0</v>
      </c>
      <c r="K380" s="24" t="str">
        <f t="shared" si="74"/>
        <v>F5</v>
      </c>
      <c r="L380" s="24" t="str">
        <f>VLOOKUP(N380,CODE!K:P,CODE!$P$1,FALSE)</f>
        <v>모자</v>
      </c>
      <c r="M380" s="24" t="str">
        <f>VLOOKUP(MID(R380,1,3),CODE!$B:$G,CODE!D$1,FALSE)</f>
        <v>SBR</v>
      </c>
      <c r="N380" s="24" t="str">
        <f t="shared" si="75"/>
        <v>BE</v>
      </c>
      <c r="O380" s="29" t="str">
        <f>IF(ISERROR(IF(VLOOKUP($N380,CODE!$K:$P,CODE!$O$1,FALSE)="",$M380,$M380&amp;"-"&amp;VLOOKUP($N380,CODE!$K:$P,CODE!$O$1,FALSE)))=TRUE,"",IF(VLOOKUP($N380,CODE!$K:$P,CODE!$O$1,FALSE)="",$M380,$M380&amp;"-"&amp;VLOOKUP($N380,CODE!$K:$P,CODE!$O$1,FALSE)))</f>
        <v>SBR</v>
      </c>
      <c r="P380" s="29" t="str">
        <f t="shared" si="76"/>
        <v>성인</v>
      </c>
      <c r="Q380" s="29" t="str">
        <f t="shared" si="77"/>
        <v>SBRBEF5037</v>
      </c>
      <c r="R380" s="1" t="s">
        <v>1174</v>
      </c>
      <c r="S380" s="1" t="s">
        <v>14</v>
      </c>
      <c r="T380" s="26">
        <v>1200</v>
      </c>
      <c r="U380" s="26">
        <v>46800000</v>
      </c>
      <c r="V380" s="26">
        <v>5613300</v>
      </c>
      <c r="W380" s="26">
        <v>7.5794015187954571</v>
      </c>
      <c r="X380" s="26">
        <v>1198</v>
      </c>
      <c r="Y380" s="26">
        <v>0</v>
      </c>
    </row>
    <row r="381" spans="1:25">
      <c r="A381" s="24" t="str">
        <f t="shared" si="69"/>
        <v>신규</v>
      </c>
      <c r="B381" s="24" t="str">
        <f>IF(COUNTIF(R$1:R380,R381)=0,"최초","리오더")</f>
        <v>최초</v>
      </c>
      <c r="C381" s="24" t="str">
        <f t="shared" si="70"/>
        <v>SBRBEF5038</v>
      </c>
      <c r="D381" s="24">
        <f t="shared" si="65"/>
        <v>1</v>
      </c>
      <c r="E381" s="24" t="str">
        <f t="shared" si="71"/>
        <v/>
      </c>
      <c r="F381" s="24">
        <f t="shared" si="66"/>
        <v>0</v>
      </c>
      <c r="G381" s="24" t="str">
        <f t="shared" si="72"/>
        <v>SBRBEF5038BK</v>
      </c>
      <c r="H381" s="24">
        <f t="shared" si="67"/>
        <v>1</v>
      </c>
      <c r="I381" s="24" t="str">
        <f t="shared" si="73"/>
        <v/>
      </c>
      <c r="J381" s="24">
        <f t="shared" si="68"/>
        <v>0</v>
      </c>
      <c r="K381" s="24" t="str">
        <f t="shared" si="74"/>
        <v>F5</v>
      </c>
      <c r="L381" s="24" t="str">
        <f>VLOOKUP(N381,CODE!K:P,CODE!$P$1,FALSE)</f>
        <v>모자</v>
      </c>
      <c r="M381" s="24" t="str">
        <f>VLOOKUP(MID(R381,1,3),CODE!$B:$G,CODE!D$1,FALSE)</f>
        <v>SBR</v>
      </c>
      <c r="N381" s="24" t="str">
        <f t="shared" si="75"/>
        <v>BE</v>
      </c>
      <c r="O381" s="29" t="str">
        <f>IF(ISERROR(IF(VLOOKUP($N381,CODE!$K:$P,CODE!$O$1,FALSE)="",$M381,$M381&amp;"-"&amp;VLOOKUP($N381,CODE!$K:$P,CODE!$O$1,FALSE)))=TRUE,"",IF(VLOOKUP($N381,CODE!$K:$P,CODE!$O$1,FALSE)="",$M381,$M381&amp;"-"&amp;VLOOKUP($N381,CODE!$K:$P,CODE!$O$1,FALSE)))</f>
        <v>SBR</v>
      </c>
      <c r="P381" s="29" t="str">
        <f t="shared" si="76"/>
        <v>성인</v>
      </c>
      <c r="Q381" s="29" t="str">
        <f t="shared" si="77"/>
        <v>SBRBEF5038</v>
      </c>
      <c r="R381" s="1" t="s">
        <v>1175</v>
      </c>
      <c r="S381" s="1" t="s">
        <v>14</v>
      </c>
      <c r="T381" s="26">
        <v>800</v>
      </c>
      <c r="U381" s="26">
        <v>39200000</v>
      </c>
      <c r="V381" s="26">
        <v>7075752</v>
      </c>
      <c r="W381" s="26">
        <v>5.0364065383246386</v>
      </c>
      <c r="X381" s="26">
        <v>796</v>
      </c>
      <c r="Y381" s="26">
        <v>0</v>
      </c>
    </row>
    <row r="382" spans="1:25">
      <c r="A382" s="24" t="str">
        <f t="shared" si="69"/>
        <v>신규</v>
      </c>
      <c r="B382" s="24" t="str">
        <f>IF(COUNTIF(R$1:R381,R382)=0,"최초","리오더")</f>
        <v>최초</v>
      </c>
      <c r="C382" s="24" t="str">
        <f t="shared" si="70"/>
        <v>SBRBEF5039</v>
      </c>
      <c r="D382" s="24">
        <f t="shared" si="65"/>
        <v>0.33333333333333331</v>
      </c>
      <c r="E382" s="24" t="str">
        <f t="shared" si="71"/>
        <v/>
      </c>
      <c r="F382" s="24">
        <f t="shared" si="66"/>
        <v>0</v>
      </c>
      <c r="G382" s="24" t="str">
        <f t="shared" si="72"/>
        <v>SBRBEF5039BU</v>
      </c>
      <c r="H382" s="24">
        <f t="shared" si="67"/>
        <v>1</v>
      </c>
      <c r="I382" s="24" t="str">
        <f t="shared" si="73"/>
        <v/>
      </c>
      <c r="J382" s="24">
        <f t="shared" si="68"/>
        <v>0</v>
      </c>
      <c r="K382" s="24" t="str">
        <f t="shared" si="74"/>
        <v>F5</v>
      </c>
      <c r="L382" s="24" t="str">
        <f>VLOOKUP(N382,CODE!K:P,CODE!$P$1,FALSE)</f>
        <v>모자</v>
      </c>
      <c r="M382" s="24" t="str">
        <f>VLOOKUP(MID(R382,1,3),CODE!$B:$G,CODE!D$1,FALSE)</f>
        <v>SBR</v>
      </c>
      <c r="N382" s="24" t="str">
        <f t="shared" si="75"/>
        <v>BE</v>
      </c>
      <c r="O382" s="29" t="str">
        <f>IF(ISERROR(IF(VLOOKUP($N382,CODE!$K:$P,CODE!$O$1,FALSE)="",$M382,$M382&amp;"-"&amp;VLOOKUP($N382,CODE!$K:$P,CODE!$O$1,FALSE)))=TRUE,"",IF(VLOOKUP($N382,CODE!$K:$P,CODE!$O$1,FALSE)="",$M382,$M382&amp;"-"&amp;VLOOKUP($N382,CODE!$K:$P,CODE!$O$1,FALSE)))</f>
        <v>SBR</v>
      </c>
      <c r="P382" s="29" t="str">
        <f t="shared" si="76"/>
        <v>성인</v>
      </c>
      <c r="Q382" s="29" t="str">
        <f t="shared" si="77"/>
        <v>SBRBEF5039</v>
      </c>
      <c r="R382" s="1" t="s">
        <v>1176</v>
      </c>
      <c r="S382" s="1" t="s">
        <v>14</v>
      </c>
      <c r="T382" s="26">
        <v>400</v>
      </c>
      <c r="U382" s="26">
        <v>18000000</v>
      </c>
      <c r="V382" s="26">
        <v>3712512.0000000005</v>
      </c>
      <c r="W382" s="26">
        <v>4.4076992515138969</v>
      </c>
      <c r="X382" s="26">
        <v>395</v>
      </c>
      <c r="Y382" s="26">
        <v>0</v>
      </c>
    </row>
    <row r="383" spans="1:25">
      <c r="A383" s="24" t="str">
        <f t="shared" si="69"/>
        <v>신규</v>
      </c>
      <c r="B383" s="24" t="str">
        <f>IF(COUNTIF(R$1:R382,R383)=0,"최초","리오더")</f>
        <v>최초</v>
      </c>
      <c r="C383" s="24" t="str">
        <f t="shared" si="70"/>
        <v>SBRBEF5039</v>
      </c>
      <c r="D383" s="24">
        <f t="shared" si="65"/>
        <v>0.33333333333333331</v>
      </c>
      <c r="E383" s="24" t="str">
        <f t="shared" si="71"/>
        <v/>
      </c>
      <c r="F383" s="24">
        <f t="shared" si="66"/>
        <v>0</v>
      </c>
      <c r="G383" s="24" t="str">
        <f t="shared" si="72"/>
        <v>SBRBEF5039BK</v>
      </c>
      <c r="H383" s="24">
        <f t="shared" si="67"/>
        <v>1</v>
      </c>
      <c r="I383" s="24" t="str">
        <f t="shared" si="73"/>
        <v/>
      </c>
      <c r="J383" s="24">
        <f t="shared" si="68"/>
        <v>0</v>
      </c>
      <c r="K383" s="24" t="str">
        <f t="shared" si="74"/>
        <v>F5</v>
      </c>
      <c r="L383" s="24" t="str">
        <f>VLOOKUP(N383,CODE!K:P,CODE!$P$1,FALSE)</f>
        <v>모자</v>
      </c>
      <c r="M383" s="24" t="str">
        <f>VLOOKUP(MID(R383,1,3),CODE!$B:$G,CODE!D$1,FALSE)</f>
        <v>SBR</v>
      </c>
      <c r="N383" s="24" t="str">
        <f t="shared" si="75"/>
        <v>BE</v>
      </c>
      <c r="O383" s="29" t="str">
        <f>IF(ISERROR(IF(VLOOKUP($N383,CODE!$K:$P,CODE!$O$1,FALSE)="",$M383,$M383&amp;"-"&amp;VLOOKUP($N383,CODE!$K:$P,CODE!$O$1,FALSE)))=TRUE,"",IF(VLOOKUP($N383,CODE!$K:$P,CODE!$O$1,FALSE)="",$M383,$M383&amp;"-"&amp;VLOOKUP($N383,CODE!$K:$P,CODE!$O$1,FALSE)))</f>
        <v>SBR</v>
      </c>
      <c r="P383" s="29" t="str">
        <f t="shared" si="76"/>
        <v>성인</v>
      </c>
      <c r="Q383" s="29" t="str">
        <f t="shared" si="77"/>
        <v>SBRBEF5039</v>
      </c>
      <c r="R383" s="1" t="s">
        <v>1177</v>
      </c>
      <c r="S383" s="1" t="s">
        <v>14</v>
      </c>
      <c r="T383" s="26">
        <v>500</v>
      </c>
      <c r="U383" s="26">
        <v>22500000</v>
      </c>
      <c r="V383" s="26">
        <v>4640640</v>
      </c>
      <c r="W383" s="26">
        <v>4.4076992515138977</v>
      </c>
      <c r="X383" s="26">
        <v>491</v>
      </c>
      <c r="Y383" s="26">
        <v>0</v>
      </c>
    </row>
    <row r="384" spans="1:25">
      <c r="A384" s="24" t="str">
        <f t="shared" si="69"/>
        <v>신규</v>
      </c>
      <c r="B384" s="24" t="str">
        <f>IF(COUNTIF(R$1:R383,R384)=0,"최초","리오더")</f>
        <v>최초</v>
      </c>
      <c r="C384" s="24" t="str">
        <f t="shared" si="70"/>
        <v>SBRBEF5039</v>
      </c>
      <c r="D384" s="24">
        <f t="shared" si="65"/>
        <v>0.33333333333333331</v>
      </c>
      <c r="E384" s="24" t="str">
        <f t="shared" si="71"/>
        <v/>
      </c>
      <c r="F384" s="24">
        <f t="shared" si="66"/>
        <v>0</v>
      </c>
      <c r="G384" s="24" t="str">
        <f t="shared" si="72"/>
        <v>SBRBEF5039GY</v>
      </c>
      <c r="H384" s="24">
        <f t="shared" si="67"/>
        <v>1</v>
      </c>
      <c r="I384" s="24" t="str">
        <f t="shared" si="73"/>
        <v/>
      </c>
      <c r="J384" s="24">
        <f t="shared" si="68"/>
        <v>0</v>
      </c>
      <c r="K384" s="24" t="str">
        <f t="shared" si="74"/>
        <v>F5</v>
      </c>
      <c r="L384" s="24" t="str">
        <f>VLOOKUP(N384,CODE!K:P,CODE!$P$1,FALSE)</f>
        <v>모자</v>
      </c>
      <c r="M384" s="24" t="str">
        <f>VLOOKUP(MID(R384,1,3),CODE!$B:$G,CODE!D$1,FALSE)</f>
        <v>SBR</v>
      </c>
      <c r="N384" s="24" t="str">
        <f t="shared" si="75"/>
        <v>BE</v>
      </c>
      <c r="O384" s="29" t="str">
        <f>IF(ISERROR(IF(VLOOKUP($N384,CODE!$K:$P,CODE!$O$1,FALSE)="",$M384,$M384&amp;"-"&amp;VLOOKUP($N384,CODE!$K:$P,CODE!$O$1,FALSE)))=TRUE,"",IF(VLOOKUP($N384,CODE!$K:$P,CODE!$O$1,FALSE)="",$M384,$M384&amp;"-"&amp;VLOOKUP($N384,CODE!$K:$P,CODE!$O$1,FALSE)))</f>
        <v>SBR</v>
      </c>
      <c r="P384" s="29" t="str">
        <f t="shared" si="76"/>
        <v>성인</v>
      </c>
      <c r="Q384" s="29" t="str">
        <f t="shared" si="77"/>
        <v>SBRBEF5039</v>
      </c>
      <c r="R384" s="1" t="s">
        <v>1178</v>
      </c>
      <c r="S384" s="1" t="s">
        <v>14</v>
      </c>
      <c r="T384" s="26">
        <v>400</v>
      </c>
      <c r="U384" s="26">
        <v>18000000</v>
      </c>
      <c r="V384" s="26">
        <v>3712512.0000000005</v>
      </c>
      <c r="W384" s="26">
        <v>4.4076992515138969</v>
      </c>
      <c r="X384" s="26">
        <v>393</v>
      </c>
      <c r="Y384" s="26">
        <v>0</v>
      </c>
    </row>
    <row r="385" spans="1:25">
      <c r="A385" s="24" t="str">
        <f t="shared" si="69"/>
        <v>신규</v>
      </c>
      <c r="B385" s="24" t="str">
        <f>IF(COUNTIF(R$1:R384,R385)=0,"최초","리오더")</f>
        <v>최초</v>
      </c>
      <c r="C385" s="24" t="str">
        <f t="shared" si="70"/>
        <v>SBRBEF5040</v>
      </c>
      <c r="D385" s="24">
        <f t="shared" si="65"/>
        <v>0.33333333333333331</v>
      </c>
      <c r="E385" s="24" t="str">
        <f t="shared" si="71"/>
        <v/>
      </c>
      <c r="F385" s="24">
        <f t="shared" si="66"/>
        <v>0</v>
      </c>
      <c r="G385" s="24" t="str">
        <f t="shared" si="72"/>
        <v>SBRBEF5040GY</v>
      </c>
      <c r="H385" s="24">
        <f t="shared" si="67"/>
        <v>1</v>
      </c>
      <c r="I385" s="24" t="str">
        <f t="shared" si="73"/>
        <v/>
      </c>
      <c r="J385" s="24">
        <f t="shared" si="68"/>
        <v>0</v>
      </c>
      <c r="K385" s="24" t="str">
        <f t="shared" si="74"/>
        <v>F5</v>
      </c>
      <c r="L385" s="24" t="str">
        <f>VLOOKUP(N385,CODE!K:P,CODE!$P$1,FALSE)</f>
        <v>모자</v>
      </c>
      <c r="M385" s="24" t="str">
        <f>VLOOKUP(MID(R385,1,3),CODE!$B:$G,CODE!D$1,FALSE)</f>
        <v>SBR</v>
      </c>
      <c r="N385" s="24" t="str">
        <f t="shared" si="75"/>
        <v>BE</v>
      </c>
      <c r="O385" s="29" t="str">
        <f>IF(ISERROR(IF(VLOOKUP($N385,CODE!$K:$P,CODE!$O$1,FALSE)="",$M385,$M385&amp;"-"&amp;VLOOKUP($N385,CODE!$K:$P,CODE!$O$1,FALSE)))=TRUE,"",IF(VLOOKUP($N385,CODE!$K:$P,CODE!$O$1,FALSE)="",$M385,$M385&amp;"-"&amp;VLOOKUP($N385,CODE!$K:$P,CODE!$O$1,FALSE)))</f>
        <v>SBR</v>
      </c>
      <c r="P385" s="29" t="str">
        <f t="shared" si="76"/>
        <v>성인</v>
      </c>
      <c r="Q385" s="29" t="str">
        <f t="shared" si="77"/>
        <v>SBRBEF5040</v>
      </c>
      <c r="R385" s="1" t="s">
        <v>1179</v>
      </c>
      <c r="S385" s="1" t="s">
        <v>14</v>
      </c>
      <c r="T385" s="26">
        <v>800</v>
      </c>
      <c r="U385" s="26">
        <v>31200000</v>
      </c>
      <c r="V385" s="26">
        <v>5139288.0000000009</v>
      </c>
      <c r="W385" s="26">
        <v>5.5189816884432927</v>
      </c>
      <c r="X385" s="26">
        <v>797</v>
      </c>
      <c r="Y385" s="26">
        <v>0</v>
      </c>
    </row>
    <row r="386" spans="1:25">
      <c r="A386" s="24" t="str">
        <f t="shared" si="69"/>
        <v>신규</v>
      </c>
      <c r="B386" s="24" t="str">
        <f>IF(COUNTIF(R$1:R385,R386)=0,"최초","리오더")</f>
        <v>최초</v>
      </c>
      <c r="C386" s="24" t="str">
        <f t="shared" si="70"/>
        <v>SBRBEF5040</v>
      </c>
      <c r="D386" s="24">
        <f t="shared" ref="D386:D449" si="78">IF(C386="",0,1/COUNTIF(C:C,C386))</f>
        <v>0.33333333333333331</v>
      </c>
      <c r="E386" s="24" t="str">
        <f t="shared" si="71"/>
        <v/>
      </c>
      <c r="F386" s="24">
        <f t="shared" ref="F386:F449" si="79">IF(E386="",0,1/COUNTIF(E:E,E386))</f>
        <v>0</v>
      </c>
      <c r="G386" s="24" t="str">
        <f t="shared" si="72"/>
        <v>SBRBEF5040BL</v>
      </c>
      <c r="H386" s="24">
        <f t="shared" ref="H386:H449" si="80">IF(G386="",0,1/COUNTIF(G:G,G386))</f>
        <v>1</v>
      </c>
      <c r="I386" s="24" t="str">
        <f t="shared" si="73"/>
        <v/>
      </c>
      <c r="J386" s="24">
        <f t="shared" ref="J386:J449" si="81">IF(I386="",0,1/COUNTIF(I:I,I386))</f>
        <v>0</v>
      </c>
      <c r="K386" s="24" t="str">
        <f t="shared" si="74"/>
        <v>F5</v>
      </c>
      <c r="L386" s="24" t="str">
        <f>VLOOKUP(N386,CODE!K:P,CODE!$P$1,FALSE)</f>
        <v>모자</v>
      </c>
      <c r="M386" s="24" t="str">
        <f>VLOOKUP(MID(R386,1,3),CODE!$B:$G,CODE!D$1,FALSE)</f>
        <v>SBR</v>
      </c>
      <c r="N386" s="24" t="str">
        <f t="shared" si="75"/>
        <v>BE</v>
      </c>
      <c r="O386" s="29" t="str">
        <f>IF(ISERROR(IF(VLOOKUP($N386,CODE!$K:$P,CODE!$O$1,FALSE)="",$M386,$M386&amp;"-"&amp;VLOOKUP($N386,CODE!$K:$P,CODE!$O$1,FALSE)))=TRUE,"",IF(VLOOKUP($N386,CODE!$K:$P,CODE!$O$1,FALSE)="",$M386,$M386&amp;"-"&amp;VLOOKUP($N386,CODE!$K:$P,CODE!$O$1,FALSE)))</f>
        <v>SBR</v>
      </c>
      <c r="P386" s="29" t="str">
        <f t="shared" si="76"/>
        <v>성인</v>
      </c>
      <c r="Q386" s="29" t="str">
        <f t="shared" si="77"/>
        <v>SBRBEF5040</v>
      </c>
      <c r="R386" s="1" t="s">
        <v>1180</v>
      </c>
      <c r="S386" s="1" t="s">
        <v>14</v>
      </c>
      <c r="T386" s="26">
        <v>800</v>
      </c>
      <c r="U386" s="26">
        <v>31200000</v>
      </c>
      <c r="V386" s="26">
        <v>5139288.0000000009</v>
      </c>
      <c r="W386" s="26">
        <v>5.5189816884432927</v>
      </c>
      <c r="X386" s="26">
        <v>800</v>
      </c>
      <c r="Y386" s="26">
        <v>0</v>
      </c>
    </row>
    <row r="387" spans="1:25">
      <c r="A387" s="24" t="str">
        <f t="shared" ref="A387:A450" si="82">IF(OR(MID(R387,8,1)="0",MID(R387,8,1)="5"),"신규","러닝")</f>
        <v>신규</v>
      </c>
      <c r="B387" s="24" t="str">
        <f>IF(COUNTIF(R$1:R386,R387)=0,"최초","리오더")</f>
        <v>최초</v>
      </c>
      <c r="C387" s="24" t="str">
        <f t="shared" ref="C387:C450" si="83">IF($B387="리오더","",Q387)</f>
        <v>SBRBEF5040</v>
      </c>
      <c r="D387" s="24">
        <f t="shared" si="78"/>
        <v>0.33333333333333331</v>
      </c>
      <c r="E387" s="24" t="str">
        <f t="shared" ref="E387:E450" si="84">IF($B387="리오더",Q387,"")</f>
        <v/>
      </c>
      <c r="F387" s="24">
        <f t="shared" si="79"/>
        <v>0</v>
      </c>
      <c r="G387" s="24" t="str">
        <f t="shared" ref="G387:G450" si="85">IF($B387="리오더","",R387)</f>
        <v>SBRBEF5040PK</v>
      </c>
      <c r="H387" s="24">
        <f t="shared" si="80"/>
        <v>1</v>
      </c>
      <c r="I387" s="24" t="str">
        <f t="shared" ref="I387:I450" si="86">IF($B387="리오더",R387,"")</f>
        <v/>
      </c>
      <c r="J387" s="24">
        <f t="shared" si="81"/>
        <v>0</v>
      </c>
      <c r="K387" s="24" t="str">
        <f t="shared" ref="K387:K450" si="87">MID(R387,6,2)</f>
        <v>F5</v>
      </c>
      <c r="L387" s="24" t="str">
        <f>VLOOKUP(N387,CODE!K:P,CODE!$P$1,FALSE)</f>
        <v>모자</v>
      </c>
      <c r="M387" s="24" t="str">
        <f>VLOOKUP(MID(R387,1,3),CODE!$B:$G,CODE!D$1,FALSE)</f>
        <v>SBR</v>
      </c>
      <c r="N387" s="24" t="str">
        <f t="shared" ref="N387:N450" si="88">MID(R387,4,2)</f>
        <v>BE</v>
      </c>
      <c r="O387" s="29" t="str">
        <f>IF(ISERROR(IF(VLOOKUP($N387,CODE!$K:$P,CODE!$O$1,FALSE)="",$M387,$M387&amp;"-"&amp;VLOOKUP($N387,CODE!$K:$P,CODE!$O$1,FALSE)))=TRUE,"",IF(VLOOKUP($N387,CODE!$K:$P,CODE!$O$1,FALSE)="",$M387,$M387&amp;"-"&amp;VLOOKUP($N387,CODE!$K:$P,CODE!$O$1,FALSE)))</f>
        <v>SBR</v>
      </c>
      <c r="P387" s="29" t="str">
        <f t="shared" ref="P387:P450" si="89">IF(OR(MID(R387,8,1)="0",MID(R387,8,1)="1",MID(R387,8,1)="2",MID(R387,8,1)="3",MID(R387,8,1)="4"),"성인","키즈")</f>
        <v>성인</v>
      </c>
      <c r="Q387" s="29" t="str">
        <f t="shared" ref="Q387:Q450" si="90">MID(R387,1,10)</f>
        <v>SBRBEF5040</v>
      </c>
      <c r="R387" s="1" t="s">
        <v>1181</v>
      </c>
      <c r="S387" s="1" t="s">
        <v>14</v>
      </c>
      <c r="T387" s="26">
        <v>800</v>
      </c>
      <c r="U387" s="26">
        <v>31200000</v>
      </c>
      <c r="V387" s="26">
        <v>5139288.0000000009</v>
      </c>
      <c r="W387" s="26">
        <v>5.5189816884432927</v>
      </c>
      <c r="X387" s="26">
        <v>800</v>
      </c>
      <c r="Y387" s="26">
        <v>0</v>
      </c>
    </row>
    <row r="388" spans="1:25">
      <c r="A388" s="24" t="str">
        <f t="shared" si="82"/>
        <v>신규</v>
      </c>
      <c r="B388" s="24" t="str">
        <f>IF(COUNTIF(R$1:R387,R388)=0,"최초","리오더")</f>
        <v>최초</v>
      </c>
      <c r="C388" s="24" t="str">
        <f t="shared" si="83"/>
        <v>WTRBAF3003</v>
      </c>
      <c r="D388" s="24">
        <f t="shared" si="78"/>
        <v>1</v>
      </c>
      <c r="E388" s="24" t="str">
        <f t="shared" si="84"/>
        <v/>
      </c>
      <c r="F388" s="24">
        <f t="shared" si="79"/>
        <v>0</v>
      </c>
      <c r="G388" s="24" t="str">
        <f t="shared" si="85"/>
        <v>WTRBAF3003GY</v>
      </c>
      <c r="H388" s="24">
        <f t="shared" si="80"/>
        <v>1</v>
      </c>
      <c r="I388" s="24" t="str">
        <f t="shared" si="86"/>
        <v/>
      </c>
      <c r="J388" s="24">
        <f t="shared" si="81"/>
        <v>0</v>
      </c>
      <c r="K388" s="24" t="str">
        <f t="shared" si="87"/>
        <v>F3</v>
      </c>
      <c r="L388" s="24" t="str">
        <f>VLOOKUP(N388,CODE!K:P,CODE!$P$1,FALSE)</f>
        <v>모자</v>
      </c>
      <c r="M388" s="24" t="str">
        <f>VLOOKUP(MID(R388,1,3),CODE!$B:$G,CODE!D$1,FALSE)</f>
        <v>WTR</v>
      </c>
      <c r="N388" s="24" t="str">
        <f t="shared" si="88"/>
        <v>BA</v>
      </c>
      <c r="O388" s="29" t="str">
        <f>IF(ISERROR(IF(VLOOKUP($N388,CODE!$K:$P,CODE!$O$1,FALSE)="",$M388,$M388&amp;"-"&amp;VLOOKUP($N388,CODE!$K:$P,CODE!$O$1,FALSE)))=TRUE,"",IF(VLOOKUP($N388,CODE!$K:$P,CODE!$O$1,FALSE)="",$M388,$M388&amp;"-"&amp;VLOOKUP($N388,CODE!$K:$P,CODE!$O$1,FALSE)))</f>
        <v>WTR</v>
      </c>
      <c r="P388" s="29" t="str">
        <f t="shared" si="89"/>
        <v>성인</v>
      </c>
      <c r="Q388" s="29" t="str">
        <f t="shared" si="90"/>
        <v>WTRBAF3003</v>
      </c>
      <c r="R388" s="1" t="s">
        <v>1182</v>
      </c>
      <c r="S388" s="1" t="s">
        <v>14</v>
      </c>
      <c r="T388" s="26">
        <v>800</v>
      </c>
      <c r="U388" s="26">
        <v>42400000</v>
      </c>
      <c r="V388" s="26">
        <v>5394432</v>
      </c>
      <c r="W388" s="26">
        <v>7.1454148546973144</v>
      </c>
      <c r="X388" s="26">
        <v>800</v>
      </c>
      <c r="Y388" s="26">
        <v>0</v>
      </c>
    </row>
    <row r="389" spans="1:25">
      <c r="A389" s="24" t="str">
        <f t="shared" si="82"/>
        <v>신규</v>
      </c>
      <c r="B389" s="24" t="str">
        <f>IF(COUNTIF(R$1:R388,R389)=0,"최초","리오더")</f>
        <v>최초</v>
      </c>
      <c r="C389" s="24" t="str">
        <f t="shared" si="83"/>
        <v>WTRBAF3004</v>
      </c>
      <c r="D389" s="24">
        <f t="shared" si="78"/>
        <v>1</v>
      </c>
      <c r="E389" s="24" t="str">
        <f t="shared" si="84"/>
        <v/>
      </c>
      <c r="F389" s="24">
        <f t="shared" si="79"/>
        <v>0</v>
      </c>
      <c r="G389" s="24" t="str">
        <f t="shared" si="85"/>
        <v>WTRBAF3004RE</v>
      </c>
      <c r="H389" s="24">
        <f t="shared" si="80"/>
        <v>1</v>
      </c>
      <c r="I389" s="24" t="str">
        <f t="shared" si="86"/>
        <v/>
      </c>
      <c r="J389" s="24">
        <f t="shared" si="81"/>
        <v>0</v>
      </c>
      <c r="K389" s="24" t="str">
        <f t="shared" si="87"/>
        <v>F3</v>
      </c>
      <c r="L389" s="24" t="str">
        <f>VLOOKUP(N389,CODE!K:P,CODE!$P$1,FALSE)</f>
        <v>모자</v>
      </c>
      <c r="M389" s="24" t="str">
        <f>VLOOKUP(MID(R389,1,3),CODE!$B:$G,CODE!D$1,FALSE)</f>
        <v>WTR</v>
      </c>
      <c r="N389" s="24" t="str">
        <f t="shared" si="88"/>
        <v>BA</v>
      </c>
      <c r="O389" s="29" t="str">
        <f>IF(ISERROR(IF(VLOOKUP($N389,CODE!$K:$P,CODE!$O$1,FALSE)="",$M389,$M389&amp;"-"&amp;VLOOKUP($N389,CODE!$K:$P,CODE!$O$1,FALSE)))=TRUE,"",IF(VLOOKUP($N389,CODE!$K:$P,CODE!$O$1,FALSE)="",$M389,$M389&amp;"-"&amp;VLOOKUP($N389,CODE!$K:$P,CODE!$O$1,FALSE)))</f>
        <v>WTR</v>
      </c>
      <c r="P389" s="29" t="str">
        <f t="shared" si="89"/>
        <v>성인</v>
      </c>
      <c r="Q389" s="29" t="str">
        <f t="shared" si="90"/>
        <v>WTRBAF3004</v>
      </c>
      <c r="R389" s="1" t="s">
        <v>1183</v>
      </c>
      <c r="S389" s="1" t="s">
        <v>14</v>
      </c>
      <c r="T389" s="26">
        <v>800</v>
      </c>
      <c r="U389" s="26">
        <v>42400000</v>
      </c>
      <c r="V389" s="26">
        <v>6165304.0000000019</v>
      </c>
      <c r="W389" s="26">
        <v>6.2519957727071578</v>
      </c>
      <c r="X389" s="26">
        <v>800</v>
      </c>
      <c r="Y389" s="26">
        <v>0</v>
      </c>
    </row>
    <row r="390" spans="1:25">
      <c r="A390" s="24" t="str">
        <f t="shared" si="82"/>
        <v>신규</v>
      </c>
      <c r="B390" s="24" t="str">
        <f>IF(COUNTIF(R$1:R389,R390)=0,"최초","리오더")</f>
        <v>최초</v>
      </c>
      <c r="C390" s="24" t="str">
        <f t="shared" si="83"/>
        <v>WTRBAF5005</v>
      </c>
      <c r="D390" s="24">
        <f t="shared" si="78"/>
        <v>1</v>
      </c>
      <c r="E390" s="24" t="str">
        <f t="shared" si="84"/>
        <v/>
      </c>
      <c r="F390" s="24">
        <f t="shared" si="79"/>
        <v>0</v>
      </c>
      <c r="G390" s="24" t="str">
        <f t="shared" si="85"/>
        <v>WTRBAF5005BW</v>
      </c>
      <c r="H390" s="24">
        <f t="shared" si="80"/>
        <v>1</v>
      </c>
      <c r="I390" s="24" t="str">
        <f t="shared" si="86"/>
        <v/>
      </c>
      <c r="J390" s="24">
        <f t="shared" si="81"/>
        <v>0</v>
      </c>
      <c r="K390" s="24" t="str">
        <f t="shared" si="87"/>
        <v>F5</v>
      </c>
      <c r="L390" s="24" t="str">
        <f>VLOOKUP(N390,CODE!K:P,CODE!$P$1,FALSE)</f>
        <v>모자</v>
      </c>
      <c r="M390" s="24" t="str">
        <f>VLOOKUP(MID(R390,1,3),CODE!$B:$G,CODE!D$1,FALSE)</f>
        <v>WTR</v>
      </c>
      <c r="N390" s="24" t="str">
        <f t="shared" si="88"/>
        <v>BA</v>
      </c>
      <c r="O390" s="29" t="str">
        <f>IF(ISERROR(IF(VLOOKUP($N390,CODE!$K:$P,CODE!$O$1,FALSE)="",$M390,$M390&amp;"-"&amp;VLOOKUP($N390,CODE!$K:$P,CODE!$O$1,FALSE)))=TRUE,"",IF(VLOOKUP($N390,CODE!$K:$P,CODE!$O$1,FALSE)="",$M390,$M390&amp;"-"&amp;VLOOKUP($N390,CODE!$K:$P,CODE!$O$1,FALSE)))</f>
        <v>WTR</v>
      </c>
      <c r="P390" s="29" t="str">
        <f t="shared" si="89"/>
        <v>성인</v>
      </c>
      <c r="Q390" s="29" t="str">
        <f t="shared" si="90"/>
        <v>WTRBAF5005</v>
      </c>
      <c r="R390" s="1" t="s">
        <v>1184</v>
      </c>
      <c r="S390" s="1" t="s">
        <v>14</v>
      </c>
      <c r="T390" s="26">
        <v>800</v>
      </c>
      <c r="U390" s="26">
        <v>42400000</v>
      </c>
      <c r="V390" s="26">
        <v>6579880.0000000019</v>
      </c>
      <c r="W390" s="26">
        <v>5.8580786496797099</v>
      </c>
      <c r="X390" s="26">
        <v>802</v>
      </c>
      <c r="Y390" s="26">
        <v>0</v>
      </c>
    </row>
    <row r="391" spans="1:25">
      <c r="A391" s="24" t="str">
        <f t="shared" si="82"/>
        <v>신규</v>
      </c>
      <c r="B391" s="24" t="str">
        <f>IF(COUNTIF(R$1:R390,R391)=0,"최초","리오더")</f>
        <v>최초</v>
      </c>
      <c r="C391" s="24" t="str">
        <f t="shared" si="83"/>
        <v>WTRBAF5006</v>
      </c>
      <c r="D391" s="24">
        <f t="shared" si="78"/>
        <v>1</v>
      </c>
      <c r="E391" s="24" t="str">
        <f t="shared" si="84"/>
        <v/>
      </c>
      <c r="F391" s="24">
        <f t="shared" si="79"/>
        <v>0</v>
      </c>
      <c r="G391" s="24" t="str">
        <f t="shared" si="85"/>
        <v>WTRBAF5006BG</v>
      </c>
      <c r="H391" s="24">
        <f t="shared" si="80"/>
        <v>1</v>
      </c>
      <c r="I391" s="24" t="str">
        <f t="shared" si="86"/>
        <v/>
      </c>
      <c r="J391" s="24">
        <f t="shared" si="81"/>
        <v>0</v>
      </c>
      <c r="K391" s="24" t="str">
        <f t="shared" si="87"/>
        <v>F5</v>
      </c>
      <c r="L391" s="24" t="str">
        <f>VLOOKUP(N391,CODE!K:P,CODE!$P$1,FALSE)</f>
        <v>모자</v>
      </c>
      <c r="M391" s="24" t="str">
        <f>VLOOKUP(MID(R391,1,3),CODE!$B:$G,CODE!D$1,FALSE)</f>
        <v>WTR</v>
      </c>
      <c r="N391" s="24" t="str">
        <f t="shared" si="88"/>
        <v>BA</v>
      </c>
      <c r="O391" s="29" t="str">
        <f>IF(ISERROR(IF(VLOOKUP($N391,CODE!$K:$P,CODE!$O$1,FALSE)="",$M391,$M391&amp;"-"&amp;VLOOKUP($N391,CODE!$K:$P,CODE!$O$1,FALSE)))=TRUE,"",IF(VLOOKUP($N391,CODE!$K:$P,CODE!$O$1,FALSE)="",$M391,$M391&amp;"-"&amp;VLOOKUP($N391,CODE!$K:$P,CODE!$O$1,FALSE)))</f>
        <v>WTR</v>
      </c>
      <c r="P391" s="29" t="str">
        <f t="shared" si="89"/>
        <v>성인</v>
      </c>
      <c r="Q391" s="29" t="str">
        <f t="shared" si="90"/>
        <v>WTRBAF5006</v>
      </c>
      <c r="R391" s="1" t="s">
        <v>1185</v>
      </c>
      <c r="S391" s="1" t="s">
        <v>14</v>
      </c>
      <c r="T391" s="26">
        <v>800</v>
      </c>
      <c r="U391" s="26">
        <v>42400000</v>
      </c>
      <c r="V391" s="26">
        <v>5948176.0000000009</v>
      </c>
      <c r="W391" s="26">
        <v>6.4802141943100766</v>
      </c>
      <c r="X391" s="26">
        <v>806</v>
      </c>
      <c r="Y391" s="26">
        <v>0</v>
      </c>
    </row>
    <row r="392" spans="1:25">
      <c r="A392" s="24" t="str">
        <f t="shared" si="82"/>
        <v>신규</v>
      </c>
      <c r="B392" s="24" t="str">
        <f>IF(COUNTIF(R$1:R391,R392)=0,"최초","리오더")</f>
        <v>최초</v>
      </c>
      <c r="C392" s="24" t="str">
        <f t="shared" si="83"/>
        <v>WTRBAF5007</v>
      </c>
      <c r="D392" s="24">
        <f t="shared" si="78"/>
        <v>1</v>
      </c>
      <c r="E392" s="24" t="str">
        <f t="shared" si="84"/>
        <v/>
      </c>
      <c r="F392" s="24">
        <f t="shared" si="79"/>
        <v>0</v>
      </c>
      <c r="G392" s="24" t="str">
        <f t="shared" si="85"/>
        <v>WTRBAF5007GY</v>
      </c>
      <c r="H392" s="24">
        <f t="shared" si="80"/>
        <v>1</v>
      </c>
      <c r="I392" s="24" t="str">
        <f t="shared" si="86"/>
        <v/>
      </c>
      <c r="J392" s="24">
        <f t="shared" si="81"/>
        <v>0</v>
      </c>
      <c r="K392" s="24" t="str">
        <f t="shared" si="87"/>
        <v>F5</v>
      </c>
      <c r="L392" s="24" t="str">
        <f>VLOOKUP(N392,CODE!K:P,CODE!$P$1,FALSE)</f>
        <v>모자</v>
      </c>
      <c r="M392" s="24" t="str">
        <f>VLOOKUP(MID(R392,1,3),CODE!$B:$G,CODE!D$1,FALSE)</f>
        <v>WTR</v>
      </c>
      <c r="N392" s="24" t="str">
        <f t="shared" si="88"/>
        <v>BA</v>
      </c>
      <c r="O392" s="29" t="str">
        <f>IF(ISERROR(IF(VLOOKUP($N392,CODE!$K:$P,CODE!$O$1,FALSE)="",$M392,$M392&amp;"-"&amp;VLOOKUP($N392,CODE!$K:$P,CODE!$O$1,FALSE)))=TRUE,"",IF(VLOOKUP($N392,CODE!$K:$P,CODE!$O$1,FALSE)="",$M392,$M392&amp;"-"&amp;VLOOKUP($N392,CODE!$K:$P,CODE!$O$1,FALSE)))</f>
        <v>WTR</v>
      </c>
      <c r="P392" s="29" t="str">
        <f t="shared" si="89"/>
        <v>성인</v>
      </c>
      <c r="Q392" s="29" t="str">
        <f t="shared" si="90"/>
        <v>WTRBAF5007</v>
      </c>
      <c r="R392" s="1" t="s">
        <v>1186</v>
      </c>
      <c r="S392" s="1" t="s">
        <v>14</v>
      </c>
      <c r="T392" s="26">
        <v>1200</v>
      </c>
      <c r="U392" s="26">
        <v>63600000</v>
      </c>
      <c r="V392" s="26">
        <v>8987376.0000000019</v>
      </c>
      <c r="W392" s="26">
        <v>6.433266152231953</v>
      </c>
      <c r="X392" s="26">
        <v>1200</v>
      </c>
      <c r="Y392" s="26">
        <v>0</v>
      </c>
    </row>
    <row r="393" spans="1:25">
      <c r="A393" s="24" t="str">
        <f t="shared" si="82"/>
        <v>신규</v>
      </c>
      <c r="B393" s="24" t="str">
        <f>IF(COUNTIF(R$1:R392,R393)=0,"최초","리오더")</f>
        <v>최초</v>
      </c>
      <c r="C393" s="24" t="str">
        <f t="shared" si="83"/>
        <v>WTRERF5008</v>
      </c>
      <c r="D393" s="24">
        <f t="shared" si="78"/>
        <v>1</v>
      </c>
      <c r="E393" s="24" t="str">
        <f t="shared" si="84"/>
        <v/>
      </c>
      <c r="F393" s="24">
        <f t="shared" si="79"/>
        <v>0</v>
      </c>
      <c r="G393" s="24" t="str">
        <f t="shared" si="85"/>
        <v>WTRERF5008BK</v>
      </c>
      <c r="H393" s="24">
        <f t="shared" si="80"/>
        <v>1</v>
      </c>
      <c r="I393" s="24" t="str">
        <f t="shared" si="86"/>
        <v/>
      </c>
      <c r="J393" s="24">
        <f t="shared" si="81"/>
        <v>0</v>
      </c>
      <c r="K393" s="24" t="str">
        <f t="shared" si="87"/>
        <v>F5</v>
      </c>
      <c r="L393" s="24" t="str">
        <f>VLOOKUP(N393,CODE!K:P,CODE!$P$1,FALSE)</f>
        <v>모자</v>
      </c>
      <c r="M393" s="24" t="str">
        <f>VLOOKUP(MID(R393,1,3),CODE!$B:$G,CODE!D$1,FALSE)</f>
        <v>WTR</v>
      </c>
      <c r="N393" s="24" t="str">
        <f t="shared" si="88"/>
        <v>ER</v>
      </c>
      <c r="O393" s="29" t="str">
        <f>IF(ISERROR(IF(VLOOKUP($N393,CODE!$K:$P,CODE!$O$1,FALSE)="",$M393,$M393&amp;"-"&amp;VLOOKUP($N393,CODE!$K:$P,CODE!$O$1,FALSE)))=TRUE,"",IF(VLOOKUP($N393,CODE!$K:$P,CODE!$O$1,FALSE)="",$M393,$M393&amp;"-"&amp;VLOOKUP($N393,CODE!$K:$P,CODE!$O$1,FALSE)))</f>
        <v>WTR</v>
      </c>
      <c r="P393" s="29" t="str">
        <f t="shared" si="89"/>
        <v>성인</v>
      </c>
      <c r="Q393" s="29" t="str">
        <f t="shared" si="90"/>
        <v>WTRERF5008</v>
      </c>
      <c r="R393" s="1" t="s">
        <v>1187</v>
      </c>
      <c r="S393" s="1" t="s">
        <v>14</v>
      </c>
      <c r="T393" s="26">
        <v>800</v>
      </c>
      <c r="U393" s="26">
        <v>47200000</v>
      </c>
      <c r="V393" s="26">
        <v>6906696.0000000009</v>
      </c>
      <c r="W393" s="26">
        <v>6.2126798268073333</v>
      </c>
      <c r="X393" s="26">
        <v>798</v>
      </c>
      <c r="Y393" s="26">
        <v>0</v>
      </c>
    </row>
    <row r="394" spans="1:25">
      <c r="A394" s="24" t="str">
        <f t="shared" si="82"/>
        <v>신규</v>
      </c>
      <c r="B394" s="24" t="str">
        <f>IF(COUNTIF(R$1:R393,R394)=0,"최초","리오더")</f>
        <v>최초</v>
      </c>
      <c r="C394" s="24" t="str">
        <f t="shared" si="83"/>
        <v>WTRERF5009</v>
      </c>
      <c r="D394" s="24">
        <f t="shared" si="78"/>
        <v>1</v>
      </c>
      <c r="E394" s="24" t="str">
        <f t="shared" si="84"/>
        <v/>
      </c>
      <c r="F394" s="24">
        <f t="shared" si="79"/>
        <v>0</v>
      </c>
      <c r="G394" s="24" t="str">
        <f t="shared" si="85"/>
        <v>WTRERF5009KH</v>
      </c>
      <c r="H394" s="24">
        <f t="shared" si="80"/>
        <v>1</v>
      </c>
      <c r="I394" s="24" t="str">
        <f t="shared" si="86"/>
        <v/>
      </c>
      <c r="J394" s="24">
        <f t="shared" si="81"/>
        <v>0</v>
      </c>
      <c r="K394" s="24" t="str">
        <f t="shared" si="87"/>
        <v>F5</v>
      </c>
      <c r="L394" s="24" t="str">
        <f>VLOOKUP(N394,CODE!K:P,CODE!$P$1,FALSE)</f>
        <v>모자</v>
      </c>
      <c r="M394" s="24" t="str">
        <f>VLOOKUP(MID(R394,1,3),CODE!$B:$G,CODE!D$1,FALSE)</f>
        <v>WTR</v>
      </c>
      <c r="N394" s="24" t="str">
        <f t="shared" si="88"/>
        <v>ER</v>
      </c>
      <c r="O394" s="29" t="str">
        <f>IF(ISERROR(IF(VLOOKUP($N394,CODE!$K:$P,CODE!$O$1,FALSE)="",$M394,$M394&amp;"-"&amp;VLOOKUP($N394,CODE!$K:$P,CODE!$O$1,FALSE)))=TRUE,"",IF(VLOOKUP($N394,CODE!$K:$P,CODE!$O$1,FALSE)="",$M394,$M394&amp;"-"&amp;VLOOKUP($N394,CODE!$K:$P,CODE!$O$1,FALSE)))</f>
        <v>WTR</v>
      </c>
      <c r="P394" s="29" t="str">
        <f t="shared" si="89"/>
        <v>성인</v>
      </c>
      <c r="Q394" s="29" t="str">
        <f t="shared" si="90"/>
        <v>WTRERF5009</v>
      </c>
      <c r="R394" s="1" t="s">
        <v>1188</v>
      </c>
      <c r="S394" s="1" t="s">
        <v>14</v>
      </c>
      <c r="T394" s="26">
        <v>800</v>
      </c>
      <c r="U394" s="26">
        <v>50400000</v>
      </c>
      <c r="V394" s="26">
        <v>8806744.0000000019</v>
      </c>
      <c r="W394" s="26">
        <v>5.2026244680419698</v>
      </c>
      <c r="X394" s="26">
        <v>800</v>
      </c>
      <c r="Y394" s="26">
        <v>0</v>
      </c>
    </row>
    <row r="395" spans="1:25">
      <c r="A395" s="24" t="str">
        <f t="shared" si="82"/>
        <v>신규</v>
      </c>
      <c r="B395" s="24" t="str">
        <f>IF(COUNTIF(R$1:R394,R395)=0,"최초","리오더")</f>
        <v>최초</v>
      </c>
      <c r="C395" s="24" t="str">
        <f t="shared" si="83"/>
        <v>WTRERF5010</v>
      </c>
      <c r="D395" s="24">
        <f t="shared" si="78"/>
        <v>1</v>
      </c>
      <c r="E395" s="24" t="str">
        <f t="shared" si="84"/>
        <v/>
      </c>
      <c r="F395" s="24">
        <f t="shared" si="79"/>
        <v>0</v>
      </c>
      <c r="G395" s="24" t="str">
        <f t="shared" si="85"/>
        <v>WTRERF5010GY</v>
      </c>
      <c r="H395" s="24">
        <f t="shared" si="80"/>
        <v>1</v>
      </c>
      <c r="I395" s="24" t="str">
        <f t="shared" si="86"/>
        <v/>
      </c>
      <c r="J395" s="24">
        <f t="shared" si="81"/>
        <v>0</v>
      </c>
      <c r="K395" s="24" t="str">
        <f t="shared" si="87"/>
        <v>F5</v>
      </c>
      <c r="L395" s="24" t="str">
        <f>VLOOKUP(N395,CODE!K:P,CODE!$P$1,FALSE)</f>
        <v>모자</v>
      </c>
      <c r="M395" s="24" t="str">
        <f>VLOOKUP(MID(R395,1,3),CODE!$B:$G,CODE!D$1,FALSE)</f>
        <v>WTR</v>
      </c>
      <c r="N395" s="24" t="str">
        <f t="shared" si="88"/>
        <v>ER</v>
      </c>
      <c r="O395" s="29" t="str">
        <f>IF(ISERROR(IF(VLOOKUP($N395,CODE!$K:$P,CODE!$O$1,FALSE)="",$M395,$M395&amp;"-"&amp;VLOOKUP($N395,CODE!$K:$P,CODE!$O$1,FALSE)))=TRUE,"",IF(VLOOKUP($N395,CODE!$K:$P,CODE!$O$1,FALSE)="",$M395,$M395&amp;"-"&amp;VLOOKUP($N395,CODE!$K:$P,CODE!$O$1,FALSE)))</f>
        <v>WTR</v>
      </c>
      <c r="P395" s="29" t="str">
        <f t="shared" si="89"/>
        <v>성인</v>
      </c>
      <c r="Q395" s="29" t="str">
        <f t="shared" si="90"/>
        <v>WTRERF5010</v>
      </c>
      <c r="R395" s="1" t="s">
        <v>1189</v>
      </c>
      <c r="S395" s="1" t="s">
        <v>14</v>
      </c>
      <c r="T395" s="26">
        <v>800</v>
      </c>
      <c r="U395" s="26">
        <v>47200000</v>
      </c>
      <c r="V395" s="26">
        <v>7551248.0000000009</v>
      </c>
      <c r="W395" s="26">
        <v>5.6823840124295879</v>
      </c>
      <c r="X395" s="26">
        <v>807</v>
      </c>
      <c r="Y395" s="26">
        <v>0</v>
      </c>
    </row>
    <row r="396" spans="1:25">
      <c r="A396" s="24" t="str">
        <f t="shared" si="82"/>
        <v>신규</v>
      </c>
      <c r="B396" s="24" t="str">
        <f>IF(COUNTIF(R$1:R395,R396)=0,"최초","리오더")</f>
        <v>최초</v>
      </c>
      <c r="C396" s="24" t="str">
        <f t="shared" si="83"/>
        <v>WTRERF5011</v>
      </c>
      <c r="D396" s="24">
        <f t="shared" si="78"/>
        <v>1</v>
      </c>
      <c r="E396" s="24" t="str">
        <f t="shared" si="84"/>
        <v/>
      </c>
      <c r="F396" s="24">
        <f t="shared" si="79"/>
        <v>0</v>
      </c>
      <c r="G396" s="24" t="str">
        <f t="shared" si="85"/>
        <v>WTRERF5011BG</v>
      </c>
      <c r="H396" s="24">
        <f t="shared" si="80"/>
        <v>1</v>
      </c>
      <c r="I396" s="24" t="str">
        <f t="shared" si="86"/>
        <v/>
      </c>
      <c r="J396" s="24">
        <f t="shared" si="81"/>
        <v>0</v>
      </c>
      <c r="K396" s="24" t="str">
        <f t="shared" si="87"/>
        <v>F5</v>
      </c>
      <c r="L396" s="24" t="str">
        <f>VLOOKUP(N396,CODE!K:P,CODE!$P$1,FALSE)</f>
        <v>모자</v>
      </c>
      <c r="M396" s="24" t="str">
        <f>VLOOKUP(MID(R396,1,3),CODE!$B:$G,CODE!D$1,FALSE)</f>
        <v>WTR</v>
      </c>
      <c r="N396" s="24" t="str">
        <f t="shared" si="88"/>
        <v>ER</v>
      </c>
      <c r="O396" s="29" t="str">
        <f>IF(ISERROR(IF(VLOOKUP($N396,CODE!$K:$P,CODE!$O$1,FALSE)="",$M396,$M396&amp;"-"&amp;VLOOKUP($N396,CODE!$K:$P,CODE!$O$1,FALSE)))=TRUE,"",IF(VLOOKUP($N396,CODE!$K:$P,CODE!$O$1,FALSE)="",$M396,$M396&amp;"-"&amp;VLOOKUP($N396,CODE!$K:$P,CODE!$O$1,FALSE)))</f>
        <v>WTR</v>
      </c>
      <c r="P396" s="29" t="str">
        <f t="shared" si="89"/>
        <v>성인</v>
      </c>
      <c r="Q396" s="29" t="str">
        <f t="shared" si="90"/>
        <v>WTRERF5011</v>
      </c>
      <c r="R396" s="1" t="s">
        <v>1190</v>
      </c>
      <c r="S396" s="1" t="s">
        <v>14</v>
      </c>
      <c r="T396" s="26">
        <v>800</v>
      </c>
      <c r="U396" s="26">
        <v>47200000</v>
      </c>
      <c r="V396" s="26">
        <v>7152080</v>
      </c>
      <c r="W396" s="26">
        <v>5.9995261391218921</v>
      </c>
      <c r="X396" s="26">
        <v>802</v>
      </c>
      <c r="Y396" s="26">
        <v>0</v>
      </c>
    </row>
    <row r="397" spans="1:25">
      <c r="A397" s="24" t="str">
        <f t="shared" si="82"/>
        <v>신규</v>
      </c>
      <c r="B397" s="24" t="str">
        <f>IF(COUNTIF(R$1:R396,R397)=0,"최초","리오더")</f>
        <v>최초</v>
      </c>
      <c r="C397" s="24" t="str">
        <f t="shared" si="83"/>
        <v>WTRERF5012</v>
      </c>
      <c r="D397" s="24">
        <f t="shared" si="78"/>
        <v>1</v>
      </c>
      <c r="E397" s="24" t="str">
        <f t="shared" si="84"/>
        <v/>
      </c>
      <c r="F397" s="24">
        <f t="shared" si="79"/>
        <v>0</v>
      </c>
      <c r="G397" s="24" t="str">
        <f t="shared" si="85"/>
        <v>WTRERF5012PK</v>
      </c>
      <c r="H397" s="24">
        <f t="shared" si="80"/>
        <v>1</v>
      </c>
      <c r="I397" s="24" t="str">
        <f t="shared" si="86"/>
        <v/>
      </c>
      <c r="J397" s="24">
        <f t="shared" si="81"/>
        <v>0</v>
      </c>
      <c r="K397" s="24" t="str">
        <f t="shared" si="87"/>
        <v>F5</v>
      </c>
      <c r="L397" s="24" t="str">
        <f>VLOOKUP(N397,CODE!K:P,CODE!$P$1,FALSE)</f>
        <v>모자</v>
      </c>
      <c r="M397" s="24" t="str">
        <f>VLOOKUP(MID(R397,1,3),CODE!$B:$G,CODE!D$1,FALSE)</f>
        <v>WTR</v>
      </c>
      <c r="N397" s="24" t="str">
        <f t="shared" si="88"/>
        <v>ER</v>
      </c>
      <c r="O397" s="29" t="str">
        <f>IF(ISERROR(IF(VLOOKUP($N397,CODE!$K:$P,CODE!$O$1,FALSE)="",$M397,$M397&amp;"-"&amp;VLOOKUP($N397,CODE!$K:$P,CODE!$O$1,FALSE)))=TRUE,"",IF(VLOOKUP($N397,CODE!$K:$P,CODE!$O$1,FALSE)="",$M397,$M397&amp;"-"&amp;VLOOKUP($N397,CODE!$K:$P,CODE!$O$1,FALSE)))</f>
        <v>WTR</v>
      </c>
      <c r="P397" s="29" t="str">
        <f t="shared" si="89"/>
        <v>성인</v>
      </c>
      <c r="Q397" s="29" t="str">
        <f t="shared" si="90"/>
        <v>WTRERF5012</v>
      </c>
      <c r="R397" s="1" t="s">
        <v>1191</v>
      </c>
      <c r="S397" s="1" t="s">
        <v>14</v>
      </c>
      <c r="T397" s="26">
        <v>800</v>
      </c>
      <c r="U397" s="26">
        <v>47200000</v>
      </c>
      <c r="V397" s="26">
        <v>7002392</v>
      </c>
      <c r="W397" s="26">
        <v>6.1277761812093505</v>
      </c>
      <c r="X397" s="26">
        <v>771</v>
      </c>
      <c r="Y397" s="26">
        <v>0</v>
      </c>
    </row>
    <row r="398" spans="1:25">
      <c r="A398" s="24" t="str">
        <f t="shared" si="82"/>
        <v>신규</v>
      </c>
      <c r="B398" s="24" t="str">
        <f>IF(COUNTIF(R$1:R397,R398)=0,"최초","리오더")</f>
        <v>최초</v>
      </c>
      <c r="C398" s="24" t="str">
        <f t="shared" si="83"/>
        <v>ELSERF5516</v>
      </c>
      <c r="D398" s="24">
        <f t="shared" si="78"/>
        <v>1</v>
      </c>
      <c r="E398" s="24" t="str">
        <f t="shared" si="84"/>
        <v/>
      </c>
      <c r="F398" s="24">
        <f t="shared" si="79"/>
        <v>0</v>
      </c>
      <c r="G398" s="24" t="str">
        <f t="shared" si="85"/>
        <v>ELSERF5516OR</v>
      </c>
      <c r="H398" s="24">
        <f t="shared" si="80"/>
        <v>1</v>
      </c>
      <c r="I398" s="24" t="str">
        <f t="shared" si="86"/>
        <v/>
      </c>
      <c r="J398" s="24">
        <f t="shared" si="81"/>
        <v>0</v>
      </c>
      <c r="K398" s="24" t="str">
        <f t="shared" si="87"/>
        <v>F5</v>
      </c>
      <c r="L398" s="24" t="str">
        <f>VLOOKUP(N398,CODE!K:P,CODE!$P$1,FALSE)</f>
        <v>모자</v>
      </c>
      <c r="M398" s="24" t="str">
        <f>VLOOKUP(MID(R398,1,3),CODE!$B:$G,CODE!D$1,FALSE)</f>
        <v>ELS</v>
      </c>
      <c r="N398" s="24" t="str">
        <f t="shared" si="88"/>
        <v>ER</v>
      </c>
      <c r="O398" s="29" t="str">
        <f>IF(ISERROR(IF(VLOOKUP($N398,CODE!$K:$P,CODE!$O$1,FALSE)="",$M398,$M398&amp;"-"&amp;VLOOKUP($N398,CODE!$K:$P,CODE!$O$1,FALSE)))=TRUE,"",IF(VLOOKUP($N398,CODE!$K:$P,CODE!$O$1,FALSE)="",$M398,$M398&amp;"-"&amp;VLOOKUP($N398,CODE!$K:$P,CODE!$O$1,FALSE)))</f>
        <v>ELS</v>
      </c>
      <c r="P398" s="29" t="str">
        <f t="shared" si="89"/>
        <v>키즈</v>
      </c>
      <c r="Q398" s="29" t="str">
        <f t="shared" si="90"/>
        <v>ELSERF5516</v>
      </c>
      <c r="R398" s="1" t="s">
        <v>1192</v>
      </c>
      <c r="S398" s="1" t="s">
        <v>14</v>
      </c>
      <c r="T398" s="26">
        <v>1200</v>
      </c>
      <c r="U398" s="26">
        <v>54000000</v>
      </c>
      <c r="V398" s="26">
        <v>8185824</v>
      </c>
      <c r="W398" s="26">
        <v>5.9970638375451379</v>
      </c>
      <c r="X398" s="26">
        <v>1186</v>
      </c>
      <c r="Y398" s="26">
        <v>0</v>
      </c>
    </row>
    <row r="399" spans="1:25">
      <c r="A399" s="24" t="str">
        <f t="shared" si="82"/>
        <v>신규</v>
      </c>
      <c r="B399" s="24" t="str">
        <f>IF(COUNTIF(R$1:R398,R399)=0,"최초","리오더")</f>
        <v>최초</v>
      </c>
      <c r="C399" s="24" t="str">
        <f t="shared" si="83"/>
        <v>ELSTPF5017</v>
      </c>
      <c r="D399" s="24">
        <f t="shared" si="78"/>
        <v>1</v>
      </c>
      <c r="E399" s="24" t="str">
        <f t="shared" si="84"/>
        <v/>
      </c>
      <c r="F399" s="24">
        <f t="shared" si="79"/>
        <v>0</v>
      </c>
      <c r="G399" s="24" t="str">
        <f t="shared" si="85"/>
        <v>ELSTPF5017BK</v>
      </c>
      <c r="H399" s="24">
        <f t="shared" si="80"/>
        <v>1</v>
      </c>
      <c r="I399" s="24" t="str">
        <f t="shared" si="86"/>
        <v/>
      </c>
      <c r="J399" s="24">
        <f t="shared" si="81"/>
        <v>0</v>
      </c>
      <c r="K399" s="24" t="str">
        <f t="shared" si="87"/>
        <v>F5</v>
      </c>
      <c r="L399" s="24" t="str">
        <f>VLOOKUP(N399,CODE!K:P,CODE!$P$1,FALSE)</f>
        <v>모자</v>
      </c>
      <c r="M399" s="24" t="str">
        <f>VLOOKUP(MID(R399,1,3),CODE!$B:$G,CODE!D$1,FALSE)</f>
        <v>ELS</v>
      </c>
      <c r="N399" s="24" t="str">
        <f t="shared" si="88"/>
        <v>TP</v>
      </c>
      <c r="O399" s="29" t="str">
        <f>IF(ISERROR(IF(VLOOKUP($N399,CODE!$K:$P,CODE!$O$1,FALSE)="",$M399,$M399&amp;"-"&amp;VLOOKUP($N399,CODE!$K:$P,CODE!$O$1,FALSE)))=TRUE,"",IF(VLOOKUP($N399,CODE!$K:$P,CODE!$O$1,FALSE)="",$M399,$M399&amp;"-"&amp;VLOOKUP($N399,CODE!$K:$P,CODE!$O$1,FALSE)))</f>
        <v>ELS</v>
      </c>
      <c r="P399" s="29" t="str">
        <f t="shared" si="89"/>
        <v>성인</v>
      </c>
      <c r="Q399" s="29" t="str">
        <f t="shared" si="90"/>
        <v>ELSTPF5017</v>
      </c>
      <c r="R399" s="1" t="s">
        <v>1193</v>
      </c>
      <c r="S399" s="1" t="s">
        <v>14</v>
      </c>
      <c r="T399" s="26">
        <v>800</v>
      </c>
      <c r="U399" s="26">
        <v>47200000</v>
      </c>
      <c r="V399" s="26">
        <v>6702064</v>
      </c>
      <c r="W399" s="26">
        <v>6.4023696146576494</v>
      </c>
      <c r="X399" s="26">
        <v>798</v>
      </c>
      <c r="Y399" s="26">
        <v>0</v>
      </c>
    </row>
    <row r="400" spans="1:25">
      <c r="A400" s="24" t="str">
        <f t="shared" si="82"/>
        <v>신규</v>
      </c>
      <c r="B400" s="24" t="str">
        <f>IF(COUNTIF(R$1:R399,R400)=0,"최초","리오더")</f>
        <v>최초</v>
      </c>
      <c r="C400" s="24" t="str">
        <f t="shared" si="83"/>
        <v>ELSTPF5517</v>
      </c>
      <c r="D400" s="24">
        <f t="shared" si="78"/>
        <v>1</v>
      </c>
      <c r="E400" s="24" t="str">
        <f t="shared" si="84"/>
        <v/>
      </c>
      <c r="F400" s="24">
        <f t="shared" si="79"/>
        <v>0</v>
      </c>
      <c r="G400" s="24" t="str">
        <f t="shared" si="85"/>
        <v>ELSTPF5517BK</v>
      </c>
      <c r="H400" s="24">
        <f t="shared" si="80"/>
        <v>1</v>
      </c>
      <c r="I400" s="24" t="str">
        <f t="shared" si="86"/>
        <v/>
      </c>
      <c r="J400" s="24">
        <f t="shared" si="81"/>
        <v>0</v>
      </c>
      <c r="K400" s="24" t="str">
        <f t="shared" si="87"/>
        <v>F5</v>
      </c>
      <c r="L400" s="24" t="str">
        <f>VLOOKUP(N400,CODE!K:P,CODE!$P$1,FALSE)</f>
        <v>모자</v>
      </c>
      <c r="M400" s="24" t="str">
        <f>VLOOKUP(MID(R400,1,3),CODE!$B:$G,CODE!D$1,FALSE)</f>
        <v>ELS</v>
      </c>
      <c r="N400" s="24" t="str">
        <f t="shared" si="88"/>
        <v>TP</v>
      </c>
      <c r="O400" s="29" t="str">
        <f>IF(ISERROR(IF(VLOOKUP($N400,CODE!$K:$P,CODE!$O$1,FALSE)="",$M400,$M400&amp;"-"&amp;VLOOKUP($N400,CODE!$K:$P,CODE!$O$1,FALSE)))=TRUE,"",IF(VLOOKUP($N400,CODE!$K:$P,CODE!$O$1,FALSE)="",$M400,$M400&amp;"-"&amp;VLOOKUP($N400,CODE!$K:$P,CODE!$O$1,FALSE)))</f>
        <v>ELS</v>
      </c>
      <c r="P400" s="29" t="str">
        <f t="shared" si="89"/>
        <v>키즈</v>
      </c>
      <c r="Q400" s="29" t="str">
        <f t="shared" si="90"/>
        <v>ELSTPF5517</v>
      </c>
      <c r="R400" s="1" t="s">
        <v>1194</v>
      </c>
      <c r="S400" s="1" t="s">
        <v>14</v>
      </c>
      <c r="T400" s="26">
        <v>800</v>
      </c>
      <c r="U400" s="26">
        <v>44000000</v>
      </c>
      <c r="V400" s="26">
        <v>6602272</v>
      </c>
      <c r="W400" s="26">
        <v>6.0585204608353003</v>
      </c>
      <c r="X400" s="26">
        <v>794</v>
      </c>
      <c r="Y400" s="26">
        <v>0</v>
      </c>
    </row>
    <row r="401" spans="1:25">
      <c r="A401" s="24" t="str">
        <f t="shared" si="82"/>
        <v>신규</v>
      </c>
      <c r="B401" s="24" t="str">
        <f>IF(COUNTIF(R$1:R400,R401)=0,"최초","리오더")</f>
        <v>최초</v>
      </c>
      <c r="C401" s="24" t="str">
        <f t="shared" si="83"/>
        <v>ELSTPF5515</v>
      </c>
      <c r="D401" s="24">
        <f t="shared" si="78"/>
        <v>1</v>
      </c>
      <c r="E401" s="24" t="str">
        <f t="shared" si="84"/>
        <v/>
      </c>
      <c r="F401" s="24">
        <f t="shared" si="79"/>
        <v>0</v>
      </c>
      <c r="G401" s="24" t="str">
        <f t="shared" si="85"/>
        <v>ELSTPF5515RE</v>
      </c>
      <c r="H401" s="24">
        <f t="shared" si="80"/>
        <v>1</v>
      </c>
      <c r="I401" s="24" t="str">
        <f t="shared" si="86"/>
        <v/>
      </c>
      <c r="J401" s="24">
        <f t="shared" si="81"/>
        <v>0</v>
      </c>
      <c r="K401" s="24" t="str">
        <f t="shared" si="87"/>
        <v>F5</v>
      </c>
      <c r="L401" s="24" t="str">
        <f>VLOOKUP(N401,CODE!K:P,CODE!$P$1,FALSE)</f>
        <v>모자</v>
      </c>
      <c r="M401" s="24" t="str">
        <f>VLOOKUP(MID(R401,1,3),CODE!$B:$G,CODE!D$1,FALSE)</f>
        <v>ELS</v>
      </c>
      <c r="N401" s="24" t="str">
        <f t="shared" si="88"/>
        <v>TP</v>
      </c>
      <c r="O401" s="29" t="str">
        <f>IF(ISERROR(IF(VLOOKUP($N401,CODE!$K:$P,CODE!$O$1,FALSE)="",$M401,$M401&amp;"-"&amp;VLOOKUP($N401,CODE!$K:$P,CODE!$O$1,FALSE)))=TRUE,"",IF(VLOOKUP($N401,CODE!$K:$P,CODE!$O$1,FALSE)="",$M401,$M401&amp;"-"&amp;VLOOKUP($N401,CODE!$K:$P,CODE!$O$1,FALSE)))</f>
        <v>ELS</v>
      </c>
      <c r="P401" s="29" t="str">
        <f t="shared" si="89"/>
        <v>키즈</v>
      </c>
      <c r="Q401" s="29" t="str">
        <f t="shared" si="90"/>
        <v>ELSTPF5515</v>
      </c>
      <c r="R401" s="1" t="s">
        <v>1195</v>
      </c>
      <c r="S401" s="1" t="s">
        <v>14</v>
      </c>
      <c r="T401" s="26">
        <v>1000</v>
      </c>
      <c r="U401" s="26">
        <v>59000000</v>
      </c>
      <c r="V401" s="26">
        <v>11454200</v>
      </c>
      <c r="W401" s="26">
        <v>4.6826809062495531</v>
      </c>
      <c r="X401" s="26">
        <v>997</v>
      </c>
      <c r="Y401" s="26">
        <v>0</v>
      </c>
    </row>
    <row r="402" spans="1:25">
      <c r="A402" s="24" t="str">
        <f t="shared" si="82"/>
        <v>신규</v>
      </c>
      <c r="B402" s="24" t="str">
        <f>IF(COUNTIF(R$1:R401,R402)=0,"최초","리오더")</f>
        <v>최초</v>
      </c>
      <c r="C402" s="24" t="str">
        <f t="shared" si="83"/>
        <v>ELSEDF5522</v>
      </c>
      <c r="D402" s="24">
        <f t="shared" si="78"/>
        <v>1</v>
      </c>
      <c r="E402" s="24" t="str">
        <f t="shared" si="84"/>
        <v/>
      </c>
      <c r="F402" s="24">
        <f t="shared" si="79"/>
        <v>0</v>
      </c>
      <c r="G402" s="24" t="str">
        <f t="shared" si="85"/>
        <v>ELSEDF5522YE</v>
      </c>
      <c r="H402" s="24">
        <f t="shared" si="80"/>
        <v>1</v>
      </c>
      <c r="I402" s="24" t="str">
        <f t="shared" si="86"/>
        <v/>
      </c>
      <c r="J402" s="24">
        <f t="shared" si="81"/>
        <v>0</v>
      </c>
      <c r="K402" s="24" t="str">
        <f t="shared" si="87"/>
        <v>F5</v>
      </c>
      <c r="L402" s="24" t="str">
        <f>VLOOKUP(N402,CODE!K:P,CODE!$P$1,FALSE)</f>
        <v>ACC</v>
      </c>
      <c r="M402" s="24" t="str">
        <f>VLOOKUP(MID(R402,1,3),CODE!$B:$G,CODE!D$1,FALSE)</f>
        <v>ELS</v>
      </c>
      <c r="N402" s="24" t="str">
        <f t="shared" si="88"/>
        <v>ED</v>
      </c>
      <c r="O402" s="29" t="str">
        <f>IF(ISERROR(IF(VLOOKUP($N402,CODE!$K:$P,CODE!$O$1,FALSE)="",$M402,$M402&amp;"-"&amp;VLOOKUP($N402,CODE!$K:$P,CODE!$O$1,FALSE)))=TRUE,"",IF(VLOOKUP($N402,CODE!$K:$P,CODE!$O$1,FALSE)="",$M402,$M402&amp;"-"&amp;VLOOKUP($N402,CODE!$K:$P,CODE!$O$1,FALSE)))</f>
        <v>ELS-ACC</v>
      </c>
      <c r="P402" s="29" t="str">
        <f t="shared" si="89"/>
        <v>키즈</v>
      </c>
      <c r="Q402" s="29" t="str">
        <f t="shared" si="90"/>
        <v>ELSEDF5522</v>
      </c>
      <c r="R402" s="1" t="s">
        <v>1196</v>
      </c>
      <c r="S402" s="1" t="s">
        <v>14</v>
      </c>
      <c r="T402" s="26">
        <v>800</v>
      </c>
      <c r="U402" s="26">
        <v>36000000</v>
      </c>
      <c r="V402" s="26">
        <v>7311632.0000000009</v>
      </c>
      <c r="W402" s="26">
        <v>4.4760557871721005</v>
      </c>
      <c r="X402" s="26">
        <v>759</v>
      </c>
      <c r="Y402" s="26">
        <v>0</v>
      </c>
    </row>
    <row r="403" spans="1:25">
      <c r="A403" s="24" t="str">
        <f t="shared" si="82"/>
        <v>신규</v>
      </c>
      <c r="B403" s="24" t="str">
        <f>IF(COUNTIF(R$1:R402,R403)=0,"최초","리오더")</f>
        <v>최초</v>
      </c>
      <c r="C403" s="24" t="str">
        <f t="shared" si="83"/>
        <v>ELSEDF5523</v>
      </c>
      <c r="D403" s="24">
        <f t="shared" si="78"/>
        <v>1</v>
      </c>
      <c r="E403" s="24" t="str">
        <f t="shared" si="84"/>
        <v/>
      </c>
      <c r="F403" s="24">
        <f t="shared" si="79"/>
        <v>0</v>
      </c>
      <c r="G403" s="24" t="str">
        <f t="shared" si="85"/>
        <v>ELSEDF5523BK</v>
      </c>
      <c r="H403" s="24">
        <f t="shared" si="80"/>
        <v>1</v>
      </c>
      <c r="I403" s="24" t="str">
        <f t="shared" si="86"/>
        <v/>
      </c>
      <c r="J403" s="24">
        <f t="shared" si="81"/>
        <v>0</v>
      </c>
      <c r="K403" s="24" t="str">
        <f t="shared" si="87"/>
        <v>F5</v>
      </c>
      <c r="L403" s="24" t="str">
        <f>VLOOKUP(N403,CODE!K:P,CODE!$P$1,FALSE)</f>
        <v>ACC</v>
      </c>
      <c r="M403" s="24" t="str">
        <f>VLOOKUP(MID(R403,1,3),CODE!$B:$G,CODE!D$1,FALSE)</f>
        <v>ELS</v>
      </c>
      <c r="N403" s="24" t="str">
        <f t="shared" si="88"/>
        <v>ED</v>
      </c>
      <c r="O403" s="29" t="str">
        <f>IF(ISERROR(IF(VLOOKUP($N403,CODE!$K:$P,CODE!$O$1,FALSE)="",$M403,$M403&amp;"-"&amp;VLOOKUP($N403,CODE!$K:$P,CODE!$O$1,FALSE)))=TRUE,"",IF(VLOOKUP($N403,CODE!$K:$P,CODE!$O$1,FALSE)="",$M403,$M403&amp;"-"&amp;VLOOKUP($N403,CODE!$K:$P,CODE!$O$1,FALSE)))</f>
        <v>ELS-ACC</v>
      </c>
      <c r="P403" s="29" t="str">
        <f t="shared" si="89"/>
        <v>키즈</v>
      </c>
      <c r="Q403" s="29" t="str">
        <f t="shared" si="90"/>
        <v>ELSEDF5523</v>
      </c>
      <c r="R403" s="1" t="s">
        <v>1197</v>
      </c>
      <c r="S403" s="1" t="s">
        <v>14</v>
      </c>
      <c r="T403" s="26">
        <v>800</v>
      </c>
      <c r="U403" s="26">
        <v>36000000</v>
      </c>
      <c r="V403" s="26">
        <v>7300816</v>
      </c>
      <c r="W403" s="26">
        <v>4.4826869663983757</v>
      </c>
      <c r="X403" s="26">
        <v>799</v>
      </c>
      <c r="Y403" s="26">
        <v>0</v>
      </c>
    </row>
    <row r="404" spans="1:25">
      <c r="A404" s="24" t="str">
        <f t="shared" si="82"/>
        <v>신규</v>
      </c>
      <c r="B404" s="24" t="str">
        <f>IF(COUNTIF(R$1:R403,R404)=0,"최초","리오더")</f>
        <v>최초</v>
      </c>
      <c r="C404" s="24" t="str">
        <f t="shared" si="83"/>
        <v>ELSEDF5524</v>
      </c>
      <c r="D404" s="24">
        <f t="shared" si="78"/>
        <v>1</v>
      </c>
      <c r="E404" s="24" t="str">
        <f t="shared" si="84"/>
        <v/>
      </c>
      <c r="F404" s="24">
        <f t="shared" si="79"/>
        <v>0</v>
      </c>
      <c r="G404" s="24" t="str">
        <f t="shared" si="85"/>
        <v>ELSEDF5524PK</v>
      </c>
      <c r="H404" s="24">
        <f t="shared" si="80"/>
        <v>1</v>
      </c>
      <c r="I404" s="24" t="str">
        <f t="shared" si="86"/>
        <v/>
      </c>
      <c r="J404" s="24">
        <f t="shared" si="81"/>
        <v>0</v>
      </c>
      <c r="K404" s="24" t="str">
        <f t="shared" si="87"/>
        <v>F5</v>
      </c>
      <c r="L404" s="24" t="str">
        <f>VLOOKUP(N404,CODE!K:P,CODE!$P$1,FALSE)</f>
        <v>ACC</v>
      </c>
      <c r="M404" s="24" t="str">
        <f>VLOOKUP(MID(R404,1,3),CODE!$B:$G,CODE!D$1,FALSE)</f>
        <v>ELS</v>
      </c>
      <c r="N404" s="24" t="str">
        <f t="shared" si="88"/>
        <v>ED</v>
      </c>
      <c r="O404" s="29" t="str">
        <f>IF(ISERROR(IF(VLOOKUP($N404,CODE!$K:$P,CODE!$O$1,FALSE)="",$M404,$M404&amp;"-"&amp;VLOOKUP($N404,CODE!$K:$P,CODE!$O$1,FALSE)))=TRUE,"",IF(VLOOKUP($N404,CODE!$K:$P,CODE!$O$1,FALSE)="",$M404,$M404&amp;"-"&amp;VLOOKUP($N404,CODE!$K:$P,CODE!$O$1,FALSE)))</f>
        <v>ELS-ACC</v>
      </c>
      <c r="P404" s="29" t="str">
        <f t="shared" si="89"/>
        <v>키즈</v>
      </c>
      <c r="Q404" s="29" t="str">
        <f t="shared" si="90"/>
        <v>ELSEDF5524</v>
      </c>
      <c r="R404" s="1" t="s">
        <v>1198</v>
      </c>
      <c r="S404" s="1" t="s">
        <v>14</v>
      </c>
      <c r="T404" s="26">
        <v>800</v>
      </c>
      <c r="U404" s="26">
        <v>36000000</v>
      </c>
      <c r="V404" s="26">
        <v>7253824.0000000009</v>
      </c>
      <c r="W404" s="26">
        <v>4.5117268805078155</v>
      </c>
      <c r="X404" s="26">
        <v>786</v>
      </c>
      <c r="Y404" s="26">
        <v>0</v>
      </c>
    </row>
    <row r="405" spans="1:25">
      <c r="A405" s="24" t="str">
        <f t="shared" si="82"/>
        <v>신규</v>
      </c>
      <c r="B405" s="24" t="str">
        <f>IF(COUNTIF(R$1:R404,R405)=0,"최초","리오더")</f>
        <v>최초</v>
      </c>
      <c r="C405" s="24" t="str">
        <f t="shared" si="83"/>
        <v>ELSBAF5518</v>
      </c>
      <c r="D405" s="24">
        <f t="shared" si="78"/>
        <v>1</v>
      </c>
      <c r="E405" s="24" t="str">
        <f t="shared" si="84"/>
        <v/>
      </c>
      <c r="F405" s="24">
        <f t="shared" si="79"/>
        <v>0</v>
      </c>
      <c r="G405" s="24" t="str">
        <f t="shared" si="85"/>
        <v>ELSBAF5518PP</v>
      </c>
      <c r="H405" s="24">
        <f t="shared" si="80"/>
        <v>1</v>
      </c>
      <c r="I405" s="24" t="str">
        <f t="shared" si="86"/>
        <v/>
      </c>
      <c r="J405" s="24">
        <f t="shared" si="81"/>
        <v>0</v>
      </c>
      <c r="K405" s="24" t="str">
        <f t="shared" si="87"/>
        <v>F5</v>
      </c>
      <c r="L405" s="24" t="str">
        <f>VLOOKUP(N405,CODE!K:P,CODE!$P$1,FALSE)</f>
        <v>모자</v>
      </c>
      <c r="M405" s="24" t="str">
        <f>VLOOKUP(MID(R405,1,3),CODE!$B:$G,CODE!D$1,FALSE)</f>
        <v>ELS</v>
      </c>
      <c r="N405" s="24" t="str">
        <f t="shared" si="88"/>
        <v>BA</v>
      </c>
      <c r="O405" s="29" t="str">
        <f>IF(ISERROR(IF(VLOOKUP($N405,CODE!$K:$P,CODE!$O$1,FALSE)="",$M405,$M405&amp;"-"&amp;VLOOKUP($N405,CODE!$K:$P,CODE!$O$1,FALSE)))=TRUE,"",IF(VLOOKUP($N405,CODE!$K:$P,CODE!$O$1,FALSE)="",$M405,$M405&amp;"-"&amp;VLOOKUP($N405,CODE!$K:$P,CODE!$O$1,FALSE)))</f>
        <v>ELS</v>
      </c>
      <c r="P405" s="29" t="str">
        <f t="shared" si="89"/>
        <v>키즈</v>
      </c>
      <c r="Q405" s="29" t="str">
        <f t="shared" si="90"/>
        <v>ELSBAF5518</v>
      </c>
      <c r="R405" s="1" t="s">
        <v>1199</v>
      </c>
      <c r="S405" s="1" t="s">
        <v>14</v>
      </c>
      <c r="T405" s="26">
        <v>1200</v>
      </c>
      <c r="U405" s="26">
        <v>66000000</v>
      </c>
      <c r="V405" s="26">
        <v>12170244.000000002</v>
      </c>
      <c r="W405" s="26">
        <v>4.9300572774054476</v>
      </c>
      <c r="X405" s="26">
        <v>1198</v>
      </c>
      <c r="Y405" s="26">
        <v>0</v>
      </c>
    </row>
    <row r="406" spans="1:25">
      <c r="A406" s="24" t="str">
        <f t="shared" si="82"/>
        <v>신규</v>
      </c>
      <c r="B406" s="24" t="str">
        <f>IF(COUNTIF(R$1:R405,R406)=0,"최초","리오더")</f>
        <v>최초</v>
      </c>
      <c r="C406" s="24" t="str">
        <f t="shared" si="83"/>
        <v>ELSERF5519</v>
      </c>
      <c r="D406" s="24">
        <f t="shared" si="78"/>
        <v>1</v>
      </c>
      <c r="E406" s="24" t="str">
        <f t="shared" si="84"/>
        <v/>
      </c>
      <c r="F406" s="24">
        <f t="shared" si="79"/>
        <v>0</v>
      </c>
      <c r="G406" s="24" t="str">
        <f t="shared" si="85"/>
        <v>ELSERF5519RE</v>
      </c>
      <c r="H406" s="24">
        <f t="shared" si="80"/>
        <v>1</v>
      </c>
      <c r="I406" s="24" t="str">
        <f t="shared" si="86"/>
        <v/>
      </c>
      <c r="J406" s="24">
        <f t="shared" si="81"/>
        <v>0</v>
      </c>
      <c r="K406" s="24" t="str">
        <f t="shared" si="87"/>
        <v>F5</v>
      </c>
      <c r="L406" s="24" t="str">
        <f>VLOOKUP(N406,CODE!K:P,CODE!$P$1,FALSE)</f>
        <v>모자</v>
      </c>
      <c r="M406" s="24" t="str">
        <f>VLOOKUP(MID(R406,1,3),CODE!$B:$G,CODE!D$1,FALSE)</f>
        <v>ELS</v>
      </c>
      <c r="N406" s="24" t="str">
        <f t="shared" si="88"/>
        <v>ER</v>
      </c>
      <c r="O406" s="29" t="str">
        <f>IF(ISERROR(IF(VLOOKUP($N406,CODE!$K:$P,CODE!$O$1,FALSE)="",$M406,$M406&amp;"-"&amp;VLOOKUP($N406,CODE!$K:$P,CODE!$O$1,FALSE)))=TRUE,"",IF(VLOOKUP($N406,CODE!$K:$P,CODE!$O$1,FALSE)="",$M406,$M406&amp;"-"&amp;VLOOKUP($N406,CODE!$K:$P,CODE!$O$1,FALSE)))</f>
        <v>ELS</v>
      </c>
      <c r="P406" s="29" t="str">
        <f t="shared" si="89"/>
        <v>키즈</v>
      </c>
      <c r="Q406" s="29" t="str">
        <f t="shared" si="90"/>
        <v>ELSERF5519</v>
      </c>
      <c r="R406" s="1" t="s">
        <v>1200</v>
      </c>
      <c r="S406" s="1" t="s">
        <v>14</v>
      </c>
      <c r="T406" s="26">
        <v>1200</v>
      </c>
      <c r="U406" s="26">
        <v>66000000</v>
      </c>
      <c r="V406" s="26">
        <v>10687320</v>
      </c>
      <c r="W406" s="26">
        <v>5.6141296414816804</v>
      </c>
      <c r="X406" s="26">
        <v>1182</v>
      </c>
      <c r="Y406" s="26">
        <v>0</v>
      </c>
    </row>
    <row r="407" spans="1:25">
      <c r="A407" s="24" t="str">
        <f t="shared" si="82"/>
        <v>신규</v>
      </c>
      <c r="B407" s="24" t="str">
        <f>IF(COUNTIF(R$1:R406,R407)=0,"최초","리오더")</f>
        <v>최초</v>
      </c>
      <c r="C407" s="24" t="str">
        <f t="shared" si="83"/>
        <v>ELSERF5520</v>
      </c>
      <c r="D407" s="24">
        <f t="shared" si="78"/>
        <v>1</v>
      </c>
      <c r="E407" s="24" t="str">
        <f t="shared" si="84"/>
        <v/>
      </c>
      <c r="F407" s="24">
        <f t="shared" si="79"/>
        <v>0</v>
      </c>
      <c r="G407" s="24" t="str">
        <f t="shared" si="85"/>
        <v>ELSERF5520BL</v>
      </c>
      <c r="H407" s="24">
        <f t="shared" si="80"/>
        <v>1</v>
      </c>
      <c r="I407" s="24" t="str">
        <f t="shared" si="86"/>
        <v/>
      </c>
      <c r="J407" s="24">
        <f t="shared" si="81"/>
        <v>0</v>
      </c>
      <c r="K407" s="24" t="str">
        <f t="shared" si="87"/>
        <v>F5</v>
      </c>
      <c r="L407" s="24" t="str">
        <f>VLOOKUP(N407,CODE!K:P,CODE!$P$1,FALSE)</f>
        <v>모자</v>
      </c>
      <c r="M407" s="24" t="str">
        <f>VLOOKUP(MID(R407,1,3),CODE!$B:$G,CODE!D$1,FALSE)</f>
        <v>ELS</v>
      </c>
      <c r="N407" s="24" t="str">
        <f t="shared" si="88"/>
        <v>ER</v>
      </c>
      <c r="O407" s="29" t="str">
        <f>IF(ISERROR(IF(VLOOKUP($N407,CODE!$K:$P,CODE!$O$1,FALSE)="",$M407,$M407&amp;"-"&amp;VLOOKUP($N407,CODE!$K:$P,CODE!$O$1,FALSE)))=TRUE,"",IF(VLOOKUP($N407,CODE!$K:$P,CODE!$O$1,FALSE)="",$M407,$M407&amp;"-"&amp;VLOOKUP($N407,CODE!$K:$P,CODE!$O$1,FALSE)))</f>
        <v>ELS</v>
      </c>
      <c r="P407" s="29" t="str">
        <f t="shared" si="89"/>
        <v>키즈</v>
      </c>
      <c r="Q407" s="29" t="str">
        <f t="shared" si="90"/>
        <v>ELSERF5520</v>
      </c>
      <c r="R407" s="1" t="s">
        <v>1201</v>
      </c>
      <c r="S407" s="1" t="s">
        <v>14</v>
      </c>
      <c r="T407" s="26">
        <v>930</v>
      </c>
      <c r="U407" s="26">
        <v>51150000</v>
      </c>
      <c r="V407" s="26">
        <v>7890213</v>
      </c>
      <c r="W407" s="26">
        <v>5.8933770229016629</v>
      </c>
      <c r="X407" s="26">
        <v>899</v>
      </c>
      <c r="Y407" s="26">
        <v>0</v>
      </c>
    </row>
    <row r="408" spans="1:25">
      <c r="A408" s="24" t="str">
        <f t="shared" si="82"/>
        <v>신규</v>
      </c>
      <c r="B408" s="24" t="str">
        <f>IF(COUNTIF(R$1:R407,R408)=0,"최초","리오더")</f>
        <v>최초</v>
      </c>
      <c r="C408" s="24" t="str">
        <f t="shared" si="83"/>
        <v>ELSERF5521</v>
      </c>
      <c r="D408" s="24">
        <f t="shared" si="78"/>
        <v>1</v>
      </c>
      <c r="E408" s="24" t="str">
        <f t="shared" si="84"/>
        <v/>
      </c>
      <c r="F408" s="24">
        <f t="shared" si="79"/>
        <v>0</v>
      </c>
      <c r="G408" s="24" t="str">
        <f t="shared" si="85"/>
        <v>ELSERF5521GY</v>
      </c>
      <c r="H408" s="24">
        <f t="shared" si="80"/>
        <v>1</v>
      </c>
      <c r="I408" s="24" t="str">
        <f t="shared" si="86"/>
        <v/>
      </c>
      <c r="J408" s="24">
        <f t="shared" si="81"/>
        <v>0</v>
      </c>
      <c r="K408" s="24" t="str">
        <f t="shared" si="87"/>
        <v>F5</v>
      </c>
      <c r="L408" s="24" t="str">
        <f>VLOOKUP(N408,CODE!K:P,CODE!$P$1,FALSE)</f>
        <v>모자</v>
      </c>
      <c r="M408" s="24" t="str">
        <f>VLOOKUP(MID(R408,1,3),CODE!$B:$G,CODE!D$1,FALSE)</f>
        <v>ELS</v>
      </c>
      <c r="N408" s="24" t="str">
        <f t="shared" si="88"/>
        <v>ER</v>
      </c>
      <c r="O408" s="29" t="str">
        <f>IF(ISERROR(IF(VLOOKUP($N408,CODE!$K:$P,CODE!$O$1,FALSE)="",$M408,$M408&amp;"-"&amp;VLOOKUP($N408,CODE!$K:$P,CODE!$O$1,FALSE)))=TRUE,"",IF(VLOOKUP($N408,CODE!$K:$P,CODE!$O$1,FALSE)="",$M408,$M408&amp;"-"&amp;VLOOKUP($N408,CODE!$K:$P,CODE!$O$1,FALSE)))</f>
        <v>ELS</v>
      </c>
      <c r="P408" s="29" t="str">
        <f t="shared" si="89"/>
        <v>키즈</v>
      </c>
      <c r="Q408" s="29" t="str">
        <f t="shared" si="90"/>
        <v>ELSERF5521</v>
      </c>
      <c r="R408" s="1" t="s">
        <v>1202</v>
      </c>
      <c r="S408" s="1" t="s">
        <v>14</v>
      </c>
      <c r="T408" s="26">
        <v>1500</v>
      </c>
      <c r="U408" s="26">
        <v>82500000</v>
      </c>
      <c r="V408" s="26">
        <v>15843915</v>
      </c>
      <c r="W408" s="26">
        <v>4.7336785131705135</v>
      </c>
      <c r="X408" s="26">
        <v>1505</v>
      </c>
      <c r="Y408" s="26">
        <v>0</v>
      </c>
    </row>
    <row r="409" spans="1:25">
      <c r="A409" s="24" t="str">
        <f t="shared" si="82"/>
        <v>신규</v>
      </c>
      <c r="B409" s="24" t="str">
        <f>IF(COUNTIF(R$1:R408,R409)=0,"최초","리오더")</f>
        <v>최초</v>
      </c>
      <c r="C409" s="24" t="str">
        <f t="shared" si="83"/>
        <v>ELSTPF5514</v>
      </c>
      <c r="D409" s="24">
        <f t="shared" si="78"/>
        <v>0.5</v>
      </c>
      <c r="E409" s="24" t="str">
        <f t="shared" si="84"/>
        <v/>
      </c>
      <c r="F409" s="24">
        <f t="shared" si="79"/>
        <v>0</v>
      </c>
      <c r="G409" s="24" t="str">
        <f t="shared" si="85"/>
        <v>ELSTPF5514MT</v>
      </c>
      <c r="H409" s="24">
        <f t="shared" si="80"/>
        <v>1</v>
      </c>
      <c r="I409" s="24" t="str">
        <f t="shared" si="86"/>
        <v/>
      </c>
      <c r="J409" s="24">
        <f t="shared" si="81"/>
        <v>0</v>
      </c>
      <c r="K409" s="24" t="str">
        <f t="shared" si="87"/>
        <v>F5</v>
      </c>
      <c r="L409" s="24" t="str">
        <f>VLOOKUP(N409,CODE!K:P,CODE!$P$1,FALSE)</f>
        <v>모자</v>
      </c>
      <c r="M409" s="24" t="str">
        <f>VLOOKUP(MID(R409,1,3),CODE!$B:$G,CODE!D$1,FALSE)</f>
        <v>ELS</v>
      </c>
      <c r="N409" s="24" t="str">
        <f t="shared" si="88"/>
        <v>TP</v>
      </c>
      <c r="O409" s="29" t="str">
        <f>IF(ISERROR(IF(VLOOKUP($N409,CODE!$K:$P,CODE!$O$1,FALSE)="",$M409,$M409&amp;"-"&amp;VLOOKUP($N409,CODE!$K:$P,CODE!$O$1,FALSE)))=TRUE,"",IF(VLOOKUP($N409,CODE!$K:$P,CODE!$O$1,FALSE)="",$M409,$M409&amp;"-"&amp;VLOOKUP($N409,CODE!$K:$P,CODE!$O$1,FALSE)))</f>
        <v>ELS</v>
      </c>
      <c r="P409" s="29" t="str">
        <f t="shared" si="89"/>
        <v>키즈</v>
      </c>
      <c r="Q409" s="29" t="str">
        <f t="shared" si="90"/>
        <v>ELSTPF5514</v>
      </c>
      <c r="R409" s="1" t="s">
        <v>1203</v>
      </c>
      <c r="S409" s="1" t="s">
        <v>14</v>
      </c>
      <c r="T409" s="26">
        <v>800</v>
      </c>
      <c r="U409" s="26">
        <v>47200000</v>
      </c>
      <c r="V409" s="26">
        <v>9078264</v>
      </c>
      <c r="W409" s="26">
        <v>4.7265744760331829</v>
      </c>
      <c r="X409" s="26">
        <v>805</v>
      </c>
      <c r="Y409" s="26">
        <v>0</v>
      </c>
    </row>
    <row r="410" spans="1:25">
      <c r="A410" s="24" t="str">
        <f t="shared" si="82"/>
        <v>신규</v>
      </c>
      <c r="B410" s="24" t="str">
        <f>IF(COUNTIF(R$1:R409,R410)=0,"최초","리오더")</f>
        <v>최초</v>
      </c>
      <c r="C410" s="24" t="str">
        <f t="shared" si="83"/>
        <v>ELSTPF5514</v>
      </c>
      <c r="D410" s="24">
        <f t="shared" si="78"/>
        <v>0.5</v>
      </c>
      <c r="E410" s="24" t="str">
        <f t="shared" si="84"/>
        <v/>
      </c>
      <c r="F410" s="24">
        <f t="shared" si="79"/>
        <v>0</v>
      </c>
      <c r="G410" s="24" t="str">
        <f t="shared" si="85"/>
        <v>ELSTPF5514OR</v>
      </c>
      <c r="H410" s="24">
        <f t="shared" si="80"/>
        <v>1</v>
      </c>
      <c r="I410" s="24" t="str">
        <f t="shared" si="86"/>
        <v/>
      </c>
      <c r="J410" s="24">
        <f t="shared" si="81"/>
        <v>0</v>
      </c>
      <c r="K410" s="24" t="str">
        <f t="shared" si="87"/>
        <v>F5</v>
      </c>
      <c r="L410" s="24" t="str">
        <f>VLOOKUP(N410,CODE!K:P,CODE!$P$1,FALSE)</f>
        <v>모자</v>
      </c>
      <c r="M410" s="24" t="str">
        <f>VLOOKUP(MID(R410,1,3),CODE!$B:$G,CODE!D$1,FALSE)</f>
        <v>ELS</v>
      </c>
      <c r="N410" s="24" t="str">
        <f t="shared" si="88"/>
        <v>TP</v>
      </c>
      <c r="O410" s="29" t="str">
        <f>IF(ISERROR(IF(VLOOKUP($N410,CODE!$K:$P,CODE!$O$1,FALSE)="",$M410,$M410&amp;"-"&amp;VLOOKUP($N410,CODE!$K:$P,CODE!$O$1,FALSE)))=TRUE,"",IF(VLOOKUP($N410,CODE!$K:$P,CODE!$O$1,FALSE)="",$M410,$M410&amp;"-"&amp;VLOOKUP($N410,CODE!$K:$P,CODE!$O$1,FALSE)))</f>
        <v>ELS</v>
      </c>
      <c r="P410" s="29" t="str">
        <f t="shared" si="89"/>
        <v>키즈</v>
      </c>
      <c r="Q410" s="29" t="str">
        <f t="shared" si="90"/>
        <v>ELSTPF5514</v>
      </c>
      <c r="R410" s="1" t="s">
        <v>1204</v>
      </c>
      <c r="S410" s="1" t="s">
        <v>14</v>
      </c>
      <c r="T410" s="26">
        <v>800</v>
      </c>
      <c r="U410" s="26">
        <v>47200000</v>
      </c>
      <c r="V410" s="26">
        <v>9078264</v>
      </c>
      <c r="W410" s="26">
        <v>4.7265744760331829</v>
      </c>
      <c r="X410" s="26">
        <v>800</v>
      </c>
      <c r="Y410" s="26">
        <v>0</v>
      </c>
    </row>
    <row r="411" spans="1:25">
      <c r="A411" s="24" t="str">
        <f t="shared" si="82"/>
        <v>신규</v>
      </c>
      <c r="B411" s="24" t="str">
        <f>IF(COUNTIF(R$1:R410,R411)=0,"최초","리오더")</f>
        <v>최초</v>
      </c>
      <c r="C411" s="24" t="str">
        <f t="shared" si="83"/>
        <v>SMBBEF5507</v>
      </c>
      <c r="D411" s="24">
        <f t="shared" si="78"/>
        <v>0.33333333333333331</v>
      </c>
      <c r="E411" s="24" t="str">
        <f t="shared" si="84"/>
        <v/>
      </c>
      <c r="F411" s="24">
        <f t="shared" si="79"/>
        <v>0</v>
      </c>
      <c r="G411" s="24" t="str">
        <f t="shared" si="85"/>
        <v>SMBBEF5507GR</v>
      </c>
      <c r="H411" s="24">
        <f t="shared" si="80"/>
        <v>1</v>
      </c>
      <c r="I411" s="24" t="str">
        <f t="shared" si="86"/>
        <v/>
      </c>
      <c r="J411" s="24">
        <f t="shared" si="81"/>
        <v>0</v>
      </c>
      <c r="K411" s="24" t="str">
        <f t="shared" si="87"/>
        <v>F5</v>
      </c>
      <c r="L411" s="24" t="str">
        <f>VLOOKUP(N411,CODE!K:P,CODE!$P$1,FALSE)</f>
        <v>모자</v>
      </c>
      <c r="M411" s="24" t="str">
        <f>VLOOKUP(MID(R411,1,3),CODE!$B:$G,CODE!D$1,FALSE)</f>
        <v>SMB</v>
      </c>
      <c r="N411" s="24" t="str">
        <f t="shared" si="88"/>
        <v>BE</v>
      </c>
      <c r="O411" s="29" t="str">
        <f>IF(ISERROR(IF(VLOOKUP($N411,CODE!$K:$P,CODE!$O$1,FALSE)="",$M411,$M411&amp;"-"&amp;VLOOKUP($N411,CODE!$K:$P,CODE!$O$1,FALSE)))=TRUE,"",IF(VLOOKUP($N411,CODE!$K:$P,CODE!$O$1,FALSE)="",$M411,$M411&amp;"-"&amp;VLOOKUP($N411,CODE!$K:$P,CODE!$O$1,FALSE)))</f>
        <v>SMB</v>
      </c>
      <c r="P411" s="29" t="str">
        <f t="shared" si="89"/>
        <v>키즈</v>
      </c>
      <c r="Q411" s="29" t="str">
        <f t="shared" si="90"/>
        <v>SMBBEF5507</v>
      </c>
      <c r="R411" s="1" t="s">
        <v>1205</v>
      </c>
      <c r="S411" s="1" t="s">
        <v>14</v>
      </c>
      <c r="T411" s="26">
        <v>600</v>
      </c>
      <c r="U411" s="26">
        <v>21000000</v>
      </c>
      <c r="V411" s="26">
        <v>3305136.0000000009</v>
      </c>
      <c r="W411" s="26">
        <v>5.7761342017118453</v>
      </c>
      <c r="X411" s="26">
        <v>597</v>
      </c>
      <c r="Y411" s="26">
        <v>0</v>
      </c>
    </row>
    <row r="412" spans="1:25">
      <c r="A412" s="24" t="str">
        <f t="shared" si="82"/>
        <v>신규</v>
      </c>
      <c r="B412" s="24" t="str">
        <f>IF(COUNTIF(R$1:R411,R412)=0,"최초","리오더")</f>
        <v>최초</v>
      </c>
      <c r="C412" s="24" t="str">
        <f t="shared" si="83"/>
        <v>SMBBEF5507</v>
      </c>
      <c r="D412" s="24">
        <f t="shared" si="78"/>
        <v>0.33333333333333331</v>
      </c>
      <c r="E412" s="24" t="str">
        <f t="shared" si="84"/>
        <v/>
      </c>
      <c r="F412" s="24">
        <f t="shared" si="79"/>
        <v>0</v>
      </c>
      <c r="G412" s="24" t="str">
        <f t="shared" si="85"/>
        <v>SMBBEF5507RE</v>
      </c>
      <c r="H412" s="24">
        <f t="shared" si="80"/>
        <v>1</v>
      </c>
      <c r="I412" s="24" t="str">
        <f t="shared" si="86"/>
        <v/>
      </c>
      <c r="J412" s="24">
        <f t="shared" si="81"/>
        <v>0</v>
      </c>
      <c r="K412" s="24" t="str">
        <f t="shared" si="87"/>
        <v>F5</v>
      </c>
      <c r="L412" s="24" t="str">
        <f>VLOOKUP(N412,CODE!K:P,CODE!$P$1,FALSE)</f>
        <v>모자</v>
      </c>
      <c r="M412" s="24" t="str">
        <f>VLOOKUP(MID(R412,1,3),CODE!$B:$G,CODE!D$1,FALSE)</f>
        <v>SMB</v>
      </c>
      <c r="N412" s="24" t="str">
        <f t="shared" si="88"/>
        <v>BE</v>
      </c>
      <c r="O412" s="29" t="str">
        <f>IF(ISERROR(IF(VLOOKUP($N412,CODE!$K:$P,CODE!$O$1,FALSE)="",$M412,$M412&amp;"-"&amp;VLOOKUP($N412,CODE!$K:$P,CODE!$O$1,FALSE)))=TRUE,"",IF(VLOOKUP($N412,CODE!$K:$P,CODE!$O$1,FALSE)="",$M412,$M412&amp;"-"&amp;VLOOKUP($N412,CODE!$K:$P,CODE!$O$1,FALSE)))</f>
        <v>SMB</v>
      </c>
      <c r="P412" s="29" t="str">
        <f t="shared" si="89"/>
        <v>키즈</v>
      </c>
      <c r="Q412" s="29" t="str">
        <f t="shared" si="90"/>
        <v>SMBBEF5507</v>
      </c>
      <c r="R412" s="1" t="s">
        <v>1206</v>
      </c>
      <c r="S412" s="1" t="s">
        <v>14</v>
      </c>
      <c r="T412" s="26">
        <v>600</v>
      </c>
      <c r="U412" s="26">
        <v>21000000</v>
      </c>
      <c r="V412" s="26">
        <v>3305136.0000000009</v>
      </c>
      <c r="W412" s="26">
        <v>5.7761342017118453</v>
      </c>
      <c r="X412" s="26">
        <v>596</v>
      </c>
      <c r="Y412" s="26">
        <v>0</v>
      </c>
    </row>
    <row r="413" spans="1:25">
      <c r="A413" s="24" t="str">
        <f t="shared" si="82"/>
        <v>신규</v>
      </c>
      <c r="B413" s="24" t="str">
        <f>IF(COUNTIF(R$1:R412,R413)=0,"최초","리오더")</f>
        <v>최초</v>
      </c>
      <c r="C413" s="24" t="str">
        <f t="shared" si="83"/>
        <v>SMBBEF5507</v>
      </c>
      <c r="D413" s="24">
        <f t="shared" si="78"/>
        <v>0.33333333333333331</v>
      </c>
      <c r="E413" s="24" t="str">
        <f t="shared" si="84"/>
        <v/>
      </c>
      <c r="F413" s="24">
        <f t="shared" si="79"/>
        <v>0</v>
      </c>
      <c r="G413" s="24" t="str">
        <f t="shared" si="85"/>
        <v>SMBBEF5507PK</v>
      </c>
      <c r="H413" s="24">
        <f t="shared" si="80"/>
        <v>1</v>
      </c>
      <c r="I413" s="24" t="str">
        <f t="shared" si="86"/>
        <v/>
      </c>
      <c r="J413" s="24">
        <f t="shared" si="81"/>
        <v>0</v>
      </c>
      <c r="K413" s="24" t="str">
        <f t="shared" si="87"/>
        <v>F5</v>
      </c>
      <c r="L413" s="24" t="str">
        <f>VLOOKUP(N413,CODE!K:P,CODE!$P$1,FALSE)</f>
        <v>모자</v>
      </c>
      <c r="M413" s="24" t="str">
        <f>VLOOKUP(MID(R413,1,3),CODE!$B:$G,CODE!D$1,FALSE)</f>
        <v>SMB</v>
      </c>
      <c r="N413" s="24" t="str">
        <f t="shared" si="88"/>
        <v>BE</v>
      </c>
      <c r="O413" s="29" t="str">
        <f>IF(ISERROR(IF(VLOOKUP($N413,CODE!$K:$P,CODE!$O$1,FALSE)="",$M413,$M413&amp;"-"&amp;VLOOKUP($N413,CODE!$K:$P,CODE!$O$1,FALSE)))=TRUE,"",IF(VLOOKUP($N413,CODE!$K:$P,CODE!$O$1,FALSE)="",$M413,$M413&amp;"-"&amp;VLOOKUP($N413,CODE!$K:$P,CODE!$O$1,FALSE)))</f>
        <v>SMB</v>
      </c>
      <c r="P413" s="29" t="str">
        <f t="shared" si="89"/>
        <v>키즈</v>
      </c>
      <c r="Q413" s="29" t="str">
        <f t="shared" si="90"/>
        <v>SMBBEF5507</v>
      </c>
      <c r="R413" s="1" t="s">
        <v>1207</v>
      </c>
      <c r="S413" s="1" t="s">
        <v>14</v>
      </c>
      <c r="T413" s="26">
        <v>600</v>
      </c>
      <c r="U413" s="26">
        <v>21000000</v>
      </c>
      <c r="V413" s="26">
        <v>3305136.0000000009</v>
      </c>
      <c r="W413" s="26">
        <v>5.7761342017118453</v>
      </c>
      <c r="X413" s="26">
        <v>592</v>
      </c>
      <c r="Y413" s="26">
        <v>0</v>
      </c>
    </row>
    <row r="414" spans="1:25">
      <c r="A414" s="24" t="str">
        <f t="shared" si="82"/>
        <v>신규</v>
      </c>
      <c r="B414" s="24" t="str">
        <f>IF(COUNTIF(R$1:R413,R414)=0,"최초","리오더")</f>
        <v>최초</v>
      </c>
      <c r="C414" s="24" t="str">
        <f t="shared" si="83"/>
        <v>SMBBEF5508</v>
      </c>
      <c r="D414" s="24">
        <f t="shared" si="78"/>
        <v>0.5</v>
      </c>
      <c r="E414" s="24" t="str">
        <f t="shared" si="84"/>
        <v/>
      </c>
      <c r="F414" s="24">
        <f t="shared" si="79"/>
        <v>0</v>
      </c>
      <c r="G414" s="24" t="str">
        <f t="shared" si="85"/>
        <v>SMBBEF5508PK</v>
      </c>
      <c r="H414" s="24">
        <f t="shared" si="80"/>
        <v>1</v>
      </c>
      <c r="I414" s="24" t="str">
        <f t="shared" si="86"/>
        <v/>
      </c>
      <c r="J414" s="24">
        <f t="shared" si="81"/>
        <v>0</v>
      </c>
      <c r="K414" s="24" t="str">
        <f t="shared" si="87"/>
        <v>F5</v>
      </c>
      <c r="L414" s="24" t="str">
        <f>VLOOKUP(N414,CODE!K:P,CODE!$P$1,FALSE)</f>
        <v>모자</v>
      </c>
      <c r="M414" s="24" t="str">
        <f>VLOOKUP(MID(R414,1,3),CODE!$B:$G,CODE!D$1,FALSE)</f>
        <v>SMB</v>
      </c>
      <c r="N414" s="24" t="str">
        <f t="shared" si="88"/>
        <v>BE</v>
      </c>
      <c r="O414" s="29" t="str">
        <f>IF(ISERROR(IF(VLOOKUP($N414,CODE!$K:$P,CODE!$O$1,FALSE)="",$M414,$M414&amp;"-"&amp;VLOOKUP($N414,CODE!$K:$P,CODE!$O$1,FALSE)))=TRUE,"",IF(VLOOKUP($N414,CODE!$K:$P,CODE!$O$1,FALSE)="",$M414,$M414&amp;"-"&amp;VLOOKUP($N414,CODE!$K:$P,CODE!$O$1,FALSE)))</f>
        <v>SMB</v>
      </c>
      <c r="P414" s="29" t="str">
        <f t="shared" si="89"/>
        <v>키즈</v>
      </c>
      <c r="Q414" s="29" t="str">
        <f t="shared" si="90"/>
        <v>SMBBEF5508</v>
      </c>
      <c r="R414" s="1" t="s">
        <v>1208</v>
      </c>
      <c r="S414" s="1" t="s">
        <v>14</v>
      </c>
      <c r="T414" s="26">
        <v>600</v>
      </c>
      <c r="U414" s="26">
        <v>21000000</v>
      </c>
      <c r="V414" s="26">
        <v>3155448.0000000005</v>
      </c>
      <c r="W414" s="26">
        <v>6.0501421956277168</v>
      </c>
      <c r="X414" s="26">
        <v>600</v>
      </c>
      <c r="Y414" s="26">
        <v>0</v>
      </c>
    </row>
    <row r="415" spans="1:25">
      <c r="A415" s="24" t="str">
        <f t="shared" si="82"/>
        <v>신규</v>
      </c>
      <c r="B415" s="24" t="str">
        <f>IF(COUNTIF(R$1:R414,R415)=0,"최초","리오더")</f>
        <v>최초</v>
      </c>
      <c r="C415" s="24" t="str">
        <f t="shared" si="83"/>
        <v>SMBBEF5508</v>
      </c>
      <c r="D415" s="24">
        <f t="shared" si="78"/>
        <v>0.5</v>
      </c>
      <c r="E415" s="24" t="str">
        <f t="shared" si="84"/>
        <v/>
      </c>
      <c r="F415" s="24">
        <f t="shared" si="79"/>
        <v>0</v>
      </c>
      <c r="G415" s="24" t="str">
        <f t="shared" si="85"/>
        <v>SMBBEF5508RE</v>
      </c>
      <c r="H415" s="24">
        <f t="shared" si="80"/>
        <v>1</v>
      </c>
      <c r="I415" s="24" t="str">
        <f t="shared" si="86"/>
        <v/>
      </c>
      <c r="J415" s="24">
        <f t="shared" si="81"/>
        <v>0</v>
      </c>
      <c r="K415" s="24" t="str">
        <f t="shared" si="87"/>
        <v>F5</v>
      </c>
      <c r="L415" s="24" t="str">
        <f>VLOOKUP(N415,CODE!K:P,CODE!$P$1,FALSE)</f>
        <v>모자</v>
      </c>
      <c r="M415" s="24" t="str">
        <f>VLOOKUP(MID(R415,1,3),CODE!$B:$G,CODE!D$1,FALSE)</f>
        <v>SMB</v>
      </c>
      <c r="N415" s="24" t="str">
        <f t="shared" si="88"/>
        <v>BE</v>
      </c>
      <c r="O415" s="29" t="str">
        <f>IF(ISERROR(IF(VLOOKUP($N415,CODE!$K:$P,CODE!$O$1,FALSE)="",$M415,$M415&amp;"-"&amp;VLOOKUP($N415,CODE!$K:$P,CODE!$O$1,FALSE)))=TRUE,"",IF(VLOOKUP($N415,CODE!$K:$P,CODE!$O$1,FALSE)="",$M415,$M415&amp;"-"&amp;VLOOKUP($N415,CODE!$K:$P,CODE!$O$1,FALSE)))</f>
        <v>SMB</v>
      </c>
      <c r="P415" s="29" t="str">
        <f t="shared" si="89"/>
        <v>키즈</v>
      </c>
      <c r="Q415" s="29" t="str">
        <f t="shared" si="90"/>
        <v>SMBBEF5508</v>
      </c>
      <c r="R415" s="1" t="s">
        <v>1209</v>
      </c>
      <c r="S415" s="1" t="s">
        <v>14</v>
      </c>
      <c r="T415" s="26">
        <v>600</v>
      </c>
      <c r="U415" s="26">
        <v>21000000</v>
      </c>
      <c r="V415" s="26">
        <v>3155448.0000000005</v>
      </c>
      <c r="W415" s="26">
        <v>6.0501421956277168</v>
      </c>
      <c r="X415" s="26">
        <v>600</v>
      </c>
      <c r="Y415" s="26">
        <v>0</v>
      </c>
    </row>
    <row r="416" spans="1:25">
      <c r="A416" s="24" t="str">
        <f t="shared" si="82"/>
        <v>신규</v>
      </c>
      <c r="B416" s="24" t="str">
        <f>IF(COUNTIF(R$1:R415,R416)=0,"최초","리오더")</f>
        <v>최초</v>
      </c>
      <c r="C416" s="24" t="str">
        <f t="shared" si="83"/>
        <v>SWBBEF5509</v>
      </c>
      <c r="D416" s="24">
        <f t="shared" si="78"/>
        <v>0.5</v>
      </c>
      <c r="E416" s="24" t="str">
        <f t="shared" si="84"/>
        <v/>
      </c>
      <c r="F416" s="24">
        <f t="shared" si="79"/>
        <v>0</v>
      </c>
      <c r="G416" s="24" t="str">
        <f t="shared" si="85"/>
        <v>SWBBEF5509PK</v>
      </c>
      <c r="H416" s="24">
        <f t="shared" si="80"/>
        <v>1</v>
      </c>
      <c r="I416" s="24" t="str">
        <f t="shared" si="86"/>
        <v/>
      </c>
      <c r="J416" s="24">
        <f t="shared" si="81"/>
        <v>0</v>
      </c>
      <c r="K416" s="24" t="str">
        <f t="shared" si="87"/>
        <v>F5</v>
      </c>
      <c r="L416" s="24" t="str">
        <f>VLOOKUP(N416,CODE!K:P,CODE!$P$1,FALSE)</f>
        <v>모자</v>
      </c>
      <c r="M416" s="24" t="str">
        <f>VLOOKUP(MID(R416,1,3),CODE!$B:$G,CODE!D$1,FALSE)</f>
        <v>SWB</v>
      </c>
      <c r="N416" s="24" t="str">
        <f t="shared" si="88"/>
        <v>BE</v>
      </c>
      <c r="O416" s="29" t="str">
        <f>IF(ISERROR(IF(VLOOKUP($N416,CODE!$K:$P,CODE!$O$1,FALSE)="",$M416,$M416&amp;"-"&amp;VLOOKUP($N416,CODE!$K:$P,CODE!$O$1,FALSE)))=TRUE,"",IF(VLOOKUP($N416,CODE!$K:$P,CODE!$O$1,FALSE)="",$M416,$M416&amp;"-"&amp;VLOOKUP($N416,CODE!$K:$P,CODE!$O$1,FALSE)))</f>
        <v>SWB</v>
      </c>
      <c r="P416" s="29" t="str">
        <f t="shared" si="89"/>
        <v>키즈</v>
      </c>
      <c r="Q416" s="29" t="str">
        <f t="shared" si="90"/>
        <v>SWBBEF5509</v>
      </c>
      <c r="R416" s="1" t="s">
        <v>1210</v>
      </c>
      <c r="S416" s="1" t="s">
        <v>14</v>
      </c>
      <c r="T416" s="26">
        <v>600</v>
      </c>
      <c r="U416" s="26">
        <v>25800000</v>
      </c>
      <c r="V416" s="26">
        <v>4192512.0000000005</v>
      </c>
      <c r="W416" s="26">
        <v>5.5943895818414946</v>
      </c>
      <c r="X416" s="26">
        <v>600</v>
      </c>
      <c r="Y416" s="26">
        <v>0</v>
      </c>
    </row>
    <row r="417" spans="1:25">
      <c r="A417" s="24" t="str">
        <f t="shared" si="82"/>
        <v>신규</v>
      </c>
      <c r="B417" s="24" t="str">
        <f>IF(COUNTIF(R$1:R416,R417)=0,"최초","리오더")</f>
        <v>최초</v>
      </c>
      <c r="C417" s="24" t="str">
        <f t="shared" si="83"/>
        <v>SWBBEF5509</v>
      </c>
      <c r="D417" s="24">
        <f t="shared" si="78"/>
        <v>0.5</v>
      </c>
      <c r="E417" s="24" t="str">
        <f t="shared" si="84"/>
        <v/>
      </c>
      <c r="F417" s="24">
        <f t="shared" si="79"/>
        <v>0</v>
      </c>
      <c r="G417" s="24" t="str">
        <f t="shared" si="85"/>
        <v>SWBBEF5509BL</v>
      </c>
      <c r="H417" s="24">
        <f t="shared" si="80"/>
        <v>1</v>
      </c>
      <c r="I417" s="24" t="str">
        <f t="shared" si="86"/>
        <v/>
      </c>
      <c r="J417" s="24">
        <f t="shared" si="81"/>
        <v>0</v>
      </c>
      <c r="K417" s="24" t="str">
        <f t="shared" si="87"/>
        <v>F5</v>
      </c>
      <c r="L417" s="24" t="str">
        <f>VLOOKUP(N417,CODE!K:P,CODE!$P$1,FALSE)</f>
        <v>모자</v>
      </c>
      <c r="M417" s="24" t="str">
        <f>VLOOKUP(MID(R417,1,3),CODE!$B:$G,CODE!D$1,FALSE)</f>
        <v>SWB</v>
      </c>
      <c r="N417" s="24" t="str">
        <f t="shared" si="88"/>
        <v>BE</v>
      </c>
      <c r="O417" s="29" t="str">
        <f>IF(ISERROR(IF(VLOOKUP($N417,CODE!$K:$P,CODE!$O$1,FALSE)="",$M417,$M417&amp;"-"&amp;VLOOKUP($N417,CODE!$K:$P,CODE!$O$1,FALSE)))=TRUE,"",IF(VLOOKUP($N417,CODE!$K:$P,CODE!$O$1,FALSE)="",$M417,$M417&amp;"-"&amp;VLOOKUP($N417,CODE!$K:$P,CODE!$O$1,FALSE)))</f>
        <v>SWB</v>
      </c>
      <c r="P417" s="29" t="str">
        <f t="shared" si="89"/>
        <v>키즈</v>
      </c>
      <c r="Q417" s="29" t="str">
        <f t="shared" si="90"/>
        <v>SWBBEF5509</v>
      </c>
      <c r="R417" s="1" t="s">
        <v>1211</v>
      </c>
      <c r="S417" s="1" t="s">
        <v>14</v>
      </c>
      <c r="T417" s="26">
        <v>600</v>
      </c>
      <c r="U417" s="26">
        <v>25800000</v>
      </c>
      <c r="V417" s="26">
        <v>4192512.0000000005</v>
      </c>
      <c r="W417" s="26">
        <v>5.5943895818414946</v>
      </c>
      <c r="X417" s="26">
        <v>594</v>
      </c>
      <c r="Y417" s="26">
        <v>0</v>
      </c>
    </row>
    <row r="418" spans="1:25">
      <c r="A418" s="24" t="str">
        <f t="shared" si="82"/>
        <v>신규</v>
      </c>
      <c r="B418" s="24" t="str">
        <f>IF(COUNTIF(R$1:R417,R418)=0,"최초","리오더")</f>
        <v>최초</v>
      </c>
      <c r="C418" s="24" t="str">
        <f t="shared" si="83"/>
        <v>HCUMIF3003</v>
      </c>
      <c r="D418" s="24">
        <f t="shared" si="78"/>
        <v>1</v>
      </c>
      <c r="E418" s="24" t="str">
        <f t="shared" si="84"/>
        <v/>
      </c>
      <c r="F418" s="24">
        <f t="shared" si="79"/>
        <v>0</v>
      </c>
      <c r="G418" s="24" t="str">
        <f t="shared" si="85"/>
        <v>HCUMIF3003BK</v>
      </c>
      <c r="H418" s="24">
        <f t="shared" si="80"/>
        <v>1</v>
      </c>
      <c r="I418" s="24" t="str">
        <f t="shared" si="86"/>
        <v/>
      </c>
      <c r="J418" s="24">
        <f t="shared" si="81"/>
        <v>0</v>
      </c>
      <c r="K418" s="24" t="str">
        <f t="shared" si="87"/>
        <v>F3</v>
      </c>
      <c r="L418" s="24" t="str">
        <f>VLOOKUP(N418,CODE!K:P,CODE!$P$1,FALSE)</f>
        <v>모자</v>
      </c>
      <c r="M418" s="24" t="str">
        <f>VLOOKUP(MID(R418,1,3),CODE!$B:$G,CODE!D$1,FALSE)</f>
        <v>HCU</v>
      </c>
      <c r="N418" s="24" t="str">
        <f t="shared" si="88"/>
        <v>MI</v>
      </c>
      <c r="O418" s="29" t="str">
        <f>IF(ISERROR(IF(VLOOKUP($N418,CODE!$K:$P,CODE!$O$1,FALSE)="",$M418,$M418&amp;"-"&amp;VLOOKUP($N418,CODE!$K:$P,CODE!$O$1,FALSE)))=TRUE,"",IF(VLOOKUP($N418,CODE!$K:$P,CODE!$O$1,FALSE)="",$M418,$M418&amp;"-"&amp;VLOOKUP($N418,CODE!$K:$P,CODE!$O$1,FALSE)))</f>
        <v>HCU</v>
      </c>
      <c r="P418" s="29" t="str">
        <f t="shared" si="89"/>
        <v>성인</v>
      </c>
      <c r="Q418" s="29" t="str">
        <f t="shared" si="90"/>
        <v>HCUMIF3003</v>
      </c>
      <c r="R418" s="1" t="s">
        <v>1212</v>
      </c>
      <c r="S418" s="1" t="s">
        <v>14</v>
      </c>
      <c r="T418" s="26">
        <v>1500</v>
      </c>
      <c r="U418" s="26">
        <v>73500000</v>
      </c>
      <c r="V418" s="26">
        <v>11882490.000000002</v>
      </c>
      <c r="W418" s="26">
        <v>5.6232474690222167</v>
      </c>
      <c r="X418" s="26">
        <v>1510</v>
      </c>
      <c r="Y418" s="26">
        <v>0</v>
      </c>
    </row>
    <row r="419" spans="1:25">
      <c r="A419" s="24" t="str">
        <f t="shared" si="82"/>
        <v>신규</v>
      </c>
      <c r="B419" s="24" t="str">
        <f>IF(COUNTIF(R$1:R418,R419)=0,"최초","리오더")</f>
        <v>최초</v>
      </c>
      <c r="C419" s="24" t="str">
        <f t="shared" si="83"/>
        <v>HCUMIF5004</v>
      </c>
      <c r="D419" s="24">
        <f t="shared" si="78"/>
        <v>1</v>
      </c>
      <c r="E419" s="24" t="str">
        <f t="shared" si="84"/>
        <v/>
      </c>
      <c r="F419" s="24">
        <f t="shared" si="79"/>
        <v>0</v>
      </c>
      <c r="G419" s="24" t="str">
        <f t="shared" si="85"/>
        <v>HCUMIF5004NY</v>
      </c>
      <c r="H419" s="24">
        <f t="shared" si="80"/>
        <v>1</v>
      </c>
      <c r="I419" s="24" t="str">
        <f t="shared" si="86"/>
        <v/>
      </c>
      <c r="J419" s="24">
        <f t="shared" si="81"/>
        <v>0</v>
      </c>
      <c r="K419" s="24" t="str">
        <f t="shared" si="87"/>
        <v>F5</v>
      </c>
      <c r="L419" s="24" t="str">
        <f>VLOOKUP(N419,CODE!K:P,CODE!$P$1,FALSE)</f>
        <v>모자</v>
      </c>
      <c r="M419" s="24" t="str">
        <f>VLOOKUP(MID(R419,1,3),CODE!$B:$G,CODE!D$1,FALSE)</f>
        <v>HCU</v>
      </c>
      <c r="N419" s="24" t="str">
        <f t="shared" si="88"/>
        <v>MI</v>
      </c>
      <c r="O419" s="29" t="str">
        <f>IF(ISERROR(IF(VLOOKUP($N419,CODE!$K:$P,CODE!$O$1,FALSE)="",$M419,$M419&amp;"-"&amp;VLOOKUP($N419,CODE!$K:$P,CODE!$O$1,FALSE)))=TRUE,"",IF(VLOOKUP($N419,CODE!$K:$P,CODE!$O$1,FALSE)="",$M419,$M419&amp;"-"&amp;VLOOKUP($N419,CODE!$K:$P,CODE!$O$1,FALSE)))</f>
        <v>HCU</v>
      </c>
      <c r="P419" s="29" t="str">
        <f t="shared" si="89"/>
        <v>성인</v>
      </c>
      <c r="Q419" s="29" t="str">
        <f t="shared" si="90"/>
        <v>HCUMIF5004</v>
      </c>
      <c r="R419" s="1" t="s">
        <v>1213</v>
      </c>
      <c r="S419" s="1" t="s">
        <v>14</v>
      </c>
      <c r="T419" s="26">
        <v>1000</v>
      </c>
      <c r="U419" s="26">
        <v>55000000</v>
      </c>
      <c r="V419" s="26">
        <v>9395360</v>
      </c>
      <c r="W419" s="26">
        <v>5.3217758553158152</v>
      </c>
      <c r="X419" s="26">
        <v>996</v>
      </c>
      <c r="Y419" s="26">
        <v>0</v>
      </c>
    </row>
    <row r="420" spans="1:25">
      <c r="A420" s="24" t="str">
        <f t="shared" si="82"/>
        <v>신규</v>
      </c>
      <c r="B420" s="24" t="str">
        <f>IF(COUNTIF(R$1:R419,R420)=0,"최초","리오더")</f>
        <v>최초</v>
      </c>
      <c r="C420" s="24" t="str">
        <f t="shared" si="83"/>
        <v>HCUMIF3005</v>
      </c>
      <c r="D420" s="24">
        <f t="shared" si="78"/>
        <v>1</v>
      </c>
      <c r="E420" s="24" t="str">
        <f t="shared" si="84"/>
        <v/>
      </c>
      <c r="F420" s="24">
        <f t="shared" si="79"/>
        <v>0</v>
      </c>
      <c r="G420" s="24" t="str">
        <f t="shared" si="85"/>
        <v>HCUMIF3005KH</v>
      </c>
      <c r="H420" s="24">
        <f t="shared" si="80"/>
        <v>1</v>
      </c>
      <c r="I420" s="24" t="str">
        <f t="shared" si="86"/>
        <v/>
      </c>
      <c r="J420" s="24">
        <f t="shared" si="81"/>
        <v>0</v>
      </c>
      <c r="K420" s="24" t="str">
        <f t="shared" si="87"/>
        <v>F3</v>
      </c>
      <c r="L420" s="24" t="str">
        <f>VLOOKUP(N420,CODE!K:P,CODE!$P$1,FALSE)</f>
        <v>모자</v>
      </c>
      <c r="M420" s="24" t="str">
        <f>VLOOKUP(MID(R420,1,3),CODE!$B:$G,CODE!D$1,FALSE)</f>
        <v>HCU</v>
      </c>
      <c r="N420" s="24" t="str">
        <f t="shared" si="88"/>
        <v>MI</v>
      </c>
      <c r="O420" s="29" t="str">
        <f>IF(ISERROR(IF(VLOOKUP($N420,CODE!$K:$P,CODE!$O$1,FALSE)="",$M420,$M420&amp;"-"&amp;VLOOKUP($N420,CODE!$K:$P,CODE!$O$1,FALSE)))=TRUE,"",IF(VLOOKUP($N420,CODE!$K:$P,CODE!$O$1,FALSE)="",$M420,$M420&amp;"-"&amp;VLOOKUP($N420,CODE!$K:$P,CODE!$O$1,FALSE)))</f>
        <v>HCU</v>
      </c>
      <c r="P420" s="29" t="str">
        <f t="shared" si="89"/>
        <v>성인</v>
      </c>
      <c r="Q420" s="29" t="str">
        <f t="shared" si="90"/>
        <v>HCUMIF3005</v>
      </c>
      <c r="R420" s="1" t="s">
        <v>1214</v>
      </c>
      <c r="S420" s="1" t="s">
        <v>14</v>
      </c>
      <c r="T420" s="26">
        <v>1200</v>
      </c>
      <c r="U420" s="26">
        <v>58800000</v>
      </c>
      <c r="V420" s="26">
        <v>9055728</v>
      </c>
      <c r="W420" s="26">
        <v>5.9028435322422945</v>
      </c>
      <c r="X420" s="26">
        <v>1210</v>
      </c>
      <c r="Y420" s="26">
        <v>0</v>
      </c>
    </row>
    <row r="421" spans="1:25">
      <c r="A421" s="24" t="str">
        <f t="shared" si="82"/>
        <v>신규</v>
      </c>
      <c r="B421" s="24" t="str">
        <f>IF(COUNTIF(R$1:R420,R421)=0,"최초","리오더")</f>
        <v>최초</v>
      </c>
      <c r="C421" s="24" t="str">
        <f t="shared" si="83"/>
        <v>HCUMIF3006</v>
      </c>
      <c r="D421" s="24">
        <f t="shared" si="78"/>
        <v>0.33333333333333331</v>
      </c>
      <c r="E421" s="24" t="str">
        <f t="shared" si="84"/>
        <v/>
      </c>
      <c r="F421" s="24">
        <f t="shared" si="79"/>
        <v>0</v>
      </c>
      <c r="G421" s="24" t="str">
        <f t="shared" si="85"/>
        <v>HCUMIF3006BK</v>
      </c>
      <c r="H421" s="24">
        <f t="shared" si="80"/>
        <v>1</v>
      </c>
      <c r="I421" s="24" t="str">
        <f t="shared" si="86"/>
        <v/>
      </c>
      <c r="J421" s="24">
        <f t="shared" si="81"/>
        <v>0</v>
      </c>
      <c r="K421" s="24" t="str">
        <f t="shared" si="87"/>
        <v>F3</v>
      </c>
      <c r="L421" s="24" t="str">
        <f>VLOOKUP(N421,CODE!K:P,CODE!$P$1,FALSE)</f>
        <v>모자</v>
      </c>
      <c r="M421" s="24" t="str">
        <f>VLOOKUP(MID(R421,1,3),CODE!$B:$G,CODE!D$1,FALSE)</f>
        <v>HCU</v>
      </c>
      <c r="N421" s="24" t="str">
        <f t="shared" si="88"/>
        <v>MI</v>
      </c>
      <c r="O421" s="29" t="str">
        <f>IF(ISERROR(IF(VLOOKUP($N421,CODE!$K:$P,CODE!$O$1,FALSE)="",$M421,$M421&amp;"-"&amp;VLOOKUP($N421,CODE!$K:$P,CODE!$O$1,FALSE)))=TRUE,"",IF(VLOOKUP($N421,CODE!$K:$P,CODE!$O$1,FALSE)="",$M421,$M421&amp;"-"&amp;VLOOKUP($N421,CODE!$K:$P,CODE!$O$1,FALSE)))</f>
        <v>HCU</v>
      </c>
      <c r="P421" s="29" t="str">
        <f t="shared" si="89"/>
        <v>성인</v>
      </c>
      <c r="Q421" s="29" t="str">
        <f t="shared" si="90"/>
        <v>HCUMIF3006</v>
      </c>
      <c r="R421" s="1" t="s">
        <v>1215</v>
      </c>
      <c r="S421" s="1" t="s">
        <v>14</v>
      </c>
      <c r="T421" s="26">
        <v>2000</v>
      </c>
      <c r="U421" s="26">
        <v>98000000</v>
      </c>
      <c r="V421" s="26">
        <v>15591840</v>
      </c>
      <c r="W421" s="26">
        <v>5.71394454348615</v>
      </c>
      <c r="X421" s="26">
        <v>2004</v>
      </c>
      <c r="Y421" s="26">
        <v>0</v>
      </c>
    </row>
    <row r="422" spans="1:25">
      <c r="A422" s="24" t="str">
        <f t="shared" si="82"/>
        <v>신규</v>
      </c>
      <c r="B422" s="24" t="str">
        <f>IF(COUNTIF(R$1:R421,R422)=0,"최초","리오더")</f>
        <v>최초</v>
      </c>
      <c r="C422" s="24" t="str">
        <f t="shared" si="83"/>
        <v>HCUMIF3006</v>
      </c>
      <c r="D422" s="24">
        <f t="shared" si="78"/>
        <v>0.33333333333333331</v>
      </c>
      <c r="E422" s="24" t="str">
        <f t="shared" si="84"/>
        <v/>
      </c>
      <c r="F422" s="24">
        <f t="shared" si="79"/>
        <v>0</v>
      </c>
      <c r="G422" s="24" t="str">
        <f t="shared" si="85"/>
        <v>HCUMIF3006KH</v>
      </c>
      <c r="H422" s="24">
        <f t="shared" si="80"/>
        <v>1</v>
      </c>
      <c r="I422" s="24" t="str">
        <f t="shared" si="86"/>
        <v/>
      </c>
      <c r="J422" s="24">
        <f t="shared" si="81"/>
        <v>0</v>
      </c>
      <c r="K422" s="24" t="str">
        <f t="shared" si="87"/>
        <v>F3</v>
      </c>
      <c r="L422" s="24" t="str">
        <f>VLOOKUP(N422,CODE!K:P,CODE!$P$1,FALSE)</f>
        <v>모자</v>
      </c>
      <c r="M422" s="24" t="str">
        <f>VLOOKUP(MID(R422,1,3),CODE!$B:$G,CODE!D$1,FALSE)</f>
        <v>HCU</v>
      </c>
      <c r="N422" s="24" t="str">
        <f t="shared" si="88"/>
        <v>MI</v>
      </c>
      <c r="O422" s="29" t="str">
        <f>IF(ISERROR(IF(VLOOKUP($N422,CODE!$K:$P,CODE!$O$1,FALSE)="",$M422,$M422&amp;"-"&amp;VLOOKUP($N422,CODE!$K:$P,CODE!$O$1,FALSE)))=TRUE,"",IF(VLOOKUP($N422,CODE!$K:$P,CODE!$O$1,FALSE)="",$M422,$M422&amp;"-"&amp;VLOOKUP($N422,CODE!$K:$P,CODE!$O$1,FALSE)))</f>
        <v>HCU</v>
      </c>
      <c r="P422" s="29" t="str">
        <f t="shared" si="89"/>
        <v>성인</v>
      </c>
      <c r="Q422" s="29" t="str">
        <f t="shared" si="90"/>
        <v>HCUMIF3006</v>
      </c>
      <c r="R422" s="1" t="s">
        <v>1216</v>
      </c>
      <c r="S422" s="1" t="s">
        <v>14</v>
      </c>
      <c r="T422" s="26">
        <v>1200</v>
      </c>
      <c r="U422" s="26">
        <v>58800000</v>
      </c>
      <c r="V422" s="26">
        <v>9355104</v>
      </c>
      <c r="W422" s="26">
        <v>5.71394454348615</v>
      </c>
      <c r="X422" s="26">
        <v>1199</v>
      </c>
      <c r="Y422" s="26">
        <v>0</v>
      </c>
    </row>
    <row r="423" spans="1:25">
      <c r="A423" s="24" t="str">
        <f t="shared" si="82"/>
        <v>신규</v>
      </c>
      <c r="B423" s="24" t="str">
        <f>IF(COUNTIF(R$1:R422,R423)=0,"최초","리오더")</f>
        <v>최초</v>
      </c>
      <c r="C423" s="24" t="str">
        <f t="shared" si="83"/>
        <v>HCUMIF3006</v>
      </c>
      <c r="D423" s="24">
        <f t="shared" si="78"/>
        <v>0.33333333333333331</v>
      </c>
      <c r="E423" s="24" t="str">
        <f t="shared" si="84"/>
        <v/>
      </c>
      <c r="F423" s="24">
        <f t="shared" si="79"/>
        <v>0</v>
      </c>
      <c r="G423" s="24" t="str">
        <f t="shared" si="85"/>
        <v>HCUMIF3006NY</v>
      </c>
      <c r="H423" s="24">
        <f t="shared" si="80"/>
        <v>1</v>
      </c>
      <c r="I423" s="24" t="str">
        <f t="shared" si="86"/>
        <v/>
      </c>
      <c r="J423" s="24">
        <f t="shared" si="81"/>
        <v>0</v>
      </c>
      <c r="K423" s="24" t="str">
        <f t="shared" si="87"/>
        <v>F3</v>
      </c>
      <c r="L423" s="24" t="str">
        <f>VLOOKUP(N423,CODE!K:P,CODE!$P$1,FALSE)</f>
        <v>모자</v>
      </c>
      <c r="M423" s="24" t="str">
        <f>VLOOKUP(MID(R423,1,3),CODE!$B:$G,CODE!D$1,FALSE)</f>
        <v>HCU</v>
      </c>
      <c r="N423" s="24" t="str">
        <f t="shared" si="88"/>
        <v>MI</v>
      </c>
      <c r="O423" s="29" t="str">
        <f>IF(ISERROR(IF(VLOOKUP($N423,CODE!$K:$P,CODE!$O$1,FALSE)="",$M423,$M423&amp;"-"&amp;VLOOKUP($N423,CODE!$K:$P,CODE!$O$1,FALSE)))=TRUE,"",IF(VLOOKUP($N423,CODE!$K:$P,CODE!$O$1,FALSE)="",$M423,$M423&amp;"-"&amp;VLOOKUP($N423,CODE!$K:$P,CODE!$O$1,FALSE)))</f>
        <v>HCU</v>
      </c>
      <c r="P423" s="29" t="str">
        <f t="shared" si="89"/>
        <v>성인</v>
      </c>
      <c r="Q423" s="29" t="str">
        <f t="shared" si="90"/>
        <v>HCUMIF3006</v>
      </c>
      <c r="R423" s="1" t="s">
        <v>1217</v>
      </c>
      <c r="S423" s="1" t="s">
        <v>14</v>
      </c>
      <c r="T423" s="26">
        <v>1200</v>
      </c>
      <c r="U423" s="26">
        <v>58800000</v>
      </c>
      <c r="V423" s="26">
        <v>9355104</v>
      </c>
      <c r="W423" s="26">
        <v>5.71394454348615</v>
      </c>
      <c r="X423" s="26">
        <v>1198</v>
      </c>
      <c r="Y423" s="26">
        <v>0</v>
      </c>
    </row>
    <row r="424" spans="1:25">
      <c r="A424" s="24" t="str">
        <f t="shared" si="82"/>
        <v>신규</v>
      </c>
      <c r="B424" s="24" t="str">
        <f>IF(COUNTIF(R$1:R423,R424)=0,"최초","리오더")</f>
        <v>최초</v>
      </c>
      <c r="C424" s="24" t="str">
        <f t="shared" si="83"/>
        <v>HCUMIF3007</v>
      </c>
      <c r="D424" s="24">
        <f t="shared" si="78"/>
        <v>0.5</v>
      </c>
      <c r="E424" s="24" t="str">
        <f t="shared" si="84"/>
        <v/>
      </c>
      <c r="F424" s="24">
        <f t="shared" si="79"/>
        <v>0</v>
      </c>
      <c r="G424" s="24" t="str">
        <f t="shared" si="85"/>
        <v>HCUMIF3007GY</v>
      </c>
      <c r="H424" s="24">
        <f t="shared" si="80"/>
        <v>1</v>
      </c>
      <c r="I424" s="24" t="str">
        <f t="shared" si="86"/>
        <v/>
      </c>
      <c r="J424" s="24">
        <f t="shared" si="81"/>
        <v>0</v>
      </c>
      <c r="K424" s="24" t="str">
        <f t="shared" si="87"/>
        <v>F3</v>
      </c>
      <c r="L424" s="24" t="str">
        <f>VLOOKUP(N424,CODE!K:P,CODE!$P$1,FALSE)</f>
        <v>모자</v>
      </c>
      <c r="M424" s="24" t="str">
        <f>VLOOKUP(MID(R424,1,3),CODE!$B:$G,CODE!D$1,FALSE)</f>
        <v>HCU</v>
      </c>
      <c r="N424" s="24" t="str">
        <f t="shared" si="88"/>
        <v>MI</v>
      </c>
      <c r="O424" s="29" t="str">
        <f>IF(ISERROR(IF(VLOOKUP($N424,CODE!$K:$P,CODE!$O$1,FALSE)="",$M424,$M424&amp;"-"&amp;VLOOKUP($N424,CODE!$K:$P,CODE!$O$1,FALSE)))=TRUE,"",IF(VLOOKUP($N424,CODE!$K:$P,CODE!$O$1,FALSE)="",$M424,$M424&amp;"-"&amp;VLOOKUP($N424,CODE!$K:$P,CODE!$O$1,FALSE)))</f>
        <v>HCU</v>
      </c>
      <c r="P424" s="29" t="str">
        <f t="shared" si="89"/>
        <v>성인</v>
      </c>
      <c r="Q424" s="29" t="str">
        <f t="shared" si="90"/>
        <v>HCUMIF3007</v>
      </c>
      <c r="R424" s="1" t="s">
        <v>1218</v>
      </c>
      <c r="S424" s="1" t="s">
        <v>14</v>
      </c>
      <c r="T424" s="26">
        <v>1200</v>
      </c>
      <c r="U424" s="26">
        <v>58800000</v>
      </c>
      <c r="V424" s="26">
        <v>9355104</v>
      </c>
      <c r="W424" s="26">
        <v>5.71394454348615</v>
      </c>
      <c r="X424" s="26">
        <v>1193</v>
      </c>
      <c r="Y424" s="26">
        <v>0</v>
      </c>
    </row>
    <row r="425" spans="1:25">
      <c r="A425" s="24" t="str">
        <f t="shared" si="82"/>
        <v>신규</v>
      </c>
      <c r="B425" s="24" t="str">
        <f>IF(COUNTIF(R$1:R424,R425)=0,"최초","리오더")</f>
        <v>최초</v>
      </c>
      <c r="C425" s="24" t="str">
        <f t="shared" si="83"/>
        <v>HCUMIF3007</v>
      </c>
      <c r="D425" s="24">
        <f t="shared" si="78"/>
        <v>0.5</v>
      </c>
      <c r="E425" s="24" t="str">
        <f t="shared" si="84"/>
        <v/>
      </c>
      <c r="F425" s="24">
        <f t="shared" si="79"/>
        <v>0</v>
      </c>
      <c r="G425" s="24" t="str">
        <f t="shared" si="85"/>
        <v>HCUMIF3007BK</v>
      </c>
      <c r="H425" s="24">
        <f t="shared" si="80"/>
        <v>1</v>
      </c>
      <c r="I425" s="24" t="str">
        <f t="shared" si="86"/>
        <v/>
      </c>
      <c r="J425" s="24">
        <f t="shared" si="81"/>
        <v>0</v>
      </c>
      <c r="K425" s="24" t="str">
        <f t="shared" si="87"/>
        <v>F3</v>
      </c>
      <c r="L425" s="24" t="str">
        <f>VLOOKUP(N425,CODE!K:P,CODE!$P$1,FALSE)</f>
        <v>모자</v>
      </c>
      <c r="M425" s="24" t="str">
        <f>VLOOKUP(MID(R425,1,3),CODE!$B:$G,CODE!D$1,FALSE)</f>
        <v>HCU</v>
      </c>
      <c r="N425" s="24" t="str">
        <f t="shared" si="88"/>
        <v>MI</v>
      </c>
      <c r="O425" s="29" t="str">
        <f>IF(ISERROR(IF(VLOOKUP($N425,CODE!$K:$P,CODE!$O$1,FALSE)="",$M425,$M425&amp;"-"&amp;VLOOKUP($N425,CODE!$K:$P,CODE!$O$1,FALSE)))=TRUE,"",IF(VLOOKUP($N425,CODE!$K:$P,CODE!$O$1,FALSE)="",$M425,$M425&amp;"-"&amp;VLOOKUP($N425,CODE!$K:$P,CODE!$O$1,FALSE)))</f>
        <v>HCU</v>
      </c>
      <c r="P425" s="29" t="str">
        <f t="shared" si="89"/>
        <v>성인</v>
      </c>
      <c r="Q425" s="29" t="str">
        <f t="shared" si="90"/>
        <v>HCUMIF3007</v>
      </c>
      <c r="R425" s="1" t="s">
        <v>1219</v>
      </c>
      <c r="S425" s="1" t="s">
        <v>14</v>
      </c>
      <c r="T425" s="26">
        <v>2000</v>
      </c>
      <c r="U425" s="26">
        <v>98000000</v>
      </c>
      <c r="V425" s="26">
        <v>15591840</v>
      </c>
      <c r="W425" s="26">
        <v>5.71394454348615</v>
      </c>
      <c r="X425" s="26">
        <v>1996</v>
      </c>
      <c r="Y425" s="26">
        <v>0</v>
      </c>
    </row>
    <row r="426" spans="1:25">
      <c r="A426" s="24" t="str">
        <f t="shared" si="82"/>
        <v>신규</v>
      </c>
      <c r="B426" s="24" t="str">
        <f>IF(COUNTIF(R$1:R425,R426)=0,"최초","리오더")</f>
        <v>최초</v>
      </c>
      <c r="C426" s="24" t="str">
        <f t="shared" si="83"/>
        <v>HCUMIF3008</v>
      </c>
      <c r="D426" s="24">
        <f t="shared" si="78"/>
        <v>1</v>
      </c>
      <c r="E426" s="24" t="str">
        <f t="shared" si="84"/>
        <v/>
      </c>
      <c r="F426" s="24">
        <f t="shared" si="79"/>
        <v>0</v>
      </c>
      <c r="G426" s="24" t="str">
        <f t="shared" si="85"/>
        <v>HCUMIF3008BK</v>
      </c>
      <c r="H426" s="24">
        <f t="shared" si="80"/>
        <v>1</v>
      </c>
      <c r="I426" s="24" t="str">
        <f t="shared" si="86"/>
        <v/>
      </c>
      <c r="J426" s="24">
        <f t="shared" si="81"/>
        <v>0</v>
      </c>
      <c r="K426" s="24" t="str">
        <f t="shared" si="87"/>
        <v>F3</v>
      </c>
      <c r="L426" s="24" t="str">
        <f>VLOOKUP(N426,CODE!K:P,CODE!$P$1,FALSE)</f>
        <v>모자</v>
      </c>
      <c r="M426" s="24" t="str">
        <f>VLOOKUP(MID(R426,1,3),CODE!$B:$G,CODE!D$1,FALSE)</f>
        <v>HCU</v>
      </c>
      <c r="N426" s="24" t="str">
        <f t="shared" si="88"/>
        <v>MI</v>
      </c>
      <c r="O426" s="29" t="str">
        <f>IF(ISERROR(IF(VLOOKUP($N426,CODE!$K:$P,CODE!$O$1,FALSE)="",$M426,$M426&amp;"-"&amp;VLOOKUP($N426,CODE!$K:$P,CODE!$O$1,FALSE)))=TRUE,"",IF(VLOOKUP($N426,CODE!$K:$P,CODE!$O$1,FALSE)="",$M426,$M426&amp;"-"&amp;VLOOKUP($N426,CODE!$K:$P,CODE!$O$1,FALSE)))</f>
        <v>HCU</v>
      </c>
      <c r="P426" s="29" t="str">
        <f t="shared" si="89"/>
        <v>성인</v>
      </c>
      <c r="Q426" s="29" t="str">
        <f t="shared" si="90"/>
        <v>HCUMIF3008</v>
      </c>
      <c r="R426" s="1" t="s">
        <v>1220</v>
      </c>
      <c r="S426" s="1" t="s">
        <v>14</v>
      </c>
      <c r="T426" s="26">
        <v>1200</v>
      </c>
      <c r="U426" s="26">
        <v>58800000</v>
      </c>
      <c r="V426" s="26">
        <v>8681508</v>
      </c>
      <c r="W426" s="26">
        <v>6.1572880488672537</v>
      </c>
      <c r="X426" s="26">
        <v>1204</v>
      </c>
      <c r="Y426" s="26">
        <v>0</v>
      </c>
    </row>
    <row r="427" spans="1:25">
      <c r="A427" s="24" t="str">
        <f t="shared" si="82"/>
        <v>신규</v>
      </c>
      <c r="B427" s="24" t="str">
        <f>IF(COUNTIF(R$1:R426,R427)=0,"최초","리오더")</f>
        <v>최초</v>
      </c>
      <c r="C427" s="24" t="str">
        <f t="shared" si="83"/>
        <v>BLLCTF5001</v>
      </c>
      <c r="D427" s="24">
        <f t="shared" si="78"/>
        <v>1</v>
      </c>
      <c r="E427" s="24" t="str">
        <f t="shared" si="84"/>
        <v/>
      </c>
      <c r="F427" s="24">
        <f t="shared" si="79"/>
        <v>0</v>
      </c>
      <c r="G427" s="24" t="str">
        <f t="shared" si="85"/>
        <v>BLLCTF5001NY</v>
      </c>
      <c r="H427" s="24">
        <f t="shared" si="80"/>
        <v>1</v>
      </c>
      <c r="I427" s="24" t="str">
        <f t="shared" si="86"/>
        <v/>
      </c>
      <c r="J427" s="24">
        <f t="shared" si="81"/>
        <v>0</v>
      </c>
      <c r="K427" s="24" t="str">
        <f t="shared" si="87"/>
        <v>F5</v>
      </c>
      <c r="L427" s="24" t="str">
        <f>VLOOKUP(N427,CODE!K:P,CODE!$P$1,FALSE)</f>
        <v>모자</v>
      </c>
      <c r="M427" s="24" t="str">
        <f>VLOOKUP(MID(R427,1,3),CODE!$B:$G,CODE!D$1,FALSE)</f>
        <v>BLL</v>
      </c>
      <c r="N427" s="24" t="str">
        <f t="shared" si="88"/>
        <v>CT</v>
      </c>
      <c r="O427" s="29" t="str">
        <f>IF(ISERROR(IF(VLOOKUP($N427,CODE!$K:$P,CODE!$O$1,FALSE)="",$M427,$M427&amp;"-"&amp;VLOOKUP($N427,CODE!$K:$P,CODE!$O$1,FALSE)))=TRUE,"",IF(VLOOKUP($N427,CODE!$K:$P,CODE!$O$1,FALSE)="",$M427,$M427&amp;"-"&amp;VLOOKUP($N427,CODE!$K:$P,CODE!$O$1,FALSE)))</f>
        <v>BLL</v>
      </c>
      <c r="P427" s="29" t="str">
        <f t="shared" si="89"/>
        <v>성인</v>
      </c>
      <c r="Q427" s="29" t="str">
        <f t="shared" si="90"/>
        <v>BLLCTF5001</v>
      </c>
      <c r="R427" s="1" t="s">
        <v>1490</v>
      </c>
      <c r="S427" s="1" t="s">
        <v>14</v>
      </c>
      <c r="T427" s="26">
        <v>400</v>
      </c>
      <c r="U427" s="26">
        <v>18800000</v>
      </c>
      <c r="V427" s="26">
        <v>3195480.0000000005</v>
      </c>
      <c r="W427" s="26">
        <v>5.3484637960209689</v>
      </c>
      <c r="X427" s="26">
        <v>400</v>
      </c>
      <c r="Y427" s="26">
        <v>0</v>
      </c>
    </row>
    <row r="428" spans="1:25">
      <c r="A428" s="24" t="str">
        <f t="shared" si="82"/>
        <v>신규</v>
      </c>
      <c r="B428" s="24" t="str">
        <f>IF(COUNTIF(R$1:R427,R428)=0,"최초","리오더")</f>
        <v>최초</v>
      </c>
      <c r="C428" s="24" t="str">
        <f t="shared" si="83"/>
        <v>BLLFAF5002</v>
      </c>
      <c r="D428" s="24">
        <f t="shared" si="78"/>
        <v>1</v>
      </c>
      <c r="E428" s="24" t="str">
        <f t="shared" si="84"/>
        <v/>
      </c>
      <c r="F428" s="24">
        <f t="shared" si="79"/>
        <v>0</v>
      </c>
      <c r="G428" s="24" t="str">
        <f t="shared" si="85"/>
        <v>BLLFAF5002BK</v>
      </c>
      <c r="H428" s="24">
        <f t="shared" si="80"/>
        <v>1</v>
      </c>
      <c r="I428" s="24" t="str">
        <f t="shared" si="86"/>
        <v/>
      </c>
      <c r="J428" s="24">
        <f t="shared" si="81"/>
        <v>0</v>
      </c>
      <c r="K428" s="24" t="str">
        <f t="shared" si="87"/>
        <v>F5</v>
      </c>
      <c r="L428" s="24" t="str">
        <f>VLOOKUP(N428,CODE!K:P,CODE!$P$1,FALSE)</f>
        <v>모자</v>
      </c>
      <c r="M428" s="24" t="str">
        <f>VLOOKUP(MID(R428,1,3),CODE!$B:$G,CODE!D$1,FALSE)</f>
        <v>BLL</v>
      </c>
      <c r="N428" s="24" t="str">
        <f t="shared" si="88"/>
        <v>FA</v>
      </c>
      <c r="O428" s="29" t="str">
        <f>IF(ISERROR(IF(VLOOKUP($N428,CODE!$K:$P,CODE!$O$1,FALSE)="",$M428,$M428&amp;"-"&amp;VLOOKUP($N428,CODE!$K:$P,CODE!$O$1,FALSE)))=TRUE,"",IF(VLOOKUP($N428,CODE!$K:$P,CODE!$O$1,FALSE)="",$M428,$M428&amp;"-"&amp;VLOOKUP($N428,CODE!$K:$P,CODE!$O$1,FALSE)))</f>
        <v>BLL</v>
      </c>
      <c r="P428" s="29" t="str">
        <f t="shared" si="89"/>
        <v>성인</v>
      </c>
      <c r="Q428" s="29" t="str">
        <f t="shared" si="90"/>
        <v>BLLFAF5002</v>
      </c>
      <c r="R428" s="1" t="s">
        <v>1491</v>
      </c>
      <c r="S428" s="1" t="s">
        <v>14</v>
      </c>
      <c r="T428" s="26">
        <v>300</v>
      </c>
      <c r="U428" s="26">
        <v>14700000</v>
      </c>
      <c r="V428" s="26">
        <v>2694384</v>
      </c>
      <c r="W428" s="26">
        <v>4.9598113571177542</v>
      </c>
      <c r="X428" s="26">
        <v>300</v>
      </c>
      <c r="Y428" s="26">
        <v>0</v>
      </c>
    </row>
    <row r="429" spans="1:25">
      <c r="A429" s="24" t="str">
        <f t="shared" si="82"/>
        <v>신규</v>
      </c>
      <c r="B429" s="24" t="str">
        <f>IF(COUNTIF(R$1:R428,R429)=0,"최초","리오더")</f>
        <v>최초</v>
      </c>
      <c r="C429" s="24" t="str">
        <f t="shared" si="83"/>
        <v>BLLFEF5003</v>
      </c>
      <c r="D429" s="24">
        <f t="shared" si="78"/>
        <v>1</v>
      </c>
      <c r="E429" s="24" t="str">
        <f t="shared" si="84"/>
        <v/>
      </c>
      <c r="F429" s="24">
        <f t="shared" si="79"/>
        <v>0</v>
      </c>
      <c r="G429" s="24" t="str">
        <f t="shared" si="85"/>
        <v>BLLFEF5003BK</v>
      </c>
      <c r="H429" s="24">
        <f t="shared" si="80"/>
        <v>1</v>
      </c>
      <c r="I429" s="24" t="str">
        <f t="shared" si="86"/>
        <v/>
      </c>
      <c r="J429" s="24">
        <f t="shared" si="81"/>
        <v>0</v>
      </c>
      <c r="K429" s="24" t="str">
        <f t="shared" si="87"/>
        <v>F5</v>
      </c>
      <c r="L429" s="24" t="str">
        <f>VLOOKUP(N429,CODE!K:P,CODE!$P$1,FALSE)</f>
        <v>모자</v>
      </c>
      <c r="M429" s="24" t="str">
        <f>VLOOKUP(MID(R429,1,3),CODE!$B:$G,CODE!D$1,FALSE)</f>
        <v>BLL</v>
      </c>
      <c r="N429" s="24" t="str">
        <f t="shared" si="88"/>
        <v>FE</v>
      </c>
      <c r="O429" s="29" t="str">
        <f>IF(ISERROR(IF(VLOOKUP($N429,CODE!$K:$P,CODE!$O$1,FALSE)="",$M429,$M429&amp;"-"&amp;VLOOKUP($N429,CODE!$K:$P,CODE!$O$1,FALSE)))=TRUE,"",IF(VLOOKUP($N429,CODE!$K:$P,CODE!$O$1,FALSE)="",$M429,$M429&amp;"-"&amp;VLOOKUP($N429,CODE!$K:$P,CODE!$O$1,FALSE)))</f>
        <v>BLL</v>
      </c>
      <c r="P429" s="29" t="str">
        <f t="shared" si="89"/>
        <v>성인</v>
      </c>
      <c r="Q429" s="29" t="str">
        <f t="shared" si="90"/>
        <v>BLLFEF5003</v>
      </c>
      <c r="R429" s="1" t="s">
        <v>1492</v>
      </c>
      <c r="S429" s="1" t="s">
        <v>14</v>
      </c>
      <c r="T429" s="26">
        <v>400</v>
      </c>
      <c r="U429" s="26">
        <v>27600000</v>
      </c>
      <c r="V429" s="26">
        <v>4682928</v>
      </c>
      <c r="W429" s="26">
        <v>5.3579532059662434</v>
      </c>
      <c r="X429" s="26">
        <v>400</v>
      </c>
      <c r="Y429" s="26">
        <v>0</v>
      </c>
    </row>
    <row r="430" spans="1:25">
      <c r="A430" s="24" t="str">
        <f t="shared" si="82"/>
        <v>신규</v>
      </c>
      <c r="B430" s="24" t="str">
        <f>IF(COUNTIF(R$1:R429,R430)=0,"최초","리오더")</f>
        <v>최초</v>
      </c>
      <c r="C430" s="24" t="str">
        <f t="shared" si="83"/>
        <v>BLLCTF5004</v>
      </c>
      <c r="D430" s="24">
        <f t="shared" si="78"/>
        <v>1</v>
      </c>
      <c r="E430" s="24" t="str">
        <f t="shared" si="84"/>
        <v/>
      </c>
      <c r="F430" s="24">
        <f t="shared" si="79"/>
        <v>0</v>
      </c>
      <c r="G430" s="24" t="str">
        <f t="shared" si="85"/>
        <v>BLLCTF5004BG</v>
      </c>
      <c r="H430" s="24">
        <f t="shared" si="80"/>
        <v>1</v>
      </c>
      <c r="I430" s="24" t="str">
        <f t="shared" si="86"/>
        <v/>
      </c>
      <c r="J430" s="24">
        <f t="shared" si="81"/>
        <v>0</v>
      </c>
      <c r="K430" s="24" t="str">
        <f t="shared" si="87"/>
        <v>F5</v>
      </c>
      <c r="L430" s="24" t="str">
        <f>VLOOKUP(N430,CODE!K:P,CODE!$P$1,FALSE)</f>
        <v>모자</v>
      </c>
      <c r="M430" s="24" t="str">
        <f>VLOOKUP(MID(R430,1,3),CODE!$B:$G,CODE!D$1,FALSE)</f>
        <v>BLL</v>
      </c>
      <c r="N430" s="24" t="str">
        <f t="shared" si="88"/>
        <v>CT</v>
      </c>
      <c r="O430" s="29" t="str">
        <f>IF(ISERROR(IF(VLOOKUP($N430,CODE!$K:$P,CODE!$O$1,FALSE)="",$M430,$M430&amp;"-"&amp;VLOOKUP($N430,CODE!$K:$P,CODE!$O$1,FALSE)))=TRUE,"",IF(VLOOKUP($N430,CODE!$K:$P,CODE!$O$1,FALSE)="",$M430,$M430&amp;"-"&amp;VLOOKUP($N430,CODE!$K:$P,CODE!$O$1,FALSE)))</f>
        <v>BLL</v>
      </c>
      <c r="P430" s="29" t="str">
        <f t="shared" si="89"/>
        <v>성인</v>
      </c>
      <c r="Q430" s="29" t="str">
        <f t="shared" si="90"/>
        <v>BLLCTF5004</v>
      </c>
      <c r="R430" s="1" t="s">
        <v>1493</v>
      </c>
      <c r="S430" s="1" t="s">
        <v>14</v>
      </c>
      <c r="T430" s="26">
        <v>400</v>
      </c>
      <c r="U430" s="26">
        <v>18800000</v>
      </c>
      <c r="V430" s="26">
        <v>3321840</v>
      </c>
      <c r="W430" s="26">
        <v>5.1450127311697997</v>
      </c>
      <c r="X430" s="26">
        <v>396</v>
      </c>
      <c r="Y430" s="26">
        <v>0</v>
      </c>
    </row>
    <row r="431" spans="1:25">
      <c r="A431" s="24" t="str">
        <f t="shared" si="82"/>
        <v>신규</v>
      </c>
      <c r="B431" s="24" t="str">
        <f>IF(COUNTIF(R$1:R430,R431)=0,"최초","리오더")</f>
        <v>최초</v>
      </c>
      <c r="C431" s="24" t="str">
        <f t="shared" si="83"/>
        <v>BLLFEF5005</v>
      </c>
      <c r="D431" s="24">
        <f t="shared" si="78"/>
        <v>0.5</v>
      </c>
      <c r="E431" s="24" t="str">
        <f t="shared" si="84"/>
        <v/>
      </c>
      <c r="F431" s="24">
        <f t="shared" si="79"/>
        <v>0</v>
      </c>
      <c r="G431" s="24" t="str">
        <f t="shared" si="85"/>
        <v>BLLFEF5005BG</v>
      </c>
      <c r="H431" s="24">
        <f t="shared" si="80"/>
        <v>1</v>
      </c>
      <c r="I431" s="24" t="str">
        <f t="shared" si="86"/>
        <v/>
      </c>
      <c r="J431" s="24">
        <f t="shared" si="81"/>
        <v>0</v>
      </c>
      <c r="K431" s="24" t="str">
        <f t="shared" si="87"/>
        <v>F5</v>
      </c>
      <c r="L431" s="24" t="str">
        <f>VLOOKUP(N431,CODE!K:P,CODE!$P$1,FALSE)</f>
        <v>모자</v>
      </c>
      <c r="M431" s="24" t="str">
        <f>VLOOKUP(MID(R431,1,3),CODE!$B:$G,CODE!D$1,FALSE)</f>
        <v>BLL</v>
      </c>
      <c r="N431" s="24" t="str">
        <f t="shared" si="88"/>
        <v>FE</v>
      </c>
      <c r="O431" s="29" t="str">
        <f>IF(ISERROR(IF(VLOOKUP($N431,CODE!$K:$P,CODE!$O$1,FALSE)="",$M431,$M431&amp;"-"&amp;VLOOKUP($N431,CODE!$K:$P,CODE!$O$1,FALSE)))=TRUE,"",IF(VLOOKUP($N431,CODE!$K:$P,CODE!$O$1,FALSE)="",$M431,$M431&amp;"-"&amp;VLOOKUP($N431,CODE!$K:$P,CODE!$O$1,FALSE)))</f>
        <v>BLL</v>
      </c>
      <c r="P431" s="29" t="str">
        <f t="shared" si="89"/>
        <v>성인</v>
      </c>
      <c r="Q431" s="29" t="str">
        <f t="shared" si="90"/>
        <v>BLLFEF5005</v>
      </c>
      <c r="R431" s="1" t="s">
        <v>1494</v>
      </c>
      <c r="S431" s="1" t="s">
        <v>14</v>
      </c>
      <c r="T431" s="26">
        <v>300</v>
      </c>
      <c r="U431" s="26">
        <v>19500000</v>
      </c>
      <c r="V431" s="26">
        <v>3502704</v>
      </c>
      <c r="W431" s="26">
        <v>5.0610250615732086</v>
      </c>
      <c r="X431" s="26">
        <v>298</v>
      </c>
      <c r="Y431" s="26">
        <v>0</v>
      </c>
    </row>
    <row r="432" spans="1:25">
      <c r="A432" s="24" t="str">
        <f t="shared" si="82"/>
        <v>신규</v>
      </c>
      <c r="B432" s="24" t="str">
        <f>IF(COUNTIF(R$1:R431,R432)=0,"최초","리오더")</f>
        <v>최초</v>
      </c>
      <c r="C432" s="24" t="str">
        <f t="shared" si="83"/>
        <v>BLLFEF5005</v>
      </c>
      <c r="D432" s="24">
        <f t="shared" si="78"/>
        <v>0.5</v>
      </c>
      <c r="E432" s="24" t="str">
        <f t="shared" si="84"/>
        <v/>
      </c>
      <c r="F432" s="24">
        <f t="shared" si="79"/>
        <v>0</v>
      </c>
      <c r="G432" s="24" t="str">
        <f t="shared" si="85"/>
        <v>BLLFEF5005BK</v>
      </c>
      <c r="H432" s="24">
        <f t="shared" si="80"/>
        <v>1</v>
      </c>
      <c r="I432" s="24" t="str">
        <f t="shared" si="86"/>
        <v/>
      </c>
      <c r="J432" s="24">
        <f t="shared" si="81"/>
        <v>0</v>
      </c>
      <c r="K432" s="24" t="str">
        <f t="shared" si="87"/>
        <v>F5</v>
      </c>
      <c r="L432" s="24" t="str">
        <f>VLOOKUP(N432,CODE!K:P,CODE!$P$1,FALSE)</f>
        <v>모자</v>
      </c>
      <c r="M432" s="24" t="str">
        <f>VLOOKUP(MID(R432,1,3),CODE!$B:$G,CODE!D$1,FALSE)</f>
        <v>BLL</v>
      </c>
      <c r="N432" s="24" t="str">
        <f t="shared" si="88"/>
        <v>FE</v>
      </c>
      <c r="O432" s="29" t="str">
        <f>IF(ISERROR(IF(VLOOKUP($N432,CODE!$K:$P,CODE!$O$1,FALSE)="",$M432,$M432&amp;"-"&amp;VLOOKUP($N432,CODE!$K:$P,CODE!$O$1,FALSE)))=TRUE,"",IF(VLOOKUP($N432,CODE!$K:$P,CODE!$O$1,FALSE)="",$M432,$M432&amp;"-"&amp;VLOOKUP($N432,CODE!$K:$P,CODE!$O$1,FALSE)))</f>
        <v>BLL</v>
      </c>
      <c r="P432" s="29" t="str">
        <f t="shared" si="89"/>
        <v>성인</v>
      </c>
      <c r="Q432" s="29" t="str">
        <f t="shared" si="90"/>
        <v>BLLFEF5005</v>
      </c>
      <c r="R432" s="1" t="s">
        <v>1495</v>
      </c>
      <c r="S432" s="1" t="s">
        <v>14</v>
      </c>
      <c r="T432" s="26">
        <v>300</v>
      </c>
      <c r="U432" s="26">
        <v>19500000</v>
      </c>
      <c r="V432" s="26">
        <v>3502704</v>
      </c>
      <c r="W432" s="26">
        <v>5.0610250615732086</v>
      </c>
      <c r="X432" s="26">
        <v>297</v>
      </c>
      <c r="Y432" s="26">
        <v>0</v>
      </c>
    </row>
    <row r="433" spans="1:25">
      <c r="A433" s="24" t="str">
        <f t="shared" si="82"/>
        <v>신규</v>
      </c>
      <c r="B433" s="24" t="str">
        <f>IF(COUNTIF(R$1:R432,R433)=0,"최초","리오더")</f>
        <v>최초</v>
      </c>
      <c r="C433" s="24" t="str">
        <f t="shared" si="83"/>
        <v>BLLFEF5006</v>
      </c>
      <c r="D433" s="24">
        <f t="shared" si="78"/>
        <v>1</v>
      </c>
      <c r="E433" s="24" t="str">
        <f t="shared" si="84"/>
        <v/>
      </c>
      <c r="F433" s="24">
        <f t="shared" si="79"/>
        <v>0</v>
      </c>
      <c r="G433" s="24" t="str">
        <f t="shared" si="85"/>
        <v>BLLFEF5006GY</v>
      </c>
      <c r="H433" s="24">
        <f t="shared" si="80"/>
        <v>1</v>
      </c>
      <c r="I433" s="24" t="str">
        <f t="shared" si="86"/>
        <v/>
      </c>
      <c r="J433" s="24">
        <f t="shared" si="81"/>
        <v>0</v>
      </c>
      <c r="K433" s="24" t="str">
        <f t="shared" si="87"/>
        <v>F5</v>
      </c>
      <c r="L433" s="24" t="str">
        <f>VLOOKUP(N433,CODE!K:P,CODE!$P$1,FALSE)</f>
        <v>모자</v>
      </c>
      <c r="M433" s="24" t="str">
        <f>VLOOKUP(MID(R433,1,3),CODE!$B:$G,CODE!D$1,FALSE)</f>
        <v>BLL</v>
      </c>
      <c r="N433" s="24" t="str">
        <f t="shared" si="88"/>
        <v>FE</v>
      </c>
      <c r="O433" s="29" t="str">
        <f>IF(ISERROR(IF(VLOOKUP($N433,CODE!$K:$P,CODE!$O$1,FALSE)="",$M433,$M433&amp;"-"&amp;VLOOKUP($N433,CODE!$K:$P,CODE!$O$1,FALSE)))=TRUE,"",IF(VLOOKUP($N433,CODE!$K:$P,CODE!$O$1,FALSE)="",$M433,$M433&amp;"-"&amp;VLOOKUP($N433,CODE!$K:$P,CODE!$O$1,FALSE)))</f>
        <v>BLL</v>
      </c>
      <c r="P433" s="29" t="str">
        <f t="shared" si="89"/>
        <v>성인</v>
      </c>
      <c r="Q433" s="29" t="str">
        <f t="shared" si="90"/>
        <v>BLLFEF5006</v>
      </c>
      <c r="R433" s="1" t="s">
        <v>1496</v>
      </c>
      <c r="S433" s="1" t="s">
        <v>14</v>
      </c>
      <c r="T433" s="26">
        <v>300</v>
      </c>
      <c r="U433" s="26">
        <v>15900000</v>
      </c>
      <c r="V433" s="26">
        <v>2650830</v>
      </c>
      <c r="W433" s="26">
        <v>5.4528375846604469</v>
      </c>
      <c r="X433" s="26">
        <v>298</v>
      </c>
      <c r="Y433" s="26">
        <v>0</v>
      </c>
    </row>
    <row r="434" spans="1:25">
      <c r="A434" s="24" t="str">
        <f t="shared" si="82"/>
        <v>신규</v>
      </c>
      <c r="B434" s="24" t="str">
        <f>IF(COUNTIF(R$1:R433,R434)=0,"최초","리오더")</f>
        <v>최초</v>
      </c>
      <c r="C434" s="24" t="str">
        <f t="shared" si="83"/>
        <v>BLLCTF5007</v>
      </c>
      <c r="D434" s="24">
        <f t="shared" si="78"/>
        <v>1</v>
      </c>
      <c r="E434" s="24" t="str">
        <f t="shared" si="84"/>
        <v/>
      </c>
      <c r="F434" s="24">
        <f t="shared" si="79"/>
        <v>0</v>
      </c>
      <c r="G434" s="24" t="str">
        <f t="shared" si="85"/>
        <v>BLLCTF5007KH</v>
      </c>
      <c r="H434" s="24">
        <f t="shared" si="80"/>
        <v>1</v>
      </c>
      <c r="I434" s="24" t="str">
        <f t="shared" si="86"/>
        <v/>
      </c>
      <c r="J434" s="24">
        <f t="shared" si="81"/>
        <v>0</v>
      </c>
      <c r="K434" s="24" t="str">
        <f t="shared" si="87"/>
        <v>F5</v>
      </c>
      <c r="L434" s="24" t="str">
        <f>VLOOKUP(N434,CODE!K:P,CODE!$P$1,FALSE)</f>
        <v>모자</v>
      </c>
      <c r="M434" s="24" t="str">
        <f>VLOOKUP(MID(R434,1,3),CODE!$B:$G,CODE!D$1,FALSE)</f>
        <v>BLL</v>
      </c>
      <c r="N434" s="24" t="str">
        <f t="shared" si="88"/>
        <v>CT</v>
      </c>
      <c r="O434" s="29" t="str">
        <f>IF(ISERROR(IF(VLOOKUP($N434,CODE!$K:$P,CODE!$O$1,FALSE)="",$M434,$M434&amp;"-"&amp;VLOOKUP($N434,CODE!$K:$P,CODE!$O$1,FALSE)))=TRUE,"",IF(VLOOKUP($N434,CODE!$K:$P,CODE!$O$1,FALSE)="",$M434,$M434&amp;"-"&amp;VLOOKUP($N434,CODE!$K:$P,CODE!$O$1,FALSE)))</f>
        <v>BLL</v>
      </c>
      <c r="P434" s="29" t="str">
        <f t="shared" si="89"/>
        <v>성인</v>
      </c>
      <c r="Q434" s="29" t="str">
        <f t="shared" si="90"/>
        <v>BLLCTF5007</v>
      </c>
      <c r="R434" s="1" t="s">
        <v>1497</v>
      </c>
      <c r="S434" s="1" t="s">
        <v>14</v>
      </c>
      <c r="T434" s="26">
        <v>400</v>
      </c>
      <c r="U434" s="26">
        <v>18000000</v>
      </c>
      <c r="V434" s="26">
        <v>2900552</v>
      </c>
      <c r="W434" s="26">
        <v>5.6415593871912524</v>
      </c>
      <c r="X434" s="26">
        <v>400</v>
      </c>
      <c r="Y434" s="26">
        <v>0</v>
      </c>
    </row>
    <row r="435" spans="1:25">
      <c r="A435" s="24" t="str">
        <f t="shared" si="82"/>
        <v>신규</v>
      </c>
      <c r="B435" s="24" t="str">
        <f>IF(COUNTIF(R$1:R434,R435)=0,"최초","리오더")</f>
        <v>최초</v>
      </c>
      <c r="C435" s="24" t="str">
        <f t="shared" si="83"/>
        <v>BLLHUF5008</v>
      </c>
      <c r="D435" s="24">
        <f t="shared" si="78"/>
        <v>0.33333333333333331</v>
      </c>
      <c r="E435" s="24" t="str">
        <f t="shared" si="84"/>
        <v/>
      </c>
      <c r="F435" s="24">
        <f t="shared" si="79"/>
        <v>0</v>
      </c>
      <c r="G435" s="24" t="str">
        <f t="shared" si="85"/>
        <v>BLLHUF5008BK</v>
      </c>
      <c r="H435" s="24">
        <f t="shared" si="80"/>
        <v>1</v>
      </c>
      <c r="I435" s="24" t="str">
        <f t="shared" si="86"/>
        <v/>
      </c>
      <c r="J435" s="24">
        <f t="shared" si="81"/>
        <v>0</v>
      </c>
      <c r="K435" s="24" t="str">
        <f t="shared" si="87"/>
        <v>F5</v>
      </c>
      <c r="L435" s="24" t="str">
        <f>VLOOKUP(N435,CODE!K:P,CODE!$P$1,FALSE)</f>
        <v>모자</v>
      </c>
      <c r="M435" s="24" t="str">
        <f>VLOOKUP(MID(R435,1,3),CODE!$B:$G,CODE!D$1,FALSE)</f>
        <v>BLL</v>
      </c>
      <c r="N435" s="24" t="str">
        <f t="shared" si="88"/>
        <v>HU</v>
      </c>
      <c r="O435" s="29" t="str">
        <f>IF(ISERROR(IF(VLOOKUP($N435,CODE!$K:$P,CODE!$O$1,FALSE)="",$M435,$M435&amp;"-"&amp;VLOOKUP($N435,CODE!$K:$P,CODE!$O$1,FALSE)))=TRUE,"",IF(VLOOKUP($N435,CODE!$K:$P,CODE!$O$1,FALSE)="",$M435,$M435&amp;"-"&amp;VLOOKUP($N435,CODE!$K:$P,CODE!$O$1,FALSE)))</f>
        <v>BLL</v>
      </c>
      <c r="P435" s="29" t="str">
        <f t="shared" si="89"/>
        <v>성인</v>
      </c>
      <c r="Q435" s="29" t="str">
        <f t="shared" si="90"/>
        <v>BLLHUF5008</v>
      </c>
      <c r="R435" s="1" t="s">
        <v>1498</v>
      </c>
      <c r="S435" s="1" t="s">
        <v>14</v>
      </c>
      <c r="T435" s="26">
        <v>400</v>
      </c>
      <c r="U435" s="26">
        <v>19600000</v>
      </c>
      <c r="V435" s="26">
        <v>2996384.0000000009</v>
      </c>
      <c r="W435" s="26">
        <v>5.9465615282226212</v>
      </c>
      <c r="X435" s="26">
        <v>399</v>
      </c>
      <c r="Y435" s="26">
        <v>0</v>
      </c>
    </row>
    <row r="436" spans="1:25">
      <c r="A436" s="24" t="str">
        <f t="shared" si="82"/>
        <v>신규</v>
      </c>
      <c r="B436" s="24" t="str">
        <f>IF(COUNTIF(R$1:R435,R436)=0,"최초","리오더")</f>
        <v>최초</v>
      </c>
      <c r="C436" s="24" t="str">
        <f t="shared" si="83"/>
        <v>BLLHUF5008</v>
      </c>
      <c r="D436" s="24">
        <f t="shared" si="78"/>
        <v>0.33333333333333331</v>
      </c>
      <c r="E436" s="24" t="str">
        <f t="shared" si="84"/>
        <v/>
      </c>
      <c r="F436" s="24">
        <f t="shared" si="79"/>
        <v>0</v>
      </c>
      <c r="G436" s="24" t="str">
        <f t="shared" si="85"/>
        <v>BLLHUF5008RE</v>
      </c>
      <c r="H436" s="24">
        <f t="shared" si="80"/>
        <v>1</v>
      </c>
      <c r="I436" s="24" t="str">
        <f t="shared" si="86"/>
        <v/>
      </c>
      <c r="J436" s="24">
        <f t="shared" si="81"/>
        <v>0</v>
      </c>
      <c r="K436" s="24" t="str">
        <f t="shared" si="87"/>
        <v>F5</v>
      </c>
      <c r="L436" s="24" t="str">
        <f>VLOOKUP(N436,CODE!K:P,CODE!$P$1,FALSE)</f>
        <v>모자</v>
      </c>
      <c r="M436" s="24" t="str">
        <f>VLOOKUP(MID(R436,1,3),CODE!$B:$G,CODE!D$1,FALSE)</f>
        <v>BLL</v>
      </c>
      <c r="N436" s="24" t="str">
        <f t="shared" si="88"/>
        <v>HU</v>
      </c>
      <c r="O436" s="29" t="str">
        <f>IF(ISERROR(IF(VLOOKUP($N436,CODE!$K:$P,CODE!$O$1,FALSE)="",$M436,$M436&amp;"-"&amp;VLOOKUP($N436,CODE!$K:$P,CODE!$O$1,FALSE)))=TRUE,"",IF(VLOOKUP($N436,CODE!$K:$P,CODE!$O$1,FALSE)="",$M436,$M436&amp;"-"&amp;VLOOKUP($N436,CODE!$K:$P,CODE!$O$1,FALSE)))</f>
        <v>BLL</v>
      </c>
      <c r="P436" s="29" t="str">
        <f t="shared" si="89"/>
        <v>성인</v>
      </c>
      <c r="Q436" s="29" t="str">
        <f t="shared" si="90"/>
        <v>BLLHUF5008</v>
      </c>
      <c r="R436" s="1" t="s">
        <v>1499</v>
      </c>
      <c r="S436" s="1" t="s">
        <v>14</v>
      </c>
      <c r="T436" s="26">
        <v>400</v>
      </c>
      <c r="U436" s="26">
        <v>19600000</v>
      </c>
      <c r="V436" s="26">
        <v>2996384.0000000009</v>
      </c>
      <c r="W436" s="26">
        <v>5.9465615282226212</v>
      </c>
      <c r="X436" s="26">
        <v>400</v>
      </c>
      <c r="Y436" s="26">
        <v>0</v>
      </c>
    </row>
    <row r="437" spans="1:25">
      <c r="A437" s="24" t="str">
        <f t="shared" si="82"/>
        <v>신규</v>
      </c>
      <c r="B437" s="24" t="str">
        <f>IF(COUNTIF(R$1:R436,R437)=0,"최초","리오더")</f>
        <v>최초</v>
      </c>
      <c r="C437" s="24" t="str">
        <f t="shared" si="83"/>
        <v>BLLHUF5008</v>
      </c>
      <c r="D437" s="24">
        <f t="shared" si="78"/>
        <v>0.33333333333333331</v>
      </c>
      <c r="E437" s="24" t="str">
        <f t="shared" si="84"/>
        <v/>
      </c>
      <c r="F437" s="24">
        <f t="shared" si="79"/>
        <v>0</v>
      </c>
      <c r="G437" s="24" t="str">
        <f t="shared" si="85"/>
        <v>BLLHUF5008BG</v>
      </c>
      <c r="H437" s="24">
        <f t="shared" si="80"/>
        <v>1</v>
      </c>
      <c r="I437" s="24" t="str">
        <f t="shared" si="86"/>
        <v/>
      </c>
      <c r="J437" s="24">
        <f t="shared" si="81"/>
        <v>0</v>
      </c>
      <c r="K437" s="24" t="str">
        <f t="shared" si="87"/>
        <v>F5</v>
      </c>
      <c r="L437" s="24" t="str">
        <f>VLOOKUP(N437,CODE!K:P,CODE!$P$1,FALSE)</f>
        <v>모자</v>
      </c>
      <c r="M437" s="24" t="str">
        <f>VLOOKUP(MID(R437,1,3),CODE!$B:$G,CODE!D$1,FALSE)</f>
        <v>BLL</v>
      </c>
      <c r="N437" s="24" t="str">
        <f t="shared" si="88"/>
        <v>HU</v>
      </c>
      <c r="O437" s="29" t="str">
        <f>IF(ISERROR(IF(VLOOKUP($N437,CODE!$K:$P,CODE!$O$1,FALSE)="",$M437,$M437&amp;"-"&amp;VLOOKUP($N437,CODE!$K:$P,CODE!$O$1,FALSE)))=TRUE,"",IF(VLOOKUP($N437,CODE!$K:$P,CODE!$O$1,FALSE)="",$M437,$M437&amp;"-"&amp;VLOOKUP($N437,CODE!$K:$P,CODE!$O$1,FALSE)))</f>
        <v>BLL</v>
      </c>
      <c r="P437" s="29" t="str">
        <f t="shared" si="89"/>
        <v>성인</v>
      </c>
      <c r="Q437" s="29" t="str">
        <f t="shared" si="90"/>
        <v>BLLHUF5008</v>
      </c>
      <c r="R437" s="1" t="s">
        <v>1500</v>
      </c>
      <c r="S437" s="1" t="s">
        <v>14</v>
      </c>
      <c r="T437" s="26">
        <v>400</v>
      </c>
      <c r="U437" s="26">
        <v>19600000</v>
      </c>
      <c r="V437" s="26">
        <v>2996384.0000000009</v>
      </c>
      <c r="W437" s="26">
        <v>5.9465615282226212</v>
      </c>
      <c r="X437" s="26">
        <v>400</v>
      </c>
      <c r="Y437" s="26">
        <v>0</v>
      </c>
    </row>
    <row r="438" spans="1:25">
      <c r="A438" s="24" t="str">
        <f t="shared" si="82"/>
        <v>신규</v>
      </c>
      <c r="B438" s="24" t="str">
        <f>IF(COUNTIF(R$1:R437,R438)=0,"최초","리오더")</f>
        <v>최초</v>
      </c>
      <c r="C438" s="24" t="str">
        <f t="shared" si="83"/>
        <v>NOVACF3001</v>
      </c>
      <c r="D438" s="24">
        <f t="shared" si="78"/>
        <v>0.5</v>
      </c>
      <c r="E438" s="24" t="str">
        <f t="shared" si="84"/>
        <v/>
      </c>
      <c r="F438" s="24">
        <f t="shared" si="79"/>
        <v>0</v>
      </c>
      <c r="G438" s="24" t="str">
        <f t="shared" si="85"/>
        <v>NOVACF3001BK</v>
      </c>
      <c r="H438" s="24">
        <f t="shared" si="80"/>
        <v>1</v>
      </c>
      <c r="I438" s="24" t="str">
        <f t="shared" si="86"/>
        <v/>
      </c>
      <c r="J438" s="24">
        <f t="shared" si="81"/>
        <v>0</v>
      </c>
      <c r="K438" s="24" t="str">
        <f t="shared" si="87"/>
        <v>F3</v>
      </c>
      <c r="L438" s="24" t="str">
        <f>VLOOKUP(N438,CODE!K:P,CODE!$P$1,FALSE)</f>
        <v>ACC</v>
      </c>
      <c r="M438" s="24" t="str">
        <f>VLOOKUP(MID(R438,1,3),CODE!$B:$G,CODE!D$1,FALSE)</f>
        <v>NOV</v>
      </c>
      <c r="N438" s="24" t="str">
        <f t="shared" si="88"/>
        <v>AC</v>
      </c>
      <c r="O438" s="29" t="str">
        <f>IF(ISERROR(IF(VLOOKUP($N438,CODE!$K:$P,CODE!$O$1,FALSE)="",$M438,$M438&amp;"-"&amp;VLOOKUP($N438,CODE!$K:$P,CODE!$O$1,FALSE)))=TRUE,"",IF(VLOOKUP($N438,CODE!$K:$P,CODE!$O$1,FALSE)="",$M438,$M438&amp;"-"&amp;VLOOKUP($N438,CODE!$K:$P,CODE!$O$1,FALSE)))</f>
        <v>NOV-ACC</v>
      </c>
      <c r="P438" s="29" t="str">
        <f t="shared" si="89"/>
        <v>성인</v>
      </c>
      <c r="Q438" s="29" t="str">
        <f t="shared" si="90"/>
        <v>NOVACF3001</v>
      </c>
      <c r="R438" s="1" t="s">
        <v>1221</v>
      </c>
      <c r="S438" s="1" t="s">
        <v>14</v>
      </c>
      <c r="T438" s="26">
        <v>1200</v>
      </c>
      <c r="U438" s="26">
        <v>7080000</v>
      </c>
      <c r="V438" s="26">
        <v>1215504</v>
      </c>
      <c r="W438" s="26">
        <v>5.2952220941795627</v>
      </c>
      <c r="X438" s="26">
        <v>1199</v>
      </c>
      <c r="Y438" s="26">
        <v>0</v>
      </c>
    </row>
    <row r="439" spans="1:25">
      <c r="A439" s="24" t="str">
        <f t="shared" si="82"/>
        <v>신규</v>
      </c>
      <c r="B439" s="24" t="str">
        <f>IF(COUNTIF(R$1:R438,R439)=0,"최초","리오더")</f>
        <v>최초</v>
      </c>
      <c r="C439" s="24" t="str">
        <f t="shared" si="83"/>
        <v>NOVACF3001</v>
      </c>
      <c r="D439" s="24">
        <f t="shared" si="78"/>
        <v>0.5</v>
      </c>
      <c r="E439" s="24" t="str">
        <f t="shared" si="84"/>
        <v/>
      </c>
      <c r="F439" s="24">
        <f t="shared" si="79"/>
        <v>0</v>
      </c>
      <c r="G439" s="24" t="str">
        <f t="shared" si="85"/>
        <v>NOVACF3001GY</v>
      </c>
      <c r="H439" s="24">
        <f t="shared" si="80"/>
        <v>1</v>
      </c>
      <c r="I439" s="24" t="str">
        <f t="shared" si="86"/>
        <v/>
      </c>
      <c r="J439" s="24">
        <f t="shared" si="81"/>
        <v>0</v>
      </c>
      <c r="K439" s="24" t="str">
        <f t="shared" si="87"/>
        <v>F3</v>
      </c>
      <c r="L439" s="24" t="str">
        <f>VLOOKUP(N439,CODE!K:P,CODE!$P$1,FALSE)</f>
        <v>ACC</v>
      </c>
      <c r="M439" s="24" t="str">
        <f>VLOOKUP(MID(R439,1,3),CODE!$B:$G,CODE!D$1,FALSE)</f>
        <v>NOV</v>
      </c>
      <c r="N439" s="24" t="str">
        <f t="shared" si="88"/>
        <v>AC</v>
      </c>
      <c r="O439" s="29" t="str">
        <f>IF(ISERROR(IF(VLOOKUP($N439,CODE!$K:$P,CODE!$O$1,FALSE)="",$M439,$M439&amp;"-"&amp;VLOOKUP($N439,CODE!$K:$P,CODE!$O$1,FALSE)))=TRUE,"",IF(VLOOKUP($N439,CODE!$K:$P,CODE!$O$1,FALSE)="",$M439,$M439&amp;"-"&amp;VLOOKUP($N439,CODE!$K:$P,CODE!$O$1,FALSE)))</f>
        <v>NOV-ACC</v>
      </c>
      <c r="P439" s="29" t="str">
        <f t="shared" si="89"/>
        <v>성인</v>
      </c>
      <c r="Q439" s="29" t="str">
        <f t="shared" si="90"/>
        <v>NOVACF3001</v>
      </c>
      <c r="R439" s="1" t="s">
        <v>1222</v>
      </c>
      <c r="S439" s="1" t="s">
        <v>14</v>
      </c>
      <c r="T439" s="26">
        <v>1200</v>
      </c>
      <c r="U439" s="26">
        <v>7080000</v>
      </c>
      <c r="V439" s="26">
        <v>1215504</v>
      </c>
      <c r="W439" s="26">
        <v>5.2952220941795627</v>
      </c>
      <c r="X439" s="26">
        <v>1200</v>
      </c>
      <c r="Y439" s="26">
        <v>0</v>
      </c>
    </row>
    <row r="440" spans="1:25">
      <c r="A440" s="24" t="str">
        <f t="shared" si="82"/>
        <v>신규</v>
      </c>
      <c r="B440" s="24" t="str">
        <f>IF(COUNTIF(R$1:R439,R440)=0,"최초","리오더")</f>
        <v>최초</v>
      </c>
      <c r="C440" s="24" t="str">
        <f t="shared" si="83"/>
        <v>NOVACF3002</v>
      </c>
      <c r="D440" s="24">
        <f t="shared" si="78"/>
        <v>1</v>
      </c>
      <c r="E440" s="24" t="str">
        <f t="shared" si="84"/>
        <v/>
      </c>
      <c r="F440" s="24">
        <f t="shared" si="79"/>
        <v>0</v>
      </c>
      <c r="G440" s="24" t="str">
        <f t="shared" si="85"/>
        <v>NOVACF3002NY</v>
      </c>
      <c r="H440" s="24">
        <f t="shared" si="80"/>
        <v>1</v>
      </c>
      <c r="I440" s="24" t="str">
        <f t="shared" si="86"/>
        <v/>
      </c>
      <c r="J440" s="24">
        <f t="shared" si="81"/>
        <v>0</v>
      </c>
      <c r="K440" s="24" t="str">
        <f t="shared" si="87"/>
        <v>F3</v>
      </c>
      <c r="L440" s="24" t="str">
        <f>VLOOKUP(N440,CODE!K:P,CODE!$P$1,FALSE)</f>
        <v>ACC</v>
      </c>
      <c r="M440" s="24" t="str">
        <f>VLOOKUP(MID(R440,1,3),CODE!$B:$G,CODE!D$1,FALSE)</f>
        <v>NOV</v>
      </c>
      <c r="N440" s="24" t="str">
        <f t="shared" si="88"/>
        <v>AC</v>
      </c>
      <c r="O440" s="29" t="str">
        <f>IF(ISERROR(IF(VLOOKUP($N440,CODE!$K:$P,CODE!$O$1,FALSE)="",$M440,$M440&amp;"-"&amp;VLOOKUP($N440,CODE!$K:$P,CODE!$O$1,FALSE)))=TRUE,"",IF(VLOOKUP($N440,CODE!$K:$P,CODE!$O$1,FALSE)="",$M440,$M440&amp;"-"&amp;VLOOKUP($N440,CODE!$K:$P,CODE!$O$1,FALSE)))</f>
        <v>NOV-ACC</v>
      </c>
      <c r="P440" s="29" t="str">
        <f t="shared" si="89"/>
        <v>성인</v>
      </c>
      <c r="Q440" s="29" t="str">
        <f t="shared" si="90"/>
        <v>NOVACF3002</v>
      </c>
      <c r="R440" s="1" t="s">
        <v>1223</v>
      </c>
      <c r="S440" s="1" t="s">
        <v>14</v>
      </c>
      <c r="T440" s="26">
        <v>1200</v>
      </c>
      <c r="U440" s="26">
        <v>9480000</v>
      </c>
      <c r="V440" s="26">
        <v>1440036</v>
      </c>
      <c r="W440" s="26">
        <v>5.9846988673768005</v>
      </c>
      <c r="X440" s="26">
        <v>1199</v>
      </c>
      <c r="Y440" s="26">
        <v>0</v>
      </c>
    </row>
    <row r="441" spans="1:25">
      <c r="A441" s="24" t="str">
        <f t="shared" si="82"/>
        <v>신규</v>
      </c>
      <c r="B441" s="24" t="str">
        <f>IF(COUNTIF(R$1:R440,R441)=0,"최초","리오더")</f>
        <v>최초</v>
      </c>
      <c r="C441" s="24" t="str">
        <f t="shared" si="83"/>
        <v>NOVACF3003</v>
      </c>
      <c r="D441" s="24">
        <f t="shared" si="78"/>
        <v>1</v>
      </c>
      <c r="E441" s="24" t="str">
        <f t="shared" si="84"/>
        <v/>
      </c>
      <c r="F441" s="24">
        <f t="shared" si="79"/>
        <v>0</v>
      </c>
      <c r="G441" s="24" t="str">
        <f t="shared" si="85"/>
        <v>NOVACF3003GY</v>
      </c>
      <c r="H441" s="24">
        <f t="shared" si="80"/>
        <v>1</v>
      </c>
      <c r="I441" s="24" t="str">
        <f t="shared" si="86"/>
        <v/>
      </c>
      <c r="J441" s="24">
        <f t="shared" si="81"/>
        <v>0</v>
      </c>
      <c r="K441" s="24" t="str">
        <f t="shared" si="87"/>
        <v>F3</v>
      </c>
      <c r="L441" s="24" t="str">
        <f>VLOOKUP(N441,CODE!K:P,CODE!$P$1,FALSE)</f>
        <v>ACC</v>
      </c>
      <c r="M441" s="24" t="str">
        <f>VLOOKUP(MID(R441,1,3),CODE!$B:$G,CODE!D$1,FALSE)</f>
        <v>NOV</v>
      </c>
      <c r="N441" s="24" t="str">
        <f t="shared" si="88"/>
        <v>AC</v>
      </c>
      <c r="O441" s="29" t="str">
        <f>IF(ISERROR(IF(VLOOKUP($N441,CODE!$K:$P,CODE!$O$1,FALSE)="",$M441,$M441&amp;"-"&amp;VLOOKUP($N441,CODE!$K:$P,CODE!$O$1,FALSE)))=TRUE,"",IF(VLOOKUP($N441,CODE!$K:$P,CODE!$O$1,FALSE)="",$M441,$M441&amp;"-"&amp;VLOOKUP($N441,CODE!$K:$P,CODE!$O$1,FALSE)))</f>
        <v>NOV-ACC</v>
      </c>
      <c r="P441" s="29" t="str">
        <f t="shared" si="89"/>
        <v>성인</v>
      </c>
      <c r="Q441" s="29" t="str">
        <f t="shared" si="90"/>
        <v>NOVACF3003</v>
      </c>
      <c r="R441" s="1" t="s">
        <v>1224</v>
      </c>
      <c r="S441" s="1" t="s">
        <v>14</v>
      </c>
      <c r="T441" s="26">
        <v>1200</v>
      </c>
      <c r="U441" s="26">
        <v>9480000</v>
      </c>
      <c r="V441" s="26">
        <v>1290348</v>
      </c>
      <c r="W441" s="26">
        <v>6.6789593335920374</v>
      </c>
      <c r="X441" s="26">
        <v>1200</v>
      </c>
      <c r="Y441" s="26">
        <v>0</v>
      </c>
    </row>
    <row r="442" spans="1:25">
      <c r="A442" s="24" t="str">
        <f t="shared" si="82"/>
        <v>신규</v>
      </c>
      <c r="B442" s="24" t="str">
        <f>IF(COUNTIF(R$1:R441,R442)=0,"최초","리오더")</f>
        <v>최초</v>
      </c>
      <c r="C442" s="24" t="str">
        <f t="shared" si="83"/>
        <v>NOVACF3004</v>
      </c>
      <c r="D442" s="24">
        <f t="shared" si="78"/>
        <v>1</v>
      </c>
      <c r="E442" s="24" t="str">
        <f t="shared" si="84"/>
        <v/>
      </c>
      <c r="F442" s="24">
        <f t="shared" si="79"/>
        <v>0</v>
      </c>
      <c r="G442" s="24" t="str">
        <f t="shared" si="85"/>
        <v>NOVACF3004NY</v>
      </c>
      <c r="H442" s="24">
        <f t="shared" si="80"/>
        <v>1</v>
      </c>
      <c r="I442" s="24" t="str">
        <f t="shared" si="86"/>
        <v/>
      </c>
      <c r="J442" s="24">
        <f t="shared" si="81"/>
        <v>0</v>
      </c>
      <c r="K442" s="24" t="str">
        <f t="shared" si="87"/>
        <v>F3</v>
      </c>
      <c r="L442" s="24" t="str">
        <f>VLOOKUP(N442,CODE!K:P,CODE!$P$1,FALSE)</f>
        <v>ACC</v>
      </c>
      <c r="M442" s="24" t="str">
        <f>VLOOKUP(MID(R442,1,3),CODE!$B:$G,CODE!D$1,FALSE)</f>
        <v>NOV</v>
      </c>
      <c r="N442" s="24" t="str">
        <f t="shared" si="88"/>
        <v>AC</v>
      </c>
      <c r="O442" s="29" t="str">
        <f>IF(ISERROR(IF(VLOOKUP($N442,CODE!$K:$P,CODE!$O$1,FALSE)="",$M442,$M442&amp;"-"&amp;VLOOKUP($N442,CODE!$K:$P,CODE!$O$1,FALSE)))=TRUE,"",IF(VLOOKUP($N442,CODE!$K:$P,CODE!$O$1,FALSE)="",$M442,$M442&amp;"-"&amp;VLOOKUP($N442,CODE!$K:$P,CODE!$O$1,FALSE)))</f>
        <v>NOV-ACC</v>
      </c>
      <c r="P442" s="29" t="str">
        <f t="shared" si="89"/>
        <v>성인</v>
      </c>
      <c r="Q442" s="29" t="str">
        <f t="shared" si="90"/>
        <v>NOVACF3004</v>
      </c>
      <c r="R442" s="1" t="s">
        <v>1225</v>
      </c>
      <c r="S442" s="1" t="s">
        <v>14</v>
      </c>
      <c r="T442" s="26">
        <v>1200</v>
      </c>
      <c r="U442" s="26">
        <v>9480000</v>
      </c>
      <c r="V442" s="26">
        <v>1290348</v>
      </c>
      <c r="W442" s="26">
        <v>6.6789593335920374</v>
      </c>
      <c r="X442" s="26">
        <v>1200</v>
      </c>
      <c r="Y442" s="26">
        <v>0</v>
      </c>
    </row>
    <row r="443" spans="1:25">
      <c r="A443" s="24" t="str">
        <f t="shared" si="82"/>
        <v>신규</v>
      </c>
      <c r="B443" s="24" t="str">
        <f>IF(COUNTIF(R$1:R442,R443)=0,"최초","리오더")</f>
        <v>최초</v>
      </c>
      <c r="C443" s="24" t="str">
        <f t="shared" si="83"/>
        <v>POLBAF3501</v>
      </c>
      <c r="D443" s="24">
        <f t="shared" si="78"/>
        <v>1</v>
      </c>
      <c r="E443" s="24" t="str">
        <f t="shared" si="84"/>
        <v/>
      </c>
      <c r="F443" s="24">
        <f t="shared" si="79"/>
        <v>0</v>
      </c>
      <c r="G443" s="24" t="str">
        <f t="shared" si="85"/>
        <v>POLBAF3501PK</v>
      </c>
      <c r="H443" s="24">
        <f t="shared" si="80"/>
        <v>1</v>
      </c>
      <c r="I443" s="24" t="str">
        <f t="shared" si="86"/>
        <v/>
      </c>
      <c r="J443" s="24">
        <f t="shared" si="81"/>
        <v>0</v>
      </c>
      <c r="K443" s="24" t="str">
        <f t="shared" si="87"/>
        <v>F3</v>
      </c>
      <c r="L443" s="24" t="str">
        <f>VLOOKUP(N443,CODE!K:P,CODE!$P$1,FALSE)</f>
        <v>모자</v>
      </c>
      <c r="M443" s="24" t="str">
        <f>VLOOKUP(MID(R443,1,3),CODE!$B:$G,CODE!D$1,FALSE)</f>
        <v>POL</v>
      </c>
      <c r="N443" s="24" t="str">
        <f t="shared" si="88"/>
        <v>BA</v>
      </c>
      <c r="O443" s="29" t="str">
        <f>IF(ISERROR(IF(VLOOKUP($N443,CODE!$K:$P,CODE!$O$1,FALSE)="",$M443,$M443&amp;"-"&amp;VLOOKUP($N443,CODE!$K:$P,CODE!$O$1,FALSE)))=TRUE,"",IF(VLOOKUP($N443,CODE!$K:$P,CODE!$O$1,FALSE)="",$M443,$M443&amp;"-"&amp;VLOOKUP($N443,CODE!$K:$P,CODE!$O$1,FALSE)))</f>
        <v>POL</v>
      </c>
      <c r="P443" s="29" t="str">
        <f t="shared" si="89"/>
        <v>키즈</v>
      </c>
      <c r="Q443" s="29" t="str">
        <f t="shared" si="90"/>
        <v>POLBAF3501</v>
      </c>
      <c r="R443" s="1" t="s">
        <v>1226</v>
      </c>
      <c r="S443" s="1" t="s">
        <v>14</v>
      </c>
      <c r="T443" s="26">
        <v>1000</v>
      </c>
      <c r="U443" s="26">
        <v>35000000</v>
      </c>
      <c r="V443" s="26">
        <v>7490030.0000000009</v>
      </c>
      <c r="W443" s="26">
        <v>4.2480713452658811</v>
      </c>
      <c r="X443" s="26">
        <v>998</v>
      </c>
      <c r="Y443" s="26">
        <v>0</v>
      </c>
    </row>
    <row r="444" spans="1:25">
      <c r="A444" s="24" t="str">
        <f t="shared" si="82"/>
        <v>신규</v>
      </c>
      <c r="B444" s="24" t="str">
        <f>IF(COUNTIF(R$1:R443,R444)=0,"최초","리오더")</f>
        <v>최초</v>
      </c>
      <c r="C444" s="24" t="str">
        <f t="shared" si="83"/>
        <v>POLBAF3502</v>
      </c>
      <c r="D444" s="24">
        <f t="shared" si="78"/>
        <v>1</v>
      </c>
      <c r="E444" s="24" t="str">
        <f t="shared" si="84"/>
        <v/>
      </c>
      <c r="F444" s="24">
        <f t="shared" si="79"/>
        <v>0</v>
      </c>
      <c r="G444" s="24" t="str">
        <f t="shared" si="85"/>
        <v>POLBAF3502YE</v>
      </c>
      <c r="H444" s="24">
        <f t="shared" si="80"/>
        <v>1</v>
      </c>
      <c r="I444" s="24" t="str">
        <f t="shared" si="86"/>
        <v/>
      </c>
      <c r="J444" s="24">
        <f t="shared" si="81"/>
        <v>0</v>
      </c>
      <c r="K444" s="24" t="str">
        <f t="shared" si="87"/>
        <v>F3</v>
      </c>
      <c r="L444" s="24" t="str">
        <f>VLOOKUP(N444,CODE!K:P,CODE!$P$1,FALSE)</f>
        <v>모자</v>
      </c>
      <c r="M444" s="24" t="str">
        <f>VLOOKUP(MID(R444,1,3),CODE!$B:$G,CODE!D$1,FALSE)</f>
        <v>POL</v>
      </c>
      <c r="N444" s="24" t="str">
        <f t="shared" si="88"/>
        <v>BA</v>
      </c>
      <c r="O444" s="29" t="str">
        <f>IF(ISERROR(IF(VLOOKUP($N444,CODE!$K:$P,CODE!$O$1,FALSE)="",$M444,$M444&amp;"-"&amp;VLOOKUP($N444,CODE!$K:$P,CODE!$O$1,FALSE)))=TRUE,"",IF(VLOOKUP($N444,CODE!$K:$P,CODE!$O$1,FALSE)="",$M444,$M444&amp;"-"&amp;VLOOKUP($N444,CODE!$K:$P,CODE!$O$1,FALSE)))</f>
        <v>POL</v>
      </c>
      <c r="P444" s="29" t="str">
        <f t="shared" si="89"/>
        <v>키즈</v>
      </c>
      <c r="Q444" s="29" t="str">
        <f t="shared" si="90"/>
        <v>POLBAF3502</v>
      </c>
      <c r="R444" s="1" t="s">
        <v>1227</v>
      </c>
      <c r="S444" s="1" t="s">
        <v>14</v>
      </c>
      <c r="T444" s="26">
        <v>1000</v>
      </c>
      <c r="U444" s="26">
        <v>35000000</v>
      </c>
      <c r="V444" s="26">
        <v>7994030.0000000009</v>
      </c>
      <c r="W444" s="26">
        <v>3.9802429835992372</v>
      </c>
      <c r="X444" s="26">
        <v>998</v>
      </c>
      <c r="Y444" s="26">
        <v>0</v>
      </c>
    </row>
    <row r="445" spans="1:25">
      <c r="A445" s="24" t="str">
        <f t="shared" si="82"/>
        <v>신규</v>
      </c>
      <c r="B445" s="24" t="str">
        <f>IF(COUNTIF(R$1:R444,R445)=0,"최초","리오더")</f>
        <v>최초</v>
      </c>
      <c r="C445" s="24" t="str">
        <f t="shared" si="83"/>
        <v>ELSBPF3501</v>
      </c>
      <c r="D445" s="24">
        <f t="shared" si="78"/>
        <v>1</v>
      </c>
      <c r="E445" s="24" t="str">
        <f t="shared" si="84"/>
        <v/>
      </c>
      <c r="F445" s="24">
        <f t="shared" si="79"/>
        <v>0</v>
      </c>
      <c r="G445" s="24" t="str">
        <f t="shared" si="85"/>
        <v>ELSBPF3501BL</v>
      </c>
      <c r="H445" s="24">
        <f t="shared" si="80"/>
        <v>1</v>
      </c>
      <c r="I445" s="24" t="str">
        <f t="shared" si="86"/>
        <v/>
      </c>
      <c r="J445" s="24">
        <f t="shared" si="81"/>
        <v>0</v>
      </c>
      <c r="K445" s="24" t="str">
        <f t="shared" si="87"/>
        <v>F3</v>
      </c>
      <c r="L445" s="24" t="str">
        <f>VLOOKUP(N445,CODE!K:P,CODE!$P$1,FALSE)</f>
        <v>가방</v>
      </c>
      <c r="M445" s="24" t="str">
        <f>VLOOKUP(MID(R445,1,3),CODE!$B:$G,CODE!D$1,FALSE)</f>
        <v>ELS</v>
      </c>
      <c r="N445" s="24" t="str">
        <f t="shared" si="88"/>
        <v>BP</v>
      </c>
      <c r="O445" s="29" t="str">
        <f>IF(ISERROR(IF(VLOOKUP($N445,CODE!$K:$P,CODE!$O$1,FALSE)="",$M445,$M445&amp;"-"&amp;VLOOKUP($N445,CODE!$K:$P,CODE!$O$1,FALSE)))=TRUE,"",IF(VLOOKUP($N445,CODE!$K:$P,CODE!$O$1,FALSE)="",$M445,$M445&amp;"-"&amp;VLOOKUP($N445,CODE!$K:$P,CODE!$O$1,FALSE)))</f>
        <v>ELS-가방</v>
      </c>
      <c r="P445" s="29" t="str">
        <f t="shared" si="89"/>
        <v>키즈</v>
      </c>
      <c r="Q445" s="29" t="str">
        <f t="shared" si="90"/>
        <v>ELSBPF3501</v>
      </c>
      <c r="R445" s="1" t="s">
        <v>1228</v>
      </c>
      <c r="S445" s="1" t="s">
        <v>14</v>
      </c>
      <c r="T445" s="26">
        <v>600</v>
      </c>
      <c r="U445" s="26">
        <v>47400000</v>
      </c>
      <c r="V445" s="26">
        <v>11412000</v>
      </c>
      <c r="W445" s="26">
        <v>3.7759296434375291</v>
      </c>
      <c r="X445" s="26">
        <v>600</v>
      </c>
      <c r="Y445" s="26">
        <v>0</v>
      </c>
    </row>
    <row r="446" spans="1:25">
      <c r="A446" s="24" t="str">
        <f t="shared" si="82"/>
        <v>신규</v>
      </c>
      <c r="B446" s="24" t="str">
        <f>IF(COUNTIF(R$1:R445,R446)=0,"최초","리오더")</f>
        <v>최초</v>
      </c>
      <c r="C446" s="24" t="str">
        <f t="shared" si="83"/>
        <v>ELSBPF3502</v>
      </c>
      <c r="D446" s="24">
        <f t="shared" si="78"/>
        <v>1</v>
      </c>
      <c r="E446" s="24" t="str">
        <f t="shared" si="84"/>
        <v/>
      </c>
      <c r="F446" s="24">
        <f t="shared" si="79"/>
        <v>0</v>
      </c>
      <c r="G446" s="24" t="str">
        <f t="shared" si="85"/>
        <v>ELSBPF3502PK</v>
      </c>
      <c r="H446" s="24">
        <f t="shared" si="80"/>
        <v>1</v>
      </c>
      <c r="I446" s="24" t="str">
        <f t="shared" si="86"/>
        <v/>
      </c>
      <c r="J446" s="24">
        <f t="shared" si="81"/>
        <v>0</v>
      </c>
      <c r="K446" s="24" t="str">
        <f t="shared" si="87"/>
        <v>F3</v>
      </c>
      <c r="L446" s="24" t="str">
        <f>VLOOKUP(N446,CODE!K:P,CODE!$P$1,FALSE)</f>
        <v>가방</v>
      </c>
      <c r="M446" s="24" t="str">
        <f>VLOOKUP(MID(R446,1,3),CODE!$B:$G,CODE!D$1,FALSE)</f>
        <v>ELS</v>
      </c>
      <c r="N446" s="24" t="str">
        <f t="shared" si="88"/>
        <v>BP</v>
      </c>
      <c r="O446" s="29" t="str">
        <f>IF(ISERROR(IF(VLOOKUP($N446,CODE!$K:$P,CODE!$O$1,FALSE)="",$M446,$M446&amp;"-"&amp;VLOOKUP($N446,CODE!$K:$P,CODE!$O$1,FALSE)))=TRUE,"",IF(VLOOKUP($N446,CODE!$K:$P,CODE!$O$1,FALSE)="",$M446,$M446&amp;"-"&amp;VLOOKUP($N446,CODE!$K:$P,CODE!$O$1,FALSE)))</f>
        <v>ELS-가방</v>
      </c>
      <c r="P446" s="29" t="str">
        <f t="shared" si="89"/>
        <v>키즈</v>
      </c>
      <c r="Q446" s="29" t="str">
        <f t="shared" si="90"/>
        <v>ELSBPF3502</v>
      </c>
      <c r="R446" s="1" t="s">
        <v>1229</v>
      </c>
      <c r="S446" s="1" t="s">
        <v>14</v>
      </c>
      <c r="T446" s="26">
        <v>600</v>
      </c>
      <c r="U446" s="26">
        <v>47400000</v>
      </c>
      <c r="V446" s="26">
        <v>11412000</v>
      </c>
      <c r="W446" s="26">
        <v>3.7759296434375291</v>
      </c>
      <c r="X446" s="26">
        <v>600</v>
      </c>
      <c r="Y446" s="26">
        <v>0</v>
      </c>
    </row>
    <row r="447" spans="1:25">
      <c r="A447" s="24" t="str">
        <f t="shared" si="82"/>
        <v>신규</v>
      </c>
      <c r="B447" s="24" t="str">
        <f>IF(COUNTIF(R$1:R446,R447)=0,"최초","리오더")</f>
        <v>최초</v>
      </c>
      <c r="C447" s="24" t="str">
        <f t="shared" si="83"/>
        <v>ELSBPF3503</v>
      </c>
      <c r="D447" s="24">
        <f t="shared" si="78"/>
        <v>1</v>
      </c>
      <c r="E447" s="24" t="str">
        <f t="shared" si="84"/>
        <v/>
      </c>
      <c r="F447" s="24">
        <f t="shared" si="79"/>
        <v>0</v>
      </c>
      <c r="G447" s="24" t="str">
        <f t="shared" si="85"/>
        <v>ELSBPF3503PP</v>
      </c>
      <c r="H447" s="24">
        <f t="shared" si="80"/>
        <v>1</v>
      </c>
      <c r="I447" s="24" t="str">
        <f t="shared" si="86"/>
        <v/>
      </c>
      <c r="J447" s="24">
        <f t="shared" si="81"/>
        <v>0</v>
      </c>
      <c r="K447" s="24" t="str">
        <f t="shared" si="87"/>
        <v>F3</v>
      </c>
      <c r="L447" s="24" t="str">
        <f>VLOOKUP(N447,CODE!K:P,CODE!$P$1,FALSE)</f>
        <v>가방</v>
      </c>
      <c r="M447" s="24" t="str">
        <f>VLOOKUP(MID(R447,1,3),CODE!$B:$G,CODE!D$1,FALSE)</f>
        <v>ELS</v>
      </c>
      <c r="N447" s="24" t="str">
        <f t="shared" si="88"/>
        <v>BP</v>
      </c>
      <c r="O447" s="29" t="str">
        <f>IF(ISERROR(IF(VLOOKUP($N447,CODE!$K:$P,CODE!$O$1,FALSE)="",$M447,$M447&amp;"-"&amp;VLOOKUP($N447,CODE!$K:$P,CODE!$O$1,FALSE)))=TRUE,"",IF(VLOOKUP($N447,CODE!$K:$P,CODE!$O$1,FALSE)="",$M447,$M447&amp;"-"&amp;VLOOKUP($N447,CODE!$K:$P,CODE!$O$1,FALSE)))</f>
        <v>ELS-가방</v>
      </c>
      <c r="P447" s="29" t="str">
        <f t="shared" si="89"/>
        <v>키즈</v>
      </c>
      <c r="Q447" s="29" t="str">
        <f t="shared" si="90"/>
        <v>ELSBPF3503</v>
      </c>
      <c r="R447" s="1" t="s">
        <v>1230</v>
      </c>
      <c r="S447" s="1" t="s">
        <v>14</v>
      </c>
      <c r="T447" s="26">
        <v>600</v>
      </c>
      <c r="U447" s="26">
        <v>59400000</v>
      </c>
      <c r="V447" s="26">
        <v>12912000</v>
      </c>
      <c r="W447" s="26">
        <v>4.1821561338289959</v>
      </c>
      <c r="X447" s="26">
        <v>600</v>
      </c>
      <c r="Y447" s="26">
        <v>0</v>
      </c>
    </row>
    <row r="448" spans="1:25">
      <c r="A448" s="24" t="str">
        <f t="shared" si="82"/>
        <v>신규</v>
      </c>
      <c r="B448" s="24" t="str">
        <f>IF(COUNTIF(R$1:R447,R448)=0,"최초","리오더")</f>
        <v>최초</v>
      </c>
      <c r="C448" s="24" t="str">
        <f t="shared" si="83"/>
        <v>DPSERF5006</v>
      </c>
      <c r="D448" s="24">
        <f t="shared" si="78"/>
        <v>1</v>
      </c>
      <c r="E448" s="24" t="str">
        <f t="shared" si="84"/>
        <v/>
      </c>
      <c r="F448" s="24">
        <f t="shared" si="79"/>
        <v>0</v>
      </c>
      <c r="G448" s="24" t="str">
        <f t="shared" si="85"/>
        <v>DPSERF5006BK</v>
      </c>
      <c r="H448" s="24">
        <f t="shared" si="80"/>
        <v>1</v>
      </c>
      <c r="I448" s="24" t="str">
        <f t="shared" si="86"/>
        <v/>
      </c>
      <c r="J448" s="24">
        <f t="shared" si="81"/>
        <v>0</v>
      </c>
      <c r="K448" s="24" t="str">
        <f t="shared" si="87"/>
        <v>F5</v>
      </c>
      <c r="L448" s="24" t="str">
        <f>VLOOKUP(N448,CODE!K:P,CODE!$P$1,FALSE)</f>
        <v>모자</v>
      </c>
      <c r="M448" s="24" t="str">
        <f>VLOOKUP(MID(R448,1,3),CODE!$B:$G,CODE!D$1,FALSE)</f>
        <v>DPS</v>
      </c>
      <c r="N448" s="24" t="str">
        <f t="shared" si="88"/>
        <v>ER</v>
      </c>
      <c r="O448" s="29" t="str">
        <f>IF(ISERROR(IF(VLOOKUP($N448,CODE!$K:$P,CODE!$O$1,FALSE)="",$M448,$M448&amp;"-"&amp;VLOOKUP($N448,CODE!$K:$P,CODE!$O$1,FALSE)))=TRUE,"",IF(VLOOKUP($N448,CODE!$K:$P,CODE!$O$1,FALSE)="",$M448,$M448&amp;"-"&amp;VLOOKUP($N448,CODE!$K:$P,CODE!$O$1,FALSE)))</f>
        <v>DPS</v>
      </c>
      <c r="P448" s="29" t="str">
        <f t="shared" si="89"/>
        <v>성인</v>
      </c>
      <c r="Q448" s="29" t="str">
        <f t="shared" si="90"/>
        <v>DPSERF5006</v>
      </c>
      <c r="R448" s="1" t="s">
        <v>1231</v>
      </c>
      <c r="S448" s="1" t="s">
        <v>14</v>
      </c>
      <c r="T448" s="26">
        <v>800</v>
      </c>
      <c r="U448" s="26">
        <v>44000000</v>
      </c>
      <c r="V448" s="26">
        <v>4606432</v>
      </c>
      <c r="W448" s="26">
        <v>8.6835103611645632</v>
      </c>
      <c r="X448" s="26">
        <v>798</v>
      </c>
      <c r="Y448" s="26">
        <v>0</v>
      </c>
    </row>
    <row r="449" spans="1:25">
      <c r="A449" s="24" t="str">
        <f t="shared" si="82"/>
        <v>신규</v>
      </c>
      <c r="B449" s="24" t="str">
        <f>IF(COUNTIF(R$1:R448,R449)=0,"최초","리오더")</f>
        <v>최초</v>
      </c>
      <c r="C449" s="24" t="str">
        <f t="shared" si="83"/>
        <v>DPSERF5007</v>
      </c>
      <c r="D449" s="24">
        <f t="shared" si="78"/>
        <v>1</v>
      </c>
      <c r="E449" s="24" t="str">
        <f t="shared" si="84"/>
        <v/>
      </c>
      <c r="F449" s="24">
        <f t="shared" si="79"/>
        <v>0</v>
      </c>
      <c r="G449" s="24" t="str">
        <f t="shared" si="85"/>
        <v>DPSERF5007BL</v>
      </c>
      <c r="H449" s="24">
        <f t="shared" si="80"/>
        <v>1</v>
      </c>
      <c r="I449" s="24" t="str">
        <f t="shared" si="86"/>
        <v/>
      </c>
      <c r="J449" s="24">
        <f t="shared" si="81"/>
        <v>0</v>
      </c>
      <c r="K449" s="24" t="str">
        <f t="shared" si="87"/>
        <v>F5</v>
      </c>
      <c r="L449" s="24" t="str">
        <f>VLOOKUP(N449,CODE!K:P,CODE!$P$1,FALSE)</f>
        <v>모자</v>
      </c>
      <c r="M449" s="24" t="str">
        <f>VLOOKUP(MID(R449,1,3),CODE!$B:$G,CODE!D$1,FALSE)</f>
        <v>DPS</v>
      </c>
      <c r="N449" s="24" t="str">
        <f t="shared" si="88"/>
        <v>ER</v>
      </c>
      <c r="O449" s="29" t="str">
        <f>IF(ISERROR(IF(VLOOKUP($N449,CODE!$K:$P,CODE!$O$1,FALSE)="",$M449,$M449&amp;"-"&amp;VLOOKUP($N449,CODE!$K:$P,CODE!$O$1,FALSE)))=TRUE,"",IF(VLOOKUP($N449,CODE!$K:$P,CODE!$O$1,FALSE)="",$M449,$M449&amp;"-"&amp;VLOOKUP($N449,CODE!$K:$P,CODE!$O$1,FALSE)))</f>
        <v>DPS</v>
      </c>
      <c r="P449" s="29" t="str">
        <f t="shared" si="89"/>
        <v>성인</v>
      </c>
      <c r="Q449" s="29" t="str">
        <f t="shared" si="90"/>
        <v>DPSERF5007</v>
      </c>
      <c r="R449" s="1" t="s">
        <v>1232</v>
      </c>
      <c r="S449" s="1" t="s">
        <v>14</v>
      </c>
      <c r="T449" s="26">
        <v>800</v>
      </c>
      <c r="U449" s="26">
        <v>44000000</v>
      </c>
      <c r="V449" s="26">
        <v>4907264.0000000009</v>
      </c>
      <c r="W449" s="26">
        <v>8.1511815952840507</v>
      </c>
      <c r="X449" s="26">
        <v>800</v>
      </c>
      <c r="Y449" s="26">
        <v>0</v>
      </c>
    </row>
    <row r="450" spans="1:25">
      <c r="A450" s="24" t="str">
        <f t="shared" si="82"/>
        <v>신규</v>
      </c>
      <c r="B450" s="24" t="str">
        <f>IF(COUNTIF(R$1:R449,R450)=0,"최초","리오더")</f>
        <v>최초</v>
      </c>
      <c r="C450" s="24" t="str">
        <f t="shared" si="83"/>
        <v>SBRBEF5041</v>
      </c>
      <c r="D450" s="24">
        <f t="shared" ref="D450:D513" si="91">IF(C450="",0,1/COUNTIF(C:C,C450))</f>
        <v>0.33333333333333331</v>
      </c>
      <c r="E450" s="24" t="str">
        <f t="shared" si="84"/>
        <v/>
      </c>
      <c r="F450" s="24">
        <f t="shared" ref="F450:F513" si="92">IF(E450="",0,1/COUNTIF(E:E,E450))</f>
        <v>0</v>
      </c>
      <c r="G450" s="24" t="str">
        <f t="shared" si="85"/>
        <v>SBRBEF5041GY</v>
      </c>
      <c r="H450" s="24">
        <f t="shared" ref="H450:H513" si="93">IF(G450="",0,1/COUNTIF(G:G,G450))</f>
        <v>1</v>
      </c>
      <c r="I450" s="24" t="str">
        <f t="shared" si="86"/>
        <v/>
      </c>
      <c r="J450" s="24">
        <f t="shared" ref="J450:J513" si="94">IF(I450="",0,1/COUNTIF(I:I,I450))</f>
        <v>0</v>
      </c>
      <c r="K450" s="24" t="str">
        <f t="shared" si="87"/>
        <v>F5</v>
      </c>
      <c r="L450" s="24" t="str">
        <f>VLOOKUP(N450,CODE!K:P,CODE!$P$1,FALSE)</f>
        <v>모자</v>
      </c>
      <c r="M450" s="24" t="str">
        <f>VLOOKUP(MID(R450,1,3),CODE!$B:$G,CODE!D$1,FALSE)</f>
        <v>SBR</v>
      </c>
      <c r="N450" s="24" t="str">
        <f t="shared" si="88"/>
        <v>BE</v>
      </c>
      <c r="O450" s="29" t="str">
        <f>IF(ISERROR(IF(VLOOKUP($N450,CODE!$K:$P,CODE!$O$1,FALSE)="",$M450,$M450&amp;"-"&amp;VLOOKUP($N450,CODE!$K:$P,CODE!$O$1,FALSE)))=TRUE,"",IF(VLOOKUP($N450,CODE!$K:$P,CODE!$O$1,FALSE)="",$M450,$M450&amp;"-"&amp;VLOOKUP($N450,CODE!$K:$P,CODE!$O$1,FALSE)))</f>
        <v>SBR</v>
      </c>
      <c r="P450" s="29" t="str">
        <f t="shared" si="89"/>
        <v>성인</v>
      </c>
      <c r="Q450" s="29" t="str">
        <f t="shared" si="90"/>
        <v>SBRBEF5041</v>
      </c>
      <c r="R450" s="1" t="s">
        <v>1233</v>
      </c>
      <c r="S450" s="1" t="s">
        <v>14</v>
      </c>
      <c r="T450" s="26">
        <v>1000</v>
      </c>
      <c r="U450" s="26">
        <v>39000000</v>
      </c>
      <c r="V450" s="26">
        <v>6049890</v>
      </c>
      <c r="W450" s="26">
        <v>5.8603619990686528</v>
      </c>
      <c r="X450" s="26">
        <v>1000</v>
      </c>
      <c r="Y450" s="26">
        <v>0</v>
      </c>
    </row>
    <row r="451" spans="1:25">
      <c r="A451" s="24" t="str">
        <f t="shared" ref="A451:A514" si="95">IF(OR(MID(R451,8,1)="0",MID(R451,8,1)="5"),"신규","러닝")</f>
        <v>신규</v>
      </c>
      <c r="B451" s="24" t="str">
        <f>IF(COUNTIF(R$1:R450,R451)=0,"최초","리오더")</f>
        <v>최초</v>
      </c>
      <c r="C451" s="24" t="str">
        <f t="shared" ref="C451:C514" si="96">IF($B451="리오더","",Q451)</f>
        <v>SBRBEF5041</v>
      </c>
      <c r="D451" s="24">
        <f t="shared" si="91"/>
        <v>0.33333333333333331</v>
      </c>
      <c r="E451" s="24" t="str">
        <f t="shared" ref="E451:E514" si="97">IF($B451="리오더",Q451,"")</f>
        <v/>
      </c>
      <c r="F451" s="24">
        <f t="shared" si="92"/>
        <v>0</v>
      </c>
      <c r="G451" s="24" t="str">
        <f t="shared" ref="G451:G514" si="98">IF($B451="리오더","",R451)</f>
        <v>SBRBEF5041IV</v>
      </c>
      <c r="H451" s="24">
        <f t="shared" si="93"/>
        <v>1</v>
      </c>
      <c r="I451" s="24" t="str">
        <f t="shared" ref="I451:I514" si="99">IF($B451="리오더",R451,"")</f>
        <v/>
      </c>
      <c r="J451" s="24">
        <f t="shared" si="94"/>
        <v>0</v>
      </c>
      <c r="K451" s="24" t="str">
        <f t="shared" ref="K451:K514" si="100">MID(R451,6,2)</f>
        <v>F5</v>
      </c>
      <c r="L451" s="24" t="str">
        <f>VLOOKUP(N451,CODE!K:P,CODE!$P$1,FALSE)</f>
        <v>모자</v>
      </c>
      <c r="M451" s="24" t="str">
        <f>VLOOKUP(MID(R451,1,3),CODE!$B:$G,CODE!D$1,FALSE)</f>
        <v>SBR</v>
      </c>
      <c r="N451" s="24" t="str">
        <f t="shared" ref="N451:N514" si="101">MID(R451,4,2)</f>
        <v>BE</v>
      </c>
      <c r="O451" s="29" t="str">
        <f>IF(ISERROR(IF(VLOOKUP($N451,CODE!$K:$P,CODE!$O$1,FALSE)="",$M451,$M451&amp;"-"&amp;VLOOKUP($N451,CODE!$K:$P,CODE!$O$1,FALSE)))=TRUE,"",IF(VLOOKUP($N451,CODE!$K:$P,CODE!$O$1,FALSE)="",$M451,$M451&amp;"-"&amp;VLOOKUP($N451,CODE!$K:$P,CODE!$O$1,FALSE)))</f>
        <v>SBR</v>
      </c>
      <c r="P451" s="29" t="str">
        <f t="shared" ref="P451:P514" si="102">IF(OR(MID(R451,8,1)="0",MID(R451,8,1)="1",MID(R451,8,1)="2",MID(R451,8,1)="3",MID(R451,8,1)="4"),"성인","키즈")</f>
        <v>성인</v>
      </c>
      <c r="Q451" s="29" t="str">
        <f t="shared" ref="Q451:Q514" si="103">MID(R451,1,10)</f>
        <v>SBRBEF5041</v>
      </c>
      <c r="R451" s="1" t="s">
        <v>1234</v>
      </c>
      <c r="S451" s="1" t="s">
        <v>14</v>
      </c>
      <c r="T451" s="26">
        <v>800</v>
      </c>
      <c r="U451" s="26">
        <v>31200000</v>
      </c>
      <c r="V451" s="26">
        <v>4839912</v>
      </c>
      <c r="W451" s="26">
        <v>5.8603619990686528</v>
      </c>
      <c r="X451" s="26">
        <v>800</v>
      </c>
      <c r="Y451" s="26">
        <v>0</v>
      </c>
    </row>
    <row r="452" spans="1:25">
      <c r="A452" s="24" t="str">
        <f t="shared" si="95"/>
        <v>신규</v>
      </c>
      <c r="B452" s="24" t="str">
        <f>IF(COUNTIF(R$1:R451,R452)=0,"최초","리오더")</f>
        <v>최초</v>
      </c>
      <c r="C452" s="24" t="str">
        <f t="shared" si="96"/>
        <v>SBRBEF5041</v>
      </c>
      <c r="D452" s="24">
        <f t="shared" si="91"/>
        <v>0.33333333333333331</v>
      </c>
      <c r="E452" s="24" t="str">
        <f t="shared" si="97"/>
        <v/>
      </c>
      <c r="F452" s="24">
        <f t="shared" si="92"/>
        <v>0</v>
      </c>
      <c r="G452" s="24" t="str">
        <f t="shared" si="98"/>
        <v>SBRBEF5041BG</v>
      </c>
      <c r="H452" s="24">
        <f t="shared" si="93"/>
        <v>1</v>
      </c>
      <c r="I452" s="24" t="str">
        <f t="shared" si="99"/>
        <v/>
      </c>
      <c r="J452" s="24">
        <f t="shared" si="94"/>
        <v>0</v>
      </c>
      <c r="K452" s="24" t="str">
        <f t="shared" si="100"/>
        <v>F5</v>
      </c>
      <c r="L452" s="24" t="str">
        <f>VLOOKUP(N452,CODE!K:P,CODE!$P$1,FALSE)</f>
        <v>모자</v>
      </c>
      <c r="M452" s="24" t="str">
        <f>VLOOKUP(MID(R452,1,3),CODE!$B:$G,CODE!D$1,FALSE)</f>
        <v>SBR</v>
      </c>
      <c r="N452" s="24" t="str">
        <f t="shared" si="101"/>
        <v>BE</v>
      </c>
      <c r="O452" s="29" t="str">
        <f>IF(ISERROR(IF(VLOOKUP($N452,CODE!$K:$P,CODE!$O$1,FALSE)="",$M452,$M452&amp;"-"&amp;VLOOKUP($N452,CODE!$K:$P,CODE!$O$1,FALSE)))=TRUE,"",IF(VLOOKUP($N452,CODE!$K:$P,CODE!$O$1,FALSE)="",$M452,$M452&amp;"-"&amp;VLOOKUP($N452,CODE!$K:$P,CODE!$O$1,FALSE)))</f>
        <v>SBR</v>
      </c>
      <c r="P452" s="29" t="str">
        <f t="shared" si="102"/>
        <v>성인</v>
      </c>
      <c r="Q452" s="29" t="str">
        <f t="shared" si="103"/>
        <v>SBRBEF5041</v>
      </c>
      <c r="R452" s="1" t="s">
        <v>1235</v>
      </c>
      <c r="S452" s="1" t="s">
        <v>14</v>
      </c>
      <c r="T452" s="26">
        <v>800</v>
      </c>
      <c r="U452" s="26">
        <v>31200000</v>
      </c>
      <c r="V452" s="26">
        <v>4839912</v>
      </c>
      <c r="W452" s="26">
        <v>5.8603619990686528</v>
      </c>
      <c r="X452" s="26">
        <v>799</v>
      </c>
      <c r="Y452" s="26">
        <v>0</v>
      </c>
    </row>
    <row r="453" spans="1:25">
      <c r="A453" s="24" t="str">
        <f t="shared" si="95"/>
        <v>신규</v>
      </c>
      <c r="B453" s="24" t="str">
        <f>IF(COUNTIF(R$1:R452,R453)=0,"최초","리오더")</f>
        <v>최초</v>
      </c>
      <c r="C453" s="24" t="str">
        <f t="shared" si="96"/>
        <v>SBRBEF5042</v>
      </c>
      <c r="D453" s="24">
        <f t="shared" si="91"/>
        <v>1</v>
      </c>
      <c r="E453" s="24" t="str">
        <f t="shared" si="97"/>
        <v/>
      </c>
      <c r="F453" s="24">
        <f t="shared" si="92"/>
        <v>0</v>
      </c>
      <c r="G453" s="24" t="str">
        <f t="shared" si="98"/>
        <v>SBRBEF5042BK</v>
      </c>
      <c r="H453" s="24">
        <f t="shared" si="93"/>
        <v>1</v>
      </c>
      <c r="I453" s="24" t="str">
        <f t="shared" si="99"/>
        <v/>
      </c>
      <c r="J453" s="24">
        <f t="shared" si="94"/>
        <v>0</v>
      </c>
      <c r="K453" s="24" t="str">
        <f t="shared" si="100"/>
        <v>F5</v>
      </c>
      <c r="L453" s="24" t="str">
        <f>VLOOKUP(N453,CODE!K:P,CODE!$P$1,FALSE)</f>
        <v>모자</v>
      </c>
      <c r="M453" s="24" t="str">
        <f>VLOOKUP(MID(R453,1,3),CODE!$B:$G,CODE!D$1,FALSE)</f>
        <v>SBR</v>
      </c>
      <c r="N453" s="24" t="str">
        <f t="shared" si="101"/>
        <v>BE</v>
      </c>
      <c r="O453" s="29" t="str">
        <f>IF(ISERROR(IF(VLOOKUP($N453,CODE!$K:$P,CODE!$O$1,FALSE)="",$M453,$M453&amp;"-"&amp;VLOOKUP($N453,CODE!$K:$P,CODE!$O$1,FALSE)))=TRUE,"",IF(VLOOKUP($N453,CODE!$K:$P,CODE!$O$1,FALSE)="",$M453,$M453&amp;"-"&amp;VLOOKUP($N453,CODE!$K:$P,CODE!$O$1,FALSE)))</f>
        <v>SBR</v>
      </c>
      <c r="P453" s="29" t="str">
        <f t="shared" si="102"/>
        <v>성인</v>
      </c>
      <c r="Q453" s="29" t="str">
        <f t="shared" si="103"/>
        <v>SBRBEF5042</v>
      </c>
      <c r="R453" s="1" t="s">
        <v>1236</v>
      </c>
      <c r="S453" s="1" t="s">
        <v>14</v>
      </c>
      <c r="T453" s="26">
        <v>800</v>
      </c>
      <c r="U453" s="26">
        <v>31200000</v>
      </c>
      <c r="V453" s="26">
        <v>4660952</v>
      </c>
      <c r="W453" s="26">
        <v>6.0853740531196978</v>
      </c>
      <c r="X453" s="26">
        <v>800</v>
      </c>
      <c r="Y453" s="26">
        <v>0</v>
      </c>
    </row>
    <row r="454" spans="1:25">
      <c r="A454" s="24" t="str">
        <f t="shared" si="95"/>
        <v>신규</v>
      </c>
      <c r="B454" s="24" t="str">
        <f>IF(COUNTIF(R$1:R453,R454)=0,"최초","리오더")</f>
        <v>최초</v>
      </c>
      <c r="C454" s="24" t="str">
        <f t="shared" si="96"/>
        <v>SBRBEF5043</v>
      </c>
      <c r="D454" s="24">
        <f t="shared" si="91"/>
        <v>0.33333333333333331</v>
      </c>
      <c r="E454" s="24" t="str">
        <f t="shared" si="97"/>
        <v/>
      </c>
      <c r="F454" s="24">
        <f t="shared" si="92"/>
        <v>0</v>
      </c>
      <c r="G454" s="24" t="str">
        <f t="shared" si="98"/>
        <v>SBRBEF5043NY</v>
      </c>
      <c r="H454" s="24">
        <f t="shared" si="93"/>
        <v>1</v>
      </c>
      <c r="I454" s="24" t="str">
        <f t="shared" si="99"/>
        <v/>
      </c>
      <c r="J454" s="24">
        <f t="shared" si="94"/>
        <v>0</v>
      </c>
      <c r="K454" s="24" t="str">
        <f t="shared" si="100"/>
        <v>F5</v>
      </c>
      <c r="L454" s="24" t="str">
        <f>VLOOKUP(N454,CODE!K:P,CODE!$P$1,FALSE)</f>
        <v>모자</v>
      </c>
      <c r="M454" s="24" t="str">
        <f>VLOOKUP(MID(R454,1,3),CODE!$B:$G,CODE!D$1,FALSE)</f>
        <v>SBR</v>
      </c>
      <c r="N454" s="24" t="str">
        <f t="shared" si="101"/>
        <v>BE</v>
      </c>
      <c r="O454" s="29" t="str">
        <f>IF(ISERROR(IF(VLOOKUP($N454,CODE!$K:$P,CODE!$O$1,FALSE)="",$M454,$M454&amp;"-"&amp;VLOOKUP($N454,CODE!$K:$P,CODE!$O$1,FALSE)))=TRUE,"",IF(VLOOKUP($N454,CODE!$K:$P,CODE!$O$1,FALSE)="",$M454,$M454&amp;"-"&amp;VLOOKUP($N454,CODE!$K:$P,CODE!$O$1,FALSE)))</f>
        <v>SBR</v>
      </c>
      <c r="P454" s="29" t="str">
        <f t="shared" si="102"/>
        <v>성인</v>
      </c>
      <c r="Q454" s="29" t="str">
        <f t="shared" si="103"/>
        <v>SBRBEF5043</v>
      </c>
      <c r="R454" s="1" t="s">
        <v>1237</v>
      </c>
      <c r="S454" s="1" t="s">
        <v>14</v>
      </c>
      <c r="T454" s="26">
        <v>800</v>
      </c>
      <c r="U454" s="26">
        <v>31200000</v>
      </c>
      <c r="V454" s="26">
        <v>4281576.0000000009</v>
      </c>
      <c r="W454" s="26">
        <v>6.6245785111922233</v>
      </c>
      <c r="X454" s="26">
        <v>800</v>
      </c>
      <c r="Y454" s="26">
        <v>0</v>
      </c>
    </row>
    <row r="455" spans="1:25">
      <c r="A455" s="24" t="str">
        <f t="shared" si="95"/>
        <v>신규</v>
      </c>
      <c r="B455" s="24" t="str">
        <f>IF(COUNTIF(R$1:R454,R455)=0,"최초","리오더")</f>
        <v>최초</v>
      </c>
      <c r="C455" s="24" t="str">
        <f t="shared" si="96"/>
        <v>SBRBEF5043</v>
      </c>
      <c r="D455" s="24">
        <f t="shared" si="91"/>
        <v>0.33333333333333331</v>
      </c>
      <c r="E455" s="24" t="str">
        <f t="shared" si="97"/>
        <v/>
      </c>
      <c r="F455" s="24">
        <f t="shared" si="92"/>
        <v>0</v>
      </c>
      <c r="G455" s="24" t="str">
        <f t="shared" si="98"/>
        <v>SBRBEF5043PP</v>
      </c>
      <c r="H455" s="24">
        <f t="shared" si="93"/>
        <v>1</v>
      </c>
      <c r="I455" s="24" t="str">
        <f t="shared" si="99"/>
        <v/>
      </c>
      <c r="J455" s="24">
        <f t="shared" si="94"/>
        <v>0</v>
      </c>
      <c r="K455" s="24" t="str">
        <f t="shared" si="100"/>
        <v>F5</v>
      </c>
      <c r="L455" s="24" t="str">
        <f>VLOOKUP(N455,CODE!K:P,CODE!$P$1,FALSE)</f>
        <v>모자</v>
      </c>
      <c r="M455" s="24" t="str">
        <f>VLOOKUP(MID(R455,1,3),CODE!$B:$G,CODE!D$1,FALSE)</f>
        <v>SBR</v>
      </c>
      <c r="N455" s="24" t="str">
        <f t="shared" si="101"/>
        <v>BE</v>
      </c>
      <c r="O455" s="29" t="str">
        <f>IF(ISERROR(IF(VLOOKUP($N455,CODE!$K:$P,CODE!$O$1,FALSE)="",$M455,$M455&amp;"-"&amp;VLOOKUP($N455,CODE!$K:$P,CODE!$O$1,FALSE)))=TRUE,"",IF(VLOOKUP($N455,CODE!$K:$P,CODE!$O$1,FALSE)="",$M455,$M455&amp;"-"&amp;VLOOKUP($N455,CODE!$K:$P,CODE!$O$1,FALSE)))</f>
        <v>SBR</v>
      </c>
      <c r="P455" s="29" t="str">
        <f t="shared" si="102"/>
        <v>성인</v>
      </c>
      <c r="Q455" s="29" t="str">
        <f t="shared" si="103"/>
        <v>SBRBEF5043</v>
      </c>
      <c r="R455" s="1" t="s">
        <v>1238</v>
      </c>
      <c r="S455" s="1" t="s">
        <v>14</v>
      </c>
      <c r="T455" s="26">
        <v>800</v>
      </c>
      <c r="U455" s="26">
        <v>31200000</v>
      </c>
      <c r="V455" s="26">
        <v>4281576.0000000009</v>
      </c>
      <c r="W455" s="26">
        <v>6.6245785111922233</v>
      </c>
      <c r="X455" s="26">
        <v>799</v>
      </c>
      <c r="Y455" s="26">
        <v>0</v>
      </c>
    </row>
    <row r="456" spans="1:25">
      <c r="A456" s="24" t="str">
        <f t="shared" si="95"/>
        <v>신규</v>
      </c>
      <c r="B456" s="24" t="str">
        <f>IF(COUNTIF(R$1:R455,R456)=0,"최초","리오더")</f>
        <v>최초</v>
      </c>
      <c r="C456" s="24" t="str">
        <f t="shared" si="96"/>
        <v>SBRBEF5043</v>
      </c>
      <c r="D456" s="24">
        <f t="shared" si="91"/>
        <v>0.33333333333333331</v>
      </c>
      <c r="E456" s="24" t="str">
        <f t="shared" si="97"/>
        <v/>
      </c>
      <c r="F456" s="24">
        <f t="shared" si="92"/>
        <v>0</v>
      </c>
      <c r="G456" s="24" t="str">
        <f t="shared" si="98"/>
        <v>SBRBEF5043RE</v>
      </c>
      <c r="H456" s="24">
        <f t="shared" si="93"/>
        <v>1</v>
      </c>
      <c r="I456" s="24" t="str">
        <f t="shared" si="99"/>
        <v/>
      </c>
      <c r="J456" s="24">
        <f t="shared" si="94"/>
        <v>0</v>
      </c>
      <c r="K456" s="24" t="str">
        <f t="shared" si="100"/>
        <v>F5</v>
      </c>
      <c r="L456" s="24" t="str">
        <f>VLOOKUP(N456,CODE!K:P,CODE!$P$1,FALSE)</f>
        <v>모자</v>
      </c>
      <c r="M456" s="24" t="str">
        <f>VLOOKUP(MID(R456,1,3),CODE!$B:$G,CODE!D$1,FALSE)</f>
        <v>SBR</v>
      </c>
      <c r="N456" s="24" t="str">
        <f t="shared" si="101"/>
        <v>BE</v>
      </c>
      <c r="O456" s="29" t="str">
        <f>IF(ISERROR(IF(VLOOKUP($N456,CODE!$K:$P,CODE!$O$1,FALSE)="",$M456,$M456&amp;"-"&amp;VLOOKUP($N456,CODE!$K:$P,CODE!$O$1,FALSE)))=TRUE,"",IF(VLOOKUP($N456,CODE!$K:$P,CODE!$O$1,FALSE)="",$M456,$M456&amp;"-"&amp;VLOOKUP($N456,CODE!$K:$P,CODE!$O$1,FALSE)))</f>
        <v>SBR</v>
      </c>
      <c r="P456" s="29" t="str">
        <f t="shared" si="102"/>
        <v>성인</v>
      </c>
      <c r="Q456" s="29" t="str">
        <f t="shared" si="103"/>
        <v>SBRBEF5043</v>
      </c>
      <c r="R456" s="1" t="s">
        <v>1239</v>
      </c>
      <c r="S456" s="1" t="s">
        <v>14</v>
      </c>
      <c r="T456" s="26">
        <v>800</v>
      </c>
      <c r="U456" s="26">
        <v>31200000</v>
      </c>
      <c r="V456" s="26">
        <v>4281576.0000000009</v>
      </c>
      <c r="W456" s="26">
        <v>6.6245785111922233</v>
      </c>
      <c r="X456" s="26">
        <v>798</v>
      </c>
      <c r="Y456" s="26">
        <v>0</v>
      </c>
    </row>
    <row r="457" spans="1:25">
      <c r="A457" s="24" t="str">
        <f t="shared" si="95"/>
        <v>신규</v>
      </c>
      <c r="B457" s="24" t="str">
        <f>IF(COUNTIF(R$1:R456,R457)=0,"최초","리오더")</f>
        <v>최초</v>
      </c>
      <c r="C457" s="24" t="str">
        <f t="shared" si="96"/>
        <v>SBRBEF5044</v>
      </c>
      <c r="D457" s="24">
        <f t="shared" si="91"/>
        <v>0.5</v>
      </c>
      <c r="E457" s="24" t="str">
        <f t="shared" si="97"/>
        <v/>
      </c>
      <c r="F457" s="24">
        <f t="shared" si="92"/>
        <v>0</v>
      </c>
      <c r="G457" s="24" t="str">
        <f t="shared" si="98"/>
        <v>SBRBEF5044IV</v>
      </c>
      <c r="H457" s="24">
        <f t="shared" si="93"/>
        <v>1</v>
      </c>
      <c r="I457" s="24" t="str">
        <f t="shared" si="99"/>
        <v/>
      </c>
      <c r="J457" s="24">
        <f t="shared" si="94"/>
        <v>0</v>
      </c>
      <c r="K457" s="24" t="str">
        <f t="shared" si="100"/>
        <v>F5</v>
      </c>
      <c r="L457" s="24" t="str">
        <f>VLOOKUP(N457,CODE!K:P,CODE!$P$1,FALSE)</f>
        <v>모자</v>
      </c>
      <c r="M457" s="24" t="str">
        <f>VLOOKUP(MID(R457,1,3),CODE!$B:$G,CODE!D$1,FALSE)</f>
        <v>SBR</v>
      </c>
      <c r="N457" s="24" t="str">
        <f t="shared" si="101"/>
        <v>BE</v>
      </c>
      <c r="O457" s="29" t="str">
        <f>IF(ISERROR(IF(VLOOKUP($N457,CODE!$K:$P,CODE!$O$1,FALSE)="",$M457,$M457&amp;"-"&amp;VLOOKUP($N457,CODE!$K:$P,CODE!$O$1,FALSE)))=TRUE,"",IF(VLOOKUP($N457,CODE!$K:$P,CODE!$O$1,FALSE)="",$M457,$M457&amp;"-"&amp;VLOOKUP($N457,CODE!$K:$P,CODE!$O$1,FALSE)))</f>
        <v>SBR</v>
      </c>
      <c r="P457" s="29" t="str">
        <f t="shared" si="102"/>
        <v>성인</v>
      </c>
      <c r="Q457" s="29" t="str">
        <f t="shared" si="103"/>
        <v>SBRBEF5044</v>
      </c>
      <c r="R457" s="1" t="s">
        <v>1240</v>
      </c>
      <c r="S457" s="1" t="s">
        <v>14</v>
      </c>
      <c r="T457" s="26">
        <v>600</v>
      </c>
      <c r="U457" s="26">
        <v>29400000</v>
      </c>
      <c r="V457" s="26">
        <v>4453218</v>
      </c>
      <c r="W457" s="26">
        <v>6.001788532982828</v>
      </c>
      <c r="X457" s="26">
        <v>600</v>
      </c>
      <c r="Y457" s="26">
        <v>0</v>
      </c>
    </row>
    <row r="458" spans="1:25">
      <c r="A458" s="24" t="str">
        <f t="shared" si="95"/>
        <v>신규</v>
      </c>
      <c r="B458" s="24" t="str">
        <f>IF(COUNTIF(R$1:R457,R458)=0,"최초","리오더")</f>
        <v>최초</v>
      </c>
      <c r="C458" s="24" t="str">
        <f t="shared" si="96"/>
        <v>SBRBEF5044</v>
      </c>
      <c r="D458" s="24">
        <f t="shared" si="91"/>
        <v>0.5</v>
      </c>
      <c r="E458" s="24" t="str">
        <f t="shared" si="97"/>
        <v/>
      </c>
      <c r="F458" s="24">
        <f t="shared" si="92"/>
        <v>0</v>
      </c>
      <c r="G458" s="24" t="str">
        <f t="shared" si="98"/>
        <v>SBRBEF5044KH</v>
      </c>
      <c r="H458" s="24">
        <f t="shared" si="93"/>
        <v>1</v>
      </c>
      <c r="I458" s="24" t="str">
        <f t="shared" si="99"/>
        <v/>
      </c>
      <c r="J458" s="24">
        <f t="shared" si="94"/>
        <v>0</v>
      </c>
      <c r="K458" s="24" t="str">
        <f t="shared" si="100"/>
        <v>F5</v>
      </c>
      <c r="L458" s="24" t="str">
        <f>VLOOKUP(N458,CODE!K:P,CODE!$P$1,FALSE)</f>
        <v>모자</v>
      </c>
      <c r="M458" s="24" t="str">
        <f>VLOOKUP(MID(R458,1,3),CODE!$B:$G,CODE!D$1,FALSE)</f>
        <v>SBR</v>
      </c>
      <c r="N458" s="24" t="str">
        <f t="shared" si="101"/>
        <v>BE</v>
      </c>
      <c r="O458" s="29" t="str">
        <f>IF(ISERROR(IF(VLOOKUP($N458,CODE!$K:$P,CODE!$O$1,FALSE)="",$M458,$M458&amp;"-"&amp;VLOOKUP($N458,CODE!$K:$P,CODE!$O$1,FALSE)))=TRUE,"",IF(VLOOKUP($N458,CODE!$K:$P,CODE!$O$1,FALSE)="",$M458,$M458&amp;"-"&amp;VLOOKUP($N458,CODE!$K:$P,CODE!$O$1,FALSE)))</f>
        <v>SBR</v>
      </c>
      <c r="P458" s="29" t="str">
        <f t="shared" si="102"/>
        <v>성인</v>
      </c>
      <c r="Q458" s="29" t="str">
        <f t="shared" si="103"/>
        <v>SBRBEF5044</v>
      </c>
      <c r="R458" s="1" t="s">
        <v>1241</v>
      </c>
      <c r="S458" s="1" t="s">
        <v>14</v>
      </c>
      <c r="T458" s="26">
        <v>600</v>
      </c>
      <c r="U458" s="26">
        <v>29400000</v>
      </c>
      <c r="V458" s="26">
        <v>4453218</v>
      </c>
      <c r="W458" s="26">
        <v>6.001788532982828</v>
      </c>
      <c r="X458" s="26">
        <v>600</v>
      </c>
      <c r="Y458" s="26">
        <v>0</v>
      </c>
    </row>
    <row r="459" spans="1:25">
      <c r="A459" s="24" t="str">
        <f t="shared" si="95"/>
        <v>신규</v>
      </c>
      <c r="B459" s="24" t="str">
        <f>IF(COUNTIF(R$1:R458,R459)=0,"최초","리오더")</f>
        <v>최초</v>
      </c>
      <c r="C459" s="24" t="str">
        <f t="shared" si="96"/>
        <v>SBREBF5046</v>
      </c>
      <c r="D459" s="24">
        <f t="shared" si="91"/>
        <v>1</v>
      </c>
      <c r="E459" s="24" t="str">
        <f t="shared" si="97"/>
        <v/>
      </c>
      <c r="F459" s="24">
        <f t="shared" si="92"/>
        <v>0</v>
      </c>
      <c r="G459" s="24" t="str">
        <f t="shared" si="98"/>
        <v>SBREBF5046GY</v>
      </c>
      <c r="H459" s="24">
        <f t="shared" si="93"/>
        <v>1</v>
      </c>
      <c r="I459" s="24" t="str">
        <f t="shared" si="99"/>
        <v/>
      </c>
      <c r="J459" s="24">
        <f t="shared" si="94"/>
        <v>0</v>
      </c>
      <c r="K459" s="24" t="str">
        <f t="shared" si="100"/>
        <v>F5</v>
      </c>
      <c r="L459" s="24" t="str">
        <f>VLOOKUP(N459,CODE!K:P,CODE!$P$1,FALSE)</f>
        <v>모자</v>
      </c>
      <c r="M459" s="24" t="str">
        <f>VLOOKUP(MID(R459,1,3),CODE!$B:$G,CODE!D$1,FALSE)</f>
        <v>SBR</v>
      </c>
      <c r="N459" s="24" t="str">
        <f t="shared" si="101"/>
        <v>EB</v>
      </c>
      <c r="O459" s="29" t="str">
        <f>IF(ISERROR(IF(VLOOKUP($N459,CODE!$K:$P,CODE!$O$1,FALSE)="",$M459,$M459&amp;"-"&amp;VLOOKUP($N459,CODE!$K:$P,CODE!$O$1,FALSE)))=TRUE,"",IF(VLOOKUP($N459,CODE!$K:$P,CODE!$O$1,FALSE)="",$M459,$M459&amp;"-"&amp;VLOOKUP($N459,CODE!$K:$P,CODE!$O$1,FALSE)))</f>
        <v>SBR</v>
      </c>
      <c r="P459" s="29" t="str">
        <f t="shared" si="102"/>
        <v>성인</v>
      </c>
      <c r="Q459" s="29" t="str">
        <f t="shared" si="103"/>
        <v>SBREBF5046</v>
      </c>
      <c r="R459" s="1" t="s">
        <v>1245</v>
      </c>
      <c r="S459" s="1" t="s">
        <v>14</v>
      </c>
      <c r="T459" s="26">
        <v>800</v>
      </c>
      <c r="U459" s="26">
        <v>39200000</v>
      </c>
      <c r="V459" s="26">
        <v>6536376</v>
      </c>
      <c r="W459" s="26">
        <v>5.4520063772897451</v>
      </c>
      <c r="X459" s="26">
        <v>799</v>
      </c>
      <c r="Y459" s="26">
        <v>0</v>
      </c>
    </row>
    <row r="460" spans="1:25">
      <c r="A460" s="24" t="str">
        <f t="shared" si="95"/>
        <v>신규</v>
      </c>
      <c r="B460" s="24" t="str">
        <f>IF(COUNTIF(R$1:R459,R460)=0,"최초","리오더")</f>
        <v>최초</v>
      </c>
      <c r="C460" s="24" t="str">
        <f t="shared" si="96"/>
        <v>SBREBF5047</v>
      </c>
      <c r="D460" s="24">
        <f t="shared" si="91"/>
        <v>0.5</v>
      </c>
      <c r="E460" s="24" t="str">
        <f t="shared" si="97"/>
        <v/>
      </c>
      <c r="F460" s="24">
        <f t="shared" si="92"/>
        <v>0</v>
      </c>
      <c r="G460" s="24" t="str">
        <f t="shared" si="98"/>
        <v>SBREBF5047BG</v>
      </c>
      <c r="H460" s="24">
        <f t="shared" si="93"/>
        <v>1</v>
      </c>
      <c r="I460" s="24" t="str">
        <f t="shared" si="99"/>
        <v/>
      </c>
      <c r="J460" s="24">
        <f t="shared" si="94"/>
        <v>0</v>
      </c>
      <c r="K460" s="24" t="str">
        <f t="shared" si="100"/>
        <v>F5</v>
      </c>
      <c r="L460" s="24" t="str">
        <f>VLOOKUP(N460,CODE!K:P,CODE!$P$1,FALSE)</f>
        <v>모자</v>
      </c>
      <c r="M460" s="24" t="str">
        <f>VLOOKUP(MID(R460,1,3),CODE!$B:$G,CODE!D$1,FALSE)</f>
        <v>SBR</v>
      </c>
      <c r="N460" s="24" t="str">
        <f t="shared" si="101"/>
        <v>EB</v>
      </c>
      <c r="O460" s="29" t="str">
        <f>IF(ISERROR(IF(VLOOKUP($N460,CODE!$K:$P,CODE!$O$1,FALSE)="",$M460,$M460&amp;"-"&amp;VLOOKUP($N460,CODE!$K:$P,CODE!$O$1,FALSE)))=TRUE,"",IF(VLOOKUP($N460,CODE!$K:$P,CODE!$O$1,FALSE)="",$M460,$M460&amp;"-"&amp;VLOOKUP($N460,CODE!$K:$P,CODE!$O$1,FALSE)))</f>
        <v>SBR</v>
      </c>
      <c r="P460" s="29" t="str">
        <f t="shared" si="102"/>
        <v>성인</v>
      </c>
      <c r="Q460" s="29" t="str">
        <f t="shared" si="103"/>
        <v>SBREBF5047</v>
      </c>
      <c r="R460" s="1" t="s">
        <v>1246</v>
      </c>
      <c r="S460" s="1" t="s">
        <v>14</v>
      </c>
      <c r="T460" s="26">
        <v>600</v>
      </c>
      <c r="U460" s="26">
        <v>29400000</v>
      </c>
      <c r="V460" s="26">
        <v>4782906.0000000009</v>
      </c>
      <c r="W460" s="26">
        <v>5.5880823765452883</v>
      </c>
      <c r="X460" s="26">
        <v>600</v>
      </c>
      <c r="Y460" s="26">
        <v>0</v>
      </c>
    </row>
    <row r="461" spans="1:25">
      <c r="A461" s="24" t="str">
        <f t="shared" si="95"/>
        <v>신규</v>
      </c>
      <c r="B461" s="24" t="str">
        <f>IF(COUNTIF(R$1:R460,R461)=0,"최초","리오더")</f>
        <v>최초</v>
      </c>
      <c r="C461" s="24" t="str">
        <f t="shared" si="96"/>
        <v>SBREBF5047</v>
      </c>
      <c r="D461" s="24">
        <f t="shared" si="91"/>
        <v>0.5</v>
      </c>
      <c r="E461" s="24" t="str">
        <f t="shared" si="97"/>
        <v/>
      </c>
      <c r="F461" s="24">
        <f t="shared" si="92"/>
        <v>0</v>
      </c>
      <c r="G461" s="24" t="str">
        <f t="shared" si="98"/>
        <v>SBREBF5047GY</v>
      </c>
      <c r="H461" s="24">
        <f t="shared" si="93"/>
        <v>1</v>
      </c>
      <c r="I461" s="24" t="str">
        <f t="shared" si="99"/>
        <v/>
      </c>
      <c r="J461" s="24">
        <f t="shared" si="94"/>
        <v>0</v>
      </c>
      <c r="K461" s="24" t="str">
        <f t="shared" si="100"/>
        <v>F5</v>
      </c>
      <c r="L461" s="24" t="str">
        <f>VLOOKUP(N461,CODE!K:P,CODE!$P$1,FALSE)</f>
        <v>모자</v>
      </c>
      <c r="M461" s="24" t="str">
        <f>VLOOKUP(MID(R461,1,3),CODE!$B:$G,CODE!D$1,FALSE)</f>
        <v>SBR</v>
      </c>
      <c r="N461" s="24" t="str">
        <f t="shared" si="101"/>
        <v>EB</v>
      </c>
      <c r="O461" s="29" t="str">
        <f>IF(ISERROR(IF(VLOOKUP($N461,CODE!$K:$P,CODE!$O$1,FALSE)="",$M461,$M461&amp;"-"&amp;VLOOKUP($N461,CODE!$K:$P,CODE!$O$1,FALSE)))=TRUE,"",IF(VLOOKUP($N461,CODE!$K:$P,CODE!$O$1,FALSE)="",$M461,$M461&amp;"-"&amp;VLOOKUP($N461,CODE!$K:$P,CODE!$O$1,FALSE)))</f>
        <v>SBR</v>
      </c>
      <c r="P461" s="29" t="str">
        <f t="shared" si="102"/>
        <v>성인</v>
      </c>
      <c r="Q461" s="29" t="str">
        <f t="shared" si="103"/>
        <v>SBREBF5047</v>
      </c>
      <c r="R461" s="1" t="s">
        <v>1247</v>
      </c>
      <c r="S461" s="1" t="s">
        <v>14</v>
      </c>
      <c r="T461" s="26">
        <v>600</v>
      </c>
      <c r="U461" s="26">
        <v>29400000</v>
      </c>
      <c r="V461" s="26">
        <v>4782906.0000000009</v>
      </c>
      <c r="W461" s="26">
        <v>5.5880823765452883</v>
      </c>
      <c r="X461" s="26">
        <v>598</v>
      </c>
      <c r="Y461" s="26">
        <v>0</v>
      </c>
    </row>
    <row r="462" spans="1:25">
      <c r="A462" s="24" t="str">
        <f t="shared" si="95"/>
        <v>신규</v>
      </c>
      <c r="B462" s="24" t="str">
        <f>IF(COUNTIF(R$1:R461,R462)=0,"최초","리오더")</f>
        <v>최초</v>
      </c>
      <c r="C462" s="24" t="str">
        <f t="shared" si="96"/>
        <v>SBREBF5049</v>
      </c>
      <c r="D462" s="24">
        <f t="shared" si="91"/>
        <v>0.25</v>
      </c>
      <c r="E462" s="24" t="str">
        <f t="shared" si="97"/>
        <v/>
      </c>
      <c r="F462" s="24">
        <f t="shared" si="92"/>
        <v>0</v>
      </c>
      <c r="G462" s="24" t="str">
        <f t="shared" si="98"/>
        <v>SBREBF5049BG</v>
      </c>
      <c r="H462" s="24">
        <f t="shared" si="93"/>
        <v>1</v>
      </c>
      <c r="I462" s="24" t="str">
        <f t="shared" si="99"/>
        <v/>
      </c>
      <c r="J462" s="24">
        <f t="shared" si="94"/>
        <v>0</v>
      </c>
      <c r="K462" s="24" t="str">
        <f t="shared" si="100"/>
        <v>F5</v>
      </c>
      <c r="L462" s="24" t="str">
        <f>VLOOKUP(N462,CODE!K:P,CODE!$P$1,FALSE)</f>
        <v>모자</v>
      </c>
      <c r="M462" s="24" t="str">
        <f>VLOOKUP(MID(R462,1,3),CODE!$B:$G,CODE!D$1,FALSE)</f>
        <v>SBR</v>
      </c>
      <c r="N462" s="24" t="str">
        <f t="shared" si="101"/>
        <v>EB</v>
      </c>
      <c r="O462" s="29" t="str">
        <f>IF(ISERROR(IF(VLOOKUP($N462,CODE!$K:$P,CODE!$O$1,FALSE)="",$M462,$M462&amp;"-"&amp;VLOOKUP($N462,CODE!$K:$P,CODE!$O$1,FALSE)))=TRUE,"",IF(VLOOKUP($N462,CODE!$K:$P,CODE!$O$1,FALSE)="",$M462,$M462&amp;"-"&amp;VLOOKUP($N462,CODE!$K:$P,CODE!$O$1,FALSE)))</f>
        <v>SBR</v>
      </c>
      <c r="P462" s="29" t="str">
        <f t="shared" si="102"/>
        <v>성인</v>
      </c>
      <c r="Q462" s="29" t="str">
        <f t="shared" si="103"/>
        <v>SBREBF5049</v>
      </c>
      <c r="R462" s="1" t="s">
        <v>1251</v>
      </c>
      <c r="S462" s="1" t="s">
        <v>14</v>
      </c>
      <c r="T462" s="26">
        <v>800</v>
      </c>
      <c r="U462" s="26">
        <v>36000000</v>
      </c>
      <c r="V462" s="26">
        <v>5429184.0000000009</v>
      </c>
      <c r="W462" s="26">
        <v>6.0280279186103698</v>
      </c>
      <c r="X462" s="26">
        <v>800</v>
      </c>
      <c r="Y462" s="26">
        <v>0</v>
      </c>
    </row>
    <row r="463" spans="1:25">
      <c r="A463" s="24" t="str">
        <f t="shared" si="95"/>
        <v>신규</v>
      </c>
      <c r="B463" s="24" t="str">
        <f>IF(COUNTIF(R$1:R462,R463)=0,"최초","리오더")</f>
        <v>최초</v>
      </c>
      <c r="C463" s="24" t="str">
        <f t="shared" si="96"/>
        <v>SBREBF5549</v>
      </c>
      <c r="D463" s="24">
        <f t="shared" si="91"/>
        <v>0.5</v>
      </c>
      <c r="E463" s="24" t="str">
        <f t="shared" si="97"/>
        <v/>
      </c>
      <c r="F463" s="24">
        <f t="shared" si="92"/>
        <v>0</v>
      </c>
      <c r="G463" s="24" t="str">
        <f t="shared" si="98"/>
        <v>SBREBF5549BG</v>
      </c>
      <c r="H463" s="24">
        <f t="shared" si="93"/>
        <v>1</v>
      </c>
      <c r="I463" s="24" t="str">
        <f t="shared" si="99"/>
        <v/>
      </c>
      <c r="J463" s="24">
        <f t="shared" si="94"/>
        <v>0</v>
      </c>
      <c r="K463" s="24" t="str">
        <f t="shared" si="100"/>
        <v>F5</v>
      </c>
      <c r="L463" s="24" t="str">
        <f>VLOOKUP(N463,CODE!K:P,CODE!$P$1,FALSE)</f>
        <v>모자</v>
      </c>
      <c r="M463" s="24" t="str">
        <f>VLOOKUP(MID(R463,1,3),CODE!$B:$G,CODE!D$1,FALSE)</f>
        <v>SBR</v>
      </c>
      <c r="N463" s="24" t="str">
        <f t="shared" si="101"/>
        <v>EB</v>
      </c>
      <c r="O463" s="29" t="str">
        <f>IF(ISERROR(IF(VLOOKUP($N463,CODE!$K:$P,CODE!$O$1,FALSE)="",$M463,$M463&amp;"-"&amp;VLOOKUP($N463,CODE!$K:$P,CODE!$O$1,FALSE)))=TRUE,"",IF(VLOOKUP($N463,CODE!$K:$P,CODE!$O$1,FALSE)="",$M463,$M463&amp;"-"&amp;VLOOKUP($N463,CODE!$K:$P,CODE!$O$1,FALSE)))</f>
        <v>SBR</v>
      </c>
      <c r="P463" s="29" t="str">
        <f t="shared" si="102"/>
        <v>키즈</v>
      </c>
      <c r="Q463" s="29" t="str">
        <f t="shared" si="103"/>
        <v>SBREBF5549</v>
      </c>
      <c r="R463" s="1" t="s">
        <v>1252</v>
      </c>
      <c r="S463" s="1" t="s">
        <v>14</v>
      </c>
      <c r="T463" s="26">
        <v>800</v>
      </c>
      <c r="U463" s="26">
        <v>34400000</v>
      </c>
      <c r="V463" s="26">
        <v>5189184.0000000009</v>
      </c>
      <c r="W463" s="26">
        <v>6.0265211780363286</v>
      </c>
      <c r="X463" s="26">
        <v>800</v>
      </c>
      <c r="Y463" s="26">
        <v>0</v>
      </c>
    </row>
    <row r="464" spans="1:25">
      <c r="A464" s="24" t="str">
        <f t="shared" si="95"/>
        <v>신규</v>
      </c>
      <c r="B464" s="24" t="str">
        <f>IF(COUNTIF(R$1:R463,R464)=0,"최초","리오더")</f>
        <v>최초</v>
      </c>
      <c r="C464" s="24" t="str">
        <f t="shared" si="96"/>
        <v>SBREBF5049</v>
      </c>
      <c r="D464" s="24">
        <f t="shared" si="91"/>
        <v>0.25</v>
      </c>
      <c r="E464" s="24" t="str">
        <f t="shared" si="97"/>
        <v/>
      </c>
      <c r="F464" s="24">
        <f t="shared" si="92"/>
        <v>0</v>
      </c>
      <c r="G464" s="24" t="str">
        <f t="shared" si="98"/>
        <v>SBREBF5049GY</v>
      </c>
      <c r="H464" s="24">
        <f t="shared" si="93"/>
        <v>1</v>
      </c>
      <c r="I464" s="24" t="str">
        <f t="shared" si="99"/>
        <v/>
      </c>
      <c r="J464" s="24">
        <f t="shared" si="94"/>
        <v>0</v>
      </c>
      <c r="K464" s="24" t="str">
        <f t="shared" si="100"/>
        <v>F5</v>
      </c>
      <c r="L464" s="24" t="str">
        <f>VLOOKUP(N464,CODE!K:P,CODE!$P$1,FALSE)</f>
        <v>모자</v>
      </c>
      <c r="M464" s="24" t="str">
        <f>VLOOKUP(MID(R464,1,3),CODE!$B:$G,CODE!D$1,FALSE)</f>
        <v>SBR</v>
      </c>
      <c r="N464" s="24" t="str">
        <f t="shared" si="101"/>
        <v>EB</v>
      </c>
      <c r="O464" s="29" t="str">
        <f>IF(ISERROR(IF(VLOOKUP($N464,CODE!$K:$P,CODE!$O$1,FALSE)="",$M464,$M464&amp;"-"&amp;VLOOKUP($N464,CODE!$K:$P,CODE!$O$1,FALSE)))=TRUE,"",IF(VLOOKUP($N464,CODE!$K:$P,CODE!$O$1,FALSE)="",$M464,$M464&amp;"-"&amp;VLOOKUP($N464,CODE!$K:$P,CODE!$O$1,FALSE)))</f>
        <v>SBR</v>
      </c>
      <c r="P464" s="29" t="str">
        <f t="shared" si="102"/>
        <v>성인</v>
      </c>
      <c r="Q464" s="29" t="str">
        <f t="shared" si="103"/>
        <v>SBREBF5049</v>
      </c>
      <c r="R464" s="1" t="s">
        <v>1253</v>
      </c>
      <c r="S464" s="1" t="s">
        <v>14</v>
      </c>
      <c r="T464" s="26">
        <v>800</v>
      </c>
      <c r="U464" s="26">
        <v>36000000</v>
      </c>
      <c r="V464" s="26">
        <v>5429184.0000000009</v>
      </c>
      <c r="W464" s="26">
        <v>6.0280279186103698</v>
      </c>
      <c r="X464" s="26">
        <v>800</v>
      </c>
      <c r="Y464" s="26">
        <v>0</v>
      </c>
    </row>
    <row r="465" spans="1:25">
      <c r="A465" s="24" t="str">
        <f t="shared" si="95"/>
        <v>신규</v>
      </c>
      <c r="B465" s="24" t="str">
        <f>IF(COUNTIF(R$1:R464,R465)=0,"최초","리오더")</f>
        <v>최초</v>
      </c>
      <c r="C465" s="24" t="str">
        <f t="shared" si="96"/>
        <v>SBREBF5049</v>
      </c>
      <c r="D465" s="24">
        <f t="shared" si="91"/>
        <v>0.25</v>
      </c>
      <c r="E465" s="24" t="str">
        <f t="shared" si="97"/>
        <v/>
      </c>
      <c r="F465" s="24">
        <f t="shared" si="92"/>
        <v>0</v>
      </c>
      <c r="G465" s="24" t="str">
        <f t="shared" si="98"/>
        <v>SBREBF5049RE</v>
      </c>
      <c r="H465" s="24">
        <f t="shared" si="93"/>
        <v>1</v>
      </c>
      <c r="I465" s="24" t="str">
        <f t="shared" si="99"/>
        <v/>
      </c>
      <c r="J465" s="24">
        <f t="shared" si="94"/>
        <v>0</v>
      </c>
      <c r="K465" s="24" t="str">
        <f t="shared" si="100"/>
        <v>F5</v>
      </c>
      <c r="L465" s="24" t="str">
        <f>VLOOKUP(N465,CODE!K:P,CODE!$P$1,FALSE)</f>
        <v>모자</v>
      </c>
      <c r="M465" s="24" t="str">
        <f>VLOOKUP(MID(R465,1,3),CODE!$B:$G,CODE!D$1,FALSE)</f>
        <v>SBR</v>
      </c>
      <c r="N465" s="24" t="str">
        <f t="shared" si="101"/>
        <v>EB</v>
      </c>
      <c r="O465" s="29" t="str">
        <f>IF(ISERROR(IF(VLOOKUP($N465,CODE!$K:$P,CODE!$O$1,FALSE)="",$M465,$M465&amp;"-"&amp;VLOOKUP($N465,CODE!$K:$P,CODE!$O$1,FALSE)))=TRUE,"",IF(VLOOKUP($N465,CODE!$K:$P,CODE!$O$1,FALSE)="",$M465,$M465&amp;"-"&amp;VLOOKUP($N465,CODE!$K:$P,CODE!$O$1,FALSE)))</f>
        <v>SBR</v>
      </c>
      <c r="P465" s="29" t="str">
        <f t="shared" si="102"/>
        <v>성인</v>
      </c>
      <c r="Q465" s="29" t="str">
        <f t="shared" si="103"/>
        <v>SBREBF5049</v>
      </c>
      <c r="R465" s="1" t="s">
        <v>1254</v>
      </c>
      <c r="S465" s="1" t="s">
        <v>14</v>
      </c>
      <c r="T465" s="26">
        <v>800</v>
      </c>
      <c r="U465" s="26">
        <v>36000000</v>
      </c>
      <c r="V465" s="26">
        <v>5429184.0000000009</v>
      </c>
      <c r="W465" s="26">
        <v>6.0280279186103698</v>
      </c>
      <c r="X465" s="26">
        <v>799</v>
      </c>
      <c r="Y465" s="26">
        <v>0</v>
      </c>
    </row>
    <row r="466" spans="1:25">
      <c r="A466" s="24" t="str">
        <f t="shared" si="95"/>
        <v>신규</v>
      </c>
      <c r="B466" s="24" t="str">
        <f>IF(COUNTIF(R$1:R465,R466)=0,"최초","리오더")</f>
        <v>최초</v>
      </c>
      <c r="C466" s="24" t="str">
        <f t="shared" si="96"/>
        <v>SBREBF5549</v>
      </c>
      <c r="D466" s="24">
        <f t="shared" si="91"/>
        <v>0.5</v>
      </c>
      <c r="E466" s="24" t="str">
        <f t="shared" si="97"/>
        <v/>
      </c>
      <c r="F466" s="24">
        <f t="shared" si="92"/>
        <v>0</v>
      </c>
      <c r="G466" s="24" t="str">
        <f t="shared" si="98"/>
        <v>SBREBF5549RE</v>
      </c>
      <c r="H466" s="24">
        <f t="shared" si="93"/>
        <v>1</v>
      </c>
      <c r="I466" s="24" t="str">
        <f t="shared" si="99"/>
        <v/>
      </c>
      <c r="J466" s="24">
        <f t="shared" si="94"/>
        <v>0</v>
      </c>
      <c r="K466" s="24" t="str">
        <f t="shared" si="100"/>
        <v>F5</v>
      </c>
      <c r="L466" s="24" t="str">
        <f>VLOOKUP(N466,CODE!K:P,CODE!$P$1,FALSE)</f>
        <v>모자</v>
      </c>
      <c r="M466" s="24" t="str">
        <f>VLOOKUP(MID(R466,1,3),CODE!$B:$G,CODE!D$1,FALSE)</f>
        <v>SBR</v>
      </c>
      <c r="N466" s="24" t="str">
        <f t="shared" si="101"/>
        <v>EB</v>
      </c>
      <c r="O466" s="29" t="str">
        <f>IF(ISERROR(IF(VLOOKUP($N466,CODE!$K:$P,CODE!$O$1,FALSE)="",$M466,$M466&amp;"-"&amp;VLOOKUP($N466,CODE!$K:$P,CODE!$O$1,FALSE)))=TRUE,"",IF(VLOOKUP($N466,CODE!$K:$P,CODE!$O$1,FALSE)="",$M466,$M466&amp;"-"&amp;VLOOKUP($N466,CODE!$K:$P,CODE!$O$1,FALSE)))</f>
        <v>SBR</v>
      </c>
      <c r="P466" s="29" t="str">
        <f t="shared" si="102"/>
        <v>키즈</v>
      </c>
      <c r="Q466" s="29" t="str">
        <f t="shared" si="103"/>
        <v>SBREBF5549</v>
      </c>
      <c r="R466" s="1" t="s">
        <v>1255</v>
      </c>
      <c r="S466" s="1" t="s">
        <v>14</v>
      </c>
      <c r="T466" s="26">
        <v>800</v>
      </c>
      <c r="U466" s="26">
        <v>34400000</v>
      </c>
      <c r="V466" s="26">
        <v>5189184.0000000009</v>
      </c>
      <c r="W466" s="26">
        <v>6.0265211780363286</v>
      </c>
      <c r="X466" s="26">
        <v>800</v>
      </c>
      <c r="Y466" s="26">
        <v>0</v>
      </c>
    </row>
    <row r="467" spans="1:25">
      <c r="A467" s="24" t="str">
        <f t="shared" si="95"/>
        <v>신규</v>
      </c>
      <c r="B467" s="24" t="str">
        <f>IF(COUNTIF(R$1:R466,R467)=0,"최초","리오더")</f>
        <v>최초</v>
      </c>
      <c r="C467" s="24" t="str">
        <f t="shared" si="96"/>
        <v>SBREBF5049</v>
      </c>
      <c r="D467" s="24">
        <f t="shared" si="91"/>
        <v>0.25</v>
      </c>
      <c r="E467" s="24" t="str">
        <f t="shared" si="97"/>
        <v/>
      </c>
      <c r="F467" s="24">
        <f t="shared" si="92"/>
        <v>0</v>
      </c>
      <c r="G467" s="24" t="str">
        <f t="shared" si="98"/>
        <v>SBREBF5049BK</v>
      </c>
      <c r="H467" s="24">
        <f t="shared" si="93"/>
        <v>1</v>
      </c>
      <c r="I467" s="24" t="str">
        <f t="shared" si="99"/>
        <v/>
      </c>
      <c r="J467" s="24">
        <f t="shared" si="94"/>
        <v>0</v>
      </c>
      <c r="K467" s="24" t="str">
        <f t="shared" si="100"/>
        <v>F5</v>
      </c>
      <c r="L467" s="24" t="str">
        <f>VLOOKUP(N467,CODE!K:P,CODE!$P$1,FALSE)</f>
        <v>모자</v>
      </c>
      <c r="M467" s="24" t="str">
        <f>VLOOKUP(MID(R467,1,3),CODE!$B:$G,CODE!D$1,FALSE)</f>
        <v>SBR</v>
      </c>
      <c r="N467" s="24" t="str">
        <f t="shared" si="101"/>
        <v>EB</v>
      </c>
      <c r="O467" s="29" t="str">
        <f>IF(ISERROR(IF(VLOOKUP($N467,CODE!$K:$P,CODE!$O$1,FALSE)="",$M467,$M467&amp;"-"&amp;VLOOKUP($N467,CODE!$K:$P,CODE!$O$1,FALSE)))=TRUE,"",IF(VLOOKUP($N467,CODE!$K:$P,CODE!$O$1,FALSE)="",$M467,$M467&amp;"-"&amp;VLOOKUP($N467,CODE!$K:$P,CODE!$O$1,FALSE)))</f>
        <v>SBR</v>
      </c>
      <c r="P467" s="29" t="str">
        <f t="shared" si="102"/>
        <v>성인</v>
      </c>
      <c r="Q467" s="29" t="str">
        <f t="shared" si="103"/>
        <v>SBREBF5049</v>
      </c>
      <c r="R467" s="1" t="s">
        <v>1256</v>
      </c>
      <c r="S467" s="1" t="s">
        <v>14</v>
      </c>
      <c r="T467" s="26">
        <v>800</v>
      </c>
      <c r="U467" s="26">
        <v>36000000</v>
      </c>
      <c r="V467" s="26">
        <v>5429184.0000000009</v>
      </c>
      <c r="W467" s="26">
        <v>6.0280279186103698</v>
      </c>
      <c r="X467" s="26">
        <v>800</v>
      </c>
      <c r="Y467" s="26">
        <v>0</v>
      </c>
    </row>
    <row r="468" spans="1:25">
      <c r="A468" s="24" t="str">
        <f t="shared" si="95"/>
        <v>신규</v>
      </c>
      <c r="B468" s="24" t="str">
        <f>IF(COUNTIF(R$1:R467,R468)=0,"최초","리오더")</f>
        <v>최초</v>
      </c>
      <c r="C468" s="24" t="str">
        <f t="shared" si="96"/>
        <v>SBREBF5045</v>
      </c>
      <c r="D468" s="24">
        <f t="shared" si="91"/>
        <v>0.33333333333333331</v>
      </c>
      <c r="E468" s="24" t="str">
        <f t="shared" si="97"/>
        <v/>
      </c>
      <c r="F468" s="24">
        <f t="shared" si="92"/>
        <v>0</v>
      </c>
      <c r="G468" s="24" t="str">
        <f t="shared" si="98"/>
        <v>SBREBF5045BG</v>
      </c>
      <c r="H468" s="24">
        <f t="shared" si="93"/>
        <v>1</v>
      </c>
      <c r="I468" s="24" t="str">
        <f t="shared" si="99"/>
        <v/>
      </c>
      <c r="J468" s="24">
        <f t="shared" si="94"/>
        <v>0</v>
      </c>
      <c r="K468" s="24" t="str">
        <f t="shared" si="100"/>
        <v>F5</v>
      </c>
      <c r="L468" s="24" t="str">
        <f>VLOOKUP(N468,CODE!K:P,CODE!$P$1,FALSE)</f>
        <v>모자</v>
      </c>
      <c r="M468" s="24" t="str">
        <f>VLOOKUP(MID(R468,1,3),CODE!$B:$G,CODE!D$1,FALSE)</f>
        <v>SBR</v>
      </c>
      <c r="N468" s="24" t="str">
        <f t="shared" si="101"/>
        <v>EB</v>
      </c>
      <c r="O468" s="29" t="str">
        <f>IF(ISERROR(IF(VLOOKUP($N468,CODE!$K:$P,CODE!$O$1,FALSE)="",$M468,$M468&amp;"-"&amp;VLOOKUP($N468,CODE!$K:$P,CODE!$O$1,FALSE)))=TRUE,"",IF(VLOOKUP($N468,CODE!$K:$P,CODE!$O$1,FALSE)="",$M468,$M468&amp;"-"&amp;VLOOKUP($N468,CODE!$K:$P,CODE!$O$1,FALSE)))</f>
        <v>SBR</v>
      </c>
      <c r="P468" s="29" t="str">
        <f t="shared" si="102"/>
        <v>성인</v>
      </c>
      <c r="Q468" s="29" t="str">
        <f t="shared" si="103"/>
        <v>SBREBF5045</v>
      </c>
      <c r="R468" s="1" t="s">
        <v>1242</v>
      </c>
      <c r="S468" s="1" t="s">
        <v>14</v>
      </c>
      <c r="T468" s="26">
        <v>600</v>
      </c>
      <c r="U468" s="26">
        <v>29400000</v>
      </c>
      <c r="V468" s="26">
        <v>5561658.0000000009</v>
      </c>
      <c r="W468" s="26">
        <v>4.8056303942588201</v>
      </c>
      <c r="X468" s="26">
        <v>600</v>
      </c>
      <c r="Y468" s="26">
        <v>0</v>
      </c>
    </row>
    <row r="469" spans="1:25">
      <c r="A469" s="24" t="str">
        <f t="shared" si="95"/>
        <v>신규</v>
      </c>
      <c r="B469" s="24" t="str">
        <f>IF(COUNTIF(R$1:R468,R469)=0,"최초","리오더")</f>
        <v>최초</v>
      </c>
      <c r="C469" s="24" t="str">
        <f t="shared" si="96"/>
        <v>SBREBF5045</v>
      </c>
      <c r="D469" s="24">
        <f t="shared" si="91"/>
        <v>0.33333333333333331</v>
      </c>
      <c r="E469" s="24" t="str">
        <f t="shared" si="97"/>
        <v/>
      </c>
      <c r="F469" s="24">
        <f t="shared" si="92"/>
        <v>0</v>
      </c>
      <c r="G469" s="24" t="str">
        <f t="shared" si="98"/>
        <v>SBREBF5045KH</v>
      </c>
      <c r="H469" s="24">
        <f t="shared" si="93"/>
        <v>1</v>
      </c>
      <c r="I469" s="24" t="str">
        <f t="shared" si="99"/>
        <v/>
      </c>
      <c r="J469" s="24">
        <f t="shared" si="94"/>
        <v>0</v>
      </c>
      <c r="K469" s="24" t="str">
        <f t="shared" si="100"/>
        <v>F5</v>
      </c>
      <c r="L469" s="24" t="str">
        <f>VLOOKUP(N469,CODE!K:P,CODE!$P$1,FALSE)</f>
        <v>모자</v>
      </c>
      <c r="M469" s="24" t="str">
        <f>VLOOKUP(MID(R469,1,3),CODE!$B:$G,CODE!D$1,FALSE)</f>
        <v>SBR</v>
      </c>
      <c r="N469" s="24" t="str">
        <f t="shared" si="101"/>
        <v>EB</v>
      </c>
      <c r="O469" s="29" t="str">
        <f>IF(ISERROR(IF(VLOOKUP($N469,CODE!$K:$P,CODE!$O$1,FALSE)="",$M469,$M469&amp;"-"&amp;VLOOKUP($N469,CODE!$K:$P,CODE!$O$1,FALSE)))=TRUE,"",IF(VLOOKUP($N469,CODE!$K:$P,CODE!$O$1,FALSE)="",$M469,$M469&amp;"-"&amp;VLOOKUP($N469,CODE!$K:$P,CODE!$O$1,FALSE)))</f>
        <v>SBR</v>
      </c>
      <c r="P469" s="29" t="str">
        <f t="shared" si="102"/>
        <v>성인</v>
      </c>
      <c r="Q469" s="29" t="str">
        <f t="shared" si="103"/>
        <v>SBREBF5045</v>
      </c>
      <c r="R469" s="1" t="s">
        <v>1243</v>
      </c>
      <c r="S469" s="1" t="s">
        <v>14</v>
      </c>
      <c r="T469" s="26">
        <v>600</v>
      </c>
      <c r="U469" s="26">
        <v>29400000</v>
      </c>
      <c r="V469" s="26">
        <v>5561658.0000000009</v>
      </c>
      <c r="W469" s="26">
        <v>4.8056303942588201</v>
      </c>
      <c r="X469" s="26">
        <v>600</v>
      </c>
      <c r="Y469" s="26">
        <v>0</v>
      </c>
    </row>
    <row r="470" spans="1:25">
      <c r="A470" s="24" t="str">
        <f t="shared" si="95"/>
        <v>신규</v>
      </c>
      <c r="B470" s="24" t="str">
        <f>IF(COUNTIF(R$1:R469,R470)=0,"최초","리오더")</f>
        <v>최초</v>
      </c>
      <c r="C470" s="24" t="str">
        <f t="shared" si="96"/>
        <v>SBREBF5045</v>
      </c>
      <c r="D470" s="24">
        <f t="shared" si="91"/>
        <v>0.33333333333333331</v>
      </c>
      <c r="E470" s="24" t="str">
        <f t="shared" si="97"/>
        <v/>
      </c>
      <c r="F470" s="24">
        <f t="shared" si="92"/>
        <v>0</v>
      </c>
      <c r="G470" s="24" t="str">
        <f t="shared" si="98"/>
        <v>SBREBF5045NY</v>
      </c>
      <c r="H470" s="24">
        <f t="shared" si="93"/>
        <v>1</v>
      </c>
      <c r="I470" s="24" t="str">
        <f t="shared" si="99"/>
        <v/>
      </c>
      <c r="J470" s="24">
        <f t="shared" si="94"/>
        <v>0</v>
      </c>
      <c r="K470" s="24" t="str">
        <f t="shared" si="100"/>
        <v>F5</v>
      </c>
      <c r="L470" s="24" t="str">
        <f>VLOOKUP(N470,CODE!K:P,CODE!$P$1,FALSE)</f>
        <v>모자</v>
      </c>
      <c r="M470" s="24" t="str">
        <f>VLOOKUP(MID(R470,1,3),CODE!$B:$G,CODE!D$1,FALSE)</f>
        <v>SBR</v>
      </c>
      <c r="N470" s="24" t="str">
        <f t="shared" si="101"/>
        <v>EB</v>
      </c>
      <c r="O470" s="29" t="str">
        <f>IF(ISERROR(IF(VLOOKUP($N470,CODE!$K:$P,CODE!$O$1,FALSE)="",$M470,$M470&amp;"-"&amp;VLOOKUP($N470,CODE!$K:$P,CODE!$O$1,FALSE)))=TRUE,"",IF(VLOOKUP($N470,CODE!$K:$P,CODE!$O$1,FALSE)="",$M470,$M470&amp;"-"&amp;VLOOKUP($N470,CODE!$K:$P,CODE!$O$1,FALSE)))</f>
        <v>SBR</v>
      </c>
      <c r="P470" s="29" t="str">
        <f t="shared" si="102"/>
        <v>성인</v>
      </c>
      <c r="Q470" s="29" t="str">
        <f t="shared" si="103"/>
        <v>SBREBF5045</v>
      </c>
      <c r="R470" s="1" t="s">
        <v>1244</v>
      </c>
      <c r="S470" s="1" t="s">
        <v>14</v>
      </c>
      <c r="T470" s="26">
        <v>600</v>
      </c>
      <c r="U470" s="26">
        <v>29400000</v>
      </c>
      <c r="V470" s="26">
        <v>5561658.0000000009</v>
      </c>
      <c r="W470" s="26">
        <v>4.8056303942588201</v>
      </c>
      <c r="X470" s="26">
        <v>600</v>
      </c>
      <c r="Y470" s="26">
        <v>0</v>
      </c>
    </row>
    <row r="471" spans="1:25">
      <c r="A471" s="24" t="str">
        <f t="shared" si="95"/>
        <v>신규</v>
      </c>
      <c r="B471" s="24" t="str">
        <f>IF(COUNTIF(R$1:R470,R471)=0,"최초","리오더")</f>
        <v>최초</v>
      </c>
      <c r="C471" s="24" t="str">
        <f t="shared" si="96"/>
        <v>SBREBF5048</v>
      </c>
      <c r="D471" s="24">
        <f t="shared" si="91"/>
        <v>0.33333333333333331</v>
      </c>
      <c r="E471" s="24" t="str">
        <f t="shared" si="97"/>
        <v/>
      </c>
      <c r="F471" s="24">
        <f t="shared" si="92"/>
        <v>0</v>
      </c>
      <c r="G471" s="24" t="str">
        <f t="shared" si="98"/>
        <v>SBREBF5048BK</v>
      </c>
      <c r="H471" s="24">
        <f t="shared" si="93"/>
        <v>1</v>
      </c>
      <c r="I471" s="24" t="str">
        <f t="shared" si="99"/>
        <v/>
      </c>
      <c r="J471" s="24">
        <f t="shared" si="94"/>
        <v>0</v>
      </c>
      <c r="K471" s="24" t="str">
        <f t="shared" si="100"/>
        <v>F5</v>
      </c>
      <c r="L471" s="24" t="str">
        <f>VLOOKUP(N471,CODE!K:P,CODE!$P$1,FALSE)</f>
        <v>모자</v>
      </c>
      <c r="M471" s="24" t="str">
        <f>VLOOKUP(MID(R471,1,3),CODE!$B:$G,CODE!D$1,FALSE)</f>
        <v>SBR</v>
      </c>
      <c r="N471" s="24" t="str">
        <f t="shared" si="101"/>
        <v>EB</v>
      </c>
      <c r="O471" s="29" t="str">
        <f>IF(ISERROR(IF(VLOOKUP($N471,CODE!$K:$P,CODE!$O$1,FALSE)="",$M471,$M471&amp;"-"&amp;VLOOKUP($N471,CODE!$K:$P,CODE!$O$1,FALSE)))=TRUE,"",IF(VLOOKUP($N471,CODE!$K:$P,CODE!$O$1,FALSE)="",$M471,$M471&amp;"-"&amp;VLOOKUP($N471,CODE!$K:$P,CODE!$O$1,FALSE)))</f>
        <v>SBR</v>
      </c>
      <c r="P471" s="29" t="str">
        <f t="shared" si="102"/>
        <v>성인</v>
      </c>
      <c r="Q471" s="29" t="str">
        <f t="shared" si="103"/>
        <v>SBREBF5048</v>
      </c>
      <c r="R471" s="1" t="s">
        <v>1248</v>
      </c>
      <c r="S471" s="1" t="s">
        <v>14</v>
      </c>
      <c r="T471" s="26">
        <v>600</v>
      </c>
      <c r="U471" s="26">
        <v>29400000</v>
      </c>
      <c r="V471" s="26">
        <v>6317208</v>
      </c>
      <c r="W471" s="26">
        <v>4.2308679288813549</v>
      </c>
      <c r="X471" s="26">
        <v>590</v>
      </c>
      <c r="Y471" s="26">
        <v>0</v>
      </c>
    </row>
    <row r="472" spans="1:25">
      <c r="A472" s="24" t="str">
        <f t="shared" si="95"/>
        <v>신규</v>
      </c>
      <c r="B472" s="24" t="str">
        <f>IF(COUNTIF(R$1:R471,R472)=0,"최초","리오더")</f>
        <v>최초</v>
      </c>
      <c r="C472" s="24" t="str">
        <f t="shared" si="96"/>
        <v>SBREBF5048</v>
      </c>
      <c r="D472" s="24">
        <f t="shared" si="91"/>
        <v>0.33333333333333331</v>
      </c>
      <c r="E472" s="24" t="str">
        <f t="shared" si="97"/>
        <v/>
      </c>
      <c r="F472" s="24">
        <f t="shared" si="92"/>
        <v>0</v>
      </c>
      <c r="G472" s="24" t="str">
        <f t="shared" si="98"/>
        <v>SBREBF5048GY</v>
      </c>
      <c r="H472" s="24">
        <f t="shared" si="93"/>
        <v>1</v>
      </c>
      <c r="I472" s="24" t="str">
        <f t="shared" si="99"/>
        <v/>
      </c>
      <c r="J472" s="24">
        <f t="shared" si="94"/>
        <v>0</v>
      </c>
      <c r="K472" s="24" t="str">
        <f t="shared" si="100"/>
        <v>F5</v>
      </c>
      <c r="L472" s="24" t="str">
        <f>VLOOKUP(N472,CODE!K:P,CODE!$P$1,FALSE)</f>
        <v>모자</v>
      </c>
      <c r="M472" s="24" t="str">
        <f>VLOOKUP(MID(R472,1,3),CODE!$B:$G,CODE!D$1,FALSE)</f>
        <v>SBR</v>
      </c>
      <c r="N472" s="24" t="str">
        <f t="shared" si="101"/>
        <v>EB</v>
      </c>
      <c r="O472" s="29" t="str">
        <f>IF(ISERROR(IF(VLOOKUP($N472,CODE!$K:$P,CODE!$O$1,FALSE)="",$M472,$M472&amp;"-"&amp;VLOOKUP($N472,CODE!$K:$P,CODE!$O$1,FALSE)))=TRUE,"",IF(VLOOKUP($N472,CODE!$K:$P,CODE!$O$1,FALSE)="",$M472,$M472&amp;"-"&amp;VLOOKUP($N472,CODE!$K:$P,CODE!$O$1,FALSE)))</f>
        <v>SBR</v>
      </c>
      <c r="P472" s="29" t="str">
        <f t="shared" si="102"/>
        <v>성인</v>
      </c>
      <c r="Q472" s="29" t="str">
        <f t="shared" si="103"/>
        <v>SBREBF5048</v>
      </c>
      <c r="R472" s="1" t="s">
        <v>1249</v>
      </c>
      <c r="S472" s="1" t="s">
        <v>14</v>
      </c>
      <c r="T472" s="26">
        <v>600</v>
      </c>
      <c r="U472" s="26">
        <v>29400000</v>
      </c>
      <c r="V472" s="26">
        <v>6317208</v>
      </c>
      <c r="W472" s="26">
        <v>4.2308679288813549</v>
      </c>
      <c r="X472" s="26">
        <v>594</v>
      </c>
      <c r="Y472" s="26">
        <v>0</v>
      </c>
    </row>
    <row r="473" spans="1:25">
      <c r="A473" s="24" t="str">
        <f t="shared" si="95"/>
        <v>신규</v>
      </c>
      <c r="B473" s="24" t="str">
        <f>IF(COUNTIF(R$1:R472,R473)=0,"최초","리오더")</f>
        <v>최초</v>
      </c>
      <c r="C473" s="24" t="str">
        <f t="shared" si="96"/>
        <v>SBREBF5048</v>
      </c>
      <c r="D473" s="24">
        <f t="shared" si="91"/>
        <v>0.33333333333333331</v>
      </c>
      <c r="E473" s="24" t="str">
        <f t="shared" si="97"/>
        <v/>
      </c>
      <c r="F473" s="24">
        <f t="shared" si="92"/>
        <v>0</v>
      </c>
      <c r="G473" s="24" t="str">
        <f t="shared" si="98"/>
        <v>SBREBF5048RE</v>
      </c>
      <c r="H473" s="24">
        <f t="shared" si="93"/>
        <v>1</v>
      </c>
      <c r="I473" s="24" t="str">
        <f t="shared" si="99"/>
        <v/>
      </c>
      <c r="J473" s="24">
        <f t="shared" si="94"/>
        <v>0</v>
      </c>
      <c r="K473" s="24" t="str">
        <f t="shared" si="100"/>
        <v>F5</v>
      </c>
      <c r="L473" s="24" t="str">
        <f>VLOOKUP(N473,CODE!K:P,CODE!$P$1,FALSE)</f>
        <v>모자</v>
      </c>
      <c r="M473" s="24" t="str">
        <f>VLOOKUP(MID(R473,1,3),CODE!$B:$G,CODE!D$1,FALSE)</f>
        <v>SBR</v>
      </c>
      <c r="N473" s="24" t="str">
        <f t="shared" si="101"/>
        <v>EB</v>
      </c>
      <c r="O473" s="29" t="str">
        <f>IF(ISERROR(IF(VLOOKUP($N473,CODE!$K:$P,CODE!$O$1,FALSE)="",$M473,$M473&amp;"-"&amp;VLOOKUP($N473,CODE!$K:$P,CODE!$O$1,FALSE)))=TRUE,"",IF(VLOOKUP($N473,CODE!$K:$P,CODE!$O$1,FALSE)="",$M473,$M473&amp;"-"&amp;VLOOKUP($N473,CODE!$K:$P,CODE!$O$1,FALSE)))</f>
        <v>SBR</v>
      </c>
      <c r="P473" s="29" t="str">
        <f t="shared" si="102"/>
        <v>성인</v>
      </c>
      <c r="Q473" s="29" t="str">
        <f t="shared" si="103"/>
        <v>SBREBF5048</v>
      </c>
      <c r="R473" s="1" t="s">
        <v>1250</v>
      </c>
      <c r="S473" s="1" t="s">
        <v>14</v>
      </c>
      <c r="T473" s="26">
        <v>600</v>
      </c>
      <c r="U473" s="26">
        <v>29400000</v>
      </c>
      <c r="V473" s="26">
        <v>6317208</v>
      </c>
      <c r="W473" s="26">
        <v>4.2308679288813549</v>
      </c>
      <c r="X473" s="26">
        <v>593</v>
      </c>
      <c r="Y473" s="26">
        <v>0</v>
      </c>
    </row>
    <row r="474" spans="1:25">
      <c r="A474" s="24" t="str">
        <f t="shared" si="95"/>
        <v>신규</v>
      </c>
      <c r="B474" s="24" t="str">
        <f>IF(COUNTIF(R$1:R473,R474)=0,"최초","리오더")</f>
        <v>최초</v>
      </c>
      <c r="C474" s="24" t="str">
        <f t="shared" si="96"/>
        <v>SBREBF5050</v>
      </c>
      <c r="D474" s="24">
        <f t="shared" si="91"/>
        <v>1</v>
      </c>
      <c r="E474" s="24" t="str">
        <f t="shared" si="97"/>
        <v/>
      </c>
      <c r="F474" s="24">
        <f t="shared" si="92"/>
        <v>0</v>
      </c>
      <c r="G474" s="24" t="str">
        <f t="shared" si="98"/>
        <v>SBREBF5050MT</v>
      </c>
      <c r="H474" s="24">
        <f t="shared" si="93"/>
        <v>1</v>
      </c>
      <c r="I474" s="24" t="str">
        <f t="shared" si="99"/>
        <v/>
      </c>
      <c r="J474" s="24">
        <f t="shared" si="94"/>
        <v>0</v>
      </c>
      <c r="K474" s="24" t="str">
        <f t="shared" si="100"/>
        <v>F5</v>
      </c>
      <c r="L474" s="24" t="str">
        <f>VLOOKUP(N474,CODE!K:P,CODE!$P$1,FALSE)</f>
        <v>모자</v>
      </c>
      <c r="M474" s="24" t="str">
        <f>VLOOKUP(MID(R474,1,3),CODE!$B:$G,CODE!D$1,FALSE)</f>
        <v>SBR</v>
      </c>
      <c r="N474" s="24" t="str">
        <f t="shared" si="101"/>
        <v>EB</v>
      </c>
      <c r="O474" s="29" t="str">
        <f>IF(ISERROR(IF(VLOOKUP($N474,CODE!$K:$P,CODE!$O$1,FALSE)="",$M474,$M474&amp;"-"&amp;VLOOKUP($N474,CODE!$K:$P,CODE!$O$1,FALSE)))=TRUE,"",IF(VLOOKUP($N474,CODE!$K:$P,CODE!$O$1,FALSE)="",$M474,$M474&amp;"-"&amp;VLOOKUP($N474,CODE!$K:$P,CODE!$O$1,FALSE)))</f>
        <v>SBR</v>
      </c>
      <c r="P474" s="29" t="str">
        <f t="shared" si="102"/>
        <v>성인</v>
      </c>
      <c r="Q474" s="29" t="str">
        <f t="shared" si="103"/>
        <v>SBREBF5050</v>
      </c>
      <c r="R474" s="1" t="s">
        <v>1257</v>
      </c>
      <c r="S474" s="1" t="s">
        <v>14</v>
      </c>
      <c r="T474" s="26">
        <v>600</v>
      </c>
      <c r="U474" s="26">
        <v>29400000</v>
      </c>
      <c r="V474" s="26">
        <v>5800410</v>
      </c>
      <c r="W474" s="26">
        <v>4.6078247446771385</v>
      </c>
      <c r="X474" s="26">
        <v>575</v>
      </c>
      <c r="Y474" s="26">
        <v>0</v>
      </c>
    </row>
    <row r="475" spans="1:25">
      <c r="A475" s="24" t="str">
        <f t="shared" si="95"/>
        <v>신규</v>
      </c>
      <c r="B475" s="24" t="str">
        <f>IF(COUNTIF(R$1:R474,R475)=0,"최초","리오더")</f>
        <v>최초</v>
      </c>
      <c r="C475" s="24" t="str">
        <f t="shared" si="96"/>
        <v>SBREBF5051</v>
      </c>
      <c r="D475" s="24">
        <f t="shared" si="91"/>
        <v>1</v>
      </c>
      <c r="E475" s="24" t="str">
        <f t="shared" si="97"/>
        <v/>
      </c>
      <c r="F475" s="24">
        <f t="shared" si="92"/>
        <v>0</v>
      </c>
      <c r="G475" s="24" t="str">
        <f t="shared" si="98"/>
        <v>SBREBF5051WH</v>
      </c>
      <c r="H475" s="24">
        <f t="shared" si="93"/>
        <v>1</v>
      </c>
      <c r="I475" s="24" t="str">
        <f t="shared" si="99"/>
        <v/>
      </c>
      <c r="J475" s="24">
        <f t="shared" si="94"/>
        <v>0</v>
      </c>
      <c r="K475" s="24" t="str">
        <f t="shared" si="100"/>
        <v>F5</v>
      </c>
      <c r="L475" s="24" t="str">
        <f>VLOOKUP(N475,CODE!K:P,CODE!$P$1,FALSE)</f>
        <v>모자</v>
      </c>
      <c r="M475" s="24" t="str">
        <f>VLOOKUP(MID(R475,1,3),CODE!$B:$G,CODE!D$1,FALSE)</f>
        <v>SBR</v>
      </c>
      <c r="N475" s="24" t="str">
        <f t="shared" si="101"/>
        <v>EB</v>
      </c>
      <c r="O475" s="29" t="str">
        <f>IF(ISERROR(IF(VLOOKUP($N475,CODE!$K:$P,CODE!$O$1,FALSE)="",$M475,$M475&amp;"-"&amp;VLOOKUP($N475,CODE!$K:$P,CODE!$O$1,FALSE)))=TRUE,"",IF(VLOOKUP($N475,CODE!$K:$P,CODE!$O$1,FALSE)="",$M475,$M475&amp;"-"&amp;VLOOKUP($N475,CODE!$K:$P,CODE!$O$1,FALSE)))</f>
        <v>SBR</v>
      </c>
      <c r="P475" s="29" t="str">
        <f t="shared" si="102"/>
        <v>성인</v>
      </c>
      <c r="Q475" s="29" t="str">
        <f t="shared" si="103"/>
        <v>SBREBF5051</v>
      </c>
      <c r="R475" s="1" t="s">
        <v>1258</v>
      </c>
      <c r="S475" s="1" t="s">
        <v>14</v>
      </c>
      <c r="T475" s="26">
        <v>600</v>
      </c>
      <c r="U475" s="26">
        <v>29400000</v>
      </c>
      <c r="V475" s="26">
        <v>4752594</v>
      </c>
      <c r="W475" s="26">
        <v>5.6237231135823356</v>
      </c>
      <c r="X475" s="26">
        <v>599</v>
      </c>
      <c r="Y475" s="26">
        <v>0</v>
      </c>
    </row>
    <row r="476" spans="1:25">
      <c r="A476" s="24" t="str">
        <f t="shared" si="95"/>
        <v>신규</v>
      </c>
      <c r="B476" s="24" t="str">
        <f>IF(COUNTIF(R$1:R475,R476)=0,"최초","리오더")</f>
        <v>최초</v>
      </c>
      <c r="C476" s="24" t="str">
        <f t="shared" si="96"/>
        <v>SBREBF5551</v>
      </c>
      <c r="D476" s="24">
        <f t="shared" si="91"/>
        <v>0.5</v>
      </c>
      <c r="E476" s="24" t="str">
        <f t="shared" si="97"/>
        <v/>
      </c>
      <c r="F476" s="24">
        <f t="shared" si="92"/>
        <v>0</v>
      </c>
      <c r="G476" s="24" t="str">
        <f t="shared" si="98"/>
        <v>SBREBF5551WH</v>
      </c>
      <c r="H476" s="24">
        <f t="shared" si="93"/>
        <v>1</v>
      </c>
      <c r="I476" s="24" t="str">
        <f t="shared" si="99"/>
        <v/>
      </c>
      <c r="J476" s="24">
        <f t="shared" si="94"/>
        <v>0</v>
      </c>
      <c r="K476" s="24" t="str">
        <f t="shared" si="100"/>
        <v>F5</v>
      </c>
      <c r="L476" s="24" t="str">
        <f>VLOOKUP(N476,CODE!K:P,CODE!$P$1,FALSE)</f>
        <v>모자</v>
      </c>
      <c r="M476" s="24" t="str">
        <f>VLOOKUP(MID(R476,1,3),CODE!$B:$G,CODE!D$1,FALSE)</f>
        <v>SBR</v>
      </c>
      <c r="N476" s="24" t="str">
        <f t="shared" si="101"/>
        <v>EB</v>
      </c>
      <c r="O476" s="29" t="str">
        <f>IF(ISERROR(IF(VLOOKUP($N476,CODE!$K:$P,CODE!$O$1,FALSE)="",$M476,$M476&amp;"-"&amp;VLOOKUP($N476,CODE!$K:$P,CODE!$O$1,FALSE)))=TRUE,"",IF(VLOOKUP($N476,CODE!$K:$P,CODE!$O$1,FALSE)="",$M476,$M476&amp;"-"&amp;VLOOKUP($N476,CODE!$K:$P,CODE!$O$1,FALSE)))</f>
        <v>SBR</v>
      </c>
      <c r="P476" s="29" t="str">
        <f t="shared" si="102"/>
        <v>키즈</v>
      </c>
      <c r="Q476" s="29" t="str">
        <f t="shared" si="103"/>
        <v>SBREBF5551</v>
      </c>
      <c r="R476" s="1" t="s">
        <v>1259</v>
      </c>
      <c r="S476" s="1" t="s">
        <v>14</v>
      </c>
      <c r="T476" s="26">
        <v>600</v>
      </c>
      <c r="U476" s="26">
        <v>27000000</v>
      </c>
      <c r="V476" s="26">
        <v>4752594</v>
      </c>
      <c r="W476" s="26">
        <v>5.1646436757388789</v>
      </c>
      <c r="X476" s="26">
        <v>597</v>
      </c>
      <c r="Y476" s="26">
        <v>0</v>
      </c>
    </row>
    <row r="477" spans="1:25">
      <c r="A477" s="24" t="str">
        <f t="shared" si="95"/>
        <v>신규</v>
      </c>
      <c r="B477" s="24" t="str">
        <f>IF(COUNTIF(R$1:R476,R477)=0,"최초","리오더")</f>
        <v>최초</v>
      </c>
      <c r="C477" s="24" t="str">
        <f t="shared" si="96"/>
        <v>SBREBF5551</v>
      </c>
      <c r="D477" s="24">
        <f t="shared" si="91"/>
        <v>0.5</v>
      </c>
      <c r="E477" s="24" t="str">
        <f t="shared" si="97"/>
        <v/>
      </c>
      <c r="F477" s="24">
        <f t="shared" si="92"/>
        <v>0</v>
      </c>
      <c r="G477" s="24" t="str">
        <f t="shared" si="98"/>
        <v>SBREBF5551YE</v>
      </c>
      <c r="H477" s="24">
        <f t="shared" si="93"/>
        <v>1</v>
      </c>
      <c r="I477" s="24" t="str">
        <f t="shared" si="99"/>
        <v/>
      </c>
      <c r="J477" s="24">
        <f t="shared" si="94"/>
        <v>0</v>
      </c>
      <c r="K477" s="24" t="str">
        <f t="shared" si="100"/>
        <v>F5</v>
      </c>
      <c r="L477" s="24" t="str">
        <f>VLOOKUP(N477,CODE!K:P,CODE!$P$1,FALSE)</f>
        <v>모자</v>
      </c>
      <c r="M477" s="24" t="str">
        <f>VLOOKUP(MID(R477,1,3),CODE!$B:$G,CODE!D$1,FALSE)</f>
        <v>SBR</v>
      </c>
      <c r="N477" s="24" t="str">
        <f t="shared" si="101"/>
        <v>EB</v>
      </c>
      <c r="O477" s="29" t="str">
        <f>IF(ISERROR(IF(VLOOKUP($N477,CODE!$K:$P,CODE!$O$1,FALSE)="",$M477,$M477&amp;"-"&amp;VLOOKUP($N477,CODE!$K:$P,CODE!$O$1,FALSE)))=TRUE,"",IF(VLOOKUP($N477,CODE!$K:$P,CODE!$O$1,FALSE)="",$M477,$M477&amp;"-"&amp;VLOOKUP($N477,CODE!$K:$P,CODE!$O$1,FALSE)))</f>
        <v>SBR</v>
      </c>
      <c r="P477" s="29" t="str">
        <f t="shared" si="102"/>
        <v>키즈</v>
      </c>
      <c r="Q477" s="29" t="str">
        <f t="shared" si="103"/>
        <v>SBREBF5551</v>
      </c>
      <c r="R477" s="1" t="s">
        <v>1260</v>
      </c>
      <c r="S477" s="1" t="s">
        <v>14</v>
      </c>
      <c r="T477" s="26">
        <v>600</v>
      </c>
      <c r="U477" s="26">
        <v>27000000</v>
      </c>
      <c r="V477" s="26">
        <v>4752594</v>
      </c>
      <c r="W477" s="26">
        <v>5.1646436757388789</v>
      </c>
      <c r="X477" s="26">
        <v>600</v>
      </c>
      <c r="Y477" s="26">
        <v>0</v>
      </c>
    </row>
    <row r="478" spans="1:25">
      <c r="A478" s="24" t="str">
        <f t="shared" si="95"/>
        <v>신규</v>
      </c>
      <c r="B478" s="24" t="str">
        <f>IF(COUNTIF(R$1:R477,R478)=0,"최초","리오더")</f>
        <v>최초</v>
      </c>
      <c r="C478" s="24" t="str">
        <f t="shared" si="96"/>
        <v>SBRBEF5052</v>
      </c>
      <c r="D478" s="24">
        <f t="shared" si="91"/>
        <v>0.33333333333333331</v>
      </c>
      <c r="E478" s="24" t="str">
        <f t="shared" si="97"/>
        <v/>
      </c>
      <c r="F478" s="24">
        <f t="shared" si="92"/>
        <v>0</v>
      </c>
      <c r="G478" s="24" t="str">
        <f t="shared" si="98"/>
        <v>SBRBEF5052NY</v>
      </c>
      <c r="H478" s="24">
        <f t="shared" si="93"/>
        <v>1</v>
      </c>
      <c r="I478" s="24" t="str">
        <f t="shared" si="99"/>
        <v/>
      </c>
      <c r="J478" s="24">
        <f t="shared" si="94"/>
        <v>0</v>
      </c>
      <c r="K478" s="24" t="str">
        <f t="shared" si="100"/>
        <v>F5</v>
      </c>
      <c r="L478" s="24" t="str">
        <f>VLOOKUP(N478,CODE!K:P,CODE!$P$1,FALSE)</f>
        <v>모자</v>
      </c>
      <c r="M478" s="24" t="str">
        <f>VLOOKUP(MID(R478,1,3),CODE!$B:$G,CODE!D$1,FALSE)</f>
        <v>SBR</v>
      </c>
      <c r="N478" s="24" t="str">
        <f t="shared" si="101"/>
        <v>BE</v>
      </c>
      <c r="O478" s="29" t="str">
        <f>IF(ISERROR(IF(VLOOKUP($N478,CODE!$K:$P,CODE!$O$1,FALSE)="",$M478,$M478&amp;"-"&amp;VLOOKUP($N478,CODE!$K:$P,CODE!$O$1,FALSE)))=TRUE,"",IF(VLOOKUP($N478,CODE!$K:$P,CODE!$O$1,FALSE)="",$M478,$M478&amp;"-"&amp;VLOOKUP($N478,CODE!$K:$P,CODE!$O$1,FALSE)))</f>
        <v>SBR</v>
      </c>
      <c r="P478" s="29" t="str">
        <f t="shared" si="102"/>
        <v>성인</v>
      </c>
      <c r="Q478" s="29" t="str">
        <f t="shared" si="103"/>
        <v>SBRBEF5052</v>
      </c>
      <c r="R478" s="1" t="s">
        <v>1261</v>
      </c>
      <c r="S478" s="1" t="s">
        <v>14</v>
      </c>
      <c r="T478" s="26">
        <v>800</v>
      </c>
      <c r="U478" s="26">
        <v>28000000</v>
      </c>
      <c r="V478" s="26">
        <v>2893968</v>
      </c>
      <c r="W478" s="26">
        <v>8.7957245741989727</v>
      </c>
      <c r="X478" s="26">
        <v>800</v>
      </c>
      <c r="Y478" s="26">
        <v>0</v>
      </c>
    </row>
    <row r="479" spans="1:25">
      <c r="A479" s="24" t="str">
        <f t="shared" si="95"/>
        <v>신규</v>
      </c>
      <c r="B479" s="24" t="str">
        <f>IF(COUNTIF(R$1:R478,R479)=0,"최초","리오더")</f>
        <v>최초</v>
      </c>
      <c r="C479" s="24" t="str">
        <f t="shared" si="96"/>
        <v>SBRBEF5052</v>
      </c>
      <c r="D479" s="24">
        <f t="shared" si="91"/>
        <v>0.33333333333333331</v>
      </c>
      <c r="E479" s="24" t="str">
        <f t="shared" si="97"/>
        <v/>
      </c>
      <c r="F479" s="24">
        <f t="shared" si="92"/>
        <v>0</v>
      </c>
      <c r="G479" s="24" t="str">
        <f t="shared" si="98"/>
        <v>SBRBEF5052BU</v>
      </c>
      <c r="H479" s="24">
        <f t="shared" si="93"/>
        <v>1</v>
      </c>
      <c r="I479" s="24" t="str">
        <f t="shared" si="99"/>
        <v/>
      </c>
      <c r="J479" s="24">
        <f t="shared" si="94"/>
        <v>0</v>
      </c>
      <c r="K479" s="24" t="str">
        <f t="shared" si="100"/>
        <v>F5</v>
      </c>
      <c r="L479" s="24" t="str">
        <f>VLOOKUP(N479,CODE!K:P,CODE!$P$1,FALSE)</f>
        <v>모자</v>
      </c>
      <c r="M479" s="24" t="str">
        <f>VLOOKUP(MID(R479,1,3),CODE!$B:$G,CODE!D$1,FALSE)</f>
        <v>SBR</v>
      </c>
      <c r="N479" s="24" t="str">
        <f t="shared" si="101"/>
        <v>BE</v>
      </c>
      <c r="O479" s="29" t="str">
        <f>IF(ISERROR(IF(VLOOKUP($N479,CODE!$K:$P,CODE!$O$1,FALSE)="",$M479,$M479&amp;"-"&amp;VLOOKUP($N479,CODE!$K:$P,CODE!$O$1,FALSE)))=TRUE,"",IF(VLOOKUP($N479,CODE!$K:$P,CODE!$O$1,FALSE)="",$M479,$M479&amp;"-"&amp;VLOOKUP($N479,CODE!$K:$P,CODE!$O$1,FALSE)))</f>
        <v>SBR</v>
      </c>
      <c r="P479" s="29" t="str">
        <f t="shared" si="102"/>
        <v>성인</v>
      </c>
      <c r="Q479" s="29" t="str">
        <f t="shared" si="103"/>
        <v>SBRBEF5052</v>
      </c>
      <c r="R479" s="1" t="s">
        <v>1262</v>
      </c>
      <c r="S479" s="1" t="s">
        <v>14</v>
      </c>
      <c r="T479" s="26">
        <v>800</v>
      </c>
      <c r="U479" s="26">
        <v>28000000</v>
      </c>
      <c r="V479" s="26">
        <v>2893968</v>
      </c>
      <c r="W479" s="26">
        <v>8.7957245741989727</v>
      </c>
      <c r="X479" s="26">
        <v>800</v>
      </c>
      <c r="Y479" s="26">
        <v>0</v>
      </c>
    </row>
    <row r="480" spans="1:25">
      <c r="A480" s="24" t="str">
        <f t="shared" si="95"/>
        <v>신규</v>
      </c>
      <c r="B480" s="24" t="str">
        <f>IF(COUNTIF(R$1:R479,R480)=0,"최초","리오더")</f>
        <v>최초</v>
      </c>
      <c r="C480" s="24" t="str">
        <f t="shared" si="96"/>
        <v>SBRBEF5052</v>
      </c>
      <c r="D480" s="24">
        <f t="shared" si="91"/>
        <v>0.33333333333333331</v>
      </c>
      <c r="E480" s="24" t="str">
        <f t="shared" si="97"/>
        <v/>
      </c>
      <c r="F480" s="24">
        <f t="shared" si="92"/>
        <v>0</v>
      </c>
      <c r="G480" s="24" t="str">
        <f t="shared" si="98"/>
        <v>SBRBEF5052GY</v>
      </c>
      <c r="H480" s="24">
        <f t="shared" si="93"/>
        <v>1</v>
      </c>
      <c r="I480" s="24" t="str">
        <f t="shared" si="99"/>
        <v/>
      </c>
      <c r="J480" s="24">
        <f t="shared" si="94"/>
        <v>0</v>
      </c>
      <c r="K480" s="24" t="str">
        <f t="shared" si="100"/>
        <v>F5</v>
      </c>
      <c r="L480" s="24" t="str">
        <f>VLOOKUP(N480,CODE!K:P,CODE!$P$1,FALSE)</f>
        <v>모자</v>
      </c>
      <c r="M480" s="24" t="str">
        <f>VLOOKUP(MID(R480,1,3),CODE!$B:$G,CODE!D$1,FALSE)</f>
        <v>SBR</v>
      </c>
      <c r="N480" s="24" t="str">
        <f t="shared" si="101"/>
        <v>BE</v>
      </c>
      <c r="O480" s="29" t="str">
        <f>IF(ISERROR(IF(VLOOKUP($N480,CODE!$K:$P,CODE!$O$1,FALSE)="",$M480,$M480&amp;"-"&amp;VLOOKUP($N480,CODE!$K:$P,CODE!$O$1,FALSE)))=TRUE,"",IF(VLOOKUP($N480,CODE!$K:$P,CODE!$O$1,FALSE)="",$M480,$M480&amp;"-"&amp;VLOOKUP($N480,CODE!$K:$P,CODE!$O$1,FALSE)))</f>
        <v>SBR</v>
      </c>
      <c r="P480" s="29" t="str">
        <f t="shared" si="102"/>
        <v>성인</v>
      </c>
      <c r="Q480" s="29" t="str">
        <f t="shared" si="103"/>
        <v>SBRBEF5052</v>
      </c>
      <c r="R480" s="1" t="s">
        <v>1263</v>
      </c>
      <c r="S480" s="1" t="s">
        <v>14</v>
      </c>
      <c r="T480" s="26">
        <v>800</v>
      </c>
      <c r="U480" s="26">
        <v>28000000</v>
      </c>
      <c r="V480" s="26">
        <v>2893968</v>
      </c>
      <c r="W480" s="26">
        <v>8.7957245741989727</v>
      </c>
      <c r="X480" s="26">
        <v>800</v>
      </c>
      <c r="Y480" s="26">
        <v>0</v>
      </c>
    </row>
    <row r="481" spans="1:25">
      <c r="A481" s="24" t="str">
        <f t="shared" si="95"/>
        <v>신규</v>
      </c>
      <c r="B481" s="24" t="str">
        <f>IF(COUNTIF(R$1:R480,R481)=0,"최초","리오더")</f>
        <v>최초</v>
      </c>
      <c r="C481" s="24" t="str">
        <f t="shared" si="96"/>
        <v>SBRBEF5053</v>
      </c>
      <c r="D481" s="24">
        <f t="shared" si="91"/>
        <v>0.5</v>
      </c>
      <c r="E481" s="24" t="str">
        <f t="shared" si="97"/>
        <v/>
      </c>
      <c r="F481" s="24">
        <f t="shared" si="92"/>
        <v>0</v>
      </c>
      <c r="G481" s="24" t="str">
        <f t="shared" si="98"/>
        <v>SBRBEF5053PK</v>
      </c>
      <c r="H481" s="24">
        <f t="shared" si="93"/>
        <v>1</v>
      </c>
      <c r="I481" s="24" t="str">
        <f t="shared" si="99"/>
        <v/>
      </c>
      <c r="J481" s="24">
        <f t="shared" si="94"/>
        <v>0</v>
      </c>
      <c r="K481" s="24" t="str">
        <f t="shared" si="100"/>
        <v>F5</v>
      </c>
      <c r="L481" s="24" t="str">
        <f>VLOOKUP(N481,CODE!K:P,CODE!$P$1,FALSE)</f>
        <v>모자</v>
      </c>
      <c r="M481" s="24" t="str">
        <f>VLOOKUP(MID(R481,1,3),CODE!$B:$G,CODE!D$1,FALSE)</f>
        <v>SBR</v>
      </c>
      <c r="N481" s="24" t="str">
        <f t="shared" si="101"/>
        <v>BE</v>
      </c>
      <c r="O481" s="29" t="str">
        <f>IF(ISERROR(IF(VLOOKUP($N481,CODE!$K:$P,CODE!$O$1,FALSE)="",$M481,$M481&amp;"-"&amp;VLOOKUP($N481,CODE!$K:$P,CODE!$O$1,FALSE)))=TRUE,"",IF(VLOOKUP($N481,CODE!$K:$P,CODE!$O$1,FALSE)="",$M481,$M481&amp;"-"&amp;VLOOKUP($N481,CODE!$K:$P,CODE!$O$1,FALSE)))</f>
        <v>SBR</v>
      </c>
      <c r="P481" s="29" t="str">
        <f t="shared" si="102"/>
        <v>성인</v>
      </c>
      <c r="Q481" s="29" t="str">
        <f t="shared" si="103"/>
        <v>SBRBEF5053</v>
      </c>
      <c r="R481" s="1" t="s">
        <v>1264</v>
      </c>
      <c r="S481" s="1" t="s">
        <v>14</v>
      </c>
      <c r="T481" s="26">
        <v>800</v>
      </c>
      <c r="U481" s="26">
        <v>28000000</v>
      </c>
      <c r="V481" s="26">
        <v>3093552.0000000005</v>
      </c>
      <c r="W481" s="26">
        <v>8.2282584726377479</v>
      </c>
      <c r="X481" s="26">
        <v>799</v>
      </c>
      <c r="Y481" s="26">
        <v>0</v>
      </c>
    </row>
    <row r="482" spans="1:25">
      <c r="A482" s="24" t="str">
        <f t="shared" si="95"/>
        <v>신규</v>
      </c>
      <c r="B482" s="24" t="str">
        <f>IF(COUNTIF(R$1:R481,R482)=0,"최초","리오더")</f>
        <v>최초</v>
      </c>
      <c r="C482" s="24" t="str">
        <f t="shared" si="96"/>
        <v>SBRBEF5053</v>
      </c>
      <c r="D482" s="24">
        <f t="shared" si="91"/>
        <v>0.5</v>
      </c>
      <c r="E482" s="24" t="str">
        <f t="shared" si="97"/>
        <v/>
      </c>
      <c r="F482" s="24">
        <f t="shared" si="92"/>
        <v>0</v>
      </c>
      <c r="G482" s="24" t="str">
        <f t="shared" si="98"/>
        <v>SBRBEF5053MT</v>
      </c>
      <c r="H482" s="24">
        <f t="shared" si="93"/>
        <v>1</v>
      </c>
      <c r="I482" s="24" t="str">
        <f t="shared" si="99"/>
        <v/>
      </c>
      <c r="J482" s="24">
        <f t="shared" si="94"/>
        <v>0</v>
      </c>
      <c r="K482" s="24" t="str">
        <f t="shared" si="100"/>
        <v>F5</v>
      </c>
      <c r="L482" s="24" t="str">
        <f>VLOOKUP(N482,CODE!K:P,CODE!$P$1,FALSE)</f>
        <v>모자</v>
      </c>
      <c r="M482" s="24" t="str">
        <f>VLOOKUP(MID(R482,1,3),CODE!$B:$G,CODE!D$1,FALSE)</f>
        <v>SBR</v>
      </c>
      <c r="N482" s="24" t="str">
        <f t="shared" si="101"/>
        <v>BE</v>
      </c>
      <c r="O482" s="29" t="str">
        <f>IF(ISERROR(IF(VLOOKUP($N482,CODE!$K:$P,CODE!$O$1,FALSE)="",$M482,$M482&amp;"-"&amp;VLOOKUP($N482,CODE!$K:$P,CODE!$O$1,FALSE)))=TRUE,"",IF(VLOOKUP($N482,CODE!$K:$P,CODE!$O$1,FALSE)="",$M482,$M482&amp;"-"&amp;VLOOKUP($N482,CODE!$K:$P,CODE!$O$1,FALSE)))</f>
        <v>SBR</v>
      </c>
      <c r="P482" s="29" t="str">
        <f t="shared" si="102"/>
        <v>성인</v>
      </c>
      <c r="Q482" s="29" t="str">
        <f t="shared" si="103"/>
        <v>SBRBEF5053</v>
      </c>
      <c r="R482" s="1" t="s">
        <v>1265</v>
      </c>
      <c r="S482" s="1" t="s">
        <v>14</v>
      </c>
      <c r="T482" s="26">
        <v>800</v>
      </c>
      <c r="U482" s="26">
        <v>28000000</v>
      </c>
      <c r="V482" s="26">
        <v>3093552.0000000005</v>
      </c>
      <c r="W482" s="26">
        <v>8.2282584726377479</v>
      </c>
      <c r="X482" s="26">
        <v>800</v>
      </c>
      <c r="Y482" s="26">
        <v>0</v>
      </c>
    </row>
    <row r="483" spans="1:25">
      <c r="A483" s="24" t="str">
        <f t="shared" si="95"/>
        <v>신규</v>
      </c>
      <c r="B483" s="24" t="str">
        <f>IF(COUNTIF(R$1:R482,R483)=0,"최초","리오더")</f>
        <v>최초</v>
      </c>
      <c r="C483" s="24" t="str">
        <f t="shared" si="96"/>
        <v>SBREBF5054</v>
      </c>
      <c r="D483" s="24">
        <f t="shared" si="91"/>
        <v>0.33333333333333331</v>
      </c>
      <c r="E483" s="24" t="str">
        <f t="shared" si="97"/>
        <v/>
      </c>
      <c r="F483" s="24">
        <f t="shared" si="92"/>
        <v>0</v>
      </c>
      <c r="G483" s="24" t="str">
        <f t="shared" si="98"/>
        <v>SBREBF5054PP</v>
      </c>
      <c r="H483" s="24">
        <f t="shared" si="93"/>
        <v>1</v>
      </c>
      <c r="I483" s="24" t="str">
        <f t="shared" si="99"/>
        <v/>
      </c>
      <c r="J483" s="24">
        <f t="shared" si="94"/>
        <v>0</v>
      </c>
      <c r="K483" s="24" t="str">
        <f t="shared" si="100"/>
        <v>F5</v>
      </c>
      <c r="L483" s="24" t="str">
        <f>VLOOKUP(N483,CODE!K:P,CODE!$P$1,FALSE)</f>
        <v>모자</v>
      </c>
      <c r="M483" s="24" t="str">
        <f>VLOOKUP(MID(R483,1,3),CODE!$B:$G,CODE!D$1,FALSE)</f>
        <v>SBR</v>
      </c>
      <c r="N483" s="24" t="str">
        <f t="shared" si="101"/>
        <v>EB</v>
      </c>
      <c r="O483" s="29" t="str">
        <f>IF(ISERROR(IF(VLOOKUP($N483,CODE!$K:$P,CODE!$O$1,FALSE)="",$M483,$M483&amp;"-"&amp;VLOOKUP($N483,CODE!$K:$P,CODE!$O$1,FALSE)))=TRUE,"",IF(VLOOKUP($N483,CODE!$K:$P,CODE!$O$1,FALSE)="",$M483,$M483&amp;"-"&amp;VLOOKUP($N483,CODE!$K:$P,CODE!$O$1,FALSE)))</f>
        <v>SBR</v>
      </c>
      <c r="P483" s="29" t="str">
        <f t="shared" si="102"/>
        <v>성인</v>
      </c>
      <c r="Q483" s="29" t="str">
        <f t="shared" si="103"/>
        <v>SBREBF5054</v>
      </c>
      <c r="R483" s="1" t="s">
        <v>1266</v>
      </c>
      <c r="S483" s="1" t="s">
        <v>14</v>
      </c>
      <c r="T483" s="26">
        <v>1000</v>
      </c>
      <c r="U483" s="26">
        <v>39000000</v>
      </c>
      <c r="V483" s="26">
        <v>5738040</v>
      </c>
      <c r="W483" s="26">
        <v>6.178859933800644</v>
      </c>
      <c r="X483" s="26">
        <v>1000</v>
      </c>
      <c r="Y483" s="26">
        <v>0</v>
      </c>
    </row>
    <row r="484" spans="1:25">
      <c r="A484" s="24" t="str">
        <f t="shared" si="95"/>
        <v>신규</v>
      </c>
      <c r="B484" s="24" t="str">
        <f>IF(COUNTIF(R$1:R483,R484)=0,"최초","리오더")</f>
        <v>최초</v>
      </c>
      <c r="C484" s="24" t="str">
        <f t="shared" si="96"/>
        <v>SBREBF5054</v>
      </c>
      <c r="D484" s="24">
        <f t="shared" si="91"/>
        <v>0.33333333333333331</v>
      </c>
      <c r="E484" s="24" t="str">
        <f t="shared" si="97"/>
        <v/>
      </c>
      <c r="F484" s="24">
        <f t="shared" si="92"/>
        <v>0</v>
      </c>
      <c r="G484" s="24" t="str">
        <f t="shared" si="98"/>
        <v>SBREBF5054BK</v>
      </c>
      <c r="H484" s="24">
        <f t="shared" si="93"/>
        <v>1</v>
      </c>
      <c r="I484" s="24" t="str">
        <f t="shared" si="99"/>
        <v/>
      </c>
      <c r="J484" s="24">
        <f t="shared" si="94"/>
        <v>0</v>
      </c>
      <c r="K484" s="24" t="str">
        <f t="shared" si="100"/>
        <v>F5</v>
      </c>
      <c r="L484" s="24" t="str">
        <f>VLOOKUP(N484,CODE!K:P,CODE!$P$1,FALSE)</f>
        <v>모자</v>
      </c>
      <c r="M484" s="24" t="str">
        <f>VLOOKUP(MID(R484,1,3),CODE!$B:$G,CODE!D$1,FALSE)</f>
        <v>SBR</v>
      </c>
      <c r="N484" s="24" t="str">
        <f t="shared" si="101"/>
        <v>EB</v>
      </c>
      <c r="O484" s="29" t="str">
        <f>IF(ISERROR(IF(VLOOKUP($N484,CODE!$K:$P,CODE!$O$1,FALSE)="",$M484,$M484&amp;"-"&amp;VLOOKUP($N484,CODE!$K:$P,CODE!$O$1,FALSE)))=TRUE,"",IF(VLOOKUP($N484,CODE!$K:$P,CODE!$O$1,FALSE)="",$M484,$M484&amp;"-"&amp;VLOOKUP($N484,CODE!$K:$P,CODE!$O$1,FALSE)))</f>
        <v>SBR</v>
      </c>
      <c r="P484" s="29" t="str">
        <f t="shared" si="102"/>
        <v>성인</v>
      </c>
      <c r="Q484" s="29" t="str">
        <f t="shared" si="103"/>
        <v>SBREBF5054</v>
      </c>
      <c r="R484" s="1" t="s">
        <v>1267</v>
      </c>
      <c r="S484" s="1" t="s">
        <v>14</v>
      </c>
      <c r="T484" s="26">
        <v>1000</v>
      </c>
      <c r="U484" s="26">
        <v>39000000</v>
      </c>
      <c r="V484" s="26">
        <v>5738040</v>
      </c>
      <c r="W484" s="26">
        <v>6.178859933800644</v>
      </c>
      <c r="X484" s="26">
        <v>997</v>
      </c>
      <c r="Y484" s="26">
        <v>0</v>
      </c>
    </row>
    <row r="485" spans="1:25">
      <c r="A485" s="24" t="str">
        <f t="shared" si="95"/>
        <v>신규</v>
      </c>
      <c r="B485" s="24" t="str">
        <f>IF(COUNTIF(R$1:R484,R485)=0,"최초","리오더")</f>
        <v>최초</v>
      </c>
      <c r="C485" s="24" t="str">
        <f t="shared" si="96"/>
        <v>SBREBF5054</v>
      </c>
      <c r="D485" s="24">
        <f t="shared" si="91"/>
        <v>0.33333333333333331</v>
      </c>
      <c r="E485" s="24" t="str">
        <f t="shared" si="97"/>
        <v/>
      </c>
      <c r="F485" s="24">
        <f t="shared" si="92"/>
        <v>0</v>
      </c>
      <c r="G485" s="24" t="str">
        <f t="shared" si="98"/>
        <v>SBREBF5054RE</v>
      </c>
      <c r="H485" s="24">
        <f t="shared" si="93"/>
        <v>1</v>
      </c>
      <c r="I485" s="24" t="str">
        <f t="shared" si="99"/>
        <v/>
      </c>
      <c r="J485" s="24">
        <f t="shared" si="94"/>
        <v>0</v>
      </c>
      <c r="K485" s="24" t="str">
        <f t="shared" si="100"/>
        <v>F5</v>
      </c>
      <c r="L485" s="24" t="str">
        <f>VLOOKUP(N485,CODE!K:P,CODE!$P$1,FALSE)</f>
        <v>모자</v>
      </c>
      <c r="M485" s="24" t="str">
        <f>VLOOKUP(MID(R485,1,3),CODE!$B:$G,CODE!D$1,FALSE)</f>
        <v>SBR</v>
      </c>
      <c r="N485" s="24" t="str">
        <f t="shared" si="101"/>
        <v>EB</v>
      </c>
      <c r="O485" s="29" t="str">
        <f>IF(ISERROR(IF(VLOOKUP($N485,CODE!$K:$P,CODE!$O$1,FALSE)="",$M485,$M485&amp;"-"&amp;VLOOKUP($N485,CODE!$K:$P,CODE!$O$1,FALSE)))=TRUE,"",IF(VLOOKUP($N485,CODE!$K:$P,CODE!$O$1,FALSE)="",$M485,$M485&amp;"-"&amp;VLOOKUP($N485,CODE!$K:$P,CODE!$O$1,FALSE)))</f>
        <v>SBR</v>
      </c>
      <c r="P485" s="29" t="str">
        <f t="shared" si="102"/>
        <v>성인</v>
      </c>
      <c r="Q485" s="29" t="str">
        <f t="shared" si="103"/>
        <v>SBREBF5054</v>
      </c>
      <c r="R485" s="1" t="s">
        <v>1268</v>
      </c>
      <c r="S485" s="1" t="s">
        <v>14</v>
      </c>
      <c r="T485" s="26">
        <v>1000</v>
      </c>
      <c r="U485" s="26">
        <v>39000000</v>
      </c>
      <c r="V485" s="26">
        <v>5738040</v>
      </c>
      <c r="W485" s="26">
        <v>6.178859933800644</v>
      </c>
      <c r="X485" s="26">
        <v>1001</v>
      </c>
      <c r="Y485" s="26">
        <v>0</v>
      </c>
    </row>
    <row r="486" spans="1:25">
      <c r="A486" s="24" t="str">
        <f t="shared" si="95"/>
        <v>신규</v>
      </c>
      <c r="B486" s="24" t="str">
        <f>IF(COUNTIF(R$1:R485,R486)=0,"최초","리오더")</f>
        <v>최초</v>
      </c>
      <c r="C486" s="24" t="str">
        <f t="shared" si="96"/>
        <v>SBREBF5554</v>
      </c>
      <c r="D486" s="24">
        <f t="shared" si="91"/>
        <v>0.33333333333333331</v>
      </c>
      <c r="E486" s="24" t="str">
        <f t="shared" si="97"/>
        <v/>
      </c>
      <c r="F486" s="24">
        <f t="shared" si="92"/>
        <v>0</v>
      </c>
      <c r="G486" s="24" t="str">
        <f t="shared" si="98"/>
        <v>SBREBF5554PP</v>
      </c>
      <c r="H486" s="24">
        <f t="shared" si="93"/>
        <v>1</v>
      </c>
      <c r="I486" s="24" t="str">
        <f t="shared" si="99"/>
        <v/>
      </c>
      <c r="J486" s="24">
        <f t="shared" si="94"/>
        <v>0</v>
      </c>
      <c r="K486" s="24" t="str">
        <f t="shared" si="100"/>
        <v>F5</v>
      </c>
      <c r="L486" s="24" t="str">
        <f>VLOOKUP(N486,CODE!K:P,CODE!$P$1,FALSE)</f>
        <v>모자</v>
      </c>
      <c r="M486" s="24" t="str">
        <f>VLOOKUP(MID(R486,1,3),CODE!$B:$G,CODE!D$1,FALSE)</f>
        <v>SBR</v>
      </c>
      <c r="N486" s="24" t="str">
        <f t="shared" si="101"/>
        <v>EB</v>
      </c>
      <c r="O486" s="29" t="str">
        <f>IF(ISERROR(IF(VLOOKUP($N486,CODE!$K:$P,CODE!$O$1,FALSE)="",$M486,$M486&amp;"-"&amp;VLOOKUP($N486,CODE!$K:$P,CODE!$O$1,FALSE)))=TRUE,"",IF(VLOOKUP($N486,CODE!$K:$P,CODE!$O$1,FALSE)="",$M486,$M486&amp;"-"&amp;VLOOKUP($N486,CODE!$K:$P,CODE!$O$1,FALSE)))</f>
        <v>SBR</v>
      </c>
      <c r="P486" s="29" t="str">
        <f t="shared" si="102"/>
        <v>키즈</v>
      </c>
      <c r="Q486" s="29" t="str">
        <f t="shared" si="103"/>
        <v>SBREBF5554</v>
      </c>
      <c r="R486" s="1" t="s">
        <v>1269</v>
      </c>
      <c r="S486" s="1" t="s">
        <v>14</v>
      </c>
      <c r="T486" s="26">
        <v>800</v>
      </c>
      <c r="U486" s="26">
        <v>28000000</v>
      </c>
      <c r="V486" s="26">
        <v>4590432</v>
      </c>
      <c r="W486" s="26">
        <v>5.545130709821092</v>
      </c>
      <c r="X486" s="26">
        <v>799</v>
      </c>
      <c r="Y486" s="26">
        <v>0</v>
      </c>
    </row>
    <row r="487" spans="1:25">
      <c r="A487" s="24" t="str">
        <f t="shared" si="95"/>
        <v>신규</v>
      </c>
      <c r="B487" s="24" t="str">
        <f>IF(COUNTIF(R$1:R486,R487)=0,"최초","리오더")</f>
        <v>최초</v>
      </c>
      <c r="C487" s="24" t="str">
        <f t="shared" si="96"/>
        <v>SBREBF5554</v>
      </c>
      <c r="D487" s="24">
        <f t="shared" si="91"/>
        <v>0.33333333333333331</v>
      </c>
      <c r="E487" s="24" t="str">
        <f t="shared" si="97"/>
        <v/>
      </c>
      <c r="F487" s="24">
        <f t="shared" si="92"/>
        <v>0</v>
      </c>
      <c r="G487" s="24" t="str">
        <f t="shared" si="98"/>
        <v>SBREBF5554BK</v>
      </c>
      <c r="H487" s="24">
        <f t="shared" si="93"/>
        <v>1</v>
      </c>
      <c r="I487" s="24" t="str">
        <f t="shared" si="99"/>
        <v/>
      </c>
      <c r="J487" s="24">
        <f t="shared" si="94"/>
        <v>0</v>
      </c>
      <c r="K487" s="24" t="str">
        <f t="shared" si="100"/>
        <v>F5</v>
      </c>
      <c r="L487" s="24" t="str">
        <f>VLOOKUP(N487,CODE!K:P,CODE!$P$1,FALSE)</f>
        <v>모자</v>
      </c>
      <c r="M487" s="24" t="str">
        <f>VLOOKUP(MID(R487,1,3),CODE!$B:$G,CODE!D$1,FALSE)</f>
        <v>SBR</v>
      </c>
      <c r="N487" s="24" t="str">
        <f t="shared" si="101"/>
        <v>EB</v>
      </c>
      <c r="O487" s="29" t="str">
        <f>IF(ISERROR(IF(VLOOKUP($N487,CODE!$K:$P,CODE!$O$1,FALSE)="",$M487,$M487&amp;"-"&amp;VLOOKUP($N487,CODE!$K:$P,CODE!$O$1,FALSE)))=TRUE,"",IF(VLOOKUP($N487,CODE!$K:$P,CODE!$O$1,FALSE)="",$M487,$M487&amp;"-"&amp;VLOOKUP($N487,CODE!$K:$P,CODE!$O$1,FALSE)))</f>
        <v>SBR</v>
      </c>
      <c r="P487" s="29" t="str">
        <f t="shared" si="102"/>
        <v>키즈</v>
      </c>
      <c r="Q487" s="29" t="str">
        <f t="shared" si="103"/>
        <v>SBREBF5554</v>
      </c>
      <c r="R487" s="1" t="s">
        <v>1270</v>
      </c>
      <c r="S487" s="1" t="s">
        <v>14</v>
      </c>
      <c r="T487" s="26">
        <v>800</v>
      </c>
      <c r="U487" s="26">
        <v>28000000</v>
      </c>
      <c r="V487" s="26">
        <v>4590432</v>
      </c>
      <c r="W487" s="26">
        <v>5.545130709821092</v>
      </c>
      <c r="X487" s="26">
        <v>800</v>
      </c>
      <c r="Y487" s="26">
        <v>0</v>
      </c>
    </row>
    <row r="488" spans="1:25">
      <c r="A488" s="24" t="str">
        <f t="shared" si="95"/>
        <v>신규</v>
      </c>
      <c r="B488" s="24" t="str">
        <f>IF(COUNTIF(R$1:R487,R488)=0,"최초","리오더")</f>
        <v>최초</v>
      </c>
      <c r="C488" s="24" t="str">
        <f t="shared" si="96"/>
        <v>SBREBF5554</v>
      </c>
      <c r="D488" s="24">
        <f t="shared" si="91"/>
        <v>0.33333333333333331</v>
      </c>
      <c r="E488" s="24" t="str">
        <f t="shared" si="97"/>
        <v/>
      </c>
      <c r="F488" s="24">
        <f t="shared" si="92"/>
        <v>0</v>
      </c>
      <c r="G488" s="24" t="str">
        <f t="shared" si="98"/>
        <v>SBREBF5554RE</v>
      </c>
      <c r="H488" s="24">
        <f t="shared" si="93"/>
        <v>1</v>
      </c>
      <c r="I488" s="24" t="str">
        <f t="shared" si="99"/>
        <v/>
      </c>
      <c r="J488" s="24">
        <f t="shared" si="94"/>
        <v>0</v>
      </c>
      <c r="K488" s="24" t="str">
        <f t="shared" si="100"/>
        <v>F5</v>
      </c>
      <c r="L488" s="24" t="str">
        <f>VLOOKUP(N488,CODE!K:P,CODE!$P$1,FALSE)</f>
        <v>모자</v>
      </c>
      <c r="M488" s="24" t="str">
        <f>VLOOKUP(MID(R488,1,3),CODE!$B:$G,CODE!D$1,FALSE)</f>
        <v>SBR</v>
      </c>
      <c r="N488" s="24" t="str">
        <f t="shared" si="101"/>
        <v>EB</v>
      </c>
      <c r="O488" s="29" t="str">
        <f>IF(ISERROR(IF(VLOOKUP($N488,CODE!$K:$P,CODE!$O$1,FALSE)="",$M488,$M488&amp;"-"&amp;VLOOKUP($N488,CODE!$K:$P,CODE!$O$1,FALSE)))=TRUE,"",IF(VLOOKUP($N488,CODE!$K:$P,CODE!$O$1,FALSE)="",$M488,$M488&amp;"-"&amp;VLOOKUP($N488,CODE!$K:$P,CODE!$O$1,FALSE)))</f>
        <v>SBR</v>
      </c>
      <c r="P488" s="29" t="str">
        <f t="shared" si="102"/>
        <v>키즈</v>
      </c>
      <c r="Q488" s="29" t="str">
        <f t="shared" si="103"/>
        <v>SBREBF5554</v>
      </c>
      <c r="R488" s="1" t="s">
        <v>1271</v>
      </c>
      <c r="S488" s="1" t="s">
        <v>14</v>
      </c>
      <c r="T488" s="26">
        <v>800</v>
      </c>
      <c r="U488" s="26">
        <v>28000000</v>
      </c>
      <c r="V488" s="26">
        <v>4590432</v>
      </c>
      <c r="W488" s="26">
        <v>5.545130709821092</v>
      </c>
      <c r="X488" s="26">
        <v>798</v>
      </c>
      <c r="Y488" s="26">
        <v>0</v>
      </c>
    </row>
    <row r="489" spans="1:25">
      <c r="A489" s="24" t="str">
        <f t="shared" si="95"/>
        <v>신규</v>
      </c>
      <c r="B489" s="24" t="str">
        <f>IF(COUNTIF(R$1:R488,R489)=0,"최초","리오더")</f>
        <v>최초</v>
      </c>
      <c r="C489" s="24" t="str">
        <f t="shared" si="96"/>
        <v>PNYTLF4501</v>
      </c>
      <c r="D489" s="24">
        <f t="shared" si="91"/>
        <v>1</v>
      </c>
      <c r="E489" s="24" t="str">
        <f t="shared" si="97"/>
        <v/>
      </c>
      <c r="F489" s="24">
        <f t="shared" si="92"/>
        <v>0</v>
      </c>
      <c r="G489" s="24" t="str">
        <f t="shared" si="98"/>
        <v>PNYTLF4501NY</v>
      </c>
      <c r="H489" s="24">
        <f t="shared" si="93"/>
        <v>1</v>
      </c>
      <c r="I489" s="24" t="str">
        <f t="shared" si="99"/>
        <v/>
      </c>
      <c r="J489" s="24">
        <f t="shared" si="94"/>
        <v>0</v>
      </c>
      <c r="K489" s="24" t="str">
        <f t="shared" si="100"/>
        <v>F4</v>
      </c>
      <c r="L489" s="24" t="str">
        <f>VLOOKUP(N489,CODE!K:P,CODE!$P$1,FALSE)</f>
        <v>의류</v>
      </c>
      <c r="M489" s="24" t="str">
        <f>VLOOKUP(MID(R489,1,3),CODE!$B:$G,CODE!D$1,FALSE)</f>
        <v>PNY</v>
      </c>
      <c r="N489" s="24" t="str">
        <f t="shared" si="101"/>
        <v>TL</v>
      </c>
      <c r="O489" s="29" t="str">
        <f>IF(ISERROR(IF(VLOOKUP($N489,CODE!$K:$P,CODE!$O$1,FALSE)="",$M489,$M489&amp;"-"&amp;VLOOKUP($N489,CODE!$K:$P,CODE!$O$1,FALSE)))=TRUE,"",IF(VLOOKUP($N489,CODE!$K:$P,CODE!$O$1,FALSE)="",$M489,$M489&amp;"-"&amp;VLOOKUP($N489,CODE!$K:$P,CODE!$O$1,FALSE)))</f>
        <v>PNY-의류</v>
      </c>
      <c r="P489" s="29" t="str">
        <f t="shared" si="102"/>
        <v>키즈</v>
      </c>
      <c r="Q489" s="29" t="str">
        <f t="shared" si="103"/>
        <v>PNYTLF4501</v>
      </c>
      <c r="R489" s="1" t="s">
        <v>1417</v>
      </c>
      <c r="S489" s="1" t="s">
        <v>14</v>
      </c>
      <c r="T489" s="26">
        <v>1200</v>
      </c>
      <c r="U489" s="26">
        <v>94800000</v>
      </c>
      <c r="V489" s="26">
        <v>20675400</v>
      </c>
      <c r="W489" s="26">
        <v>4.1683265224284991</v>
      </c>
      <c r="X489" s="26">
        <v>1247</v>
      </c>
      <c r="Y489" s="26">
        <v>0</v>
      </c>
    </row>
    <row r="490" spans="1:25">
      <c r="A490" s="24" t="str">
        <f t="shared" si="95"/>
        <v>신규</v>
      </c>
      <c r="B490" s="24" t="str">
        <f>IF(COUNTIF(R$1:R489,R490)=0,"최초","리오더")</f>
        <v>최초</v>
      </c>
      <c r="C490" s="24" t="str">
        <f t="shared" si="96"/>
        <v>PNYHPF5506</v>
      </c>
      <c r="D490" s="24">
        <f t="shared" si="91"/>
        <v>1</v>
      </c>
      <c r="E490" s="24" t="str">
        <f t="shared" si="97"/>
        <v/>
      </c>
      <c r="F490" s="24">
        <f t="shared" si="92"/>
        <v>0</v>
      </c>
      <c r="G490" s="24" t="str">
        <f t="shared" si="98"/>
        <v>PNYHPF5506BK</v>
      </c>
      <c r="H490" s="24">
        <f t="shared" si="93"/>
        <v>1</v>
      </c>
      <c r="I490" s="24" t="str">
        <f t="shared" si="99"/>
        <v/>
      </c>
      <c r="J490" s="24">
        <f t="shared" si="94"/>
        <v>0</v>
      </c>
      <c r="K490" s="24" t="str">
        <f t="shared" si="100"/>
        <v>F5</v>
      </c>
      <c r="L490" s="24" t="str">
        <f>VLOOKUP(N490,CODE!K:P,CODE!$P$1,FALSE)</f>
        <v>의류</v>
      </c>
      <c r="M490" s="24" t="str">
        <f>VLOOKUP(MID(R490,1,3),CODE!$B:$G,CODE!D$1,FALSE)</f>
        <v>PNY</v>
      </c>
      <c r="N490" s="24" t="str">
        <f t="shared" si="101"/>
        <v>HP</v>
      </c>
      <c r="O490" s="29" t="str">
        <f>IF(ISERROR(IF(VLOOKUP($N490,CODE!$K:$P,CODE!$O$1,FALSE)="",$M490,$M490&amp;"-"&amp;VLOOKUP($N490,CODE!$K:$P,CODE!$O$1,FALSE)))=TRUE,"",IF(VLOOKUP($N490,CODE!$K:$P,CODE!$O$1,FALSE)="",$M490,$M490&amp;"-"&amp;VLOOKUP($N490,CODE!$K:$P,CODE!$O$1,FALSE)))</f>
        <v>PNY-의류</v>
      </c>
      <c r="P490" s="29" t="str">
        <f t="shared" si="102"/>
        <v>키즈</v>
      </c>
      <c r="Q490" s="29" t="str">
        <f t="shared" si="103"/>
        <v>PNYHPF5506</v>
      </c>
      <c r="R490" s="1" t="s">
        <v>1418</v>
      </c>
      <c r="S490" s="1" t="s">
        <v>14</v>
      </c>
      <c r="T490" s="26">
        <v>1000</v>
      </c>
      <c r="U490" s="26">
        <v>109000000</v>
      </c>
      <c r="V490" s="26">
        <v>23120000</v>
      </c>
      <c r="W490" s="26">
        <v>4.2859389745202892</v>
      </c>
      <c r="X490" s="26">
        <v>1043</v>
      </c>
      <c r="Y490" s="26">
        <v>0</v>
      </c>
    </row>
    <row r="491" spans="1:25">
      <c r="A491" s="24" t="str">
        <f t="shared" si="95"/>
        <v>신규</v>
      </c>
      <c r="B491" s="24" t="str">
        <f>IF(COUNTIF(R$1:R490,R491)=0,"최초","리오더")</f>
        <v>최초</v>
      </c>
      <c r="C491" s="24" t="str">
        <f t="shared" si="96"/>
        <v>PNYTLF5508</v>
      </c>
      <c r="D491" s="24">
        <f t="shared" si="91"/>
        <v>0.5</v>
      </c>
      <c r="E491" s="24" t="str">
        <f t="shared" si="97"/>
        <v/>
      </c>
      <c r="F491" s="24">
        <f t="shared" si="92"/>
        <v>0</v>
      </c>
      <c r="G491" s="24" t="str">
        <f t="shared" si="98"/>
        <v>PNYTLF5508GY</v>
      </c>
      <c r="H491" s="24">
        <f t="shared" si="93"/>
        <v>1</v>
      </c>
      <c r="I491" s="24" t="str">
        <f t="shared" si="99"/>
        <v/>
      </c>
      <c r="J491" s="24">
        <f t="shared" si="94"/>
        <v>0</v>
      </c>
      <c r="K491" s="24" t="str">
        <f t="shared" si="100"/>
        <v>F5</v>
      </c>
      <c r="L491" s="24" t="str">
        <f>VLOOKUP(N491,CODE!K:P,CODE!$P$1,FALSE)</f>
        <v>의류</v>
      </c>
      <c r="M491" s="24" t="str">
        <f>VLOOKUP(MID(R491,1,3),CODE!$B:$G,CODE!D$1,FALSE)</f>
        <v>PNY</v>
      </c>
      <c r="N491" s="24" t="str">
        <f t="shared" si="101"/>
        <v>TL</v>
      </c>
      <c r="O491" s="29" t="str">
        <f>IF(ISERROR(IF(VLOOKUP($N491,CODE!$K:$P,CODE!$O$1,FALSE)="",$M491,$M491&amp;"-"&amp;VLOOKUP($N491,CODE!$K:$P,CODE!$O$1,FALSE)))=TRUE,"",IF(VLOOKUP($N491,CODE!$K:$P,CODE!$O$1,FALSE)="",$M491,$M491&amp;"-"&amp;VLOOKUP($N491,CODE!$K:$P,CODE!$O$1,FALSE)))</f>
        <v>PNY-의류</v>
      </c>
      <c r="P491" s="29" t="str">
        <f t="shared" si="102"/>
        <v>키즈</v>
      </c>
      <c r="Q491" s="29" t="str">
        <f t="shared" si="103"/>
        <v>PNYTLF5508</v>
      </c>
      <c r="R491" s="1" t="s">
        <v>1419</v>
      </c>
      <c r="S491" s="1" t="s">
        <v>14</v>
      </c>
      <c r="T491" s="26">
        <v>1200</v>
      </c>
      <c r="U491" s="26">
        <v>82800000</v>
      </c>
      <c r="V491" s="26">
        <v>19010778</v>
      </c>
      <c r="W491" s="26">
        <v>3.9594764229389914</v>
      </c>
      <c r="X491" s="26">
        <v>1268</v>
      </c>
      <c r="Y491" s="26">
        <v>0</v>
      </c>
    </row>
    <row r="492" spans="1:25">
      <c r="A492" s="24" t="str">
        <f t="shared" si="95"/>
        <v>신규</v>
      </c>
      <c r="B492" s="24" t="str">
        <f>IF(COUNTIF(R$1:R491,R492)=0,"최초","리오더")</f>
        <v>최초</v>
      </c>
      <c r="C492" s="24" t="str">
        <f t="shared" si="96"/>
        <v>PNYTLF5508</v>
      </c>
      <c r="D492" s="24">
        <f t="shared" si="91"/>
        <v>0.5</v>
      </c>
      <c r="E492" s="24" t="str">
        <f t="shared" si="97"/>
        <v/>
      </c>
      <c r="F492" s="24">
        <f t="shared" si="92"/>
        <v>0</v>
      </c>
      <c r="G492" s="24" t="str">
        <f t="shared" si="98"/>
        <v>PNYTLF5508BK</v>
      </c>
      <c r="H492" s="24">
        <f t="shared" si="93"/>
        <v>1</v>
      </c>
      <c r="I492" s="24" t="str">
        <f t="shared" si="99"/>
        <v/>
      </c>
      <c r="J492" s="24">
        <f t="shared" si="94"/>
        <v>0</v>
      </c>
      <c r="K492" s="24" t="str">
        <f t="shared" si="100"/>
        <v>F5</v>
      </c>
      <c r="L492" s="24" t="str">
        <f>VLOOKUP(N492,CODE!K:P,CODE!$P$1,FALSE)</f>
        <v>의류</v>
      </c>
      <c r="M492" s="24" t="str">
        <f>VLOOKUP(MID(R492,1,3),CODE!$B:$G,CODE!D$1,FALSE)</f>
        <v>PNY</v>
      </c>
      <c r="N492" s="24" t="str">
        <f t="shared" si="101"/>
        <v>TL</v>
      </c>
      <c r="O492" s="29" t="str">
        <f>IF(ISERROR(IF(VLOOKUP($N492,CODE!$K:$P,CODE!$O$1,FALSE)="",$M492,$M492&amp;"-"&amp;VLOOKUP($N492,CODE!$K:$P,CODE!$O$1,FALSE)))=TRUE,"",IF(VLOOKUP($N492,CODE!$K:$P,CODE!$O$1,FALSE)="",$M492,$M492&amp;"-"&amp;VLOOKUP($N492,CODE!$K:$P,CODE!$O$1,FALSE)))</f>
        <v>PNY-의류</v>
      </c>
      <c r="P492" s="29" t="str">
        <f t="shared" si="102"/>
        <v>키즈</v>
      </c>
      <c r="Q492" s="29" t="str">
        <f t="shared" si="103"/>
        <v>PNYTLF5508</v>
      </c>
      <c r="R492" s="1" t="s">
        <v>1420</v>
      </c>
      <c r="S492" s="1" t="s">
        <v>14</v>
      </c>
      <c r="T492" s="26">
        <v>1200</v>
      </c>
      <c r="U492" s="26">
        <v>82800000</v>
      </c>
      <c r="V492" s="26">
        <v>18227687.999999996</v>
      </c>
      <c r="W492" s="26">
        <v>4.1295817260382819</v>
      </c>
      <c r="X492" s="26">
        <v>1243</v>
      </c>
      <c r="Y492" s="26">
        <v>0</v>
      </c>
    </row>
    <row r="493" spans="1:25">
      <c r="A493" s="24" t="str">
        <f t="shared" si="95"/>
        <v>신규</v>
      </c>
      <c r="B493" s="24" t="str">
        <f>IF(COUNTIF(R$1:R492,R493)=0,"최초","리오더")</f>
        <v>최초</v>
      </c>
      <c r="C493" s="24" t="str">
        <f t="shared" si="96"/>
        <v>PNYPTF5508</v>
      </c>
      <c r="D493" s="24">
        <f t="shared" si="91"/>
        <v>1</v>
      </c>
      <c r="E493" s="24" t="str">
        <f t="shared" si="97"/>
        <v/>
      </c>
      <c r="F493" s="24">
        <f t="shared" si="92"/>
        <v>0</v>
      </c>
      <c r="G493" s="24" t="str">
        <f t="shared" si="98"/>
        <v>PNYPTF5508BK</v>
      </c>
      <c r="H493" s="24">
        <f t="shared" si="93"/>
        <v>1</v>
      </c>
      <c r="I493" s="24" t="str">
        <f t="shared" si="99"/>
        <v/>
      </c>
      <c r="J493" s="24">
        <f t="shared" si="94"/>
        <v>0</v>
      </c>
      <c r="K493" s="24" t="str">
        <f t="shared" si="100"/>
        <v>F5</v>
      </c>
      <c r="L493" s="24" t="str">
        <f>VLOOKUP(N493,CODE!K:P,CODE!$P$1,FALSE)</f>
        <v>의류</v>
      </c>
      <c r="M493" s="24" t="str">
        <f>VLOOKUP(MID(R493,1,3),CODE!$B:$G,CODE!D$1,FALSE)</f>
        <v>PNY</v>
      </c>
      <c r="N493" s="24" t="str">
        <f t="shared" si="101"/>
        <v>PT</v>
      </c>
      <c r="O493" s="29" t="str">
        <f>IF(ISERROR(IF(VLOOKUP($N493,CODE!$K:$P,CODE!$O$1,FALSE)="",$M493,$M493&amp;"-"&amp;VLOOKUP($N493,CODE!$K:$P,CODE!$O$1,FALSE)))=TRUE,"",IF(VLOOKUP($N493,CODE!$K:$P,CODE!$O$1,FALSE)="",$M493,$M493&amp;"-"&amp;VLOOKUP($N493,CODE!$K:$P,CODE!$O$1,FALSE)))</f>
        <v>PNY-의류</v>
      </c>
      <c r="P493" s="29" t="str">
        <f t="shared" si="102"/>
        <v>키즈</v>
      </c>
      <c r="Q493" s="29" t="str">
        <f t="shared" si="103"/>
        <v>PNYPTF5508</v>
      </c>
      <c r="R493" s="1" t="s">
        <v>1421</v>
      </c>
      <c r="S493" s="1" t="s">
        <v>14</v>
      </c>
      <c r="T493" s="26">
        <v>1000</v>
      </c>
      <c r="U493" s="26">
        <v>69000000</v>
      </c>
      <c r="V493" s="26">
        <v>16494890</v>
      </c>
      <c r="W493" s="26">
        <v>3.80283061768055</v>
      </c>
      <c r="X493" s="26">
        <v>969</v>
      </c>
      <c r="Y493" s="26">
        <v>0</v>
      </c>
    </row>
    <row r="494" spans="1:25">
      <c r="A494" s="24" t="str">
        <f t="shared" si="95"/>
        <v>신규</v>
      </c>
      <c r="B494" s="24" t="str">
        <f>IF(COUNTIF(R$1:R493,R494)=0,"최초","리오더")</f>
        <v>최초</v>
      </c>
      <c r="C494" s="24" t="str">
        <f t="shared" si="96"/>
        <v>PNYTHF5505</v>
      </c>
      <c r="D494" s="24">
        <f t="shared" si="91"/>
        <v>1</v>
      </c>
      <c r="E494" s="24" t="str">
        <f t="shared" si="97"/>
        <v/>
      </c>
      <c r="F494" s="24">
        <f t="shared" si="92"/>
        <v>0</v>
      </c>
      <c r="G494" s="24" t="str">
        <f t="shared" si="98"/>
        <v>PNYTHF5505BK</v>
      </c>
      <c r="H494" s="24">
        <f t="shared" si="93"/>
        <v>1</v>
      </c>
      <c r="I494" s="24" t="str">
        <f t="shared" si="99"/>
        <v/>
      </c>
      <c r="J494" s="24">
        <f t="shared" si="94"/>
        <v>0</v>
      </c>
      <c r="K494" s="24" t="str">
        <f t="shared" si="100"/>
        <v>F5</v>
      </c>
      <c r="L494" s="24" t="str">
        <f>VLOOKUP(N494,CODE!K:P,CODE!$P$1,FALSE)</f>
        <v>의류</v>
      </c>
      <c r="M494" s="24" t="str">
        <f>VLOOKUP(MID(R494,1,3),CODE!$B:$G,CODE!D$1,FALSE)</f>
        <v>PNY</v>
      </c>
      <c r="N494" s="24" t="str">
        <f t="shared" si="101"/>
        <v>TH</v>
      </c>
      <c r="O494" s="29" t="str">
        <f>IF(ISERROR(IF(VLOOKUP($N494,CODE!$K:$P,CODE!$O$1,FALSE)="",$M494,$M494&amp;"-"&amp;VLOOKUP($N494,CODE!$K:$P,CODE!$O$1,FALSE)))=TRUE,"",IF(VLOOKUP($N494,CODE!$K:$P,CODE!$O$1,FALSE)="",$M494,$M494&amp;"-"&amp;VLOOKUP($N494,CODE!$K:$P,CODE!$O$1,FALSE)))</f>
        <v>PNY-의류</v>
      </c>
      <c r="P494" s="29" t="str">
        <f t="shared" si="102"/>
        <v>키즈</v>
      </c>
      <c r="Q494" s="29" t="str">
        <f t="shared" si="103"/>
        <v>PNYTHF5505</v>
      </c>
      <c r="R494" s="1" t="s">
        <v>1422</v>
      </c>
      <c r="S494" s="1" t="s">
        <v>14</v>
      </c>
      <c r="T494" s="26">
        <v>1200</v>
      </c>
      <c r="U494" s="26">
        <v>118800000</v>
      </c>
      <c r="V494" s="26">
        <v>25788000</v>
      </c>
      <c r="W494" s="26">
        <v>4.1879944160074452</v>
      </c>
      <c r="X494" s="26">
        <v>1223</v>
      </c>
      <c r="Y494" s="26">
        <v>0</v>
      </c>
    </row>
    <row r="495" spans="1:25">
      <c r="A495" s="24" t="str">
        <f t="shared" si="95"/>
        <v>신규</v>
      </c>
      <c r="B495" s="24" t="str">
        <f>IF(COUNTIF(R$1:R494,R495)=0,"최초","리오더")</f>
        <v>최초</v>
      </c>
      <c r="C495" s="24" t="str">
        <f t="shared" si="96"/>
        <v>SBRSNF3055</v>
      </c>
      <c r="D495" s="24">
        <f t="shared" si="91"/>
        <v>1</v>
      </c>
      <c r="E495" s="24" t="str">
        <f t="shared" si="97"/>
        <v/>
      </c>
      <c r="F495" s="24">
        <f t="shared" si="92"/>
        <v>0</v>
      </c>
      <c r="G495" s="24" t="str">
        <f t="shared" si="98"/>
        <v>SBRSNF3055BK</v>
      </c>
      <c r="H495" s="24">
        <f t="shared" si="93"/>
        <v>1</v>
      </c>
      <c r="I495" s="24" t="str">
        <f t="shared" si="99"/>
        <v/>
      </c>
      <c r="J495" s="24">
        <f t="shared" si="94"/>
        <v>0</v>
      </c>
      <c r="K495" s="24" t="str">
        <f t="shared" si="100"/>
        <v>F3</v>
      </c>
      <c r="L495" s="24" t="str">
        <f>VLOOKUP(N495,CODE!K:P,CODE!$P$1,FALSE)</f>
        <v>모자</v>
      </c>
      <c r="M495" s="24" t="str">
        <f>VLOOKUP(MID(R495,1,3),CODE!$B:$G,CODE!D$1,FALSE)</f>
        <v>SBR</v>
      </c>
      <c r="N495" s="24" t="str">
        <f t="shared" si="101"/>
        <v>SN</v>
      </c>
      <c r="O495" s="29" t="str">
        <f>IF(ISERROR(IF(VLOOKUP($N495,CODE!$K:$P,CODE!$O$1,FALSE)="",$M495,$M495&amp;"-"&amp;VLOOKUP($N495,CODE!$K:$P,CODE!$O$1,FALSE)))=TRUE,"",IF(VLOOKUP($N495,CODE!$K:$P,CODE!$O$1,FALSE)="",$M495,$M495&amp;"-"&amp;VLOOKUP($N495,CODE!$K:$P,CODE!$O$1,FALSE)))</f>
        <v>SBR</v>
      </c>
      <c r="P495" s="29" t="str">
        <f t="shared" si="102"/>
        <v>성인</v>
      </c>
      <c r="Q495" s="29" t="str">
        <f t="shared" si="103"/>
        <v>SBRSNF3055</v>
      </c>
      <c r="R495" s="1" t="s">
        <v>1272</v>
      </c>
      <c r="S495" s="1" t="s">
        <v>14</v>
      </c>
      <c r="T495" s="26">
        <v>1200</v>
      </c>
      <c r="U495" s="26">
        <v>54000000</v>
      </c>
      <c r="V495" s="26">
        <v>5468532.0000000009</v>
      </c>
      <c r="W495" s="26">
        <v>8.9769812247435112</v>
      </c>
      <c r="X495" s="26">
        <v>1200</v>
      </c>
      <c r="Y495" s="26">
        <v>0</v>
      </c>
    </row>
    <row r="496" spans="1:25">
      <c r="A496" s="24" t="str">
        <f t="shared" si="95"/>
        <v>신규</v>
      </c>
      <c r="B496" s="24" t="str">
        <f>IF(COUNTIF(R$1:R495,R496)=0,"최초","리오더")</f>
        <v>최초</v>
      </c>
      <c r="C496" s="24" t="str">
        <f t="shared" si="96"/>
        <v>SBRSNF3056</v>
      </c>
      <c r="D496" s="24">
        <f t="shared" si="91"/>
        <v>1</v>
      </c>
      <c r="E496" s="24" t="str">
        <f t="shared" si="97"/>
        <v/>
      </c>
      <c r="F496" s="24">
        <f t="shared" si="92"/>
        <v>0</v>
      </c>
      <c r="G496" s="24" t="str">
        <f t="shared" si="98"/>
        <v>SBRSNF3056BK</v>
      </c>
      <c r="H496" s="24">
        <f t="shared" si="93"/>
        <v>1</v>
      </c>
      <c r="I496" s="24" t="str">
        <f t="shared" si="99"/>
        <v/>
      </c>
      <c r="J496" s="24">
        <f t="shared" si="94"/>
        <v>0</v>
      </c>
      <c r="K496" s="24" t="str">
        <f t="shared" si="100"/>
        <v>F3</v>
      </c>
      <c r="L496" s="24" t="str">
        <f>VLOOKUP(N496,CODE!K:P,CODE!$P$1,FALSE)</f>
        <v>모자</v>
      </c>
      <c r="M496" s="24" t="str">
        <f>VLOOKUP(MID(R496,1,3),CODE!$B:$G,CODE!D$1,FALSE)</f>
        <v>SBR</v>
      </c>
      <c r="N496" s="24" t="str">
        <f t="shared" si="101"/>
        <v>SN</v>
      </c>
      <c r="O496" s="29" t="str">
        <f>IF(ISERROR(IF(VLOOKUP($N496,CODE!$K:$P,CODE!$O$1,FALSE)="",$M496,$M496&amp;"-"&amp;VLOOKUP($N496,CODE!$K:$P,CODE!$O$1,FALSE)))=TRUE,"",IF(VLOOKUP($N496,CODE!$K:$P,CODE!$O$1,FALSE)="",$M496,$M496&amp;"-"&amp;VLOOKUP($N496,CODE!$K:$P,CODE!$O$1,FALSE)))</f>
        <v>SBR</v>
      </c>
      <c r="P496" s="29" t="str">
        <f t="shared" si="102"/>
        <v>성인</v>
      </c>
      <c r="Q496" s="29" t="str">
        <f t="shared" si="103"/>
        <v>SBRSNF3056</v>
      </c>
      <c r="R496" s="1" t="s">
        <v>1273</v>
      </c>
      <c r="S496" s="1" t="s">
        <v>14</v>
      </c>
      <c r="T496" s="26">
        <v>1200</v>
      </c>
      <c r="U496" s="26">
        <v>54000000</v>
      </c>
      <c r="V496" s="26">
        <v>5378532.0000000009</v>
      </c>
      <c r="W496" s="26">
        <v>9.1271947607468142</v>
      </c>
      <c r="X496" s="26">
        <v>1200</v>
      </c>
      <c r="Y496" s="26">
        <v>0</v>
      </c>
    </row>
    <row r="497" spans="1:25">
      <c r="A497" s="24" t="str">
        <f t="shared" si="95"/>
        <v>신규</v>
      </c>
      <c r="B497" s="24" t="str">
        <f>IF(COUNTIF(R$1:R496,R497)=0,"최초","리오더")</f>
        <v>최초</v>
      </c>
      <c r="C497" s="24" t="str">
        <f t="shared" si="96"/>
        <v>SBRSNF3057</v>
      </c>
      <c r="D497" s="24">
        <f t="shared" si="91"/>
        <v>1</v>
      </c>
      <c r="E497" s="24" t="str">
        <f t="shared" si="97"/>
        <v/>
      </c>
      <c r="F497" s="24">
        <f t="shared" si="92"/>
        <v>0</v>
      </c>
      <c r="G497" s="24" t="str">
        <f t="shared" si="98"/>
        <v>SBRSNF3057NY</v>
      </c>
      <c r="H497" s="24">
        <f t="shared" si="93"/>
        <v>1</v>
      </c>
      <c r="I497" s="24" t="str">
        <f t="shared" si="99"/>
        <v/>
      </c>
      <c r="J497" s="24">
        <f t="shared" si="94"/>
        <v>0</v>
      </c>
      <c r="K497" s="24" t="str">
        <f t="shared" si="100"/>
        <v>F3</v>
      </c>
      <c r="L497" s="24" t="str">
        <f>VLOOKUP(N497,CODE!K:P,CODE!$P$1,FALSE)</f>
        <v>모자</v>
      </c>
      <c r="M497" s="24" t="str">
        <f>VLOOKUP(MID(R497,1,3),CODE!$B:$G,CODE!D$1,FALSE)</f>
        <v>SBR</v>
      </c>
      <c r="N497" s="24" t="str">
        <f t="shared" si="101"/>
        <v>SN</v>
      </c>
      <c r="O497" s="29" t="str">
        <f>IF(ISERROR(IF(VLOOKUP($N497,CODE!$K:$P,CODE!$O$1,FALSE)="",$M497,$M497&amp;"-"&amp;VLOOKUP($N497,CODE!$K:$P,CODE!$O$1,FALSE)))=TRUE,"",IF(VLOOKUP($N497,CODE!$K:$P,CODE!$O$1,FALSE)="",$M497,$M497&amp;"-"&amp;VLOOKUP($N497,CODE!$K:$P,CODE!$O$1,FALSE)))</f>
        <v>SBR</v>
      </c>
      <c r="P497" s="29" t="str">
        <f t="shared" si="102"/>
        <v>성인</v>
      </c>
      <c r="Q497" s="29" t="str">
        <f t="shared" si="103"/>
        <v>SBRSNF3057</v>
      </c>
      <c r="R497" s="1" t="s">
        <v>1274</v>
      </c>
      <c r="S497" s="1" t="s">
        <v>14</v>
      </c>
      <c r="T497" s="26">
        <v>1000</v>
      </c>
      <c r="U497" s="26">
        <v>45000000</v>
      </c>
      <c r="V497" s="26">
        <v>4559460</v>
      </c>
      <c r="W497" s="26">
        <v>8.9723543816791693</v>
      </c>
      <c r="X497" s="26">
        <v>1000</v>
      </c>
      <c r="Y497" s="26">
        <v>0</v>
      </c>
    </row>
    <row r="498" spans="1:25">
      <c r="A498" s="24" t="str">
        <f t="shared" si="95"/>
        <v>신규</v>
      </c>
      <c r="B498" s="24" t="str">
        <f>IF(COUNTIF(R$1:R497,R498)=0,"최초","리오더")</f>
        <v>최초</v>
      </c>
      <c r="C498" s="24" t="str">
        <f t="shared" si="96"/>
        <v>SBRSNF3058</v>
      </c>
      <c r="D498" s="24">
        <f t="shared" si="91"/>
        <v>1</v>
      </c>
      <c r="E498" s="24" t="str">
        <f t="shared" si="97"/>
        <v/>
      </c>
      <c r="F498" s="24">
        <f t="shared" si="92"/>
        <v>0</v>
      </c>
      <c r="G498" s="24" t="str">
        <f t="shared" si="98"/>
        <v>SBRSNF3058GY</v>
      </c>
      <c r="H498" s="24">
        <f t="shared" si="93"/>
        <v>1</v>
      </c>
      <c r="I498" s="24" t="str">
        <f t="shared" si="99"/>
        <v/>
      </c>
      <c r="J498" s="24">
        <f t="shared" si="94"/>
        <v>0</v>
      </c>
      <c r="K498" s="24" t="str">
        <f t="shared" si="100"/>
        <v>F3</v>
      </c>
      <c r="L498" s="24" t="str">
        <f>VLOOKUP(N498,CODE!K:P,CODE!$P$1,FALSE)</f>
        <v>모자</v>
      </c>
      <c r="M498" s="24" t="str">
        <f>VLOOKUP(MID(R498,1,3),CODE!$B:$G,CODE!D$1,FALSE)</f>
        <v>SBR</v>
      </c>
      <c r="N498" s="24" t="str">
        <f t="shared" si="101"/>
        <v>SN</v>
      </c>
      <c r="O498" s="29" t="str">
        <f>IF(ISERROR(IF(VLOOKUP($N498,CODE!$K:$P,CODE!$O$1,FALSE)="",$M498,$M498&amp;"-"&amp;VLOOKUP($N498,CODE!$K:$P,CODE!$O$1,FALSE)))=TRUE,"",IF(VLOOKUP($N498,CODE!$K:$P,CODE!$O$1,FALSE)="",$M498,$M498&amp;"-"&amp;VLOOKUP($N498,CODE!$K:$P,CODE!$O$1,FALSE)))</f>
        <v>SBR</v>
      </c>
      <c r="P498" s="29" t="str">
        <f t="shared" si="102"/>
        <v>성인</v>
      </c>
      <c r="Q498" s="29" t="str">
        <f t="shared" si="103"/>
        <v>SBRSNF3058</v>
      </c>
      <c r="R498" s="1" t="s">
        <v>1275</v>
      </c>
      <c r="S498" s="1" t="s">
        <v>14</v>
      </c>
      <c r="T498" s="26">
        <v>1000</v>
      </c>
      <c r="U498" s="26">
        <v>45000000</v>
      </c>
      <c r="V498" s="26">
        <v>4859460</v>
      </c>
      <c r="W498" s="26">
        <v>8.418443800152879</v>
      </c>
      <c r="X498" s="26">
        <v>1000</v>
      </c>
      <c r="Y498" s="26">
        <v>0</v>
      </c>
    </row>
    <row r="499" spans="1:25">
      <c r="A499" s="24" t="str">
        <f t="shared" si="95"/>
        <v>신규</v>
      </c>
      <c r="B499" s="24" t="str">
        <f>IF(COUNTIF(R$1:R498,R499)=0,"최초","리오더")</f>
        <v>최초</v>
      </c>
      <c r="C499" s="24" t="str">
        <f t="shared" si="96"/>
        <v>SBRSNF3059</v>
      </c>
      <c r="D499" s="24">
        <f t="shared" si="91"/>
        <v>1</v>
      </c>
      <c r="E499" s="24" t="str">
        <f t="shared" si="97"/>
        <v/>
      </c>
      <c r="F499" s="24">
        <f t="shared" si="92"/>
        <v>0</v>
      </c>
      <c r="G499" s="24" t="str">
        <f t="shared" si="98"/>
        <v>SBRSNF3059NY</v>
      </c>
      <c r="H499" s="24">
        <f t="shared" si="93"/>
        <v>1</v>
      </c>
      <c r="I499" s="24" t="str">
        <f t="shared" si="99"/>
        <v/>
      </c>
      <c r="J499" s="24">
        <f t="shared" si="94"/>
        <v>0</v>
      </c>
      <c r="K499" s="24" t="str">
        <f t="shared" si="100"/>
        <v>F3</v>
      </c>
      <c r="L499" s="24" t="str">
        <f>VLOOKUP(N499,CODE!K:P,CODE!$P$1,FALSE)</f>
        <v>모자</v>
      </c>
      <c r="M499" s="24" t="str">
        <f>VLOOKUP(MID(R499,1,3),CODE!$B:$G,CODE!D$1,FALSE)</f>
        <v>SBR</v>
      </c>
      <c r="N499" s="24" t="str">
        <f t="shared" si="101"/>
        <v>SN</v>
      </c>
      <c r="O499" s="29" t="str">
        <f>IF(ISERROR(IF(VLOOKUP($N499,CODE!$K:$P,CODE!$O$1,FALSE)="",$M499,$M499&amp;"-"&amp;VLOOKUP($N499,CODE!$K:$P,CODE!$O$1,FALSE)))=TRUE,"",IF(VLOOKUP($N499,CODE!$K:$P,CODE!$O$1,FALSE)="",$M499,$M499&amp;"-"&amp;VLOOKUP($N499,CODE!$K:$P,CODE!$O$1,FALSE)))</f>
        <v>SBR</v>
      </c>
      <c r="P499" s="29" t="str">
        <f t="shared" si="102"/>
        <v>성인</v>
      </c>
      <c r="Q499" s="29" t="str">
        <f t="shared" si="103"/>
        <v>SBRSNF3059</v>
      </c>
      <c r="R499" s="1" t="s">
        <v>1276</v>
      </c>
      <c r="S499" s="1" t="s">
        <v>14</v>
      </c>
      <c r="T499" s="26">
        <v>1000</v>
      </c>
      <c r="U499" s="26">
        <v>45000000</v>
      </c>
      <c r="V499" s="26">
        <v>4647710.0000000009</v>
      </c>
      <c r="W499" s="26">
        <v>8.8019887017673</v>
      </c>
      <c r="X499" s="26">
        <v>1000</v>
      </c>
      <c r="Y499" s="26">
        <v>0</v>
      </c>
    </row>
    <row r="500" spans="1:25">
      <c r="A500" s="24" t="str">
        <f t="shared" si="95"/>
        <v>신규</v>
      </c>
      <c r="B500" s="24" t="str">
        <f>IF(COUNTIF(R$1:R499,R500)=0,"최초","리오더")</f>
        <v>최초</v>
      </c>
      <c r="C500" s="24" t="str">
        <f t="shared" si="96"/>
        <v>SBRSNF3060</v>
      </c>
      <c r="D500" s="24">
        <f t="shared" si="91"/>
        <v>1</v>
      </c>
      <c r="E500" s="24" t="str">
        <f t="shared" si="97"/>
        <v/>
      </c>
      <c r="F500" s="24">
        <f t="shared" si="92"/>
        <v>0</v>
      </c>
      <c r="G500" s="24" t="str">
        <f t="shared" si="98"/>
        <v>SBRSNF3060BK</v>
      </c>
      <c r="H500" s="24">
        <f t="shared" si="93"/>
        <v>1</v>
      </c>
      <c r="I500" s="24" t="str">
        <f t="shared" si="99"/>
        <v/>
      </c>
      <c r="J500" s="24">
        <f t="shared" si="94"/>
        <v>0</v>
      </c>
      <c r="K500" s="24" t="str">
        <f t="shared" si="100"/>
        <v>F3</v>
      </c>
      <c r="L500" s="24" t="str">
        <f>VLOOKUP(N500,CODE!K:P,CODE!$P$1,FALSE)</f>
        <v>모자</v>
      </c>
      <c r="M500" s="24" t="str">
        <f>VLOOKUP(MID(R500,1,3),CODE!$B:$G,CODE!D$1,FALSE)</f>
        <v>SBR</v>
      </c>
      <c r="N500" s="24" t="str">
        <f t="shared" si="101"/>
        <v>SN</v>
      </c>
      <c r="O500" s="29" t="str">
        <f>IF(ISERROR(IF(VLOOKUP($N500,CODE!$K:$P,CODE!$O$1,FALSE)="",$M500,$M500&amp;"-"&amp;VLOOKUP($N500,CODE!$K:$P,CODE!$O$1,FALSE)))=TRUE,"",IF(VLOOKUP($N500,CODE!$K:$P,CODE!$O$1,FALSE)="",$M500,$M500&amp;"-"&amp;VLOOKUP($N500,CODE!$K:$P,CODE!$O$1,FALSE)))</f>
        <v>SBR</v>
      </c>
      <c r="P500" s="29" t="str">
        <f t="shared" si="102"/>
        <v>성인</v>
      </c>
      <c r="Q500" s="29" t="str">
        <f t="shared" si="103"/>
        <v>SBRSNF3060</v>
      </c>
      <c r="R500" s="1" t="s">
        <v>1277</v>
      </c>
      <c r="S500" s="1" t="s">
        <v>14</v>
      </c>
      <c r="T500" s="26">
        <v>1200</v>
      </c>
      <c r="U500" s="26">
        <v>54000000</v>
      </c>
      <c r="V500" s="26">
        <v>5441576.0000000056</v>
      </c>
      <c r="W500" s="26">
        <v>9.021450603815703</v>
      </c>
      <c r="X500" s="26">
        <v>1200</v>
      </c>
      <c r="Y500" s="26">
        <v>0</v>
      </c>
    </row>
    <row r="501" spans="1:25">
      <c r="A501" s="24" t="str">
        <f t="shared" si="95"/>
        <v>신규</v>
      </c>
      <c r="B501" s="24" t="str">
        <f>IF(COUNTIF(R$1:R500,R501)=0,"최초","리오더")</f>
        <v>최초</v>
      </c>
      <c r="C501" s="24" t="str">
        <f t="shared" si="96"/>
        <v>SBRSNF3061</v>
      </c>
      <c r="D501" s="24">
        <f t="shared" si="91"/>
        <v>1</v>
      </c>
      <c r="E501" s="24" t="str">
        <f t="shared" si="97"/>
        <v/>
      </c>
      <c r="F501" s="24">
        <f t="shared" si="92"/>
        <v>0</v>
      </c>
      <c r="G501" s="24" t="str">
        <f t="shared" si="98"/>
        <v>SBRSNF3061BK</v>
      </c>
      <c r="H501" s="24">
        <f t="shared" si="93"/>
        <v>1</v>
      </c>
      <c r="I501" s="24" t="str">
        <f t="shared" si="99"/>
        <v/>
      </c>
      <c r="J501" s="24">
        <f t="shared" si="94"/>
        <v>0</v>
      </c>
      <c r="K501" s="24" t="str">
        <f t="shared" si="100"/>
        <v>F3</v>
      </c>
      <c r="L501" s="24" t="str">
        <f>VLOOKUP(N501,CODE!K:P,CODE!$P$1,FALSE)</f>
        <v>모자</v>
      </c>
      <c r="M501" s="24" t="str">
        <f>VLOOKUP(MID(R501,1,3),CODE!$B:$G,CODE!D$1,FALSE)</f>
        <v>SBR</v>
      </c>
      <c r="N501" s="24" t="str">
        <f t="shared" si="101"/>
        <v>SN</v>
      </c>
      <c r="O501" s="29" t="str">
        <f>IF(ISERROR(IF(VLOOKUP($N501,CODE!$K:$P,CODE!$O$1,FALSE)="",$M501,$M501&amp;"-"&amp;VLOOKUP($N501,CODE!$K:$P,CODE!$O$1,FALSE)))=TRUE,"",IF(VLOOKUP($N501,CODE!$K:$P,CODE!$O$1,FALSE)="",$M501,$M501&amp;"-"&amp;VLOOKUP($N501,CODE!$K:$P,CODE!$O$1,FALSE)))</f>
        <v>SBR</v>
      </c>
      <c r="P501" s="29" t="str">
        <f t="shared" si="102"/>
        <v>성인</v>
      </c>
      <c r="Q501" s="29" t="str">
        <f t="shared" si="103"/>
        <v>SBRSNF3061</v>
      </c>
      <c r="R501" s="1" t="s">
        <v>1278</v>
      </c>
      <c r="S501" s="1" t="s">
        <v>14</v>
      </c>
      <c r="T501" s="26">
        <v>1000</v>
      </c>
      <c r="U501" s="26">
        <v>45000000</v>
      </c>
      <c r="V501" s="26">
        <v>5432980.0000000009</v>
      </c>
      <c r="W501" s="26">
        <v>7.5297702014531431</v>
      </c>
      <c r="X501" s="26">
        <v>1000</v>
      </c>
      <c r="Y501" s="26">
        <v>0</v>
      </c>
    </row>
    <row r="502" spans="1:25">
      <c r="A502" s="24" t="str">
        <f t="shared" si="95"/>
        <v>신규</v>
      </c>
      <c r="B502" s="24" t="str">
        <f>IF(COUNTIF(R$1:R501,R502)=0,"최초","리오더")</f>
        <v>최초</v>
      </c>
      <c r="C502" s="24" t="str">
        <f t="shared" si="96"/>
        <v>SBRSNF3062</v>
      </c>
      <c r="D502" s="24">
        <f t="shared" si="91"/>
        <v>1</v>
      </c>
      <c r="E502" s="24" t="str">
        <f t="shared" si="97"/>
        <v/>
      </c>
      <c r="F502" s="24">
        <f t="shared" si="92"/>
        <v>0</v>
      </c>
      <c r="G502" s="24" t="str">
        <f t="shared" si="98"/>
        <v>SBRSNF3062NY</v>
      </c>
      <c r="H502" s="24">
        <f t="shared" si="93"/>
        <v>1</v>
      </c>
      <c r="I502" s="24" t="str">
        <f t="shared" si="99"/>
        <v/>
      </c>
      <c r="J502" s="24">
        <f t="shared" si="94"/>
        <v>0</v>
      </c>
      <c r="K502" s="24" t="str">
        <f t="shared" si="100"/>
        <v>F3</v>
      </c>
      <c r="L502" s="24" t="str">
        <f>VLOOKUP(N502,CODE!K:P,CODE!$P$1,FALSE)</f>
        <v>모자</v>
      </c>
      <c r="M502" s="24" t="str">
        <f>VLOOKUP(MID(R502,1,3),CODE!$B:$G,CODE!D$1,FALSE)</f>
        <v>SBR</v>
      </c>
      <c r="N502" s="24" t="str">
        <f t="shared" si="101"/>
        <v>SN</v>
      </c>
      <c r="O502" s="29" t="str">
        <f>IF(ISERROR(IF(VLOOKUP($N502,CODE!$K:$P,CODE!$O$1,FALSE)="",$M502,$M502&amp;"-"&amp;VLOOKUP($N502,CODE!$K:$P,CODE!$O$1,FALSE)))=TRUE,"",IF(VLOOKUP($N502,CODE!$K:$P,CODE!$O$1,FALSE)="",$M502,$M502&amp;"-"&amp;VLOOKUP($N502,CODE!$K:$P,CODE!$O$1,FALSE)))</f>
        <v>SBR</v>
      </c>
      <c r="P502" s="29" t="str">
        <f t="shared" si="102"/>
        <v>성인</v>
      </c>
      <c r="Q502" s="29" t="str">
        <f t="shared" si="103"/>
        <v>SBRSNF3062</v>
      </c>
      <c r="R502" s="1" t="s">
        <v>1279</v>
      </c>
      <c r="S502" s="1" t="s">
        <v>14</v>
      </c>
      <c r="T502" s="26">
        <v>1000</v>
      </c>
      <c r="U502" s="26">
        <v>45000000</v>
      </c>
      <c r="V502" s="26">
        <v>4706730.0000000009</v>
      </c>
      <c r="W502" s="26">
        <v>8.6916162408064395</v>
      </c>
      <c r="X502" s="26">
        <v>999</v>
      </c>
      <c r="Y502" s="26">
        <v>0</v>
      </c>
    </row>
    <row r="503" spans="1:25">
      <c r="A503" s="24" t="str">
        <f t="shared" si="95"/>
        <v>신규</v>
      </c>
      <c r="B503" s="24" t="str">
        <f>IF(COUNTIF(R$1:R502,R503)=0,"최초","리오더")</f>
        <v>최초</v>
      </c>
      <c r="C503" s="24" t="str">
        <f t="shared" si="96"/>
        <v>SBRSNF3063</v>
      </c>
      <c r="D503" s="24">
        <f t="shared" si="91"/>
        <v>1</v>
      </c>
      <c r="E503" s="24" t="str">
        <f t="shared" si="97"/>
        <v/>
      </c>
      <c r="F503" s="24">
        <f t="shared" si="92"/>
        <v>0</v>
      </c>
      <c r="G503" s="24" t="str">
        <f t="shared" si="98"/>
        <v>SBRSNF3063NY</v>
      </c>
      <c r="H503" s="24">
        <f t="shared" si="93"/>
        <v>1</v>
      </c>
      <c r="I503" s="24" t="str">
        <f t="shared" si="99"/>
        <v/>
      </c>
      <c r="J503" s="24">
        <f t="shared" si="94"/>
        <v>0</v>
      </c>
      <c r="K503" s="24" t="str">
        <f t="shared" si="100"/>
        <v>F3</v>
      </c>
      <c r="L503" s="24" t="str">
        <f>VLOOKUP(N503,CODE!K:P,CODE!$P$1,FALSE)</f>
        <v>모자</v>
      </c>
      <c r="M503" s="24" t="str">
        <f>VLOOKUP(MID(R503,1,3),CODE!$B:$G,CODE!D$1,FALSE)</f>
        <v>SBR</v>
      </c>
      <c r="N503" s="24" t="str">
        <f t="shared" si="101"/>
        <v>SN</v>
      </c>
      <c r="O503" s="29" t="str">
        <f>IF(ISERROR(IF(VLOOKUP($N503,CODE!$K:$P,CODE!$O$1,FALSE)="",$M503,$M503&amp;"-"&amp;VLOOKUP($N503,CODE!$K:$P,CODE!$O$1,FALSE)))=TRUE,"",IF(VLOOKUP($N503,CODE!$K:$P,CODE!$O$1,FALSE)="",$M503,$M503&amp;"-"&amp;VLOOKUP($N503,CODE!$K:$P,CODE!$O$1,FALSE)))</f>
        <v>SBR</v>
      </c>
      <c r="P503" s="29" t="str">
        <f t="shared" si="102"/>
        <v>성인</v>
      </c>
      <c r="Q503" s="29" t="str">
        <f t="shared" si="103"/>
        <v>SBRSNF3063</v>
      </c>
      <c r="R503" s="1" t="s">
        <v>1280</v>
      </c>
      <c r="S503" s="1" t="s">
        <v>14</v>
      </c>
      <c r="T503" s="26">
        <v>1000</v>
      </c>
      <c r="U503" s="26">
        <v>45000000</v>
      </c>
      <c r="V503" s="26">
        <v>5070580.0000000009</v>
      </c>
      <c r="W503" s="26">
        <v>8.0679312640942253</v>
      </c>
      <c r="X503" s="26">
        <v>1000</v>
      </c>
      <c r="Y503" s="26">
        <v>0</v>
      </c>
    </row>
    <row r="504" spans="1:25">
      <c r="A504" s="24" t="str">
        <f t="shared" si="95"/>
        <v>신규</v>
      </c>
      <c r="B504" s="24" t="str">
        <f>IF(COUNTIF(R$1:R503,R504)=0,"최초","리오더")</f>
        <v>최초</v>
      </c>
      <c r="C504" s="24" t="str">
        <f t="shared" si="96"/>
        <v>SBRBAF5064</v>
      </c>
      <c r="D504" s="24">
        <f t="shared" si="91"/>
        <v>1</v>
      </c>
      <c r="E504" s="24" t="str">
        <f t="shared" si="97"/>
        <v/>
      </c>
      <c r="F504" s="24">
        <f t="shared" si="92"/>
        <v>0</v>
      </c>
      <c r="G504" s="24" t="str">
        <f t="shared" si="98"/>
        <v>SBRBAF5064GY</v>
      </c>
      <c r="H504" s="24">
        <f t="shared" si="93"/>
        <v>1</v>
      </c>
      <c r="I504" s="24" t="str">
        <f t="shared" si="99"/>
        <v/>
      </c>
      <c r="J504" s="24">
        <f t="shared" si="94"/>
        <v>0</v>
      </c>
      <c r="K504" s="24" t="str">
        <f t="shared" si="100"/>
        <v>F5</v>
      </c>
      <c r="L504" s="24" t="str">
        <f>VLOOKUP(N504,CODE!K:P,CODE!$P$1,FALSE)</f>
        <v>모자</v>
      </c>
      <c r="M504" s="24" t="str">
        <f>VLOOKUP(MID(R504,1,3),CODE!$B:$G,CODE!D$1,FALSE)</f>
        <v>SBR</v>
      </c>
      <c r="N504" s="24" t="str">
        <f t="shared" si="101"/>
        <v>BA</v>
      </c>
      <c r="O504" s="29" t="str">
        <f>IF(ISERROR(IF(VLOOKUP($N504,CODE!$K:$P,CODE!$O$1,FALSE)="",$M504,$M504&amp;"-"&amp;VLOOKUP($N504,CODE!$K:$P,CODE!$O$1,FALSE)))=TRUE,"",IF(VLOOKUP($N504,CODE!$K:$P,CODE!$O$1,FALSE)="",$M504,$M504&amp;"-"&amp;VLOOKUP($N504,CODE!$K:$P,CODE!$O$1,FALSE)))</f>
        <v>SBR</v>
      </c>
      <c r="P504" s="29" t="str">
        <f t="shared" si="102"/>
        <v>성인</v>
      </c>
      <c r="Q504" s="29" t="str">
        <f t="shared" si="103"/>
        <v>SBRBAF5064</v>
      </c>
      <c r="R504" s="1" t="s">
        <v>1281</v>
      </c>
      <c r="S504" s="1" t="s">
        <v>14</v>
      </c>
      <c r="T504" s="26">
        <v>1200</v>
      </c>
      <c r="U504" s="26">
        <v>46800000</v>
      </c>
      <c r="V504" s="26">
        <v>7319876.0000000009</v>
      </c>
      <c r="W504" s="26">
        <v>5.812319026368006</v>
      </c>
      <c r="X504" s="26">
        <v>1200</v>
      </c>
      <c r="Y504" s="26">
        <v>0</v>
      </c>
    </row>
    <row r="505" spans="1:25">
      <c r="A505" s="24" t="str">
        <f t="shared" si="95"/>
        <v>신규</v>
      </c>
      <c r="B505" s="24" t="str">
        <f>IF(COUNTIF(R$1:R504,R505)=0,"최초","리오더")</f>
        <v>최초</v>
      </c>
      <c r="C505" s="24" t="str">
        <f t="shared" si="96"/>
        <v>SBRBAF3065</v>
      </c>
      <c r="D505" s="24">
        <f t="shared" si="91"/>
        <v>1</v>
      </c>
      <c r="E505" s="24" t="str">
        <f t="shared" si="97"/>
        <v/>
      </c>
      <c r="F505" s="24">
        <f t="shared" si="92"/>
        <v>0</v>
      </c>
      <c r="G505" s="24" t="str">
        <f t="shared" si="98"/>
        <v>SBRBAF3065BK</v>
      </c>
      <c r="H505" s="24">
        <f t="shared" si="93"/>
        <v>1</v>
      </c>
      <c r="I505" s="24" t="str">
        <f t="shared" si="99"/>
        <v/>
      </c>
      <c r="J505" s="24">
        <f t="shared" si="94"/>
        <v>0</v>
      </c>
      <c r="K505" s="24" t="str">
        <f t="shared" si="100"/>
        <v>F3</v>
      </c>
      <c r="L505" s="24" t="str">
        <f>VLOOKUP(N505,CODE!K:P,CODE!$P$1,FALSE)</f>
        <v>모자</v>
      </c>
      <c r="M505" s="24" t="str">
        <f>VLOOKUP(MID(R505,1,3),CODE!$B:$G,CODE!D$1,FALSE)</f>
        <v>SBR</v>
      </c>
      <c r="N505" s="24" t="str">
        <f t="shared" si="101"/>
        <v>BA</v>
      </c>
      <c r="O505" s="29" t="str">
        <f>IF(ISERROR(IF(VLOOKUP($N505,CODE!$K:$P,CODE!$O$1,FALSE)="",$M505,$M505&amp;"-"&amp;VLOOKUP($N505,CODE!$K:$P,CODE!$O$1,FALSE)))=TRUE,"",IF(VLOOKUP($N505,CODE!$K:$P,CODE!$O$1,FALSE)="",$M505,$M505&amp;"-"&amp;VLOOKUP($N505,CODE!$K:$P,CODE!$O$1,FALSE)))</f>
        <v>SBR</v>
      </c>
      <c r="P505" s="29" t="str">
        <f t="shared" si="102"/>
        <v>성인</v>
      </c>
      <c r="Q505" s="29" t="str">
        <f t="shared" si="103"/>
        <v>SBRBAF3065</v>
      </c>
      <c r="R505" s="1" t="s">
        <v>1282</v>
      </c>
      <c r="S505" s="1" t="s">
        <v>14</v>
      </c>
      <c r="T505" s="26">
        <v>1200</v>
      </c>
      <c r="U505" s="26">
        <v>46800000</v>
      </c>
      <c r="V505" s="26">
        <v>6193692</v>
      </c>
      <c r="W505" s="26">
        <v>6.869158903196114</v>
      </c>
      <c r="X505" s="26">
        <v>1199</v>
      </c>
      <c r="Y505" s="26">
        <v>0</v>
      </c>
    </row>
    <row r="506" spans="1:25">
      <c r="A506" s="24" t="str">
        <f t="shared" si="95"/>
        <v>신규</v>
      </c>
      <c r="B506" s="24" t="str">
        <f>IF(COUNTIF(R$1:R505,R506)=0,"최초","리오더")</f>
        <v>최초</v>
      </c>
      <c r="C506" s="24" t="str">
        <f t="shared" si="96"/>
        <v>BLLFAF5009</v>
      </c>
      <c r="D506" s="24">
        <f t="shared" si="91"/>
        <v>1</v>
      </c>
      <c r="E506" s="24" t="str">
        <f t="shared" si="97"/>
        <v/>
      </c>
      <c r="F506" s="24">
        <f t="shared" si="92"/>
        <v>0</v>
      </c>
      <c r="G506" s="24" t="str">
        <f t="shared" si="98"/>
        <v>BLLFAF5009GY</v>
      </c>
      <c r="H506" s="24">
        <f t="shared" si="93"/>
        <v>1</v>
      </c>
      <c r="I506" s="24" t="str">
        <f t="shared" si="99"/>
        <v/>
      </c>
      <c r="J506" s="24">
        <f t="shared" si="94"/>
        <v>0</v>
      </c>
      <c r="K506" s="24" t="str">
        <f t="shared" si="100"/>
        <v>F5</v>
      </c>
      <c r="L506" s="24" t="str">
        <f>VLOOKUP(N506,CODE!K:P,CODE!$P$1,FALSE)</f>
        <v>모자</v>
      </c>
      <c r="M506" s="24" t="str">
        <f>VLOOKUP(MID(R506,1,3),CODE!$B:$G,CODE!D$1,FALSE)</f>
        <v>BLL</v>
      </c>
      <c r="N506" s="24" t="str">
        <f t="shared" si="101"/>
        <v>FA</v>
      </c>
      <c r="O506" s="29" t="str">
        <f>IF(ISERROR(IF(VLOOKUP($N506,CODE!$K:$P,CODE!$O$1,FALSE)="",$M506,$M506&amp;"-"&amp;VLOOKUP($N506,CODE!$K:$P,CODE!$O$1,FALSE)))=TRUE,"",IF(VLOOKUP($N506,CODE!$K:$P,CODE!$O$1,FALSE)="",$M506,$M506&amp;"-"&amp;VLOOKUP($N506,CODE!$K:$P,CODE!$O$1,FALSE)))</f>
        <v>BLL</v>
      </c>
      <c r="P506" s="29" t="str">
        <f t="shared" si="102"/>
        <v>성인</v>
      </c>
      <c r="Q506" s="29" t="str">
        <f t="shared" si="103"/>
        <v>BLLFAF5009</v>
      </c>
      <c r="R506" s="1" t="s">
        <v>1501</v>
      </c>
      <c r="S506" s="1" t="s">
        <v>14</v>
      </c>
      <c r="T506" s="26">
        <v>400</v>
      </c>
      <c r="U506" s="26">
        <v>29200000</v>
      </c>
      <c r="V506" s="26">
        <v>5301288.0000000009</v>
      </c>
      <c r="W506" s="26">
        <v>5.0073594465070634</v>
      </c>
      <c r="X506" s="26">
        <v>400</v>
      </c>
      <c r="Y506" s="26">
        <v>0</v>
      </c>
    </row>
    <row r="507" spans="1:25">
      <c r="A507" s="24" t="str">
        <f t="shared" si="95"/>
        <v>신규</v>
      </c>
      <c r="B507" s="24" t="str">
        <f>IF(COUNTIF(R$1:R506,R507)=0,"최초","리오더")</f>
        <v>최초</v>
      </c>
      <c r="C507" s="24" t="str">
        <f t="shared" si="96"/>
        <v>BLLFEF5010</v>
      </c>
      <c r="D507" s="24">
        <f t="shared" si="91"/>
        <v>1</v>
      </c>
      <c r="E507" s="24" t="str">
        <f t="shared" si="97"/>
        <v/>
      </c>
      <c r="F507" s="24">
        <f t="shared" si="92"/>
        <v>0</v>
      </c>
      <c r="G507" s="24" t="str">
        <f t="shared" si="98"/>
        <v>BLLFEF5010BW</v>
      </c>
      <c r="H507" s="24">
        <f t="shared" si="93"/>
        <v>1</v>
      </c>
      <c r="I507" s="24" t="str">
        <f t="shared" si="99"/>
        <v/>
      </c>
      <c r="J507" s="24">
        <f t="shared" si="94"/>
        <v>0</v>
      </c>
      <c r="K507" s="24" t="str">
        <f t="shared" si="100"/>
        <v>F5</v>
      </c>
      <c r="L507" s="24" t="str">
        <f>VLOOKUP(N507,CODE!K:P,CODE!$P$1,FALSE)</f>
        <v>모자</v>
      </c>
      <c r="M507" s="24" t="str">
        <f>VLOOKUP(MID(R507,1,3),CODE!$B:$G,CODE!D$1,FALSE)</f>
        <v>BLL</v>
      </c>
      <c r="N507" s="24" t="str">
        <f t="shared" si="101"/>
        <v>FE</v>
      </c>
      <c r="O507" s="29" t="str">
        <f>IF(ISERROR(IF(VLOOKUP($N507,CODE!$K:$P,CODE!$O$1,FALSE)="",$M507,$M507&amp;"-"&amp;VLOOKUP($N507,CODE!$K:$P,CODE!$O$1,FALSE)))=TRUE,"",IF(VLOOKUP($N507,CODE!$K:$P,CODE!$O$1,FALSE)="",$M507,$M507&amp;"-"&amp;VLOOKUP($N507,CODE!$K:$P,CODE!$O$1,FALSE)))</f>
        <v>BLL</v>
      </c>
      <c r="P507" s="29" t="str">
        <f t="shared" si="102"/>
        <v>성인</v>
      </c>
      <c r="Q507" s="29" t="str">
        <f t="shared" si="103"/>
        <v>BLLFEF5010</v>
      </c>
      <c r="R507" s="1" t="s">
        <v>1502</v>
      </c>
      <c r="S507" s="1" t="s">
        <v>14</v>
      </c>
      <c r="T507" s="26">
        <v>400</v>
      </c>
      <c r="U507" s="26">
        <v>27600000</v>
      </c>
      <c r="V507" s="26">
        <v>5297408</v>
      </c>
      <c r="W507" s="26">
        <v>4.7364501829779941</v>
      </c>
      <c r="X507" s="26">
        <v>400</v>
      </c>
      <c r="Y507" s="26">
        <v>0</v>
      </c>
    </row>
    <row r="508" spans="1:25">
      <c r="A508" s="24" t="str">
        <f t="shared" si="95"/>
        <v>신규</v>
      </c>
      <c r="B508" s="24" t="str">
        <f>IF(COUNTIF(R$1:R507,R508)=0,"최초","리오더")</f>
        <v>최초</v>
      </c>
      <c r="C508" s="24" t="str">
        <f t="shared" si="96"/>
        <v>BLLFEF5011</v>
      </c>
      <c r="D508" s="24">
        <f t="shared" si="91"/>
        <v>1</v>
      </c>
      <c r="E508" s="24" t="str">
        <f t="shared" si="97"/>
        <v/>
      </c>
      <c r="F508" s="24">
        <f t="shared" si="92"/>
        <v>0</v>
      </c>
      <c r="G508" s="24" t="str">
        <f t="shared" si="98"/>
        <v>BLLFEF5011PP</v>
      </c>
      <c r="H508" s="24">
        <f t="shared" si="93"/>
        <v>1</v>
      </c>
      <c r="I508" s="24" t="str">
        <f t="shared" si="99"/>
        <v/>
      </c>
      <c r="J508" s="24">
        <f t="shared" si="94"/>
        <v>0</v>
      </c>
      <c r="K508" s="24" t="str">
        <f t="shared" si="100"/>
        <v>F5</v>
      </c>
      <c r="L508" s="24" t="str">
        <f>VLOOKUP(N508,CODE!K:P,CODE!$P$1,FALSE)</f>
        <v>모자</v>
      </c>
      <c r="M508" s="24" t="str">
        <f>VLOOKUP(MID(R508,1,3),CODE!$B:$G,CODE!D$1,FALSE)</f>
        <v>BLL</v>
      </c>
      <c r="N508" s="24" t="str">
        <f t="shared" si="101"/>
        <v>FE</v>
      </c>
      <c r="O508" s="29" t="str">
        <f>IF(ISERROR(IF(VLOOKUP($N508,CODE!$K:$P,CODE!$O$1,FALSE)="",$M508,$M508&amp;"-"&amp;VLOOKUP($N508,CODE!$K:$P,CODE!$O$1,FALSE)))=TRUE,"",IF(VLOOKUP($N508,CODE!$K:$P,CODE!$O$1,FALSE)="",$M508,$M508&amp;"-"&amp;VLOOKUP($N508,CODE!$K:$P,CODE!$O$1,FALSE)))</f>
        <v>BLL</v>
      </c>
      <c r="P508" s="29" t="str">
        <f t="shared" si="102"/>
        <v>성인</v>
      </c>
      <c r="Q508" s="29" t="str">
        <f t="shared" si="103"/>
        <v>BLLFEF5011</v>
      </c>
      <c r="R508" s="1" t="s">
        <v>1503</v>
      </c>
      <c r="S508" s="1" t="s">
        <v>14</v>
      </c>
      <c r="T508" s="26">
        <v>400</v>
      </c>
      <c r="U508" s="26">
        <v>21200000</v>
      </c>
      <c r="V508" s="26">
        <v>3544072</v>
      </c>
      <c r="W508" s="26">
        <v>5.4380179840384937</v>
      </c>
      <c r="X508" s="26">
        <v>399</v>
      </c>
      <c r="Y508" s="26">
        <v>0</v>
      </c>
    </row>
    <row r="509" spans="1:25">
      <c r="A509" s="24" t="str">
        <f t="shared" si="95"/>
        <v>신규</v>
      </c>
      <c r="B509" s="24" t="str">
        <f>IF(COUNTIF(R$1:R508,R509)=0,"최초","리오더")</f>
        <v>최초</v>
      </c>
      <c r="C509" s="24" t="str">
        <f t="shared" si="96"/>
        <v>SWBSNF5004</v>
      </c>
      <c r="D509" s="24">
        <f t="shared" si="91"/>
        <v>1</v>
      </c>
      <c r="E509" s="24" t="str">
        <f t="shared" si="97"/>
        <v/>
      </c>
      <c r="F509" s="24">
        <f t="shared" si="92"/>
        <v>0</v>
      </c>
      <c r="G509" s="24" t="str">
        <f t="shared" si="98"/>
        <v>SWBSNF5004BK</v>
      </c>
      <c r="H509" s="24">
        <f t="shared" si="93"/>
        <v>1</v>
      </c>
      <c r="I509" s="24" t="str">
        <f t="shared" si="99"/>
        <v/>
      </c>
      <c r="J509" s="24">
        <f t="shared" si="94"/>
        <v>0</v>
      </c>
      <c r="K509" s="24" t="str">
        <f t="shared" si="100"/>
        <v>F5</v>
      </c>
      <c r="L509" s="24" t="str">
        <f>VLOOKUP(N509,CODE!K:P,CODE!$P$1,FALSE)</f>
        <v>모자</v>
      </c>
      <c r="M509" s="24" t="str">
        <f>VLOOKUP(MID(R509,1,3),CODE!$B:$G,CODE!D$1,FALSE)</f>
        <v>SWB</v>
      </c>
      <c r="N509" s="24" t="str">
        <f t="shared" si="101"/>
        <v>SN</v>
      </c>
      <c r="O509" s="29" t="str">
        <f>IF(ISERROR(IF(VLOOKUP($N509,CODE!$K:$P,CODE!$O$1,FALSE)="",$M509,$M509&amp;"-"&amp;VLOOKUP($N509,CODE!$K:$P,CODE!$O$1,FALSE)))=TRUE,"",IF(VLOOKUP($N509,CODE!$K:$P,CODE!$O$1,FALSE)="",$M509,$M509&amp;"-"&amp;VLOOKUP($N509,CODE!$K:$P,CODE!$O$1,FALSE)))</f>
        <v>SWB</v>
      </c>
      <c r="P509" s="29" t="str">
        <f t="shared" si="102"/>
        <v>성인</v>
      </c>
      <c r="Q509" s="29" t="str">
        <f t="shared" si="103"/>
        <v>SWBSNF5004</v>
      </c>
      <c r="R509" s="1" t="s">
        <v>1283</v>
      </c>
      <c r="S509" s="1" t="s">
        <v>14</v>
      </c>
      <c r="T509" s="26">
        <v>1200</v>
      </c>
      <c r="U509" s="26">
        <v>58800000</v>
      </c>
      <c r="V509" s="26">
        <v>7307520</v>
      </c>
      <c r="W509" s="26">
        <v>7.3150050160034388</v>
      </c>
      <c r="X509" s="26">
        <v>1200</v>
      </c>
      <c r="Y509" s="26">
        <v>0</v>
      </c>
    </row>
    <row r="510" spans="1:25">
      <c r="A510" s="24" t="str">
        <f t="shared" si="95"/>
        <v>신규</v>
      </c>
      <c r="B510" s="24" t="str">
        <f>IF(COUNTIF(R$1:R509,R510)=0,"최초","리오더")</f>
        <v>최초</v>
      </c>
      <c r="C510" s="24" t="str">
        <f t="shared" si="96"/>
        <v>SWBSNF5504</v>
      </c>
      <c r="D510" s="24">
        <f t="shared" si="91"/>
        <v>0.5</v>
      </c>
      <c r="E510" s="24" t="str">
        <f t="shared" si="97"/>
        <v/>
      </c>
      <c r="F510" s="24">
        <f t="shared" si="92"/>
        <v>0</v>
      </c>
      <c r="G510" s="24" t="str">
        <f t="shared" si="98"/>
        <v>SWBSNF5504BK</v>
      </c>
      <c r="H510" s="24">
        <f t="shared" si="93"/>
        <v>1</v>
      </c>
      <c r="I510" s="24" t="str">
        <f t="shared" si="99"/>
        <v/>
      </c>
      <c r="J510" s="24">
        <f t="shared" si="94"/>
        <v>0</v>
      </c>
      <c r="K510" s="24" t="str">
        <f t="shared" si="100"/>
        <v>F5</v>
      </c>
      <c r="L510" s="24" t="str">
        <f>VLOOKUP(N510,CODE!K:P,CODE!$P$1,FALSE)</f>
        <v>모자</v>
      </c>
      <c r="M510" s="24" t="str">
        <f>VLOOKUP(MID(R510,1,3),CODE!$B:$G,CODE!D$1,FALSE)</f>
        <v>SWB</v>
      </c>
      <c r="N510" s="24" t="str">
        <f t="shared" si="101"/>
        <v>SN</v>
      </c>
      <c r="O510" s="29" t="str">
        <f>IF(ISERROR(IF(VLOOKUP($N510,CODE!$K:$P,CODE!$O$1,FALSE)="",$M510,$M510&amp;"-"&amp;VLOOKUP($N510,CODE!$K:$P,CODE!$O$1,FALSE)))=TRUE,"",IF(VLOOKUP($N510,CODE!$K:$P,CODE!$O$1,FALSE)="",$M510,$M510&amp;"-"&amp;VLOOKUP($N510,CODE!$K:$P,CODE!$O$1,FALSE)))</f>
        <v>SWB</v>
      </c>
      <c r="P510" s="29" t="str">
        <f t="shared" si="102"/>
        <v>키즈</v>
      </c>
      <c r="Q510" s="29" t="str">
        <f t="shared" si="103"/>
        <v>SWBSNF5504</v>
      </c>
      <c r="R510" s="1" t="s">
        <v>1284</v>
      </c>
      <c r="S510" s="1" t="s">
        <v>14</v>
      </c>
      <c r="T510" s="26">
        <v>1500</v>
      </c>
      <c r="U510" s="26">
        <v>67500000</v>
      </c>
      <c r="V510" s="26">
        <v>7907520</v>
      </c>
      <c r="W510" s="26">
        <v>7.7601620183871001</v>
      </c>
      <c r="X510" s="26">
        <v>1500</v>
      </c>
      <c r="Y510" s="26">
        <v>0</v>
      </c>
    </row>
    <row r="511" spans="1:25">
      <c r="A511" s="24" t="str">
        <f t="shared" si="95"/>
        <v>신규</v>
      </c>
      <c r="B511" s="24" t="str">
        <f>IF(COUNTIF(R$1:R510,R511)=0,"최초","리오더")</f>
        <v>최초</v>
      </c>
      <c r="C511" s="24" t="str">
        <f t="shared" si="96"/>
        <v>SWBSNF5504</v>
      </c>
      <c r="D511" s="24">
        <f t="shared" si="91"/>
        <v>0.5</v>
      </c>
      <c r="E511" s="24" t="str">
        <f t="shared" si="97"/>
        <v/>
      </c>
      <c r="F511" s="24">
        <f t="shared" si="92"/>
        <v>0</v>
      </c>
      <c r="G511" s="24" t="str">
        <f t="shared" si="98"/>
        <v>SWBSNF5504PK</v>
      </c>
      <c r="H511" s="24">
        <f t="shared" si="93"/>
        <v>1</v>
      </c>
      <c r="I511" s="24" t="str">
        <f t="shared" si="99"/>
        <v/>
      </c>
      <c r="J511" s="24">
        <f t="shared" si="94"/>
        <v>0</v>
      </c>
      <c r="K511" s="24" t="str">
        <f t="shared" si="100"/>
        <v>F5</v>
      </c>
      <c r="L511" s="24" t="str">
        <f>VLOOKUP(N511,CODE!K:P,CODE!$P$1,FALSE)</f>
        <v>모자</v>
      </c>
      <c r="M511" s="24" t="str">
        <f>VLOOKUP(MID(R511,1,3),CODE!$B:$G,CODE!D$1,FALSE)</f>
        <v>SWB</v>
      </c>
      <c r="N511" s="24" t="str">
        <f t="shared" si="101"/>
        <v>SN</v>
      </c>
      <c r="O511" s="29" t="str">
        <f>IF(ISERROR(IF(VLOOKUP($N511,CODE!$K:$P,CODE!$O$1,FALSE)="",$M511,$M511&amp;"-"&amp;VLOOKUP($N511,CODE!$K:$P,CODE!$O$1,FALSE)))=TRUE,"",IF(VLOOKUP($N511,CODE!$K:$P,CODE!$O$1,FALSE)="",$M511,$M511&amp;"-"&amp;VLOOKUP($N511,CODE!$K:$P,CODE!$O$1,FALSE)))</f>
        <v>SWB</v>
      </c>
      <c r="P511" s="29" t="str">
        <f t="shared" si="102"/>
        <v>키즈</v>
      </c>
      <c r="Q511" s="29" t="str">
        <f t="shared" si="103"/>
        <v>SWBSNF5504</v>
      </c>
      <c r="R511" s="1" t="s">
        <v>1285</v>
      </c>
      <c r="S511" s="1" t="s">
        <v>14</v>
      </c>
      <c r="T511" s="26">
        <v>1500</v>
      </c>
      <c r="U511" s="26">
        <v>67500000</v>
      </c>
      <c r="V511" s="26">
        <v>9628620.0000000019</v>
      </c>
      <c r="W511" s="26">
        <v>6.3730458117192645</v>
      </c>
      <c r="X511" s="26">
        <v>1500</v>
      </c>
      <c r="Y511" s="26">
        <v>0</v>
      </c>
    </row>
    <row r="512" spans="1:25">
      <c r="A512" s="24" t="str">
        <f t="shared" si="95"/>
        <v>신규</v>
      </c>
      <c r="B512" s="24" t="str">
        <f>IF(COUNTIF(R$1:R511,R512)=0,"최초","리오더")</f>
        <v>최초</v>
      </c>
      <c r="C512" s="24" t="str">
        <f t="shared" si="96"/>
        <v>SWBERF5013</v>
      </c>
      <c r="D512" s="24">
        <f t="shared" si="91"/>
        <v>1</v>
      </c>
      <c r="E512" s="24" t="str">
        <f t="shared" si="97"/>
        <v/>
      </c>
      <c r="F512" s="24">
        <f t="shared" si="92"/>
        <v>0</v>
      </c>
      <c r="G512" s="24" t="str">
        <f t="shared" si="98"/>
        <v>SWBERF5013BK</v>
      </c>
      <c r="H512" s="24">
        <f t="shared" si="93"/>
        <v>1</v>
      </c>
      <c r="I512" s="24" t="str">
        <f t="shared" si="99"/>
        <v/>
      </c>
      <c r="J512" s="24">
        <f t="shared" si="94"/>
        <v>0</v>
      </c>
      <c r="K512" s="24" t="str">
        <f t="shared" si="100"/>
        <v>F5</v>
      </c>
      <c r="L512" s="24" t="str">
        <f>VLOOKUP(N512,CODE!K:P,CODE!$P$1,FALSE)</f>
        <v>모자</v>
      </c>
      <c r="M512" s="24" t="str">
        <f>VLOOKUP(MID(R512,1,3),CODE!$B:$G,CODE!D$1,FALSE)</f>
        <v>SWB</v>
      </c>
      <c r="N512" s="24" t="str">
        <f t="shared" si="101"/>
        <v>ER</v>
      </c>
      <c r="O512" s="29" t="str">
        <f>IF(ISERROR(IF(VLOOKUP($N512,CODE!$K:$P,CODE!$O$1,FALSE)="",$M512,$M512&amp;"-"&amp;VLOOKUP($N512,CODE!$K:$P,CODE!$O$1,FALSE)))=TRUE,"",IF(VLOOKUP($N512,CODE!$K:$P,CODE!$O$1,FALSE)="",$M512,$M512&amp;"-"&amp;VLOOKUP($N512,CODE!$K:$P,CODE!$O$1,FALSE)))</f>
        <v>SWB</v>
      </c>
      <c r="P512" s="29" t="str">
        <f t="shared" si="102"/>
        <v>성인</v>
      </c>
      <c r="Q512" s="29" t="str">
        <f t="shared" si="103"/>
        <v>SWBERF5013</v>
      </c>
      <c r="R512" s="1" t="s">
        <v>1286</v>
      </c>
      <c r="S512" s="1" t="s">
        <v>14</v>
      </c>
      <c r="T512" s="26">
        <v>1200</v>
      </c>
      <c r="U512" s="26">
        <v>70800000</v>
      </c>
      <c r="V512" s="26">
        <v>9524400</v>
      </c>
      <c r="W512" s="26">
        <v>6.7577628368859308</v>
      </c>
      <c r="X512" s="26">
        <v>1199</v>
      </c>
      <c r="Y512" s="26">
        <v>0</v>
      </c>
    </row>
    <row r="513" spans="1:25">
      <c r="A513" s="24" t="str">
        <f t="shared" si="95"/>
        <v>신규</v>
      </c>
      <c r="B513" s="24" t="str">
        <f>IF(COUNTIF(R$1:R512,R513)=0,"최초","리오더")</f>
        <v>최초</v>
      </c>
      <c r="C513" s="24" t="str">
        <f t="shared" si="96"/>
        <v>SWBERF5514</v>
      </c>
      <c r="D513" s="24">
        <f t="shared" si="91"/>
        <v>1</v>
      </c>
      <c r="E513" s="24" t="str">
        <f t="shared" si="97"/>
        <v/>
      </c>
      <c r="F513" s="24">
        <f t="shared" si="92"/>
        <v>0</v>
      </c>
      <c r="G513" s="24" t="str">
        <f t="shared" si="98"/>
        <v>SWBERF5514PK</v>
      </c>
      <c r="H513" s="24">
        <f t="shared" si="93"/>
        <v>1</v>
      </c>
      <c r="I513" s="24" t="str">
        <f t="shared" si="99"/>
        <v/>
      </c>
      <c r="J513" s="24">
        <f t="shared" si="94"/>
        <v>0</v>
      </c>
      <c r="K513" s="24" t="str">
        <f t="shared" si="100"/>
        <v>F5</v>
      </c>
      <c r="L513" s="24" t="str">
        <f>VLOOKUP(N513,CODE!K:P,CODE!$P$1,FALSE)</f>
        <v>모자</v>
      </c>
      <c r="M513" s="24" t="str">
        <f>VLOOKUP(MID(R513,1,3),CODE!$B:$G,CODE!D$1,FALSE)</f>
        <v>SWB</v>
      </c>
      <c r="N513" s="24" t="str">
        <f t="shared" si="101"/>
        <v>ER</v>
      </c>
      <c r="O513" s="29" t="str">
        <f>IF(ISERROR(IF(VLOOKUP($N513,CODE!$K:$P,CODE!$O$1,FALSE)="",$M513,$M513&amp;"-"&amp;VLOOKUP($N513,CODE!$K:$P,CODE!$O$1,FALSE)))=TRUE,"",IF(VLOOKUP($N513,CODE!$K:$P,CODE!$O$1,FALSE)="",$M513,$M513&amp;"-"&amp;VLOOKUP($N513,CODE!$K:$P,CODE!$O$1,FALSE)))</f>
        <v>SWB</v>
      </c>
      <c r="P513" s="29" t="str">
        <f t="shared" si="102"/>
        <v>키즈</v>
      </c>
      <c r="Q513" s="29" t="str">
        <f t="shared" si="103"/>
        <v>SWBERF5514</v>
      </c>
      <c r="R513" s="1" t="s">
        <v>1287</v>
      </c>
      <c r="S513" s="1" t="s">
        <v>14</v>
      </c>
      <c r="T513" s="26">
        <v>1200</v>
      </c>
      <c r="U513" s="26">
        <v>66000000</v>
      </c>
      <c r="V513" s="26">
        <v>9442176.0000000019</v>
      </c>
      <c r="W513" s="26">
        <v>6.3544674447923848</v>
      </c>
      <c r="X513" s="26">
        <v>1200</v>
      </c>
      <c r="Y513" s="26">
        <v>0</v>
      </c>
    </row>
    <row r="514" spans="1:25">
      <c r="A514" s="24" t="str">
        <f t="shared" si="95"/>
        <v>신규</v>
      </c>
      <c r="B514" s="24" t="str">
        <f>IF(COUNTIF(R$1:R513,R514)=0,"최초","리오더")</f>
        <v>최초</v>
      </c>
      <c r="C514" s="24" t="str">
        <f t="shared" si="96"/>
        <v>SWBSNF5005</v>
      </c>
      <c r="D514" s="24">
        <f t="shared" ref="D514:D577" si="104">IF(C514="",0,1/COUNTIF(C:C,C514))</f>
        <v>1</v>
      </c>
      <c r="E514" s="24" t="str">
        <f t="shared" si="97"/>
        <v/>
      </c>
      <c r="F514" s="24">
        <f t="shared" ref="F514:F577" si="105">IF(E514="",0,1/COUNTIF(E:E,E514))</f>
        <v>0</v>
      </c>
      <c r="G514" s="24" t="str">
        <f t="shared" si="98"/>
        <v>SWBSNF5005BW</v>
      </c>
      <c r="H514" s="24">
        <f t="shared" ref="H514:H577" si="106">IF(G514="",0,1/COUNTIF(G:G,G514))</f>
        <v>1</v>
      </c>
      <c r="I514" s="24" t="str">
        <f t="shared" si="99"/>
        <v/>
      </c>
      <c r="J514" s="24">
        <f t="shared" ref="J514:J577" si="107">IF(I514="",0,1/COUNTIF(I:I,I514))</f>
        <v>0</v>
      </c>
      <c r="K514" s="24" t="str">
        <f t="shared" si="100"/>
        <v>F5</v>
      </c>
      <c r="L514" s="24" t="str">
        <f>VLOOKUP(N514,CODE!K:P,CODE!$P$1,FALSE)</f>
        <v>모자</v>
      </c>
      <c r="M514" s="24" t="str">
        <f>VLOOKUP(MID(R514,1,3),CODE!$B:$G,CODE!D$1,FALSE)</f>
        <v>SWB</v>
      </c>
      <c r="N514" s="24" t="str">
        <f t="shared" si="101"/>
        <v>SN</v>
      </c>
      <c r="O514" s="29" t="str">
        <f>IF(ISERROR(IF(VLOOKUP($N514,CODE!$K:$P,CODE!$O$1,FALSE)="",$M514,$M514&amp;"-"&amp;VLOOKUP($N514,CODE!$K:$P,CODE!$O$1,FALSE)))=TRUE,"",IF(VLOOKUP($N514,CODE!$K:$P,CODE!$O$1,FALSE)="",$M514,$M514&amp;"-"&amp;VLOOKUP($N514,CODE!$K:$P,CODE!$O$1,FALSE)))</f>
        <v>SWB</v>
      </c>
      <c r="P514" s="29" t="str">
        <f t="shared" si="102"/>
        <v>성인</v>
      </c>
      <c r="Q514" s="29" t="str">
        <f t="shared" si="103"/>
        <v>SWBSNF5005</v>
      </c>
      <c r="R514" s="1" t="s">
        <v>1288</v>
      </c>
      <c r="S514" s="1" t="s">
        <v>14</v>
      </c>
      <c r="T514" s="26">
        <v>1000</v>
      </c>
      <c r="U514" s="26">
        <v>53000000</v>
      </c>
      <c r="V514" s="26">
        <v>7112260</v>
      </c>
      <c r="W514" s="26">
        <v>6.7744736809141086</v>
      </c>
      <c r="X514" s="26">
        <v>940</v>
      </c>
      <c r="Y514" s="26">
        <v>0</v>
      </c>
    </row>
    <row r="515" spans="1:25">
      <c r="A515" s="24" t="str">
        <f t="shared" ref="A515:A578" si="108">IF(OR(MID(R515,8,1)="0",MID(R515,8,1)="5"),"신규","러닝")</f>
        <v>신규</v>
      </c>
      <c r="B515" s="24" t="str">
        <f>IF(COUNTIF(R$1:R514,R515)=0,"최초","리오더")</f>
        <v>최초</v>
      </c>
      <c r="C515" s="24" t="str">
        <f t="shared" ref="C515:C561" si="109">IF($B515="리오더","",Q515)</f>
        <v>SWBSNF5505</v>
      </c>
      <c r="D515" s="24">
        <f t="shared" si="104"/>
        <v>1</v>
      </c>
      <c r="E515" s="24" t="str">
        <f t="shared" ref="E515:E561" si="110">IF($B515="리오더",Q515,"")</f>
        <v/>
      </c>
      <c r="F515" s="24">
        <f t="shared" si="105"/>
        <v>0</v>
      </c>
      <c r="G515" s="24" t="str">
        <f t="shared" ref="G515:G561" si="111">IF($B515="리오더","",R515)</f>
        <v>SWBSNF5505BW</v>
      </c>
      <c r="H515" s="24">
        <f t="shared" si="106"/>
        <v>1</v>
      </c>
      <c r="I515" s="24" t="str">
        <f t="shared" ref="I515:I561" si="112">IF($B515="리오더",R515,"")</f>
        <v/>
      </c>
      <c r="J515" s="24">
        <f t="shared" si="107"/>
        <v>0</v>
      </c>
      <c r="K515" s="24" t="str">
        <f t="shared" ref="K515:K561" si="113">MID(R515,6,2)</f>
        <v>F5</v>
      </c>
      <c r="L515" s="24" t="str">
        <f>VLOOKUP(N515,CODE!K:P,CODE!$P$1,FALSE)</f>
        <v>모자</v>
      </c>
      <c r="M515" s="24" t="str">
        <f>VLOOKUP(MID(R515,1,3),CODE!$B:$G,CODE!D$1,FALSE)</f>
        <v>SWB</v>
      </c>
      <c r="N515" s="24" t="str">
        <f t="shared" ref="N515:N561" si="114">MID(R515,4,2)</f>
        <v>SN</v>
      </c>
      <c r="O515" s="29" t="str">
        <f>IF(ISERROR(IF(VLOOKUP($N515,CODE!$K:$P,CODE!$O$1,FALSE)="",$M515,$M515&amp;"-"&amp;VLOOKUP($N515,CODE!$K:$P,CODE!$O$1,FALSE)))=TRUE,"",IF(VLOOKUP($N515,CODE!$K:$P,CODE!$O$1,FALSE)="",$M515,$M515&amp;"-"&amp;VLOOKUP($N515,CODE!$K:$P,CODE!$O$1,FALSE)))</f>
        <v>SWB</v>
      </c>
      <c r="P515" s="29" t="str">
        <f t="shared" ref="P515:P578" si="115">IF(OR(MID(R515,8,1)="0",MID(R515,8,1)="1",MID(R515,8,1)="2",MID(R515,8,1)="3",MID(R515,8,1)="4"),"성인","키즈")</f>
        <v>키즈</v>
      </c>
      <c r="Q515" s="29" t="str">
        <f t="shared" ref="Q515:Q561" si="116">MID(R515,1,10)</f>
        <v>SWBSNF5505</v>
      </c>
      <c r="R515" s="1" t="s">
        <v>1289</v>
      </c>
      <c r="S515" s="1" t="s">
        <v>14</v>
      </c>
      <c r="T515" s="26">
        <v>1000</v>
      </c>
      <c r="U515" s="26">
        <v>49000000</v>
      </c>
      <c r="V515" s="26">
        <v>7292260</v>
      </c>
      <c r="W515" s="26">
        <v>6.108593844083253</v>
      </c>
      <c r="X515" s="26">
        <v>935</v>
      </c>
      <c r="Y515" s="26">
        <v>0</v>
      </c>
    </row>
    <row r="516" spans="1:25">
      <c r="A516" s="24" t="str">
        <f t="shared" si="108"/>
        <v>신규</v>
      </c>
      <c r="B516" s="24" t="str">
        <f>IF(COUNTIF(R$1:R515,R516)=0,"최초","리오더")</f>
        <v>최초</v>
      </c>
      <c r="C516" s="24" t="str">
        <f t="shared" si="109"/>
        <v>SWBSNF5006</v>
      </c>
      <c r="D516" s="24">
        <f t="shared" si="104"/>
        <v>1</v>
      </c>
      <c r="E516" s="24" t="str">
        <f t="shared" si="110"/>
        <v/>
      </c>
      <c r="F516" s="24">
        <f t="shared" si="105"/>
        <v>0</v>
      </c>
      <c r="G516" s="24" t="str">
        <f t="shared" si="111"/>
        <v>SWBSNF5006PK</v>
      </c>
      <c r="H516" s="24">
        <f t="shared" si="106"/>
        <v>1</v>
      </c>
      <c r="I516" s="24" t="str">
        <f t="shared" si="112"/>
        <v/>
      </c>
      <c r="J516" s="24">
        <f t="shared" si="107"/>
        <v>0</v>
      </c>
      <c r="K516" s="24" t="str">
        <f t="shared" si="113"/>
        <v>F5</v>
      </c>
      <c r="L516" s="24" t="str">
        <f>VLOOKUP(N516,CODE!K:P,CODE!$P$1,FALSE)</f>
        <v>모자</v>
      </c>
      <c r="M516" s="24" t="str">
        <f>VLOOKUP(MID(R516,1,3),CODE!$B:$G,CODE!D$1,FALSE)</f>
        <v>SWB</v>
      </c>
      <c r="N516" s="24" t="str">
        <f t="shared" si="114"/>
        <v>SN</v>
      </c>
      <c r="O516" s="29" t="str">
        <f>IF(ISERROR(IF(VLOOKUP($N516,CODE!$K:$P,CODE!$O$1,FALSE)="",$M516,$M516&amp;"-"&amp;VLOOKUP($N516,CODE!$K:$P,CODE!$O$1,FALSE)))=TRUE,"",IF(VLOOKUP($N516,CODE!$K:$P,CODE!$O$1,FALSE)="",$M516,$M516&amp;"-"&amp;VLOOKUP($N516,CODE!$K:$P,CODE!$O$1,FALSE)))</f>
        <v>SWB</v>
      </c>
      <c r="P516" s="29" t="str">
        <f t="shared" si="115"/>
        <v>성인</v>
      </c>
      <c r="Q516" s="29" t="str">
        <f t="shared" si="116"/>
        <v>SWBSNF5006</v>
      </c>
      <c r="R516" s="1" t="s">
        <v>1290</v>
      </c>
      <c r="S516" s="1" t="s">
        <v>14</v>
      </c>
      <c r="T516" s="26">
        <v>1000</v>
      </c>
      <c r="U516" s="26">
        <v>53000000</v>
      </c>
      <c r="V516" s="26">
        <v>7112260</v>
      </c>
      <c r="W516" s="26">
        <v>6.7744736809141086</v>
      </c>
      <c r="X516" s="26">
        <v>954</v>
      </c>
      <c r="Y516" s="26">
        <v>0</v>
      </c>
    </row>
    <row r="517" spans="1:25">
      <c r="A517" s="24" t="str">
        <f t="shared" si="108"/>
        <v>신규</v>
      </c>
      <c r="B517" s="24" t="str">
        <f>IF(COUNTIF(R$1:R516,R517)=0,"최초","리오더")</f>
        <v>최초</v>
      </c>
      <c r="C517" s="24" t="str">
        <f t="shared" si="109"/>
        <v>SWBSNF5506</v>
      </c>
      <c r="D517" s="24">
        <f t="shared" si="104"/>
        <v>1</v>
      </c>
      <c r="E517" s="24" t="str">
        <f t="shared" si="110"/>
        <v/>
      </c>
      <c r="F517" s="24">
        <f t="shared" si="105"/>
        <v>0</v>
      </c>
      <c r="G517" s="24" t="str">
        <f t="shared" si="111"/>
        <v>SWBSNF5506PK</v>
      </c>
      <c r="H517" s="24">
        <f t="shared" si="106"/>
        <v>1</v>
      </c>
      <c r="I517" s="24" t="str">
        <f t="shared" si="112"/>
        <v/>
      </c>
      <c r="J517" s="24">
        <f t="shared" si="107"/>
        <v>0</v>
      </c>
      <c r="K517" s="24" t="str">
        <f t="shared" si="113"/>
        <v>F5</v>
      </c>
      <c r="L517" s="24" t="str">
        <f>VLOOKUP(N517,CODE!K:P,CODE!$P$1,FALSE)</f>
        <v>모자</v>
      </c>
      <c r="M517" s="24" t="str">
        <f>VLOOKUP(MID(R517,1,3),CODE!$B:$G,CODE!D$1,FALSE)</f>
        <v>SWB</v>
      </c>
      <c r="N517" s="24" t="str">
        <f t="shared" si="114"/>
        <v>SN</v>
      </c>
      <c r="O517" s="29" t="str">
        <f>IF(ISERROR(IF(VLOOKUP($N517,CODE!$K:$P,CODE!$O$1,FALSE)="",$M517,$M517&amp;"-"&amp;VLOOKUP($N517,CODE!$K:$P,CODE!$O$1,FALSE)))=TRUE,"",IF(VLOOKUP($N517,CODE!$K:$P,CODE!$O$1,FALSE)="",$M517,$M517&amp;"-"&amp;VLOOKUP($N517,CODE!$K:$P,CODE!$O$1,FALSE)))</f>
        <v>SWB</v>
      </c>
      <c r="P517" s="29" t="str">
        <f t="shared" si="115"/>
        <v>키즈</v>
      </c>
      <c r="Q517" s="29" t="str">
        <f t="shared" si="116"/>
        <v>SWBSNF5506</v>
      </c>
      <c r="R517" s="1" t="s">
        <v>1291</v>
      </c>
      <c r="S517" s="1" t="s">
        <v>14</v>
      </c>
      <c r="T517" s="26">
        <v>1000</v>
      </c>
      <c r="U517" s="26">
        <v>49000000</v>
      </c>
      <c r="V517" s="26">
        <v>7292260</v>
      </c>
      <c r="W517" s="26">
        <v>6.108593844083253</v>
      </c>
      <c r="X517" s="26">
        <v>796</v>
      </c>
      <c r="Y517" s="26">
        <v>0</v>
      </c>
    </row>
    <row r="518" spans="1:25">
      <c r="A518" s="24" t="str">
        <f t="shared" si="108"/>
        <v>신규</v>
      </c>
      <c r="B518" s="24" t="str">
        <f>IF(COUNTIF(R$1:R517,R518)=0,"최초","리오더")</f>
        <v>최초</v>
      </c>
      <c r="C518" s="24" t="str">
        <f t="shared" si="109"/>
        <v>SWBERF5015</v>
      </c>
      <c r="D518" s="24">
        <f t="shared" si="104"/>
        <v>1</v>
      </c>
      <c r="E518" s="24" t="str">
        <f t="shared" si="110"/>
        <v/>
      </c>
      <c r="F518" s="24">
        <f t="shared" si="105"/>
        <v>0</v>
      </c>
      <c r="G518" s="24" t="str">
        <f t="shared" si="111"/>
        <v>SWBERF5015PK</v>
      </c>
      <c r="H518" s="24">
        <f t="shared" si="106"/>
        <v>1</v>
      </c>
      <c r="I518" s="24" t="str">
        <f t="shared" si="112"/>
        <v/>
      </c>
      <c r="J518" s="24">
        <f t="shared" si="107"/>
        <v>0</v>
      </c>
      <c r="K518" s="24" t="str">
        <f t="shared" si="113"/>
        <v>F5</v>
      </c>
      <c r="L518" s="24" t="str">
        <f>VLOOKUP(N518,CODE!K:P,CODE!$P$1,FALSE)</f>
        <v>모자</v>
      </c>
      <c r="M518" s="24" t="str">
        <f>VLOOKUP(MID(R518,1,3),CODE!$B:$G,CODE!D$1,FALSE)</f>
        <v>SWB</v>
      </c>
      <c r="N518" s="24" t="str">
        <f t="shared" si="114"/>
        <v>ER</v>
      </c>
      <c r="O518" s="29" t="str">
        <f>IF(ISERROR(IF(VLOOKUP($N518,CODE!$K:$P,CODE!$O$1,FALSE)="",$M518,$M518&amp;"-"&amp;VLOOKUP($N518,CODE!$K:$P,CODE!$O$1,FALSE)))=TRUE,"",IF(VLOOKUP($N518,CODE!$K:$P,CODE!$O$1,FALSE)="",$M518,$M518&amp;"-"&amp;VLOOKUP($N518,CODE!$K:$P,CODE!$O$1,FALSE)))</f>
        <v>SWB</v>
      </c>
      <c r="P518" s="29" t="str">
        <f t="shared" si="115"/>
        <v>성인</v>
      </c>
      <c r="Q518" s="29" t="str">
        <f t="shared" si="116"/>
        <v>SWBERF5015</v>
      </c>
      <c r="R518" s="1" t="s">
        <v>1292</v>
      </c>
      <c r="S518" s="1" t="s">
        <v>14</v>
      </c>
      <c r="T518" s="26">
        <v>800</v>
      </c>
      <c r="U518" s="26">
        <v>47200000</v>
      </c>
      <c r="V518" s="26">
        <v>8234504.0000000009</v>
      </c>
      <c r="W518" s="26">
        <v>5.2108895580220613</v>
      </c>
      <c r="X518" s="26">
        <v>741</v>
      </c>
      <c r="Y518" s="26">
        <v>0</v>
      </c>
    </row>
    <row r="519" spans="1:25">
      <c r="A519" s="24" t="str">
        <f t="shared" si="108"/>
        <v>신규</v>
      </c>
      <c r="B519" s="24" t="str">
        <f>IF(COUNTIF(R$1:R518,R519)=0,"최초","리오더")</f>
        <v>최초</v>
      </c>
      <c r="C519" s="24" t="str">
        <f t="shared" si="109"/>
        <v>SWBERF5515</v>
      </c>
      <c r="D519" s="24">
        <f t="shared" si="104"/>
        <v>1</v>
      </c>
      <c r="E519" s="24" t="str">
        <f t="shared" si="110"/>
        <v/>
      </c>
      <c r="F519" s="24">
        <f t="shared" si="105"/>
        <v>0</v>
      </c>
      <c r="G519" s="24" t="str">
        <f t="shared" si="111"/>
        <v>SWBERF5515PK</v>
      </c>
      <c r="H519" s="24">
        <f t="shared" si="106"/>
        <v>1</v>
      </c>
      <c r="I519" s="24" t="str">
        <f t="shared" si="112"/>
        <v/>
      </c>
      <c r="J519" s="24">
        <f t="shared" si="107"/>
        <v>0</v>
      </c>
      <c r="K519" s="24" t="str">
        <f t="shared" si="113"/>
        <v>F5</v>
      </c>
      <c r="L519" s="24" t="str">
        <f>VLOOKUP(N519,CODE!K:P,CODE!$P$1,FALSE)</f>
        <v>모자</v>
      </c>
      <c r="M519" s="24" t="str">
        <f>VLOOKUP(MID(R519,1,3),CODE!$B:$G,CODE!D$1,FALSE)</f>
        <v>SWB</v>
      </c>
      <c r="N519" s="24" t="str">
        <f t="shared" si="114"/>
        <v>ER</v>
      </c>
      <c r="O519" s="29" t="str">
        <f>IF(ISERROR(IF(VLOOKUP($N519,CODE!$K:$P,CODE!$O$1,FALSE)="",$M519,$M519&amp;"-"&amp;VLOOKUP($N519,CODE!$K:$P,CODE!$O$1,FALSE)))=TRUE,"",IF(VLOOKUP($N519,CODE!$K:$P,CODE!$O$1,FALSE)="",$M519,$M519&amp;"-"&amp;VLOOKUP($N519,CODE!$K:$P,CODE!$O$1,FALSE)))</f>
        <v>SWB</v>
      </c>
      <c r="P519" s="29" t="str">
        <f t="shared" si="115"/>
        <v>키즈</v>
      </c>
      <c r="Q519" s="29" t="str">
        <f t="shared" si="116"/>
        <v>SWBERF5515</v>
      </c>
      <c r="R519" s="1" t="s">
        <v>1293</v>
      </c>
      <c r="S519" s="1" t="s">
        <v>14</v>
      </c>
      <c r="T519" s="26">
        <v>1000</v>
      </c>
      <c r="U519" s="26">
        <v>55000000</v>
      </c>
      <c r="V519" s="26">
        <v>10473130.000000002</v>
      </c>
      <c r="W519" s="26">
        <v>4.7741219673583721</v>
      </c>
      <c r="X519" s="26">
        <v>916</v>
      </c>
      <c r="Y519" s="26">
        <v>0</v>
      </c>
    </row>
    <row r="520" spans="1:25">
      <c r="A520" s="24" t="str">
        <f t="shared" si="108"/>
        <v>신규</v>
      </c>
      <c r="B520" s="24" t="str">
        <f>IF(COUNTIF(R$1:R519,R520)=0,"최초","리오더")</f>
        <v>최초</v>
      </c>
      <c r="C520" s="24" t="str">
        <f t="shared" si="109"/>
        <v>SWBERF5516</v>
      </c>
      <c r="D520" s="24">
        <f t="shared" si="104"/>
        <v>1</v>
      </c>
      <c r="E520" s="24" t="str">
        <f t="shared" si="110"/>
        <v/>
      </c>
      <c r="F520" s="24">
        <f t="shared" si="105"/>
        <v>0</v>
      </c>
      <c r="G520" s="24" t="str">
        <f t="shared" si="111"/>
        <v>SWBERF5516PK</v>
      </c>
      <c r="H520" s="24">
        <f t="shared" si="106"/>
        <v>1</v>
      </c>
      <c r="I520" s="24" t="str">
        <f t="shared" si="112"/>
        <v/>
      </c>
      <c r="J520" s="24">
        <f t="shared" si="107"/>
        <v>0</v>
      </c>
      <c r="K520" s="24" t="str">
        <f t="shared" si="113"/>
        <v>F5</v>
      </c>
      <c r="L520" s="24" t="str">
        <f>VLOOKUP(N520,CODE!K:P,CODE!$P$1,FALSE)</f>
        <v>모자</v>
      </c>
      <c r="M520" s="24" t="str">
        <f>VLOOKUP(MID(R520,1,3),CODE!$B:$G,CODE!D$1,FALSE)</f>
        <v>SWB</v>
      </c>
      <c r="N520" s="24" t="str">
        <f t="shared" si="114"/>
        <v>ER</v>
      </c>
      <c r="O520" s="29" t="str">
        <f>IF(ISERROR(IF(VLOOKUP($N520,CODE!$K:$P,CODE!$O$1,FALSE)="",$M520,$M520&amp;"-"&amp;VLOOKUP($N520,CODE!$K:$P,CODE!$O$1,FALSE)))=TRUE,"",IF(VLOOKUP($N520,CODE!$K:$P,CODE!$O$1,FALSE)="",$M520,$M520&amp;"-"&amp;VLOOKUP($N520,CODE!$K:$P,CODE!$O$1,FALSE)))</f>
        <v>SWB</v>
      </c>
      <c r="P520" s="29" t="str">
        <f t="shared" si="115"/>
        <v>키즈</v>
      </c>
      <c r="Q520" s="29" t="str">
        <f t="shared" si="116"/>
        <v>SWBERF5516</v>
      </c>
      <c r="R520" s="1" t="s">
        <v>1294</v>
      </c>
      <c r="S520" s="1" t="s">
        <v>14</v>
      </c>
      <c r="T520" s="26">
        <v>800</v>
      </c>
      <c r="U520" s="26">
        <v>44000000</v>
      </c>
      <c r="V520" s="26">
        <v>7230896</v>
      </c>
      <c r="W520" s="26">
        <v>5.5318179102562111</v>
      </c>
      <c r="X520" s="26">
        <v>791</v>
      </c>
      <c r="Y520" s="26">
        <v>0</v>
      </c>
    </row>
    <row r="521" spans="1:25">
      <c r="A521" s="24" t="str">
        <f t="shared" si="108"/>
        <v>신규</v>
      </c>
      <c r="B521" s="24" t="str">
        <f>IF(COUNTIF(R$1:R520,R521)=0,"최초","리오더")</f>
        <v>최초</v>
      </c>
      <c r="C521" s="24" t="str">
        <f t="shared" si="109"/>
        <v>SWBERF5536</v>
      </c>
      <c r="D521" s="24">
        <f t="shared" si="104"/>
        <v>1</v>
      </c>
      <c r="E521" s="24" t="str">
        <f t="shared" si="110"/>
        <v/>
      </c>
      <c r="F521" s="24">
        <f t="shared" si="105"/>
        <v>0</v>
      </c>
      <c r="G521" s="24" t="str">
        <f t="shared" si="111"/>
        <v>SWBERF5536NY</v>
      </c>
      <c r="H521" s="24">
        <f t="shared" si="106"/>
        <v>1</v>
      </c>
      <c r="I521" s="24" t="str">
        <f t="shared" si="112"/>
        <v/>
      </c>
      <c r="J521" s="24">
        <f t="shared" si="107"/>
        <v>0</v>
      </c>
      <c r="K521" s="24" t="str">
        <f t="shared" si="113"/>
        <v>F5</v>
      </c>
      <c r="L521" s="24" t="str">
        <f>VLOOKUP(N521,CODE!K:P,CODE!$P$1,FALSE)</f>
        <v>모자</v>
      </c>
      <c r="M521" s="24" t="str">
        <f>VLOOKUP(MID(R521,1,3),CODE!$B:$G,CODE!D$1,FALSE)</f>
        <v>SWB</v>
      </c>
      <c r="N521" s="24" t="str">
        <f t="shared" si="114"/>
        <v>ER</v>
      </c>
      <c r="O521" s="29" t="str">
        <f>IF(ISERROR(IF(VLOOKUP($N521,CODE!$K:$P,CODE!$O$1,FALSE)="",$M521,$M521&amp;"-"&amp;VLOOKUP($N521,CODE!$K:$P,CODE!$O$1,FALSE)))=TRUE,"",IF(VLOOKUP($N521,CODE!$K:$P,CODE!$O$1,FALSE)="",$M521,$M521&amp;"-"&amp;VLOOKUP($N521,CODE!$K:$P,CODE!$O$1,FALSE)))</f>
        <v>SWB</v>
      </c>
      <c r="P521" s="29" t="str">
        <f t="shared" si="115"/>
        <v>키즈</v>
      </c>
      <c r="Q521" s="29" t="str">
        <f t="shared" si="116"/>
        <v>SWBERF5536</v>
      </c>
      <c r="R521" s="1" t="s">
        <v>1295</v>
      </c>
      <c r="S521" s="1" t="s">
        <v>14</v>
      </c>
      <c r="T521" s="26">
        <v>800</v>
      </c>
      <c r="U521" s="26">
        <v>44000000</v>
      </c>
      <c r="V521" s="26">
        <v>7580168.0000000019</v>
      </c>
      <c r="W521" s="26">
        <v>5.2769278992233399</v>
      </c>
      <c r="X521" s="26">
        <v>799</v>
      </c>
      <c r="Y521" s="26">
        <v>0</v>
      </c>
    </row>
    <row r="522" spans="1:25">
      <c r="A522" s="24" t="str">
        <f t="shared" si="108"/>
        <v>신규</v>
      </c>
      <c r="B522" s="24" t="str">
        <f>IF(COUNTIF(R$1:R521,R522)=0,"최초","리오더")</f>
        <v>최초</v>
      </c>
      <c r="C522" s="24" t="str">
        <f t="shared" si="109"/>
        <v>SWBSNF5507</v>
      </c>
      <c r="D522" s="24">
        <f t="shared" si="104"/>
        <v>0.5</v>
      </c>
      <c r="E522" s="24" t="str">
        <f t="shared" si="110"/>
        <v/>
      </c>
      <c r="F522" s="24">
        <f t="shared" si="105"/>
        <v>0</v>
      </c>
      <c r="G522" s="24" t="str">
        <f t="shared" si="111"/>
        <v>SWBSNF5507NY</v>
      </c>
      <c r="H522" s="24">
        <f t="shared" si="106"/>
        <v>1</v>
      </c>
      <c r="I522" s="24" t="str">
        <f t="shared" si="112"/>
        <v/>
      </c>
      <c r="J522" s="24">
        <f t="shared" si="107"/>
        <v>0</v>
      </c>
      <c r="K522" s="24" t="str">
        <f t="shared" si="113"/>
        <v>F5</v>
      </c>
      <c r="L522" s="24" t="str">
        <f>VLOOKUP(N522,CODE!K:P,CODE!$P$1,FALSE)</f>
        <v>모자</v>
      </c>
      <c r="M522" s="24" t="str">
        <f>VLOOKUP(MID(R522,1,3),CODE!$B:$G,CODE!D$1,FALSE)</f>
        <v>SWB</v>
      </c>
      <c r="N522" s="24" t="str">
        <f t="shared" si="114"/>
        <v>SN</v>
      </c>
      <c r="O522" s="29" t="str">
        <f>IF(ISERROR(IF(VLOOKUP($N522,CODE!$K:$P,CODE!$O$1,FALSE)="",$M522,$M522&amp;"-"&amp;VLOOKUP($N522,CODE!$K:$P,CODE!$O$1,FALSE)))=TRUE,"",IF(VLOOKUP($N522,CODE!$K:$P,CODE!$O$1,FALSE)="",$M522,$M522&amp;"-"&amp;VLOOKUP($N522,CODE!$K:$P,CODE!$O$1,FALSE)))</f>
        <v>SWB</v>
      </c>
      <c r="P522" s="29" t="str">
        <f t="shared" si="115"/>
        <v>키즈</v>
      </c>
      <c r="Q522" s="29" t="str">
        <f t="shared" si="116"/>
        <v>SWBSNF5507</v>
      </c>
      <c r="R522" s="1" t="s">
        <v>1296</v>
      </c>
      <c r="S522" s="1" t="s">
        <v>14</v>
      </c>
      <c r="T522" s="26">
        <v>1500</v>
      </c>
      <c r="U522" s="26">
        <v>67500000</v>
      </c>
      <c r="V522" s="26">
        <v>11808375.000000002</v>
      </c>
      <c r="W522" s="26">
        <v>5.1966198874643075</v>
      </c>
      <c r="X522" s="26">
        <v>1469</v>
      </c>
      <c r="Y522" s="26">
        <v>0</v>
      </c>
    </row>
    <row r="523" spans="1:25">
      <c r="A523" s="24" t="str">
        <f t="shared" si="108"/>
        <v>신규</v>
      </c>
      <c r="B523" s="24" t="str">
        <f>IF(COUNTIF(R$1:R522,R523)=0,"최초","리오더")</f>
        <v>최초</v>
      </c>
      <c r="C523" s="24" t="str">
        <f t="shared" si="109"/>
        <v>SWBSNF5507</v>
      </c>
      <c r="D523" s="24">
        <f t="shared" si="104"/>
        <v>0.5</v>
      </c>
      <c r="E523" s="24" t="str">
        <f t="shared" si="110"/>
        <v/>
      </c>
      <c r="F523" s="24">
        <f t="shared" si="105"/>
        <v>0</v>
      </c>
      <c r="G523" s="24" t="str">
        <f t="shared" si="111"/>
        <v>SWBSNF5507PK</v>
      </c>
      <c r="H523" s="24">
        <f t="shared" si="106"/>
        <v>1</v>
      </c>
      <c r="I523" s="24" t="str">
        <f t="shared" si="112"/>
        <v/>
      </c>
      <c r="J523" s="24">
        <f t="shared" si="107"/>
        <v>0</v>
      </c>
      <c r="K523" s="24" t="str">
        <f t="shared" si="113"/>
        <v>F5</v>
      </c>
      <c r="L523" s="24" t="str">
        <f>VLOOKUP(N523,CODE!K:P,CODE!$P$1,FALSE)</f>
        <v>모자</v>
      </c>
      <c r="M523" s="24" t="str">
        <f>VLOOKUP(MID(R523,1,3),CODE!$B:$G,CODE!D$1,FALSE)</f>
        <v>SWB</v>
      </c>
      <c r="N523" s="24" t="str">
        <f t="shared" si="114"/>
        <v>SN</v>
      </c>
      <c r="O523" s="29" t="str">
        <f>IF(ISERROR(IF(VLOOKUP($N523,CODE!$K:$P,CODE!$O$1,FALSE)="",$M523,$M523&amp;"-"&amp;VLOOKUP($N523,CODE!$K:$P,CODE!$O$1,FALSE)))=TRUE,"",IF(VLOOKUP($N523,CODE!$K:$P,CODE!$O$1,FALSE)="",$M523,$M523&amp;"-"&amp;VLOOKUP($N523,CODE!$K:$P,CODE!$O$1,FALSE)))</f>
        <v>SWB</v>
      </c>
      <c r="P523" s="29" t="str">
        <f t="shared" si="115"/>
        <v>키즈</v>
      </c>
      <c r="Q523" s="29" t="str">
        <f t="shared" si="116"/>
        <v>SWBSNF5507</v>
      </c>
      <c r="R523" s="1" t="s">
        <v>1297</v>
      </c>
      <c r="S523" s="1" t="s">
        <v>14</v>
      </c>
      <c r="T523" s="26">
        <v>1500</v>
      </c>
      <c r="U523" s="26">
        <v>67500000</v>
      </c>
      <c r="V523" s="26">
        <v>11808375.000000002</v>
      </c>
      <c r="W523" s="26">
        <v>5.1966198874643075</v>
      </c>
      <c r="X523" s="26">
        <v>1500</v>
      </c>
      <c r="Y523" s="26">
        <v>0</v>
      </c>
    </row>
    <row r="524" spans="1:25">
      <c r="A524" s="24" t="str">
        <f t="shared" si="108"/>
        <v>신규</v>
      </c>
      <c r="B524" s="24" t="str">
        <f>IF(COUNTIF(R$1:R523,R524)=0,"최초","리오더")</f>
        <v>최초</v>
      </c>
      <c r="C524" s="24" t="str">
        <f t="shared" si="109"/>
        <v>SWBSNF5508</v>
      </c>
      <c r="D524" s="24">
        <f t="shared" si="104"/>
        <v>0.5</v>
      </c>
      <c r="E524" s="24" t="str">
        <f t="shared" si="110"/>
        <v/>
      </c>
      <c r="F524" s="24">
        <f t="shared" si="105"/>
        <v>0</v>
      </c>
      <c r="G524" s="24" t="str">
        <f t="shared" si="111"/>
        <v>SWBSNF5508NY</v>
      </c>
      <c r="H524" s="24">
        <f t="shared" si="106"/>
        <v>1</v>
      </c>
      <c r="I524" s="24" t="str">
        <f t="shared" si="112"/>
        <v/>
      </c>
      <c r="J524" s="24">
        <f t="shared" si="107"/>
        <v>0</v>
      </c>
      <c r="K524" s="24" t="str">
        <f t="shared" si="113"/>
        <v>F5</v>
      </c>
      <c r="L524" s="24" t="str">
        <f>VLOOKUP(N524,CODE!K:P,CODE!$P$1,FALSE)</f>
        <v>모자</v>
      </c>
      <c r="M524" s="24" t="str">
        <f>VLOOKUP(MID(R524,1,3),CODE!$B:$G,CODE!D$1,FALSE)</f>
        <v>SWB</v>
      </c>
      <c r="N524" s="24" t="str">
        <f t="shared" si="114"/>
        <v>SN</v>
      </c>
      <c r="O524" s="29" t="str">
        <f>IF(ISERROR(IF(VLOOKUP($N524,CODE!$K:$P,CODE!$O$1,FALSE)="",$M524,$M524&amp;"-"&amp;VLOOKUP($N524,CODE!$K:$P,CODE!$O$1,FALSE)))=TRUE,"",IF(VLOOKUP($N524,CODE!$K:$P,CODE!$O$1,FALSE)="",$M524,$M524&amp;"-"&amp;VLOOKUP($N524,CODE!$K:$P,CODE!$O$1,FALSE)))</f>
        <v>SWB</v>
      </c>
      <c r="P524" s="29" t="str">
        <f t="shared" si="115"/>
        <v>키즈</v>
      </c>
      <c r="Q524" s="29" t="str">
        <f t="shared" si="116"/>
        <v>SWBSNF5508</v>
      </c>
      <c r="R524" s="1" t="s">
        <v>1298</v>
      </c>
      <c r="S524" s="1" t="s">
        <v>14</v>
      </c>
      <c r="T524" s="26">
        <v>1200</v>
      </c>
      <c r="U524" s="26">
        <v>54000000</v>
      </c>
      <c r="V524" s="26">
        <v>9931800</v>
      </c>
      <c r="W524" s="26">
        <v>4.9428008106193326</v>
      </c>
      <c r="X524" s="26">
        <v>1200</v>
      </c>
      <c r="Y524" s="26">
        <v>0</v>
      </c>
    </row>
    <row r="525" spans="1:25">
      <c r="A525" s="24" t="str">
        <f t="shared" si="108"/>
        <v>신규</v>
      </c>
      <c r="B525" s="24" t="str">
        <f>IF(COUNTIF(R$1:R524,R525)=0,"최초","리오더")</f>
        <v>최초</v>
      </c>
      <c r="C525" s="24" t="str">
        <f t="shared" si="109"/>
        <v>SWBSNF5508</v>
      </c>
      <c r="D525" s="24">
        <f t="shared" si="104"/>
        <v>0.5</v>
      </c>
      <c r="E525" s="24" t="str">
        <f t="shared" si="110"/>
        <v/>
      </c>
      <c r="F525" s="24">
        <f t="shared" si="105"/>
        <v>0</v>
      </c>
      <c r="G525" s="24" t="str">
        <f t="shared" si="111"/>
        <v>SWBSNF5508PK</v>
      </c>
      <c r="H525" s="24">
        <f t="shared" si="106"/>
        <v>1</v>
      </c>
      <c r="I525" s="24" t="str">
        <f t="shared" si="112"/>
        <v/>
      </c>
      <c r="J525" s="24">
        <f t="shared" si="107"/>
        <v>0</v>
      </c>
      <c r="K525" s="24" t="str">
        <f t="shared" si="113"/>
        <v>F5</v>
      </c>
      <c r="L525" s="24" t="str">
        <f>VLOOKUP(N525,CODE!K:P,CODE!$P$1,FALSE)</f>
        <v>모자</v>
      </c>
      <c r="M525" s="24" t="str">
        <f>VLOOKUP(MID(R525,1,3),CODE!$B:$G,CODE!D$1,FALSE)</f>
        <v>SWB</v>
      </c>
      <c r="N525" s="24" t="str">
        <f t="shared" si="114"/>
        <v>SN</v>
      </c>
      <c r="O525" s="29" t="str">
        <f>IF(ISERROR(IF(VLOOKUP($N525,CODE!$K:$P,CODE!$O$1,FALSE)="",$M525,$M525&amp;"-"&amp;VLOOKUP($N525,CODE!$K:$P,CODE!$O$1,FALSE)))=TRUE,"",IF(VLOOKUP($N525,CODE!$K:$P,CODE!$O$1,FALSE)="",$M525,$M525&amp;"-"&amp;VLOOKUP($N525,CODE!$K:$P,CODE!$O$1,FALSE)))</f>
        <v>SWB</v>
      </c>
      <c r="P525" s="29" t="str">
        <f t="shared" si="115"/>
        <v>키즈</v>
      </c>
      <c r="Q525" s="29" t="str">
        <f t="shared" si="116"/>
        <v>SWBSNF5508</v>
      </c>
      <c r="R525" s="1" t="s">
        <v>1299</v>
      </c>
      <c r="S525" s="1" t="s">
        <v>14</v>
      </c>
      <c r="T525" s="26">
        <v>1200</v>
      </c>
      <c r="U525" s="26">
        <v>54000000</v>
      </c>
      <c r="V525" s="26">
        <v>9931800</v>
      </c>
      <c r="W525" s="26">
        <v>4.9428008106193326</v>
      </c>
      <c r="X525" s="26">
        <v>1200</v>
      </c>
      <c r="Y525" s="26">
        <v>0</v>
      </c>
    </row>
    <row r="526" spans="1:25">
      <c r="A526" s="24" t="str">
        <f t="shared" si="108"/>
        <v>신규</v>
      </c>
      <c r="B526" s="24" t="str">
        <f>IF(COUNTIF(R$1:R525,R526)=0,"최초","리오더")</f>
        <v>최초</v>
      </c>
      <c r="C526" s="24" t="str">
        <f t="shared" si="109"/>
        <v>SWBERF5517</v>
      </c>
      <c r="D526" s="24">
        <f t="shared" si="104"/>
        <v>1</v>
      </c>
      <c r="E526" s="24" t="str">
        <f t="shared" si="110"/>
        <v/>
      </c>
      <c r="F526" s="24">
        <f t="shared" si="105"/>
        <v>0</v>
      </c>
      <c r="G526" s="24" t="str">
        <f t="shared" si="111"/>
        <v>SWBERF5517PK</v>
      </c>
      <c r="H526" s="24">
        <f t="shared" si="106"/>
        <v>1</v>
      </c>
      <c r="I526" s="24" t="str">
        <f t="shared" si="112"/>
        <v/>
      </c>
      <c r="J526" s="24">
        <f t="shared" si="107"/>
        <v>0</v>
      </c>
      <c r="K526" s="24" t="str">
        <f t="shared" si="113"/>
        <v>F5</v>
      </c>
      <c r="L526" s="24" t="str">
        <f>VLOOKUP(N526,CODE!K:P,CODE!$P$1,FALSE)</f>
        <v>모자</v>
      </c>
      <c r="M526" s="24" t="str">
        <f>VLOOKUP(MID(R526,1,3),CODE!$B:$G,CODE!D$1,FALSE)</f>
        <v>SWB</v>
      </c>
      <c r="N526" s="24" t="str">
        <f t="shared" si="114"/>
        <v>ER</v>
      </c>
      <c r="O526" s="29" t="str">
        <f>IF(ISERROR(IF(VLOOKUP($N526,CODE!$K:$P,CODE!$O$1,FALSE)="",$M526,$M526&amp;"-"&amp;VLOOKUP($N526,CODE!$K:$P,CODE!$O$1,FALSE)))=TRUE,"",IF(VLOOKUP($N526,CODE!$K:$P,CODE!$O$1,FALSE)="",$M526,$M526&amp;"-"&amp;VLOOKUP($N526,CODE!$K:$P,CODE!$O$1,FALSE)))</f>
        <v>SWB</v>
      </c>
      <c r="P526" s="29" t="str">
        <f t="shared" si="115"/>
        <v>키즈</v>
      </c>
      <c r="Q526" s="29" t="str">
        <f t="shared" si="116"/>
        <v>SWBERF5517</v>
      </c>
      <c r="R526" s="1" t="s">
        <v>1300</v>
      </c>
      <c r="S526" s="1" t="s">
        <v>14</v>
      </c>
      <c r="T526" s="26">
        <v>1200</v>
      </c>
      <c r="U526" s="26">
        <v>66000000</v>
      </c>
      <c r="V526" s="26">
        <v>11733600</v>
      </c>
      <c r="W526" s="26">
        <v>5.1135201472693792</v>
      </c>
      <c r="X526" s="26">
        <v>1179</v>
      </c>
      <c r="Y526" s="26">
        <v>0</v>
      </c>
    </row>
    <row r="527" spans="1:25">
      <c r="A527" s="24" t="str">
        <f t="shared" si="108"/>
        <v>러닝</v>
      </c>
      <c r="B527" s="24" t="str">
        <f>IF(COUNTIF(R$1:R526,R527)=0,"최초","리오더")</f>
        <v>최초</v>
      </c>
      <c r="C527" s="24" t="str">
        <f t="shared" si="109"/>
        <v>SMBFIF3402</v>
      </c>
      <c r="D527" s="24">
        <f t="shared" si="104"/>
        <v>1</v>
      </c>
      <c r="E527" s="24" t="str">
        <f t="shared" si="110"/>
        <v/>
      </c>
      <c r="F527" s="24">
        <f t="shared" si="105"/>
        <v>0</v>
      </c>
      <c r="G527" s="24" t="str">
        <f t="shared" si="111"/>
        <v>SMBFIF3402BK</v>
      </c>
      <c r="H527" s="24">
        <f t="shared" si="106"/>
        <v>1</v>
      </c>
      <c r="I527" s="24" t="str">
        <f t="shared" si="112"/>
        <v/>
      </c>
      <c r="J527" s="24">
        <f t="shared" si="107"/>
        <v>0</v>
      </c>
      <c r="K527" s="24" t="str">
        <f t="shared" si="113"/>
        <v>F3</v>
      </c>
      <c r="L527" s="24" t="str">
        <f>VLOOKUP(N527,CODE!K:P,CODE!$P$1,FALSE)</f>
        <v>모자</v>
      </c>
      <c r="M527" s="24" t="str">
        <f>VLOOKUP(MID(R527,1,3),CODE!$B:$G,CODE!D$1,FALSE)</f>
        <v>SMB</v>
      </c>
      <c r="N527" s="24" t="str">
        <f t="shared" si="114"/>
        <v>FI</v>
      </c>
      <c r="O527" s="29" t="str">
        <f>IF(ISERROR(IF(VLOOKUP($N527,CODE!$K:$P,CODE!$O$1,FALSE)="",$M527,$M527&amp;"-"&amp;VLOOKUP($N527,CODE!$K:$P,CODE!$O$1,FALSE)))=TRUE,"",IF(VLOOKUP($N527,CODE!$K:$P,CODE!$O$1,FALSE)="",$M527,$M527&amp;"-"&amp;VLOOKUP($N527,CODE!$K:$P,CODE!$O$1,FALSE)))</f>
        <v>SMB</v>
      </c>
      <c r="P527" s="29" t="str">
        <f t="shared" si="115"/>
        <v>성인</v>
      </c>
      <c r="Q527" s="29" t="str">
        <f t="shared" si="116"/>
        <v>SMBFIF3402</v>
      </c>
      <c r="R527" s="1" t="s">
        <v>1301</v>
      </c>
      <c r="S527" s="1" t="s">
        <v>14</v>
      </c>
      <c r="T527" s="26">
        <v>1500</v>
      </c>
      <c r="U527" s="26">
        <v>64500000</v>
      </c>
      <c r="V527" s="26">
        <v>5830410.0000000009</v>
      </c>
      <c r="W527" s="26">
        <v>10.0569880396685</v>
      </c>
      <c r="X527" s="26">
        <v>1500</v>
      </c>
      <c r="Y527" s="26">
        <v>0</v>
      </c>
    </row>
    <row r="528" spans="1:25">
      <c r="A528" s="24" t="str">
        <f t="shared" si="108"/>
        <v>신규</v>
      </c>
      <c r="B528" s="24" t="str">
        <f>IF(COUNTIF(R$1:R527,R528)=0,"최초","리오더")</f>
        <v>최초</v>
      </c>
      <c r="C528" s="24" t="str">
        <f t="shared" si="109"/>
        <v>SMBFIF3018</v>
      </c>
      <c r="D528" s="24">
        <f t="shared" si="104"/>
        <v>1</v>
      </c>
      <c r="E528" s="24" t="str">
        <f t="shared" si="110"/>
        <v/>
      </c>
      <c r="F528" s="24">
        <f t="shared" si="105"/>
        <v>0</v>
      </c>
      <c r="G528" s="24" t="str">
        <f t="shared" si="111"/>
        <v>SMBFIF3018BK</v>
      </c>
      <c r="H528" s="24">
        <f t="shared" si="106"/>
        <v>1</v>
      </c>
      <c r="I528" s="24" t="str">
        <f t="shared" si="112"/>
        <v/>
      </c>
      <c r="J528" s="24">
        <f t="shared" si="107"/>
        <v>0</v>
      </c>
      <c r="K528" s="24" t="str">
        <f t="shared" si="113"/>
        <v>F3</v>
      </c>
      <c r="L528" s="24" t="str">
        <f>VLOOKUP(N528,CODE!K:P,CODE!$P$1,FALSE)</f>
        <v>모자</v>
      </c>
      <c r="M528" s="24" t="str">
        <f>VLOOKUP(MID(R528,1,3),CODE!$B:$G,CODE!D$1,FALSE)</f>
        <v>SMB</v>
      </c>
      <c r="N528" s="24" t="str">
        <f t="shared" si="114"/>
        <v>FI</v>
      </c>
      <c r="O528" s="29" t="str">
        <f>IF(ISERROR(IF(VLOOKUP($N528,CODE!$K:$P,CODE!$O$1,FALSE)="",$M528,$M528&amp;"-"&amp;VLOOKUP($N528,CODE!$K:$P,CODE!$O$1,FALSE)))=TRUE,"",IF(VLOOKUP($N528,CODE!$K:$P,CODE!$O$1,FALSE)="",$M528,$M528&amp;"-"&amp;VLOOKUP($N528,CODE!$K:$P,CODE!$O$1,FALSE)))</f>
        <v>SMB</v>
      </c>
      <c r="P528" s="29" t="str">
        <f t="shared" si="115"/>
        <v>성인</v>
      </c>
      <c r="Q528" s="29" t="str">
        <f t="shared" si="116"/>
        <v>SMBFIF3018</v>
      </c>
      <c r="R528" s="1" t="s">
        <v>1302</v>
      </c>
      <c r="S528" s="1" t="s">
        <v>14</v>
      </c>
      <c r="T528" s="26">
        <v>1200</v>
      </c>
      <c r="U528" s="26">
        <v>51600000</v>
      </c>
      <c r="V528" s="26">
        <v>4814016</v>
      </c>
      <c r="W528" s="26">
        <v>9.7442739926686794</v>
      </c>
      <c r="X528" s="26">
        <v>1200</v>
      </c>
      <c r="Y528" s="26">
        <v>0</v>
      </c>
    </row>
    <row r="529" spans="1:25">
      <c r="A529" s="24" t="str">
        <f t="shared" si="108"/>
        <v>신규</v>
      </c>
      <c r="B529" s="24" t="str">
        <f>IF(COUNTIF(R$1:R528,R529)=0,"최초","리오더")</f>
        <v>최초</v>
      </c>
      <c r="C529" s="24" t="str">
        <f t="shared" si="109"/>
        <v>SMBFIF3019</v>
      </c>
      <c r="D529" s="24">
        <f t="shared" si="104"/>
        <v>1</v>
      </c>
      <c r="E529" s="24" t="str">
        <f t="shared" si="110"/>
        <v/>
      </c>
      <c r="F529" s="24">
        <f t="shared" si="105"/>
        <v>0</v>
      </c>
      <c r="G529" s="24" t="str">
        <f t="shared" si="111"/>
        <v>SMBFIF3019BK</v>
      </c>
      <c r="H529" s="24">
        <f t="shared" si="106"/>
        <v>1</v>
      </c>
      <c r="I529" s="24" t="str">
        <f t="shared" si="112"/>
        <v/>
      </c>
      <c r="J529" s="24">
        <f t="shared" si="107"/>
        <v>0</v>
      </c>
      <c r="K529" s="24" t="str">
        <f t="shared" si="113"/>
        <v>F3</v>
      </c>
      <c r="L529" s="24" t="str">
        <f>VLOOKUP(N529,CODE!K:P,CODE!$P$1,FALSE)</f>
        <v>모자</v>
      </c>
      <c r="M529" s="24" t="str">
        <f>VLOOKUP(MID(R529,1,3),CODE!$B:$G,CODE!D$1,FALSE)</f>
        <v>SMB</v>
      </c>
      <c r="N529" s="24" t="str">
        <f t="shared" si="114"/>
        <v>FI</v>
      </c>
      <c r="O529" s="29" t="str">
        <f>IF(ISERROR(IF(VLOOKUP($N529,CODE!$K:$P,CODE!$O$1,FALSE)="",$M529,$M529&amp;"-"&amp;VLOOKUP($N529,CODE!$K:$P,CODE!$O$1,FALSE)))=TRUE,"",IF(VLOOKUP($N529,CODE!$K:$P,CODE!$O$1,FALSE)="",$M529,$M529&amp;"-"&amp;VLOOKUP($N529,CODE!$K:$P,CODE!$O$1,FALSE)))</f>
        <v>SMB</v>
      </c>
      <c r="P529" s="29" t="str">
        <f t="shared" si="115"/>
        <v>성인</v>
      </c>
      <c r="Q529" s="29" t="str">
        <f t="shared" si="116"/>
        <v>SMBFIF3019</v>
      </c>
      <c r="R529" s="1" t="s">
        <v>1303</v>
      </c>
      <c r="S529" s="1" t="s">
        <v>14</v>
      </c>
      <c r="T529" s="26">
        <v>1200</v>
      </c>
      <c r="U529" s="26">
        <v>51600000</v>
      </c>
      <c r="V529" s="26">
        <v>4814016</v>
      </c>
      <c r="W529" s="26">
        <v>9.7442739926686794</v>
      </c>
      <c r="X529" s="26">
        <v>1199</v>
      </c>
      <c r="Y529" s="26">
        <v>0</v>
      </c>
    </row>
    <row r="530" spans="1:25">
      <c r="A530" s="24" t="str">
        <f t="shared" si="108"/>
        <v>신규</v>
      </c>
      <c r="B530" s="24" t="str">
        <f>IF(COUNTIF(R$1:R529,R530)=0,"최초","리오더")</f>
        <v>최초</v>
      </c>
      <c r="C530" s="24" t="str">
        <f t="shared" si="109"/>
        <v>SMBSNF3009</v>
      </c>
      <c r="D530" s="24">
        <f t="shared" si="104"/>
        <v>0.5</v>
      </c>
      <c r="E530" s="24" t="str">
        <f t="shared" si="110"/>
        <v/>
      </c>
      <c r="F530" s="24">
        <f t="shared" si="105"/>
        <v>0</v>
      </c>
      <c r="G530" s="24" t="str">
        <f t="shared" si="111"/>
        <v>SMBSNF3009BK</v>
      </c>
      <c r="H530" s="24">
        <f t="shared" si="106"/>
        <v>1</v>
      </c>
      <c r="I530" s="24" t="str">
        <f t="shared" si="112"/>
        <v/>
      </c>
      <c r="J530" s="24">
        <f t="shared" si="107"/>
        <v>0</v>
      </c>
      <c r="K530" s="24" t="str">
        <f t="shared" si="113"/>
        <v>F3</v>
      </c>
      <c r="L530" s="24" t="str">
        <f>VLOOKUP(N530,CODE!K:P,CODE!$P$1,FALSE)</f>
        <v>모자</v>
      </c>
      <c r="M530" s="24" t="str">
        <f>VLOOKUP(MID(R530,1,3),CODE!$B:$G,CODE!D$1,FALSE)</f>
        <v>SMB</v>
      </c>
      <c r="N530" s="24" t="str">
        <f t="shared" si="114"/>
        <v>SN</v>
      </c>
      <c r="O530" s="29" t="str">
        <f>IF(ISERROR(IF(VLOOKUP($N530,CODE!$K:$P,CODE!$O$1,FALSE)="",$M530,$M530&amp;"-"&amp;VLOOKUP($N530,CODE!$K:$P,CODE!$O$1,FALSE)))=TRUE,"",IF(VLOOKUP($N530,CODE!$K:$P,CODE!$O$1,FALSE)="",$M530,$M530&amp;"-"&amp;VLOOKUP($N530,CODE!$K:$P,CODE!$O$1,FALSE)))</f>
        <v>SMB</v>
      </c>
      <c r="P530" s="29" t="str">
        <f t="shared" si="115"/>
        <v>성인</v>
      </c>
      <c r="Q530" s="29" t="str">
        <f t="shared" si="116"/>
        <v>SMBSNF3009</v>
      </c>
      <c r="R530" s="1" t="s">
        <v>1304</v>
      </c>
      <c r="S530" s="1" t="s">
        <v>14</v>
      </c>
      <c r="T530" s="26">
        <v>1500</v>
      </c>
      <c r="U530" s="26">
        <v>64500000</v>
      </c>
      <c r="V530" s="26">
        <v>7046520</v>
      </c>
      <c r="W530" s="26">
        <v>8.3213222464938195</v>
      </c>
      <c r="X530" s="26">
        <v>1496</v>
      </c>
      <c r="Y530" s="26">
        <v>0</v>
      </c>
    </row>
    <row r="531" spans="1:25">
      <c r="A531" s="24" t="str">
        <f t="shared" si="108"/>
        <v>신규</v>
      </c>
      <c r="B531" s="24" t="str">
        <f>IF(COUNTIF(R$1:R530,R531)=0,"최초","리오더")</f>
        <v>최초</v>
      </c>
      <c r="C531" s="24" t="str">
        <f t="shared" si="109"/>
        <v>SMBSNF3009</v>
      </c>
      <c r="D531" s="24">
        <f t="shared" si="104"/>
        <v>0.5</v>
      </c>
      <c r="E531" s="24" t="str">
        <f t="shared" si="110"/>
        <v/>
      </c>
      <c r="F531" s="24">
        <f t="shared" si="105"/>
        <v>0</v>
      </c>
      <c r="G531" s="24" t="str">
        <f t="shared" si="111"/>
        <v>SMBSNF3009RE</v>
      </c>
      <c r="H531" s="24">
        <f t="shared" si="106"/>
        <v>1</v>
      </c>
      <c r="I531" s="24" t="str">
        <f t="shared" si="112"/>
        <v/>
      </c>
      <c r="J531" s="24">
        <f t="shared" si="107"/>
        <v>0</v>
      </c>
      <c r="K531" s="24" t="str">
        <f t="shared" si="113"/>
        <v>F3</v>
      </c>
      <c r="L531" s="24" t="str">
        <f>VLOOKUP(N531,CODE!K:P,CODE!$P$1,FALSE)</f>
        <v>모자</v>
      </c>
      <c r="M531" s="24" t="str">
        <f>VLOOKUP(MID(R531,1,3),CODE!$B:$G,CODE!D$1,FALSE)</f>
        <v>SMB</v>
      </c>
      <c r="N531" s="24" t="str">
        <f t="shared" si="114"/>
        <v>SN</v>
      </c>
      <c r="O531" s="29" t="str">
        <f>IF(ISERROR(IF(VLOOKUP($N531,CODE!$K:$P,CODE!$O$1,FALSE)="",$M531,$M531&amp;"-"&amp;VLOOKUP($N531,CODE!$K:$P,CODE!$O$1,FALSE)))=TRUE,"",IF(VLOOKUP($N531,CODE!$K:$P,CODE!$O$1,FALSE)="",$M531,$M531&amp;"-"&amp;VLOOKUP($N531,CODE!$K:$P,CODE!$O$1,FALSE)))</f>
        <v>SMB</v>
      </c>
      <c r="P531" s="29" t="str">
        <f t="shared" si="115"/>
        <v>성인</v>
      </c>
      <c r="Q531" s="29" t="str">
        <f t="shared" si="116"/>
        <v>SMBSNF3009</v>
      </c>
      <c r="R531" s="1" t="s">
        <v>1305</v>
      </c>
      <c r="S531" s="1" t="s">
        <v>14</v>
      </c>
      <c r="T531" s="26">
        <v>1500</v>
      </c>
      <c r="U531" s="26">
        <v>64500000</v>
      </c>
      <c r="V531" s="26">
        <v>7140180</v>
      </c>
      <c r="W531" s="26">
        <v>8.2121688299683804</v>
      </c>
      <c r="X531" s="26">
        <v>1499</v>
      </c>
      <c r="Y531" s="26">
        <v>0</v>
      </c>
    </row>
    <row r="532" spans="1:25">
      <c r="A532" s="24" t="str">
        <f t="shared" si="108"/>
        <v>신규</v>
      </c>
      <c r="B532" s="24" t="str">
        <f>IF(COUNTIF(R$1:R531,R532)=0,"최초","리오더")</f>
        <v>최초</v>
      </c>
      <c r="C532" s="24" t="str">
        <f t="shared" si="109"/>
        <v>SMBERF5018</v>
      </c>
      <c r="D532" s="24">
        <f t="shared" si="104"/>
        <v>1</v>
      </c>
      <c r="E532" s="24" t="str">
        <f t="shared" si="110"/>
        <v/>
      </c>
      <c r="F532" s="24">
        <f t="shared" si="105"/>
        <v>0</v>
      </c>
      <c r="G532" s="24" t="str">
        <f t="shared" si="111"/>
        <v>SMBERF5018BK</v>
      </c>
      <c r="H532" s="24">
        <f t="shared" si="106"/>
        <v>1</v>
      </c>
      <c r="I532" s="24" t="str">
        <f t="shared" si="112"/>
        <v/>
      </c>
      <c r="J532" s="24">
        <f t="shared" si="107"/>
        <v>0</v>
      </c>
      <c r="K532" s="24" t="str">
        <f t="shared" si="113"/>
        <v>F5</v>
      </c>
      <c r="L532" s="24" t="str">
        <f>VLOOKUP(N532,CODE!K:P,CODE!$P$1,FALSE)</f>
        <v>모자</v>
      </c>
      <c r="M532" s="24" t="str">
        <f>VLOOKUP(MID(R532,1,3),CODE!$B:$G,CODE!D$1,FALSE)</f>
        <v>SMB</v>
      </c>
      <c r="N532" s="24" t="str">
        <f t="shared" si="114"/>
        <v>ER</v>
      </c>
      <c r="O532" s="29" t="str">
        <f>IF(ISERROR(IF(VLOOKUP($N532,CODE!$K:$P,CODE!$O$1,FALSE)="",$M532,$M532&amp;"-"&amp;VLOOKUP($N532,CODE!$K:$P,CODE!$O$1,FALSE)))=TRUE,"",IF(VLOOKUP($N532,CODE!$K:$P,CODE!$O$1,FALSE)="",$M532,$M532&amp;"-"&amp;VLOOKUP($N532,CODE!$K:$P,CODE!$O$1,FALSE)))</f>
        <v>SMB</v>
      </c>
      <c r="P532" s="29" t="str">
        <f t="shared" si="115"/>
        <v>성인</v>
      </c>
      <c r="Q532" s="29" t="str">
        <f t="shared" si="116"/>
        <v>SMBERF5018</v>
      </c>
      <c r="R532" s="1" t="s">
        <v>1306</v>
      </c>
      <c r="S532" s="1" t="s">
        <v>14</v>
      </c>
      <c r="T532" s="26">
        <v>1200</v>
      </c>
      <c r="U532" s="26">
        <v>63600000</v>
      </c>
      <c r="V532" s="26">
        <v>7059336.0000000009</v>
      </c>
      <c r="W532" s="26">
        <v>8.1903144740782707</v>
      </c>
      <c r="X532" s="26">
        <v>1700</v>
      </c>
      <c r="Y532" s="26">
        <v>0</v>
      </c>
    </row>
    <row r="533" spans="1:25">
      <c r="A533" s="24" t="str">
        <f t="shared" si="108"/>
        <v>신규</v>
      </c>
      <c r="B533" s="24" t="str">
        <f>IF(COUNTIF(R$1:R532,R533)=0,"최초","리오더")</f>
        <v>최초</v>
      </c>
      <c r="C533" s="24" t="str">
        <f t="shared" si="109"/>
        <v>SMBERF5019</v>
      </c>
      <c r="D533" s="24">
        <f t="shared" si="104"/>
        <v>1</v>
      </c>
      <c r="E533" s="24" t="str">
        <f t="shared" si="110"/>
        <v/>
      </c>
      <c r="F533" s="24">
        <f t="shared" si="105"/>
        <v>0</v>
      </c>
      <c r="G533" s="24" t="str">
        <f t="shared" si="111"/>
        <v>SMBERF5019BK</v>
      </c>
      <c r="H533" s="24">
        <f t="shared" si="106"/>
        <v>1</v>
      </c>
      <c r="I533" s="24" t="str">
        <f t="shared" si="112"/>
        <v/>
      </c>
      <c r="J533" s="24">
        <f t="shared" si="107"/>
        <v>0</v>
      </c>
      <c r="K533" s="24" t="str">
        <f t="shared" si="113"/>
        <v>F5</v>
      </c>
      <c r="L533" s="24" t="str">
        <f>VLOOKUP(N533,CODE!K:P,CODE!$P$1,FALSE)</f>
        <v>모자</v>
      </c>
      <c r="M533" s="24" t="str">
        <f>VLOOKUP(MID(R533,1,3),CODE!$B:$G,CODE!D$1,FALSE)</f>
        <v>SMB</v>
      </c>
      <c r="N533" s="24" t="str">
        <f t="shared" si="114"/>
        <v>ER</v>
      </c>
      <c r="O533" s="29" t="str">
        <f>IF(ISERROR(IF(VLOOKUP($N533,CODE!$K:$P,CODE!$O$1,FALSE)="",$M533,$M533&amp;"-"&amp;VLOOKUP($N533,CODE!$K:$P,CODE!$O$1,FALSE)))=TRUE,"",IF(VLOOKUP($N533,CODE!$K:$P,CODE!$O$1,FALSE)="",$M533,$M533&amp;"-"&amp;VLOOKUP($N533,CODE!$K:$P,CODE!$O$1,FALSE)))</f>
        <v>SMB</v>
      </c>
      <c r="P533" s="29" t="str">
        <f t="shared" si="115"/>
        <v>성인</v>
      </c>
      <c r="Q533" s="29" t="str">
        <f t="shared" si="116"/>
        <v>SMBERF5019</v>
      </c>
      <c r="R533" s="1" t="s">
        <v>1307</v>
      </c>
      <c r="S533" s="1" t="s">
        <v>14</v>
      </c>
      <c r="T533" s="26">
        <v>1200</v>
      </c>
      <c r="U533" s="26">
        <v>63600000</v>
      </c>
      <c r="V533" s="26">
        <v>7209024.0000000009</v>
      </c>
      <c r="W533" s="26">
        <v>8.0202509824050807</v>
      </c>
      <c r="X533" s="26">
        <v>1200</v>
      </c>
      <c r="Y533" s="26">
        <v>0</v>
      </c>
    </row>
    <row r="534" spans="1:25">
      <c r="A534" s="24" t="str">
        <f t="shared" si="108"/>
        <v>신규</v>
      </c>
      <c r="B534" s="24" t="str">
        <f>IF(COUNTIF(R$1:R533,R534)=0,"최초","리오더")</f>
        <v>최초</v>
      </c>
      <c r="C534" s="24" t="str">
        <f t="shared" si="109"/>
        <v>SMBERF5020</v>
      </c>
      <c r="D534" s="24">
        <f t="shared" si="104"/>
        <v>1</v>
      </c>
      <c r="E534" s="24" t="str">
        <f t="shared" si="110"/>
        <v/>
      </c>
      <c r="F534" s="24">
        <f t="shared" si="105"/>
        <v>0</v>
      </c>
      <c r="G534" s="24" t="str">
        <f t="shared" si="111"/>
        <v>SMBERF5020BK</v>
      </c>
      <c r="H534" s="24">
        <f t="shared" si="106"/>
        <v>1</v>
      </c>
      <c r="I534" s="24" t="str">
        <f t="shared" si="112"/>
        <v/>
      </c>
      <c r="J534" s="24">
        <f t="shared" si="107"/>
        <v>0</v>
      </c>
      <c r="K534" s="24" t="str">
        <f t="shared" si="113"/>
        <v>F5</v>
      </c>
      <c r="L534" s="24" t="str">
        <f>VLOOKUP(N534,CODE!K:P,CODE!$P$1,FALSE)</f>
        <v>모자</v>
      </c>
      <c r="M534" s="24" t="str">
        <f>VLOOKUP(MID(R534,1,3),CODE!$B:$G,CODE!D$1,FALSE)</f>
        <v>SMB</v>
      </c>
      <c r="N534" s="24" t="str">
        <f t="shared" si="114"/>
        <v>ER</v>
      </c>
      <c r="O534" s="29" t="str">
        <f>IF(ISERROR(IF(VLOOKUP($N534,CODE!$K:$P,CODE!$O$1,FALSE)="",$M534,$M534&amp;"-"&amp;VLOOKUP($N534,CODE!$K:$P,CODE!$O$1,FALSE)))=TRUE,"",IF(VLOOKUP($N534,CODE!$K:$P,CODE!$O$1,FALSE)="",$M534,$M534&amp;"-"&amp;VLOOKUP($N534,CODE!$K:$P,CODE!$O$1,FALSE)))</f>
        <v>SMB</v>
      </c>
      <c r="P534" s="29" t="str">
        <f t="shared" si="115"/>
        <v>성인</v>
      </c>
      <c r="Q534" s="29" t="str">
        <f t="shared" si="116"/>
        <v>SMBERF5020</v>
      </c>
      <c r="R534" s="1" t="s">
        <v>1308</v>
      </c>
      <c r="S534" s="1" t="s">
        <v>14</v>
      </c>
      <c r="T534" s="26">
        <v>1200</v>
      </c>
      <c r="U534" s="26">
        <v>63600000</v>
      </c>
      <c r="V534" s="26">
        <v>7209024.0000000009</v>
      </c>
      <c r="W534" s="26">
        <v>8.0202509824050807</v>
      </c>
      <c r="X534" s="26">
        <v>1200</v>
      </c>
      <c r="Y534" s="26">
        <v>0</v>
      </c>
    </row>
    <row r="535" spans="1:25">
      <c r="A535" s="24" t="str">
        <f t="shared" si="108"/>
        <v>신규</v>
      </c>
      <c r="B535" s="24" t="str">
        <f>IF(COUNTIF(R$1:R534,R535)=0,"최초","리오더")</f>
        <v>최초</v>
      </c>
      <c r="C535" s="24" t="str">
        <f t="shared" si="109"/>
        <v>SMBERF5021</v>
      </c>
      <c r="D535" s="24">
        <f t="shared" si="104"/>
        <v>1</v>
      </c>
      <c r="E535" s="24" t="str">
        <f t="shared" si="110"/>
        <v/>
      </c>
      <c r="F535" s="24">
        <f t="shared" si="105"/>
        <v>0</v>
      </c>
      <c r="G535" s="24" t="str">
        <f t="shared" si="111"/>
        <v>SMBERF5021NY</v>
      </c>
      <c r="H535" s="24">
        <f t="shared" si="106"/>
        <v>1</v>
      </c>
      <c r="I535" s="24" t="str">
        <f t="shared" si="112"/>
        <v/>
      </c>
      <c r="J535" s="24">
        <f t="shared" si="107"/>
        <v>0</v>
      </c>
      <c r="K535" s="24" t="str">
        <f t="shared" si="113"/>
        <v>F5</v>
      </c>
      <c r="L535" s="24" t="str">
        <f>VLOOKUP(N535,CODE!K:P,CODE!$P$1,FALSE)</f>
        <v>모자</v>
      </c>
      <c r="M535" s="24" t="str">
        <f>VLOOKUP(MID(R535,1,3),CODE!$B:$G,CODE!D$1,FALSE)</f>
        <v>SMB</v>
      </c>
      <c r="N535" s="24" t="str">
        <f t="shared" si="114"/>
        <v>ER</v>
      </c>
      <c r="O535" s="29" t="str">
        <f>IF(ISERROR(IF(VLOOKUP($N535,CODE!$K:$P,CODE!$O$1,FALSE)="",$M535,$M535&amp;"-"&amp;VLOOKUP($N535,CODE!$K:$P,CODE!$O$1,FALSE)))=TRUE,"",IF(VLOOKUP($N535,CODE!$K:$P,CODE!$O$1,FALSE)="",$M535,$M535&amp;"-"&amp;VLOOKUP($N535,CODE!$K:$P,CODE!$O$1,FALSE)))</f>
        <v>SMB</v>
      </c>
      <c r="P535" s="29" t="str">
        <f t="shared" si="115"/>
        <v>성인</v>
      </c>
      <c r="Q535" s="29" t="str">
        <f t="shared" si="116"/>
        <v>SMBERF5021</v>
      </c>
      <c r="R535" s="1" t="s">
        <v>1309</v>
      </c>
      <c r="S535" s="1" t="s">
        <v>14</v>
      </c>
      <c r="T535" s="26">
        <v>1000</v>
      </c>
      <c r="U535" s="26">
        <v>53000000</v>
      </c>
      <c r="V535" s="26">
        <v>6506480.0000000009</v>
      </c>
      <c r="W535" s="26">
        <v>7.4052049928407015</v>
      </c>
      <c r="X535" s="26">
        <v>1000</v>
      </c>
      <c r="Y535" s="26">
        <v>0</v>
      </c>
    </row>
    <row r="536" spans="1:25">
      <c r="A536" s="24" t="str">
        <f t="shared" si="108"/>
        <v>신규</v>
      </c>
      <c r="B536" s="24" t="str">
        <f>IF(COUNTIF(R$1:R535,R536)=0,"최초","리오더")</f>
        <v>최초</v>
      </c>
      <c r="C536" s="24" t="str">
        <f t="shared" si="109"/>
        <v>SMBERF5521</v>
      </c>
      <c r="D536" s="24">
        <f t="shared" si="104"/>
        <v>1</v>
      </c>
      <c r="E536" s="24" t="str">
        <f t="shared" si="110"/>
        <v/>
      </c>
      <c r="F536" s="24">
        <f t="shared" si="105"/>
        <v>0</v>
      </c>
      <c r="G536" s="24" t="str">
        <f t="shared" si="111"/>
        <v>SMBERF5521NY</v>
      </c>
      <c r="H536" s="24">
        <f t="shared" si="106"/>
        <v>1</v>
      </c>
      <c r="I536" s="24" t="str">
        <f t="shared" si="112"/>
        <v/>
      </c>
      <c r="J536" s="24">
        <f t="shared" si="107"/>
        <v>0</v>
      </c>
      <c r="K536" s="24" t="str">
        <f t="shared" si="113"/>
        <v>F5</v>
      </c>
      <c r="L536" s="24" t="str">
        <f>VLOOKUP(N536,CODE!K:P,CODE!$P$1,FALSE)</f>
        <v>모자</v>
      </c>
      <c r="M536" s="24" t="str">
        <f>VLOOKUP(MID(R536,1,3),CODE!$B:$G,CODE!D$1,FALSE)</f>
        <v>SMB</v>
      </c>
      <c r="N536" s="24" t="str">
        <f t="shared" si="114"/>
        <v>ER</v>
      </c>
      <c r="O536" s="29" t="str">
        <f>IF(ISERROR(IF(VLOOKUP($N536,CODE!$K:$P,CODE!$O$1,FALSE)="",$M536,$M536&amp;"-"&amp;VLOOKUP($N536,CODE!$K:$P,CODE!$O$1,FALSE)))=TRUE,"",IF(VLOOKUP($N536,CODE!$K:$P,CODE!$O$1,FALSE)="",$M536,$M536&amp;"-"&amp;VLOOKUP($N536,CODE!$K:$P,CODE!$O$1,FALSE)))</f>
        <v>SMB</v>
      </c>
      <c r="P536" s="29" t="str">
        <f t="shared" si="115"/>
        <v>키즈</v>
      </c>
      <c r="Q536" s="29" t="str">
        <f t="shared" si="116"/>
        <v>SMBERF5521</v>
      </c>
      <c r="R536" s="1" t="s">
        <v>1310</v>
      </c>
      <c r="S536" s="1" t="s">
        <v>14</v>
      </c>
      <c r="T536" s="26">
        <v>1000</v>
      </c>
      <c r="U536" s="26">
        <v>49000000</v>
      </c>
      <c r="V536" s="26">
        <v>6686480.0000000019</v>
      </c>
      <c r="W536" s="26">
        <v>6.6620186623536641</v>
      </c>
      <c r="X536" s="26">
        <v>1000</v>
      </c>
      <c r="Y536" s="26">
        <v>0</v>
      </c>
    </row>
    <row r="537" spans="1:25">
      <c r="A537" s="24" t="str">
        <f t="shared" si="108"/>
        <v>신규</v>
      </c>
      <c r="B537" s="24" t="str">
        <f>IF(COUNTIF(R$1:R536,R537)=0,"최초","리오더")</f>
        <v>최초</v>
      </c>
      <c r="C537" s="24" t="str">
        <f t="shared" si="109"/>
        <v>SMBERF5022</v>
      </c>
      <c r="D537" s="24">
        <f t="shared" si="104"/>
        <v>1</v>
      </c>
      <c r="E537" s="24" t="str">
        <f t="shared" si="110"/>
        <v/>
      </c>
      <c r="F537" s="24">
        <f t="shared" si="105"/>
        <v>0</v>
      </c>
      <c r="G537" s="24" t="str">
        <f t="shared" si="111"/>
        <v>SMBERF5022RE</v>
      </c>
      <c r="H537" s="24">
        <f t="shared" si="106"/>
        <v>1</v>
      </c>
      <c r="I537" s="24" t="str">
        <f t="shared" si="112"/>
        <v/>
      </c>
      <c r="J537" s="24">
        <f t="shared" si="107"/>
        <v>0</v>
      </c>
      <c r="K537" s="24" t="str">
        <f t="shared" si="113"/>
        <v>F5</v>
      </c>
      <c r="L537" s="24" t="str">
        <f>VLOOKUP(N537,CODE!K:P,CODE!$P$1,FALSE)</f>
        <v>모자</v>
      </c>
      <c r="M537" s="24" t="str">
        <f>VLOOKUP(MID(R537,1,3),CODE!$B:$G,CODE!D$1,FALSE)</f>
        <v>SMB</v>
      </c>
      <c r="N537" s="24" t="str">
        <f t="shared" si="114"/>
        <v>ER</v>
      </c>
      <c r="O537" s="29" t="str">
        <f>IF(ISERROR(IF(VLOOKUP($N537,CODE!$K:$P,CODE!$O$1,FALSE)="",$M537,$M537&amp;"-"&amp;VLOOKUP($N537,CODE!$K:$P,CODE!$O$1,FALSE)))=TRUE,"",IF(VLOOKUP($N537,CODE!$K:$P,CODE!$O$1,FALSE)="",$M537,$M537&amp;"-"&amp;VLOOKUP($N537,CODE!$K:$P,CODE!$O$1,FALSE)))</f>
        <v>SMB</v>
      </c>
      <c r="P537" s="29" t="str">
        <f t="shared" si="115"/>
        <v>성인</v>
      </c>
      <c r="Q537" s="29" t="str">
        <f t="shared" si="116"/>
        <v>SMBERF5022</v>
      </c>
      <c r="R537" s="1" t="s">
        <v>1311</v>
      </c>
      <c r="S537" s="1" t="s">
        <v>14</v>
      </c>
      <c r="T537" s="26">
        <v>1000</v>
      </c>
      <c r="U537" s="26">
        <v>53000000</v>
      </c>
      <c r="V537" s="26">
        <v>6506480.0000000009</v>
      </c>
      <c r="W537" s="26">
        <v>7.4052049928407015</v>
      </c>
      <c r="X537" s="26">
        <v>998</v>
      </c>
      <c r="Y537" s="26">
        <v>0</v>
      </c>
    </row>
    <row r="538" spans="1:25">
      <c r="A538" s="24" t="str">
        <f t="shared" si="108"/>
        <v>신규</v>
      </c>
      <c r="B538" s="24" t="str">
        <f>IF(COUNTIF(R$1:R537,R538)=0,"최초","리오더")</f>
        <v>최초</v>
      </c>
      <c r="C538" s="24" t="str">
        <f t="shared" si="109"/>
        <v>SMBERF5522</v>
      </c>
      <c r="D538" s="24">
        <f t="shared" si="104"/>
        <v>1</v>
      </c>
      <c r="E538" s="24" t="str">
        <f t="shared" si="110"/>
        <v/>
      </c>
      <c r="F538" s="24">
        <f t="shared" si="105"/>
        <v>0</v>
      </c>
      <c r="G538" s="24" t="str">
        <f t="shared" si="111"/>
        <v>SMBERF5522RE</v>
      </c>
      <c r="H538" s="24">
        <f t="shared" si="106"/>
        <v>1</v>
      </c>
      <c r="I538" s="24" t="str">
        <f t="shared" si="112"/>
        <v/>
      </c>
      <c r="J538" s="24">
        <f t="shared" si="107"/>
        <v>0</v>
      </c>
      <c r="K538" s="24" t="str">
        <f t="shared" si="113"/>
        <v>F5</v>
      </c>
      <c r="L538" s="24" t="str">
        <f>VLOOKUP(N538,CODE!K:P,CODE!$P$1,FALSE)</f>
        <v>모자</v>
      </c>
      <c r="M538" s="24" t="str">
        <f>VLOOKUP(MID(R538,1,3),CODE!$B:$G,CODE!D$1,FALSE)</f>
        <v>SMB</v>
      </c>
      <c r="N538" s="24" t="str">
        <f t="shared" si="114"/>
        <v>ER</v>
      </c>
      <c r="O538" s="29" t="str">
        <f>IF(ISERROR(IF(VLOOKUP($N538,CODE!$K:$P,CODE!$O$1,FALSE)="",$M538,$M538&amp;"-"&amp;VLOOKUP($N538,CODE!$K:$P,CODE!$O$1,FALSE)))=TRUE,"",IF(VLOOKUP($N538,CODE!$K:$P,CODE!$O$1,FALSE)="",$M538,$M538&amp;"-"&amp;VLOOKUP($N538,CODE!$K:$P,CODE!$O$1,FALSE)))</f>
        <v>SMB</v>
      </c>
      <c r="P538" s="29" t="str">
        <f t="shared" si="115"/>
        <v>키즈</v>
      </c>
      <c r="Q538" s="29" t="str">
        <f t="shared" si="116"/>
        <v>SMBERF5522</v>
      </c>
      <c r="R538" s="1" t="s">
        <v>1312</v>
      </c>
      <c r="S538" s="1" t="s">
        <v>14</v>
      </c>
      <c r="T538" s="26">
        <v>1000</v>
      </c>
      <c r="U538" s="26">
        <v>49000000</v>
      </c>
      <c r="V538" s="26">
        <v>6686480.0000000019</v>
      </c>
      <c r="W538" s="26">
        <v>6.6620186623536641</v>
      </c>
      <c r="X538" s="26">
        <v>1000</v>
      </c>
      <c r="Y538" s="26">
        <v>0</v>
      </c>
    </row>
    <row r="539" spans="1:25">
      <c r="A539" s="24" t="str">
        <f t="shared" si="108"/>
        <v>신규</v>
      </c>
      <c r="B539" s="24" t="str">
        <f>IF(COUNTIF(R$1:R538,R539)=0,"최초","리오더")</f>
        <v>최초</v>
      </c>
      <c r="C539" s="24" t="str">
        <f t="shared" si="109"/>
        <v>SMBERF5023</v>
      </c>
      <c r="D539" s="24">
        <f t="shared" si="104"/>
        <v>1</v>
      </c>
      <c r="E539" s="24" t="str">
        <f t="shared" si="110"/>
        <v/>
      </c>
      <c r="F539" s="24">
        <f t="shared" si="105"/>
        <v>0</v>
      </c>
      <c r="G539" s="24" t="str">
        <f t="shared" si="111"/>
        <v>SMBERF5023BL</v>
      </c>
      <c r="H539" s="24">
        <f t="shared" si="106"/>
        <v>1</v>
      </c>
      <c r="I539" s="24" t="str">
        <f t="shared" si="112"/>
        <v/>
      </c>
      <c r="J539" s="24">
        <f t="shared" si="107"/>
        <v>0</v>
      </c>
      <c r="K539" s="24" t="str">
        <f t="shared" si="113"/>
        <v>F5</v>
      </c>
      <c r="L539" s="24" t="str">
        <f>VLOOKUP(N539,CODE!K:P,CODE!$P$1,FALSE)</f>
        <v>모자</v>
      </c>
      <c r="M539" s="24" t="str">
        <f>VLOOKUP(MID(R539,1,3),CODE!$B:$G,CODE!D$1,FALSE)</f>
        <v>SMB</v>
      </c>
      <c r="N539" s="24" t="str">
        <f t="shared" si="114"/>
        <v>ER</v>
      </c>
      <c r="O539" s="29" t="str">
        <f>IF(ISERROR(IF(VLOOKUP($N539,CODE!$K:$P,CODE!$O$1,FALSE)="",$M539,$M539&amp;"-"&amp;VLOOKUP($N539,CODE!$K:$P,CODE!$O$1,FALSE)))=TRUE,"",IF(VLOOKUP($N539,CODE!$K:$P,CODE!$O$1,FALSE)="",$M539,$M539&amp;"-"&amp;VLOOKUP($N539,CODE!$K:$P,CODE!$O$1,FALSE)))</f>
        <v>SMB</v>
      </c>
      <c r="P539" s="29" t="str">
        <f t="shared" si="115"/>
        <v>성인</v>
      </c>
      <c r="Q539" s="29" t="str">
        <f t="shared" si="116"/>
        <v>SMBERF5023</v>
      </c>
      <c r="R539" s="1" t="s">
        <v>1313</v>
      </c>
      <c r="S539" s="1" t="s">
        <v>14</v>
      </c>
      <c r="T539" s="26">
        <v>1000</v>
      </c>
      <c r="U539" s="26">
        <v>53000000</v>
      </c>
      <c r="V539" s="26">
        <v>6299080.0000000009</v>
      </c>
      <c r="W539" s="26">
        <v>7.6490246483324817</v>
      </c>
      <c r="X539" s="26">
        <v>961</v>
      </c>
      <c r="Y539" s="26">
        <v>0</v>
      </c>
    </row>
    <row r="540" spans="1:25">
      <c r="A540" s="24" t="str">
        <f t="shared" si="108"/>
        <v>신규</v>
      </c>
      <c r="B540" s="24" t="str">
        <f>IF(COUNTIF(R$1:R539,R540)=0,"최초","리오더")</f>
        <v>최초</v>
      </c>
      <c r="C540" s="24" t="str">
        <f t="shared" si="109"/>
        <v>SMBERF5024</v>
      </c>
      <c r="D540" s="24">
        <f t="shared" si="104"/>
        <v>1</v>
      </c>
      <c r="E540" s="24" t="str">
        <f t="shared" si="110"/>
        <v/>
      </c>
      <c r="F540" s="24">
        <f t="shared" si="105"/>
        <v>0</v>
      </c>
      <c r="G540" s="24" t="str">
        <f t="shared" si="111"/>
        <v>SMBERF5024BG</v>
      </c>
      <c r="H540" s="24">
        <f t="shared" si="106"/>
        <v>1</v>
      </c>
      <c r="I540" s="24" t="str">
        <f t="shared" si="112"/>
        <v/>
      </c>
      <c r="J540" s="24">
        <f t="shared" si="107"/>
        <v>0</v>
      </c>
      <c r="K540" s="24" t="str">
        <f t="shared" si="113"/>
        <v>F5</v>
      </c>
      <c r="L540" s="24" t="str">
        <f>VLOOKUP(N540,CODE!K:P,CODE!$P$1,FALSE)</f>
        <v>모자</v>
      </c>
      <c r="M540" s="24" t="str">
        <f>VLOOKUP(MID(R540,1,3),CODE!$B:$G,CODE!D$1,FALSE)</f>
        <v>SMB</v>
      </c>
      <c r="N540" s="24" t="str">
        <f t="shared" si="114"/>
        <v>ER</v>
      </c>
      <c r="O540" s="29" t="str">
        <f>IF(ISERROR(IF(VLOOKUP($N540,CODE!$K:$P,CODE!$O$1,FALSE)="",$M540,$M540&amp;"-"&amp;VLOOKUP($N540,CODE!$K:$P,CODE!$O$1,FALSE)))=TRUE,"",IF(VLOOKUP($N540,CODE!$K:$P,CODE!$O$1,FALSE)="",$M540,$M540&amp;"-"&amp;VLOOKUP($N540,CODE!$K:$P,CODE!$O$1,FALSE)))</f>
        <v>SMB</v>
      </c>
      <c r="P540" s="29" t="str">
        <f t="shared" si="115"/>
        <v>성인</v>
      </c>
      <c r="Q540" s="29" t="str">
        <f t="shared" si="116"/>
        <v>SMBERF5024</v>
      </c>
      <c r="R540" s="1" t="s">
        <v>1314</v>
      </c>
      <c r="S540" s="1" t="s">
        <v>14</v>
      </c>
      <c r="T540" s="26">
        <v>1000</v>
      </c>
      <c r="U540" s="26">
        <v>53000000</v>
      </c>
      <c r="V540" s="26">
        <v>6257000</v>
      </c>
      <c r="W540" s="26">
        <v>7.7004663867377614</v>
      </c>
      <c r="X540" s="26">
        <v>990</v>
      </c>
      <c r="Y540" s="26">
        <v>0</v>
      </c>
    </row>
    <row r="541" spans="1:25">
      <c r="A541" s="24" t="str">
        <f t="shared" si="108"/>
        <v>신규</v>
      </c>
      <c r="B541" s="24" t="str">
        <f>IF(COUNTIF(R$1:R540,R541)=0,"최초","리오더")</f>
        <v>최초</v>
      </c>
      <c r="C541" s="24" t="str">
        <f t="shared" si="109"/>
        <v>SMBERF5025</v>
      </c>
      <c r="D541" s="24">
        <f t="shared" si="104"/>
        <v>1</v>
      </c>
      <c r="E541" s="24" t="str">
        <f t="shared" si="110"/>
        <v/>
      </c>
      <c r="F541" s="24">
        <f t="shared" si="105"/>
        <v>0</v>
      </c>
      <c r="G541" s="24" t="str">
        <f t="shared" si="111"/>
        <v>SMBERF5025BK</v>
      </c>
      <c r="H541" s="24">
        <f t="shared" si="106"/>
        <v>1</v>
      </c>
      <c r="I541" s="24" t="str">
        <f t="shared" si="112"/>
        <v/>
      </c>
      <c r="J541" s="24">
        <f t="shared" si="107"/>
        <v>0</v>
      </c>
      <c r="K541" s="24" t="str">
        <f t="shared" si="113"/>
        <v>F5</v>
      </c>
      <c r="L541" s="24" t="str">
        <f>VLOOKUP(N541,CODE!K:P,CODE!$P$1,FALSE)</f>
        <v>모자</v>
      </c>
      <c r="M541" s="24" t="str">
        <f>VLOOKUP(MID(R541,1,3),CODE!$B:$G,CODE!D$1,FALSE)</f>
        <v>SMB</v>
      </c>
      <c r="N541" s="24" t="str">
        <f t="shared" si="114"/>
        <v>ER</v>
      </c>
      <c r="O541" s="29" t="str">
        <f>IF(ISERROR(IF(VLOOKUP($N541,CODE!$K:$P,CODE!$O$1,FALSE)="",$M541,$M541&amp;"-"&amp;VLOOKUP($N541,CODE!$K:$P,CODE!$O$1,FALSE)))=TRUE,"",IF(VLOOKUP($N541,CODE!$K:$P,CODE!$O$1,FALSE)="",$M541,$M541&amp;"-"&amp;VLOOKUP($N541,CODE!$K:$P,CODE!$O$1,FALSE)))</f>
        <v>SMB</v>
      </c>
      <c r="P541" s="29" t="str">
        <f t="shared" si="115"/>
        <v>성인</v>
      </c>
      <c r="Q541" s="29" t="str">
        <f t="shared" si="116"/>
        <v>SMBERF5025</v>
      </c>
      <c r="R541" s="1" t="s">
        <v>1315</v>
      </c>
      <c r="S541" s="1" t="s">
        <v>14</v>
      </c>
      <c r="T541" s="26">
        <v>1200</v>
      </c>
      <c r="U541" s="26">
        <v>63600000</v>
      </c>
      <c r="V541" s="26">
        <v>7957464.0000000019</v>
      </c>
      <c r="W541" s="26">
        <v>7.2659055470664775</v>
      </c>
      <c r="X541" s="26">
        <v>1200</v>
      </c>
      <c r="Y541" s="26">
        <v>0</v>
      </c>
    </row>
    <row r="542" spans="1:25">
      <c r="A542" s="24" t="str">
        <f t="shared" si="108"/>
        <v>신규</v>
      </c>
      <c r="B542" s="24" t="str">
        <f>IF(COUNTIF(R$1:R541,R542)=0,"최초","리오더")</f>
        <v>최초</v>
      </c>
      <c r="C542" s="24" t="str">
        <f t="shared" si="109"/>
        <v>SMBBAF5026</v>
      </c>
      <c r="D542" s="24">
        <f t="shared" si="104"/>
        <v>1</v>
      </c>
      <c r="E542" s="24" t="str">
        <f t="shared" si="110"/>
        <v/>
      </c>
      <c r="F542" s="24">
        <f t="shared" si="105"/>
        <v>0</v>
      </c>
      <c r="G542" s="24" t="str">
        <f t="shared" si="111"/>
        <v>SMBBAF5026GY</v>
      </c>
      <c r="H542" s="24">
        <f t="shared" si="106"/>
        <v>1</v>
      </c>
      <c r="I542" s="24" t="str">
        <f t="shared" si="112"/>
        <v/>
      </c>
      <c r="J542" s="24">
        <f t="shared" si="107"/>
        <v>0</v>
      </c>
      <c r="K542" s="24" t="str">
        <f t="shared" si="113"/>
        <v>F5</v>
      </c>
      <c r="L542" s="24" t="str">
        <f>VLOOKUP(N542,CODE!K:P,CODE!$P$1,FALSE)</f>
        <v>모자</v>
      </c>
      <c r="M542" s="24" t="str">
        <f>VLOOKUP(MID(R542,1,3),CODE!$B:$G,CODE!D$1,FALSE)</f>
        <v>SMB</v>
      </c>
      <c r="N542" s="24" t="str">
        <f t="shared" si="114"/>
        <v>BA</v>
      </c>
      <c r="O542" s="29" t="str">
        <f>IF(ISERROR(IF(VLOOKUP($N542,CODE!$K:$P,CODE!$O$1,FALSE)="",$M542,$M542&amp;"-"&amp;VLOOKUP($N542,CODE!$K:$P,CODE!$O$1,FALSE)))=TRUE,"",IF(VLOOKUP($N542,CODE!$K:$P,CODE!$O$1,FALSE)="",$M542,$M542&amp;"-"&amp;VLOOKUP($N542,CODE!$K:$P,CODE!$O$1,FALSE)))</f>
        <v>SMB</v>
      </c>
      <c r="P542" s="29" t="str">
        <f t="shared" si="115"/>
        <v>성인</v>
      </c>
      <c r="Q542" s="29" t="str">
        <f t="shared" si="116"/>
        <v>SMBBAF5026</v>
      </c>
      <c r="R542" s="1" t="s">
        <v>1316</v>
      </c>
      <c r="S542" s="1" t="s">
        <v>14</v>
      </c>
      <c r="T542" s="26">
        <v>1200</v>
      </c>
      <c r="U542" s="26">
        <v>54000000</v>
      </c>
      <c r="V542" s="26">
        <v>7807776.0000000019</v>
      </c>
      <c r="W542" s="26">
        <v>6.2874382014685199</v>
      </c>
      <c r="X542" s="26">
        <v>1158</v>
      </c>
      <c r="Y542" s="26">
        <v>0</v>
      </c>
    </row>
    <row r="543" spans="1:25">
      <c r="A543" s="24" t="str">
        <f t="shared" si="108"/>
        <v>신규</v>
      </c>
      <c r="B543" s="24" t="str">
        <f>IF(COUNTIF(R$1:R542,R543)=0,"최초","리오더")</f>
        <v>최초</v>
      </c>
      <c r="C543" s="24" t="str">
        <f t="shared" si="109"/>
        <v>SMBBAF5526</v>
      </c>
      <c r="D543" s="24">
        <f t="shared" si="104"/>
        <v>1</v>
      </c>
      <c r="E543" s="24" t="str">
        <f t="shared" si="110"/>
        <v/>
      </c>
      <c r="F543" s="24">
        <f t="shared" si="105"/>
        <v>0</v>
      </c>
      <c r="G543" s="24" t="str">
        <f t="shared" si="111"/>
        <v>SMBBAF5526GY</v>
      </c>
      <c r="H543" s="24">
        <f t="shared" si="106"/>
        <v>1</v>
      </c>
      <c r="I543" s="24" t="str">
        <f t="shared" si="112"/>
        <v/>
      </c>
      <c r="J543" s="24">
        <f t="shared" si="107"/>
        <v>0</v>
      </c>
      <c r="K543" s="24" t="str">
        <f t="shared" si="113"/>
        <v>F5</v>
      </c>
      <c r="L543" s="24" t="str">
        <f>VLOOKUP(N543,CODE!K:P,CODE!$P$1,FALSE)</f>
        <v>모자</v>
      </c>
      <c r="M543" s="24" t="str">
        <f>VLOOKUP(MID(R543,1,3),CODE!$B:$G,CODE!D$1,FALSE)</f>
        <v>SMB</v>
      </c>
      <c r="N543" s="24" t="str">
        <f t="shared" si="114"/>
        <v>BA</v>
      </c>
      <c r="O543" s="29" t="str">
        <f>IF(ISERROR(IF(VLOOKUP($N543,CODE!$K:$P,CODE!$O$1,FALSE)="",$M543,$M543&amp;"-"&amp;VLOOKUP($N543,CODE!$K:$P,CODE!$O$1,FALSE)))=TRUE,"",IF(VLOOKUP($N543,CODE!$K:$P,CODE!$O$1,FALSE)="",$M543,$M543&amp;"-"&amp;VLOOKUP($N543,CODE!$K:$P,CODE!$O$1,FALSE)))</f>
        <v>SMB</v>
      </c>
      <c r="P543" s="29" t="str">
        <f t="shared" si="115"/>
        <v>키즈</v>
      </c>
      <c r="Q543" s="29" t="str">
        <f t="shared" si="116"/>
        <v>SMBBAF5526</v>
      </c>
      <c r="R543" s="1" t="s">
        <v>1317</v>
      </c>
      <c r="S543" s="1" t="s">
        <v>14</v>
      </c>
      <c r="T543" s="26">
        <v>1200</v>
      </c>
      <c r="U543" s="26">
        <v>51600000</v>
      </c>
      <c r="V543" s="26">
        <v>8023776.0000000019</v>
      </c>
      <c r="W543" s="26">
        <v>5.8462612751266851</v>
      </c>
      <c r="X543" s="26">
        <v>1175</v>
      </c>
      <c r="Y543" s="26">
        <v>0</v>
      </c>
    </row>
    <row r="544" spans="1:25">
      <c r="A544" s="24" t="str">
        <f t="shared" si="108"/>
        <v>신규</v>
      </c>
      <c r="B544" s="24" t="str">
        <f>IF(COUNTIF(R$1:R543,R544)=0,"최초","리오더")</f>
        <v>최초</v>
      </c>
      <c r="C544" s="24" t="str">
        <f t="shared" si="109"/>
        <v>SMBBAF5027</v>
      </c>
      <c r="D544" s="24">
        <f t="shared" si="104"/>
        <v>1</v>
      </c>
      <c r="E544" s="24" t="str">
        <f t="shared" si="110"/>
        <v/>
      </c>
      <c r="F544" s="24">
        <f t="shared" si="105"/>
        <v>0</v>
      </c>
      <c r="G544" s="24" t="str">
        <f t="shared" si="111"/>
        <v>SMBBAF5027BK</v>
      </c>
      <c r="H544" s="24">
        <f t="shared" si="106"/>
        <v>1</v>
      </c>
      <c r="I544" s="24" t="str">
        <f t="shared" si="112"/>
        <v/>
      </c>
      <c r="J544" s="24">
        <f t="shared" si="107"/>
        <v>0</v>
      </c>
      <c r="K544" s="24" t="str">
        <f t="shared" si="113"/>
        <v>F5</v>
      </c>
      <c r="L544" s="24" t="str">
        <f>VLOOKUP(N544,CODE!K:P,CODE!$P$1,FALSE)</f>
        <v>모자</v>
      </c>
      <c r="M544" s="24" t="str">
        <f>VLOOKUP(MID(R544,1,3),CODE!$B:$G,CODE!D$1,FALSE)</f>
        <v>SMB</v>
      </c>
      <c r="N544" s="24" t="str">
        <f t="shared" si="114"/>
        <v>BA</v>
      </c>
      <c r="O544" s="29" t="str">
        <f>IF(ISERROR(IF(VLOOKUP($N544,CODE!$K:$P,CODE!$O$1,FALSE)="",$M544,$M544&amp;"-"&amp;VLOOKUP($N544,CODE!$K:$P,CODE!$O$1,FALSE)))=TRUE,"",IF(VLOOKUP($N544,CODE!$K:$P,CODE!$O$1,FALSE)="",$M544,$M544&amp;"-"&amp;VLOOKUP($N544,CODE!$K:$P,CODE!$O$1,FALSE)))</f>
        <v>SMB</v>
      </c>
      <c r="P544" s="29" t="str">
        <f t="shared" si="115"/>
        <v>성인</v>
      </c>
      <c r="Q544" s="29" t="str">
        <f t="shared" si="116"/>
        <v>SMBBAF5027</v>
      </c>
      <c r="R544" s="1" t="s">
        <v>1318</v>
      </c>
      <c r="S544" s="1" t="s">
        <v>14</v>
      </c>
      <c r="T544" s="26">
        <v>1000</v>
      </c>
      <c r="U544" s="26">
        <v>35000000</v>
      </c>
      <c r="V544" s="26">
        <v>5945150</v>
      </c>
      <c r="W544" s="26">
        <v>5.3519561017269224</v>
      </c>
      <c r="X544" s="26">
        <v>1003</v>
      </c>
      <c r="Y544" s="26">
        <v>0</v>
      </c>
    </row>
    <row r="545" spans="1:25">
      <c r="A545" s="24" t="str">
        <f t="shared" si="108"/>
        <v>신규</v>
      </c>
      <c r="B545" s="24" t="str">
        <f>IF(COUNTIF(R$1:R544,R545)=0,"최초","리오더")</f>
        <v>최초</v>
      </c>
      <c r="C545" s="24" t="str">
        <f t="shared" si="109"/>
        <v>SMBERF5028</v>
      </c>
      <c r="D545" s="24">
        <f t="shared" si="104"/>
        <v>1</v>
      </c>
      <c r="E545" s="24" t="str">
        <f t="shared" si="110"/>
        <v/>
      </c>
      <c r="F545" s="24">
        <f t="shared" si="105"/>
        <v>0</v>
      </c>
      <c r="G545" s="24" t="str">
        <f t="shared" si="111"/>
        <v>SMBERF5028NY</v>
      </c>
      <c r="H545" s="24">
        <f t="shared" si="106"/>
        <v>1</v>
      </c>
      <c r="I545" s="24" t="str">
        <f t="shared" si="112"/>
        <v/>
      </c>
      <c r="J545" s="24">
        <f t="shared" si="107"/>
        <v>0</v>
      </c>
      <c r="K545" s="24" t="str">
        <f t="shared" si="113"/>
        <v>F5</v>
      </c>
      <c r="L545" s="24" t="str">
        <f>VLOOKUP(N545,CODE!K:P,CODE!$P$1,FALSE)</f>
        <v>모자</v>
      </c>
      <c r="M545" s="24" t="str">
        <f>VLOOKUP(MID(R545,1,3),CODE!$B:$G,CODE!D$1,FALSE)</f>
        <v>SMB</v>
      </c>
      <c r="N545" s="24" t="str">
        <f t="shared" si="114"/>
        <v>ER</v>
      </c>
      <c r="O545" s="29" t="str">
        <f>IF(ISERROR(IF(VLOOKUP($N545,CODE!$K:$P,CODE!$O$1,FALSE)="",$M545,$M545&amp;"-"&amp;VLOOKUP($N545,CODE!$K:$P,CODE!$O$1,FALSE)))=TRUE,"",IF(VLOOKUP($N545,CODE!$K:$P,CODE!$O$1,FALSE)="",$M545,$M545&amp;"-"&amp;VLOOKUP($N545,CODE!$K:$P,CODE!$O$1,FALSE)))</f>
        <v>SMB</v>
      </c>
      <c r="P545" s="29" t="str">
        <f t="shared" si="115"/>
        <v>성인</v>
      </c>
      <c r="Q545" s="29" t="str">
        <f t="shared" si="116"/>
        <v>SMBERF5028</v>
      </c>
      <c r="R545" s="1" t="s">
        <v>1319</v>
      </c>
      <c r="S545" s="1" t="s">
        <v>14</v>
      </c>
      <c r="T545" s="26">
        <v>800</v>
      </c>
      <c r="U545" s="26">
        <v>42400000</v>
      </c>
      <c r="V545" s="26">
        <v>7391512.0000000009</v>
      </c>
      <c r="W545" s="26">
        <v>5.2148267560756905</v>
      </c>
      <c r="X545" s="26">
        <v>743</v>
      </c>
      <c r="Y545" s="26">
        <v>0</v>
      </c>
    </row>
    <row r="546" spans="1:25">
      <c r="A546" s="24" t="str">
        <f t="shared" si="108"/>
        <v>신규</v>
      </c>
      <c r="B546" s="24" t="str">
        <f>IF(COUNTIF(R$1:R545,R546)=0,"최초","리오더")</f>
        <v>최초</v>
      </c>
      <c r="C546" s="24" t="str">
        <f t="shared" si="109"/>
        <v>SMBERF5029</v>
      </c>
      <c r="D546" s="24">
        <f t="shared" si="104"/>
        <v>1</v>
      </c>
      <c r="E546" s="24" t="str">
        <f t="shared" si="110"/>
        <v/>
      </c>
      <c r="F546" s="24">
        <f t="shared" si="105"/>
        <v>0</v>
      </c>
      <c r="G546" s="24" t="str">
        <f t="shared" si="111"/>
        <v>SMBERF5029NY</v>
      </c>
      <c r="H546" s="24">
        <f t="shared" si="106"/>
        <v>1</v>
      </c>
      <c r="I546" s="24" t="str">
        <f t="shared" si="112"/>
        <v/>
      </c>
      <c r="J546" s="24">
        <f t="shared" si="107"/>
        <v>0</v>
      </c>
      <c r="K546" s="24" t="str">
        <f t="shared" si="113"/>
        <v>F5</v>
      </c>
      <c r="L546" s="24" t="str">
        <f>VLOOKUP(N546,CODE!K:P,CODE!$P$1,FALSE)</f>
        <v>모자</v>
      </c>
      <c r="M546" s="24" t="str">
        <f>VLOOKUP(MID(R546,1,3),CODE!$B:$G,CODE!D$1,FALSE)</f>
        <v>SMB</v>
      </c>
      <c r="N546" s="24" t="str">
        <f t="shared" si="114"/>
        <v>ER</v>
      </c>
      <c r="O546" s="29" t="str">
        <f>IF(ISERROR(IF(VLOOKUP($N546,CODE!$K:$P,CODE!$O$1,FALSE)="",$M546,$M546&amp;"-"&amp;VLOOKUP($N546,CODE!$K:$P,CODE!$O$1,FALSE)))=TRUE,"",IF(VLOOKUP($N546,CODE!$K:$P,CODE!$O$1,FALSE)="",$M546,$M546&amp;"-"&amp;VLOOKUP($N546,CODE!$K:$P,CODE!$O$1,FALSE)))</f>
        <v>SMB</v>
      </c>
      <c r="P546" s="29" t="str">
        <f t="shared" si="115"/>
        <v>성인</v>
      </c>
      <c r="Q546" s="29" t="str">
        <f t="shared" si="116"/>
        <v>SMBERF5029</v>
      </c>
      <c r="R546" s="1" t="s">
        <v>1320</v>
      </c>
      <c r="S546" s="1" t="s">
        <v>14</v>
      </c>
      <c r="T546" s="26">
        <v>800</v>
      </c>
      <c r="U546" s="26">
        <v>39200000</v>
      </c>
      <c r="V546" s="26">
        <v>7151128</v>
      </c>
      <c r="W546" s="26">
        <v>4.9833206224757314</v>
      </c>
      <c r="X546" s="26">
        <v>742</v>
      </c>
      <c r="Y546" s="26">
        <v>0</v>
      </c>
    </row>
    <row r="547" spans="1:25">
      <c r="A547" s="24" t="str">
        <f t="shared" si="108"/>
        <v>신규</v>
      </c>
      <c r="B547" s="24" t="str">
        <f>IF(COUNTIF(R$1:R546,R547)=0,"최초","리오더")</f>
        <v>최초</v>
      </c>
      <c r="C547" s="24" t="str">
        <f t="shared" si="109"/>
        <v>SMBERF5529</v>
      </c>
      <c r="D547" s="24">
        <f t="shared" si="104"/>
        <v>1</v>
      </c>
      <c r="E547" s="24" t="str">
        <f t="shared" si="110"/>
        <v/>
      </c>
      <c r="F547" s="24">
        <f t="shared" si="105"/>
        <v>0</v>
      </c>
      <c r="G547" s="24" t="str">
        <f t="shared" si="111"/>
        <v>SMBERF5529NY</v>
      </c>
      <c r="H547" s="24">
        <f t="shared" si="106"/>
        <v>1</v>
      </c>
      <c r="I547" s="24" t="str">
        <f t="shared" si="112"/>
        <v/>
      </c>
      <c r="J547" s="24">
        <f t="shared" si="107"/>
        <v>0</v>
      </c>
      <c r="K547" s="24" t="str">
        <f t="shared" si="113"/>
        <v>F5</v>
      </c>
      <c r="L547" s="24" t="str">
        <f>VLOOKUP(N547,CODE!K:P,CODE!$P$1,FALSE)</f>
        <v>모자</v>
      </c>
      <c r="M547" s="24" t="str">
        <f>VLOOKUP(MID(R547,1,3),CODE!$B:$G,CODE!D$1,FALSE)</f>
        <v>SMB</v>
      </c>
      <c r="N547" s="24" t="str">
        <f t="shared" si="114"/>
        <v>ER</v>
      </c>
      <c r="O547" s="29" t="str">
        <f>IF(ISERROR(IF(VLOOKUP($N547,CODE!$K:$P,CODE!$O$1,FALSE)="",$M547,$M547&amp;"-"&amp;VLOOKUP($N547,CODE!$K:$P,CODE!$O$1,FALSE)))=TRUE,"",IF(VLOOKUP($N547,CODE!$K:$P,CODE!$O$1,FALSE)="",$M547,$M547&amp;"-"&amp;VLOOKUP($N547,CODE!$K:$P,CODE!$O$1,FALSE)))</f>
        <v>SMB</v>
      </c>
      <c r="P547" s="29" t="str">
        <f t="shared" si="115"/>
        <v>키즈</v>
      </c>
      <c r="Q547" s="29" t="str">
        <f t="shared" si="116"/>
        <v>SMBERF5529</v>
      </c>
      <c r="R547" s="1" t="s">
        <v>1321</v>
      </c>
      <c r="S547" s="1" t="s">
        <v>14</v>
      </c>
      <c r="T547" s="26">
        <v>1000</v>
      </c>
      <c r="U547" s="26">
        <v>45000000</v>
      </c>
      <c r="V547" s="26">
        <v>8807060.0000000019</v>
      </c>
      <c r="W547" s="26">
        <v>4.6450337466862823</v>
      </c>
      <c r="X547" s="26">
        <v>896</v>
      </c>
      <c r="Y547" s="26">
        <v>0</v>
      </c>
    </row>
    <row r="548" spans="1:25">
      <c r="A548" s="24" t="str">
        <f t="shared" si="108"/>
        <v>신규</v>
      </c>
      <c r="B548" s="24" t="str">
        <f>IF(COUNTIF(R$1:R547,R548)=0,"최초","리오더")</f>
        <v>최초</v>
      </c>
      <c r="C548" s="24" t="str">
        <f t="shared" si="109"/>
        <v>SMBERF5030</v>
      </c>
      <c r="D548" s="24">
        <f t="shared" si="104"/>
        <v>1</v>
      </c>
      <c r="E548" s="24" t="str">
        <f t="shared" si="110"/>
        <v/>
      </c>
      <c r="F548" s="24">
        <f t="shared" si="105"/>
        <v>0</v>
      </c>
      <c r="G548" s="24" t="str">
        <f t="shared" si="111"/>
        <v>SMBERF5030GY</v>
      </c>
      <c r="H548" s="24">
        <f t="shared" si="106"/>
        <v>1</v>
      </c>
      <c r="I548" s="24" t="str">
        <f t="shared" si="112"/>
        <v/>
      </c>
      <c r="J548" s="24">
        <f t="shared" si="107"/>
        <v>0</v>
      </c>
      <c r="K548" s="24" t="str">
        <f t="shared" si="113"/>
        <v>F5</v>
      </c>
      <c r="L548" s="24" t="str">
        <f>VLOOKUP(N548,CODE!K:P,CODE!$P$1,FALSE)</f>
        <v>모자</v>
      </c>
      <c r="M548" s="24" t="str">
        <f>VLOOKUP(MID(R548,1,3),CODE!$B:$G,CODE!D$1,FALSE)</f>
        <v>SMB</v>
      </c>
      <c r="N548" s="24" t="str">
        <f t="shared" si="114"/>
        <v>ER</v>
      </c>
      <c r="O548" s="29" t="str">
        <f>IF(ISERROR(IF(VLOOKUP($N548,CODE!$K:$P,CODE!$O$1,FALSE)="",$M548,$M548&amp;"-"&amp;VLOOKUP($N548,CODE!$K:$P,CODE!$O$1,FALSE)))=TRUE,"",IF(VLOOKUP($N548,CODE!$K:$P,CODE!$O$1,FALSE)="",$M548,$M548&amp;"-"&amp;VLOOKUP($N548,CODE!$K:$P,CODE!$O$1,FALSE)))</f>
        <v>SMB</v>
      </c>
      <c r="P548" s="29" t="str">
        <f t="shared" si="115"/>
        <v>성인</v>
      </c>
      <c r="Q548" s="29" t="str">
        <f t="shared" si="116"/>
        <v>SMBERF5030</v>
      </c>
      <c r="R548" s="1" t="s">
        <v>1322</v>
      </c>
      <c r="S548" s="1" t="s">
        <v>14</v>
      </c>
      <c r="T548" s="26">
        <v>1000</v>
      </c>
      <c r="U548" s="26">
        <v>49000000</v>
      </c>
      <c r="V548" s="26">
        <v>8190470</v>
      </c>
      <c r="W548" s="26">
        <v>5.4386933283992915</v>
      </c>
      <c r="X548" s="26">
        <v>991</v>
      </c>
      <c r="Y548" s="26">
        <v>0</v>
      </c>
    </row>
    <row r="549" spans="1:25">
      <c r="A549" s="24" t="str">
        <f t="shared" si="108"/>
        <v>신규</v>
      </c>
      <c r="B549" s="24" t="str">
        <f>IF(COUNTIF(R$1:R548,R549)=0,"최초","리오더")</f>
        <v>최초</v>
      </c>
      <c r="C549" s="24" t="str">
        <f t="shared" si="109"/>
        <v>SMBSNF3010</v>
      </c>
      <c r="D549" s="24">
        <f t="shared" si="104"/>
        <v>1</v>
      </c>
      <c r="E549" s="24" t="str">
        <f t="shared" si="110"/>
        <v/>
      </c>
      <c r="F549" s="24">
        <f t="shared" si="105"/>
        <v>0</v>
      </c>
      <c r="G549" s="24" t="str">
        <f t="shared" si="111"/>
        <v>SMBSNF3010BK</v>
      </c>
      <c r="H549" s="24">
        <f t="shared" si="106"/>
        <v>1</v>
      </c>
      <c r="I549" s="24" t="str">
        <f t="shared" si="112"/>
        <v/>
      </c>
      <c r="J549" s="24">
        <f t="shared" si="107"/>
        <v>0</v>
      </c>
      <c r="K549" s="24" t="str">
        <f t="shared" si="113"/>
        <v>F3</v>
      </c>
      <c r="L549" s="24" t="str">
        <f>VLOOKUP(N549,CODE!K:P,CODE!$P$1,FALSE)</f>
        <v>모자</v>
      </c>
      <c r="M549" s="24" t="str">
        <f>VLOOKUP(MID(R549,1,3),CODE!$B:$G,CODE!D$1,FALSE)</f>
        <v>SMB</v>
      </c>
      <c r="N549" s="24" t="str">
        <f t="shared" si="114"/>
        <v>SN</v>
      </c>
      <c r="O549" s="29" t="str">
        <f>IF(ISERROR(IF(VLOOKUP($N549,CODE!$K:$P,CODE!$O$1,FALSE)="",$M549,$M549&amp;"-"&amp;VLOOKUP($N549,CODE!$K:$P,CODE!$O$1,FALSE)))=TRUE,"",IF(VLOOKUP($N549,CODE!$K:$P,CODE!$O$1,FALSE)="",$M549,$M549&amp;"-"&amp;VLOOKUP($N549,CODE!$K:$P,CODE!$O$1,FALSE)))</f>
        <v>SMB</v>
      </c>
      <c r="P549" s="29" t="str">
        <f t="shared" si="115"/>
        <v>성인</v>
      </c>
      <c r="Q549" s="29" t="str">
        <f t="shared" si="116"/>
        <v>SMBSNF3010</v>
      </c>
      <c r="R549" s="1" t="s">
        <v>1323</v>
      </c>
      <c r="S549" s="1" t="s">
        <v>14</v>
      </c>
      <c r="T549" s="26">
        <v>1500</v>
      </c>
      <c r="U549" s="26">
        <v>64500000</v>
      </c>
      <c r="V549" s="26">
        <v>10511625</v>
      </c>
      <c r="W549" s="26">
        <v>5.5782396762026449</v>
      </c>
      <c r="X549" s="26">
        <v>1500</v>
      </c>
      <c r="Y549" s="26">
        <v>0</v>
      </c>
    </row>
    <row r="550" spans="1:25">
      <c r="A550" s="24" t="str">
        <f t="shared" si="108"/>
        <v>신규</v>
      </c>
      <c r="B550" s="24" t="str">
        <f>IF(COUNTIF(R$1:R549,R550)=0,"최초","리오더")</f>
        <v>최초</v>
      </c>
      <c r="C550" s="24" t="str">
        <f t="shared" si="109"/>
        <v>SMBSNF3011</v>
      </c>
      <c r="D550" s="24">
        <f t="shared" si="104"/>
        <v>1</v>
      </c>
      <c r="E550" s="24" t="str">
        <f t="shared" si="110"/>
        <v/>
      </c>
      <c r="F550" s="24">
        <f t="shared" si="105"/>
        <v>0</v>
      </c>
      <c r="G550" s="24" t="str">
        <f t="shared" si="111"/>
        <v>SMBSNF3011BL</v>
      </c>
      <c r="H550" s="24">
        <f t="shared" si="106"/>
        <v>1</v>
      </c>
      <c r="I550" s="24" t="str">
        <f t="shared" si="112"/>
        <v/>
      </c>
      <c r="J550" s="24">
        <f t="shared" si="107"/>
        <v>0</v>
      </c>
      <c r="K550" s="24" t="str">
        <f t="shared" si="113"/>
        <v>F3</v>
      </c>
      <c r="L550" s="24" t="str">
        <f>VLOOKUP(N550,CODE!K:P,CODE!$P$1,FALSE)</f>
        <v>모자</v>
      </c>
      <c r="M550" s="24" t="str">
        <f>VLOOKUP(MID(R550,1,3),CODE!$B:$G,CODE!D$1,FALSE)</f>
        <v>SMB</v>
      </c>
      <c r="N550" s="24" t="str">
        <f t="shared" si="114"/>
        <v>SN</v>
      </c>
      <c r="O550" s="29" t="str">
        <f>IF(ISERROR(IF(VLOOKUP($N550,CODE!$K:$P,CODE!$O$1,FALSE)="",$M550,$M550&amp;"-"&amp;VLOOKUP($N550,CODE!$K:$P,CODE!$O$1,FALSE)))=TRUE,"",IF(VLOOKUP($N550,CODE!$K:$P,CODE!$O$1,FALSE)="",$M550,$M550&amp;"-"&amp;VLOOKUP($N550,CODE!$K:$P,CODE!$O$1,FALSE)))</f>
        <v>SMB</v>
      </c>
      <c r="P550" s="29" t="str">
        <f t="shared" si="115"/>
        <v>성인</v>
      </c>
      <c r="Q550" s="29" t="str">
        <f t="shared" si="116"/>
        <v>SMBSNF3011</v>
      </c>
      <c r="R550" s="1" t="s">
        <v>1324</v>
      </c>
      <c r="S550" s="1" t="s">
        <v>14</v>
      </c>
      <c r="T550" s="26">
        <v>1500</v>
      </c>
      <c r="U550" s="26">
        <v>64500000</v>
      </c>
      <c r="V550" s="26">
        <v>10684875.000000002</v>
      </c>
      <c r="W550" s="26">
        <v>5.4877912597352445</v>
      </c>
      <c r="X550" s="26">
        <v>1500</v>
      </c>
      <c r="Y550" s="26">
        <v>0</v>
      </c>
    </row>
    <row r="551" spans="1:25">
      <c r="A551" s="24" t="str">
        <f t="shared" si="108"/>
        <v>신규</v>
      </c>
      <c r="B551" s="24" t="str">
        <f>IF(COUNTIF(R$1:R550,R551)=0,"최초","리오더")</f>
        <v>최초</v>
      </c>
      <c r="C551" s="24" t="str">
        <f t="shared" si="109"/>
        <v>SMBFIF5012</v>
      </c>
      <c r="D551" s="24">
        <f t="shared" si="104"/>
        <v>0.5</v>
      </c>
      <c r="E551" s="24" t="str">
        <f t="shared" si="110"/>
        <v/>
      </c>
      <c r="F551" s="24">
        <f t="shared" si="105"/>
        <v>0</v>
      </c>
      <c r="G551" s="24" t="str">
        <f t="shared" si="111"/>
        <v>SMBFIF5012GY</v>
      </c>
      <c r="H551" s="24">
        <f t="shared" si="106"/>
        <v>1</v>
      </c>
      <c r="I551" s="24" t="str">
        <f t="shared" si="112"/>
        <v/>
      </c>
      <c r="J551" s="24">
        <f t="shared" si="107"/>
        <v>0</v>
      </c>
      <c r="K551" s="24" t="str">
        <f t="shared" si="113"/>
        <v>F5</v>
      </c>
      <c r="L551" s="24" t="str">
        <f>VLOOKUP(N551,CODE!K:P,CODE!$P$1,FALSE)</f>
        <v>모자</v>
      </c>
      <c r="M551" s="24" t="str">
        <f>VLOOKUP(MID(R551,1,3),CODE!$B:$G,CODE!D$1,FALSE)</f>
        <v>SMB</v>
      </c>
      <c r="N551" s="24" t="str">
        <f t="shared" si="114"/>
        <v>FI</v>
      </c>
      <c r="O551" s="29" t="str">
        <f>IF(ISERROR(IF(VLOOKUP($N551,CODE!$K:$P,CODE!$O$1,FALSE)="",$M551,$M551&amp;"-"&amp;VLOOKUP($N551,CODE!$K:$P,CODE!$O$1,FALSE)))=TRUE,"",IF(VLOOKUP($N551,CODE!$K:$P,CODE!$O$1,FALSE)="",$M551,$M551&amp;"-"&amp;VLOOKUP($N551,CODE!$K:$P,CODE!$O$1,FALSE)))</f>
        <v>SMB</v>
      </c>
      <c r="P551" s="29" t="str">
        <f t="shared" si="115"/>
        <v>성인</v>
      </c>
      <c r="Q551" s="29" t="str">
        <f t="shared" si="116"/>
        <v>SMBFIF5012</v>
      </c>
      <c r="R551" s="1" t="s">
        <v>1325</v>
      </c>
      <c r="S551" s="1" t="s">
        <v>14</v>
      </c>
      <c r="T551" s="26">
        <v>1200</v>
      </c>
      <c r="U551" s="26">
        <v>51600000</v>
      </c>
      <c r="V551" s="26">
        <v>8132100</v>
      </c>
      <c r="W551" s="26">
        <v>5.7683858916012971</v>
      </c>
      <c r="X551" s="26">
        <v>1200</v>
      </c>
      <c r="Y551" s="26">
        <v>0</v>
      </c>
    </row>
    <row r="552" spans="1:25">
      <c r="A552" s="24" t="str">
        <f t="shared" si="108"/>
        <v>신규</v>
      </c>
      <c r="B552" s="24" t="str">
        <f>IF(COUNTIF(R$1:R551,R552)=0,"최초","리오더")</f>
        <v>최초</v>
      </c>
      <c r="C552" s="24" t="str">
        <f t="shared" si="109"/>
        <v>SMBFIF5012</v>
      </c>
      <c r="D552" s="24">
        <f t="shared" si="104"/>
        <v>0.5</v>
      </c>
      <c r="E552" s="24" t="str">
        <f t="shared" si="110"/>
        <v/>
      </c>
      <c r="F552" s="24">
        <f t="shared" si="105"/>
        <v>0</v>
      </c>
      <c r="G552" s="24" t="str">
        <f t="shared" si="111"/>
        <v>SMBFIF5012NY</v>
      </c>
      <c r="H552" s="24">
        <f t="shared" si="106"/>
        <v>1</v>
      </c>
      <c r="I552" s="24" t="str">
        <f t="shared" si="112"/>
        <v/>
      </c>
      <c r="J552" s="24">
        <f t="shared" si="107"/>
        <v>0</v>
      </c>
      <c r="K552" s="24" t="str">
        <f t="shared" si="113"/>
        <v>F5</v>
      </c>
      <c r="L552" s="24" t="str">
        <f>VLOOKUP(N552,CODE!K:P,CODE!$P$1,FALSE)</f>
        <v>모자</v>
      </c>
      <c r="M552" s="24" t="str">
        <f>VLOOKUP(MID(R552,1,3),CODE!$B:$G,CODE!D$1,FALSE)</f>
        <v>SMB</v>
      </c>
      <c r="N552" s="24" t="str">
        <f t="shared" si="114"/>
        <v>FI</v>
      </c>
      <c r="O552" s="29" t="str">
        <f>IF(ISERROR(IF(VLOOKUP($N552,CODE!$K:$P,CODE!$O$1,FALSE)="",$M552,$M552&amp;"-"&amp;VLOOKUP($N552,CODE!$K:$P,CODE!$O$1,FALSE)))=TRUE,"",IF(VLOOKUP($N552,CODE!$K:$P,CODE!$O$1,FALSE)="",$M552,$M552&amp;"-"&amp;VLOOKUP($N552,CODE!$K:$P,CODE!$O$1,FALSE)))</f>
        <v>SMB</v>
      </c>
      <c r="P552" s="29" t="str">
        <f t="shared" si="115"/>
        <v>성인</v>
      </c>
      <c r="Q552" s="29" t="str">
        <f t="shared" si="116"/>
        <v>SMBFIF5012</v>
      </c>
      <c r="R552" s="1" t="s">
        <v>1326</v>
      </c>
      <c r="S552" s="1" t="s">
        <v>14</v>
      </c>
      <c r="T552" s="26">
        <v>1200</v>
      </c>
      <c r="U552" s="26">
        <v>51600000</v>
      </c>
      <c r="V552" s="26">
        <v>8132100</v>
      </c>
      <c r="W552" s="26">
        <v>5.7683858916012971</v>
      </c>
      <c r="X552" s="26">
        <v>1191</v>
      </c>
      <c r="Y552" s="26">
        <v>0</v>
      </c>
    </row>
    <row r="553" spans="1:25">
      <c r="A553" s="24" t="str">
        <f t="shared" si="108"/>
        <v>신규</v>
      </c>
      <c r="B553" s="24" t="str">
        <f>IF(COUNTIF(R$1:R552,R553)=0,"최초","리오더")</f>
        <v>최초</v>
      </c>
      <c r="C553" s="24" t="str">
        <f t="shared" si="109"/>
        <v>SMBERF5031</v>
      </c>
      <c r="D553" s="24">
        <f t="shared" si="104"/>
        <v>1</v>
      </c>
      <c r="E553" s="24" t="str">
        <f t="shared" si="110"/>
        <v/>
      </c>
      <c r="F553" s="24">
        <f t="shared" si="105"/>
        <v>0</v>
      </c>
      <c r="G553" s="24" t="str">
        <f t="shared" si="111"/>
        <v>SMBERF5031GY</v>
      </c>
      <c r="H553" s="24">
        <f t="shared" si="106"/>
        <v>1</v>
      </c>
      <c r="I553" s="24" t="str">
        <f t="shared" si="112"/>
        <v/>
      </c>
      <c r="J553" s="24">
        <f t="shared" si="107"/>
        <v>0</v>
      </c>
      <c r="K553" s="24" t="str">
        <f t="shared" si="113"/>
        <v>F5</v>
      </c>
      <c r="L553" s="24" t="str">
        <f>VLOOKUP(N553,CODE!K:P,CODE!$P$1,FALSE)</f>
        <v>모자</v>
      </c>
      <c r="M553" s="24" t="str">
        <f>VLOOKUP(MID(R553,1,3),CODE!$B:$G,CODE!D$1,FALSE)</f>
        <v>SMB</v>
      </c>
      <c r="N553" s="24" t="str">
        <f t="shared" si="114"/>
        <v>ER</v>
      </c>
      <c r="O553" s="29" t="str">
        <f>IF(ISERROR(IF(VLOOKUP($N553,CODE!$K:$P,CODE!$O$1,FALSE)="",$M553,$M553&amp;"-"&amp;VLOOKUP($N553,CODE!$K:$P,CODE!$O$1,FALSE)))=TRUE,"",IF(VLOOKUP($N553,CODE!$K:$P,CODE!$O$1,FALSE)="",$M553,$M553&amp;"-"&amp;VLOOKUP($N553,CODE!$K:$P,CODE!$O$1,FALSE)))</f>
        <v>SMB</v>
      </c>
      <c r="P553" s="29" t="str">
        <f t="shared" si="115"/>
        <v>성인</v>
      </c>
      <c r="Q553" s="29" t="str">
        <f t="shared" si="116"/>
        <v>SMBERF5031</v>
      </c>
      <c r="R553" s="1" t="s">
        <v>1327</v>
      </c>
      <c r="S553" s="1" t="s">
        <v>14</v>
      </c>
      <c r="T553" s="26">
        <v>1200</v>
      </c>
      <c r="U553" s="26">
        <v>63600000</v>
      </c>
      <c r="V553" s="26">
        <v>10488300</v>
      </c>
      <c r="W553" s="26">
        <v>5.5126361582126577</v>
      </c>
      <c r="X553" s="26">
        <v>1200</v>
      </c>
      <c r="Y553" s="26">
        <v>0</v>
      </c>
    </row>
    <row r="554" spans="1:25">
      <c r="A554" s="24" t="str">
        <f t="shared" si="108"/>
        <v>러닝</v>
      </c>
      <c r="B554" s="24" t="str">
        <f>IF(COUNTIF(R$1:R553,R554)=0,"최초","리오더")</f>
        <v>최초</v>
      </c>
      <c r="C554" s="24" t="str">
        <f t="shared" si="109"/>
        <v>SMBFIF3705</v>
      </c>
      <c r="D554" s="24">
        <f t="shared" si="104"/>
        <v>1</v>
      </c>
      <c r="E554" s="24" t="str">
        <f t="shared" si="110"/>
        <v/>
      </c>
      <c r="F554" s="24">
        <f t="shared" si="105"/>
        <v>0</v>
      </c>
      <c r="G554" s="24" t="str">
        <f t="shared" si="111"/>
        <v>SMBFIF3705BK</v>
      </c>
      <c r="H554" s="24">
        <f t="shared" si="106"/>
        <v>1</v>
      </c>
      <c r="I554" s="24" t="str">
        <f t="shared" si="112"/>
        <v/>
      </c>
      <c r="J554" s="24">
        <f t="shared" si="107"/>
        <v>0</v>
      </c>
      <c r="K554" s="24" t="str">
        <f t="shared" si="113"/>
        <v>F3</v>
      </c>
      <c r="L554" s="24" t="str">
        <f>VLOOKUP(N554,CODE!K:P,CODE!$P$1,FALSE)</f>
        <v>모자</v>
      </c>
      <c r="M554" s="24" t="str">
        <f>VLOOKUP(MID(R554,1,3),CODE!$B:$G,CODE!D$1,FALSE)</f>
        <v>SMB</v>
      </c>
      <c r="N554" s="24" t="str">
        <f t="shared" si="114"/>
        <v>FI</v>
      </c>
      <c r="O554" s="29" t="str">
        <f>IF(ISERROR(IF(VLOOKUP($N554,CODE!$K:$P,CODE!$O$1,FALSE)="",$M554,$M554&amp;"-"&amp;VLOOKUP($N554,CODE!$K:$P,CODE!$O$1,FALSE)))=TRUE,"",IF(VLOOKUP($N554,CODE!$K:$P,CODE!$O$1,FALSE)="",$M554,$M554&amp;"-"&amp;VLOOKUP($N554,CODE!$K:$P,CODE!$O$1,FALSE)))</f>
        <v>SMB</v>
      </c>
      <c r="P554" s="29" t="str">
        <f t="shared" si="115"/>
        <v>키즈</v>
      </c>
      <c r="Q554" s="29" t="str">
        <f t="shared" si="116"/>
        <v>SMBFIF3705</v>
      </c>
      <c r="R554" s="1" t="s">
        <v>1328</v>
      </c>
      <c r="S554" s="1" t="s">
        <v>14</v>
      </c>
      <c r="T554" s="26">
        <v>5000</v>
      </c>
      <c r="U554" s="26">
        <v>215000000</v>
      </c>
      <c r="V554" s="26">
        <v>35318750</v>
      </c>
      <c r="W554" s="26">
        <v>5.5340165055259725</v>
      </c>
      <c r="X554" s="26">
        <v>5000</v>
      </c>
      <c r="Y554" s="26">
        <v>0</v>
      </c>
    </row>
    <row r="555" spans="1:25">
      <c r="A555" s="24" t="str">
        <f t="shared" si="108"/>
        <v>신규</v>
      </c>
      <c r="B555" s="24" t="str">
        <f>IF(COUNTIF(R$1:R554,R555)=0,"최초","리오더")</f>
        <v>최초</v>
      </c>
      <c r="C555" s="24" t="str">
        <f t="shared" si="109"/>
        <v>NAASNF3001</v>
      </c>
      <c r="D555" s="24">
        <f t="shared" si="104"/>
        <v>1</v>
      </c>
      <c r="E555" s="24" t="str">
        <f t="shared" si="110"/>
        <v/>
      </c>
      <c r="F555" s="24">
        <f t="shared" si="105"/>
        <v>0</v>
      </c>
      <c r="G555" s="24" t="str">
        <f t="shared" si="111"/>
        <v>NAASNF3001GY</v>
      </c>
      <c r="H555" s="24">
        <f t="shared" si="106"/>
        <v>1</v>
      </c>
      <c r="I555" s="24" t="str">
        <f t="shared" si="112"/>
        <v/>
      </c>
      <c r="J555" s="24">
        <f t="shared" si="107"/>
        <v>0</v>
      </c>
      <c r="K555" s="24" t="str">
        <f t="shared" si="113"/>
        <v>F3</v>
      </c>
      <c r="L555" s="24" t="str">
        <f>VLOOKUP(N555,CODE!K:P,CODE!$P$1,FALSE)</f>
        <v>모자</v>
      </c>
      <c r="M555" s="24" t="str">
        <f>VLOOKUP(MID(R555,1,3),CODE!$B:$G,CODE!D$1,FALSE)</f>
        <v>NAA</v>
      </c>
      <c r="N555" s="24" t="str">
        <f t="shared" si="114"/>
        <v>SN</v>
      </c>
      <c r="O555" s="29" t="str">
        <f>IF(ISERROR(IF(VLOOKUP($N555,CODE!$K:$P,CODE!$O$1,FALSE)="",$M555,$M555&amp;"-"&amp;VLOOKUP($N555,CODE!$K:$P,CODE!$O$1,FALSE)))=TRUE,"",IF(VLOOKUP($N555,CODE!$K:$P,CODE!$O$1,FALSE)="",$M555,$M555&amp;"-"&amp;VLOOKUP($N555,CODE!$K:$P,CODE!$O$1,FALSE)))</f>
        <v>NAA</v>
      </c>
      <c r="P555" s="29" t="str">
        <f t="shared" si="115"/>
        <v>성인</v>
      </c>
      <c r="Q555" s="29" t="str">
        <f t="shared" si="116"/>
        <v>NAASNF3001</v>
      </c>
      <c r="R555" s="1" t="s">
        <v>1423</v>
      </c>
      <c r="S555" s="1" t="s">
        <v>14</v>
      </c>
      <c r="T555" s="26">
        <v>800</v>
      </c>
      <c r="U555" s="26">
        <v>31200000</v>
      </c>
      <c r="V555" s="26">
        <v>4897200</v>
      </c>
      <c r="W555" s="26">
        <v>5.7918068209663405</v>
      </c>
      <c r="X555" s="26">
        <v>795</v>
      </c>
      <c r="Y555" s="26">
        <v>0</v>
      </c>
    </row>
    <row r="556" spans="1:25">
      <c r="A556" s="24" t="str">
        <f t="shared" si="108"/>
        <v>신규</v>
      </c>
      <c r="B556" s="24" t="str">
        <f>IF(COUNTIF(R$1:R555,R556)=0,"최초","리오더")</f>
        <v>최초</v>
      </c>
      <c r="C556" s="24" t="str">
        <f t="shared" si="109"/>
        <v>NAASNF3002</v>
      </c>
      <c r="D556" s="24">
        <f t="shared" si="104"/>
        <v>1</v>
      </c>
      <c r="E556" s="24" t="str">
        <f t="shared" si="110"/>
        <v/>
      </c>
      <c r="F556" s="24">
        <f t="shared" si="105"/>
        <v>0</v>
      </c>
      <c r="G556" s="24" t="str">
        <f t="shared" si="111"/>
        <v>NAASNF3002BL</v>
      </c>
      <c r="H556" s="24">
        <f t="shared" si="106"/>
        <v>1</v>
      </c>
      <c r="I556" s="24" t="str">
        <f t="shared" si="112"/>
        <v/>
      </c>
      <c r="J556" s="24">
        <f t="shared" si="107"/>
        <v>0</v>
      </c>
      <c r="K556" s="24" t="str">
        <f t="shared" si="113"/>
        <v>F3</v>
      </c>
      <c r="L556" s="24" t="str">
        <f>VLOOKUP(N556,CODE!K:P,CODE!$P$1,FALSE)</f>
        <v>모자</v>
      </c>
      <c r="M556" s="24" t="str">
        <f>VLOOKUP(MID(R556,1,3),CODE!$B:$G,CODE!D$1,FALSE)</f>
        <v>NAA</v>
      </c>
      <c r="N556" s="24" t="str">
        <f t="shared" si="114"/>
        <v>SN</v>
      </c>
      <c r="O556" s="29" t="str">
        <f>IF(ISERROR(IF(VLOOKUP($N556,CODE!$K:$P,CODE!$O$1,FALSE)="",$M556,$M556&amp;"-"&amp;VLOOKUP($N556,CODE!$K:$P,CODE!$O$1,FALSE)))=TRUE,"",IF(VLOOKUP($N556,CODE!$K:$P,CODE!$O$1,FALSE)="",$M556,$M556&amp;"-"&amp;VLOOKUP($N556,CODE!$K:$P,CODE!$O$1,FALSE)))</f>
        <v>NAA</v>
      </c>
      <c r="P556" s="29" t="str">
        <f t="shared" si="115"/>
        <v>성인</v>
      </c>
      <c r="Q556" s="29" t="str">
        <f t="shared" si="116"/>
        <v>NAASNF3002</v>
      </c>
      <c r="R556" s="1" t="s">
        <v>1424</v>
      </c>
      <c r="S556" s="1" t="s">
        <v>14</v>
      </c>
      <c r="T556" s="26">
        <v>800</v>
      </c>
      <c r="U556" s="26">
        <v>31200000</v>
      </c>
      <c r="V556" s="26">
        <v>4435200</v>
      </c>
      <c r="W556" s="26">
        <v>6.3951200314836676</v>
      </c>
      <c r="X556" s="26">
        <v>800</v>
      </c>
      <c r="Y556" s="26">
        <v>0</v>
      </c>
    </row>
    <row r="557" spans="1:25">
      <c r="A557" s="24" t="str">
        <f t="shared" si="108"/>
        <v>신규</v>
      </c>
      <c r="B557" s="24" t="str">
        <f>IF(COUNTIF(R$1:R556,R557)=0,"최초","리오더")</f>
        <v>최초</v>
      </c>
      <c r="C557" s="24" t="str">
        <f t="shared" si="109"/>
        <v>NAASNF3003</v>
      </c>
      <c r="D557" s="24">
        <f t="shared" si="104"/>
        <v>1</v>
      </c>
      <c r="E557" s="24" t="str">
        <f t="shared" si="110"/>
        <v/>
      </c>
      <c r="F557" s="24">
        <f t="shared" si="105"/>
        <v>0</v>
      </c>
      <c r="G557" s="24" t="str">
        <f t="shared" si="111"/>
        <v>NAASNF3003NY</v>
      </c>
      <c r="H557" s="24">
        <f t="shared" si="106"/>
        <v>1</v>
      </c>
      <c r="I557" s="24" t="str">
        <f t="shared" si="112"/>
        <v/>
      </c>
      <c r="J557" s="24">
        <f t="shared" si="107"/>
        <v>0</v>
      </c>
      <c r="K557" s="24" t="str">
        <f t="shared" si="113"/>
        <v>F3</v>
      </c>
      <c r="L557" s="24" t="str">
        <f>VLOOKUP(N557,CODE!K:P,CODE!$P$1,FALSE)</f>
        <v>모자</v>
      </c>
      <c r="M557" s="24" t="str">
        <f>VLOOKUP(MID(R557,1,3),CODE!$B:$G,CODE!D$1,FALSE)</f>
        <v>NAA</v>
      </c>
      <c r="N557" s="24" t="str">
        <f t="shared" si="114"/>
        <v>SN</v>
      </c>
      <c r="O557" s="29" t="str">
        <f>IF(ISERROR(IF(VLOOKUP($N557,CODE!$K:$P,CODE!$O$1,FALSE)="",$M557,$M557&amp;"-"&amp;VLOOKUP($N557,CODE!$K:$P,CODE!$O$1,FALSE)))=TRUE,"",IF(VLOOKUP($N557,CODE!$K:$P,CODE!$O$1,FALSE)="",$M557,$M557&amp;"-"&amp;VLOOKUP($N557,CODE!$K:$P,CODE!$O$1,FALSE)))</f>
        <v>NAA</v>
      </c>
      <c r="P557" s="29" t="str">
        <f t="shared" si="115"/>
        <v>성인</v>
      </c>
      <c r="Q557" s="29" t="str">
        <f t="shared" si="116"/>
        <v>NAASNF3003</v>
      </c>
      <c r="R557" s="1" t="s">
        <v>1425</v>
      </c>
      <c r="S557" s="1" t="s">
        <v>14</v>
      </c>
      <c r="T557" s="26">
        <v>800</v>
      </c>
      <c r="U557" s="26">
        <v>31200000</v>
      </c>
      <c r="V557" s="26">
        <v>4989600.0000000009</v>
      </c>
      <c r="W557" s="26">
        <v>5.6845511390965919</v>
      </c>
      <c r="X557" s="26">
        <v>800</v>
      </c>
      <c r="Y557" s="26">
        <v>0</v>
      </c>
    </row>
    <row r="558" spans="1:25">
      <c r="A558" s="24" t="str">
        <f t="shared" si="108"/>
        <v>러닝</v>
      </c>
      <c r="B558" s="24" t="str">
        <f>IF(COUNTIF(R$1:R557,R558)=0,"최초","리오더")</f>
        <v>최초</v>
      </c>
      <c r="C558" s="24" t="str">
        <f t="shared" si="109"/>
        <v>URBSNF3413</v>
      </c>
      <c r="D558" s="24">
        <f t="shared" si="104"/>
        <v>1</v>
      </c>
      <c r="E558" s="24" t="str">
        <f t="shared" si="110"/>
        <v/>
      </c>
      <c r="F558" s="24">
        <f t="shared" si="105"/>
        <v>0</v>
      </c>
      <c r="G558" s="24" t="str">
        <f t="shared" si="111"/>
        <v>URBSNF3413BK</v>
      </c>
      <c r="H558" s="24">
        <f t="shared" si="106"/>
        <v>1</v>
      </c>
      <c r="I558" s="24" t="str">
        <f t="shared" si="112"/>
        <v/>
      </c>
      <c r="J558" s="24">
        <f t="shared" si="107"/>
        <v>0</v>
      </c>
      <c r="K558" s="24" t="str">
        <f t="shared" si="113"/>
        <v>F3</v>
      </c>
      <c r="L558" s="24" t="str">
        <f>VLOOKUP(N558,CODE!K:P,CODE!$P$1,FALSE)</f>
        <v>모자</v>
      </c>
      <c r="M558" s="24" t="str">
        <f>VLOOKUP(MID(R558,1,3),CODE!$B:$G,CODE!D$1,FALSE)</f>
        <v>URB</v>
      </c>
      <c r="N558" s="24" t="str">
        <f t="shared" si="114"/>
        <v>SN</v>
      </c>
      <c r="O558" s="29" t="str">
        <f>IF(ISERROR(IF(VLOOKUP($N558,CODE!$K:$P,CODE!$O$1,FALSE)="",$M558,$M558&amp;"-"&amp;VLOOKUP($N558,CODE!$K:$P,CODE!$O$1,FALSE)))=TRUE,"",IF(VLOOKUP($N558,CODE!$K:$P,CODE!$O$1,FALSE)="",$M558,$M558&amp;"-"&amp;VLOOKUP($N558,CODE!$K:$P,CODE!$O$1,FALSE)))</f>
        <v>URB</v>
      </c>
      <c r="P558" s="29" t="str">
        <f t="shared" si="115"/>
        <v>성인</v>
      </c>
      <c r="Q558" s="29" t="str">
        <f t="shared" si="116"/>
        <v>URBSNF3413</v>
      </c>
      <c r="R558" s="1" t="s">
        <v>1329</v>
      </c>
      <c r="S558" s="1" t="s">
        <v>14</v>
      </c>
      <c r="T558" s="26">
        <v>3000</v>
      </c>
      <c r="U558" s="26">
        <v>129000000</v>
      </c>
      <c r="V558" s="26">
        <v>13010160</v>
      </c>
      <c r="W558" s="26">
        <v>9.0139342846457886</v>
      </c>
      <c r="X558" s="26">
        <v>3000</v>
      </c>
      <c r="Y558" s="26">
        <v>0</v>
      </c>
    </row>
    <row r="559" spans="1:25">
      <c r="A559" s="24" t="str">
        <f t="shared" si="108"/>
        <v>러닝</v>
      </c>
      <c r="B559" s="24" t="str">
        <f>IF(COUNTIF(R$1:R558,R559)=0,"최초","리오더")</f>
        <v>최초</v>
      </c>
      <c r="C559" s="24" t="str">
        <f t="shared" si="109"/>
        <v>URBSNF3414</v>
      </c>
      <c r="D559" s="24">
        <f t="shared" si="104"/>
        <v>0.5</v>
      </c>
      <c r="E559" s="24" t="str">
        <f t="shared" si="110"/>
        <v/>
      </c>
      <c r="F559" s="24">
        <f t="shared" si="105"/>
        <v>0</v>
      </c>
      <c r="G559" s="24" t="str">
        <f t="shared" si="111"/>
        <v>URBSNF3414BK</v>
      </c>
      <c r="H559" s="24">
        <f t="shared" si="106"/>
        <v>1</v>
      </c>
      <c r="I559" s="24" t="str">
        <f t="shared" si="112"/>
        <v/>
      </c>
      <c r="J559" s="24">
        <f t="shared" si="107"/>
        <v>0</v>
      </c>
      <c r="K559" s="24" t="str">
        <f t="shared" si="113"/>
        <v>F3</v>
      </c>
      <c r="L559" s="24" t="str">
        <f>VLOOKUP(N559,CODE!K:P,CODE!$P$1,FALSE)</f>
        <v>모자</v>
      </c>
      <c r="M559" s="24" t="str">
        <f>VLOOKUP(MID(R559,1,3),CODE!$B:$G,CODE!D$1,FALSE)</f>
        <v>URB</v>
      </c>
      <c r="N559" s="24" t="str">
        <f t="shared" si="114"/>
        <v>SN</v>
      </c>
      <c r="O559" s="29" t="str">
        <f>IF(ISERROR(IF(VLOOKUP($N559,CODE!$K:$P,CODE!$O$1,FALSE)="",$M559,$M559&amp;"-"&amp;VLOOKUP($N559,CODE!$K:$P,CODE!$O$1,FALSE)))=TRUE,"",IF(VLOOKUP($N559,CODE!$K:$P,CODE!$O$1,FALSE)="",$M559,$M559&amp;"-"&amp;VLOOKUP($N559,CODE!$K:$P,CODE!$O$1,FALSE)))</f>
        <v>URB</v>
      </c>
      <c r="P559" s="29" t="str">
        <f t="shared" si="115"/>
        <v>성인</v>
      </c>
      <c r="Q559" s="29" t="str">
        <f t="shared" si="116"/>
        <v>URBSNF3414</v>
      </c>
      <c r="R559" s="1" t="s">
        <v>1330</v>
      </c>
      <c r="S559" s="1" t="s">
        <v>14</v>
      </c>
      <c r="T559" s="26">
        <v>3000</v>
      </c>
      <c r="U559" s="26">
        <v>129000000</v>
      </c>
      <c r="V559" s="26">
        <v>13986600.000000002</v>
      </c>
      <c r="W559" s="26">
        <v>8.3846486832201705</v>
      </c>
      <c r="X559" s="26">
        <v>3000</v>
      </c>
      <c r="Y559" s="26">
        <v>0</v>
      </c>
    </row>
    <row r="560" spans="1:25">
      <c r="A560" s="24" t="str">
        <f t="shared" si="108"/>
        <v>러닝</v>
      </c>
      <c r="B560" s="24" t="str">
        <f>IF(COUNTIF(R$1:R559,R560)=0,"최초","리오더")</f>
        <v>최초</v>
      </c>
      <c r="C560" s="24" t="str">
        <f t="shared" si="109"/>
        <v>URBSNF3414</v>
      </c>
      <c r="D560" s="24">
        <f t="shared" si="104"/>
        <v>0.5</v>
      </c>
      <c r="E560" s="24" t="str">
        <f t="shared" si="110"/>
        <v/>
      </c>
      <c r="F560" s="24">
        <f t="shared" si="105"/>
        <v>0</v>
      </c>
      <c r="G560" s="24" t="str">
        <f t="shared" si="111"/>
        <v>URBSNF3414WH</v>
      </c>
      <c r="H560" s="24">
        <f t="shared" si="106"/>
        <v>1</v>
      </c>
      <c r="I560" s="24" t="str">
        <f t="shared" si="112"/>
        <v/>
      </c>
      <c r="J560" s="24">
        <f t="shared" si="107"/>
        <v>0</v>
      </c>
      <c r="K560" s="24" t="str">
        <f t="shared" si="113"/>
        <v>F3</v>
      </c>
      <c r="L560" s="24" t="str">
        <f>VLOOKUP(N560,CODE!K:P,CODE!$P$1,FALSE)</f>
        <v>모자</v>
      </c>
      <c r="M560" s="24" t="str">
        <f>VLOOKUP(MID(R560,1,3),CODE!$B:$G,CODE!D$1,FALSE)</f>
        <v>URB</v>
      </c>
      <c r="N560" s="24" t="str">
        <f t="shared" si="114"/>
        <v>SN</v>
      </c>
      <c r="O560" s="29" t="str">
        <f>IF(ISERROR(IF(VLOOKUP($N560,CODE!$K:$P,CODE!$O$1,FALSE)="",$M560,$M560&amp;"-"&amp;VLOOKUP($N560,CODE!$K:$P,CODE!$O$1,FALSE)))=TRUE,"",IF(VLOOKUP($N560,CODE!$K:$P,CODE!$O$1,FALSE)="",$M560,$M560&amp;"-"&amp;VLOOKUP($N560,CODE!$K:$P,CODE!$O$1,FALSE)))</f>
        <v>URB</v>
      </c>
      <c r="P560" s="29" t="str">
        <f t="shared" si="115"/>
        <v>성인</v>
      </c>
      <c r="Q560" s="29" t="str">
        <f t="shared" si="116"/>
        <v>URBSNF3414</v>
      </c>
      <c r="R560" s="1" t="s">
        <v>1331</v>
      </c>
      <c r="S560" s="1" t="s">
        <v>14</v>
      </c>
      <c r="T560" s="26">
        <v>4000</v>
      </c>
      <c r="U560" s="26">
        <v>172000000</v>
      </c>
      <c r="V560" s="26">
        <v>17560880</v>
      </c>
      <c r="W560" s="26">
        <v>8.9040888818576498</v>
      </c>
      <c r="X560" s="26">
        <v>4000</v>
      </c>
      <c r="Y560" s="26">
        <v>0</v>
      </c>
    </row>
    <row r="561" spans="1:25">
      <c r="A561" s="24" t="str">
        <f t="shared" si="108"/>
        <v>러닝</v>
      </c>
      <c r="B561" s="24" t="str">
        <f>IF(COUNTIF(R$1:R560,R561)=0,"최초","리오더")</f>
        <v>최초</v>
      </c>
      <c r="C561" s="24" t="str">
        <f t="shared" si="109"/>
        <v>URBFIF3403</v>
      </c>
      <c r="D561" s="24">
        <f t="shared" si="104"/>
        <v>1</v>
      </c>
      <c r="E561" s="24" t="str">
        <f t="shared" si="110"/>
        <v/>
      </c>
      <c r="F561" s="24">
        <f t="shared" si="105"/>
        <v>0</v>
      </c>
      <c r="G561" s="24" t="str">
        <f t="shared" si="111"/>
        <v>URBFIF3403BK</v>
      </c>
      <c r="H561" s="24">
        <f t="shared" si="106"/>
        <v>1</v>
      </c>
      <c r="I561" s="24" t="str">
        <f t="shared" si="112"/>
        <v/>
      </c>
      <c r="J561" s="24">
        <f t="shared" si="107"/>
        <v>0</v>
      </c>
      <c r="K561" s="24" t="str">
        <f t="shared" si="113"/>
        <v>F3</v>
      </c>
      <c r="L561" s="24" t="str">
        <f>VLOOKUP(N561,CODE!K:P,CODE!$P$1,FALSE)</f>
        <v>모자</v>
      </c>
      <c r="M561" s="24" t="str">
        <f>VLOOKUP(MID(R561,1,3),CODE!$B:$G,CODE!D$1,FALSE)</f>
        <v>URB</v>
      </c>
      <c r="N561" s="24" t="str">
        <f t="shared" si="114"/>
        <v>FI</v>
      </c>
      <c r="O561" s="29" t="str">
        <f>IF(ISERROR(IF(VLOOKUP($N561,CODE!$K:$P,CODE!$O$1,FALSE)="",$M561,$M561&amp;"-"&amp;VLOOKUP($N561,CODE!$K:$P,CODE!$O$1,FALSE)))=TRUE,"",IF(VLOOKUP($N561,CODE!$K:$P,CODE!$O$1,FALSE)="",$M561,$M561&amp;"-"&amp;VLOOKUP($N561,CODE!$K:$P,CODE!$O$1,FALSE)))</f>
        <v>URB</v>
      </c>
      <c r="P561" s="29" t="str">
        <f t="shared" si="115"/>
        <v>성인</v>
      </c>
      <c r="Q561" s="29" t="str">
        <f t="shared" si="116"/>
        <v>URBFIF3403</v>
      </c>
      <c r="R561" s="1" t="s">
        <v>1332</v>
      </c>
      <c r="S561" s="1" t="s">
        <v>14</v>
      </c>
      <c r="T561" s="26">
        <v>1500</v>
      </c>
      <c r="U561" s="26">
        <v>52500000</v>
      </c>
      <c r="V561" s="26">
        <v>6535218</v>
      </c>
      <c r="W561" s="26">
        <v>7.3030880878453823</v>
      </c>
      <c r="X561" s="26">
        <v>1500</v>
      </c>
      <c r="Y561" s="26">
        <v>0</v>
      </c>
    </row>
    <row r="562" spans="1:25">
      <c r="A562" s="24" t="str">
        <f t="shared" si="108"/>
        <v>러닝</v>
      </c>
      <c r="B562" s="24" t="str">
        <f>IF(COUNTIF(R$1:R561,R562)=0,"최초","리오더")</f>
        <v>최초</v>
      </c>
      <c r="C562" s="24" t="str">
        <f t="shared" ref="C562:C596" si="117">IF($B562="리오더","",Q562)</f>
        <v>URBFIF3411</v>
      </c>
      <c r="D562" s="24">
        <f t="shared" si="104"/>
        <v>1</v>
      </c>
      <c r="E562" s="24" t="str">
        <f t="shared" ref="E562:E596" si="118">IF($B562="리오더",Q562,"")</f>
        <v/>
      </c>
      <c r="F562" s="24">
        <f t="shared" si="105"/>
        <v>0</v>
      </c>
      <c r="G562" s="24" t="str">
        <f t="shared" ref="G562:G596" si="119">IF($B562="리오더","",R562)</f>
        <v>URBFIF3411BK</v>
      </c>
      <c r="H562" s="24">
        <f t="shared" si="106"/>
        <v>1</v>
      </c>
      <c r="I562" s="24" t="str">
        <f t="shared" ref="I562:I596" si="120">IF($B562="리오더",R562,"")</f>
        <v/>
      </c>
      <c r="J562" s="24">
        <f t="shared" si="107"/>
        <v>0</v>
      </c>
      <c r="K562" s="24" t="str">
        <f t="shared" ref="K562:K596" si="121">MID(R562,6,2)</f>
        <v>F3</v>
      </c>
      <c r="L562" s="24" t="str">
        <f>VLOOKUP(N562,CODE!K:P,CODE!$P$1,FALSE)</f>
        <v>모자</v>
      </c>
      <c r="M562" s="24" t="str">
        <f>VLOOKUP(MID(R562,1,3),CODE!$B:$G,CODE!D$1,FALSE)</f>
        <v>URB</v>
      </c>
      <c r="N562" s="24" t="str">
        <f t="shared" ref="N562:N596" si="122">MID(R562,4,2)</f>
        <v>FI</v>
      </c>
      <c r="O562" s="29" t="str">
        <f>IF(ISERROR(IF(VLOOKUP($N562,CODE!$K:$P,CODE!$O$1,FALSE)="",$M562,$M562&amp;"-"&amp;VLOOKUP($N562,CODE!$K:$P,CODE!$O$1,FALSE)))=TRUE,"",IF(VLOOKUP($N562,CODE!$K:$P,CODE!$O$1,FALSE)="",$M562,$M562&amp;"-"&amp;VLOOKUP($N562,CODE!$K:$P,CODE!$O$1,FALSE)))</f>
        <v>URB</v>
      </c>
      <c r="P562" s="29" t="str">
        <f t="shared" si="115"/>
        <v>성인</v>
      </c>
      <c r="Q562" s="29" t="str">
        <f t="shared" ref="Q562:Q596" si="123">MID(R562,1,10)</f>
        <v>URBFIF3411</v>
      </c>
      <c r="R562" s="1" t="s">
        <v>1333</v>
      </c>
      <c r="S562" s="1" t="s">
        <v>14</v>
      </c>
      <c r="T562" s="26">
        <v>1500</v>
      </c>
      <c r="U562" s="26">
        <v>64500000</v>
      </c>
      <c r="V562" s="26">
        <v>5984103.0000000019</v>
      </c>
      <c r="W562" s="26">
        <v>9.7986888989650769</v>
      </c>
      <c r="X562" s="26">
        <v>1499</v>
      </c>
      <c r="Y562" s="26">
        <v>0</v>
      </c>
    </row>
    <row r="563" spans="1:25">
      <c r="A563" s="24" t="str">
        <f t="shared" si="108"/>
        <v>러닝</v>
      </c>
      <c r="B563" s="24" t="str">
        <f>IF(COUNTIF(R$1:R562,R563)=0,"최초","리오더")</f>
        <v>최초</v>
      </c>
      <c r="C563" s="24" t="str">
        <f t="shared" si="117"/>
        <v>URBFIF3412</v>
      </c>
      <c r="D563" s="24">
        <f t="shared" si="104"/>
        <v>1</v>
      </c>
      <c r="E563" s="24" t="str">
        <f t="shared" si="118"/>
        <v/>
      </c>
      <c r="F563" s="24">
        <f t="shared" si="105"/>
        <v>0</v>
      </c>
      <c r="G563" s="24" t="str">
        <f t="shared" si="119"/>
        <v>URBFIF3412BK</v>
      </c>
      <c r="H563" s="24">
        <f t="shared" si="106"/>
        <v>1</v>
      </c>
      <c r="I563" s="24" t="str">
        <f t="shared" si="120"/>
        <v/>
      </c>
      <c r="J563" s="24">
        <f t="shared" si="107"/>
        <v>0</v>
      </c>
      <c r="K563" s="24" t="str">
        <f t="shared" si="121"/>
        <v>F3</v>
      </c>
      <c r="L563" s="24" t="str">
        <f>VLOOKUP(N563,CODE!K:P,CODE!$P$1,FALSE)</f>
        <v>모자</v>
      </c>
      <c r="M563" s="24" t="str">
        <f>VLOOKUP(MID(R563,1,3),CODE!$B:$G,CODE!D$1,FALSE)</f>
        <v>URB</v>
      </c>
      <c r="N563" s="24" t="str">
        <f t="shared" si="122"/>
        <v>FI</v>
      </c>
      <c r="O563" s="29" t="str">
        <f>IF(ISERROR(IF(VLOOKUP($N563,CODE!$K:$P,CODE!$O$1,FALSE)="",$M563,$M563&amp;"-"&amp;VLOOKUP($N563,CODE!$K:$P,CODE!$O$1,FALSE)))=TRUE,"",IF(VLOOKUP($N563,CODE!$K:$P,CODE!$O$1,FALSE)="",$M563,$M563&amp;"-"&amp;VLOOKUP($N563,CODE!$K:$P,CODE!$O$1,FALSE)))</f>
        <v>URB</v>
      </c>
      <c r="P563" s="29" t="str">
        <f t="shared" si="115"/>
        <v>성인</v>
      </c>
      <c r="Q563" s="29" t="str">
        <f t="shared" si="123"/>
        <v>URBFIF3412</v>
      </c>
      <c r="R563" s="1" t="s">
        <v>1334</v>
      </c>
      <c r="S563" s="1" t="s">
        <v>14</v>
      </c>
      <c r="T563" s="26">
        <v>1500</v>
      </c>
      <c r="U563" s="26">
        <v>64500000</v>
      </c>
      <c r="V563" s="26">
        <v>7137048.0000000019</v>
      </c>
      <c r="W563" s="26">
        <v>8.2157726326575933</v>
      </c>
      <c r="X563" s="26">
        <v>1492</v>
      </c>
      <c r="Y563" s="26">
        <v>0</v>
      </c>
    </row>
    <row r="564" spans="1:25">
      <c r="A564" s="24" t="str">
        <f t="shared" si="108"/>
        <v>러닝</v>
      </c>
      <c r="B564" s="81" t="s">
        <v>809</v>
      </c>
      <c r="C564" s="24" t="str">
        <f t="shared" si="117"/>
        <v>URBFIF3414</v>
      </c>
      <c r="D564" s="24">
        <f t="shared" si="104"/>
        <v>1</v>
      </c>
      <c r="E564" s="24" t="str">
        <f t="shared" si="118"/>
        <v/>
      </c>
      <c r="F564" s="24">
        <f t="shared" si="105"/>
        <v>0</v>
      </c>
      <c r="G564" s="24" t="str">
        <f t="shared" si="119"/>
        <v>URBFIF3414BK</v>
      </c>
      <c r="H564" s="24">
        <f t="shared" si="106"/>
        <v>1</v>
      </c>
      <c r="I564" s="24" t="str">
        <f t="shared" si="120"/>
        <v/>
      </c>
      <c r="J564" s="24">
        <f t="shared" si="107"/>
        <v>0</v>
      </c>
      <c r="K564" s="24" t="str">
        <f t="shared" si="121"/>
        <v>F3</v>
      </c>
      <c r="L564" s="24" t="str">
        <f>VLOOKUP(N564,CODE!K:P,CODE!$P$1,FALSE)</f>
        <v>모자</v>
      </c>
      <c r="M564" s="24" t="str">
        <f>VLOOKUP(MID(R564,1,3),CODE!$B:$G,CODE!D$1,FALSE)</f>
        <v>URB</v>
      </c>
      <c r="N564" s="24" t="str">
        <f t="shared" si="122"/>
        <v>FI</v>
      </c>
      <c r="O564" s="29" t="str">
        <f>IF(ISERROR(IF(VLOOKUP($N564,CODE!$K:$P,CODE!$O$1,FALSE)="",$M564,$M564&amp;"-"&amp;VLOOKUP($N564,CODE!$K:$P,CODE!$O$1,FALSE)))=TRUE,"",IF(VLOOKUP($N564,CODE!$K:$P,CODE!$O$1,FALSE)="",$M564,$M564&amp;"-"&amp;VLOOKUP($N564,CODE!$K:$P,CODE!$O$1,FALSE)))</f>
        <v>URB</v>
      </c>
      <c r="P564" s="29" t="str">
        <f t="shared" si="115"/>
        <v>성인</v>
      </c>
      <c r="Q564" s="29" t="str">
        <f t="shared" si="123"/>
        <v>URBFIF3414</v>
      </c>
      <c r="R564" s="1" t="s">
        <v>1335</v>
      </c>
      <c r="S564" s="1" t="s">
        <v>14</v>
      </c>
      <c r="T564" s="26">
        <v>1500</v>
      </c>
      <c r="U564" s="26">
        <v>64500000</v>
      </c>
      <c r="V564" s="26">
        <v>7533300.0000000019</v>
      </c>
      <c r="W564" s="26">
        <v>7.7836225341302772</v>
      </c>
      <c r="X564" s="26">
        <v>1500</v>
      </c>
      <c r="Y564" s="26">
        <v>0</v>
      </c>
    </row>
    <row r="565" spans="1:25">
      <c r="A565" s="24" t="str">
        <f t="shared" si="108"/>
        <v>러닝</v>
      </c>
      <c r="B565" s="81" t="s">
        <v>809</v>
      </c>
      <c r="C565" s="24" t="str">
        <f t="shared" si="117"/>
        <v>ELSBAF3841</v>
      </c>
      <c r="D565" s="24">
        <f t="shared" si="104"/>
        <v>0.5</v>
      </c>
      <c r="E565" s="24" t="str">
        <f t="shared" si="118"/>
        <v/>
      </c>
      <c r="F565" s="24">
        <f t="shared" si="105"/>
        <v>0</v>
      </c>
      <c r="G565" s="24" t="str">
        <f t="shared" si="119"/>
        <v>ELSBAF3841BK</v>
      </c>
      <c r="H565" s="24">
        <f t="shared" si="106"/>
        <v>1</v>
      </c>
      <c r="I565" s="24" t="str">
        <f t="shared" si="120"/>
        <v/>
      </c>
      <c r="J565" s="24">
        <f t="shared" si="107"/>
        <v>0</v>
      </c>
      <c r="K565" s="24" t="str">
        <f t="shared" si="121"/>
        <v>F3</v>
      </c>
      <c r="L565" s="24" t="str">
        <f>VLOOKUP(N565,CODE!K:P,CODE!$P$1,FALSE)</f>
        <v>모자</v>
      </c>
      <c r="M565" s="24" t="str">
        <f>VLOOKUP(MID(R565,1,3),CODE!$B:$G,CODE!D$1,FALSE)</f>
        <v>ELS</v>
      </c>
      <c r="N565" s="24" t="str">
        <f t="shared" si="122"/>
        <v>BA</v>
      </c>
      <c r="O565" s="29" t="str">
        <f>IF(ISERROR(IF(VLOOKUP($N565,CODE!$K:$P,CODE!$O$1,FALSE)="",$M565,$M565&amp;"-"&amp;VLOOKUP($N565,CODE!$K:$P,CODE!$O$1,FALSE)))=TRUE,"",IF(VLOOKUP($N565,CODE!$K:$P,CODE!$O$1,FALSE)="",$M565,$M565&amp;"-"&amp;VLOOKUP($N565,CODE!$K:$P,CODE!$O$1,FALSE)))</f>
        <v>ELS</v>
      </c>
      <c r="P565" s="29" t="str">
        <f t="shared" si="115"/>
        <v>키즈</v>
      </c>
      <c r="Q565" s="29" t="str">
        <f t="shared" si="123"/>
        <v>ELSBAF3841</v>
      </c>
      <c r="R565" s="1" t="s">
        <v>1336</v>
      </c>
      <c r="S565" s="1" t="s">
        <v>14</v>
      </c>
      <c r="T565" s="26">
        <v>4000</v>
      </c>
      <c r="U565" s="26">
        <v>212000000</v>
      </c>
      <c r="V565" s="26">
        <v>28520720.000000004</v>
      </c>
      <c r="W565" s="26">
        <v>6.7574476635678442</v>
      </c>
      <c r="X565" s="26">
        <v>3967</v>
      </c>
      <c r="Y565" s="26">
        <v>0</v>
      </c>
    </row>
    <row r="566" spans="1:25">
      <c r="A566" s="24" t="str">
        <f t="shared" si="108"/>
        <v>러닝</v>
      </c>
      <c r="B566" s="81" t="s">
        <v>809</v>
      </c>
      <c r="C566" s="24" t="str">
        <f t="shared" si="117"/>
        <v>ELSBAF3841</v>
      </c>
      <c r="D566" s="24">
        <f t="shared" si="104"/>
        <v>0.5</v>
      </c>
      <c r="E566" s="24" t="str">
        <f t="shared" si="118"/>
        <v/>
      </c>
      <c r="F566" s="24">
        <f t="shared" si="105"/>
        <v>0</v>
      </c>
      <c r="G566" s="24" t="str">
        <f t="shared" si="119"/>
        <v>ELSBAF3841RE</v>
      </c>
      <c r="H566" s="24">
        <f t="shared" si="106"/>
        <v>1</v>
      </c>
      <c r="I566" s="24" t="str">
        <f t="shared" si="120"/>
        <v/>
      </c>
      <c r="J566" s="24">
        <f t="shared" si="107"/>
        <v>0</v>
      </c>
      <c r="K566" s="24" t="str">
        <f t="shared" si="121"/>
        <v>F3</v>
      </c>
      <c r="L566" s="24" t="str">
        <f>VLOOKUP(N566,CODE!K:P,CODE!$P$1,FALSE)</f>
        <v>모자</v>
      </c>
      <c r="M566" s="24" t="str">
        <f>VLOOKUP(MID(R566,1,3),CODE!$B:$G,CODE!D$1,FALSE)</f>
        <v>ELS</v>
      </c>
      <c r="N566" s="24" t="str">
        <f t="shared" si="122"/>
        <v>BA</v>
      </c>
      <c r="O566" s="29" t="str">
        <f>IF(ISERROR(IF(VLOOKUP($N566,CODE!$K:$P,CODE!$O$1,FALSE)="",$M566,$M566&amp;"-"&amp;VLOOKUP($N566,CODE!$K:$P,CODE!$O$1,FALSE)))=TRUE,"",IF(VLOOKUP($N566,CODE!$K:$P,CODE!$O$1,FALSE)="",$M566,$M566&amp;"-"&amp;VLOOKUP($N566,CODE!$K:$P,CODE!$O$1,FALSE)))</f>
        <v>ELS</v>
      </c>
      <c r="P566" s="29" t="str">
        <f t="shared" si="115"/>
        <v>키즈</v>
      </c>
      <c r="Q566" s="29" t="str">
        <f t="shared" si="123"/>
        <v>ELSBAF3841</v>
      </c>
      <c r="R566" s="1" t="s">
        <v>1337</v>
      </c>
      <c r="S566" s="1" t="s">
        <v>14</v>
      </c>
      <c r="T566" s="26">
        <v>4000</v>
      </c>
      <c r="U566" s="26">
        <v>212000000</v>
      </c>
      <c r="V566" s="26">
        <v>28520720.000000004</v>
      </c>
      <c r="W566" s="26">
        <v>6.7574476635678442</v>
      </c>
      <c r="X566" s="26">
        <v>4005</v>
      </c>
      <c r="Y566" s="26">
        <v>0</v>
      </c>
    </row>
    <row r="567" spans="1:25">
      <c r="A567" s="24" t="str">
        <f t="shared" si="108"/>
        <v>신규</v>
      </c>
      <c r="B567" s="81" t="s">
        <v>809</v>
      </c>
      <c r="C567" s="24" t="str">
        <f t="shared" si="117"/>
        <v>SBRMIF3066</v>
      </c>
      <c r="D567" s="24">
        <f t="shared" si="104"/>
        <v>1</v>
      </c>
      <c r="E567" s="24" t="str">
        <f t="shared" si="118"/>
        <v/>
      </c>
      <c r="F567" s="24">
        <f t="shared" si="105"/>
        <v>0</v>
      </c>
      <c r="G567" s="24" t="str">
        <f t="shared" si="119"/>
        <v>SBRMIF3066BK</v>
      </c>
      <c r="H567" s="24">
        <f t="shared" si="106"/>
        <v>1</v>
      </c>
      <c r="I567" s="24" t="str">
        <f t="shared" si="120"/>
        <v/>
      </c>
      <c r="J567" s="24">
        <f t="shared" si="107"/>
        <v>0</v>
      </c>
      <c r="K567" s="24" t="str">
        <f t="shared" si="121"/>
        <v>F3</v>
      </c>
      <c r="L567" s="24" t="str">
        <f>VLOOKUP(N567,CODE!K:P,CODE!$P$1,FALSE)</f>
        <v>모자</v>
      </c>
      <c r="M567" s="24" t="str">
        <f>VLOOKUP(MID(R567,1,3),CODE!$B:$G,CODE!D$1,FALSE)</f>
        <v>SBR</v>
      </c>
      <c r="N567" s="24" t="str">
        <f t="shared" si="122"/>
        <v>MI</v>
      </c>
      <c r="O567" s="29" t="str">
        <f>IF(ISERROR(IF(VLOOKUP($N567,CODE!$K:$P,CODE!$O$1,FALSE)="",$M567,$M567&amp;"-"&amp;VLOOKUP($N567,CODE!$K:$P,CODE!$O$1,FALSE)))=TRUE,"",IF(VLOOKUP($N567,CODE!$K:$P,CODE!$O$1,FALSE)="",$M567,$M567&amp;"-"&amp;VLOOKUP($N567,CODE!$K:$P,CODE!$O$1,FALSE)))</f>
        <v>SBR</v>
      </c>
      <c r="P567" s="29" t="str">
        <f t="shared" si="115"/>
        <v>성인</v>
      </c>
      <c r="Q567" s="29" t="str">
        <f t="shared" si="123"/>
        <v>SBRMIF3066</v>
      </c>
      <c r="R567" s="1" t="s">
        <v>1338</v>
      </c>
      <c r="S567" s="1" t="s">
        <v>14</v>
      </c>
      <c r="T567" s="26">
        <v>3500</v>
      </c>
      <c r="U567" s="26">
        <v>101500000</v>
      </c>
      <c r="V567" s="26">
        <v>20896715.000000004</v>
      </c>
      <c r="W567" s="26">
        <v>4.4156570672819742</v>
      </c>
      <c r="X567" s="26">
        <v>3524</v>
      </c>
      <c r="Y567" s="26">
        <v>0</v>
      </c>
    </row>
    <row r="568" spans="1:25">
      <c r="A568" s="24" t="str">
        <f t="shared" si="108"/>
        <v>신규</v>
      </c>
      <c r="B568" s="81" t="s">
        <v>809</v>
      </c>
      <c r="C568" s="24" t="str">
        <f t="shared" si="117"/>
        <v>ELSERF5025</v>
      </c>
      <c r="D568" s="24">
        <f t="shared" si="104"/>
        <v>1</v>
      </c>
      <c r="E568" s="24" t="str">
        <f t="shared" si="118"/>
        <v/>
      </c>
      <c r="F568" s="24">
        <f t="shared" si="105"/>
        <v>0</v>
      </c>
      <c r="G568" s="24" t="str">
        <f t="shared" si="119"/>
        <v>ELSERF5025BK</v>
      </c>
      <c r="H568" s="24">
        <f t="shared" si="106"/>
        <v>1</v>
      </c>
      <c r="I568" s="24" t="str">
        <f t="shared" si="120"/>
        <v/>
      </c>
      <c r="J568" s="24">
        <f t="shared" si="107"/>
        <v>0</v>
      </c>
      <c r="K568" s="24" t="str">
        <f t="shared" si="121"/>
        <v>F5</v>
      </c>
      <c r="L568" s="24" t="str">
        <f>VLOOKUP(N568,CODE!K:P,CODE!$P$1,FALSE)</f>
        <v>모자</v>
      </c>
      <c r="M568" s="24" t="str">
        <f>VLOOKUP(MID(R568,1,3),CODE!$B:$G,CODE!D$1,FALSE)</f>
        <v>ELS</v>
      </c>
      <c r="N568" s="24" t="str">
        <f t="shared" si="122"/>
        <v>ER</v>
      </c>
      <c r="O568" s="29" t="str">
        <f>IF(ISERROR(IF(VLOOKUP($N568,CODE!$K:$P,CODE!$O$1,FALSE)="",$M568,$M568&amp;"-"&amp;VLOOKUP($N568,CODE!$K:$P,CODE!$O$1,FALSE)))=TRUE,"",IF(VLOOKUP($N568,CODE!$K:$P,CODE!$O$1,FALSE)="",$M568,$M568&amp;"-"&amp;VLOOKUP($N568,CODE!$K:$P,CODE!$O$1,FALSE)))</f>
        <v>ELS</v>
      </c>
      <c r="P568" s="29" t="str">
        <f t="shared" si="115"/>
        <v>성인</v>
      </c>
      <c r="Q568" s="29" t="str">
        <f t="shared" si="123"/>
        <v>ELSERF5025</v>
      </c>
      <c r="R568" s="1" t="s">
        <v>1339</v>
      </c>
      <c r="S568" s="1" t="s">
        <v>14</v>
      </c>
      <c r="T568" s="26">
        <v>800</v>
      </c>
      <c r="U568" s="26">
        <v>47200000</v>
      </c>
      <c r="V568" s="26">
        <v>6668800</v>
      </c>
      <c r="W568" s="26">
        <v>6.4343046588727963</v>
      </c>
      <c r="X568" s="26">
        <v>800</v>
      </c>
      <c r="Y568" s="26">
        <v>0</v>
      </c>
    </row>
    <row r="569" spans="1:25">
      <c r="A569" s="24" t="str">
        <f t="shared" si="108"/>
        <v>신규</v>
      </c>
      <c r="B569" s="81" t="s">
        <v>809</v>
      </c>
      <c r="C569" s="24" t="str">
        <f t="shared" si="117"/>
        <v>ELSSNF5026</v>
      </c>
      <c r="D569" s="24">
        <f t="shared" si="104"/>
        <v>1</v>
      </c>
      <c r="E569" s="24" t="str">
        <f t="shared" si="118"/>
        <v/>
      </c>
      <c r="F569" s="24">
        <f t="shared" si="105"/>
        <v>0</v>
      </c>
      <c r="G569" s="24" t="str">
        <f t="shared" si="119"/>
        <v>ELSSNF5026BK</v>
      </c>
      <c r="H569" s="24">
        <f t="shared" si="106"/>
        <v>1</v>
      </c>
      <c r="I569" s="24" t="str">
        <f t="shared" si="120"/>
        <v/>
      </c>
      <c r="J569" s="24">
        <f t="shared" si="107"/>
        <v>0</v>
      </c>
      <c r="K569" s="24" t="str">
        <f t="shared" si="121"/>
        <v>F5</v>
      </c>
      <c r="L569" s="24" t="str">
        <f>VLOOKUP(N569,CODE!K:P,CODE!$P$1,FALSE)</f>
        <v>모자</v>
      </c>
      <c r="M569" s="24" t="str">
        <f>VLOOKUP(MID(R569,1,3),CODE!$B:$G,CODE!D$1,FALSE)</f>
        <v>ELS</v>
      </c>
      <c r="N569" s="24" t="str">
        <f t="shared" si="122"/>
        <v>SN</v>
      </c>
      <c r="O569" s="29" t="str">
        <f>IF(ISERROR(IF(VLOOKUP($N569,CODE!$K:$P,CODE!$O$1,FALSE)="",$M569,$M569&amp;"-"&amp;VLOOKUP($N569,CODE!$K:$P,CODE!$O$1,FALSE)))=TRUE,"",IF(VLOOKUP($N569,CODE!$K:$P,CODE!$O$1,FALSE)="",$M569,$M569&amp;"-"&amp;VLOOKUP($N569,CODE!$K:$P,CODE!$O$1,FALSE)))</f>
        <v>ELS</v>
      </c>
      <c r="P569" s="29" t="str">
        <f t="shared" si="115"/>
        <v>성인</v>
      </c>
      <c r="Q569" s="29" t="str">
        <f t="shared" si="123"/>
        <v>ELSSNF5026</v>
      </c>
      <c r="R569" s="1" t="s">
        <v>1340</v>
      </c>
      <c r="S569" s="1" t="s">
        <v>14</v>
      </c>
      <c r="T569" s="26">
        <v>1500</v>
      </c>
      <c r="U569" s="26">
        <v>73500000</v>
      </c>
      <c r="V569" s="26">
        <v>10508160</v>
      </c>
      <c r="W569" s="26">
        <v>6.3586947494310904</v>
      </c>
      <c r="X569" s="26">
        <v>1348</v>
      </c>
      <c r="Y569" s="26">
        <v>0</v>
      </c>
    </row>
    <row r="570" spans="1:25">
      <c r="A570" s="24" t="str">
        <f t="shared" si="108"/>
        <v>신규</v>
      </c>
      <c r="B570" s="81" t="s">
        <v>809</v>
      </c>
      <c r="C570" s="24" t="str">
        <f t="shared" si="117"/>
        <v>ELSSNF3027</v>
      </c>
      <c r="D570" s="24">
        <f t="shared" si="104"/>
        <v>1</v>
      </c>
      <c r="E570" s="24" t="str">
        <f t="shared" si="118"/>
        <v/>
      </c>
      <c r="F570" s="24">
        <f t="shared" si="105"/>
        <v>0</v>
      </c>
      <c r="G570" s="24" t="str">
        <f t="shared" si="119"/>
        <v>ELSSNF3027BK</v>
      </c>
      <c r="H570" s="24">
        <f t="shared" si="106"/>
        <v>1</v>
      </c>
      <c r="I570" s="24" t="str">
        <f t="shared" si="120"/>
        <v/>
      </c>
      <c r="J570" s="24">
        <f t="shared" si="107"/>
        <v>0</v>
      </c>
      <c r="K570" s="24" t="str">
        <f t="shared" si="121"/>
        <v>F3</v>
      </c>
      <c r="L570" s="24" t="str">
        <f>VLOOKUP(N570,CODE!K:P,CODE!$P$1,FALSE)</f>
        <v>모자</v>
      </c>
      <c r="M570" s="24" t="str">
        <f>VLOOKUP(MID(R570,1,3),CODE!$B:$G,CODE!D$1,FALSE)</f>
        <v>ELS</v>
      </c>
      <c r="N570" s="24" t="str">
        <f t="shared" si="122"/>
        <v>SN</v>
      </c>
      <c r="O570" s="29" t="str">
        <f>IF(ISERROR(IF(VLOOKUP($N570,CODE!$K:$P,CODE!$O$1,FALSE)="",$M570,$M570&amp;"-"&amp;VLOOKUP($N570,CODE!$K:$P,CODE!$O$1,FALSE)))=TRUE,"",IF(VLOOKUP($N570,CODE!$K:$P,CODE!$O$1,FALSE)="",$M570,$M570&amp;"-"&amp;VLOOKUP($N570,CODE!$K:$P,CODE!$O$1,FALSE)))</f>
        <v>ELS</v>
      </c>
      <c r="P570" s="29" t="str">
        <f t="shared" si="115"/>
        <v>성인</v>
      </c>
      <c r="Q570" s="29" t="str">
        <f t="shared" si="123"/>
        <v>ELSSNF3027</v>
      </c>
      <c r="R570" s="1" t="s">
        <v>1341</v>
      </c>
      <c r="S570" s="1" t="s">
        <v>14</v>
      </c>
      <c r="T570" s="26">
        <v>1200</v>
      </c>
      <c r="U570" s="26">
        <v>54000000</v>
      </c>
      <c r="V570" s="26">
        <v>8331684.0000000009</v>
      </c>
      <c r="W570" s="26">
        <v>5.892075250442657</v>
      </c>
      <c r="X570" s="26">
        <v>1173</v>
      </c>
      <c r="Y570" s="26">
        <v>0</v>
      </c>
    </row>
    <row r="571" spans="1:25">
      <c r="A571" s="24" t="str">
        <f t="shared" si="108"/>
        <v>신규</v>
      </c>
      <c r="B571" s="81" t="s">
        <v>809</v>
      </c>
      <c r="C571" s="24" t="str">
        <f t="shared" si="117"/>
        <v>ELSSNF5028</v>
      </c>
      <c r="D571" s="24">
        <f t="shared" si="104"/>
        <v>1</v>
      </c>
      <c r="E571" s="24" t="str">
        <f t="shared" si="118"/>
        <v/>
      </c>
      <c r="F571" s="24">
        <f t="shared" si="105"/>
        <v>0</v>
      </c>
      <c r="G571" s="24" t="str">
        <f t="shared" si="119"/>
        <v>ELSSNF5028GY</v>
      </c>
      <c r="H571" s="24">
        <f t="shared" si="106"/>
        <v>1</v>
      </c>
      <c r="I571" s="24" t="str">
        <f t="shared" si="120"/>
        <v/>
      </c>
      <c r="J571" s="24">
        <f t="shared" si="107"/>
        <v>0</v>
      </c>
      <c r="K571" s="24" t="str">
        <f t="shared" si="121"/>
        <v>F5</v>
      </c>
      <c r="L571" s="24" t="str">
        <f>VLOOKUP(N571,CODE!K:P,CODE!$P$1,FALSE)</f>
        <v>모자</v>
      </c>
      <c r="M571" s="24" t="str">
        <f>VLOOKUP(MID(R571,1,3),CODE!$B:$G,CODE!D$1,FALSE)</f>
        <v>ELS</v>
      </c>
      <c r="N571" s="24" t="str">
        <f t="shared" si="122"/>
        <v>SN</v>
      </c>
      <c r="O571" s="29" t="str">
        <f>IF(ISERROR(IF(VLOOKUP($N571,CODE!$K:$P,CODE!$O$1,FALSE)="",$M571,$M571&amp;"-"&amp;VLOOKUP($N571,CODE!$K:$P,CODE!$O$1,FALSE)))=TRUE,"",IF(VLOOKUP($N571,CODE!$K:$P,CODE!$O$1,FALSE)="",$M571,$M571&amp;"-"&amp;VLOOKUP($N571,CODE!$K:$P,CODE!$O$1,FALSE)))</f>
        <v>ELS</v>
      </c>
      <c r="P571" s="29" t="str">
        <f t="shared" si="115"/>
        <v>성인</v>
      </c>
      <c r="Q571" s="29" t="str">
        <f t="shared" si="123"/>
        <v>ELSSNF5028</v>
      </c>
      <c r="R571" s="1" t="s">
        <v>1342</v>
      </c>
      <c r="S571" s="1" t="s">
        <v>14</v>
      </c>
      <c r="T571" s="26">
        <v>1200</v>
      </c>
      <c r="U571" s="26">
        <v>54000000</v>
      </c>
      <c r="V571" s="26">
        <v>7604400</v>
      </c>
      <c r="W571" s="26">
        <v>6.455592695138221</v>
      </c>
      <c r="X571" s="26">
        <v>1183</v>
      </c>
      <c r="Y571" s="26">
        <v>0</v>
      </c>
    </row>
    <row r="572" spans="1:25">
      <c r="A572" s="24" t="str">
        <f t="shared" si="108"/>
        <v>신규</v>
      </c>
      <c r="B572" s="81" t="s">
        <v>809</v>
      </c>
      <c r="C572" s="24" t="str">
        <f t="shared" si="117"/>
        <v>ELSSNF5029</v>
      </c>
      <c r="D572" s="24">
        <f t="shared" si="104"/>
        <v>1</v>
      </c>
      <c r="E572" s="24" t="str">
        <f t="shared" si="118"/>
        <v/>
      </c>
      <c r="F572" s="24">
        <f t="shared" si="105"/>
        <v>0</v>
      </c>
      <c r="G572" s="24" t="str">
        <f t="shared" si="119"/>
        <v>ELSSNF5029BK</v>
      </c>
      <c r="H572" s="24">
        <f t="shared" si="106"/>
        <v>1</v>
      </c>
      <c r="I572" s="24" t="str">
        <f t="shared" si="120"/>
        <v/>
      </c>
      <c r="J572" s="24">
        <f t="shared" si="107"/>
        <v>0</v>
      </c>
      <c r="K572" s="24" t="str">
        <f t="shared" si="121"/>
        <v>F5</v>
      </c>
      <c r="L572" s="24" t="str">
        <f>VLOOKUP(N572,CODE!K:P,CODE!$P$1,FALSE)</f>
        <v>모자</v>
      </c>
      <c r="M572" s="24" t="str">
        <f>VLOOKUP(MID(R572,1,3),CODE!$B:$G,CODE!D$1,FALSE)</f>
        <v>ELS</v>
      </c>
      <c r="N572" s="24" t="str">
        <f t="shared" si="122"/>
        <v>SN</v>
      </c>
      <c r="O572" s="29" t="str">
        <f>IF(ISERROR(IF(VLOOKUP($N572,CODE!$K:$P,CODE!$O$1,FALSE)="",$M572,$M572&amp;"-"&amp;VLOOKUP($N572,CODE!$K:$P,CODE!$O$1,FALSE)))=TRUE,"",IF(VLOOKUP($N572,CODE!$K:$P,CODE!$O$1,FALSE)="",$M572,$M572&amp;"-"&amp;VLOOKUP($N572,CODE!$K:$P,CODE!$O$1,FALSE)))</f>
        <v>ELS</v>
      </c>
      <c r="P572" s="29" t="str">
        <f t="shared" si="115"/>
        <v>성인</v>
      </c>
      <c r="Q572" s="29" t="str">
        <f t="shared" si="123"/>
        <v>ELSSNF5029</v>
      </c>
      <c r="R572" s="1" t="s">
        <v>1343</v>
      </c>
      <c r="S572" s="1" t="s">
        <v>14</v>
      </c>
      <c r="T572" s="26">
        <v>1200</v>
      </c>
      <c r="U572" s="26">
        <v>58800000</v>
      </c>
      <c r="V572" s="26">
        <v>7473156.0000000019</v>
      </c>
      <c r="W572" s="26">
        <v>7.152874294949207</v>
      </c>
      <c r="X572" s="26">
        <v>1148</v>
      </c>
      <c r="Y572" s="26">
        <v>0</v>
      </c>
    </row>
    <row r="573" spans="1:25">
      <c r="A573" s="24" t="str">
        <f t="shared" si="108"/>
        <v>신규</v>
      </c>
      <c r="B573" s="81" t="s">
        <v>809</v>
      </c>
      <c r="C573" s="24" t="str">
        <f t="shared" si="117"/>
        <v>ELSSNF5030</v>
      </c>
      <c r="D573" s="24">
        <f t="shared" si="104"/>
        <v>1</v>
      </c>
      <c r="E573" s="24" t="str">
        <f t="shared" si="118"/>
        <v/>
      </c>
      <c r="F573" s="24">
        <f t="shared" si="105"/>
        <v>0</v>
      </c>
      <c r="G573" s="24" t="str">
        <f t="shared" si="119"/>
        <v>ELSSNF5030GY</v>
      </c>
      <c r="H573" s="24">
        <f t="shared" si="106"/>
        <v>1</v>
      </c>
      <c r="I573" s="24" t="str">
        <f t="shared" si="120"/>
        <v/>
      </c>
      <c r="J573" s="24">
        <f t="shared" si="107"/>
        <v>0</v>
      </c>
      <c r="K573" s="24" t="str">
        <f t="shared" si="121"/>
        <v>F5</v>
      </c>
      <c r="L573" s="24" t="str">
        <f>VLOOKUP(N573,CODE!K:P,CODE!$P$1,FALSE)</f>
        <v>모자</v>
      </c>
      <c r="M573" s="24" t="str">
        <f>VLOOKUP(MID(R573,1,3),CODE!$B:$G,CODE!D$1,FALSE)</f>
        <v>ELS</v>
      </c>
      <c r="N573" s="24" t="str">
        <f t="shared" si="122"/>
        <v>SN</v>
      </c>
      <c r="O573" s="29" t="str">
        <f>IF(ISERROR(IF(VLOOKUP($N573,CODE!$K:$P,CODE!$O$1,FALSE)="",$M573,$M573&amp;"-"&amp;VLOOKUP($N573,CODE!$K:$P,CODE!$O$1,FALSE)))=TRUE,"",IF(VLOOKUP($N573,CODE!$K:$P,CODE!$O$1,FALSE)="",$M573,$M573&amp;"-"&amp;VLOOKUP($N573,CODE!$K:$P,CODE!$O$1,FALSE)))</f>
        <v>ELS</v>
      </c>
      <c r="P573" s="29" t="str">
        <f t="shared" si="115"/>
        <v>성인</v>
      </c>
      <c r="Q573" s="29" t="str">
        <f t="shared" si="123"/>
        <v>ELSSNF5030</v>
      </c>
      <c r="R573" s="1" t="s">
        <v>1344</v>
      </c>
      <c r="S573" s="1" t="s">
        <v>14</v>
      </c>
      <c r="T573" s="26">
        <v>1200</v>
      </c>
      <c r="U573" s="26">
        <v>54000000</v>
      </c>
      <c r="V573" s="26">
        <v>7090896.0000000009</v>
      </c>
      <c r="W573" s="26">
        <v>6.9230897041656068</v>
      </c>
      <c r="X573" s="26">
        <v>1195</v>
      </c>
      <c r="Y573" s="26">
        <v>0</v>
      </c>
    </row>
    <row r="574" spans="1:25">
      <c r="A574" s="24" t="str">
        <f t="shared" si="108"/>
        <v>신규</v>
      </c>
      <c r="B574" s="81" t="s">
        <v>809</v>
      </c>
      <c r="C574" s="24" t="str">
        <f t="shared" si="117"/>
        <v>ELSBAF3531</v>
      </c>
      <c r="D574" s="24">
        <f t="shared" si="104"/>
        <v>1</v>
      </c>
      <c r="E574" s="24" t="str">
        <f t="shared" si="118"/>
        <v/>
      </c>
      <c r="F574" s="24">
        <f t="shared" si="105"/>
        <v>0</v>
      </c>
      <c r="G574" s="24" t="str">
        <f t="shared" si="119"/>
        <v>ELSBAF3531GY</v>
      </c>
      <c r="H574" s="24">
        <f t="shared" si="106"/>
        <v>1</v>
      </c>
      <c r="I574" s="24" t="str">
        <f t="shared" si="120"/>
        <v/>
      </c>
      <c r="J574" s="24">
        <f t="shared" si="107"/>
        <v>0</v>
      </c>
      <c r="K574" s="24" t="str">
        <f t="shared" si="121"/>
        <v>F3</v>
      </c>
      <c r="L574" s="24" t="str">
        <f>VLOOKUP(N574,CODE!K:P,CODE!$P$1,FALSE)</f>
        <v>모자</v>
      </c>
      <c r="M574" s="24" t="str">
        <f>VLOOKUP(MID(R574,1,3),CODE!$B:$G,CODE!D$1,FALSE)</f>
        <v>ELS</v>
      </c>
      <c r="N574" s="24" t="str">
        <f t="shared" si="122"/>
        <v>BA</v>
      </c>
      <c r="O574" s="29" t="str">
        <f>IF(ISERROR(IF(VLOOKUP($N574,CODE!$K:$P,CODE!$O$1,FALSE)="",$M574,$M574&amp;"-"&amp;VLOOKUP($N574,CODE!$K:$P,CODE!$O$1,FALSE)))=TRUE,"",IF(VLOOKUP($N574,CODE!$K:$P,CODE!$O$1,FALSE)="",$M574,$M574&amp;"-"&amp;VLOOKUP($N574,CODE!$K:$P,CODE!$O$1,FALSE)))</f>
        <v>ELS</v>
      </c>
      <c r="P574" s="29" t="str">
        <f t="shared" si="115"/>
        <v>키즈</v>
      </c>
      <c r="Q574" s="29" t="str">
        <f t="shared" si="123"/>
        <v>ELSBAF3531</v>
      </c>
      <c r="R574" s="1" t="s">
        <v>1345</v>
      </c>
      <c r="S574" s="1" t="s">
        <v>14</v>
      </c>
      <c r="T574" s="26">
        <v>1500</v>
      </c>
      <c r="U574" s="26">
        <v>73500000</v>
      </c>
      <c r="V574" s="26">
        <v>12914985</v>
      </c>
      <c r="W574" s="26">
        <v>5.1736941094536162</v>
      </c>
      <c r="X574" s="26">
        <v>1438</v>
      </c>
      <c r="Y574" s="26">
        <v>0</v>
      </c>
    </row>
    <row r="575" spans="1:25">
      <c r="A575" s="24" t="str">
        <f t="shared" si="108"/>
        <v>신규</v>
      </c>
      <c r="B575" s="81" t="s">
        <v>809</v>
      </c>
      <c r="C575" s="24" t="str">
        <f t="shared" si="117"/>
        <v>ELSERF5532</v>
      </c>
      <c r="D575" s="24">
        <f t="shared" si="104"/>
        <v>1</v>
      </c>
      <c r="E575" s="24" t="str">
        <f t="shared" si="118"/>
        <v/>
      </c>
      <c r="F575" s="24">
        <f t="shared" si="105"/>
        <v>0</v>
      </c>
      <c r="G575" s="24" t="str">
        <f t="shared" si="119"/>
        <v>ELSERF5532PK</v>
      </c>
      <c r="H575" s="24">
        <f t="shared" si="106"/>
        <v>1</v>
      </c>
      <c r="I575" s="24" t="str">
        <f t="shared" si="120"/>
        <v/>
      </c>
      <c r="J575" s="24">
        <f t="shared" si="107"/>
        <v>0</v>
      </c>
      <c r="K575" s="24" t="str">
        <f t="shared" si="121"/>
        <v>F5</v>
      </c>
      <c r="L575" s="24" t="str">
        <f>VLOOKUP(N575,CODE!K:P,CODE!$P$1,FALSE)</f>
        <v>모자</v>
      </c>
      <c r="M575" s="24" t="str">
        <f>VLOOKUP(MID(R575,1,3),CODE!$B:$G,CODE!D$1,FALSE)</f>
        <v>ELS</v>
      </c>
      <c r="N575" s="24" t="str">
        <f t="shared" si="122"/>
        <v>ER</v>
      </c>
      <c r="O575" s="29" t="str">
        <f>IF(ISERROR(IF(VLOOKUP($N575,CODE!$K:$P,CODE!$O$1,FALSE)="",$M575,$M575&amp;"-"&amp;VLOOKUP($N575,CODE!$K:$P,CODE!$O$1,FALSE)))=TRUE,"",IF(VLOOKUP($N575,CODE!$K:$P,CODE!$O$1,FALSE)="",$M575,$M575&amp;"-"&amp;VLOOKUP($N575,CODE!$K:$P,CODE!$O$1,FALSE)))</f>
        <v>ELS</v>
      </c>
      <c r="P575" s="29" t="str">
        <f t="shared" si="115"/>
        <v>키즈</v>
      </c>
      <c r="Q575" s="29" t="str">
        <f t="shared" si="123"/>
        <v>ELSERF5532</v>
      </c>
      <c r="R575" s="1" t="s">
        <v>1346</v>
      </c>
      <c r="S575" s="1" t="s">
        <v>14</v>
      </c>
      <c r="T575" s="26">
        <v>1200</v>
      </c>
      <c r="U575" s="26">
        <v>66000000</v>
      </c>
      <c r="V575" s="26">
        <v>10878336.000000002</v>
      </c>
      <c r="W575" s="26">
        <v>5.5155494369727123</v>
      </c>
      <c r="X575" s="26">
        <v>1195</v>
      </c>
      <c r="Y575" s="26">
        <v>0</v>
      </c>
    </row>
    <row r="576" spans="1:25">
      <c r="A576" s="24" t="str">
        <f t="shared" si="108"/>
        <v>러닝</v>
      </c>
      <c r="B576" s="81" t="s">
        <v>809</v>
      </c>
      <c r="C576" s="24" t="str">
        <f t="shared" si="117"/>
        <v>POLFIF3901</v>
      </c>
      <c r="D576" s="24">
        <f t="shared" si="104"/>
        <v>1</v>
      </c>
      <c r="E576" s="24" t="str">
        <f t="shared" si="118"/>
        <v/>
      </c>
      <c r="F576" s="24">
        <f t="shared" si="105"/>
        <v>0</v>
      </c>
      <c r="G576" s="24" t="str">
        <f t="shared" si="119"/>
        <v>POLFIF3901BL</v>
      </c>
      <c r="H576" s="24">
        <f t="shared" si="106"/>
        <v>1</v>
      </c>
      <c r="I576" s="24" t="str">
        <f t="shared" si="120"/>
        <v/>
      </c>
      <c r="J576" s="24">
        <f t="shared" si="107"/>
        <v>0</v>
      </c>
      <c r="K576" s="24" t="str">
        <f t="shared" si="121"/>
        <v>F3</v>
      </c>
      <c r="L576" s="24" t="str">
        <f>VLOOKUP(N576,CODE!K:P,CODE!$P$1,FALSE)</f>
        <v>모자</v>
      </c>
      <c r="M576" s="24" t="str">
        <f>VLOOKUP(MID(R576,1,3),CODE!$B:$G,CODE!D$1,FALSE)</f>
        <v>POL</v>
      </c>
      <c r="N576" s="24" t="str">
        <f t="shared" si="122"/>
        <v>FI</v>
      </c>
      <c r="O576" s="29" t="str">
        <f>IF(ISERROR(IF(VLOOKUP($N576,CODE!$K:$P,CODE!$O$1,FALSE)="",$M576,$M576&amp;"-"&amp;VLOOKUP($N576,CODE!$K:$P,CODE!$O$1,FALSE)))=TRUE,"",IF(VLOOKUP($N576,CODE!$K:$P,CODE!$O$1,FALSE)="",$M576,$M576&amp;"-"&amp;VLOOKUP($N576,CODE!$K:$P,CODE!$O$1,FALSE)))</f>
        <v>POL</v>
      </c>
      <c r="P576" s="29" t="str">
        <f t="shared" si="115"/>
        <v>키즈</v>
      </c>
      <c r="Q576" s="29" t="str">
        <f t="shared" si="123"/>
        <v>POLFIF3901</v>
      </c>
      <c r="R576" s="1" t="s">
        <v>1347</v>
      </c>
      <c r="S576" s="1" t="s">
        <v>14</v>
      </c>
      <c r="T576" s="26">
        <v>3700</v>
      </c>
      <c r="U576" s="26">
        <v>181300000</v>
      </c>
      <c r="V576" s="26">
        <v>37695600</v>
      </c>
      <c r="W576" s="26">
        <v>4.3723453617446548</v>
      </c>
      <c r="X576" s="26">
        <v>3672</v>
      </c>
      <c r="Y576" s="26">
        <v>0</v>
      </c>
    </row>
    <row r="577" spans="1:25">
      <c r="A577" s="24" t="str">
        <f t="shared" si="108"/>
        <v>러닝</v>
      </c>
      <c r="B577" s="81" t="s">
        <v>809</v>
      </c>
      <c r="C577" s="24" t="str">
        <f t="shared" si="117"/>
        <v>POLFIF3902</v>
      </c>
      <c r="D577" s="24">
        <f t="shared" si="104"/>
        <v>1</v>
      </c>
      <c r="E577" s="24" t="str">
        <f t="shared" si="118"/>
        <v/>
      </c>
      <c r="F577" s="24">
        <f t="shared" si="105"/>
        <v>0</v>
      </c>
      <c r="G577" s="24" t="str">
        <f t="shared" si="119"/>
        <v>POLFIF3902RE</v>
      </c>
      <c r="H577" s="24">
        <f t="shared" si="106"/>
        <v>1</v>
      </c>
      <c r="I577" s="24" t="str">
        <f t="shared" si="120"/>
        <v/>
      </c>
      <c r="J577" s="24">
        <f t="shared" si="107"/>
        <v>0</v>
      </c>
      <c r="K577" s="24" t="str">
        <f t="shared" si="121"/>
        <v>F3</v>
      </c>
      <c r="L577" s="24" t="str">
        <f>VLOOKUP(N577,CODE!K:P,CODE!$P$1,FALSE)</f>
        <v>모자</v>
      </c>
      <c r="M577" s="24" t="str">
        <f>VLOOKUP(MID(R577,1,3),CODE!$B:$G,CODE!D$1,FALSE)</f>
        <v>POL</v>
      </c>
      <c r="N577" s="24" t="str">
        <f t="shared" si="122"/>
        <v>FI</v>
      </c>
      <c r="O577" s="29" t="str">
        <f>IF(ISERROR(IF(VLOOKUP($N577,CODE!$K:$P,CODE!$O$1,FALSE)="",$M577,$M577&amp;"-"&amp;VLOOKUP($N577,CODE!$K:$P,CODE!$O$1,FALSE)))=TRUE,"",IF(VLOOKUP($N577,CODE!$K:$P,CODE!$O$1,FALSE)="",$M577,$M577&amp;"-"&amp;VLOOKUP($N577,CODE!$K:$P,CODE!$O$1,FALSE)))</f>
        <v>POL</v>
      </c>
      <c r="P577" s="29" t="str">
        <f t="shared" si="115"/>
        <v>키즈</v>
      </c>
      <c r="Q577" s="29" t="str">
        <f t="shared" si="123"/>
        <v>POLFIF3902</v>
      </c>
      <c r="R577" s="1" t="s">
        <v>1348</v>
      </c>
      <c r="S577" s="1" t="s">
        <v>14</v>
      </c>
      <c r="T577" s="26">
        <v>1500</v>
      </c>
      <c r="U577" s="26">
        <v>73500000</v>
      </c>
      <c r="V577" s="26">
        <v>13632000</v>
      </c>
      <c r="W577" s="26">
        <v>4.9015685019206137</v>
      </c>
      <c r="X577" s="26">
        <v>1500</v>
      </c>
      <c r="Y577" s="26">
        <v>0</v>
      </c>
    </row>
    <row r="578" spans="1:25">
      <c r="A578" s="24" t="str">
        <f t="shared" si="108"/>
        <v>러닝</v>
      </c>
      <c r="B578" s="81" t="s">
        <v>812</v>
      </c>
      <c r="C578" s="24" t="str">
        <f t="shared" si="117"/>
        <v>POLFIF3903</v>
      </c>
      <c r="D578" s="24">
        <f t="shared" ref="D578:D641" si="124">IF(C578="",0,1/COUNTIF(C:C,C578))</f>
        <v>1</v>
      </c>
      <c r="E578" s="24" t="str">
        <f t="shared" si="118"/>
        <v/>
      </c>
      <c r="F578" s="24">
        <f t="shared" ref="F578:F641" si="125">IF(E578="",0,1/COUNTIF(E:E,E578))</f>
        <v>0</v>
      </c>
      <c r="G578" s="24" t="str">
        <f t="shared" si="119"/>
        <v>POLFIF3903PK</v>
      </c>
      <c r="H578" s="24">
        <f t="shared" ref="H578:H641" si="126">IF(G578="",0,1/COUNTIF(G:G,G578))</f>
        <v>1</v>
      </c>
      <c r="I578" s="24" t="str">
        <f t="shared" si="120"/>
        <v/>
      </c>
      <c r="J578" s="24">
        <f t="shared" ref="J578:J641" si="127">IF(I578="",0,1/COUNTIF(I:I,I578))</f>
        <v>0</v>
      </c>
      <c r="K578" s="24" t="str">
        <f t="shared" si="121"/>
        <v>F3</v>
      </c>
      <c r="L578" s="24" t="str">
        <f>VLOOKUP(N578,CODE!K:P,CODE!$P$1,FALSE)</f>
        <v>모자</v>
      </c>
      <c r="M578" s="24" t="str">
        <f>VLOOKUP(MID(R578,1,3),CODE!$B:$G,CODE!D$1,FALSE)</f>
        <v>POL</v>
      </c>
      <c r="N578" s="24" t="str">
        <f t="shared" si="122"/>
        <v>FI</v>
      </c>
      <c r="O578" s="29" t="str">
        <f>IF(ISERROR(IF(VLOOKUP($N578,CODE!$K:$P,CODE!$O$1,FALSE)="",$M578,$M578&amp;"-"&amp;VLOOKUP($N578,CODE!$K:$P,CODE!$O$1,FALSE)))=TRUE,"",IF(VLOOKUP($N578,CODE!$K:$P,CODE!$O$1,FALSE)="",$M578,$M578&amp;"-"&amp;VLOOKUP($N578,CODE!$K:$P,CODE!$O$1,FALSE)))</f>
        <v>POL</v>
      </c>
      <c r="P578" s="29" t="str">
        <f t="shared" si="115"/>
        <v>키즈</v>
      </c>
      <c r="Q578" s="29" t="str">
        <f t="shared" si="123"/>
        <v>POLFIF3903</v>
      </c>
      <c r="R578" s="1" t="s">
        <v>1349</v>
      </c>
      <c r="S578" s="1" t="s">
        <v>14</v>
      </c>
      <c r="T578" s="26">
        <v>2500</v>
      </c>
      <c r="U578" s="26">
        <v>122500000</v>
      </c>
      <c r="V578" s="26">
        <v>25470000</v>
      </c>
      <c r="W578" s="26">
        <v>4.3723453617446548</v>
      </c>
      <c r="X578" s="26">
        <v>2495</v>
      </c>
      <c r="Y578" s="26">
        <v>0</v>
      </c>
    </row>
    <row r="579" spans="1:25">
      <c r="A579" s="24" t="str">
        <f t="shared" ref="A579:A597" si="128">IF(OR(MID(R579,8,1)="0",MID(R579,8,1)="5"),"신규","러닝")</f>
        <v>러닝</v>
      </c>
      <c r="B579" s="81" t="s">
        <v>812</v>
      </c>
      <c r="C579" s="24" t="str">
        <f t="shared" si="117"/>
        <v>POLFIF3904</v>
      </c>
      <c r="D579" s="24">
        <f t="shared" si="124"/>
        <v>1</v>
      </c>
      <c r="E579" s="24" t="str">
        <f t="shared" si="118"/>
        <v/>
      </c>
      <c r="F579" s="24">
        <f t="shared" si="125"/>
        <v>0</v>
      </c>
      <c r="G579" s="24" t="str">
        <f t="shared" si="119"/>
        <v>POLFIF3904GR</v>
      </c>
      <c r="H579" s="24">
        <f t="shared" si="126"/>
        <v>1</v>
      </c>
      <c r="I579" s="24" t="str">
        <f t="shared" si="120"/>
        <v/>
      </c>
      <c r="J579" s="24">
        <f t="shared" si="127"/>
        <v>0</v>
      </c>
      <c r="K579" s="24" t="str">
        <f t="shared" si="121"/>
        <v>F3</v>
      </c>
      <c r="L579" s="24" t="str">
        <f>VLOOKUP(N579,CODE!K:P,CODE!$P$1,FALSE)</f>
        <v>모자</v>
      </c>
      <c r="M579" s="24" t="str">
        <f>VLOOKUP(MID(R579,1,3),CODE!$B:$G,CODE!D$1,FALSE)</f>
        <v>POL</v>
      </c>
      <c r="N579" s="24" t="str">
        <f t="shared" si="122"/>
        <v>FI</v>
      </c>
      <c r="O579" s="29" t="str">
        <f>IF(ISERROR(IF(VLOOKUP($N579,CODE!$K:$P,CODE!$O$1,FALSE)="",$M579,$M579&amp;"-"&amp;VLOOKUP($N579,CODE!$K:$P,CODE!$O$1,FALSE)))=TRUE,"",IF(VLOOKUP($N579,CODE!$K:$P,CODE!$O$1,FALSE)="",$M579,$M579&amp;"-"&amp;VLOOKUP($N579,CODE!$K:$P,CODE!$O$1,FALSE)))</f>
        <v>POL</v>
      </c>
      <c r="P579" s="29" t="str">
        <f t="shared" ref="P579:P642" si="129">IF(OR(MID(R579,8,1)="0",MID(R579,8,1)="1",MID(R579,8,1)="2",MID(R579,8,1)="3",MID(R579,8,1)="4"),"성인","키즈")</f>
        <v>키즈</v>
      </c>
      <c r="Q579" s="29" t="str">
        <f t="shared" si="123"/>
        <v>POLFIF3904</v>
      </c>
      <c r="R579" s="1" t="s">
        <v>1350</v>
      </c>
      <c r="S579" s="1" t="s">
        <v>14</v>
      </c>
      <c r="T579" s="26">
        <v>1500</v>
      </c>
      <c r="U579" s="26">
        <v>73500000</v>
      </c>
      <c r="V579" s="26">
        <v>16332000</v>
      </c>
      <c r="W579" s="26">
        <v>4.0912430699352083</v>
      </c>
      <c r="X579" s="26">
        <v>1500</v>
      </c>
      <c r="Y579" s="26">
        <v>0</v>
      </c>
    </row>
    <row r="580" spans="1:25">
      <c r="A580" s="24" t="str">
        <f t="shared" si="128"/>
        <v>신규</v>
      </c>
      <c r="B580" s="24" t="str">
        <f>IF(COUNTIF(R$1:R579,R580)=0,"최초","리오더")</f>
        <v>리오더</v>
      </c>
      <c r="C580" s="24" t="str">
        <f t="shared" si="117"/>
        <v/>
      </c>
      <c r="D580" s="24">
        <f t="shared" si="124"/>
        <v>0</v>
      </c>
      <c r="E580" s="24" t="str">
        <f t="shared" si="118"/>
        <v>DPSSNF3501</v>
      </c>
      <c r="F580" s="24">
        <f t="shared" si="125"/>
        <v>1</v>
      </c>
      <c r="G580" s="24" t="str">
        <f t="shared" si="119"/>
        <v/>
      </c>
      <c r="H580" s="24">
        <f t="shared" si="126"/>
        <v>0</v>
      </c>
      <c r="I580" s="24" t="str">
        <f t="shared" si="120"/>
        <v>DPSSNF3501PK</v>
      </c>
      <c r="J580" s="24">
        <f t="shared" si="127"/>
        <v>1</v>
      </c>
      <c r="K580" s="24" t="str">
        <f t="shared" si="121"/>
        <v>F3</v>
      </c>
      <c r="L580" s="24" t="str">
        <f>VLOOKUP(N580,CODE!K:P,CODE!$P$1,FALSE)</f>
        <v>모자</v>
      </c>
      <c r="M580" s="24" t="str">
        <f>VLOOKUP(MID(R580,1,3),CODE!$B:$G,CODE!D$1,FALSE)</f>
        <v>DPS</v>
      </c>
      <c r="N580" s="24" t="str">
        <f t="shared" si="122"/>
        <v>SN</v>
      </c>
      <c r="O580" s="29" t="str">
        <f>IF(ISERROR(IF(VLOOKUP($N580,CODE!$K:$P,CODE!$O$1,FALSE)="",$M580,$M580&amp;"-"&amp;VLOOKUP($N580,CODE!$K:$P,CODE!$O$1,FALSE)))=TRUE,"",IF(VLOOKUP($N580,CODE!$K:$P,CODE!$O$1,FALSE)="",$M580,$M580&amp;"-"&amp;VLOOKUP($N580,CODE!$K:$P,CODE!$O$1,FALSE)))</f>
        <v>DPS</v>
      </c>
      <c r="P580" s="29" t="str">
        <f t="shared" si="129"/>
        <v>키즈</v>
      </c>
      <c r="Q580" s="29" t="str">
        <f t="shared" si="123"/>
        <v>DPSSNF3501</v>
      </c>
      <c r="R580" s="1" t="s">
        <v>945</v>
      </c>
      <c r="S580" s="1" t="s">
        <v>14</v>
      </c>
      <c r="T580" s="26">
        <v>2000</v>
      </c>
      <c r="U580" s="26">
        <v>90000000</v>
      </c>
      <c r="V580" s="26">
        <v>23440000</v>
      </c>
      <c r="W580" s="26">
        <v>3.4905367669872782</v>
      </c>
      <c r="X580" s="26">
        <v>2050</v>
      </c>
      <c r="Y580" s="26">
        <v>0</v>
      </c>
    </row>
    <row r="581" spans="1:25">
      <c r="A581" s="24" t="str">
        <f t="shared" si="128"/>
        <v>러닝</v>
      </c>
      <c r="B581" s="24" t="str">
        <f>IF(COUNTIF(R$1:R580,R581)=0,"최초","리오더")</f>
        <v>최초</v>
      </c>
      <c r="C581" s="24" t="str">
        <f t="shared" si="117"/>
        <v>SMBFIF3426</v>
      </c>
      <c r="D581" s="24">
        <f t="shared" si="124"/>
        <v>1</v>
      </c>
      <c r="E581" s="24" t="str">
        <f t="shared" si="118"/>
        <v/>
      </c>
      <c r="F581" s="24">
        <f t="shared" si="125"/>
        <v>0</v>
      </c>
      <c r="G581" s="24" t="str">
        <f t="shared" si="119"/>
        <v>SMBFIF3426BK</v>
      </c>
      <c r="H581" s="24">
        <f t="shared" si="126"/>
        <v>1</v>
      </c>
      <c r="I581" s="24" t="str">
        <f t="shared" si="120"/>
        <v/>
      </c>
      <c r="J581" s="24">
        <f t="shared" si="127"/>
        <v>0</v>
      </c>
      <c r="K581" s="24" t="str">
        <f t="shared" si="121"/>
        <v>F3</v>
      </c>
      <c r="L581" s="24" t="str">
        <f>VLOOKUP(N581,CODE!K:P,CODE!$P$1,FALSE)</f>
        <v>모자</v>
      </c>
      <c r="M581" s="24" t="str">
        <f>VLOOKUP(MID(R581,1,3),CODE!$B:$G,CODE!D$1,FALSE)</f>
        <v>SMB</v>
      </c>
      <c r="N581" s="24" t="str">
        <f t="shared" si="122"/>
        <v>FI</v>
      </c>
      <c r="O581" s="29" t="str">
        <f>IF(ISERROR(IF(VLOOKUP($N581,CODE!$K:$P,CODE!$O$1,FALSE)="",$M581,$M581&amp;"-"&amp;VLOOKUP($N581,CODE!$K:$P,CODE!$O$1,FALSE)))=TRUE,"",IF(VLOOKUP($N581,CODE!$K:$P,CODE!$O$1,FALSE)="",$M581,$M581&amp;"-"&amp;VLOOKUP($N581,CODE!$K:$P,CODE!$O$1,FALSE)))</f>
        <v>SMB</v>
      </c>
      <c r="P581" s="29" t="str">
        <f t="shared" si="129"/>
        <v>성인</v>
      </c>
      <c r="Q581" s="29" t="str">
        <f t="shared" si="123"/>
        <v>SMBFIF3426</v>
      </c>
      <c r="R581" s="1" t="s">
        <v>1351</v>
      </c>
      <c r="S581" s="1" t="s">
        <v>14</v>
      </c>
      <c r="T581" s="26">
        <v>2000</v>
      </c>
      <c r="U581" s="26">
        <v>78000000</v>
      </c>
      <c r="V581" s="26">
        <v>7050388.0000000009</v>
      </c>
      <c r="W581" s="26">
        <v>10.057473561609786</v>
      </c>
      <c r="X581" s="26">
        <v>1998</v>
      </c>
      <c r="Y581" s="26">
        <v>0</v>
      </c>
    </row>
    <row r="582" spans="1:25">
      <c r="A582" s="24" t="str">
        <f t="shared" si="128"/>
        <v>러닝</v>
      </c>
      <c r="B582" s="24" t="str">
        <f>IF(COUNTIF(R$1:R581,R582)=0,"최초","리오더")</f>
        <v>최초</v>
      </c>
      <c r="C582" s="24" t="str">
        <f t="shared" si="117"/>
        <v>URBFIF3409</v>
      </c>
      <c r="D582" s="24">
        <f t="shared" si="124"/>
        <v>1</v>
      </c>
      <c r="E582" s="24" t="str">
        <f t="shared" si="118"/>
        <v/>
      </c>
      <c r="F582" s="24">
        <f t="shared" si="125"/>
        <v>0</v>
      </c>
      <c r="G582" s="24" t="str">
        <f t="shared" si="119"/>
        <v>URBFIF3409BK</v>
      </c>
      <c r="H582" s="24">
        <f t="shared" si="126"/>
        <v>1</v>
      </c>
      <c r="I582" s="24" t="str">
        <f t="shared" si="120"/>
        <v/>
      </c>
      <c r="J582" s="24">
        <f t="shared" si="127"/>
        <v>0</v>
      </c>
      <c r="K582" s="24" t="str">
        <f t="shared" si="121"/>
        <v>F3</v>
      </c>
      <c r="L582" s="24" t="str">
        <f>VLOOKUP(N582,CODE!K:P,CODE!$P$1,FALSE)</f>
        <v>모자</v>
      </c>
      <c r="M582" s="24" t="str">
        <f>VLOOKUP(MID(R582,1,3),CODE!$B:$G,CODE!D$1,FALSE)</f>
        <v>URB</v>
      </c>
      <c r="N582" s="24" t="str">
        <f t="shared" si="122"/>
        <v>FI</v>
      </c>
      <c r="O582" s="29" t="str">
        <f>IF(ISERROR(IF(VLOOKUP($N582,CODE!$K:$P,CODE!$O$1,FALSE)="",$M582,$M582&amp;"-"&amp;VLOOKUP($N582,CODE!$K:$P,CODE!$O$1,FALSE)))=TRUE,"",IF(VLOOKUP($N582,CODE!$K:$P,CODE!$O$1,FALSE)="",$M582,$M582&amp;"-"&amp;VLOOKUP($N582,CODE!$K:$P,CODE!$O$1,FALSE)))</f>
        <v>URB</v>
      </c>
      <c r="P582" s="29" t="str">
        <f t="shared" si="129"/>
        <v>성인</v>
      </c>
      <c r="Q582" s="29" t="str">
        <f t="shared" si="123"/>
        <v>URBFIF3409</v>
      </c>
      <c r="R582" s="1" t="s">
        <v>1352</v>
      </c>
      <c r="S582" s="1" t="s">
        <v>14</v>
      </c>
      <c r="T582" s="26">
        <v>1500</v>
      </c>
      <c r="U582" s="26">
        <v>58500000</v>
      </c>
      <c r="V582" s="26">
        <v>6801143.9999999991</v>
      </c>
      <c r="W582" s="26">
        <v>7.8195400923459619</v>
      </c>
      <c r="X582" s="26">
        <v>1500</v>
      </c>
      <c r="Y582" s="26">
        <v>0</v>
      </c>
    </row>
    <row r="583" spans="1:25">
      <c r="A583" s="24" t="str">
        <f t="shared" si="128"/>
        <v>러닝</v>
      </c>
      <c r="B583" s="24" t="str">
        <f>IF(COUNTIF(R$1:R582,R583)=0,"최초","리오더")</f>
        <v>최초</v>
      </c>
      <c r="C583" s="24" t="str">
        <f t="shared" si="117"/>
        <v>VBLBAF3603</v>
      </c>
      <c r="D583" s="24">
        <f t="shared" si="124"/>
        <v>1</v>
      </c>
      <c r="E583" s="24" t="str">
        <f t="shared" si="118"/>
        <v/>
      </c>
      <c r="F583" s="24">
        <f t="shared" si="125"/>
        <v>0</v>
      </c>
      <c r="G583" s="24" t="str">
        <f t="shared" si="119"/>
        <v>VBLBAF3603RE</v>
      </c>
      <c r="H583" s="24">
        <f t="shared" si="126"/>
        <v>1</v>
      </c>
      <c r="I583" s="24" t="str">
        <f t="shared" si="120"/>
        <v/>
      </c>
      <c r="J583" s="24">
        <f t="shared" si="127"/>
        <v>0</v>
      </c>
      <c r="K583" s="24" t="str">
        <f t="shared" si="121"/>
        <v>F3</v>
      </c>
      <c r="L583" s="24" t="str">
        <f>VLOOKUP(N583,CODE!K:P,CODE!$P$1,FALSE)</f>
        <v>모자</v>
      </c>
      <c r="M583" s="24" t="str">
        <f>VLOOKUP(MID(R583,1,3),CODE!$B:$G,CODE!D$1,FALSE)</f>
        <v>VBL</v>
      </c>
      <c r="N583" s="24" t="str">
        <f t="shared" si="122"/>
        <v>BA</v>
      </c>
      <c r="O583" s="29" t="str">
        <f>IF(ISERROR(IF(VLOOKUP($N583,CODE!$K:$P,CODE!$O$1,FALSE)="",$M583,$M583&amp;"-"&amp;VLOOKUP($N583,CODE!$K:$P,CODE!$O$1,FALSE)))=TRUE,"",IF(VLOOKUP($N583,CODE!$K:$P,CODE!$O$1,FALSE)="",$M583,$M583&amp;"-"&amp;VLOOKUP($N583,CODE!$K:$P,CODE!$O$1,FALSE)))</f>
        <v>VBL</v>
      </c>
      <c r="P583" s="29" t="str">
        <f t="shared" si="129"/>
        <v>키즈</v>
      </c>
      <c r="Q583" s="29" t="str">
        <f t="shared" si="123"/>
        <v>VBLBAF3603</v>
      </c>
      <c r="R583" s="1" t="s">
        <v>1353</v>
      </c>
      <c r="S583" s="1" t="s">
        <v>14</v>
      </c>
      <c r="T583" s="26">
        <v>1600</v>
      </c>
      <c r="U583" s="26">
        <v>84800000</v>
      </c>
      <c r="V583" s="26">
        <v>6959488</v>
      </c>
      <c r="W583" s="26">
        <v>11.077094908549176</v>
      </c>
      <c r="X583" s="26">
        <v>1600</v>
      </c>
      <c r="Y583" s="26">
        <v>0</v>
      </c>
    </row>
    <row r="584" spans="1:25">
      <c r="A584" s="24" t="str">
        <f t="shared" si="128"/>
        <v>러닝</v>
      </c>
      <c r="B584" s="24" t="str">
        <f>IF(COUNTIF(R$1:R583,R584)=0,"최초","리오더")</f>
        <v>최초</v>
      </c>
      <c r="C584" s="24" t="str">
        <f t="shared" si="117"/>
        <v>HCUFIF3403</v>
      </c>
      <c r="D584" s="24">
        <f t="shared" si="124"/>
        <v>1</v>
      </c>
      <c r="E584" s="24" t="str">
        <f t="shared" si="118"/>
        <v/>
      </c>
      <c r="F584" s="24">
        <f t="shared" si="125"/>
        <v>0</v>
      </c>
      <c r="G584" s="24" t="str">
        <f t="shared" si="119"/>
        <v>HCUFIF3403BK</v>
      </c>
      <c r="H584" s="24">
        <f t="shared" si="126"/>
        <v>1</v>
      </c>
      <c r="I584" s="24" t="str">
        <f t="shared" si="120"/>
        <v/>
      </c>
      <c r="J584" s="24">
        <f t="shared" si="127"/>
        <v>0</v>
      </c>
      <c r="K584" s="24" t="str">
        <f t="shared" si="121"/>
        <v>F3</v>
      </c>
      <c r="L584" s="24" t="str">
        <f>VLOOKUP(N584,CODE!K:P,CODE!$P$1,FALSE)</f>
        <v>모자</v>
      </c>
      <c r="M584" s="24" t="str">
        <f>VLOOKUP(MID(R584,1,3),CODE!$B:$G,CODE!D$1,FALSE)</f>
        <v>HCU</v>
      </c>
      <c r="N584" s="24" t="str">
        <f t="shared" si="122"/>
        <v>FI</v>
      </c>
      <c r="O584" s="29" t="str">
        <f>IF(ISERROR(IF(VLOOKUP($N584,CODE!$K:$P,CODE!$O$1,FALSE)="",$M584,$M584&amp;"-"&amp;VLOOKUP($N584,CODE!$K:$P,CODE!$O$1,FALSE)))=TRUE,"",IF(VLOOKUP($N584,CODE!$K:$P,CODE!$O$1,FALSE)="",$M584,$M584&amp;"-"&amp;VLOOKUP($N584,CODE!$K:$P,CODE!$O$1,FALSE)))</f>
        <v>HCU</v>
      </c>
      <c r="P584" s="29" t="str">
        <f t="shared" si="129"/>
        <v>성인</v>
      </c>
      <c r="Q584" s="29" t="str">
        <f t="shared" si="123"/>
        <v>HCUFIF3403</v>
      </c>
      <c r="R584" s="1" t="s">
        <v>1354</v>
      </c>
      <c r="S584" s="1" t="s">
        <v>14</v>
      </c>
      <c r="T584" s="26">
        <v>1000</v>
      </c>
      <c r="U584" s="26">
        <v>43000000</v>
      </c>
      <c r="V584" s="26">
        <v>6600000</v>
      </c>
      <c r="W584" s="26">
        <v>5.9228650137741043</v>
      </c>
      <c r="X584" s="26">
        <v>1000</v>
      </c>
      <c r="Y584" s="26">
        <v>0</v>
      </c>
    </row>
    <row r="585" spans="1:25">
      <c r="A585" s="24" t="str">
        <f t="shared" si="128"/>
        <v>신규</v>
      </c>
      <c r="B585" s="24" t="str">
        <f>IF(COUNTIF(R$1:R584,R585)=0,"최초","리오더")</f>
        <v>최초</v>
      </c>
      <c r="C585" s="24" t="str">
        <f t="shared" si="117"/>
        <v>HCUMIF3010</v>
      </c>
      <c r="D585" s="24">
        <f t="shared" si="124"/>
        <v>0.5</v>
      </c>
      <c r="E585" s="24" t="str">
        <f t="shared" si="118"/>
        <v/>
      </c>
      <c r="F585" s="24">
        <f t="shared" si="125"/>
        <v>0</v>
      </c>
      <c r="G585" s="24" t="str">
        <f t="shared" si="119"/>
        <v>HCUMIF3010BK</v>
      </c>
      <c r="H585" s="24">
        <f t="shared" si="126"/>
        <v>1</v>
      </c>
      <c r="I585" s="24" t="str">
        <f t="shared" si="120"/>
        <v/>
      </c>
      <c r="J585" s="24">
        <f t="shared" si="127"/>
        <v>0</v>
      </c>
      <c r="K585" s="24" t="str">
        <f t="shared" si="121"/>
        <v>F3</v>
      </c>
      <c r="L585" s="24" t="str">
        <f>VLOOKUP(N585,CODE!K:P,CODE!$P$1,FALSE)</f>
        <v>모자</v>
      </c>
      <c r="M585" s="24" t="str">
        <f>VLOOKUP(MID(R585,1,3),CODE!$B:$G,CODE!D$1,FALSE)</f>
        <v>HCU</v>
      </c>
      <c r="N585" s="24" t="str">
        <f t="shared" si="122"/>
        <v>MI</v>
      </c>
      <c r="O585" s="29" t="str">
        <f>IF(ISERROR(IF(VLOOKUP($N585,CODE!$K:$P,CODE!$O$1,FALSE)="",$M585,$M585&amp;"-"&amp;VLOOKUP($N585,CODE!$K:$P,CODE!$O$1,FALSE)))=TRUE,"",IF(VLOOKUP($N585,CODE!$K:$P,CODE!$O$1,FALSE)="",$M585,$M585&amp;"-"&amp;VLOOKUP($N585,CODE!$K:$P,CODE!$O$1,FALSE)))</f>
        <v>HCU</v>
      </c>
      <c r="P585" s="29" t="str">
        <f t="shared" si="129"/>
        <v>성인</v>
      </c>
      <c r="Q585" s="29" t="str">
        <f t="shared" si="123"/>
        <v>HCUMIF3010</v>
      </c>
      <c r="R585" s="1" t="s">
        <v>1355</v>
      </c>
      <c r="S585" s="1" t="s">
        <v>14</v>
      </c>
      <c r="T585" s="26">
        <v>2000</v>
      </c>
      <c r="U585" s="26">
        <v>90000000</v>
      </c>
      <c r="V585" s="26">
        <v>11836760</v>
      </c>
      <c r="W585" s="26">
        <v>6.9122109274988937</v>
      </c>
      <c r="X585" s="26">
        <v>1998</v>
      </c>
      <c r="Y585" s="26">
        <v>0</v>
      </c>
    </row>
    <row r="586" spans="1:25">
      <c r="A586" s="24" t="str">
        <f t="shared" si="128"/>
        <v>신규</v>
      </c>
      <c r="B586" s="24" t="str">
        <f>IF(COUNTIF(R$1:R585,R586)=0,"최초","리오더")</f>
        <v>최초</v>
      </c>
      <c r="C586" s="24" t="str">
        <f t="shared" si="117"/>
        <v>HCUMIF3010</v>
      </c>
      <c r="D586" s="24">
        <f t="shared" si="124"/>
        <v>0.5</v>
      </c>
      <c r="E586" s="24" t="str">
        <f t="shared" si="118"/>
        <v/>
      </c>
      <c r="F586" s="24">
        <f t="shared" si="125"/>
        <v>0</v>
      </c>
      <c r="G586" s="24" t="str">
        <f t="shared" si="119"/>
        <v>HCUMIF3010KH</v>
      </c>
      <c r="H586" s="24">
        <f t="shared" si="126"/>
        <v>1</v>
      </c>
      <c r="I586" s="24" t="str">
        <f t="shared" si="120"/>
        <v/>
      </c>
      <c r="J586" s="24">
        <f t="shared" si="127"/>
        <v>0</v>
      </c>
      <c r="K586" s="24" t="str">
        <f t="shared" si="121"/>
        <v>F3</v>
      </c>
      <c r="L586" s="24" t="str">
        <f>VLOOKUP(N586,CODE!K:P,CODE!$P$1,FALSE)</f>
        <v>모자</v>
      </c>
      <c r="M586" s="24" t="str">
        <f>VLOOKUP(MID(R586,1,3),CODE!$B:$G,CODE!D$1,FALSE)</f>
        <v>HCU</v>
      </c>
      <c r="N586" s="24" t="str">
        <f t="shared" si="122"/>
        <v>MI</v>
      </c>
      <c r="O586" s="29" t="str">
        <f>IF(ISERROR(IF(VLOOKUP($N586,CODE!$K:$P,CODE!$O$1,FALSE)="",$M586,$M586&amp;"-"&amp;VLOOKUP($N586,CODE!$K:$P,CODE!$O$1,FALSE)))=TRUE,"",IF(VLOOKUP($N586,CODE!$K:$P,CODE!$O$1,FALSE)="",$M586,$M586&amp;"-"&amp;VLOOKUP($N586,CODE!$K:$P,CODE!$O$1,FALSE)))</f>
        <v>HCU</v>
      </c>
      <c r="P586" s="29" t="str">
        <f t="shared" si="129"/>
        <v>성인</v>
      </c>
      <c r="Q586" s="29" t="str">
        <f t="shared" si="123"/>
        <v>HCUMIF3010</v>
      </c>
      <c r="R586" s="1" t="s">
        <v>1356</v>
      </c>
      <c r="S586" s="1" t="s">
        <v>14</v>
      </c>
      <c r="T586" s="26">
        <v>800</v>
      </c>
      <c r="U586" s="26">
        <v>36000000</v>
      </c>
      <c r="V586" s="26">
        <v>4726704</v>
      </c>
      <c r="W586" s="26">
        <v>6.9239099227014691</v>
      </c>
      <c r="X586" s="26">
        <v>798</v>
      </c>
      <c r="Y586" s="26">
        <v>0</v>
      </c>
    </row>
    <row r="587" spans="1:25">
      <c r="A587" s="24" t="str">
        <f t="shared" si="128"/>
        <v>러닝</v>
      </c>
      <c r="B587" s="24" t="str">
        <f>IF(COUNTIF(R$1:R586,R587)=0,"최초","리오더")</f>
        <v>최초</v>
      </c>
      <c r="C587" s="24" t="str">
        <f t="shared" si="117"/>
        <v>PLAUMF3407</v>
      </c>
      <c r="D587" s="24">
        <f t="shared" si="124"/>
        <v>1</v>
      </c>
      <c r="E587" s="24" t="str">
        <f t="shared" si="118"/>
        <v/>
      </c>
      <c r="F587" s="24">
        <f t="shared" si="125"/>
        <v>0</v>
      </c>
      <c r="G587" s="24" t="str">
        <f t="shared" si="119"/>
        <v>PLAUMF3407BK</v>
      </c>
      <c r="H587" s="24">
        <f t="shared" si="126"/>
        <v>1</v>
      </c>
      <c r="I587" s="24" t="str">
        <f t="shared" si="120"/>
        <v/>
      </c>
      <c r="J587" s="24">
        <f t="shared" si="127"/>
        <v>0</v>
      </c>
      <c r="K587" s="24" t="str">
        <f t="shared" si="121"/>
        <v>F3</v>
      </c>
      <c r="L587" s="24" t="str">
        <f>VLOOKUP(N587,CODE!K:P,CODE!$P$1,FALSE)</f>
        <v>모자</v>
      </c>
      <c r="M587" s="24" t="str">
        <f>VLOOKUP(MID(R587,1,3),CODE!$B:$G,CODE!D$1,FALSE)</f>
        <v>PLA</v>
      </c>
      <c r="N587" s="24" t="str">
        <f t="shared" si="122"/>
        <v>UM</v>
      </c>
      <c r="O587" s="29" t="str">
        <f>IF(ISERROR(IF(VLOOKUP($N587,CODE!$K:$P,CODE!$O$1,FALSE)="",$M587,$M587&amp;"-"&amp;VLOOKUP($N587,CODE!$K:$P,CODE!$O$1,FALSE)))=TRUE,"",IF(VLOOKUP($N587,CODE!$K:$P,CODE!$O$1,FALSE)="",$M587,$M587&amp;"-"&amp;VLOOKUP($N587,CODE!$K:$P,CODE!$O$1,FALSE)))</f>
        <v>PLA</v>
      </c>
      <c r="P587" s="29" t="str">
        <f t="shared" si="129"/>
        <v>성인</v>
      </c>
      <c r="Q587" s="29" t="str">
        <f t="shared" si="123"/>
        <v>PLAUMF3407</v>
      </c>
      <c r="R587" s="1" t="s">
        <v>1357</v>
      </c>
      <c r="S587" s="1" t="s">
        <v>14</v>
      </c>
      <c r="T587" s="26">
        <v>1500</v>
      </c>
      <c r="U587" s="26">
        <v>88500000</v>
      </c>
      <c r="V587" s="26">
        <v>10384605</v>
      </c>
      <c r="W587" s="26">
        <v>7.7474824949572421</v>
      </c>
      <c r="X587" s="26">
        <v>1500</v>
      </c>
      <c r="Y587" s="26">
        <v>0</v>
      </c>
    </row>
    <row r="588" spans="1:25">
      <c r="A588" s="24" t="str">
        <f t="shared" si="128"/>
        <v>러닝</v>
      </c>
      <c r="B588" s="24" t="str">
        <f>IF(COUNTIF(R$1:R587,R588)=0,"최초","리오더")</f>
        <v>최초</v>
      </c>
      <c r="C588" s="24" t="str">
        <f t="shared" si="117"/>
        <v>PLABPF3404</v>
      </c>
      <c r="D588" s="24">
        <f t="shared" si="124"/>
        <v>1</v>
      </c>
      <c r="E588" s="24" t="str">
        <f t="shared" si="118"/>
        <v/>
      </c>
      <c r="F588" s="24">
        <f t="shared" si="125"/>
        <v>0</v>
      </c>
      <c r="G588" s="24" t="str">
        <f t="shared" si="119"/>
        <v>PLABPF3404BK</v>
      </c>
      <c r="H588" s="24">
        <f t="shared" si="126"/>
        <v>1</v>
      </c>
      <c r="I588" s="24" t="str">
        <f t="shared" si="120"/>
        <v/>
      </c>
      <c r="J588" s="24">
        <f t="shared" si="127"/>
        <v>0</v>
      </c>
      <c r="K588" s="24" t="str">
        <f t="shared" si="121"/>
        <v>F3</v>
      </c>
      <c r="L588" s="24" t="str">
        <f>VLOOKUP(N588,CODE!K:P,CODE!$P$1,FALSE)</f>
        <v>가방</v>
      </c>
      <c r="M588" s="24" t="str">
        <f>VLOOKUP(MID(R588,1,3),CODE!$B:$G,CODE!D$1,FALSE)</f>
        <v>PLA</v>
      </c>
      <c r="N588" s="24" t="str">
        <f t="shared" si="122"/>
        <v>BP</v>
      </c>
      <c r="O588" s="29" t="str">
        <f>IF(ISERROR(IF(VLOOKUP($N588,CODE!$K:$P,CODE!$O$1,FALSE)="",$M588,$M588&amp;"-"&amp;VLOOKUP($N588,CODE!$K:$P,CODE!$O$1,FALSE)))=TRUE,"",IF(VLOOKUP($N588,CODE!$K:$P,CODE!$O$1,FALSE)="",$M588,$M588&amp;"-"&amp;VLOOKUP($N588,CODE!$K:$P,CODE!$O$1,FALSE)))</f>
        <v>PLA-가방</v>
      </c>
      <c r="P588" s="29" t="str">
        <f t="shared" si="129"/>
        <v>성인</v>
      </c>
      <c r="Q588" s="29" t="str">
        <f t="shared" si="123"/>
        <v>PLABPF3404</v>
      </c>
      <c r="R588" s="1" t="s">
        <v>1358</v>
      </c>
      <c r="S588" s="1" t="s">
        <v>14</v>
      </c>
      <c r="T588" s="26">
        <v>800</v>
      </c>
      <c r="U588" s="26">
        <v>100000000</v>
      </c>
      <c r="V588" s="26">
        <v>22400000</v>
      </c>
      <c r="W588" s="26">
        <v>4.0584415584415581</v>
      </c>
      <c r="X588" s="26">
        <v>800</v>
      </c>
      <c r="Y588" s="26">
        <v>0</v>
      </c>
    </row>
    <row r="589" spans="1:25">
      <c r="A589" s="24" t="str">
        <f t="shared" si="128"/>
        <v>신규</v>
      </c>
      <c r="B589" s="24" t="str">
        <f>IF(COUNTIF(R$1:R588,R589)=0,"최초","리오더")</f>
        <v>최초</v>
      </c>
      <c r="C589" s="24" t="str">
        <f t="shared" si="117"/>
        <v>JOIBAF3509</v>
      </c>
      <c r="D589" s="24">
        <f t="shared" si="124"/>
        <v>1</v>
      </c>
      <c r="E589" s="24" t="str">
        <f t="shared" si="118"/>
        <v/>
      </c>
      <c r="F589" s="24">
        <f t="shared" si="125"/>
        <v>0</v>
      </c>
      <c r="G589" s="24" t="str">
        <f t="shared" si="119"/>
        <v>JOIBAF3509PK</v>
      </c>
      <c r="H589" s="24">
        <f t="shared" si="126"/>
        <v>1</v>
      </c>
      <c r="I589" s="24" t="str">
        <f t="shared" si="120"/>
        <v/>
      </c>
      <c r="J589" s="24">
        <f t="shared" si="127"/>
        <v>0</v>
      </c>
      <c r="K589" s="24" t="str">
        <f t="shared" si="121"/>
        <v>F3</v>
      </c>
      <c r="L589" s="24" t="str">
        <f>VLOOKUP(N589,CODE!K:P,CODE!$P$1,FALSE)</f>
        <v>모자</v>
      </c>
      <c r="M589" s="24" t="str">
        <f>VLOOKUP(MID(R589,1,3),CODE!$B:$G,CODE!D$1,FALSE)</f>
        <v>JOI</v>
      </c>
      <c r="N589" s="24" t="str">
        <f t="shared" si="122"/>
        <v>BA</v>
      </c>
      <c r="O589" s="29" t="str">
        <f>IF(ISERROR(IF(VLOOKUP($N589,CODE!$K:$P,CODE!$O$1,FALSE)="",$M589,$M589&amp;"-"&amp;VLOOKUP($N589,CODE!$K:$P,CODE!$O$1,FALSE)))=TRUE,"",IF(VLOOKUP($N589,CODE!$K:$P,CODE!$O$1,FALSE)="",$M589,$M589&amp;"-"&amp;VLOOKUP($N589,CODE!$K:$P,CODE!$O$1,FALSE)))</f>
        <v>JOI</v>
      </c>
      <c r="P589" s="29" t="str">
        <f t="shared" si="129"/>
        <v>키즈</v>
      </c>
      <c r="Q589" s="29" t="str">
        <f t="shared" si="123"/>
        <v>JOIBAF3509</v>
      </c>
      <c r="R589" s="1" t="s">
        <v>1426</v>
      </c>
      <c r="S589" s="1" t="s">
        <v>14</v>
      </c>
      <c r="T589" s="26">
        <v>1500</v>
      </c>
      <c r="U589" s="26">
        <v>73500000</v>
      </c>
      <c r="V589" s="26">
        <v>12012930.000000002</v>
      </c>
      <c r="W589" s="26">
        <v>5.5621885600084076</v>
      </c>
      <c r="X589" s="26">
        <v>1473</v>
      </c>
      <c r="Y589" s="26">
        <v>0</v>
      </c>
    </row>
    <row r="590" spans="1:25">
      <c r="A590" s="24" t="str">
        <f t="shared" si="128"/>
        <v>신규</v>
      </c>
      <c r="B590" s="24" t="str">
        <f>IF(COUNTIF(R$1:R589,R590)=0,"최초","리오더")</f>
        <v>최초</v>
      </c>
      <c r="C590" s="24" t="str">
        <f t="shared" si="117"/>
        <v>JOIBAF3510</v>
      </c>
      <c r="D590" s="24">
        <f t="shared" si="124"/>
        <v>1</v>
      </c>
      <c r="E590" s="24" t="str">
        <f t="shared" si="118"/>
        <v/>
      </c>
      <c r="F590" s="24">
        <f t="shared" si="125"/>
        <v>0</v>
      </c>
      <c r="G590" s="24" t="str">
        <f t="shared" si="119"/>
        <v>JOIBAF3510YE</v>
      </c>
      <c r="H590" s="24">
        <f t="shared" si="126"/>
        <v>1</v>
      </c>
      <c r="I590" s="24" t="str">
        <f t="shared" si="120"/>
        <v/>
      </c>
      <c r="J590" s="24">
        <f t="shared" si="127"/>
        <v>0</v>
      </c>
      <c r="K590" s="24" t="str">
        <f t="shared" si="121"/>
        <v>F3</v>
      </c>
      <c r="L590" s="24" t="str">
        <f>VLOOKUP(N590,CODE!K:P,CODE!$P$1,FALSE)</f>
        <v>모자</v>
      </c>
      <c r="M590" s="24" t="str">
        <f>VLOOKUP(MID(R590,1,3),CODE!$B:$G,CODE!D$1,FALSE)</f>
        <v>JOI</v>
      </c>
      <c r="N590" s="24" t="str">
        <f t="shared" si="122"/>
        <v>BA</v>
      </c>
      <c r="O590" s="29" t="str">
        <f>IF(ISERROR(IF(VLOOKUP($N590,CODE!$K:$P,CODE!$O$1,FALSE)="",$M590,$M590&amp;"-"&amp;VLOOKUP($N590,CODE!$K:$P,CODE!$O$1,FALSE)))=TRUE,"",IF(VLOOKUP($N590,CODE!$K:$P,CODE!$O$1,FALSE)="",$M590,$M590&amp;"-"&amp;VLOOKUP($N590,CODE!$K:$P,CODE!$O$1,FALSE)))</f>
        <v>JOI</v>
      </c>
      <c r="P590" s="29" t="str">
        <f t="shared" si="129"/>
        <v>키즈</v>
      </c>
      <c r="Q590" s="29" t="str">
        <f t="shared" si="123"/>
        <v>JOIBAF3510</v>
      </c>
      <c r="R590" s="1" t="s">
        <v>1427</v>
      </c>
      <c r="S590" s="1" t="s">
        <v>14</v>
      </c>
      <c r="T590" s="26">
        <v>1500</v>
      </c>
      <c r="U590" s="26">
        <v>73500000</v>
      </c>
      <c r="V590" s="26">
        <v>12605370</v>
      </c>
      <c r="W590" s="26">
        <v>5.3007711648433808</v>
      </c>
      <c r="X590" s="26">
        <v>1401</v>
      </c>
      <c r="Y590" s="26">
        <v>0</v>
      </c>
    </row>
    <row r="591" spans="1:25">
      <c r="A591" s="24" t="str">
        <f t="shared" si="128"/>
        <v>신규</v>
      </c>
      <c r="B591" s="24" t="str">
        <f>IF(COUNTIF(R$1:R590,R591)=0,"최초","리오더")</f>
        <v>최초</v>
      </c>
      <c r="C591" s="24" t="str">
        <f t="shared" si="117"/>
        <v>JOIBAF3511</v>
      </c>
      <c r="D591" s="24">
        <f t="shared" si="124"/>
        <v>1</v>
      </c>
      <c r="E591" s="24" t="str">
        <f t="shared" si="118"/>
        <v/>
      </c>
      <c r="F591" s="24">
        <f t="shared" si="125"/>
        <v>0</v>
      </c>
      <c r="G591" s="24" t="str">
        <f t="shared" si="119"/>
        <v>JOIBAF3511GY</v>
      </c>
      <c r="H591" s="24">
        <f t="shared" si="126"/>
        <v>1</v>
      </c>
      <c r="I591" s="24" t="str">
        <f t="shared" si="120"/>
        <v/>
      </c>
      <c r="J591" s="24">
        <f t="shared" si="127"/>
        <v>0</v>
      </c>
      <c r="K591" s="24" t="str">
        <f t="shared" si="121"/>
        <v>F3</v>
      </c>
      <c r="L591" s="24" t="str">
        <f>VLOOKUP(N591,CODE!K:P,CODE!$P$1,FALSE)</f>
        <v>모자</v>
      </c>
      <c r="M591" s="24" t="str">
        <f>VLOOKUP(MID(R591,1,3),CODE!$B:$G,CODE!D$1,FALSE)</f>
        <v>JOI</v>
      </c>
      <c r="N591" s="24" t="str">
        <f t="shared" si="122"/>
        <v>BA</v>
      </c>
      <c r="O591" s="29" t="str">
        <f>IF(ISERROR(IF(VLOOKUP($N591,CODE!$K:$P,CODE!$O$1,FALSE)="",$M591,$M591&amp;"-"&amp;VLOOKUP($N591,CODE!$K:$P,CODE!$O$1,FALSE)))=TRUE,"",IF(VLOOKUP($N591,CODE!$K:$P,CODE!$O$1,FALSE)="",$M591,$M591&amp;"-"&amp;VLOOKUP($N591,CODE!$K:$P,CODE!$O$1,FALSE)))</f>
        <v>JOI</v>
      </c>
      <c r="P591" s="29" t="str">
        <f t="shared" si="129"/>
        <v>키즈</v>
      </c>
      <c r="Q591" s="29" t="str">
        <f t="shared" si="123"/>
        <v>JOIBAF3511</v>
      </c>
      <c r="R591" s="1" t="s">
        <v>1428</v>
      </c>
      <c r="S591" s="1" t="s">
        <v>14</v>
      </c>
      <c r="T591" s="26">
        <v>1200</v>
      </c>
      <c r="U591" s="26">
        <v>58800000</v>
      </c>
      <c r="V591" s="26">
        <v>9111192</v>
      </c>
      <c r="W591" s="26">
        <v>5.8669102192715785</v>
      </c>
      <c r="X591" s="26">
        <v>1202</v>
      </c>
      <c r="Y591" s="26">
        <v>0</v>
      </c>
    </row>
    <row r="592" spans="1:25">
      <c r="A592" s="24" t="str">
        <f t="shared" si="128"/>
        <v>신규</v>
      </c>
      <c r="B592" s="24" t="str">
        <f>IF(COUNTIF(R$1:R591,R592)=0,"최초","리오더")</f>
        <v>최초</v>
      </c>
      <c r="C592" s="24" t="str">
        <f t="shared" si="117"/>
        <v>JOIBAF3512</v>
      </c>
      <c r="D592" s="24">
        <f t="shared" si="124"/>
        <v>1</v>
      </c>
      <c r="E592" s="24" t="str">
        <f t="shared" si="118"/>
        <v/>
      </c>
      <c r="F592" s="24">
        <f t="shared" si="125"/>
        <v>0</v>
      </c>
      <c r="G592" s="24" t="str">
        <f t="shared" si="119"/>
        <v>JOIBAF3512PP</v>
      </c>
      <c r="H592" s="24">
        <f t="shared" si="126"/>
        <v>1</v>
      </c>
      <c r="I592" s="24" t="str">
        <f t="shared" si="120"/>
        <v/>
      </c>
      <c r="J592" s="24">
        <f t="shared" si="127"/>
        <v>0</v>
      </c>
      <c r="K592" s="24" t="str">
        <f t="shared" si="121"/>
        <v>F3</v>
      </c>
      <c r="L592" s="24" t="str">
        <f>VLOOKUP(N592,CODE!K:P,CODE!$P$1,FALSE)</f>
        <v>모자</v>
      </c>
      <c r="M592" s="24" t="str">
        <f>VLOOKUP(MID(R592,1,3),CODE!$B:$G,CODE!D$1,FALSE)</f>
        <v>JOI</v>
      </c>
      <c r="N592" s="24" t="str">
        <f t="shared" si="122"/>
        <v>BA</v>
      </c>
      <c r="O592" s="29" t="str">
        <f>IF(ISERROR(IF(VLOOKUP($N592,CODE!$K:$P,CODE!$O$1,FALSE)="",$M592,$M592&amp;"-"&amp;VLOOKUP($N592,CODE!$K:$P,CODE!$O$1,FALSE)))=TRUE,"",IF(VLOOKUP($N592,CODE!$K:$P,CODE!$O$1,FALSE)="",$M592,$M592&amp;"-"&amp;VLOOKUP($N592,CODE!$K:$P,CODE!$O$1,FALSE)))</f>
        <v>JOI</v>
      </c>
      <c r="P592" s="29" t="str">
        <f t="shared" si="129"/>
        <v>키즈</v>
      </c>
      <c r="Q592" s="29" t="str">
        <f t="shared" si="123"/>
        <v>JOIBAF3512</v>
      </c>
      <c r="R592" s="1" t="s">
        <v>1429</v>
      </c>
      <c r="S592" s="1" t="s">
        <v>14</v>
      </c>
      <c r="T592" s="26">
        <v>1200</v>
      </c>
      <c r="U592" s="26">
        <v>58800000</v>
      </c>
      <c r="V592" s="26">
        <v>10227096</v>
      </c>
      <c r="W592" s="26">
        <v>5.2267569850273672</v>
      </c>
      <c r="X592" s="26">
        <v>1191</v>
      </c>
      <c r="Y592" s="26">
        <v>0</v>
      </c>
    </row>
    <row r="593" spans="1:25">
      <c r="A593" s="24" t="str">
        <f t="shared" si="128"/>
        <v>신규</v>
      </c>
      <c r="B593" s="24" t="str">
        <f>IF(COUNTIF(R$1:R592,R593)=0,"최초","리오더")</f>
        <v>최초</v>
      </c>
      <c r="C593" s="24" t="str">
        <f t="shared" si="117"/>
        <v>JOIBAF5513</v>
      </c>
      <c r="D593" s="24">
        <f t="shared" si="124"/>
        <v>1</v>
      </c>
      <c r="E593" s="24" t="str">
        <f t="shared" si="118"/>
        <v/>
      </c>
      <c r="F593" s="24">
        <f t="shared" si="125"/>
        <v>0</v>
      </c>
      <c r="G593" s="24" t="str">
        <f t="shared" si="119"/>
        <v>JOIBAF5513PK</v>
      </c>
      <c r="H593" s="24">
        <f t="shared" si="126"/>
        <v>1</v>
      </c>
      <c r="I593" s="24" t="str">
        <f t="shared" si="120"/>
        <v/>
      </c>
      <c r="J593" s="24">
        <f t="shared" si="127"/>
        <v>0</v>
      </c>
      <c r="K593" s="24" t="str">
        <f t="shared" si="121"/>
        <v>F5</v>
      </c>
      <c r="L593" s="24" t="str">
        <f>VLOOKUP(N593,CODE!K:P,CODE!$P$1,FALSE)</f>
        <v>모자</v>
      </c>
      <c r="M593" s="24" t="str">
        <f>VLOOKUP(MID(R593,1,3),CODE!$B:$G,CODE!D$1,FALSE)</f>
        <v>JOI</v>
      </c>
      <c r="N593" s="24" t="str">
        <f t="shared" si="122"/>
        <v>BA</v>
      </c>
      <c r="O593" s="29" t="str">
        <f>IF(ISERROR(IF(VLOOKUP($N593,CODE!$K:$P,CODE!$O$1,FALSE)="",$M593,$M593&amp;"-"&amp;VLOOKUP($N593,CODE!$K:$P,CODE!$O$1,FALSE)))=TRUE,"",IF(VLOOKUP($N593,CODE!$K:$P,CODE!$O$1,FALSE)="",$M593,$M593&amp;"-"&amp;VLOOKUP($N593,CODE!$K:$P,CODE!$O$1,FALSE)))</f>
        <v>JOI</v>
      </c>
      <c r="P593" s="29" t="str">
        <f t="shared" si="129"/>
        <v>키즈</v>
      </c>
      <c r="Q593" s="29" t="str">
        <f t="shared" si="123"/>
        <v>JOIBAF5513</v>
      </c>
      <c r="R593" s="1" t="s">
        <v>1430</v>
      </c>
      <c r="S593" s="1" t="s">
        <v>14</v>
      </c>
      <c r="T593" s="26">
        <v>1000</v>
      </c>
      <c r="U593" s="26">
        <v>55000000</v>
      </c>
      <c r="V593" s="26">
        <v>10685270.000000002</v>
      </c>
      <c r="W593" s="26">
        <v>4.6793389404292061</v>
      </c>
      <c r="X593" s="26">
        <v>1001</v>
      </c>
      <c r="Y593" s="26">
        <v>0</v>
      </c>
    </row>
    <row r="594" spans="1:25">
      <c r="A594" s="24" t="str">
        <f t="shared" si="128"/>
        <v>신규</v>
      </c>
      <c r="B594" s="24" t="str">
        <f>IF(COUNTIF(R$1:R593,R594)=0,"최초","리오더")</f>
        <v>최초</v>
      </c>
      <c r="C594" s="24" t="str">
        <f t="shared" si="117"/>
        <v>POLEBF5503</v>
      </c>
      <c r="D594" s="24">
        <f t="shared" si="124"/>
        <v>1</v>
      </c>
      <c r="E594" s="24" t="str">
        <f t="shared" si="118"/>
        <v/>
      </c>
      <c r="F594" s="24">
        <f t="shared" si="125"/>
        <v>0</v>
      </c>
      <c r="G594" s="24" t="str">
        <f t="shared" si="119"/>
        <v>POLEBF5503PK</v>
      </c>
      <c r="H594" s="24">
        <f t="shared" si="126"/>
        <v>1</v>
      </c>
      <c r="I594" s="24" t="str">
        <f t="shared" si="120"/>
        <v/>
      </c>
      <c r="J594" s="24">
        <f t="shared" si="127"/>
        <v>0</v>
      </c>
      <c r="K594" s="24" t="str">
        <f t="shared" si="121"/>
        <v>F5</v>
      </c>
      <c r="L594" s="24" t="str">
        <f>VLOOKUP(N594,CODE!K:P,CODE!$P$1,FALSE)</f>
        <v>모자</v>
      </c>
      <c r="M594" s="24" t="str">
        <f>VLOOKUP(MID(R594,1,3),CODE!$B:$G,CODE!D$1,FALSE)</f>
        <v>POL</v>
      </c>
      <c r="N594" s="24" t="str">
        <f t="shared" si="122"/>
        <v>EB</v>
      </c>
      <c r="O594" s="29" t="str">
        <f>IF(ISERROR(IF(VLOOKUP($N594,CODE!$K:$P,CODE!$O$1,FALSE)="",$M594,$M594&amp;"-"&amp;VLOOKUP($N594,CODE!$K:$P,CODE!$O$1,FALSE)))=TRUE,"",IF(VLOOKUP($N594,CODE!$K:$P,CODE!$O$1,FALSE)="",$M594,$M594&amp;"-"&amp;VLOOKUP($N594,CODE!$K:$P,CODE!$O$1,FALSE)))</f>
        <v>POL</v>
      </c>
      <c r="P594" s="29" t="str">
        <f t="shared" si="129"/>
        <v>키즈</v>
      </c>
      <c r="Q594" s="29" t="str">
        <f t="shared" si="123"/>
        <v>POLEBF5503</v>
      </c>
      <c r="R594" s="1" t="s">
        <v>1431</v>
      </c>
      <c r="S594" s="1" t="s">
        <v>14</v>
      </c>
      <c r="T594" s="26">
        <v>800</v>
      </c>
      <c r="U594" s="26">
        <v>44000000</v>
      </c>
      <c r="V594" s="26">
        <v>9895408.0000000037</v>
      </c>
      <c r="W594" s="26">
        <v>4.0422790045645396</v>
      </c>
      <c r="X594" s="26">
        <v>798</v>
      </c>
      <c r="Y594" s="26">
        <v>0</v>
      </c>
    </row>
    <row r="595" spans="1:25">
      <c r="A595" s="24" t="str">
        <f t="shared" si="128"/>
        <v>신규</v>
      </c>
      <c r="B595" s="24" t="str">
        <f>IF(COUNTIF(R$1:R594,R595)=0,"최초","리오더")</f>
        <v>최초</v>
      </c>
      <c r="C595" s="24" t="str">
        <f t="shared" si="117"/>
        <v>POLEBF5504</v>
      </c>
      <c r="D595" s="24">
        <f t="shared" si="124"/>
        <v>1</v>
      </c>
      <c r="E595" s="24" t="str">
        <f t="shared" si="118"/>
        <v/>
      </c>
      <c r="F595" s="24">
        <f t="shared" si="125"/>
        <v>0</v>
      </c>
      <c r="G595" s="24" t="str">
        <f t="shared" si="119"/>
        <v>POLEBF5504BL</v>
      </c>
      <c r="H595" s="24">
        <f t="shared" si="126"/>
        <v>1</v>
      </c>
      <c r="I595" s="24" t="str">
        <f t="shared" si="120"/>
        <v/>
      </c>
      <c r="J595" s="24">
        <f t="shared" si="127"/>
        <v>0</v>
      </c>
      <c r="K595" s="24" t="str">
        <f t="shared" si="121"/>
        <v>F5</v>
      </c>
      <c r="L595" s="24" t="str">
        <f>VLOOKUP(N595,CODE!K:P,CODE!$P$1,FALSE)</f>
        <v>모자</v>
      </c>
      <c r="M595" s="24" t="str">
        <f>VLOOKUP(MID(R595,1,3),CODE!$B:$G,CODE!D$1,FALSE)</f>
        <v>POL</v>
      </c>
      <c r="N595" s="24" t="str">
        <f t="shared" si="122"/>
        <v>EB</v>
      </c>
      <c r="O595" s="29" t="str">
        <f>IF(ISERROR(IF(VLOOKUP($N595,CODE!$K:$P,CODE!$O$1,FALSE)="",$M595,$M595&amp;"-"&amp;VLOOKUP($N595,CODE!$K:$P,CODE!$O$1,FALSE)))=TRUE,"",IF(VLOOKUP($N595,CODE!$K:$P,CODE!$O$1,FALSE)="",$M595,$M595&amp;"-"&amp;VLOOKUP($N595,CODE!$K:$P,CODE!$O$1,FALSE)))</f>
        <v>POL</v>
      </c>
      <c r="P595" s="29" t="str">
        <f t="shared" si="129"/>
        <v>키즈</v>
      </c>
      <c r="Q595" s="29" t="str">
        <f t="shared" si="123"/>
        <v>POLEBF5504</v>
      </c>
      <c r="R595" s="1" t="s">
        <v>1432</v>
      </c>
      <c r="S595" s="1" t="s">
        <v>14</v>
      </c>
      <c r="T595" s="26">
        <v>800</v>
      </c>
      <c r="U595" s="26">
        <v>44000000</v>
      </c>
      <c r="V595" s="26">
        <v>9895408.0000000037</v>
      </c>
      <c r="W595" s="26">
        <v>4.0422790045645396</v>
      </c>
      <c r="X595" s="26">
        <v>799</v>
      </c>
      <c r="Y595" s="26">
        <v>0</v>
      </c>
    </row>
    <row r="596" spans="1:25">
      <c r="A596" s="24" t="str">
        <f t="shared" si="128"/>
        <v>신규</v>
      </c>
      <c r="B596" s="24" t="str">
        <f>IF(COUNTIF(R$1:R595,R596)=0,"최초","리오더")</f>
        <v>최초</v>
      </c>
      <c r="C596" s="24" t="str">
        <f t="shared" si="117"/>
        <v>DPSEBF5508</v>
      </c>
      <c r="D596" s="24">
        <f t="shared" si="124"/>
        <v>1</v>
      </c>
      <c r="E596" s="24" t="str">
        <f t="shared" si="118"/>
        <v/>
      </c>
      <c r="F596" s="24">
        <f t="shared" si="125"/>
        <v>0</v>
      </c>
      <c r="G596" s="24" t="str">
        <f t="shared" si="119"/>
        <v>DPSEBF5508PK</v>
      </c>
      <c r="H596" s="24">
        <f t="shared" si="126"/>
        <v>1</v>
      </c>
      <c r="I596" s="24" t="str">
        <f t="shared" si="120"/>
        <v/>
      </c>
      <c r="J596" s="24">
        <f t="shared" si="127"/>
        <v>0</v>
      </c>
      <c r="K596" s="24" t="str">
        <f t="shared" si="121"/>
        <v>F5</v>
      </c>
      <c r="L596" s="24" t="str">
        <f>VLOOKUP(N596,CODE!K:P,CODE!$P$1,FALSE)</f>
        <v>모자</v>
      </c>
      <c r="M596" s="24" t="str">
        <f>VLOOKUP(MID(R596,1,3),CODE!$B:$G,CODE!D$1,FALSE)</f>
        <v>DPS</v>
      </c>
      <c r="N596" s="24" t="str">
        <f t="shared" si="122"/>
        <v>EB</v>
      </c>
      <c r="O596" s="29" t="str">
        <f>IF(ISERROR(IF(VLOOKUP($N596,CODE!$K:$P,CODE!$O$1,FALSE)="",$M596,$M596&amp;"-"&amp;VLOOKUP($N596,CODE!$K:$P,CODE!$O$1,FALSE)))=TRUE,"",IF(VLOOKUP($N596,CODE!$K:$P,CODE!$O$1,FALSE)="",$M596,$M596&amp;"-"&amp;VLOOKUP($N596,CODE!$K:$P,CODE!$O$1,FALSE)))</f>
        <v>DPS</v>
      </c>
      <c r="P596" s="29" t="str">
        <f t="shared" si="129"/>
        <v>키즈</v>
      </c>
      <c r="Q596" s="29" t="str">
        <f t="shared" si="123"/>
        <v>DPSEBF5508</v>
      </c>
      <c r="R596" s="1" t="s">
        <v>1433</v>
      </c>
      <c r="S596" s="1" t="s">
        <v>14</v>
      </c>
      <c r="T596" s="26">
        <v>800</v>
      </c>
      <c r="U596" s="26">
        <v>39200000</v>
      </c>
      <c r="V596" s="26">
        <v>5903728.0000000009</v>
      </c>
      <c r="W596" s="26">
        <v>6.0362475433088427</v>
      </c>
      <c r="X596" s="26">
        <v>798</v>
      </c>
      <c r="Y596" s="26">
        <v>0</v>
      </c>
    </row>
    <row r="597" spans="1:25">
      <c r="A597" s="24" t="str">
        <f t="shared" si="128"/>
        <v>신규</v>
      </c>
      <c r="B597" s="24" t="str">
        <f>IF(COUNTIF(R$1:R596,R597)=0,"최초","리오더")</f>
        <v>최초</v>
      </c>
      <c r="C597" s="24" t="str">
        <f t="shared" ref="C597" si="130">IF($B597="리오더","",Q597)</f>
        <v>SMBBEF5012</v>
      </c>
      <c r="D597" s="24">
        <f t="shared" si="124"/>
        <v>0.5</v>
      </c>
      <c r="E597" s="24" t="str">
        <f t="shared" ref="E597" si="131">IF($B597="리오더",Q597,"")</f>
        <v/>
      </c>
      <c r="F597" s="24">
        <f t="shared" si="125"/>
        <v>0</v>
      </c>
      <c r="G597" s="24" t="str">
        <f t="shared" ref="G597" si="132">IF($B597="리오더","",R597)</f>
        <v>SMBBEF5012BK</v>
      </c>
      <c r="H597" s="24">
        <f t="shared" si="126"/>
        <v>1</v>
      </c>
      <c r="I597" s="24" t="str">
        <f t="shared" ref="I597" si="133">IF($B597="리오더",R597,"")</f>
        <v/>
      </c>
      <c r="J597" s="24">
        <f t="shared" si="127"/>
        <v>0</v>
      </c>
      <c r="K597" s="24" t="str">
        <f t="shared" ref="K597" si="134">MID(R597,6,2)</f>
        <v>F5</v>
      </c>
      <c r="L597" s="24" t="str">
        <f>VLOOKUP(N597,CODE!K:P,CODE!$P$1,FALSE)</f>
        <v>모자</v>
      </c>
      <c r="M597" s="24" t="str">
        <f>VLOOKUP(MID(R597,1,3),CODE!$B:$G,CODE!D$1,FALSE)</f>
        <v>SMB</v>
      </c>
      <c r="N597" s="24" t="str">
        <f t="shared" ref="N597" si="135">MID(R597,4,2)</f>
        <v>BE</v>
      </c>
      <c r="O597" s="29" t="str">
        <f>IF(ISERROR(IF(VLOOKUP($N597,CODE!$K:$P,CODE!$O$1,FALSE)="",$M597,$M597&amp;"-"&amp;VLOOKUP($N597,CODE!$K:$P,CODE!$O$1,FALSE)))=TRUE,"",IF(VLOOKUP($N597,CODE!$K:$P,CODE!$O$1,FALSE)="",$M597,$M597&amp;"-"&amp;VLOOKUP($N597,CODE!$K:$P,CODE!$O$1,FALSE)))</f>
        <v>SMB</v>
      </c>
      <c r="P597" s="29" t="str">
        <f t="shared" si="129"/>
        <v>성인</v>
      </c>
      <c r="Q597" s="29" t="str">
        <f t="shared" ref="Q597" si="136">MID(R597,1,10)</f>
        <v>SMBBEF5012</v>
      </c>
      <c r="R597" s="1" t="s">
        <v>1434</v>
      </c>
      <c r="S597" s="1" t="s">
        <v>14</v>
      </c>
      <c r="T597" s="26">
        <v>500</v>
      </c>
      <c r="U597" s="26">
        <v>18500000</v>
      </c>
      <c r="V597" s="26">
        <v>2025892.0000000005</v>
      </c>
      <c r="W597" s="26">
        <v>8.3016181603865427</v>
      </c>
      <c r="X597" s="26">
        <v>500</v>
      </c>
      <c r="Y597" s="26">
        <v>0</v>
      </c>
    </row>
    <row r="598" spans="1:25">
      <c r="A598" s="24" t="str">
        <f t="shared" ref="A598:A649" si="137">IF(OR(MID(R598,8,1)="0",MID(R598,8,1)="5"),"신규","러닝")</f>
        <v>신규</v>
      </c>
      <c r="B598" s="24" t="str">
        <f>IF(COUNTIF(R$1:R597,R598)=0,"최초","리오더")</f>
        <v>최초</v>
      </c>
      <c r="C598" s="24" t="str">
        <f t="shared" ref="C598:C649" si="138">IF($B598="리오더","",Q598)</f>
        <v>SMBBEF5012</v>
      </c>
      <c r="D598" s="24">
        <f t="shared" si="124"/>
        <v>0.5</v>
      </c>
      <c r="E598" s="24" t="str">
        <f t="shared" ref="E598:E649" si="139">IF($B598="리오더",Q598,"")</f>
        <v/>
      </c>
      <c r="F598" s="24">
        <f t="shared" si="125"/>
        <v>0</v>
      </c>
      <c r="G598" s="24" t="str">
        <f t="shared" ref="G598:G649" si="140">IF($B598="리오더","",R598)</f>
        <v>SMBBEF5012RE</v>
      </c>
      <c r="H598" s="24">
        <f t="shared" si="126"/>
        <v>1</v>
      </c>
      <c r="I598" s="24" t="str">
        <f t="shared" ref="I598:I649" si="141">IF($B598="리오더",R598,"")</f>
        <v/>
      </c>
      <c r="J598" s="24">
        <f t="shared" si="127"/>
        <v>0</v>
      </c>
      <c r="K598" s="24" t="str">
        <f t="shared" ref="K598:K649" si="142">MID(R598,6,2)</f>
        <v>F5</v>
      </c>
      <c r="L598" s="24" t="str">
        <f>VLOOKUP(N598,CODE!K:P,CODE!$P$1,FALSE)</f>
        <v>모자</v>
      </c>
      <c r="M598" s="24" t="str">
        <f>VLOOKUP(MID(R598,1,3),CODE!$B:$G,CODE!D$1,FALSE)</f>
        <v>SMB</v>
      </c>
      <c r="N598" s="24" t="str">
        <f t="shared" ref="N598:N649" si="143">MID(R598,4,2)</f>
        <v>BE</v>
      </c>
      <c r="O598" s="29" t="str">
        <f>IF(ISERROR(IF(VLOOKUP($N598,CODE!$K:$P,CODE!$O$1,FALSE)="",$M598,$M598&amp;"-"&amp;VLOOKUP($N598,CODE!$K:$P,CODE!$O$1,FALSE)))=TRUE,"",IF(VLOOKUP($N598,CODE!$K:$P,CODE!$O$1,FALSE)="",$M598,$M598&amp;"-"&amp;VLOOKUP($N598,CODE!$K:$P,CODE!$O$1,FALSE)))</f>
        <v>SMB</v>
      </c>
      <c r="P598" s="29" t="str">
        <f t="shared" si="129"/>
        <v>성인</v>
      </c>
      <c r="Q598" s="29" t="str">
        <f t="shared" ref="Q598:Q649" si="144">MID(R598,1,10)</f>
        <v>SMBBEF5012</v>
      </c>
      <c r="R598" s="1" t="s">
        <v>1435</v>
      </c>
      <c r="S598" s="1" t="s">
        <v>14</v>
      </c>
      <c r="T598" s="26">
        <v>500</v>
      </c>
      <c r="U598" s="26">
        <v>18500000</v>
      </c>
      <c r="V598" s="26">
        <v>2025892.0000000005</v>
      </c>
      <c r="W598" s="26">
        <v>8.3016181603865427</v>
      </c>
      <c r="X598" s="26">
        <v>499</v>
      </c>
      <c r="Y598" s="26">
        <v>0</v>
      </c>
    </row>
    <row r="599" spans="1:25">
      <c r="A599" s="24" t="str">
        <f t="shared" si="137"/>
        <v>신규</v>
      </c>
      <c r="B599" s="24" t="str">
        <f>IF(COUNTIF(R$1:R598,R599)=0,"최초","리오더")</f>
        <v>최초</v>
      </c>
      <c r="C599" s="24" t="str">
        <f t="shared" si="138"/>
        <v>URBBPF3001</v>
      </c>
      <c r="D599" s="24">
        <f t="shared" si="124"/>
        <v>1</v>
      </c>
      <c r="E599" s="24" t="str">
        <f t="shared" si="139"/>
        <v/>
      </c>
      <c r="F599" s="24">
        <f t="shared" si="125"/>
        <v>0</v>
      </c>
      <c r="G599" s="24" t="str">
        <f t="shared" si="140"/>
        <v>URBBPF3001BK</v>
      </c>
      <c r="H599" s="24">
        <f t="shared" si="126"/>
        <v>1</v>
      </c>
      <c r="I599" s="24" t="str">
        <f t="shared" si="141"/>
        <v/>
      </c>
      <c r="J599" s="24">
        <f t="shared" si="127"/>
        <v>0</v>
      </c>
      <c r="K599" s="24" t="str">
        <f t="shared" si="142"/>
        <v>F3</v>
      </c>
      <c r="L599" s="24" t="str">
        <f>VLOOKUP(N599,CODE!K:P,CODE!$P$1,FALSE)</f>
        <v>가방</v>
      </c>
      <c r="M599" s="24" t="str">
        <f>VLOOKUP(MID(R599,1,3),CODE!$B:$G,CODE!D$1,FALSE)</f>
        <v>URB</v>
      </c>
      <c r="N599" s="24" t="str">
        <f t="shared" si="143"/>
        <v>BP</v>
      </c>
      <c r="O599" s="29" t="str">
        <f>IF(ISERROR(IF(VLOOKUP($N599,CODE!$K:$P,CODE!$O$1,FALSE)="",$M599,$M599&amp;"-"&amp;VLOOKUP($N599,CODE!$K:$P,CODE!$O$1,FALSE)))=TRUE,"",IF(VLOOKUP($N599,CODE!$K:$P,CODE!$O$1,FALSE)="",$M599,$M599&amp;"-"&amp;VLOOKUP($N599,CODE!$K:$P,CODE!$O$1,FALSE)))</f>
        <v>URB-가방</v>
      </c>
      <c r="P599" s="29" t="str">
        <f t="shared" si="129"/>
        <v>성인</v>
      </c>
      <c r="Q599" s="29" t="str">
        <f t="shared" si="144"/>
        <v>URBBPF3001</v>
      </c>
      <c r="R599" s="1" t="s">
        <v>1436</v>
      </c>
      <c r="S599" s="1" t="s">
        <v>14</v>
      </c>
      <c r="T599" s="26">
        <v>600</v>
      </c>
      <c r="U599" s="26">
        <v>94800000</v>
      </c>
      <c r="V599" s="26">
        <v>22512000</v>
      </c>
      <c r="W599" s="26">
        <v>3.8282612909478577</v>
      </c>
      <c r="X599" s="26">
        <v>600</v>
      </c>
      <c r="Y599" s="26">
        <v>0</v>
      </c>
    </row>
    <row r="600" spans="1:25">
      <c r="A600" s="24" t="str">
        <f t="shared" si="137"/>
        <v>신규</v>
      </c>
      <c r="B600" s="24" t="str">
        <f>IF(COUNTIF(R$1:R599,R600)=0,"최초","리오더")</f>
        <v>최초</v>
      </c>
      <c r="C600" s="24" t="str">
        <f t="shared" si="138"/>
        <v>URBBPF3002</v>
      </c>
      <c r="D600" s="24">
        <f t="shared" si="124"/>
        <v>1</v>
      </c>
      <c r="E600" s="24" t="str">
        <f t="shared" si="139"/>
        <v/>
      </c>
      <c r="F600" s="24">
        <f t="shared" si="125"/>
        <v>0</v>
      </c>
      <c r="G600" s="24" t="str">
        <f t="shared" si="140"/>
        <v>URBBPF3002BK</v>
      </c>
      <c r="H600" s="24">
        <f t="shared" si="126"/>
        <v>1</v>
      </c>
      <c r="I600" s="24" t="str">
        <f t="shared" si="141"/>
        <v/>
      </c>
      <c r="J600" s="24">
        <f t="shared" si="127"/>
        <v>0</v>
      </c>
      <c r="K600" s="24" t="str">
        <f t="shared" si="142"/>
        <v>F3</v>
      </c>
      <c r="L600" s="24" t="str">
        <f>VLOOKUP(N600,CODE!K:P,CODE!$P$1,FALSE)</f>
        <v>가방</v>
      </c>
      <c r="M600" s="24" t="str">
        <f>VLOOKUP(MID(R600,1,3),CODE!$B:$G,CODE!D$1,FALSE)</f>
        <v>URB</v>
      </c>
      <c r="N600" s="24" t="str">
        <f t="shared" si="143"/>
        <v>BP</v>
      </c>
      <c r="O600" s="29" t="str">
        <f>IF(ISERROR(IF(VLOOKUP($N600,CODE!$K:$P,CODE!$O$1,FALSE)="",$M600,$M600&amp;"-"&amp;VLOOKUP($N600,CODE!$K:$P,CODE!$O$1,FALSE)))=TRUE,"",IF(VLOOKUP($N600,CODE!$K:$P,CODE!$O$1,FALSE)="",$M600,$M600&amp;"-"&amp;VLOOKUP($N600,CODE!$K:$P,CODE!$O$1,FALSE)))</f>
        <v>URB-가방</v>
      </c>
      <c r="P600" s="29" t="str">
        <f t="shared" si="129"/>
        <v>성인</v>
      </c>
      <c r="Q600" s="29" t="str">
        <f t="shared" si="144"/>
        <v>URBBPF3002</v>
      </c>
      <c r="R600" s="1" t="s">
        <v>1437</v>
      </c>
      <c r="S600" s="1" t="s">
        <v>14</v>
      </c>
      <c r="T600" s="26">
        <v>600</v>
      </c>
      <c r="U600" s="26">
        <v>94800000</v>
      </c>
      <c r="V600" s="26">
        <v>22512000</v>
      </c>
      <c r="W600" s="26">
        <v>3.8282612909478577</v>
      </c>
      <c r="X600" s="26">
        <v>600</v>
      </c>
      <c r="Y600" s="26">
        <v>0</v>
      </c>
    </row>
    <row r="601" spans="1:25">
      <c r="A601" s="24" t="str">
        <f t="shared" si="137"/>
        <v>신규</v>
      </c>
      <c r="B601" s="24" t="str">
        <f>IF(COUNTIF(R$1:R600,R601)=0,"최초","리오더")</f>
        <v>최초</v>
      </c>
      <c r="C601" s="24" t="str">
        <f t="shared" si="138"/>
        <v>URBBPF3003</v>
      </c>
      <c r="D601" s="24">
        <f t="shared" si="124"/>
        <v>1</v>
      </c>
      <c r="E601" s="24" t="str">
        <f t="shared" si="139"/>
        <v/>
      </c>
      <c r="F601" s="24">
        <f t="shared" si="125"/>
        <v>0</v>
      </c>
      <c r="G601" s="24" t="str">
        <f t="shared" si="140"/>
        <v>URBBPF3003BK</v>
      </c>
      <c r="H601" s="24">
        <f t="shared" si="126"/>
        <v>1</v>
      </c>
      <c r="I601" s="24" t="str">
        <f t="shared" si="141"/>
        <v/>
      </c>
      <c r="J601" s="24">
        <f t="shared" si="127"/>
        <v>0</v>
      </c>
      <c r="K601" s="24" t="str">
        <f t="shared" si="142"/>
        <v>F3</v>
      </c>
      <c r="L601" s="24" t="str">
        <f>VLOOKUP(N601,CODE!K:P,CODE!$P$1,FALSE)</f>
        <v>가방</v>
      </c>
      <c r="M601" s="24" t="str">
        <f>VLOOKUP(MID(R601,1,3),CODE!$B:$G,CODE!D$1,FALSE)</f>
        <v>URB</v>
      </c>
      <c r="N601" s="24" t="str">
        <f t="shared" si="143"/>
        <v>BP</v>
      </c>
      <c r="O601" s="29" t="str">
        <f>IF(ISERROR(IF(VLOOKUP($N601,CODE!$K:$P,CODE!$O$1,FALSE)="",$M601,$M601&amp;"-"&amp;VLOOKUP($N601,CODE!$K:$P,CODE!$O$1,FALSE)))=TRUE,"",IF(VLOOKUP($N601,CODE!$K:$P,CODE!$O$1,FALSE)="",$M601,$M601&amp;"-"&amp;VLOOKUP($N601,CODE!$K:$P,CODE!$O$1,FALSE)))</f>
        <v>URB-가방</v>
      </c>
      <c r="P601" s="29" t="str">
        <f t="shared" si="129"/>
        <v>성인</v>
      </c>
      <c r="Q601" s="29" t="str">
        <f t="shared" si="144"/>
        <v>URBBPF3003</v>
      </c>
      <c r="R601" s="1" t="s">
        <v>1438</v>
      </c>
      <c r="S601" s="1" t="s">
        <v>14</v>
      </c>
      <c r="T601" s="26">
        <v>600</v>
      </c>
      <c r="U601" s="26">
        <v>94800000</v>
      </c>
      <c r="V601" s="26">
        <v>22512000</v>
      </c>
      <c r="W601" s="26">
        <v>3.8282612909478577</v>
      </c>
      <c r="X601" s="26">
        <v>600</v>
      </c>
      <c r="Y601" s="26">
        <v>0</v>
      </c>
    </row>
    <row r="602" spans="1:25">
      <c r="A602" s="24" t="str">
        <f t="shared" si="137"/>
        <v>신규</v>
      </c>
      <c r="B602" s="24" t="str">
        <f>IF(COUNTIF(R$1:R601,R602)=0,"최초","리오더")</f>
        <v>최초</v>
      </c>
      <c r="C602" s="24" t="str">
        <f t="shared" si="138"/>
        <v>PLABPF3001</v>
      </c>
      <c r="D602" s="24">
        <f t="shared" si="124"/>
        <v>1</v>
      </c>
      <c r="E602" s="24" t="str">
        <f t="shared" si="139"/>
        <v/>
      </c>
      <c r="F602" s="24">
        <f t="shared" si="125"/>
        <v>0</v>
      </c>
      <c r="G602" s="24" t="str">
        <f t="shared" si="140"/>
        <v>PLABPF3001BW</v>
      </c>
      <c r="H602" s="24">
        <f t="shared" si="126"/>
        <v>1</v>
      </c>
      <c r="I602" s="24" t="str">
        <f t="shared" si="141"/>
        <v/>
      </c>
      <c r="J602" s="24">
        <f t="shared" si="127"/>
        <v>0</v>
      </c>
      <c r="K602" s="24" t="str">
        <f t="shared" si="142"/>
        <v>F3</v>
      </c>
      <c r="L602" s="24" t="str">
        <f>VLOOKUP(N602,CODE!K:P,CODE!$P$1,FALSE)</f>
        <v>가방</v>
      </c>
      <c r="M602" s="24" t="str">
        <f>VLOOKUP(MID(R602,1,3),CODE!$B:$G,CODE!D$1,FALSE)</f>
        <v>PLA</v>
      </c>
      <c r="N602" s="24" t="str">
        <f t="shared" si="143"/>
        <v>BP</v>
      </c>
      <c r="O602" s="29" t="str">
        <f>IF(ISERROR(IF(VLOOKUP($N602,CODE!$K:$P,CODE!$O$1,FALSE)="",$M602,$M602&amp;"-"&amp;VLOOKUP($N602,CODE!$K:$P,CODE!$O$1,FALSE)))=TRUE,"",IF(VLOOKUP($N602,CODE!$K:$P,CODE!$O$1,FALSE)="",$M602,$M602&amp;"-"&amp;VLOOKUP($N602,CODE!$K:$P,CODE!$O$1,FALSE)))</f>
        <v>PLA-가방</v>
      </c>
      <c r="P602" s="29" t="str">
        <f t="shared" si="129"/>
        <v>성인</v>
      </c>
      <c r="Q602" s="29" t="str">
        <f t="shared" si="144"/>
        <v>PLABPF3001</v>
      </c>
      <c r="R602" s="1" t="s">
        <v>1439</v>
      </c>
      <c r="S602" s="1" t="s">
        <v>14</v>
      </c>
      <c r="T602" s="26">
        <v>600</v>
      </c>
      <c r="U602" s="26">
        <v>89400000</v>
      </c>
      <c r="V602" s="26">
        <v>23160000</v>
      </c>
      <c r="W602" s="26">
        <v>3.5091851154027314</v>
      </c>
      <c r="X602" s="26">
        <v>600</v>
      </c>
      <c r="Y602" s="26">
        <v>0</v>
      </c>
    </row>
    <row r="603" spans="1:25">
      <c r="A603" s="24" t="str">
        <f t="shared" si="137"/>
        <v>신규</v>
      </c>
      <c r="B603" s="24" t="str">
        <f>IF(COUNTIF(R$1:R602,R603)=0,"최초","리오더")</f>
        <v>최초</v>
      </c>
      <c r="C603" s="24" t="str">
        <f t="shared" si="138"/>
        <v>PNYBPF3001</v>
      </c>
      <c r="D603" s="24">
        <f t="shared" si="124"/>
        <v>1</v>
      </c>
      <c r="E603" s="24" t="str">
        <f t="shared" si="139"/>
        <v/>
      </c>
      <c r="F603" s="24">
        <f t="shared" si="125"/>
        <v>0</v>
      </c>
      <c r="G603" s="24" t="str">
        <f t="shared" si="140"/>
        <v>PNYBPF3001BK</v>
      </c>
      <c r="H603" s="24">
        <f t="shared" si="126"/>
        <v>1</v>
      </c>
      <c r="I603" s="24" t="str">
        <f t="shared" si="141"/>
        <v/>
      </c>
      <c r="J603" s="24">
        <f t="shared" si="127"/>
        <v>0</v>
      </c>
      <c r="K603" s="24" t="str">
        <f t="shared" si="142"/>
        <v>F3</v>
      </c>
      <c r="L603" s="24" t="str">
        <f>VLOOKUP(N603,CODE!K:P,CODE!$P$1,FALSE)</f>
        <v>가방</v>
      </c>
      <c r="M603" s="24" t="str">
        <f>VLOOKUP(MID(R603,1,3),CODE!$B:$G,CODE!D$1,FALSE)</f>
        <v>PNY</v>
      </c>
      <c r="N603" s="24" t="str">
        <f t="shared" si="143"/>
        <v>BP</v>
      </c>
      <c r="O603" s="29" t="str">
        <f>IF(ISERROR(IF(VLOOKUP($N603,CODE!$K:$P,CODE!$O$1,FALSE)="",$M603,$M603&amp;"-"&amp;VLOOKUP($N603,CODE!$K:$P,CODE!$O$1,FALSE)))=TRUE,"",IF(VLOOKUP($N603,CODE!$K:$P,CODE!$O$1,FALSE)="",$M603,$M603&amp;"-"&amp;VLOOKUP($N603,CODE!$K:$P,CODE!$O$1,FALSE)))</f>
        <v>PNY-가방</v>
      </c>
      <c r="P603" s="29" t="str">
        <f t="shared" si="129"/>
        <v>성인</v>
      </c>
      <c r="Q603" s="29" t="str">
        <f t="shared" si="144"/>
        <v>PNYBPF3001</v>
      </c>
      <c r="R603" s="1" t="s">
        <v>1440</v>
      </c>
      <c r="S603" s="1" t="s">
        <v>14</v>
      </c>
      <c r="T603" s="26">
        <v>600</v>
      </c>
      <c r="U603" s="26">
        <v>75000000</v>
      </c>
      <c r="V603" s="26">
        <v>17040000</v>
      </c>
      <c r="W603" s="26">
        <v>4.0012804097311143</v>
      </c>
      <c r="X603" s="26">
        <v>600</v>
      </c>
      <c r="Y603" s="26">
        <v>0</v>
      </c>
    </row>
    <row r="604" spans="1:25">
      <c r="A604" s="24" t="str">
        <f t="shared" si="137"/>
        <v>신규</v>
      </c>
      <c r="B604" s="24" t="str">
        <f>IF(COUNTIF(R$1:R603,R604)=0,"최초","리오더")</f>
        <v>최초</v>
      </c>
      <c r="C604" s="24" t="str">
        <f t="shared" si="138"/>
        <v>PNYBPF3002</v>
      </c>
      <c r="D604" s="24">
        <f t="shared" si="124"/>
        <v>1</v>
      </c>
      <c r="E604" s="24" t="str">
        <f t="shared" si="139"/>
        <v/>
      </c>
      <c r="F604" s="24">
        <f t="shared" si="125"/>
        <v>0</v>
      </c>
      <c r="G604" s="24" t="str">
        <f t="shared" si="140"/>
        <v>PNYBPF3002BK</v>
      </c>
      <c r="H604" s="24">
        <f t="shared" si="126"/>
        <v>1</v>
      </c>
      <c r="I604" s="24" t="str">
        <f t="shared" si="141"/>
        <v/>
      </c>
      <c r="J604" s="24">
        <f t="shared" si="127"/>
        <v>0</v>
      </c>
      <c r="K604" s="24" t="str">
        <f t="shared" si="142"/>
        <v>F3</v>
      </c>
      <c r="L604" s="24" t="str">
        <f>VLOOKUP(N604,CODE!K:P,CODE!$P$1,FALSE)</f>
        <v>가방</v>
      </c>
      <c r="M604" s="24" t="str">
        <f>VLOOKUP(MID(R604,1,3),CODE!$B:$G,CODE!D$1,FALSE)</f>
        <v>PNY</v>
      </c>
      <c r="N604" s="24" t="str">
        <f t="shared" si="143"/>
        <v>BP</v>
      </c>
      <c r="O604" s="29" t="str">
        <f>IF(ISERROR(IF(VLOOKUP($N604,CODE!$K:$P,CODE!$O$1,FALSE)="",$M604,$M604&amp;"-"&amp;VLOOKUP($N604,CODE!$K:$P,CODE!$O$1,FALSE)))=TRUE,"",IF(VLOOKUP($N604,CODE!$K:$P,CODE!$O$1,FALSE)="",$M604,$M604&amp;"-"&amp;VLOOKUP($N604,CODE!$K:$P,CODE!$O$1,FALSE)))</f>
        <v>PNY-가방</v>
      </c>
      <c r="P604" s="29" t="str">
        <f t="shared" si="129"/>
        <v>성인</v>
      </c>
      <c r="Q604" s="29" t="str">
        <f t="shared" si="144"/>
        <v>PNYBPF3002</v>
      </c>
      <c r="R604" s="1" t="s">
        <v>1441</v>
      </c>
      <c r="S604" s="1" t="s">
        <v>14</v>
      </c>
      <c r="T604" s="26">
        <v>600</v>
      </c>
      <c r="U604" s="26">
        <v>77400000</v>
      </c>
      <c r="V604" s="26">
        <v>18300000</v>
      </c>
      <c r="W604" s="26">
        <v>3.8450074515648285</v>
      </c>
      <c r="X604" s="26">
        <v>600</v>
      </c>
      <c r="Y604" s="26">
        <v>0</v>
      </c>
    </row>
    <row r="605" spans="1:25">
      <c r="A605" s="24" t="str">
        <f t="shared" si="137"/>
        <v>신규</v>
      </c>
      <c r="B605" s="24" t="str">
        <f>IF(COUNTIF(R$1:R604,R605)=0,"최초","리오더")</f>
        <v>최초</v>
      </c>
      <c r="C605" s="24" t="str">
        <f t="shared" si="138"/>
        <v>JOIEBF5523</v>
      </c>
      <c r="D605" s="24">
        <f t="shared" si="124"/>
        <v>0.5</v>
      </c>
      <c r="E605" s="24" t="str">
        <f t="shared" si="139"/>
        <v/>
      </c>
      <c r="F605" s="24">
        <f t="shared" si="125"/>
        <v>0</v>
      </c>
      <c r="G605" s="24" t="str">
        <f t="shared" si="140"/>
        <v>JOIEBF5523IV</v>
      </c>
      <c r="H605" s="24">
        <f t="shared" si="126"/>
        <v>1</v>
      </c>
      <c r="I605" s="24" t="str">
        <f t="shared" si="141"/>
        <v/>
      </c>
      <c r="J605" s="24">
        <f t="shared" si="127"/>
        <v>0</v>
      </c>
      <c r="K605" s="24" t="str">
        <f t="shared" si="142"/>
        <v>F5</v>
      </c>
      <c r="L605" s="24" t="str">
        <f>VLOOKUP(N605,CODE!K:P,CODE!$P$1,FALSE)</f>
        <v>모자</v>
      </c>
      <c r="M605" s="24" t="str">
        <f>VLOOKUP(MID(R605,1,3),CODE!$B:$G,CODE!D$1,FALSE)</f>
        <v>JOI</v>
      </c>
      <c r="N605" s="24" t="str">
        <f t="shared" si="143"/>
        <v>EB</v>
      </c>
      <c r="O605" s="29" t="str">
        <f>IF(ISERROR(IF(VLOOKUP($N605,CODE!$K:$P,CODE!$O$1,FALSE)="",$M605,$M605&amp;"-"&amp;VLOOKUP($N605,CODE!$K:$P,CODE!$O$1,FALSE)))=TRUE,"",IF(VLOOKUP($N605,CODE!$K:$P,CODE!$O$1,FALSE)="",$M605,$M605&amp;"-"&amp;VLOOKUP($N605,CODE!$K:$P,CODE!$O$1,FALSE)))</f>
        <v>JOI</v>
      </c>
      <c r="P605" s="29" t="str">
        <f t="shared" si="129"/>
        <v>키즈</v>
      </c>
      <c r="Q605" s="29" t="str">
        <f t="shared" si="144"/>
        <v>JOIEBF5523</v>
      </c>
      <c r="R605" s="1" t="s">
        <v>1442</v>
      </c>
      <c r="S605" s="1" t="s">
        <v>14</v>
      </c>
      <c r="T605" s="26">
        <v>1000</v>
      </c>
      <c r="U605" s="26">
        <v>49000000</v>
      </c>
      <c r="V605" s="26">
        <v>8588400.0000000019</v>
      </c>
      <c r="W605" s="26">
        <v>5.1867000309084963</v>
      </c>
      <c r="X605" s="26">
        <v>999</v>
      </c>
      <c r="Y605" s="26">
        <v>0</v>
      </c>
    </row>
    <row r="606" spans="1:25">
      <c r="A606" s="24" t="str">
        <f t="shared" si="137"/>
        <v>신규</v>
      </c>
      <c r="B606" s="24" t="str">
        <f>IF(COUNTIF(R$1:R605,R606)=0,"최초","리오더")</f>
        <v>최초</v>
      </c>
      <c r="C606" s="24" t="str">
        <f t="shared" si="138"/>
        <v>JOIEBF5523</v>
      </c>
      <c r="D606" s="24">
        <f t="shared" si="124"/>
        <v>0.5</v>
      </c>
      <c r="E606" s="24" t="str">
        <f t="shared" si="139"/>
        <v/>
      </c>
      <c r="F606" s="24">
        <f t="shared" si="125"/>
        <v>0</v>
      </c>
      <c r="G606" s="24" t="str">
        <f t="shared" si="140"/>
        <v>JOIEBF5523BL</v>
      </c>
      <c r="H606" s="24">
        <f t="shared" si="126"/>
        <v>1</v>
      </c>
      <c r="I606" s="24" t="str">
        <f t="shared" si="141"/>
        <v/>
      </c>
      <c r="J606" s="24">
        <f t="shared" si="127"/>
        <v>0</v>
      </c>
      <c r="K606" s="24" t="str">
        <f t="shared" si="142"/>
        <v>F5</v>
      </c>
      <c r="L606" s="24" t="str">
        <f>VLOOKUP(N606,CODE!K:P,CODE!$P$1,FALSE)</f>
        <v>모자</v>
      </c>
      <c r="M606" s="24" t="str">
        <f>VLOOKUP(MID(R606,1,3),CODE!$B:$G,CODE!D$1,FALSE)</f>
        <v>JOI</v>
      </c>
      <c r="N606" s="24" t="str">
        <f t="shared" si="143"/>
        <v>EB</v>
      </c>
      <c r="O606" s="29" t="str">
        <f>IF(ISERROR(IF(VLOOKUP($N606,CODE!$K:$P,CODE!$O$1,FALSE)="",$M606,$M606&amp;"-"&amp;VLOOKUP($N606,CODE!$K:$P,CODE!$O$1,FALSE)))=TRUE,"",IF(VLOOKUP($N606,CODE!$K:$P,CODE!$O$1,FALSE)="",$M606,$M606&amp;"-"&amp;VLOOKUP($N606,CODE!$K:$P,CODE!$O$1,FALSE)))</f>
        <v>JOI</v>
      </c>
      <c r="P606" s="29" t="str">
        <f t="shared" si="129"/>
        <v>키즈</v>
      </c>
      <c r="Q606" s="29" t="str">
        <f t="shared" si="144"/>
        <v>JOIEBF5523</v>
      </c>
      <c r="R606" s="1" t="s">
        <v>1443</v>
      </c>
      <c r="S606" s="1" t="s">
        <v>14</v>
      </c>
      <c r="T606" s="26">
        <v>1000</v>
      </c>
      <c r="U606" s="26">
        <v>49000000</v>
      </c>
      <c r="V606" s="26">
        <v>8836400.0000000019</v>
      </c>
      <c r="W606" s="26">
        <v>5.0411315179772904</v>
      </c>
      <c r="X606" s="26">
        <v>1000</v>
      </c>
      <c r="Y606" s="26">
        <v>0</v>
      </c>
    </row>
    <row r="607" spans="1:25">
      <c r="A607" s="24" t="str">
        <f t="shared" si="137"/>
        <v>러닝</v>
      </c>
      <c r="B607" s="24" t="str">
        <f>IF(COUNTIF(R$1:R606,R607)=0,"최초","리오더")</f>
        <v>최초</v>
      </c>
      <c r="C607" s="24" t="str">
        <f t="shared" si="138"/>
        <v>URBFIF3408</v>
      </c>
      <c r="D607" s="24">
        <f t="shared" si="124"/>
        <v>1</v>
      </c>
      <c r="E607" s="24" t="str">
        <f t="shared" si="139"/>
        <v/>
      </c>
      <c r="F607" s="24">
        <f t="shared" si="125"/>
        <v>0</v>
      </c>
      <c r="G607" s="24" t="str">
        <f t="shared" si="140"/>
        <v>URBFIF3408BK</v>
      </c>
      <c r="H607" s="24">
        <f t="shared" si="126"/>
        <v>1</v>
      </c>
      <c r="I607" s="24" t="str">
        <f t="shared" si="141"/>
        <v/>
      </c>
      <c r="J607" s="24">
        <f t="shared" si="127"/>
        <v>0</v>
      </c>
      <c r="K607" s="24" t="str">
        <f t="shared" si="142"/>
        <v>F3</v>
      </c>
      <c r="L607" s="24" t="str">
        <f>VLOOKUP(N607,CODE!K:P,CODE!$P$1,FALSE)</f>
        <v>모자</v>
      </c>
      <c r="M607" s="24" t="str">
        <f>VLOOKUP(MID(R607,1,3),CODE!$B:$G,CODE!D$1,FALSE)</f>
        <v>URB</v>
      </c>
      <c r="N607" s="24" t="str">
        <f t="shared" si="143"/>
        <v>FI</v>
      </c>
      <c r="O607" s="29" t="str">
        <f>IF(ISERROR(IF(VLOOKUP($N607,CODE!$K:$P,CODE!$O$1,FALSE)="",$M607,$M607&amp;"-"&amp;VLOOKUP($N607,CODE!$K:$P,CODE!$O$1,FALSE)))=TRUE,"",IF(VLOOKUP($N607,CODE!$K:$P,CODE!$O$1,FALSE)="",$M607,$M607&amp;"-"&amp;VLOOKUP($N607,CODE!$K:$P,CODE!$O$1,FALSE)))</f>
        <v>URB</v>
      </c>
      <c r="P607" s="29" t="str">
        <f t="shared" si="129"/>
        <v>성인</v>
      </c>
      <c r="Q607" s="29" t="str">
        <f t="shared" si="144"/>
        <v>URBFIF3408</v>
      </c>
      <c r="R607" s="1" t="s">
        <v>1444</v>
      </c>
      <c r="S607" s="1" t="s">
        <v>14</v>
      </c>
      <c r="T607" s="26">
        <v>1800</v>
      </c>
      <c r="U607" s="26">
        <v>63000000</v>
      </c>
      <c r="V607" s="26">
        <v>6549112.8000000007</v>
      </c>
      <c r="W607" s="26">
        <v>8.7451123567038369</v>
      </c>
      <c r="X607" s="26">
        <v>1791</v>
      </c>
      <c r="Y607" s="26">
        <v>0</v>
      </c>
    </row>
    <row r="608" spans="1:25">
      <c r="A608" s="24" t="str">
        <f t="shared" si="137"/>
        <v>러닝</v>
      </c>
      <c r="B608" s="24" t="str">
        <f>IF(COUNTIF(R$1:R607,R608)=0,"최초","리오더")</f>
        <v>최초</v>
      </c>
      <c r="C608" s="24" t="str">
        <f t="shared" si="138"/>
        <v>URBFIF3442</v>
      </c>
      <c r="D608" s="24">
        <f t="shared" si="124"/>
        <v>1</v>
      </c>
      <c r="E608" s="24" t="str">
        <f t="shared" si="139"/>
        <v/>
      </c>
      <c r="F608" s="24">
        <f t="shared" si="125"/>
        <v>0</v>
      </c>
      <c r="G608" s="24" t="str">
        <f t="shared" si="140"/>
        <v>URBFIF3442BK</v>
      </c>
      <c r="H608" s="24">
        <f t="shared" si="126"/>
        <v>1</v>
      </c>
      <c r="I608" s="24" t="str">
        <f t="shared" si="141"/>
        <v/>
      </c>
      <c r="J608" s="24">
        <f t="shared" si="127"/>
        <v>0</v>
      </c>
      <c r="K608" s="24" t="str">
        <f t="shared" si="142"/>
        <v>F3</v>
      </c>
      <c r="L608" s="24" t="str">
        <f>VLOOKUP(N608,CODE!K:P,CODE!$P$1,FALSE)</f>
        <v>모자</v>
      </c>
      <c r="M608" s="24" t="str">
        <f>VLOOKUP(MID(R608,1,3),CODE!$B:$G,CODE!D$1,FALSE)</f>
        <v>URB</v>
      </c>
      <c r="N608" s="24" t="str">
        <f t="shared" si="143"/>
        <v>FI</v>
      </c>
      <c r="O608" s="29" t="str">
        <f>IF(ISERROR(IF(VLOOKUP($N608,CODE!$K:$P,CODE!$O$1,FALSE)="",$M608,$M608&amp;"-"&amp;VLOOKUP($N608,CODE!$K:$P,CODE!$O$1,FALSE)))=TRUE,"",IF(VLOOKUP($N608,CODE!$K:$P,CODE!$O$1,FALSE)="",$M608,$M608&amp;"-"&amp;VLOOKUP($N608,CODE!$K:$P,CODE!$O$1,FALSE)))</f>
        <v>URB</v>
      </c>
      <c r="P608" s="29" t="str">
        <f t="shared" si="129"/>
        <v>성인</v>
      </c>
      <c r="Q608" s="29" t="str">
        <f t="shared" si="144"/>
        <v>URBFIF3442</v>
      </c>
      <c r="R608" s="1" t="s">
        <v>1445</v>
      </c>
      <c r="S608" s="1" t="s">
        <v>14</v>
      </c>
      <c r="T608" s="26">
        <v>1500</v>
      </c>
      <c r="U608" s="26">
        <v>64500000</v>
      </c>
      <c r="V608" s="26">
        <v>7515804.0000000019</v>
      </c>
      <c r="W608" s="26">
        <v>7.8017419874658271</v>
      </c>
      <c r="X608" s="26">
        <v>1500</v>
      </c>
      <c r="Y608" s="26">
        <v>0</v>
      </c>
    </row>
    <row r="609" spans="1:25">
      <c r="A609" s="24" t="str">
        <f t="shared" si="137"/>
        <v>러닝</v>
      </c>
      <c r="B609" s="24" t="str">
        <f>IF(COUNTIF(R$1:R608,R609)=0,"최초","리오더")</f>
        <v>최초</v>
      </c>
      <c r="C609" s="24" t="str">
        <f t="shared" si="138"/>
        <v>URBFIF3433</v>
      </c>
      <c r="D609" s="24">
        <f t="shared" si="124"/>
        <v>1</v>
      </c>
      <c r="E609" s="24" t="str">
        <f t="shared" si="139"/>
        <v/>
      </c>
      <c r="F609" s="24">
        <f t="shared" si="125"/>
        <v>0</v>
      </c>
      <c r="G609" s="24" t="str">
        <f t="shared" si="140"/>
        <v>URBFIF3433BK</v>
      </c>
      <c r="H609" s="24">
        <f t="shared" si="126"/>
        <v>1</v>
      </c>
      <c r="I609" s="24" t="str">
        <f t="shared" si="141"/>
        <v/>
      </c>
      <c r="J609" s="24">
        <f t="shared" si="127"/>
        <v>0</v>
      </c>
      <c r="K609" s="24" t="str">
        <f t="shared" si="142"/>
        <v>F3</v>
      </c>
      <c r="L609" s="24" t="str">
        <f>VLOOKUP(N609,CODE!K:P,CODE!$P$1,FALSE)</f>
        <v>모자</v>
      </c>
      <c r="M609" s="24" t="str">
        <f>VLOOKUP(MID(R609,1,3),CODE!$B:$G,CODE!D$1,FALSE)</f>
        <v>URB</v>
      </c>
      <c r="N609" s="24" t="str">
        <f t="shared" si="143"/>
        <v>FI</v>
      </c>
      <c r="O609" s="29" t="str">
        <f>IF(ISERROR(IF(VLOOKUP($N609,CODE!$K:$P,CODE!$O$1,FALSE)="",$M609,$M609&amp;"-"&amp;VLOOKUP($N609,CODE!$K:$P,CODE!$O$1,FALSE)))=TRUE,"",IF(VLOOKUP($N609,CODE!$K:$P,CODE!$O$1,FALSE)="",$M609,$M609&amp;"-"&amp;VLOOKUP($N609,CODE!$K:$P,CODE!$O$1,FALSE)))</f>
        <v>URB</v>
      </c>
      <c r="P609" s="29" t="str">
        <f t="shared" si="129"/>
        <v>성인</v>
      </c>
      <c r="Q609" s="29" t="str">
        <f t="shared" si="144"/>
        <v>URBFIF3433</v>
      </c>
      <c r="R609" s="1" t="s">
        <v>1446</v>
      </c>
      <c r="S609" s="1" t="s">
        <v>14</v>
      </c>
      <c r="T609" s="26">
        <v>1500</v>
      </c>
      <c r="U609" s="26">
        <v>64500000</v>
      </c>
      <c r="V609" s="26">
        <v>7261974.0000000009</v>
      </c>
      <c r="W609" s="26">
        <v>8.0744386631463598</v>
      </c>
      <c r="X609" s="26">
        <v>1500</v>
      </c>
      <c r="Y609" s="26">
        <v>0</v>
      </c>
    </row>
    <row r="610" spans="1:25">
      <c r="A610" s="24" t="str">
        <f t="shared" si="137"/>
        <v>신규</v>
      </c>
      <c r="B610" s="24" t="str">
        <f>IF(COUNTIF(R$1:R609,R610)=0,"최초","리오더")</f>
        <v>최초</v>
      </c>
      <c r="C610" s="24" t="str">
        <f t="shared" si="138"/>
        <v>NIXBEF5001</v>
      </c>
      <c r="D610" s="24">
        <f t="shared" si="124"/>
        <v>1</v>
      </c>
      <c r="E610" s="24" t="str">
        <f t="shared" si="139"/>
        <v/>
      </c>
      <c r="F610" s="24">
        <f t="shared" si="125"/>
        <v>0</v>
      </c>
      <c r="G610" s="24" t="str">
        <f t="shared" si="140"/>
        <v>NIXBEF5001BK</v>
      </c>
      <c r="H610" s="24">
        <f t="shared" si="126"/>
        <v>1</v>
      </c>
      <c r="I610" s="24" t="str">
        <f t="shared" si="141"/>
        <v/>
      </c>
      <c r="J610" s="24">
        <f t="shared" si="127"/>
        <v>0</v>
      </c>
      <c r="K610" s="24" t="str">
        <f t="shared" si="142"/>
        <v>F5</v>
      </c>
      <c r="L610" s="24" t="str">
        <f>VLOOKUP(N610,CODE!K:P,CODE!$P$1,FALSE)</f>
        <v>모자</v>
      </c>
      <c r="M610" s="24" t="str">
        <f>VLOOKUP(MID(R610,1,3),CODE!$B:$G,CODE!D$1,FALSE)</f>
        <v>NIX</v>
      </c>
      <c r="N610" s="24" t="str">
        <f t="shared" si="143"/>
        <v>BE</v>
      </c>
      <c r="O610" s="29" t="str">
        <f>IF(ISERROR(IF(VLOOKUP($N610,CODE!$K:$P,CODE!$O$1,FALSE)="",$M610,$M610&amp;"-"&amp;VLOOKUP($N610,CODE!$K:$P,CODE!$O$1,FALSE)))=TRUE,"",IF(VLOOKUP($N610,CODE!$K:$P,CODE!$O$1,FALSE)="",$M610,$M610&amp;"-"&amp;VLOOKUP($N610,CODE!$K:$P,CODE!$O$1,FALSE)))</f>
        <v>NIX</v>
      </c>
      <c r="P610" s="29" t="str">
        <f t="shared" si="129"/>
        <v>성인</v>
      </c>
      <c r="Q610" s="29" t="str">
        <f t="shared" si="144"/>
        <v>NIXBEF5001</v>
      </c>
      <c r="R610" s="1" t="s">
        <v>1447</v>
      </c>
      <c r="S610" s="1" t="s">
        <v>15</v>
      </c>
      <c r="T610" s="26">
        <v>200</v>
      </c>
      <c r="U610" s="26">
        <v>5600000</v>
      </c>
      <c r="V610" s="26">
        <v>1934545.4545454544</v>
      </c>
      <c r="W610" s="26">
        <v>2.6315789473684212</v>
      </c>
      <c r="X610" s="26">
        <v>200</v>
      </c>
      <c r="Y610" s="26">
        <v>0</v>
      </c>
    </row>
    <row r="611" spans="1:25">
      <c r="A611" s="24" t="str">
        <f t="shared" si="137"/>
        <v>신규</v>
      </c>
      <c r="B611" s="24" t="str">
        <f>IF(COUNTIF(R$1:R610,R611)=0,"최초","리오더")</f>
        <v>최초</v>
      </c>
      <c r="C611" s="24" t="str">
        <f t="shared" si="138"/>
        <v>NIXSNF3002</v>
      </c>
      <c r="D611" s="24">
        <f t="shared" si="124"/>
        <v>0.5</v>
      </c>
      <c r="E611" s="24" t="str">
        <f t="shared" si="139"/>
        <v/>
      </c>
      <c r="F611" s="24">
        <f t="shared" si="125"/>
        <v>0</v>
      </c>
      <c r="G611" s="24" t="str">
        <f t="shared" si="140"/>
        <v>NIXSNF3002BK</v>
      </c>
      <c r="H611" s="24">
        <f t="shared" si="126"/>
        <v>1</v>
      </c>
      <c r="I611" s="24" t="str">
        <f t="shared" si="141"/>
        <v/>
      </c>
      <c r="J611" s="24">
        <f t="shared" si="127"/>
        <v>0</v>
      </c>
      <c r="K611" s="24" t="str">
        <f t="shared" si="142"/>
        <v>F3</v>
      </c>
      <c r="L611" s="24" t="str">
        <f>VLOOKUP(N611,CODE!K:P,CODE!$P$1,FALSE)</f>
        <v>모자</v>
      </c>
      <c r="M611" s="24" t="str">
        <f>VLOOKUP(MID(R611,1,3),CODE!$B:$G,CODE!D$1,FALSE)</f>
        <v>NIX</v>
      </c>
      <c r="N611" s="24" t="str">
        <f t="shared" si="143"/>
        <v>SN</v>
      </c>
      <c r="O611" s="29" t="str">
        <f>IF(ISERROR(IF(VLOOKUP($N611,CODE!$K:$P,CODE!$O$1,FALSE)="",$M611,$M611&amp;"-"&amp;VLOOKUP($N611,CODE!$K:$P,CODE!$O$1,FALSE)))=TRUE,"",IF(VLOOKUP($N611,CODE!$K:$P,CODE!$O$1,FALSE)="",$M611,$M611&amp;"-"&amp;VLOOKUP($N611,CODE!$K:$P,CODE!$O$1,FALSE)))</f>
        <v>NIX</v>
      </c>
      <c r="P611" s="29" t="str">
        <f t="shared" si="129"/>
        <v>성인</v>
      </c>
      <c r="Q611" s="29" t="str">
        <f t="shared" si="144"/>
        <v>NIXSNF3002</v>
      </c>
      <c r="R611" s="1" t="s">
        <v>1448</v>
      </c>
      <c r="S611" s="1" t="s">
        <v>15</v>
      </c>
      <c r="T611" s="26">
        <v>100</v>
      </c>
      <c r="U611" s="26">
        <v>3700000</v>
      </c>
      <c r="V611" s="26">
        <v>1278181.8181818181</v>
      </c>
      <c r="W611" s="26">
        <v>2.6315789473684212</v>
      </c>
      <c r="X611" s="26">
        <v>100</v>
      </c>
      <c r="Y611" s="26">
        <v>0</v>
      </c>
    </row>
    <row r="612" spans="1:25">
      <c r="A612" s="24" t="str">
        <f t="shared" si="137"/>
        <v>신규</v>
      </c>
      <c r="B612" s="24" t="str">
        <f>IF(COUNTIF(R$1:R611,R612)=0,"최초","리오더")</f>
        <v>최초</v>
      </c>
      <c r="C612" s="24" t="str">
        <f t="shared" si="138"/>
        <v>NIXSNF3002</v>
      </c>
      <c r="D612" s="24">
        <f t="shared" si="124"/>
        <v>0.5</v>
      </c>
      <c r="E612" s="24" t="str">
        <f t="shared" si="139"/>
        <v/>
      </c>
      <c r="F612" s="24">
        <f t="shared" si="125"/>
        <v>0</v>
      </c>
      <c r="G612" s="24" t="str">
        <f t="shared" si="140"/>
        <v>NIXSNF3002NY</v>
      </c>
      <c r="H612" s="24">
        <f t="shared" si="126"/>
        <v>1</v>
      </c>
      <c r="I612" s="24" t="str">
        <f t="shared" si="141"/>
        <v/>
      </c>
      <c r="J612" s="24">
        <f t="shared" si="127"/>
        <v>0</v>
      </c>
      <c r="K612" s="24" t="str">
        <f t="shared" si="142"/>
        <v>F3</v>
      </c>
      <c r="L612" s="24" t="str">
        <f>VLOOKUP(N612,CODE!K:P,CODE!$P$1,FALSE)</f>
        <v>모자</v>
      </c>
      <c r="M612" s="24" t="str">
        <f>VLOOKUP(MID(R612,1,3),CODE!$B:$G,CODE!D$1,FALSE)</f>
        <v>NIX</v>
      </c>
      <c r="N612" s="24" t="str">
        <f t="shared" si="143"/>
        <v>SN</v>
      </c>
      <c r="O612" s="29" t="str">
        <f>IF(ISERROR(IF(VLOOKUP($N612,CODE!$K:$P,CODE!$O$1,FALSE)="",$M612,$M612&amp;"-"&amp;VLOOKUP($N612,CODE!$K:$P,CODE!$O$1,FALSE)))=TRUE,"",IF(VLOOKUP($N612,CODE!$K:$P,CODE!$O$1,FALSE)="",$M612,$M612&amp;"-"&amp;VLOOKUP($N612,CODE!$K:$P,CODE!$O$1,FALSE)))</f>
        <v>NIX</v>
      </c>
      <c r="P612" s="29" t="str">
        <f t="shared" si="129"/>
        <v>성인</v>
      </c>
      <c r="Q612" s="29" t="str">
        <f t="shared" si="144"/>
        <v>NIXSNF3002</v>
      </c>
      <c r="R612" s="1" t="s">
        <v>1449</v>
      </c>
      <c r="S612" s="1" t="s">
        <v>15</v>
      </c>
      <c r="T612" s="26">
        <v>100</v>
      </c>
      <c r="U612" s="26">
        <v>3700000</v>
      </c>
      <c r="V612" s="26">
        <v>1278181.8181818181</v>
      </c>
      <c r="W612" s="26">
        <v>2.6315789473684212</v>
      </c>
      <c r="X612" s="26">
        <v>100</v>
      </c>
      <c r="Y612" s="26">
        <v>0</v>
      </c>
    </row>
    <row r="613" spans="1:25">
      <c r="A613" s="24" t="str">
        <f t="shared" si="137"/>
        <v>신규</v>
      </c>
      <c r="B613" s="24" t="str">
        <f>IF(COUNTIF(R$1:R612,R613)=0,"최초","리오더")</f>
        <v>최초</v>
      </c>
      <c r="C613" s="24" t="str">
        <f t="shared" si="138"/>
        <v>NIXSNF3003</v>
      </c>
      <c r="D613" s="24">
        <f t="shared" si="124"/>
        <v>0.5</v>
      </c>
      <c r="E613" s="24" t="str">
        <f t="shared" si="139"/>
        <v/>
      </c>
      <c r="F613" s="24">
        <f t="shared" si="125"/>
        <v>0</v>
      </c>
      <c r="G613" s="24" t="str">
        <f t="shared" si="140"/>
        <v>NIXSNF3003BK</v>
      </c>
      <c r="H613" s="24">
        <f t="shared" si="126"/>
        <v>1</v>
      </c>
      <c r="I613" s="24" t="str">
        <f t="shared" si="141"/>
        <v/>
      </c>
      <c r="J613" s="24">
        <f t="shared" si="127"/>
        <v>0</v>
      </c>
      <c r="K613" s="24" t="str">
        <f t="shared" si="142"/>
        <v>F3</v>
      </c>
      <c r="L613" s="24" t="str">
        <f>VLOOKUP(N613,CODE!K:P,CODE!$P$1,FALSE)</f>
        <v>모자</v>
      </c>
      <c r="M613" s="24" t="str">
        <f>VLOOKUP(MID(R613,1,3),CODE!$B:$G,CODE!D$1,FALSE)</f>
        <v>NIX</v>
      </c>
      <c r="N613" s="24" t="str">
        <f t="shared" si="143"/>
        <v>SN</v>
      </c>
      <c r="O613" s="29" t="str">
        <f>IF(ISERROR(IF(VLOOKUP($N613,CODE!$K:$P,CODE!$O$1,FALSE)="",$M613,$M613&amp;"-"&amp;VLOOKUP($N613,CODE!$K:$P,CODE!$O$1,FALSE)))=TRUE,"",IF(VLOOKUP($N613,CODE!$K:$P,CODE!$O$1,FALSE)="",$M613,$M613&amp;"-"&amp;VLOOKUP($N613,CODE!$K:$P,CODE!$O$1,FALSE)))</f>
        <v>NIX</v>
      </c>
      <c r="P613" s="29" t="str">
        <f t="shared" si="129"/>
        <v>성인</v>
      </c>
      <c r="Q613" s="29" t="str">
        <f t="shared" si="144"/>
        <v>NIXSNF3003</v>
      </c>
      <c r="R613" s="1" t="s">
        <v>1450</v>
      </c>
      <c r="S613" s="1" t="s">
        <v>15</v>
      </c>
      <c r="T613" s="26">
        <v>200</v>
      </c>
      <c r="U613" s="26">
        <v>6800000</v>
      </c>
      <c r="V613" s="26">
        <v>2349090.9090909087</v>
      </c>
      <c r="W613" s="26">
        <v>2.6315789473684212</v>
      </c>
      <c r="X613" s="26">
        <v>200</v>
      </c>
      <c r="Y613" s="26">
        <v>0</v>
      </c>
    </row>
    <row r="614" spans="1:25">
      <c r="A614" s="24" t="str">
        <f t="shared" si="137"/>
        <v>신규</v>
      </c>
      <c r="B614" s="24" t="str">
        <f>IF(COUNTIF(R$1:R613,R614)=0,"최초","리오더")</f>
        <v>최초</v>
      </c>
      <c r="C614" s="24" t="str">
        <f t="shared" si="138"/>
        <v>NIXSNF3003</v>
      </c>
      <c r="D614" s="24">
        <f t="shared" si="124"/>
        <v>0.5</v>
      </c>
      <c r="E614" s="24" t="str">
        <f t="shared" si="139"/>
        <v/>
      </c>
      <c r="F614" s="24">
        <f t="shared" si="125"/>
        <v>0</v>
      </c>
      <c r="G614" s="24" t="str">
        <f t="shared" si="140"/>
        <v>NIXSNF3003NY</v>
      </c>
      <c r="H614" s="24">
        <f t="shared" si="126"/>
        <v>1</v>
      </c>
      <c r="I614" s="24" t="str">
        <f t="shared" si="141"/>
        <v/>
      </c>
      <c r="J614" s="24">
        <f t="shared" si="127"/>
        <v>0</v>
      </c>
      <c r="K614" s="24" t="str">
        <f t="shared" si="142"/>
        <v>F3</v>
      </c>
      <c r="L614" s="24" t="str">
        <f>VLOOKUP(N614,CODE!K:P,CODE!$P$1,FALSE)</f>
        <v>모자</v>
      </c>
      <c r="M614" s="24" t="str">
        <f>VLOOKUP(MID(R614,1,3),CODE!$B:$G,CODE!D$1,FALSE)</f>
        <v>NIX</v>
      </c>
      <c r="N614" s="24" t="str">
        <f t="shared" si="143"/>
        <v>SN</v>
      </c>
      <c r="O614" s="29" t="str">
        <f>IF(ISERROR(IF(VLOOKUP($N614,CODE!$K:$P,CODE!$O$1,FALSE)="",$M614,$M614&amp;"-"&amp;VLOOKUP($N614,CODE!$K:$P,CODE!$O$1,FALSE)))=TRUE,"",IF(VLOOKUP($N614,CODE!$K:$P,CODE!$O$1,FALSE)="",$M614,$M614&amp;"-"&amp;VLOOKUP($N614,CODE!$K:$P,CODE!$O$1,FALSE)))</f>
        <v>NIX</v>
      </c>
      <c r="P614" s="29" t="str">
        <f t="shared" si="129"/>
        <v>성인</v>
      </c>
      <c r="Q614" s="29" t="str">
        <f t="shared" si="144"/>
        <v>NIXSNF3003</v>
      </c>
      <c r="R614" s="1" t="s">
        <v>1451</v>
      </c>
      <c r="S614" s="1" t="s">
        <v>15</v>
      </c>
      <c r="T614" s="26">
        <v>200</v>
      </c>
      <c r="U614" s="26">
        <v>6800000</v>
      </c>
      <c r="V614" s="26">
        <v>2349090.9090909087</v>
      </c>
      <c r="W614" s="26">
        <v>2.6315789473684212</v>
      </c>
      <c r="X614" s="26">
        <v>200</v>
      </c>
      <c r="Y614" s="26">
        <v>0</v>
      </c>
    </row>
    <row r="615" spans="1:25">
      <c r="A615" s="24" t="str">
        <f t="shared" si="137"/>
        <v>신규</v>
      </c>
      <c r="B615" s="24" t="str">
        <f>IF(COUNTIF(R$1:R614,R615)=0,"최초","리오더")</f>
        <v>최초</v>
      </c>
      <c r="C615" s="24" t="str">
        <f t="shared" si="138"/>
        <v>NIXSNF3004</v>
      </c>
      <c r="D615" s="24">
        <f t="shared" si="124"/>
        <v>1</v>
      </c>
      <c r="E615" s="24" t="str">
        <f t="shared" si="139"/>
        <v/>
      </c>
      <c r="F615" s="24">
        <f t="shared" si="125"/>
        <v>0</v>
      </c>
      <c r="G615" s="24" t="str">
        <f t="shared" si="140"/>
        <v>NIXSNF3004GY</v>
      </c>
      <c r="H615" s="24">
        <f t="shared" si="126"/>
        <v>1</v>
      </c>
      <c r="I615" s="24" t="str">
        <f t="shared" si="141"/>
        <v/>
      </c>
      <c r="J615" s="24">
        <f t="shared" si="127"/>
        <v>0</v>
      </c>
      <c r="K615" s="24" t="str">
        <f t="shared" si="142"/>
        <v>F3</v>
      </c>
      <c r="L615" s="24" t="str">
        <f>VLOOKUP(N615,CODE!K:P,CODE!$P$1,FALSE)</f>
        <v>모자</v>
      </c>
      <c r="M615" s="24" t="str">
        <f>VLOOKUP(MID(R615,1,3),CODE!$B:$G,CODE!D$1,FALSE)</f>
        <v>NIX</v>
      </c>
      <c r="N615" s="24" t="str">
        <f t="shared" si="143"/>
        <v>SN</v>
      </c>
      <c r="O615" s="29" t="str">
        <f>IF(ISERROR(IF(VLOOKUP($N615,CODE!$K:$P,CODE!$O$1,FALSE)="",$M615,$M615&amp;"-"&amp;VLOOKUP($N615,CODE!$K:$P,CODE!$O$1,FALSE)))=TRUE,"",IF(VLOOKUP($N615,CODE!$K:$P,CODE!$O$1,FALSE)="",$M615,$M615&amp;"-"&amp;VLOOKUP($N615,CODE!$K:$P,CODE!$O$1,FALSE)))</f>
        <v>NIX</v>
      </c>
      <c r="P615" s="29" t="str">
        <f t="shared" si="129"/>
        <v>성인</v>
      </c>
      <c r="Q615" s="29" t="str">
        <f t="shared" si="144"/>
        <v>NIXSNF3004</v>
      </c>
      <c r="R615" s="1" t="s">
        <v>1452</v>
      </c>
      <c r="S615" s="1" t="s">
        <v>15</v>
      </c>
      <c r="T615" s="26">
        <v>200</v>
      </c>
      <c r="U615" s="26">
        <v>8000000</v>
      </c>
      <c r="V615" s="26">
        <v>2763636.3636363633</v>
      </c>
      <c r="W615" s="26">
        <v>2.6315789473684212</v>
      </c>
      <c r="X615" s="26">
        <v>200</v>
      </c>
      <c r="Y615" s="26">
        <v>0</v>
      </c>
    </row>
    <row r="616" spans="1:25">
      <c r="A616" s="24" t="str">
        <f t="shared" si="137"/>
        <v>신규</v>
      </c>
      <c r="B616" s="24" t="str">
        <f>IF(COUNTIF(R$1:R615,R616)=0,"최초","리오더")</f>
        <v>최초</v>
      </c>
      <c r="C616" s="24" t="str">
        <f t="shared" si="138"/>
        <v>NIXSNF3005</v>
      </c>
      <c r="D616" s="24">
        <f t="shared" si="124"/>
        <v>0.5</v>
      </c>
      <c r="E616" s="24" t="str">
        <f t="shared" si="139"/>
        <v/>
      </c>
      <c r="F616" s="24">
        <f t="shared" si="125"/>
        <v>0</v>
      </c>
      <c r="G616" s="24" t="str">
        <f t="shared" si="140"/>
        <v>NIXSNF3005BK</v>
      </c>
      <c r="H616" s="24">
        <f t="shared" si="126"/>
        <v>1</v>
      </c>
      <c r="I616" s="24" t="str">
        <f t="shared" si="141"/>
        <v/>
      </c>
      <c r="J616" s="24">
        <f t="shared" si="127"/>
        <v>0</v>
      </c>
      <c r="K616" s="24" t="str">
        <f t="shared" si="142"/>
        <v>F3</v>
      </c>
      <c r="L616" s="24" t="str">
        <f>VLOOKUP(N616,CODE!K:P,CODE!$P$1,FALSE)</f>
        <v>모자</v>
      </c>
      <c r="M616" s="24" t="str">
        <f>VLOOKUP(MID(R616,1,3),CODE!$B:$G,CODE!D$1,FALSE)</f>
        <v>NIX</v>
      </c>
      <c r="N616" s="24" t="str">
        <f t="shared" si="143"/>
        <v>SN</v>
      </c>
      <c r="O616" s="29" t="str">
        <f>IF(ISERROR(IF(VLOOKUP($N616,CODE!$K:$P,CODE!$O$1,FALSE)="",$M616,$M616&amp;"-"&amp;VLOOKUP($N616,CODE!$K:$P,CODE!$O$1,FALSE)))=TRUE,"",IF(VLOOKUP($N616,CODE!$K:$P,CODE!$O$1,FALSE)="",$M616,$M616&amp;"-"&amp;VLOOKUP($N616,CODE!$K:$P,CODE!$O$1,FALSE)))</f>
        <v>NIX</v>
      </c>
      <c r="P616" s="29" t="str">
        <f t="shared" si="129"/>
        <v>성인</v>
      </c>
      <c r="Q616" s="29" t="str">
        <f t="shared" si="144"/>
        <v>NIXSNF3005</v>
      </c>
      <c r="R616" s="1" t="s">
        <v>1453</v>
      </c>
      <c r="S616" s="1" t="s">
        <v>15</v>
      </c>
      <c r="T616" s="26">
        <v>200</v>
      </c>
      <c r="U616" s="26">
        <v>9400000</v>
      </c>
      <c r="V616" s="26">
        <v>3247272.7272727271</v>
      </c>
      <c r="W616" s="26">
        <v>2.6315789473684212</v>
      </c>
      <c r="X616" s="26">
        <v>200</v>
      </c>
      <c r="Y616" s="26">
        <v>0</v>
      </c>
    </row>
    <row r="617" spans="1:25">
      <c r="A617" s="24" t="str">
        <f t="shared" si="137"/>
        <v>신규</v>
      </c>
      <c r="B617" s="24" t="str">
        <f>IF(COUNTIF(R$1:R616,R617)=0,"최초","리오더")</f>
        <v>최초</v>
      </c>
      <c r="C617" s="24" t="str">
        <f t="shared" si="138"/>
        <v>NIXSNF3005</v>
      </c>
      <c r="D617" s="24">
        <f t="shared" si="124"/>
        <v>0.5</v>
      </c>
      <c r="E617" s="24" t="str">
        <f t="shared" si="139"/>
        <v/>
      </c>
      <c r="F617" s="24">
        <f t="shared" si="125"/>
        <v>0</v>
      </c>
      <c r="G617" s="24" t="str">
        <f t="shared" si="140"/>
        <v>NIXSNF3005GY</v>
      </c>
      <c r="H617" s="24">
        <f t="shared" si="126"/>
        <v>1</v>
      </c>
      <c r="I617" s="24" t="str">
        <f t="shared" si="141"/>
        <v/>
      </c>
      <c r="J617" s="24">
        <f t="shared" si="127"/>
        <v>0</v>
      </c>
      <c r="K617" s="24" t="str">
        <f t="shared" si="142"/>
        <v>F3</v>
      </c>
      <c r="L617" s="24" t="str">
        <f>VLOOKUP(N617,CODE!K:P,CODE!$P$1,FALSE)</f>
        <v>모자</v>
      </c>
      <c r="M617" s="24" t="str">
        <f>VLOOKUP(MID(R617,1,3),CODE!$B:$G,CODE!D$1,FALSE)</f>
        <v>NIX</v>
      </c>
      <c r="N617" s="24" t="str">
        <f t="shared" si="143"/>
        <v>SN</v>
      </c>
      <c r="O617" s="29" t="str">
        <f>IF(ISERROR(IF(VLOOKUP($N617,CODE!$K:$P,CODE!$O$1,FALSE)="",$M617,$M617&amp;"-"&amp;VLOOKUP($N617,CODE!$K:$P,CODE!$O$1,FALSE)))=TRUE,"",IF(VLOOKUP($N617,CODE!$K:$P,CODE!$O$1,FALSE)="",$M617,$M617&amp;"-"&amp;VLOOKUP($N617,CODE!$K:$P,CODE!$O$1,FALSE)))</f>
        <v>NIX</v>
      </c>
      <c r="P617" s="29" t="str">
        <f t="shared" si="129"/>
        <v>성인</v>
      </c>
      <c r="Q617" s="29" t="str">
        <f t="shared" si="144"/>
        <v>NIXSNF3005</v>
      </c>
      <c r="R617" s="1" t="s">
        <v>1454</v>
      </c>
      <c r="S617" s="1" t="s">
        <v>15</v>
      </c>
      <c r="T617" s="26">
        <v>200</v>
      </c>
      <c r="U617" s="26">
        <v>9400000</v>
      </c>
      <c r="V617" s="26">
        <v>3247272.7272727271</v>
      </c>
      <c r="W617" s="26">
        <v>2.6315789473684212</v>
      </c>
      <c r="X617" s="26">
        <v>200</v>
      </c>
      <c r="Y617" s="26">
        <v>0</v>
      </c>
    </row>
    <row r="618" spans="1:25">
      <c r="A618" s="24" t="str">
        <f t="shared" si="137"/>
        <v>신규</v>
      </c>
      <c r="B618" s="24" t="str">
        <f>IF(COUNTIF(R$1:R617,R618)=0,"최초","리오더")</f>
        <v>최초</v>
      </c>
      <c r="C618" s="24" t="str">
        <f t="shared" si="138"/>
        <v>NIXSNF3006</v>
      </c>
      <c r="D618" s="24">
        <f t="shared" si="124"/>
        <v>1</v>
      </c>
      <c r="E618" s="24" t="str">
        <f t="shared" si="139"/>
        <v/>
      </c>
      <c r="F618" s="24">
        <f t="shared" si="125"/>
        <v>0</v>
      </c>
      <c r="G618" s="24" t="str">
        <f t="shared" si="140"/>
        <v>NIXSNF3006BK</v>
      </c>
      <c r="H618" s="24">
        <f t="shared" si="126"/>
        <v>1</v>
      </c>
      <c r="I618" s="24" t="str">
        <f t="shared" si="141"/>
        <v/>
      </c>
      <c r="J618" s="24">
        <f t="shared" si="127"/>
        <v>0</v>
      </c>
      <c r="K618" s="24" t="str">
        <f t="shared" si="142"/>
        <v>F3</v>
      </c>
      <c r="L618" s="24" t="str">
        <f>VLOOKUP(N618,CODE!K:P,CODE!$P$1,FALSE)</f>
        <v>모자</v>
      </c>
      <c r="M618" s="24" t="str">
        <f>VLOOKUP(MID(R618,1,3),CODE!$B:$G,CODE!D$1,FALSE)</f>
        <v>NIX</v>
      </c>
      <c r="N618" s="24" t="str">
        <f t="shared" si="143"/>
        <v>SN</v>
      </c>
      <c r="O618" s="29" t="str">
        <f>IF(ISERROR(IF(VLOOKUP($N618,CODE!$K:$P,CODE!$O$1,FALSE)="",$M618,$M618&amp;"-"&amp;VLOOKUP($N618,CODE!$K:$P,CODE!$O$1,FALSE)))=TRUE,"",IF(VLOOKUP($N618,CODE!$K:$P,CODE!$O$1,FALSE)="",$M618,$M618&amp;"-"&amp;VLOOKUP($N618,CODE!$K:$P,CODE!$O$1,FALSE)))</f>
        <v>NIX</v>
      </c>
      <c r="P618" s="29" t="str">
        <f t="shared" si="129"/>
        <v>성인</v>
      </c>
      <c r="Q618" s="29" t="str">
        <f t="shared" si="144"/>
        <v>NIXSNF3006</v>
      </c>
      <c r="R618" s="1" t="s">
        <v>1455</v>
      </c>
      <c r="S618" s="1" t="s">
        <v>15</v>
      </c>
      <c r="T618" s="26">
        <v>150</v>
      </c>
      <c r="U618" s="26">
        <v>6000000</v>
      </c>
      <c r="V618" s="26">
        <v>2072727.2727272725</v>
      </c>
      <c r="W618" s="26">
        <v>2.6315789473684212</v>
      </c>
      <c r="X618" s="26">
        <v>150</v>
      </c>
      <c r="Y618" s="26">
        <v>0</v>
      </c>
    </row>
    <row r="619" spans="1:25">
      <c r="A619" s="24" t="str">
        <f t="shared" si="137"/>
        <v>신규</v>
      </c>
      <c r="B619" s="24" t="str">
        <f>IF(COUNTIF(R$1:R618,R619)=0,"최초","리오더")</f>
        <v>최초</v>
      </c>
      <c r="C619" s="24" t="str">
        <f t="shared" si="138"/>
        <v>NIXSNF3007</v>
      </c>
      <c r="D619" s="24">
        <f t="shared" si="124"/>
        <v>1</v>
      </c>
      <c r="E619" s="24" t="str">
        <f t="shared" si="139"/>
        <v/>
      </c>
      <c r="F619" s="24">
        <f t="shared" si="125"/>
        <v>0</v>
      </c>
      <c r="G619" s="24" t="str">
        <f t="shared" si="140"/>
        <v>NIXSNF3007BK</v>
      </c>
      <c r="H619" s="24">
        <f t="shared" si="126"/>
        <v>1</v>
      </c>
      <c r="I619" s="24" t="str">
        <f t="shared" si="141"/>
        <v/>
      </c>
      <c r="J619" s="24">
        <f t="shared" si="127"/>
        <v>0</v>
      </c>
      <c r="K619" s="24" t="str">
        <f t="shared" si="142"/>
        <v>F3</v>
      </c>
      <c r="L619" s="24" t="str">
        <f>VLOOKUP(N619,CODE!K:P,CODE!$P$1,FALSE)</f>
        <v>모자</v>
      </c>
      <c r="M619" s="24" t="str">
        <f>VLOOKUP(MID(R619,1,3),CODE!$B:$G,CODE!D$1,FALSE)</f>
        <v>NIX</v>
      </c>
      <c r="N619" s="24" t="str">
        <f t="shared" si="143"/>
        <v>SN</v>
      </c>
      <c r="O619" s="29" t="str">
        <f>IF(ISERROR(IF(VLOOKUP($N619,CODE!$K:$P,CODE!$O$1,FALSE)="",$M619,$M619&amp;"-"&amp;VLOOKUP($N619,CODE!$K:$P,CODE!$O$1,FALSE)))=TRUE,"",IF(VLOOKUP($N619,CODE!$K:$P,CODE!$O$1,FALSE)="",$M619,$M619&amp;"-"&amp;VLOOKUP($N619,CODE!$K:$P,CODE!$O$1,FALSE)))</f>
        <v>NIX</v>
      </c>
      <c r="P619" s="29" t="str">
        <f t="shared" si="129"/>
        <v>성인</v>
      </c>
      <c r="Q619" s="29" t="str">
        <f t="shared" si="144"/>
        <v>NIXSNF3007</v>
      </c>
      <c r="R619" s="1" t="s">
        <v>1456</v>
      </c>
      <c r="S619" s="1" t="s">
        <v>15</v>
      </c>
      <c r="T619" s="26">
        <v>150</v>
      </c>
      <c r="U619" s="26">
        <v>5550000</v>
      </c>
      <c r="V619" s="26">
        <v>1917272.7272727271</v>
      </c>
      <c r="W619" s="26">
        <v>2.6315789473684212</v>
      </c>
      <c r="X619" s="26">
        <v>150</v>
      </c>
      <c r="Y619" s="26">
        <v>0</v>
      </c>
    </row>
    <row r="620" spans="1:25">
      <c r="A620" s="24" t="str">
        <f t="shared" si="137"/>
        <v>신규</v>
      </c>
      <c r="B620" s="24" t="str">
        <f>IF(COUNTIF(R$1:R619,R620)=0,"최초","리오더")</f>
        <v>최초</v>
      </c>
      <c r="C620" s="24" t="str">
        <f t="shared" si="138"/>
        <v>NIXFIF3008</v>
      </c>
      <c r="D620" s="24">
        <f t="shared" si="124"/>
        <v>0.5</v>
      </c>
      <c r="E620" s="24" t="str">
        <f t="shared" si="139"/>
        <v/>
      </c>
      <c r="F620" s="24">
        <f t="shared" si="125"/>
        <v>0</v>
      </c>
      <c r="G620" s="24" t="str">
        <f t="shared" si="140"/>
        <v>NIXFIF3008BK</v>
      </c>
      <c r="H620" s="24">
        <f t="shared" si="126"/>
        <v>1</v>
      </c>
      <c r="I620" s="24" t="str">
        <f t="shared" si="141"/>
        <v/>
      </c>
      <c r="J620" s="24">
        <f t="shared" si="127"/>
        <v>0</v>
      </c>
      <c r="K620" s="24" t="str">
        <f t="shared" si="142"/>
        <v>F3</v>
      </c>
      <c r="L620" s="24" t="str">
        <f>VLOOKUP(N620,CODE!K:P,CODE!$P$1,FALSE)</f>
        <v>모자</v>
      </c>
      <c r="M620" s="24" t="str">
        <f>VLOOKUP(MID(R620,1,3),CODE!$B:$G,CODE!D$1,FALSE)</f>
        <v>NIX</v>
      </c>
      <c r="N620" s="24" t="str">
        <f t="shared" si="143"/>
        <v>FI</v>
      </c>
      <c r="O620" s="29" t="str">
        <f>IF(ISERROR(IF(VLOOKUP($N620,CODE!$K:$P,CODE!$O$1,FALSE)="",$M620,$M620&amp;"-"&amp;VLOOKUP($N620,CODE!$K:$P,CODE!$O$1,FALSE)))=TRUE,"",IF(VLOOKUP($N620,CODE!$K:$P,CODE!$O$1,FALSE)="",$M620,$M620&amp;"-"&amp;VLOOKUP($N620,CODE!$K:$P,CODE!$O$1,FALSE)))</f>
        <v>NIX</v>
      </c>
      <c r="P620" s="29" t="str">
        <f t="shared" si="129"/>
        <v>성인</v>
      </c>
      <c r="Q620" s="29" t="str">
        <f t="shared" si="144"/>
        <v>NIXFIF3008</v>
      </c>
      <c r="R620" s="1" t="s">
        <v>1457</v>
      </c>
      <c r="S620" s="1" t="s">
        <v>15</v>
      </c>
      <c r="T620" s="26">
        <v>200</v>
      </c>
      <c r="U620" s="26">
        <v>7400000</v>
      </c>
      <c r="V620" s="26">
        <v>2556363.6363636358</v>
      </c>
      <c r="W620" s="26">
        <v>2.6315789473684217</v>
      </c>
      <c r="X620" s="26">
        <v>200</v>
      </c>
      <c r="Y620" s="26">
        <v>0</v>
      </c>
    </row>
    <row r="621" spans="1:25">
      <c r="A621" s="24" t="str">
        <f t="shared" si="137"/>
        <v>신규</v>
      </c>
      <c r="B621" s="24" t="str">
        <f>IF(COUNTIF(R$1:R620,R621)=0,"최초","리오더")</f>
        <v>최초</v>
      </c>
      <c r="C621" s="24" t="str">
        <f t="shared" si="138"/>
        <v>NIXFIF3008</v>
      </c>
      <c r="D621" s="24">
        <f t="shared" si="124"/>
        <v>0.5</v>
      </c>
      <c r="E621" s="24" t="str">
        <f t="shared" si="139"/>
        <v/>
      </c>
      <c r="F621" s="24">
        <f t="shared" si="125"/>
        <v>0</v>
      </c>
      <c r="G621" s="24" t="str">
        <f t="shared" si="140"/>
        <v>NIXFIF3008GY</v>
      </c>
      <c r="H621" s="24">
        <f t="shared" si="126"/>
        <v>1</v>
      </c>
      <c r="I621" s="24" t="str">
        <f t="shared" si="141"/>
        <v/>
      </c>
      <c r="J621" s="24">
        <f t="shared" si="127"/>
        <v>0</v>
      </c>
      <c r="K621" s="24" t="str">
        <f t="shared" si="142"/>
        <v>F3</v>
      </c>
      <c r="L621" s="24" t="str">
        <f>VLOOKUP(N621,CODE!K:P,CODE!$P$1,FALSE)</f>
        <v>모자</v>
      </c>
      <c r="M621" s="24" t="str">
        <f>VLOOKUP(MID(R621,1,3),CODE!$B:$G,CODE!D$1,FALSE)</f>
        <v>NIX</v>
      </c>
      <c r="N621" s="24" t="str">
        <f t="shared" si="143"/>
        <v>FI</v>
      </c>
      <c r="O621" s="29" t="str">
        <f>IF(ISERROR(IF(VLOOKUP($N621,CODE!$K:$P,CODE!$O$1,FALSE)="",$M621,$M621&amp;"-"&amp;VLOOKUP($N621,CODE!$K:$P,CODE!$O$1,FALSE)))=TRUE,"",IF(VLOOKUP($N621,CODE!$K:$P,CODE!$O$1,FALSE)="",$M621,$M621&amp;"-"&amp;VLOOKUP($N621,CODE!$K:$P,CODE!$O$1,FALSE)))</f>
        <v>NIX</v>
      </c>
      <c r="P621" s="29" t="str">
        <f t="shared" si="129"/>
        <v>성인</v>
      </c>
      <c r="Q621" s="29" t="str">
        <f t="shared" si="144"/>
        <v>NIXFIF3008</v>
      </c>
      <c r="R621" s="1" t="s">
        <v>1458</v>
      </c>
      <c r="S621" s="1" t="s">
        <v>15</v>
      </c>
      <c r="T621" s="26">
        <v>150</v>
      </c>
      <c r="U621" s="26">
        <v>5550000</v>
      </c>
      <c r="V621" s="26">
        <v>1917272.7272727271</v>
      </c>
      <c r="W621" s="26">
        <v>2.6315789473684212</v>
      </c>
      <c r="X621" s="26">
        <v>150</v>
      </c>
      <c r="Y621" s="26">
        <v>0</v>
      </c>
    </row>
    <row r="622" spans="1:25">
      <c r="A622" s="24" t="str">
        <f t="shared" si="137"/>
        <v>신규</v>
      </c>
      <c r="B622" s="24" t="str">
        <f>IF(COUNTIF(R$1:R621,R622)=0,"최초","리오더")</f>
        <v>최초</v>
      </c>
      <c r="C622" s="24" t="str">
        <f t="shared" si="138"/>
        <v>NIXSNF3009</v>
      </c>
      <c r="D622" s="24">
        <f t="shared" si="124"/>
        <v>1</v>
      </c>
      <c r="E622" s="24" t="str">
        <f t="shared" si="139"/>
        <v/>
      </c>
      <c r="F622" s="24">
        <f t="shared" si="125"/>
        <v>0</v>
      </c>
      <c r="G622" s="24" t="str">
        <f t="shared" si="140"/>
        <v>NIXSNF3009BL</v>
      </c>
      <c r="H622" s="24">
        <f t="shared" si="126"/>
        <v>1</v>
      </c>
      <c r="I622" s="24" t="str">
        <f t="shared" si="141"/>
        <v/>
      </c>
      <c r="J622" s="24">
        <f t="shared" si="127"/>
        <v>0</v>
      </c>
      <c r="K622" s="24" t="str">
        <f t="shared" si="142"/>
        <v>F3</v>
      </c>
      <c r="L622" s="24" t="str">
        <f>VLOOKUP(N622,CODE!K:P,CODE!$P$1,FALSE)</f>
        <v>모자</v>
      </c>
      <c r="M622" s="24" t="str">
        <f>VLOOKUP(MID(R622,1,3),CODE!$B:$G,CODE!D$1,FALSE)</f>
        <v>NIX</v>
      </c>
      <c r="N622" s="24" t="str">
        <f t="shared" si="143"/>
        <v>SN</v>
      </c>
      <c r="O622" s="29" t="str">
        <f>IF(ISERROR(IF(VLOOKUP($N622,CODE!$K:$P,CODE!$O$1,FALSE)="",$M622,$M622&amp;"-"&amp;VLOOKUP($N622,CODE!$K:$P,CODE!$O$1,FALSE)))=TRUE,"",IF(VLOOKUP($N622,CODE!$K:$P,CODE!$O$1,FALSE)="",$M622,$M622&amp;"-"&amp;VLOOKUP($N622,CODE!$K:$P,CODE!$O$1,FALSE)))</f>
        <v>NIX</v>
      </c>
      <c r="P622" s="29" t="str">
        <f t="shared" si="129"/>
        <v>성인</v>
      </c>
      <c r="Q622" s="29" t="str">
        <f t="shared" si="144"/>
        <v>NIXSNF3009</v>
      </c>
      <c r="R622" s="1" t="s">
        <v>1459</v>
      </c>
      <c r="S622" s="1" t="s">
        <v>15</v>
      </c>
      <c r="T622" s="26">
        <v>100</v>
      </c>
      <c r="U622" s="26">
        <v>3700000</v>
      </c>
      <c r="V622" s="26">
        <v>1278181.8181818181</v>
      </c>
      <c r="W622" s="26">
        <v>2.6315789473684212</v>
      </c>
      <c r="X622" s="26">
        <v>100</v>
      </c>
      <c r="Y622" s="26">
        <v>0</v>
      </c>
    </row>
    <row r="623" spans="1:25">
      <c r="A623" s="24" t="str">
        <f t="shared" si="137"/>
        <v>신규</v>
      </c>
      <c r="B623" s="24" t="str">
        <f>IF(COUNTIF(R$1:R622,R623)=0,"최초","리오더")</f>
        <v>최초</v>
      </c>
      <c r="C623" s="24" t="str">
        <f t="shared" si="138"/>
        <v>NIXSNF3010</v>
      </c>
      <c r="D623" s="24">
        <f t="shared" si="124"/>
        <v>1</v>
      </c>
      <c r="E623" s="24" t="str">
        <f t="shared" si="139"/>
        <v/>
      </c>
      <c r="F623" s="24">
        <f t="shared" si="125"/>
        <v>0</v>
      </c>
      <c r="G623" s="24" t="str">
        <f t="shared" si="140"/>
        <v>NIXSNF3010OR</v>
      </c>
      <c r="H623" s="24">
        <f t="shared" si="126"/>
        <v>1</v>
      </c>
      <c r="I623" s="24" t="str">
        <f t="shared" si="141"/>
        <v/>
      </c>
      <c r="J623" s="24">
        <f t="shared" si="127"/>
        <v>0</v>
      </c>
      <c r="K623" s="24" t="str">
        <f t="shared" si="142"/>
        <v>F3</v>
      </c>
      <c r="L623" s="24" t="str">
        <f>VLOOKUP(N623,CODE!K:P,CODE!$P$1,FALSE)</f>
        <v>모자</v>
      </c>
      <c r="M623" s="24" t="str">
        <f>VLOOKUP(MID(R623,1,3),CODE!$B:$G,CODE!D$1,FALSE)</f>
        <v>NIX</v>
      </c>
      <c r="N623" s="24" t="str">
        <f t="shared" si="143"/>
        <v>SN</v>
      </c>
      <c r="O623" s="29" t="str">
        <f>IF(ISERROR(IF(VLOOKUP($N623,CODE!$K:$P,CODE!$O$1,FALSE)="",$M623,$M623&amp;"-"&amp;VLOOKUP($N623,CODE!$K:$P,CODE!$O$1,FALSE)))=TRUE,"",IF(VLOOKUP($N623,CODE!$K:$P,CODE!$O$1,FALSE)="",$M623,$M623&amp;"-"&amp;VLOOKUP($N623,CODE!$K:$P,CODE!$O$1,FALSE)))</f>
        <v>NIX</v>
      </c>
      <c r="P623" s="29" t="str">
        <f t="shared" si="129"/>
        <v>성인</v>
      </c>
      <c r="Q623" s="29" t="str">
        <f t="shared" si="144"/>
        <v>NIXSNF3010</v>
      </c>
      <c r="R623" s="1" t="s">
        <v>1460</v>
      </c>
      <c r="S623" s="1" t="s">
        <v>15</v>
      </c>
      <c r="T623" s="26">
        <v>100</v>
      </c>
      <c r="U623" s="26">
        <v>3700000</v>
      </c>
      <c r="V623" s="26">
        <v>1278181.8181818181</v>
      </c>
      <c r="W623" s="26">
        <v>2.6315789473684212</v>
      </c>
      <c r="X623" s="26">
        <v>100</v>
      </c>
      <c r="Y623" s="26">
        <v>0</v>
      </c>
    </row>
    <row r="624" spans="1:25">
      <c r="A624" s="24" t="str">
        <f t="shared" si="137"/>
        <v>신규</v>
      </c>
      <c r="B624" s="24" t="str">
        <f>IF(COUNTIF(R$1:R623,R624)=0,"최초","리오더")</f>
        <v>최초</v>
      </c>
      <c r="C624" s="24" t="str">
        <f t="shared" si="138"/>
        <v>SBRTPF5067</v>
      </c>
      <c r="D624" s="24">
        <f t="shared" si="124"/>
        <v>1</v>
      </c>
      <c r="E624" s="24" t="str">
        <f t="shared" si="139"/>
        <v/>
      </c>
      <c r="F624" s="24">
        <f t="shared" si="125"/>
        <v>0</v>
      </c>
      <c r="G624" s="24" t="str">
        <f t="shared" si="140"/>
        <v>SBRTPF5067KH</v>
      </c>
      <c r="H624" s="24">
        <f t="shared" si="126"/>
        <v>1</v>
      </c>
      <c r="I624" s="24" t="str">
        <f t="shared" si="141"/>
        <v/>
      </c>
      <c r="J624" s="24">
        <f t="shared" si="127"/>
        <v>0</v>
      </c>
      <c r="K624" s="24" t="str">
        <f t="shared" si="142"/>
        <v>F5</v>
      </c>
      <c r="L624" s="24" t="str">
        <f>VLOOKUP(N624,CODE!K:P,CODE!$P$1,FALSE)</f>
        <v>모자</v>
      </c>
      <c r="M624" s="24" t="str">
        <f>VLOOKUP(MID(R624,1,3),CODE!$B:$G,CODE!D$1,FALSE)</f>
        <v>SBR</v>
      </c>
      <c r="N624" s="24" t="str">
        <f t="shared" si="143"/>
        <v>TP</v>
      </c>
      <c r="O624" s="29" t="str">
        <f>IF(ISERROR(IF(VLOOKUP($N624,CODE!$K:$P,CODE!$O$1,FALSE)="",$M624,$M624&amp;"-"&amp;VLOOKUP($N624,CODE!$K:$P,CODE!$O$1,FALSE)))=TRUE,"",IF(VLOOKUP($N624,CODE!$K:$P,CODE!$O$1,FALSE)="",$M624,$M624&amp;"-"&amp;VLOOKUP($N624,CODE!$K:$P,CODE!$O$1,FALSE)))</f>
        <v>SBR</v>
      </c>
      <c r="P624" s="29" t="str">
        <f t="shared" si="129"/>
        <v>성인</v>
      </c>
      <c r="Q624" s="29" t="str">
        <f t="shared" si="144"/>
        <v>SBRTPF5067</v>
      </c>
      <c r="R624" s="1" t="s">
        <v>1461</v>
      </c>
      <c r="S624" s="1" t="s">
        <v>14</v>
      </c>
      <c r="T624" s="26">
        <v>800</v>
      </c>
      <c r="U624" s="26">
        <v>52000000</v>
      </c>
      <c r="V624" s="26">
        <v>7484400</v>
      </c>
      <c r="W624" s="26">
        <v>6.3161679323295479</v>
      </c>
      <c r="X624" s="26">
        <v>800</v>
      </c>
      <c r="Y624" s="26">
        <v>0</v>
      </c>
    </row>
    <row r="625" spans="1:25">
      <c r="A625" s="24" t="str">
        <f t="shared" si="137"/>
        <v>신규</v>
      </c>
      <c r="B625" s="24" t="str">
        <f>IF(COUNTIF(R$1:R624,R625)=0,"최초","리오더")</f>
        <v>최초</v>
      </c>
      <c r="C625" s="24" t="str">
        <f t="shared" si="138"/>
        <v>SBRTPF5068</v>
      </c>
      <c r="D625" s="24">
        <f t="shared" si="124"/>
        <v>1</v>
      </c>
      <c r="E625" s="24" t="str">
        <f t="shared" si="139"/>
        <v/>
      </c>
      <c r="F625" s="24">
        <f t="shared" si="125"/>
        <v>0</v>
      </c>
      <c r="G625" s="24" t="str">
        <f t="shared" si="140"/>
        <v>SBRTPF5068BK</v>
      </c>
      <c r="H625" s="24">
        <f t="shared" si="126"/>
        <v>1</v>
      </c>
      <c r="I625" s="24" t="str">
        <f t="shared" si="141"/>
        <v/>
      </c>
      <c r="J625" s="24">
        <f t="shared" si="127"/>
        <v>0</v>
      </c>
      <c r="K625" s="24" t="str">
        <f t="shared" si="142"/>
        <v>F5</v>
      </c>
      <c r="L625" s="24" t="str">
        <f>VLOOKUP(N625,CODE!K:P,CODE!$P$1,FALSE)</f>
        <v>모자</v>
      </c>
      <c r="M625" s="24" t="str">
        <f>VLOOKUP(MID(R625,1,3),CODE!$B:$G,CODE!D$1,FALSE)</f>
        <v>SBR</v>
      </c>
      <c r="N625" s="24" t="str">
        <f t="shared" si="143"/>
        <v>TP</v>
      </c>
      <c r="O625" s="29" t="str">
        <f>IF(ISERROR(IF(VLOOKUP($N625,CODE!$K:$P,CODE!$O$1,FALSE)="",$M625,$M625&amp;"-"&amp;VLOOKUP($N625,CODE!$K:$P,CODE!$O$1,FALSE)))=TRUE,"",IF(VLOOKUP($N625,CODE!$K:$P,CODE!$O$1,FALSE)="",$M625,$M625&amp;"-"&amp;VLOOKUP($N625,CODE!$K:$P,CODE!$O$1,FALSE)))</f>
        <v>SBR</v>
      </c>
      <c r="P625" s="29" t="str">
        <f t="shared" si="129"/>
        <v>성인</v>
      </c>
      <c r="Q625" s="29" t="str">
        <f t="shared" si="144"/>
        <v>SBRTPF5068</v>
      </c>
      <c r="R625" s="1" t="s">
        <v>1462</v>
      </c>
      <c r="S625" s="1" t="s">
        <v>14</v>
      </c>
      <c r="T625" s="26">
        <v>800</v>
      </c>
      <c r="U625" s="26">
        <v>60000000</v>
      </c>
      <c r="V625" s="26">
        <v>10328472</v>
      </c>
      <c r="W625" s="26">
        <v>5.2810768664962771</v>
      </c>
      <c r="X625" s="26">
        <v>800</v>
      </c>
      <c r="Y625" s="26">
        <v>0</v>
      </c>
    </row>
    <row r="626" spans="1:25">
      <c r="A626" s="24" t="str">
        <f t="shared" si="137"/>
        <v>신규</v>
      </c>
      <c r="B626" s="24" t="str">
        <f>IF(COUNTIF(R$1:R625,R626)=0,"최초","리오더")</f>
        <v>최초</v>
      </c>
      <c r="C626" s="24" t="str">
        <f t="shared" si="138"/>
        <v>SBRTPF5069</v>
      </c>
      <c r="D626" s="24">
        <f t="shared" si="124"/>
        <v>1</v>
      </c>
      <c r="E626" s="24" t="str">
        <f t="shared" si="139"/>
        <v/>
      </c>
      <c r="F626" s="24">
        <f t="shared" si="125"/>
        <v>0</v>
      </c>
      <c r="G626" s="24" t="str">
        <f t="shared" si="140"/>
        <v>SBRTPF5069NY</v>
      </c>
      <c r="H626" s="24">
        <f t="shared" si="126"/>
        <v>1</v>
      </c>
      <c r="I626" s="24" t="str">
        <f t="shared" si="141"/>
        <v/>
      </c>
      <c r="J626" s="24">
        <f t="shared" si="127"/>
        <v>0</v>
      </c>
      <c r="K626" s="24" t="str">
        <f t="shared" si="142"/>
        <v>F5</v>
      </c>
      <c r="L626" s="24" t="str">
        <f>VLOOKUP(N626,CODE!K:P,CODE!$P$1,FALSE)</f>
        <v>모자</v>
      </c>
      <c r="M626" s="24" t="str">
        <f>VLOOKUP(MID(R626,1,3),CODE!$B:$G,CODE!D$1,FALSE)</f>
        <v>SBR</v>
      </c>
      <c r="N626" s="24" t="str">
        <f t="shared" si="143"/>
        <v>TP</v>
      </c>
      <c r="O626" s="29" t="str">
        <f>IF(ISERROR(IF(VLOOKUP($N626,CODE!$K:$P,CODE!$O$1,FALSE)="",$M626,$M626&amp;"-"&amp;VLOOKUP($N626,CODE!$K:$P,CODE!$O$1,FALSE)))=TRUE,"",IF(VLOOKUP($N626,CODE!$K:$P,CODE!$O$1,FALSE)="",$M626,$M626&amp;"-"&amp;VLOOKUP($N626,CODE!$K:$P,CODE!$O$1,FALSE)))</f>
        <v>SBR</v>
      </c>
      <c r="P626" s="29" t="str">
        <f t="shared" si="129"/>
        <v>성인</v>
      </c>
      <c r="Q626" s="29" t="str">
        <f t="shared" si="144"/>
        <v>SBRTPF5069</v>
      </c>
      <c r="R626" s="1" t="s">
        <v>1463</v>
      </c>
      <c r="S626" s="1" t="s">
        <v>14</v>
      </c>
      <c r="T626" s="26">
        <v>800</v>
      </c>
      <c r="U626" s="26">
        <v>52000000</v>
      </c>
      <c r="V626" s="26">
        <v>7251560.0000000009</v>
      </c>
      <c r="W626" s="26">
        <v>6.5189734722911021</v>
      </c>
      <c r="X626" s="26">
        <v>800</v>
      </c>
      <c r="Y626" s="26">
        <v>0</v>
      </c>
    </row>
    <row r="627" spans="1:25">
      <c r="A627" s="24" t="str">
        <f t="shared" si="137"/>
        <v>신규</v>
      </c>
      <c r="B627" s="24" t="str">
        <f>IF(COUNTIF(R$1:R626,R627)=0,"최초","리오더")</f>
        <v>최초</v>
      </c>
      <c r="C627" s="24" t="str">
        <f t="shared" si="138"/>
        <v>SBRTPF5070</v>
      </c>
      <c r="D627" s="24">
        <f t="shared" si="124"/>
        <v>1</v>
      </c>
      <c r="E627" s="24" t="str">
        <f t="shared" si="139"/>
        <v/>
      </c>
      <c r="F627" s="24">
        <f t="shared" si="125"/>
        <v>0</v>
      </c>
      <c r="G627" s="24" t="str">
        <f t="shared" si="140"/>
        <v>SBRTPF5070KH</v>
      </c>
      <c r="H627" s="24">
        <f t="shared" si="126"/>
        <v>1</v>
      </c>
      <c r="I627" s="24" t="str">
        <f t="shared" si="141"/>
        <v/>
      </c>
      <c r="J627" s="24">
        <f t="shared" si="127"/>
        <v>0</v>
      </c>
      <c r="K627" s="24" t="str">
        <f t="shared" si="142"/>
        <v>F5</v>
      </c>
      <c r="L627" s="24" t="str">
        <f>VLOOKUP(N627,CODE!K:P,CODE!$P$1,FALSE)</f>
        <v>모자</v>
      </c>
      <c r="M627" s="24" t="str">
        <f>VLOOKUP(MID(R627,1,3),CODE!$B:$G,CODE!D$1,FALSE)</f>
        <v>SBR</v>
      </c>
      <c r="N627" s="24" t="str">
        <f t="shared" si="143"/>
        <v>TP</v>
      </c>
      <c r="O627" s="29" t="str">
        <f>IF(ISERROR(IF(VLOOKUP($N627,CODE!$K:$P,CODE!$O$1,FALSE)="",$M627,$M627&amp;"-"&amp;VLOOKUP($N627,CODE!$K:$P,CODE!$O$1,FALSE)))=TRUE,"",IF(VLOOKUP($N627,CODE!$K:$P,CODE!$O$1,FALSE)="",$M627,$M627&amp;"-"&amp;VLOOKUP($N627,CODE!$K:$P,CODE!$O$1,FALSE)))</f>
        <v>SBR</v>
      </c>
      <c r="P627" s="29" t="str">
        <f t="shared" si="129"/>
        <v>성인</v>
      </c>
      <c r="Q627" s="29" t="str">
        <f t="shared" si="144"/>
        <v>SBRTPF5070</v>
      </c>
      <c r="R627" s="1" t="s">
        <v>1504</v>
      </c>
      <c r="S627" s="1" t="s">
        <v>14</v>
      </c>
      <c r="T627" s="26">
        <v>800</v>
      </c>
      <c r="U627" s="26">
        <v>55200000</v>
      </c>
      <c r="V627" s="26">
        <v>9073992.0000000019</v>
      </c>
      <c r="W627" s="26">
        <v>5.5302912083037068</v>
      </c>
      <c r="X627" s="26">
        <v>787</v>
      </c>
      <c r="Y627" s="26">
        <v>0</v>
      </c>
    </row>
    <row r="628" spans="1:25">
      <c r="A628" s="24" t="str">
        <f t="shared" si="137"/>
        <v>신규</v>
      </c>
      <c r="B628" s="24" t="str">
        <f>IF(COUNTIF(R$1:R627,R628)=0,"최초","리오더")</f>
        <v>최초</v>
      </c>
      <c r="C628" s="24" t="str">
        <f t="shared" si="138"/>
        <v>URBSNF5020</v>
      </c>
      <c r="D628" s="24">
        <f t="shared" si="124"/>
        <v>1</v>
      </c>
      <c r="E628" s="24" t="str">
        <f t="shared" si="139"/>
        <v/>
      </c>
      <c r="F628" s="24">
        <f t="shared" si="125"/>
        <v>0</v>
      </c>
      <c r="G628" s="24" t="str">
        <f t="shared" si="140"/>
        <v>URBSNF5020BK</v>
      </c>
      <c r="H628" s="24">
        <f t="shared" si="126"/>
        <v>1</v>
      </c>
      <c r="I628" s="24" t="str">
        <f t="shared" si="141"/>
        <v/>
      </c>
      <c r="J628" s="24">
        <f t="shared" si="127"/>
        <v>0</v>
      </c>
      <c r="K628" s="24" t="str">
        <f t="shared" si="142"/>
        <v>F5</v>
      </c>
      <c r="L628" s="24" t="str">
        <f>VLOOKUP(N628,CODE!K:P,CODE!$P$1,FALSE)</f>
        <v>모자</v>
      </c>
      <c r="M628" s="24" t="str">
        <f>VLOOKUP(MID(R628,1,3),CODE!$B:$G,CODE!D$1,FALSE)</f>
        <v>URB</v>
      </c>
      <c r="N628" s="24" t="str">
        <f t="shared" si="143"/>
        <v>SN</v>
      </c>
      <c r="O628" s="29" t="str">
        <f>IF(ISERROR(IF(VLOOKUP($N628,CODE!$K:$P,CODE!$O$1,FALSE)="",$M628,$M628&amp;"-"&amp;VLOOKUP($N628,CODE!$K:$P,CODE!$O$1,FALSE)))=TRUE,"",IF(VLOOKUP($N628,CODE!$K:$P,CODE!$O$1,FALSE)="",$M628,$M628&amp;"-"&amp;VLOOKUP($N628,CODE!$K:$P,CODE!$O$1,FALSE)))</f>
        <v>URB</v>
      </c>
      <c r="P628" s="29" t="str">
        <f t="shared" si="129"/>
        <v>성인</v>
      </c>
      <c r="Q628" s="29" t="str">
        <f t="shared" si="144"/>
        <v>URBSNF5020</v>
      </c>
      <c r="R628" s="1" t="s">
        <v>1464</v>
      </c>
      <c r="S628" s="1" t="s">
        <v>14</v>
      </c>
      <c r="T628" s="26">
        <v>1000</v>
      </c>
      <c r="U628" s="26">
        <v>43000000</v>
      </c>
      <c r="V628" s="26">
        <v>5587600</v>
      </c>
      <c r="W628" s="26">
        <v>6.9960106469520165</v>
      </c>
      <c r="X628" s="26">
        <v>1000</v>
      </c>
      <c r="Y628" s="26">
        <v>0</v>
      </c>
    </row>
    <row r="629" spans="1:25">
      <c r="A629" s="24" t="str">
        <f t="shared" si="137"/>
        <v>신규</v>
      </c>
      <c r="B629" s="24" t="str">
        <f>IF(COUNTIF(R$1:R628,R629)=0,"최초","리오더")</f>
        <v>최초</v>
      </c>
      <c r="C629" s="24" t="str">
        <f t="shared" si="138"/>
        <v>URBSNF3021</v>
      </c>
      <c r="D629" s="24">
        <f t="shared" si="124"/>
        <v>1</v>
      </c>
      <c r="E629" s="24" t="str">
        <f t="shared" si="139"/>
        <v/>
      </c>
      <c r="F629" s="24">
        <f t="shared" si="125"/>
        <v>0</v>
      </c>
      <c r="G629" s="24" t="str">
        <f t="shared" si="140"/>
        <v>URBSNF3021BK</v>
      </c>
      <c r="H629" s="24">
        <f t="shared" si="126"/>
        <v>1</v>
      </c>
      <c r="I629" s="24" t="str">
        <f t="shared" si="141"/>
        <v/>
      </c>
      <c r="J629" s="24">
        <f t="shared" si="127"/>
        <v>0</v>
      </c>
      <c r="K629" s="24" t="str">
        <f t="shared" si="142"/>
        <v>F3</v>
      </c>
      <c r="L629" s="24" t="str">
        <f>VLOOKUP(N629,CODE!K:P,CODE!$P$1,FALSE)</f>
        <v>모자</v>
      </c>
      <c r="M629" s="24" t="str">
        <f>VLOOKUP(MID(R629,1,3),CODE!$B:$G,CODE!D$1,FALSE)</f>
        <v>URB</v>
      </c>
      <c r="N629" s="24" t="str">
        <f t="shared" si="143"/>
        <v>SN</v>
      </c>
      <c r="O629" s="29" t="str">
        <f>IF(ISERROR(IF(VLOOKUP($N629,CODE!$K:$P,CODE!$O$1,FALSE)="",$M629,$M629&amp;"-"&amp;VLOOKUP($N629,CODE!$K:$P,CODE!$O$1,FALSE)))=TRUE,"",IF(VLOOKUP($N629,CODE!$K:$P,CODE!$O$1,FALSE)="",$M629,$M629&amp;"-"&amp;VLOOKUP($N629,CODE!$K:$P,CODE!$O$1,FALSE)))</f>
        <v>URB</v>
      </c>
      <c r="P629" s="29" t="str">
        <f t="shared" si="129"/>
        <v>성인</v>
      </c>
      <c r="Q629" s="29" t="str">
        <f t="shared" si="144"/>
        <v>URBSNF3021</v>
      </c>
      <c r="R629" s="1" t="s">
        <v>1465</v>
      </c>
      <c r="S629" s="1" t="s">
        <v>14</v>
      </c>
      <c r="T629" s="26">
        <v>1000</v>
      </c>
      <c r="U629" s="26">
        <v>43000000</v>
      </c>
      <c r="V629" s="26">
        <v>5360120</v>
      </c>
      <c r="W629" s="26">
        <v>7.2929167800178138</v>
      </c>
      <c r="X629" s="26">
        <v>1000</v>
      </c>
      <c r="Y629" s="26">
        <v>0</v>
      </c>
    </row>
    <row r="630" spans="1:25">
      <c r="A630" s="24" t="str">
        <f t="shared" si="137"/>
        <v>신규</v>
      </c>
      <c r="B630" s="24" t="str">
        <f>IF(COUNTIF(R$1:R629,R630)=0,"최초","리오더")</f>
        <v>최초</v>
      </c>
      <c r="C630" s="24" t="str">
        <f t="shared" si="138"/>
        <v>URBSNF3024</v>
      </c>
      <c r="D630" s="24">
        <f t="shared" si="124"/>
        <v>1</v>
      </c>
      <c r="E630" s="24" t="str">
        <f t="shared" si="139"/>
        <v/>
      </c>
      <c r="F630" s="24">
        <f t="shared" si="125"/>
        <v>0</v>
      </c>
      <c r="G630" s="24" t="str">
        <f t="shared" si="140"/>
        <v>URBSNF3024BK</v>
      </c>
      <c r="H630" s="24">
        <f t="shared" si="126"/>
        <v>1</v>
      </c>
      <c r="I630" s="24" t="str">
        <f t="shared" si="141"/>
        <v/>
      </c>
      <c r="J630" s="24">
        <f t="shared" si="127"/>
        <v>0</v>
      </c>
      <c r="K630" s="24" t="str">
        <f t="shared" si="142"/>
        <v>F3</v>
      </c>
      <c r="L630" s="24" t="str">
        <f>VLOOKUP(N630,CODE!K:P,CODE!$P$1,FALSE)</f>
        <v>모자</v>
      </c>
      <c r="M630" s="24" t="str">
        <f>VLOOKUP(MID(R630,1,3),CODE!$B:$G,CODE!D$1,FALSE)</f>
        <v>URB</v>
      </c>
      <c r="N630" s="24" t="str">
        <f t="shared" si="143"/>
        <v>SN</v>
      </c>
      <c r="O630" s="29" t="str">
        <f>IF(ISERROR(IF(VLOOKUP($N630,CODE!$K:$P,CODE!$O$1,FALSE)="",$M630,$M630&amp;"-"&amp;VLOOKUP($N630,CODE!$K:$P,CODE!$O$1,FALSE)))=TRUE,"",IF(VLOOKUP($N630,CODE!$K:$P,CODE!$O$1,FALSE)="",$M630,$M630&amp;"-"&amp;VLOOKUP($N630,CODE!$K:$P,CODE!$O$1,FALSE)))</f>
        <v>URB</v>
      </c>
      <c r="P630" s="29" t="str">
        <f t="shared" si="129"/>
        <v>성인</v>
      </c>
      <c r="Q630" s="29" t="str">
        <f t="shared" si="144"/>
        <v>URBSNF3024</v>
      </c>
      <c r="R630" s="1" t="s">
        <v>1468</v>
      </c>
      <c r="S630" s="1" t="s">
        <v>14</v>
      </c>
      <c r="T630" s="26">
        <v>750</v>
      </c>
      <c r="U630" s="26">
        <v>32250000</v>
      </c>
      <c r="V630" s="26">
        <v>4019175.0000000005</v>
      </c>
      <c r="W630" s="26">
        <v>7.2945770756888697</v>
      </c>
      <c r="X630" s="26">
        <v>748</v>
      </c>
      <c r="Y630" s="26">
        <v>0</v>
      </c>
    </row>
    <row r="631" spans="1:25">
      <c r="A631" s="24" t="str">
        <f t="shared" si="137"/>
        <v>신규</v>
      </c>
      <c r="B631" s="24" t="str">
        <f>IF(COUNTIF(R$1:R630,R631)=0,"최초","리오더")</f>
        <v>최초</v>
      </c>
      <c r="C631" s="24" t="str">
        <f t="shared" si="138"/>
        <v>URBSNF3025</v>
      </c>
      <c r="D631" s="24">
        <f t="shared" si="124"/>
        <v>1</v>
      </c>
      <c r="E631" s="24" t="str">
        <f t="shared" si="139"/>
        <v/>
      </c>
      <c r="F631" s="24">
        <f t="shared" si="125"/>
        <v>0</v>
      </c>
      <c r="G631" s="24" t="str">
        <f t="shared" si="140"/>
        <v>URBSNF3025GY</v>
      </c>
      <c r="H631" s="24">
        <f t="shared" si="126"/>
        <v>1</v>
      </c>
      <c r="I631" s="24" t="str">
        <f t="shared" si="141"/>
        <v/>
      </c>
      <c r="J631" s="24">
        <f t="shared" si="127"/>
        <v>0</v>
      </c>
      <c r="K631" s="24" t="str">
        <f t="shared" si="142"/>
        <v>F3</v>
      </c>
      <c r="L631" s="24" t="str">
        <f>VLOOKUP(N631,CODE!K:P,CODE!$P$1,FALSE)</f>
        <v>모자</v>
      </c>
      <c r="M631" s="24" t="str">
        <f>VLOOKUP(MID(R631,1,3),CODE!$B:$G,CODE!D$1,FALSE)</f>
        <v>URB</v>
      </c>
      <c r="N631" s="24" t="str">
        <f t="shared" si="143"/>
        <v>SN</v>
      </c>
      <c r="O631" s="29" t="str">
        <f>IF(ISERROR(IF(VLOOKUP($N631,CODE!$K:$P,CODE!$O$1,FALSE)="",$M631,$M631&amp;"-"&amp;VLOOKUP($N631,CODE!$K:$P,CODE!$O$1,FALSE)))=TRUE,"",IF(VLOOKUP($N631,CODE!$K:$P,CODE!$O$1,FALSE)="",$M631,$M631&amp;"-"&amp;VLOOKUP($N631,CODE!$K:$P,CODE!$O$1,FALSE)))</f>
        <v>URB</v>
      </c>
      <c r="P631" s="29" t="str">
        <f t="shared" si="129"/>
        <v>성인</v>
      </c>
      <c r="Q631" s="29" t="str">
        <f t="shared" si="144"/>
        <v>URBSNF3025</v>
      </c>
      <c r="R631" s="1" t="s">
        <v>1469</v>
      </c>
      <c r="S631" s="1" t="s">
        <v>14</v>
      </c>
      <c r="T631" s="26">
        <v>500</v>
      </c>
      <c r="U631" s="26">
        <v>21500000</v>
      </c>
      <c r="V631" s="26">
        <v>2696950.0000000005</v>
      </c>
      <c r="W631" s="26">
        <v>7.2472439405456308</v>
      </c>
      <c r="X631" s="26">
        <v>499</v>
      </c>
      <c r="Y631" s="26">
        <v>0</v>
      </c>
    </row>
    <row r="632" spans="1:25">
      <c r="A632" s="24" t="str">
        <f t="shared" si="137"/>
        <v>신규</v>
      </c>
      <c r="B632" s="24" t="str">
        <f>IF(COUNTIF(R$1:R631,R632)=0,"최초","리오더")</f>
        <v>최초</v>
      </c>
      <c r="C632" s="24" t="str">
        <f t="shared" si="138"/>
        <v>URBSNF3026</v>
      </c>
      <c r="D632" s="24">
        <f t="shared" si="124"/>
        <v>1</v>
      </c>
      <c r="E632" s="24" t="str">
        <f t="shared" si="139"/>
        <v/>
      </c>
      <c r="F632" s="24">
        <f t="shared" si="125"/>
        <v>0</v>
      </c>
      <c r="G632" s="24" t="str">
        <f t="shared" si="140"/>
        <v>URBSNF3026YE</v>
      </c>
      <c r="H632" s="24">
        <f t="shared" si="126"/>
        <v>1</v>
      </c>
      <c r="I632" s="24" t="str">
        <f t="shared" si="141"/>
        <v/>
      </c>
      <c r="J632" s="24">
        <f t="shared" si="127"/>
        <v>0</v>
      </c>
      <c r="K632" s="24" t="str">
        <f t="shared" si="142"/>
        <v>F3</v>
      </c>
      <c r="L632" s="24" t="str">
        <f>VLOOKUP(N632,CODE!K:P,CODE!$P$1,FALSE)</f>
        <v>모자</v>
      </c>
      <c r="M632" s="24" t="str">
        <f>VLOOKUP(MID(R632,1,3),CODE!$B:$G,CODE!D$1,FALSE)</f>
        <v>URB</v>
      </c>
      <c r="N632" s="24" t="str">
        <f t="shared" si="143"/>
        <v>SN</v>
      </c>
      <c r="O632" s="29" t="str">
        <f>IF(ISERROR(IF(VLOOKUP($N632,CODE!$K:$P,CODE!$O$1,FALSE)="",$M632,$M632&amp;"-"&amp;VLOOKUP($N632,CODE!$K:$P,CODE!$O$1,FALSE)))=TRUE,"",IF(VLOOKUP($N632,CODE!$K:$P,CODE!$O$1,FALSE)="",$M632,$M632&amp;"-"&amp;VLOOKUP($N632,CODE!$K:$P,CODE!$O$1,FALSE)))</f>
        <v>URB</v>
      </c>
      <c r="P632" s="29" t="str">
        <f t="shared" si="129"/>
        <v>성인</v>
      </c>
      <c r="Q632" s="29" t="str">
        <f t="shared" si="144"/>
        <v>URBSNF3026</v>
      </c>
      <c r="R632" s="1" t="s">
        <v>1470</v>
      </c>
      <c r="S632" s="1" t="s">
        <v>14</v>
      </c>
      <c r="T632" s="26">
        <v>500</v>
      </c>
      <c r="U632" s="26">
        <v>24500000</v>
      </c>
      <c r="V632" s="26">
        <v>2916910</v>
      </c>
      <c r="W632" s="26">
        <v>7.6357265986016944</v>
      </c>
      <c r="X632" s="26">
        <v>500</v>
      </c>
      <c r="Y632" s="26">
        <v>0</v>
      </c>
    </row>
    <row r="633" spans="1:25">
      <c r="A633" s="24" t="str">
        <f t="shared" si="137"/>
        <v>신규</v>
      </c>
      <c r="B633" s="24" t="str">
        <f>IF(COUNTIF(R$1:R632,R633)=0,"최초","리오더")</f>
        <v>최초</v>
      </c>
      <c r="C633" s="24" t="str">
        <f t="shared" si="138"/>
        <v>URBSNF3027</v>
      </c>
      <c r="D633" s="24">
        <f t="shared" si="124"/>
        <v>1</v>
      </c>
      <c r="E633" s="24" t="str">
        <f t="shared" si="139"/>
        <v/>
      </c>
      <c r="F633" s="24">
        <f t="shared" si="125"/>
        <v>0</v>
      </c>
      <c r="G633" s="24" t="str">
        <f t="shared" si="140"/>
        <v>URBSNF3027WH</v>
      </c>
      <c r="H633" s="24">
        <f t="shared" si="126"/>
        <v>1</v>
      </c>
      <c r="I633" s="24" t="str">
        <f t="shared" si="141"/>
        <v/>
      </c>
      <c r="J633" s="24">
        <f t="shared" si="127"/>
        <v>0</v>
      </c>
      <c r="K633" s="24" t="str">
        <f t="shared" si="142"/>
        <v>F3</v>
      </c>
      <c r="L633" s="24" t="str">
        <f>VLOOKUP(N633,CODE!K:P,CODE!$P$1,FALSE)</f>
        <v>모자</v>
      </c>
      <c r="M633" s="24" t="str">
        <f>VLOOKUP(MID(R633,1,3),CODE!$B:$G,CODE!D$1,FALSE)</f>
        <v>URB</v>
      </c>
      <c r="N633" s="24" t="str">
        <f t="shared" si="143"/>
        <v>SN</v>
      </c>
      <c r="O633" s="29" t="str">
        <f>IF(ISERROR(IF(VLOOKUP($N633,CODE!$K:$P,CODE!$O$1,FALSE)="",$M633,$M633&amp;"-"&amp;VLOOKUP($N633,CODE!$K:$P,CODE!$O$1,FALSE)))=TRUE,"",IF(VLOOKUP($N633,CODE!$K:$P,CODE!$O$1,FALSE)="",$M633,$M633&amp;"-"&amp;VLOOKUP($N633,CODE!$K:$P,CODE!$O$1,FALSE)))</f>
        <v>URB</v>
      </c>
      <c r="P633" s="29" t="str">
        <f t="shared" si="129"/>
        <v>성인</v>
      </c>
      <c r="Q633" s="29" t="str">
        <f t="shared" si="144"/>
        <v>URBSNF3027</v>
      </c>
      <c r="R633" s="1" t="s">
        <v>1471</v>
      </c>
      <c r="S633" s="1" t="s">
        <v>14</v>
      </c>
      <c r="T633" s="26">
        <v>500</v>
      </c>
      <c r="U633" s="26">
        <v>24500000</v>
      </c>
      <c r="V633" s="26">
        <v>2991910</v>
      </c>
      <c r="W633" s="26">
        <v>7.4443172664710069</v>
      </c>
      <c r="X633" s="26">
        <v>499</v>
      </c>
      <c r="Y633" s="26">
        <v>0</v>
      </c>
    </row>
    <row r="634" spans="1:25">
      <c r="A634" s="24" t="str">
        <f t="shared" si="137"/>
        <v>신규</v>
      </c>
      <c r="B634" s="24" t="str">
        <f>IF(COUNTIF(R$1:R633,R634)=0,"최초","리오더")</f>
        <v>최초</v>
      </c>
      <c r="C634" s="24" t="str">
        <f t="shared" si="138"/>
        <v>URBSNF3022</v>
      </c>
      <c r="D634" s="24">
        <f t="shared" si="124"/>
        <v>1</v>
      </c>
      <c r="E634" s="24" t="str">
        <f t="shared" si="139"/>
        <v/>
      </c>
      <c r="F634" s="24">
        <f t="shared" si="125"/>
        <v>0</v>
      </c>
      <c r="G634" s="24" t="str">
        <f t="shared" si="140"/>
        <v>URBSNF3022BK</v>
      </c>
      <c r="H634" s="24">
        <f t="shared" si="126"/>
        <v>1</v>
      </c>
      <c r="I634" s="24" t="str">
        <f t="shared" si="141"/>
        <v/>
      </c>
      <c r="J634" s="24">
        <f t="shared" si="127"/>
        <v>0</v>
      </c>
      <c r="K634" s="24" t="str">
        <f t="shared" si="142"/>
        <v>F3</v>
      </c>
      <c r="L634" s="24" t="str">
        <f>VLOOKUP(N634,CODE!K:P,CODE!$P$1,FALSE)</f>
        <v>모자</v>
      </c>
      <c r="M634" s="24" t="str">
        <f>VLOOKUP(MID(R634,1,3),CODE!$B:$G,CODE!D$1,FALSE)</f>
        <v>URB</v>
      </c>
      <c r="N634" s="24" t="str">
        <f t="shared" si="143"/>
        <v>SN</v>
      </c>
      <c r="O634" s="29" t="str">
        <f>IF(ISERROR(IF(VLOOKUP($N634,CODE!$K:$P,CODE!$O$1,FALSE)="",$M634,$M634&amp;"-"&amp;VLOOKUP($N634,CODE!$K:$P,CODE!$O$1,FALSE)))=TRUE,"",IF(VLOOKUP($N634,CODE!$K:$P,CODE!$O$1,FALSE)="",$M634,$M634&amp;"-"&amp;VLOOKUP($N634,CODE!$K:$P,CODE!$O$1,FALSE)))</f>
        <v>URB</v>
      </c>
      <c r="P634" s="29" t="str">
        <f t="shared" si="129"/>
        <v>성인</v>
      </c>
      <c r="Q634" s="29" t="str">
        <f t="shared" si="144"/>
        <v>URBSNF3022</v>
      </c>
      <c r="R634" s="1" t="s">
        <v>1466</v>
      </c>
      <c r="S634" s="1" t="s">
        <v>14</v>
      </c>
      <c r="T634" s="26">
        <v>750</v>
      </c>
      <c r="U634" s="26">
        <v>32250000</v>
      </c>
      <c r="V634" s="26">
        <v>3272625</v>
      </c>
      <c r="W634" s="26">
        <v>8.9586132899986453</v>
      </c>
      <c r="X634" s="26">
        <v>738</v>
      </c>
      <c r="Y634" s="26">
        <v>0</v>
      </c>
    </row>
    <row r="635" spans="1:25">
      <c r="A635" s="24" t="str">
        <f t="shared" si="137"/>
        <v>신규</v>
      </c>
      <c r="B635" s="24" t="str">
        <f>IF(COUNTIF(R$1:R634,R635)=0,"최초","리오더")</f>
        <v>최초</v>
      </c>
      <c r="C635" s="24" t="str">
        <f t="shared" si="138"/>
        <v>URBSNF3023</v>
      </c>
      <c r="D635" s="24">
        <f t="shared" si="124"/>
        <v>1</v>
      </c>
      <c r="E635" s="24" t="str">
        <f t="shared" si="139"/>
        <v/>
      </c>
      <c r="F635" s="24">
        <f t="shared" si="125"/>
        <v>0</v>
      </c>
      <c r="G635" s="24" t="str">
        <f t="shared" si="140"/>
        <v>URBSNF3023BK</v>
      </c>
      <c r="H635" s="24">
        <f t="shared" si="126"/>
        <v>1</v>
      </c>
      <c r="I635" s="24" t="str">
        <f t="shared" si="141"/>
        <v/>
      </c>
      <c r="J635" s="24">
        <f t="shared" si="127"/>
        <v>0</v>
      </c>
      <c r="K635" s="24" t="str">
        <f t="shared" si="142"/>
        <v>F3</v>
      </c>
      <c r="L635" s="24" t="str">
        <f>VLOOKUP(N635,CODE!K:P,CODE!$P$1,FALSE)</f>
        <v>모자</v>
      </c>
      <c r="M635" s="24" t="str">
        <f>VLOOKUP(MID(R635,1,3),CODE!$B:$G,CODE!D$1,FALSE)</f>
        <v>URB</v>
      </c>
      <c r="N635" s="24" t="str">
        <f t="shared" si="143"/>
        <v>SN</v>
      </c>
      <c r="O635" s="29" t="str">
        <f>IF(ISERROR(IF(VLOOKUP($N635,CODE!$K:$P,CODE!$O$1,FALSE)="",$M635,$M635&amp;"-"&amp;VLOOKUP($N635,CODE!$K:$P,CODE!$O$1,FALSE)))=TRUE,"",IF(VLOOKUP($N635,CODE!$K:$P,CODE!$O$1,FALSE)="",$M635,$M635&amp;"-"&amp;VLOOKUP($N635,CODE!$K:$P,CODE!$O$1,FALSE)))</f>
        <v>URB</v>
      </c>
      <c r="P635" s="29" t="str">
        <f t="shared" si="129"/>
        <v>성인</v>
      </c>
      <c r="Q635" s="29" t="str">
        <f t="shared" si="144"/>
        <v>URBSNF3023</v>
      </c>
      <c r="R635" s="1" t="s">
        <v>1467</v>
      </c>
      <c r="S635" s="1" t="s">
        <v>14</v>
      </c>
      <c r="T635" s="26">
        <v>750</v>
      </c>
      <c r="U635" s="26">
        <v>32250000</v>
      </c>
      <c r="V635" s="26">
        <v>3090067.5</v>
      </c>
      <c r="W635" s="26">
        <v>9.4878774713438503</v>
      </c>
      <c r="X635" s="26">
        <v>750</v>
      </c>
      <c r="Y635" s="26">
        <v>0</v>
      </c>
    </row>
    <row r="636" spans="1:25">
      <c r="A636" s="24" t="str">
        <f t="shared" si="137"/>
        <v>신규</v>
      </c>
      <c r="B636" s="24" t="str">
        <f>IF(COUNTIF(R$1:R635,R636)=0,"최초","리오더")</f>
        <v>최초</v>
      </c>
      <c r="C636" s="24" t="str">
        <f t="shared" si="138"/>
        <v>SBRMIF3070</v>
      </c>
      <c r="D636" s="24">
        <f t="shared" si="124"/>
        <v>1</v>
      </c>
      <c r="E636" s="24" t="str">
        <f t="shared" si="139"/>
        <v/>
      </c>
      <c r="F636" s="24">
        <f t="shared" si="125"/>
        <v>0</v>
      </c>
      <c r="G636" s="24" t="str">
        <f t="shared" si="140"/>
        <v>SBRMIF3070BK</v>
      </c>
      <c r="H636" s="24">
        <f t="shared" si="126"/>
        <v>1</v>
      </c>
      <c r="I636" s="24" t="str">
        <f t="shared" si="141"/>
        <v/>
      </c>
      <c r="J636" s="24">
        <f t="shared" si="127"/>
        <v>0</v>
      </c>
      <c r="K636" s="24" t="str">
        <f t="shared" si="142"/>
        <v>F3</v>
      </c>
      <c r="L636" s="24" t="str">
        <f>VLOOKUP(N636,CODE!K:P,CODE!$P$1,FALSE)</f>
        <v>모자</v>
      </c>
      <c r="M636" s="24" t="str">
        <f>VLOOKUP(MID(R636,1,3),CODE!$B:$G,CODE!D$1,FALSE)</f>
        <v>SBR</v>
      </c>
      <c r="N636" s="24" t="str">
        <f t="shared" si="143"/>
        <v>MI</v>
      </c>
      <c r="O636" s="29" t="str">
        <f>IF(ISERROR(IF(VLOOKUP($N636,CODE!$K:$P,CODE!$O$1,FALSE)="",$M636,$M636&amp;"-"&amp;VLOOKUP($N636,CODE!$K:$P,CODE!$O$1,FALSE)))=TRUE,"",IF(VLOOKUP($N636,CODE!$K:$P,CODE!$O$1,FALSE)="",$M636,$M636&amp;"-"&amp;VLOOKUP($N636,CODE!$K:$P,CODE!$O$1,FALSE)))</f>
        <v>SBR</v>
      </c>
      <c r="P636" s="29" t="str">
        <f t="shared" si="129"/>
        <v>성인</v>
      </c>
      <c r="Q636" s="29" t="str">
        <f t="shared" si="144"/>
        <v>SBRMIF3070</v>
      </c>
      <c r="R636" s="1" t="s">
        <v>1472</v>
      </c>
      <c r="S636" s="1" t="s">
        <v>14</v>
      </c>
      <c r="T636" s="26">
        <v>1500</v>
      </c>
      <c r="U636" s="26">
        <v>67500000</v>
      </c>
      <c r="V636" s="26">
        <v>8431350</v>
      </c>
      <c r="W636" s="26">
        <v>7.278032149494015</v>
      </c>
      <c r="X636" s="26">
        <v>1499</v>
      </c>
      <c r="Y636" s="26">
        <v>0</v>
      </c>
    </row>
    <row r="637" spans="1:25">
      <c r="A637" s="24" t="str">
        <f t="shared" si="137"/>
        <v>러닝</v>
      </c>
      <c r="B637" s="24" t="str">
        <f>IF(COUNTIF(R$1:R636,R637)=0,"최초","리오더")</f>
        <v>최초</v>
      </c>
      <c r="C637" s="24" t="str">
        <f t="shared" si="138"/>
        <v>URBFIF3438</v>
      </c>
      <c r="D637" s="24">
        <f t="shared" si="124"/>
        <v>1</v>
      </c>
      <c r="E637" s="24" t="str">
        <f t="shared" si="139"/>
        <v/>
      </c>
      <c r="F637" s="24">
        <f t="shared" si="125"/>
        <v>0</v>
      </c>
      <c r="G637" s="24" t="str">
        <f t="shared" si="140"/>
        <v>URBFIF3438BK</v>
      </c>
      <c r="H637" s="24">
        <f t="shared" si="126"/>
        <v>1</v>
      </c>
      <c r="I637" s="24" t="str">
        <f t="shared" si="141"/>
        <v/>
      </c>
      <c r="J637" s="24">
        <f t="shared" si="127"/>
        <v>0</v>
      </c>
      <c r="K637" s="24" t="str">
        <f t="shared" si="142"/>
        <v>F3</v>
      </c>
      <c r="L637" s="24" t="str">
        <f>VLOOKUP(N637,CODE!K:P,CODE!$P$1,FALSE)</f>
        <v>모자</v>
      </c>
      <c r="M637" s="24" t="str">
        <f>VLOOKUP(MID(R637,1,3),CODE!$B:$G,CODE!D$1,FALSE)</f>
        <v>URB</v>
      </c>
      <c r="N637" s="24" t="str">
        <f t="shared" si="143"/>
        <v>FI</v>
      </c>
      <c r="O637" s="29" t="str">
        <f>IF(ISERROR(IF(VLOOKUP($N637,CODE!$K:$P,CODE!$O$1,FALSE)="",$M637,$M637&amp;"-"&amp;VLOOKUP($N637,CODE!$K:$P,CODE!$O$1,FALSE)))=TRUE,"",IF(VLOOKUP($N637,CODE!$K:$P,CODE!$O$1,FALSE)="",$M637,$M637&amp;"-"&amp;VLOOKUP($N637,CODE!$K:$P,CODE!$O$1,FALSE)))</f>
        <v>URB</v>
      </c>
      <c r="P637" s="29" t="str">
        <f t="shared" si="129"/>
        <v>성인</v>
      </c>
      <c r="Q637" s="29" t="str">
        <f t="shared" si="144"/>
        <v>URBFIF3438</v>
      </c>
      <c r="R637" s="1" t="s">
        <v>1473</v>
      </c>
      <c r="S637" s="1" t="s">
        <v>14</v>
      </c>
      <c r="T637" s="26">
        <v>1500</v>
      </c>
      <c r="U637" s="26">
        <v>67500000</v>
      </c>
      <c r="V637" s="26">
        <v>13035000</v>
      </c>
      <c r="W637" s="26">
        <v>4.7076053980541888</v>
      </c>
      <c r="X637" s="26">
        <v>1461</v>
      </c>
      <c r="Y637" s="26">
        <v>0</v>
      </c>
    </row>
    <row r="638" spans="1:25">
      <c r="A638" s="24" t="str">
        <f t="shared" si="137"/>
        <v>러닝</v>
      </c>
      <c r="B638" s="24" t="str">
        <f>IF(COUNTIF(R$1:R637,R638)=0,"최초","리오더")</f>
        <v>최초</v>
      </c>
      <c r="C638" s="24" t="str">
        <f t="shared" si="138"/>
        <v>URBFIF3441</v>
      </c>
      <c r="D638" s="24">
        <f t="shared" si="124"/>
        <v>1</v>
      </c>
      <c r="E638" s="24" t="str">
        <f t="shared" si="139"/>
        <v/>
      </c>
      <c r="F638" s="24">
        <f t="shared" si="125"/>
        <v>0</v>
      </c>
      <c r="G638" s="24" t="str">
        <f t="shared" si="140"/>
        <v>URBFIF3441NY</v>
      </c>
      <c r="H638" s="24">
        <f t="shared" si="126"/>
        <v>1</v>
      </c>
      <c r="I638" s="24" t="str">
        <f t="shared" si="141"/>
        <v/>
      </c>
      <c r="J638" s="24">
        <f t="shared" si="127"/>
        <v>0</v>
      </c>
      <c r="K638" s="24" t="str">
        <f t="shared" si="142"/>
        <v>F3</v>
      </c>
      <c r="L638" s="24" t="str">
        <f>VLOOKUP(N638,CODE!K:P,CODE!$P$1,FALSE)</f>
        <v>모자</v>
      </c>
      <c r="M638" s="24" t="str">
        <f>VLOOKUP(MID(R638,1,3),CODE!$B:$G,CODE!D$1,FALSE)</f>
        <v>URB</v>
      </c>
      <c r="N638" s="24" t="str">
        <f t="shared" si="143"/>
        <v>FI</v>
      </c>
      <c r="O638" s="29" t="str">
        <f>IF(ISERROR(IF(VLOOKUP($N638,CODE!$K:$P,CODE!$O$1,FALSE)="",$M638,$M638&amp;"-"&amp;VLOOKUP($N638,CODE!$K:$P,CODE!$O$1,FALSE)))=TRUE,"",IF(VLOOKUP($N638,CODE!$K:$P,CODE!$O$1,FALSE)="",$M638,$M638&amp;"-"&amp;VLOOKUP($N638,CODE!$K:$P,CODE!$O$1,FALSE)))</f>
        <v>URB</v>
      </c>
      <c r="P638" s="29" t="str">
        <f t="shared" si="129"/>
        <v>성인</v>
      </c>
      <c r="Q638" s="29" t="str">
        <f t="shared" si="144"/>
        <v>URBFIF3441</v>
      </c>
      <c r="R638" s="1" t="s">
        <v>1474</v>
      </c>
      <c r="S638" s="1" t="s">
        <v>14</v>
      </c>
      <c r="T638" s="26">
        <v>1200</v>
      </c>
      <c r="U638" s="26">
        <v>51600000</v>
      </c>
      <c r="V638" s="26">
        <v>6259627.1999999993</v>
      </c>
      <c r="W638" s="26">
        <v>7.4939112842200748</v>
      </c>
      <c r="X638" s="26">
        <v>1197</v>
      </c>
      <c r="Y638" s="26">
        <v>0</v>
      </c>
    </row>
    <row r="639" spans="1:25">
      <c r="A639" s="24" t="str">
        <f t="shared" si="137"/>
        <v>러닝</v>
      </c>
      <c r="B639" s="24" t="str">
        <f>IF(COUNTIF(R$1:R638,R639)=0,"최초","리오더")</f>
        <v>최초</v>
      </c>
      <c r="C639" s="24" t="str">
        <f t="shared" si="138"/>
        <v>URBFIF3418</v>
      </c>
      <c r="D639" s="24">
        <f t="shared" si="124"/>
        <v>1</v>
      </c>
      <c r="E639" s="24" t="str">
        <f t="shared" si="139"/>
        <v/>
      </c>
      <c r="F639" s="24">
        <f t="shared" si="125"/>
        <v>0</v>
      </c>
      <c r="G639" s="24" t="str">
        <f t="shared" si="140"/>
        <v>URBFIF3418RE</v>
      </c>
      <c r="H639" s="24">
        <f t="shared" si="126"/>
        <v>1</v>
      </c>
      <c r="I639" s="24" t="str">
        <f t="shared" si="141"/>
        <v/>
      </c>
      <c r="J639" s="24">
        <f t="shared" si="127"/>
        <v>0</v>
      </c>
      <c r="K639" s="24" t="str">
        <f t="shared" si="142"/>
        <v>F3</v>
      </c>
      <c r="L639" s="24" t="str">
        <f>VLOOKUP(N639,CODE!K:P,CODE!$P$1,FALSE)</f>
        <v>모자</v>
      </c>
      <c r="M639" s="24" t="str">
        <f>VLOOKUP(MID(R639,1,3),CODE!$B:$G,CODE!D$1,FALSE)</f>
        <v>URB</v>
      </c>
      <c r="N639" s="24" t="str">
        <f t="shared" si="143"/>
        <v>FI</v>
      </c>
      <c r="O639" s="29" t="str">
        <f>IF(ISERROR(IF(VLOOKUP($N639,CODE!$K:$P,CODE!$O$1,FALSE)="",$M639,$M639&amp;"-"&amp;VLOOKUP($N639,CODE!$K:$P,CODE!$O$1,FALSE)))=TRUE,"",IF(VLOOKUP($N639,CODE!$K:$P,CODE!$O$1,FALSE)="",$M639,$M639&amp;"-"&amp;VLOOKUP($N639,CODE!$K:$P,CODE!$O$1,FALSE)))</f>
        <v>URB</v>
      </c>
      <c r="P639" s="29" t="str">
        <f t="shared" si="129"/>
        <v>성인</v>
      </c>
      <c r="Q639" s="29" t="str">
        <f t="shared" si="144"/>
        <v>URBFIF3418</v>
      </c>
      <c r="R639" s="1" t="s">
        <v>1475</v>
      </c>
      <c r="S639" s="1" t="s">
        <v>14</v>
      </c>
      <c r="T639" s="26">
        <v>1500</v>
      </c>
      <c r="U639" s="26">
        <v>64500000</v>
      </c>
      <c r="V639" s="26">
        <v>7327011.0000000019</v>
      </c>
      <c r="W639" s="26">
        <v>8.0027672452468845</v>
      </c>
      <c r="X639" s="26">
        <v>1500</v>
      </c>
      <c r="Y639" s="26">
        <v>0</v>
      </c>
    </row>
    <row r="640" spans="1:25">
      <c r="A640" s="24" t="str">
        <f t="shared" si="137"/>
        <v>러닝</v>
      </c>
      <c r="B640" s="24" t="str">
        <f>IF(COUNTIF(R$1:R639,R640)=0,"최초","리오더")</f>
        <v>최초</v>
      </c>
      <c r="C640" s="24" t="str">
        <f t="shared" si="138"/>
        <v>URBFIF3407</v>
      </c>
      <c r="D640" s="24">
        <f t="shared" si="124"/>
        <v>1</v>
      </c>
      <c r="E640" s="24" t="str">
        <f t="shared" si="139"/>
        <v/>
      </c>
      <c r="F640" s="24">
        <f t="shared" si="125"/>
        <v>0</v>
      </c>
      <c r="G640" s="24" t="str">
        <f t="shared" si="140"/>
        <v>URBFIF3407GY</v>
      </c>
      <c r="H640" s="24">
        <f t="shared" si="126"/>
        <v>1</v>
      </c>
      <c r="I640" s="24" t="str">
        <f t="shared" si="141"/>
        <v/>
      </c>
      <c r="J640" s="24">
        <f t="shared" si="127"/>
        <v>0</v>
      </c>
      <c r="K640" s="24" t="str">
        <f t="shared" si="142"/>
        <v>F3</v>
      </c>
      <c r="L640" s="24" t="str">
        <f>VLOOKUP(N640,CODE!K:P,CODE!$P$1,FALSE)</f>
        <v>모자</v>
      </c>
      <c r="M640" s="24" t="str">
        <f>VLOOKUP(MID(R640,1,3),CODE!$B:$G,CODE!D$1,FALSE)</f>
        <v>URB</v>
      </c>
      <c r="N640" s="24" t="str">
        <f t="shared" si="143"/>
        <v>FI</v>
      </c>
      <c r="O640" s="29" t="str">
        <f>IF(ISERROR(IF(VLOOKUP($N640,CODE!$K:$P,CODE!$O$1,FALSE)="",$M640,$M640&amp;"-"&amp;VLOOKUP($N640,CODE!$K:$P,CODE!$O$1,FALSE)))=TRUE,"",IF(VLOOKUP($N640,CODE!$K:$P,CODE!$O$1,FALSE)="",$M640,$M640&amp;"-"&amp;VLOOKUP($N640,CODE!$K:$P,CODE!$O$1,FALSE)))</f>
        <v>URB</v>
      </c>
      <c r="P640" s="29" t="str">
        <f t="shared" si="129"/>
        <v>성인</v>
      </c>
      <c r="Q640" s="29" t="str">
        <f t="shared" si="144"/>
        <v>URBFIF3407</v>
      </c>
      <c r="R640" s="1" t="s">
        <v>1476</v>
      </c>
      <c r="S640" s="1" t="s">
        <v>14</v>
      </c>
      <c r="T640" s="26">
        <v>1500</v>
      </c>
      <c r="U640" s="26">
        <v>52500000</v>
      </c>
      <c r="V640" s="26">
        <v>6671484</v>
      </c>
      <c r="W640" s="26">
        <v>7.1539214854255402</v>
      </c>
      <c r="X640" s="26">
        <v>1500</v>
      </c>
      <c r="Y640" s="26">
        <v>0</v>
      </c>
    </row>
    <row r="641" spans="1:25">
      <c r="A641" s="24" t="str">
        <f t="shared" si="137"/>
        <v>러닝</v>
      </c>
      <c r="B641" s="24" t="str">
        <f>IF(COUNTIF(R$1:R640,R641)=0,"최초","리오더")</f>
        <v>리오더</v>
      </c>
      <c r="C641" s="24" t="str">
        <f t="shared" si="138"/>
        <v/>
      </c>
      <c r="D641" s="24">
        <f t="shared" si="124"/>
        <v>0</v>
      </c>
      <c r="E641" s="24" t="str">
        <f t="shared" si="139"/>
        <v>URBFIF3408</v>
      </c>
      <c r="F641" s="24">
        <f t="shared" si="125"/>
        <v>1</v>
      </c>
      <c r="G641" s="24" t="str">
        <f t="shared" si="140"/>
        <v/>
      </c>
      <c r="H641" s="24">
        <f t="shared" si="126"/>
        <v>0</v>
      </c>
      <c r="I641" s="24" t="str">
        <f t="shared" si="141"/>
        <v>URBFIF3408BK</v>
      </c>
      <c r="J641" s="24">
        <f t="shared" si="127"/>
        <v>1</v>
      </c>
      <c r="K641" s="24" t="str">
        <f t="shared" si="142"/>
        <v>F3</v>
      </c>
      <c r="L641" s="24" t="str">
        <f>VLOOKUP(N641,CODE!K:P,CODE!$P$1,FALSE)</f>
        <v>모자</v>
      </c>
      <c r="M641" s="24" t="str">
        <f>VLOOKUP(MID(R641,1,3),CODE!$B:$G,CODE!D$1,FALSE)</f>
        <v>URB</v>
      </c>
      <c r="N641" s="24" t="str">
        <f t="shared" si="143"/>
        <v>FI</v>
      </c>
      <c r="O641" s="29" t="str">
        <f>IF(ISERROR(IF(VLOOKUP($N641,CODE!$K:$P,CODE!$O$1,FALSE)="",$M641,$M641&amp;"-"&amp;VLOOKUP($N641,CODE!$K:$P,CODE!$O$1,FALSE)))=TRUE,"",IF(VLOOKUP($N641,CODE!$K:$P,CODE!$O$1,FALSE)="",$M641,$M641&amp;"-"&amp;VLOOKUP($N641,CODE!$K:$P,CODE!$O$1,FALSE)))</f>
        <v>URB</v>
      </c>
      <c r="P641" s="29" t="str">
        <f t="shared" si="129"/>
        <v>성인</v>
      </c>
      <c r="Q641" s="29" t="str">
        <f t="shared" si="144"/>
        <v>URBFIF3408</v>
      </c>
      <c r="R641" s="1" t="s">
        <v>1444</v>
      </c>
      <c r="S641" s="1" t="s">
        <v>14</v>
      </c>
      <c r="T641" s="26">
        <v>800</v>
      </c>
      <c r="U641" s="26">
        <v>28000000</v>
      </c>
      <c r="V641" s="26">
        <v>2910716.8000000007</v>
      </c>
      <c r="W641" s="26">
        <v>8.7451123567038351</v>
      </c>
      <c r="X641" s="26">
        <v>800</v>
      </c>
      <c r="Y641" s="26">
        <v>0</v>
      </c>
    </row>
    <row r="642" spans="1:25">
      <c r="A642" s="24" t="str">
        <f t="shared" si="137"/>
        <v>러닝</v>
      </c>
      <c r="B642" s="24" t="str">
        <f>IF(COUNTIF(R$1:R641,R642)=0,"최초","리오더")</f>
        <v>최초</v>
      </c>
      <c r="C642" s="24" t="str">
        <f t="shared" si="138"/>
        <v>URBFIF3307</v>
      </c>
      <c r="D642" s="24">
        <f t="shared" ref="D642:D705" si="145">IF(C642="",0,1/COUNTIF(C:C,C642))</f>
        <v>1</v>
      </c>
      <c r="E642" s="24" t="str">
        <f t="shared" si="139"/>
        <v/>
      </c>
      <c r="F642" s="24">
        <f t="shared" ref="F642:F705" si="146">IF(E642="",0,1/COUNTIF(E:E,E642))</f>
        <v>0</v>
      </c>
      <c r="G642" s="24" t="str">
        <f t="shared" si="140"/>
        <v>URBFIF3307BK</v>
      </c>
      <c r="H642" s="24">
        <f t="shared" ref="H642:H705" si="147">IF(G642="",0,1/COUNTIF(G:G,G642))</f>
        <v>1</v>
      </c>
      <c r="I642" s="24" t="str">
        <f t="shared" si="141"/>
        <v/>
      </c>
      <c r="J642" s="24">
        <f t="shared" ref="J642:J705" si="148">IF(I642="",0,1/COUNTIF(I:I,I642))</f>
        <v>0</v>
      </c>
      <c r="K642" s="24" t="str">
        <f t="shared" si="142"/>
        <v>F3</v>
      </c>
      <c r="L642" s="24" t="str">
        <f>VLOOKUP(N642,CODE!K:P,CODE!$P$1,FALSE)</f>
        <v>모자</v>
      </c>
      <c r="M642" s="24" t="str">
        <f>VLOOKUP(MID(R642,1,3),CODE!$B:$G,CODE!D$1,FALSE)</f>
        <v>URB</v>
      </c>
      <c r="N642" s="24" t="str">
        <f t="shared" si="143"/>
        <v>FI</v>
      </c>
      <c r="O642" s="29" t="str">
        <f>IF(ISERROR(IF(VLOOKUP($N642,CODE!$K:$P,CODE!$O$1,FALSE)="",$M642,$M642&amp;"-"&amp;VLOOKUP($N642,CODE!$K:$P,CODE!$O$1,FALSE)))=TRUE,"",IF(VLOOKUP($N642,CODE!$K:$P,CODE!$O$1,FALSE)="",$M642,$M642&amp;"-"&amp;VLOOKUP($N642,CODE!$K:$P,CODE!$O$1,FALSE)))</f>
        <v>URB</v>
      </c>
      <c r="P642" s="29" t="str">
        <f t="shared" si="129"/>
        <v>성인</v>
      </c>
      <c r="Q642" s="29" t="str">
        <f t="shared" si="144"/>
        <v>URBFIF3307</v>
      </c>
      <c r="R642" s="1" t="s">
        <v>1477</v>
      </c>
      <c r="S642" s="1" t="s">
        <v>14</v>
      </c>
      <c r="T642" s="26">
        <v>2300</v>
      </c>
      <c r="U642" s="26">
        <v>112700000</v>
      </c>
      <c r="V642" s="26">
        <v>17204000</v>
      </c>
      <c r="W642" s="26">
        <v>5.9552746718522123</v>
      </c>
      <c r="X642" s="26">
        <v>2274</v>
      </c>
      <c r="Y642" s="26">
        <v>0</v>
      </c>
    </row>
    <row r="643" spans="1:25">
      <c r="A643" s="24" t="str">
        <f t="shared" si="137"/>
        <v>러닝</v>
      </c>
      <c r="B643" s="24" t="str">
        <f>IF(COUNTIF(R$1:R642,R643)=0,"최초","리오더")</f>
        <v>최초</v>
      </c>
      <c r="C643" s="24" t="str">
        <f t="shared" si="138"/>
        <v>URBFIF3306</v>
      </c>
      <c r="D643" s="24">
        <f t="shared" si="145"/>
        <v>1</v>
      </c>
      <c r="E643" s="24" t="str">
        <f t="shared" si="139"/>
        <v/>
      </c>
      <c r="F643" s="24">
        <f t="shared" si="146"/>
        <v>0</v>
      </c>
      <c r="G643" s="24" t="str">
        <f t="shared" si="140"/>
        <v>URBFIF3306BK</v>
      </c>
      <c r="H643" s="24">
        <f t="shared" si="147"/>
        <v>1</v>
      </c>
      <c r="I643" s="24" t="str">
        <f t="shared" si="141"/>
        <v/>
      </c>
      <c r="J643" s="24">
        <f t="shared" si="148"/>
        <v>0</v>
      </c>
      <c r="K643" s="24" t="str">
        <f t="shared" si="142"/>
        <v>F3</v>
      </c>
      <c r="L643" s="24" t="str">
        <f>VLOOKUP(N643,CODE!K:P,CODE!$P$1,FALSE)</f>
        <v>모자</v>
      </c>
      <c r="M643" s="24" t="str">
        <f>VLOOKUP(MID(R643,1,3),CODE!$B:$G,CODE!D$1,FALSE)</f>
        <v>URB</v>
      </c>
      <c r="N643" s="24" t="str">
        <f t="shared" si="143"/>
        <v>FI</v>
      </c>
      <c r="O643" s="29" t="str">
        <f>IF(ISERROR(IF(VLOOKUP($N643,CODE!$K:$P,CODE!$O$1,FALSE)="",$M643,$M643&amp;"-"&amp;VLOOKUP($N643,CODE!$K:$P,CODE!$O$1,FALSE)))=TRUE,"",IF(VLOOKUP($N643,CODE!$K:$P,CODE!$O$1,FALSE)="",$M643,$M643&amp;"-"&amp;VLOOKUP($N643,CODE!$K:$P,CODE!$O$1,FALSE)))</f>
        <v>URB</v>
      </c>
      <c r="P643" s="29" t="str">
        <f t="shared" ref="P643:P649" si="149">IF(OR(MID(R643,8,1)="0",MID(R643,8,1)="1",MID(R643,8,1)="2",MID(R643,8,1)="3",MID(R643,8,1)="4"),"성인","키즈")</f>
        <v>성인</v>
      </c>
      <c r="Q643" s="29" t="str">
        <f t="shared" si="144"/>
        <v>URBFIF3306</v>
      </c>
      <c r="R643" s="1" t="s">
        <v>1478</v>
      </c>
      <c r="S643" s="1" t="s">
        <v>14</v>
      </c>
      <c r="T643" s="26">
        <v>1100</v>
      </c>
      <c r="U643" s="26">
        <v>53900000</v>
      </c>
      <c r="V643" s="26">
        <v>8228000</v>
      </c>
      <c r="W643" s="26">
        <v>5.9552746718522123</v>
      </c>
      <c r="X643" s="26">
        <v>1100</v>
      </c>
      <c r="Y643" s="26">
        <v>0</v>
      </c>
    </row>
    <row r="644" spans="1:25">
      <c r="A644" s="24" t="str">
        <f t="shared" si="137"/>
        <v>신규</v>
      </c>
      <c r="B644" s="24" t="str">
        <f>IF(COUNTIF(R$1:R643,R644)=0,"최초","리오더")</f>
        <v>최초</v>
      </c>
      <c r="C644" s="24" t="str">
        <f t="shared" si="138"/>
        <v>ELSSNF3035</v>
      </c>
      <c r="D644" s="24">
        <f t="shared" si="145"/>
        <v>1</v>
      </c>
      <c r="E644" s="24" t="str">
        <f t="shared" si="139"/>
        <v/>
      </c>
      <c r="F644" s="24">
        <f t="shared" si="146"/>
        <v>0</v>
      </c>
      <c r="G644" s="24" t="str">
        <f t="shared" si="140"/>
        <v>ELSSNF3035BK</v>
      </c>
      <c r="H644" s="24">
        <f t="shared" si="147"/>
        <v>1</v>
      </c>
      <c r="I644" s="24" t="str">
        <f t="shared" si="141"/>
        <v/>
      </c>
      <c r="J644" s="24">
        <f t="shared" si="148"/>
        <v>0</v>
      </c>
      <c r="K644" s="24" t="str">
        <f t="shared" si="142"/>
        <v>F3</v>
      </c>
      <c r="L644" s="24" t="str">
        <f>VLOOKUP(N644,CODE!K:P,CODE!$P$1,FALSE)</f>
        <v>모자</v>
      </c>
      <c r="M644" s="24" t="str">
        <f>VLOOKUP(MID(R644,1,3),CODE!$B:$G,CODE!D$1,FALSE)</f>
        <v>ELS</v>
      </c>
      <c r="N644" s="24" t="str">
        <f t="shared" si="143"/>
        <v>SN</v>
      </c>
      <c r="O644" s="29" t="str">
        <f>IF(ISERROR(IF(VLOOKUP($N644,CODE!$K:$P,CODE!$O$1,FALSE)="",$M644,$M644&amp;"-"&amp;VLOOKUP($N644,CODE!$K:$P,CODE!$O$1,FALSE)))=TRUE,"",IF(VLOOKUP($N644,CODE!$K:$P,CODE!$O$1,FALSE)="",$M644,$M644&amp;"-"&amp;VLOOKUP($N644,CODE!$K:$P,CODE!$O$1,FALSE)))</f>
        <v>ELS</v>
      </c>
      <c r="P644" s="29" t="str">
        <f t="shared" si="149"/>
        <v>성인</v>
      </c>
      <c r="Q644" s="29" t="str">
        <f t="shared" si="144"/>
        <v>ELSSNF3035</v>
      </c>
      <c r="R644" s="1" t="s">
        <v>1505</v>
      </c>
      <c r="S644" s="1" t="s">
        <v>14</v>
      </c>
      <c r="T644" s="26">
        <v>1000</v>
      </c>
      <c r="U644" s="26">
        <v>45000000</v>
      </c>
      <c r="V644" s="26">
        <v>4036628</v>
      </c>
      <c r="W644" s="26">
        <v>10.13447137291098</v>
      </c>
      <c r="X644" s="26">
        <v>1000</v>
      </c>
      <c r="Y644" s="26">
        <v>0</v>
      </c>
    </row>
    <row r="645" spans="1:25">
      <c r="A645" s="24" t="str">
        <f t="shared" si="137"/>
        <v>신규</v>
      </c>
      <c r="B645" s="24" t="str">
        <f>IF(COUNTIF(R$1:R644,R645)=0,"최초","리오더")</f>
        <v>최초</v>
      </c>
      <c r="C645" s="24" t="str">
        <f t="shared" si="138"/>
        <v>ELSFIF3036</v>
      </c>
      <c r="D645" s="24">
        <f t="shared" si="145"/>
        <v>1</v>
      </c>
      <c r="E645" s="24" t="str">
        <f t="shared" si="139"/>
        <v/>
      </c>
      <c r="F645" s="24">
        <f t="shared" si="146"/>
        <v>0</v>
      </c>
      <c r="G645" s="24" t="str">
        <f t="shared" si="140"/>
        <v>ELSFIF3036BK</v>
      </c>
      <c r="H645" s="24">
        <f t="shared" si="147"/>
        <v>1</v>
      </c>
      <c r="I645" s="24" t="str">
        <f t="shared" si="141"/>
        <v/>
      </c>
      <c r="J645" s="24">
        <f t="shared" si="148"/>
        <v>0</v>
      </c>
      <c r="K645" s="24" t="str">
        <f t="shared" si="142"/>
        <v>F3</v>
      </c>
      <c r="L645" s="24" t="str">
        <f>VLOOKUP(N645,CODE!K:P,CODE!$P$1,FALSE)</f>
        <v>모자</v>
      </c>
      <c r="M645" s="24" t="str">
        <f>VLOOKUP(MID(R645,1,3),CODE!$B:$G,CODE!D$1,FALSE)</f>
        <v>ELS</v>
      </c>
      <c r="N645" s="24" t="str">
        <f t="shared" si="143"/>
        <v>FI</v>
      </c>
      <c r="O645" s="29" t="str">
        <f>IF(ISERROR(IF(VLOOKUP($N645,CODE!$K:$P,CODE!$O$1,FALSE)="",$M645,$M645&amp;"-"&amp;VLOOKUP($N645,CODE!$K:$P,CODE!$O$1,FALSE)))=TRUE,"",IF(VLOOKUP($N645,CODE!$K:$P,CODE!$O$1,FALSE)="",$M645,$M645&amp;"-"&amp;VLOOKUP($N645,CODE!$K:$P,CODE!$O$1,FALSE)))</f>
        <v>ELS</v>
      </c>
      <c r="P645" s="29" t="str">
        <f t="shared" si="149"/>
        <v>성인</v>
      </c>
      <c r="Q645" s="29" t="str">
        <f t="shared" si="144"/>
        <v>ELSFIF3036</v>
      </c>
      <c r="R645" s="1" t="s">
        <v>1506</v>
      </c>
      <c r="S645" s="1" t="s">
        <v>14</v>
      </c>
      <c r="T645" s="26">
        <v>1000</v>
      </c>
      <c r="U645" s="26">
        <v>49000000</v>
      </c>
      <c r="V645" s="26">
        <v>4201368</v>
      </c>
      <c r="W645" s="26">
        <v>10.602607185434492</v>
      </c>
      <c r="X645" s="26">
        <v>992</v>
      </c>
      <c r="Y645" s="26">
        <v>0</v>
      </c>
    </row>
    <row r="646" spans="1:25">
      <c r="A646" s="24" t="str">
        <f t="shared" si="137"/>
        <v>신규</v>
      </c>
      <c r="B646" s="24" t="str">
        <f>IF(COUNTIF(R$1:R645,R646)=0,"최초","리오더")</f>
        <v>최초</v>
      </c>
      <c r="C646" s="24" t="str">
        <f t="shared" si="138"/>
        <v>DPSBPF3501</v>
      </c>
      <c r="D646" s="24">
        <f t="shared" si="145"/>
        <v>1</v>
      </c>
      <c r="E646" s="24" t="str">
        <f t="shared" si="139"/>
        <v/>
      </c>
      <c r="F646" s="24">
        <f t="shared" si="146"/>
        <v>0</v>
      </c>
      <c r="G646" s="24" t="str">
        <f t="shared" si="140"/>
        <v>DPSBPF3501PK</v>
      </c>
      <c r="H646" s="24">
        <f t="shared" si="147"/>
        <v>1</v>
      </c>
      <c r="I646" s="24" t="str">
        <f t="shared" si="141"/>
        <v/>
      </c>
      <c r="J646" s="24">
        <f t="shared" si="148"/>
        <v>0</v>
      </c>
      <c r="K646" s="24" t="str">
        <f t="shared" si="142"/>
        <v>F3</v>
      </c>
      <c r="L646" s="24" t="str">
        <f>VLOOKUP(N646,CODE!K:P,CODE!$P$1,FALSE)</f>
        <v>가방</v>
      </c>
      <c r="M646" s="24" t="str">
        <f>VLOOKUP(MID(R646,1,3),CODE!$B:$G,CODE!D$1,FALSE)</f>
        <v>DPS</v>
      </c>
      <c r="N646" s="24" t="str">
        <f t="shared" si="143"/>
        <v>BP</v>
      </c>
      <c r="O646" s="29" t="str">
        <f>IF(ISERROR(IF(VLOOKUP($N646,CODE!$K:$P,CODE!$O$1,FALSE)="",$M646,$M646&amp;"-"&amp;VLOOKUP($N646,CODE!$K:$P,CODE!$O$1,FALSE)))=TRUE,"",IF(VLOOKUP($N646,CODE!$K:$P,CODE!$O$1,FALSE)="",$M646,$M646&amp;"-"&amp;VLOOKUP($N646,CODE!$K:$P,CODE!$O$1,FALSE)))</f>
        <v>DPS-가방</v>
      </c>
      <c r="P646" s="29" t="str">
        <f t="shared" si="149"/>
        <v>키즈</v>
      </c>
      <c r="Q646" s="29" t="str">
        <f t="shared" si="144"/>
        <v>DPSBPF3501</v>
      </c>
      <c r="R646" s="1" t="s">
        <v>1507</v>
      </c>
      <c r="S646" s="1" t="s">
        <v>14</v>
      </c>
      <c r="T646" s="26">
        <v>500</v>
      </c>
      <c r="U646" s="26">
        <v>64500000</v>
      </c>
      <c r="V646" s="26">
        <v>17010000</v>
      </c>
      <c r="W646" s="26">
        <v>3.4471701138367803</v>
      </c>
      <c r="X646" s="26">
        <v>500</v>
      </c>
      <c r="Y646" s="26">
        <v>0</v>
      </c>
    </row>
    <row r="647" spans="1:25">
      <c r="A647" s="24" t="str">
        <f t="shared" si="137"/>
        <v>신규</v>
      </c>
      <c r="B647" s="24" t="str">
        <f>IF(COUNTIF(R$1:R646,R647)=0,"최초","리오더")</f>
        <v>최초</v>
      </c>
      <c r="C647" s="24" t="str">
        <f t="shared" si="138"/>
        <v>DPSBPF3502</v>
      </c>
      <c r="D647" s="24">
        <f t="shared" si="145"/>
        <v>1</v>
      </c>
      <c r="E647" s="24" t="str">
        <f t="shared" si="139"/>
        <v/>
      </c>
      <c r="F647" s="24">
        <f t="shared" si="146"/>
        <v>0</v>
      </c>
      <c r="G647" s="24" t="str">
        <f t="shared" si="140"/>
        <v>DPSBPF3502PK</v>
      </c>
      <c r="H647" s="24">
        <f t="shared" si="147"/>
        <v>1</v>
      </c>
      <c r="I647" s="24" t="str">
        <f t="shared" si="141"/>
        <v/>
      </c>
      <c r="J647" s="24">
        <f t="shared" si="148"/>
        <v>0</v>
      </c>
      <c r="K647" s="24" t="str">
        <f t="shared" si="142"/>
        <v>F3</v>
      </c>
      <c r="L647" s="24" t="str">
        <f>VLOOKUP(N647,CODE!K:P,CODE!$P$1,FALSE)</f>
        <v>가방</v>
      </c>
      <c r="M647" s="24" t="str">
        <f>VLOOKUP(MID(R647,1,3),CODE!$B:$G,CODE!D$1,FALSE)</f>
        <v>DPS</v>
      </c>
      <c r="N647" s="24" t="str">
        <f t="shared" si="143"/>
        <v>BP</v>
      </c>
      <c r="O647" s="29" t="str">
        <f>IF(ISERROR(IF(VLOOKUP($N647,CODE!$K:$P,CODE!$O$1,FALSE)="",$M647,$M647&amp;"-"&amp;VLOOKUP($N647,CODE!$K:$P,CODE!$O$1,FALSE)))=TRUE,"",IF(VLOOKUP($N647,CODE!$K:$P,CODE!$O$1,FALSE)="",$M647,$M647&amp;"-"&amp;VLOOKUP($N647,CODE!$K:$P,CODE!$O$1,FALSE)))</f>
        <v>DPS-가방</v>
      </c>
      <c r="P647" s="29" t="str">
        <f t="shared" si="149"/>
        <v>키즈</v>
      </c>
      <c r="Q647" s="29" t="str">
        <f t="shared" si="144"/>
        <v>DPSBPF3502</v>
      </c>
      <c r="R647" s="1" t="s">
        <v>1508</v>
      </c>
      <c r="S647" s="1" t="s">
        <v>14</v>
      </c>
      <c r="T647" s="26">
        <v>500</v>
      </c>
      <c r="U647" s="26">
        <v>64500000</v>
      </c>
      <c r="V647" s="26">
        <v>17260000</v>
      </c>
      <c r="W647" s="26">
        <v>3.3972400716317286</v>
      </c>
      <c r="X647" s="26">
        <v>500</v>
      </c>
      <c r="Y647" s="26">
        <v>0</v>
      </c>
    </row>
    <row r="648" spans="1:25">
      <c r="A648" s="24" t="str">
        <f t="shared" si="137"/>
        <v>신규</v>
      </c>
      <c r="B648" s="24" t="str">
        <f>IF(COUNTIF(R$1:R647,R648)=0,"최초","리오더")</f>
        <v>최초</v>
      </c>
      <c r="C648" s="24" t="str">
        <f t="shared" si="138"/>
        <v>DPSBPF3503</v>
      </c>
      <c r="D648" s="24">
        <f t="shared" si="145"/>
        <v>1</v>
      </c>
      <c r="E648" s="24" t="str">
        <f t="shared" si="139"/>
        <v/>
      </c>
      <c r="F648" s="24">
        <f t="shared" si="146"/>
        <v>0</v>
      </c>
      <c r="G648" s="24" t="str">
        <f t="shared" si="140"/>
        <v>DPSBPF3503NY</v>
      </c>
      <c r="H648" s="24">
        <f t="shared" si="147"/>
        <v>1</v>
      </c>
      <c r="I648" s="24" t="str">
        <f t="shared" si="141"/>
        <v/>
      </c>
      <c r="J648" s="24">
        <f t="shared" si="148"/>
        <v>0</v>
      </c>
      <c r="K648" s="24" t="str">
        <f t="shared" si="142"/>
        <v>F3</v>
      </c>
      <c r="L648" s="24" t="str">
        <f>VLOOKUP(N648,CODE!K:P,CODE!$P$1,FALSE)</f>
        <v>가방</v>
      </c>
      <c r="M648" s="24" t="str">
        <f>VLOOKUP(MID(R648,1,3),CODE!$B:$G,CODE!D$1,FALSE)</f>
        <v>DPS</v>
      </c>
      <c r="N648" s="24" t="str">
        <f t="shared" si="143"/>
        <v>BP</v>
      </c>
      <c r="O648" s="29" t="str">
        <f>IF(ISERROR(IF(VLOOKUP($N648,CODE!$K:$P,CODE!$O$1,FALSE)="",$M648,$M648&amp;"-"&amp;VLOOKUP($N648,CODE!$K:$P,CODE!$O$1,FALSE)))=TRUE,"",IF(VLOOKUP($N648,CODE!$K:$P,CODE!$O$1,FALSE)="",$M648,$M648&amp;"-"&amp;VLOOKUP($N648,CODE!$K:$P,CODE!$O$1,FALSE)))</f>
        <v>DPS-가방</v>
      </c>
      <c r="P648" s="29" t="str">
        <f t="shared" si="149"/>
        <v>키즈</v>
      </c>
      <c r="Q648" s="29" t="str">
        <f t="shared" si="144"/>
        <v>DPSBPF3503</v>
      </c>
      <c r="R648" s="1" t="s">
        <v>1509</v>
      </c>
      <c r="S648" s="1" t="s">
        <v>14</v>
      </c>
      <c r="T648" s="26">
        <v>500</v>
      </c>
      <c r="U648" s="26">
        <v>64500000</v>
      </c>
      <c r="V648" s="26">
        <v>17010000</v>
      </c>
      <c r="W648" s="26">
        <v>3.4471701138367803</v>
      </c>
      <c r="X648" s="26">
        <v>500</v>
      </c>
      <c r="Y648" s="26">
        <v>0</v>
      </c>
    </row>
    <row r="649" spans="1:25">
      <c r="A649" s="24" t="str">
        <f t="shared" si="137"/>
        <v>신규</v>
      </c>
      <c r="B649" s="24" t="str">
        <f>IF(COUNTIF(R$1:R648,R649)=0,"최초","리오더")</f>
        <v>리오더</v>
      </c>
      <c r="C649" s="24" t="str">
        <f t="shared" si="138"/>
        <v/>
      </c>
      <c r="D649" s="24">
        <f t="shared" si="145"/>
        <v>0</v>
      </c>
      <c r="E649" s="24" t="str">
        <f t="shared" si="139"/>
        <v>MGMSNF3003</v>
      </c>
      <c r="F649" s="24">
        <f t="shared" si="146"/>
        <v>1</v>
      </c>
      <c r="G649" s="24" t="str">
        <f t="shared" si="140"/>
        <v/>
      </c>
      <c r="H649" s="24">
        <f t="shared" si="147"/>
        <v>0</v>
      </c>
      <c r="I649" s="24" t="str">
        <f t="shared" si="141"/>
        <v>MGMSNF3003WH</v>
      </c>
      <c r="J649" s="24">
        <f t="shared" si="148"/>
        <v>1</v>
      </c>
      <c r="K649" s="24" t="str">
        <f t="shared" si="142"/>
        <v>F3</v>
      </c>
      <c r="L649" s="24" t="str">
        <f>VLOOKUP(N649,CODE!K:P,CODE!$P$1,FALSE)</f>
        <v>모자</v>
      </c>
      <c r="M649" s="24" t="str">
        <f>VLOOKUP(MID(R649,1,3),CODE!$B:$G,CODE!D$1,FALSE)</f>
        <v>MGM</v>
      </c>
      <c r="N649" s="24" t="str">
        <f t="shared" si="143"/>
        <v>SN</v>
      </c>
      <c r="O649" s="29" t="str">
        <f>IF(ISERROR(IF(VLOOKUP($N649,CODE!$K:$P,CODE!$O$1,FALSE)="",$M649,$M649&amp;"-"&amp;VLOOKUP($N649,CODE!$K:$P,CODE!$O$1,FALSE)))=TRUE,"",IF(VLOOKUP($N649,CODE!$K:$P,CODE!$O$1,FALSE)="",$M649,$M649&amp;"-"&amp;VLOOKUP($N649,CODE!$K:$P,CODE!$O$1,FALSE)))</f>
        <v>MGM</v>
      </c>
      <c r="P649" s="29" t="str">
        <f t="shared" si="149"/>
        <v>성인</v>
      </c>
      <c r="Q649" s="29" t="str">
        <f t="shared" si="144"/>
        <v>MGMSNF3003</v>
      </c>
      <c r="R649" s="1" t="s">
        <v>876</v>
      </c>
      <c r="S649" s="1" t="s">
        <v>14</v>
      </c>
      <c r="T649" s="26">
        <v>1500</v>
      </c>
      <c r="U649" s="26">
        <v>67500000</v>
      </c>
      <c r="V649" s="26">
        <v>10642500</v>
      </c>
      <c r="W649" s="26">
        <v>5.7659042859888521</v>
      </c>
      <c r="X649" s="26">
        <v>1496</v>
      </c>
      <c r="Y649" s="26">
        <v>0</v>
      </c>
    </row>
    <row r="650" spans="1:25">
      <c r="A650" s="24" t="str">
        <f t="shared" ref="A650:A713" si="150">IF(OR(MID(R650,8,1)="0",MID(R650,8,1)="5"),"신규","러닝")</f>
        <v>신규</v>
      </c>
      <c r="B650" s="24" t="str">
        <f>IF(COUNTIF(R$1:R649,R650)=0,"최초","리오더")</f>
        <v>리오더</v>
      </c>
      <c r="C650" s="24" t="str">
        <f t="shared" ref="C650:C713" si="151">IF($B650="리오더","",Q650)</f>
        <v/>
      </c>
      <c r="D650" s="24">
        <f t="shared" si="145"/>
        <v>0</v>
      </c>
      <c r="E650" s="24" t="str">
        <f t="shared" ref="E650:E713" si="152">IF($B650="리오더",Q650,"")</f>
        <v>MGMSNF3012</v>
      </c>
      <c r="F650" s="24">
        <f t="shared" si="146"/>
        <v>1</v>
      </c>
      <c r="G650" s="24" t="str">
        <f t="shared" ref="G650:G713" si="153">IF($B650="리오더","",R650)</f>
        <v/>
      </c>
      <c r="H650" s="24">
        <f t="shared" si="147"/>
        <v>0</v>
      </c>
      <c r="I650" s="24" t="str">
        <f t="shared" ref="I650:I713" si="154">IF($B650="리오더",R650,"")</f>
        <v>MGMSNF3012BK</v>
      </c>
      <c r="J650" s="24">
        <f t="shared" si="148"/>
        <v>1</v>
      </c>
      <c r="K650" s="24" t="str">
        <f t="shared" ref="K650:K713" si="155">MID(R650,6,2)</f>
        <v>F3</v>
      </c>
      <c r="L650" s="24" t="str">
        <f>VLOOKUP(N650,CODE!K:P,CODE!$P$1,FALSE)</f>
        <v>모자</v>
      </c>
      <c r="M650" s="24" t="str">
        <f>VLOOKUP(MID(R650,1,3),CODE!$B:$G,CODE!D$1,FALSE)</f>
        <v>MGM</v>
      </c>
      <c r="N650" s="24" t="str">
        <f t="shared" ref="N650:N713" si="156">MID(R650,4,2)</f>
        <v>SN</v>
      </c>
      <c r="O650" s="29" t="str">
        <f>IF(ISERROR(IF(VLOOKUP($N650,CODE!$K:$P,CODE!$O$1,FALSE)="",$M650,$M650&amp;"-"&amp;VLOOKUP($N650,CODE!$K:$P,CODE!$O$1,FALSE)))=TRUE,"",IF(VLOOKUP($N650,CODE!$K:$P,CODE!$O$1,FALSE)="",$M650,$M650&amp;"-"&amp;VLOOKUP($N650,CODE!$K:$P,CODE!$O$1,FALSE)))</f>
        <v>MGM</v>
      </c>
      <c r="P650" s="29" t="str">
        <f t="shared" ref="P650:P713" si="157">IF(OR(MID(R650,8,1)="0",MID(R650,8,1)="1",MID(R650,8,1)="2",MID(R650,8,1)="3",MID(R650,8,1)="4"),"성인","키즈")</f>
        <v>성인</v>
      </c>
      <c r="Q650" s="29" t="str">
        <f t="shared" ref="Q650:Q713" si="158">MID(R650,1,10)</f>
        <v>MGMSNF3012</v>
      </c>
      <c r="R650" s="1" t="s">
        <v>885</v>
      </c>
      <c r="S650" s="1" t="s">
        <v>14</v>
      </c>
      <c r="T650" s="26">
        <v>2000</v>
      </c>
      <c r="U650" s="26">
        <v>90000000</v>
      </c>
      <c r="V650" s="26">
        <v>7993196.0000000009</v>
      </c>
      <c r="W650" s="26">
        <v>10.235978426924826</v>
      </c>
      <c r="X650" s="26">
        <v>1998</v>
      </c>
      <c r="Y650" s="26">
        <v>0</v>
      </c>
    </row>
    <row r="651" spans="1:25">
      <c r="A651" s="24" t="str">
        <f t="shared" si="150"/>
        <v>신규</v>
      </c>
      <c r="B651" s="24" t="str">
        <f>IF(COUNTIF(R$1:R650,R651)=0,"최초","리오더")</f>
        <v>최초</v>
      </c>
      <c r="C651" s="24" t="str">
        <f t="shared" si="151"/>
        <v>PNYUMF5501</v>
      </c>
      <c r="D651" s="24">
        <f t="shared" si="145"/>
        <v>1</v>
      </c>
      <c r="E651" s="24" t="str">
        <f t="shared" si="152"/>
        <v/>
      </c>
      <c r="F651" s="24">
        <f t="shared" si="146"/>
        <v>0</v>
      </c>
      <c r="G651" s="24" t="str">
        <f t="shared" si="153"/>
        <v>PNYUMF5501RE</v>
      </c>
      <c r="H651" s="24">
        <f t="shared" si="147"/>
        <v>1</v>
      </c>
      <c r="I651" s="24" t="str">
        <f t="shared" si="154"/>
        <v/>
      </c>
      <c r="J651" s="24">
        <f t="shared" si="148"/>
        <v>0</v>
      </c>
      <c r="K651" s="24" t="str">
        <f t="shared" si="155"/>
        <v>F5</v>
      </c>
      <c r="L651" s="24" t="str">
        <f>VLOOKUP(N651,CODE!K:P,CODE!$P$1,FALSE)</f>
        <v>모자</v>
      </c>
      <c r="M651" s="24" t="str">
        <f>VLOOKUP(MID(R651,1,3),CODE!$B:$G,CODE!D$1,FALSE)</f>
        <v>PNY</v>
      </c>
      <c r="N651" s="24" t="str">
        <f t="shared" si="156"/>
        <v>UM</v>
      </c>
      <c r="O651" s="29" t="str">
        <f>IF(ISERROR(IF(VLOOKUP($N651,CODE!$K:$P,CODE!$O$1,FALSE)="",$M651,$M651&amp;"-"&amp;VLOOKUP($N651,CODE!$K:$P,CODE!$O$1,FALSE)))=TRUE,"",IF(VLOOKUP($N651,CODE!$K:$P,CODE!$O$1,FALSE)="",$M651,$M651&amp;"-"&amp;VLOOKUP($N651,CODE!$K:$P,CODE!$O$1,FALSE)))</f>
        <v>PNY</v>
      </c>
      <c r="P651" s="29" t="str">
        <f t="shared" si="157"/>
        <v>키즈</v>
      </c>
      <c r="Q651" s="29" t="str">
        <f t="shared" si="158"/>
        <v>PNYUMF5501</v>
      </c>
      <c r="R651" s="1" t="s">
        <v>1510</v>
      </c>
      <c r="S651" s="1" t="s">
        <v>14</v>
      </c>
      <c r="T651" s="26">
        <v>1200</v>
      </c>
      <c r="U651" s="26">
        <v>63600000</v>
      </c>
      <c r="V651" s="26">
        <v>8232840.0000000019</v>
      </c>
      <c r="W651" s="26">
        <v>7.0228720366461399</v>
      </c>
      <c r="X651" s="26">
        <v>1200</v>
      </c>
      <c r="Y651" s="26">
        <v>0</v>
      </c>
    </row>
    <row r="652" spans="1:25">
      <c r="A652" s="24" t="str">
        <f t="shared" si="150"/>
        <v>신규</v>
      </c>
      <c r="B652" s="24" t="str">
        <f>IF(COUNTIF(R$1:R651,R652)=0,"최초","리오더")</f>
        <v>최초</v>
      </c>
      <c r="C652" s="24" t="str">
        <f t="shared" si="151"/>
        <v>URBSNF5028</v>
      </c>
      <c r="D652" s="24">
        <f t="shared" si="145"/>
        <v>1</v>
      </c>
      <c r="E652" s="24" t="str">
        <f t="shared" si="152"/>
        <v/>
      </c>
      <c r="F652" s="24">
        <f t="shared" si="146"/>
        <v>0</v>
      </c>
      <c r="G652" s="24" t="str">
        <f t="shared" si="153"/>
        <v>URBSNF5028BK</v>
      </c>
      <c r="H652" s="24">
        <f t="shared" si="147"/>
        <v>1</v>
      </c>
      <c r="I652" s="24" t="str">
        <f t="shared" si="154"/>
        <v/>
      </c>
      <c r="J652" s="24">
        <f t="shared" si="148"/>
        <v>0</v>
      </c>
      <c r="K652" s="24" t="str">
        <f t="shared" si="155"/>
        <v>F5</v>
      </c>
      <c r="L652" s="24" t="str">
        <f>VLOOKUP(N652,CODE!K:P,CODE!$P$1,FALSE)</f>
        <v>모자</v>
      </c>
      <c r="M652" s="24" t="str">
        <f>VLOOKUP(MID(R652,1,3),CODE!$B:$G,CODE!D$1,FALSE)</f>
        <v>URB</v>
      </c>
      <c r="N652" s="24" t="str">
        <f t="shared" si="156"/>
        <v>SN</v>
      </c>
      <c r="O652" s="29" t="str">
        <f>IF(ISERROR(IF(VLOOKUP($N652,CODE!$K:$P,CODE!$O$1,FALSE)="",$M652,$M652&amp;"-"&amp;VLOOKUP($N652,CODE!$K:$P,CODE!$O$1,FALSE)))=TRUE,"",IF(VLOOKUP($N652,CODE!$K:$P,CODE!$O$1,FALSE)="",$M652,$M652&amp;"-"&amp;VLOOKUP($N652,CODE!$K:$P,CODE!$O$1,FALSE)))</f>
        <v>URB</v>
      </c>
      <c r="P652" s="29" t="str">
        <f t="shared" si="157"/>
        <v>성인</v>
      </c>
      <c r="Q652" s="29" t="str">
        <f t="shared" si="158"/>
        <v>URBSNF5028</v>
      </c>
      <c r="R652" s="1" t="s">
        <v>1511</v>
      </c>
      <c r="S652" s="1" t="s">
        <v>14</v>
      </c>
      <c r="T652" s="26">
        <v>1500</v>
      </c>
      <c r="U652" s="26">
        <v>73500000</v>
      </c>
      <c r="V652" s="26">
        <v>6885690</v>
      </c>
      <c r="W652" s="26">
        <v>9.7039195517343657</v>
      </c>
      <c r="X652" s="26">
        <v>1500</v>
      </c>
      <c r="Y652" s="26">
        <v>0</v>
      </c>
    </row>
    <row r="653" spans="1:25">
      <c r="A653" s="24" t="str">
        <f t="shared" si="150"/>
        <v>신규</v>
      </c>
      <c r="B653" s="24" t="str">
        <f>IF(COUNTIF(R$1:R652,R653)=0,"최초","리오더")</f>
        <v>최초</v>
      </c>
      <c r="C653" s="24" t="str">
        <f t="shared" si="151"/>
        <v>URBSNF5029</v>
      </c>
      <c r="D653" s="24">
        <f t="shared" si="145"/>
        <v>1</v>
      </c>
      <c r="E653" s="24" t="str">
        <f t="shared" si="152"/>
        <v/>
      </c>
      <c r="F653" s="24">
        <f t="shared" si="146"/>
        <v>0</v>
      </c>
      <c r="G653" s="24" t="str">
        <f t="shared" si="153"/>
        <v>URBSNF5029GY</v>
      </c>
      <c r="H653" s="24">
        <f t="shared" si="147"/>
        <v>1</v>
      </c>
      <c r="I653" s="24" t="str">
        <f t="shared" si="154"/>
        <v/>
      </c>
      <c r="J653" s="24">
        <f t="shared" si="148"/>
        <v>0</v>
      </c>
      <c r="K653" s="24" t="str">
        <f t="shared" si="155"/>
        <v>F5</v>
      </c>
      <c r="L653" s="24" t="str">
        <f>VLOOKUP(N653,CODE!K:P,CODE!$P$1,FALSE)</f>
        <v>모자</v>
      </c>
      <c r="M653" s="24" t="str">
        <f>VLOOKUP(MID(R653,1,3),CODE!$B:$G,CODE!D$1,FALSE)</f>
        <v>URB</v>
      </c>
      <c r="N653" s="24" t="str">
        <f t="shared" si="156"/>
        <v>SN</v>
      </c>
      <c r="O653" s="29" t="str">
        <f>IF(ISERROR(IF(VLOOKUP($N653,CODE!$K:$P,CODE!$O$1,FALSE)="",$M653,$M653&amp;"-"&amp;VLOOKUP($N653,CODE!$K:$P,CODE!$O$1,FALSE)))=TRUE,"",IF(VLOOKUP($N653,CODE!$K:$P,CODE!$O$1,FALSE)="",$M653,$M653&amp;"-"&amp;VLOOKUP($N653,CODE!$K:$P,CODE!$O$1,FALSE)))</f>
        <v>URB</v>
      </c>
      <c r="P653" s="29" t="str">
        <f t="shared" si="157"/>
        <v>성인</v>
      </c>
      <c r="Q653" s="29" t="str">
        <f t="shared" si="158"/>
        <v>URBSNF5029</v>
      </c>
      <c r="R653" s="1" t="s">
        <v>1512</v>
      </c>
      <c r="S653" s="1" t="s">
        <v>14</v>
      </c>
      <c r="T653" s="26">
        <v>1500</v>
      </c>
      <c r="U653" s="26">
        <v>73500000</v>
      </c>
      <c r="V653" s="26">
        <v>7752690</v>
      </c>
      <c r="W653" s="26">
        <v>8.6187093535510666</v>
      </c>
      <c r="X653" s="26">
        <v>1495</v>
      </c>
      <c r="Y653" s="26">
        <v>0</v>
      </c>
    </row>
    <row r="654" spans="1:25">
      <c r="A654" s="24" t="str">
        <f t="shared" si="150"/>
        <v>신규</v>
      </c>
      <c r="B654" s="24" t="str">
        <f>IF(COUNTIF(R$1:R653,R654)=0,"최초","리오더")</f>
        <v>최초</v>
      </c>
      <c r="C654" s="24" t="str">
        <f t="shared" si="151"/>
        <v>URBSNF3030</v>
      </c>
      <c r="D654" s="24">
        <f t="shared" si="145"/>
        <v>1</v>
      </c>
      <c r="E654" s="24" t="str">
        <f t="shared" si="152"/>
        <v/>
      </c>
      <c r="F654" s="24">
        <f t="shared" si="146"/>
        <v>0</v>
      </c>
      <c r="G654" s="24" t="str">
        <f t="shared" si="153"/>
        <v>URBSNF3030BK</v>
      </c>
      <c r="H654" s="24">
        <f t="shared" si="147"/>
        <v>1</v>
      </c>
      <c r="I654" s="24" t="str">
        <f t="shared" si="154"/>
        <v/>
      </c>
      <c r="J654" s="24">
        <f t="shared" si="148"/>
        <v>0</v>
      </c>
      <c r="K654" s="24" t="str">
        <f t="shared" si="155"/>
        <v>F3</v>
      </c>
      <c r="L654" s="24" t="str">
        <f>VLOOKUP(N654,CODE!K:P,CODE!$P$1,FALSE)</f>
        <v>모자</v>
      </c>
      <c r="M654" s="24" t="str">
        <f>VLOOKUP(MID(R654,1,3),CODE!$B:$G,CODE!D$1,FALSE)</f>
        <v>URB</v>
      </c>
      <c r="N654" s="24" t="str">
        <f t="shared" si="156"/>
        <v>SN</v>
      </c>
      <c r="O654" s="29" t="str">
        <f>IF(ISERROR(IF(VLOOKUP($N654,CODE!$K:$P,CODE!$O$1,FALSE)="",$M654,$M654&amp;"-"&amp;VLOOKUP($N654,CODE!$K:$P,CODE!$O$1,FALSE)))=TRUE,"",IF(VLOOKUP($N654,CODE!$K:$P,CODE!$O$1,FALSE)="",$M654,$M654&amp;"-"&amp;VLOOKUP($N654,CODE!$K:$P,CODE!$O$1,FALSE)))</f>
        <v>URB</v>
      </c>
      <c r="P654" s="29" t="str">
        <f t="shared" si="157"/>
        <v>성인</v>
      </c>
      <c r="Q654" s="29" t="str">
        <f t="shared" si="158"/>
        <v>URBSNF3030</v>
      </c>
      <c r="R654" s="1" t="s">
        <v>1513</v>
      </c>
      <c r="S654" s="1" t="s">
        <v>14</v>
      </c>
      <c r="T654" s="26">
        <v>800</v>
      </c>
      <c r="U654" s="26">
        <v>36000000</v>
      </c>
      <c r="V654" s="26">
        <v>4360720</v>
      </c>
      <c r="W654" s="26">
        <v>7.5050158522612609</v>
      </c>
      <c r="X654" s="26">
        <v>799</v>
      </c>
      <c r="Y654" s="26">
        <v>0</v>
      </c>
    </row>
    <row r="655" spans="1:25">
      <c r="A655" s="24" t="str">
        <f t="shared" si="150"/>
        <v>신규</v>
      </c>
      <c r="B655" s="24" t="str">
        <f>IF(COUNTIF(R$1:R654,R655)=0,"최초","리오더")</f>
        <v>최초</v>
      </c>
      <c r="C655" s="24" t="str">
        <f t="shared" si="151"/>
        <v>URBSNF3031</v>
      </c>
      <c r="D655" s="24">
        <f t="shared" si="145"/>
        <v>1</v>
      </c>
      <c r="E655" s="24" t="str">
        <f t="shared" si="152"/>
        <v/>
      </c>
      <c r="F655" s="24">
        <f t="shared" si="146"/>
        <v>0</v>
      </c>
      <c r="G655" s="24" t="str">
        <f t="shared" si="153"/>
        <v>URBSNF3031GR</v>
      </c>
      <c r="H655" s="24">
        <f t="shared" si="147"/>
        <v>1</v>
      </c>
      <c r="I655" s="24" t="str">
        <f t="shared" si="154"/>
        <v/>
      </c>
      <c r="J655" s="24">
        <f t="shared" si="148"/>
        <v>0</v>
      </c>
      <c r="K655" s="24" t="str">
        <f t="shared" si="155"/>
        <v>F3</v>
      </c>
      <c r="L655" s="24" t="str">
        <f>VLOOKUP(N655,CODE!K:P,CODE!$P$1,FALSE)</f>
        <v>모자</v>
      </c>
      <c r="M655" s="24" t="str">
        <f>VLOOKUP(MID(R655,1,3),CODE!$B:$G,CODE!D$1,FALSE)</f>
        <v>URB</v>
      </c>
      <c r="N655" s="24" t="str">
        <f t="shared" si="156"/>
        <v>SN</v>
      </c>
      <c r="O655" s="29" t="str">
        <f>IF(ISERROR(IF(VLOOKUP($N655,CODE!$K:$P,CODE!$O$1,FALSE)="",$M655,$M655&amp;"-"&amp;VLOOKUP($N655,CODE!$K:$P,CODE!$O$1,FALSE)))=TRUE,"",IF(VLOOKUP($N655,CODE!$K:$P,CODE!$O$1,FALSE)="",$M655,$M655&amp;"-"&amp;VLOOKUP($N655,CODE!$K:$P,CODE!$O$1,FALSE)))</f>
        <v>URB</v>
      </c>
      <c r="P655" s="29" t="str">
        <f t="shared" si="157"/>
        <v>성인</v>
      </c>
      <c r="Q655" s="29" t="str">
        <f t="shared" si="158"/>
        <v>URBSNF3031</v>
      </c>
      <c r="R655" s="1" t="s">
        <v>1514</v>
      </c>
      <c r="S655" s="1" t="s">
        <v>14</v>
      </c>
      <c r="T655" s="26">
        <v>500</v>
      </c>
      <c r="U655" s="26">
        <v>21500000</v>
      </c>
      <c r="V655" s="26">
        <v>2091230</v>
      </c>
      <c r="W655" s="26">
        <v>9.346391619025427</v>
      </c>
      <c r="X655" s="26">
        <v>500</v>
      </c>
      <c r="Y655" s="26">
        <v>0</v>
      </c>
    </row>
    <row r="656" spans="1:25">
      <c r="A656" s="24" t="str">
        <f t="shared" si="150"/>
        <v>신규</v>
      </c>
      <c r="B656" s="24" t="str">
        <f>IF(COUNTIF(R$1:R655,R656)=0,"최초","리오더")</f>
        <v>최초</v>
      </c>
      <c r="C656" s="24" t="str">
        <f t="shared" si="151"/>
        <v>URBSNF3032</v>
      </c>
      <c r="D656" s="24">
        <f t="shared" si="145"/>
        <v>1</v>
      </c>
      <c r="E656" s="24" t="str">
        <f t="shared" si="152"/>
        <v/>
      </c>
      <c r="F656" s="24">
        <f t="shared" si="146"/>
        <v>0</v>
      </c>
      <c r="G656" s="24" t="str">
        <f t="shared" si="153"/>
        <v>URBSNF3032BK</v>
      </c>
      <c r="H656" s="24">
        <f t="shared" si="147"/>
        <v>1</v>
      </c>
      <c r="I656" s="24" t="str">
        <f t="shared" si="154"/>
        <v/>
      </c>
      <c r="J656" s="24">
        <f t="shared" si="148"/>
        <v>0</v>
      </c>
      <c r="K656" s="24" t="str">
        <f t="shared" si="155"/>
        <v>F3</v>
      </c>
      <c r="L656" s="24" t="str">
        <f>VLOOKUP(N656,CODE!K:P,CODE!$P$1,FALSE)</f>
        <v>모자</v>
      </c>
      <c r="M656" s="24" t="str">
        <f>VLOOKUP(MID(R656,1,3),CODE!$B:$G,CODE!D$1,FALSE)</f>
        <v>URB</v>
      </c>
      <c r="N656" s="24" t="str">
        <f t="shared" si="156"/>
        <v>SN</v>
      </c>
      <c r="O656" s="29" t="str">
        <f>IF(ISERROR(IF(VLOOKUP($N656,CODE!$K:$P,CODE!$O$1,FALSE)="",$M656,$M656&amp;"-"&amp;VLOOKUP($N656,CODE!$K:$P,CODE!$O$1,FALSE)))=TRUE,"",IF(VLOOKUP($N656,CODE!$K:$P,CODE!$O$1,FALSE)="",$M656,$M656&amp;"-"&amp;VLOOKUP($N656,CODE!$K:$P,CODE!$O$1,FALSE)))</f>
        <v>URB</v>
      </c>
      <c r="P656" s="29" t="str">
        <f t="shared" si="157"/>
        <v>성인</v>
      </c>
      <c r="Q656" s="29" t="str">
        <f t="shared" si="158"/>
        <v>URBSNF3032</v>
      </c>
      <c r="R656" s="1" t="s">
        <v>1515</v>
      </c>
      <c r="S656" s="1" t="s">
        <v>14</v>
      </c>
      <c r="T656" s="26">
        <v>500</v>
      </c>
      <c r="U656" s="26">
        <v>21500000</v>
      </c>
      <c r="V656" s="26">
        <v>1997935.0000000002</v>
      </c>
      <c r="W656" s="26">
        <v>9.7828280426813397</v>
      </c>
      <c r="X656" s="26">
        <v>500</v>
      </c>
      <c r="Y656" s="26">
        <v>0</v>
      </c>
    </row>
    <row r="657" spans="1:25">
      <c r="A657" s="24" t="str">
        <f t="shared" si="150"/>
        <v>신규</v>
      </c>
      <c r="B657" s="24" t="str">
        <f>IF(COUNTIF(R$1:R656,R657)=0,"최초","리오더")</f>
        <v>최초</v>
      </c>
      <c r="C657" s="24" t="str">
        <f t="shared" si="151"/>
        <v>URBSNF3033</v>
      </c>
      <c r="D657" s="24">
        <f t="shared" si="145"/>
        <v>1</v>
      </c>
      <c r="E657" s="24" t="str">
        <f t="shared" si="152"/>
        <v/>
      </c>
      <c r="F657" s="24">
        <f t="shared" si="146"/>
        <v>0</v>
      </c>
      <c r="G657" s="24" t="str">
        <f t="shared" si="153"/>
        <v>URBSNF3033BK</v>
      </c>
      <c r="H657" s="24">
        <f t="shared" si="147"/>
        <v>1</v>
      </c>
      <c r="I657" s="24" t="str">
        <f t="shared" si="154"/>
        <v/>
      </c>
      <c r="J657" s="24">
        <f t="shared" si="148"/>
        <v>0</v>
      </c>
      <c r="K657" s="24" t="str">
        <f t="shared" si="155"/>
        <v>F3</v>
      </c>
      <c r="L657" s="24" t="str">
        <f>VLOOKUP(N657,CODE!K:P,CODE!$P$1,FALSE)</f>
        <v>모자</v>
      </c>
      <c r="M657" s="24" t="str">
        <f>VLOOKUP(MID(R657,1,3),CODE!$B:$G,CODE!D$1,FALSE)</f>
        <v>URB</v>
      </c>
      <c r="N657" s="24" t="str">
        <f t="shared" si="156"/>
        <v>SN</v>
      </c>
      <c r="O657" s="29" t="str">
        <f>IF(ISERROR(IF(VLOOKUP($N657,CODE!$K:$P,CODE!$O$1,FALSE)="",$M657,$M657&amp;"-"&amp;VLOOKUP($N657,CODE!$K:$P,CODE!$O$1,FALSE)))=TRUE,"",IF(VLOOKUP($N657,CODE!$K:$P,CODE!$O$1,FALSE)="",$M657,$M657&amp;"-"&amp;VLOOKUP($N657,CODE!$K:$P,CODE!$O$1,FALSE)))</f>
        <v>URB</v>
      </c>
      <c r="P657" s="29" t="str">
        <f t="shared" si="157"/>
        <v>성인</v>
      </c>
      <c r="Q657" s="29" t="str">
        <f t="shared" si="158"/>
        <v>URBSNF3033</v>
      </c>
      <c r="R657" s="1" t="s">
        <v>1516</v>
      </c>
      <c r="S657" s="1" t="s">
        <v>14</v>
      </c>
      <c r="T657" s="26">
        <v>1000</v>
      </c>
      <c r="U657" s="26">
        <v>43000000</v>
      </c>
      <c r="V657" s="26">
        <v>4722170</v>
      </c>
      <c r="W657" s="26">
        <v>8.2781664130916699</v>
      </c>
      <c r="X657" s="26">
        <v>1000</v>
      </c>
      <c r="Y657" s="26">
        <v>0</v>
      </c>
    </row>
    <row r="658" spans="1:25">
      <c r="A658" s="24" t="str">
        <f t="shared" si="150"/>
        <v>신규</v>
      </c>
      <c r="B658" s="24" t="str">
        <f>IF(COUNTIF(R$1:R657,R658)=0,"최초","리오더")</f>
        <v>최초</v>
      </c>
      <c r="C658" s="24" t="str">
        <f t="shared" si="151"/>
        <v>URBSNF3034</v>
      </c>
      <c r="D658" s="24">
        <f t="shared" si="145"/>
        <v>1</v>
      </c>
      <c r="E658" s="24" t="str">
        <f t="shared" si="152"/>
        <v/>
      </c>
      <c r="F658" s="24">
        <f t="shared" si="146"/>
        <v>0</v>
      </c>
      <c r="G658" s="24" t="str">
        <f t="shared" si="153"/>
        <v>URBSNF3034BK</v>
      </c>
      <c r="H658" s="24">
        <f t="shared" si="147"/>
        <v>1</v>
      </c>
      <c r="I658" s="24" t="str">
        <f t="shared" si="154"/>
        <v/>
      </c>
      <c r="J658" s="24">
        <f t="shared" si="148"/>
        <v>0</v>
      </c>
      <c r="K658" s="24" t="str">
        <f t="shared" si="155"/>
        <v>F3</v>
      </c>
      <c r="L658" s="24" t="str">
        <f>VLOOKUP(N658,CODE!K:P,CODE!$P$1,FALSE)</f>
        <v>모자</v>
      </c>
      <c r="M658" s="24" t="str">
        <f>VLOOKUP(MID(R658,1,3),CODE!$B:$G,CODE!D$1,FALSE)</f>
        <v>URB</v>
      </c>
      <c r="N658" s="24" t="str">
        <f t="shared" si="156"/>
        <v>SN</v>
      </c>
      <c r="O658" s="29" t="str">
        <f>IF(ISERROR(IF(VLOOKUP($N658,CODE!$K:$P,CODE!$O$1,FALSE)="",$M658,$M658&amp;"-"&amp;VLOOKUP($N658,CODE!$K:$P,CODE!$O$1,FALSE)))=TRUE,"",IF(VLOOKUP($N658,CODE!$K:$P,CODE!$O$1,FALSE)="",$M658,$M658&amp;"-"&amp;VLOOKUP($N658,CODE!$K:$P,CODE!$O$1,FALSE)))</f>
        <v>URB</v>
      </c>
      <c r="P658" s="29" t="str">
        <f t="shared" si="157"/>
        <v>성인</v>
      </c>
      <c r="Q658" s="29" t="str">
        <f t="shared" si="158"/>
        <v>URBSNF3034</v>
      </c>
      <c r="R658" s="1" t="s">
        <v>1517</v>
      </c>
      <c r="S658" s="1" t="s">
        <v>14</v>
      </c>
      <c r="T658" s="26">
        <v>1200</v>
      </c>
      <c r="U658" s="26">
        <v>51600000</v>
      </c>
      <c r="V658" s="26">
        <v>5630604</v>
      </c>
      <c r="W658" s="26">
        <v>8.3310939481964823</v>
      </c>
      <c r="X658" s="26">
        <v>1200</v>
      </c>
      <c r="Y658" s="26">
        <v>0</v>
      </c>
    </row>
    <row r="659" spans="1:25">
      <c r="A659" s="24" t="str">
        <f t="shared" si="150"/>
        <v>신규</v>
      </c>
      <c r="B659" s="24" t="str">
        <f>IF(COUNTIF(R$1:R658,R659)=0,"최초","리오더")</f>
        <v>최초</v>
      </c>
      <c r="C659" s="24" t="str">
        <f t="shared" si="151"/>
        <v>URBSNF3035</v>
      </c>
      <c r="D659" s="24">
        <f t="shared" si="145"/>
        <v>1</v>
      </c>
      <c r="E659" s="24" t="str">
        <f t="shared" si="152"/>
        <v/>
      </c>
      <c r="F659" s="24">
        <f t="shared" si="146"/>
        <v>0</v>
      </c>
      <c r="G659" s="24" t="str">
        <f t="shared" si="153"/>
        <v>URBSNF3035BK</v>
      </c>
      <c r="H659" s="24">
        <f t="shared" si="147"/>
        <v>1</v>
      </c>
      <c r="I659" s="24" t="str">
        <f t="shared" si="154"/>
        <v/>
      </c>
      <c r="J659" s="24">
        <f t="shared" si="148"/>
        <v>0</v>
      </c>
      <c r="K659" s="24" t="str">
        <f t="shared" si="155"/>
        <v>F3</v>
      </c>
      <c r="L659" s="24" t="str">
        <f>VLOOKUP(N659,CODE!K:P,CODE!$P$1,FALSE)</f>
        <v>모자</v>
      </c>
      <c r="M659" s="24" t="str">
        <f>VLOOKUP(MID(R659,1,3),CODE!$B:$G,CODE!D$1,FALSE)</f>
        <v>URB</v>
      </c>
      <c r="N659" s="24" t="str">
        <f t="shared" si="156"/>
        <v>SN</v>
      </c>
      <c r="O659" s="29" t="str">
        <f>IF(ISERROR(IF(VLOOKUP($N659,CODE!$K:$P,CODE!$O$1,FALSE)="",$M659,$M659&amp;"-"&amp;VLOOKUP($N659,CODE!$K:$P,CODE!$O$1,FALSE)))=TRUE,"",IF(VLOOKUP($N659,CODE!$K:$P,CODE!$O$1,FALSE)="",$M659,$M659&amp;"-"&amp;VLOOKUP($N659,CODE!$K:$P,CODE!$O$1,FALSE)))</f>
        <v>URB</v>
      </c>
      <c r="P659" s="29" t="str">
        <f t="shared" si="157"/>
        <v>성인</v>
      </c>
      <c r="Q659" s="29" t="str">
        <f t="shared" si="158"/>
        <v>URBSNF3035</v>
      </c>
      <c r="R659" s="1" t="s">
        <v>1518</v>
      </c>
      <c r="S659" s="1" t="s">
        <v>14</v>
      </c>
      <c r="T659" s="26">
        <v>1200</v>
      </c>
      <c r="U659" s="26">
        <v>51600000</v>
      </c>
      <c r="V659" s="26">
        <v>5555760</v>
      </c>
      <c r="W659" s="26">
        <v>8.4433256492524702</v>
      </c>
      <c r="X659" s="26">
        <v>1200</v>
      </c>
      <c r="Y659" s="26">
        <v>0</v>
      </c>
    </row>
    <row r="660" spans="1:25">
      <c r="A660" s="24" t="str">
        <f t="shared" si="150"/>
        <v>신규</v>
      </c>
      <c r="B660" s="24" t="str">
        <f>IF(COUNTIF(R$1:R659,R660)=0,"최초","리오더")</f>
        <v>최초</v>
      </c>
      <c r="C660" s="24" t="str">
        <f t="shared" si="151"/>
        <v>URBSNF3036</v>
      </c>
      <c r="D660" s="24">
        <f t="shared" si="145"/>
        <v>1</v>
      </c>
      <c r="E660" s="24" t="str">
        <f t="shared" si="152"/>
        <v/>
      </c>
      <c r="F660" s="24">
        <f t="shared" si="146"/>
        <v>0</v>
      </c>
      <c r="G660" s="24" t="str">
        <f t="shared" si="153"/>
        <v>URBSNF3036BK</v>
      </c>
      <c r="H660" s="24">
        <f t="shared" si="147"/>
        <v>1</v>
      </c>
      <c r="I660" s="24" t="str">
        <f t="shared" si="154"/>
        <v/>
      </c>
      <c r="J660" s="24">
        <f t="shared" si="148"/>
        <v>0</v>
      </c>
      <c r="K660" s="24" t="str">
        <f t="shared" si="155"/>
        <v>F3</v>
      </c>
      <c r="L660" s="24" t="str">
        <f>VLOOKUP(N660,CODE!K:P,CODE!$P$1,FALSE)</f>
        <v>모자</v>
      </c>
      <c r="M660" s="24" t="str">
        <f>VLOOKUP(MID(R660,1,3),CODE!$B:$G,CODE!D$1,FALSE)</f>
        <v>URB</v>
      </c>
      <c r="N660" s="24" t="str">
        <f t="shared" si="156"/>
        <v>SN</v>
      </c>
      <c r="O660" s="29" t="str">
        <f>IF(ISERROR(IF(VLOOKUP($N660,CODE!$K:$P,CODE!$O$1,FALSE)="",$M660,$M660&amp;"-"&amp;VLOOKUP($N660,CODE!$K:$P,CODE!$O$1,FALSE)))=TRUE,"",IF(VLOOKUP($N660,CODE!$K:$P,CODE!$O$1,FALSE)="",$M660,$M660&amp;"-"&amp;VLOOKUP($N660,CODE!$K:$P,CODE!$O$1,FALSE)))</f>
        <v>URB</v>
      </c>
      <c r="P660" s="29" t="str">
        <f t="shared" si="157"/>
        <v>성인</v>
      </c>
      <c r="Q660" s="29" t="str">
        <f t="shared" si="158"/>
        <v>URBSNF3036</v>
      </c>
      <c r="R660" s="1" t="s">
        <v>1519</v>
      </c>
      <c r="S660" s="1" t="s">
        <v>14</v>
      </c>
      <c r="T660" s="26">
        <v>1000</v>
      </c>
      <c r="U660" s="26">
        <v>43000000</v>
      </c>
      <c r="V660" s="26">
        <v>3958240.0000000005</v>
      </c>
      <c r="W660" s="26">
        <v>9.8758309478225375</v>
      </c>
      <c r="X660" s="26">
        <v>996</v>
      </c>
      <c r="Y660" s="26">
        <v>0</v>
      </c>
    </row>
    <row r="661" spans="1:25">
      <c r="A661" s="24" t="str">
        <f t="shared" si="150"/>
        <v>신규</v>
      </c>
      <c r="B661" s="24" t="str">
        <f>IF(COUNTIF(R$1:R660,R661)=0,"최초","리오더")</f>
        <v>최초</v>
      </c>
      <c r="C661" s="24" t="str">
        <f t="shared" si="151"/>
        <v>URBSNF3037</v>
      </c>
      <c r="D661" s="24">
        <f t="shared" si="145"/>
        <v>1</v>
      </c>
      <c r="E661" s="24" t="str">
        <f t="shared" si="152"/>
        <v/>
      </c>
      <c r="F661" s="24">
        <f t="shared" si="146"/>
        <v>0</v>
      </c>
      <c r="G661" s="24" t="str">
        <f t="shared" si="153"/>
        <v>URBSNF3037BK</v>
      </c>
      <c r="H661" s="24">
        <f t="shared" si="147"/>
        <v>1</v>
      </c>
      <c r="I661" s="24" t="str">
        <f t="shared" si="154"/>
        <v/>
      </c>
      <c r="J661" s="24">
        <f t="shared" si="148"/>
        <v>0</v>
      </c>
      <c r="K661" s="24" t="str">
        <f t="shared" si="155"/>
        <v>F3</v>
      </c>
      <c r="L661" s="24" t="str">
        <f>VLOOKUP(N661,CODE!K:P,CODE!$P$1,FALSE)</f>
        <v>모자</v>
      </c>
      <c r="M661" s="24" t="str">
        <f>VLOOKUP(MID(R661,1,3),CODE!$B:$G,CODE!D$1,FALSE)</f>
        <v>URB</v>
      </c>
      <c r="N661" s="24" t="str">
        <f t="shared" si="156"/>
        <v>SN</v>
      </c>
      <c r="O661" s="29" t="str">
        <f>IF(ISERROR(IF(VLOOKUP($N661,CODE!$K:$P,CODE!$O$1,FALSE)="",$M661,$M661&amp;"-"&amp;VLOOKUP($N661,CODE!$K:$P,CODE!$O$1,FALSE)))=TRUE,"",IF(VLOOKUP($N661,CODE!$K:$P,CODE!$O$1,FALSE)="",$M661,$M661&amp;"-"&amp;VLOOKUP($N661,CODE!$K:$P,CODE!$O$1,FALSE)))</f>
        <v>URB</v>
      </c>
      <c r="P661" s="29" t="str">
        <f t="shared" si="157"/>
        <v>성인</v>
      </c>
      <c r="Q661" s="29" t="str">
        <f t="shared" si="158"/>
        <v>URBSNF3037</v>
      </c>
      <c r="R661" s="1" t="s">
        <v>1520</v>
      </c>
      <c r="S661" s="1" t="s">
        <v>14</v>
      </c>
      <c r="T661" s="26">
        <v>1000</v>
      </c>
      <c r="U661" s="26">
        <v>43000000</v>
      </c>
      <c r="V661" s="26">
        <v>4051130</v>
      </c>
      <c r="W661" s="26">
        <v>9.6493840214727964</v>
      </c>
      <c r="X661" s="26">
        <v>999</v>
      </c>
      <c r="Y661" s="26">
        <v>0</v>
      </c>
    </row>
    <row r="662" spans="1:25">
      <c r="A662" s="24" t="str">
        <f t="shared" si="150"/>
        <v>러닝</v>
      </c>
      <c r="B662" s="24" t="str">
        <f>IF(COUNTIF(R$1:R661,R662)=0,"최초","리오더")</f>
        <v>최초</v>
      </c>
      <c r="C662" s="24" t="str">
        <f t="shared" si="151"/>
        <v>ELSSBF3801</v>
      </c>
      <c r="D662" s="24">
        <f t="shared" si="145"/>
        <v>1</v>
      </c>
      <c r="E662" s="24" t="str">
        <f t="shared" si="152"/>
        <v/>
      </c>
      <c r="F662" s="24">
        <f t="shared" si="146"/>
        <v>0</v>
      </c>
      <c r="G662" s="24" t="str">
        <f t="shared" si="153"/>
        <v>ELSSBF3801BK</v>
      </c>
      <c r="H662" s="24">
        <f t="shared" si="147"/>
        <v>1</v>
      </c>
      <c r="I662" s="24" t="str">
        <f t="shared" si="154"/>
        <v/>
      </c>
      <c r="J662" s="24">
        <f t="shared" si="148"/>
        <v>0</v>
      </c>
      <c r="K662" s="24" t="str">
        <f t="shared" si="155"/>
        <v>F3</v>
      </c>
      <c r="L662" s="24" t="str">
        <f>VLOOKUP(N662,CODE!K:P,CODE!$P$1,FALSE)</f>
        <v>가방</v>
      </c>
      <c r="M662" s="24" t="str">
        <f>VLOOKUP(MID(R662,1,3),CODE!$B:$G,CODE!D$1,FALSE)</f>
        <v>ELS</v>
      </c>
      <c r="N662" s="24" t="str">
        <f t="shared" si="156"/>
        <v>SB</v>
      </c>
      <c r="O662" s="29" t="str">
        <f>IF(ISERROR(IF(VLOOKUP($N662,CODE!$K:$P,CODE!$O$1,FALSE)="",$M662,$M662&amp;"-"&amp;VLOOKUP($N662,CODE!$K:$P,CODE!$O$1,FALSE)))=TRUE,"",IF(VLOOKUP($N662,CODE!$K:$P,CODE!$O$1,FALSE)="",$M662,$M662&amp;"-"&amp;VLOOKUP($N662,CODE!$K:$P,CODE!$O$1,FALSE)))</f>
        <v>ELS-가방</v>
      </c>
      <c r="P662" s="29" t="str">
        <f t="shared" si="157"/>
        <v>키즈</v>
      </c>
      <c r="Q662" s="29" t="str">
        <f t="shared" si="158"/>
        <v>ELSSBF3801</v>
      </c>
      <c r="R662" s="1" t="s">
        <v>1521</v>
      </c>
      <c r="S662" s="1" t="s">
        <v>14</v>
      </c>
      <c r="T662" s="26">
        <v>1000</v>
      </c>
      <c r="U662" s="26">
        <v>45000000</v>
      </c>
      <c r="V662" s="26">
        <v>9820000</v>
      </c>
      <c r="W662" s="26">
        <v>4.1658952045917426</v>
      </c>
      <c r="X662" s="26">
        <v>1000</v>
      </c>
      <c r="Y662" s="26">
        <v>0</v>
      </c>
    </row>
    <row r="663" spans="1:25">
      <c r="A663" s="24" t="str">
        <f t="shared" si="150"/>
        <v>러닝</v>
      </c>
      <c r="B663" s="24" t="str">
        <f>IF(COUNTIF(R$1:R662,R663)=0,"최초","리오더")</f>
        <v>최초</v>
      </c>
      <c r="C663" s="24" t="str">
        <f t="shared" si="151"/>
        <v>HCUFIF3401</v>
      </c>
      <c r="D663" s="24">
        <f t="shared" si="145"/>
        <v>1</v>
      </c>
      <c r="E663" s="24" t="str">
        <f t="shared" si="152"/>
        <v/>
      </c>
      <c r="F663" s="24">
        <f t="shared" si="146"/>
        <v>0</v>
      </c>
      <c r="G663" s="24" t="str">
        <f t="shared" si="153"/>
        <v>HCUFIF3401BK</v>
      </c>
      <c r="H663" s="24">
        <f t="shared" si="147"/>
        <v>1</v>
      </c>
      <c r="I663" s="24" t="str">
        <f t="shared" si="154"/>
        <v/>
      </c>
      <c r="J663" s="24">
        <f t="shared" si="148"/>
        <v>0</v>
      </c>
      <c r="K663" s="24" t="str">
        <f t="shared" si="155"/>
        <v>F3</v>
      </c>
      <c r="L663" s="24" t="str">
        <f>VLOOKUP(N663,CODE!K:P,CODE!$P$1,FALSE)</f>
        <v>모자</v>
      </c>
      <c r="M663" s="24" t="str">
        <f>VLOOKUP(MID(R663,1,3),CODE!$B:$G,CODE!D$1,FALSE)</f>
        <v>HCU</v>
      </c>
      <c r="N663" s="24" t="str">
        <f t="shared" si="156"/>
        <v>FI</v>
      </c>
      <c r="O663" s="29" t="str">
        <f>IF(ISERROR(IF(VLOOKUP($N663,CODE!$K:$P,CODE!$O$1,FALSE)="",$M663,$M663&amp;"-"&amp;VLOOKUP($N663,CODE!$K:$P,CODE!$O$1,FALSE)))=TRUE,"",IF(VLOOKUP($N663,CODE!$K:$P,CODE!$O$1,FALSE)="",$M663,$M663&amp;"-"&amp;VLOOKUP($N663,CODE!$K:$P,CODE!$O$1,FALSE)))</f>
        <v>HCU</v>
      </c>
      <c r="P663" s="29" t="str">
        <f t="shared" si="157"/>
        <v>성인</v>
      </c>
      <c r="Q663" s="29" t="str">
        <f t="shared" si="158"/>
        <v>HCUFIF3401</v>
      </c>
      <c r="R663" s="1" t="s">
        <v>1522</v>
      </c>
      <c r="S663" s="1" t="s">
        <v>14</v>
      </c>
      <c r="T663" s="26">
        <v>1000</v>
      </c>
      <c r="U663" s="26">
        <v>43000000</v>
      </c>
      <c r="V663" s="26">
        <v>6600000</v>
      </c>
      <c r="W663" s="26">
        <v>5.9228650137741043</v>
      </c>
      <c r="X663" s="26">
        <v>1000</v>
      </c>
      <c r="Y663" s="26">
        <v>0</v>
      </c>
    </row>
    <row r="664" spans="1:25">
      <c r="A664" s="24" t="str">
        <f t="shared" si="150"/>
        <v>러닝</v>
      </c>
      <c r="B664" s="24" t="str">
        <f>IF(COUNTIF(R$1:R663,R664)=0,"최초","리오더")</f>
        <v>최초</v>
      </c>
      <c r="C664" s="24" t="str">
        <f t="shared" si="151"/>
        <v>PLAUMF3409</v>
      </c>
      <c r="D664" s="24">
        <f t="shared" si="145"/>
        <v>1</v>
      </c>
      <c r="E664" s="24" t="str">
        <f t="shared" si="152"/>
        <v/>
      </c>
      <c r="F664" s="24">
        <f t="shared" si="146"/>
        <v>0</v>
      </c>
      <c r="G664" s="24" t="str">
        <f t="shared" si="153"/>
        <v>PLAUMF3409BK</v>
      </c>
      <c r="H664" s="24">
        <f t="shared" si="147"/>
        <v>1</v>
      </c>
      <c r="I664" s="24" t="str">
        <f t="shared" si="154"/>
        <v/>
      </c>
      <c r="J664" s="24">
        <f t="shared" si="148"/>
        <v>0</v>
      </c>
      <c r="K664" s="24" t="str">
        <f t="shared" si="155"/>
        <v>F3</v>
      </c>
      <c r="L664" s="24" t="str">
        <f>VLOOKUP(N664,CODE!K:P,CODE!$P$1,FALSE)</f>
        <v>모자</v>
      </c>
      <c r="M664" s="24" t="str">
        <f>VLOOKUP(MID(R664,1,3),CODE!$B:$G,CODE!D$1,FALSE)</f>
        <v>PLA</v>
      </c>
      <c r="N664" s="24" t="str">
        <f t="shared" si="156"/>
        <v>UM</v>
      </c>
      <c r="O664" s="29" t="str">
        <f>IF(ISERROR(IF(VLOOKUP($N664,CODE!$K:$P,CODE!$O$1,FALSE)="",$M664,$M664&amp;"-"&amp;VLOOKUP($N664,CODE!$K:$P,CODE!$O$1,FALSE)))=TRUE,"",IF(VLOOKUP($N664,CODE!$K:$P,CODE!$O$1,FALSE)="",$M664,$M664&amp;"-"&amp;VLOOKUP($N664,CODE!$K:$P,CODE!$O$1,FALSE)))</f>
        <v>PLA</v>
      </c>
      <c r="P664" s="29" t="str">
        <f t="shared" si="157"/>
        <v>성인</v>
      </c>
      <c r="Q664" s="29" t="str">
        <f t="shared" si="158"/>
        <v>PLAUMF3409</v>
      </c>
      <c r="R664" s="1" t="s">
        <v>1523</v>
      </c>
      <c r="S664" s="1" t="s">
        <v>14</v>
      </c>
      <c r="T664" s="26">
        <v>2000</v>
      </c>
      <c r="U664" s="26">
        <v>118000000</v>
      </c>
      <c r="V664" s="26">
        <v>17713080</v>
      </c>
      <c r="W664" s="26">
        <v>6.0561306826778445</v>
      </c>
      <c r="X664" s="26">
        <v>2000</v>
      </c>
      <c r="Y664" s="26">
        <v>0</v>
      </c>
    </row>
    <row r="665" spans="1:25">
      <c r="A665" s="24" t="str">
        <f t="shared" si="150"/>
        <v>러닝</v>
      </c>
      <c r="B665" s="24" t="str">
        <f>IF(COUNTIF(R$1:R664,R665)=0,"최초","리오더")</f>
        <v>최초</v>
      </c>
      <c r="C665" s="24" t="str">
        <f t="shared" si="151"/>
        <v>SMBSNF3402</v>
      </c>
      <c r="D665" s="24">
        <f t="shared" si="145"/>
        <v>1</v>
      </c>
      <c r="E665" s="24" t="str">
        <f t="shared" si="152"/>
        <v/>
      </c>
      <c r="F665" s="24">
        <f t="shared" si="146"/>
        <v>0</v>
      </c>
      <c r="G665" s="24" t="str">
        <f t="shared" si="153"/>
        <v>SMBSNF3402BK</v>
      </c>
      <c r="H665" s="24">
        <f t="shared" si="147"/>
        <v>1</v>
      </c>
      <c r="I665" s="24" t="str">
        <f t="shared" si="154"/>
        <v/>
      </c>
      <c r="J665" s="24">
        <f t="shared" si="148"/>
        <v>0</v>
      </c>
      <c r="K665" s="24" t="str">
        <f t="shared" si="155"/>
        <v>F3</v>
      </c>
      <c r="L665" s="24" t="str">
        <f>VLOOKUP(N665,CODE!K:P,CODE!$P$1,FALSE)</f>
        <v>모자</v>
      </c>
      <c r="M665" s="24" t="str">
        <f>VLOOKUP(MID(R665,1,3),CODE!$B:$G,CODE!D$1,FALSE)</f>
        <v>SMB</v>
      </c>
      <c r="N665" s="24" t="str">
        <f t="shared" si="156"/>
        <v>SN</v>
      </c>
      <c r="O665" s="29" t="str">
        <f>IF(ISERROR(IF(VLOOKUP($N665,CODE!$K:$P,CODE!$O$1,FALSE)="",$M665,$M665&amp;"-"&amp;VLOOKUP($N665,CODE!$K:$P,CODE!$O$1,FALSE)))=TRUE,"",IF(VLOOKUP($N665,CODE!$K:$P,CODE!$O$1,FALSE)="",$M665,$M665&amp;"-"&amp;VLOOKUP($N665,CODE!$K:$P,CODE!$O$1,FALSE)))</f>
        <v>SMB</v>
      </c>
      <c r="P665" s="29" t="str">
        <f t="shared" si="157"/>
        <v>성인</v>
      </c>
      <c r="Q665" s="29" t="str">
        <f t="shared" si="158"/>
        <v>SMBSNF3402</v>
      </c>
      <c r="R665" s="1" t="s">
        <v>1524</v>
      </c>
      <c r="S665" s="1" t="s">
        <v>14</v>
      </c>
      <c r="T665" s="26">
        <v>1000</v>
      </c>
      <c r="U665" s="26">
        <v>39000000</v>
      </c>
      <c r="V665" s="26">
        <v>3886940.0000000005</v>
      </c>
      <c r="W665" s="26">
        <v>9.1214542685365476</v>
      </c>
      <c r="X665" s="26">
        <v>1000</v>
      </c>
      <c r="Y665" s="26">
        <v>0</v>
      </c>
    </row>
    <row r="666" spans="1:25">
      <c r="A666" s="24" t="str">
        <f t="shared" si="150"/>
        <v>러닝</v>
      </c>
      <c r="B666" s="24" t="str">
        <f>IF(COUNTIF(R$1:R665,R666)=0,"최초","리오더")</f>
        <v>최초</v>
      </c>
      <c r="C666" s="24" t="str">
        <f t="shared" si="151"/>
        <v>URBFIF3443</v>
      </c>
      <c r="D666" s="24">
        <f t="shared" si="145"/>
        <v>1</v>
      </c>
      <c r="E666" s="24" t="str">
        <f t="shared" si="152"/>
        <v/>
      </c>
      <c r="F666" s="24">
        <f t="shared" si="146"/>
        <v>0</v>
      </c>
      <c r="G666" s="24" t="str">
        <f t="shared" si="153"/>
        <v>URBFIF3443WH</v>
      </c>
      <c r="H666" s="24">
        <f t="shared" si="147"/>
        <v>1</v>
      </c>
      <c r="I666" s="24" t="str">
        <f t="shared" si="154"/>
        <v/>
      </c>
      <c r="J666" s="24">
        <f t="shared" si="148"/>
        <v>0</v>
      </c>
      <c r="K666" s="24" t="str">
        <f t="shared" si="155"/>
        <v>F3</v>
      </c>
      <c r="L666" s="24" t="str">
        <f>VLOOKUP(N666,CODE!K:P,CODE!$P$1,FALSE)</f>
        <v>모자</v>
      </c>
      <c r="M666" s="24" t="str">
        <f>VLOOKUP(MID(R666,1,3),CODE!$B:$G,CODE!D$1,FALSE)</f>
        <v>URB</v>
      </c>
      <c r="N666" s="24" t="str">
        <f t="shared" si="156"/>
        <v>FI</v>
      </c>
      <c r="O666" s="29" t="str">
        <f>IF(ISERROR(IF(VLOOKUP($N666,CODE!$K:$P,CODE!$O$1,FALSE)="",$M666,$M666&amp;"-"&amp;VLOOKUP($N666,CODE!$K:$P,CODE!$O$1,FALSE)))=TRUE,"",IF(VLOOKUP($N666,CODE!$K:$P,CODE!$O$1,FALSE)="",$M666,$M666&amp;"-"&amp;VLOOKUP($N666,CODE!$K:$P,CODE!$O$1,FALSE)))</f>
        <v>URB</v>
      </c>
      <c r="P666" s="29" t="str">
        <f t="shared" si="157"/>
        <v>성인</v>
      </c>
      <c r="Q666" s="29" t="str">
        <f t="shared" si="158"/>
        <v>URBFIF3443</v>
      </c>
      <c r="R666" s="1" t="s">
        <v>1525</v>
      </c>
      <c r="S666" s="1" t="s">
        <v>14</v>
      </c>
      <c r="T666" s="26">
        <v>1200</v>
      </c>
      <c r="U666" s="26">
        <v>54000000</v>
      </c>
      <c r="V666" s="26">
        <v>12000000</v>
      </c>
      <c r="W666" s="26">
        <v>4.0909090909090899</v>
      </c>
      <c r="X666" s="26">
        <v>1219</v>
      </c>
      <c r="Y666" s="26">
        <v>0</v>
      </c>
    </row>
    <row r="667" spans="1:25">
      <c r="A667" s="24" t="str">
        <f t="shared" si="150"/>
        <v>러닝</v>
      </c>
      <c r="B667" s="24" t="str">
        <f>IF(COUNTIF(R$1:R666,R667)=0,"최초","리오더")</f>
        <v>최초</v>
      </c>
      <c r="C667" s="24" t="str">
        <f t="shared" si="151"/>
        <v>URBFIF3453</v>
      </c>
      <c r="D667" s="24">
        <f t="shared" si="145"/>
        <v>1</v>
      </c>
      <c r="E667" s="24" t="str">
        <f t="shared" si="152"/>
        <v/>
      </c>
      <c r="F667" s="24">
        <f t="shared" si="146"/>
        <v>0</v>
      </c>
      <c r="G667" s="24" t="str">
        <f t="shared" si="153"/>
        <v>URBFIF3453BW</v>
      </c>
      <c r="H667" s="24">
        <f t="shared" si="147"/>
        <v>1</v>
      </c>
      <c r="I667" s="24" t="str">
        <f t="shared" si="154"/>
        <v/>
      </c>
      <c r="J667" s="24">
        <f t="shared" si="148"/>
        <v>0</v>
      </c>
      <c r="K667" s="24" t="str">
        <f t="shared" si="155"/>
        <v>F3</v>
      </c>
      <c r="L667" s="24" t="str">
        <f>VLOOKUP(N667,CODE!K:P,CODE!$P$1,FALSE)</f>
        <v>모자</v>
      </c>
      <c r="M667" s="24" t="str">
        <f>VLOOKUP(MID(R667,1,3),CODE!$B:$G,CODE!D$1,FALSE)</f>
        <v>URB</v>
      </c>
      <c r="N667" s="24" t="str">
        <f t="shared" si="156"/>
        <v>FI</v>
      </c>
      <c r="O667" s="29" t="str">
        <f>IF(ISERROR(IF(VLOOKUP($N667,CODE!$K:$P,CODE!$O$1,FALSE)="",$M667,$M667&amp;"-"&amp;VLOOKUP($N667,CODE!$K:$P,CODE!$O$1,FALSE)))=TRUE,"",IF(VLOOKUP($N667,CODE!$K:$P,CODE!$O$1,FALSE)="",$M667,$M667&amp;"-"&amp;VLOOKUP($N667,CODE!$K:$P,CODE!$O$1,FALSE)))</f>
        <v>URB</v>
      </c>
      <c r="P667" s="29" t="str">
        <f t="shared" si="157"/>
        <v>성인</v>
      </c>
      <c r="Q667" s="29" t="str">
        <f t="shared" si="158"/>
        <v>URBFIF3453</v>
      </c>
      <c r="R667" s="1" t="s">
        <v>1526</v>
      </c>
      <c r="S667" s="1" t="s">
        <v>14</v>
      </c>
      <c r="T667" s="26">
        <v>2000</v>
      </c>
      <c r="U667" s="26">
        <v>78000000</v>
      </c>
      <c r="V667" s="26">
        <v>9990492</v>
      </c>
      <c r="W667" s="26">
        <v>7.0976575437016418</v>
      </c>
      <c r="X667" s="26">
        <v>1995</v>
      </c>
      <c r="Y667" s="26">
        <v>0</v>
      </c>
    </row>
    <row r="668" spans="1:25">
      <c r="A668" s="24" t="str">
        <f t="shared" si="150"/>
        <v>러닝</v>
      </c>
      <c r="B668" s="24" t="str">
        <f>IF(COUNTIF(R$1:R667,R668)=0,"최초","리오더")</f>
        <v>최초</v>
      </c>
      <c r="C668" s="24" t="str">
        <f t="shared" si="151"/>
        <v>URBFIF3454</v>
      </c>
      <c r="D668" s="24">
        <f t="shared" si="145"/>
        <v>1</v>
      </c>
      <c r="E668" s="24" t="str">
        <f t="shared" si="152"/>
        <v/>
      </c>
      <c r="F668" s="24">
        <f t="shared" si="146"/>
        <v>0</v>
      </c>
      <c r="G668" s="24" t="str">
        <f t="shared" si="153"/>
        <v>URBFIF3454MT</v>
      </c>
      <c r="H668" s="24">
        <f t="shared" si="147"/>
        <v>1</v>
      </c>
      <c r="I668" s="24" t="str">
        <f t="shared" si="154"/>
        <v/>
      </c>
      <c r="J668" s="24">
        <f t="shared" si="148"/>
        <v>0</v>
      </c>
      <c r="K668" s="24" t="str">
        <f t="shared" si="155"/>
        <v>F3</v>
      </c>
      <c r="L668" s="24" t="str">
        <f>VLOOKUP(N668,CODE!K:P,CODE!$P$1,FALSE)</f>
        <v>모자</v>
      </c>
      <c r="M668" s="24" t="str">
        <f>VLOOKUP(MID(R668,1,3),CODE!$B:$G,CODE!D$1,FALSE)</f>
        <v>URB</v>
      </c>
      <c r="N668" s="24" t="str">
        <f t="shared" si="156"/>
        <v>FI</v>
      </c>
      <c r="O668" s="29" t="str">
        <f>IF(ISERROR(IF(VLOOKUP($N668,CODE!$K:$P,CODE!$O$1,FALSE)="",$M668,$M668&amp;"-"&amp;VLOOKUP($N668,CODE!$K:$P,CODE!$O$1,FALSE)))=TRUE,"",IF(VLOOKUP($N668,CODE!$K:$P,CODE!$O$1,FALSE)="",$M668,$M668&amp;"-"&amp;VLOOKUP($N668,CODE!$K:$P,CODE!$O$1,FALSE)))</f>
        <v>URB</v>
      </c>
      <c r="P668" s="29" t="str">
        <f t="shared" si="157"/>
        <v>성인</v>
      </c>
      <c r="Q668" s="29" t="str">
        <f t="shared" si="158"/>
        <v>URBFIF3454</v>
      </c>
      <c r="R668" s="1" t="s">
        <v>1527</v>
      </c>
      <c r="S668" s="1" t="s">
        <v>14</v>
      </c>
      <c r="T668" s="26">
        <v>2000</v>
      </c>
      <c r="U668" s="26">
        <v>78000000</v>
      </c>
      <c r="V668" s="26">
        <v>10218492</v>
      </c>
      <c r="W668" s="26">
        <v>6.9392911311268728</v>
      </c>
      <c r="X668" s="26">
        <v>2000</v>
      </c>
      <c r="Y668" s="26">
        <v>0</v>
      </c>
    </row>
    <row r="669" spans="1:25">
      <c r="A669" s="24" t="str">
        <f t="shared" si="150"/>
        <v>신규</v>
      </c>
      <c r="B669" s="24" t="str">
        <f>IF(COUNTIF(R$1:R668,R669)=0,"최초","리오더")</f>
        <v>리오더</v>
      </c>
      <c r="C669" s="24" t="str">
        <f t="shared" si="151"/>
        <v/>
      </c>
      <c r="D669" s="24">
        <f t="shared" si="145"/>
        <v>0</v>
      </c>
      <c r="E669" s="24" t="str">
        <f t="shared" si="152"/>
        <v>DPSSNF3005</v>
      </c>
      <c r="F669" s="24">
        <f t="shared" si="146"/>
        <v>1</v>
      </c>
      <c r="G669" s="24" t="str">
        <f t="shared" si="153"/>
        <v/>
      </c>
      <c r="H669" s="24">
        <f t="shared" si="147"/>
        <v>0</v>
      </c>
      <c r="I669" s="24" t="str">
        <f t="shared" si="154"/>
        <v>DPSSNF3005BK</v>
      </c>
      <c r="J669" s="24">
        <f t="shared" si="148"/>
        <v>1</v>
      </c>
      <c r="K669" s="24" t="str">
        <f t="shared" si="155"/>
        <v>F3</v>
      </c>
      <c r="L669" s="24" t="str">
        <f>VLOOKUP(N669,CODE!K:P,CODE!$P$1,FALSE)</f>
        <v>모자</v>
      </c>
      <c r="M669" s="24" t="str">
        <f>VLOOKUP(MID(R669,1,3),CODE!$B:$G,CODE!D$1,FALSE)</f>
        <v>DPS</v>
      </c>
      <c r="N669" s="24" t="str">
        <f t="shared" si="156"/>
        <v>SN</v>
      </c>
      <c r="O669" s="29" t="str">
        <f>IF(ISERROR(IF(VLOOKUP($N669,CODE!$K:$P,CODE!$O$1,FALSE)="",$M669,$M669&amp;"-"&amp;VLOOKUP($N669,CODE!$K:$P,CODE!$O$1,FALSE)))=TRUE,"",IF(VLOOKUP($N669,CODE!$K:$P,CODE!$O$1,FALSE)="",$M669,$M669&amp;"-"&amp;VLOOKUP($N669,CODE!$K:$P,CODE!$O$1,FALSE)))</f>
        <v>DPS</v>
      </c>
      <c r="P669" s="29" t="str">
        <f t="shared" si="157"/>
        <v>성인</v>
      </c>
      <c r="Q669" s="29" t="str">
        <f t="shared" si="158"/>
        <v>DPSSNF3005</v>
      </c>
      <c r="R669" s="1" t="s">
        <v>952</v>
      </c>
      <c r="S669" s="1" t="s">
        <v>14</v>
      </c>
      <c r="T669" s="26">
        <v>1200</v>
      </c>
      <c r="U669" s="26">
        <v>56400000</v>
      </c>
      <c r="V669" s="26">
        <v>4340952</v>
      </c>
      <c r="W669" s="26">
        <v>11.811401571067192</v>
      </c>
      <c r="X669" s="26">
        <v>1191</v>
      </c>
      <c r="Y669" s="26">
        <v>0</v>
      </c>
    </row>
    <row r="670" spans="1:25">
      <c r="A670" s="24" t="str">
        <f t="shared" si="150"/>
        <v>신규</v>
      </c>
      <c r="B670" s="24" t="str">
        <f>IF(COUNTIF(R$1:R669,R670)=0,"최초","리오더")</f>
        <v>리오더</v>
      </c>
      <c r="C670" s="24" t="str">
        <f t="shared" si="151"/>
        <v/>
      </c>
      <c r="D670" s="24">
        <f t="shared" si="145"/>
        <v>0</v>
      </c>
      <c r="E670" s="24" t="str">
        <f t="shared" si="152"/>
        <v>MGMSNF3004</v>
      </c>
      <c r="F670" s="24">
        <f t="shared" si="146"/>
        <v>1</v>
      </c>
      <c r="G670" s="24" t="str">
        <f t="shared" si="153"/>
        <v/>
      </c>
      <c r="H670" s="24">
        <f t="shared" si="147"/>
        <v>0</v>
      </c>
      <c r="I670" s="24" t="str">
        <f t="shared" si="154"/>
        <v>MGMSNF3004GY</v>
      </c>
      <c r="J670" s="24">
        <f t="shared" si="148"/>
        <v>1</v>
      </c>
      <c r="K670" s="24" t="str">
        <f t="shared" si="155"/>
        <v>F3</v>
      </c>
      <c r="L670" s="24" t="str">
        <f>VLOOKUP(N670,CODE!K:P,CODE!$P$1,FALSE)</f>
        <v>모자</v>
      </c>
      <c r="M670" s="24" t="str">
        <f>VLOOKUP(MID(R670,1,3),CODE!$B:$G,CODE!D$1,FALSE)</f>
        <v>MGM</v>
      </c>
      <c r="N670" s="24" t="str">
        <f t="shared" si="156"/>
        <v>SN</v>
      </c>
      <c r="O670" s="29" t="str">
        <f>IF(ISERROR(IF(VLOOKUP($N670,CODE!$K:$P,CODE!$O$1,FALSE)="",$M670,$M670&amp;"-"&amp;VLOOKUP($N670,CODE!$K:$P,CODE!$O$1,FALSE)))=TRUE,"",IF(VLOOKUP($N670,CODE!$K:$P,CODE!$O$1,FALSE)="",$M670,$M670&amp;"-"&amp;VLOOKUP($N670,CODE!$K:$P,CODE!$O$1,FALSE)))</f>
        <v>MGM</v>
      </c>
      <c r="P670" s="29" t="str">
        <f t="shared" si="157"/>
        <v>성인</v>
      </c>
      <c r="Q670" s="29" t="str">
        <f t="shared" si="158"/>
        <v>MGMSNF3004</v>
      </c>
      <c r="R670" s="1" t="s">
        <v>877</v>
      </c>
      <c r="S670" s="1" t="s">
        <v>14</v>
      </c>
      <c r="T670" s="26">
        <v>1200</v>
      </c>
      <c r="U670" s="26">
        <v>54000000</v>
      </c>
      <c r="V670" s="26">
        <v>8514000</v>
      </c>
      <c r="W670" s="26">
        <v>5.765904285988853</v>
      </c>
      <c r="X670" s="26">
        <v>1200</v>
      </c>
      <c r="Y670" s="26">
        <v>0</v>
      </c>
    </row>
    <row r="671" spans="1:25">
      <c r="A671" s="24" t="str">
        <f t="shared" si="150"/>
        <v>신규</v>
      </c>
      <c r="B671" s="24" t="str">
        <f>IF(COUNTIF(R$1:R670,R671)=0,"최초","리오더")</f>
        <v>최초</v>
      </c>
      <c r="C671" s="24" t="str">
        <f t="shared" si="151"/>
        <v>FFTSNF3001</v>
      </c>
      <c r="D671" s="24">
        <f t="shared" si="145"/>
        <v>1</v>
      </c>
      <c r="E671" s="24" t="str">
        <f t="shared" si="152"/>
        <v/>
      </c>
      <c r="F671" s="24">
        <f t="shared" si="146"/>
        <v>0</v>
      </c>
      <c r="G671" s="24" t="str">
        <f t="shared" si="153"/>
        <v>FFTSNF3001BK</v>
      </c>
      <c r="H671" s="24">
        <f t="shared" si="147"/>
        <v>1</v>
      </c>
      <c r="I671" s="24" t="str">
        <f t="shared" si="154"/>
        <v/>
      </c>
      <c r="J671" s="24">
        <f t="shared" si="148"/>
        <v>0</v>
      </c>
      <c r="K671" s="24" t="str">
        <f t="shared" si="155"/>
        <v>F3</v>
      </c>
      <c r="L671" s="24" t="str">
        <f>VLOOKUP(N671,CODE!K:P,CODE!$P$1,FALSE)</f>
        <v>모자</v>
      </c>
      <c r="M671" s="24" t="str">
        <f>VLOOKUP(MID(R671,1,3),CODE!$B:$G,CODE!D$1,FALSE)</f>
        <v>FFT</v>
      </c>
      <c r="N671" s="24" t="str">
        <f t="shared" si="156"/>
        <v>SN</v>
      </c>
      <c r="O671" s="29" t="str">
        <f>IF(ISERROR(IF(VLOOKUP($N671,CODE!$K:$P,CODE!$O$1,FALSE)="",$M671,$M671&amp;"-"&amp;VLOOKUP($N671,CODE!$K:$P,CODE!$O$1,FALSE)))=TRUE,"",IF(VLOOKUP($N671,CODE!$K:$P,CODE!$O$1,FALSE)="",$M671,$M671&amp;"-"&amp;VLOOKUP($N671,CODE!$K:$P,CODE!$O$1,FALSE)))</f>
        <v>FFT</v>
      </c>
      <c r="P671" s="29" t="str">
        <f t="shared" si="157"/>
        <v>성인</v>
      </c>
      <c r="Q671" s="29" t="str">
        <f t="shared" si="158"/>
        <v>FFTSNF3001</v>
      </c>
      <c r="R671" s="1" t="s">
        <v>1528</v>
      </c>
      <c r="S671" s="1" t="s">
        <v>15</v>
      </c>
      <c r="T671" s="26">
        <v>92</v>
      </c>
      <c r="U671" s="26">
        <v>4140000</v>
      </c>
      <c r="V671" s="26">
        <v>1693636.3636363635</v>
      </c>
      <c r="W671" s="26">
        <v>2.2222222222222223</v>
      </c>
      <c r="X671" s="26">
        <v>92</v>
      </c>
      <c r="Y671" s="26">
        <v>0</v>
      </c>
    </row>
    <row r="672" spans="1:25">
      <c r="A672" s="24" t="str">
        <f t="shared" si="150"/>
        <v>신규</v>
      </c>
      <c r="B672" s="24" t="str">
        <f>IF(COUNTIF(R$1:R671,R672)=0,"최초","리오더")</f>
        <v>최초</v>
      </c>
      <c r="C672" s="24" t="str">
        <f t="shared" si="151"/>
        <v>FFTSNF3002</v>
      </c>
      <c r="D672" s="24">
        <f t="shared" si="145"/>
        <v>1</v>
      </c>
      <c r="E672" s="24" t="str">
        <f t="shared" si="152"/>
        <v/>
      </c>
      <c r="F672" s="24">
        <f t="shared" si="146"/>
        <v>0</v>
      </c>
      <c r="G672" s="24" t="str">
        <f t="shared" si="153"/>
        <v>FFTSNF3002KH</v>
      </c>
      <c r="H672" s="24">
        <f t="shared" si="147"/>
        <v>1</v>
      </c>
      <c r="I672" s="24" t="str">
        <f t="shared" si="154"/>
        <v/>
      </c>
      <c r="J672" s="24">
        <f t="shared" si="148"/>
        <v>0</v>
      </c>
      <c r="K672" s="24" t="str">
        <f t="shared" si="155"/>
        <v>F3</v>
      </c>
      <c r="L672" s="24" t="str">
        <f>VLOOKUP(N672,CODE!K:P,CODE!$P$1,FALSE)</f>
        <v>모자</v>
      </c>
      <c r="M672" s="24" t="str">
        <f>VLOOKUP(MID(R672,1,3),CODE!$B:$G,CODE!D$1,FALSE)</f>
        <v>FFT</v>
      </c>
      <c r="N672" s="24" t="str">
        <f t="shared" si="156"/>
        <v>SN</v>
      </c>
      <c r="O672" s="29" t="str">
        <f>IF(ISERROR(IF(VLOOKUP($N672,CODE!$K:$P,CODE!$O$1,FALSE)="",$M672,$M672&amp;"-"&amp;VLOOKUP($N672,CODE!$K:$P,CODE!$O$1,FALSE)))=TRUE,"",IF(VLOOKUP($N672,CODE!$K:$P,CODE!$O$1,FALSE)="",$M672,$M672&amp;"-"&amp;VLOOKUP($N672,CODE!$K:$P,CODE!$O$1,FALSE)))</f>
        <v>FFT</v>
      </c>
      <c r="P672" s="29" t="str">
        <f t="shared" si="157"/>
        <v>성인</v>
      </c>
      <c r="Q672" s="29" t="str">
        <f t="shared" si="158"/>
        <v>FFTSNF3002</v>
      </c>
      <c r="R672" s="1" t="s">
        <v>1529</v>
      </c>
      <c r="S672" s="1" t="s">
        <v>15</v>
      </c>
      <c r="T672" s="26">
        <v>250</v>
      </c>
      <c r="U672" s="26">
        <v>11250000</v>
      </c>
      <c r="V672" s="26">
        <v>4602272.7272727266</v>
      </c>
      <c r="W672" s="26">
        <v>2.2222222222222223</v>
      </c>
      <c r="X672" s="26">
        <v>250</v>
      </c>
      <c r="Y672" s="26">
        <v>0</v>
      </c>
    </row>
    <row r="673" spans="1:25">
      <c r="A673" s="24" t="str">
        <f t="shared" si="150"/>
        <v>신규</v>
      </c>
      <c r="B673" s="24" t="str">
        <f>IF(COUNTIF(R$1:R672,R673)=0,"최초","리오더")</f>
        <v>최초</v>
      </c>
      <c r="C673" s="24" t="str">
        <f t="shared" si="151"/>
        <v>FFTSNF3003</v>
      </c>
      <c r="D673" s="24">
        <f t="shared" si="145"/>
        <v>1</v>
      </c>
      <c r="E673" s="24" t="str">
        <f t="shared" si="152"/>
        <v/>
      </c>
      <c r="F673" s="24">
        <f t="shared" si="146"/>
        <v>0</v>
      </c>
      <c r="G673" s="24" t="str">
        <f t="shared" si="153"/>
        <v>FFTSNF3003BK</v>
      </c>
      <c r="H673" s="24">
        <f t="shared" si="147"/>
        <v>1</v>
      </c>
      <c r="I673" s="24" t="str">
        <f t="shared" si="154"/>
        <v/>
      </c>
      <c r="J673" s="24">
        <f t="shared" si="148"/>
        <v>0</v>
      </c>
      <c r="K673" s="24" t="str">
        <f t="shared" si="155"/>
        <v>F3</v>
      </c>
      <c r="L673" s="24" t="str">
        <f>VLOOKUP(N673,CODE!K:P,CODE!$P$1,FALSE)</f>
        <v>모자</v>
      </c>
      <c r="M673" s="24" t="str">
        <f>VLOOKUP(MID(R673,1,3),CODE!$B:$G,CODE!D$1,FALSE)</f>
        <v>FFT</v>
      </c>
      <c r="N673" s="24" t="str">
        <f t="shared" si="156"/>
        <v>SN</v>
      </c>
      <c r="O673" s="29" t="str">
        <f>IF(ISERROR(IF(VLOOKUP($N673,CODE!$K:$P,CODE!$O$1,FALSE)="",$M673,$M673&amp;"-"&amp;VLOOKUP($N673,CODE!$K:$P,CODE!$O$1,FALSE)))=TRUE,"",IF(VLOOKUP($N673,CODE!$K:$P,CODE!$O$1,FALSE)="",$M673,$M673&amp;"-"&amp;VLOOKUP($N673,CODE!$K:$P,CODE!$O$1,FALSE)))</f>
        <v>FFT</v>
      </c>
      <c r="P673" s="29" t="str">
        <f t="shared" si="157"/>
        <v>성인</v>
      </c>
      <c r="Q673" s="29" t="str">
        <f t="shared" si="158"/>
        <v>FFTSNF3003</v>
      </c>
      <c r="R673" s="1" t="s">
        <v>1530</v>
      </c>
      <c r="S673" s="1" t="s">
        <v>15</v>
      </c>
      <c r="T673" s="26">
        <v>200</v>
      </c>
      <c r="U673" s="26">
        <v>7800000</v>
      </c>
      <c r="V673" s="26">
        <v>3190909.0909090908</v>
      </c>
      <c r="W673" s="26">
        <v>2.2222222222222223</v>
      </c>
      <c r="X673" s="26">
        <v>200</v>
      </c>
      <c r="Y673" s="26">
        <v>0</v>
      </c>
    </row>
    <row r="674" spans="1:25">
      <c r="A674" s="24" t="str">
        <f t="shared" si="150"/>
        <v>신규</v>
      </c>
      <c r="B674" s="24" t="str">
        <f>IF(COUNTIF(R$1:R673,R674)=0,"최초","리오더")</f>
        <v>최초</v>
      </c>
      <c r="C674" s="24" t="str">
        <f t="shared" si="151"/>
        <v>MGMBPF3001</v>
      </c>
      <c r="D674" s="24">
        <f t="shared" si="145"/>
        <v>1</v>
      </c>
      <c r="E674" s="24" t="str">
        <f t="shared" si="152"/>
        <v/>
      </c>
      <c r="F674" s="24">
        <f t="shared" si="146"/>
        <v>0</v>
      </c>
      <c r="G674" s="24" t="str">
        <f t="shared" si="153"/>
        <v>MGMBPF3001BK</v>
      </c>
      <c r="H674" s="24">
        <f t="shared" si="147"/>
        <v>1</v>
      </c>
      <c r="I674" s="24" t="str">
        <f t="shared" si="154"/>
        <v/>
      </c>
      <c r="J674" s="24">
        <f t="shared" si="148"/>
        <v>0</v>
      </c>
      <c r="K674" s="24" t="str">
        <f t="shared" si="155"/>
        <v>F3</v>
      </c>
      <c r="L674" s="24" t="str">
        <f>VLOOKUP(N674,CODE!K:P,CODE!$P$1,FALSE)</f>
        <v>가방</v>
      </c>
      <c r="M674" s="24" t="str">
        <f>VLOOKUP(MID(R674,1,3),CODE!$B:$G,CODE!D$1,FALSE)</f>
        <v>MGM</v>
      </c>
      <c r="N674" s="24" t="str">
        <f t="shared" si="156"/>
        <v>BP</v>
      </c>
      <c r="O674" s="29" t="str">
        <f>IF(ISERROR(IF(VLOOKUP($N674,CODE!$K:$P,CODE!$O$1,FALSE)="",$M674,$M674&amp;"-"&amp;VLOOKUP($N674,CODE!$K:$P,CODE!$O$1,FALSE)))=TRUE,"",IF(VLOOKUP($N674,CODE!$K:$P,CODE!$O$1,FALSE)="",$M674,$M674&amp;"-"&amp;VLOOKUP($N674,CODE!$K:$P,CODE!$O$1,FALSE)))</f>
        <v>MGM-가방</v>
      </c>
      <c r="P674" s="29" t="str">
        <f t="shared" si="157"/>
        <v>성인</v>
      </c>
      <c r="Q674" s="29" t="str">
        <f t="shared" si="158"/>
        <v>MGMBPF3001</v>
      </c>
      <c r="R674" s="1" t="s">
        <v>1531</v>
      </c>
      <c r="S674" s="1" t="s">
        <v>14</v>
      </c>
      <c r="T674" s="26">
        <v>400</v>
      </c>
      <c r="U674" s="26">
        <v>51600000</v>
      </c>
      <c r="V674" s="26">
        <v>12208000</v>
      </c>
      <c r="W674" s="26">
        <v>3.8424877874419154</v>
      </c>
      <c r="X674" s="26">
        <v>400</v>
      </c>
      <c r="Y674" s="26">
        <v>0</v>
      </c>
    </row>
    <row r="675" spans="1:25">
      <c r="A675" s="24" t="str">
        <f t="shared" si="150"/>
        <v>신규</v>
      </c>
      <c r="B675" s="24" t="str">
        <f>IF(COUNTIF(R$1:R674,R675)=0,"최초","리오더")</f>
        <v>최초</v>
      </c>
      <c r="C675" s="24" t="str">
        <f t="shared" si="151"/>
        <v>MGMBPF3002</v>
      </c>
      <c r="D675" s="24">
        <f t="shared" si="145"/>
        <v>1</v>
      </c>
      <c r="E675" s="24" t="str">
        <f t="shared" si="152"/>
        <v/>
      </c>
      <c r="F675" s="24">
        <f t="shared" si="146"/>
        <v>0</v>
      </c>
      <c r="G675" s="24" t="str">
        <f t="shared" si="153"/>
        <v>MGMBPF3002BK</v>
      </c>
      <c r="H675" s="24">
        <f t="shared" si="147"/>
        <v>1</v>
      </c>
      <c r="I675" s="24" t="str">
        <f t="shared" si="154"/>
        <v/>
      </c>
      <c r="J675" s="24">
        <f t="shared" si="148"/>
        <v>0</v>
      </c>
      <c r="K675" s="24" t="str">
        <f t="shared" si="155"/>
        <v>F3</v>
      </c>
      <c r="L675" s="24" t="str">
        <f>VLOOKUP(N675,CODE!K:P,CODE!$P$1,FALSE)</f>
        <v>가방</v>
      </c>
      <c r="M675" s="24" t="str">
        <f>VLOOKUP(MID(R675,1,3),CODE!$B:$G,CODE!D$1,FALSE)</f>
        <v>MGM</v>
      </c>
      <c r="N675" s="24" t="str">
        <f t="shared" si="156"/>
        <v>BP</v>
      </c>
      <c r="O675" s="29" t="str">
        <f>IF(ISERROR(IF(VLOOKUP($N675,CODE!$K:$P,CODE!$O$1,FALSE)="",$M675,$M675&amp;"-"&amp;VLOOKUP($N675,CODE!$K:$P,CODE!$O$1,FALSE)))=TRUE,"",IF(VLOOKUP($N675,CODE!$K:$P,CODE!$O$1,FALSE)="",$M675,$M675&amp;"-"&amp;VLOOKUP($N675,CODE!$K:$P,CODE!$O$1,FALSE)))</f>
        <v>MGM-가방</v>
      </c>
      <c r="P675" s="29" t="str">
        <f t="shared" si="157"/>
        <v>성인</v>
      </c>
      <c r="Q675" s="29" t="str">
        <f t="shared" si="158"/>
        <v>MGMBPF3002</v>
      </c>
      <c r="R675" s="1" t="s">
        <v>1532</v>
      </c>
      <c r="S675" s="1" t="s">
        <v>14</v>
      </c>
      <c r="T675" s="26">
        <v>400</v>
      </c>
      <c r="U675" s="26">
        <v>51600000</v>
      </c>
      <c r="V675" s="26">
        <v>12808000</v>
      </c>
      <c r="W675" s="26">
        <v>3.6624836749758667</v>
      </c>
      <c r="X675" s="26">
        <v>400</v>
      </c>
      <c r="Y675" s="26">
        <v>0</v>
      </c>
    </row>
    <row r="676" spans="1:25">
      <c r="A676" s="24" t="str">
        <f t="shared" si="150"/>
        <v>신규</v>
      </c>
      <c r="B676" s="24" t="str">
        <f>IF(COUNTIF(R$1:R675,R676)=0,"최초","리오더")</f>
        <v>최초</v>
      </c>
      <c r="C676" s="24" t="str">
        <f t="shared" si="151"/>
        <v>MGMBPF3003</v>
      </c>
      <c r="D676" s="24">
        <f t="shared" si="145"/>
        <v>1</v>
      </c>
      <c r="E676" s="24" t="str">
        <f t="shared" si="152"/>
        <v/>
      </c>
      <c r="F676" s="24">
        <f t="shared" si="146"/>
        <v>0</v>
      </c>
      <c r="G676" s="24" t="str">
        <f t="shared" si="153"/>
        <v>MGMBPF3003BK</v>
      </c>
      <c r="H676" s="24">
        <f t="shared" si="147"/>
        <v>1</v>
      </c>
      <c r="I676" s="24" t="str">
        <f t="shared" si="154"/>
        <v/>
      </c>
      <c r="J676" s="24">
        <f t="shared" si="148"/>
        <v>0</v>
      </c>
      <c r="K676" s="24" t="str">
        <f t="shared" si="155"/>
        <v>F3</v>
      </c>
      <c r="L676" s="24" t="str">
        <f>VLOOKUP(N676,CODE!K:P,CODE!$P$1,FALSE)</f>
        <v>가방</v>
      </c>
      <c r="M676" s="24" t="str">
        <f>VLOOKUP(MID(R676,1,3),CODE!$B:$G,CODE!D$1,FALSE)</f>
        <v>MGM</v>
      </c>
      <c r="N676" s="24" t="str">
        <f t="shared" si="156"/>
        <v>BP</v>
      </c>
      <c r="O676" s="29" t="str">
        <f>IF(ISERROR(IF(VLOOKUP($N676,CODE!$K:$P,CODE!$O$1,FALSE)="",$M676,$M676&amp;"-"&amp;VLOOKUP($N676,CODE!$K:$P,CODE!$O$1,FALSE)))=TRUE,"",IF(VLOOKUP($N676,CODE!$K:$P,CODE!$O$1,FALSE)="",$M676,$M676&amp;"-"&amp;VLOOKUP($N676,CODE!$K:$P,CODE!$O$1,FALSE)))</f>
        <v>MGM-가방</v>
      </c>
      <c r="P676" s="29" t="str">
        <f t="shared" si="157"/>
        <v>성인</v>
      </c>
      <c r="Q676" s="29" t="str">
        <f t="shared" si="158"/>
        <v>MGMBPF3003</v>
      </c>
      <c r="R676" s="1" t="s">
        <v>1533</v>
      </c>
      <c r="S676" s="1" t="s">
        <v>14</v>
      </c>
      <c r="T676" s="26">
        <v>400</v>
      </c>
      <c r="U676" s="26">
        <v>50000000</v>
      </c>
      <c r="V676" s="26">
        <v>11808000</v>
      </c>
      <c r="W676" s="26">
        <v>3.8494703128849466</v>
      </c>
      <c r="X676" s="26">
        <v>400</v>
      </c>
      <c r="Y676" s="26">
        <v>0</v>
      </c>
    </row>
    <row r="677" spans="1:25">
      <c r="A677" s="24" t="str">
        <f t="shared" si="150"/>
        <v>신규</v>
      </c>
      <c r="B677" s="24" t="str">
        <f>IF(COUNTIF(R$1:R676,R677)=0,"최초","리오더")</f>
        <v>최초</v>
      </c>
      <c r="C677" s="24" t="str">
        <f t="shared" si="151"/>
        <v>ELSBPF3004</v>
      </c>
      <c r="D677" s="24">
        <f t="shared" si="145"/>
        <v>1</v>
      </c>
      <c r="E677" s="24" t="str">
        <f t="shared" si="152"/>
        <v/>
      </c>
      <c r="F677" s="24">
        <f t="shared" si="146"/>
        <v>0</v>
      </c>
      <c r="G677" s="24" t="str">
        <f t="shared" si="153"/>
        <v>ELSBPF3004BK</v>
      </c>
      <c r="H677" s="24">
        <f t="shared" si="147"/>
        <v>1</v>
      </c>
      <c r="I677" s="24" t="str">
        <f t="shared" si="154"/>
        <v/>
      </c>
      <c r="J677" s="24">
        <f t="shared" si="148"/>
        <v>0</v>
      </c>
      <c r="K677" s="24" t="str">
        <f t="shared" si="155"/>
        <v>F3</v>
      </c>
      <c r="L677" s="24" t="str">
        <f>VLOOKUP(N677,CODE!K:P,CODE!$P$1,FALSE)</f>
        <v>가방</v>
      </c>
      <c r="M677" s="24" t="str">
        <f>VLOOKUP(MID(R677,1,3),CODE!$B:$G,CODE!D$1,FALSE)</f>
        <v>ELS</v>
      </c>
      <c r="N677" s="24" t="str">
        <f t="shared" si="156"/>
        <v>BP</v>
      </c>
      <c r="O677" s="29" t="str">
        <f>IF(ISERROR(IF(VLOOKUP($N677,CODE!$K:$P,CODE!$O$1,FALSE)="",$M677,$M677&amp;"-"&amp;VLOOKUP($N677,CODE!$K:$P,CODE!$O$1,FALSE)))=TRUE,"",IF(VLOOKUP($N677,CODE!$K:$P,CODE!$O$1,FALSE)="",$M677,$M677&amp;"-"&amp;VLOOKUP($N677,CODE!$K:$P,CODE!$O$1,FALSE)))</f>
        <v>ELS-가방</v>
      </c>
      <c r="P677" s="29" t="str">
        <f t="shared" si="157"/>
        <v>성인</v>
      </c>
      <c r="Q677" s="29" t="str">
        <f t="shared" si="158"/>
        <v>ELSBPF3004</v>
      </c>
      <c r="R677" s="1" t="s">
        <v>1534</v>
      </c>
      <c r="S677" s="1" t="s">
        <v>14</v>
      </c>
      <c r="T677" s="26">
        <v>500</v>
      </c>
      <c r="U677" s="26">
        <v>64500000</v>
      </c>
      <c r="V677" s="26">
        <v>15410000</v>
      </c>
      <c r="W677" s="26">
        <v>3.8050852457082178</v>
      </c>
      <c r="X677" s="26">
        <v>500</v>
      </c>
      <c r="Y677" s="26">
        <v>0</v>
      </c>
    </row>
    <row r="678" spans="1:25">
      <c r="A678" s="24" t="str">
        <f t="shared" si="150"/>
        <v>신규</v>
      </c>
      <c r="B678" s="24" t="str">
        <f>IF(COUNTIF(R$1:R677,R678)=0,"최초","리오더")</f>
        <v>최초</v>
      </c>
      <c r="C678" s="24" t="str">
        <f t="shared" si="151"/>
        <v>ELSBPF3505</v>
      </c>
      <c r="D678" s="24">
        <f t="shared" si="145"/>
        <v>1</v>
      </c>
      <c r="E678" s="24" t="str">
        <f t="shared" si="152"/>
        <v/>
      </c>
      <c r="F678" s="24">
        <f t="shared" si="146"/>
        <v>0</v>
      </c>
      <c r="G678" s="24" t="str">
        <f t="shared" si="153"/>
        <v>ELSBPF3505BK</v>
      </c>
      <c r="H678" s="24">
        <f t="shared" si="147"/>
        <v>1</v>
      </c>
      <c r="I678" s="24" t="str">
        <f t="shared" si="154"/>
        <v/>
      </c>
      <c r="J678" s="24">
        <f t="shared" si="148"/>
        <v>0</v>
      </c>
      <c r="K678" s="24" t="str">
        <f t="shared" si="155"/>
        <v>F3</v>
      </c>
      <c r="L678" s="24" t="str">
        <f>VLOOKUP(N678,CODE!K:P,CODE!$P$1,FALSE)</f>
        <v>가방</v>
      </c>
      <c r="M678" s="24" t="str">
        <f>VLOOKUP(MID(R678,1,3),CODE!$B:$G,CODE!D$1,FALSE)</f>
        <v>ELS</v>
      </c>
      <c r="N678" s="24" t="str">
        <f t="shared" si="156"/>
        <v>BP</v>
      </c>
      <c r="O678" s="29" t="str">
        <f>IF(ISERROR(IF(VLOOKUP($N678,CODE!$K:$P,CODE!$O$1,FALSE)="",$M678,$M678&amp;"-"&amp;VLOOKUP($N678,CODE!$K:$P,CODE!$O$1,FALSE)))=TRUE,"",IF(VLOOKUP($N678,CODE!$K:$P,CODE!$O$1,FALSE)="",$M678,$M678&amp;"-"&amp;VLOOKUP($N678,CODE!$K:$P,CODE!$O$1,FALSE)))</f>
        <v>ELS-가방</v>
      </c>
      <c r="P678" s="29" t="str">
        <f t="shared" si="157"/>
        <v>키즈</v>
      </c>
      <c r="Q678" s="29" t="str">
        <f t="shared" si="158"/>
        <v>ELSBPF3505</v>
      </c>
      <c r="R678" s="1" t="s">
        <v>1535</v>
      </c>
      <c r="S678" s="1" t="s">
        <v>14</v>
      </c>
      <c r="T678" s="26">
        <v>1500</v>
      </c>
      <c r="U678" s="26">
        <v>163500000</v>
      </c>
      <c r="V678" s="26">
        <v>35280000</v>
      </c>
      <c r="W678" s="26">
        <v>4.2130488559059991</v>
      </c>
      <c r="X678" s="26">
        <v>1500</v>
      </c>
      <c r="Y678" s="26">
        <v>0</v>
      </c>
    </row>
    <row r="679" spans="1:25">
      <c r="A679" s="24" t="str">
        <f t="shared" si="150"/>
        <v>러닝</v>
      </c>
      <c r="B679" s="24" t="str">
        <f>IF(COUNTIF(R$1:R678,R679)=0,"최초","리오더")</f>
        <v>리오더</v>
      </c>
      <c r="C679" s="24" t="str">
        <f t="shared" si="151"/>
        <v/>
      </c>
      <c r="D679" s="24">
        <f t="shared" si="145"/>
        <v>0</v>
      </c>
      <c r="E679" s="24" t="str">
        <f t="shared" si="152"/>
        <v>URBFIF3453</v>
      </c>
      <c r="F679" s="24">
        <f t="shared" si="146"/>
        <v>1</v>
      </c>
      <c r="G679" s="24" t="str">
        <f t="shared" si="153"/>
        <v/>
      </c>
      <c r="H679" s="24">
        <f t="shared" si="147"/>
        <v>0</v>
      </c>
      <c r="I679" s="24" t="str">
        <f t="shared" si="154"/>
        <v>URBFIF3453BW</v>
      </c>
      <c r="J679" s="24">
        <f t="shared" si="148"/>
        <v>1</v>
      </c>
      <c r="K679" s="24" t="str">
        <f t="shared" si="155"/>
        <v>F3</v>
      </c>
      <c r="L679" s="24" t="str">
        <f>VLOOKUP(N679,CODE!K:P,CODE!$P$1,FALSE)</f>
        <v>모자</v>
      </c>
      <c r="M679" s="24" t="str">
        <f>VLOOKUP(MID(R679,1,3),CODE!$B:$G,CODE!D$1,FALSE)</f>
        <v>URB</v>
      </c>
      <c r="N679" s="24" t="str">
        <f t="shared" si="156"/>
        <v>FI</v>
      </c>
      <c r="O679" s="29" t="str">
        <f>IF(ISERROR(IF(VLOOKUP($N679,CODE!$K:$P,CODE!$O$1,FALSE)="",$M679,$M679&amp;"-"&amp;VLOOKUP($N679,CODE!$K:$P,CODE!$O$1,FALSE)))=TRUE,"",IF(VLOOKUP($N679,CODE!$K:$P,CODE!$O$1,FALSE)="",$M679,$M679&amp;"-"&amp;VLOOKUP($N679,CODE!$K:$P,CODE!$O$1,FALSE)))</f>
        <v>URB</v>
      </c>
      <c r="P679" s="29" t="str">
        <f t="shared" si="157"/>
        <v>성인</v>
      </c>
      <c r="Q679" s="29" t="str">
        <f t="shared" si="158"/>
        <v>URBFIF3453</v>
      </c>
      <c r="R679" s="1" t="s">
        <v>1526</v>
      </c>
      <c r="S679" s="1" t="s">
        <v>14</v>
      </c>
      <c r="T679" s="26">
        <v>1000</v>
      </c>
      <c r="U679" s="26">
        <v>39000000</v>
      </c>
      <c r="V679" s="26">
        <v>3605840</v>
      </c>
      <c r="W679" s="26">
        <v>9.8325342928542163</v>
      </c>
      <c r="X679" s="26">
        <v>999</v>
      </c>
      <c r="Y679" s="26">
        <v>0</v>
      </c>
    </row>
    <row r="680" spans="1:25">
      <c r="A680" s="24" t="str">
        <f t="shared" si="150"/>
        <v>러닝</v>
      </c>
      <c r="B680" s="24" t="str">
        <f>IF(COUNTIF(R$1:R679,R680)=0,"최초","리오더")</f>
        <v>리오더</v>
      </c>
      <c r="C680" s="24" t="str">
        <f t="shared" si="151"/>
        <v/>
      </c>
      <c r="D680" s="24">
        <f t="shared" si="145"/>
        <v>0</v>
      </c>
      <c r="E680" s="24" t="str">
        <f t="shared" si="152"/>
        <v>URBFIF3454</v>
      </c>
      <c r="F680" s="24">
        <f t="shared" si="146"/>
        <v>1</v>
      </c>
      <c r="G680" s="24" t="str">
        <f t="shared" si="153"/>
        <v/>
      </c>
      <c r="H680" s="24">
        <f t="shared" si="147"/>
        <v>0</v>
      </c>
      <c r="I680" s="24" t="str">
        <f t="shared" si="154"/>
        <v>URBFIF3454MT</v>
      </c>
      <c r="J680" s="24">
        <f t="shared" si="148"/>
        <v>1</v>
      </c>
      <c r="K680" s="24" t="str">
        <f t="shared" si="155"/>
        <v>F3</v>
      </c>
      <c r="L680" s="24" t="str">
        <f>VLOOKUP(N680,CODE!K:P,CODE!$P$1,FALSE)</f>
        <v>모자</v>
      </c>
      <c r="M680" s="24" t="str">
        <f>VLOOKUP(MID(R680,1,3),CODE!$B:$G,CODE!D$1,FALSE)</f>
        <v>URB</v>
      </c>
      <c r="N680" s="24" t="str">
        <f t="shared" si="156"/>
        <v>FI</v>
      </c>
      <c r="O680" s="29" t="str">
        <f>IF(ISERROR(IF(VLOOKUP($N680,CODE!$K:$P,CODE!$O$1,FALSE)="",$M680,$M680&amp;"-"&amp;VLOOKUP($N680,CODE!$K:$P,CODE!$O$1,FALSE)))=TRUE,"",IF(VLOOKUP($N680,CODE!$K:$P,CODE!$O$1,FALSE)="",$M680,$M680&amp;"-"&amp;VLOOKUP($N680,CODE!$K:$P,CODE!$O$1,FALSE)))</f>
        <v>URB</v>
      </c>
      <c r="P680" s="29" t="str">
        <f t="shared" si="157"/>
        <v>성인</v>
      </c>
      <c r="Q680" s="29" t="str">
        <f t="shared" si="158"/>
        <v>URBFIF3454</v>
      </c>
      <c r="R680" s="1" t="s">
        <v>1527</v>
      </c>
      <c r="S680" s="1" t="s">
        <v>14</v>
      </c>
      <c r="T680" s="26">
        <v>1000</v>
      </c>
      <c r="U680" s="26">
        <v>39000000</v>
      </c>
      <c r="V680" s="26">
        <v>3719840</v>
      </c>
      <c r="W680" s="26">
        <v>9.5312017330168644</v>
      </c>
      <c r="X680" s="26">
        <v>999</v>
      </c>
      <c r="Y680" s="26">
        <v>0</v>
      </c>
    </row>
    <row r="681" spans="1:25">
      <c r="A681" s="24" t="str">
        <f t="shared" si="150"/>
        <v>신규</v>
      </c>
      <c r="B681" s="24" t="str">
        <f>IF(COUNTIF(R$1:R680,R681)=0,"최초","리오더")</f>
        <v>최초</v>
      </c>
      <c r="C681" s="24" t="str">
        <f t="shared" si="151"/>
        <v>SBRFAF3071</v>
      </c>
      <c r="D681" s="24">
        <f t="shared" si="145"/>
        <v>0.5</v>
      </c>
      <c r="E681" s="24" t="str">
        <f t="shared" si="152"/>
        <v/>
      </c>
      <c r="F681" s="24">
        <f t="shared" si="146"/>
        <v>0</v>
      </c>
      <c r="G681" s="24" t="str">
        <f t="shared" si="153"/>
        <v>SBRFAF3071WH</v>
      </c>
      <c r="H681" s="24">
        <f t="shared" si="147"/>
        <v>1</v>
      </c>
      <c r="I681" s="24" t="str">
        <f t="shared" si="154"/>
        <v/>
      </c>
      <c r="J681" s="24">
        <f t="shared" si="148"/>
        <v>0</v>
      </c>
      <c r="K681" s="24" t="str">
        <f t="shared" si="155"/>
        <v>F3</v>
      </c>
      <c r="L681" s="24" t="str">
        <f>VLOOKUP(N681,CODE!K:P,CODE!$P$1,FALSE)</f>
        <v>모자</v>
      </c>
      <c r="M681" s="24" t="str">
        <f>VLOOKUP(MID(R681,1,3),CODE!$B:$G,CODE!D$1,FALSE)</f>
        <v>SBR</v>
      </c>
      <c r="N681" s="24" t="str">
        <f t="shared" si="156"/>
        <v>FA</v>
      </c>
      <c r="O681" s="29" t="str">
        <f>IF(ISERROR(IF(VLOOKUP($N681,CODE!$K:$P,CODE!$O$1,FALSE)="",$M681,$M681&amp;"-"&amp;VLOOKUP($N681,CODE!$K:$P,CODE!$O$1,FALSE)))=TRUE,"",IF(VLOOKUP($N681,CODE!$K:$P,CODE!$O$1,FALSE)="",$M681,$M681&amp;"-"&amp;VLOOKUP($N681,CODE!$K:$P,CODE!$O$1,FALSE)))</f>
        <v>SBR</v>
      </c>
      <c r="P681" s="29" t="str">
        <f t="shared" si="157"/>
        <v>성인</v>
      </c>
      <c r="Q681" s="29" t="str">
        <f t="shared" si="158"/>
        <v>SBRFAF3071</v>
      </c>
      <c r="R681" s="1" t="s">
        <v>1536</v>
      </c>
      <c r="S681" s="1" t="s">
        <v>14</v>
      </c>
      <c r="T681" s="26">
        <v>20</v>
      </c>
      <c r="U681" s="26">
        <v>780000</v>
      </c>
      <c r="V681" s="26">
        <v>78787.87878787877</v>
      </c>
      <c r="W681" s="26">
        <v>9.0000000000000018</v>
      </c>
      <c r="X681" s="26">
        <v>20</v>
      </c>
      <c r="Y681" s="26">
        <v>0</v>
      </c>
    </row>
    <row r="682" spans="1:25">
      <c r="A682" s="24" t="str">
        <f t="shared" si="150"/>
        <v>신규</v>
      </c>
      <c r="B682" s="24" t="str">
        <f>IF(COUNTIF(R$1:R681,R682)=0,"최초","리오더")</f>
        <v>최초</v>
      </c>
      <c r="C682" s="24" t="str">
        <f t="shared" si="151"/>
        <v>SBRFAF3071</v>
      </c>
      <c r="D682" s="24">
        <f t="shared" si="145"/>
        <v>0.5</v>
      </c>
      <c r="E682" s="24" t="str">
        <f t="shared" si="152"/>
        <v/>
      </c>
      <c r="F682" s="24">
        <f t="shared" si="146"/>
        <v>0</v>
      </c>
      <c r="G682" s="24" t="str">
        <f t="shared" si="153"/>
        <v>SBRFAF3071BK</v>
      </c>
      <c r="H682" s="24">
        <f t="shared" si="147"/>
        <v>1</v>
      </c>
      <c r="I682" s="24" t="str">
        <f t="shared" si="154"/>
        <v/>
      </c>
      <c r="J682" s="24">
        <f t="shared" si="148"/>
        <v>0</v>
      </c>
      <c r="K682" s="24" t="str">
        <f t="shared" si="155"/>
        <v>F3</v>
      </c>
      <c r="L682" s="24" t="str">
        <f>VLOOKUP(N682,CODE!K:P,CODE!$P$1,FALSE)</f>
        <v>모자</v>
      </c>
      <c r="M682" s="24" t="str">
        <f>VLOOKUP(MID(R682,1,3),CODE!$B:$G,CODE!D$1,FALSE)</f>
        <v>SBR</v>
      </c>
      <c r="N682" s="24" t="str">
        <f t="shared" si="156"/>
        <v>FA</v>
      </c>
      <c r="O682" s="29" t="str">
        <f>IF(ISERROR(IF(VLOOKUP($N682,CODE!$K:$P,CODE!$O$1,FALSE)="",$M682,$M682&amp;"-"&amp;VLOOKUP($N682,CODE!$K:$P,CODE!$O$1,FALSE)))=TRUE,"",IF(VLOOKUP($N682,CODE!$K:$P,CODE!$O$1,FALSE)="",$M682,$M682&amp;"-"&amp;VLOOKUP($N682,CODE!$K:$P,CODE!$O$1,FALSE)))</f>
        <v>SBR</v>
      </c>
      <c r="P682" s="29" t="str">
        <f t="shared" si="157"/>
        <v>성인</v>
      </c>
      <c r="Q682" s="29" t="str">
        <f t="shared" si="158"/>
        <v>SBRFAF3071</v>
      </c>
      <c r="R682" s="1" t="s">
        <v>1537</v>
      </c>
      <c r="S682" s="1" t="s">
        <v>14</v>
      </c>
      <c r="T682" s="26">
        <v>20</v>
      </c>
      <c r="U682" s="26">
        <v>780000</v>
      </c>
      <c r="V682" s="26">
        <v>78787.87878787877</v>
      </c>
      <c r="W682" s="26">
        <v>9.0000000000000018</v>
      </c>
      <c r="X682" s="26">
        <v>20</v>
      </c>
      <c r="Y682" s="26">
        <v>0</v>
      </c>
    </row>
    <row r="683" spans="1:25">
      <c r="A683" s="24" t="str">
        <f t="shared" si="150"/>
        <v>신규</v>
      </c>
      <c r="B683" s="24" t="str">
        <f>IF(COUNTIF(R$1:R682,R683)=0,"최초","리오더")</f>
        <v>최초</v>
      </c>
      <c r="C683" s="24" t="str">
        <f t="shared" si="151"/>
        <v>SBRFAF3072</v>
      </c>
      <c r="D683" s="24">
        <f t="shared" si="145"/>
        <v>1</v>
      </c>
      <c r="E683" s="24" t="str">
        <f t="shared" si="152"/>
        <v/>
      </c>
      <c r="F683" s="24">
        <f t="shared" si="146"/>
        <v>0</v>
      </c>
      <c r="G683" s="24" t="str">
        <f t="shared" si="153"/>
        <v>SBRFAF3072BL</v>
      </c>
      <c r="H683" s="24">
        <f t="shared" si="147"/>
        <v>1</v>
      </c>
      <c r="I683" s="24" t="str">
        <f t="shared" si="154"/>
        <v/>
      </c>
      <c r="J683" s="24">
        <f t="shared" si="148"/>
        <v>0</v>
      </c>
      <c r="K683" s="24" t="str">
        <f t="shared" si="155"/>
        <v>F3</v>
      </c>
      <c r="L683" s="24" t="str">
        <f>VLOOKUP(N683,CODE!K:P,CODE!$P$1,FALSE)</f>
        <v>모자</v>
      </c>
      <c r="M683" s="24" t="str">
        <f>VLOOKUP(MID(R683,1,3),CODE!$B:$G,CODE!D$1,FALSE)</f>
        <v>SBR</v>
      </c>
      <c r="N683" s="24" t="str">
        <f t="shared" si="156"/>
        <v>FA</v>
      </c>
      <c r="O683" s="29" t="str">
        <f>IF(ISERROR(IF(VLOOKUP($N683,CODE!$K:$P,CODE!$O$1,FALSE)="",$M683,$M683&amp;"-"&amp;VLOOKUP($N683,CODE!$K:$P,CODE!$O$1,FALSE)))=TRUE,"",IF(VLOOKUP($N683,CODE!$K:$P,CODE!$O$1,FALSE)="",$M683,$M683&amp;"-"&amp;VLOOKUP($N683,CODE!$K:$P,CODE!$O$1,FALSE)))</f>
        <v>SBR</v>
      </c>
      <c r="P683" s="29" t="str">
        <f t="shared" si="157"/>
        <v>성인</v>
      </c>
      <c r="Q683" s="29" t="str">
        <f t="shared" si="158"/>
        <v>SBRFAF3072</v>
      </c>
      <c r="R683" s="1" t="s">
        <v>1538</v>
      </c>
      <c r="S683" s="1" t="s">
        <v>14</v>
      </c>
      <c r="T683" s="26">
        <v>15</v>
      </c>
      <c r="U683" s="26">
        <v>585000</v>
      </c>
      <c r="V683" s="26">
        <v>59090.909090909081</v>
      </c>
      <c r="W683" s="26">
        <v>9.0000000000000018</v>
      </c>
      <c r="X683" s="26">
        <v>20</v>
      </c>
      <c r="Y683" s="26">
        <v>0</v>
      </c>
    </row>
    <row r="684" spans="1:25">
      <c r="A684" s="24" t="str">
        <f t="shared" si="150"/>
        <v>신규</v>
      </c>
      <c r="B684" s="24" t="str">
        <f>IF(COUNTIF(R$1:R683,R684)=0,"최초","리오더")</f>
        <v>최초</v>
      </c>
      <c r="C684" s="24" t="str">
        <f t="shared" si="151"/>
        <v>SBRFAF3073</v>
      </c>
      <c r="D684" s="24">
        <f t="shared" si="145"/>
        <v>1</v>
      </c>
      <c r="E684" s="24" t="str">
        <f t="shared" si="152"/>
        <v/>
      </c>
      <c r="F684" s="24">
        <f t="shared" si="146"/>
        <v>0</v>
      </c>
      <c r="G684" s="24" t="str">
        <f t="shared" si="153"/>
        <v>SBRFAF3073BL</v>
      </c>
      <c r="H684" s="24">
        <f t="shared" si="147"/>
        <v>1</v>
      </c>
      <c r="I684" s="24" t="str">
        <f t="shared" si="154"/>
        <v/>
      </c>
      <c r="J684" s="24">
        <f t="shared" si="148"/>
        <v>0</v>
      </c>
      <c r="K684" s="24" t="str">
        <f t="shared" si="155"/>
        <v>F3</v>
      </c>
      <c r="L684" s="24" t="str">
        <f>VLOOKUP(N684,CODE!K:P,CODE!$P$1,FALSE)</f>
        <v>모자</v>
      </c>
      <c r="M684" s="24" t="str">
        <f>VLOOKUP(MID(R684,1,3),CODE!$B:$G,CODE!D$1,FALSE)</f>
        <v>SBR</v>
      </c>
      <c r="N684" s="24" t="str">
        <f t="shared" si="156"/>
        <v>FA</v>
      </c>
      <c r="O684" s="29" t="str">
        <f>IF(ISERROR(IF(VLOOKUP($N684,CODE!$K:$P,CODE!$O$1,FALSE)="",$M684,$M684&amp;"-"&amp;VLOOKUP($N684,CODE!$K:$P,CODE!$O$1,FALSE)))=TRUE,"",IF(VLOOKUP($N684,CODE!$K:$P,CODE!$O$1,FALSE)="",$M684,$M684&amp;"-"&amp;VLOOKUP($N684,CODE!$K:$P,CODE!$O$1,FALSE)))</f>
        <v>SBR</v>
      </c>
      <c r="P684" s="29" t="str">
        <f t="shared" si="157"/>
        <v>성인</v>
      </c>
      <c r="Q684" s="29" t="str">
        <f t="shared" si="158"/>
        <v>SBRFAF3073</v>
      </c>
      <c r="R684" s="1" t="s">
        <v>1539</v>
      </c>
      <c r="S684" s="1" t="s">
        <v>14</v>
      </c>
      <c r="T684" s="26">
        <v>20</v>
      </c>
      <c r="U684" s="26">
        <v>780000</v>
      </c>
      <c r="V684" s="26">
        <v>78787.87878787877</v>
      </c>
      <c r="W684" s="26">
        <v>9.0000000000000018</v>
      </c>
      <c r="X684" s="26">
        <v>15</v>
      </c>
      <c r="Y684" s="26">
        <v>0</v>
      </c>
    </row>
    <row r="685" spans="1:25">
      <c r="A685" s="24" t="str">
        <f t="shared" si="150"/>
        <v>신규</v>
      </c>
      <c r="B685" s="24" t="str">
        <f>IF(COUNTIF(R$1:R684,R685)=0,"최초","리오더")</f>
        <v>최초</v>
      </c>
      <c r="C685" s="24" t="str">
        <f t="shared" si="151"/>
        <v>SBRFAF3074</v>
      </c>
      <c r="D685" s="24">
        <f t="shared" si="145"/>
        <v>1</v>
      </c>
      <c r="E685" s="24" t="str">
        <f t="shared" si="152"/>
        <v/>
      </c>
      <c r="F685" s="24">
        <f t="shared" si="146"/>
        <v>0</v>
      </c>
      <c r="G685" s="24" t="str">
        <f t="shared" si="153"/>
        <v>SBRFAF3074WH</v>
      </c>
      <c r="H685" s="24">
        <f t="shared" si="147"/>
        <v>1</v>
      </c>
      <c r="I685" s="24" t="str">
        <f t="shared" si="154"/>
        <v/>
      </c>
      <c r="J685" s="24">
        <f t="shared" si="148"/>
        <v>0</v>
      </c>
      <c r="K685" s="24" t="str">
        <f t="shared" si="155"/>
        <v>F3</v>
      </c>
      <c r="L685" s="24" t="str">
        <f>VLOOKUP(N685,CODE!K:P,CODE!$P$1,FALSE)</f>
        <v>모자</v>
      </c>
      <c r="M685" s="24" t="str">
        <f>VLOOKUP(MID(R685,1,3),CODE!$B:$G,CODE!D$1,FALSE)</f>
        <v>SBR</v>
      </c>
      <c r="N685" s="24" t="str">
        <f t="shared" si="156"/>
        <v>FA</v>
      </c>
      <c r="O685" s="29" t="str">
        <f>IF(ISERROR(IF(VLOOKUP($N685,CODE!$K:$P,CODE!$O$1,FALSE)="",$M685,$M685&amp;"-"&amp;VLOOKUP($N685,CODE!$K:$P,CODE!$O$1,FALSE)))=TRUE,"",IF(VLOOKUP($N685,CODE!$K:$P,CODE!$O$1,FALSE)="",$M685,$M685&amp;"-"&amp;VLOOKUP($N685,CODE!$K:$P,CODE!$O$1,FALSE)))</f>
        <v>SBR</v>
      </c>
      <c r="P685" s="29" t="str">
        <f t="shared" si="157"/>
        <v>성인</v>
      </c>
      <c r="Q685" s="29" t="str">
        <f t="shared" si="158"/>
        <v>SBRFAF3074</v>
      </c>
      <c r="R685" s="1" t="s">
        <v>1540</v>
      </c>
      <c r="S685" s="1" t="s">
        <v>14</v>
      </c>
      <c r="T685" s="26">
        <v>15</v>
      </c>
      <c r="U685" s="26">
        <v>585000</v>
      </c>
      <c r="V685" s="26">
        <v>59090.909090909081</v>
      </c>
      <c r="W685" s="26">
        <v>9.0000000000000018</v>
      </c>
      <c r="X685" s="26">
        <v>15</v>
      </c>
      <c r="Y685" s="26">
        <v>0</v>
      </c>
    </row>
    <row r="686" spans="1:25">
      <c r="A686" s="24" t="str">
        <f t="shared" si="150"/>
        <v>신규</v>
      </c>
      <c r="B686" s="24" t="str">
        <f>IF(COUNTIF(R$1:R685,R686)=0,"최초","리오더")</f>
        <v>최초</v>
      </c>
      <c r="C686" s="24" t="str">
        <f t="shared" si="151"/>
        <v>PLAUMF3004</v>
      </c>
      <c r="D686" s="24">
        <f t="shared" si="145"/>
        <v>1</v>
      </c>
      <c r="E686" s="24" t="str">
        <f t="shared" si="152"/>
        <v/>
      </c>
      <c r="F686" s="24">
        <f t="shared" si="146"/>
        <v>0</v>
      </c>
      <c r="G686" s="24" t="str">
        <f t="shared" si="153"/>
        <v>PLAUMF3004BW</v>
      </c>
      <c r="H686" s="24">
        <f t="shared" si="147"/>
        <v>1</v>
      </c>
      <c r="I686" s="24" t="str">
        <f t="shared" si="154"/>
        <v/>
      </c>
      <c r="J686" s="24">
        <f t="shared" si="148"/>
        <v>0</v>
      </c>
      <c r="K686" s="24" t="str">
        <f t="shared" si="155"/>
        <v>F3</v>
      </c>
      <c r="L686" s="24" t="str">
        <f>VLOOKUP(N686,CODE!K:P,CODE!$P$1,FALSE)</f>
        <v>모자</v>
      </c>
      <c r="M686" s="24" t="str">
        <f>VLOOKUP(MID(R686,1,3),CODE!$B:$G,CODE!D$1,FALSE)</f>
        <v>PLA</v>
      </c>
      <c r="N686" s="24" t="str">
        <f t="shared" si="156"/>
        <v>UM</v>
      </c>
      <c r="O686" s="29" t="str">
        <f>IF(ISERROR(IF(VLOOKUP($N686,CODE!$K:$P,CODE!$O$1,FALSE)="",$M686,$M686&amp;"-"&amp;VLOOKUP($N686,CODE!$K:$P,CODE!$O$1,FALSE)))=TRUE,"",IF(VLOOKUP($N686,CODE!$K:$P,CODE!$O$1,FALSE)="",$M686,$M686&amp;"-"&amp;VLOOKUP($N686,CODE!$K:$P,CODE!$O$1,FALSE)))</f>
        <v>PLA</v>
      </c>
      <c r="P686" s="29" t="str">
        <f t="shared" si="157"/>
        <v>성인</v>
      </c>
      <c r="Q686" s="29" t="str">
        <f t="shared" si="158"/>
        <v>PLAUMF3004</v>
      </c>
      <c r="R686" s="1" t="s">
        <v>1541</v>
      </c>
      <c r="S686" s="1" t="s">
        <v>14</v>
      </c>
      <c r="T686" s="26">
        <v>1000</v>
      </c>
      <c r="U686" s="26">
        <v>59000000</v>
      </c>
      <c r="V686" s="26">
        <v>7484400.0000000019</v>
      </c>
      <c r="W686" s="26">
        <v>7.1664213078354466</v>
      </c>
      <c r="X686" s="26">
        <v>999</v>
      </c>
      <c r="Y686" s="26">
        <v>0</v>
      </c>
    </row>
    <row r="687" spans="1:25">
      <c r="A687" s="24" t="str">
        <f t="shared" si="150"/>
        <v>신규</v>
      </c>
      <c r="B687" s="24" t="str">
        <f>IF(COUNTIF(R$1:R686,R687)=0,"최초","리오더")</f>
        <v>최초</v>
      </c>
      <c r="C687" s="24" t="str">
        <f t="shared" si="151"/>
        <v>MGMSNF3013</v>
      </c>
      <c r="D687" s="24">
        <f t="shared" si="145"/>
        <v>1</v>
      </c>
      <c r="E687" s="24" t="str">
        <f t="shared" si="152"/>
        <v/>
      </c>
      <c r="F687" s="24">
        <f t="shared" si="146"/>
        <v>0</v>
      </c>
      <c r="G687" s="24" t="str">
        <f t="shared" si="153"/>
        <v>MGMSNF3013GR</v>
      </c>
      <c r="H687" s="24">
        <f t="shared" si="147"/>
        <v>1</v>
      </c>
      <c r="I687" s="24" t="str">
        <f t="shared" si="154"/>
        <v/>
      </c>
      <c r="J687" s="24">
        <f t="shared" si="148"/>
        <v>0</v>
      </c>
      <c r="K687" s="24" t="str">
        <f t="shared" si="155"/>
        <v>F3</v>
      </c>
      <c r="L687" s="24" t="str">
        <f>VLOOKUP(N687,CODE!K:P,CODE!$P$1,FALSE)</f>
        <v>모자</v>
      </c>
      <c r="M687" s="24" t="str">
        <f>VLOOKUP(MID(R687,1,3),CODE!$B:$G,CODE!D$1,FALSE)</f>
        <v>MGM</v>
      </c>
      <c r="N687" s="24" t="str">
        <f t="shared" si="156"/>
        <v>SN</v>
      </c>
      <c r="O687" s="29" t="str">
        <f>IF(ISERROR(IF(VLOOKUP($N687,CODE!$K:$P,CODE!$O$1,FALSE)="",$M687,$M687&amp;"-"&amp;VLOOKUP($N687,CODE!$K:$P,CODE!$O$1,FALSE)))=TRUE,"",IF(VLOOKUP($N687,CODE!$K:$P,CODE!$O$1,FALSE)="",$M687,$M687&amp;"-"&amp;VLOOKUP($N687,CODE!$K:$P,CODE!$O$1,FALSE)))</f>
        <v>MGM</v>
      </c>
      <c r="P687" s="29" t="str">
        <f t="shared" si="157"/>
        <v>성인</v>
      </c>
      <c r="Q687" s="29" t="str">
        <f t="shared" si="158"/>
        <v>MGMSNF3013</v>
      </c>
      <c r="R687" s="1" t="s">
        <v>1542</v>
      </c>
      <c r="S687" s="1" t="s">
        <v>14</v>
      </c>
      <c r="T687" s="26">
        <v>800</v>
      </c>
      <c r="U687" s="26">
        <v>36000000</v>
      </c>
      <c r="V687" s="26">
        <v>4886584</v>
      </c>
      <c r="W687" s="26">
        <v>6.6973723826854759</v>
      </c>
      <c r="X687" s="26">
        <v>807</v>
      </c>
      <c r="Y687" s="26">
        <v>0</v>
      </c>
    </row>
    <row r="688" spans="1:25">
      <c r="A688" s="24" t="str">
        <f t="shared" si="150"/>
        <v>신규</v>
      </c>
      <c r="B688" s="24" t="str">
        <f>IF(COUNTIF(R$1:R687,R688)=0,"최초","리오더")</f>
        <v>최초</v>
      </c>
      <c r="C688" s="24" t="str">
        <f t="shared" si="151"/>
        <v>MGMSNF5014</v>
      </c>
      <c r="D688" s="24">
        <f t="shared" si="145"/>
        <v>1</v>
      </c>
      <c r="E688" s="24" t="str">
        <f t="shared" si="152"/>
        <v/>
      </c>
      <c r="F688" s="24">
        <f t="shared" si="146"/>
        <v>0</v>
      </c>
      <c r="G688" s="24" t="str">
        <f t="shared" si="153"/>
        <v>MGMSNF5014BK</v>
      </c>
      <c r="H688" s="24">
        <f t="shared" si="147"/>
        <v>1</v>
      </c>
      <c r="I688" s="24" t="str">
        <f t="shared" si="154"/>
        <v/>
      </c>
      <c r="J688" s="24">
        <f t="shared" si="148"/>
        <v>0</v>
      </c>
      <c r="K688" s="24" t="str">
        <f t="shared" si="155"/>
        <v>F5</v>
      </c>
      <c r="L688" s="24" t="str">
        <f>VLOOKUP(N688,CODE!K:P,CODE!$P$1,FALSE)</f>
        <v>모자</v>
      </c>
      <c r="M688" s="24" t="str">
        <f>VLOOKUP(MID(R688,1,3),CODE!$B:$G,CODE!D$1,FALSE)</f>
        <v>MGM</v>
      </c>
      <c r="N688" s="24" t="str">
        <f t="shared" si="156"/>
        <v>SN</v>
      </c>
      <c r="O688" s="29" t="str">
        <f>IF(ISERROR(IF(VLOOKUP($N688,CODE!$K:$P,CODE!$O$1,FALSE)="",$M688,$M688&amp;"-"&amp;VLOOKUP($N688,CODE!$K:$P,CODE!$O$1,FALSE)))=TRUE,"",IF(VLOOKUP($N688,CODE!$K:$P,CODE!$O$1,FALSE)="",$M688,$M688&amp;"-"&amp;VLOOKUP($N688,CODE!$K:$P,CODE!$O$1,FALSE)))</f>
        <v>MGM</v>
      </c>
      <c r="P688" s="29" t="str">
        <f t="shared" si="157"/>
        <v>성인</v>
      </c>
      <c r="Q688" s="29" t="str">
        <f t="shared" si="158"/>
        <v>MGMSNF5014</v>
      </c>
      <c r="R688" s="1" t="s">
        <v>1543</v>
      </c>
      <c r="S688" s="1" t="s">
        <v>14</v>
      </c>
      <c r="T688" s="26">
        <v>1000</v>
      </c>
      <c r="U688" s="26">
        <v>45000000</v>
      </c>
      <c r="V688" s="26">
        <v>5863143.9999999991</v>
      </c>
      <c r="W688" s="26">
        <v>6.9773300654206878</v>
      </c>
      <c r="X688" s="26">
        <v>950</v>
      </c>
      <c r="Y688" s="26">
        <v>0</v>
      </c>
    </row>
    <row r="689" spans="1:25">
      <c r="A689" s="24" t="str">
        <f t="shared" si="150"/>
        <v>신규</v>
      </c>
      <c r="B689" s="24" t="str">
        <f>IF(COUNTIF(R$1:R688,R689)=0,"최초","리오더")</f>
        <v>최초</v>
      </c>
      <c r="C689" s="24" t="str">
        <f t="shared" si="151"/>
        <v>MGMSNF5015</v>
      </c>
      <c r="D689" s="24">
        <f t="shared" si="145"/>
        <v>1</v>
      </c>
      <c r="E689" s="24" t="str">
        <f t="shared" si="152"/>
        <v/>
      </c>
      <c r="F689" s="24">
        <f t="shared" si="146"/>
        <v>0</v>
      </c>
      <c r="G689" s="24" t="str">
        <f t="shared" si="153"/>
        <v>MGMSNF5015BK</v>
      </c>
      <c r="H689" s="24">
        <f t="shared" si="147"/>
        <v>1</v>
      </c>
      <c r="I689" s="24" t="str">
        <f t="shared" si="154"/>
        <v/>
      </c>
      <c r="J689" s="24">
        <f t="shared" si="148"/>
        <v>0</v>
      </c>
      <c r="K689" s="24" t="str">
        <f t="shared" si="155"/>
        <v>F5</v>
      </c>
      <c r="L689" s="24" t="str">
        <f>VLOOKUP(N689,CODE!K:P,CODE!$P$1,FALSE)</f>
        <v>모자</v>
      </c>
      <c r="M689" s="24" t="str">
        <f>VLOOKUP(MID(R689,1,3),CODE!$B:$G,CODE!D$1,FALSE)</f>
        <v>MGM</v>
      </c>
      <c r="N689" s="24" t="str">
        <f t="shared" si="156"/>
        <v>SN</v>
      </c>
      <c r="O689" s="29" t="str">
        <f>IF(ISERROR(IF(VLOOKUP($N689,CODE!$K:$P,CODE!$O$1,FALSE)="",$M689,$M689&amp;"-"&amp;VLOOKUP($N689,CODE!$K:$P,CODE!$O$1,FALSE)))=TRUE,"",IF(VLOOKUP($N689,CODE!$K:$P,CODE!$O$1,FALSE)="",$M689,$M689&amp;"-"&amp;VLOOKUP($N689,CODE!$K:$P,CODE!$O$1,FALSE)))</f>
        <v>MGM</v>
      </c>
      <c r="P689" s="29" t="str">
        <f t="shared" si="157"/>
        <v>성인</v>
      </c>
      <c r="Q689" s="29" t="str">
        <f t="shared" si="158"/>
        <v>MGMSNF5015</v>
      </c>
      <c r="R689" s="1" t="s">
        <v>1544</v>
      </c>
      <c r="S689" s="1" t="s">
        <v>14</v>
      </c>
      <c r="T689" s="26">
        <v>1000</v>
      </c>
      <c r="U689" s="26">
        <v>45000000</v>
      </c>
      <c r="V689" s="26">
        <v>6037780.0000000009</v>
      </c>
      <c r="W689" s="26">
        <v>6.7755186358381554</v>
      </c>
      <c r="X689" s="26">
        <v>1006</v>
      </c>
      <c r="Y689" s="26">
        <v>0</v>
      </c>
    </row>
    <row r="690" spans="1:25">
      <c r="A690" s="24" t="str">
        <f t="shared" si="150"/>
        <v>신규</v>
      </c>
      <c r="B690" s="24" t="str">
        <f>IF(COUNTIF(R$1:R689,R690)=0,"최초","리오더")</f>
        <v>최초</v>
      </c>
      <c r="C690" s="24" t="str">
        <f t="shared" si="151"/>
        <v>MGMSNF3016</v>
      </c>
      <c r="D690" s="24">
        <f t="shared" si="145"/>
        <v>1</v>
      </c>
      <c r="E690" s="24" t="str">
        <f t="shared" si="152"/>
        <v/>
      </c>
      <c r="F690" s="24">
        <f t="shared" si="146"/>
        <v>0</v>
      </c>
      <c r="G690" s="24" t="str">
        <f t="shared" si="153"/>
        <v>MGMSNF3016NY</v>
      </c>
      <c r="H690" s="24">
        <f t="shared" si="147"/>
        <v>1</v>
      </c>
      <c r="I690" s="24" t="str">
        <f t="shared" si="154"/>
        <v/>
      </c>
      <c r="J690" s="24">
        <f t="shared" si="148"/>
        <v>0</v>
      </c>
      <c r="K690" s="24" t="str">
        <f t="shared" si="155"/>
        <v>F3</v>
      </c>
      <c r="L690" s="24" t="str">
        <f>VLOOKUP(N690,CODE!K:P,CODE!$P$1,FALSE)</f>
        <v>모자</v>
      </c>
      <c r="M690" s="24" t="str">
        <f>VLOOKUP(MID(R690,1,3),CODE!$B:$G,CODE!D$1,FALSE)</f>
        <v>MGM</v>
      </c>
      <c r="N690" s="24" t="str">
        <f t="shared" si="156"/>
        <v>SN</v>
      </c>
      <c r="O690" s="29" t="str">
        <f>IF(ISERROR(IF(VLOOKUP($N690,CODE!$K:$P,CODE!$O$1,FALSE)="",$M690,$M690&amp;"-"&amp;VLOOKUP($N690,CODE!$K:$P,CODE!$O$1,FALSE)))=TRUE,"",IF(VLOOKUP($N690,CODE!$K:$P,CODE!$O$1,FALSE)="",$M690,$M690&amp;"-"&amp;VLOOKUP($N690,CODE!$K:$P,CODE!$O$1,FALSE)))</f>
        <v>MGM</v>
      </c>
      <c r="P690" s="29" t="str">
        <f t="shared" si="157"/>
        <v>성인</v>
      </c>
      <c r="Q690" s="29" t="str">
        <f t="shared" si="158"/>
        <v>MGMSNF3016</v>
      </c>
      <c r="R690" s="1" t="s">
        <v>1545</v>
      </c>
      <c r="S690" s="1" t="s">
        <v>14</v>
      </c>
      <c r="T690" s="26">
        <v>1200</v>
      </c>
      <c r="U690" s="26">
        <v>54000000</v>
      </c>
      <c r="V690" s="26">
        <v>4386420</v>
      </c>
      <c r="W690" s="26">
        <v>11.191566035835395</v>
      </c>
      <c r="X690" s="26">
        <v>1200</v>
      </c>
      <c r="Y690" s="26">
        <v>0</v>
      </c>
    </row>
    <row r="691" spans="1:25">
      <c r="A691" s="24" t="str">
        <f t="shared" si="150"/>
        <v>신규</v>
      </c>
      <c r="B691" s="24" t="str">
        <f>IF(COUNTIF(R$1:R690,R691)=0,"최초","리오더")</f>
        <v>최초</v>
      </c>
      <c r="C691" s="24" t="str">
        <f t="shared" si="151"/>
        <v>MGMSNF3017</v>
      </c>
      <c r="D691" s="24">
        <f t="shared" si="145"/>
        <v>1</v>
      </c>
      <c r="E691" s="24" t="str">
        <f t="shared" si="152"/>
        <v/>
      </c>
      <c r="F691" s="24">
        <f t="shared" si="146"/>
        <v>0</v>
      </c>
      <c r="G691" s="24" t="str">
        <f t="shared" si="153"/>
        <v>MGMSNF3017BK</v>
      </c>
      <c r="H691" s="24">
        <f t="shared" si="147"/>
        <v>1</v>
      </c>
      <c r="I691" s="24" t="str">
        <f t="shared" si="154"/>
        <v/>
      </c>
      <c r="J691" s="24">
        <f t="shared" si="148"/>
        <v>0</v>
      </c>
      <c r="K691" s="24" t="str">
        <f t="shared" si="155"/>
        <v>F3</v>
      </c>
      <c r="L691" s="24" t="str">
        <f>VLOOKUP(N691,CODE!K:P,CODE!$P$1,FALSE)</f>
        <v>모자</v>
      </c>
      <c r="M691" s="24" t="str">
        <f>VLOOKUP(MID(R691,1,3),CODE!$B:$G,CODE!D$1,FALSE)</f>
        <v>MGM</v>
      </c>
      <c r="N691" s="24" t="str">
        <f t="shared" si="156"/>
        <v>SN</v>
      </c>
      <c r="O691" s="29" t="str">
        <f>IF(ISERROR(IF(VLOOKUP($N691,CODE!$K:$P,CODE!$O$1,FALSE)="",$M691,$M691&amp;"-"&amp;VLOOKUP($N691,CODE!$K:$P,CODE!$O$1,FALSE)))=TRUE,"",IF(VLOOKUP($N691,CODE!$K:$P,CODE!$O$1,FALSE)="",$M691,$M691&amp;"-"&amp;VLOOKUP($N691,CODE!$K:$P,CODE!$O$1,FALSE)))</f>
        <v>MGM</v>
      </c>
      <c r="P691" s="29" t="str">
        <f t="shared" si="157"/>
        <v>성인</v>
      </c>
      <c r="Q691" s="29" t="str">
        <f t="shared" si="158"/>
        <v>MGMSNF3017</v>
      </c>
      <c r="R691" s="1" t="s">
        <v>1546</v>
      </c>
      <c r="S691" s="1" t="s">
        <v>14</v>
      </c>
      <c r="T691" s="26">
        <v>1200</v>
      </c>
      <c r="U691" s="26">
        <v>54000000</v>
      </c>
      <c r="V691" s="26">
        <v>4012200</v>
      </c>
      <c r="W691" s="26">
        <v>12.235409274440229</v>
      </c>
      <c r="X691" s="26">
        <v>1200</v>
      </c>
      <c r="Y691" s="26">
        <v>0</v>
      </c>
    </row>
    <row r="692" spans="1:25">
      <c r="A692" s="24" t="str">
        <f t="shared" si="150"/>
        <v>러닝</v>
      </c>
      <c r="B692" s="24" t="str">
        <f>IF(COUNTIF(R$1:R691,R692)=0,"최초","리오더")</f>
        <v>최초</v>
      </c>
      <c r="C692" s="24" t="str">
        <f t="shared" si="151"/>
        <v>URBFIF3423</v>
      </c>
      <c r="D692" s="24">
        <f t="shared" si="145"/>
        <v>1</v>
      </c>
      <c r="E692" s="24" t="str">
        <f t="shared" si="152"/>
        <v/>
      </c>
      <c r="F692" s="24">
        <f t="shared" si="146"/>
        <v>0</v>
      </c>
      <c r="G692" s="24" t="str">
        <f t="shared" si="153"/>
        <v>URBFIF3423BK</v>
      </c>
      <c r="H692" s="24">
        <f t="shared" si="147"/>
        <v>1</v>
      </c>
      <c r="I692" s="24" t="str">
        <f t="shared" si="154"/>
        <v/>
      </c>
      <c r="J692" s="24">
        <f t="shared" si="148"/>
        <v>0</v>
      </c>
      <c r="K692" s="24" t="str">
        <f t="shared" si="155"/>
        <v>F3</v>
      </c>
      <c r="L692" s="24" t="str">
        <f>VLOOKUP(N692,CODE!K:P,CODE!$P$1,FALSE)</f>
        <v>모자</v>
      </c>
      <c r="M692" s="24" t="str">
        <f>VLOOKUP(MID(R692,1,3),CODE!$B:$G,CODE!D$1,FALSE)</f>
        <v>URB</v>
      </c>
      <c r="N692" s="24" t="str">
        <f t="shared" si="156"/>
        <v>FI</v>
      </c>
      <c r="O692" s="29" t="str">
        <f>IF(ISERROR(IF(VLOOKUP($N692,CODE!$K:$P,CODE!$O$1,FALSE)="",$M692,$M692&amp;"-"&amp;VLOOKUP($N692,CODE!$K:$P,CODE!$O$1,FALSE)))=TRUE,"",IF(VLOOKUP($N692,CODE!$K:$P,CODE!$O$1,FALSE)="",$M692,$M692&amp;"-"&amp;VLOOKUP($N692,CODE!$K:$P,CODE!$O$1,FALSE)))</f>
        <v>URB</v>
      </c>
      <c r="P692" s="29" t="str">
        <f t="shared" si="157"/>
        <v>성인</v>
      </c>
      <c r="Q692" s="29" t="str">
        <f t="shared" si="158"/>
        <v>URBFIF3423</v>
      </c>
      <c r="R692" s="1" t="s">
        <v>1547</v>
      </c>
      <c r="S692" s="1" t="s">
        <v>14</v>
      </c>
      <c r="T692" s="26">
        <v>2000</v>
      </c>
      <c r="U692" s="26">
        <v>86000000</v>
      </c>
      <c r="V692" s="26">
        <v>15180000</v>
      </c>
      <c r="W692" s="26">
        <v>5.1503174032818295</v>
      </c>
      <c r="X692" s="26">
        <v>2000</v>
      </c>
      <c r="Y692" s="26">
        <v>0</v>
      </c>
    </row>
    <row r="693" spans="1:25">
      <c r="A693" s="24" t="str">
        <f t="shared" si="150"/>
        <v>러닝</v>
      </c>
      <c r="B693" s="24" t="str">
        <f>IF(COUNTIF(R$1:R692,R693)=0,"최초","리오더")</f>
        <v>최초</v>
      </c>
      <c r="C693" s="24" t="str">
        <f t="shared" si="151"/>
        <v>URBFIF3451</v>
      </c>
      <c r="D693" s="24">
        <f t="shared" si="145"/>
        <v>0.5</v>
      </c>
      <c r="E693" s="24" t="str">
        <f t="shared" si="152"/>
        <v/>
      </c>
      <c r="F693" s="24">
        <f t="shared" si="146"/>
        <v>0</v>
      </c>
      <c r="G693" s="24" t="str">
        <f t="shared" si="153"/>
        <v>URBFIF3451GY</v>
      </c>
      <c r="H693" s="24">
        <f t="shared" si="147"/>
        <v>1</v>
      </c>
      <c r="I693" s="24" t="str">
        <f t="shared" si="154"/>
        <v/>
      </c>
      <c r="J693" s="24">
        <f t="shared" si="148"/>
        <v>0</v>
      </c>
      <c r="K693" s="24" t="str">
        <f t="shared" si="155"/>
        <v>F3</v>
      </c>
      <c r="L693" s="24" t="str">
        <f>VLOOKUP(N693,CODE!K:P,CODE!$P$1,FALSE)</f>
        <v>모자</v>
      </c>
      <c r="M693" s="24" t="str">
        <f>VLOOKUP(MID(R693,1,3),CODE!$B:$G,CODE!D$1,FALSE)</f>
        <v>URB</v>
      </c>
      <c r="N693" s="24" t="str">
        <f t="shared" si="156"/>
        <v>FI</v>
      </c>
      <c r="O693" s="29" t="str">
        <f>IF(ISERROR(IF(VLOOKUP($N693,CODE!$K:$P,CODE!$O$1,FALSE)="",$M693,$M693&amp;"-"&amp;VLOOKUP($N693,CODE!$K:$P,CODE!$O$1,FALSE)))=TRUE,"",IF(VLOOKUP($N693,CODE!$K:$P,CODE!$O$1,FALSE)="",$M693,$M693&amp;"-"&amp;VLOOKUP($N693,CODE!$K:$P,CODE!$O$1,FALSE)))</f>
        <v>URB</v>
      </c>
      <c r="P693" s="29" t="str">
        <f t="shared" si="157"/>
        <v>성인</v>
      </c>
      <c r="Q693" s="29" t="str">
        <f t="shared" si="158"/>
        <v>URBFIF3451</v>
      </c>
      <c r="R693" s="1" t="s">
        <v>1548</v>
      </c>
      <c r="S693" s="1" t="s">
        <v>14</v>
      </c>
      <c r="T693" s="26">
        <v>2000</v>
      </c>
      <c r="U693" s="26">
        <v>78000000</v>
      </c>
      <c r="V693" s="26">
        <v>7431600</v>
      </c>
      <c r="W693" s="26">
        <v>9.54156452299517</v>
      </c>
      <c r="X693" s="26">
        <v>2000</v>
      </c>
      <c r="Y693" s="26">
        <v>0</v>
      </c>
    </row>
    <row r="694" spans="1:25">
      <c r="A694" s="24" t="str">
        <f t="shared" si="150"/>
        <v>러닝</v>
      </c>
      <c r="B694" s="24" t="str">
        <f>IF(COUNTIF(R$1:R693,R694)=0,"최초","리오더")</f>
        <v>최초</v>
      </c>
      <c r="C694" s="24" t="str">
        <f t="shared" si="151"/>
        <v>URBFIF3451</v>
      </c>
      <c r="D694" s="24">
        <f t="shared" si="145"/>
        <v>0.5</v>
      </c>
      <c r="E694" s="24" t="str">
        <f t="shared" si="152"/>
        <v/>
      </c>
      <c r="F694" s="24">
        <f t="shared" si="146"/>
        <v>0</v>
      </c>
      <c r="G694" s="24" t="str">
        <f t="shared" si="153"/>
        <v>URBFIF3451BK</v>
      </c>
      <c r="H694" s="24">
        <f t="shared" si="147"/>
        <v>1</v>
      </c>
      <c r="I694" s="24" t="str">
        <f t="shared" si="154"/>
        <v/>
      </c>
      <c r="J694" s="24">
        <f t="shared" si="148"/>
        <v>0</v>
      </c>
      <c r="K694" s="24" t="str">
        <f t="shared" si="155"/>
        <v>F3</v>
      </c>
      <c r="L694" s="24" t="str">
        <f>VLOOKUP(N694,CODE!K:P,CODE!$P$1,FALSE)</f>
        <v>모자</v>
      </c>
      <c r="M694" s="24" t="str">
        <f>VLOOKUP(MID(R694,1,3),CODE!$B:$G,CODE!D$1,FALSE)</f>
        <v>URB</v>
      </c>
      <c r="N694" s="24" t="str">
        <f t="shared" si="156"/>
        <v>FI</v>
      </c>
      <c r="O694" s="29" t="str">
        <f>IF(ISERROR(IF(VLOOKUP($N694,CODE!$K:$P,CODE!$O$1,FALSE)="",$M694,$M694&amp;"-"&amp;VLOOKUP($N694,CODE!$K:$P,CODE!$O$1,FALSE)))=TRUE,"",IF(VLOOKUP($N694,CODE!$K:$P,CODE!$O$1,FALSE)="",$M694,$M694&amp;"-"&amp;VLOOKUP($N694,CODE!$K:$P,CODE!$O$1,FALSE)))</f>
        <v>URB</v>
      </c>
      <c r="P694" s="29" t="str">
        <f t="shared" si="157"/>
        <v>성인</v>
      </c>
      <c r="Q694" s="29" t="str">
        <f t="shared" si="158"/>
        <v>URBFIF3451</v>
      </c>
      <c r="R694" s="1" t="s">
        <v>1549</v>
      </c>
      <c r="S694" s="1" t="s">
        <v>14</v>
      </c>
      <c r="T694" s="26">
        <v>1000</v>
      </c>
      <c r="U694" s="26">
        <v>39000000</v>
      </c>
      <c r="V694" s="26">
        <v>4019800</v>
      </c>
      <c r="W694" s="26">
        <v>8.8199774751344489</v>
      </c>
      <c r="X694" s="26">
        <v>1000</v>
      </c>
      <c r="Y694" s="26">
        <v>0</v>
      </c>
    </row>
    <row r="695" spans="1:25">
      <c r="A695" s="24" t="str">
        <f t="shared" si="150"/>
        <v>러닝</v>
      </c>
      <c r="B695" s="24" t="str">
        <f>IF(COUNTIF(R$1:R694,R695)=0,"최초","리오더")</f>
        <v>최초</v>
      </c>
      <c r="C695" s="24" t="str">
        <f t="shared" si="151"/>
        <v>VBLBAF3404</v>
      </c>
      <c r="D695" s="24">
        <f t="shared" si="145"/>
        <v>1</v>
      </c>
      <c r="E695" s="24" t="str">
        <f t="shared" si="152"/>
        <v/>
      </c>
      <c r="F695" s="24">
        <f t="shared" si="146"/>
        <v>0</v>
      </c>
      <c r="G695" s="24" t="str">
        <f t="shared" si="153"/>
        <v>VBLBAF3404NY</v>
      </c>
      <c r="H695" s="24">
        <f t="shared" si="147"/>
        <v>1</v>
      </c>
      <c r="I695" s="24" t="str">
        <f t="shared" si="154"/>
        <v/>
      </c>
      <c r="J695" s="24">
        <f t="shared" si="148"/>
        <v>0</v>
      </c>
      <c r="K695" s="24" t="str">
        <f t="shared" si="155"/>
        <v>F3</v>
      </c>
      <c r="L695" s="24" t="str">
        <f>VLOOKUP(N695,CODE!K:P,CODE!$P$1,FALSE)</f>
        <v>모자</v>
      </c>
      <c r="M695" s="24" t="str">
        <f>VLOOKUP(MID(R695,1,3),CODE!$B:$G,CODE!D$1,FALSE)</f>
        <v>VBL</v>
      </c>
      <c r="N695" s="24" t="str">
        <f t="shared" si="156"/>
        <v>BA</v>
      </c>
      <c r="O695" s="29" t="str">
        <f>IF(ISERROR(IF(VLOOKUP($N695,CODE!$K:$P,CODE!$O$1,FALSE)="",$M695,$M695&amp;"-"&amp;VLOOKUP($N695,CODE!$K:$P,CODE!$O$1,FALSE)))=TRUE,"",IF(VLOOKUP($N695,CODE!$K:$P,CODE!$O$1,FALSE)="",$M695,$M695&amp;"-"&amp;VLOOKUP($N695,CODE!$K:$P,CODE!$O$1,FALSE)))</f>
        <v>VBL</v>
      </c>
      <c r="P695" s="29" t="str">
        <f t="shared" si="157"/>
        <v>성인</v>
      </c>
      <c r="Q695" s="29" t="str">
        <f t="shared" si="158"/>
        <v>VBLBAF3404</v>
      </c>
      <c r="R695" s="1" t="s">
        <v>1550</v>
      </c>
      <c r="S695" s="1" t="s">
        <v>14</v>
      </c>
      <c r="T695" s="26">
        <v>2000</v>
      </c>
      <c r="U695" s="26">
        <v>98000000</v>
      </c>
      <c r="V695" s="26">
        <v>8771800.0000000019</v>
      </c>
      <c r="W695" s="26">
        <v>10.156513952770133</v>
      </c>
      <c r="X695" s="26">
        <v>1995</v>
      </c>
      <c r="Y695" s="26">
        <v>0</v>
      </c>
    </row>
    <row r="696" spans="1:25">
      <c r="A696" s="24" t="str">
        <f t="shared" si="150"/>
        <v>신규</v>
      </c>
      <c r="B696" s="24" t="str">
        <f>IF(COUNTIF(R$1:R695,R696)=0,"최초","리오더")</f>
        <v>리오더</v>
      </c>
      <c r="C696" s="24" t="str">
        <f t="shared" si="151"/>
        <v/>
      </c>
      <c r="D696" s="24">
        <f t="shared" si="145"/>
        <v>0</v>
      </c>
      <c r="E696" s="24" t="str">
        <f t="shared" si="152"/>
        <v>MGMSNF3001</v>
      </c>
      <c r="F696" s="24">
        <f t="shared" si="146"/>
        <v>1</v>
      </c>
      <c r="G696" s="24" t="str">
        <f t="shared" si="153"/>
        <v/>
      </c>
      <c r="H696" s="24">
        <f t="shared" si="147"/>
        <v>0</v>
      </c>
      <c r="I696" s="24" t="str">
        <f t="shared" si="154"/>
        <v>MGMSNF3001BK</v>
      </c>
      <c r="J696" s="24">
        <f t="shared" si="148"/>
        <v>1</v>
      </c>
      <c r="K696" s="24" t="str">
        <f t="shared" si="155"/>
        <v>F3</v>
      </c>
      <c r="L696" s="24" t="str">
        <f>VLOOKUP(N696,CODE!K:P,CODE!$P$1,FALSE)</f>
        <v>모자</v>
      </c>
      <c r="M696" s="24" t="str">
        <f>VLOOKUP(MID(R696,1,3),CODE!$B:$G,CODE!D$1,FALSE)</f>
        <v>MGM</v>
      </c>
      <c r="N696" s="24" t="str">
        <f t="shared" si="156"/>
        <v>SN</v>
      </c>
      <c r="O696" s="29" t="str">
        <f>IF(ISERROR(IF(VLOOKUP($N696,CODE!$K:$P,CODE!$O$1,FALSE)="",$M696,$M696&amp;"-"&amp;VLOOKUP($N696,CODE!$K:$P,CODE!$O$1,FALSE)))=TRUE,"",IF(VLOOKUP($N696,CODE!$K:$P,CODE!$O$1,FALSE)="",$M696,$M696&amp;"-"&amp;VLOOKUP($N696,CODE!$K:$P,CODE!$O$1,FALSE)))</f>
        <v>MGM</v>
      </c>
      <c r="P696" s="29" t="str">
        <f t="shared" si="157"/>
        <v>성인</v>
      </c>
      <c r="Q696" s="29" t="str">
        <f t="shared" si="158"/>
        <v>MGMSNF3001</v>
      </c>
      <c r="R696" s="1" t="s">
        <v>874</v>
      </c>
      <c r="S696" s="1" t="s">
        <v>14</v>
      </c>
      <c r="T696" s="26">
        <v>1500</v>
      </c>
      <c r="U696" s="26">
        <v>67500000</v>
      </c>
      <c r="V696" s="26">
        <v>10560000</v>
      </c>
      <c r="W696" s="26">
        <v>5.8109504132231393</v>
      </c>
      <c r="X696" s="26">
        <v>1500</v>
      </c>
      <c r="Y696" s="26">
        <v>0</v>
      </c>
    </row>
    <row r="697" spans="1:25">
      <c r="A697" s="24" t="str">
        <f t="shared" si="150"/>
        <v>신규</v>
      </c>
      <c r="B697" s="24" t="str">
        <f>IF(COUNTIF(R$1:R696,R697)=0,"최초","리오더")</f>
        <v>리오더</v>
      </c>
      <c r="C697" s="24" t="str">
        <f t="shared" si="151"/>
        <v/>
      </c>
      <c r="D697" s="24">
        <f t="shared" si="145"/>
        <v>0</v>
      </c>
      <c r="E697" s="24" t="str">
        <f t="shared" si="152"/>
        <v>MGMSNF3011</v>
      </c>
      <c r="F697" s="24">
        <f t="shared" si="146"/>
        <v>1</v>
      </c>
      <c r="G697" s="24" t="str">
        <f t="shared" si="153"/>
        <v/>
      </c>
      <c r="H697" s="24">
        <f t="shared" si="147"/>
        <v>0</v>
      </c>
      <c r="I697" s="24" t="str">
        <f t="shared" si="154"/>
        <v>MGMSNF3011NY</v>
      </c>
      <c r="J697" s="24">
        <f t="shared" si="148"/>
        <v>1</v>
      </c>
      <c r="K697" s="24" t="str">
        <f t="shared" si="155"/>
        <v>F3</v>
      </c>
      <c r="L697" s="24" t="str">
        <f>VLOOKUP(N697,CODE!K:P,CODE!$P$1,FALSE)</f>
        <v>모자</v>
      </c>
      <c r="M697" s="24" t="str">
        <f>VLOOKUP(MID(R697,1,3),CODE!$B:$G,CODE!D$1,FALSE)</f>
        <v>MGM</v>
      </c>
      <c r="N697" s="24" t="str">
        <f t="shared" si="156"/>
        <v>SN</v>
      </c>
      <c r="O697" s="29" t="str">
        <f>IF(ISERROR(IF(VLOOKUP($N697,CODE!$K:$P,CODE!$O$1,FALSE)="",$M697,$M697&amp;"-"&amp;VLOOKUP($N697,CODE!$K:$P,CODE!$O$1,FALSE)))=TRUE,"",IF(VLOOKUP($N697,CODE!$K:$P,CODE!$O$1,FALSE)="",$M697,$M697&amp;"-"&amp;VLOOKUP($N697,CODE!$K:$P,CODE!$O$1,FALSE)))</f>
        <v>MGM</v>
      </c>
      <c r="P697" s="29" t="str">
        <f t="shared" si="157"/>
        <v>성인</v>
      </c>
      <c r="Q697" s="29" t="str">
        <f t="shared" si="158"/>
        <v>MGMSNF3011</v>
      </c>
      <c r="R697" s="1" t="s">
        <v>884</v>
      </c>
      <c r="S697" s="1" t="s">
        <v>14</v>
      </c>
      <c r="T697" s="26">
        <v>1200</v>
      </c>
      <c r="U697" s="26">
        <v>54000000</v>
      </c>
      <c r="V697" s="26">
        <v>4386420</v>
      </c>
      <c r="W697" s="26">
        <v>11.191566035835395</v>
      </c>
      <c r="X697" s="26">
        <v>1218</v>
      </c>
      <c r="Y697" s="26">
        <v>0</v>
      </c>
    </row>
    <row r="698" spans="1:25">
      <c r="A698" s="24" t="str">
        <f t="shared" si="150"/>
        <v>러닝</v>
      </c>
      <c r="B698" s="24" t="str">
        <f>IF(COUNTIF(R$1:R697,R698)=0,"최초","리오더")</f>
        <v>최초</v>
      </c>
      <c r="C698" s="24" t="str">
        <f t="shared" si="151"/>
        <v>ZZZFIF3422</v>
      </c>
      <c r="D698" s="24">
        <f t="shared" si="145"/>
        <v>0.5</v>
      </c>
      <c r="E698" s="24" t="str">
        <f t="shared" si="152"/>
        <v/>
      </c>
      <c r="F698" s="24">
        <f t="shared" si="146"/>
        <v>0</v>
      </c>
      <c r="G698" s="24" t="str">
        <f t="shared" si="153"/>
        <v>ZZZFIF3422WH</v>
      </c>
      <c r="H698" s="24">
        <f t="shared" si="147"/>
        <v>1</v>
      </c>
      <c r="I698" s="24" t="str">
        <f t="shared" si="154"/>
        <v/>
      </c>
      <c r="J698" s="24">
        <f t="shared" si="148"/>
        <v>0</v>
      </c>
      <c r="K698" s="24" t="str">
        <f t="shared" si="155"/>
        <v>F3</v>
      </c>
      <c r="L698" s="24" t="str">
        <f>VLOOKUP(N698,CODE!K:P,CODE!$P$1,FALSE)</f>
        <v>모자</v>
      </c>
      <c r="M698" s="24" t="str">
        <f>VLOOKUP(MID(R698,1,3),CODE!$B:$G,CODE!D$1,FALSE)</f>
        <v>ZZZ</v>
      </c>
      <c r="N698" s="24" t="str">
        <f t="shared" si="156"/>
        <v>FI</v>
      </c>
      <c r="O698" s="29" t="str">
        <f>IF(ISERROR(IF(VLOOKUP($N698,CODE!$K:$P,CODE!$O$1,FALSE)="",$M698,$M698&amp;"-"&amp;VLOOKUP($N698,CODE!$K:$P,CODE!$O$1,FALSE)))=TRUE,"",IF(VLOOKUP($N698,CODE!$K:$P,CODE!$O$1,FALSE)="",$M698,$M698&amp;"-"&amp;VLOOKUP($N698,CODE!$K:$P,CODE!$O$1,FALSE)))</f>
        <v>ZZZ</v>
      </c>
      <c r="P698" s="29" t="str">
        <f t="shared" si="157"/>
        <v>성인</v>
      </c>
      <c r="Q698" s="29" t="str">
        <f t="shared" si="158"/>
        <v>ZZZFIF3422</v>
      </c>
      <c r="R698" s="1" t="s">
        <v>1551</v>
      </c>
      <c r="S698" s="1" t="s">
        <v>14</v>
      </c>
      <c r="T698" s="26">
        <v>1500</v>
      </c>
      <c r="U698" s="26">
        <v>88500000</v>
      </c>
      <c r="V698" s="26">
        <v>16500000</v>
      </c>
      <c r="W698" s="26">
        <v>4.8760330578512399</v>
      </c>
      <c r="X698" s="26">
        <v>1506</v>
      </c>
      <c r="Y698" s="26">
        <v>0</v>
      </c>
    </row>
    <row r="699" spans="1:25">
      <c r="A699" s="24" t="str">
        <f t="shared" si="150"/>
        <v>러닝</v>
      </c>
      <c r="B699" s="24" t="str">
        <f>IF(COUNTIF(R$1:R698,R699)=0,"최초","리오더")</f>
        <v>최초</v>
      </c>
      <c r="C699" s="24" t="str">
        <f t="shared" si="151"/>
        <v>ZZZFIF3422</v>
      </c>
      <c r="D699" s="24">
        <f t="shared" si="145"/>
        <v>0.5</v>
      </c>
      <c r="E699" s="24" t="str">
        <f t="shared" si="152"/>
        <v/>
      </c>
      <c r="F699" s="24">
        <f t="shared" si="146"/>
        <v>0</v>
      </c>
      <c r="G699" s="24" t="str">
        <f t="shared" si="153"/>
        <v>ZZZFIF3422BK</v>
      </c>
      <c r="H699" s="24">
        <f t="shared" si="147"/>
        <v>1</v>
      </c>
      <c r="I699" s="24" t="str">
        <f t="shared" si="154"/>
        <v/>
      </c>
      <c r="J699" s="24">
        <f t="shared" si="148"/>
        <v>0</v>
      </c>
      <c r="K699" s="24" t="str">
        <f t="shared" si="155"/>
        <v>F3</v>
      </c>
      <c r="L699" s="24" t="str">
        <f>VLOOKUP(N699,CODE!K:P,CODE!$P$1,FALSE)</f>
        <v>모자</v>
      </c>
      <c r="M699" s="24" t="str">
        <f>VLOOKUP(MID(R699,1,3),CODE!$B:$G,CODE!D$1,FALSE)</f>
        <v>ZZZ</v>
      </c>
      <c r="N699" s="24" t="str">
        <f t="shared" si="156"/>
        <v>FI</v>
      </c>
      <c r="O699" s="29" t="str">
        <f>IF(ISERROR(IF(VLOOKUP($N699,CODE!$K:$P,CODE!$O$1,FALSE)="",$M699,$M699&amp;"-"&amp;VLOOKUP($N699,CODE!$K:$P,CODE!$O$1,FALSE)))=TRUE,"",IF(VLOOKUP($N699,CODE!$K:$P,CODE!$O$1,FALSE)="",$M699,$M699&amp;"-"&amp;VLOOKUP($N699,CODE!$K:$P,CODE!$O$1,FALSE)))</f>
        <v>ZZZ</v>
      </c>
      <c r="P699" s="29" t="str">
        <f t="shared" si="157"/>
        <v>성인</v>
      </c>
      <c r="Q699" s="29" t="str">
        <f t="shared" si="158"/>
        <v>ZZZFIF3422</v>
      </c>
      <c r="R699" s="1" t="s">
        <v>1552</v>
      </c>
      <c r="S699" s="1" t="s">
        <v>14</v>
      </c>
      <c r="T699" s="26">
        <v>2000</v>
      </c>
      <c r="U699" s="26">
        <v>118000000</v>
      </c>
      <c r="V699" s="26">
        <v>22000000</v>
      </c>
      <c r="W699" s="26">
        <v>4.876033057851239</v>
      </c>
      <c r="X699" s="26">
        <v>2049</v>
      </c>
      <c r="Y699" s="26">
        <v>0</v>
      </c>
    </row>
    <row r="700" spans="1:25">
      <c r="A700" s="24" t="str">
        <f t="shared" si="150"/>
        <v>신규</v>
      </c>
      <c r="B700" s="24" t="str">
        <f>IF(COUNTIF(R$1:R699,R700)=0,"최초","리오더")</f>
        <v>최초</v>
      </c>
      <c r="C700" s="24" t="str">
        <f t="shared" si="151"/>
        <v>ZZZSNF3001</v>
      </c>
      <c r="D700" s="24">
        <f t="shared" si="145"/>
        <v>1</v>
      </c>
      <c r="E700" s="24" t="str">
        <f t="shared" si="152"/>
        <v/>
      </c>
      <c r="F700" s="24">
        <f t="shared" si="146"/>
        <v>0</v>
      </c>
      <c r="G700" s="24" t="str">
        <f t="shared" si="153"/>
        <v>ZZZSNF3001RE</v>
      </c>
      <c r="H700" s="24">
        <f t="shared" si="147"/>
        <v>1</v>
      </c>
      <c r="I700" s="24" t="str">
        <f t="shared" si="154"/>
        <v/>
      </c>
      <c r="J700" s="24">
        <f t="shared" si="148"/>
        <v>0</v>
      </c>
      <c r="K700" s="24" t="str">
        <f t="shared" si="155"/>
        <v>F3</v>
      </c>
      <c r="L700" s="24" t="str">
        <f>VLOOKUP(N700,CODE!K:P,CODE!$P$1,FALSE)</f>
        <v>모자</v>
      </c>
      <c r="M700" s="24" t="str">
        <f>VLOOKUP(MID(R700,1,3),CODE!$B:$G,CODE!D$1,FALSE)</f>
        <v>ZZZ</v>
      </c>
      <c r="N700" s="24" t="str">
        <f t="shared" si="156"/>
        <v>SN</v>
      </c>
      <c r="O700" s="29" t="str">
        <f>IF(ISERROR(IF(VLOOKUP($N700,CODE!$K:$P,CODE!$O$1,FALSE)="",$M700,$M700&amp;"-"&amp;VLOOKUP($N700,CODE!$K:$P,CODE!$O$1,FALSE)))=TRUE,"",IF(VLOOKUP($N700,CODE!$K:$P,CODE!$O$1,FALSE)="",$M700,$M700&amp;"-"&amp;VLOOKUP($N700,CODE!$K:$P,CODE!$O$1,FALSE)))</f>
        <v>ZZZ</v>
      </c>
      <c r="P700" s="29" t="str">
        <f t="shared" si="157"/>
        <v>성인</v>
      </c>
      <c r="Q700" s="29" t="str">
        <f t="shared" si="158"/>
        <v>ZZZSNF3001</v>
      </c>
      <c r="R700" s="1" t="s">
        <v>1553</v>
      </c>
      <c r="S700" s="1" t="s">
        <v>14</v>
      </c>
      <c r="T700" s="26">
        <v>800</v>
      </c>
      <c r="U700" s="26">
        <v>47200000</v>
      </c>
      <c r="V700" s="26">
        <v>10000000</v>
      </c>
      <c r="W700" s="26">
        <v>4.290909090909091</v>
      </c>
      <c r="X700" s="26">
        <v>813</v>
      </c>
      <c r="Y700" s="26">
        <v>0</v>
      </c>
    </row>
    <row r="701" spans="1:25">
      <c r="A701" s="24" t="str">
        <f t="shared" si="150"/>
        <v>신규</v>
      </c>
      <c r="B701" s="24" t="str">
        <f>IF(COUNTIF(R$1:R700,R701)=0,"최초","리오더")</f>
        <v>최초</v>
      </c>
      <c r="C701" s="24" t="str">
        <f t="shared" si="151"/>
        <v>ZZZSNF3002</v>
      </c>
      <c r="D701" s="24">
        <f t="shared" si="145"/>
        <v>1</v>
      </c>
      <c r="E701" s="24" t="str">
        <f t="shared" si="152"/>
        <v/>
      </c>
      <c r="F701" s="24">
        <f t="shared" si="146"/>
        <v>0</v>
      </c>
      <c r="G701" s="24" t="str">
        <f t="shared" si="153"/>
        <v>ZZZSNF3002BK</v>
      </c>
      <c r="H701" s="24">
        <f t="shared" si="147"/>
        <v>1</v>
      </c>
      <c r="I701" s="24" t="str">
        <f t="shared" si="154"/>
        <v/>
      </c>
      <c r="J701" s="24">
        <f t="shared" si="148"/>
        <v>0</v>
      </c>
      <c r="K701" s="24" t="str">
        <f t="shared" si="155"/>
        <v>F3</v>
      </c>
      <c r="L701" s="24" t="str">
        <f>VLOOKUP(N701,CODE!K:P,CODE!$P$1,FALSE)</f>
        <v>모자</v>
      </c>
      <c r="M701" s="24" t="str">
        <f>VLOOKUP(MID(R701,1,3),CODE!$B:$G,CODE!D$1,FALSE)</f>
        <v>ZZZ</v>
      </c>
      <c r="N701" s="24" t="str">
        <f t="shared" si="156"/>
        <v>SN</v>
      </c>
      <c r="O701" s="29" t="str">
        <f>IF(ISERROR(IF(VLOOKUP($N701,CODE!$K:$P,CODE!$O$1,FALSE)="",$M701,$M701&amp;"-"&amp;VLOOKUP($N701,CODE!$K:$P,CODE!$O$1,FALSE)))=TRUE,"",IF(VLOOKUP($N701,CODE!$K:$P,CODE!$O$1,FALSE)="",$M701,$M701&amp;"-"&amp;VLOOKUP($N701,CODE!$K:$P,CODE!$O$1,FALSE)))</f>
        <v>ZZZ</v>
      </c>
      <c r="P701" s="29" t="str">
        <f t="shared" si="157"/>
        <v>성인</v>
      </c>
      <c r="Q701" s="29" t="str">
        <f t="shared" si="158"/>
        <v>ZZZSNF3002</v>
      </c>
      <c r="R701" s="1" t="s">
        <v>1554</v>
      </c>
      <c r="S701" s="1" t="s">
        <v>14</v>
      </c>
      <c r="T701" s="26">
        <v>500</v>
      </c>
      <c r="U701" s="26">
        <v>29500000</v>
      </c>
      <c r="V701" s="26">
        <v>5500000</v>
      </c>
      <c r="W701" s="26">
        <v>4.876033057851239</v>
      </c>
      <c r="X701" s="26">
        <v>500</v>
      </c>
      <c r="Y701" s="26">
        <v>0</v>
      </c>
    </row>
    <row r="702" spans="1:25">
      <c r="A702" s="24" t="str">
        <f t="shared" si="150"/>
        <v>신규</v>
      </c>
      <c r="B702" s="24" t="str">
        <f>IF(COUNTIF(R$1:R701,R702)=0,"최초","리오더")</f>
        <v>최초</v>
      </c>
      <c r="C702" s="24" t="str">
        <f t="shared" si="151"/>
        <v>ZZZSNF3003</v>
      </c>
      <c r="D702" s="24">
        <f t="shared" si="145"/>
        <v>1</v>
      </c>
      <c r="E702" s="24" t="str">
        <f t="shared" si="152"/>
        <v/>
      </c>
      <c r="F702" s="24">
        <f t="shared" si="146"/>
        <v>0</v>
      </c>
      <c r="G702" s="24" t="str">
        <f t="shared" si="153"/>
        <v>ZZZSNF3003BK</v>
      </c>
      <c r="H702" s="24">
        <f t="shared" si="147"/>
        <v>1</v>
      </c>
      <c r="I702" s="24" t="str">
        <f t="shared" si="154"/>
        <v/>
      </c>
      <c r="J702" s="24">
        <f t="shared" si="148"/>
        <v>0</v>
      </c>
      <c r="K702" s="24" t="str">
        <f t="shared" si="155"/>
        <v>F3</v>
      </c>
      <c r="L702" s="24" t="str">
        <f>VLOOKUP(N702,CODE!K:P,CODE!$P$1,FALSE)</f>
        <v>모자</v>
      </c>
      <c r="M702" s="24" t="str">
        <f>VLOOKUP(MID(R702,1,3),CODE!$B:$G,CODE!D$1,FALSE)</f>
        <v>ZZZ</v>
      </c>
      <c r="N702" s="24" t="str">
        <f t="shared" si="156"/>
        <v>SN</v>
      </c>
      <c r="O702" s="29" t="str">
        <f>IF(ISERROR(IF(VLOOKUP($N702,CODE!$K:$P,CODE!$O$1,FALSE)="",$M702,$M702&amp;"-"&amp;VLOOKUP($N702,CODE!$K:$P,CODE!$O$1,FALSE)))=TRUE,"",IF(VLOOKUP($N702,CODE!$K:$P,CODE!$O$1,FALSE)="",$M702,$M702&amp;"-"&amp;VLOOKUP($N702,CODE!$K:$P,CODE!$O$1,FALSE)))</f>
        <v>ZZZ</v>
      </c>
      <c r="P702" s="29" t="str">
        <f t="shared" si="157"/>
        <v>성인</v>
      </c>
      <c r="Q702" s="29" t="str">
        <f t="shared" si="158"/>
        <v>ZZZSNF3003</v>
      </c>
      <c r="R702" s="1" t="s">
        <v>1555</v>
      </c>
      <c r="S702" s="1" t="s">
        <v>14</v>
      </c>
      <c r="T702" s="26">
        <v>500</v>
      </c>
      <c r="U702" s="26">
        <v>29500000</v>
      </c>
      <c r="V702" s="26">
        <v>6250000</v>
      </c>
      <c r="W702" s="26">
        <v>4.2909090909090901</v>
      </c>
      <c r="X702" s="26">
        <v>500</v>
      </c>
      <c r="Y702" s="26">
        <v>0</v>
      </c>
    </row>
    <row r="703" spans="1:25">
      <c r="A703" s="24" t="str">
        <f t="shared" si="150"/>
        <v>신규</v>
      </c>
      <c r="B703" s="24" t="str">
        <f>IF(COUNTIF(R$1:R702,R703)=0,"최초","리오더")</f>
        <v>최초</v>
      </c>
      <c r="C703" s="24" t="str">
        <f t="shared" si="151"/>
        <v>ZZZSNF3011</v>
      </c>
      <c r="D703" s="24">
        <f t="shared" si="145"/>
        <v>1</v>
      </c>
      <c r="E703" s="24" t="str">
        <f t="shared" si="152"/>
        <v/>
      </c>
      <c r="F703" s="24">
        <f t="shared" si="146"/>
        <v>0</v>
      </c>
      <c r="G703" s="24" t="str">
        <f t="shared" si="153"/>
        <v>ZZZSNF3011BK</v>
      </c>
      <c r="H703" s="24">
        <f t="shared" si="147"/>
        <v>1</v>
      </c>
      <c r="I703" s="24" t="str">
        <f t="shared" si="154"/>
        <v/>
      </c>
      <c r="J703" s="24">
        <f t="shared" si="148"/>
        <v>0</v>
      </c>
      <c r="K703" s="24" t="str">
        <f t="shared" si="155"/>
        <v>F3</v>
      </c>
      <c r="L703" s="24" t="str">
        <f>VLOOKUP(N703,CODE!K:P,CODE!$P$1,FALSE)</f>
        <v>모자</v>
      </c>
      <c r="M703" s="24" t="str">
        <f>VLOOKUP(MID(R703,1,3),CODE!$B:$G,CODE!D$1,FALSE)</f>
        <v>ZZZ</v>
      </c>
      <c r="N703" s="24" t="str">
        <f t="shared" si="156"/>
        <v>SN</v>
      </c>
      <c r="O703" s="29" t="str">
        <f>IF(ISERROR(IF(VLOOKUP($N703,CODE!$K:$P,CODE!$O$1,FALSE)="",$M703,$M703&amp;"-"&amp;VLOOKUP($N703,CODE!$K:$P,CODE!$O$1,FALSE)))=TRUE,"",IF(VLOOKUP($N703,CODE!$K:$P,CODE!$O$1,FALSE)="",$M703,$M703&amp;"-"&amp;VLOOKUP($N703,CODE!$K:$P,CODE!$O$1,FALSE)))</f>
        <v>ZZZ</v>
      </c>
      <c r="P703" s="29" t="str">
        <f t="shared" si="157"/>
        <v>성인</v>
      </c>
      <c r="Q703" s="29" t="str">
        <f t="shared" si="158"/>
        <v>ZZZSNF3011</v>
      </c>
      <c r="R703" s="1" t="s">
        <v>1556</v>
      </c>
      <c r="S703" s="1" t="s">
        <v>14</v>
      </c>
      <c r="T703" s="26">
        <v>300</v>
      </c>
      <c r="U703" s="26">
        <v>13500000</v>
      </c>
      <c r="V703" s="26">
        <v>7185927.2727272725</v>
      </c>
      <c r="W703" s="26">
        <v>1.7078835906544609</v>
      </c>
      <c r="X703" s="26">
        <v>300</v>
      </c>
      <c r="Y703" s="26">
        <v>0</v>
      </c>
    </row>
    <row r="704" spans="1:25">
      <c r="A704" s="24" t="str">
        <f t="shared" si="150"/>
        <v>신규</v>
      </c>
      <c r="B704" s="24" t="str">
        <f>IF(COUNTIF(R$1:R703,R704)=0,"최초","리오더")</f>
        <v>최초</v>
      </c>
      <c r="C704" s="24" t="str">
        <f t="shared" si="151"/>
        <v>ZZZSNF3012</v>
      </c>
      <c r="D704" s="24">
        <f t="shared" si="145"/>
        <v>1</v>
      </c>
      <c r="E704" s="24" t="str">
        <f t="shared" si="152"/>
        <v/>
      </c>
      <c r="F704" s="24">
        <f t="shared" si="146"/>
        <v>0</v>
      </c>
      <c r="G704" s="24" t="str">
        <f t="shared" si="153"/>
        <v>ZZZSNF3012BK</v>
      </c>
      <c r="H704" s="24">
        <f t="shared" si="147"/>
        <v>1</v>
      </c>
      <c r="I704" s="24" t="str">
        <f t="shared" si="154"/>
        <v/>
      </c>
      <c r="J704" s="24">
        <f t="shared" si="148"/>
        <v>0</v>
      </c>
      <c r="K704" s="24" t="str">
        <f t="shared" si="155"/>
        <v>F3</v>
      </c>
      <c r="L704" s="24" t="str">
        <f>VLOOKUP(N704,CODE!K:P,CODE!$P$1,FALSE)</f>
        <v>모자</v>
      </c>
      <c r="M704" s="24" t="str">
        <f>VLOOKUP(MID(R704,1,3),CODE!$B:$G,CODE!D$1,FALSE)</f>
        <v>ZZZ</v>
      </c>
      <c r="N704" s="24" t="str">
        <f t="shared" si="156"/>
        <v>SN</v>
      </c>
      <c r="O704" s="29" t="str">
        <f>IF(ISERROR(IF(VLOOKUP($N704,CODE!$K:$P,CODE!$O$1,FALSE)="",$M704,$M704&amp;"-"&amp;VLOOKUP($N704,CODE!$K:$P,CODE!$O$1,FALSE)))=TRUE,"",IF(VLOOKUP($N704,CODE!$K:$P,CODE!$O$1,FALSE)="",$M704,$M704&amp;"-"&amp;VLOOKUP($N704,CODE!$K:$P,CODE!$O$1,FALSE)))</f>
        <v>ZZZ</v>
      </c>
      <c r="P704" s="29" t="str">
        <f t="shared" si="157"/>
        <v>성인</v>
      </c>
      <c r="Q704" s="29" t="str">
        <f t="shared" si="158"/>
        <v>ZZZSNF3012</v>
      </c>
      <c r="R704" s="1" t="s">
        <v>1557</v>
      </c>
      <c r="S704" s="1" t="s">
        <v>14</v>
      </c>
      <c r="T704" s="26">
        <v>300</v>
      </c>
      <c r="U704" s="26">
        <v>13500000</v>
      </c>
      <c r="V704" s="26">
        <v>7116627.2727272725</v>
      </c>
      <c r="W704" s="26">
        <v>1.7245145491544129</v>
      </c>
      <c r="X704" s="26">
        <v>300</v>
      </c>
      <c r="Y704" s="26">
        <v>0</v>
      </c>
    </row>
    <row r="705" spans="1:25">
      <c r="A705" s="24" t="str">
        <f t="shared" si="150"/>
        <v>신규</v>
      </c>
      <c r="B705" s="24" t="str">
        <f>IF(COUNTIF(R$1:R704,R705)=0,"최초","리오더")</f>
        <v>최초</v>
      </c>
      <c r="C705" s="24" t="str">
        <f t="shared" si="151"/>
        <v>ZZZSNF3013</v>
      </c>
      <c r="D705" s="24">
        <f t="shared" si="145"/>
        <v>1</v>
      </c>
      <c r="E705" s="24" t="str">
        <f t="shared" si="152"/>
        <v/>
      </c>
      <c r="F705" s="24">
        <f t="shared" si="146"/>
        <v>0</v>
      </c>
      <c r="G705" s="24" t="str">
        <f t="shared" si="153"/>
        <v>ZZZSNF3013BK</v>
      </c>
      <c r="H705" s="24">
        <f t="shared" si="147"/>
        <v>1</v>
      </c>
      <c r="I705" s="24" t="str">
        <f t="shared" si="154"/>
        <v/>
      </c>
      <c r="J705" s="24">
        <f t="shared" si="148"/>
        <v>0</v>
      </c>
      <c r="K705" s="24" t="str">
        <f t="shared" si="155"/>
        <v>F3</v>
      </c>
      <c r="L705" s="24" t="str">
        <f>VLOOKUP(N705,CODE!K:P,CODE!$P$1,FALSE)</f>
        <v>모자</v>
      </c>
      <c r="M705" s="24" t="str">
        <f>VLOOKUP(MID(R705,1,3),CODE!$B:$G,CODE!D$1,FALSE)</f>
        <v>ZZZ</v>
      </c>
      <c r="N705" s="24" t="str">
        <f t="shared" si="156"/>
        <v>SN</v>
      </c>
      <c r="O705" s="29" t="str">
        <f>IF(ISERROR(IF(VLOOKUP($N705,CODE!$K:$P,CODE!$O$1,FALSE)="",$M705,$M705&amp;"-"&amp;VLOOKUP($N705,CODE!$K:$P,CODE!$O$1,FALSE)))=TRUE,"",IF(VLOOKUP($N705,CODE!$K:$P,CODE!$O$1,FALSE)="",$M705,$M705&amp;"-"&amp;VLOOKUP($N705,CODE!$K:$P,CODE!$O$1,FALSE)))</f>
        <v>ZZZ</v>
      </c>
      <c r="P705" s="29" t="str">
        <f t="shared" si="157"/>
        <v>성인</v>
      </c>
      <c r="Q705" s="29" t="str">
        <f t="shared" si="158"/>
        <v>ZZZSNF3013</v>
      </c>
      <c r="R705" s="1" t="s">
        <v>1558</v>
      </c>
      <c r="S705" s="1" t="s">
        <v>14</v>
      </c>
      <c r="T705" s="26">
        <v>300</v>
      </c>
      <c r="U705" s="26">
        <v>14700000</v>
      </c>
      <c r="V705" s="26">
        <v>7919386.3636363633</v>
      </c>
      <c r="W705" s="26">
        <v>1.6874585668655457</v>
      </c>
      <c r="X705" s="26">
        <v>300</v>
      </c>
      <c r="Y705" s="26">
        <v>0</v>
      </c>
    </row>
    <row r="706" spans="1:25">
      <c r="A706" s="24" t="str">
        <f t="shared" si="150"/>
        <v>신규</v>
      </c>
      <c r="B706" s="24" t="str">
        <f>IF(COUNTIF(R$1:R705,R706)=0,"최초","리오더")</f>
        <v>최초</v>
      </c>
      <c r="C706" s="24" t="str">
        <f t="shared" si="151"/>
        <v>ZZZSNF3014</v>
      </c>
      <c r="D706" s="24">
        <f t="shared" ref="D706:D769" si="159">IF(C706="",0,1/COUNTIF(C:C,C706))</f>
        <v>1</v>
      </c>
      <c r="E706" s="24" t="str">
        <f t="shared" si="152"/>
        <v/>
      </c>
      <c r="F706" s="24">
        <f t="shared" ref="F706:F769" si="160">IF(E706="",0,1/COUNTIF(E:E,E706))</f>
        <v>0</v>
      </c>
      <c r="G706" s="24" t="str">
        <f t="shared" si="153"/>
        <v>ZZZSNF3014RE</v>
      </c>
      <c r="H706" s="24">
        <f t="shared" ref="H706:H769" si="161">IF(G706="",0,1/COUNTIF(G:G,G706))</f>
        <v>1</v>
      </c>
      <c r="I706" s="24" t="str">
        <f t="shared" si="154"/>
        <v/>
      </c>
      <c r="J706" s="24">
        <f t="shared" ref="J706:J769" si="162">IF(I706="",0,1/COUNTIF(I:I,I706))</f>
        <v>0</v>
      </c>
      <c r="K706" s="24" t="str">
        <f t="shared" si="155"/>
        <v>F3</v>
      </c>
      <c r="L706" s="24" t="str">
        <f>VLOOKUP(N706,CODE!K:P,CODE!$P$1,FALSE)</f>
        <v>모자</v>
      </c>
      <c r="M706" s="24" t="str">
        <f>VLOOKUP(MID(R706,1,3),CODE!$B:$G,CODE!D$1,FALSE)</f>
        <v>ZZZ</v>
      </c>
      <c r="N706" s="24" t="str">
        <f t="shared" si="156"/>
        <v>SN</v>
      </c>
      <c r="O706" s="29" t="str">
        <f>IF(ISERROR(IF(VLOOKUP($N706,CODE!$K:$P,CODE!$O$1,FALSE)="",$M706,$M706&amp;"-"&amp;VLOOKUP($N706,CODE!$K:$P,CODE!$O$1,FALSE)))=TRUE,"",IF(VLOOKUP($N706,CODE!$K:$P,CODE!$O$1,FALSE)="",$M706,$M706&amp;"-"&amp;VLOOKUP($N706,CODE!$K:$P,CODE!$O$1,FALSE)))</f>
        <v>ZZZ</v>
      </c>
      <c r="P706" s="29" t="str">
        <f t="shared" si="157"/>
        <v>성인</v>
      </c>
      <c r="Q706" s="29" t="str">
        <f t="shared" si="158"/>
        <v>ZZZSNF3014</v>
      </c>
      <c r="R706" s="1" t="s">
        <v>1559</v>
      </c>
      <c r="S706" s="1" t="s">
        <v>14</v>
      </c>
      <c r="T706" s="26">
        <v>300</v>
      </c>
      <c r="U706" s="26">
        <v>14700000</v>
      </c>
      <c r="V706" s="26">
        <v>8196586.3636363633</v>
      </c>
      <c r="W706" s="26">
        <v>1.6303904785196055</v>
      </c>
      <c r="X706" s="26">
        <v>300</v>
      </c>
      <c r="Y706" s="26">
        <v>0</v>
      </c>
    </row>
    <row r="707" spans="1:25">
      <c r="A707" s="24" t="str">
        <f t="shared" si="150"/>
        <v>신규</v>
      </c>
      <c r="B707" s="24" t="str">
        <f>IF(COUNTIF(R$1:R706,R707)=0,"최초","리오더")</f>
        <v>최초</v>
      </c>
      <c r="C707" s="24" t="str">
        <f t="shared" si="151"/>
        <v>JOIBEF5524</v>
      </c>
      <c r="D707" s="24">
        <f t="shared" si="159"/>
        <v>1</v>
      </c>
      <c r="E707" s="24" t="str">
        <f t="shared" si="152"/>
        <v/>
      </c>
      <c r="F707" s="24">
        <f t="shared" si="160"/>
        <v>0</v>
      </c>
      <c r="G707" s="24" t="str">
        <f t="shared" si="153"/>
        <v>JOIBEF5524YE</v>
      </c>
      <c r="H707" s="24">
        <f t="shared" si="161"/>
        <v>1</v>
      </c>
      <c r="I707" s="24" t="str">
        <f t="shared" si="154"/>
        <v/>
      </c>
      <c r="J707" s="24">
        <f t="shared" si="162"/>
        <v>0</v>
      </c>
      <c r="K707" s="24" t="str">
        <f t="shared" si="155"/>
        <v>F5</v>
      </c>
      <c r="L707" s="24" t="str">
        <f>VLOOKUP(N707,CODE!K:P,CODE!$P$1,FALSE)</f>
        <v>모자</v>
      </c>
      <c r="M707" s="24" t="str">
        <f>VLOOKUP(MID(R707,1,3),CODE!$B:$G,CODE!D$1,FALSE)</f>
        <v>JOI</v>
      </c>
      <c r="N707" s="24" t="str">
        <f t="shared" si="156"/>
        <v>BE</v>
      </c>
      <c r="O707" s="29" t="str">
        <f>IF(ISERROR(IF(VLOOKUP($N707,CODE!$K:$P,CODE!$O$1,FALSE)="",$M707,$M707&amp;"-"&amp;VLOOKUP($N707,CODE!$K:$P,CODE!$O$1,FALSE)))=TRUE,"",IF(VLOOKUP($N707,CODE!$K:$P,CODE!$O$1,FALSE)="",$M707,$M707&amp;"-"&amp;VLOOKUP($N707,CODE!$K:$P,CODE!$O$1,FALSE)))</f>
        <v>JOI</v>
      </c>
      <c r="P707" s="29" t="str">
        <f t="shared" si="157"/>
        <v>키즈</v>
      </c>
      <c r="Q707" s="29" t="str">
        <f t="shared" si="158"/>
        <v>JOIBEF5524</v>
      </c>
      <c r="R707" s="1" t="s">
        <v>1560</v>
      </c>
      <c r="S707" s="1" t="s">
        <v>14</v>
      </c>
      <c r="T707" s="26">
        <v>800</v>
      </c>
      <c r="U707" s="26">
        <v>31200000</v>
      </c>
      <c r="V707" s="26">
        <v>4406848.0000000009</v>
      </c>
      <c r="W707" s="26">
        <v>6.4362638247646284</v>
      </c>
      <c r="X707" s="26">
        <v>800</v>
      </c>
      <c r="Y707" s="26">
        <v>0</v>
      </c>
    </row>
    <row r="708" spans="1:25">
      <c r="A708" s="24" t="str">
        <f t="shared" si="150"/>
        <v>신규</v>
      </c>
      <c r="B708" s="24" t="str">
        <f>IF(COUNTIF(R$1:R707,R708)=0,"최초","리오더")</f>
        <v>최초</v>
      </c>
      <c r="C708" s="24" t="str">
        <f t="shared" si="151"/>
        <v>JOIBEF5525</v>
      </c>
      <c r="D708" s="24">
        <f t="shared" si="159"/>
        <v>1</v>
      </c>
      <c r="E708" s="24" t="str">
        <f t="shared" si="152"/>
        <v/>
      </c>
      <c r="F708" s="24">
        <f t="shared" si="160"/>
        <v>0</v>
      </c>
      <c r="G708" s="24" t="str">
        <f t="shared" si="153"/>
        <v>JOIBEF5525MT</v>
      </c>
      <c r="H708" s="24">
        <f t="shared" si="161"/>
        <v>1</v>
      </c>
      <c r="I708" s="24" t="str">
        <f t="shared" si="154"/>
        <v/>
      </c>
      <c r="J708" s="24">
        <f t="shared" si="162"/>
        <v>0</v>
      </c>
      <c r="K708" s="24" t="str">
        <f t="shared" si="155"/>
        <v>F5</v>
      </c>
      <c r="L708" s="24" t="str">
        <f>VLOOKUP(N708,CODE!K:P,CODE!$P$1,FALSE)</f>
        <v>모자</v>
      </c>
      <c r="M708" s="24" t="str">
        <f>VLOOKUP(MID(R708,1,3),CODE!$B:$G,CODE!D$1,FALSE)</f>
        <v>JOI</v>
      </c>
      <c r="N708" s="24" t="str">
        <f t="shared" si="156"/>
        <v>BE</v>
      </c>
      <c r="O708" s="29" t="str">
        <f>IF(ISERROR(IF(VLOOKUP($N708,CODE!$K:$P,CODE!$O$1,FALSE)="",$M708,$M708&amp;"-"&amp;VLOOKUP($N708,CODE!$K:$P,CODE!$O$1,FALSE)))=TRUE,"",IF(VLOOKUP($N708,CODE!$K:$P,CODE!$O$1,FALSE)="",$M708,$M708&amp;"-"&amp;VLOOKUP($N708,CODE!$K:$P,CODE!$O$1,FALSE)))</f>
        <v>JOI</v>
      </c>
      <c r="P708" s="29" t="str">
        <f t="shared" si="157"/>
        <v>키즈</v>
      </c>
      <c r="Q708" s="29" t="str">
        <f t="shared" si="158"/>
        <v>JOIBEF5525</v>
      </c>
      <c r="R708" s="1" t="s">
        <v>1561</v>
      </c>
      <c r="S708" s="1" t="s">
        <v>14</v>
      </c>
      <c r="T708" s="26">
        <v>800</v>
      </c>
      <c r="U708" s="26">
        <v>31200000</v>
      </c>
      <c r="V708" s="26">
        <v>4787824.0000000009</v>
      </c>
      <c r="W708" s="26">
        <v>5.9241184228234696</v>
      </c>
      <c r="X708" s="26">
        <v>796</v>
      </c>
      <c r="Y708" s="26">
        <v>0</v>
      </c>
    </row>
    <row r="709" spans="1:25">
      <c r="A709" s="24" t="str">
        <f t="shared" si="150"/>
        <v>신규</v>
      </c>
      <c r="B709" s="24" t="str">
        <f>IF(COUNTIF(R$1:R708,R709)=0,"최초","리오더")</f>
        <v>최초</v>
      </c>
      <c r="C709" s="24" t="str">
        <f t="shared" si="151"/>
        <v>ELSBEF5037</v>
      </c>
      <c r="D709" s="24">
        <f t="shared" si="159"/>
        <v>1</v>
      </c>
      <c r="E709" s="24" t="str">
        <f t="shared" si="152"/>
        <v/>
      </c>
      <c r="F709" s="24">
        <f t="shared" si="160"/>
        <v>0</v>
      </c>
      <c r="G709" s="24" t="str">
        <f t="shared" si="153"/>
        <v>ELSBEF5037BK</v>
      </c>
      <c r="H709" s="24">
        <f t="shared" si="161"/>
        <v>1</v>
      </c>
      <c r="I709" s="24" t="str">
        <f t="shared" si="154"/>
        <v/>
      </c>
      <c r="J709" s="24">
        <f t="shared" si="162"/>
        <v>0</v>
      </c>
      <c r="K709" s="24" t="str">
        <f t="shared" si="155"/>
        <v>F5</v>
      </c>
      <c r="L709" s="24" t="str">
        <f>VLOOKUP(N709,CODE!K:P,CODE!$P$1,FALSE)</f>
        <v>모자</v>
      </c>
      <c r="M709" s="24" t="str">
        <f>VLOOKUP(MID(R709,1,3),CODE!$B:$G,CODE!D$1,FALSE)</f>
        <v>ELS</v>
      </c>
      <c r="N709" s="24" t="str">
        <f t="shared" si="156"/>
        <v>BE</v>
      </c>
      <c r="O709" s="29" t="str">
        <f>IF(ISERROR(IF(VLOOKUP($N709,CODE!$K:$P,CODE!$O$1,FALSE)="",$M709,$M709&amp;"-"&amp;VLOOKUP($N709,CODE!$K:$P,CODE!$O$1,FALSE)))=TRUE,"",IF(VLOOKUP($N709,CODE!$K:$P,CODE!$O$1,FALSE)="",$M709,$M709&amp;"-"&amp;VLOOKUP($N709,CODE!$K:$P,CODE!$O$1,FALSE)))</f>
        <v>ELS</v>
      </c>
      <c r="P709" s="29" t="str">
        <f t="shared" si="157"/>
        <v>성인</v>
      </c>
      <c r="Q709" s="29" t="str">
        <f t="shared" si="158"/>
        <v>ELSBEF5037</v>
      </c>
      <c r="R709" s="1" t="s">
        <v>1562</v>
      </c>
      <c r="S709" s="1" t="s">
        <v>14</v>
      </c>
      <c r="T709" s="26">
        <v>800</v>
      </c>
      <c r="U709" s="26">
        <v>31200000</v>
      </c>
      <c r="V709" s="26">
        <v>4646432</v>
      </c>
      <c r="W709" s="26">
        <v>6.1043907160669439</v>
      </c>
      <c r="X709" s="26">
        <v>800</v>
      </c>
      <c r="Y709" s="26">
        <v>0</v>
      </c>
    </row>
    <row r="710" spans="1:25">
      <c r="A710" s="24" t="str">
        <f t="shared" si="150"/>
        <v>신규</v>
      </c>
      <c r="B710" s="24" t="str">
        <f>IF(COUNTIF(R$1:R709,R710)=0,"최초","리오더")</f>
        <v>최초</v>
      </c>
      <c r="C710" s="24" t="str">
        <f t="shared" si="151"/>
        <v>SBRFAF3075</v>
      </c>
      <c r="D710" s="24">
        <f t="shared" si="159"/>
        <v>1</v>
      </c>
      <c r="E710" s="24" t="str">
        <f t="shared" si="152"/>
        <v/>
      </c>
      <c r="F710" s="24">
        <f t="shared" si="160"/>
        <v>0</v>
      </c>
      <c r="G710" s="24" t="str">
        <f t="shared" si="153"/>
        <v>SBRFAF3075BK</v>
      </c>
      <c r="H710" s="24">
        <f t="shared" si="161"/>
        <v>1</v>
      </c>
      <c r="I710" s="24" t="str">
        <f t="shared" si="154"/>
        <v/>
      </c>
      <c r="J710" s="24">
        <f t="shared" si="162"/>
        <v>0</v>
      </c>
      <c r="K710" s="24" t="str">
        <f t="shared" si="155"/>
        <v>F3</v>
      </c>
      <c r="L710" s="24" t="str">
        <f>VLOOKUP(N710,CODE!K:P,CODE!$P$1,FALSE)</f>
        <v>모자</v>
      </c>
      <c r="M710" s="24" t="str">
        <f>VLOOKUP(MID(R710,1,3),CODE!$B:$G,CODE!D$1,FALSE)</f>
        <v>SBR</v>
      </c>
      <c r="N710" s="24" t="str">
        <f t="shared" si="156"/>
        <v>FA</v>
      </c>
      <c r="O710" s="29" t="str">
        <f>IF(ISERROR(IF(VLOOKUP($N710,CODE!$K:$P,CODE!$O$1,FALSE)="",$M710,$M710&amp;"-"&amp;VLOOKUP($N710,CODE!$K:$P,CODE!$O$1,FALSE)))=TRUE,"",IF(VLOOKUP($N710,CODE!$K:$P,CODE!$O$1,FALSE)="",$M710,$M710&amp;"-"&amp;VLOOKUP($N710,CODE!$K:$P,CODE!$O$1,FALSE)))</f>
        <v>SBR</v>
      </c>
      <c r="P710" s="29" t="str">
        <f t="shared" si="157"/>
        <v>성인</v>
      </c>
      <c r="Q710" s="29" t="str">
        <f t="shared" si="158"/>
        <v>SBRFAF3075</v>
      </c>
      <c r="R710" s="1" t="s">
        <v>1563</v>
      </c>
      <c r="S710" s="1" t="s">
        <v>14</v>
      </c>
      <c r="T710" s="26">
        <v>600</v>
      </c>
      <c r="U710" s="26">
        <v>27000000</v>
      </c>
      <c r="V710" s="26">
        <v>5760000</v>
      </c>
      <c r="W710" s="26">
        <v>4.2613636363636358</v>
      </c>
      <c r="X710" s="26">
        <v>603</v>
      </c>
      <c r="Y710" s="26">
        <v>0</v>
      </c>
    </row>
    <row r="711" spans="1:25">
      <c r="A711" s="24" t="str">
        <f t="shared" si="150"/>
        <v>신규</v>
      </c>
      <c r="B711" s="24" t="str">
        <f>IF(COUNTIF(R$1:R710,R711)=0,"최초","리오더")</f>
        <v>최초</v>
      </c>
      <c r="C711" s="24" t="str">
        <f t="shared" si="151"/>
        <v>SBRFAF3076</v>
      </c>
      <c r="D711" s="24">
        <f t="shared" si="159"/>
        <v>1</v>
      </c>
      <c r="E711" s="24" t="str">
        <f t="shared" si="152"/>
        <v/>
      </c>
      <c r="F711" s="24">
        <f t="shared" si="160"/>
        <v>0</v>
      </c>
      <c r="G711" s="24" t="str">
        <f t="shared" si="153"/>
        <v>SBRFAF3076GY</v>
      </c>
      <c r="H711" s="24">
        <f t="shared" si="161"/>
        <v>1</v>
      </c>
      <c r="I711" s="24" t="str">
        <f t="shared" si="154"/>
        <v/>
      </c>
      <c r="J711" s="24">
        <f t="shared" si="162"/>
        <v>0</v>
      </c>
      <c r="K711" s="24" t="str">
        <f t="shared" si="155"/>
        <v>F3</v>
      </c>
      <c r="L711" s="24" t="str">
        <f>VLOOKUP(N711,CODE!K:P,CODE!$P$1,FALSE)</f>
        <v>모자</v>
      </c>
      <c r="M711" s="24" t="str">
        <f>VLOOKUP(MID(R711,1,3),CODE!$B:$G,CODE!D$1,FALSE)</f>
        <v>SBR</v>
      </c>
      <c r="N711" s="24" t="str">
        <f t="shared" si="156"/>
        <v>FA</v>
      </c>
      <c r="O711" s="29" t="str">
        <f>IF(ISERROR(IF(VLOOKUP($N711,CODE!$K:$P,CODE!$O$1,FALSE)="",$M711,$M711&amp;"-"&amp;VLOOKUP($N711,CODE!$K:$P,CODE!$O$1,FALSE)))=TRUE,"",IF(VLOOKUP($N711,CODE!$K:$P,CODE!$O$1,FALSE)="",$M711,$M711&amp;"-"&amp;VLOOKUP($N711,CODE!$K:$P,CODE!$O$1,FALSE)))</f>
        <v>SBR</v>
      </c>
      <c r="P711" s="29" t="str">
        <f t="shared" si="157"/>
        <v>성인</v>
      </c>
      <c r="Q711" s="29" t="str">
        <f t="shared" si="158"/>
        <v>SBRFAF3076</v>
      </c>
      <c r="R711" s="1" t="s">
        <v>1564</v>
      </c>
      <c r="S711" s="1" t="s">
        <v>14</v>
      </c>
      <c r="T711" s="26">
        <v>600</v>
      </c>
      <c r="U711" s="26">
        <v>27000000</v>
      </c>
      <c r="V711" s="26">
        <v>6060000</v>
      </c>
      <c r="W711" s="26">
        <v>4.0504050405040495</v>
      </c>
      <c r="X711" s="26">
        <v>607</v>
      </c>
      <c r="Y711" s="26">
        <v>0</v>
      </c>
    </row>
    <row r="712" spans="1:25">
      <c r="A712" s="24" t="str">
        <f t="shared" si="150"/>
        <v>신규</v>
      </c>
      <c r="B712" s="24" t="str">
        <f>IF(COUNTIF(R$1:R711,R712)=0,"최초","리오더")</f>
        <v>최초</v>
      </c>
      <c r="C712" s="24" t="str">
        <f t="shared" si="151"/>
        <v>SBRFAF5077</v>
      </c>
      <c r="D712" s="24">
        <f t="shared" si="159"/>
        <v>1</v>
      </c>
      <c r="E712" s="24" t="str">
        <f t="shared" si="152"/>
        <v/>
      </c>
      <c r="F712" s="24">
        <f t="shared" si="160"/>
        <v>0</v>
      </c>
      <c r="G712" s="24" t="str">
        <f t="shared" si="153"/>
        <v>SBRFAF5077BK</v>
      </c>
      <c r="H712" s="24">
        <f t="shared" si="161"/>
        <v>1</v>
      </c>
      <c r="I712" s="24" t="str">
        <f t="shared" si="154"/>
        <v/>
      </c>
      <c r="J712" s="24">
        <f t="shared" si="162"/>
        <v>0</v>
      </c>
      <c r="K712" s="24" t="str">
        <f t="shared" si="155"/>
        <v>F5</v>
      </c>
      <c r="L712" s="24" t="str">
        <f>VLOOKUP(N712,CODE!K:P,CODE!$P$1,FALSE)</f>
        <v>모자</v>
      </c>
      <c r="M712" s="24" t="str">
        <f>VLOOKUP(MID(R712,1,3),CODE!$B:$G,CODE!D$1,FALSE)</f>
        <v>SBR</v>
      </c>
      <c r="N712" s="24" t="str">
        <f t="shared" si="156"/>
        <v>FA</v>
      </c>
      <c r="O712" s="29" t="str">
        <f>IF(ISERROR(IF(VLOOKUP($N712,CODE!$K:$P,CODE!$O$1,FALSE)="",$M712,$M712&amp;"-"&amp;VLOOKUP($N712,CODE!$K:$P,CODE!$O$1,FALSE)))=TRUE,"",IF(VLOOKUP($N712,CODE!$K:$P,CODE!$O$1,FALSE)="",$M712,$M712&amp;"-"&amp;VLOOKUP($N712,CODE!$K:$P,CODE!$O$1,FALSE)))</f>
        <v>SBR</v>
      </c>
      <c r="P712" s="29" t="str">
        <f t="shared" si="157"/>
        <v>성인</v>
      </c>
      <c r="Q712" s="29" t="str">
        <f t="shared" si="158"/>
        <v>SBRFAF5077</v>
      </c>
      <c r="R712" s="1" t="s">
        <v>1565</v>
      </c>
      <c r="S712" s="1" t="s">
        <v>14</v>
      </c>
      <c r="T712" s="26">
        <v>600</v>
      </c>
      <c r="U712" s="26">
        <v>29400000</v>
      </c>
      <c r="V712" s="26">
        <v>6060000</v>
      </c>
      <c r="W712" s="26">
        <v>4.4104410441044095</v>
      </c>
      <c r="X712" s="26">
        <v>615</v>
      </c>
      <c r="Y712" s="26">
        <v>0</v>
      </c>
    </row>
    <row r="713" spans="1:25">
      <c r="A713" s="24" t="str">
        <f t="shared" si="150"/>
        <v>러닝</v>
      </c>
      <c r="B713" s="24" t="str">
        <f>IF(COUNTIF(R$1:R712,R713)=0,"최초","리오더")</f>
        <v>최초</v>
      </c>
      <c r="C713" s="24" t="str">
        <f t="shared" si="151"/>
        <v>BMDBAF3405</v>
      </c>
      <c r="D713" s="24">
        <f t="shared" si="159"/>
        <v>1</v>
      </c>
      <c r="E713" s="24" t="str">
        <f t="shared" si="152"/>
        <v/>
      </c>
      <c r="F713" s="24">
        <f t="shared" si="160"/>
        <v>0</v>
      </c>
      <c r="G713" s="24" t="str">
        <f t="shared" si="153"/>
        <v>BMDBAF3405BK</v>
      </c>
      <c r="H713" s="24">
        <f t="shared" si="161"/>
        <v>1</v>
      </c>
      <c r="I713" s="24" t="str">
        <f t="shared" si="154"/>
        <v/>
      </c>
      <c r="J713" s="24">
        <f t="shared" si="162"/>
        <v>0</v>
      </c>
      <c r="K713" s="24" t="str">
        <f t="shared" si="155"/>
        <v>F3</v>
      </c>
      <c r="L713" s="24" t="str">
        <f>VLOOKUP(N713,CODE!K:P,CODE!$P$1,FALSE)</f>
        <v>모자</v>
      </c>
      <c r="M713" s="24" t="str">
        <f>VLOOKUP(MID(R713,1,3),CODE!$B:$G,CODE!D$1,FALSE)</f>
        <v>BMD</v>
      </c>
      <c r="N713" s="24" t="str">
        <f t="shared" si="156"/>
        <v>BA</v>
      </c>
      <c r="O713" s="29" t="str">
        <f>IF(ISERROR(IF(VLOOKUP($N713,CODE!$K:$P,CODE!$O$1,FALSE)="",$M713,$M713&amp;"-"&amp;VLOOKUP($N713,CODE!$K:$P,CODE!$O$1,FALSE)))=TRUE,"",IF(VLOOKUP($N713,CODE!$K:$P,CODE!$O$1,FALSE)="",$M713,$M713&amp;"-"&amp;VLOOKUP($N713,CODE!$K:$P,CODE!$O$1,FALSE)))</f>
        <v>BMD</v>
      </c>
      <c r="P713" s="29" t="str">
        <f t="shared" si="157"/>
        <v>성인</v>
      </c>
      <c r="Q713" s="29" t="str">
        <f t="shared" si="158"/>
        <v>BMDBAF3405</v>
      </c>
      <c r="R713" s="1" t="s">
        <v>1566</v>
      </c>
      <c r="S713" s="1" t="s">
        <v>14</v>
      </c>
      <c r="T713" s="26">
        <v>1000</v>
      </c>
      <c r="U713" s="26">
        <v>53000000</v>
      </c>
      <c r="V713" s="26">
        <v>5882780.0000000009</v>
      </c>
      <c r="W713" s="26">
        <v>8.1903144740782707</v>
      </c>
      <c r="X713" s="26">
        <v>938</v>
      </c>
      <c r="Y713" s="26">
        <v>0</v>
      </c>
    </row>
    <row r="714" spans="1:25">
      <c r="A714" s="24" t="str">
        <f t="shared" ref="A714:A764" si="163">IF(OR(MID(R714,8,1)="0",MID(R714,8,1)="5"),"신규","러닝")</f>
        <v>러닝</v>
      </c>
      <c r="B714" s="24" t="str">
        <f>IF(COUNTIF(R$1:R713,R714)=0,"최초","리오더")</f>
        <v>최초</v>
      </c>
      <c r="C714" s="24" t="str">
        <f t="shared" ref="C714:C764" si="164">IF($B714="리오더","",Q714)</f>
        <v>BMDBAF3408</v>
      </c>
      <c r="D714" s="24">
        <f t="shared" si="159"/>
        <v>1</v>
      </c>
      <c r="E714" s="24" t="str">
        <f t="shared" ref="E714:E764" si="165">IF($B714="리오더",Q714,"")</f>
        <v/>
      </c>
      <c r="F714" s="24">
        <f t="shared" si="160"/>
        <v>0</v>
      </c>
      <c r="G714" s="24" t="str">
        <f t="shared" ref="G714:G764" si="166">IF($B714="리오더","",R714)</f>
        <v>BMDBAF3408BK</v>
      </c>
      <c r="H714" s="24">
        <f t="shared" si="161"/>
        <v>1</v>
      </c>
      <c r="I714" s="24" t="str">
        <f t="shared" ref="I714:I764" si="167">IF($B714="리오더",R714,"")</f>
        <v/>
      </c>
      <c r="J714" s="24">
        <f t="shared" si="162"/>
        <v>0</v>
      </c>
      <c r="K714" s="24" t="str">
        <f t="shared" ref="K714:K764" si="168">MID(R714,6,2)</f>
        <v>F3</v>
      </c>
      <c r="L714" s="24" t="str">
        <f>VLOOKUP(N714,CODE!K:P,CODE!$P$1,FALSE)</f>
        <v>모자</v>
      </c>
      <c r="M714" s="24" t="str">
        <f>VLOOKUP(MID(R714,1,3),CODE!$B:$G,CODE!D$1,FALSE)</f>
        <v>BMD</v>
      </c>
      <c r="N714" s="24" t="str">
        <f t="shared" ref="N714:N764" si="169">MID(R714,4,2)</f>
        <v>BA</v>
      </c>
      <c r="O714" s="29" t="str">
        <f>IF(ISERROR(IF(VLOOKUP($N714,CODE!$K:$P,CODE!$O$1,FALSE)="",$M714,$M714&amp;"-"&amp;VLOOKUP($N714,CODE!$K:$P,CODE!$O$1,FALSE)))=TRUE,"",IF(VLOOKUP($N714,CODE!$K:$P,CODE!$O$1,FALSE)="",$M714,$M714&amp;"-"&amp;VLOOKUP($N714,CODE!$K:$P,CODE!$O$1,FALSE)))</f>
        <v>BMD</v>
      </c>
      <c r="P714" s="29" t="str">
        <f t="shared" ref="P714:P764" si="170">IF(OR(MID(R714,8,1)="0",MID(R714,8,1)="1",MID(R714,8,1)="2",MID(R714,8,1)="3",MID(R714,8,1)="4"),"성인","키즈")</f>
        <v>성인</v>
      </c>
      <c r="Q714" s="29" t="str">
        <f t="shared" ref="Q714:Q764" si="171">MID(R714,1,10)</f>
        <v>BMDBAF3408</v>
      </c>
      <c r="R714" s="1" t="s">
        <v>1567</v>
      </c>
      <c r="S714" s="1" t="s">
        <v>14</v>
      </c>
      <c r="T714" s="26">
        <v>1000</v>
      </c>
      <c r="U714" s="26">
        <v>55000000</v>
      </c>
      <c r="V714" s="26">
        <v>7504400.0000000019</v>
      </c>
      <c r="W714" s="26">
        <v>6.6627578487287433</v>
      </c>
      <c r="X714" s="26">
        <v>953</v>
      </c>
      <c r="Y714" s="26">
        <v>0</v>
      </c>
    </row>
    <row r="715" spans="1:25">
      <c r="A715" s="24" t="str">
        <f t="shared" si="163"/>
        <v>러닝</v>
      </c>
      <c r="B715" s="24" t="str">
        <f>IF(COUNTIF(R$1:R714,R715)=0,"최초","리오더")</f>
        <v>최초</v>
      </c>
      <c r="C715" s="24" t="str">
        <f t="shared" si="164"/>
        <v>DPSFIF3413</v>
      </c>
      <c r="D715" s="24">
        <f t="shared" si="159"/>
        <v>1</v>
      </c>
      <c r="E715" s="24" t="str">
        <f t="shared" si="165"/>
        <v/>
      </c>
      <c r="F715" s="24">
        <f t="shared" si="160"/>
        <v>0</v>
      </c>
      <c r="G715" s="24" t="str">
        <f t="shared" si="166"/>
        <v>DPSFIF3413PK</v>
      </c>
      <c r="H715" s="24">
        <f t="shared" si="161"/>
        <v>1</v>
      </c>
      <c r="I715" s="24" t="str">
        <f t="shared" si="167"/>
        <v/>
      </c>
      <c r="J715" s="24">
        <f t="shared" si="162"/>
        <v>0</v>
      </c>
      <c r="K715" s="24" t="str">
        <f t="shared" si="168"/>
        <v>F3</v>
      </c>
      <c r="L715" s="24" t="str">
        <f>VLOOKUP(N715,CODE!K:P,CODE!$P$1,FALSE)</f>
        <v>모자</v>
      </c>
      <c r="M715" s="24" t="str">
        <f>VLOOKUP(MID(R715,1,3),CODE!$B:$G,CODE!D$1,FALSE)</f>
        <v>DPS</v>
      </c>
      <c r="N715" s="24" t="str">
        <f t="shared" si="169"/>
        <v>FI</v>
      </c>
      <c r="O715" s="29" t="str">
        <f>IF(ISERROR(IF(VLOOKUP($N715,CODE!$K:$P,CODE!$O$1,FALSE)="",$M715,$M715&amp;"-"&amp;VLOOKUP($N715,CODE!$K:$P,CODE!$O$1,FALSE)))=TRUE,"",IF(VLOOKUP($N715,CODE!$K:$P,CODE!$O$1,FALSE)="",$M715,$M715&amp;"-"&amp;VLOOKUP($N715,CODE!$K:$P,CODE!$O$1,FALSE)))</f>
        <v>DPS</v>
      </c>
      <c r="P715" s="29" t="str">
        <f t="shared" si="170"/>
        <v>성인</v>
      </c>
      <c r="Q715" s="29" t="str">
        <f t="shared" si="171"/>
        <v>DPSFIF3413</v>
      </c>
      <c r="R715" s="1" t="s">
        <v>1568</v>
      </c>
      <c r="S715" s="1" t="s">
        <v>14</v>
      </c>
      <c r="T715" s="26">
        <v>3000</v>
      </c>
      <c r="U715" s="26">
        <v>159000000</v>
      </c>
      <c r="V715" s="26">
        <v>13943160</v>
      </c>
      <c r="W715" s="26">
        <v>10.366764388090973</v>
      </c>
      <c r="X715" s="26">
        <v>3000</v>
      </c>
      <c r="Y715" s="26">
        <v>0</v>
      </c>
    </row>
    <row r="716" spans="1:25">
      <c r="A716" s="24" t="str">
        <f t="shared" si="163"/>
        <v>러닝</v>
      </c>
      <c r="B716" s="24" t="str">
        <f>IF(COUNTIF(R$1:R715,R716)=0,"최초","리오더")</f>
        <v>리오더</v>
      </c>
      <c r="C716" s="24" t="str">
        <f t="shared" si="164"/>
        <v/>
      </c>
      <c r="D716" s="24">
        <f t="shared" si="159"/>
        <v>0</v>
      </c>
      <c r="E716" s="24" t="str">
        <f t="shared" si="165"/>
        <v>PLAUMF3407</v>
      </c>
      <c r="F716" s="24">
        <f t="shared" si="160"/>
        <v>1</v>
      </c>
      <c r="G716" s="24" t="str">
        <f t="shared" si="166"/>
        <v/>
      </c>
      <c r="H716" s="24">
        <f t="shared" si="161"/>
        <v>0</v>
      </c>
      <c r="I716" s="24" t="str">
        <f t="shared" si="167"/>
        <v>PLAUMF3407BK</v>
      </c>
      <c r="J716" s="24">
        <f t="shared" si="162"/>
        <v>1</v>
      </c>
      <c r="K716" s="24" t="str">
        <f t="shared" si="168"/>
        <v>F3</v>
      </c>
      <c r="L716" s="24" t="str">
        <f>VLOOKUP(N716,CODE!K:P,CODE!$P$1,FALSE)</f>
        <v>모자</v>
      </c>
      <c r="M716" s="24" t="str">
        <f>VLOOKUP(MID(R716,1,3),CODE!$B:$G,CODE!D$1,FALSE)</f>
        <v>PLA</v>
      </c>
      <c r="N716" s="24" t="str">
        <f t="shared" si="169"/>
        <v>UM</v>
      </c>
      <c r="O716" s="29" t="str">
        <f>IF(ISERROR(IF(VLOOKUP($N716,CODE!$K:$P,CODE!$O$1,FALSE)="",$M716,$M716&amp;"-"&amp;VLOOKUP($N716,CODE!$K:$P,CODE!$O$1,FALSE)))=TRUE,"",IF(VLOOKUP($N716,CODE!$K:$P,CODE!$O$1,FALSE)="",$M716,$M716&amp;"-"&amp;VLOOKUP($N716,CODE!$K:$P,CODE!$O$1,FALSE)))</f>
        <v>PLA</v>
      </c>
      <c r="P716" s="29" t="str">
        <f t="shared" si="170"/>
        <v>성인</v>
      </c>
      <c r="Q716" s="29" t="str">
        <f t="shared" si="171"/>
        <v>PLAUMF3407</v>
      </c>
      <c r="R716" s="1" t="s">
        <v>1357</v>
      </c>
      <c r="S716" s="1" t="s">
        <v>14</v>
      </c>
      <c r="T716" s="26">
        <v>2000</v>
      </c>
      <c r="U716" s="26">
        <v>118000000</v>
      </c>
      <c r="V716" s="26">
        <v>13846140.000000002</v>
      </c>
      <c r="W716" s="26">
        <v>7.7474824949572403</v>
      </c>
      <c r="X716" s="26">
        <v>2000</v>
      </c>
      <c r="Y716" s="26">
        <v>0</v>
      </c>
    </row>
    <row r="717" spans="1:25">
      <c r="A717" s="24" t="str">
        <f t="shared" si="163"/>
        <v>신규</v>
      </c>
      <c r="B717" s="24" t="str">
        <f>IF(COUNTIF(R$1:R716,R717)=0,"최초","리오더")</f>
        <v>최초</v>
      </c>
      <c r="C717" s="24" t="str">
        <f t="shared" si="164"/>
        <v>FFTSNF3005</v>
      </c>
      <c r="D717" s="24">
        <f t="shared" si="159"/>
        <v>1</v>
      </c>
      <c r="E717" s="24" t="str">
        <f t="shared" si="165"/>
        <v/>
      </c>
      <c r="F717" s="24">
        <f t="shared" si="160"/>
        <v>0</v>
      </c>
      <c r="G717" s="24" t="str">
        <f t="shared" si="166"/>
        <v>FFTSNF3005KH</v>
      </c>
      <c r="H717" s="24">
        <f t="shared" si="161"/>
        <v>1</v>
      </c>
      <c r="I717" s="24" t="str">
        <f t="shared" si="167"/>
        <v/>
      </c>
      <c r="J717" s="24">
        <f t="shared" si="162"/>
        <v>0</v>
      </c>
      <c r="K717" s="24" t="str">
        <f t="shared" si="168"/>
        <v>F3</v>
      </c>
      <c r="L717" s="24" t="str">
        <f>VLOOKUP(N717,CODE!K:P,CODE!$P$1,FALSE)</f>
        <v>모자</v>
      </c>
      <c r="M717" s="24" t="str">
        <f>VLOOKUP(MID(R717,1,3),CODE!$B:$G,CODE!D$1,FALSE)</f>
        <v>FFT</v>
      </c>
      <c r="N717" s="24" t="str">
        <f t="shared" si="169"/>
        <v>SN</v>
      </c>
      <c r="O717" s="29" t="str">
        <f>IF(ISERROR(IF(VLOOKUP($N717,CODE!$K:$P,CODE!$O$1,FALSE)="",$M717,$M717&amp;"-"&amp;VLOOKUP($N717,CODE!$K:$P,CODE!$O$1,FALSE)))=TRUE,"",IF(VLOOKUP($N717,CODE!$K:$P,CODE!$O$1,FALSE)="",$M717,$M717&amp;"-"&amp;VLOOKUP($N717,CODE!$K:$P,CODE!$O$1,FALSE)))</f>
        <v>FFT</v>
      </c>
      <c r="P717" s="29" t="str">
        <f t="shared" si="170"/>
        <v>성인</v>
      </c>
      <c r="Q717" s="29" t="str">
        <f t="shared" si="171"/>
        <v>FFTSNF3005</v>
      </c>
      <c r="R717" s="1" t="s">
        <v>1569</v>
      </c>
      <c r="S717" s="1" t="s">
        <v>15</v>
      </c>
      <c r="T717" s="26">
        <v>100</v>
      </c>
      <c r="U717" s="26">
        <v>4500000</v>
      </c>
      <c r="V717" s="26">
        <v>1840909.0909090908</v>
      </c>
      <c r="W717" s="26">
        <v>2.2222222222222223</v>
      </c>
      <c r="X717" s="26">
        <v>100</v>
      </c>
      <c r="Y717" s="26">
        <v>0</v>
      </c>
    </row>
    <row r="718" spans="1:25">
      <c r="A718" s="24" t="str">
        <f t="shared" si="163"/>
        <v>신규</v>
      </c>
      <c r="B718" s="24" t="str">
        <f>IF(COUNTIF(R$1:R717,R718)=0,"최초","리오더")</f>
        <v>최초</v>
      </c>
      <c r="C718" s="24" t="str">
        <f t="shared" si="164"/>
        <v>FFTSNF3006</v>
      </c>
      <c r="D718" s="24">
        <f t="shared" si="159"/>
        <v>1</v>
      </c>
      <c r="E718" s="24" t="str">
        <f t="shared" si="165"/>
        <v/>
      </c>
      <c r="F718" s="24">
        <f t="shared" si="160"/>
        <v>0</v>
      </c>
      <c r="G718" s="24" t="str">
        <f t="shared" si="166"/>
        <v>FFTSNF3006GY</v>
      </c>
      <c r="H718" s="24">
        <f t="shared" si="161"/>
        <v>1</v>
      </c>
      <c r="I718" s="24" t="str">
        <f t="shared" si="167"/>
        <v/>
      </c>
      <c r="J718" s="24">
        <f t="shared" si="162"/>
        <v>0</v>
      </c>
      <c r="K718" s="24" t="str">
        <f t="shared" si="168"/>
        <v>F3</v>
      </c>
      <c r="L718" s="24" t="str">
        <f>VLOOKUP(N718,CODE!K:P,CODE!$P$1,FALSE)</f>
        <v>모자</v>
      </c>
      <c r="M718" s="24" t="str">
        <f>VLOOKUP(MID(R718,1,3),CODE!$B:$G,CODE!D$1,FALSE)</f>
        <v>FFT</v>
      </c>
      <c r="N718" s="24" t="str">
        <f t="shared" si="169"/>
        <v>SN</v>
      </c>
      <c r="O718" s="29" t="str">
        <f>IF(ISERROR(IF(VLOOKUP($N718,CODE!$K:$P,CODE!$O$1,FALSE)="",$M718,$M718&amp;"-"&amp;VLOOKUP($N718,CODE!$K:$P,CODE!$O$1,FALSE)))=TRUE,"",IF(VLOOKUP($N718,CODE!$K:$P,CODE!$O$1,FALSE)="",$M718,$M718&amp;"-"&amp;VLOOKUP($N718,CODE!$K:$P,CODE!$O$1,FALSE)))</f>
        <v>FFT</v>
      </c>
      <c r="P718" s="29" t="str">
        <f t="shared" si="170"/>
        <v>성인</v>
      </c>
      <c r="Q718" s="29" t="str">
        <f t="shared" si="171"/>
        <v>FFTSNF3006</v>
      </c>
      <c r="R718" s="1" t="s">
        <v>1570</v>
      </c>
      <c r="S718" s="1" t="s">
        <v>15</v>
      </c>
      <c r="T718" s="26">
        <v>100</v>
      </c>
      <c r="U718" s="26">
        <v>4500000</v>
      </c>
      <c r="V718" s="26">
        <v>1840909.0909090908</v>
      </c>
      <c r="W718" s="26">
        <v>2.2222222222222223</v>
      </c>
      <c r="X718" s="26">
        <v>100</v>
      </c>
      <c r="Y718" s="26">
        <v>0</v>
      </c>
    </row>
    <row r="719" spans="1:25">
      <c r="A719" s="24" t="str">
        <f t="shared" si="163"/>
        <v>신규</v>
      </c>
      <c r="B719" s="24" t="str">
        <f>IF(COUNTIF(R$1:R718,R719)=0,"최초","리오더")</f>
        <v>최초</v>
      </c>
      <c r="C719" s="24" t="str">
        <f t="shared" si="164"/>
        <v>FFTSNF3008</v>
      </c>
      <c r="D719" s="24">
        <f t="shared" si="159"/>
        <v>1</v>
      </c>
      <c r="E719" s="24" t="str">
        <f t="shared" si="165"/>
        <v/>
      </c>
      <c r="F719" s="24">
        <f t="shared" si="160"/>
        <v>0</v>
      </c>
      <c r="G719" s="24" t="str">
        <f t="shared" si="166"/>
        <v>FFTSNF3008BK</v>
      </c>
      <c r="H719" s="24">
        <f t="shared" si="161"/>
        <v>1</v>
      </c>
      <c r="I719" s="24" t="str">
        <f t="shared" si="167"/>
        <v/>
      </c>
      <c r="J719" s="24">
        <f t="shared" si="162"/>
        <v>0</v>
      </c>
      <c r="K719" s="24" t="str">
        <f t="shared" si="168"/>
        <v>F3</v>
      </c>
      <c r="L719" s="24" t="str">
        <f>VLOOKUP(N719,CODE!K:P,CODE!$P$1,FALSE)</f>
        <v>모자</v>
      </c>
      <c r="M719" s="24" t="str">
        <f>VLOOKUP(MID(R719,1,3),CODE!$B:$G,CODE!D$1,FALSE)</f>
        <v>FFT</v>
      </c>
      <c r="N719" s="24" t="str">
        <f t="shared" si="169"/>
        <v>SN</v>
      </c>
      <c r="O719" s="29" t="str">
        <f>IF(ISERROR(IF(VLOOKUP($N719,CODE!$K:$P,CODE!$O$1,FALSE)="",$M719,$M719&amp;"-"&amp;VLOOKUP($N719,CODE!$K:$P,CODE!$O$1,FALSE)))=TRUE,"",IF(VLOOKUP($N719,CODE!$K:$P,CODE!$O$1,FALSE)="",$M719,$M719&amp;"-"&amp;VLOOKUP($N719,CODE!$K:$P,CODE!$O$1,FALSE)))</f>
        <v>FFT</v>
      </c>
      <c r="P719" s="29" t="str">
        <f t="shared" si="170"/>
        <v>성인</v>
      </c>
      <c r="Q719" s="29" t="str">
        <f t="shared" si="171"/>
        <v>FFTSNF3008</v>
      </c>
      <c r="R719" s="1" t="s">
        <v>1571</v>
      </c>
      <c r="S719" s="1" t="s">
        <v>15</v>
      </c>
      <c r="T719" s="26">
        <v>200</v>
      </c>
      <c r="U719" s="26">
        <v>9000000</v>
      </c>
      <c r="V719" s="26">
        <v>3681818.1818181816</v>
      </c>
      <c r="W719" s="26">
        <v>2.2222222222222223</v>
      </c>
      <c r="X719" s="26">
        <v>200</v>
      </c>
      <c r="Y719" s="26">
        <v>0</v>
      </c>
    </row>
    <row r="720" spans="1:25">
      <c r="A720" s="24" t="str">
        <f t="shared" si="163"/>
        <v>신규</v>
      </c>
      <c r="B720" s="24" t="str">
        <f>IF(COUNTIF(R$1:R719,R720)=0,"최초","리오더")</f>
        <v>최초</v>
      </c>
      <c r="C720" s="24" t="str">
        <f t="shared" si="164"/>
        <v>FFTSNF3010</v>
      </c>
      <c r="D720" s="24">
        <f t="shared" si="159"/>
        <v>1</v>
      </c>
      <c r="E720" s="24" t="str">
        <f t="shared" si="165"/>
        <v/>
      </c>
      <c r="F720" s="24">
        <f t="shared" si="160"/>
        <v>0</v>
      </c>
      <c r="G720" s="24" t="str">
        <f t="shared" si="166"/>
        <v>FFTSNF3010BK</v>
      </c>
      <c r="H720" s="24">
        <f t="shared" si="161"/>
        <v>1</v>
      </c>
      <c r="I720" s="24" t="str">
        <f t="shared" si="167"/>
        <v/>
      </c>
      <c r="J720" s="24">
        <f t="shared" si="162"/>
        <v>0</v>
      </c>
      <c r="K720" s="24" t="str">
        <f t="shared" si="168"/>
        <v>F3</v>
      </c>
      <c r="L720" s="24" t="str">
        <f>VLOOKUP(N720,CODE!K:P,CODE!$P$1,FALSE)</f>
        <v>모자</v>
      </c>
      <c r="M720" s="24" t="str">
        <f>VLOOKUP(MID(R720,1,3),CODE!$B:$G,CODE!D$1,FALSE)</f>
        <v>FFT</v>
      </c>
      <c r="N720" s="24" t="str">
        <f t="shared" si="169"/>
        <v>SN</v>
      </c>
      <c r="O720" s="29" t="str">
        <f>IF(ISERROR(IF(VLOOKUP($N720,CODE!$K:$P,CODE!$O$1,FALSE)="",$M720,$M720&amp;"-"&amp;VLOOKUP($N720,CODE!$K:$P,CODE!$O$1,FALSE)))=TRUE,"",IF(VLOOKUP($N720,CODE!$K:$P,CODE!$O$1,FALSE)="",$M720,$M720&amp;"-"&amp;VLOOKUP($N720,CODE!$K:$P,CODE!$O$1,FALSE)))</f>
        <v>FFT</v>
      </c>
      <c r="P720" s="29" t="str">
        <f t="shared" si="170"/>
        <v>성인</v>
      </c>
      <c r="Q720" s="29" t="str">
        <f t="shared" si="171"/>
        <v>FFTSNF3010</v>
      </c>
      <c r="R720" s="1" t="s">
        <v>1572</v>
      </c>
      <c r="S720" s="1" t="s">
        <v>15</v>
      </c>
      <c r="T720" s="26">
        <v>14</v>
      </c>
      <c r="U720" s="26">
        <v>630000</v>
      </c>
      <c r="V720" s="26">
        <v>257727.27272727271</v>
      </c>
      <c r="W720" s="26">
        <v>2.2222222222222223</v>
      </c>
      <c r="X720" s="26">
        <v>14</v>
      </c>
      <c r="Y720" s="26">
        <v>0</v>
      </c>
    </row>
    <row r="721" spans="1:25">
      <c r="A721" s="24" t="str">
        <f t="shared" si="163"/>
        <v>신규</v>
      </c>
      <c r="B721" s="24" t="str">
        <f>IF(COUNTIF(R$1:R720,R721)=0,"최초","리오더")</f>
        <v>최초</v>
      </c>
      <c r="C721" s="24" t="str">
        <f t="shared" si="164"/>
        <v>FFTSNF3012</v>
      </c>
      <c r="D721" s="24">
        <f t="shared" si="159"/>
        <v>1</v>
      </c>
      <c r="E721" s="24" t="str">
        <f t="shared" si="165"/>
        <v/>
      </c>
      <c r="F721" s="24">
        <f t="shared" si="160"/>
        <v>0</v>
      </c>
      <c r="G721" s="24" t="str">
        <f t="shared" si="166"/>
        <v>FFTSNF3012WH</v>
      </c>
      <c r="H721" s="24">
        <f t="shared" si="161"/>
        <v>1</v>
      </c>
      <c r="I721" s="24" t="str">
        <f t="shared" si="167"/>
        <v/>
      </c>
      <c r="J721" s="24">
        <f t="shared" si="162"/>
        <v>0</v>
      </c>
      <c r="K721" s="24" t="str">
        <f t="shared" si="168"/>
        <v>F3</v>
      </c>
      <c r="L721" s="24" t="str">
        <f>VLOOKUP(N721,CODE!K:P,CODE!$P$1,FALSE)</f>
        <v>모자</v>
      </c>
      <c r="M721" s="24" t="str">
        <f>VLOOKUP(MID(R721,1,3),CODE!$B:$G,CODE!D$1,FALSE)</f>
        <v>FFT</v>
      </c>
      <c r="N721" s="24" t="str">
        <f t="shared" si="169"/>
        <v>SN</v>
      </c>
      <c r="O721" s="29" t="str">
        <f>IF(ISERROR(IF(VLOOKUP($N721,CODE!$K:$P,CODE!$O$1,FALSE)="",$M721,$M721&amp;"-"&amp;VLOOKUP($N721,CODE!$K:$P,CODE!$O$1,FALSE)))=TRUE,"",IF(VLOOKUP($N721,CODE!$K:$P,CODE!$O$1,FALSE)="",$M721,$M721&amp;"-"&amp;VLOOKUP($N721,CODE!$K:$P,CODE!$O$1,FALSE)))</f>
        <v>FFT</v>
      </c>
      <c r="P721" s="29" t="str">
        <f t="shared" si="170"/>
        <v>성인</v>
      </c>
      <c r="Q721" s="29" t="str">
        <f t="shared" si="171"/>
        <v>FFTSNF3012</v>
      </c>
      <c r="R721" s="1" t="s">
        <v>1573</v>
      </c>
      <c r="S721" s="1" t="s">
        <v>15</v>
      </c>
      <c r="T721" s="26">
        <v>26</v>
      </c>
      <c r="U721" s="26">
        <v>1170000</v>
      </c>
      <c r="V721" s="26">
        <v>478636.36363636359</v>
      </c>
      <c r="W721" s="26">
        <v>2.2222222222222223</v>
      </c>
      <c r="X721" s="26">
        <v>26</v>
      </c>
      <c r="Y721" s="26">
        <v>0</v>
      </c>
    </row>
    <row r="722" spans="1:25">
      <c r="A722" s="24" t="str">
        <f t="shared" si="163"/>
        <v>신규</v>
      </c>
      <c r="B722" s="24" t="str">
        <f>IF(COUNTIF(R$1:R721,R722)=0,"최초","리오더")</f>
        <v>최초</v>
      </c>
      <c r="C722" s="24" t="str">
        <f t="shared" si="164"/>
        <v>FFTSNF3013</v>
      </c>
      <c r="D722" s="24">
        <f t="shared" si="159"/>
        <v>1</v>
      </c>
      <c r="E722" s="24" t="str">
        <f t="shared" si="165"/>
        <v/>
      </c>
      <c r="F722" s="24">
        <f t="shared" si="160"/>
        <v>0</v>
      </c>
      <c r="G722" s="24" t="str">
        <f t="shared" si="166"/>
        <v>FFTSNF3013WH</v>
      </c>
      <c r="H722" s="24">
        <f t="shared" si="161"/>
        <v>1</v>
      </c>
      <c r="I722" s="24" t="str">
        <f t="shared" si="167"/>
        <v/>
      </c>
      <c r="J722" s="24">
        <f t="shared" si="162"/>
        <v>0</v>
      </c>
      <c r="K722" s="24" t="str">
        <f t="shared" si="168"/>
        <v>F3</v>
      </c>
      <c r="L722" s="24" t="str">
        <f>VLOOKUP(N722,CODE!K:P,CODE!$P$1,FALSE)</f>
        <v>모자</v>
      </c>
      <c r="M722" s="24" t="str">
        <f>VLOOKUP(MID(R722,1,3),CODE!$B:$G,CODE!D$1,FALSE)</f>
        <v>FFT</v>
      </c>
      <c r="N722" s="24" t="str">
        <f t="shared" si="169"/>
        <v>SN</v>
      </c>
      <c r="O722" s="29" t="str">
        <f>IF(ISERROR(IF(VLOOKUP($N722,CODE!$K:$P,CODE!$O$1,FALSE)="",$M722,$M722&amp;"-"&amp;VLOOKUP($N722,CODE!$K:$P,CODE!$O$1,FALSE)))=TRUE,"",IF(VLOOKUP($N722,CODE!$K:$P,CODE!$O$1,FALSE)="",$M722,$M722&amp;"-"&amp;VLOOKUP($N722,CODE!$K:$P,CODE!$O$1,FALSE)))</f>
        <v>FFT</v>
      </c>
      <c r="P722" s="29" t="str">
        <f t="shared" si="170"/>
        <v>성인</v>
      </c>
      <c r="Q722" s="29" t="str">
        <f t="shared" si="171"/>
        <v>FFTSNF3013</v>
      </c>
      <c r="R722" s="1" t="s">
        <v>1574</v>
      </c>
      <c r="S722" s="1" t="s">
        <v>15</v>
      </c>
      <c r="T722" s="26">
        <v>21</v>
      </c>
      <c r="U722" s="26">
        <v>945000</v>
      </c>
      <c r="V722" s="26">
        <v>386590.90909090906</v>
      </c>
      <c r="W722" s="26">
        <v>2.2222222222222223</v>
      </c>
      <c r="X722" s="26">
        <v>21</v>
      </c>
      <c r="Y722" s="26">
        <v>0</v>
      </c>
    </row>
    <row r="723" spans="1:25">
      <c r="A723" s="24" t="str">
        <f t="shared" si="163"/>
        <v>신규</v>
      </c>
      <c r="B723" s="24" t="str">
        <f>IF(COUNTIF(R$1:R722,R723)=0,"최초","리오더")</f>
        <v>최초</v>
      </c>
      <c r="C723" s="24" t="str">
        <f t="shared" si="164"/>
        <v>SBRBEF5078</v>
      </c>
      <c r="D723" s="24">
        <f t="shared" si="159"/>
        <v>0.33333333333333331</v>
      </c>
      <c r="E723" s="24" t="str">
        <f t="shared" si="165"/>
        <v/>
      </c>
      <c r="F723" s="24">
        <f t="shared" si="160"/>
        <v>0</v>
      </c>
      <c r="G723" s="24" t="str">
        <f t="shared" si="166"/>
        <v>SBRBEF5078BU</v>
      </c>
      <c r="H723" s="24">
        <f t="shared" si="161"/>
        <v>1</v>
      </c>
      <c r="I723" s="24" t="str">
        <f t="shared" si="167"/>
        <v/>
      </c>
      <c r="J723" s="24">
        <f t="shared" si="162"/>
        <v>0</v>
      </c>
      <c r="K723" s="24" t="str">
        <f t="shared" si="168"/>
        <v>F5</v>
      </c>
      <c r="L723" s="24" t="str">
        <f>VLOOKUP(N723,CODE!K:P,CODE!$P$1,FALSE)</f>
        <v>모자</v>
      </c>
      <c r="M723" s="24" t="str">
        <f>VLOOKUP(MID(R723,1,3),CODE!$B:$G,CODE!D$1,FALSE)</f>
        <v>SBR</v>
      </c>
      <c r="N723" s="24" t="str">
        <f t="shared" si="169"/>
        <v>BE</v>
      </c>
      <c r="O723" s="29" t="str">
        <f>IF(ISERROR(IF(VLOOKUP($N723,CODE!$K:$P,CODE!$O$1,FALSE)="",$M723,$M723&amp;"-"&amp;VLOOKUP($N723,CODE!$K:$P,CODE!$O$1,FALSE)))=TRUE,"",IF(VLOOKUP($N723,CODE!$K:$P,CODE!$O$1,FALSE)="",$M723,$M723&amp;"-"&amp;VLOOKUP($N723,CODE!$K:$P,CODE!$O$1,FALSE)))</f>
        <v>SBR</v>
      </c>
      <c r="P723" s="29" t="str">
        <f t="shared" si="170"/>
        <v>성인</v>
      </c>
      <c r="Q723" s="29" t="str">
        <f t="shared" si="171"/>
        <v>SBRBEF5078</v>
      </c>
      <c r="R723" s="1" t="s">
        <v>1575</v>
      </c>
      <c r="S723" s="1" t="s">
        <v>14</v>
      </c>
      <c r="T723" s="26">
        <v>400</v>
      </c>
      <c r="U723" s="26">
        <v>14000000</v>
      </c>
      <c r="V723" s="26">
        <v>2819124.0000000005</v>
      </c>
      <c r="W723" s="26">
        <v>4.5146196929516842</v>
      </c>
      <c r="X723" s="26">
        <v>397</v>
      </c>
      <c r="Y723" s="26">
        <v>0</v>
      </c>
    </row>
    <row r="724" spans="1:25">
      <c r="A724" s="24" t="str">
        <f t="shared" si="163"/>
        <v>신규</v>
      </c>
      <c r="B724" s="24" t="str">
        <f>IF(COUNTIF(R$1:R723,R724)=0,"최초","리오더")</f>
        <v>최초</v>
      </c>
      <c r="C724" s="24" t="str">
        <f t="shared" si="164"/>
        <v>SBRBEF5078</v>
      </c>
      <c r="D724" s="24">
        <f t="shared" si="159"/>
        <v>0.33333333333333331</v>
      </c>
      <c r="E724" s="24" t="str">
        <f t="shared" si="165"/>
        <v/>
      </c>
      <c r="F724" s="24">
        <f t="shared" si="160"/>
        <v>0</v>
      </c>
      <c r="G724" s="24" t="str">
        <f t="shared" si="166"/>
        <v>SBRBEF5078BK</v>
      </c>
      <c r="H724" s="24">
        <f t="shared" si="161"/>
        <v>1</v>
      </c>
      <c r="I724" s="24" t="str">
        <f t="shared" si="167"/>
        <v/>
      </c>
      <c r="J724" s="24">
        <f t="shared" si="162"/>
        <v>0</v>
      </c>
      <c r="K724" s="24" t="str">
        <f t="shared" si="168"/>
        <v>F5</v>
      </c>
      <c r="L724" s="24" t="str">
        <f>VLOOKUP(N724,CODE!K:P,CODE!$P$1,FALSE)</f>
        <v>모자</v>
      </c>
      <c r="M724" s="24" t="str">
        <f>VLOOKUP(MID(R724,1,3),CODE!$B:$G,CODE!D$1,FALSE)</f>
        <v>SBR</v>
      </c>
      <c r="N724" s="24" t="str">
        <f t="shared" si="169"/>
        <v>BE</v>
      </c>
      <c r="O724" s="29" t="str">
        <f>IF(ISERROR(IF(VLOOKUP($N724,CODE!$K:$P,CODE!$O$1,FALSE)="",$M724,$M724&amp;"-"&amp;VLOOKUP($N724,CODE!$K:$P,CODE!$O$1,FALSE)))=TRUE,"",IF(VLOOKUP($N724,CODE!$K:$P,CODE!$O$1,FALSE)="",$M724,$M724&amp;"-"&amp;VLOOKUP($N724,CODE!$K:$P,CODE!$O$1,FALSE)))</f>
        <v>SBR</v>
      </c>
      <c r="P724" s="29" t="str">
        <f t="shared" si="170"/>
        <v>성인</v>
      </c>
      <c r="Q724" s="29" t="str">
        <f t="shared" si="171"/>
        <v>SBRBEF5078</v>
      </c>
      <c r="R724" s="1" t="s">
        <v>1576</v>
      </c>
      <c r="S724" s="1" t="s">
        <v>14</v>
      </c>
      <c r="T724" s="26">
        <v>500</v>
      </c>
      <c r="U724" s="26">
        <v>17500000</v>
      </c>
      <c r="V724" s="26">
        <v>3523905.0000000005</v>
      </c>
      <c r="W724" s="26">
        <v>4.5146196929516842</v>
      </c>
      <c r="X724" s="26">
        <v>494</v>
      </c>
      <c r="Y724" s="26">
        <v>0</v>
      </c>
    </row>
    <row r="725" spans="1:25">
      <c r="A725" s="24" t="str">
        <f t="shared" si="163"/>
        <v>신규</v>
      </c>
      <c r="B725" s="24" t="str">
        <f>IF(COUNTIF(R$1:R724,R725)=0,"최초","리오더")</f>
        <v>최초</v>
      </c>
      <c r="C725" s="24" t="str">
        <f t="shared" si="164"/>
        <v>SBRBEF5078</v>
      </c>
      <c r="D725" s="24">
        <f t="shared" si="159"/>
        <v>0.33333333333333331</v>
      </c>
      <c r="E725" s="24" t="str">
        <f t="shared" si="165"/>
        <v/>
      </c>
      <c r="F725" s="24">
        <f t="shared" si="160"/>
        <v>0</v>
      </c>
      <c r="G725" s="24" t="str">
        <f t="shared" si="166"/>
        <v>SBRBEF5078GY</v>
      </c>
      <c r="H725" s="24">
        <f t="shared" si="161"/>
        <v>1</v>
      </c>
      <c r="I725" s="24" t="str">
        <f t="shared" si="167"/>
        <v/>
      </c>
      <c r="J725" s="24">
        <f t="shared" si="162"/>
        <v>0</v>
      </c>
      <c r="K725" s="24" t="str">
        <f t="shared" si="168"/>
        <v>F5</v>
      </c>
      <c r="L725" s="24" t="str">
        <f>VLOOKUP(N725,CODE!K:P,CODE!$P$1,FALSE)</f>
        <v>모자</v>
      </c>
      <c r="M725" s="24" t="str">
        <f>VLOOKUP(MID(R725,1,3),CODE!$B:$G,CODE!D$1,FALSE)</f>
        <v>SBR</v>
      </c>
      <c r="N725" s="24" t="str">
        <f t="shared" si="169"/>
        <v>BE</v>
      </c>
      <c r="O725" s="29" t="str">
        <f>IF(ISERROR(IF(VLOOKUP($N725,CODE!$K:$P,CODE!$O$1,FALSE)="",$M725,$M725&amp;"-"&amp;VLOOKUP($N725,CODE!$K:$P,CODE!$O$1,FALSE)))=TRUE,"",IF(VLOOKUP($N725,CODE!$K:$P,CODE!$O$1,FALSE)="",$M725,$M725&amp;"-"&amp;VLOOKUP($N725,CODE!$K:$P,CODE!$O$1,FALSE)))</f>
        <v>SBR</v>
      </c>
      <c r="P725" s="29" t="str">
        <f t="shared" si="170"/>
        <v>성인</v>
      </c>
      <c r="Q725" s="29" t="str">
        <f t="shared" si="171"/>
        <v>SBRBEF5078</v>
      </c>
      <c r="R725" s="1" t="s">
        <v>1577</v>
      </c>
      <c r="S725" s="1" t="s">
        <v>14</v>
      </c>
      <c r="T725" s="26">
        <v>400</v>
      </c>
      <c r="U725" s="26">
        <v>14000000</v>
      </c>
      <c r="V725" s="26">
        <v>2819124.0000000005</v>
      </c>
      <c r="W725" s="26">
        <v>4.5146196929516842</v>
      </c>
      <c r="X725" s="26">
        <v>399</v>
      </c>
      <c r="Y725" s="26">
        <v>0</v>
      </c>
    </row>
    <row r="726" spans="1:25">
      <c r="A726" s="24" t="str">
        <f t="shared" si="163"/>
        <v>신규</v>
      </c>
      <c r="B726" s="24" t="str">
        <f>IF(COUNTIF(R$1:R725,R726)=0,"최초","리오더")</f>
        <v>리오더</v>
      </c>
      <c r="C726" s="24" t="str">
        <f t="shared" si="164"/>
        <v/>
      </c>
      <c r="D726" s="24">
        <f t="shared" si="159"/>
        <v>0</v>
      </c>
      <c r="E726" s="24" t="str">
        <f t="shared" si="165"/>
        <v>NOVTPF5011</v>
      </c>
      <c r="F726" s="24">
        <f t="shared" si="160"/>
        <v>0.33333333333333331</v>
      </c>
      <c r="G726" s="24" t="str">
        <f t="shared" si="166"/>
        <v/>
      </c>
      <c r="H726" s="24">
        <f t="shared" si="161"/>
        <v>0</v>
      </c>
      <c r="I726" s="24" t="str">
        <f t="shared" si="167"/>
        <v>NOVTPF5011BK</v>
      </c>
      <c r="J726" s="24">
        <f t="shared" si="162"/>
        <v>1</v>
      </c>
      <c r="K726" s="24" t="str">
        <f t="shared" si="168"/>
        <v>F5</v>
      </c>
      <c r="L726" s="24" t="str">
        <f>VLOOKUP(N726,CODE!K:P,CODE!$P$1,FALSE)</f>
        <v>모자</v>
      </c>
      <c r="M726" s="24" t="str">
        <f>VLOOKUP(MID(R726,1,3),CODE!$B:$G,CODE!D$1,FALSE)</f>
        <v>NOV</v>
      </c>
      <c r="N726" s="24" t="str">
        <f t="shared" si="169"/>
        <v>TP</v>
      </c>
      <c r="O726" s="29" t="str">
        <f>IF(ISERROR(IF(VLOOKUP($N726,CODE!$K:$P,CODE!$O$1,FALSE)="",$M726,$M726&amp;"-"&amp;VLOOKUP($N726,CODE!$K:$P,CODE!$O$1,FALSE)))=TRUE,"",IF(VLOOKUP($N726,CODE!$K:$P,CODE!$O$1,FALSE)="",$M726,$M726&amp;"-"&amp;VLOOKUP($N726,CODE!$K:$P,CODE!$O$1,FALSE)))</f>
        <v>NOV</v>
      </c>
      <c r="P726" s="29" t="str">
        <f t="shared" si="170"/>
        <v>성인</v>
      </c>
      <c r="Q726" s="29" t="str">
        <f t="shared" si="171"/>
        <v>NOVTPF5011</v>
      </c>
      <c r="R726" s="1" t="s">
        <v>993</v>
      </c>
      <c r="S726" s="1" t="s">
        <v>14</v>
      </c>
      <c r="T726" s="26">
        <v>700</v>
      </c>
      <c r="U726" s="26">
        <v>55300000</v>
      </c>
      <c r="V726" s="26">
        <v>8352869.0000000009</v>
      </c>
      <c r="W726" s="26">
        <v>6.0186179470463692</v>
      </c>
      <c r="X726" s="26">
        <v>700</v>
      </c>
      <c r="Y726" s="26">
        <v>0</v>
      </c>
    </row>
    <row r="727" spans="1:25">
      <c r="A727" s="24" t="str">
        <f t="shared" si="163"/>
        <v>신규</v>
      </c>
      <c r="B727" s="24" t="str">
        <f>IF(COUNTIF(R$1:R726,R727)=0,"최초","리오더")</f>
        <v>리오더</v>
      </c>
      <c r="C727" s="24" t="str">
        <f t="shared" si="164"/>
        <v/>
      </c>
      <c r="D727" s="24">
        <f t="shared" si="159"/>
        <v>0</v>
      </c>
      <c r="E727" s="24" t="str">
        <f t="shared" si="165"/>
        <v>NOVTPF5011</v>
      </c>
      <c r="F727" s="24">
        <f t="shared" si="160"/>
        <v>0.33333333333333331</v>
      </c>
      <c r="G727" s="24" t="str">
        <f t="shared" si="166"/>
        <v/>
      </c>
      <c r="H727" s="24">
        <f t="shared" si="161"/>
        <v>0</v>
      </c>
      <c r="I727" s="24" t="str">
        <f t="shared" si="167"/>
        <v>NOVTPF5011RE</v>
      </c>
      <c r="J727" s="24">
        <f t="shared" si="162"/>
        <v>1</v>
      </c>
      <c r="K727" s="24" t="str">
        <f t="shared" si="168"/>
        <v>F5</v>
      </c>
      <c r="L727" s="24" t="str">
        <f>VLOOKUP(N727,CODE!K:P,CODE!$P$1,FALSE)</f>
        <v>모자</v>
      </c>
      <c r="M727" s="24" t="str">
        <f>VLOOKUP(MID(R727,1,3),CODE!$B:$G,CODE!D$1,FALSE)</f>
        <v>NOV</v>
      </c>
      <c r="N727" s="24" t="str">
        <f t="shared" si="169"/>
        <v>TP</v>
      </c>
      <c r="O727" s="29" t="str">
        <f>IF(ISERROR(IF(VLOOKUP($N727,CODE!$K:$P,CODE!$O$1,FALSE)="",$M727,$M727&amp;"-"&amp;VLOOKUP($N727,CODE!$K:$P,CODE!$O$1,FALSE)))=TRUE,"",IF(VLOOKUP($N727,CODE!$K:$P,CODE!$O$1,FALSE)="",$M727,$M727&amp;"-"&amp;VLOOKUP($N727,CODE!$K:$P,CODE!$O$1,FALSE)))</f>
        <v>NOV</v>
      </c>
      <c r="P727" s="29" t="str">
        <f t="shared" si="170"/>
        <v>성인</v>
      </c>
      <c r="Q727" s="29" t="str">
        <f t="shared" si="171"/>
        <v>NOVTPF5011</v>
      </c>
      <c r="R727" s="1" t="s">
        <v>994</v>
      </c>
      <c r="S727" s="1" t="s">
        <v>14</v>
      </c>
      <c r="T727" s="26">
        <v>700</v>
      </c>
      <c r="U727" s="26">
        <v>55300000</v>
      </c>
      <c r="V727" s="26">
        <v>8090915.0000000009</v>
      </c>
      <c r="W727" s="26">
        <v>6.2134786081335998</v>
      </c>
      <c r="X727" s="26">
        <v>705</v>
      </c>
      <c r="Y727" s="26">
        <v>0</v>
      </c>
    </row>
    <row r="728" spans="1:25">
      <c r="A728" s="24" t="str">
        <f t="shared" si="163"/>
        <v>신규</v>
      </c>
      <c r="B728" s="24" t="str">
        <f>IF(COUNTIF(R$1:R727,R728)=0,"최초","리오더")</f>
        <v>리오더</v>
      </c>
      <c r="C728" s="24" t="str">
        <f t="shared" si="164"/>
        <v/>
      </c>
      <c r="D728" s="24">
        <f t="shared" si="159"/>
        <v>0</v>
      </c>
      <c r="E728" s="24" t="str">
        <f t="shared" si="165"/>
        <v>NOVTPF5011</v>
      </c>
      <c r="F728" s="24">
        <f t="shared" si="160"/>
        <v>0.33333333333333331</v>
      </c>
      <c r="G728" s="24" t="str">
        <f t="shared" si="166"/>
        <v/>
      </c>
      <c r="H728" s="24">
        <f t="shared" si="161"/>
        <v>0</v>
      </c>
      <c r="I728" s="24" t="str">
        <f t="shared" si="167"/>
        <v>NOVTPF5011PK</v>
      </c>
      <c r="J728" s="24">
        <f t="shared" si="162"/>
        <v>1</v>
      </c>
      <c r="K728" s="24" t="str">
        <f t="shared" si="168"/>
        <v>F5</v>
      </c>
      <c r="L728" s="24" t="str">
        <f>VLOOKUP(N728,CODE!K:P,CODE!$P$1,FALSE)</f>
        <v>모자</v>
      </c>
      <c r="M728" s="24" t="str">
        <f>VLOOKUP(MID(R728,1,3),CODE!$B:$G,CODE!D$1,FALSE)</f>
        <v>NOV</v>
      </c>
      <c r="N728" s="24" t="str">
        <f t="shared" si="169"/>
        <v>TP</v>
      </c>
      <c r="O728" s="29" t="str">
        <f>IF(ISERROR(IF(VLOOKUP($N728,CODE!$K:$P,CODE!$O$1,FALSE)="",$M728,$M728&amp;"-"&amp;VLOOKUP($N728,CODE!$K:$P,CODE!$O$1,FALSE)))=TRUE,"",IF(VLOOKUP($N728,CODE!$K:$P,CODE!$O$1,FALSE)="",$M728,$M728&amp;"-"&amp;VLOOKUP($N728,CODE!$K:$P,CODE!$O$1,FALSE)))</f>
        <v>NOV</v>
      </c>
      <c r="P728" s="29" t="str">
        <f t="shared" si="170"/>
        <v>성인</v>
      </c>
      <c r="Q728" s="29" t="str">
        <f t="shared" si="171"/>
        <v>NOVTPF5011</v>
      </c>
      <c r="R728" s="1" t="s">
        <v>996</v>
      </c>
      <c r="S728" s="1" t="s">
        <v>14</v>
      </c>
      <c r="T728" s="26">
        <v>700</v>
      </c>
      <c r="U728" s="26">
        <v>55300000</v>
      </c>
      <c r="V728" s="26">
        <v>7916279.0000000019</v>
      </c>
      <c r="W728" s="26">
        <v>6.3505502108664009</v>
      </c>
      <c r="X728" s="26">
        <v>703</v>
      </c>
      <c r="Y728" s="26">
        <v>0</v>
      </c>
    </row>
    <row r="729" spans="1:25">
      <c r="A729" s="24" t="str">
        <f t="shared" si="163"/>
        <v>신규</v>
      </c>
      <c r="B729" s="24" t="str">
        <f>IF(COUNTIF(R$1:R728,R729)=0,"최초","리오더")</f>
        <v>리오더</v>
      </c>
      <c r="C729" s="24" t="str">
        <f t="shared" si="164"/>
        <v/>
      </c>
      <c r="D729" s="24">
        <f t="shared" si="159"/>
        <v>0</v>
      </c>
      <c r="E729" s="24" t="str">
        <f t="shared" si="165"/>
        <v>ELSSNF3001</v>
      </c>
      <c r="F729" s="24">
        <f t="shared" si="160"/>
        <v>1</v>
      </c>
      <c r="G729" s="24" t="str">
        <f t="shared" si="166"/>
        <v/>
      </c>
      <c r="H729" s="24">
        <f t="shared" si="161"/>
        <v>0</v>
      </c>
      <c r="I729" s="24" t="str">
        <f t="shared" si="167"/>
        <v>ELSSNF3001BK</v>
      </c>
      <c r="J729" s="24">
        <f t="shared" si="162"/>
        <v>1</v>
      </c>
      <c r="K729" s="24" t="str">
        <f t="shared" si="168"/>
        <v>F3</v>
      </c>
      <c r="L729" s="24" t="str">
        <f>VLOOKUP(N729,CODE!K:P,CODE!$P$1,FALSE)</f>
        <v>모자</v>
      </c>
      <c r="M729" s="24" t="str">
        <f>VLOOKUP(MID(R729,1,3),CODE!$B:$G,CODE!D$1,FALSE)</f>
        <v>ELS</v>
      </c>
      <c r="N729" s="24" t="str">
        <f t="shared" si="169"/>
        <v>SN</v>
      </c>
      <c r="O729" s="29" t="str">
        <f>IF(ISERROR(IF(VLOOKUP($N729,CODE!$K:$P,CODE!$O$1,FALSE)="",$M729,$M729&amp;"-"&amp;VLOOKUP($N729,CODE!$K:$P,CODE!$O$1,FALSE)))=TRUE,"",IF(VLOOKUP($N729,CODE!$K:$P,CODE!$O$1,FALSE)="",$M729,$M729&amp;"-"&amp;VLOOKUP($N729,CODE!$K:$P,CODE!$O$1,FALSE)))</f>
        <v>ELS</v>
      </c>
      <c r="P729" s="29" t="str">
        <f t="shared" si="170"/>
        <v>성인</v>
      </c>
      <c r="Q729" s="29" t="str">
        <f t="shared" si="171"/>
        <v>ELSSNF3001</v>
      </c>
      <c r="R729" s="1" t="s">
        <v>953</v>
      </c>
      <c r="S729" s="1" t="s">
        <v>14</v>
      </c>
      <c r="T729" s="26">
        <v>2000</v>
      </c>
      <c r="U729" s="26">
        <v>90000000</v>
      </c>
      <c r="V729" s="26">
        <v>11820999.999999998</v>
      </c>
      <c r="W729" s="26">
        <v>6.9214264290822971</v>
      </c>
      <c r="X729" s="26">
        <v>1995</v>
      </c>
      <c r="Y729" s="26">
        <v>0</v>
      </c>
    </row>
    <row r="730" spans="1:25">
      <c r="A730" s="24" t="str">
        <f t="shared" si="163"/>
        <v>신규</v>
      </c>
      <c r="B730" s="24" t="str">
        <f>IF(COUNTIF(R$1:R729,R730)=0,"최초","리오더")</f>
        <v>리오더</v>
      </c>
      <c r="C730" s="24" t="str">
        <f t="shared" si="164"/>
        <v/>
      </c>
      <c r="D730" s="24">
        <f t="shared" si="159"/>
        <v>0</v>
      </c>
      <c r="E730" s="24" t="str">
        <f t="shared" si="165"/>
        <v>ELSSNF5028</v>
      </c>
      <c r="F730" s="24">
        <f t="shared" si="160"/>
        <v>1</v>
      </c>
      <c r="G730" s="24" t="str">
        <f t="shared" si="166"/>
        <v/>
      </c>
      <c r="H730" s="24">
        <f t="shared" si="161"/>
        <v>0</v>
      </c>
      <c r="I730" s="24" t="str">
        <f t="shared" si="167"/>
        <v>ELSSNF5028GY</v>
      </c>
      <c r="J730" s="24">
        <f t="shared" si="162"/>
        <v>1</v>
      </c>
      <c r="K730" s="24" t="str">
        <f t="shared" si="168"/>
        <v>F5</v>
      </c>
      <c r="L730" s="24" t="str">
        <f>VLOOKUP(N730,CODE!K:P,CODE!$P$1,FALSE)</f>
        <v>모자</v>
      </c>
      <c r="M730" s="24" t="str">
        <f>VLOOKUP(MID(R730,1,3),CODE!$B:$G,CODE!D$1,FALSE)</f>
        <v>ELS</v>
      </c>
      <c r="N730" s="24" t="str">
        <f t="shared" si="169"/>
        <v>SN</v>
      </c>
      <c r="O730" s="29" t="str">
        <f>IF(ISERROR(IF(VLOOKUP($N730,CODE!$K:$P,CODE!$O$1,FALSE)="",$M730,$M730&amp;"-"&amp;VLOOKUP($N730,CODE!$K:$P,CODE!$O$1,FALSE)))=TRUE,"",IF(VLOOKUP($N730,CODE!$K:$P,CODE!$O$1,FALSE)="",$M730,$M730&amp;"-"&amp;VLOOKUP($N730,CODE!$K:$P,CODE!$O$1,FALSE)))</f>
        <v>ELS</v>
      </c>
      <c r="P730" s="29" t="str">
        <f t="shared" si="170"/>
        <v>성인</v>
      </c>
      <c r="Q730" s="29" t="str">
        <f t="shared" si="171"/>
        <v>ELSSNF5028</v>
      </c>
      <c r="R730" s="1" t="s">
        <v>1342</v>
      </c>
      <c r="S730" s="1" t="s">
        <v>14</v>
      </c>
      <c r="T730" s="26">
        <v>2000</v>
      </c>
      <c r="U730" s="26">
        <v>90000000</v>
      </c>
      <c r="V730" s="26">
        <v>12702000</v>
      </c>
      <c r="W730" s="26">
        <v>6.4413621333791378</v>
      </c>
      <c r="X730" s="26">
        <v>1967</v>
      </c>
      <c r="Y730" s="26">
        <v>0</v>
      </c>
    </row>
    <row r="731" spans="1:25">
      <c r="A731" s="24" t="str">
        <f t="shared" si="163"/>
        <v>신규</v>
      </c>
      <c r="B731" s="24" t="str">
        <f>IF(COUNTIF(R$1:R730,R731)=0,"최초","리오더")</f>
        <v>최초</v>
      </c>
      <c r="C731" s="24" t="str">
        <f t="shared" si="164"/>
        <v>HCUBAF3011</v>
      </c>
      <c r="D731" s="24">
        <f t="shared" si="159"/>
        <v>1</v>
      </c>
      <c r="E731" s="24" t="str">
        <f t="shared" si="165"/>
        <v/>
      </c>
      <c r="F731" s="24">
        <f t="shared" si="160"/>
        <v>0</v>
      </c>
      <c r="G731" s="24" t="str">
        <f t="shared" si="166"/>
        <v>HCUBAF3011BK</v>
      </c>
      <c r="H731" s="24">
        <f t="shared" si="161"/>
        <v>1</v>
      </c>
      <c r="I731" s="24" t="str">
        <f t="shared" si="167"/>
        <v/>
      </c>
      <c r="J731" s="24">
        <f t="shared" si="162"/>
        <v>0</v>
      </c>
      <c r="K731" s="24" t="str">
        <f t="shared" si="168"/>
        <v>F3</v>
      </c>
      <c r="L731" s="24" t="str">
        <f>VLOOKUP(N731,CODE!K:P,CODE!$P$1,FALSE)</f>
        <v>모자</v>
      </c>
      <c r="M731" s="24" t="str">
        <f>VLOOKUP(MID(R731,1,3),CODE!$B:$G,CODE!D$1,FALSE)</f>
        <v>HCU</v>
      </c>
      <c r="N731" s="24" t="str">
        <f t="shared" si="169"/>
        <v>BA</v>
      </c>
      <c r="O731" s="29" t="str">
        <f>IF(ISERROR(IF(VLOOKUP($N731,CODE!$K:$P,CODE!$O$1,FALSE)="",$M731,$M731&amp;"-"&amp;VLOOKUP($N731,CODE!$K:$P,CODE!$O$1,FALSE)))=TRUE,"",IF(VLOOKUP($N731,CODE!$K:$P,CODE!$O$1,FALSE)="",$M731,$M731&amp;"-"&amp;VLOOKUP($N731,CODE!$K:$P,CODE!$O$1,FALSE)))</f>
        <v>HCU</v>
      </c>
      <c r="P731" s="29" t="str">
        <f t="shared" si="170"/>
        <v>성인</v>
      </c>
      <c r="Q731" s="29" t="str">
        <f t="shared" si="171"/>
        <v>HCUBAF3011</v>
      </c>
      <c r="R731" s="1" t="s">
        <v>1578</v>
      </c>
      <c r="S731" s="1" t="s">
        <v>14</v>
      </c>
      <c r="T731" s="26">
        <v>800</v>
      </c>
      <c r="U731" s="26">
        <v>44000000</v>
      </c>
      <c r="V731" s="26">
        <v>8800000</v>
      </c>
      <c r="W731" s="26">
        <v>4.5454545454545459</v>
      </c>
      <c r="X731" s="26">
        <v>795</v>
      </c>
      <c r="Y731" s="26">
        <v>0</v>
      </c>
    </row>
    <row r="732" spans="1:25">
      <c r="A732" s="24" t="str">
        <f t="shared" si="163"/>
        <v>신규</v>
      </c>
      <c r="B732" s="24" t="str">
        <f>IF(COUNTIF(R$1:R731,R732)=0,"최초","리오더")</f>
        <v>최초</v>
      </c>
      <c r="C732" s="24" t="str">
        <f t="shared" si="164"/>
        <v>URBSNF3038</v>
      </c>
      <c r="D732" s="24">
        <f t="shared" si="159"/>
        <v>1</v>
      </c>
      <c r="E732" s="24" t="str">
        <f t="shared" si="165"/>
        <v/>
      </c>
      <c r="F732" s="24">
        <f t="shared" si="160"/>
        <v>0</v>
      </c>
      <c r="G732" s="24" t="str">
        <f t="shared" si="166"/>
        <v>URBSNF3038BK</v>
      </c>
      <c r="H732" s="24">
        <f t="shared" si="161"/>
        <v>1</v>
      </c>
      <c r="I732" s="24" t="str">
        <f t="shared" si="167"/>
        <v/>
      </c>
      <c r="J732" s="24">
        <f t="shared" si="162"/>
        <v>0</v>
      </c>
      <c r="K732" s="24" t="str">
        <f t="shared" si="168"/>
        <v>F3</v>
      </c>
      <c r="L732" s="24" t="str">
        <f>VLOOKUP(N732,CODE!K:P,CODE!$P$1,FALSE)</f>
        <v>모자</v>
      </c>
      <c r="M732" s="24" t="str">
        <f>VLOOKUP(MID(R732,1,3),CODE!$B:$G,CODE!D$1,FALSE)</f>
        <v>URB</v>
      </c>
      <c r="N732" s="24" t="str">
        <f t="shared" si="169"/>
        <v>SN</v>
      </c>
      <c r="O732" s="29" t="str">
        <f>IF(ISERROR(IF(VLOOKUP($N732,CODE!$K:$P,CODE!$O$1,FALSE)="",$M732,$M732&amp;"-"&amp;VLOOKUP($N732,CODE!$K:$P,CODE!$O$1,FALSE)))=TRUE,"",IF(VLOOKUP($N732,CODE!$K:$P,CODE!$O$1,FALSE)="",$M732,$M732&amp;"-"&amp;VLOOKUP($N732,CODE!$K:$P,CODE!$O$1,FALSE)))</f>
        <v>URB</v>
      </c>
      <c r="P732" s="29" t="str">
        <f t="shared" si="170"/>
        <v>성인</v>
      </c>
      <c r="Q732" s="29" t="str">
        <f t="shared" si="171"/>
        <v>URBSNF3038</v>
      </c>
      <c r="R732" s="1" t="s">
        <v>1579</v>
      </c>
      <c r="S732" s="1" t="s">
        <v>14</v>
      </c>
      <c r="T732" s="26">
        <v>1000</v>
      </c>
      <c r="U732" s="26">
        <v>59000000</v>
      </c>
      <c r="V732" s="26">
        <v>10800000</v>
      </c>
      <c r="W732" s="26">
        <v>4.9663299663299654</v>
      </c>
      <c r="X732" s="26">
        <v>1000</v>
      </c>
      <c r="Y732" s="26">
        <v>0</v>
      </c>
    </row>
    <row r="733" spans="1:25">
      <c r="A733" s="24" t="str">
        <f t="shared" si="163"/>
        <v>신규</v>
      </c>
      <c r="B733" s="24" t="str">
        <f>IF(COUNTIF(R$1:R732,R733)=0,"최초","리오더")</f>
        <v>최초</v>
      </c>
      <c r="C733" s="24" t="str">
        <f t="shared" si="164"/>
        <v>URBSNF3039</v>
      </c>
      <c r="D733" s="24">
        <f t="shared" si="159"/>
        <v>1</v>
      </c>
      <c r="E733" s="24" t="str">
        <f t="shared" si="165"/>
        <v/>
      </c>
      <c r="F733" s="24">
        <f t="shared" si="160"/>
        <v>0</v>
      </c>
      <c r="G733" s="24" t="str">
        <f t="shared" si="166"/>
        <v>URBSNF3039BK</v>
      </c>
      <c r="H733" s="24">
        <f t="shared" si="161"/>
        <v>1</v>
      </c>
      <c r="I733" s="24" t="str">
        <f t="shared" si="167"/>
        <v/>
      </c>
      <c r="J733" s="24">
        <f t="shared" si="162"/>
        <v>0</v>
      </c>
      <c r="K733" s="24" t="str">
        <f t="shared" si="168"/>
        <v>F3</v>
      </c>
      <c r="L733" s="24" t="str">
        <f>VLOOKUP(N733,CODE!K:P,CODE!$P$1,FALSE)</f>
        <v>모자</v>
      </c>
      <c r="M733" s="24" t="str">
        <f>VLOOKUP(MID(R733,1,3),CODE!$B:$G,CODE!D$1,FALSE)</f>
        <v>URB</v>
      </c>
      <c r="N733" s="24" t="str">
        <f t="shared" si="169"/>
        <v>SN</v>
      </c>
      <c r="O733" s="29" t="str">
        <f>IF(ISERROR(IF(VLOOKUP($N733,CODE!$K:$P,CODE!$O$1,FALSE)="",$M733,$M733&amp;"-"&amp;VLOOKUP($N733,CODE!$K:$P,CODE!$O$1,FALSE)))=TRUE,"",IF(VLOOKUP($N733,CODE!$K:$P,CODE!$O$1,FALSE)="",$M733,$M733&amp;"-"&amp;VLOOKUP($N733,CODE!$K:$P,CODE!$O$1,FALSE)))</f>
        <v>URB</v>
      </c>
      <c r="P733" s="29" t="str">
        <f t="shared" si="170"/>
        <v>성인</v>
      </c>
      <c r="Q733" s="29" t="str">
        <f t="shared" si="171"/>
        <v>URBSNF3039</v>
      </c>
      <c r="R733" s="1" t="s">
        <v>1580</v>
      </c>
      <c r="S733" s="1" t="s">
        <v>14</v>
      </c>
      <c r="T733" s="26">
        <v>1000</v>
      </c>
      <c r="U733" s="26">
        <v>59000000</v>
      </c>
      <c r="V733" s="26">
        <v>12000000</v>
      </c>
      <c r="W733" s="26">
        <v>4.4696969696969688</v>
      </c>
      <c r="X733" s="26">
        <v>1000</v>
      </c>
      <c r="Y733" s="26">
        <v>0</v>
      </c>
    </row>
    <row r="734" spans="1:25">
      <c r="A734" s="24" t="str">
        <f t="shared" si="163"/>
        <v>러닝</v>
      </c>
      <c r="B734" s="24" t="str">
        <f>IF(COUNTIF(R$1:R733,R734)=0,"최초","리오더")</f>
        <v>최초</v>
      </c>
      <c r="C734" s="24" t="str">
        <f t="shared" si="164"/>
        <v>URBSNF3403</v>
      </c>
      <c r="D734" s="24">
        <f t="shared" si="159"/>
        <v>1</v>
      </c>
      <c r="E734" s="24" t="str">
        <f t="shared" si="165"/>
        <v/>
      </c>
      <c r="F734" s="24">
        <f t="shared" si="160"/>
        <v>0</v>
      </c>
      <c r="G734" s="24" t="str">
        <f t="shared" si="166"/>
        <v>URBSNF3403BK</v>
      </c>
      <c r="H734" s="24">
        <f t="shared" si="161"/>
        <v>1</v>
      </c>
      <c r="I734" s="24" t="str">
        <f t="shared" si="167"/>
        <v/>
      </c>
      <c r="J734" s="24">
        <f t="shared" si="162"/>
        <v>0</v>
      </c>
      <c r="K734" s="24" t="str">
        <f t="shared" si="168"/>
        <v>F3</v>
      </c>
      <c r="L734" s="24" t="str">
        <f>VLOOKUP(N734,CODE!K:P,CODE!$P$1,FALSE)</f>
        <v>모자</v>
      </c>
      <c r="M734" s="24" t="str">
        <f>VLOOKUP(MID(R734,1,3),CODE!$B:$G,CODE!D$1,FALSE)</f>
        <v>URB</v>
      </c>
      <c r="N734" s="24" t="str">
        <f t="shared" si="169"/>
        <v>SN</v>
      </c>
      <c r="O734" s="29" t="str">
        <f>IF(ISERROR(IF(VLOOKUP($N734,CODE!$K:$P,CODE!$O$1,FALSE)="",$M734,$M734&amp;"-"&amp;VLOOKUP($N734,CODE!$K:$P,CODE!$O$1,FALSE)))=TRUE,"",IF(VLOOKUP($N734,CODE!$K:$P,CODE!$O$1,FALSE)="",$M734,$M734&amp;"-"&amp;VLOOKUP($N734,CODE!$K:$P,CODE!$O$1,FALSE)))</f>
        <v>URB</v>
      </c>
      <c r="P734" s="29" t="str">
        <f t="shared" si="170"/>
        <v>성인</v>
      </c>
      <c r="Q734" s="29" t="str">
        <f t="shared" si="171"/>
        <v>URBSNF3403</v>
      </c>
      <c r="R734" s="1" t="s">
        <v>1581</v>
      </c>
      <c r="S734" s="1" t="s">
        <v>14</v>
      </c>
      <c r="T734" s="26">
        <v>3000</v>
      </c>
      <c r="U734" s="26">
        <v>105000000</v>
      </c>
      <c r="V734" s="26">
        <v>11693436.000000002</v>
      </c>
      <c r="W734" s="26">
        <v>8.1630878601076216</v>
      </c>
      <c r="X734" s="26">
        <v>2999</v>
      </c>
      <c r="Y734" s="26">
        <v>0</v>
      </c>
    </row>
    <row r="735" spans="1:25">
      <c r="A735" s="24" t="str">
        <f t="shared" si="163"/>
        <v>신규</v>
      </c>
      <c r="B735" s="24" t="str">
        <f>IF(COUNTIF(R$1:R734,R735)=0,"최초","리오더")</f>
        <v>최초</v>
      </c>
      <c r="C735" s="24" t="str">
        <f t="shared" si="164"/>
        <v>FFTFAF3014</v>
      </c>
      <c r="D735" s="24">
        <f t="shared" si="159"/>
        <v>1</v>
      </c>
      <c r="E735" s="24" t="str">
        <f t="shared" si="165"/>
        <v/>
      </c>
      <c r="F735" s="24">
        <f t="shared" si="160"/>
        <v>0</v>
      </c>
      <c r="G735" s="24" t="str">
        <f t="shared" si="166"/>
        <v>FFTFAF3014BK</v>
      </c>
      <c r="H735" s="24">
        <f t="shared" si="161"/>
        <v>1</v>
      </c>
      <c r="I735" s="24" t="str">
        <f t="shared" si="167"/>
        <v/>
      </c>
      <c r="J735" s="24">
        <f t="shared" si="162"/>
        <v>0</v>
      </c>
      <c r="K735" s="24" t="str">
        <f t="shared" si="168"/>
        <v>F3</v>
      </c>
      <c r="L735" s="24" t="str">
        <f>VLOOKUP(N735,CODE!K:P,CODE!$P$1,FALSE)</f>
        <v>모자</v>
      </c>
      <c r="M735" s="24" t="str">
        <f>VLOOKUP(MID(R735,1,3),CODE!$B:$G,CODE!D$1,FALSE)</f>
        <v>FFT</v>
      </c>
      <c r="N735" s="24" t="str">
        <f t="shared" si="169"/>
        <v>FA</v>
      </c>
      <c r="O735" s="29" t="str">
        <f>IF(ISERROR(IF(VLOOKUP($N735,CODE!$K:$P,CODE!$O$1,FALSE)="",$M735,$M735&amp;"-"&amp;VLOOKUP($N735,CODE!$K:$P,CODE!$O$1,FALSE)))=TRUE,"",IF(VLOOKUP($N735,CODE!$K:$P,CODE!$O$1,FALSE)="",$M735,$M735&amp;"-"&amp;VLOOKUP($N735,CODE!$K:$P,CODE!$O$1,FALSE)))</f>
        <v>FFT</v>
      </c>
      <c r="P735" s="29" t="str">
        <f t="shared" si="170"/>
        <v>성인</v>
      </c>
      <c r="Q735" s="29" t="str">
        <f t="shared" si="171"/>
        <v>FFTFAF3014</v>
      </c>
      <c r="R735" s="1" t="s">
        <v>1582</v>
      </c>
      <c r="S735" s="1" t="s">
        <v>14</v>
      </c>
      <c r="T735" s="26">
        <v>20</v>
      </c>
      <c r="U735" s="26">
        <v>900000</v>
      </c>
      <c r="V735" s="26">
        <v>368181.81818181818</v>
      </c>
      <c r="W735" s="26">
        <v>2.2222222222222223</v>
      </c>
      <c r="X735" s="26">
        <v>20</v>
      </c>
      <c r="Y735" s="26">
        <v>0</v>
      </c>
    </row>
    <row r="736" spans="1:25">
      <c r="A736" s="24" t="str">
        <f t="shared" si="163"/>
        <v>신규</v>
      </c>
      <c r="B736" s="24" t="str">
        <f>IF(COUNTIF(R$1:R735,R736)=0,"최초","리오더")</f>
        <v>최초</v>
      </c>
      <c r="C736" s="24" t="str">
        <f t="shared" si="164"/>
        <v>FFTFAF3015</v>
      </c>
      <c r="D736" s="24">
        <f t="shared" si="159"/>
        <v>1</v>
      </c>
      <c r="E736" s="24" t="str">
        <f t="shared" si="165"/>
        <v/>
      </c>
      <c r="F736" s="24">
        <f t="shared" si="160"/>
        <v>0</v>
      </c>
      <c r="G736" s="24" t="str">
        <f t="shared" si="166"/>
        <v>FFTFAF3015BG</v>
      </c>
      <c r="H736" s="24">
        <f t="shared" si="161"/>
        <v>1</v>
      </c>
      <c r="I736" s="24" t="str">
        <f t="shared" si="167"/>
        <v/>
      </c>
      <c r="J736" s="24">
        <f t="shared" si="162"/>
        <v>0</v>
      </c>
      <c r="K736" s="24" t="str">
        <f t="shared" si="168"/>
        <v>F3</v>
      </c>
      <c r="L736" s="24" t="str">
        <f>VLOOKUP(N736,CODE!K:P,CODE!$P$1,FALSE)</f>
        <v>모자</v>
      </c>
      <c r="M736" s="24" t="str">
        <f>VLOOKUP(MID(R736,1,3),CODE!$B:$G,CODE!D$1,FALSE)</f>
        <v>FFT</v>
      </c>
      <c r="N736" s="24" t="str">
        <f t="shared" si="169"/>
        <v>FA</v>
      </c>
      <c r="O736" s="29" t="str">
        <f>IF(ISERROR(IF(VLOOKUP($N736,CODE!$K:$P,CODE!$O$1,FALSE)="",$M736,$M736&amp;"-"&amp;VLOOKUP($N736,CODE!$K:$P,CODE!$O$1,FALSE)))=TRUE,"",IF(VLOOKUP($N736,CODE!$K:$P,CODE!$O$1,FALSE)="",$M736,$M736&amp;"-"&amp;VLOOKUP($N736,CODE!$K:$P,CODE!$O$1,FALSE)))</f>
        <v>FFT</v>
      </c>
      <c r="P736" s="29" t="str">
        <f t="shared" si="170"/>
        <v>성인</v>
      </c>
      <c r="Q736" s="29" t="str">
        <f t="shared" si="171"/>
        <v>FFTFAF3015</v>
      </c>
      <c r="R736" s="1" t="s">
        <v>1583</v>
      </c>
      <c r="S736" s="1" t="s">
        <v>14</v>
      </c>
      <c r="T736" s="26">
        <v>16</v>
      </c>
      <c r="U736" s="26">
        <v>720000</v>
      </c>
      <c r="V736" s="26">
        <v>294545.45454545453</v>
      </c>
      <c r="W736" s="26">
        <v>2.2222222222222223</v>
      </c>
      <c r="X736" s="26">
        <v>16</v>
      </c>
      <c r="Y736" s="26">
        <v>0</v>
      </c>
    </row>
    <row r="737" spans="1:25">
      <c r="A737" s="24" t="str">
        <f t="shared" si="163"/>
        <v>신규</v>
      </c>
      <c r="B737" s="24" t="str">
        <f>IF(COUNTIF(R$1:R736,R737)=0,"최초","리오더")</f>
        <v>최초</v>
      </c>
      <c r="C737" s="24" t="str">
        <f t="shared" si="164"/>
        <v>FFTFAF3016</v>
      </c>
      <c r="D737" s="24">
        <f t="shared" si="159"/>
        <v>1</v>
      </c>
      <c r="E737" s="24" t="str">
        <f t="shared" si="165"/>
        <v/>
      </c>
      <c r="F737" s="24">
        <f t="shared" si="160"/>
        <v>0</v>
      </c>
      <c r="G737" s="24" t="str">
        <f t="shared" si="166"/>
        <v>FFTFAF3016BK</v>
      </c>
      <c r="H737" s="24">
        <f t="shared" si="161"/>
        <v>1</v>
      </c>
      <c r="I737" s="24" t="str">
        <f t="shared" si="167"/>
        <v/>
      </c>
      <c r="J737" s="24">
        <f t="shared" si="162"/>
        <v>0</v>
      </c>
      <c r="K737" s="24" t="str">
        <f t="shared" si="168"/>
        <v>F3</v>
      </c>
      <c r="L737" s="24" t="str">
        <f>VLOOKUP(N737,CODE!K:P,CODE!$P$1,FALSE)</f>
        <v>모자</v>
      </c>
      <c r="M737" s="24" t="str">
        <f>VLOOKUP(MID(R737,1,3),CODE!$B:$G,CODE!D$1,FALSE)</f>
        <v>FFT</v>
      </c>
      <c r="N737" s="24" t="str">
        <f t="shared" si="169"/>
        <v>FA</v>
      </c>
      <c r="O737" s="29" t="str">
        <f>IF(ISERROR(IF(VLOOKUP($N737,CODE!$K:$P,CODE!$O$1,FALSE)="",$M737,$M737&amp;"-"&amp;VLOOKUP($N737,CODE!$K:$P,CODE!$O$1,FALSE)))=TRUE,"",IF(VLOOKUP($N737,CODE!$K:$P,CODE!$O$1,FALSE)="",$M737,$M737&amp;"-"&amp;VLOOKUP($N737,CODE!$K:$P,CODE!$O$1,FALSE)))</f>
        <v>FFT</v>
      </c>
      <c r="P737" s="29" t="str">
        <f t="shared" si="170"/>
        <v>성인</v>
      </c>
      <c r="Q737" s="29" t="str">
        <f t="shared" si="171"/>
        <v>FFTFAF3016</v>
      </c>
      <c r="R737" s="1" t="s">
        <v>1584</v>
      </c>
      <c r="S737" s="1" t="s">
        <v>14</v>
      </c>
      <c r="T737" s="26">
        <v>18</v>
      </c>
      <c r="U737" s="26">
        <v>810000</v>
      </c>
      <c r="V737" s="26">
        <v>331363.63636363635</v>
      </c>
      <c r="W737" s="26">
        <v>2.2222222222222223</v>
      </c>
      <c r="X737" s="26">
        <v>18</v>
      </c>
      <c r="Y737" s="26">
        <v>0</v>
      </c>
    </row>
    <row r="738" spans="1:25">
      <c r="A738" s="24" t="str">
        <f t="shared" si="163"/>
        <v>신규</v>
      </c>
      <c r="B738" s="24" t="str">
        <f>IF(COUNTIF(R$1:R737,R738)=0,"최초","리오더")</f>
        <v>최초</v>
      </c>
      <c r="C738" s="24" t="str">
        <f t="shared" si="164"/>
        <v>FFTFAF3017</v>
      </c>
      <c r="D738" s="24">
        <f t="shared" si="159"/>
        <v>1</v>
      </c>
      <c r="E738" s="24" t="str">
        <f t="shared" si="165"/>
        <v/>
      </c>
      <c r="F738" s="24">
        <f t="shared" si="160"/>
        <v>0</v>
      </c>
      <c r="G738" s="24" t="str">
        <f t="shared" si="166"/>
        <v>FFTFAF3017GY</v>
      </c>
      <c r="H738" s="24">
        <f t="shared" si="161"/>
        <v>1</v>
      </c>
      <c r="I738" s="24" t="str">
        <f t="shared" si="167"/>
        <v/>
      </c>
      <c r="J738" s="24">
        <f t="shared" si="162"/>
        <v>0</v>
      </c>
      <c r="K738" s="24" t="str">
        <f t="shared" si="168"/>
        <v>F3</v>
      </c>
      <c r="L738" s="24" t="str">
        <f>VLOOKUP(N738,CODE!K:P,CODE!$P$1,FALSE)</f>
        <v>모자</v>
      </c>
      <c r="M738" s="24" t="str">
        <f>VLOOKUP(MID(R738,1,3),CODE!$B:$G,CODE!D$1,FALSE)</f>
        <v>FFT</v>
      </c>
      <c r="N738" s="24" t="str">
        <f t="shared" si="169"/>
        <v>FA</v>
      </c>
      <c r="O738" s="29" t="str">
        <f>IF(ISERROR(IF(VLOOKUP($N738,CODE!$K:$P,CODE!$O$1,FALSE)="",$M738,$M738&amp;"-"&amp;VLOOKUP($N738,CODE!$K:$P,CODE!$O$1,FALSE)))=TRUE,"",IF(VLOOKUP($N738,CODE!$K:$P,CODE!$O$1,FALSE)="",$M738,$M738&amp;"-"&amp;VLOOKUP($N738,CODE!$K:$P,CODE!$O$1,FALSE)))</f>
        <v>FFT</v>
      </c>
      <c r="P738" s="29" t="str">
        <f t="shared" si="170"/>
        <v>성인</v>
      </c>
      <c r="Q738" s="29" t="str">
        <f t="shared" si="171"/>
        <v>FFTFAF3017</v>
      </c>
      <c r="R738" s="1" t="s">
        <v>1585</v>
      </c>
      <c r="S738" s="1" t="s">
        <v>14</v>
      </c>
      <c r="T738" s="26">
        <v>14</v>
      </c>
      <c r="U738" s="26">
        <v>630000</v>
      </c>
      <c r="V738" s="26">
        <v>257727.27272727271</v>
      </c>
      <c r="W738" s="26">
        <v>2.2222222222222223</v>
      </c>
      <c r="X738" s="26">
        <v>14</v>
      </c>
      <c r="Y738" s="26">
        <v>0</v>
      </c>
    </row>
    <row r="739" spans="1:25">
      <c r="A739" s="24" t="str">
        <f t="shared" si="163"/>
        <v>신규</v>
      </c>
      <c r="B739" s="24" t="str">
        <f>IF(COUNTIF(R$1:R738,R739)=0,"최초","리오더")</f>
        <v>최초</v>
      </c>
      <c r="C739" s="24" t="str">
        <f t="shared" si="164"/>
        <v>FFTFAF3018</v>
      </c>
      <c r="D739" s="24">
        <f t="shared" si="159"/>
        <v>1</v>
      </c>
      <c r="E739" s="24" t="str">
        <f t="shared" si="165"/>
        <v/>
      </c>
      <c r="F739" s="24">
        <f t="shared" si="160"/>
        <v>0</v>
      </c>
      <c r="G739" s="24" t="str">
        <f t="shared" si="166"/>
        <v>FFTFAF3018GY</v>
      </c>
      <c r="H739" s="24">
        <f t="shared" si="161"/>
        <v>1</v>
      </c>
      <c r="I739" s="24" t="str">
        <f t="shared" si="167"/>
        <v/>
      </c>
      <c r="J739" s="24">
        <f t="shared" si="162"/>
        <v>0</v>
      </c>
      <c r="K739" s="24" t="str">
        <f t="shared" si="168"/>
        <v>F3</v>
      </c>
      <c r="L739" s="24" t="str">
        <f>VLOOKUP(N739,CODE!K:P,CODE!$P$1,FALSE)</f>
        <v>모자</v>
      </c>
      <c r="M739" s="24" t="str">
        <f>VLOOKUP(MID(R739,1,3),CODE!$B:$G,CODE!D$1,FALSE)</f>
        <v>FFT</v>
      </c>
      <c r="N739" s="24" t="str">
        <f t="shared" si="169"/>
        <v>FA</v>
      </c>
      <c r="O739" s="29" t="str">
        <f>IF(ISERROR(IF(VLOOKUP($N739,CODE!$K:$P,CODE!$O$1,FALSE)="",$M739,$M739&amp;"-"&amp;VLOOKUP($N739,CODE!$K:$P,CODE!$O$1,FALSE)))=TRUE,"",IF(VLOOKUP($N739,CODE!$K:$P,CODE!$O$1,FALSE)="",$M739,$M739&amp;"-"&amp;VLOOKUP($N739,CODE!$K:$P,CODE!$O$1,FALSE)))</f>
        <v>FFT</v>
      </c>
      <c r="P739" s="29" t="str">
        <f t="shared" si="170"/>
        <v>성인</v>
      </c>
      <c r="Q739" s="29" t="str">
        <f t="shared" si="171"/>
        <v>FFTFAF3018</v>
      </c>
      <c r="R739" s="1" t="s">
        <v>1586</v>
      </c>
      <c r="S739" s="1" t="s">
        <v>14</v>
      </c>
      <c r="T739" s="26">
        <v>10</v>
      </c>
      <c r="U739" s="26">
        <v>390000</v>
      </c>
      <c r="V739" s="26">
        <v>159545.45454545453</v>
      </c>
      <c r="W739" s="26">
        <v>2.2222222222222223</v>
      </c>
      <c r="X739" s="26">
        <v>10</v>
      </c>
      <c r="Y739" s="26">
        <v>0</v>
      </c>
    </row>
    <row r="740" spans="1:25">
      <c r="A740" s="24" t="str">
        <f t="shared" si="163"/>
        <v>신규</v>
      </c>
      <c r="B740" s="24" t="str">
        <f>IF(COUNTIF(R$1:R739,R740)=0,"최초","리오더")</f>
        <v>최초</v>
      </c>
      <c r="C740" s="24" t="str">
        <f t="shared" si="164"/>
        <v>FFTFAF3019</v>
      </c>
      <c r="D740" s="24">
        <f t="shared" si="159"/>
        <v>1</v>
      </c>
      <c r="E740" s="24" t="str">
        <f t="shared" si="165"/>
        <v/>
      </c>
      <c r="F740" s="24">
        <f t="shared" si="160"/>
        <v>0</v>
      </c>
      <c r="G740" s="24" t="str">
        <f t="shared" si="166"/>
        <v>FFTFAF3019BL</v>
      </c>
      <c r="H740" s="24">
        <f t="shared" si="161"/>
        <v>1</v>
      </c>
      <c r="I740" s="24" t="str">
        <f t="shared" si="167"/>
        <v/>
      </c>
      <c r="J740" s="24">
        <f t="shared" si="162"/>
        <v>0</v>
      </c>
      <c r="K740" s="24" t="str">
        <f t="shared" si="168"/>
        <v>F3</v>
      </c>
      <c r="L740" s="24" t="str">
        <f>VLOOKUP(N740,CODE!K:P,CODE!$P$1,FALSE)</f>
        <v>모자</v>
      </c>
      <c r="M740" s="24" t="str">
        <f>VLOOKUP(MID(R740,1,3),CODE!$B:$G,CODE!D$1,FALSE)</f>
        <v>FFT</v>
      </c>
      <c r="N740" s="24" t="str">
        <f t="shared" si="169"/>
        <v>FA</v>
      </c>
      <c r="O740" s="29" t="str">
        <f>IF(ISERROR(IF(VLOOKUP($N740,CODE!$K:$P,CODE!$O$1,FALSE)="",$M740,$M740&amp;"-"&amp;VLOOKUP($N740,CODE!$K:$P,CODE!$O$1,FALSE)))=TRUE,"",IF(VLOOKUP($N740,CODE!$K:$P,CODE!$O$1,FALSE)="",$M740,$M740&amp;"-"&amp;VLOOKUP($N740,CODE!$K:$P,CODE!$O$1,FALSE)))</f>
        <v>FFT</v>
      </c>
      <c r="P740" s="29" t="str">
        <f t="shared" si="170"/>
        <v>성인</v>
      </c>
      <c r="Q740" s="29" t="str">
        <f t="shared" si="171"/>
        <v>FFTFAF3019</v>
      </c>
      <c r="R740" s="1" t="s">
        <v>1587</v>
      </c>
      <c r="S740" s="1" t="s">
        <v>14</v>
      </c>
      <c r="T740" s="26">
        <v>23</v>
      </c>
      <c r="U740" s="26">
        <v>897000</v>
      </c>
      <c r="V740" s="26">
        <v>366954.54545454547</v>
      </c>
      <c r="W740" s="26">
        <v>2.2222222222222219</v>
      </c>
      <c r="X740" s="26">
        <v>23</v>
      </c>
      <c r="Y740" s="26">
        <v>0</v>
      </c>
    </row>
    <row r="741" spans="1:25">
      <c r="A741" s="24" t="str">
        <f t="shared" si="163"/>
        <v>신규</v>
      </c>
      <c r="B741" s="24" t="str">
        <f>IF(COUNTIF(R$1:R740,R741)=0,"최초","리오더")</f>
        <v>최초</v>
      </c>
      <c r="C741" s="24" t="str">
        <f t="shared" si="164"/>
        <v>FFTFAF3020</v>
      </c>
      <c r="D741" s="24">
        <f t="shared" si="159"/>
        <v>1</v>
      </c>
      <c r="E741" s="24" t="str">
        <f t="shared" si="165"/>
        <v/>
      </c>
      <c r="F741" s="24">
        <f t="shared" si="160"/>
        <v>0</v>
      </c>
      <c r="G741" s="24" t="str">
        <f t="shared" si="166"/>
        <v>FFTFAF3020KH</v>
      </c>
      <c r="H741" s="24">
        <f t="shared" si="161"/>
        <v>1</v>
      </c>
      <c r="I741" s="24" t="str">
        <f t="shared" si="167"/>
        <v/>
      </c>
      <c r="J741" s="24">
        <f t="shared" si="162"/>
        <v>0</v>
      </c>
      <c r="K741" s="24" t="str">
        <f t="shared" si="168"/>
        <v>F3</v>
      </c>
      <c r="L741" s="24" t="str">
        <f>VLOOKUP(N741,CODE!K:P,CODE!$P$1,FALSE)</f>
        <v>모자</v>
      </c>
      <c r="M741" s="24" t="str">
        <f>VLOOKUP(MID(R741,1,3),CODE!$B:$G,CODE!D$1,FALSE)</f>
        <v>FFT</v>
      </c>
      <c r="N741" s="24" t="str">
        <f t="shared" si="169"/>
        <v>FA</v>
      </c>
      <c r="O741" s="29" t="str">
        <f>IF(ISERROR(IF(VLOOKUP($N741,CODE!$K:$P,CODE!$O$1,FALSE)="",$M741,$M741&amp;"-"&amp;VLOOKUP($N741,CODE!$K:$P,CODE!$O$1,FALSE)))=TRUE,"",IF(VLOOKUP($N741,CODE!$K:$P,CODE!$O$1,FALSE)="",$M741,$M741&amp;"-"&amp;VLOOKUP($N741,CODE!$K:$P,CODE!$O$1,FALSE)))</f>
        <v>FFT</v>
      </c>
      <c r="P741" s="29" t="str">
        <f t="shared" si="170"/>
        <v>성인</v>
      </c>
      <c r="Q741" s="29" t="str">
        <f t="shared" si="171"/>
        <v>FFTFAF3020</v>
      </c>
      <c r="R741" s="1" t="s">
        <v>1588</v>
      </c>
      <c r="S741" s="1" t="s">
        <v>14</v>
      </c>
      <c r="T741" s="26">
        <v>23</v>
      </c>
      <c r="U741" s="26">
        <v>897000</v>
      </c>
      <c r="V741" s="26">
        <v>366954.54545454541</v>
      </c>
      <c r="W741" s="26">
        <v>2.2222222222222223</v>
      </c>
      <c r="X741" s="26">
        <v>23</v>
      </c>
      <c r="Y741" s="26">
        <v>0</v>
      </c>
    </row>
    <row r="742" spans="1:25">
      <c r="A742" s="24" t="str">
        <f t="shared" si="163"/>
        <v>신규</v>
      </c>
      <c r="B742" s="24" t="str">
        <f>IF(COUNTIF(R$1:R741,R742)=0,"최초","리오더")</f>
        <v>최초</v>
      </c>
      <c r="C742" s="24" t="str">
        <f t="shared" si="164"/>
        <v>FFTFAF3021</v>
      </c>
      <c r="D742" s="24">
        <f t="shared" si="159"/>
        <v>1</v>
      </c>
      <c r="E742" s="24" t="str">
        <f t="shared" si="165"/>
        <v/>
      </c>
      <c r="F742" s="24">
        <f t="shared" si="160"/>
        <v>0</v>
      </c>
      <c r="G742" s="24" t="str">
        <f t="shared" si="166"/>
        <v>FFTFAF3021BK</v>
      </c>
      <c r="H742" s="24">
        <f t="shared" si="161"/>
        <v>1</v>
      </c>
      <c r="I742" s="24" t="str">
        <f t="shared" si="167"/>
        <v/>
      </c>
      <c r="J742" s="24">
        <f t="shared" si="162"/>
        <v>0</v>
      </c>
      <c r="K742" s="24" t="str">
        <f t="shared" si="168"/>
        <v>F3</v>
      </c>
      <c r="L742" s="24" t="str">
        <f>VLOOKUP(N742,CODE!K:P,CODE!$P$1,FALSE)</f>
        <v>모자</v>
      </c>
      <c r="M742" s="24" t="str">
        <f>VLOOKUP(MID(R742,1,3),CODE!$B:$G,CODE!D$1,FALSE)</f>
        <v>FFT</v>
      </c>
      <c r="N742" s="24" t="str">
        <f t="shared" si="169"/>
        <v>FA</v>
      </c>
      <c r="O742" s="29" t="str">
        <f>IF(ISERROR(IF(VLOOKUP($N742,CODE!$K:$P,CODE!$O$1,FALSE)="",$M742,$M742&amp;"-"&amp;VLOOKUP($N742,CODE!$K:$P,CODE!$O$1,FALSE)))=TRUE,"",IF(VLOOKUP($N742,CODE!$K:$P,CODE!$O$1,FALSE)="",$M742,$M742&amp;"-"&amp;VLOOKUP($N742,CODE!$K:$P,CODE!$O$1,FALSE)))</f>
        <v>FFT</v>
      </c>
      <c r="P742" s="29" t="str">
        <f t="shared" si="170"/>
        <v>성인</v>
      </c>
      <c r="Q742" s="29" t="str">
        <f t="shared" si="171"/>
        <v>FFTFAF3021</v>
      </c>
      <c r="R742" s="1" t="s">
        <v>1589</v>
      </c>
      <c r="S742" s="1" t="s">
        <v>14</v>
      </c>
      <c r="T742" s="26">
        <v>20</v>
      </c>
      <c r="U742" s="26">
        <v>780000</v>
      </c>
      <c r="V742" s="26">
        <v>319090.90909090906</v>
      </c>
      <c r="W742" s="26">
        <v>2.2222222222222223</v>
      </c>
      <c r="X742" s="26">
        <v>20</v>
      </c>
      <c r="Y742" s="26">
        <v>0</v>
      </c>
    </row>
    <row r="743" spans="1:25">
      <c r="A743" s="24" t="str">
        <f t="shared" si="163"/>
        <v>러닝</v>
      </c>
      <c r="B743" s="24" t="str">
        <f>IF(COUNTIF(R$1:R742,R743)=0,"최초","리오더")</f>
        <v>최초</v>
      </c>
      <c r="C743" s="24" t="str">
        <f t="shared" si="164"/>
        <v>DPSSNF3401</v>
      </c>
      <c r="D743" s="24">
        <f t="shared" si="159"/>
        <v>1</v>
      </c>
      <c r="E743" s="24" t="str">
        <f t="shared" si="165"/>
        <v/>
      </c>
      <c r="F743" s="24">
        <f t="shared" si="160"/>
        <v>0</v>
      </c>
      <c r="G743" s="24" t="str">
        <f t="shared" si="166"/>
        <v>DPSSNF3401RE</v>
      </c>
      <c r="H743" s="24">
        <f t="shared" si="161"/>
        <v>1</v>
      </c>
      <c r="I743" s="24" t="str">
        <f t="shared" si="167"/>
        <v/>
      </c>
      <c r="J743" s="24">
        <f t="shared" si="162"/>
        <v>0</v>
      </c>
      <c r="K743" s="24" t="str">
        <f t="shared" si="168"/>
        <v>F3</v>
      </c>
      <c r="L743" s="24" t="str">
        <f>VLOOKUP(N743,CODE!K:P,CODE!$P$1,FALSE)</f>
        <v>모자</v>
      </c>
      <c r="M743" s="24" t="str">
        <f>VLOOKUP(MID(R743,1,3),CODE!$B:$G,CODE!D$1,FALSE)</f>
        <v>DPS</v>
      </c>
      <c r="N743" s="24" t="str">
        <f t="shared" si="169"/>
        <v>SN</v>
      </c>
      <c r="O743" s="29" t="str">
        <f>IF(ISERROR(IF(VLOOKUP($N743,CODE!$K:$P,CODE!$O$1,FALSE)="",$M743,$M743&amp;"-"&amp;VLOOKUP($N743,CODE!$K:$P,CODE!$O$1,FALSE)))=TRUE,"",IF(VLOOKUP($N743,CODE!$K:$P,CODE!$O$1,FALSE)="",$M743,$M743&amp;"-"&amp;VLOOKUP($N743,CODE!$K:$P,CODE!$O$1,FALSE)))</f>
        <v>DPS</v>
      </c>
      <c r="P743" s="29" t="str">
        <f t="shared" si="170"/>
        <v>성인</v>
      </c>
      <c r="Q743" s="29" t="str">
        <f t="shared" si="171"/>
        <v>DPSSNF3401</v>
      </c>
      <c r="R743" s="1" t="s">
        <v>1590</v>
      </c>
      <c r="S743" s="1" t="s">
        <v>14</v>
      </c>
      <c r="T743" s="26">
        <v>1000</v>
      </c>
      <c r="U743" s="26">
        <v>47000000</v>
      </c>
      <c r="V743" s="26">
        <v>5285380</v>
      </c>
      <c r="W743" s="26">
        <v>8.0840493450372009</v>
      </c>
      <c r="X743" s="26">
        <v>1000</v>
      </c>
      <c r="Y743" s="26">
        <v>0</v>
      </c>
    </row>
    <row r="744" spans="1:25">
      <c r="A744" s="24" t="str">
        <f t="shared" si="163"/>
        <v>러닝</v>
      </c>
      <c r="B744" s="24" t="str">
        <f>IF(COUNTIF(R$1:R743,R744)=0,"최초","리오더")</f>
        <v>최초</v>
      </c>
      <c r="C744" s="24" t="str">
        <f t="shared" si="164"/>
        <v>DPSSNF3402</v>
      </c>
      <c r="D744" s="24">
        <f t="shared" si="159"/>
        <v>1</v>
      </c>
      <c r="E744" s="24" t="str">
        <f t="shared" si="165"/>
        <v/>
      </c>
      <c r="F744" s="24">
        <f t="shared" si="160"/>
        <v>0</v>
      </c>
      <c r="G744" s="24" t="str">
        <f t="shared" si="166"/>
        <v>DPSSNF3402BK</v>
      </c>
      <c r="H744" s="24">
        <f t="shared" si="161"/>
        <v>1</v>
      </c>
      <c r="I744" s="24" t="str">
        <f t="shared" si="167"/>
        <v/>
      </c>
      <c r="J744" s="24">
        <f t="shared" si="162"/>
        <v>0</v>
      </c>
      <c r="K744" s="24" t="str">
        <f t="shared" si="168"/>
        <v>F3</v>
      </c>
      <c r="L744" s="24" t="str">
        <f>VLOOKUP(N744,CODE!K:P,CODE!$P$1,FALSE)</f>
        <v>모자</v>
      </c>
      <c r="M744" s="24" t="str">
        <f>VLOOKUP(MID(R744,1,3),CODE!$B:$G,CODE!D$1,FALSE)</f>
        <v>DPS</v>
      </c>
      <c r="N744" s="24" t="str">
        <f t="shared" si="169"/>
        <v>SN</v>
      </c>
      <c r="O744" s="29" t="str">
        <f>IF(ISERROR(IF(VLOOKUP($N744,CODE!$K:$P,CODE!$O$1,FALSE)="",$M744,$M744&amp;"-"&amp;VLOOKUP($N744,CODE!$K:$P,CODE!$O$1,FALSE)))=TRUE,"",IF(VLOOKUP($N744,CODE!$K:$P,CODE!$O$1,FALSE)="",$M744,$M744&amp;"-"&amp;VLOOKUP($N744,CODE!$K:$P,CODE!$O$1,FALSE)))</f>
        <v>DPS</v>
      </c>
      <c r="P744" s="29" t="str">
        <f t="shared" si="170"/>
        <v>성인</v>
      </c>
      <c r="Q744" s="29" t="str">
        <f t="shared" si="171"/>
        <v>DPSSNF3402</v>
      </c>
      <c r="R744" s="1" t="s">
        <v>1591</v>
      </c>
      <c r="S744" s="1" t="s">
        <v>14</v>
      </c>
      <c r="T744" s="26">
        <v>800</v>
      </c>
      <c r="U744" s="26">
        <v>39200000</v>
      </c>
      <c r="V744" s="26">
        <v>4128512.0000000005</v>
      </c>
      <c r="W744" s="26">
        <v>8.6317694211288778</v>
      </c>
      <c r="X744" s="26">
        <v>800</v>
      </c>
      <c r="Y744" s="26">
        <v>0</v>
      </c>
    </row>
    <row r="745" spans="1:25">
      <c r="A745" s="24" t="str">
        <f t="shared" si="163"/>
        <v>러닝</v>
      </c>
      <c r="B745" s="24" t="str">
        <f>IF(COUNTIF(R$1:R744,R745)=0,"최초","리오더")</f>
        <v>최초</v>
      </c>
      <c r="C745" s="24" t="str">
        <f t="shared" si="164"/>
        <v>DPSSNF3416</v>
      </c>
      <c r="D745" s="24">
        <f t="shared" si="159"/>
        <v>1</v>
      </c>
      <c r="E745" s="24" t="str">
        <f t="shared" si="165"/>
        <v/>
      </c>
      <c r="F745" s="24">
        <f t="shared" si="160"/>
        <v>0</v>
      </c>
      <c r="G745" s="24" t="str">
        <f t="shared" si="166"/>
        <v>DPSSNF3416BK</v>
      </c>
      <c r="H745" s="24">
        <f t="shared" si="161"/>
        <v>1</v>
      </c>
      <c r="I745" s="24" t="str">
        <f t="shared" si="167"/>
        <v/>
      </c>
      <c r="J745" s="24">
        <f t="shared" si="162"/>
        <v>0</v>
      </c>
      <c r="K745" s="24" t="str">
        <f t="shared" si="168"/>
        <v>F3</v>
      </c>
      <c r="L745" s="24" t="str">
        <f>VLOOKUP(N745,CODE!K:P,CODE!$P$1,FALSE)</f>
        <v>모자</v>
      </c>
      <c r="M745" s="24" t="str">
        <f>VLOOKUP(MID(R745,1,3),CODE!$B:$G,CODE!D$1,FALSE)</f>
        <v>DPS</v>
      </c>
      <c r="N745" s="24" t="str">
        <f t="shared" si="169"/>
        <v>SN</v>
      </c>
      <c r="O745" s="29" t="str">
        <f>IF(ISERROR(IF(VLOOKUP($N745,CODE!$K:$P,CODE!$O$1,FALSE)="",$M745,$M745&amp;"-"&amp;VLOOKUP($N745,CODE!$K:$P,CODE!$O$1,FALSE)))=TRUE,"",IF(VLOOKUP($N745,CODE!$K:$P,CODE!$O$1,FALSE)="",$M745,$M745&amp;"-"&amp;VLOOKUP($N745,CODE!$K:$P,CODE!$O$1,FALSE)))</f>
        <v>DPS</v>
      </c>
      <c r="P745" s="29" t="str">
        <f t="shared" si="170"/>
        <v>성인</v>
      </c>
      <c r="Q745" s="29" t="str">
        <f t="shared" si="171"/>
        <v>DPSSNF3416</v>
      </c>
      <c r="R745" s="1" t="s">
        <v>1592</v>
      </c>
      <c r="S745" s="1" t="s">
        <v>14</v>
      </c>
      <c r="T745" s="26">
        <v>800</v>
      </c>
      <c r="U745" s="26">
        <v>36000000</v>
      </c>
      <c r="V745" s="26">
        <v>3408928</v>
      </c>
      <c r="W745" s="26">
        <v>9.6004587739232754</v>
      </c>
      <c r="X745" s="26">
        <v>800</v>
      </c>
      <c r="Y745" s="26">
        <v>0</v>
      </c>
    </row>
    <row r="746" spans="1:25">
      <c r="A746" s="24" t="str">
        <f t="shared" si="163"/>
        <v>신규</v>
      </c>
      <c r="B746" s="24" t="str">
        <f>IF(COUNTIF(R$1:R745,R746)=0,"최초","리오더")</f>
        <v>리오더</v>
      </c>
      <c r="C746" s="24" t="str">
        <f t="shared" si="164"/>
        <v/>
      </c>
      <c r="D746" s="24">
        <f t="shared" si="159"/>
        <v>0</v>
      </c>
      <c r="E746" s="24" t="str">
        <f t="shared" si="165"/>
        <v>DPSSNF3004</v>
      </c>
      <c r="F746" s="24">
        <f t="shared" si="160"/>
        <v>1</v>
      </c>
      <c r="G746" s="24" t="str">
        <f t="shared" si="166"/>
        <v/>
      </c>
      <c r="H746" s="24">
        <f t="shared" si="161"/>
        <v>0</v>
      </c>
      <c r="I746" s="24" t="str">
        <f t="shared" si="167"/>
        <v>DPSSNF3004MT</v>
      </c>
      <c r="J746" s="24">
        <f t="shared" si="162"/>
        <v>1</v>
      </c>
      <c r="K746" s="24" t="str">
        <f t="shared" si="168"/>
        <v>F3</v>
      </c>
      <c r="L746" s="24" t="str">
        <f>VLOOKUP(N746,CODE!K:P,CODE!$P$1,FALSE)</f>
        <v>모자</v>
      </c>
      <c r="M746" s="24" t="str">
        <f>VLOOKUP(MID(R746,1,3),CODE!$B:$G,CODE!D$1,FALSE)</f>
        <v>DPS</v>
      </c>
      <c r="N746" s="24" t="str">
        <f t="shared" si="169"/>
        <v>SN</v>
      </c>
      <c r="O746" s="29" t="str">
        <f>IF(ISERROR(IF(VLOOKUP($N746,CODE!$K:$P,CODE!$O$1,FALSE)="",$M746,$M746&amp;"-"&amp;VLOOKUP($N746,CODE!$K:$P,CODE!$O$1,FALSE)))=TRUE,"",IF(VLOOKUP($N746,CODE!$K:$P,CODE!$O$1,FALSE)="",$M746,$M746&amp;"-"&amp;VLOOKUP($N746,CODE!$K:$P,CODE!$O$1,FALSE)))</f>
        <v>DPS</v>
      </c>
      <c r="P746" s="29" t="str">
        <f t="shared" si="170"/>
        <v>성인</v>
      </c>
      <c r="Q746" s="29" t="str">
        <f t="shared" si="171"/>
        <v>DPSSNF3004</v>
      </c>
      <c r="R746" s="1" t="s">
        <v>949</v>
      </c>
      <c r="S746" s="1" t="s">
        <v>14</v>
      </c>
      <c r="T746" s="26">
        <v>800</v>
      </c>
      <c r="U746" s="26">
        <v>37600000</v>
      </c>
      <c r="V746" s="26">
        <v>3839032</v>
      </c>
      <c r="W746" s="26">
        <v>8.9037596409246333</v>
      </c>
      <c r="X746" s="26">
        <v>697</v>
      </c>
      <c r="Y746" s="26">
        <v>0</v>
      </c>
    </row>
    <row r="747" spans="1:25">
      <c r="A747" s="24" t="str">
        <f t="shared" si="163"/>
        <v>신규</v>
      </c>
      <c r="B747" s="24" t="str">
        <f>IF(COUNTIF(R$1:R746,R747)=0,"최초","리오더")</f>
        <v>리오더</v>
      </c>
      <c r="C747" s="24" t="str">
        <f t="shared" si="164"/>
        <v/>
      </c>
      <c r="D747" s="24">
        <f t="shared" si="159"/>
        <v>0</v>
      </c>
      <c r="E747" s="24" t="str">
        <f t="shared" si="165"/>
        <v>DPSSNF3504</v>
      </c>
      <c r="F747" s="24">
        <f t="shared" si="160"/>
        <v>1</v>
      </c>
      <c r="G747" s="24" t="str">
        <f t="shared" si="166"/>
        <v/>
      </c>
      <c r="H747" s="24">
        <f t="shared" si="161"/>
        <v>0</v>
      </c>
      <c r="I747" s="24" t="str">
        <f t="shared" si="167"/>
        <v>DPSSNF3504MT</v>
      </c>
      <c r="J747" s="24">
        <f t="shared" si="162"/>
        <v>1</v>
      </c>
      <c r="K747" s="24" t="str">
        <f t="shared" si="168"/>
        <v>F3</v>
      </c>
      <c r="L747" s="24" t="str">
        <f>VLOOKUP(N747,CODE!K:P,CODE!$P$1,FALSE)</f>
        <v>모자</v>
      </c>
      <c r="M747" s="24" t="str">
        <f>VLOOKUP(MID(R747,1,3),CODE!$B:$G,CODE!D$1,FALSE)</f>
        <v>DPS</v>
      </c>
      <c r="N747" s="24" t="str">
        <f t="shared" si="169"/>
        <v>SN</v>
      </c>
      <c r="O747" s="29" t="str">
        <f>IF(ISERROR(IF(VLOOKUP($N747,CODE!$K:$P,CODE!$O$1,FALSE)="",$M747,$M747&amp;"-"&amp;VLOOKUP($N747,CODE!$K:$P,CODE!$O$1,FALSE)))=TRUE,"",IF(VLOOKUP($N747,CODE!$K:$P,CODE!$O$1,FALSE)="",$M747,$M747&amp;"-"&amp;VLOOKUP($N747,CODE!$K:$P,CODE!$O$1,FALSE)))</f>
        <v>DPS</v>
      </c>
      <c r="P747" s="29" t="str">
        <f t="shared" si="170"/>
        <v>키즈</v>
      </c>
      <c r="Q747" s="29" t="str">
        <f t="shared" si="171"/>
        <v>DPSSNF3504</v>
      </c>
      <c r="R747" s="1" t="s">
        <v>950</v>
      </c>
      <c r="S747" s="1" t="s">
        <v>14</v>
      </c>
      <c r="T747" s="26">
        <v>1200</v>
      </c>
      <c r="U747" s="26">
        <v>51600000</v>
      </c>
      <c r="V747" s="26">
        <v>5683704</v>
      </c>
      <c r="W747" s="26">
        <v>8.253260709757388</v>
      </c>
      <c r="X747" s="26">
        <v>1197</v>
      </c>
      <c r="Y747" s="26">
        <v>0</v>
      </c>
    </row>
    <row r="748" spans="1:25">
      <c r="A748" s="24" t="str">
        <f t="shared" si="163"/>
        <v>러닝</v>
      </c>
      <c r="B748" s="24" t="str">
        <f>IF(COUNTIF(R$1:R747,R748)=0,"최초","리오더")</f>
        <v>최초</v>
      </c>
      <c r="C748" s="24" t="str">
        <f t="shared" si="164"/>
        <v>PLAUMF3411</v>
      </c>
      <c r="D748" s="24">
        <f t="shared" si="159"/>
        <v>1</v>
      </c>
      <c r="E748" s="24" t="str">
        <f t="shared" si="165"/>
        <v/>
      </c>
      <c r="F748" s="24">
        <f t="shared" si="160"/>
        <v>0</v>
      </c>
      <c r="G748" s="24" t="str">
        <f t="shared" si="166"/>
        <v>PLAUMF3411BK</v>
      </c>
      <c r="H748" s="24">
        <f t="shared" si="161"/>
        <v>1</v>
      </c>
      <c r="I748" s="24" t="str">
        <f t="shared" si="167"/>
        <v/>
      </c>
      <c r="J748" s="24">
        <f t="shared" si="162"/>
        <v>0</v>
      </c>
      <c r="K748" s="24" t="str">
        <f t="shared" si="168"/>
        <v>F3</v>
      </c>
      <c r="L748" s="24" t="str">
        <f>VLOOKUP(N748,CODE!K:P,CODE!$P$1,FALSE)</f>
        <v>모자</v>
      </c>
      <c r="M748" s="24" t="str">
        <f>VLOOKUP(MID(R748,1,3),CODE!$B:$G,CODE!D$1,FALSE)</f>
        <v>PLA</v>
      </c>
      <c r="N748" s="24" t="str">
        <f t="shared" si="169"/>
        <v>UM</v>
      </c>
      <c r="O748" s="29" t="str">
        <f>IF(ISERROR(IF(VLOOKUP($N748,CODE!$K:$P,CODE!$O$1,FALSE)="",$M748,$M748&amp;"-"&amp;VLOOKUP($N748,CODE!$K:$P,CODE!$O$1,FALSE)))=TRUE,"",IF(VLOOKUP($N748,CODE!$K:$P,CODE!$O$1,FALSE)="",$M748,$M748&amp;"-"&amp;VLOOKUP($N748,CODE!$K:$P,CODE!$O$1,FALSE)))</f>
        <v>PLA</v>
      </c>
      <c r="P748" s="29" t="str">
        <f t="shared" si="170"/>
        <v>성인</v>
      </c>
      <c r="Q748" s="29" t="str">
        <f t="shared" si="171"/>
        <v>PLAUMF3411</v>
      </c>
      <c r="R748" s="1" t="s">
        <v>1593</v>
      </c>
      <c r="S748" s="1" t="s">
        <v>14</v>
      </c>
      <c r="T748" s="26">
        <v>1500</v>
      </c>
      <c r="U748" s="26">
        <v>88500000</v>
      </c>
      <c r="V748" s="26">
        <v>10291050.000000002</v>
      </c>
      <c r="W748" s="26">
        <v>7.817914154002306</v>
      </c>
      <c r="X748" s="26">
        <v>1499</v>
      </c>
      <c r="Y748" s="26">
        <v>0</v>
      </c>
    </row>
    <row r="749" spans="1:25">
      <c r="A749" s="24" t="str">
        <f t="shared" si="163"/>
        <v>러닝</v>
      </c>
      <c r="B749" s="24" t="str">
        <f>IF(COUNTIF(R$1:R748,R749)=0,"최초","리오더")</f>
        <v>최초</v>
      </c>
      <c r="C749" s="24" t="str">
        <f t="shared" si="164"/>
        <v>YGFSNF3302</v>
      </c>
      <c r="D749" s="24">
        <f t="shared" si="159"/>
        <v>1</v>
      </c>
      <c r="E749" s="24" t="str">
        <f t="shared" si="165"/>
        <v/>
      </c>
      <c r="F749" s="24">
        <f t="shared" si="160"/>
        <v>0</v>
      </c>
      <c r="G749" s="24" t="str">
        <f t="shared" si="166"/>
        <v>YGFSNF3302BK</v>
      </c>
      <c r="H749" s="24">
        <f t="shared" si="161"/>
        <v>1</v>
      </c>
      <c r="I749" s="24" t="str">
        <f t="shared" si="167"/>
        <v/>
      </c>
      <c r="J749" s="24">
        <f t="shared" si="162"/>
        <v>0</v>
      </c>
      <c r="K749" s="24" t="str">
        <f t="shared" si="168"/>
        <v>F3</v>
      </c>
      <c r="L749" s="24" t="str">
        <f>VLOOKUP(N749,CODE!K:P,CODE!$P$1,FALSE)</f>
        <v>모자</v>
      </c>
      <c r="M749" s="24" t="str">
        <f>VLOOKUP(MID(R749,1,3),CODE!$B:$G,CODE!D$1,FALSE)</f>
        <v>YGF</v>
      </c>
      <c r="N749" s="24" t="str">
        <f t="shared" si="169"/>
        <v>SN</v>
      </c>
      <c r="O749" s="29" t="str">
        <f>IF(ISERROR(IF(VLOOKUP($N749,CODE!$K:$P,CODE!$O$1,FALSE)="",$M749,$M749&amp;"-"&amp;VLOOKUP($N749,CODE!$K:$P,CODE!$O$1,FALSE)))=TRUE,"",IF(VLOOKUP($N749,CODE!$K:$P,CODE!$O$1,FALSE)="",$M749,$M749&amp;"-"&amp;VLOOKUP($N749,CODE!$K:$P,CODE!$O$1,FALSE)))</f>
        <v>YGF</v>
      </c>
      <c r="P749" s="29" t="str">
        <f t="shared" si="170"/>
        <v>성인</v>
      </c>
      <c r="Q749" s="29" t="str">
        <f t="shared" si="171"/>
        <v>YGFSNF3302</v>
      </c>
      <c r="R749" s="1" t="s">
        <v>1594</v>
      </c>
      <c r="S749" s="1" t="s">
        <v>14</v>
      </c>
      <c r="T749" s="26">
        <v>500</v>
      </c>
      <c r="U749" s="26">
        <v>29500000</v>
      </c>
      <c r="V749" s="26">
        <v>2917802</v>
      </c>
      <c r="W749" s="26">
        <v>9.1912274438710426</v>
      </c>
      <c r="X749" s="26">
        <v>499</v>
      </c>
      <c r="Y749" s="26">
        <v>0</v>
      </c>
    </row>
    <row r="750" spans="1:25">
      <c r="A750" s="24" t="str">
        <f t="shared" si="163"/>
        <v>러닝</v>
      </c>
      <c r="B750" s="24" t="str">
        <f>IF(COUNTIF(R$1:R749,R750)=0,"최초","리오더")</f>
        <v>최초</v>
      </c>
      <c r="C750" s="24" t="str">
        <f t="shared" si="164"/>
        <v>YGFSNF3311</v>
      </c>
      <c r="D750" s="24">
        <f t="shared" si="159"/>
        <v>1</v>
      </c>
      <c r="E750" s="24" t="str">
        <f t="shared" si="165"/>
        <v/>
      </c>
      <c r="F750" s="24">
        <f t="shared" si="160"/>
        <v>0</v>
      </c>
      <c r="G750" s="24" t="str">
        <f t="shared" si="166"/>
        <v>YGFSNF3311BK</v>
      </c>
      <c r="H750" s="24">
        <f t="shared" si="161"/>
        <v>1</v>
      </c>
      <c r="I750" s="24" t="str">
        <f t="shared" si="167"/>
        <v/>
      </c>
      <c r="J750" s="24">
        <f t="shared" si="162"/>
        <v>0</v>
      </c>
      <c r="K750" s="24" t="str">
        <f t="shared" si="168"/>
        <v>F3</v>
      </c>
      <c r="L750" s="24" t="str">
        <f>VLOOKUP(N750,CODE!K:P,CODE!$P$1,FALSE)</f>
        <v>모자</v>
      </c>
      <c r="M750" s="24" t="str">
        <f>VLOOKUP(MID(R750,1,3),CODE!$B:$G,CODE!D$1,FALSE)</f>
        <v>YGF</v>
      </c>
      <c r="N750" s="24" t="str">
        <f t="shared" si="169"/>
        <v>SN</v>
      </c>
      <c r="O750" s="29" t="str">
        <f>IF(ISERROR(IF(VLOOKUP($N750,CODE!$K:$P,CODE!$O$1,FALSE)="",$M750,$M750&amp;"-"&amp;VLOOKUP($N750,CODE!$K:$P,CODE!$O$1,FALSE)))=TRUE,"",IF(VLOOKUP($N750,CODE!$K:$P,CODE!$O$1,FALSE)="",$M750,$M750&amp;"-"&amp;VLOOKUP($N750,CODE!$K:$P,CODE!$O$1,FALSE)))</f>
        <v>YGF</v>
      </c>
      <c r="P750" s="29" t="str">
        <f t="shared" si="170"/>
        <v>성인</v>
      </c>
      <c r="Q750" s="29" t="str">
        <f t="shared" si="171"/>
        <v>YGFSNF3311</v>
      </c>
      <c r="R750" s="1" t="s">
        <v>1595</v>
      </c>
      <c r="S750" s="1" t="s">
        <v>14</v>
      </c>
      <c r="T750" s="26">
        <v>1000</v>
      </c>
      <c r="U750" s="26">
        <v>55000000</v>
      </c>
      <c r="V750" s="26">
        <v>5749206</v>
      </c>
      <c r="W750" s="26">
        <v>8.6968530958883701</v>
      </c>
      <c r="X750" s="26">
        <v>999</v>
      </c>
      <c r="Y750" s="26">
        <v>0</v>
      </c>
    </row>
    <row r="751" spans="1:25">
      <c r="A751" s="24" t="str">
        <f t="shared" si="163"/>
        <v>신규</v>
      </c>
      <c r="B751" s="24" t="str">
        <f>IF(COUNTIF(R$1:R750,R751)=0,"최초","리오더")</f>
        <v>최초</v>
      </c>
      <c r="C751" s="24" t="str">
        <f t="shared" si="164"/>
        <v>URBSNF3002</v>
      </c>
      <c r="D751" s="24">
        <f t="shared" si="159"/>
        <v>1</v>
      </c>
      <c r="E751" s="24" t="str">
        <f t="shared" si="165"/>
        <v/>
      </c>
      <c r="F751" s="24">
        <f t="shared" si="160"/>
        <v>0</v>
      </c>
      <c r="G751" s="24" t="str">
        <f t="shared" si="166"/>
        <v>URBSNF3002BK</v>
      </c>
      <c r="H751" s="24">
        <f t="shared" si="161"/>
        <v>1</v>
      </c>
      <c r="I751" s="24" t="str">
        <f t="shared" si="167"/>
        <v/>
      </c>
      <c r="J751" s="24">
        <f t="shared" si="162"/>
        <v>0</v>
      </c>
      <c r="K751" s="24" t="str">
        <f t="shared" si="168"/>
        <v>F3</v>
      </c>
      <c r="L751" s="24" t="str">
        <f>VLOOKUP(N751,CODE!K:P,CODE!$P$1,FALSE)</f>
        <v>모자</v>
      </c>
      <c r="M751" s="24" t="str">
        <f>VLOOKUP(MID(R751,1,3),CODE!$B:$G,CODE!D$1,FALSE)</f>
        <v>URB</v>
      </c>
      <c r="N751" s="24" t="str">
        <f t="shared" si="169"/>
        <v>SN</v>
      </c>
      <c r="O751" s="29" t="str">
        <f>IF(ISERROR(IF(VLOOKUP($N751,CODE!$K:$P,CODE!$O$1,FALSE)="",$M751,$M751&amp;"-"&amp;VLOOKUP($N751,CODE!$K:$P,CODE!$O$1,FALSE)))=TRUE,"",IF(VLOOKUP($N751,CODE!$K:$P,CODE!$O$1,FALSE)="",$M751,$M751&amp;"-"&amp;VLOOKUP($N751,CODE!$K:$P,CODE!$O$1,FALSE)))</f>
        <v>URB</v>
      </c>
      <c r="P751" s="29" t="str">
        <f t="shared" si="170"/>
        <v>성인</v>
      </c>
      <c r="Q751" s="29" t="str">
        <f t="shared" si="171"/>
        <v>URBSNF3002</v>
      </c>
      <c r="R751" s="1" t="s">
        <v>1596</v>
      </c>
      <c r="S751" s="1" t="s">
        <v>14</v>
      </c>
      <c r="T751" s="26">
        <v>1000</v>
      </c>
      <c r="U751" s="26">
        <v>53000000</v>
      </c>
      <c r="V751" s="26">
        <v>7480000</v>
      </c>
      <c r="W751" s="26">
        <v>6.4414195430238204</v>
      </c>
      <c r="X751" s="26">
        <v>1000</v>
      </c>
      <c r="Y751" s="26">
        <v>0</v>
      </c>
    </row>
    <row r="752" spans="1:25">
      <c r="A752" s="24" t="str">
        <f t="shared" si="163"/>
        <v>러닝</v>
      </c>
      <c r="B752" s="24" t="str">
        <f>IF(COUNTIF(R$1:R751,R752)=0,"최초","리오더")</f>
        <v>최초</v>
      </c>
      <c r="C752" s="24" t="str">
        <f t="shared" si="164"/>
        <v>URBSNF3304</v>
      </c>
      <c r="D752" s="24">
        <f t="shared" si="159"/>
        <v>1</v>
      </c>
      <c r="E752" s="24" t="str">
        <f t="shared" si="165"/>
        <v/>
      </c>
      <c r="F752" s="24">
        <f t="shared" si="160"/>
        <v>0</v>
      </c>
      <c r="G752" s="24" t="str">
        <f t="shared" si="166"/>
        <v>URBSNF3304BK</v>
      </c>
      <c r="H752" s="24">
        <f t="shared" si="161"/>
        <v>1</v>
      </c>
      <c r="I752" s="24" t="str">
        <f t="shared" si="167"/>
        <v/>
      </c>
      <c r="J752" s="24">
        <f t="shared" si="162"/>
        <v>0</v>
      </c>
      <c r="K752" s="24" t="str">
        <f t="shared" si="168"/>
        <v>F3</v>
      </c>
      <c r="L752" s="24" t="str">
        <f>VLOOKUP(N752,CODE!K:P,CODE!$P$1,FALSE)</f>
        <v>모자</v>
      </c>
      <c r="M752" s="24" t="str">
        <f>VLOOKUP(MID(R752,1,3),CODE!$B:$G,CODE!D$1,FALSE)</f>
        <v>URB</v>
      </c>
      <c r="N752" s="24" t="str">
        <f t="shared" si="169"/>
        <v>SN</v>
      </c>
      <c r="O752" s="29" t="str">
        <f>IF(ISERROR(IF(VLOOKUP($N752,CODE!$K:$P,CODE!$O$1,FALSE)="",$M752,$M752&amp;"-"&amp;VLOOKUP($N752,CODE!$K:$P,CODE!$O$1,FALSE)))=TRUE,"",IF(VLOOKUP($N752,CODE!$K:$P,CODE!$O$1,FALSE)="",$M752,$M752&amp;"-"&amp;VLOOKUP($N752,CODE!$K:$P,CODE!$O$1,FALSE)))</f>
        <v>URB</v>
      </c>
      <c r="P752" s="29" t="str">
        <f t="shared" si="170"/>
        <v>성인</v>
      </c>
      <c r="Q752" s="29" t="str">
        <f t="shared" si="171"/>
        <v>URBSNF3304</v>
      </c>
      <c r="R752" s="1" t="s">
        <v>1597</v>
      </c>
      <c r="S752" s="1" t="s">
        <v>14</v>
      </c>
      <c r="T752" s="26">
        <v>1500</v>
      </c>
      <c r="U752" s="26">
        <v>73500000</v>
      </c>
      <c r="V752" s="26">
        <v>11220000</v>
      </c>
      <c r="W752" s="26">
        <v>5.9552746718522114</v>
      </c>
      <c r="X752" s="26">
        <v>1500</v>
      </c>
      <c r="Y752" s="26">
        <v>0</v>
      </c>
    </row>
    <row r="753" spans="1:25">
      <c r="A753" s="24" t="str">
        <f t="shared" si="163"/>
        <v>러닝</v>
      </c>
      <c r="B753" s="24" t="str">
        <f>IF(COUNTIF(R$1:R752,R753)=0,"최초","리오더")</f>
        <v>최초</v>
      </c>
      <c r="C753" s="24" t="str">
        <f t="shared" si="164"/>
        <v>URBSNF3410</v>
      </c>
      <c r="D753" s="24">
        <f t="shared" si="159"/>
        <v>1</v>
      </c>
      <c r="E753" s="24" t="str">
        <f t="shared" si="165"/>
        <v/>
      </c>
      <c r="F753" s="24">
        <f t="shared" si="160"/>
        <v>0</v>
      </c>
      <c r="G753" s="24" t="str">
        <f t="shared" si="166"/>
        <v>URBSNF3410BK</v>
      </c>
      <c r="H753" s="24">
        <f t="shared" si="161"/>
        <v>1</v>
      </c>
      <c r="I753" s="24" t="str">
        <f t="shared" si="167"/>
        <v/>
      </c>
      <c r="J753" s="24">
        <f t="shared" si="162"/>
        <v>0</v>
      </c>
      <c r="K753" s="24" t="str">
        <f t="shared" si="168"/>
        <v>F3</v>
      </c>
      <c r="L753" s="24" t="str">
        <f>VLOOKUP(N753,CODE!K:P,CODE!$P$1,FALSE)</f>
        <v>모자</v>
      </c>
      <c r="M753" s="24" t="str">
        <f>VLOOKUP(MID(R753,1,3),CODE!$B:$G,CODE!D$1,FALSE)</f>
        <v>URB</v>
      </c>
      <c r="N753" s="24" t="str">
        <f t="shared" si="169"/>
        <v>SN</v>
      </c>
      <c r="O753" s="29" t="str">
        <f>IF(ISERROR(IF(VLOOKUP($N753,CODE!$K:$P,CODE!$O$1,FALSE)="",$M753,$M753&amp;"-"&amp;VLOOKUP($N753,CODE!$K:$P,CODE!$O$1,FALSE)))=TRUE,"",IF(VLOOKUP($N753,CODE!$K:$P,CODE!$O$1,FALSE)="",$M753,$M753&amp;"-"&amp;VLOOKUP($N753,CODE!$K:$P,CODE!$O$1,FALSE)))</f>
        <v>URB</v>
      </c>
      <c r="P753" s="29" t="str">
        <f t="shared" si="170"/>
        <v>성인</v>
      </c>
      <c r="Q753" s="29" t="str">
        <f t="shared" si="171"/>
        <v>URBSNF3410</v>
      </c>
      <c r="R753" s="1" t="s">
        <v>1598</v>
      </c>
      <c r="S753" s="1" t="s">
        <v>14</v>
      </c>
      <c r="T753" s="26">
        <v>1000</v>
      </c>
      <c r="U753" s="26">
        <v>43000000</v>
      </c>
      <c r="V753" s="26">
        <v>5112512.0000000009</v>
      </c>
      <c r="W753" s="26">
        <v>7.6461256405675107</v>
      </c>
      <c r="X753" s="26">
        <v>999</v>
      </c>
      <c r="Y753" s="26">
        <v>0</v>
      </c>
    </row>
    <row r="754" spans="1:25">
      <c r="A754" s="24" t="str">
        <f t="shared" si="163"/>
        <v>러닝</v>
      </c>
      <c r="B754" s="24" t="str">
        <f>IF(COUNTIF(R$1:R753,R754)=0,"최초","리오더")</f>
        <v>최초</v>
      </c>
      <c r="C754" s="24" t="str">
        <f t="shared" si="164"/>
        <v>URBSNF3411</v>
      </c>
      <c r="D754" s="24">
        <f t="shared" si="159"/>
        <v>1</v>
      </c>
      <c r="E754" s="24" t="str">
        <f t="shared" si="165"/>
        <v/>
      </c>
      <c r="F754" s="24">
        <f t="shared" si="160"/>
        <v>0</v>
      </c>
      <c r="G754" s="24" t="str">
        <f t="shared" si="166"/>
        <v>URBSNF3411BK</v>
      </c>
      <c r="H754" s="24">
        <f t="shared" si="161"/>
        <v>1</v>
      </c>
      <c r="I754" s="24" t="str">
        <f t="shared" si="167"/>
        <v/>
      </c>
      <c r="J754" s="24">
        <f t="shared" si="162"/>
        <v>0</v>
      </c>
      <c r="K754" s="24" t="str">
        <f t="shared" si="168"/>
        <v>F3</v>
      </c>
      <c r="L754" s="24" t="str">
        <f>VLOOKUP(N754,CODE!K:P,CODE!$P$1,FALSE)</f>
        <v>모자</v>
      </c>
      <c r="M754" s="24" t="str">
        <f>VLOOKUP(MID(R754,1,3),CODE!$B:$G,CODE!D$1,FALSE)</f>
        <v>URB</v>
      </c>
      <c r="N754" s="24" t="str">
        <f t="shared" si="169"/>
        <v>SN</v>
      </c>
      <c r="O754" s="29" t="str">
        <f>IF(ISERROR(IF(VLOOKUP($N754,CODE!$K:$P,CODE!$O$1,FALSE)="",$M754,$M754&amp;"-"&amp;VLOOKUP($N754,CODE!$K:$P,CODE!$O$1,FALSE)))=TRUE,"",IF(VLOOKUP($N754,CODE!$K:$P,CODE!$O$1,FALSE)="",$M754,$M754&amp;"-"&amp;VLOOKUP($N754,CODE!$K:$P,CODE!$O$1,FALSE)))</f>
        <v>URB</v>
      </c>
      <c r="P754" s="29" t="str">
        <f t="shared" si="170"/>
        <v>성인</v>
      </c>
      <c r="Q754" s="29" t="str">
        <f t="shared" si="171"/>
        <v>URBSNF3411</v>
      </c>
      <c r="R754" s="1" t="s">
        <v>1599</v>
      </c>
      <c r="S754" s="1" t="s">
        <v>14</v>
      </c>
      <c r="T754" s="26">
        <v>1000</v>
      </c>
      <c r="U754" s="26">
        <v>43000000</v>
      </c>
      <c r="V754" s="26">
        <v>4003402.0000000009</v>
      </c>
      <c r="W754" s="26">
        <v>9.7644226312793663</v>
      </c>
      <c r="X754" s="26">
        <v>995</v>
      </c>
      <c r="Y754" s="26">
        <v>0</v>
      </c>
    </row>
    <row r="755" spans="1:25">
      <c r="A755" s="24" t="str">
        <f t="shared" si="163"/>
        <v>러닝</v>
      </c>
      <c r="B755" s="24" t="str">
        <f>IF(COUNTIF(R$1:R754,R755)=0,"최초","리오더")</f>
        <v>최초</v>
      </c>
      <c r="C755" s="24" t="str">
        <f t="shared" si="164"/>
        <v>URBSNF3412</v>
      </c>
      <c r="D755" s="24">
        <f t="shared" si="159"/>
        <v>1</v>
      </c>
      <c r="E755" s="24" t="str">
        <f t="shared" si="165"/>
        <v/>
      </c>
      <c r="F755" s="24">
        <f t="shared" si="160"/>
        <v>0</v>
      </c>
      <c r="G755" s="24" t="str">
        <f t="shared" si="166"/>
        <v>URBSNF3412BK</v>
      </c>
      <c r="H755" s="24">
        <f t="shared" si="161"/>
        <v>1</v>
      </c>
      <c r="I755" s="24" t="str">
        <f t="shared" si="167"/>
        <v/>
      </c>
      <c r="J755" s="24">
        <f t="shared" si="162"/>
        <v>0</v>
      </c>
      <c r="K755" s="24" t="str">
        <f t="shared" si="168"/>
        <v>F3</v>
      </c>
      <c r="L755" s="24" t="str">
        <f>VLOOKUP(N755,CODE!K:P,CODE!$P$1,FALSE)</f>
        <v>모자</v>
      </c>
      <c r="M755" s="24" t="str">
        <f>VLOOKUP(MID(R755,1,3),CODE!$B:$G,CODE!D$1,FALSE)</f>
        <v>URB</v>
      </c>
      <c r="N755" s="24" t="str">
        <f t="shared" si="169"/>
        <v>SN</v>
      </c>
      <c r="O755" s="29" t="str">
        <f>IF(ISERROR(IF(VLOOKUP($N755,CODE!$K:$P,CODE!$O$1,FALSE)="",$M755,$M755&amp;"-"&amp;VLOOKUP($N755,CODE!$K:$P,CODE!$O$1,FALSE)))=TRUE,"",IF(VLOOKUP($N755,CODE!$K:$P,CODE!$O$1,FALSE)="",$M755,$M755&amp;"-"&amp;VLOOKUP($N755,CODE!$K:$P,CODE!$O$1,FALSE)))</f>
        <v>URB</v>
      </c>
      <c r="P755" s="29" t="str">
        <f t="shared" si="170"/>
        <v>성인</v>
      </c>
      <c r="Q755" s="29" t="str">
        <f t="shared" si="171"/>
        <v>URBSNF3412</v>
      </c>
      <c r="R755" s="1" t="s">
        <v>1600</v>
      </c>
      <c r="S755" s="1" t="s">
        <v>14</v>
      </c>
      <c r="T755" s="26">
        <v>1000</v>
      </c>
      <c r="U755" s="26">
        <v>43000000</v>
      </c>
      <c r="V755" s="26">
        <v>4863032.0000000009</v>
      </c>
      <c r="W755" s="26">
        <v>8.0383820404449491</v>
      </c>
      <c r="X755" s="26">
        <v>999</v>
      </c>
      <c r="Y755" s="26">
        <v>0</v>
      </c>
    </row>
    <row r="756" spans="1:25">
      <c r="A756" s="24" t="str">
        <f t="shared" si="163"/>
        <v>신규</v>
      </c>
      <c r="B756" s="24" t="str">
        <f>IF(COUNTIF(R$1:R755,R756)=0,"최초","리오더")</f>
        <v>최초</v>
      </c>
      <c r="C756" s="24" t="str">
        <f t="shared" si="164"/>
        <v>DPSERF5509</v>
      </c>
      <c r="D756" s="24">
        <f t="shared" si="159"/>
        <v>1</v>
      </c>
      <c r="E756" s="24" t="str">
        <f t="shared" si="165"/>
        <v/>
      </c>
      <c r="F756" s="24">
        <f t="shared" si="160"/>
        <v>0</v>
      </c>
      <c r="G756" s="24" t="str">
        <f t="shared" si="166"/>
        <v>DPSERF5509PK</v>
      </c>
      <c r="H756" s="24">
        <f t="shared" si="161"/>
        <v>1</v>
      </c>
      <c r="I756" s="24" t="str">
        <f t="shared" si="167"/>
        <v/>
      </c>
      <c r="J756" s="24">
        <f t="shared" si="162"/>
        <v>0</v>
      </c>
      <c r="K756" s="24" t="str">
        <f t="shared" si="168"/>
        <v>F5</v>
      </c>
      <c r="L756" s="24" t="str">
        <f>VLOOKUP(N756,CODE!K:P,CODE!$P$1,FALSE)</f>
        <v>모자</v>
      </c>
      <c r="M756" s="24" t="str">
        <f>VLOOKUP(MID(R756,1,3),CODE!$B:$G,CODE!D$1,FALSE)</f>
        <v>DPS</v>
      </c>
      <c r="N756" s="24" t="str">
        <f t="shared" si="169"/>
        <v>ER</v>
      </c>
      <c r="O756" s="29" t="str">
        <f>IF(ISERROR(IF(VLOOKUP($N756,CODE!$K:$P,CODE!$O$1,FALSE)="",$M756,$M756&amp;"-"&amp;VLOOKUP($N756,CODE!$K:$P,CODE!$O$1,FALSE)))=TRUE,"",IF(VLOOKUP($N756,CODE!$K:$P,CODE!$O$1,FALSE)="",$M756,$M756&amp;"-"&amp;VLOOKUP($N756,CODE!$K:$P,CODE!$O$1,FALSE)))</f>
        <v>DPS</v>
      </c>
      <c r="P756" s="29" t="str">
        <f t="shared" si="170"/>
        <v>키즈</v>
      </c>
      <c r="Q756" s="29" t="str">
        <f t="shared" si="171"/>
        <v>DPSERF5509</v>
      </c>
      <c r="R756" s="1" t="s">
        <v>1601</v>
      </c>
      <c r="S756" s="1" t="s">
        <v>14</v>
      </c>
      <c r="T756" s="26">
        <v>1200</v>
      </c>
      <c r="U756" s="26">
        <v>58800000</v>
      </c>
      <c r="V756" s="26">
        <v>6841032</v>
      </c>
      <c r="W756" s="26">
        <v>7.8138130993314245</v>
      </c>
      <c r="X756" s="26">
        <v>1200</v>
      </c>
      <c r="Y756" s="26">
        <v>0</v>
      </c>
    </row>
    <row r="757" spans="1:25">
      <c r="A757" s="24" t="str">
        <f t="shared" si="163"/>
        <v>신규</v>
      </c>
      <c r="B757" s="24" t="str">
        <f>IF(COUNTIF(R$1:R756,R757)=0,"최초","리오더")</f>
        <v>최초</v>
      </c>
      <c r="C757" s="24" t="str">
        <f t="shared" si="164"/>
        <v>FFTSNF3004</v>
      </c>
      <c r="D757" s="24">
        <f t="shared" si="159"/>
        <v>1</v>
      </c>
      <c r="E757" s="24" t="str">
        <f t="shared" si="165"/>
        <v/>
      </c>
      <c r="F757" s="24">
        <f t="shared" si="160"/>
        <v>0</v>
      </c>
      <c r="G757" s="24" t="str">
        <f t="shared" si="166"/>
        <v>FFTSNF3004BU</v>
      </c>
      <c r="H757" s="24">
        <f t="shared" si="161"/>
        <v>1</v>
      </c>
      <c r="I757" s="24" t="str">
        <f t="shared" si="167"/>
        <v/>
      </c>
      <c r="J757" s="24">
        <f t="shared" si="162"/>
        <v>0</v>
      </c>
      <c r="K757" s="24" t="str">
        <f t="shared" si="168"/>
        <v>F3</v>
      </c>
      <c r="L757" s="24" t="str">
        <f>VLOOKUP(N757,CODE!K:P,CODE!$P$1,FALSE)</f>
        <v>모자</v>
      </c>
      <c r="M757" s="24" t="str">
        <f>VLOOKUP(MID(R757,1,3),CODE!$B:$G,CODE!D$1,FALSE)</f>
        <v>FFT</v>
      </c>
      <c r="N757" s="24" t="str">
        <f t="shared" si="169"/>
        <v>SN</v>
      </c>
      <c r="O757" s="29" t="str">
        <f>IF(ISERROR(IF(VLOOKUP($N757,CODE!$K:$P,CODE!$O$1,FALSE)="",$M757,$M757&amp;"-"&amp;VLOOKUP($N757,CODE!$K:$P,CODE!$O$1,FALSE)))=TRUE,"",IF(VLOOKUP($N757,CODE!$K:$P,CODE!$O$1,FALSE)="",$M757,$M757&amp;"-"&amp;VLOOKUP($N757,CODE!$K:$P,CODE!$O$1,FALSE)))</f>
        <v>FFT</v>
      </c>
      <c r="P757" s="29" t="str">
        <f t="shared" si="170"/>
        <v>성인</v>
      </c>
      <c r="Q757" s="29" t="str">
        <f t="shared" si="171"/>
        <v>FFTSNF3004</v>
      </c>
      <c r="R757" s="1" t="s">
        <v>1602</v>
      </c>
      <c r="S757" s="1" t="s">
        <v>15</v>
      </c>
      <c r="T757" s="26">
        <v>20</v>
      </c>
      <c r="U757" s="26">
        <v>900000</v>
      </c>
      <c r="V757" s="26">
        <v>368181.81818181818</v>
      </c>
      <c r="W757" s="26">
        <v>2.2222222222222223</v>
      </c>
      <c r="X757" s="26">
        <v>20</v>
      </c>
      <c r="Y757" s="26">
        <v>0</v>
      </c>
    </row>
    <row r="758" spans="1:25">
      <c r="A758" s="24" t="str">
        <f t="shared" si="163"/>
        <v>신규</v>
      </c>
      <c r="B758" s="24" t="str">
        <f>IF(COUNTIF(R$1:R757,R758)=0,"최초","리오더")</f>
        <v>최초</v>
      </c>
      <c r="C758" s="24" t="str">
        <f t="shared" si="164"/>
        <v>FFTSNF3007</v>
      </c>
      <c r="D758" s="24">
        <f t="shared" si="159"/>
        <v>1</v>
      </c>
      <c r="E758" s="24" t="str">
        <f t="shared" si="165"/>
        <v/>
      </c>
      <c r="F758" s="24">
        <f t="shared" si="160"/>
        <v>0</v>
      </c>
      <c r="G758" s="24" t="str">
        <f t="shared" si="166"/>
        <v>FFTSNF3007RE</v>
      </c>
      <c r="H758" s="24">
        <f t="shared" si="161"/>
        <v>1</v>
      </c>
      <c r="I758" s="24" t="str">
        <f t="shared" si="167"/>
        <v/>
      </c>
      <c r="J758" s="24">
        <f t="shared" si="162"/>
        <v>0</v>
      </c>
      <c r="K758" s="24" t="str">
        <f t="shared" si="168"/>
        <v>F3</v>
      </c>
      <c r="L758" s="24" t="str">
        <f>VLOOKUP(N758,CODE!K:P,CODE!$P$1,FALSE)</f>
        <v>모자</v>
      </c>
      <c r="M758" s="24" t="str">
        <f>VLOOKUP(MID(R758,1,3),CODE!$B:$G,CODE!D$1,FALSE)</f>
        <v>FFT</v>
      </c>
      <c r="N758" s="24" t="str">
        <f t="shared" si="169"/>
        <v>SN</v>
      </c>
      <c r="O758" s="29" t="str">
        <f>IF(ISERROR(IF(VLOOKUP($N758,CODE!$K:$P,CODE!$O$1,FALSE)="",$M758,$M758&amp;"-"&amp;VLOOKUP($N758,CODE!$K:$P,CODE!$O$1,FALSE)))=TRUE,"",IF(VLOOKUP($N758,CODE!$K:$P,CODE!$O$1,FALSE)="",$M758,$M758&amp;"-"&amp;VLOOKUP($N758,CODE!$K:$P,CODE!$O$1,FALSE)))</f>
        <v>FFT</v>
      </c>
      <c r="P758" s="29" t="str">
        <f t="shared" si="170"/>
        <v>성인</v>
      </c>
      <c r="Q758" s="29" t="str">
        <f t="shared" si="171"/>
        <v>FFTSNF3007</v>
      </c>
      <c r="R758" s="1" t="s">
        <v>1603</v>
      </c>
      <c r="S758" s="1" t="s">
        <v>15</v>
      </c>
      <c r="T758" s="26">
        <v>150</v>
      </c>
      <c r="U758" s="26">
        <v>6750000</v>
      </c>
      <c r="V758" s="26">
        <v>2761363.6363636362</v>
      </c>
      <c r="W758" s="26">
        <v>2.2222222222222223</v>
      </c>
      <c r="X758" s="26">
        <v>149</v>
      </c>
      <c r="Y758" s="26">
        <v>0</v>
      </c>
    </row>
    <row r="759" spans="1:25">
      <c r="A759" s="24" t="str">
        <f t="shared" si="163"/>
        <v>신규</v>
      </c>
      <c r="B759" s="24" t="str">
        <f>IF(COUNTIF(R$1:R758,R759)=0,"최초","리오더")</f>
        <v>최초</v>
      </c>
      <c r="C759" s="24" t="str">
        <f t="shared" si="164"/>
        <v>FFTSNF3009</v>
      </c>
      <c r="D759" s="24">
        <f t="shared" si="159"/>
        <v>1</v>
      </c>
      <c r="E759" s="24" t="str">
        <f t="shared" si="165"/>
        <v/>
      </c>
      <c r="F759" s="24">
        <f t="shared" si="160"/>
        <v>0</v>
      </c>
      <c r="G759" s="24" t="str">
        <f t="shared" si="166"/>
        <v>FFTSNF3009BU</v>
      </c>
      <c r="H759" s="24">
        <f t="shared" si="161"/>
        <v>1</v>
      </c>
      <c r="I759" s="24" t="str">
        <f t="shared" si="167"/>
        <v/>
      </c>
      <c r="J759" s="24">
        <f t="shared" si="162"/>
        <v>0</v>
      </c>
      <c r="K759" s="24" t="str">
        <f t="shared" si="168"/>
        <v>F3</v>
      </c>
      <c r="L759" s="24" t="str">
        <f>VLOOKUP(N759,CODE!K:P,CODE!$P$1,FALSE)</f>
        <v>모자</v>
      </c>
      <c r="M759" s="24" t="str">
        <f>VLOOKUP(MID(R759,1,3),CODE!$B:$G,CODE!D$1,FALSE)</f>
        <v>FFT</v>
      </c>
      <c r="N759" s="24" t="str">
        <f t="shared" si="169"/>
        <v>SN</v>
      </c>
      <c r="O759" s="29" t="str">
        <f>IF(ISERROR(IF(VLOOKUP($N759,CODE!$K:$P,CODE!$O$1,FALSE)="",$M759,$M759&amp;"-"&amp;VLOOKUP($N759,CODE!$K:$P,CODE!$O$1,FALSE)))=TRUE,"",IF(VLOOKUP($N759,CODE!$K:$P,CODE!$O$1,FALSE)="",$M759,$M759&amp;"-"&amp;VLOOKUP($N759,CODE!$K:$P,CODE!$O$1,FALSE)))</f>
        <v>FFT</v>
      </c>
      <c r="P759" s="29" t="str">
        <f t="shared" si="170"/>
        <v>성인</v>
      </c>
      <c r="Q759" s="29" t="str">
        <f t="shared" si="171"/>
        <v>FFTSNF3009</v>
      </c>
      <c r="R759" s="1" t="s">
        <v>1604</v>
      </c>
      <c r="S759" s="1" t="s">
        <v>15</v>
      </c>
      <c r="T759" s="26">
        <v>28</v>
      </c>
      <c r="U759" s="26">
        <v>1260000</v>
      </c>
      <c r="V759" s="26">
        <v>515454.54545454541</v>
      </c>
      <c r="W759" s="26">
        <v>2.2222222222222223</v>
      </c>
      <c r="X759" s="26">
        <v>28</v>
      </c>
      <c r="Y759" s="26">
        <v>0</v>
      </c>
    </row>
    <row r="760" spans="1:25">
      <c r="A760" s="24" t="str">
        <f t="shared" si="163"/>
        <v>신규</v>
      </c>
      <c r="B760" s="24" t="str">
        <f>IF(COUNTIF(R$1:R759,R760)=0,"최초","리오더")</f>
        <v>최초</v>
      </c>
      <c r="C760" s="24" t="str">
        <f t="shared" si="164"/>
        <v>FFTSNF5011</v>
      </c>
      <c r="D760" s="24">
        <f t="shared" si="159"/>
        <v>1</v>
      </c>
      <c r="E760" s="24" t="str">
        <f t="shared" si="165"/>
        <v/>
      </c>
      <c r="F760" s="24">
        <f t="shared" si="160"/>
        <v>0</v>
      </c>
      <c r="G760" s="24" t="str">
        <f t="shared" si="166"/>
        <v>FFTSNF5011BK</v>
      </c>
      <c r="H760" s="24">
        <f t="shared" si="161"/>
        <v>1</v>
      </c>
      <c r="I760" s="24" t="str">
        <f t="shared" si="167"/>
        <v/>
      </c>
      <c r="J760" s="24">
        <f t="shared" si="162"/>
        <v>0</v>
      </c>
      <c r="K760" s="24" t="str">
        <f t="shared" si="168"/>
        <v>F5</v>
      </c>
      <c r="L760" s="24" t="str">
        <f>VLOOKUP(N760,CODE!K:P,CODE!$P$1,FALSE)</f>
        <v>모자</v>
      </c>
      <c r="M760" s="24" t="str">
        <f>VLOOKUP(MID(R760,1,3),CODE!$B:$G,CODE!D$1,FALSE)</f>
        <v>FFT</v>
      </c>
      <c r="N760" s="24" t="str">
        <f t="shared" si="169"/>
        <v>SN</v>
      </c>
      <c r="O760" s="29" t="str">
        <f>IF(ISERROR(IF(VLOOKUP($N760,CODE!$K:$P,CODE!$O$1,FALSE)="",$M760,$M760&amp;"-"&amp;VLOOKUP($N760,CODE!$K:$P,CODE!$O$1,FALSE)))=TRUE,"",IF(VLOOKUP($N760,CODE!$K:$P,CODE!$O$1,FALSE)="",$M760,$M760&amp;"-"&amp;VLOOKUP($N760,CODE!$K:$P,CODE!$O$1,FALSE)))</f>
        <v>FFT</v>
      </c>
      <c r="P760" s="29" t="str">
        <f t="shared" si="170"/>
        <v>성인</v>
      </c>
      <c r="Q760" s="29" t="str">
        <f t="shared" si="171"/>
        <v>FFTSNF5011</v>
      </c>
      <c r="R760" s="1" t="s">
        <v>1605</v>
      </c>
      <c r="S760" s="1" t="s">
        <v>15</v>
      </c>
      <c r="T760" s="26">
        <v>200</v>
      </c>
      <c r="U760" s="26">
        <v>9000000</v>
      </c>
      <c r="V760" s="26">
        <v>3681818.1818181816</v>
      </c>
      <c r="W760" s="26">
        <v>2.2222222222222223</v>
      </c>
      <c r="X760" s="26">
        <v>200</v>
      </c>
      <c r="Y760" s="26">
        <v>0</v>
      </c>
    </row>
    <row r="761" spans="1:25">
      <c r="A761" s="24" t="str">
        <f t="shared" si="163"/>
        <v>신규</v>
      </c>
      <c r="B761" s="24" t="str">
        <f>IF(COUNTIF(R$1:R760,R761)=0,"최초","리오더")</f>
        <v>최초</v>
      </c>
      <c r="C761" s="24" t="str">
        <f t="shared" si="164"/>
        <v>FFTSNF3022</v>
      </c>
      <c r="D761" s="24">
        <f t="shared" si="159"/>
        <v>1</v>
      </c>
      <c r="E761" s="24" t="str">
        <f t="shared" si="165"/>
        <v/>
      </c>
      <c r="F761" s="24">
        <f t="shared" si="160"/>
        <v>0</v>
      </c>
      <c r="G761" s="24" t="str">
        <f t="shared" si="166"/>
        <v>FFTSNF3022BK</v>
      </c>
      <c r="H761" s="24">
        <f t="shared" si="161"/>
        <v>1</v>
      </c>
      <c r="I761" s="24" t="str">
        <f t="shared" si="167"/>
        <v/>
      </c>
      <c r="J761" s="24">
        <f t="shared" si="162"/>
        <v>0</v>
      </c>
      <c r="K761" s="24" t="str">
        <f t="shared" si="168"/>
        <v>F3</v>
      </c>
      <c r="L761" s="24" t="str">
        <f>VLOOKUP(N761,CODE!K:P,CODE!$P$1,FALSE)</f>
        <v>모자</v>
      </c>
      <c r="M761" s="24" t="str">
        <f>VLOOKUP(MID(R761,1,3),CODE!$B:$G,CODE!D$1,FALSE)</f>
        <v>FFT</v>
      </c>
      <c r="N761" s="24" t="str">
        <f t="shared" si="169"/>
        <v>SN</v>
      </c>
      <c r="O761" s="29" t="str">
        <f>IF(ISERROR(IF(VLOOKUP($N761,CODE!$K:$P,CODE!$O$1,FALSE)="",$M761,$M761&amp;"-"&amp;VLOOKUP($N761,CODE!$K:$P,CODE!$O$1,FALSE)))=TRUE,"",IF(VLOOKUP($N761,CODE!$K:$P,CODE!$O$1,FALSE)="",$M761,$M761&amp;"-"&amp;VLOOKUP($N761,CODE!$K:$P,CODE!$O$1,FALSE)))</f>
        <v>FFT</v>
      </c>
      <c r="P761" s="29" t="str">
        <f t="shared" si="170"/>
        <v>성인</v>
      </c>
      <c r="Q761" s="29" t="str">
        <f t="shared" si="171"/>
        <v>FFTSNF3022</v>
      </c>
      <c r="R761" s="1" t="s">
        <v>1606</v>
      </c>
      <c r="S761" s="1" t="s">
        <v>15</v>
      </c>
      <c r="T761" s="26">
        <v>200</v>
      </c>
      <c r="U761" s="26">
        <v>9000000</v>
      </c>
      <c r="V761" s="26">
        <v>3681818.1818181816</v>
      </c>
      <c r="W761" s="26">
        <v>2.2222222222222223</v>
      </c>
      <c r="X761" s="26">
        <v>200</v>
      </c>
      <c r="Y761" s="26">
        <v>0</v>
      </c>
    </row>
    <row r="762" spans="1:25">
      <c r="A762" s="24" t="str">
        <f t="shared" si="163"/>
        <v>신규</v>
      </c>
      <c r="B762" s="24" t="str">
        <f>IF(COUNTIF(R$1:R761,R762)=0,"최초","리오더")</f>
        <v>최초</v>
      </c>
      <c r="C762" s="24" t="str">
        <f t="shared" si="164"/>
        <v>FFTSNF3023</v>
      </c>
      <c r="D762" s="24">
        <f t="shared" si="159"/>
        <v>1</v>
      </c>
      <c r="E762" s="24" t="str">
        <f t="shared" si="165"/>
        <v/>
      </c>
      <c r="F762" s="24">
        <f t="shared" si="160"/>
        <v>0</v>
      </c>
      <c r="G762" s="24" t="str">
        <f t="shared" si="166"/>
        <v>FFTSNF3023BK</v>
      </c>
      <c r="H762" s="24">
        <f t="shared" si="161"/>
        <v>1</v>
      </c>
      <c r="I762" s="24" t="str">
        <f t="shared" si="167"/>
        <v/>
      </c>
      <c r="J762" s="24">
        <f t="shared" si="162"/>
        <v>0</v>
      </c>
      <c r="K762" s="24" t="str">
        <f t="shared" si="168"/>
        <v>F3</v>
      </c>
      <c r="L762" s="24" t="str">
        <f>VLOOKUP(N762,CODE!K:P,CODE!$P$1,FALSE)</f>
        <v>모자</v>
      </c>
      <c r="M762" s="24" t="str">
        <f>VLOOKUP(MID(R762,1,3),CODE!$B:$G,CODE!D$1,FALSE)</f>
        <v>FFT</v>
      </c>
      <c r="N762" s="24" t="str">
        <f t="shared" si="169"/>
        <v>SN</v>
      </c>
      <c r="O762" s="29" t="str">
        <f>IF(ISERROR(IF(VLOOKUP($N762,CODE!$K:$P,CODE!$O$1,FALSE)="",$M762,$M762&amp;"-"&amp;VLOOKUP($N762,CODE!$K:$P,CODE!$O$1,FALSE)))=TRUE,"",IF(VLOOKUP($N762,CODE!$K:$P,CODE!$O$1,FALSE)="",$M762,$M762&amp;"-"&amp;VLOOKUP($N762,CODE!$K:$P,CODE!$O$1,FALSE)))</f>
        <v>FFT</v>
      </c>
      <c r="P762" s="29" t="str">
        <f t="shared" si="170"/>
        <v>성인</v>
      </c>
      <c r="Q762" s="29" t="str">
        <f t="shared" si="171"/>
        <v>FFTSNF3023</v>
      </c>
      <c r="R762" s="1" t="s">
        <v>1607</v>
      </c>
      <c r="S762" s="1" t="s">
        <v>15</v>
      </c>
      <c r="T762" s="26">
        <v>200</v>
      </c>
      <c r="U762" s="26">
        <v>11000000</v>
      </c>
      <c r="V762" s="26">
        <v>4500000</v>
      </c>
      <c r="W762" s="26">
        <v>2.2222222222222223</v>
      </c>
      <c r="X762" s="26">
        <v>200</v>
      </c>
      <c r="Y762" s="26">
        <v>0</v>
      </c>
    </row>
    <row r="763" spans="1:25">
      <c r="A763" s="24" t="str">
        <f t="shared" si="163"/>
        <v>신규</v>
      </c>
      <c r="B763" s="24" t="str">
        <f>IF(COUNTIF(R$1:R762,R763)=0,"최초","리오더")</f>
        <v>최초</v>
      </c>
      <c r="C763" s="24" t="str">
        <f t="shared" si="164"/>
        <v>FFTSNF3024</v>
      </c>
      <c r="D763" s="24">
        <f t="shared" si="159"/>
        <v>1</v>
      </c>
      <c r="E763" s="24" t="str">
        <f t="shared" si="165"/>
        <v/>
      </c>
      <c r="F763" s="24">
        <f t="shared" si="160"/>
        <v>0</v>
      </c>
      <c r="G763" s="24" t="str">
        <f t="shared" si="166"/>
        <v>FFTSNF3024BK</v>
      </c>
      <c r="H763" s="24">
        <f t="shared" si="161"/>
        <v>1</v>
      </c>
      <c r="I763" s="24" t="str">
        <f t="shared" si="167"/>
        <v/>
      </c>
      <c r="J763" s="24">
        <f t="shared" si="162"/>
        <v>0</v>
      </c>
      <c r="K763" s="24" t="str">
        <f t="shared" si="168"/>
        <v>F3</v>
      </c>
      <c r="L763" s="24" t="str">
        <f>VLOOKUP(N763,CODE!K:P,CODE!$P$1,FALSE)</f>
        <v>모자</v>
      </c>
      <c r="M763" s="24" t="str">
        <f>VLOOKUP(MID(R763,1,3),CODE!$B:$G,CODE!D$1,FALSE)</f>
        <v>FFT</v>
      </c>
      <c r="N763" s="24" t="str">
        <f t="shared" si="169"/>
        <v>SN</v>
      </c>
      <c r="O763" s="29" t="str">
        <f>IF(ISERROR(IF(VLOOKUP($N763,CODE!$K:$P,CODE!$O$1,FALSE)="",$M763,$M763&amp;"-"&amp;VLOOKUP($N763,CODE!$K:$P,CODE!$O$1,FALSE)))=TRUE,"",IF(VLOOKUP($N763,CODE!$K:$P,CODE!$O$1,FALSE)="",$M763,$M763&amp;"-"&amp;VLOOKUP($N763,CODE!$K:$P,CODE!$O$1,FALSE)))</f>
        <v>FFT</v>
      </c>
      <c r="P763" s="29" t="str">
        <f t="shared" si="170"/>
        <v>성인</v>
      </c>
      <c r="Q763" s="29" t="str">
        <f t="shared" si="171"/>
        <v>FFTSNF3024</v>
      </c>
      <c r="R763" s="1" t="s">
        <v>1608</v>
      </c>
      <c r="S763" s="1" t="s">
        <v>15</v>
      </c>
      <c r="T763" s="26">
        <v>200</v>
      </c>
      <c r="U763" s="26">
        <v>9800000</v>
      </c>
      <c r="V763" s="26">
        <v>4009090.9090909087</v>
      </c>
      <c r="W763" s="26">
        <v>2.2222222222222223</v>
      </c>
      <c r="X763" s="26">
        <v>200</v>
      </c>
      <c r="Y763" s="26">
        <v>0</v>
      </c>
    </row>
    <row r="764" spans="1:25">
      <c r="A764" s="24" t="str">
        <f t="shared" si="163"/>
        <v>신규</v>
      </c>
      <c r="B764" s="24" t="str">
        <f>IF(COUNTIF(R$1:R763,R764)=0,"최초","리오더")</f>
        <v>리오더</v>
      </c>
      <c r="C764" s="24" t="str">
        <f t="shared" si="164"/>
        <v/>
      </c>
      <c r="D764" s="24">
        <f t="shared" si="159"/>
        <v>0</v>
      </c>
      <c r="E764" s="24" t="str">
        <f t="shared" si="165"/>
        <v>SBRFAF3075</v>
      </c>
      <c r="F764" s="24">
        <f t="shared" si="160"/>
        <v>1</v>
      </c>
      <c r="G764" s="24" t="str">
        <f t="shared" si="166"/>
        <v/>
      </c>
      <c r="H764" s="24">
        <f t="shared" si="161"/>
        <v>0</v>
      </c>
      <c r="I764" s="24" t="str">
        <f t="shared" si="167"/>
        <v>SBRFAF3075BK</v>
      </c>
      <c r="J764" s="24">
        <f t="shared" si="162"/>
        <v>1</v>
      </c>
      <c r="K764" s="24" t="str">
        <f t="shared" si="168"/>
        <v>F3</v>
      </c>
      <c r="L764" s="24" t="str">
        <f>VLOOKUP(N764,CODE!K:P,CODE!$P$1,FALSE)</f>
        <v>모자</v>
      </c>
      <c r="M764" s="24" t="str">
        <f>VLOOKUP(MID(R764,1,3),CODE!$B:$G,CODE!D$1,FALSE)</f>
        <v>SBR</v>
      </c>
      <c r="N764" s="24" t="str">
        <f t="shared" si="169"/>
        <v>FA</v>
      </c>
      <c r="O764" s="29" t="str">
        <f>IF(ISERROR(IF(VLOOKUP($N764,CODE!$K:$P,CODE!$O$1,FALSE)="",$M764,$M764&amp;"-"&amp;VLOOKUP($N764,CODE!$K:$P,CODE!$O$1,FALSE)))=TRUE,"",IF(VLOOKUP($N764,CODE!$K:$P,CODE!$O$1,FALSE)="",$M764,$M764&amp;"-"&amp;VLOOKUP($N764,CODE!$K:$P,CODE!$O$1,FALSE)))</f>
        <v>SBR</v>
      </c>
      <c r="P764" s="29" t="str">
        <f t="shared" si="170"/>
        <v>성인</v>
      </c>
      <c r="Q764" s="29" t="str">
        <f t="shared" si="171"/>
        <v>SBRFAF3075</v>
      </c>
      <c r="R764" s="1" t="s">
        <v>1563</v>
      </c>
      <c r="S764" s="1" t="s">
        <v>14</v>
      </c>
      <c r="T764" s="26">
        <v>1000</v>
      </c>
      <c r="U764" s="26">
        <v>45000000</v>
      </c>
      <c r="V764" s="26">
        <v>9500000</v>
      </c>
      <c r="W764" s="26">
        <v>4.3062200956937797</v>
      </c>
      <c r="X764" s="26">
        <v>1040</v>
      </c>
      <c r="Y764" s="26">
        <v>0</v>
      </c>
    </row>
    <row r="765" spans="1:25">
      <c r="A765" s="24" t="str">
        <f t="shared" ref="A765:A795" si="172">IF(OR(MID(R765,8,1)="0",MID(R765,8,1)="5"),"신규","러닝")</f>
        <v>신규</v>
      </c>
      <c r="B765" s="24" t="str">
        <f>IF(COUNTIF(R$1:R764,R765)=0,"최초","리오더")</f>
        <v>리오더</v>
      </c>
      <c r="C765" s="24" t="str">
        <f t="shared" ref="C765:C795" si="173">IF($B765="리오더","",Q765)</f>
        <v/>
      </c>
      <c r="D765" s="24">
        <f t="shared" si="159"/>
        <v>0</v>
      </c>
      <c r="E765" s="24" t="str">
        <f t="shared" ref="E765:E795" si="174">IF($B765="리오더",Q765,"")</f>
        <v>FFTSNF3022</v>
      </c>
      <c r="F765" s="24">
        <f t="shared" si="160"/>
        <v>1</v>
      </c>
      <c r="G765" s="24" t="str">
        <f t="shared" ref="G765:G795" si="175">IF($B765="리오더","",R765)</f>
        <v/>
      </c>
      <c r="H765" s="24">
        <f t="shared" si="161"/>
        <v>0</v>
      </c>
      <c r="I765" s="24" t="str">
        <f t="shared" ref="I765:I795" si="176">IF($B765="리오더",R765,"")</f>
        <v>FFTSNF3022BK</v>
      </c>
      <c r="J765" s="24">
        <f t="shared" si="162"/>
        <v>1</v>
      </c>
      <c r="K765" s="24" t="str">
        <f t="shared" ref="K765:K795" si="177">MID(R765,6,2)</f>
        <v>F3</v>
      </c>
      <c r="L765" s="24" t="str">
        <f>VLOOKUP(N765,CODE!K:P,CODE!$P$1,FALSE)</f>
        <v>모자</v>
      </c>
      <c r="M765" s="24" t="str">
        <f>VLOOKUP(MID(R765,1,3),CODE!$B:$G,CODE!D$1,FALSE)</f>
        <v>FFT</v>
      </c>
      <c r="N765" s="24" t="str">
        <f t="shared" ref="N765:N795" si="178">MID(R765,4,2)</f>
        <v>SN</v>
      </c>
      <c r="O765" s="29" t="str">
        <f>IF(ISERROR(IF(VLOOKUP($N765,CODE!$K:$P,CODE!$O$1,FALSE)="",$M765,$M765&amp;"-"&amp;VLOOKUP($N765,CODE!$K:$P,CODE!$O$1,FALSE)))=TRUE,"",IF(VLOOKUP($N765,CODE!$K:$P,CODE!$O$1,FALSE)="",$M765,$M765&amp;"-"&amp;VLOOKUP($N765,CODE!$K:$P,CODE!$O$1,FALSE)))</f>
        <v>FFT</v>
      </c>
      <c r="P765" s="29" t="str">
        <f t="shared" ref="P765:P795" si="179">IF(OR(MID(R765,8,1)="0",MID(R765,8,1)="1",MID(R765,8,1)="2",MID(R765,8,1)="3",MID(R765,8,1)="4"),"성인","키즈")</f>
        <v>성인</v>
      </c>
      <c r="Q765" s="29" t="str">
        <f t="shared" ref="Q765:Q795" si="180">MID(R765,1,10)</f>
        <v>FFTSNF3022</v>
      </c>
      <c r="R765" s="1" t="s">
        <v>1606</v>
      </c>
      <c r="S765" s="1" t="s">
        <v>15</v>
      </c>
      <c r="T765" s="26">
        <v>70</v>
      </c>
      <c r="U765" s="26">
        <v>3150000</v>
      </c>
      <c r="V765" s="26">
        <v>1288636.3636363635</v>
      </c>
      <c r="W765" s="26">
        <v>2.2222222222222223</v>
      </c>
      <c r="X765" s="26">
        <v>70</v>
      </c>
      <c r="Y765" s="26">
        <v>0</v>
      </c>
    </row>
    <row r="766" spans="1:25">
      <c r="A766" s="24" t="str">
        <f t="shared" si="172"/>
        <v>신규</v>
      </c>
      <c r="B766" s="24" t="str">
        <f>IF(COUNTIF(R$1:R765,R766)=0,"최초","리오더")</f>
        <v>리오더</v>
      </c>
      <c r="C766" s="24" t="str">
        <f t="shared" si="173"/>
        <v/>
      </c>
      <c r="D766" s="24">
        <f t="shared" si="159"/>
        <v>0</v>
      </c>
      <c r="E766" s="24" t="str">
        <f t="shared" si="174"/>
        <v>FFTSNF3024</v>
      </c>
      <c r="F766" s="24">
        <f t="shared" si="160"/>
        <v>1</v>
      </c>
      <c r="G766" s="24" t="str">
        <f t="shared" si="175"/>
        <v/>
      </c>
      <c r="H766" s="24">
        <f t="shared" si="161"/>
        <v>0</v>
      </c>
      <c r="I766" s="24" t="str">
        <f t="shared" si="176"/>
        <v>FFTSNF3024BK</v>
      </c>
      <c r="J766" s="24">
        <f t="shared" si="162"/>
        <v>1</v>
      </c>
      <c r="K766" s="24" t="str">
        <f t="shared" si="177"/>
        <v>F3</v>
      </c>
      <c r="L766" s="24" t="str">
        <f>VLOOKUP(N766,CODE!K:P,CODE!$P$1,FALSE)</f>
        <v>모자</v>
      </c>
      <c r="M766" s="24" t="str">
        <f>VLOOKUP(MID(R766,1,3),CODE!$B:$G,CODE!D$1,FALSE)</f>
        <v>FFT</v>
      </c>
      <c r="N766" s="24" t="str">
        <f t="shared" si="178"/>
        <v>SN</v>
      </c>
      <c r="O766" s="29" t="str">
        <f>IF(ISERROR(IF(VLOOKUP($N766,CODE!$K:$P,CODE!$O$1,FALSE)="",$M766,$M766&amp;"-"&amp;VLOOKUP($N766,CODE!$K:$P,CODE!$O$1,FALSE)))=TRUE,"",IF(VLOOKUP($N766,CODE!$K:$P,CODE!$O$1,FALSE)="",$M766,$M766&amp;"-"&amp;VLOOKUP($N766,CODE!$K:$P,CODE!$O$1,FALSE)))</f>
        <v>FFT</v>
      </c>
      <c r="P766" s="29" t="str">
        <f t="shared" si="179"/>
        <v>성인</v>
      </c>
      <c r="Q766" s="29" t="str">
        <f t="shared" si="180"/>
        <v>FFTSNF3024</v>
      </c>
      <c r="R766" s="1" t="s">
        <v>1608</v>
      </c>
      <c r="S766" s="1" t="s">
        <v>15</v>
      </c>
      <c r="T766" s="26">
        <v>70</v>
      </c>
      <c r="U766" s="26">
        <v>3430000</v>
      </c>
      <c r="V766" s="26">
        <v>1403181.8181818181</v>
      </c>
      <c r="W766" s="26">
        <v>2.2222222222222223</v>
      </c>
      <c r="X766" s="26">
        <v>70</v>
      </c>
      <c r="Y766" s="26">
        <v>0</v>
      </c>
    </row>
    <row r="767" spans="1:25">
      <c r="A767" s="24" t="str">
        <f t="shared" si="172"/>
        <v>신규</v>
      </c>
      <c r="B767" s="24" t="str">
        <f>IF(COUNTIF(R$1:R766,R767)=0,"최초","리오더")</f>
        <v>리오더</v>
      </c>
      <c r="C767" s="24" t="str">
        <f t="shared" si="173"/>
        <v/>
      </c>
      <c r="D767" s="24">
        <f t="shared" si="159"/>
        <v>0</v>
      </c>
      <c r="E767" s="24" t="str">
        <f t="shared" si="174"/>
        <v>BLLFEF5003</v>
      </c>
      <c r="F767" s="24">
        <f t="shared" si="160"/>
        <v>1</v>
      </c>
      <c r="G767" s="24" t="str">
        <f t="shared" si="175"/>
        <v/>
      </c>
      <c r="H767" s="24">
        <f t="shared" si="161"/>
        <v>0</v>
      </c>
      <c r="I767" s="24" t="str">
        <f t="shared" si="176"/>
        <v>BLLFEF5003BK</v>
      </c>
      <c r="J767" s="24">
        <f t="shared" si="162"/>
        <v>1</v>
      </c>
      <c r="K767" s="24" t="str">
        <f t="shared" si="177"/>
        <v>F5</v>
      </c>
      <c r="L767" s="24" t="str">
        <f>VLOOKUP(N767,CODE!K:P,CODE!$P$1,FALSE)</f>
        <v>모자</v>
      </c>
      <c r="M767" s="24" t="str">
        <f>VLOOKUP(MID(R767,1,3),CODE!$B:$G,CODE!D$1,FALSE)</f>
        <v>BLL</v>
      </c>
      <c r="N767" s="24" t="str">
        <f t="shared" si="178"/>
        <v>FE</v>
      </c>
      <c r="O767" s="29" t="str">
        <f>IF(ISERROR(IF(VLOOKUP($N767,CODE!$K:$P,CODE!$O$1,FALSE)="",$M767,$M767&amp;"-"&amp;VLOOKUP($N767,CODE!$K:$P,CODE!$O$1,FALSE)))=TRUE,"",IF(VLOOKUP($N767,CODE!$K:$P,CODE!$O$1,FALSE)="",$M767,$M767&amp;"-"&amp;VLOOKUP($N767,CODE!$K:$P,CODE!$O$1,FALSE)))</f>
        <v>BLL</v>
      </c>
      <c r="P767" s="29" t="str">
        <f t="shared" si="179"/>
        <v>성인</v>
      </c>
      <c r="Q767" s="29" t="str">
        <f t="shared" si="180"/>
        <v>BLLFEF5003</v>
      </c>
      <c r="R767" s="1" t="s">
        <v>1492</v>
      </c>
      <c r="S767" s="1" t="s">
        <v>14</v>
      </c>
      <c r="T767" s="26">
        <v>600</v>
      </c>
      <c r="U767" s="26">
        <v>41400000</v>
      </c>
      <c r="V767" s="26">
        <v>6874548</v>
      </c>
      <c r="W767" s="26">
        <v>5.4747401045659485</v>
      </c>
      <c r="X767" s="26">
        <v>600</v>
      </c>
      <c r="Y767" s="26">
        <v>0</v>
      </c>
    </row>
    <row r="768" spans="1:25">
      <c r="A768" s="24" t="str">
        <f t="shared" si="172"/>
        <v>신규</v>
      </c>
      <c r="B768" s="24" t="str">
        <f>IF(COUNTIF(R$1:R767,R768)=0,"최초","리오더")</f>
        <v>리오더</v>
      </c>
      <c r="C768" s="24" t="str">
        <f t="shared" si="173"/>
        <v/>
      </c>
      <c r="D768" s="24">
        <f t="shared" si="159"/>
        <v>0</v>
      </c>
      <c r="E768" s="24" t="str">
        <f t="shared" si="174"/>
        <v>SBRFAF3076</v>
      </c>
      <c r="F768" s="24">
        <f t="shared" si="160"/>
        <v>1</v>
      </c>
      <c r="G768" s="24" t="str">
        <f t="shared" si="175"/>
        <v/>
      </c>
      <c r="H768" s="24">
        <f t="shared" si="161"/>
        <v>0</v>
      </c>
      <c r="I768" s="24" t="str">
        <f t="shared" si="176"/>
        <v>SBRFAF3076GY</v>
      </c>
      <c r="J768" s="24">
        <f t="shared" si="162"/>
        <v>1</v>
      </c>
      <c r="K768" s="24" t="str">
        <f t="shared" si="177"/>
        <v>F3</v>
      </c>
      <c r="L768" s="24" t="str">
        <f>VLOOKUP(N768,CODE!K:P,CODE!$P$1,FALSE)</f>
        <v>모자</v>
      </c>
      <c r="M768" s="24" t="str">
        <f>VLOOKUP(MID(R768,1,3),CODE!$B:$G,CODE!D$1,FALSE)</f>
        <v>SBR</v>
      </c>
      <c r="N768" s="24" t="str">
        <f t="shared" si="178"/>
        <v>FA</v>
      </c>
      <c r="O768" s="29" t="str">
        <f>IF(ISERROR(IF(VLOOKUP($N768,CODE!$K:$P,CODE!$O$1,FALSE)="",$M768,$M768&amp;"-"&amp;VLOOKUP($N768,CODE!$K:$P,CODE!$O$1,FALSE)))=TRUE,"",IF(VLOOKUP($N768,CODE!$K:$P,CODE!$O$1,FALSE)="",$M768,$M768&amp;"-"&amp;VLOOKUP($N768,CODE!$K:$P,CODE!$O$1,FALSE)))</f>
        <v>SBR</v>
      </c>
      <c r="P768" s="29" t="str">
        <f t="shared" si="179"/>
        <v>성인</v>
      </c>
      <c r="Q768" s="29" t="str">
        <f t="shared" si="180"/>
        <v>SBRFAF3076</v>
      </c>
      <c r="R768" s="1" t="s">
        <v>1564</v>
      </c>
      <c r="S768" s="1" t="s">
        <v>14</v>
      </c>
      <c r="T768" s="26">
        <v>800</v>
      </c>
      <c r="U768" s="26">
        <v>36000000</v>
      </c>
      <c r="V768" s="26">
        <v>7920000</v>
      </c>
      <c r="W768" s="26">
        <v>4.1322314049586772</v>
      </c>
      <c r="X768" s="26">
        <v>804</v>
      </c>
      <c r="Y768" s="26">
        <v>0</v>
      </c>
    </row>
    <row r="769" spans="1:25">
      <c r="A769" s="24" t="str">
        <f t="shared" si="172"/>
        <v>신규</v>
      </c>
      <c r="B769" s="24" t="str">
        <f>IF(COUNTIF(R$1:R768,R769)=0,"최초","리오더")</f>
        <v>리오더</v>
      </c>
      <c r="C769" s="24" t="str">
        <f t="shared" si="173"/>
        <v/>
      </c>
      <c r="D769" s="24">
        <f t="shared" si="159"/>
        <v>0</v>
      </c>
      <c r="E769" s="24" t="str">
        <f t="shared" si="174"/>
        <v>SBRFAF5077</v>
      </c>
      <c r="F769" s="24">
        <f t="shared" si="160"/>
        <v>1</v>
      </c>
      <c r="G769" s="24" t="str">
        <f t="shared" si="175"/>
        <v/>
      </c>
      <c r="H769" s="24">
        <f t="shared" si="161"/>
        <v>0</v>
      </c>
      <c r="I769" s="24" t="str">
        <f t="shared" si="176"/>
        <v>SBRFAF5077BK</v>
      </c>
      <c r="J769" s="24">
        <f t="shared" si="162"/>
        <v>1</v>
      </c>
      <c r="K769" s="24" t="str">
        <f t="shared" si="177"/>
        <v>F5</v>
      </c>
      <c r="L769" s="24" t="str">
        <f>VLOOKUP(N769,CODE!K:P,CODE!$P$1,FALSE)</f>
        <v>모자</v>
      </c>
      <c r="M769" s="24" t="str">
        <f>VLOOKUP(MID(R769,1,3),CODE!$B:$G,CODE!D$1,FALSE)</f>
        <v>SBR</v>
      </c>
      <c r="N769" s="24" t="str">
        <f t="shared" si="178"/>
        <v>FA</v>
      </c>
      <c r="O769" s="29" t="str">
        <f>IF(ISERROR(IF(VLOOKUP($N769,CODE!$K:$P,CODE!$O$1,FALSE)="",$M769,$M769&amp;"-"&amp;VLOOKUP($N769,CODE!$K:$P,CODE!$O$1,FALSE)))=TRUE,"",IF(VLOOKUP($N769,CODE!$K:$P,CODE!$O$1,FALSE)="",$M769,$M769&amp;"-"&amp;VLOOKUP($N769,CODE!$K:$P,CODE!$O$1,FALSE)))</f>
        <v>SBR</v>
      </c>
      <c r="P769" s="29" t="str">
        <f t="shared" si="179"/>
        <v>성인</v>
      </c>
      <c r="Q769" s="29" t="str">
        <f t="shared" si="180"/>
        <v>SBRFAF5077</v>
      </c>
      <c r="R769" s="1" t="s">
        <v>1565</v>
      </c>
      <c r="S769" s="1" t="s">
        <v>14</v>
      </c>
      <c r="T769" s="26">
        <v>500</v>
      </c>
      <c r="U769" s="26">
        <v>24500000</v>
      </c>
      <c r="V769" s="26">
        <v>4950000</v>
      </c>
      <c r="W769" s="26">
        <v>4.4995408631772271</v>
      </c>
      <c r="X769" s="26">
        <v>502</v>
      </c>
      <c r="Y769" s="26">
        <v>0</v>
      </c>
    </row>
    <row r="770" spans="1:25">
      <c r="A770" s="24" t="str">
        <f t="shared" si="172"/>
        <v>신규</v>
      </c>
      <c r="B770" s="24" t="str">
        <f>IF(COUNTIF(R$1:R769,R770)=0,"최초","리오더")</f>
        <v>리오더</v>
      </c>
      <c r="C770" s="24" t="str">
        <f t="shared" si="173"/>
        <v/>
      </c>
      <c r="D770" s="24">
        <f t="shared" ref="D770:D795" si="181">IF(C770="",0,1/COUNTIF(C:C,C770))</f>
        <v>0</v>
      </c>
      <c r="E770" s="24" t="str">
        <f t="shared" si="174"/>
        <v>PLABPF3001</v>
      </c>
      <c r="F770" s="24">
        <f t="shared" ref="F770:F795" si="182">IF(E770="",0,1/COUNTIF(E:E,E770))</f>
        <v>1</v>
      </c>
      <c r="G770" s="24" t="str">
        <f t="shared" si="175"/>
        <v/>
      </c>
      <c r="H770" s="24">
        <f t="shared" ref="H770:H795" si="183">IF(G770="",0,1/COUNTIF(G:G,G770))</f>
        <v>0</v>
      </c>
      <c r="I770" s="24" t="str">
        <f t="shared" si="176"/>
        <v>PLABPF3001BW</v>
      </c>
      <c r="J770" s="24">
        <f t="shared" ref="J770:J795" si="184">IF(I770="",0,1/COUNTIF(I:I,I770))</f>
        <v>1</v>
      </c>
      <c r="K770" s="24" t="str">
        <f t="shared" si="177"/>
        <v>F3</v>
      </c>
      <c r="L770" s="24" t="str">
        <f>VLOOKUP(N770,CODE!K:P,CODE!$P$1,FALSE)</f>
        <v>가방</v>
      </c>
      <c r="M770" s="24" t="str">
        <f>VLOOKUP(MID(R770,1,3),CODE!$B:$G,CODE!D$1,FALSE)</f>
        <v>PLA</v>
      </c>
      <c r="N770" s="24" t="str">
        <f t="shared" si="178"/>
        <v>BP</v>
      </c>
      <c r="O770" s="29" t="str">
        <f>IF(ISERROR(IF(VLOOKUP($N770,CODE!$K:$P,CODE!$O$1,FALSE)="",$M770,$M770&amp;"-"&amp;VLOOKUP($N770,CODE!$K:$P,CODE!$O$1,FALSE)))=TRUE,"",IF(VLOOKUP($N770,CODE!$K:$P,CODE!$O$1,FALSE)="",$M770,$M770&amp;"-"&amp;VLOOKUP($N770,CODE!$K:$P,CODE!$O$1,FALSE)))</f>
        <v>PLA-가방</v>
      </c>
      <c r="P770" s="29" t="str">
        <f t="shared" si="179"/>
        <v>성인</v>
      </c>
      <c r="Q770" s="29" t="str">
        <f t="shared" si="180"/>
        <v>PLABPF3001</v>
      </c>
      <c r="R770" s="1" t="s">
        <v>1439</v>
      </c>
      <c r="S770" s="1" t="s">
        <v>14</v>
      </c>
      <c r="T770" s="26">
        <v>900</v>
      </c>
      <c r="U770" s="26">
        <v>134100000</v>
      </c>
      <c r="V770" s="26">
        <v>31266000</v>
      </c>
      <c r="W770" s="26">
        <v>3.8990945726697022</v>
      </c>
      <c r="X770" s="26">
        <v>900</v>
      </c>
      <c r="Y770" s="26">
        <v>0</v>
      </c>
    </row>
    <row r="771" spans="1:25">
      <c r="A771" s="24" t="str">
        <f t="shared" si="172"/>
        <v>신규</v>
      </c>
      <c r="B771" s="24" t="str">
        <f>IF(COUNTIF(R$1:R770,R771)=0,"최초","리오더")</f>
        <v>리오더</v>
      </c>
      <c r="C771" s="24" t="str">
        <f t="shared" si="173"/>
        <v/>
      </c>
      <c r="D771" s="24">
        <f t="shared" si="181"/>
        <v>0</v>
      </c>
      <c r="E771" s="24" t="str">
        <f t="shared" si="174"/>
        <v>URBSNF5029</v>
      </c>
      <c r="F771" s="24">
        <f t="shared" si="182"/>
        <v>1</v>
      </c>
      <c r="G771" s="24" t="str">
        <f t="shared" si="175"/>
        <v/>
      </c>
      <c r="H771" s="24">
        <f t="shared" si="183"/>
        <v>0</v>
      </c>
      <c r="I771" s="24" t="str">
        <f t="shared" si="176"/>
        <v>URBSNF5029GY</v>
      </c>
      <c r="J771" s="24">
        <f t="shared" si="184"/>
        <v>1</v>
      </c>
      <c r="K771" s="24" t="str">
        <f t="shared" si="177"/>
        <v>F5</v>
      </c>
      <c r="L771" s="24" t="str">
        <f>VLOOKUP(N771,CODE!K:P,CODE!$P$1,FALSE)</f>
        <v>모자</v>
      </c>
      <c r="M771" s="24" t="str">
        <f>VLOOKUP(MID(R771,1,3),CODE!$B:$G,CODE!D$1,FALSE)</f>
        <v>URB</v>
      </c>
      <c r="N771" s="24" t="str">
        <f t="shared" si="178"/>
        <v>SN</v>
      </c>
      <c r="O771" s="29" t="str">
        <f>IF(ISERROR(IF(VLOOKUP($N771,CODE!$K:$P,CODE!$O$1,FALSE)="",$M771,$M771&amp;"-"&amp;VLOOKUP($N771,CODE!$K:$P,CODE!$O$1,FALSE)))=TRUE,"",IF(VLOOKUP($N771,CODE!$K:$P,CODE!$O$1,FALSE)="",$M771,$M771&amp;"-"&amp;VLOOKUP($N771,CODE!$K:$P,CODE!$O$1,FALSE)))</f>
        <v>URB</v>
      </c>
      <c r="P771" s="29" t="str">
        <f t="shared" si="179"/>
        <v>성인</v>
      </c>
      <c r="Q771" s="29" t="str">
        <f t="shared" si="180"/>
        <v>URBSNF5029</v>
      </c>
      <c r="R771" s="1" t="s">
        <v>1512</v>
      </c>
      <c r="S771" s="1" t="s">
        <v>14</v>
      </c>
      <c r="T771" s="26">
        <v>2000</v>
      </c>
      <c r="U771" s="26">
        <v>98000000</v>
      </c>
      <c r="V771" s="26">
        <v>9898920</v>
      </c>
      <c r="W771" s="26">
        <v>9.0000635514691592</v>
      </c>
      <c r="X771" s="26">
        <v>1811</v>
      </c>
      <c r="Y771" s="26">
        <v>0</v>
      </c>
    </row>
    <row r="772" spans="1:25">
      <c r="A772" s="24" t="str">
        <f t="shared" si="172"/>
        <v>신규</v>
      </c>
      <c r="B772" s="24" t="str">
        <f>IF(COUNTIF(R$1:R771,R772)=0,"최초","리오더")</f>
        <v>최초</v>
      </c>
      <c r="C772" s="24" t="str">
        <f t="shared" si="173"/>
        <v>SBRFAF5079</v>
      </c>
      <c r="D772" s="24">
        <f t="shared" si="181"/>
        <v>1</v>
      </c>
      <c r="E772" s="24" t="str">
        <f t="shared" si="174"/>
        <v/>
      </c>
      <c r="F772" s="24">
        <f t="shared" si="182"/>
        <v>0</v>
      </c>
      <c r="G772" s="24" t="str">
        <f t="shared" si="175"/>
        <v>SBRFAF5079BK</v>
      </c>
      <c r="H772" s="24">
        <f t="shared" si="183"/>
        <v>1</v>
      </c>
      <c r="I772" s="24" t="str">
        <f t="shared" si="176"/>
        <v/>
      </c>
      <c r="J772" s="24">
        <f t="shared" si="184"/>
        <v>0</v>
      </c>
      <c r="K772" s="24" t="str">
        <f t="shared" si="177"/>
        <v>F5</v>
      </c>
      <c r="L772" s="24" t="str">
        <f>VLOOKUP(N772,CODE!K:P,CODE!$P$1,FALSE)</f>
        <v>모자</v>
      </c>
      <c r="M772" s="24" t="str">
        <f>VLOOKUP(MID(R772,1,3),CODE!$B:$G,CODE!D$1,FALSE)</f>
        <v>SBR</v>
      </c>
      <c r="N772" s="24" t="str">
        <f t="shared" si="178"/>
        <v>FA</v>
      </c>
      <c r="O772" s="29" t="str">
        <f>IF(ISERROR(IF(VLOOKUP($N772,CODE!$K:$P,CODE!$O$1,FALSE)="",$M772,$M772&amp;"-"&amp;VLOOKUP($N772,CODE!$K:$P,CODE!$O$1,FALSE)))=TRUE,"",IF(VLOOKUP($N772,CODE!$K:$P,CODE!$O$1,FALSE)="",$M772,$M772&amp;"-"&amp;VLOOKUP($N772,CODE!$K:$P,CODE!$O$1,FALSE)))</f>
        <v>SBR</v>
      </c>
      <c r="P772" s="29" t="str">
        <f t="shared" si="179"/>
        <v>성인</v>
      </c>
      <c r="Q772" s="29" t="str">
        <f t="shared" si="180"/>
        <v>SBRFAF5079</v>
      </c>
      <c r="R772" s="1" t="s">
        <v>1618</v>
      </c>
      <c r="S772" s="1" t="s">
        <v>14</v>
      </c>
      <c r="T772" s="26">
        <v>1000</v>
      </c>
      <c r="U772" s="26">
        <v>49000000</v>
      </c>
      <c r="V772" s="26">
        <v>8800000</v>
      </c>
      <c r="W772" s="26">
        <v>5.0619834710743801</v>
      </c>
      <c r="X772" s="26">
        <v>993</v>
      </c>
      <c r="Y772" s="26">
        <v>0</v>
      </c>
    </row>
    <row r="773" spans="1:25">
      <c r="A773" s="24" t="str">
        <f t="shared" si="172"/>
        <v>신규</v>
      </c>
      <c r="B773" s="24" t="str">
        <f>IF(COUNTIF(R$1:R772,R773)=0,"최초","리오더")</f>
        <v>최초</v>
      </c>
      <c r="C773" s="24" t="str">
        <f t="shared" si="173"/>
        <v>SBRFAF5080</v>
      </c>
      <c r="D773" s="24">
        <f t="shared" si="181"/>
        <v>1</v>
      </c>
      <c r="E773" s="24" t="str">
        <f t="shared" si="174"/>
        <v/>
      </c>
      <c r="F773" s="24">
        <f t="shared" si="182"/>
        <v>0</v>
      </c>
      <c r="G773" s="24" t="str">
        <f t="shared" si="175"/>
        <v>SBRFAF5080BK</v>
      </c>
      <c r="H773" s="24">
        <f t="shared" si="183"/>
        <v>1</v>
      </c>
      <c r="I773" s="24" t="str">
        <f t="shared" si="176"/>
        <v/>
      </c>
      <c r="J773" s="24">
        <f t="shared" si="184"/>
        <v>0</v>
      </c>
      <c r="K773" s="24" t="str">
        <f t="shared" si="177"/>
        <v>F5</v>
      </c>
      <c r="L773" s="24" t="str">
        <f>VLOOKUP(N773,CODE!K:P,CODE!$P$1,FALSE)</f>
        <v>모자</v>
      </c>
      <c r="M773" s="24" t="str">
        <f>VLOOKUP(MID(R773,1,3),CODE!$B:$G,CODE!D$1,FALSE)</f>
        <v>SBR</v>
      </c>
      <c r="N773" s="24" t="str">
        <f t="shared" si="178"/>
        <v>FA</v>
      </c>
      <c r="O773" s="29" t="str">
        <f>IF(ISERROR(IF(VLOOKUP($N773,CODE!$K:$P,CODE!$O$1,FALSE)="",$M773,$M773&amp;"-"&amp;VLOOKUP($N773,CODE!$K:$P,CODE!$O$1,FALSE)))=TRUE,"",IF(VLOOKUP($N773,CODE!$K:$P,CODE!$O$1,FALSE)="",$M773,$M773&amp;"-"&amp;VLOOKUP($N773,CODE!$K:$P,CODE!$O$1,FALSE)))</f>
        <v>SBR</v>
      </c>
      <c r="P773" s="29" t="str">
        <f t="shared" si="179"/>
        <v>성인</v>
      </c>
      <c r="Q773" s="29" t="str">
        <f t="shared" si="180"/>
        <v>SBRFAF5080</v>
      </c>
      <c r="R773" s="1" t="s">
        <v>1619</v>
      </c>
      <c r="S773" s="1" t="s">
        <v>14</v>
      </c>
      <c r="T773" s="26">
        <v>500</v>
      </c>
      <c r="U773" s="26">
        <v>24500000</v>
      </c>
      <c r="V773" s="26">
        <v>4900000</v>
      </c>
      <c r="W773" s="26">
        <v>4.5454545454545459</v>
      </c>
      <c r="X773" s="26">
        <v>504</v>
      </c>
      <c r="Y773" s="26">
        <v>0</v>
      </c>
    </row>
    <row r="774" spans="1:25">
      <c r="A774" s="24" t="str">
        <f t="shared" si="172"/>
        <v>신규</v>
      </c>
      <c r="B774" s="24" t="str">
        <f>IF(COUNTIF(R$1:R773,R774)=0,"최초","리오더")</f>
        <v>최초</v>
      </c>
      <c r="C774" s="24" t="str">
        <f t="shared" si="173"/>
        <v>SBRFAF5081</v>
      </c>
      <c r="D774" s="24">
        <f t="shared" si="181"/>
        <v>1</v>
      </c>
      <c r="E774" s="24" t="str">
        <f t="shared" si="174"/>
        <v/>
      </c>
      <c r="F774" s="24">
        <f t="shared" si="182"/>
        <v>0</v>
      </c>
      <c r="G774" s="24" t="str">
        <f t="shared" si="175"/>
        <v>SBRFAF5081BK</v>
      </c>
      <c r="H774" s="24">
        <f t="shared" si="183"/>
        <v>1</v>
      </c>
      <c r="I774" s="24" t="str">
        <f t="shared" si="176"/>
        <v/>
      </c>
      <c r="J774" s="24">
        <f t="shared" si="184"/>
        <v>0</v>
      </c>
      <c r="K774" s="24" t="str">
        <f t="shared" si="177"/>
        <v>F5</v>
      </c>
      <c r="L774" s="24" t="str">
        <f>VLOOKUP(N774,CODE!K:P,CODE!$P$1,FALSE)</f>
        <v>모자</v>
      </c>
      <c r="M774" s="24" t="str">
        <f>VLOOKUP(MID(R774,1,3),CODE!$B:$G,CODE!D$1,FALSE)</f>
        <v>SBR</v>
      </c>
      <c r="N774" s="24" t="str">
        <f t="shared" si="178"/>
        <v>FA</v>
      </c>
      <c r="O774" s="29" t="str">
        <f>IF(ISERROR(IF(VLOOKUP($N774,CODE!$K:$P,CODE!$O$1,FALSE)="",$M774,$M774&amp;"-"&amp;VLOOKUP($N774,CODE!$K:$P,CODE!$O$1,FALSE)))=TRUE,"",IF(VLOOKUP($N774,CODE!$K:$P,CODE!$O$1,FALSE)="",$M774,$M774&amp;"-"&amp;VLOOKUP($N774,CODE!$K:$P,CODE!$O$1,FALSE)))</f>
        <v>SBR</v>
      </c>
      <c r="P774" s="29" t="str">
        <f t="shared" si="179"/>
        <v>성인</v>
      </c>
      <c r="Q774" s="29" t="str">
        <f t="shared" si="180"/>
        <v>SBRFAF5081</v>
      </c>
      <c r="R774" s="1" t="s">
        <v>1620</v>
      </c>
      <c r="S774" s="1" t="s">
        <v>14</v>
      </c>
      <c r="T774" s="26">
        <v>500</v>
      </c>
      <c r="U774" s="26">
        <v>24500000</v>
      </c>
      <c r="V774" s="26">
        <v>4800000</v>
      </c>
      <c r="W774" s="26">
        <v>4.6401515151515156</v>
      </c>
      <c r="X774" s="26">
        <v>500</v>
      </c>
      <c r="Y774" s="26">
        <v>0</v>
      </c>
    </row>
    <row r="775" spans="1:25">
      <c r="A775" s="24" t="str">
        <f t="shared" si="172"/>
        <v>신규</v>
      </c>
      <c r="B775" s="24" t="str">
        <f>IF(COUNTIF(R$1:R774,R775)=0,"최초","리오더")</f>
        <v>리오더</v>
      </c>
      <c r="C775" s="24" t="str">
        <f t="shared" si="173"/>
        <v/>
      </c>
      <c r="D775" s="24">
        <f t="shared" si="181"/>
        <v>0</v>
      </c>
      <c r="E775" s="24" t="str">
        <f t="shared" si="174"/>
        <v>SBRFAF5080</v>
      </c>
      <c r="F775" s="24">
        <f t="shared" si="182"/>
        <v>1</v>
      </c>
      <c r="G775" s="24" t="str">
        <f t="shared" si="175"/>
        <v/>
      </c>
      <c r="H775" s="24">
        <f t="shared" si="183"/>
        <v>0</v>
      </c>
      <c r="I775" s="24" t="str">
        <f t="shared" si="176"/>
        <v>SBRFAF5080BK</v>
      </c>
      <c r="J775" s="24">
        <f t="shared" si="184"/>
        <v>1</v>
      </c>
      <c r="K775" s="24" t="str">
        <f t="shared" si="177"/>
        <v>F5</v>
      </c>
      <c r="L775" s="24" t="str">
        <f>VLOOKUP(N775,CODE!K:P,CODE!$P$1,FALSE)</f>
        <v>모자</v>
      </c>
      <c r="M775" s="24" t="str">
        <f>VLOOKUP(MID(R775,1,3),CODE!$B:$G,CODE!D$1,FALSE)</f>
        <v>SBR</v>
      </c>
      <c r="N775" s="24" t="str">
        <f t="shared" si="178"/>
        <v>FA</v>
      </c>
      <c r="O775" s="29" t="str">
        <f>IF(ISERROR(IF(VLOOKUP($N775,CODE!$K:$P,CODE!$O$1,FALSE)="",$M775,$M775&amp;"-"&amp;VLOOKUP($N775,CODE!$K:$P,CODE!$O$1,FALSE)))=TRUE,"",IF(VLOOKUP($N775,CODE!$K:$P,CODE!$O$1,FALSE)="",$M775,$M775&amp;"-"&amp;VLOOKUP($N775,CODE!$K:$P,CODE!$O$1,FALSE)))</f>
        <v>SBR</v>
      </c>
      <c r="P775" s="29" t="str">
        <f t="shared" si="179"/>
        <v>성인</v>
      </c>
      <c r="Q775" s="29" t="str">
        <f t="shared" si="180"/>
        <v>SBRFAF5080</v>
      </c>
      <c r="R775" s="1" t="s">
        <v>1619</v>
      </c>
      <c r="S775" s="1" t="s">
        <v>14</v>
      </c>
      <c r="T775" s="26">
        <v>500</v>
      </c>
      <c r="U775" s="26">
        <v>24500000</v>
      </c>
      <c r="V775" s="26">
        <v>3345970.0000000005</v>
      </c>
      <c r="W775" s="26">
        <v>6.6565830753794168</v>
      </c>
      <c r="X775" s="26">
        <v>501</v>
      </c>
      <c r="Y775" s="26">
        <v>0</v>
      </c>
    </row>
    <row r="776" spans="1:25">
      <c r="A776" s="24" t="str">
        <f t="shared" si="172"/>
        <v>신규</v>
      </c>
      <c r="B776" s="24" t="str">
        <f>IF(COUNTIF(R$1:R775,R776)=0,"최초","리오더")</f>
        <v>리오더</v>
      </c>
      <c r="C776" s="24" t="str">
        <f t="shared" si="173"/>
        <v/>
      </c>
      <c r="D776" s="24">
        <f t="shared" si="181"/>
        <v>0</v>
      </c>
      <c r="E776" s="24" t="str">
        <f t="shared" si="174"/>
        <v>SBRFAF5081</v>
      </c>
      <c r="F776" s="24">
        <f t="shared" si="182"/>
        <v>1</v>
      </c>
      <c r="G776" s="24" t="str">
        <f t="shared" si="175"/>
        <v/>
      </c>
      <c r="H776" s="24">
        <f t="shared" si="183"/>
        <v>0</v>
      </c>
      <c r="I776" s="24" t="str">
        <f t="shared" si="176"/>
        <v>SBRFAF5081BK</v>
      </c>
      <c r="J776" s="24">
        <f t="shared" si="184"/>
        <v>1</v>
      </c>
      <c r="K776" s="24" t="str">
        <f t="shared" si="177"/>
        <v>F5</v>
      </c>
      <c r="L776" s="24" t="str">
        <f>VLOOKUP(N776,CODE!K:P,CODE!$P$1,FALSE)</f>
        <v>모자</v>
      </c>
      <c r="M776" s="24" t="str">
        <f>VLOOKUP(MID(R776,1,3),CODE!$B:$G,CODE!D$1,FALSE)</f>
        <v>SBR</v>
      </c>
      <c r="N776" s="24" t="str">
        <f t="shared" si="178"/>
        <v>FA</v>
      </c>
      <c r="O776" s="29" t="str">
        <f>IF(ISERROR(IF(VLOOKUP($N776,CODE!$K:$P,CODE!$O$1,FALSE)="",$M776,$M776&amp;"-"&amp;VLOOKUP($N776,CODE!$K:$P,CODE!$O$1,FALSE)))=TRUE,"",IF(VLOOKUP($N776,CODE!$K:$P,CODE!$O$1,FALSE)="",$M776,$M776&amp;"-"&amp;VLOOKUP($N776,CODE!$K:$P,CODE!$O$1,FALSE)))</f>
        <v>SBR</v>
      </c>
      <c r="P776" s="29" t="str">
        <f t="shared" si="179"/>
        <v>성인</v>
      </c>
      <c r="Q776" s="29" t="str">
        <f t="shared" si="180"/>
        <v>SBRFAF5081</v>
      </c>
      <c r="R776" s="1" t="s">
        <v>1620</v>
      </c>
      <c r="S776" s="1" t="s">
        <v>14</v>
      </c>
      <c r="T776" s="26">
        <v>500</v>
      </c>
      <c r="U776" s="26">
        <v>24500000</v>
      </c>
      <c r="V776" s="26">
        <v>3509170</v>
      </c>
      <c r="W776" s="26">
        <v>6.3470072047598922</v>
      </c>
      <c r="X776" s="26">
        <v>496</v>
      </c>
      <c r="Y776" s="26">
        <v>0</v>
      </c>
    </row>
    <row r="777" spans="1:25">
      <c r="A777" s="24" t="str">
        <f t="shared" si="172"/>
        <v>신규</v>
      </c>
      <c r="B777" s="24" t="str">
        <f>IF(COUNTIF(R$1:R776,R777)=0,"최초","리오더")</f>
        <v>최초</v>
      </c>
      <c r="C777" s="24" t="str">
        <f t="shared" si="173"/>
        <v>FFTBEF5025</v>
      </c>
      <c r="D777" s="24">
        <f t="shared" si="181"/>
        <v>1</v>
      </c>
      <c r="E777" s="24" t="str">
        <f t="shared" si="174"/>
        <v/>
      </c>
      <c r="F777" s="24">
        <f t="shared" si="182"/>
        <v>0</v>
      </c>
      <c r="G777" s="24" t="str">
        <f t="shared" si="175"/>
        <v>FFTBEF5025GY</v>
      </c>
      <c r="H777" s="24">
        <f t="shared" si="183"/>
        <v>1</v>
      </c>
      <c r="I777" s="24" t="str">
        <f t="shared" si="176"/>
        <v/>
      </c>
      <c r="J777" s="24">
        <f t="shared" si="184"/>
        <v>0</v>
      </c>
      <c r="K777" s="24" t="str">
        <f t="shared" si="177"/>
        <v>F5</v>
      </c>
      <c r="L777" s="24" t="str">
        <f>VLOOKUP(N777,CODE!K:P,CODE!$P$1,FALSE)</f>
        <v>모자</v>
      </c>
      <c r="M777" s="24" t="str">
        <f>VLOOKUP(MID(R777,1,3),CODE!$B:$G,CODE!D$1,FALSE)</f>
        <v>FFT</v>
      </c>
      <c r="N777" s="24" t="str">
        <f t="shared" si="178"/>
        <v>BE</v>
      </c>
      <c r="O777" s="29" t="str">
        <f>IF(ISERROR(IF(VLOOKUP($N777,CODE!$K:$P,CODE!$O$1,FALSE)="",$M777,$M777&amp;"-"&amp;VLOOKUP($N777,CODE!$K:$P,CODE!$O$1,FALSE)))=TRUE,"",IF(VLOOKUP($N777,CODE!$K:$P,CODE!$O$1,FALSE)="",$M777,$M777&amp;"-"&amp;VLOOKUP($N777,CODE!$K:$P,CODE!$O$1,FALSE)))</f>
        <v>FFT</v>
      </c>
      <c r="P777" s="29" t="str">
        <f t="shared" si="179"/>
        <v>성인</v>
      </c>
      <c r="Q777" s="29" t="str">
        <f t="shared" si="180"/>
        <v>FFTBEF5025</v>
      </c>
      <c r="R777" s="1" t="s">
        <v>1621</v>
      </c>
      <c r="S777" s="1" t="s">
        <v>15</v>
      </c>
      <c r="T777" s="26">
        <v>200</v>
      </c>
      <c r="U777" s="26">
        <v>7000000</v>
      </c>
      <c r="V777" s="26">
        <v>2863636.3636363633</v>
      </c>
      <c r="W777" s="26">
        <v>2.2222222222222223</v>
      </c>
      <c r="X777" s="26">
        <v>200</v>
      </c>
      <c r="Y777" s="26">
        <v>0</v>
      </c>
    </row>
    <row r="778" spans="1:25">
      <c r="A778" s="24" t="str">
        <f t="shared" si="172"/>
        <v>신규</v>
      </c>
      <c r="B778" s="24" t="str">
        <f>IF(COUNTIF(R$1:R777,R778)=0,"최초","리오더")</f>
        <v>최초</v>
      </c>
      <c r="C778" s="24" t="str">
        <f t="shared" si="173"/>
        <v>FFTBEF5026</v>
      </c>
      <c r="D778" s="24">
        <f t="shared" si="181"/>
        <v>1</v>
      </c>
      <c r="E778" s="24" t="str">
        <f t="shared" si="174"/>
        <v/>
      </c>
      <c r="F778" s="24">
        <f t="shared" si="182"/>
        <v>0</v>
      </c>
      <c r="G778" s="24" t="str">
        <f t="shared" si="175"/>
        <v>FFTBEF5026BK</v>
      </c>
      <c r="H778" s="24">
        <f t="shared" si="183"/>
        <v>1</v>
      </c>
      <c r="I778" s="24" t="str">
        <f t="shared" si="176"/>
        <v/>
      </c>
      <c r="J778" s="24">
        <f t="shared" si="184"/>
        <v>0</v>
      </c>
      <c r="K778" s="24" t="str">
        <f t="shared" si="177"/>
        <v>F5</v>
      </c>
      <c r="L778" s="24" t="str">
        <f>VLOOKUP(N778,CODE!K:P,CODE!$P$1,FALSE)</f>
        <v>모자</v>
      </c>
      <c r="M778" s="24" t="str">
        <f>VLOOKUP(MID(R778,1,3),CODE!$B:$G,CODE!D$1,FALSE)</f>
        <v>FFT</v>
      </c>
      <c r="N778" s="24" t="str">
        <f t="shared" si="178"/>
        <v>BE</v>
      </c>
      <c r="O778" s="29" t="str">
        <f>IF(ISERROR(IF(VLOOKUP($N778,CODE!$K:$P,CODE!$O$1,FALSE)="",$M778,$M778&amp;"-"&amp;VLOOKUP($N778,CODE!$K:$P,CODE!$O$1,FALSE)))=TRUE,"",IF(VLOOKUP($N778,CODE!$K:$P,CODE!$O$1,FALSE)="",$M778,$M778&amp;"-"&amp;VLOOKUP($N778,CODE!$K:$P,CODE!$O$1,FALSE)))</f>
        <v>FFT</v>
      </c>
      <c r="P778" s="29" t="str">
        <f t="shared" si="179"/>
        <v>성인</v>
      </c>
      <c r="Q778" s="29" t="str">
        <f t="shared" si="180"/>
        <v>FFTBEF5026</v>
      </c>
      <c r="R778" s="1" t="s">
        <v>1622</v>
      </c>
      <c r="S778" s="1" t="s">
        <v>15</v>
      </c>
      <c r="T778" s="26">
        <v>150</v>
      </c>
      <c r="U778" s="26">
        <v>5250000</v>
      </c>
      <c r="V778" s="26">
        <v>2147727.2727272725</v>
      </c>
      <c r="W778" s="26">
        <v>2.2222222222222223</v>
      </c>
      <c r="X778" s="26">
        <v>150</v>
      </c>
      <c r="Y778" s="26">
        <v>0</v>
      </c>
    </row>
    <row r="779" spans="1:25">
      <c r="A779" s="24" t="str">
        <f t="shared" si="172"/>
        <v>러닝</v>
      </c>
      <c r="B779" s="24" t="str">
        <f>IF(COUNTIF(R$1:R778,R779)=0,"최초","리오더")</f>
        <v>리오더</v>
      </c>
      <c r="C779" s="24" t="str">
        <f t="shared" si="173"/>
        <v/>
      </c>
      <c r="D779" s="24">
        <f t="shared" si="181"/>
        <v>0</v>
      </c>
      <c r="E779" s="24" t="str">
        <f t="shared" si="174"/>
        <v>PLABPF3404</v>
      </c>
      <c r="F779" s="24">
        <f t="shared" si="182"/>
        <v>1</v>
      </c>
      <c r="G779" s="24" t="str">
        <f t="shared" si="175"/>
        <v/>
      </c>
      <c r="H779" s="24">
        <f t="shared" si="183"/>
        <v>0</v>
      </c>
      <c r="I779" s="24" t="str">
        <f t="shared" si="176"/>
        <v>PLABPF3404BK</v>
      </c>
      <c r="J779" s="24">
        <f t="shared" si="184"/>
        <v>1</v>
      </c>
      <c r="K779" s="24" t="str">
        <f t="shared" si="177"/>
        <v>F3</v>
      </c>
      <c r="L779" s="24" t="str">
        <f>VLOOKUP(N779,CODE!K:P,CODE!$P$1,FALSE)</f>
        <v>가방</v>
      </c>
      <c r="M779" s="24" t="str">
        <f>VLOOKUP(MID(R779,1,3),CODE!$B:$G,CODE!D$1,FALSE)</f>
        <v>PLA</v>
      </c>
      <c r="N779" s="24" t="str">
        <f t="shared" si="178"/>
        <v>BP</v>
      </c>
      <c r="O779" s="29" t="str">
        <f>IF(ISERROR(IF(VLOOKUP($N779,CODE!$K:$P,CODE!$O$1,FALSE)="",$M779,$M779&amp;"-"&amp;VLOOKUP($N779,CODE!$K:$P,CODE!$O$1,FALSE)))=TRUE,"",IF(VLOOKUP($N779,CODE!$K:$P,CODE!$O$1,FALSE)="",$M779,$M779&amp;"-"&amp;VLOOKUP($N779,CODE!$K:$P,CODE!$O$1,FALSE)))</f>
        <v>PLA-가방</v>
      </c>
      <c r="P779" s="29" t="str">
        <f t="shared" si="179"/>
        <v>성인</v>
      </c>
      <c r="Q779" s="29" t="str">
        <f t="shared" si="180"/>
        <v>PLABPF3404</v>
      </c>
      <c r="R779" s="1" t="s">
        <v>1358</v>
      </c>
      <c r="S779" s="1" t="s">
        <v>14</v>
      </c>
      <c r="T779" s="26">
        <v>300</v>
      </c>
      <c r="U779" s="26">
        <v>37500000</v>
      </c>
      <c r="V779" s="26">
        <v>7560000</v>
      </c>
      <c r="W779" s="26">
        <v>4.5093795093795093</v>
      </c>
      <c r="X779" s="26">
        <v>300</v>
      </c>
      <c r="Y779" s="26">
        <v>0</v>
      </c>
    </row>
    <row r="780" spans="1:25">
      <c r="A780" s="24" t="str">
        <f t="shared" si="172"/>
        <v>신규</v>
      </c>
      <c r="B780" s="24" t="str">
        <f>IF(COUNTIF(R$1:R779,R780)=0,"최초","리오더")</f>
        <v>최초</v>
      </c>
      <c r="C780" s="24" t="str">
        <f t="shared" si="173"/>
        <v>ZZZSNF3021</v>
      </c>
      <c r="D780" s="24">
        <f t="shared" si="181"/>
        <v>1</v>
      </c>
      <c r="E780" s="24" t="str">
        <f t="shared" si="174"/>
        <v/>
      </c>
      <c r="F780" s="24">
        <f t="shared" si="182"/>
        <v>0</v>
      </c>
      <c r="G780" s="24" t="str">
        <f t="shared" si="175"/>
        <v>ZZZSNF3021NY</v>
      </c>
      <c r="H780" s="24">
        <f t="shared" si="183"/>
        <v>1</v>
      </c>
      <c r="I780" s="24" t="str">
        <f t="shared" si="176"/>
        <v/>
      </c>
      <c r="J780" s="24">
        <f t="shared" si="184"/>
        <v>0</v>
      </c>
      <c r="K780" s="24" t="str">
        <f t="shared" si="177"/>
        <v>F3</v>
      </c>
      <c r="L780" s="24" t="str">
        <f>VLOOKUP(N780,CODE!K:P,CODE!$P$1,FALSE)</f>
        <v>모자</v>
      </c>
      <c r="M780" s="24" t="str">
        <f>VLOOKUP(MID(R780,1,3),CODE!$B:$G,CODE!D$1,FALSE)</f>
        <v>ZZZ</v>
      </c>
      <c r="N780" s="24" t="str">
        <f t="shared" si="178"/>
        <v>SN</v>
      </c>
      <c r="O780" s="29" t="str">
        <f>IF(ISERROR(IF(VLOOKUP($N780,CODE!$K:$P,CODE!$O$1,FALSE)="",$M780,$M780&amp;"-"&amp;VLOOKUP($N780,CODE!$K:$P,CODE!$O$1,FALSE)))=TRUE,"",IF(VLOOKUP($N780,CODE!$K:$P,CODE!$O$1,FALSE)="",$M780,$M780&amp;"-"&amp;VLOOKUP($N780,CODE!$K:$P,CODE!$O$1,FALSE)))</f>
        <v>ZZZ</v>
      </c>
      <c r="P780" s="29" t="str">
        <f t="shared" si="179"/>
        <v>성인</v>
      </c>
      <c r="Q780" s="29" t="str">
        <f t="shared" si="180"/>
        <v>ZZZSNF3021</v>
      </c>
      <c r="R780" s="1" t="s">
        <v>1623</v>
      </c>
      <c r="S780" s="1" t="s">
        <v>14</v>
      </c>
      <c r="T780" s="26">
        <v>150</v>
      </c>
      <c r="U780" s="26">
        <v>7350000</v>
      </c>
      <c r="V780" s="26">
        <v>1907250</v>
      </c>
      <c r="W780" s="26">
        <v>3.5033782576055481</v>
      </c>
      <c r="X780" s="26">
        <v>150</v>
      </c>
      <c r="Y780" s="26">
        <v>0</v>
      </c>
    </row>
    <row r="781" spans="1:25">
      <c r="A781" s="24" t="str">
        <f t="shared" si="172"/>
        <v>신규</v>
      </c>
      <c r="B781" s="24" t="str">
        <f>IF(COUNTIF(R$1:R780,R781)=0,"최초","리오더")</f>
        <v>최초</v>
      </c>
      <c r="C781" s="24" t="str">
        <f t="shared" si="173"/>
        <v>ZZZSNF3022</v>
      </c>
      <c r="D781" s="24">
        <f t="shared" si="181"/>
        <v>1</v>
      </c>
      <c r="E781" s="24" t="str">
        <f t="shared" si="174"/>
        <v/>
      </c>
      <c r="F781" s="24">
        <f t="shared" si="182"/>
        <v>0</v>
      </c>
      <c r="G781" s="24" t="str">
        <f t="shared" si="175"/>
        <v>ZZZSNF3022PK</v>
      </c>
      <c r="H781" s="24">
        <f t="shared" si="183"/>
        <v>1</v>
      </c>
      <c r="I781" s="24" t="str">
        <f t="shared" si="176"/>
        <v/>
      </c>
      <c r="J781" s="24">
        <f t="shared" si="184"/>
        <v>0</v>
      </c>
      <c r="K781" s="24" t="str">
        <f t="shared" si="177"/>
        <v>F3</v>
      </c>
      <c r="L781" s="24" t="str">
        <f>VLOOKUP(N781,CODE!K:P,CODE!$P$1,FALSE)</f>
        <v>모자</v>
      </c>
      <c r="M781" s="24" t="str">
        <f>VLOOKUP(MID(R781,1,3),CODE!$B:$G,CODE!D$1,FALSE)</f>
        <v>ZZZ</v>
      </c>
      <c r="N781" s="24" t="str">
        <f t="shared" si="178"/>
        <v>SN</v>
      </c>
      <c r="O781" s="29" t="str">
        <f>IF(ISERROR(IF(VLOOKUP($N781,CODE!$K:$P,CODE!$O$1,FALSE)="",$M781,$M781&amp;"-"&amp;VLOOKUP($N781,CODE!$K:$P,CODE!$O$1,FALSE)))=TRUE,"",IF(VLOOKUP($N781,CODE!$K:$P,CODE!$O$1,FALSE)="",$M781,$M781&amp;"-"&amp;VLOOKUP($N781,CODE!$K:$P,CODE!$O$1,FALSE)))</f>
        <v>ZZZ</v>
      </c>
      <c r="P781" s="29" t="str">
        <f t="shared" si="179"/>
        <v>성인</v>
      </c>
      <c r="Q781" s="29" t="str">
        <f t="shared" si="180"/>
        <v>ZZZSNF3022</v>
      </c>
      <c r="R781" s="1" t="s">
        <v>1624</v>
      </c>
      <c r="S781" s="1" t="s">
        <v>14</v>
      </c>
      <c r="T781" s="26">
        <v>150</v>
      </c>
      <c r="U781" s="26">
        <v>7350000</v>
      </c>
      <c r="V781" s="26">
        <v>1892250</v>
      </c>
      <c r="W781" s="26">
        <v>3.5311497856087626</v>
      </c>
      <c r="X781" s="26">
        <v>150</v>
      </c>
      <c r="Y781" s="26">
        <v>0</v>
      </c>
    </row>
    <row r="782" spans="1:25">
      <c r="A782" s="24" t="str">
        <f t="shared" si="172"/>
        <v>신규</v>
      </c>
      <c r="B782" s="24" t="str">
        <f>IF(COUNTIF(R$1:R781,R782)=0,"최초","리오더")</f>
        <v>최초</v>
      </c>
      <c r="C782" s="24" t="str">
        <f t="shared" si="173"/>
        <v>ZZZSNF3023</v>
      </c>
      <c r="D782" s="24">
        <f t="shared" si="181"/>
        <v>1</v>
      </c>
      <c r="E782" s="24" t="str">
        <f t="shared" si="174"/>
        <v/>
      </c>
      <c r="F782" s="24">
        <f t="shared" si="182"/>
        <v>0</v>
      </c>
      <c r="G782" s="24" t="str">
        <f t="shared" si="175"/>
        <v>ZZZSNF3023YE</v>
      </c>
      <c r="H782" s="24">
        <f t="shared" si="183"/>
        <v>1</v>
      </c>
      <c r="I782" s="24" t="str">
        <f t="shared" si="176"/>
        <v/>
      </c>
      <c r="J782" s="24">
        <f t="shared" si="184"/>
        <v>0</v>
      </c>
      <c r="K782" s="24" t="str">
        <f t="shared" si="177"/>
        <v>F3</v>
      </c>
      <c r="L782" s="24" t="str">
        <f>VLOOKUP(N782,CODE!K:P,CODE!$P$1,FALSE)</f>
        <v>모자</v>
      </c>
      <c r="M782" s="24" t="str">
        <f>VLOOKUP(MID(R782,1,3),CODE!$B:$G,CODE!D$1,FALSE)</f>
        <v>ZZZ</v>
      </c>
      <c r="N782" s="24" t="str">
        <f t="shared" si="178"/>
        <v>SN</v>
      </c>
      <c r="O782" s="29" t="str">
        <f>IF(ISERROR(IF(VLOOKUP($N782,CODE!$K:$P,CODE!$O$1,FALSE)="",$M782,$M782&amp;"-"&amp;VLOOKUP($N782,CODE!$K:$P,CODE!$O$1,FALSE)))=TRUE,"",IF(VLOOKUP($N782,CODE!$K:$P,CODE!$O$1,FALSE)="",$M782,$M782&amp;"-"&amp;VLOOKUP($N782,CODE!$K:$P,CODE!$O$1,FALSE)))</f>
        <v>ZZZ</v>
      </c>
      <c r="P782" s="29" t="str">
        <f t="shared" si="179"/>
        <v>성인</v>
      </c>
      <c r="Q782" s="29" t="str">
        <f t="shared" si="180"/>
        <v>ZZZSNF3023</v>
      </c>
      <c r="R782" s="1" t="s">
        <v>1625</v>
      </c>
      <c r="S782" s="1" t="s">
        <v>14</v>
      </c>
      <c r="T782" s="26">
        <v>150</v>
      </c>
      <c r="U782" s="26">
        <v>7350000</v>
      </c>
      <c r="V782" s="26">
        <v>1952250</v>
      </c>
      <c r="W782" s="26">
        <v>3.4226242447525581</v>
      </c>
      <c r="X782" s="26">
        <v>150</v>
      </c>
      <c r="Y782" s="26">
        <v>0</v>
      </c>
    </row>
    <row r="783" spans="1:25">
      <c r="A783" s="24" t="str">
        <f t="shared" si="172"/>
        <v>신규</v>
      </c>
      <c r="B783" s="24" t="str">
        <f>IF(COUNTIF(R$1:R782,R783)=0,"최초","리오더")</f>
        <v>최초</v>
      </c>
      <c r="C783" s="24" t="str">
        <f t="shared" si="173"/>
        <v>ZZZSNF3024</v>
      </c>
      <c r="D783" s="24">
        <f t="shared" si="181"/>
        <v>1</v>
      </c>
      <c r="E783" s="24" t="str">
        <f t="shared" si="174"/>
        <v/>
      </c>
      <c r="F783" s="24">
        <f t="shared" si="182"/>
        <v>0</v>
      </c>
      <c r="G783" s="24" t="str">
        <f t="shared" si="175"/>
        <v>ZZZSNF3024BK</v>
      </c>
      <c r="H783" s="24">
        <f t="shared" si="183"/>
        <v>1</v>
      </c>
      <c r="I783" s="24" t="str">
        <f t="shared" si="176"/>
        <v/>
      </c>
      <c r="J783" s="24">
        <f t="shared" si="184"/>
        <v>0</v>
      </c>
      <c r="K783" s="24" t="str">
        <f t="shared" si="177"/>
        <v>F3</v>
      </c>
      <c r="L783" s="24" t="str">
        <f>VLOOKUP(N783,CODE!K:P,CODE!$P$1,FALSE)</f>
        <v>모자</v>
      </c>
      <c r="M783" s="24" t="str">
        <f>VLOOKUP(MID(R783,1,3),CODE!$B:$G,CODE!D$1,FALSE)</f>
        <v>ZZZ</v>
      </c>
      <c r="N783" s="24" t="str">
        <f t="shared" si="178"/>
        <v>SN</v>
      </c>
      <c r="O783" s="29" t="str">
        <f>IF(ISERROR(IF(VLOOKUP($N783,CODE!$K:$P,CODE!$O$1,FALSE)="",$M783,$M783&amp;"-"&amp;VLOOKUP($N783,CODE!$K:$P,CODE!$O$1,FALSE)))=TRUE,"",IF(VLOOKUP($N783,CODE!$K:$P,CODE!$O$1,FALSE)="",$M783,$M783&amp;"-"&amp;VLOOKUP($N783,CODE!$K:$P,CODE!$O$1,FALSE)))</f>
        <v>ZZZ</v>
      </c>
      <c r="P783" s="29" t="str">
        <f t="shared" si="179"/>
        <v>성인</v>
      </c>
      <c r="Q783" s="29" t="str">
        <f t="shared" si="180"/>
        <v>ZZZSNF3024</v>
      </c>
      <c r="R783" s="1" t="s">
        <v>1626</v>
      </c>
      <c r="S783" s="1" t="s">
        <v>14</v>
      </c>
      <c r="T783" s="26">
        <v>150</v>
      </c>
      <c r="U783" s="26">
        <v>7350000</v>
      </c>
      <c r="V783" s="26">
        <v>1757250</v>
      </c>
      <c r="W783" s="26">
        <v>3.8024288984596279</v>
      </c>
      <c r="X783" s="26">
        <v>150</v>
      </c>
      <c r="Y783" s="26">
        <v>0</v>
      </c>
    </row>
    <row r="784" spans="1:25">
      <c r="A784" s="24" t="str">
        <f t="shared" si="172"/>
        <v>신규</v>
      </c>
      <c r="B784" s="24" t="str">
        <f>IF(COUNTIF(R$1:R783,R784)=0,"최초","리오더")</f>
        <v>최초</v>
      </c>
      <c r="C784" s="24" t="str">
        <f t="shared" si="173"/>
        <v>ZZZSNF3031</v>
      </c>
      <c r="D784" s="24">
        <f t="shared" si="181"/>
        <v>1</v>
      </c>
      <c r="E784" s="24" t="str">
        <f t="shared" si="174"/>
        <v/>
      </c>
      <c r="F784" s="24">
        <f t="shared" si="182"/>
        <v>0</v>
      </c>
      <c r="G784" s="24" t="str">
        <f t="shared" si="175"/>
        <v>ZZZSNF3031NY</v>
      </c>
      <c r="H784" s="24">
        <f t="shared" si="183"/>
        <v>1</v>
      </c>
      <c r="I784" s="24" t="str">
        <f t="shared" si="176"/>
        <v/>
      </c>
      <c r="J784" s="24">
        <f t="shared" si="184"/>
        <v>0</v>
      </c>
      <c r="K784" s="24" t="str">
        <f t="shared" si="177"/>
        <v>F3</v>
      </c>
      <c r="L784" s="24" t="str">
        <f>VLOOKUP(N784,CODE!K:P,CODE!$P$1,FALSE)</f>
        <v>모자</v>
      </c>
      <c r="M784" s="24" t="str">
        <f>VLOOKUP(MID(R784,1,3),CODE!$B:$G,CODE!D$1,FALSE)</f>
        <v>ZZZ</v>
      </c>
      <c r="N784" s="24" t="str">
        <f t="shared" si="178"/>
        <v>SN</v>
      </c>
      <c r="O784" s="29" t="str">
        <f>IF(ISERROR(IF(VLOOKUP($N784,CODE!$K:$P,CODE!$O$1,FALSE)="",$M784,$M784&amp;"-"&amp;VLOOKUP($N784,CODE!$K:$P,CODE!$O$1,FALSE)))=TRUE,"",IF(VLOOKUP($N784,CODE!$K:$P,CODE!$O$1,FALSE)="",$M784,$M784&amp;"-"&amp;VLOOKUP($N784,CODE!$K:$P,CODE!$O$1,FALSE)))</f>
        <v>ZZZ</v>
      </c>
      <c r="P784" s="29" t="str">
        <f t="shared" si="179"/>
        <v>성인</v>
      </c>
      <c r="Q784" s="29" t="str">
        <f t="shared" si="180"/>
        <v>ZZZSNF3031</v>
      </c>
      <c r="R784" s="1" t="s">
        <v>1627</v>
      </c>
      <c r="S784" s="1" t="s">
        <v>14</v>
      </c>
      <c r="T784" s="26">
        <v>300</v>
      </c>
      <c r="U784" s="26">
        <v>14700000</v>
      </c>
      <c r="V784" s="26">
        <v>3808500</v>
      </c>
      <c r="W784" s="26">
        <v>3.508897561674245</v>
      </c>
      <c r="X784" s="26">
        <v>300</v>
      </c>
      <c r="Y784" s="26">
        <v>0</v>
      </c>
    </row>
    <row r="785" spans="1:25">
      <c r="A785" s="24" t="str">
        <f t="shared" si="172"/>
        <v>신규</v>
      </c>
      <c r="B785" s="24" t="str">
        <f>IF(COUNTIF(R$1:R784,R785)=0,"최초","리오더")</f>
        <v>최초</v>
      </c>
      <c r="C785" s="24" t="str">
        <f t="shared" si="173"/>
        <v>ZZZSNF3032</v>
      </c>
      <c r="D785" s="24">
        <f t="shared" si="181"/>
        <v>1</v>
      </c>
      <c r="E785" s="24" t="str">
        <f t="shared" si="174"/>
        <v/>
      </c>
      <c r="F785" s="24">
        <f t="shared" si="182"/>
        <v>0</v>
      </c>
      <c r="G785" s="24" t="str">
        <f t="shared" si="175"/>
        <v>ZZZSNF3032PK</v>
      </c>
      <c r="H785" s="24">
        <f t="shared" si="183"/>
        <v>1</v>
      </c>
      <c r="I785" s="24" t="str">
        <f t="shared" si="176"/>
        <v/>
      </c>
      <c r="J785" s="24">
        <f t="shared" si="184"/>
        <v>0</v>
      </c>
      <c r="K785" s="24" t="str">
        <f t="shared" si="177"/>
        <v>F3</v>
      </c>
      <c r="L785" s="24" t="str">
        <f>VLOOKUP(N785,CODE!K:P,CODE!$P$1,FALSE)</f>
        <v>모자</v>
      </c>
      <c r="M785" s="24" t="str">
        <f>VLOOKUP(MID(R785,1,3),CODE!$B:$G,CODE!D$1,FALSE)</f>
        <v>ZZZ</v>
      </c>
      <c r="N785" s="24" t="str">
        <f t="shared" si="178"/>
        <v>SN</v>
      </c>
      <c r="O785" s="29" t="str">
        <f>IF(ISERROR(IF(VLOOKUP($N785,CODE!$K:$P,CODE!$O$1,FALSE)="",$M785,$M785&amp;"-"&amp;VLOOKUP($N785,CODE!$K:$P,CODE!$O$1,FALSE)))=TRUE,"",IF(VLOOKUP($N785,CODE!$K:$P,CODE!$O$1,FALSE)="",$M785,$M785&amp;"-"&amp;VLOOKUP($N785,CODE!$K:$P,CODE!$O$1,FALSE)))</f>
        <v>ZZZ</v>
      </c>
      <c r="P785" s="29" t="str">
        <f t="shared" si="179"/>
        <v>성인</v>
      </c>
      <c r="Q785" s="29" t="str">
        <f t="shared" si="180"/>
        <v>ZZZSNF3032</v>
      </c>
      <c r="R785" s="1" t="s">
        <v>1628</v>
      </c>
      <c r="S785" s="1" t="s">
        <v>14</v>
      </c>
      <c r="T785" s="26">
        <v>300</v>
      </c>
      <c r="U785" s="26">
        <v>14700000</v>
      </c>
      <c r="V785" s="26">
        <v>3778500</v>
      </c>
      <c r="W785" s="26">
        <v>3.5367570103576451</v>
      </c>
      <c r="X785" s="26">
        <v>300</v>
      </c>
      <c r="Y785" s="26">
        <v>0</v>
      </c>
    </row>
    <row r="786" spans="1:25">
      <c r="A786" s="24" t="str">
        <f t="shared" si="172"/>
        <v>신규</v>
      </c>
      <c r="B786" s="24" t="str">
        <f>IF(COUNTIF(R$1:R785,R786)=0,"최초","리오더")</f>
        <v>최초</v>
      </c>
      <c r="C786" s="24" t="str">
        <f t="shared" si="173"/>
        <v>ZZZSNF3033</v>
      </c>
      <c r="D786" s="24">
        <f t="shared" si="181"/>
        <v>1</v>
      </c>
      <c r="E786" s="24" t="str">
        <f t="shared" si="174"/>
        <v/>
      </c>
      <c r="F786" s="24">
        <f t="shared" si="182"/>
        <v>0</v>
      </c>
      <c r="G786" s="24" t="str">
        <f t="shared" si="175"/>
        <v>ZZZSNF3033YE</v>
      </c>
      <c r="H786" s="24">
        <f t="shared" si="183"/>
        <v>1</v>
      </c>
      <c r="I786" s="24" t="str">
        <f t="shared" si="176"/>
        <v/>
      </c>
      <c r="J786" s="24">
        <f t="shared" si="184"/>
        <v>0</v>
      </c>
      <c r="K786" s="24" t="str">
        <f t="shared" si="177"/>
        <v>F3</v>
      </c>
      <c r="L786" s="24" t="str">
        <f>VLOOKUP(N786,CODE!K:P,CODE!$P$1,FALSE)</f>
        <v>모자</v>
      </c>
      <c r="M786" s="24" t="str">
        <f>VLOOKUP(MID(R786,1,3),CODE!$B:$G,CODE!D$1,FALSE)</f>
        <v>ZZZ</v>
      </c>
      <c r="N786" s="24" t="str">
        <f t="shared" si="178"/>
        <v>SN</v>
      </c>
      <c r="O786" s="29" t="str">
        <f>IF(ISERROR(IF(VLOOKUP($N786,CODE!$K:$P,CODE!$O$1,FALSE)="",$M786,$M786&amp;"-"&amp;VLOOKUP($N786,CODE!$K:$P,CODE!$O$1,FALSE)))=TRUE,"",IF(VLOOKUP($N786,CODE!$K:$P,CODE!$O$1,FALSE)="",$M786,$M786&amp;"-"&amp;VLOOKUP($N786,CODE!$K:$P,CODE!$O$1,FALSE)))</f>
        <v>ZZZ</v>
      </c>
      <c r="P786" s="29" t="str">
        <f t="shared" si="179"/>
        <v>성인</v>
      </c>
      <c r="Q786" s="29" t="str">
        <f t="shared" si="180"/>
        <v>ZZZSNF3033</v>
      </c>
      <c r="R786" s="1" t="s">
        <v>1629</v>
      </c>
      <c r="S786" s="1" t="s">
        <v>14</v>
      </c>
      <c r="T786" s="26">
        <v>300</v>
      </c>
      <c r="U786" s="26">
        <v>14700000</v>
      </c>
      <c r="V786" s="26">
        <v>3898500</v>
      </c>
      <c r="W786" s="26">
        <v>3.4278918465143935</v>
      </c>
      <c r="X786" s="26">
        <v>300</v>
      </c>
      <c r="Y786" s="26">
        <v>0</v>
      </c>
    </row>
    <row r="787" spans="1:25">
      <c r="A787" s="24" t="str">
        <f t="shared" si="172"/>
        <v>신규</v>
      </c>
      <c r="B787" s="24" t="str">
        <f>IF(COUNTIF(R$1:R786,R787)=0,"최초","리오더")</f>
        <v>최초</v>
      </c>
      <c r="C787" s="24" t="str">
        <f t="shared" si="173"/>
        <v>ZZZSNF3034</v>
      </c>
      <c r="D787" s="24">
        <f t="shared" si="181"/>
        <v>1</v>
      </c>
      <c r="E787" s="24" t="str">
        <f t="shared" si="174"/>
        <v/>
      </c>
      <c r="F787" s="24">
        <f t="shared" si="182"/>
        <v>0</v>
      </c>
      <c r="G787" s="24" t="str">
        <f t="shared" si="175"/>
        <v>ZZZSNF3034BK</v>
      </c>
      <c r="H787" s="24">
        <f t="shared" si="183"/>
        <v>1</v>
      </c>
      <c r="I787" s="24" t="str">
        <f t="shared" si="176"/>
        <v/>
      </c>
      <c r="J787" s="24">
        <f t="shared" si="184"/>
        <v>0</v>
      </c>
      <c r="K787" s="24" t="str">
        <f t="shared" si="177"/>
        <v>F3</v>
      </c>
      <c r="L787" s="24" t="str">
        <f>VLOOKUP(N787,CODE!K:P,CODE!$P$1,FALSE)</f>
        <v>모자</v>
      </c>
      <c r="M787" s="24" t="str">
        <f>VLOOKUP(MID(R787,1,3),CODE!$B:$G,CODE!D$1,FALSE)</f>
        <v>ZZZ</v>
      </c>
      <c r="N787" s="24" t="str">
        <f t="shared" si="178"/>
        <v>SN</v>
      </c>
      <c r="O787" s="29" t="str">
        <f>IF(ISERROR(IF(VLOOKUP($N787,CODE!$K:$P,CODE!$O$1,FALSE)="",$M787,$M787&amp;"-"&amp;VLOOKUP($N787,CODE!$K:$P,CODE!$O$1,FALSE)))=TRUE,"",IF(VLOOKUP($N787,CODE!$K:$P,CODE!$O$1,FALSE)="",$M787,$M787&amp;"-"&amp;VLOOKUP($N787,CODE!$K:$P,CODE!$O$1,FALSE)))</f>
        <v>ZZZ</v>
      </c>
      <c r="P787" s="29" t="str">
        <f t="shared" si="179"/>
        <v>성인</v>
      </c>
      <c r="Q787" s="29" t="str">
        <f t="shared" si="180"/>
        <v>ZZZSNF3034</v>
      </c>
      <c r="R787" s="1" t="s">
        <v>1630</v>
      </c>
      <c r="S787" s="1" t="s">
        <v>14</v>
      </c>
      <c r="T787" s="26">
        <v>300</v>
      </c>
      <c r="U787" s="26">
        <v>14700000</v>
      </c>
      <c r="V787" s="26">
        <v>3508500</v>
      </c>
      <c r="W787" s="26">
        <v>3.8089315558319403</v>
      </c>
      <c r="X787" s="26">
        <v>300</v>
      </c>
      <c r="Y787" s="26">
        <v>0</v>
      </c>
    </row>
    <row r="788" spans="1:25">
      <c r="A788" s="24" t="str">
        <f t="shared" si="172"/>
        <v>신규</v>
      </c>
      <c r="B788" s="24" t="str">
        <f>IF(COUNTIF(R$1:R787,R788)=0,"최초","리오더")</f>
        <v>최초</v>
      </c>
      <c r="C788" s="24" t="str">
        <f t="shared" si="173"/>
        <v>FFTSNF5027</v>
      </c>
      <c r="D788" s="24">
        <f t="shared" si="181"/>
        <v>1</v>
      </c>
      <c r="E788" s="24" t="str">
        <f t="shared" si="174"/>
        <v/>
      </c>
      <c r="F788" s="24">
        <f t="shared" si="182"/>
        <v>0</v>
      </c>
      <c r="G788" s="24" t="str">
        <f t="shared" si="175"/>
        <v>FFTSNF5027BK</v>
      </c>
      <c r="H788" s="24">
        <f t="shared" si="183"/>
        <v>1</v>
      </c>
      <c r="I788" s="24" t="str">
        <f t="shared" si="176"/>
        <v/>
      </c>
      <c r="J788" s="24">
        <f t="shared" si="184"/>
        <v>0</v>
      </c>
      <c r="K788" s="24" t="str">
        <f t="shared" si="177"/>
        <v>F5</v>
      </c>
      <c r="L788" s="24" t="str">
        <f>VLOOKUP(N788,CODE!K:P,CODE!$P$1,FALSE)</f>
        <v>모자</v>
      </c>
      <c r="M788" s="24" t="str">
        <f>VLOOKUP(MID(R788,1,3),CODE!$B:$G,CODE!D$1,FALSE)</f>
        <v>FFT</v>
      </c>
      <c r="N788" s="24" t="str">
        <f t="shared" si="178"/>
        <v>SN</v>
      </c>
      <c r="O788" s="29" t="str">
        <f>IF(ISERROR(IF(VLOOKUP($N788,CODE!$K:$P,CODE!$O$1,FALSE)="",$M788,$M788&amp;"-"&amp;VLOOKUP($N788,CODE!$K:$P,CODE!$O$1,FALSE)))=TRUE,"",IF(VLOOKUP($N788,CODE!$K:$P,CODE!$O$1,FALSE)="",$M788,$M788&amp;"-"&amp;VLOOKUP($N788,CODE!$K:$P,CODE!$O$1,FALSE)))</f>
        <v>FFT</v>
      </c>
      <c r="P788" s="29" t="str">
        <f t="shared" si="179"/>
        <v>성인</v>
      </c>
      <c r="Q788" s="29" t="str">
        <f t="shared" si="180"/>
        <v>FFTSNF5027</v>
      </c>
      <c r="R788" s="1" t="s">
        <v>1631</v>
      </c>
      <c r="S788" s="1" t="s">
        <v>15</v>
      </c>
      <c r="T788" s="26">
        <v>100</v>
      </c>
      <c r="U788" s="26">
        <v>4500000</v>
      </c>
      <c r="V788" s="26">
        <v>1840909.0909090908</v>
      </c>
      <c r="W788" s="26">
        <v>2.2222222222222223</v>
      </c>
      <c r="X788" s="26">
        <v>100</v>
      </c>
      <c r="Y788" s="26">
        <v>0</v>
      </c>
    </row>
    <row r="789" spans="1:25">
      <c r="A789" s="24" t="str">
        <f t="shared" si="172"/>
        <v>신규</v>
      </c>
      <c r="B789" s="24" t="str">
        <f>IF(COUNTIF(R$1:R788,R789)=0,"최초","리오더")</f>
        <v>최초</v>
      </c>
      <c r="C789" s="24" t="str">
        <f t="shared" si="173"/>
        <v>FFTSNF3028</v>
      </c>
      <c r="D789" s="24">
        <f t="shared" si="181"/>
        <v>1</v>
      </c>
      <c r="E789" s="24" t="str">
        <f t="shared" si="174"/>
        <v/>
      </c>
      <c r="F789" s="24">
        <f t="shared" si="182"/>
        <v>0</v>
      </c>
      <c r="G789" s="24" t="str">
        <f t="shared" si="175"/>
        <v>FFTSNF3028BK</v>
      </c>
      <c r="H789" s="24">
        <f t="shared" si="183"/>
        <v>1</v>
      </c>
      <c r="I789" s="24" t="str">
        <f t="shared" si="176"/>
        <v/>
      </c>
      <c r="J789" s="24">
        <f t="shared" si="184"/>
        <v>0</v>
      </c>
      <c r="K789" s="24" t="str">
        <f t="shared" si="177"/>
        <v>F3</v>
      </c>
      <c r="L789" s="24" t="str">
        <f>VLOOKUP(N789,CODE!K:P,CODE!$P$1,FALSE)</f>
        <v>모자</v>
      </c>
      <c r="M789" s="24" t="str">
        <f>VLOOKUP(MID(R789,1,3),CODE!$B:$G,CODE!D$1,FALSE)</f>
        <v>FFT</v>
      </c>
      <c r="N789" s="24" t="str">
        <f t="shared" si="178"/>
        <v>SN</v>
      </c>
      <c r="O789" s="29" t="str">
        <f>IF(ISERROR(IF(VLOOKUP($N789,CODE!$K:$P,CODE!$O$1,FALSE)="",$M789,$M789&amp;"-"&amp;VLOOKUP($N789,CODE!$K:$P,CODE!$O$1,FALSE)))=TRUE,"",IF(VLOOKUP($N789,CODE!$K:$P,CODE!$O$1,FALSE)="",$M789,$M789&amp;"-"&amp;VLOOKUP($N789,CODE!$K:$P,CODE!$O$1,FALSE)))</f>
        <v>FFT</v>
      </c>
      <c r="P789" s="29" t="str">
        <f t="shared" si="179"/>
        <v>성인</v>
      </c>
      <c r="Q789" s="29" t="str">
        <f t="shared" si="180"/>
        <v>FFTSNF3028</v>
      </c>
      <c r="R789" s="1" t="s">
        <v>1632</v>
      </c>
      <c r="S789" s="1" t="s">
        <v>15</v>
      </c>
      <c r="T789" s="26">
        <v>100</v>
      </c>
      <c r="U789" s="26">
        <v>4500000</v>
      </c>
      <c r="V789" s="26">
        <v>1840909.0909090908</v>
      </c>
      <c r="W789" s="26">
        <v>2.2222222222222223</v>
      </c>
      <c r="X789" s="26">
        <v>100</v>
      </c>
      <c r="Y789" s="26">
        <v>0</v>
      </c>
    </row>
    <row r="790" spans="1:25">
      <c r="A790" s="24" t="str">
        <f t="shared" si="172"/>
        <v>신규</v>
      </c>
      <c r="B790" s="24" t="str">
        <f>IF(COUNTIF(R$1:R789,R790)=0,"최초","리오더")</f>
        <v>최초</v>
      </c>
      <c r="C790" s="24" t="str">
        <f t="shared" si="173"/>
        <v>FFTSNF3029</v>
      </c>
      <c r="D790" s="24">
        <f t="shared" si="181"/>
        <v>1</v>
      </c>
      <c r="E790" s="24" t="str">
        <f t="shared" si="174"/>
        <v/>
      </c>
      <c r="F790" s="24">
        <f t="shared" si="182"/>
        <v>0</v>
      </c>
      <c r="G790" s="24" t="str">
        <f t="shared" si="175"/>
        <v>FFTSNF3029RE</v>
      </c>
      <c r="H790" s="24">
        <f t="shared" si="183"/>
        <v>1</v>
      </c>
      <c r="I790" s="24" t="str">
        <f t="shared" si="176"/>
        <v/>
      </c>
      <c r="J790" s="24">
        <f t="shared" si="184"/>
        <v>0</v>
      </c>
      <c r="K790" s="24" t="str">
        <f t="shared" si="177"/>
        <v>F3</v>
      </c>
      <c r="L790" s="24" t="str">
        <f>VLOOKUP(N790,CODE!K:P,CODE!$P$1,FALSE)</f>
        <v>모자</v>
      </c>
      <c r="M790" s="24" t="str">
        <f>VLOOKUP(MID(R790,1,3),CODE!$B:$G,CODE!D$1,FALSE)</f>
        <v>FFT</v>
      </c>
      <c r="N790" s="24" t="str">
        <f t="shared" si="178"/>
        <v>SN</v>
      </c>
      <c r="O790" s="29" t="str">
        <f>IF(ISERROR(IF(VLOOKUP($N790,CODE!$K:$P,CODE!$O$1,FALSE)="",$M790,$M790&amp;"-"&amp;VLOOKUP($N790,CODE!$K:$P,CODE!$O$1,FALSE)))=TRUE,"",IF(VLOOKUP($N790,CODE!$K:$P,CODE!$O$1,FALSE)="",$M790,$M790&amp;"-"&amp;VLOOKUP($N790,CODE!$K:$P,CODE!$O$1,FALSE)))</f>
        <v>FFT</v>
      </c>
      <c r="P790" s="29" t="str">
        <f t="shared" si="179"/>
        <v>성인</v>
      </c>
      <c r="Q790" s="29" t="str">
        <f t="shared" si="180"/>
        <v>FFTSNF3029</v>
      </c>
      <c r="R790" s="1" t="s">
        <v>1633</v>
      </c>
      <c r="S790" s="1" t="s">
        <v>15</v>
      </c>
      <c r="T790" s="26">
        <v>100</v>
      </c>
      <c r="U790" s="26">
        <v>4900000</v>
      </c>
      <c r="V790" s="26">
        <v>2004545.4545454544</v>
      </c>
      <c r="W790" s="26">
        <v>2.2222222222222223</v>
      </c>
      <c r="X790" s="26">
        <v>100</v>
      </c>
      <c r="Y790" s="26">
        <v>0</v>
      </c>
    </row>
    <row r="791" spans="1:25">
      <c r="A791" s="24" t="str">
        <f t="shared" si="172"/>
        <v>신규</v>
      </c>
      <c r="B791" s="24" t="str">
        <f>IF(COUNTIF(R$1:R790,R791)=0,"최초","리오더")</f>
        <v>최초</v>
      </c>
      <c r="C791" s="24" t="str">
        <f t="shared" si="173"/>
        <v>FFTSNF5030</v>
      </c>
      <c r="D791" s="24">
        <f t="shared" si="181"/>
        <v>1</v>
      </c>
      <c r="E791" s="24" t="str">
        <f t="shared" si="174"/>
        <v/>
      </c>
      <c r="F791" s="24">
        <f t="shared" si="182"/>
        <v>0</v>
      </c>
      <c r="G791" s="24" t="str">
        <f t="shared" si="175"/>
        <v>FFTSNF5030BK</v>
      </c>
      <c r="H791" s="24">
        <f t="shared" si="183"/>
        <v>1</v>
      </c>
      <c r="I791" s="24" t="str">
        <f t="shared" si="176"/>
        <v/>
      </c>
      <c r="J791" s="24">
        <f t="shared" si="184"/>
        <v>0</v>
      </c>
      <c r="K791" s="24" t="str">
        <f t="shared" si="177"/>
        <v>F5</v>
      </c>
      <c r="L791" s="24" t="str">
        <f>VLOOKUP(N791,CODE!K:P,CODE!$P$1,FALSE)</f>
        <v>모자</v>
      </c>
      <c r="M791" s="24" t="str">
        <f>VLOOKUP(MID(R791,1,3),CODE!$B:$G,CODE!D$1,FALSE)</f>
        <v>FFT</v>
      </c>
      <c r="N791" s="24" t="str">
        <f t="shared" si="178"/>
        <v>SN</v>
      </c>
      <c r="O791" s="29" t="str">
        <f>IF(ISERROR(IF(VLOOKUP($N791,CODE!$K:$P,CODE!$O$1,FALSE)="",$M791,$M791&amp;"-"&amp;VLOOKUP($N791,CODE!$K:$P,CODE!$O$1,FALSE)))=TRUE,"",IF(VLOOKUP($N791,CODE!$K:$P,CODE!$O$1,FALSE)="",$M791,$M791&amp;"-"&amp;VLOOKUP($N791,CODE!$K:$P,CODE!$O$1,FALSE)))</f>
        <v>FFT</v>
      </c>
      <c r="P791" s="29" t="str">
        <f t="shared" si="179"/>
        <v>성인</v>
      </c>
      <c r="Q791" s="29" t="str">
        <f t="shared" si="180"/>
        <v>FFTSNF5030</v>
      </c>
      <c r="R791" s="1" t="s">
        <v>1634</v>
      </c>
      <c r="S791" s="1" t="s">
        <v>15</v>
      </c>
      <c r="T791" s="26">
        <v>150</v>
      </c>
      <c r="U791" s="26">
        <v>7350000</v>
      </c>
      <c r="V791" s="26">
        <v>3006818.1818181816</v>
      </c>
      <c r="W791" s="26">
        <v>2.2222222222222223</v>
      </c>
      <c r="X791" s="26">
        <v>150</v>
      </c>
      <c r="Y791" s="26">
        <v>0</v>
      </c>
    </row>
    <row r="792" spans="1:25">
      <c r="A792" s="24" t="str">
        <f t="shared" si="172"/>
        <v>신규</v>
      </c>
      <c r="B792" s="24" t="str">
        <f>IF(COUNTIF(R$1:R791,R792)=0,"최초","리오더")</f>
        <v>최초</v>
      </c>
      <c r="C792" s="24" t="str">
        <f t="shared" si="173"/>
        <v>FFTSNF3031</v>
      </c>
      <c r="D792" s="24">
        <f t="shared" si="181"/>
        <v>1</v>
      </c>
      <c r="E792" s="24" t="str">
        <f t="shared" si="174"/>
        <v/>
      </c>
      <c r="F792" s="24">
        <f t="shared" si="182"/>
        <v>0</v>
      </c>
      <c r="G792" s="24" t="str">
        <f t="shared" si="175"/>
        <v>FFTSNF3031KH</v>
      </c>
      <c r="H792" s="24">
        <f t="shared" si="183"/>
        <v>1</v>
      </c>
      <c r="I792" s="24" t="str">
        <f t="shared" si="176"/>
        <v/>
      </c>
      <c r="J792" s="24">
        <f t="shared" si="184"/>
        <v>0</v>
      </c>
      <c r="K792" s="24" t="str">
        <f t="shared" si="177"/>
        <v>F3</v>
      </c>
      <c r="L792" s="24" t="str">
        <f>VLOOKUP(N792,CODE!K:P,CODE!$P$1,FALSE)</f>
        <v>모자</v>
      </c>
      <c r="M792" s="24" t="str">
        <f>VLOOKUP(MID(R792,1,3),CODE!$B:$G,CODE!D$1,FALSE)</f>
        <v>FFT</v>
      </c>
      <c r="N792" s="24" t="str">
        <f t="shared" si="178"/>
        <v>SN</v>
      </c>
      <c r="O792" s="29" t="str">
        <f>IF(ISERROR(IF(VLOOKUP($N792,CODE!$K:$P,CODE!$O$1,FALSE)="",$M792,$M792&amp;"-"&amp;VLOOKUP($N792,CODE!$K:$P,CODE!$O$1,FALSE)))=TRUE,"",IF(VLOOKUP($N792,CODE!$K:$P,CODE!$O$1,FALSE)="",$M792,$M792&amp;"-"&amp;VLOOKUP($N792,CODE!$K:$P,CODE!$O$1,FALSE)))</f>
        <v>FFT</v>
      </c>
      <c r="P792" s="29" t="str">
        <f t="shared" si="179"/>
        <v>성인</v>
      </c>
      <c r="Q792" s="29" t="str">
        <f t="shared" si="180"/>
        <v>FFTSNF3031</v>
      </c>
      <c r="R792" s="1" t="s">
        <v>1635</v>
      </c>
      <c r="S792" s="1" t="s">
        <v>15</v>
      </c>
      <c r="T792" s="26">
        <v>100</v>
      </c>
      <c r="U792" s="26">
        <v>4500000</v>
      </c>
      <c r="V792" s="26">
        <v>1840909.0909090908</v>
      </c>
      <c r="W792" s="26">
        <v>2.2222222222222223</v>
      </c>
      <c r="X792" s="26">
        <v>100</v>
      </c>
      <c r="Y792" s="26">
        <v>0</v>
      </c>
    </row>
    <row r="793" spans="1:25">
      <c r="A793" s="24" t="str">
        <f t="shared" si="172"/>
        <v>신규</v>
      </c>
      <c r="B793" s="24" t="str">
        <f>IF(COUNTIF(R$1:R792,R793)=0,"최초","리오더")</f>
        <v>최초</v>
      </c>
      <c r="C793" s="24" t="str">
        <f t="shared" si="173"/>
        <v>FFTBEF5032</v>
      </c>
      <c r="D793" s="24">
        <f t="shared" si="181"/>
        <v>1</v>
      </c>
      <c r="E793" s="24" t="str">
        <f t="shared" si="174"/>
        <v/>
      </c>
      <c r="F793" s="24">
        <f t="shared" si="182"/>
        <v>0</v>
      </c>
      <c r="G793" s="24" t="str">
        <f t="shared" si="175"/>
        <v>FFTBEF5032RE</v>
      </c>
      <c r="H793" s="24">
        <f t="shared" si="183"/>
        <v>1</v>
      </c>
      <c r="I793" s="24" t="str">
        <f t="shared" si="176"/>
        <v/>
      </c>
      <c r="J793" s="24">
        <f t="shared" si="184"/>
        <v>0</v>
      </c>
      <c r="K793" s="24" t="str">
        <f t="shared" si="177"/>
        <v>F5</v>
      </c>
      <c r="L793" s="24" t="str">
        <f>VLOOKUP(N793,CODE!K:P,CODE!$P$1,FALSE)</f>
        <v>모자</v>
      </c>
      <c r="M793" s="24" t="str">
        <f>VLOOKUP(MID(R793,1,3),CODE!$B:$G,CODE!D$1,FALSE)</f>
        <v>FFT</v>
      </c>
      <c r="N793" s="24" t="str">
        <f t="shared" si="178"/>
        <v>BE</v>
      </c>
      <c r="O793" s="29" t="str">
        <f>IF(ISERROR(IF(VLOOKUP($N793,CODE!$K:$P,CODE!$O$1,FALSE)="",$M793,$M793&amp;"-"&amp;VLOOKUP($N793,CODE!$K:$P,CODE!$O$1,FALSE)))=TRUE,"",IF(VLOOKUP($N793,CODE!$K:$P,CODE!$O$1,FALSE)="",$M793,$M793&amp;"-"&amp;VLOOKUP($N793,CODE!$K:$P,CODE!$O$1,FALSE)))</f>
        <v>FFT</v>
      </c>
      <c r="P793" s="29" t="str">
        <f t="shared" si="179"/>
        <v>성인</v>
      </c>
      <c r="Q793" s="29" t="str">
        <f t="shared" si="180"/>
        <v>FFTBEF5032</v>
      </c>
      <c r="R793" s="1" t="s">
        <v>1636</v>
      </c>
      <c r="S793" s="1" t="s">
        <v>15</v>
      </c>
      <c r="T793" s="26">
        <v>100</v>
      </c>
      <c r="U793" s="26">
        <v>3500000</v>
      </c>
      <c r="V793" s="26">
        <v>1431818.1818181816</v>
      </c>
      <c r="W793" s="26">
        <v>2.2222222222222223</v>
      </c>
      <c r="X793" s="26">
        <v>100</v>
      </c>
      <c r="Y793" s="26">
        <v>0</v>
      </c>
    </row>
    <row r="794" spans="1:25">
      <c r="A794" s="24" t="str">
        <f t="shared" si="172"/>
        <v>신규</v>
      </c>
      <c r="B794" s="24" t="str">
        <f>IF(COUNTIF(R$1:R793,R794)=0,"최초","리오더")</f>
        <v>최초</v>
      </c>
      <c r="C794" s="24" t="str">
        <f t="shared" si="173"/>
        <v>FFTBEF5033</v>
      </c>
      <c r="D794" s="24">
        <f t="shared" si="181"/>
        <v>1</v>
      </c>
      <c r="E794" s="24" t="str">
        <f t="shared" si="174"/>
        <v/>
      </c>
      <c r="F794" s="24">
        <f t="shared" si="182"/>
        <v>0</v>
      </c>
      <c r="G794" s="24" t="str">
        <f t="shared" si="175"/>
        <v>FFTBEF5033BK</v>
      </c>
      <c r="H794" s="24">
        <f t="shared" si="183"/>
        <v>1</v>
      </c>
      <c r="I794" s="24" t="str">
        <f t="shared" si="176"/>
        <v/>
      </c>
      <c r="J794" s="24">
        <f t="shared" si="184"/>
        <v>0</v>
      </c>
      <c r="K794" s="24" t="str">
        <f t="shared" si="177"/>
        <v>F5</v>
      </c>
      <c r="L794" s="24" t="str">
        <f>VLOOKUP(N794,CODE!K:P,CODE!$P$1,FALSE)</f>
        <v>모자</v>
      </c>
      <c r="M794" s="24" t="str">
        <f>VLOOKUP(MID(R794,1,3),CODE!$B:$G,CODE!D$1,FALSE)</f>
        <v>FFT</v>
      </c>
      <c r="N794" s="24" t="str">
        <f t="shared" si="178"/>
        <v>BE</v>
      </c>
      <c r="O794" s="29" t="str">
        <f>IF(ISERROR(IF(VLOOKUP($N794,CODE!$K:$P,CODE!$O$1,FALSE)="",$M794,$M794&amp;"-"&amp;VLOOKUP($N794,CODE!$K:$P,CODE!$O$1,FALSE)))=TRUE,"",IF(VLOOKUP($N794,CODE!$K:$P,CODE!$O$1,FALSE)="",$M794,$M794&amp;"-"&amp;VLOOKUP($N794,CODE!$K:$P,CODE!$O$1,FALSE)))</f>
        <v>FFT</v>
      </c>
      <c r="P794" s="29" t="str">
        <f t="shared" si="179"/>
        <v>성인</v>
      </c>
      <c r="Q794" s="29" t="str">
        <f t="shared" si="180"/>
        <v>FFTBEF5033</v>
      </c>
      <c r="R794" s="1" t="s">
        <v>1637</v>
      </c>
      <c r="S794" s="1" t="s">
        <v>15</v>
      </c>
      <c r="T794" s="26">
        <v>150</v>
      </c>
      <c r="U794" s="26">
        <v>5250000</v>
      </c>
      <c r="V794" s="26">
        <v>2147727.2727272725</v>
      </c>
      <c r="W794" s="26">
        <v>2.2222222222222223</v>
      </c>
      <c r="X794" s="26">
        <v>150</v>
      </c>
      <c r="Y794" s="26">
        <v>0</v>
      </c>
    </row>
    <row r="795" spans="1:25">
      <c r="A795" s="24" t="str">
        <f t="shared" si="172"/>
        <v>신규</v>
      </c>
      <c r="B795" s="24" t="str">
        <f>IF(COUNTIF(R$1:R794,R795)=0,"최초","리오더")</f>
        <v>최초</v>
      </c>
      <c r="C795" s="24" t="str">
        <f t="shared" si="173"/>
        <v>FFTBEF5034</v>
      </c>
      <c r="D795" s="24">
        <f t="shared" si="181"/>
        <v>1</v>
      </c>
      <c r="E795" s="24" t="str">
        <f t="shared" si="174"/>
        <v/>
      </c>
      <c r="F795" s="24">
        <f t="shared" si="182"/>
        <v>0</v>
      </c>
      <c r="G795" s="24" t="str">
        <f t="shared" si="175"/>
        <v>FFTBEF5034GY</v>
      </c>
      <c r="H795" s="24">
        <f t="shared" si="183"/>
        <v>1</v>
      </c>
      <c r="I795" s="24" t="str">
        <f t="shared" si="176"/>
        <v/>
      </c>
      <c r="J795" s="24">
        <f t="shared" si="184"/>
        <v>0</v>
      </c>
      <c r="K795" s="24" t="str">
        <f t="shared" si="177"/>
        <v>F5</v>
      </c>
      <c r="L795" s="24" t="str">
        <f>VLOOKUP(N795,CODE!K:P,CODE!$P$1,FALSE)</f>
        <v>모자</v>
      </c>
      <c r="M795" s="24" t="str">
        <f>VLOOKUP(MID(R795,1,3),CODE!$B:$G,CODE!D$1,FALSE)</f>
        <v>FFT</v>
      </c>
      <c r="N795" s="24" t="str">
        <f t="shared" si="178"/>
        <v>BE</v>
      </c>
      <c r="O795" s="29" t="str">
        <f>IF(ISERROR(IF(VLOOKUP($N795,CODE!$K:$P,CODE!$O$1,FALSE)="",$M795,$M795&amp;"-"&amp;VLOOKUP($N795,CODE!$K:$P,CODE!$O$1,FALSE)))=TRUE,"",IF(VLOOKUP($N795,CODE!$K:$P,CODE!$O$1,FALSE)="",$M795,$M795&amp;"-"&amp;VLOOKUP($N795,CODE!$K:$P,CODE!$O$1,FALSE)))</f>
        <v>FFT</v>
      </c>
      <c r="P795" s="29" t="str">
        <f t="shared" si="179"/>
        <v>성인</v>
      </c>
      <c r="Q795" s="29" t="str">
        <f t="shared" si="180"/>
        <v>FFTBEF5034</v>
      </c>
      <c r="R795" s="1" t="s">
        <v>1638</v>
      </c>
      <c r="S795" s="1" t="s">
        <v>15</v>
      </c>
      <c r="T795" s="26">
        <v>150</v>
      </c>
      <c r="U795" s="26">
        <v>5250000</v>
      </c>
      <c r="V795" s="26">
        <v>2147727.2727272725</v>
      </c>
      <c r="W795" s="26">
        <v>2.2222222222222223</v>
      </c>
      <c r="X795" s="26">
        <v>150</v>
      </c>
      <c r="Y795" s="26">
        <v>0</v>
      </c>
    </row>
    <row r="796" spans="1:25">
      <c r="A796" s="24" t="str">
        <f t="shared" ref="A796:A819" si="185">IF(OR(MID(R796,8,1)="0",MID(R796,8,1)="5"),"신규","러닝")</f>
        <v>신규</v>
      </c>
      <c r="B796" s="24" t="str">
        <f>IF(COUNTIF(R$1:R795,R796)=0,"최초","리오더")</f>
        <v>리오더</v>
      </c>
      <c r="C796" s="24" t="str">
        <f t="shared" ref="C796:C819" si="186">IF($B796="리오더","",Q796)</f>
        <v/>
      </c>
      <c r="D796" s="24">
        <f t="shared" ref="D796:D819" si="187">IF(C796="",0,1/COUNTIF(C:C,C796))</f>
        <v>0</v>
      </c>
      <c r="E796" s="24" t="str">
        <f t="shared" ref="E796:E819" si="188">IF($B796="리오더",Q796,"")</f>
        <v>POLEBF5503</v>
      </c>
      <c r="F796" s="24">
        <f t="shared" ref="F796:F819" si="189">IF(E796="",0,1/COUNTIF(E:E,E796))</f>
        <v>1</v>
      </c>
      <c r="G796" s="24" t="str">
        <f t="shared" ref="G796:G819" si="190">IF($B796="리오더","",R796)</f>
        <v/>
      </c>
      <c r="H796" s="24">
        <f t="shared" ref="H796:H819" si="191">IF(G796="",0,1/COUNTIF(G:G,G796))</f>
        <v>0</v>
      </c>
      <c r="I796" s="24" t="str">
        <f t="shared" ref="I796:I819" si="192">IF($B796="리오더",R796,"")</f>
        <v>POLEBF5503PK</v>
      </c>
      <c r="J796" s="24">
        <f t="shared" ref="J796:J819" si="193">IF(I796="",0,1/COUNTIF(I:I,I796))</f>
        <v>1</v>
      </c>
      <c r="K796" s="24" t="str">
        <f t="shared" ref="K796:K819" si="194">MID(R796,6,2)</f>
        <v>F5</v>
      </c>
      <c r="L796" s="24" t="str">
        <f>VLOOKUP(N796,CODE!K:P,CODE!$P$1,FALSE)</f>
        <v>모자</v>
      </c>
      <c r="M796" s="24" t="str">
        <f>VLOOKUP(MID(R796,1,3),CODE!$B:$G,CODE!D$1,FALSE)</f>
        <v>POL</v>
      </c>
      <c r="N796" s="24" t="str">
        <f t="shared" ref="N796:N819" si="195">MID(R796,4,2)</f>
        <v>EB</v>
      </c>
      <c r="O796" s="29" t="str">
        <f>IF(ISERROR(IF(VLOOKUP($N796,CODE!$K:$P,CODE!$O$1,FALSE)="",$M796,$M796&amp;"-"&amp;VLOOKUP($N796,CODE!$K:$P,CODE!$O$1,FALSE)))=TRUE,"",IF(VLOOKUP($N796,CODE!$K:$P,CODE!$O$1,FALSE)="",$M796,$M796&amp;"-"&amp;VLOOKUP($N796,CODE!$K:$P,CODE!$O$1,FALSE)))</f>
        <v>POL</v>
      </c>
      <c r="P796" s="29" t="str">
        <f t="shared" ref="P796:P819" si="196">IF(OR(MID(R796,8,1)="0",MID(R796,8,1)="1",MID(R796,8,1)="2",MID(R796,8,1)="3",MID(R796,8,1)="4"),"성인","키즈")</f>
        <v>키즈</v>
      </c>
      <c r="Q796" s="29" t="str">
        <f t="shared" ref="Q796:Q819" si="197">MID(R796,1,10)</f>
        <v>POLEBF5503</v>
      </c>
      <c r="R796" s="1" t="s">
        <v>1431</v>
      </c>
      <c r="S796" s="1" t="s">
        <v>14</v>
      </c>
      <c r="T796" s="26">
        <v>1000</v>
      </c>
      <c r="U796" s="26">
        <v>55000000</v>
      </c>
      <c r="V796" s="26">
        <v>12369260.000000004</v>
      </c>
      <c r="W796" s="26">
        <v>4.0422790045645396</v>
      </c>
      <c r="X796" s="26">
        <v>1000</v>
      </c>
      <c r="Y796" s="26">
        <v>0</v>
      </c>
    </row>
    <row r="797" spans="1:25">
      <c r="A797" s="24" t="str">
        <f t="shared" si="185"/>
        <v>신규</v>
      </c>
      <c r="B797" s="24" t="str">
        <f>IF(COUNTIF(R$1:R796,R797)=0,"최초","리오더")</f>
        <v>리오더</v>
      </c>
      <c r="C797" s="24" t="str">
        <f t="shared" si="186"/>
        <v/>
      </c>
      <c r="D797" s="24">
        <f t="shared" si="187"/>
        <v>0</v>
      </c>
      <c r="E797" s="24" t="str">
        <f t="shared" si="188"/>
        <v>POLEBF5504</v>
      </c>
      <c r="F797" s="24">
        <f t="shared" si="189"/>
        <v>1</v>
      </c>
      <c r="G797" s="24" t="str">
        <f t="shared" si="190"/>
        <v/>
      </c>
      <c r="H797" s="24">
        <f t="shared" si="191"/>
        <v>0</v>
      </c>
      <c r="I797" s="24" t="str">
        <f t="shared" si="192"/>
        <v>POLEBF5504BL</v>
      </c>
      <c r="J797" s="24">
        <f t="shared" si="193"/>
        <v>1</v>
      </c>
      <c r="K797" s="24" t="str">
        <f t="shared" si="194"/>
        <v>F5</v>
      </c>
      <c r="L797" s="24" t="str">
        <f>VLOOKUP(N797,CODE!K:P,CODE!$P$1,FALSE)</f>
        <v>모자</v>
      </c>
      <c r="M797" s="24" t="str">
        <f>VLOOKUP(MID(R797,1,3),CODE!$B:$G,CODE!D$1,FALSE)</f>
        <v>POL</v>
      </c>
      <c r="N797" s="24" t="str">
        <f t="shared" si="195"/>
        <v>EB</v>
      </c>
      <c r="O797" s="29" t="str">
        <f>IF(ISERROR(IF(VLOOKUP($N797,CODE!$K:$P,CODE!$O$1,FALSE)="",$M797,$M797&amp;"-"&amp;VLOOKUP($N797,CODE!$K:$P,CODE!$O$1,FALSE)))=TRUE,"",IF(VLOOKUP($N797,CODE!$K:$P,CODE!$O$1,FALSE)="",$M797,$M797&amp;"-"&amp;VLOOKUP($N797,CODE!$K:$P,CODE!$O$1,FALSE)))</f>
        <v>POL</v>
      </c>
      <c r="P797" s="29" t="str">
        <f t="shared" si="196"/>
        <v>키즈</v>
      </c>
      <c r="Q797" s="29" t="str">
        <f t="shared" si="197"/>
        <v>POLEBF5504</v>
      </c>
      <c r="R797" s="1" t="s">
        <v>1432</v>
      </c>
      <c r="S797" s="1" t="s">
        <v>14</v>
      </c>
      <c r="T797" s="26">
        <v>1000</v>
      </c>
      <c r="U797" s="26">
        <v>55000000</v>
      </c>
      <c r="V797" s="26">
        <v>12369260.000000004</v>
      </c>
      <c r="W797" s="26">
        <v>4.0422790045645396</v>
      </c>
      <c r="X797" s="26">
        <v>1000</v>
      </c>
      <c r="Y797" s="26">
        <v>0</v>
      </c>
    </row>
    <row r="798" spans="1:25">
      <c r="A798" s="24" t="str">
        <f t="shared" si="185"/>
        <v>신규</v>
      </c>
      <c r="B798" s="24" t="str">
        <f>IF(COUNTIF(R$1:R797,R798)=0,"최초","리오더")</f>
        <v>리오더</v>
      </c>
      <c r="C798" s="24" t="str">
        <f t="shared" si="186"/>
        <v/>
      </c>
      <c r="D798" s="24">
        <f t="shared" si="187"/>
        <v>0</v>
      </c>
      <c r="E798" s="24" t="str">
        <f t="shared" si="188"/>
        <v>SMBBEF5012</v>
      </c>
      <c r="F798" s="24">
        <f t="shared" si="189"/>
        <v>0.5</v>
      </c>
      <c r="G798" s="24" t="str">
        <f t="shared" si="190"/>
        <v/>
      </c>
      <c r="H798" s="24">
        <f t="shared" si="191"/>
        <v>0</v>
      </c>
      <c r="I798" s="24" t="str">
        <f t="shared" si="192"/>
        <v>SMBBEF5012BK</v>
      </c>
      <c r="J798" s="24">
        <f t="shared" si="193"/>
        <v>1</v>
      </c>
      <c r="K798" s="24" t="str">
        <f t="shared" si="194"/>
        <v>F5</v>
      </c>
      <c r="L798" s="24" t="str">
        <f>VLOOKUP(N798,CODE!K:P,CODE!$P$1,FALSE)</f>
        <v>모자</v>
      </c>
      <c r="M798" s="24" t="str">
        <f>VLOOKUP(MID(R798,1,3),CODE!$B:$G,CODE!D$1,FALSE)</f>
        <v>SMB</v>
      </c>
      <c r="N798" s="24" t="str">
        <f t="shared" si="195"/>
        <v>BE</v>
      </c>
      <c r="O798" s="29" t="str">
        <f>IF(ISERROR(IF(VLOOKUP($N798,CODE!$K:$P,CODE!$O$1,FALSE)="",$M798,$M798&amp;"-"&amp;VLOOKUP($N798,CODE!$K:$P,CODE!$O$1,FALSE)))=TRUE,"",IF(VLOOKUP($N798,CODE!$K:$P,CODE!$O$1,FALSE)="",$M798,$M798&amp;"-"&amp;VLOOKUP($N798,CODE!$K:$P,CODE!$O$1,FALSE)))</f>
        <v>SMB</v>
      </c>
      <c r="P798" s="29" t="str">
        <f t="shared" si="196"/>
        <v>성인</v>
      </c>
      <c r="Q798" s="29" t="str">
        <f t="shared" si="197"/>
        <v>SMBBEF5012</v>
      </c>
      <c r="R798" s="1" t="s">
        <v>1434</v>
      </c>
      <c r="S798" s="1" t="s">
        <v>14</v>
      </c>
      <c r="T798" s="26">
        <v>500</v>
      </c>
      <c r="U798" s="26">
        <v>18500000</v>
      </c>
      <c r="V798" s="26">
        <v>2155528.0000000005</v>
      </c>
      <c r="W798" s="26">
        <v>7.8023490384638068</v>
      </c>
      <c r="X798" s="26">
        <v>500</v>
      </c>
      <c r="Y798" s="26">
        <v>0</v>
      </c>
    </row>
    <row r="799" spans="1:25">
      <c r="A799" s="24" t="str">
        <f t="shared" si="185"/>
        <v>신규</v>
      </c>
      <c r="B799" s="24" t="str">
        <f>IF(COUNTIF(R$1:R798,R799)=0,"최초","리오더")</f>
        <v>리오더</v>
      </c>
      <c r="C799" s="24" t="str">
        <f t="shared" si="186"/>
        <v/>
      </c>
      <c r="D799" s="24">
        <f t="shared" si="187"/>
        <v>0</v>
      </c>
      <c r="E799" s="24" t="str">
        <f t="shared" si="188"/>
        <v>SMBBEF5012</v>
      </c>
      <c r="F799" s="24">
        <f t="shared" si="189"/>
        <v>0.5</v>
      </c>
      <c r="G799" s="24" t="str">
        <f t="shared" si="190"/>
        <v/>
      </c>
      <c r="H799" s="24">
        <f t="shared" si="191"/>
        <v>0</v>
      </c>
      <c r="I799" s="24" t="str">
        <f t="shared" si="192"/>
        <v>SMBBEF5012RE</v>
      </c>
      <c r="J799" s="24">
        <f t="shared" si="193"/>
        <v>1</v>
      </c>
      <c r="K799" s="24" t="str">
        <f t="shared" si="194"/>
        <v>F5</v>
      </c>
      <c r="L799" s="24" t="str">
        <f>VLOOKUP(N799,CODE!K:P,CODE!$P$1,FALSE)</f>
        <v>모자</v>
      </c>
      <c r="M799" s="24" t="str">
        <f>VLOOKUP(MID(R799,1,3),CODE!$B:$G,CODE!D$1,FALSE)</f>
        <v>SMB</v>
      </c>
      <c r="N799" s="24" t="str">
        <f t="shared" si="195"/>
        <v>BE</v>
      </c>
      <c r="O799" s="29" t="str">
        <f>IF(ISERROR(IF(VLOOKUP($N799,CODE!$K:$P,CODE!$O$1,FALSE)="",$M799,$M799&amp;"-"&amp;VLOOKUP($N799,CODE!$K:$P,CODE!$O$1,FALSE)))=TRUE,"",IF(VLOOKUP($N799,CODE!$K:$P,CODE!$O$1,FALSE)="",$M799,$M799&amp;"-"&amp;VLOOKUP($N799,CODE!$K:$P,CODE!$O$1,FALSE)))</f>
        <v>SMB</v>
      </c>
      <c r="P799" s="29" t="str">
        <f t="shared" si="196"/>
        <v>성인</v>
      </c>
      <c r="Q799" s="29" t="str">
        <f t="shared" si="197"/>
        <v>SMBBEF5012</v>
      </c>
      <c r="R799" s="1" t="s">
        <v>1435</v>
      </c>
      <c r="S799" s="1" t="s">
        <v>14</v>
      </c>
      <c r="T799" s="26">
        <v>500</v>
      </c>
      <c r="U799" s="26">
        <v>18500000</v>
      </c>
      <c r="V799" s="26">
        <v>2155528.0000000005</v>
      </c>
      <c r="W799" s="26">
        <v>7.8023490384638068</v>
      </c>
      <c r="X799" s="26">
        <v>500</v>
      </c>
      <c r="Y799" s="26">
        <v>0</v>
      </c>
    </row>
    <row r="800" spans="1:25">
      <c r="A800" s="24" t="str">
        <f t="shared" si="185"/>
        <v>신규</v>
      </c>
      <c r="B800" s="24" t="str">
        <f>IF(COUNTIF(R$1:R799,R800)=0,"최초","리오더")</f>
        <v>리오더</v>
      </c>
      <c r="C800" s="24" t="str">
        <f t="shared" si="186"/>
        <v/>
      </c>
      <c r="D800" s="24">
        <f t="shared" si="187"/>
        <v>0</v>
      </c>
      <c r="E800" s="24" t="str">
        <f t="shared" si="188"/>
        <v>ELSERF5511</v>
      </c>
      <c r="F800" s="24">
        <f t="shared" si="189"/>
        <v>1</v>
      </c>
      <c r="G800" s="24" t="str">
        <f t="shared" si="190"/>
        <v/>
      </c>
      <c r="H800" s="24">
        <f t="shared" si="191"/>
        <v>0</v>
      </c>
      <c r="I800" s="24" t="str">
        <f t="shared" si="192"/>
        <v>ELSERF5511GR</v>
      </c>
      <c r="J800" s="24">
        <f t="shared" si="193"/>
        <v>1</v>
      </c>
      <c r="K800" s="24" t="str">
        <f t="shared" si="194"/>
        <v>F5</v>
      </c>
      <c r="L800" s="24" t="str">
        <f>VLOOKUP(N800,CODE!K:P,CODE!$P$1,FALSE)</f>
        <v>모자</v>
      </c>
      <c r="M800" s="24" t="str">
        <f>VLOOKUP(MID(R800,1,3),CODE!$B:$G,CODE!D$1,FALSE)</f>
        <v>ELS</v>
      </c>
      <c r="N800" s="24" t="str">
        <f t="shared" si="195"/>
        <v>ER</v>
      </c>
      <c r="O800" s="29" t="str">
        <f>IF(ISERROR(IF(VLOOKUP($N800,CODE!$K:$P,CODE!$O$1,FALSE)="",$M800,$M800&amp;"-"&amp;VLOOKUP($N800,CODE!$K:$P,CODE!$O$1,FALSE)))=TRUE,"",IF(VLOOKUP($N800,CODE!$K:$P,CODE!$O$1,FALSE)="",$M800,$M800&amp;"-"&amp;VLOOKUP($N800,CODE!$K:$P,CODE!$O$1,FALSE)))</f>
        <v>ELS</v>
      </c>
      <c r="P800" s="29" t="str">
        <f t="shared" si="196"/>
        <v>키즈</v>
      </c>
      <c r="Q800" s="29" t="str">
        <f t="shared" si="197"/>
        <v>ELSERF5511</v>
      </c>
      <c r="R800" s="1" t="s">
        <v>964</v>
      </c>
      <c r="S800" s="1" t="s">
        <v>14</v>
      </c>
      <c r="T800" s="26">
        <v>500</v>
      </c>
      <c r="U800" s="26">
        <v>27500000</v>
      </c>
      <c r="V800" s="26">
        <v>4631530.0000000009</v>
      </c>
      <c r="W800" s="26">
        <v>5.3977843174933531</v>
      </c>
      <c r="X800" s="26">
        <v>510</v>
      </c>
      <c r="Y800" s="26">
        <v>0</v>
      </c>
    </row>
    <row r="801" spans="1:25">
      <c r="A801" s="24" t="str">
        <f t="shared" si="185"/>
        <v>신규</v>
      </c>
      <c r="B801" s="24" t="str">
        <f>IF(COUNTIF(R$1:R800,R801)=0,"최초","리오더")</f>
        <v>리오더</v>
      </c>
      <c r="C801" s="24" t="str">
        <f t="shared" si="186"/>
        <v/>
      </c>
      <c r="D801" s="24">
        <f t="shared" si="187"/>
        <v>0</v>
      </c>
      <c r="E801" s="24" t="str">
        <f t="shared" si="188"/>
        <v>ELSERF5512</v>
      </c>
      <c r="F801" s="24">
        <f t="shared" si="189"/>
        <v>1</v>
      </c>
      <c r="G801" s="24" t="str">
        <f t="shared" si="190"/>
        <v/>
      </c>
      <c r="H801" s="24">
        <f t="shared" si="191"/>
        <v>0</v>
      </c>
      <c r="I801" s="24" t="str">
        <f t="shared" si="192"/>
        <v>ELSERF5512RE</v>
      </c>
      <c r="J801" s="24">
        <f t="shared" si="193"/>
        <v>1</v>
      </c>
      <c r="K801" s="24" t="str">
        <f t="shared" si="194"/>
        <v>F5</v>
      </c>
      <c r="L801" s="24" t="str">
        <f>VLOOKUP(N801,CODE!K:P,CODE!$P$1,FALSE)</f>
        <v>모자</v>
      </c>
      <c r="M801" s="24" t="str">
        <f>VLOOKUP(MID(R801,1,3),CODE!$B:$G,CODE!D$1,FALSE)</f>
        <v>ELS</v>
      </c>
      <c r="N801" s="24" t="str">
        <f t="shared" si="195"/>
        <v>ER</v>
      </c>
      <c r="O801" s="29" t="str">
        <f>IF(ISERROR(IF(VLOOKUP($N801,CODE!$K:$P,CODE!$O$1,FALSE)="",$M801,$M801&amp;"-"&amp;VLOOKUP($N801,CODE!$K:$P,CODE!$O$1,FALSE)))=TRUE,"",IF(VLOOKUP($N801,CODE!$K:$P,CODE!$O$1,FALSE)="",$M801,$M801&amp;"-"&amp;VLOOKUP($N801,CODE!$K:$P,CODE!$O$1,FALSE)))</f>
        <v>ELS</v>
      </c>
      <c r="P801" s="29" t="str">
        <f t="shared" si="196"/>
        <v>키즈</v>
      </c>
      <c r="Q801" s="29" t="str">
        <f t="shared" si="197"/>
        <v>ELSERF5512</v>
      </c>
      <c r="R801" s="1" t="s">
        <v>965</v>
      </c>
      <c r="S801" s="1" t="s">
        <v>14</v>
      </c>
      <c r="T801" s="26">
        <v>500</v>
      </c>
      <c r="U801" s="26">
        <v>27500000</v>
      </c>
      <c r="V801" s="26">
        <v>4710900.0000000009</v>
      </c>
      <c r="W801" s="26">
        <v>5.3068415801651474</v>
      </c>
      <c r="X801" s="26">
        <v>490</v>
      </c>
      <c r="Y801" s="26">
        <v>0</v>
      </c>
    </row>
    <row r="802" spans="1:25">
      <c r="A802" s="24" t="str">
        <f t="shared" si="185"/>
        <v>신규</v>
      </c>
      <c r="B802" s="24" t="str">
        <f>IF(COUNTIF(R$1:R801,R802)=0,"최초","리오더")</f>
        <v>리오더</v>
      </c>
      <c r="C802" s="24" t="str">
        <f t="shared" si="186"/>
        <v/>
      </c>
      <c r="D802" s="24">
        <f t="shared" si="187"/>
        <v>0</v>
      </c>
      <c r="E802" s="24" t="str">
        <f t="shared" si="188"/>
        <v>SMBBAF5026</v>
      </c>
      <c r="F802" s="24">
        <f t="shared" si="189"/>
        <v>1</v>
      </c>
      <c r="G802" s="24" t="str">
        <f t="shared" si="190"/>
        <v/>
      </c>
      <c r="H802" s="24">
        <f t="shared" si="191"/>
        <v>0</v>
      </c>
      <c r="I802" s="24" t="str">
        <f t="shared" si="192"/>
        <v>SMBBAF5026GY</v>
      </c>
      <c r="J802" s="24">
        <f t="shared" si="193"/>
        <v>1</v>
      </c>
      <c r="K802" s="24" t="str">
        <f t="shared" si="194"/>
        <v>F5</v>
      </c>
      <c r="L802" s="24" t="str">
        <f>VLOOKUP(N802,CODE!K:P,CODE!$P$1,FALSE)</f>
        <v>모자</v>
      </c>
      <c r="M802" s="24" t="str">
        <f>VLOOKUP(MID(R802,1,3),CODE!$B:$G,CODE!D$1,FALSE)</f>
        <v>SMB</v>
      </c>
      <c r="N802" s="24" t="str">
        <f t="shared" si="195"/>
        <v>BA</v>
      </c>
      <c r="O802" s="29" t="str">
        <f>IF(ISERROR(IF(VLOOKUP($N802,CODE!$K:$P,CODE!$O$1,FALSE)="",$M802,$M802&amp;"-"&amp;VLOOKUP($N802,CODE!$K:$P,CODE!$O$1,FALSE)))=TRUE,"",IF(VLOOKUP($N802,CODE!$K:$P,CODE!$O$1,FALSE)="",$M802,$M802&amp;"-"&amp;VLOOKUP($N802,CODE!$K:$P,CODE!$O$1,FALSE)))</f>
        <v>SMB</v>
      </c>
      <c r="P802" s="29" t="str">
        <f t="shared" si="196"/>
        <v>성인</v>
      </c>
      <c r="Q802" s="29" t="str">
        <f t="shared" si="197"/>
        <v>SMBBAF5026</v>
      </c>
      <c r="R802" s="1" t="s">
        <v>1316</v>
      </c>
      <c r="S802" s="1" t="s">
        <v>14</v>
      </c>
      <c r="T802" s="26">
        <v>500</v>
      </c>
      <c r="U802" s="26">
        <v>22500000</v>
      </c>
      <c r="V802" s="26">
        <v>3253240.0000000005</v>
      </c>
      <c r="W802" s="26">
        <v>6.2874382014685199</v>
      </c>
      <c r="X802" s="26">
        <v>497</v>
      </c>
      <c r="Y802" s="26">
        <v>0</v>
      </c>
    </row>
    <row r="803" spans="1:25">
      <c r="A803" s="24" t="str">
        <f t="shared" si="185"/>
        <v>신규</v>
      </c>
      <c r="B803" s="24" t="str">
        <f>IF(COUNTIF(R$1:R802,R803)=0,"최초","리오더")</f>
        <v>리오더</v>
      </c>
      <c r="C803" s="24" t="str">
        <f t="shared" si="186"/>
        <v/>
      </c>
      <c r="D803" s="24">
        <f t="shared" si="187"/>
        <v>0</v>
      </c>
      <c r="E803" s="24" t="str">
        <f t="shared" si="188"/>
        <v>SMBBAF5526</v>
      </c>
      <c r="F803" s="24">
        <f t="shared" si="189"/>
        <v>1</v>
      </c>
      <c r="G803" s="24" t="str">
        <f t="shared" si="190"/>
        <v/>
      </c>
      <c r="H803" s="24">
        <f t="shared" si="191"/>
        <v>0</v>
      </c>
      <c r="I803" s="24" t="str">
        <f t="shared" si="192"/>
        <v>SMBBAF5526GY</v>
      </c>
      <c r="J803" s="24">
        <f t="shared" si="193"/>
        <v>1</v>
      </c>
      <c r="K803" s="24" t="str">
        <f t="shared" si="194"/>
        <v>F5</v>
      </c>
      <c r="L803" s="24" t="str">
        <f>VLOOKUP(N803,CODE!K:P,CODE!$P$1,FALSE)</f>
        <v>모자</v>
      </c>
      <c r="M803" s="24" t="str">
        <f>VLOOKUP(MID(R803,1,3),CODE!$B:$G,CODE!D$1,FALSE)</f>
        <v>SMB</v>
      </c>
      <c r="N803" s="24" t="str">
        <f t="shared" si="195"/>
        <v>BA</v>
      </c>
      <c r="O803" s="29" t="str">
        <f>IF(ISERROR(IF(VLOOKUP($N803,CODE!$K:$P,CODE!$O$1,FALSE)="",$M803,$M803&amp;"-"&amp;VLOOKUP($N803,CODE!$K:$P,CODE!$O$1,FALSE)))=TRUE,"",IF(VLOOKUP($N803,CODE!$K:$P,CODE!$O$1,FALSE)="",$M803,$M803&amp;"-"&amp;VLOOKUP($N803,CODE!$K:$P,CODE!$O$1,FALSE)))</f>
        <v>SMB</v>
      </c>
      <c r="P803" s="29" t="str">
        <f t="shared" si="196"/>
        <v>키즈</v>
      </c>
      <c r="Q803" s="29" t="str">
        <f t="shared" si="197"/>
        <v>SMBBAF5526</v>
      </c>
      <c r="R803" s="1" t="s">
        <v>1317</v>
      </c>
      <c r="S803" s="1" t="s">
        <v>14</v>
      </c>
      <c r="T803" s="26">
        <v>200</v>
      </c>
      <c r="U803" s="26">
        <v>8600000</v>
      </c>
      <c r="V803" s="26">
        <v>1337296.0000000002</v>
      </c>
      <c r="W803" s="26">
        <v>5.846261275126686</v>
      </c>
      <c r="X803" s="26">
        <v>203</v>
      </c>
      <c r="Y803" s="26">
        <v>0</v>
      </c>
    </row>
    <row r="804" spans="1:25">
      <c r="A804" s="24" t="str">
        <f t="shared" si="185"/>
        <v>신규</v>
      </c>
      <c r="B804" s="24" t="str">
        <f>IF(COUNTIF(R$1:R803,R804)=0,"최초","리오더")</f>
        <v>최초</v>
      </c>
      <c r="C804" s="24" t="str">
        <f t="shared" si="186"/>
        <v>SBRBEF5082</v>
      </c>
      <c r="D804" s="24">
        <f t="shared" si="187"/>
        <v>0.33333333333333331</v>
      </c>
      <c r="E804" s="24" t="str">
        <f t="shared" si="188"/>
        <v/>
      </c>
      <c r="F804" s="24">
        <f t="shared" si="189"/>
        <v>0</v>
      </c>
      <c r="G804" s="24" t="str">
        <f t="shared" si="190"/>
        <v>SBRBEF5082GY</v>
      </c>
      <c r="H804" s="24">
        <f t="shared" si="191"/>
        <v>1</v>
      </c>
      <c r="I804" s="24" t="str">
        <f t="shared" si="192"/>
        <v/>
      </c>
      <c r="J804" s="24">
        <f t="shared" si="193"/>
        <v>0</v>
      </c>
      <c r="K804" s="24" t="str">
        <f t="shared" si="194"/>
        <v>F5</v>
      </c>
      <c r="L804" s="24" t="str">
        <f>VLOOKUP(N804,CODE!K:P,CODE!$P$1,FALSE)</f>
        <v>모자</v>
      </c>
      <c r="M804" s="24" t="str">
        <f>VLOOKUP(MID(R804,1,3),CODE!$B:$G,CODE!D$1,FALSE)</f>
        <v>SBR</v>
      </c>
      <c r="N804" s="24" t="str">
        <f t="shared" si="195"/>
        <v>BE</v>
      </c>
      <c r="O804" s="29" t="str">
        <f>IF(ISERROR(IF(VLOOKUP($N804,CODE!$K:$P,CODE!$O$1,FALSE)="",$M804,$M804&amp;"-"&amp;VLOOKUP($N804,CODE!$K:$P,CODE!$O$1,FALSE)))=TRUE,"",IF(VLOOKUP($N804,CODE!$K:$P,CODE!$O$1,FALSE)="",$M804,$M804&amp;"-"&amp;VLOOKUP($N804,CODE!$K:$P,CODE!$O$1,FALSE)))</f>
        <v>SBR</v>
      </c>
      <c r="P804" s="29" t="str">
        <f t="shared" si="196"/>
        <v>성인</v>
      </c>
      <c r="Q804" s="29" t="str">
        <f t="shared" si="197"/>
        <v>SBRBEF5082</v>
      </c>
      <c r="R804" s="1" t="s">
        <v>1643</v>
      </c>
      <c r="S804" s="1" t="s">
        <v>14</v>
      </c>
      <c r="T804" s="26">
        <v>600</v>
      </c>
      <c r="U804" s="26">
        <v>17400000</v>
      </c>
      <c r="V804" s="26">
        <v>3900000</v>
      </c>
      <c r="W804" s="26">
        <v>4.0559440559440558</v>
      </c>
      <c r="X804" s="26">
        <v>600</v>
      </c>
      <c r="Y804" s="26">
        <v>0</v>
      </c>
    </row>
    <row r="805" spans="1:25">
      <c r="A805" s="24" t="str">
        <f t="shared" si="185"/>
        <v>신규</v>
      </c>
      <c r="B805" s="24" t="str">
        <f>IF(COUNTIF(R$1:R804,R805)=0,"최초","리오더")</f>
        <v>최초</v>
      </c>
      <c r="C805" s="24" t="str">
        <f t="shared" si="186"/>
        <v>SBRBEF5082</v>
      </c>
      <c r="D805" s="24">
        <f t="shared" si="187"/>
        <v>0.33333333333333331</v>
      </c>
      <c r="E805" s="24" t="str">
        <f t="shared" si="188"/>
        <v/>
      </c>
      <c r="F805" s="24">
        <f t="shared" si="189"/>
        <v>0</v>
      </c>
      <c r="G805" s="24" t="str">
        <f t="shared" si="190"/>
        <v>SBRBEF5082PK</v>
      </c>
      <c r="H805" s="24">
        <f t="shared" si="191"/>
        <v>1</v>
      </c>
      <c r="I805" s="24" t="str">
        <f t="shared" si="192"/>
        <v/>
      </c>
      <c r="J805" s="24">
        <f t="shared" si="193"/>
        <v>0</v>
      </c>
      <c r="K805" s="24" t="str">
        <f t="shared" si="194"/>
        <v>F5</v>
      </c>
      <c r="L805" s="24" t="str">
        <f>VLOOKUP(N805,CODE!K:P,CODE!$P$1,FALSE)</f>
        <v>모자</v>
      </c>
      <c r="M805" s="24" t="str">
        <f>VLOOKUP(MID(R805,1,3),CODE!$B:$G,CODE!D$1,FALSE)</f>
        <v>SBR</v>
      </c>
      <c r="N805" s="24" t="str">
        <f t="shared" si="195"/>
        <v>BE</v>
      </c>
      <c r="O805" s="29" t="str">
        <f>IF(ISERROR(IF(VLOOKUP($N805,CODE!$K:$P,CODE!$O$1,FALSE)="",$M805,$M805&amp;"-"&amp;VLOOKUP($N805,CODE!$K:$P,CODE!$O$1,FALSE)))=TRUE,"",IF(VLOOKUP($N805,CODE!$K:$P,CODE!$O$1,FALSE)="",$M805,$M805&amp;"-"&amp;VLOOKUP($N805,CODE!$K:$P,CODE!$O$1,FALSE)))</f>
        <v>SBR</v>
      </c>
      <c r="P805" s="29" t="str">
        <f t="shared" si="196"/>
        <v>성인</v>
      </c>
      <c r="Q805" s="29" t="str">
        <f t="shared" si="197"/>
        <v>SBRBEF5082</v>
      </c>
      <c r="R805" s="1" t="s">
        <v>1644</v>
      </c>
      <c r="S805" s="1" t="s">
        <v>14</v>
      </c>
      <c r="T805" s="26">
        <v>600</v>
      </c>
      <c r="U805" s="26">
        <v>17400000</v>
      </c>
      <c r="V805" s="26">
        <v>3900000</v>
      </c>
      <c r="W805" s="26">
        <v>4.0559440559440558</v>
      </c>
      <c r="X805" s="26">
        <v>600</v>
      </c>
      <c r="Y805" s="26">
        <v>0</v>
      </c>
    </row>
    <row r="806" spans="1:25">
      <c r="A806" s="24" t="str">
        <f t="shared" si="185"/>
        <v>신규</v>
      </c>
      <c r="B806" s="24" t="str">
        <f>IF(COUNTIF(R$1:R805,R806)=0,"최초","리오더")</f>
        <v>최초</v>
      </c>
      <c r="C806" s="24" t="str">
        <f t="shared" si="186"/>
        <v>SBRBEF5082</v>
      </c>
      <c r="D806" s="24">
        <f t="shared" si="187"/>
        <v>0.33333333333333331</v>
      </c>
      <c r="E806" s="24" t="str">
        <f t="shared" si="188"/>
        <v/>
      </c>
      <c r="F806" s="24">
        <f t="shared" si="189"/>
        <v>0</v>
      </c>
      <c r="G806" s="24" t="str">
        <f t="shared" si="190"/>
        <v>SBRBEF5082WH</v>
      </c>
      <c r="H806" s="24">
        <f t="shared" si="191"/>
        <v>1</v>
      </c>
      <c r="I806" s="24" t="str">
        <f t="shared" si="192"/>
        <v/>
      </c>
      <c r="J806" s="24">
        <f t="shared" si="193"/>
        <v>0</v>
      </c>
      <c r="K806" s="24" t="str">
        <f t="shared" si="194"/>
        <v>F5</v>
      </c>
      <c r="L806" s="24" t="str">
        <f>VLOOKUP(N806,CODE!K:P,CODE!$P$1,FALSE)</f>
        <v>모자</v>
      </c>
      <c r="M806" s="24" t="str">
        <f>VLOOKUP(MID(R806,1,3),CODE!$B:$G,CODE!D$1,FALSE)</f>
        <v>SBR</v>
      </c>
      <c r="N806" s="24" t="str">
        <f t="shared" si="195"/>
        <v>BE</v>
      </c>
      <c r="O806" s="29" t="str">
        <f>IF(ISERROR(IF(VLOOKUP($N806,CODE!$K:$P,CODE!$O$1,FALSE)="",$M806,$M806&amp;"-"&amp;VLOOKUP($N806,CODE!$K:$P,CODE!$O$1,FALSE)))=TRUE,"",IF(VLOOKUP($N806,CODE!$K:$P,CODE!$O$1,FALSE)="",$M806,$M806&amp;"-"&amp;VLOOKUP($N806,CODE!$K:$P,CODE!$O$1,FALSE)))</f>
        <v>SBR</v>
      </c>
      <c r="P806" s="29" t="str">
        <f t="shared" si="196"/>
        <v>성인</v>
      </c>
      <c r="Q806" s="29" t="str">
        <f t="shared" si="197"/>
        <v>SBRBEF5082</v>
      </c>
      <c r="R806" s="1" t="s">
        <v>1645</v>
      </c>
      <c r="S806" s="1" t="s">
        <v>14</v>
      </c>
      <c r="T806" s="26">
        <v>800</v>
      </c>
      <c r="U806" s="26">
        <v>23200000</v>
      </c>
      <c r="V806" s="26">
        <v>5200000</v>
      </c>
      <c r="W806" s="26">
        <v>4.0559440559440558</v>
      </c>
      <c r="X806" s="26">
        <v>800</v>
      </c>
      <c r="Y806" s="26">
        <v>0</v>
      </c>
    </row>
    <row r="807" spans="1:25">
      <c r="A807" s="24" t="str">
        <f t="shared" si="185"/>
        <v>신규</v>
      </c>
      <c r="B807" s="24" t="str">
        <f>IF(COUNTIF(R$1:R806,R807)=0,"최초","리오더")</f>
        <v>리오더</v>
      </c>
      <c r="C807" s="24" t="str">
        <f t="shared" si="186"/>
        <v/>
      </c>
      <c r="D807" s="24">
        <f t="shared" si="187"/>
        <v>0</v>
      </c>
      <c r="E807" s="24" t="str">
        <f t="shared" si="188"/>
        <v>FFTSNF5027</v>
      </c>
      <c r="F807" s="24">
        <f t="shared" si="189"/>
        <v>1</v>
      </c>
      <c r="G807" s="24" t="str">
        <f t="shared" si="190"/>
        <v/>
      </c>
      <c r="H807" s="24">
        <f t="shared" si="191"/>
        <v>0</v>
      </c>
      <c r="I807" s="24" t="str">
        <f t="shared" si="192"/>
        <v>FFTSNF5027BK</v>
      </c>
      <c r="J807" s="24">
        <f t="shared" si="193"/>
        <v>1</v>
      </c>
      <c r="K807" s="24" t="str">
        <f t="shared" si="194"/>
        <v>F5</v>
      </c>
      <c r="L807" s="24" t="str">
        <f>VLOOKUP(N807,CODE!K:P,CODE!$P$1,FALSE)</f>
        <v>모자</v>
      </c>
      <c r="M807" s="24" t="str">
        <f>VLOOKUP(MID(R807,1,3),CODE!$B:$G,CODE!D$1,FALSE)</f>
        <v>FFT</v>
      </c>
      <c r="N807" s="24" t="str">
        <f t="shared" si="195"/>
        <v>SN</v>
      </c>
      <c r="O807" s="29" t="str">
        <f>IF(ISERROR(IF(VLOOKUP($N807,CODE!$K:$P,CODE!$O$1,FALSE)="",$M807,$M807&amp;"-"&amp;VLOOKUP($N807,CODE!$K:$P,CODE!$O$1,FALSE)))=TRUE,"",IF(VLOOKUP($N807,CODE!$K:$P,CODE!$O$1,FALSE)="",$M807,$M807&amp;"-"&amp;VLOOKUP($N807,CODE!$K:$P,CODE!$O$1,FALSE)))</f>
        <v>FFT</v>
      </c>
      <c r="P807" s="29" t="str">
        <f t="shared" si="196"/>
        <v>성인</v>
      </c>
      <c r="Q807" s="29" t="str">
        <f t="shared" si="197"/>
        <v>FFTSNF5027</v>
      </c>
      <c r="R807" s="1" t="s">
        <v>1631</v>
      </c>
      <c r="S807" s="1" t="s">
        <v>15</v>
      </c>
      <c r="T807" s="26">
        <v>150</v>
      </c>
      <c r="U807" s="26">
        <v>6750000</v>
      </c>
      <c r="V807" s="26">
        <v>2761363.6363636362</v>
      </c>
      <c r="W807" s="26">
        <v>2.2222222222222223</v>
      </c>
      <c r="X807" s="26">
        <v>150</v>
      </c>
      <c r="Y807" s="26">
        <v>0</v>
      </c>
    </row>
    <row r="808" spans="1:25">
      <c r="A808" s="24" t="str">
        <f t="shared" si="185"/>
        <v>신규</v>
      </c>
      <c r="B808" s="24" t="str">
        <f>IF(COUNTIF(R$1:R807,R808)=0,"최초","리오더")</f>
        <v>리오더</v>
      </c>
      <c r="C808" s="24" t="str">
        <f t="shared" si="186"/>
        <v/>
      </c>
      <c r="D808" s="24">
        <f t="shared" si="187"/>
        <v>0</v>
      </c>
      <c r="E808" s="24" t="str">
        <f t="shared" si="188"/>
        <v>FFTBEF5033</v>
      </c>
      <c r="F808" s="24">
        <f t="shared" si="189"/>
        <v>1</v>
      </c>
      <c r="G808" s="24" t="str">
        <f t="shared" si="190"/>
        <v/>
      </c>
      <c r="H808" s="24">
        <f t="shared" si="191"/>
        <v>0</v>
      </c>
      <c r="I808" s="24" t="str">
        <f t="shared" si="192"/>
        <v>FFTBEF5033BK</v>
      </c>
      <c r="J808" s="24">
        <f t="shared" si="193"/>
        <v>1</v>
      </c>
      <c r="K808" s="24" t="str">
        <f t="shared" si="194"/>
        <v>F5</v>
      </c>
      <c r="L808" s="24" t="str">
        <f>VLOOKUP(N808,CODE!K:P,CODE!$P$1,FALSE)</f>
        <v>모자</v>
      </c>
      <c r="M808" s="24" t="str">
        <f>VLOOKUP(MID(R808,1,3),CODE!$B:$G,CODE!D$1,FALSE)</f>
        <v>FFT</v>
      </c>
      <c r="N808" s="24" t="str">
        <f t="shared" si="195"/>
        <v>BE</v>
      </c>
      <c r="O808" s="29" t="str">
        <f>IF(ISERROR(IF(VLOOKUP($N808,CODE!$K:$P,CODE!$O$1,FALSE)="",$M808,$M808&amp;"-"&amp;VLOOKUP($N808,CODE!$K:$P,CODE!$O$1,FALSE)))=TRUE,"",IF(VLOOKUP($N808,CODE!$K:$P,CODE!$O$1,FALSE)="",$M808,$M808&amp;"-"&amp;VLOOKUP($N808,CODE!$K:$P,CODE!$O$1,FALSE)))</f>
        <v>FFT</v>
      </c>
      <c r="P808" s="29" t="str">
        <f t="shared" si="196"/>
        <v>성인</v>
      </c>
      <c r="Q808" s="29" t="str">
        <f t="shared" si="197"/>
        <v>FFTBEF5033</v>
      </c>
      <c r="R808" s="1" t="s">
        <v>1637</v>
      </c>
      <c r="S808" s="1" t="s">
        <v>15</v>
      </c>
      <c r="T808" s="26">
        <v>200</v>
      </c>
      <c r="U808" s="26">
        <v>7000000</v>
      </c>
      <c r="V808" s="26">
        <v>2863636.3636363633</v>
      </c>
      <c r="W808" s="26">
        <v>2.2222222222222223</v>
      </c>
      <c r="X808" s="26">
        <v>200</v>
      </c>
      <c r="Y808" s="26">
        <v>0</v>
      </c>
    </row>
    <row r="809" spans="1:25">
      <c r="A809" s="24" t="str">
        <f t="shared" si="185"/>
        <v>신규</v>
      </c>
      <c r="B809" s="24" t="str">
        <f>IF(COUNTIF(R$1:R808,R809)=0,"최초","리오더")</f>
        <v>리오더</v>
      </c>
      <c r="C809" s="24" t="str">
        <f t="shared" si="186"/>
        <v/>
      </c>
      <c r="D809" s="24">
        <f t="shared" si="187"/>
        <v>0</v>
      </c>
      <c r="E809" s="24" t="str">
        <f t="shared" si="188"/>
        <v>FFTBEF5034</v>
      </c>
      <c r="F809" s="24">
        <f t="shared" si="189"/>
        <v>1</v>
      </c>
      <c r="G809" s="24" t="str">
        <f t="shared" si="190"/>
        <v/>
      </c>
      <c r="H809" s="24">
        <f t="shared" si="191"/>
        <v>0</v>
      </c>
      <c r="I809" s="24" t="str">
        <f t="shared" si="192"/>
        <v>FFTBEF5034GY</v>
      </c>
      <c r="J809" s="24">
        <f t="shared" si="193"/>
        <v>1</v>
      </c>
      <c r="K809" s="24" t="str">
        <f t="shared" si="194"/>
        <v>F5</v>
      </c>
      <c r="L809" s="24" t="str">
        <f>VLOOKUP(N809,CODE!K:P,CODE!$P$1,FALSE)</f>
        <v>모자</v>
      </c>
      <c r="M809" s="24" t="str">
        <f>VLOOKUP(MID(R809,1,3),CODE!$B:$G,CODE!D$1,FALSE)</f>
        <v>FFT</v>
      </c>
      <c r="N809" s="24" t="str">
        <f t="shared" si="195"/>
        <v>BE</v>
      </c>
      <c r="O809" s="29" t="str">
        <f>IF(ISERROR(IF(VLOOKUP($N809,CODE!$K:$P,CODE!$O$1,FALSE)="",$M809,$M809&amp;"-"&amp;VLOOKUP($N809,CODE!$K:$P,CODE!$O$1,FALSE)))=TRUE,"",IF(VLOOKUP($N809,CODE!$K:$P,CODE!$O$1,FALSE)="",$M809,$M809&amp;"-"&amp;VLOOKUP($N809,CODE!$K:$P,CODE!$O$1,FALSE)))</f>
        <v>FFT</v>
      </c>
      <c r="P809" s="29" t="str">
        <f t="shared" si="196"/>
        <v>성인</v>
      </c>
      <c r="Q809" s="29" t="str">
        <f t="shared" si="197"/>
        <v>FFTBEF5034</v>
      </c>
      <c r="R809" s="1" t="s">
        <v>1638</v>
      </c>
      <c r="S809" s="1" t="s">
        <v>15</v>
      </c>
      <c r="T809" s="26">
        <v>150</v>
      </c>
      <c r="U809" s="26">
        <v>5250000</v>
      </c>
      <c r="V809" s="26">
        <v>2147727.2727272725</v>
      </c>
      <c r="W809" s="26">
        <v>2.2222222222222223</v>
      </c>
      <c r="X809" s="26">
        <v>150</v>
      </c>
      <c r="Y809" s="26">
        <v>0</v>
      </c>
    </row>
    <row r="810" spans="1:25">
      <c r="A810" s="24" t="str">
        <f t="shared" si="185"/>
        <v>신규</v>
      </c>
      <c r="B810" s="24" t="str">
        <f>IF(COUNTIF(R$1:R809,R810)=0,"최초","리오더")</f>
        <v>최초</v>
      </c>
      <c r="C810" s="24" t="str">
        <f t="shared" si="186"/>
        <v>FFTSNF3035</v>
      </c>
      <c r="D810" s="24">
        <f t="shared" si="187"/>
        <v>1</v>
      </c>
      <c r="E810" s="24" t="str">
        <f t="shared" si="188"/>
        <v/>
      </c>
      <c r="F810" s="24">
        <f t="shared" si="189"/>
        <v>0</v>
      </c>
      <c r="G810" s="24" t="str">
        <f t="shared" si="190"/>
        <v>FFTSNF3035PP</v>
      </c>
      <c r="H810" s="24">
        <f t="shared" si="191"/>
        <v>1</v>
      </c>
      <c r="I810" s="24" t="str">
        <f t="shared" si="192"/>
        <v/>
      </c>
      <c r="J810" s="24">
        <f t="shared" si="193"/>
        <v>0</v>
      </c>
      <c r="K810" s="24" t="str">
        <f t="shared" si="194"/>
        <v>F3</v>
      </c>
      <c r="L810" s="24" t="str">
        <f>VLOOKUP(N810,CODE!K:P,CODE!$P$1,FALSE)</f>
        <v>모자</v>
      </c>
      <c r="M810" s="24" t="str">
        <f>VLOOKUP(MID(R810,1,3),CODE!$B:$G,CODE!D$1,FALSE)</f>
        <v>FFT</v>
      </c>
      <c r="N810" s="24" t="str">
        <f t="shared" si="195"/>
        <v>SN</v>
      </c>
      <c r="O810" s="29" t="str">
        <f>IF(ISERROR(IF(VLOOKUP($N810,CODE!$K:$P,CODE!$O$1,FALSE)="",$M810,$M810&amp;"-"&amp;VLOOKUP($N810,CODE!$K:$P,CODE!$O$1,FALSE)))=TRUE,"",IF(VLOOKUP($N810,CODE!$K:$P,CODE!$O$1,FALSE)="",$M810,$M810&amp;"-"&amp;VLOOKUP($N810,CODE!$K:$P,CODE!$O$1,FALSE)))</f>
        <v>FFT</v>
      </c>
      <c r="P810" s="29" t="str">
        <f t="shared" si="196"/>
        <v>성인</v>
      </c>
      <c r="Q810" s="29" t="str">
        <f t="shared" si="197"/>
        <v>FFTSNF3035</v>
      </c>
      <c r="R810" s="1" t="s">
        <v>1646</v>
      </c>
      <c r="S810" s="1" t="s">
        <v>15</v>
      </c>
      <c r="T810" s="26">
        <v>200</v>
      </c>
      <c r="U810" s="26">
        <v>9000000</v>
      </c>
      <c r="V810" s="26">
        <v>3681818.1818181816</v>
      </c>
      <c r="W810" s="26">
        <v>2.2222222222222223</v>
      </c>
      <c r="X810" s="26">
        <v>200</v>
      </c>
      <c r="Y810" s="26">
        <v>0</v>
      </c>
    </row>
    <row r="811" spans="1:25">
      <c r="A811" s="24" t="str">
        <f t="shared" si="185"/>
        <v>신규</v>
      </c>
      <c r="B811" s="24" t="str">
        <f>IF(COUNTIF(R$1:R810,R811)=0,"최초","리오더")</f>
        <v>최초</v>
      </c>
      <c r="C811" s="24" t="str">
        <f t="shared" si="186"/>
        <v>FFTSNF3036</v>
      </c>
      <c r="D811" s="24">
        <f t="shared" si="187"/>
        <v>1</v>
      </c>
      <c r="E811" s="24" t="str">
        <f t="shared" si="188"/>
        <v/>
      </c>
      <c r="F811" s="24">
        <f t="shared" si="189"/>
        <v>0</v>
      </c>
      <c r="G811" s="24" t="str">
        <f t="shared" si="190"/>
        <v>FFTSNF3036BK</v>
      </c>
      <c r="H811" s="24">
        <f t="shared" si="191"/>
        <v>1</v>
      </c>
      <c r="I811" s="24" t="str">
        <f t="shared" si="192"/>
        <v/>
      </c>
      <c r="J811" s="24">
        <f t="shared" si="193"/>
        <v>0</v>
      </c>
      <c r="K811" s="24" t="str">
        <f t="shared" si="194"/>
        <v>F3</v>
      </c>
      <c r="L811" s="24" t="str">
        <f>VLOOKUP(N811,CODE!K:P,CODE!$P$1,FALSE)</f>
        <v>모자</v>
      </c>
      <c r="M811" s="24" t="str">
        <f>VLOOKUP(MID(R811,1,3),CODE!$B:$G,CODE!D$1,FALSE)</f>
        <v>FFT</v>
      </c>
      <c r="N811" s="24" t="str">
        <f t="shared" si="195"/>
        <v>SN</v>
      </c>
      <c r="O811" s="29" t="str">
        <f>IF(ISERROR(IF(VLOOKUP($N811,CODE!$K:$P,CODE!$O$1,FALSE)="",$M811,$M811&amp;"-"&amp;VLOOKUP($N811,CODE!$K:$P,CODE!$O$1,FALSE)))=TRUE,"",IF(VLOOKUP($N811,CODE!$K:$P,CODE!$O$1,FALSE)="",$M811,$M811&amp;"-"&amp;VLOOKUP($N811,CODE!$K:$P,CODE!$O$1,FALSE)))</f>
        <v>FFT</v>
      </c>
      <c r="P811" s="29" t="str">
        <f t="shared" si="196"/>
        <v>성인</v>
      </c>
      <c r="Q811" s="29" t="str">
        <f t="shared" si="197"/>
        <v>FFTSNF3036</v>
      </c>
      <c r="R811" s="1" t="s">
        <v>1647</v>
      </c>
      <c r="S811" s="1" t="s">
        <v>15</v>
      </c>
      <c r="T811" s="26">
        <v>300</v>
      </c>
      <c r="U811" s="26">
        <v>13500000</v>
      </c>
      <c r="V811" s="26">
        <v>5522727.2727272725</v>
      </c>
      <c r="W811" s="26">
        <v>2.2222222222222223</v>
      </c>
      <c r="X811" s="26">
        <v>300</v>
      </c>
      <c r="Y811" s="26">
        <v>0</v>
      </c>
    </row>
    <row r="812" spans="1:25">
      <c r="A812" s="24" t="str">
        <f t="shared" si="185"/>
        <v>신규</v>
      </c>
      <c r="B812" s="24" t="str">
        <f>IF(COUNTIF(R$1:R811,R812)=0,"최초","리오더")</f>
        <v>최초</v>
      </c>
      <c r="C812" s="24" t="str">
        <f t="shared" si="186"/>
        <v>FFTFEF5050</v>
      </c>
      <c r="D812" s="24">
        <f t="shared" si="187"/>
        <v>1</v>
      </c>
      <c r="E812" s="24" t="str">
        <f t="shared" si="188"/>
        <v/>
      </c>
      <c r="F812" s="24">
        <f t="shared" si="189"/>
        <v>0</v>
      </c>
      <c r="G812" s="24" t="str">
        <f t="shared" si="190"/>
        <v>FFTFEF5050BK</v>
      </c>
      <c r="H812" s="24">
        <f t="shared" si="191"/>
        <v>1</v>
      </c>
      <c r="I812" s="24" t="str">
        <f t="shared" si="192"/>
        <v/>
      </c>
      <c r="J812" s="24">
        <f t="shared" si="193"/>
        <v>0</v>
      </c>
      <c r="K812" s="24" t="str">
        <f t="shared" si="194"/>
        <v>F5</v>
      </c>
      <c r="L812" s="24" t="str">
        <f>VLOOKUP(N812,CODE!K:P,CODE!$P$1,FALSE)</f>
        <v>모자</v>
      </c>
      <c r="M812" s="24" t="str">
        <f>VLOOKUP(MID(R812,1,3),CODE!$B:$G,CODE!D$1,FALSE)</f>
        <v>FFT</v>
      </c>
      <c r="N812" s="24" t="str">
        <f t="shared" si="195"/>
        <v>FE</v>
      </c>
      <c r="O812" s="29" t="str">
        <f>IF(ISERROR(IF(VLOOKUP($N812,CODE!$K:$P,CODE!$O$1,FALSE)="",$M812,$M812&amp;"-"&amp;VLOOKUP($N812,CODE!$K:$P,CODE!$O$1,FALSE)))=TRUE,"",IF(VLOOKUP($N812,CODE!$K:$P,CODE!$O$1,FALSE)="",$M812,$M812&amp;"-"&amp;VLOOKUP($N812,CODE!$K:$P,CODE!$O$1,FALSE)))</f>
        <v>FFT</v>
      </c>
      <c r="P812" s="29" t="str">
        <f t="shared" si="196"/>
        <v>성인</v>
      </c>
      <c r="Q812" s="29" t="str">
        <f t="shared" si="197"/>
        <v>FFTFEF5050</v>
      </c>
      <c r="R812" s="1" t="s">
        <v>1648</v>
      </c>
      <c r="S812" s="1" t="s">
        <v>15</v>
      </c>
      <c r="T812" s="26">
        <v>100</v>
      </c>
      <c r="U812" s="26">
        <v>6800000</v>
      </c>
      <c r="V812" s="26">
        <v>2781818.1818181816</v>
      </c>
      <c r="W812" s="26">
        <v>2.2222222222222223</v>
      </c>
      <c r="X812" s="26">
        <v>100</v>
      </c>
      <c r="Y812" s="26">
        <v>0</v>
      </c>
    </row>
    <row r="813" spans="1:25">
      <c r="A813" s="24" t="str">
        <f t="shared" si="185"/>
        <v>신규</v>
      </c>
      <c r="B813" s="24" t="str">
        <f>IF(COUNTIF(R$1:R812,R813)=0,"최초","리오더")</f>
        <v>최초</v>
      </c>
      <c r="C813" s="24" t="str">
        <f t="shared" si="186"/>
        <v>FFTFEF5051</v>
      </c>
      <c r="D813" s="24">
        <f t="shared" si="187"/>
        <v>0.5</v>
      </c>
      <c r="E813" s="24" t="str">
        <f t="shared" si="188"/>
        <v/>
      </c>
      <c r="F813" s="24">
        <f t="shared" si="189"/>
        <v>0</v>
      </c>
      <c r="G813" s="24" t="str">
        <f t="shared" si="190"/>
        <v>FFTFEF5051BK</v>
      </c>
      <c r="H813" s="24">
        <f t="shared" si="191"/>
        <v>1</v>
      </c>
      <c r="I813" s="24" t="str">
        <f t="shared" si="192"/>
        <v/>
      </c>
      <c r="J813" s="24">
        <f t="shared" si="193"/>
        <v>0</v>
      </c>
      <c r="K813" s="24" t="str">
        <f t="shared" si="194"/>
        <v>F5</v>
      </c>
      <c r="L813" s="24" t="str">
        <f>VLOOKUP(N813,CODE!K:P,CODE!$P$1,FALSE)</f>
        <v>모자</v>
      </c>
      <c r="M813" s="24" t="str">
        <f>VLOOKUP(MID(R813,1,3),CODE!$B:$G,CODE!D$1,FALSE)</f>
        <v>FFT</v>
      </c>
      <c r="N813" s="24" t="str">
        <f t="shared" si="195"/>
        <v>FE</v>
      </c>
      <c r="O813" s="29" t="str">
        <f>IF(ISERROR(IF(VLOOKUP($N813,CODE!$K:$P,CODE!$O$1,FALSE)="",$M813,$M813&amp;"-"&amp;VLOOKUP($N813,CODE!$K:$P,CODE!$O$1,FALSE)))=TRUE,"",IF(VLOOKUP($N813,CODE!$K:$P,CODE!$O$1,FALSE)="",$M813,$M813&amp;"-"&amp;VLOOKUP($N813,CODE!$K:$P,CODE!$O$1,FALSE)))</f>
        <v>FFT</v>
      </c>
      <c r="P813" s="29" t="str">
        <f t="shared" si="196"/>
        <v>성인</v>
      </c>
      <c r="Q813" s="29" t="str">
        <f t="shared" si="197"/>
        <v>FFTFEF5051</v>
      </c>
      <c r="R813" s="1" t="s">
        <v>1649</v>
      </c>
      <c r="S813" s="1" t="s">
        <v>15</v>
      </c>
      <c r="T813" s="26">
        <v>50</v>
      </c>
      <c r="U813" s="26">
        <v>2250000</v>
      </c>
      <c r="V813" s="26">
        <v>920454.54545454541</v>
      </c>
      <c r="W813" s="26">
        <v>2.2222222222222223</v>
      </c>
      <c r="X813" s="26">
        <v>50</v>
      </c>
      <c r="Y813" s="26">
        <v>0</v>
      </c>
    </row>
    <row r="814" spans="1:25">
      <c r="A814" s="24" t="str">
        <f t="shared" si="185"/>
        <v>신규</v>
      </c>
      <c r="B814" s="24" t="str">
        <f>IF(COUNTIF(R$1:R813,R814)=0,"최초","리오더")</f>
        <v>최초</v>
      </c>
      <c r="C814" s="24" t="str">
        <f t="shared" si="186"/>
        <v>FFTFEF5051</v>
      </c>
      <c r="D814" s="24">
        <f t="shared" si="187"/>
        <v>0.5</v>
      </c>
      <c r="E814" s="24" t="str">
        <f t="shared" si="188"/>
        <v/>
      </c>
      <c r="F814" s="24">
        <f t="shared" si="189"/>
        <v>0</v>
      </c>
      <c r="G814" s="24" t="str">
        <f t="shared" si="190"/>
        <v>FFTFEF5051BU</v>
      </c>
      <c r="H814" s="24">
        <f t="shared" si="191"/>
        <v>1</v>
      </c>
      <c r="I814" s="24" t="str">
        <f t="shared" si="192"/>
        <v/>
      </c>
      <c r="J814" s="24">
        <f t="shared" si="193"/>
        <v>0</v>
      </c>
      <c r="K814" s="24" t="str">
        <f t="shared" si="194"/>
        <v>F5</v>
      </c>
      <c r="L814" s="24" t="str">
        <f>VLOOKUP(N814,CODE!K:P,CODE!$P$1,FALSE)</f>
        <v>모자</v>
      </c>
      <c r="M814" s="24" t="str">
        <f>VLOOKUP(MID(R814,1,3),CODE!$B:$G,CODE!D$1,FALSE)</f>
        <v>FFT</v>
      </c>
      <c r="N814" s="24" t="str">
        <f t="shared" si="195"/>
        <v>FE</v>
      </c>
      <c r="O814" s="29" t="str">
        <f>IF(ISERROR(IF(VLOOKUP($N814,CODE!$K:$P,CODE!$O$1,FALSE)="",$M814,$M814&amp;"-"&amp;VLOOKUP($N814,CODE!$K:$P,CODE!$O$1,FALSE)))=TRUE,"",IF(VLOOKUP($N814,CODE!$K:$P,CODE!$O$1,FALSE)="",$M814,$M814&amp;"-"&amp;VLOOKUP($N814,CODE!$K:$P,CODE!$O$1,FALSE)))</f>
        <v>FFT</v>
      </c>
      <c r="P814" s="29" t="str">
        <f t="shared" si="196"/>
        <v>성인</v>
      </c>
      <c r="Q814" s="29" t="str">
        <f t="shared" si="197"/>
        <v>FFTFEF5051</v>
      </c>
      <c r="R814" s="1" t="s">
        <v>1650</v>
      </c>
      <c r="S814" s="1" t="s">
        <v>15</v>
      </c>
      <c r="T814" s="26">
        <v>100</v>
      </c>
      <c r="U814" s="26">
        <v>4500000</v>
      </c>
      <c r="V814" s="26">
        <v>1840909.0909090908</v>
      </c>
      <c r="W814" s="26">
        <v>2.2222222222222223</v>
      </c>
      <c r="X814" s="26">
        <v>100</v>
      </c>
      <c r="Y814" s="26">
        <v>0</v>
      </c>
    </row>
    <row r="815" spans="1:25">
      <c r="A815" s="24" t="str">
        <f t="shared" si="185"/>
        <v>신규</v>
      </c>
      <c r="B815" s="24" t="str">
        <f>IF(COUNTIF(R$1:R814,R815)=0,"최초","리오더")</f>
        <v>최초</v>
      </c>
      <c r="C815" s="24" t="str">
        <f t="shared" si="186"/>
        <v>FFTFEF5052</v>
      </c>
      <c r="D815" s="24">
        <f t="shared" si="187"/>
        <v>1</v>
      </c>
      <c r="E815" s="24" t="str">
        <f t="shared" si="188"/>
        <v/>
      </c>
      <c r="F815" s="24">
        <f t="shared" si="189"/>
        <v>0</v>
      </c>
      <c r="G815" s="24" t="str">
        <f t="shared" si="190"/>
        <v>FFTFEF5052BG</v>
      </c>
      <c r="H815" s="24">
        <f t="shared" si="191"/>
        <v>1</v>
      </c>
      <c r="I815" s="24" t="str">
        <f t="shared" si="192"/>
        <v/>
      </c>
      <c r="J815" s="24">
        <f t="shared" si="193"/>
        <v>0</v>
      </c>
      <c r="K815" s="24" t="str">
        <f t="shared" si="194"/>
        <v>F5</v>
      </c>
      <c r="L815" s="24" t="str">
        <f>VLOOKUP(N815,CODE!K:P,CODE!$P$1,FALSE)</f>
        <v>모자</v>
      </c>
      <c r="M815" s="24" t="str">
        <f>VLOOKUP(MID(R815,1,3),CODE!$B:$G,CODE!D$1,FALSE)</f>
        <v>FFT</v>
      </c>
      <c r="N815" s="24" t="str">
        <f t="shared" si="195"/>
        <v>FE</v>
      </c>
      <c r="O815" s="29" t="str">
        <f>IF(ISERROR(IF(VLOOKUP($N815,CODE!$K:$P,CODE!$O$1,FALSE)="",$M815,$M815&amp;"-"&amp;VLOOKUP($N815,CODE!$K:$P,CODE!$O$1,FALSE)))=TRUE,"",IF(VLOOKUP($N815,CODE!$K:$P,CODE!$O$1,FALSE)="",$M815,$M815&amp;"-"&amp;VLOOKUP($N815,CODE!$K:$P,CODE!$O$1,FALSE)))</f>
        <v>FFT</v>
      </c>
      <c r="P815" s="29" t="str">
        <f t="shared" si="196"/>
        <v>성인</v>
      </c>
      <c r="Q815" s="29" t="str">
        <f t="shared" si="197"/>
        <v>FFTFEF5052</v>
      </c>
      <c r="R815" s="1" t="s">
        <v>1651</v>
      </c>
      <c r="S815" s="1" t="s">
        <v>15</v>
      </c>
      <c r="T815" s="26">
        <v>100</v>
      </c>
      <c r="U815" s="26">
        <v>5700000</v>
      </c>
      <c r="V815" s="26">
        <v>2331818.1818181816</v>
      </c>
      <c r="W815" s="26">
        <v>2.2222222222222223</v>
      </c>
      <c r="X815" s="26">
        <v>100</v>
      </c>
      <c r="Y815" s="26">
        <v>0</v>
      </c>
    </row>
    <row r="816" spans="1:25">
      <c r="A816" s="24" t="str">
        <f t="shared" si="185"/>
        <v>신규</v>
      </c>
      <c r="B816" s="24" t="str">
        <f>IF(COUNTIF(R$1:R815,R816)=0,"최초","리오더")</f>
        <v>최초</v>
      </c>
      <c r="C816" s="24" t="str">
        <f t="shared" si="186"/>
        <v>FFTFEF5053</v>
      </c>
      <c r="D816" s="24">
        <f t="shared" si="187"/>
        <v>1</v>
      </c>
      <c r="E816" s="24" t="str">
        <f t="shared" si="188"/>
        <v/>
      </c>
      <c r="F816" s="24">
        <f t="shared" si="189"/>
        <v>0</v>
      </c>
      <c r="G816" s="24" t="str">
        <f t="shared" si="190"/>
        <v>FFTFEF5053BK</v>
      </c>
      <c r="H816" s="24">
        <f t="shared" si="191"/>
        <v>1</v>
      </c>
      <c r="I816" s="24" t="str">
        <f t="shared" si="192"/>
        <v/>
      </c>
      <c r="J816" s="24">
        <f t="shared" si="193"/>
        <v>0</v>
      </c>
      <c r="K816" s="24" t="str">
        <f t="shared" si="194"/>
        <v>F5</v>
      </c>
      <c r="L816" s="24" t="str">
        <f>VLOOKUP(N816,CODE!K:P,CODE!$P$1,FALSE)</f>
        <v>모자</v>
      </c>
      <c r="M816" s="24" t="str">
        <f>VLOOKUP(MID(R816,1,3),CODE!$B:$G,CODE!D$1,FALSE)</f>
        <v>FFT</v>
      </c>
      <c r="N816" s="24" t="str">
        <f t="shared" si="195"/>
        <v>FE</v>
      </c>
      <c r="O816" s="29" t="str">
        <f>IF(ISERROR(IF(VLOOKUP($N816,CODE!$K:$P,CODE!$O$1,FALSE)="",$M816,$M816&amp;"-"&amp;VLOOKUP($N816,CODE!$K:$P,CODE!$O$1,FALSE)))=TRUE,"",IF(VLOOKUP($N816,CODE!$K:$P,CODE!$O$1,FALSE)="",$M816,$M816&amp;"-"&amp;VLOOKUP($N816,CODE!$K:$P,CODE!$O$1,FALSE)))</f>
        <v>FFT</v>
      </c>
      <c r="P816" s="29" t="str">
        <f t="shared" si="196"/>
        <v>성인</v>
      </c>
      <c r="Q816" s="29" t="str">
        <f t="shared" si="197"/>
        <v>FFTFEF5053</v>
      </c>
      <c r="R816" s="1" t="s">
        <v>1652</v>
      </c>
      <c r="S816" s="1" t="s">
        <v>15</v>
      </c>
      <c r="T816" s="26">
        <v>50</v>
      </c>
      <c r="U816" s="26">
        <v>2250000</v>
      </c>
      <c r="V816" s="26">
        <v>920454.54545454541</v>
      </c>
      <c r="W816" s="26">
        <v>2.2222222222222223</v>
      </c>
      <c r="X816" s="26">
        <v>50</v>
      </c>
      <c r="Y816" s="26">
        <v>0</v>
      </c>
    </row>
    <row r="817" spans="1:25">
      <c r="A817" s="24" t="str">
        <f t="shared" si="185"/>
        <v>신규</v>
      </c>
      <c r="B817" s="24" t="str">
        <f>IF(COUNTIF(R$1:R816,R817)=0,"최초","리오더")</f>
        <v>최초</v>
      </c>
      <c r="C817" s="24" t="str">
        <f t="shared" si="186"/>
        <v>SHLFAF5001</v>
      </c>
      <c r="D817" s="24">
        <f t="shared" si="187"/>
        <v>1</v>
      </c>
      <c r="E817" s="24" t="str">
        <f t="shared" si="188"/>
        <v/>
      </c>
      <c r="F817" s="24">
        <f t="shared" si="189"/>
        <v>0</v>
      </c>
      <c r="G817" s="24" t="str">
        <f t="shared" si="190"/>
        <v>SHLFAF5001BG</v>
      </c>
      <c r="H817" s="24">
        <f t="shared" si="191"/>
        <v>1</v>
      </c>
      <c r="I817" s="24" t="str">
        <f t="shared" si="192"/>
        <v/>
      </c>
      <c r="J817" s="24">
        <f t="shared" si="193"/>
        <v>0</v>
      </c>
      <c r="K817" s="24" t="str">
        <f t="shared" si="194"/>
        <v>F5</v>
      </c>
      <c r="L817" s="24" t="str">
        <f>VLOOKUP(N817,CODE!K:P,CODE!$P$1,FALSE)</f>
        <v>모자</v>
      </c>
      <c r="M817" s="24" t="str">
        <f>VLOOKUP(MID(R817,1,3),CODE!$B:$G,CODE!D$1,FALSE)</f>
        <v>SHL</v>
      </c>
      <c r="N817" s="24" t="str">
        <f t="shared" si="195"/>
        <v>FA</v>
      </c>
      <c r="O817" s="29" t="str">
        <f>IF(ISERROR(IF(VLOOKUP($N817,CODE!$K:$P,CODE!$O$1,FALSE)="",$M817,$M817&amp;"-"&amp;VLOOKUP($N817,CODE!$K:$P,CODE!$O$1,FALSE)))=TRUE,"",IF(VLOOKUP($N817,CODE!$K:$P,CODE!$O$1,FALSE)="",$M817,$M817&amp;"-"&amp;VLOOKUP($N817,CODE!$K:$P,CODE!$O$1,FALSE)))</f>
        <v>SHL</v>
      </c>
      <c r="P817" s="29" t="str">
        <f t="shared" si="196"/>
        <v>성인</v>
      </c>
      <c r="Q817" s="29" t="str">
        <f t="shared" si="197"/>
        <v>SHLFAF5001</v>
      </c>
      <c r="R817" s="1" t="s">
        <v>1653</v>
      </c>
      <c r="S817" s="1" t="s">
        <v>15</v>
      </c>
      <c r="T817" s="26">
        <v>40</v>
      </c>
      <c r="U817" s="26">
        <v>2360000</v>
      </c>
      <c r="V817" s="26">
        <v>966254.54545454541</v>
      </c>
      <c r="W817" s="26">
        <v>2.2203823573686585</v>
      </c>
      <c r="X817" s="26">
        <v>40</v>
      </c>
      <c r="Y817" s="26">
        <v>0</v>
      </c>
    </row>
    <row r="818" spans="1:25">
      <c r="A818" s="24" t="str">
        <f t="shared" si="185"/>
        <v>신규</v>
      </c>
      <c r="B818" s="24" t="str">
        <f>IF(COUNTIF(R$1:R817,R818)=0,"최초","리오더")</f>
        <v>최초</v>
      </c>
      <c r="C818" s="24" t="str">
        <f t="shared" si="186"/>
        <v>SHLFAF5002</v>
      </c>
      <c r="D818" s="24">
        <f t="shared" si="187"/>
        <v>1</v>
      </c>
      <c r="E818" s="24" t="str">
        <f t="shared" si="188"/>
        <v/>
      </c>
      <c r="F818" s="24">
        <f t="shared" si="189"/>
        <v>0</v>
      </c>
      <c r="G818" s="24" t="str">
        <f t="shared" si="190"/>
        <v>SHLFAF5002BW</v>
      </c>
      <c r="H818" s="24">
        <f t="shared" si="191"/>
        <v>1</v>
      </c>
      <c r="I818" s="24" t="str">
        <f t="shared" si="192"/>
        <v/>
      </c>
      <c r="J818" s="24">
        <f t="shared" si="193"/>
        <v>0</v>
      </c>
      <c r="K818" s="24" t="str">
        <f t="shared" si="194"/>
        <v>F5</v>
      </c>
      <c r="L818" s="24" t="str">
        <f>VLOOKUP(N818,CODE!K:P,CODE!$P$1,FALSE)</f>
        <v>모자</v>
      </c>
      <c r="M818" s="24" t="str">
        <f>VLOOKUP(MID(R818,1,3),CODE!$B:$G,CODE!D$1,FALSE)</f>
        <v>SHL</v>
      </c>
      <c r="N818" s="24" t="str">
        <f t="shared" si="195"/>
        <v>FA</v>
      </c>
      <c r="O818" s="29" t="str">
        <f>IF(ISERROR(IF(VLOOKUP($N818,CODE!$K:$P,CODE!$O$1,FALSE)="",$M818,$M818&amp;"-"&amp;VLOOKUP($N818,CODE!$K:$P,CODE!$O$1,FALSE)))=TRUE,"",IF(VLOOKUP($N818,CODE!$K:$P,CODE!$O$1,FALSE)="",$M818,$M818&amp;"-"&amp;VLOOKUP($N818,CODE!$K:$P,CODE!$O$1,FALSE)))</f>
        <v>SHL</v>
      </c>
      <c r="P818" s="29" t="str">
        <f t="shared" si="196"/>
        <v>성인</v>
      </c>
      <c r="Q818" s="29" t="str">
        <f t="shared" si="197"/>
        <v>SHLFAF5002</v>
      </c>
      <c r="R818" s="1" t="s">
        <v>1654</v>
      </c>
      <c r="S818" s="1" t="s">
        <v>15</v>
      </c>
      <c r="T818" s="26">
        <v>40</v>
      </c>
      <c r="U818" s="26">
        <v>2360000</v>
      </c>
      <c r="V818" s="26">
        <v>966254.54545454541</v>
      </c>
      <c r="W818" s="26">
        <v>2.2203823573686585</v>
      </c>
      <c r="X818" s="26">
        <v>40</v>
      </c>
      <c r="Y818" s="26">
        <v>0</v>
      </c>
    </row>
    <row r="819" spans="1:25">
      <c r="A819" s="24" t="str">
        <f t="shared" si="185"/>
        <v>신규</v>
      </c>
      <c r="B819" s="24" t="str">
        <f>IF(COUNTIF(R$1:R818,R819)=0,"최초","리오더")</f>
        <v>최초</v>
      </c>
      <c r="C819" s="24" t="str">
        <f t="shared" si="186"/>
        <v>SHLFAF5003</v>
      </c>
      <c r="D819" s="24">
        <f t="shared" si="187"/>
        <v>1</v>
      </c>
      <c r="E819" s="24" t="str">
        <f t="shared" si="188"/>
        <v/>
      </c>
      <c r="F819" s="24">
        <f t="shared" si="189"/>
        <v>0</v>
      </c>
      <c r="G819" s="24" t="str">
        <f t="shared" si="190"/>
        <v>SHLFAF5003GY</v>
      </c>
      <c r="H819" s="24">
        <f t="shared" si="191"/>
        <v>1</v>
      </c>
      <c r="I819" s="24" t="str">
        <f t="shared" si="192"/>
        <v/>
      </c>
      <c r="J819" s="24">
        <f t="shared" si="193"/>
        <v>0</v>
      </c>
      <c r="K819" s="24" t="str">
        <f t="shared" si="194"/>
        <v>F5</v>
      </c>
      <c r="L819" s="24" t="str">
        <f>VLOOKUP(N819,CODE!K:P,CODE!$P$1,FALSE)</f>
        <v>모자</v>
      </c>
      <c r="M819" s="24" t="str">
        <f>VLOOKUP(MID(R819,1,3),CODE!$B:$G,CODE!D$1,FALSE)</f>
        <v>SHL</v>
      </c>
      <c r="N819" s="24" t="str">
        <f t="shared" si="195"/>
        <v>FA</v>
      </c>
      <c r="O819" s="29" t="str">
        <f>IF(ISERROR(IF(VLOOKUP($N819,CODE!$K:$P,CODE!$O$1,FALSE)="",$M819,$M819&amp;"-"&amp;VLOOKUP($N819,CODE!$K:$P,CODE!$O$1,FALSE)))=TRUE,"",IF(VLOOKUP($N819,CODE!$K:$P,CODE!$O$1,FALSE)="",$M819,$M819&amp;"-"&amp;VLOOKUP($N819,CODE!$K:$P,CODE!$O$1,FALSE)))</f>
        <v>SHL</v>
      </c>
      <c r="P819" s="29" t="str">
        <f t="shared" si="196"/>
        <v>성인</v>
      </c>
      <c r="Q819" s="29" t="str">
        <f t="shared" si="197"/>
        <v>SHLFAF5003</v>
      </c>
      <c r="R819" s="1" t="s">
        <v>1655</v>
      </c>
      <c r="S819" s="1" t="s">
        <v>15</v>
      </c>
      <c r="T819" s="26">
        <v>40</v>
      </c>
      <c r="U819" s="26">
        <v>2360000</v>
      </c>
      <c r="V819" s="26">
        <v>966254.54545454541</v>
      </c>
      <c r="W819" s="26">
        <v>2.2203823573686585</v>
      </c>
      <c r="X819" s="26">
        <v>40</v>
      </c>
      <c r="Y819" s="26">
        <v>0</v>
      </c>
    </row>
    <row r="820" spans="1:25">
      <c r="A820" s="24" t="str">
        <f t="shared" ref="A820:A831" si="198">IF(OR(MID(R820,8,1)="0",MID(R820,8,1)="5"),"신규","러닝")</f>
        <v>신규</v>
      </c>
      <c r="B820" s="24" t="str">
        <f>IF(COUNTIF(R$1:R819,R820)=0,"최초","리오더")</f>
        <v>최초</v>
      </c>
      <c r="C820" s="24" t="str">
        <f t="shared" ref="C820:C831" si="199">IF($B820="리오더","",Q820)</f>
        <v>SHLFAF5004</v>
      </c>
      <c r="D820" s="24">
        <f t="shared" ref="D820:D831" si="200">IF(C820="",0,1/COUNTIF(C:C,C820))</f>
        <v>1</v>
      </c>
      <c r="E820" s="24" t="str">
        <f t="shared" ref="E820:E831" si="201">IF($B820="리오더",Q820,"")</f>
        <v/>
      </c>
      <c r="F820" s="24">
        <f t="shared" ref="F820:F831" si="202">IF(E820="",0,1/COUNTIF(E:E,E820))</f>
        <v>0</v>
      </c>
      <c r="G820" s="24" t="str">
        <f t="shared" ref="G820:G831" si="203">IF($B820="리오더","",R820)</f>
        <v>SHLFAF5004GY</v>
      </c>
      <c r="H820" s="24">
        <f t="shared" ref="H820:H831" si="204">IF(G820="",0,1/COUNTIF(G:G,G820))</f>
        <v>1</v>
      </c>
      <c r="I820" s="24" t="str">
        <f t="shared" ref="I820:I831" si="205">IF($B820="리오더",R820,"")</f>
        <v/>
      </c>
      <c r="J820" s="24">
        <f t="shared" ref="J820:J831" si="206">IF(I820="",0,1/COUNTIF(I:I,I820))</f>
        <v>0</v>
      </c>
      <c r="K820" s="24" t="str">
        <f t="shared" ref="K820:K831" si="207">MID(R820,6,2)</f>
        <v>F5</v>
      </c>
      <c r="L820" s="24" t="str">
        <f>VLOOKUP(N820,CODE!K:P,CODE!$P$1,FALSE)</f>
        <v>모자</v>
      </c>
      <c r="M820" s="24" t="str">
        <f>VLOOKUP(MID(R820,1,3),CODE!$B:$G,CODE!D$1,FALSE)</f>
        <v>SHL</v>
      </c>
      <c r="N820" s="24" t="str">
        <f t="shared" ref="N820:N831" si="208">MID(R820,4,2)</f>
        <v>FA</v>
      </c>
      <c r="O820" s="29" t="str">
        <f>IF(ISERROR(IF(VLOOKUP($N820,CODE!$K:$P,CODE!$O$1,FALSE)="",$M820,$M820&amp;"-"&amp;VLOOKUP($N820,CODE!$K:$P,CODE!$O$1,FALSE)))=TRUE,"",IF(VLOOKUP($N820,CODE!$K:$P,CODE!$O$1,FALSE)="",$M820,$M820&amp;"-"&amp;VLOOKUP($N820,CODE!$K:$P,CODE!$O$1,FALSE)))</f>
        <v>SHL</v>
      </c>
      <c r="P820" s="29" t="str">
        <f t="shared" ref="P820:P831" si="209">IF(OR(MID(R820,8,1)="0",MID(R820,8,1)="1",MID(R820,8,1)="2",MID(R820,8,1)="3",MID(R820,8,1)="4"),"성인","키즈")</f>
        <v>성인</v>
      </c>
      <c r="Q820" s="29" t="str">
        <f t="shared" ref="Q820:Q831" si="210">MID(R820,1,10)</f>
        <v>SHLFAF5004</v>
      </c>
      <c r="R820" s="1" t="s">
        <v>1656</v>
      </c>
      <c r="S820" s="1" t="s">
        <v>15</v>
      </c>
      <c r="T820" s="26">
        <v>40</v>
      </c>
      <c r="U820" s="26">
        <v>2360000</v>
      </c>
      <c r="V820" s="26">
        <v>966254.54545454541</v>
      </c>
      <c r="W820" s="26">
        <v>2.2203823573686585</v>
      </c>
      <c r="X820" s="26">
        <v>40</v>
      </c>
      <c r="Y820" s="26">
        <v>0</v>
      </c>
    </row>
    <row r="821" spans="1:25">
      <c r="A821" s="24" t="str">
        <f t="shared" si="198"/>
        <v>신규</v>
      </c>
      <c r="B821" s="24" t="str">
        <f>IF(COUNTIF(R$1:R820,R821)=0,"최초","리오더")</f>
        <v>최초</v>
      </c>
      <c r="C821" s="24" t="str">
        <f t="shared" si="199"/>
        <v>SHLFAF5005</v>
      </c>
      <c r="D821" s="24">
        <f t="shared" si="200"/>
        <v>1</v>
      </c>
      <c r="E821" s="24" t="str">
        <f t="shared" si="201"/>
        <v/>
      </c>
      <c r="F821" s="24">
        <f t="shared" si="202"/>
        <v>0</v>
      </c>
      <c r="G821" s="24" t="str">
        <f t="shared" si="203"/>
        <v>SHLFAF5005BK</v>
      </c>
      <c r="H821" s="24">
        <f t="shared" si="204"/>
        <v>1</v>
      </c>
      <c r="I821" s="24" t="str">
        <f t="shared" si="205"/>
        <v/>
      </c>
      <c r="J821" s="24">
        <f t="shared" si="206"/>
        <v>0</v>
      </c>
      <c r="K821" s="24" t="str">
        <f t="shared" si="207"/>
        <v>F5</v>
      </c>
      <c r="L821" s="24" t="str">
        <f>VLOOKUP(N821,CODE!K:P,CODE!$P$1,FALSE)</f>
        <v>모자</v>
      </c>
      <c r="M821" s="24" t="str">
        <f>VLOOKUP(MID(R821,1,3),CODE!$B:$G,CODE!D$1,FALSE)</f>
        <v>SHL</v>
      </c>
      <c r="N821" s="24" t="str">
        <f t="shared" si="208"/>
        <v>FA</v>
      </c>
      <c r="O821" s="29" t="str">
        <f>IF(ISERROR(IF(VLOOKUP($N821,CODE!$K:$P,CODE!$O$1,FALSE)="",$M821,$M821&amp;"-"&amp;VLOOKUP($N821,CODE!$K:$P,CODE!$O$1,FALSE)))=TRUE,"",IF(VLOOKUP($N821,CODE!$K:$P,CODE!$O$1,FALSE)="",$M821,$M821&amp;"-"&amp;VLOOKUP($N821,CODE!$K:$P,CODE!$O$1,FALSE)))</f>
        <v>SHL</v>
      </c>
      <c r="P821" s="29" t="str">
        <f t="shared" si="209"/>
        <v>성인</v>
      </c>
      <c r="Q821" s="29" t="str">
        <f t="shared" si="210"/>
        <v>SHLFAF5005</v>
      </c>
      <c r="R821" s="1" t="s">
        <v>1657</v>
      </c>
      <c r="S821" s="1" t="s">
        <v>15</v>
      </c>
      <c r="T821" s="26">
        <v>40</v>
      </c>
      <c r="U821" s="26">
        <v>2360000</v>
      </c>
      <c r="V821" s="26">
        <v>966254.54545454541</v>
      </c>
      <c r="W821" s="26">
        <v>2.2203823573686585</v>
      </c>
      <c r="X821" s="26">
        <v>40</v>
      </c>
      <c r="Y821" s="26">
        <v>0</v>
      </c>
    </row>
    <row r="822" spans="1:25">
      <c r="A822" s="24" t="str">
        <f t="shared" si="198"/>
        <v>신규</v>
      </c>
      <c r="B822" s="24" t="str">
        <f>IF(COUNTIF(R$1:R821,R822)=0,"최초","리오더")</f>
        <v>최초</v>
      </c>
      <c r="C822" s="24" t="str">
        <f t="shared" si="199"/>
        <v>FFTSNF3037</v>
      </c>
      <c r="D822" s="24">
        <f t="shared" si="200"/>
        <v>1</v>
      </c>
      <c r="E822" s="24" t="str">
        <f t="shared" si="201"/>
        <v/>
      </c>
      <c r="F822" s="24">
        <f t="shared" si="202"/>
        <v>0</v>
      </c>
      <c r="G822" s="24" t="str">
        <f t="shared" si="203"/>
        <v>FFTSNF3037BK</v>
      </c>
      <c r="H822" s="24">
        <f t="shared" si="204"/>
        <v>1</v>
      </c>
      <c r="I822" s="24" t="str">
        <f t="shared" si="205"/>
        <v/>
      </c>
      <c r="J822" s="24">
        <f t="shared" si="206"/>
        <v>0</v>
      </c>
      <c r="K822" s="24" t="str">
        <f t="shared" si="207"/>
        <v>F3</v>
      </c>
      <c r="L822" s="24" t="str">
        <f>VLOOKUP(N822,CODE!K:P,CODE!$P$1,FALSE)</f>
        <v>모자</v>
      </c>
      <c r="M822" s="24" t="str">
        <f>VLOOKUP(MID(R822,1,3),CODE!$B:$G,CODE!D$1,FALSE)</f>
        <v>FFT</v>
      </c>
      <c r="N822" s="24" t="str">
        <f t="shared" si="208"/>
        <v>SN</v>
      </c>
      <c r="O822" s="29" t="str">
        <f>IF(ISERROR(IF(VLOOKUP($N822,CODE!$K:$P,CODE!$O$1,FALSE)="",$M822,$M822&amp;"-"&amp;VLOOKUP($N822,CODE!$K:$P,CODE!$O$1,FALSE)))=TRUE,"",IF(VLOOKUP($N822,CODE!$K:$P,CODE!$O$1,FALSE)="",$M822,$M822&amp;"-"&amp;VLOOKUP($N822,CODE!$K:$P,CODE!$O$1,FALSE)))</f>
        <v>FFT</v>
      </c>
      <c r="P822" s="29" t="str">
        <f t="shared" si="209"/>
        <v>성인</v>
      </c>
      <c r="Q822" s="29" t="str">
        <f t="shared" si="210"/>
        <v>FFTSNF3037</v>
      </c>
      <c r="R822" s="1" t="s">
        <v>1948</v>
      </c>
      <c r="S822" s="1" t="s">
        <v>15</v>
      </c>
      <c r="T822" s="26">
        <v>100</v>
      </c>
      <c r="U822" s="26">
        <v>4800000</v>
      </c>
      <c r="V822" s="26">
        <v>1963636.3636363635</v>
      </c>
      <c r="W822" s="26">
        <v>2.2222222222222223</v>
      </c>
      <c r="X822" s="26">
        <v>100</v>
      </c>
      <c r="Y822" s="26">
        <v>0</v>
      </c>
    </row>
    <row r="823" spans="1:25">
      <c r="A823" s="24" t="str">
        <f t="shared" si="198"/>
        <v>신규</v>
      </c>
      <c r="B823" s="24" t="str">
        <f>IF(COUNTIF(R$1:R822,R823)=0,"최초","리오더")</f>
        <v>최초</v>
      </c>
      <c r="C823" s="24" t="str">
        <f t="shared" si="199"/>
        <v>FFTSNF3038</v>
      </c>
      <c r="D823" s="24">
        <f t="shared" si="200"/>
        <v>1</v>
      </c>
      <c r="E823" s="24" t="str">
        <f t="shared" si="201"/>
        <v/>
      </c>
      <c r="F823" s="24">
        <f t="shared" si="202"/>
        <v>0</v>
      </c>
      <c r="G823" s="24" t="str">
        <f t="shared" si="203"/>
        <v>FFTSNF3038BK</v>
      </c>
      <c r="H823" s="24">
        <f t="shared" si="204"/>
        <v>1</v>
      </c>
      <c r="I823" s="24" t="str">
        <f t="shared" si="205"/>
        <v/>
      </c>
      <c r="J823" s="24">
        <f t="shared" si="206"/>
        <v>0</v>
      </c>
      <c r="K823" s="24" t="str">
        <f t="shared" si="207"/>
        <v>F3</v>
      </c>
      <c r="L823" s="24" t="str">
        <f>VLOOKUP(N823,CODE!K:P,CODE!$P$1,FALSE)</f>
        <v>모자</v>
      </c>
      <c r="M823" s="24" t="str">
        <f>VLOOKUP(MID(R823,1,3),CODE!$B:$G,CODE!D$1,FALSE)</f>
        <v>FFT</v>
      </c>
      <c r="N823" s="24" t="str">
        <f t="shared" si="208"/>
        <v>SN</v>
      </c>
      <c r="O823" s="29" t="str">
        <f>IF(ISERROR(IF(VLOOKUP($N823,CODE!$K:$P,CODE!$O$1,FALSE)="",$M823,$M823&amp;"-"&amp;VLOOKUP($N823,CODE!$K:$P,CODE!$O$1,FALSE)))=TRUE,"",IF(VLOOKUP($N823,CODE!$K:$P,CODE!$O$1,FALSE)="",$M823,$M823&amp;"-"&amp;VLOOKUP($N823,CODE!$K:$P,CODE!$O$1,FALSE)))</f>
        <v>FFT</v>
      </c>
      <c r="P823" s="29" t="str">
        <f t="shared" si="209"/>
        <v>성인</v>
      </c>
      <c r="Q823" s="29" t="str">
        <f t="shared" si="210"/>
        <v>FFTSNF3038</v>
      </c>
      <c r="R823" s="1" t="s">
        <v>1949</v>
      </c>
      <c r="S823" s="1" t="s">
        <v>15</v>
      </c>
      <c r="T823" s="26">
        <v>100</v>
      </c>
      <c r="U823" s="26">
        <v>4800000</v>
      </c>
      <c r="V823" s="26">
        <v>1963636.3636363635</v>
      </c>
      <c r="W823" s="26">
        <v>2.2222222222222223</v>
      </c>
      <c r="X823" s="26">
        <v>100</v>
      </c>
      <c r="Y823" s="26">
        <v>0</v>
      </c>
    </row>
    <row r="824" spans="1:25">
      <c r="A824" s="24" t="str">
        <f t="shared" si="198"/>
        <v>신규</v>
      </c>
      <c r="B824" s="24" t="str">
        <f>IF(COUNTIF(R$1:R823,R824)=0,"최초","리오더")</f>
        <v>최초</v>
      </c>
      <c r="C824" s="24" t="str">
        <f t="shared" si="199"/>
        <v>FFTSNF3039</v>
      </c>
      <c r="D824" s="24">
        <f t="shared" si="200"/>
        <v>1</v>
      </c>
      <c r="E824" s="24" t="str">
        <f t="shared" si="201"/>
        <v/>
      </c>
      <c r="F824" s="24">
        <f t="shared" si="202"/>
        <v>0</v>
      </c>
      <c r="G824" s="24" t="str">
        <f t="shared" si="203"/>
        <v>FFTSNF3039BK</v>
      </c>
      <c r="H824" s="24">
        <f t="shared" si="204"/>
        <v>1</v>
      </c>
      <c r="I824" s="24" t="str">
        <f t="shared" si="205"/>
        <v/>
      </c>
      <c r="J824" s="24">
        <f t="shared" si="206"/>
        <v>0</v>
      </c>
      <c r="K824" s="24" t="str">
        <f t="shared" si="207"/>
        <v>F3</v>
      </c>
      <c r="L824" s="24" t="str">
        <f>VLOOKUP(N824,CODE!K:P,CODE!$P$1,FALSE)</f>
        <v>모자</v>
      </c>
      <c r="M824" s="24" t="str">
        <f>VLOOKUP(MID(R824,1,3),CODE!$B:$G,CODE!D$1,FALSE)</f>
        <v>FFT</v>
      </c>
      <c r="N824" s="24" t="str">
        <f t="shared" si="208"/>
        <v>SN</v>
      </c>
      <c r="O824" s="29" t="str">
        <f>IF(ISERROR(IF(VLOOKUP($N824,CODE!$K:$P,CODE!$O$1,FALSE)="",$M824,$M824&amp;"-"&amp;VLOOKUP($N824,CODE!$K:$P,CODE!$O$1,FALSE)))=TRUE,"",IF(VLOOKUP($N824,CODE!$K:$P,CODE!$O$1,FALSE)="",$M824,$M824&amp;"-"&amp;VLOOKUP($N824,CODE!$K:$P,CODE!$O$1,FALSE)))</f>
        <v>FFT</v>
      </c>
      <c r="P824" s="29" t="str">
        <f t="shared" si="209"/>
        <v>성인</v>
      </c>
      <c r="Q824" s="29" t="str">
        <f t="shared" si="210"/>
        <v>FFTSNF3039</v>
      </c>
      <c r="R824" s="1" t="s">
        <v>1950</v>
      </c>
      <c r="S824" s="1" t="s">
        <v>15</v>
      </c>
      <c r="T824" s="26">
        <v>100</v>
      </c>
      <c r="U824" s="26">
        <v>4800000</v>
      </c>
      <c r="V824" s="26">
        <v>1963636.3636363635</v>
      </c>
      <c r="W824" s="26">
        <v>2.2222222222222223</v>
      </c>
      <c r="X824" s="26">
        <v>100</v>
      </c>
      <c r="Y824" s="26">
        <v>0</v>
      </c>
    </row>
    <row r="825" spans="1:25">
      <c r="A825" s="24" t="str">
        <f t="shared" si="198"/>
        <v>신규</v>
      </c>
      <c r="B825" s="24" t="str">
        <f>IF(COUNTIF(R$1:R824,R825)=0,"최초","리오더")</f>
        <v>최초</v>
      </c>
      <c r="C825" s="24" t="str">
        <f t="shared" si="199"/>
        <v>FFTBEF5040</v>
      </c>
      <c r="D825" s="24">
        <f t="shared" si="200"/>
        <v>1</v>
      </c>
      <c r="E825" s="24" t="str">
        <f t="shared" si="201"/>
        <v/>
      </c>
      <c r="F825" s="24">
        <f t="shared" si="202"/>
        <v>0</v>
      </c>
      <c r="G825" s="24" t="str">
        <f t="shared" si="203"/>
        <v>FFTBEF5040NY</v>
      </c>
      <c r="H825" s="24">
        <f t="shared" si="204"/>
        <v>1</v>
      </c>
      <c r="I825" s="24" t="str">
        <f t="shared" si="205"/>
        <v/>
      </c>
      <c r="J825" s="24">
        <f t="shared" si="206"/>
        <v>0</v>
      </c>
      <c r="K825" s="24" t="str">
        <f t="shared" si="207"/>
        <v>F5</v>
      </c>
      <c r="L825" s="24" t="str">
        <f>VLOOKUP(N825,CODE!K:P,CODE!$P$1,FALSE)</f>
        <v>모자</v>
      </c>
      <c r="M825" s="24" t="str">
        <f>VLOOKUP(MID(R825,1,3),CODE!$B:$G,CODE!D$1,FALSE)</f>
        <v>FFT</v>
      </c>
      <c r="N825" s="24" t="str">
        <f t="shared" si="208"/>
        <v>BE</v>
      </c>
      <c r="O825" s="29" t="str">
        <f>IF(ISERROR(IF(VLOOKUP($N825,CODE!$K:$P,CODE!$O$1,FALSE)="",$M825,$M825&amp;"-"&amp;VLOOKUP($N825,CODE!$K:$P,CODE!$O$1,FALSE)))=TRUE,"",IF(VLOOKUP($N825,CODE!$K:$P,CODE!$O$1,FALSE)="",$M825,$M825&amp;"-"&amp;VLOOKUP($N825,CODE!$K:$P,CODE!$O$1,FALSE)))</f>
        <v>FFT</v>
      </c>
      <c r="P825" s="29" t="str">
        <f t="shared" si="209"/>
        <v>성인</v>
      </c>
      <c r="Q825" s="29" t="str">
        <f t="shared" si="210"/>
        <v>FFTBEF5040</v>
      </c>
      <c r="R825" s="1" t="s">
        <v>1951</v>
      </c>
      <c r="S825" s="1" t="s">
        <v>15</v>
      </c>
      <c r="T825" s="26">
        <v>100</v>
      </c>
      <c r="U825" s="26">
        <v>3500000</v>
      </c>
      <c r="V825" s="26">
        <v>1431818.1818181816</v>
      </c>
      <c r="W825" s="26">
        <v>2.2222222222222223</v>
      </c>
      <c r="X825" s="26">
        <v>100</v>
      </c>
      <c r="Y825" s="26">
        <v>0</v>
      </c>
    </row>
    <row r="826" spans="1:25">
      <c r="A826" s="24" t="str">
        <f t="shared" si="198"/>
        <v>신규</v>
      </c>
      <c r="B826" s="24" t="str">
        <f>IF(COUNTIF(R$1:R825,R826)=0,"최초","리오더")</f>
        <v>최초</v>
      </c>
      <c r="C826" s="24" t="str">
        <f t="shared" si="199"/>
        <v>FFTBEF5041</v>
      </c>
      <c r="D826" s="24">
        <f t="shared" si="200"/>
        <v>1</v>
      </c>
      <c r="E826" s="24" t="str">
        <f t="shared" si="201"/>
        <v/>
      </c>
      <c r="F826" s="24">
        <f t="shared" si="202"/>
        <v>0</v>
      </c>
      <c r="G826" s="24" t="str">
        <f t="shared" si="203"/>
        <v>FFTBEF5041BK</v>
      </c>
      <c r="H826" s="24">
        <f t="shared" si="204"/>
        <v>1</v>
      </c>
      <c r="I826" s="24" t="str">
        <f t="shared" si="205"/>
        <v/>
      </c>
      <c r="J826" s="24">
        <f t="shared" si="206"/>
        <v>0</v>
      </c>
      <c r="K826" s="24" t="str">
        <f t="shared" si="207"/>
        <v>F5</v>
      </c>
      <c r="L826" s="24" t="str">
        <f>VLOOKUP(N826,CODE!K:P,CODE!$P$1,FALSE)</f>
        <v>모자</v>
      </c>
      <c r="M826" s="24" t="str">
        <f>VLOOKUP(MID(R826,1,3),CODE!$B:$G,CODE!D$1,FALSE)</f>
        <v>FFT</v>
      </c>
      <c r="N826" s="24" t="str">
        <f t="shared" si="208"/>
        <v>BE</v>
      </c>
      <c r="O826" s="29" t="str">
        <f>IF(ISERROR(IF(VLOOKUP($N826,CODE!$K:$P,CODE!$O$1,FALSE)="",$M826,$M826&amp;"-"&amp;VLOOKUP($N826,CODE!$K:$P,CODE!$O$1,FALSE)))=TRUE,"",IF(VLOOKUP($N826,CODE!$K:$P,CODE!$O$1,FALSE)="",$M826,$M826&amp;"-"&amp;VLOOKUP($N826,CODE!$K:$P,CODE!$O$1,FALSE)))</f>
        <v>FFT</v>
      </c>
      <c r="P826" s="29" t="str">
        <f t="shared" si="209"/>
        <v>성인</v>
      </c>
      <c r="Q826" s="29" t="str">
        <f t="shared" si="210"/>
        <v>FFTBEF5041</v>
      </c>
      <c r="R826" s="1" t="s">
        <v>1952</v>
      </c>
      <c r="S826" s="1" t="s">
        <v>15</v>
      </c>
      <c r="T826" s="26">
        <v>100</v>
      </c>
      <c r="U826" s="26">
        <v>3500000</v>
      </c>
      <c r="V826" s="26">
        <v>1431818.1818181816</v>
      </c>
      <c r="W826" s="26">
        <v>2.2222222222222223</v>
      </c>
      <c r="X826" s="26">
        <v>100</v>
      </c>
      <c r="Y826" s="26">
        <v>0</v>
      </c>
    </row>
    <row r="827" spans="1:25">
      <c r="A827" s="24" t="str">
        <f t="shared" si="198"/>
        <v>신규</v>
      </c>
      <c r="B827" s="24" t="str">
        <f>IF(COUNTIF(R$1:R826,R827)=0,"최초","리오더")</f>
        <v>리오더</v>
      </c>
      <c r="C827" s="24" t="str">
        <f t="shared" si="199"/>
        <v/>
      </c>
      <c r="D827" s="24">
        <f t="shared" si="200"/>
        <v>0</v>
      </c>
      <c r="E827" s="24" t="str">
        <f t="shared" si="201"/>
        <v>SHLFAF5001</v>
      </c>
      <c r="F827" s="24">
        <f t="shared" si="202"/>
        <v>1</v>
      </c>
      <c r="G827" s="24" t="str">
        <f t="shared" si="203"/>
        <v/>
      </c>
      <c r="H827" s="24">
        <f t="shared" si="204"/>
        <v>0</v>
      </c>
      <c r="I827" s="24" t="str">
        <f t="shared" si="205"/>
        <v>SHLFAF5001BG</v>
      </c>
      <c r="J827" s="24">
        <f t="shared" si="206"/>
        <v>1</v>
      </c>
      <c r="K827" s="24" t="str">
        <f t="shared" si="207"/>
        <v>F5</v>
      </c>
      <c r="L827" s="24" t="str">
        <f>VLOOKUP(N827,CODE!K:P,CODE!$P$1,FALSE)</f>
        <v>모자</v>
      </c>
      <c r="M827" s="24" t="str">
        <f>VLOOKUP(MID(R827,1,3),CODE!$B:$G,CODE!D$1,FALSE)</f>
        <v>SHL</v>
      </c>
      <c r="N827" s="24" t="str">
        <f t="shared" si="208"/>
        <v>FA</v>
      </c>
      <c r="O827" s="29" t="str">
        <f>IF(ISERROR(IF(VLOOKUP($N827,CODE!$K:$P,CODE!$O$1,FALSE)="",$M827,$M827&amp;"-"&amp;VLOOKUP($N827,CODE!$K:$P,CODE!$O$1,FALSE)))=TRUE,"",IF(VLOOKUP($N827,CODE!$K:$P,CODE!$O$1,FALSE)="",$M827,$M827&amp;"-"&amp;VLOOKUP($N827,CODE!$K:$P,CODE!$O$1,FALSE)))</f>
        <v>SHL</v>
      </c>
      <c r="P827" s="29" t="str">
        <f t="shared" si="209"/>
        <v>성인</v>
      </c>
      <c r="Q827" s="29" t="str">
        <f t="shared" si="210"/>
        <v>SHLFAF5001</v>
      </c>
      <c r="R827" s="1" t="s">
        <v>1653</v>
      </c>
      <c r="S827" s="1" t="s">
        <v>15</v>
      </c>
      <c r="T827" s="26">
        <v>5</v>
      </c>
      <c r="U827" s="26">
        <v>295000</v>
      </c>
      <c r="V827" s="26">
        <v>120781.81818181818</v>
      </c>
      <c r="W827" s="26">
        <v>2.2203823573686585</v>
      </c>
      <c r="X827" s="26">
        <v>5</v>
      </c>
      <c r="Y827" s="26">
        <v>0</v>
      </c>
    </row>
    <row r="828" spans="1:25">
      <c r="A828" s="24" t="str">
        <f t="shared" si="198"/>
        <v>신규</v>
      </c>
      <c r="B828" s="24" t="str">
        <f>IF(COUNTIF(R$1:R827,R828)=0,"최초","리오더")</f>
        <v>리오더</v>
      </c>
      <c r="C828" s="24" t="str">
        <f t="shared" si="199"/>
        <v/>
      </c>
      <c r="D828" s="24">
        <f t="shared" si="200"/>
        <v>0</v>
      </c>
      <c r="E828" s="24" t="str">
        <f t="shared" si="201"/>
        <v>SHLFAF5002</v>
      </c>
      <c r="F828" s="24">
        <f t="shared" si="202"/>
        <v>1</v>
      </c>
      <c r="G828" s="24" t="str">
        <f t="shared" si="203"/>
        <v/>
      </c>
      <c r="H828" s="24">
        <f t="shared" si="204"/>
        <v>0</v>
      </c>
      <c r="I828" s="24" t="str">
        <f t="shared" si="205"/>
        <v>SHLFAF5002BW</v>
      </c>
      <c r="J828" s="24">
        <f t="shared" si="206"/>
        <v>1</v>
      </c>
      <c r="K828" s="24" t="str">
        <f t="shared" si="207"/>
        <v>F5</v>
      </c>
      <c r="L828" s="24" t="str">
        <f>VLOOKUP(N828,CODE!K:P,CODE!$P$1,FALSE)</f>
        <v>모자</v>
      </c>
      <c r="M828" s="24" t="str">
        <f>VLOOKUP(MID(R828,1,3),CODE!$B:$G,CODE!D$1,FALSE)</f>
        <v>SHL</v>
      </c>
      <c r="N828" s="24" t="str">
        <f t="shared" si="208"/>
        <v>FA</v>
      </c>
      <c r="O828" s="29" t="str">
        <f>IF(ISERROR(IF(VLOOKUP($N828,CODE!$K:$P,CODE!$O$1,FALSE)="",$M828,$M828&amp;"-"&amp;VLOOKUP($N828,CODE!$K:$P,CODE!$O$1,FALSE)))=TRUE,"",IF(VLOOKUP($N828,CODE!$K:$P,CODE!$O$1,FALSE)="",$M828,$M828&amp;"-"&amp;VLOOKUP($N828,CODE!$K:$P,CODE!$O$1,FALSE)))</f>
        <v>SHL</v>
      </c>
      <c r="P828" s="29" t="str">
        <f t="shared" si="209"/>
        <v>성인</v>
      </c>
      <c r="Q828" s="29" t="str">
        <f t="shared" si="210"/>
        <v>SHLFAF5002</v>
      </c>
      <c r="R828" s="1" t="s">
        <v>1654</v>
      </c>
      <c r="S828" s="1" t="s">
        <v>15</v>
      </c>
      <c r="T828" s="26">
        <v>5</v>
      </c>
      <c r="U828" s="26">
        <v>295000</v>
      </c>
      <c r="V828" s="26">
        <v>120781.81818181818</v>
      </c>
      <c r="W828" s="26">
        <v>2.2203823573686585</v>
      </c>
      <c r="X828" s="26">
        <v>5</v>
      </c>
      <c r="Y828" s="26">
        <v>0</v>
      </c>
    </row>
    <row r="829" spans="1:25">
      <c r="A829" s="24" t="str">
        <f t="shared" si="198"/>
        <v>신규</v>
      </c>
      <c r="B829" s="24" t="str">
        <f>IF(COUNTIF(R$1:R828,R829)=0,"최초","리오더")</f>
        <v>리오더</v>
      </c>
      <c r="C829" s="24" t="str">
        <f t="shared" si="199"/>
        <v/>
      </c>
      <c r="D829" s="24">
        <f t="shared" si="200"/>
        <v>0</v>
      </c>
      <c r="E829" s="24" t="str">
        <f t="shared" si="201"/>
        <v>SHLFAF5003</v>
      </c>
      <c r="F829" s="24">
        <f t="shared" si="202"/>
        <v>1</v>
      </c>
      <c r="G829" s="24" t="str">
        <f t="shared" si="203"/>
        <v/>
      </c>
      <c r="H829" s="24">
        <f t="shared" si="204"/>
        <v>0</v>
      </c>
      <c r="I829" s="24" t="str">
        <f t="shared" si="205"/>
        <v>SHLFAF5003GY</v>
      </c>
      <c r="J829" s="24">
        <f t="shared" si="206"/>
        <v>1</v>
      </c>
      <c r="K829" s="24" t="str">
        <f t="shared" si="207"/>
        <v>F5</v>
      </c>
      <c r="L829" s="24" t="str">
        <f>VLOOKUP(N829,CODE!K:P,CODE!$P$1,FALSE)</f>
        <v>모자</v>
      </c>
      <c r="M829" s="24" t="str">
        <f>VLOOKUP(MID(R829,1,3),CODE!$B:$G,CODE!D$1,FALSE)</f>
        <v>SHL</v>
      </c>
      <c r="N829" s="24" t="str">
        <f t="shared" si="208"/>
        <v>FA</v>
      </c>
      <c r="O829" s="29" t="str">
        <f>IF(ISERROR(IF(VLOOKUP($N829,CODE!$K:$P,CODE!$O$1,FALSE)="",$M829,$M829&amp;"-"&amp;VLOOKUP($N829,CODE!$K:$P,CODE!$O$1,FALSE)))=TRUE,"",IF(VLOOKUP($N829,CODE!$K:$P,CODE!$O$1,FALSE)="",$M829,$M829&amp;"-"&amp;VLOOKUP($N829,CODE!$K:$P,CODE!$O$1,FALSE)))</f>
        <v>SHL</v>
      </c>
      <c r="P829" s="29" t="str">
        <f t="shared" si="209"/>
        <v>성인</v>
      </c>
      <c r="Q829" s="29" t="str">
        <f t="shared" si="210"/>
        <v>SHLFAF5003</v>
      </c>
      <c r="R829" s="1" t="s">
        <v>1655</v>
      </c>
      <c r="S829" s="1" t="s">
        <v>15</v>
      </c>
      <c r="T829" s="26">
        <v>5</v>
      </c>
      <c r="U829" s="26">
        <v>295000</v>
      </c>
      <c r="V829" s="26">
        <v>120781.81818181818</v>
      </c>
      <c r="W829" s="26">
        <v>2.2203823573686585</v>
      </c>
      <c r="X829" s="26">
        <v>5</v>
      </c>
      <c r="Y829" s="26">
        <v>0</v>
      </c>
    </row>
    <row r="830" spans="1:25">
      <c r="A830" s="24" t="str">
        <f t="shared" si="198"/>
        <v>신규</v>
      </c>
      <c r="B830" s="24" t="str">
        <f>IF(COUNTIF(R$1:R829,R830)=0,"최초","리오더")</f>
        <v>리오더</v>
      </c>
      <c r="C830" s="24" t="str">
        <f t="shared" si="199"/>
        <v/>
      </c>
      <c r="D830" s="24">
        <f t="shared" si="200"/>
        <v>0</v>
      </c>
      <c r="E830" s="24" t="str">
        <f t="shared" si="201"/>
        <v>SHLFAF5004</v>
      </c>
      <c r="F830" s="24">
        <f t="shared" si="202"/>
        <v>1</v>
      </c>
      <c r="G830" s="24" t="str">
        <f t="shared" si="203"/>
        <v/>
      </c>
      <c r="H830" s="24">
        <f t="shared" si="204"/>
        <v>0</v>
      </c>
      <c r="I830" s="24" t="str">
        <f t="shared" si="205"/>
        <v>SHLFAF5004GY</v>
      </c>
      <c r="J830" s="24">
        <f t="shared" si="206"/>
        <v>1</v>
      </c>
      <c r="K830" s="24" t="str">
        <f t="shared" si="207"/>
        <v>F5</v>
      </c>
      <c r="L830" s="24" t="str">
        <f>VLOOKUP(N830,CODE!K:P,CODE!$P$1,FALSE)</f>
        <v>모자</v>
      </c>
      <c r="M830" s="24" t="str">
        <f>VLOOKUP(MID(R830,1,3),CODE!$B:$G,CODE!D$1,FALSE)</f>
        <v>SHL</v>
      </c>
      <c r="N830" s="24" t="str">
        <f t="shared" si="208"/>
        <v>FA</v>
      </c>
      <c r="O830" s="29" t="str">
        <f>IF(ISERROR(IF(VLOOKUP($N830,CODE!$K:$P,CODE!$O$1,FALSE)="",$M830,$M830&amp;"-"&amp;VLOOKUP($N830,CODE!$K:$P,CODE!$O$1,FALSE)))=TRUE,"",IF(VLOOKUP($N830,CODE!$K:$P,CODE!$O$1,FALSE)="",$M830,$M830&amp;"-"&amp;VLOOKUP($N830,CODE!$K:$P,CODE!$O$1,FALSE)))</f>
        <v>SHL</v>
      </c>
      <c r="P830" s="29" t="str">
        <f t="shared" si="209"/>
        <v>성인</v>
      </c>
      <c r="Q830" s="29" t="str">
        <f t="shared" si="210"/>
        <v>SHLFAF5004</v>
      </c>
      <c r="R830" s="1" t="s">
        <v>1656</v>
      </c>
      <c r="S830" s="1" t="s">
        <v>15</v>
      </c>
      <c r="T830" s="26">
        <v>5</v>
      </c>
      <c r="U830" s="26">
        <v>295000</v>
      </c>
      <c r="V830" s="26">
        <v>120781.81818181818</v>
      </c>
      <c r="W830" s="26">
        <v>2.2203823573686585</v>
      </c>
      <c r="X830" s="26">
        <v>5</v>
      </c>
      <c r="Y830" s="26">
        <v>0</v>
      </c>
    </row>
    <row r="831" spans="1:25">
      <c r="A831" s="24" t="str">
        <f t="shared" si="198"/>
        <v>신규</v>
      </c>
      <c r="B831" s="24" t="str">
        <f>IF(COUNTIF(R$1:R830,R831)=0,"최초","리오더")</f>
        <v>리오더</v>
      </c>
      <c r="C831" s="24" t="str">
        <f t="shared" si="199"/>
        <v/>
      </c>
      <c r="D831" s="24">
        <f t="shared" si="200"/>
        <v>0</v>
      </c>
      <c r="E831" s="24" t="str">
        <f t="shared" si="201"/>
        <v>SHLFAF5005</v>
      </c>
      <c r="F831" s="24">
        <f t="shared" si="202"/>
        <v>1</v>
      </c>
      <c r="G831" s="24" t="str">
        <f t="shared" si="203"/>
        <v/>
      </c>
      <c r="H831" s="24">
        <f t="shared" si="204"/>
        <v>0</v>
      </c>
      <c r="I831" s="24" t="str">
        <f t="shared" si="205"/>
        <v>SHLFAF5005BK</v>
      </c>
      <c r="J831" s="24">
        <f t="shared" si="206"/>
        <v>1</v>
      </c>
      <c r="K831" s="24" t="str">
        <f t="shared" si="207"/>
        <v>F5</v>
      </c>
      <c r="L831" s="24" t="str">
        <f>VLOOKUP(N831,CODE!K:P,CODE!$P$1,FALSE)</f>
        <v>모자</v>
      </c>
      <c r="M831" s="24" t="str">
        <f>VLOOKUP(MID(R831,1,3),CODE!$B:$G,CODE!D$1,FALSE)</f>
        <v>SHL</v>
      </c>
      <c r="N831" s="24" t="str">
        <f t="shared" si="208"/>
        <v>FA</v>
      </c>
      <c r="O831" s="29" t="str">
        <f>IF(ISERROR(IF(VLOOKUP($N831,CODE!$K:$P,CODE!$O$1,FALSE)="",$M831,$M831&amp;"-"&amp;VLOOKUP($N831,CODE!$K:$P,CODE!$O$1,FALSE)))=TRUE,"",IF(VLOOKUP($N831,CODE!$K:$P,CODE!$O$1,FALSE)="",$M831,$M831&amp;"-"&amp;VLOOKUP($N831,CODE!$K:$P,CODE!$O$1,FALSE)))</f>
        <v>SHL</v>
      </c>
      <c r="P831" s="29" t="str">
        <f t="shared" si="209"/>
        <v>성인</v>
      </c>
      <c r="Q831" s="29" t="str">
        <f t="shared" si="210"/>
        <v>SHLFAF5005</v>
      </c>
      <c r="R831" s="1" t="s">
        <v>1657</v>
      </c>
      <c r="S831" s="1" t="s">
        <v>15</v>
      </c>
      <c r="T831" s="26">
        <v>5</v>
      </c>
      <c r="U831" s="26">
        <v>295000</v>
      </c>
      <c r="V831" s="26">
        <v>120781.81818181818</v>
      </c>
      <c r="W831" s="26">
        <v>2.2203823573686585</v>
      </c>
      <c r="X831" s="26">
        <v>5</v>
      </c>
      <c r="Y831" s="26">
        <v>0</v>
      </c>
    </row>
  </sheetData>
  <autoFilter ref="A1:Y795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3698"/>
  <sheetViews>
    <sheetView showZeros="0" zoomScale="80" zoomScaleNormal="80" workbookViewId="0">
      <pane xSplit="4" ySplit="8" topLeftCell="E48" activePane="bottomRight" state="frozen"/>
      <selection pane="topRight" activeCell="D1" sqref="D1"/>
      <selection pane="bottomLeft" activeCell="A9" sqref="A9"/>
      <selection pane="bottomRight" activeCell="B56" sqref="B56"/>
    </sheetView>
  </sheetViews>
  <sheetFormatPr defaultRowHeight="16.5"/>
  <cols>
    <col min="1" max="1" width="2.25" customWidth="1"/>
    <col min="2" max="2" width="7.75" style="3" bestFit="1" customWidth="1"/>
    <col min="3" max="3" width="13" style="5" bestFit="1" customWidth="1"/>
    <col min="4" max="4" width="13" style="3" bestFit="1" customWidth="1"/>
    <col min="5" max="5" width="13.625" style="3" bestFit="1" customWidth="1"/>
    <col min="6" max="6" width="7.625" style="3" customWidth="1"/>
    <col min="7" max="7" width="14" style="3" customWidth="1"/>
    <col min="8" max="8" width="7.625" style="3" customWidth="1"/>
    <col min="9" max="9" width="14" style="3" customWidth="1"/>
    <col min="10" max="10" width="9.375" customWidth="1"/>
    <col min="11" max="11" width="5.875" style="55" customWidth="1"/>
    <col min="12" max="12" width="7.5" customWidth="1"/>
    <col min="13" max="13" width="8.75" customWidth="1"/>
    <col min="14" max="14" width="5.875" customWidth="1"/>
    <col min="15" max="15" width="9.375" customWidth="1"/>
    <col min="16" max="17" width="11.125" customWidth="1"/>
    <col min="18" max="18" width="10" bestFit="1" customWidth="1"/>
    <col min="19" max="19" width="13.75" bestFit="1" customWidth="1"/>
    <col min="20" max="20" width="15.625" bestFit="1" customWidth="1"/>
  </cols>
  <sheetData>
    <row r="1" spans="2:16" ht="20.25">
      <c r="B1" s="30" t="s">
        <v>1373</v>
      </c>
    </row>
    <row r="2" spans="2:16">
      <c r="B2"/>
      <c r="C2"/>
      <c r="H2" s="4"/>
      <c r="P2" s="41">
        <f ca="1">TODAY()</f>
        <v>42157</v>
      </c>
    </row>
    <row r="3" spans="2:16" s="31" customFormat="1" ht="31.5" customHeight="1" thickBot="1">
      <c r="B3" s="44" t="s">
        <v>13</v>
      </c>
      <c r="C3" s="44" t="s">
        <v>783</v>
      </c>
      <c r="D3" s="44" t="s">
        <v>803</v>
      </c>
      <c r="E3" s="44" t="s">
        <v>804</v>
      </c>
      <c r="F3" s="44" t="s">
        <v>795</v>
      </c>
      <c r="G3" s="44" t="s">
        <v>792</v>
      </c>
      <c r="H3" s="44" t="s">
        <v>18</v>
      </c>
      <c r="I3" s="44" t="s">
        <v>768</v>
      </c>
      <c r="J3" s="44" t="s">
        <v>776</v>
      </c>
      <c r="K3" s="70" t="s">
        <v>805</v>
      </c>
      <c r="L3" s="44" t="s">
        <v>778</v>
      </c>
      <c r="M3" s="44" t="s">
        <v>793</v>
      </c>
      <c r="N3" s="44" t="s">
        <v>779</v>
      </c>
      <c r="O3" s="44" t="s">
        <v>40</v>
      </c>
      <c r="P3" s="44" t="s">
        <v>41</v>
      </c>
    </row>
    <row r="4" spans="2:16" ht="17.25" hidden="1" thickTop="1">
      <c r="B4" s="33"/>
      <c r="C4" s="33"/>
      <c r="D4" s="32"/>
      <c r="E4" s="32"/>
      <c r="F4" s="32"/>
      <c r="G4" s="32"/>
      <c r="H4" s="71"/>
      <c r="I4" s="32"/>
      <c r="J4" s="33"/>
      <c r="K4" s="56"/>
      <c r="L4" s="33"/>
      <c r="M4" s="33"/>
      <c r="N4" s="33"/>
      <c r="O4" s="33"/>
      <c r="P4" s="33"/>
    </row>
    <row r="5" spans="2:16" hidden="1">
      <c r="B5" s="32"/>
      <c r="C5" s="72"/>
      <c r="D5" s="32"/>
      <c r="E5" s="32"/>
      <c r="F5" s="32"/>
      <c r="G5" s="32"/>
      <c r="H5" s="71"/>
      <c r="I5" s="32"/>
      <c r="J5" s="33"/>
      <c r="K5" s="56"/>
      <c r="L5" s="33"/>
      <c r="M5" s="33"/>
      <c r="N5" s="33"/>
      <c r="O5" s="33"/>
      <c r="P5" s="33"/>
    </row>
    <row r="6" spans="2:16" hidden="1">
      <c r="B6" s="6"/>
      <c r="C6" s="6"/>
      <c r="D6" s="6"/>
      <c r="E6" s="6"/>
      <c r="F6" s="73" t="s">
        <v>17</v>
      </c>
      <c r="G6" s="6"/>
      <c r="H6" s="74"/>
      <c r="I6" s="6"/>
      <c r="J6" s="6"/>
      <c r="K6" s="6"/>
      <c r="L6" s="6"/>
      <c r="M6" s="6"/>
      <c r="N6" s="6"/>
      <c r="O6" s="6"/>
      <c r="P6" s="6"/>
    </row>
    <row r="7" spans="2:16" hidden="1">
      <c r="B7" s="73" t="s">
        <v>13</v>
      </c>
      <c r="C7" s="73" t="s">
        <v>783</v>
      </c>
      <c r="D7" s="73" t="s">
        <v>800</v>
      </c>
      <c r="E7" s="73" t="s">
        <v>762</v>
      </c>
      <c r="F7" s="6" t="s">
        <v>795</v>
      </c>
      <c r="G7" s="6" t="s">
        <v>792</v>
      </c>
      <c r="H7" s="6" t="s">
        <v>18</v>
      </c>
      <c r="I7" s="6" t="s">
        <v>768</v>
      </c>
      <c r="J7" s="6" t="s">
        <v>776</v>
      </c>
      <c r="K7" s="6" t="s">
        <v>806</v>
      </c>
      <c r="L7" s="6" t="s">
        <v>778</v>
      </c>
      <c r="M7" s="6" t="s">
        <v>793</v>
      </c>
      <c r="N7" s="6" t="s">
        <v>779</v>
      </c>
      <c r="O7" s="6" t="s">
        <v>40</v>
      </c>
      <c r="P7" s="6" t="s">
        <v>41</v>
      </c>
    </row>
    <row r="8" spans="2:16" ht="17.25" thickTop="1">
      <c r="B8" s="6" t="s">
        <v>14</v>
      </c>
      <c r="C8" s="74" t="s">
        <v>20</v>
      </c>
      <c r="D8" s="6" t="s">
        <v>802</v>
      </c>
      <c r="E8" s="6" t="s">
        <v>767</v>
      </c>
      <c r="F8" s="34">
        <v>34</v>
      </c>
      <c r="G8" s="34">
        <v>0</v>
      </c>
      <c r="H8" s="34">
        <v>35</v>
      </c>
      <c r="I8" s="34">
        <v>0</v>
      </c>
      <c r="J8" s="34">
        <v>42730</v>
      </c>
      <c r="K8" s="57">
        <v>1220.8571428571429</v>
      </c>
      <c r="L8" s="35">
        <v>2144950000</v>
      </c>
      <c r="M8" s="35">
        <v>336824540</v>
      </c>
      <c r="N8" s="67">
        <v>5.7892294470425023</v>
      </c>
      <c r="O8" s="34">
        <v>42828</v>
      </c>
      <c r="P8" s="34">
        <v>0</v>
      </c>
    </row>
    <row r="9" spans="2:16">
      <c r="B9" s="75"/>
      <c r="C9" s="76"/>
      <c r="D9" s="75"/>
      <c r="E9" s="77" t="s">
        <v>12</v>
      </c>
      <c r="F9" s="42">
        <v>0</v>
      </c>
      <c r="G9" s="42">
        <v>4</v>
      </c>
      <c r="H9" s="42">
        <v>0</v>
      </c>
      <c r="I9" s="42">
        <v>4</v>
      </c>
      <c r="J9" s="42">
        <v>5000</v>
      </c>
      <c r="K9" s="58">
        <v>1250</v>
      </c>
      <c r="L9" s="43">
        <v>235000000</v>
      </c>
      <c r="M9" s="43">
        <v>33865430</v>
      </c>
      <c r="N9" s="78">
        <v>6.3083906991986707</v>
      </c>
      <c r="O9" s="42">
        <v>4962</v>
      </c>
      <c r="P9" s="42">
        <v>0</v>
      </c>
    </row>
    <row r="10" spans="2:16">
      <c r="B10" s="75"/>
      <c r="C10" s="76"/>
      <c r="D10" s="6" t="s">
        <v>801</v>
      </c>
      <c r="E10" s="6" t="s">
        <v>767</v>
      </c>
      <c r="F10" s="34">
        <v>5</v>
      </c>
      <c r="G10" s="34">
        <v>0</v>
      </c>
      <c r="H10" s="34">
        <v>6</v>
      </c>
      <c r="I10" s="34">
        <v>0</v>
      </c>
      <c r="J10" s="34">
        <v>15000</v>
      </c>
      <c r="K10" s="57">
        <v>2500</v>
      </c>
      <c r="L10" s="35">
        <v>791000000</v>
      </c>
      <c r="M10" s="35">
        <v>110115780</v>
      </c>
      <c r="N10" s="67">
        <v>6.530316627561545</v>
      </c>
      <c r="O10" s="34">
        <v>14972</v>
      </c>
      <c r="P10" s="34">
        <v>0</v>
      </c>
    </row>
    <row r="11" spans="2:16">
      <c r="B11" s="75"/>
      <c r="C11" s="74" t="s">
        <v>789</v>
      </c>
      <c r="D11" s="6" t="s">
        <v>802</v>
      </c>
      <c r="E11" s="6" t="s">
        <v>767</v>
      </c>
      <c r="F11" s="34">
        <v>5</v>
      </c>
      <c r="G11" s="34">
        <v>0</v>
      </c>
      <c r="H11" s="34">
        <v>5</v>
      </c>
      <c r="I11" s="34">
        <v>0</v>
      </c>
      <c r="J11" s="34">
        <v>3800</v>
      </c>
      <c r="K11" s="57">
        <v>760</v>
      </c>
      <c r="L11" s="35">
        <v>382200000</v>
      </c>
      <c r="M11" s="35">
        <v>86426000</v>
      </c>
      <c r="N11" s="67">
        <v>4.020254847552188</v>
      </c>
      <c r="O11" s="34">
        <v>3800</v>
      </c>
      <c r="P11" s="34">
        <v>0</v>
      </c>
    </row>
    <row r="12" spans="2:16">
      <c r="B12" s="75"/>
      <c r="C12" s="76"/>
      <c r="D12" s="6" t="s">
        <v>801</v>
      </c>
      <c r="E12" s="6" t="s">
        <v>767</v>
      </c>
      <c r="F12" s="34">
        <v>1</v>
      </c>
      <c r="G12" s="34">
        <v>0</v>
      </c>
      <c r="H12" s="34">
        <v>1</v>
      </c>
      <c r="I12" s="34">
        <v>0</v>
      </c>
      <c r="J12" s="34">
        <v>1000</v>
      </c>
      <c r="K12" s="57">
        <v>1000</v>
      </c>
      <c r="L12" s="35">
        <v>45000000</v>
      </c>
      <c r="M12" s="35">
        <v>9820000</v>
      </c>
      <c r="N12" s="67">
        <v>4.1658952045917426</v>
      </c>
      <c r="O12" s="34">
        <v>1000</v>
      </c>
      <c r="P12" s="34">
        <v>0</v>
      </c>
    </row>
    <row r="13" spans="2:16">
      <c r="B13" s="75"/>
      <c r="C13" s="74" t="s">
        <v>790</v>
      </c>
      <c r="D13" s="6" t="s">
        <v>802</v>
      </c>
      <c r="E13" s="6" t="s">
        <v>767</v>
      </c>
      <c r="F13" s="34">
        <v>31</v>
      </c>
      <c r="G13" s="34">
        <v>0</v>
      </c>
      <c r="H13" s="34">
        <v>42</v>
      </c>
      <c r="I13" s="34">
        <v>0</v>
      </c>
      <c r="J13" s="34">
        <v>48600</v>
      </c>
      <c r="K13" s="57">
        <v>1157.1428571428571</v>
      </c>
      <c r="L13" s="35">
        <v>6098800000</v>
      </c>
      <c r="M13" s="35">
        <v>1404577814</v>
      </c>
      <c r="N13" s="67">
        <v>3.9473524222728722</v>
      </c>
      <c r="O13" s="34">
        <v>49246</v>
      </c>
      <c r="P13" s="34">
        <v>0</v>
      </c>
    </row>
    <row r="14" spans="2:16">
      <c r="B14" s="75"/>
      <c r="C14" s="74" t="s">
        <v>24</v>
      </c>
      <c r="D14" s="6" t="s">
        <v>802</v>
      </c>
      <c r="E14" s="6" t="s">
        <v>767</v>
      </c>
      <c r="F14" s="34">
        <v>40</v>
      </c>
      <c r="G14" s="34">
        <v>0</v>
      </c>
      <c r="H14" s="34">
        <v>53</v>
      </c>
      <c r="I14" s="34">
        <v>0</v>
      </c>
      <c r="J14" s="34">
        <v>57000</v>
      </c>
      <c r="K14" s="57">
        <v>1075.4716981132076</v>
      </c>
      <c r="L14" s="35">
        <v>2457800000</v>
      </c>
      <c r="M14" s="35">
        <v>338604881</v>
      </c>
      <c r="N14" s="67">
        <v>6.5987342821665829</v>
      </c>
      <c r="O14" s="34">
        <v>56568</v>
      </c>
      <c r="P14" s="34">
        <v>0</v>
      </c>
    </row>
    <row r="15" spans="2:16">
      <c r="B15" s="75"/>
      <c r="C15" s="76"/>
      <c r="D15" s="75"/>
      <c r="E15" s="77" t="s">
        <v>12</v>
      </c>
      <c r="F15" s="42">
        <v>0</v>
      </c>
      <c r="G15" s="42">
        <v>3</v>
      </c>
      <c r="H15" s="42">
        <v>0</v>
      </c>
      <c r="I15" s="42">
        <v>4</v>
      </c>
      <c r="J15" s="42">
        <v>1700</v>
      </c>
      <c r="K15" s="58">
        <v>425</v>
      </c>
      <c r="L15" s="43">
        <v>68100000</v>
      </c>
      <c r="M15" s="43">
        <v>8901592.0000000019</v>
      </c>
      <c r="N15" s="78">
        <v>6.9548335746112482</v>
      </c>
      <c r="O15" s="42">
        <v>1700</v>
      </c>
      <c r="P15" s="42">
        <v>0</v>
      </c>
    </row>
    <row r="16" spans="2:16">
      <c r="B16" s="75"/>
      <c r="C16" s="76"/>
      <c r="D16" s="6" t="s">
        <v>801</v>
      </c>
      <c r="E16" s="6" t="s">
        <v>767</v>
      </c>
      <c r="F16" s="34">
        <v>5</v>
      </c>
      <c r="G16" s="34">
        <v>0</v>
      </c>
      <c r="H16" s="34">
        <v>5</v>
      </c>
      <c r="I16" s="34">
        <v>0</v>
      </c>
      <c r="J16" s="34">
        <v>12500</v>
      </c>
      <c r="K16" s="57">
        <v>2500</v>
      </c>
      <c r="L16" s="35">
        <v>561500000</v>
      </c>
      <c r="M16" s="35">
        <v>76003238</v>
      </c>
      <c r="N16" s="67">
        <v>6.716221030669054</v>
      </c>
      <c r="O16" s="34">
        <v>12498</v>
      </c>
      <c r="P16" s="34">
        <v>0</v>
      </c>
    </row>
    <row r="17" spans="2:16">
      <c r="B17" s="75"/>
      <c r="C17" s="74" t="s">
        <v>807</v>
      </c>
      <c r="D17" s="6" t="s">
        <v>802</v>
      </c>
      <c r="E17" s="6" t="s">
        <v>767</v>
      </c>
      <c r="F17" s="34">
        <v>3</v>
      </c>
      <c r="G17" s="34">
        <v>0</v>
      </c>
      <c r="H17" s="34">
        <v>3</v>
      </c>
      <c r="I17" s="34">
        <v>0</v>
      </c>
      <c r="J17" s="34">
        <v>2400</v>
      </c>
      <c r="K17" s="57">
        <v>800</v>
      </c>
      <c r="L17" s="35">
        <v>93600000</v>
      </c>
      <c r="M17" s="35">
        <v>14322000</v>
      </c>
      <c r="N17" s="67">
        <v>5.9412728034428905</v>
      </c>
      <c r="O17" s="34">
        <v>2395</v>
      </c>
      <c r="P17" s="34">
        <v>0</v>
      </c>
    </row>
    <row r="18" spans="2:16">
      <c r="B18" s="75"/>
      <c r="C18" s="74" t="s">
        <v>26</v>
      </c>
      <c r="D18" s="6" t="s">
        <v>802</v>
      </c>
      <c r="E18" s="6" t="s">
        <v>767</v>
      </c>
      <c r="F18" s="34">
        <v>9</v>
      </c>
      <c r="G18" s="34">
        <v>0</v>
      </c>
      <c r="H18" s="34">
        <v>14</v>
      </c>
      <c r="I18" s="34">
        <v>0</v>
      </c>
      <c r="J18" s="34">
        <v>11400</v>
      </c>
      <c r="K18" s="57">
        <v>814.28571428571433</v>
      </c>
      <c r="L18" s="35">
        <v>837800000</v>
      </c>
      <c r="M18" s="35">
        <v>146642468</v>
      </c>
      <c r="N18" s="67">
        <v>5.1938321416982944</v>
      </c>
      <c r="O18" s="34">
        <v>11368</v>
      </c>
      <c r="P18" s="34">
        <v>0</v>
      </c>
    </row>
    <row r="19" spans="2:16">
      <c r="B19" s="75"/>
      <c r="C19" s="76"/>
      <c r="D19" s="75"/>
      <c r="E19" s="77" t="s">
        <v>12</v>
      </c>
      <c r="F19" s="42">
        <v>0</v>
      </c>
      <c r="G19" s="42">
        <v>1</v>
      </c>
      <c r="H19" s="42">
        <v>0</v>
      </c>
      <c r="I19" s="42">
        <v>3</v>
      </c>
      <c r="J19" s="42">
        <v>2100</v>
      </c>
      <c r="K19" s="58">
        <v>700</v>
      </c>
      <c r="L19" s="43">
        <v>165900000</v>
      </c>
      <c r="M19" s="43">
        <v>24360063.000000004</v>
      </c>
      <c r="N19" s="78">
        <v>6.1912065587918139</v>
      </c>
      <c r="O19" s="42">
        <v>2108</v>
      </c>
      <c r="P19" s="42">
        <v>0</v>
      </c>
    </row>
    <row r="20" spans="2:16">
      <c r="B20" s="75"/>
      <c r="C20" s="74" t="s">
        <v>27</v>
      </c>
      <c r="D20" s="6" t="s">
        <v>802</v>
      </c>
      <c r="E20" s="6" t="s">
        <v>767</v>
      </c>
      <c r="F20" s="34">
        <v>9</v>
      </c>
      <c r="G20" s="34">
        <v>0</v>
      </c>
      <c r="H20" s="34">
        <v>9</v>
      </c>
      <c r="I20" s="34">
        <v>0</v>
      </c>
      <c r="J20" s="34">
        <v>10000</v>
      </c>
      <c r="K20" s="57">
        <v>1111.1111111111111</v>
      </c>
      <c r="L20" s="35">
        <v>535600000</v>
      </c>
      <c r="M20" s="35">
        <v>68710292</v>
      </c>
      <c r="N20" s="67">
        <v>7.0864069520922843</v>
      </c>
      <c r="O20" s="34">
        <v>9792</v>
      </c>
      <c r="P20" s="34">
        <v>0</v>
      </c>
    </row>
    <row r="21" spans="2:16">
      <c r="B21" s="75"/>
      <c r="C21" s="76"/>
      <c r="D21" s="6" t="s">
        <v>801</v>
      </c>
      <c r="E21" s="6" t="s">
        <v>767</v>
      </c>
      <c r="F21" s="34">
        <v>5</v>
      </c>
      <c r="G21" s="34">
        <v>0</v>
      </c>
      <c r="H21" s="34">
        <v>5</v>
      </c>
      <c r="I21" s="34">
        <v>0</v>
      </c>
      <c r="J21" s="34">
        <v>9100</v>
      </c>
      <c r="K21" s="57">
        <v>1820</v>
      </c>
      <c r="L21" s="35">
        <v>491300000</v>
      </c>
      <c r="M21" s="35">
        <v>42189678</v>
      </c>
      <c r="N21" s="67">
        <v>10.586389486934781</v>
      </c>
      <c r="O21" s="34">
        <v>9091</v>
      </c>
      <c r="P21" s="34">
        <v>0</v>
      </c>
    </row>
    <row r="22" spans="2:16">
      <c r="B22" s="75"/>
      <c r="C22" s="74" t="s">
        <v>23</v>
      </c>
      <c r="D22" s="6" t="s">
        <v>802</v>
      </c>
      <c r="E22" s="6" t="s">
        <v>767</v>
      </c>
      <c r="F22" s="34">
        <v>4</v>
      </c>
      <c r="G22" s="34">
        <v>0</v>
      </c>
      <c r="H22" s="34">
        <v>9</v>
      </c>
      <c r="I22" s="34">
        <v>0</v>
      </c>
      <c r="J22" s="34">
        <v>9400</v>
      </c>
      <c r="K22" s="57">
        <v>1044.4444444444443</v>
      </c>
      <c r="L22" s="35">
        <v>533000000</v>
      </c>
      <c r="M22" s="35">
        <v>71206272</v>
      </c>
      <c r="N22" s="67">
        <v>6.8048142521132764</v>
      </c>
      <c r="O22" s="34">
        <v>9331</v>
      </c>
      <c r="P22" s="34">
        <v>0</v>
      </c>
    </row>
    <row r="23" spans="2:16">
      <c r="B23" s="75"/>
      <c r="C23" s="76"/>
      <c r="D23" s="6" t="s">
        <v>801</v>
      </c>
      <c r="E23" s="6" t="s">
        <v>767</v>
      </c>
      <c r="F23" s="34">
        <v>3</v>
      </c>
      <c r="G23" s="34">
        <v>0</v>
      </c>
      <c r="H23" s="34">
        <v>3</v>
      </c>
      <c r="I23" s="34">
        <v>0</v>
      </c>
      <c r="J23" s="34">
        <v>5000</v>
      </c>
      <c r="K23" s="57">
        <v>1666.6666666666667</v>
      </c>
      <c r="L23" s="35">
        <v>295000000</v>
      </c>
      <c r="M23" s="35">
        <v>38388735</v>
      </c>
      <c r="N23" s="67">
        <v>6.9859509093440613</v>
      </c>
      <c r="O23" s="34">
        <v>4999</v>
      </c>
      <c r="P23" s="34">
        <v>0</v>
      </c>
    </row>
    <row r="24" spans="2:16">
      <c r="B24" s="75"/>
      <c r="C24" s="76"/>
      <c r="D24" s="75"/>
      <c r="E24" s="77" t="s">
        <v>12</v>
      </c>
      <c r="F24" s="42">
        <v>0</v>
      </c>
      <c r="G24" s="42">
        <v>1</v>
      </c>
      <c r="H24" s="42">
        <v>0</v>
      </c>
      <c r="I24" s="42">
        <v>1</v>
      </c>
      <c r="J24" s="42">
        <v>2000</v>
      </c>
      <c r="K24" s="58">
        <v>2000</v>
      </c>
      <c r="L24" s="43">
        <v>118000000</v>
      </c>
      <c r="M24" s="43">
        <v>13846140.000000002</v>
      </c>
      <c r="N24" s="78">
        <v>7.7474824949572403</v>
      </c>
      <c r="O24" s="42">
        <v>2000</v>
      </c>
      <c r="P24" s="42">
        <v>0</v>
      </c>
    </row>
    <row r="25" spans="2:16">
      <c r="B25" s="75"/>
      <c r="C25" s="74" t="s">
        <v>21</v>
      </c>
      <c r="D25" s="6" t="s">
        <v>802</v>
      </c>
      <c r="E25" s="6" t="s">
        <v>767</v>
      </c>
      <c r="F25" s="34">
        <v>10</v>
      </c>
      <c r="G25" s="34">
        <v>0</v>
      </c>
      <c r="H25" s="34">
        <v>15</v>
      </c>
      <c r="I25" s="34">
        <v>0</v>
      </c>
      <c r="J25" s="34">
        <v>19100</v>
      </c>
      <c r="K25" s="57">
        <v>1273.3333333333333</v>
      </c>
      <c r="L25" s="35">
        <v>947500000</v>
      </c>
      <c r="M25" s="35">
        <v>145850102</v>
      </c>
      <c r="N25" s="67">
        <v>5.9058144255780931</v>
      </c>
      <c r="O25" s="34">
        <v>19111</v>
      </c>
      <c r="P25" s="34">
        <v>0</v>
      </c>
    </row>
    <row r="26" spans="2:16">
      <c r="B26" s="75"/>
      <c r="C26" s="76"/>
      <c r="D26" s="6" t="s">
        <v>801</v>
      </c>
      <c r="E26" s="6" t="s">
        <v>767</v>
      </c>
      <c r="F26" s="34">
        <v>6</v>
      </c>
      <c r="G26" s="34">
        <v>0</v>
      </c>
      <c r="H26" s="34">
        <v>7</v>
      </c>
      <c r="I26" s="34">
        <v>0</v>
      </c>
      <c r="J26" s="34">
        <v>10500</v>
      </c>
      <c r="K26" s="57">
        <v>1500</v>
      </c>
      <c r="L26" s="35">
        <v>527500000</v>
      </c>
      <c r="M26" s="35">
        <v>69627740</v>
      </c>
      <c r="N26" s="67">
        <v>6.8872758837993961</v>
      </c>
      <c r="O26" s="34">
        <v>10512</v>
      </c>
      <c r="P26" s="34">
        <v>0</v>
      </c>
    </row>
    <row r="27" spans="2:16">
      <c r="B27" s="75"/>
      <c r="C27" s="74" t="s">
        <v>22</v>
      </c>
      <c r="D27" s="6" t="s">
        <v>802</v>
      </c>
      <c r="E27" s="6" t="s">
        <v>767</v>
      </c>
      <c r="F27" s="34">
        <v>7</v>
      </c>
      <c r="G27" s="34">
        <v>0</v>
      </c>
      <c r="H27" s="34">
        <v>8</v>
      </c>
      <c r="I27" s="34">
        <v>0</v>
      </c>
      <c r="J27" s="34">
        <v>8000</v>
      </c>
      <c r="K27" s="57">
        <v>1000</v>
      </c>
      <c r="L27" s="35">
        <v>428000000</v>
      </c>
      <c r="M27" s="35">
        <v>68141450</v>
      </c>
      <c r="N27" s="67">
        <v>5.7100473953945663</v>
      </c>
      <c r="O27" s="34">
        <v>7871</v>
      </c>
      <c r="P27" s="34">
        <v>0</v>
      </c>
    </row>
    <row r="28" spans="2:16">
      <c r="B28" s="75"/>
      <c r="C28" s="74" t="s">
        <v>28</v>
      </c>
      <c r="D28" s="6" t="s">
        <v>802</v>
      </c>
      <c r="E28" s="6" t="s">
        <v>767</v>
      </c>
      <c r="F28" s="34">
        <v>2</v>
      </c>
      <c r="G28" s="34">
        <v>0</v>
      </c>
      <c r="H28" s="34">
        <v>2</v>
      </c>
      <c r="I28" s="34">
        <v>0</v>
      </c>
      <c r="J28" s="34">
        <v>2000</v>
      </c>
      <c r="K28" s="57">
        <v>1000</v>
      </c>
      <c r="L28" s="35">
        <v>104000000</v>
      </c>
      <c r="M28" s="35">
        <v>15833020</v>
      </c>
      <c r="N28" s="67">
        <v>5.9714100370904948</v>
      </c>
      <c r="O28" s="34">
        <v>1992</v>
      </c>
      <c r="P28" s="34">
        <v>0</v>
      </c>
    </row>
    <row r="29" spans="2:16">
      <c r="B29" s="75"/>
      <c r="C29" s="76"/>
      <c r="D29" s="6" t="s">
        <v>801</v>
      </c>
      <c r="E29" s="6" t="s">
        <v>767</v>
      </c>
      <c r="F29" s="34">
        <v>2</v>
      </c>
      <c r="G29" s="34">
        <v>0</v>
      </c>
      <c r="H29" s="34">
        <v>2</v>
      </c>
      <c r="I29" s="34">
        <v>0</v>
      </c>
      <c r="J29" s="34">
        <v>2000</v>
      </c>
      <c r="K29" s="57">
        <v>1000</v>
      </c>
      <c r="L29" s="35">
        <v>108000000</v>
      </c>
      <c r="M29" s="35">
        <v>13387180.000000004</v>
      </c>
      <c r="N29" s="67">
        <v>7.334017932217102</v>
      </c>
      <c r="O29" s="34">
        <v>1891</v>
      </c>
      <c r="P29" s="34">
        <v>0</v>
      </c>
    </row>
    <row r="30" spans="2:16">
      <c r="B30" s="75"/>
      <c r="C30" s="74" t="s">
        <v>25</v>
      </c>
      <c r="D30" s="6" t="s">
        <v>802</v>
      </c>
      <c r="E30" s="6" t="s">
        <v>767</v>
      </c>
      <c r="F30" s="34">
        <v>12</v>
      </c>
      <c r="G30" s="34">
        <v>0</v>
      </c>
      <c r="H30" s="34">
        <v>12</v>
      </c>
      <c r="I30" s="34">
        <v>0</v>
      </c>
      <c r="J30" s="34">
        <v>10200</v>
      </c>
      <c r="K30" s="57">
        <v>850</v>
      </c>
      <c r="L30" s="35">
        <v>602600000</v>
      </c>
      <c r="M30" s="35">
        <v>94766000</v>
      </c>
      <c r="N30" s="67">
        <v>5.7807460673467457</v>
      </c>
      <c r="O30" s="34">
        <v>10184</v>
      </c>
      <c r="P30" s="34">
        <v>0</v>
      </c>
    </row>
    <row r="31" spans="2:16">
      <c r="B31" s="75"/>
      <c r="C31" s="76"/>
      <c r="D31" s="6" t="s">
        <v>801</v>
      </c>
      <c r="E31" s="6" t="s">
        <v>767</v>
      </c>
      <c r="F31" s="34">
        <v>3</v>
      </c>
      <c r="G31" s="34">
        <v>0</v>
      </c>
      <c r="H31" s="34">
        <v>3</v>
      </c>
      <c r="I31" s="34">
        <v>0</v>
      </c>
      <c r="J31" s="34">
        <v>4000</v>
      </c>
      <c r="K31" s="57">
        <v>1333.3333333333333</v>
      </c>
      <c r="L31" s="35">
        <v>226000000</v>
      </c>
      <c r="M31" s="35">
        <v>39526080</v>
      </c>
      <c r="N31" s="67">
        <v>5.1979489353496593</v>
      </c>
      <c r="O31" s="34">
        <v>3961</v>
      </c>
      <c r="P31" s="34">
        <v>0</v>
      </c>
    </row>
    <row r="32" spans="2:16">
      <c r="B32" s="75"/>
      <c r="C32" s="74" t="s">
        <v>30</v>
      </c>
      <c r="D32" s="6" t="s">
        <v>802</v>
      </c>
      <c r="E32" s="6" t="s">
        <v>767</v>
      </c>
      <c r="F32" s="34">
        <v>12</v>
      </c>
      <c r="G32" s="34">
        <v>0</v>
      </c>
      <c r="H32" s="34">
        <v>13</v>
      </c>
      <c r="I32" s="34">
        <v>0</v>
      </c>
      <c r="J32" s="34">
        <v>15100</v>
      </c>
      <c r="K32" s="57">
        <v>1161.5384615384614</v>
      </c>
      <c r="L32" s="35">
        <v>738900000</v>
      </c>
      <c r="M32" s="35">
        <v>122478171</v>
      </c>
      <c r="N32" s="67">
        <v>5.4844652499527662</v>
      </c>
      <c r="O32" s="34">
        <v>14963</v>
      </c>
      <c r="P32" s="34">
        <v>0</v>
      </c>
    </row>
    <row r="33" spans="2:16">
      <c r="B33" s="75"/>
      <c r="C33" s="76"/>
      <c r="D33" s="6" t="s">
        <v>801</v>
      </c>
      <c r="E33" s="6" t="s">
        <v>767</v>
      </c>
      <c r="F33" s="34">
        <v>3</v>
      </c>
      <c r="G33" s="34">
        <v>0</v>
      </c>
      <c r="H33" s="34">
        <v>4</v>
      </c>
      <c r="I33" s="34">
        <v>0</v>
      </c>
      <c r="J33" s="34">
        <v>6000</v>
      </c>
      <c r="K33" s="57">
        <v>1500</v>
      </c>
      <c r="L33" s="35">
        <v>330000000</v>
      </c>
      <c r="M33" s="35">
        <v>56836785</v>
      </c>
      <c r="N33" s="67">
        <v>5.2782718093572667</v>
      </c>
      <c r="O33" s="34">
        <v>5981</v>
      </c>
      <c r="P33" s="34">
        <v>0</v>
      </c>
    </row>
    <row r="34" spans="2:16">
      <c r="B34" s="75"/>
      <c r="C34" s="6" t="s">
        <v>808</v>
      </c>
      <c r="D34" s="6" t="s">
        <v>802</v>
      </c>
      <c r="E34" s="6" t="s">
        <v>767</v>
      </c>
      <c r="F34" s="34">
        <v>8</v>
      </c>
      <c r="G34" s="34">
        <v>0</v>
      </c>
      <c r="H34" s="34">
        <v>8</v>
      </c>
      <c r="I34" s="34">
        <v>0</v>
      </c>
      <c r="J34" s="34">
        <v>144</v>
      </c>
      <c r="K34" s="57">
        <v>18</v>
      </c>
      <c r="L34" s="35">
        <v>6024000</v>
      </c>
      <c r="M34" s="35">
        <v>2464363.6363636362</v>
      </c>
      <c r="N34" s="67">
        <v>2.2222222222222223</v>
      </c>
      <c r="O34" s="34">
        <v>144</v>
      </c>
      <c r="P34" s="34">
        <v>0</v>
      </c>
    </row>
    <row r="35" spans="2:16">
      <c r="B35" s="75"/>
      <c r="C35" s="6" t="s">
        <v>797</v>
      </c>
      <c r="D35" s="6" t="s">
        <v>802</v>
      </c>
      <c r="E35" s="6" t="s">
        <v>767</v>
      </c>
      <c r="F35" s="34">
        <v>3</v>
      </c>
      <c r="G35" s="34">
        <v>0</v>
      </c>
      <c r="H35" s="34">
        <v>3</v>
      </c>
      <c r="I35" s="34">
        <v>0</v>
      </c>
      <c r="J35" s="34">
        <v>2400</v>
      </c>
      <c r="K35" s="57">
        <v>800</v>
      </c>
      <c r="L35" s="35">
        <v>108000000</v>
      </c>
      <c r="M35" s="35">
        <v>21866272</v>
      </c>
      <c r="N35" s="67">
        <v>4.4901032138362762</v>
      </c>
      <c r="O35" s="34">
        <v>2344</v>
      </c>
      <c r="P35" s="34">
        <v>0</v>
      </c>
    </row>
    <row r="36" spans="2:16">
      <c r="B36" s="75"/>
      <c r="C36" s="6" t="s">
        <v>798</v>
      </c>
      <c r="D36" s="6" t="s">
        <v>802</v>
      </c>
      <c r="E36" s="6" t="s">
        <v>767</v>
      </c>
      <c r="F36" s="34">
        <v>4</v>
      </c>
      <c r="G36" s="34">
        <v>0</v>
      </c>
      <c r="H36" s="34">
        <v>4</v>
      </c>
      <c r="I36" s="34">
        <v>0</v>
      </c>
      <c r="J36" s="34">
        <v>3200</v>
      </c>
      <c r="K36" s="57">
        <v>800</v>
      </c>
      <c r="L36" s="35">
        <v>118400000</v>
      </c>
      <c r="M36" s="35">
        <v>16809097.600000001</v>
      </c>
      <c r="N36" s="67">
        <v>6.4034587815329012</v>
      </c>
      <c r="O36" s="34">
        <v>3197</v>
      </c>
      <c r="P36" s="34">
        <v>0</v>
      </c>
    </row>
    <row r="37" spans="2:16">
      <c r="B37" s="75"/>
      <c r="C37" s="6" t="s">
        <v>799</v>
      </c>
      <c r="D37" s="6" t="s">
        <v>802</v>
      </c>
      <c r="E37" s="6" t="s">
        <v>767</v>
      </c>
      <c r="F37" s="34">
        <v>1</v>
      </c>
      <c r="G37" s="34">
        <v>0</v>
      </c>
      <c r="H37" s="34">
        <v>1</v>
      </c>
      <c r="I37" s="34">
        <v>0</v>
      </c>
      <c r="J37" s="34">
        <v>600</v>
      </c>
      <c r="K37" s="57">
        <v>600</v>
      </c>
      <c r="L37" s="35">
        <v>89400000</v>
      </c>
      <c r="M37" s="35">
        <v>23160000</v>
      </c>
      <c r="N37" s="67">
        <v>3.5091851154027314</v>
      </c>
      <c r="O37" s="34">
        <v>600</v>
      </c>
      <c r="P37" s="34">
        <v>0</v>
      </c>
    </row>
    <row r="38" spans="2:16">
      <c r="B38" s="75"/>
      <c r="C38" s="75"/>
      <c r="D38" s="75"/>
      <c r="E38" s="77" t="s">
        <v>12</v>
      </c>
      <c r="F38" s="42">
        <v>0</v>
      </c>
      <c r="G38" s="42">
        <v>1</v>
      </c>
      <c r="H38" s="42">
        <v>0</v>
      </c>
      <c r="I38" s="42">
        <v>1</v>
      </c>
      <c r="J38" s="42">
        <v>900</v>
      </c>
      <c r="K38" s="58">
        <v>900</v>
      </c>
      <c r="L38" s="43">
        <v>134100000</v>
      </c>
      <c r="M38" s="43">
        <v>31266000</v>
      </c>
      <c r="N38" s="78">
        <v>3.8990945726697022</v>
      </c>
      <c r="O38" s="42">
        <v>900</v>
      </c>
      <c r="P38" s="42">
        <v>0</v>
      </c>
    </row>
    <row r="39" spans="2:16">
      <c r="B39" s="75"/>
      <c r="C39" s="75"/>
      <c r="D39" s="6" t="s">
        <v>801</v>
      </c>
      <c r="E39" s="6" t="s">
        <v>767</v>
      </c>
      <c r="F39" s="34">
        <v>1</v>
      </c>
      <c r="G39" s="34">
        <v>0</v>
      </c>
      <c r="H39" s="34">
        <v>1</v>
      </c>
      <c r="I39" s="34">
        <v>0</v>
      </c>
      <c r="J39" s="34">
        <v>800</v>
      </c>
      <c r="K39" s="57">
        <v>800</v>
      </c>
      <c r="L39" s="35">
        <v>100000000</v>
      </c>
      <c r="M39" s="35">
        <v>22400000</v>
      </c>
      <c r="N39" s="67">
        <v>4.0584415584415581</v>
      </c>
      <c r="O39" s="34">
        <v>800</v>
      </c>
      <c r="P39" s="34">
        <v>0</v>
      </c>
    </row>
    <row r="40" spans="2:16">
      <c r="B40" s="75"/>
      <c r="C40" s="75"/>
      <c r="D40" s="75"/>
      <c r="E40" s="77" t="s">
        <v>12</v>
      </c>
      <c r="F40" s="42">
        <v>0</v>
      </c>
      <c r="G40" s="42">
        <v>1</v>
      </c>
      <c r="H40" s="42">
        <v>0</v>
      </c>
      <c r="I40" s="42">
        <v>1</v>
      </c>
      <c r="J40" s="42">
        <v>300</v>
      </c>
      <c r="K40" s="58">
        <v>300</v>
      </c>
      <c r="L40" s="43">
        <v>37500000</v>
      </c>
      <c r="M40" s="43">
        <v>7560000</v>
      </c>
      <c r="N40" s="78">
        <v>4.5093795093795093</v>
      </c>
      <c r="O40" s="42">
        <v>300</v>
      </c>
      <c r="P40" s="42">
        <v>0</v>
      </c>
    </row>
    <row r="41" spans="2:16">
      <c r="B41" s="75"/>
      <c r="C41" s="6" t="s">
        <v>811</v>
      </c>
      <c r="D41" s="6" t="s">
        <v>802</v>
      </c>
      <c r="E41" s="6" t="s">
        <v>767</v>
      </c>
      <c r="F41" s="34">
        <v>44</v>
      </c>
      <c r="G41" s="34">
        <v>0</v>
      </c>
      <c r="H41" s="34">
        <v>52</v>
      </c>
      <c r="I41" s="34">
        <v>0</v>
      </c>
      <c r="J41" s="34">
        <v>60150</v>
      </c>
      <c r="K41" s="57">
        <v>1156.7307692307693</v>
      </c>
      <c r="L41" s="35">
        <v>2814850000</v>
      </c>
      <c r="M41" s="35">
        <v>379908471.5</v>
      </c>
      <c r="N41" s="67">
        <v>6.7357133031305549</v>
      </c>
      <c r="O41" s="34">
        <v>60079</v>
      </c>
      <c r="P41" s="34">
        <v>0</v>
      </c>
    </row>
    <row r="42" spans="2:16">
      <c r="B42" s="75"/>
      <c r="C42" s="75"/>
      <c r="D42" s="75"/>
      <c r="E42" s="77" t="s">
        <v>12</v>
      </c>
      <c r="F42" s="42">
        <v>0</v>
      </c>
      <c r="G42" s="42">
        <v>1</v>
      </c>
      <c r="H42" s="42">
        <v>0</v>
      </c>
      <c r="I42" s="42">
        <v>1</v>
      </c>
      <c r="J42" s="42">
        <v>2000</v>
      </c>
      <c r="K42" s="58">
        <v>2000</v>
      </c>
      <c r="L42" s="43">
        <v>98000000</v>
      </c>
      <c r="M42" s="43">
        <v>9898920</v>
      </c>
      <c r="N42" s="78">
        <v>9.0000635514691592</v>
      </c>
      <c r="O42" s="42">
        <v>1811</v>
      </c>
      <c r="P42" s="42">
        <v>0</v>
      </c>
    </row>
    <row r="43" spans="2:16">
      <c r="B43" s="75"/>
      <c r="C43" s="75"/>
      <c r="D43" s="6" t="s">
        <v>801</v>
      </c>
      <c r="E43" s="6" t="s">
        <v>767</v>
      </c>
      <c r="F43" s="34">
        <v>26</v>
      </c>
      <c r="G43" s="34">
        <v>0</v>
      </c>
      <c r="H43" s="34">
        <v>28</v>
      </c>
      <c r="I43" s="34">
        <v>0</v>
      </c>
      <c r="J43" s="34">
        <v>49100</v>
      </c>
      <c r="K43" s="57">
        <v>1753.5714285714287</v>
      </c>
      <c r="L43" s="35">
        <v>2049700000</v>
      </c>
      <c r="M43" s="35">
        <v>254333232</v>
      </c>
      <c r="N43" s="67">
        <v>7.326465447360949</v>
      </c>
      <c r="O43" s="34">
        <v>49020</v>
      </c>
      <c r="P43" s="34">
        <v>0</v>
      </c>
    </row>
    <row r="44" spans="2:16">
      <c r="B44" s="75"/>
      <c r="C44" s="75"/>
      <c r="D44" s="75"/>
      <c r="E44" s="77" t="s">
        <v>12</v>
      </c>
      <c r="F44" s="42">
        <v>0</v>
      </c>
      <c r="G44" s="42">
        <v>3</v>
      </c>
      <c r="H44" s="42">
        <v>0</v>
      </c>
      <c r="I44" s="42">
        <v>3</v>
      </c>
      <c r="J44" s="42">
        <v>2800</v>
      </c>
      <c r="K44" s="58">
        <v>933.33333333333337</v>
      </c>
      <c r="L44" s="43">
        <v>106000000</v>
      </c>
      <c r="M44" s="43">
        <v>10236396.800000001</v>
      </c>
      <c r="N44" s="78">
        <v>9.4138238529046028</v>
      </c>
      <c r="O44" s="42">
        <v>2798</v>
      </c>
      <c r="P44" s="42">
        <v>0</v>
      </c>
    </row>
    <row r="45" spans="2:16">
      <c r="B45" s="75"/>
      <c r="C45" s="6" t="s">
        <v>1362</v>
      </c>
      <c r="D45" s="6" t="s">
        <v>802</v>
      </c>
      <c r="E45" s="6" t="s">
        <v>767</v>
      </c>
      <c r="F45" s="34">
        <v>17</v>
      </c>
      <c r="G45" s="34">
        <v>0</v>
      </c>
      <c r="H45" s="34">
        <v>17</v>
      </c>
      <c r="I45" s="34">
        <v>0</v>
      </c>
      <c r="J45" s="34">
        <v>18800</v>
      </c>
      <c r="K45" s="57">
        <v>1105.8823529411766</v>
      </c>
      <c r="L45" s="35">
        <v>846000000</v>
      </c>
      <c r="M45" s="35">
        <v>115901840</v>
      </c>
      <c r="N45" s="67">
        <v>6.635709226798375</v>
      </c>
      <c r="O45" s="34">
        <v>18501</v>
      </c>
      <c r="P45" s="34">
        <v>0</v>
      </c>
    </row>
    <row r="46" spans="2:16">
      <c r="B46" s="75"/>
      <c r="C46" s="75"/>
      <c r="D46" s="75"/>
      <c r="E46" s="77" t="s">
        <v>12</v>
      </c>
      <c r="F46" s="42">
        <v>0</v>
      </c>
      <c r="G46" s="42">
        <v>5</v>
      </c>
      <c r="H46" s="42">
        <v>0</v>
      </c>
      <c r="I46" s="42">
        <v>5</v>
      </c>
      <c r="J46" s="42">
        <v>7400</v>
      </c>
      <c r="K46" s="58">
        <v>1480</v>
      </c>
      <c r="L46" s="43">
        <v>333000000</v>
      </c>
      <c r="M46" s="43">
        <v>42096116</v>
      </c>
      <c r="N46" s="78">
        <v>7.1913350088467238</v>
      </c>
      <c r="O46" s="42">
        <v>7412</v>
      </c>
      <c r="P46" s="42">
        <v>0</v>
      </c>
    </row>
    <row r="47" spans="2:16">
      <c r="B47" s="75"/>
      <c r="C47" s="6" t="s">
        <v>1363</v>
      </c>
      <c r="D47" s="6" t="s">
        <v>802</v>
      </c>
      <c r="E47" s="6" t="s">
        <v>767</v>
      </c>
      <c r="F47" s="34">
        <v>17</v>
      </c>
      <c r="G47" s="34">
        <v>0</v>
      </c>
      <c r="H47" s="34">
        <v>22</v>
      </c>
      <c r="I47" s="34">
        <v>0</v>
      </c>
      <c r="J47" s="34">
        <v>24800</v>
      </c>
      <c r="K47" s="57">
        <v>1127.2727272727273</v>
      </c>
      <c r="L47" s="35">
        <v>1220400000</v>
      </c>
      <c r="M47" s="35">
        <v>185251988</v>
      </c>
      <c r="N47" s="67">
        <v>5.9888941405289824</v>
      </c>
      <c r="O47" s="34">
        <v>24213</v>
      </c>
      <c r="P47" s="34">
        <v>0</v>
      </c>
    </row>
    <row r="48" spans="2:16">
      <c r="B48" s="75"/>
      <c r="C48" s="6" t="s">
        <v>1364</v>
      </c>
      <c r="D48" s="6" t="s">
        <v>802</v>
      </c>
      <c r="E48" s="6" t="s">
        <v>767</v>
      </c>
      <c r="F48" s="34">
        <v>11</v>
      </c>
      <c r="G48" s="34">
        <v>0</v>
      </c>
      <c r="H48" s="34">
        <v>12</v>
      </c>
      <c r="I48" s="34">
        <v>0</v>
      </c>
      <c r="J48" s="34">
        <v>12400</v>
      </c>
      <c r="K48" s="57">
        <v>1033.3333333333333</v>
      </c>
      <c r="L48" s="35">
        <v>586800000</v>
      </c>
      <c r="M48" s="35">
        <v>120898456</v>
      </c>
      <c r="N48" s="67">
        <v>4.412418182201975</v>
      </c>
      <c r="O48" s="34">
        <v>12398</v>
      </c>
      <c r="P48" s="34">
        <v>0</v>
      </c>
    </row>
    <row r="49" spans="2:16">
      <c r="B49" s="75"/>
      <c r="C49" s="75"/>
      <c r="D49" s="75"/>
      <c r="E49" s="77" t="s">
        <v>12</v>
      </c>
      <c r="F49" s="42">
        <v>0</v>
      </c>
      <c r="G49" s="42">
        <v>4</v>
      </c>
      <c r="H49" s="42">
        <v>0</v>
      </c>
      <c r="I49" s="42">
        <v>4</v>
      </c>
      <c r="J49" s="42">
        <v>5200</v>
      </c>
      <c r="K49" s="58">
        <v>1300</v>
      </c>
      <c r="L49" s="43">
        <v>235600000</v>
      </c>
      <c r="M49" s="43">
        <v>37303688</v>
      </c>
      <c r="N49" s="78">
        <v>5.7415722054564196</v>
      </c>
      <c r="O49" s="42">
        <v>5135</v>
      </c>
      <c r="P49" s="42">
        <v>0</v>
      </c>
    </row>
    <row r="50" spans="2:16">
      <c r="B50" s="75"/>
      <c r="C50" s="75"/>
      <c r="D50" s="6" t="s">
        <v>801</v>
      </c>
      <c r="E50" s="6" t="s">
        <v>767</v>
      </c>
      <c r="F50" s="34">
        <v>4</v>
      </c>
      <c r="G50" s="34">
        <v>0</v>
      </c>
      <c r="H50" s="34">
        <v>4</v>
      </c>
      <c r="I50" s="34">
        <v>0</v>
      </c>
      <c r="J50" s="34">
        <v>5600</v>
      </c>
      <c r="K50" s="57">
        <v>1400</v>
      </c>
      <c r="L50" s="35">
        <v>281200000</v>
      </c>
      <c r="M50" s="35">
        <v>26765980</v>
      </c>
      <c r="N50" s="67">
        <v>9.5507940914684841</v>
      </c>
      <c r="O50" s="34">
        <v>5600</v>
      </c>
      <c r="P50" s="34">
        <v>0</v>
      </c>
    </row>
    <row r="51" spans="2:16">
      <c r="B51" s="75"/>
      <c r="C51" s="6" t="s">
        <v>1365</v>
      </c>
      <c r="D51" s="6" t="s">
        <v>802</v>
      </c>
      <c r="E51" s="6" t="s">
        <v>767</v>
      </c>
      <c r="F51" s="34">
        <v>3</v>
      </c>
      <c r="G51" s="34">
        <v>0</v>
      </c>
      <c r="H51" s="34">
        <v>4</v>
      </c>
      <c r="I51" s="34">
        <v>0</v>
      </c>
      <c r="J51" s="34">
        <v>4400</v>
      </c>
      <c r="K51" s="57">
        <v>1100</v>
      </c>
      <c r="L51" s="35">
        <v>327600000</v>
      </c>
      <c r="M51" s="35">
        <v>67648150</v>
      </c>
      <c r="N51" s="67">
        <v>4.4024586306969491</v>
      </c>
      <c r="O51" s="34">
        <v>4499</v>
      </c>
      <c r="P51" s="34">
        <v>0</v>
      </c>
    </row>
    <row r="52" spans="2:16">
      <c r="B52" s="75"/>
      <c r="C52" s="6" t="s">
        <v>1366</v>
      </c>
      <c r="D52" s="6" t="s">
        <v>802</v>
      </c>
      <c r="E52" s="6" t="s">
        <v>767</v>
      </c>
      <c r="F52" s="34">
        <v>88.000000000000085</v>
      </c>
      <c r="G52" s="34">
        <v>0</v>
      </c>
      <c r="H52" s="34">
        <v>149</v>
      </c>
      <c r="I52" s="34">
        <v>0</v>
      </c>
      <c r="J52" s="34">
        <v>153190</v>
      </c>
      <c r="K52" s="57">
        <v>1028.1208053691275</v>
      </c>
      <c r="L52" s="35">
        <v>6487610000</v>
      </c>
      <c r="M52" s="35">
        <v>980126658.65454531</v>
      </c>
      <c r="N52" s="67">
        <v>6.0174133829023981</v>
      </c>
      <c r="O52" s="34">
        <v>152441</v>
      </c>
      <c r="P52" s="34">
        <v>0</v>
      </c>
    </row>
    <row r="53" spans="2:16">
      <c r="B53" s="75"/>
      <c r="C53" s="75"/>
      <c r="D53" s="75"/>
      <c r="E53" s="77" t="s">
        <v>12</v>
      </c>
      <c r="F53" s="42">
        <v>0</v>
      </c>
      <c r="G53" s="42">
        <v>5</v>
      </c>
      <c r="H53" s="42">
        <v>0</v>
      </c>
      <c r="I53" s="42">
        <v>5</v>
      </c>
      <c r="J53" s="42">
        <v>3300</v>
      </c>
      <c r="K53" s="58">
        <v>660</v>
      </c>
      <c r="L53" s="43">
        <v>154500000</v>
      </c>
      <c r="M53" s="43">
        <v>29225140</v>
      </c>
      <c r="N53" s="78">
        <v>4.8059494481308027</v>
      </c>
      <c r="O53" s="42">
        <v>3343</v>
      </c>
      <c r="P53" s="42">
        <v>0</v>
      </c>
    </row>
    <row r="54" spans="2:16">
      <c r="B54" s="75"/>
      <c r="C54" s="6" t="s">
        <v>1367</v>
      </c>
      <c r="D54" s="6" t="s">
        <v>802</v>
      </c>
      <c r="E54" s="6" t="s">
        <v>767</v>
      </c>
      <c r="F54" s="34">
        <v>5</v>
      </c>
      <c r="G54" s="34">
        <v>0</v>
      </c>
      <c r="H54" s="34">
        <v>6</v>
      </c>
      <c r="I54" s="34">
        <v>0</v>
      </c>
      <c r="J54" s="34">
        <v>7900</v>
      </c>
      <c r="K54" s="57">
        <v>1316.6666666666667</v>
      </c>
      <c r="L54" s="35">
        <v>1628600000</v>
      </c>
      <c r="M54" s="35">
        <v>387556550</v>
      </c>
      <c r="N54" s="67">
        <v>3.8202049598838013</v>
      </c>
      <c r="O54" s="34">
        <v>8492</v>
      </c>
      <c r="P54" s="34">
        <v>0</v>
      </c>
    </row>
    <row r="55" spans="2:16">
      <c r="B55" s="75"/>
      <c r="C55" s="6" t="s">
        <v>1368</v>
      </c>
      <c r="D55" s="6" t="s">
        <v>802</v>
      </c>
      <c r="E55" s="6" t="s">
        <v>767</v>
      </c>
      <c r="F55" s="34">
        <v>4</v>
      </c>
      <c r="G55" s="34">
        <v>0</v>
      </c>
      <c r="H55" s="34">
        <v>5</v>
      </c>
      <c r="I55" s="34">
        <v>0</v>
      </c>
      <c r="J55" s="34">
        <v>6000</v>
      </c>
      <c r="K55" s="57">
        <v>1200</v>
      </c>
      <c r="L55" s="35">
        <v>42600000</v>
      </c>
      <c r="M55" s="35">
        <v>6451740</v>
      </c>
      <c r="N55" s="67">
        <v>6.002609021329552</v>
      </c>
      <c r="O55" s="34">
        <v>5998</v>
      </c>
      <c r="P55" s="34">
        <v>0</v>
      </c>
    </row>
    <row r="56" spans="2:16">
      <c r="B56" s="75"/>
      <c r="C56" s="6" t="s">
        <v>1369</v>
      </c>
      <c r="D56" s="6" t="s">
        <v>802</v>
      </c>
      <c r="E56" s="6" t="s">
        <v>767</v>
      </c>
      <c r="F56" s="34">
        <v>4</v>
      </c>
      <c r="G56" s="34">
        <v>0</v>
      </c>
      <c r="H56" s="34">
        <v>4</v>
      </c>
      <c r="I56" s="34">
        <v>0</v>
      </c>
      <c r="J56" s="34">
        <v>3600</v>
      </c>
      <c r="K56" s="57">
        <v>900</v>
      </c>
      <c r="L56" s="35">
        <v>158000000</v>
      </c>
      <c r="M56" s="35">
        <v>35274876.000000015</v>
      </c>
      <c r="N56" s="67">
        <v>4.0719168973510662</v>
      </c>
      <c r="O56" s="34">
        <v>3593</v>
      </c>
      <c r="P56" s="34">
        <v>0</v>
      </c>
    </row>
    <row r="57" spans="2:16">
      <c r="B57" s="75"/>
      <c r="C57" s="75"/>
      <c r="D57" s="75"/>
      <c r="E57" s="77" t="s">
        <v>12</v>
      </c>
      <c r="F57" s="42">
        <v>0</v>
      </c>
      <c r="G57" s="42">
        <v>2</v>
      </c>
      <c r="H57" s="42">
        <v>0</v>
      </c>
      <c r="I57" s="42">
        <v>2</v>
      </c>
      <c r="J57" s="42">
        <v>2000</v>
      </c>
      <c r="K57" s="58">
        <v>1000</v>
      </c>
      <c r="L57" s="43">
        <v>110000000</v>
      </c>
      <c r="M57" s="43">
        <v>24738520.000000007</v>
      </c>
      <c r="N57" s="78">
        <v>4.0422790045645396</v>
      </c>
      <c r="O57" s="42">
        <v>2000</v>
      </c>
      <c r="P57" s="42">
        <v>0</v>
      </c>
    </row>
    <row r="58" spans="2:16">
      <c r="B58" s="75"/>
      <c r="C58" s="75"/>
      <c r="D58" s="6" t="s">
        <v>801</v>
      </c>
      <c r="E58" s="6" t="s">
        <v>767</v>
      </c>
      <c r="F58" s="34">
        <v>4</v>
      </c>
      <c r="G58" s="34">
        <v>0</v>
      </c>
      <c r="H58" s="34">
        <v>4</v>
      </c>
      <c r="I58" s="34">
        <v>0</v>
      </c>
      <c r="J58" s="34">
        <v>9200</v>
      </c>
      <c r="K58" s="57">
        <v>2300</v>
      </c>
      <c r="L58" s="35">
        <v>450800000</v>
      </c>
      <c r="M58" s="35">
        <v>93129600</v>
      </c>
      <c r="N58" s="67">
        <v>4.4005147860420504</v>
      </c>
      <c r="O58" s="34">
        <v>9167</v>
      </c>
      <c r="P58" s="34">
        <v>0</v>
      </c>
    </row>
    <row r="59" spans="2:16">
      <c r="B59" s="75"/>
      <c r="C59" s="6" t="s">
        <v>1479</v>
      </c>
      <c r="D59" s="6" t="s">
        <v>802</v>
      </c>
      <c r="E59" s="6" t="s">
        <v>767</v>
      </c>
      <c r="F59" s="34">
        <v>14</v>
      </c>
      <c r="G59" s="34">
        <v>0</v>
      </c>
      <c r="H59" s="34">
        <v>17</v>
      </c>
      <c r="I59" s="34">
        <v>0</v>
      </c>
      <c r="J59" s="34">
        <v>18900</v>
      </c>
      <c r="K59" s="57">
        <v>1111.7647058823529</v>
      </c>
      <c r="L59" s="35">
        <v>1813500000</v>
      </c>
      <c r="M59" s="35">
        <v>394063646</v>
      </c>
      <c r="N59" s="67">
        <v>4.183680429217679</v>
      </c>
      <c r="O59" s="34">
        <v>19222</v>
      </c>
      <c r="P59" s="34">
        <v>0</v>
      </c>
    </row>
    <row r="60" spans="2:16">
      <c r="B60" s="75"/>
      <c r="C60" s="6" t="s">
        <v>1480</v>
      </c>
      <c r="D60" s="6" t="s">
        <v>802</v>
      </c>
      <c r="E60" s="6" t="s">
        <v>767</v>
      </c>
      <c r="F60" s="34">
        <v>3</v>
      </c>
      <c r="G60" s="34">
        <v>0</v>
      </c>
      <c r="H60" s="34">
        <v>3</v>
      </c>
      <c r="I60" s="34">
        <v>0</v>
      </c>
      <c r="J60" s="34">
        <v>1800</v>
      </c>
      <c r="K60" s="57">
        <v>600</v>
      </c>
      <c r="L60" s="35">
        <v>284400000</v>
      </c>
      <c r="M60" s="35">
        <v>67536000</v>
      </c>
      <c r="N60" s="67">
        <v>3.8282612909478582</v>
      </c>
      <c r="O60" s="34">
        <v>1800</v>
      </c>
      <c r="P60" s="34">
        <v>0</v>
      </c>
    </row>
    <row r="61" spans="2:16">
      <c r="B61" s="75"/>
      <c r="C61" s="6" t="s">
        <v>1481</v>
      </c>
      <c r="D61" s="6" t="s">
        <v>802</v>
      </c>
      <c r="E61" s="6" t="s">
        <v>767</v>
      </c>
      <c r="F61" s="34">
        <v>2</v>
      </c>
      <c r="G61" s="34">
        <v>0</v>
      </c>
      <c r="H61" s="34">
        <v>2</v>
      </c>
      <c r="I61" s="34">
        <v>0</v>
      </c>
      <c r="J61" s="34">
        <v>1200</v>
      </c>
      <c r="K61" s="57">
        <v>600</v>
      </c>
      <c r="L61" s="35">
        <v>152400000</v>
      </c>
      <c r="M61" s="35">
        <v>35340000</v>
      </c>
      <c r="N61" s="67">
        <v>3.9203580799506095</v>
      </c>
      <c r="O61" s="34">
        <v>1200</v>
      </c>
      <c r="P61" s="34">
        <v>0</v>
      </c>
    </row>
    <row r="62" spans="2:16">
      <c r="B62" s="75"/>
      <c r="C62" s="6" t="s">
        <v>1609</v>
      </c>
      <c r="D62" s="6" t="s">
        <v>802</v>
      </c>
      <c r="E62" s="6" t="s">
        <v>767</v>
      </c>
      <c r="F62" s="34">
        <v>3</v>
      </c>
      <c r="G62" s="34">
        <v>0</v>
      </c>
      <c r="H62" s="34">
        <v>3</v>
      </c>
      <c r="I62" s="34">
        <v>0</v>
      </c>
      <c r="J62" s="34">
        <v>1500</v>
      </c>
      <c r="K62" s="57">
        <v>500</v>
      </c>
      <c r="L62" s="35">
        <v>193500000</v>
      </c>
      <c r="M62" s="35">
        <v>51280000</v>
      </c>
      <c r="N62" s="67">
        <v>3.4303644873067647</v>
      </c>
      <c r="O62" s="34">
        <v>1500</v>
      </c>
      <c r="P62" s="34">
        <v>0</v>
      </c>
    </row>
    <row r="63" spans="2:16">
      <c r="B63" s="75"/>
      <c r="C63" s="6" t="s">
        <v>1482</v>
      </c>
      <c r="D63" s="6" t="s">
        <v>802</v>
      </c>
      <c r="E63" s="6" t="s">
        <v>767</v>
      </c>
      <c r="F63" s="34">
        <v>1</v>
      </c>
      <c r="G63" s="34">
        <v>0</v>
      </c>
      <c r="H63" s="34">
        <v>1</v>
      </c>
      <c r="I63" s="34">
        <v>0</v>
      </c>
      <c r="J63" s="34">
        <v>1200</v>
      </c>
      <c r="K63" s="57">
        <v>1200</v>
      </c>
      <c r="L63" s="35">
        <v>63600000</v>
      </c>
      <c r="M63" s="35">
        <v>8232840.0000000019</v>
      </c>
      <c r="N63" s="67">
        <v>7.0228720366461399</v>
      </c>
      <c r="O63" s="34">
        <v>1200</v>
      </c>
      <c r="P63" s="34">
        <v>0</v>
      </c>
    </row>
    <row r="64" spans="2:16">
      <c r="B64" s="75"/>
      <c r="C64" s="6" t="s">
        <v>1610</v>
      </c>
      <c r="D64" s="6" t="s">
        <v>802</v>
      </c>
      <c r="E64" s="6" t="s">
        <v>767</v>
      </c>
      <c r="F64" s="34">
        <v>3</v>
      </c>
      <c r="G64" s="34">
        <v>0</v>
      </c>
      <c r="H64" s="34">
        <v>3</v>
      </c>
      <c r="I64" s="34">
        <v>0</v>
      </c>
      <c r="J64" s="34">
        <v>1200</v>
      </c>
      <c r="K64" s="57">
        <v>400</v>
      </c>
      <c r="L64" s="35">
        <v>153200000</v>
      </c>
      <c r="M64" s="35">
        <v>36824000</v>
      </c>
      <c r="N64" s="67">
        <v>3.782118381292833</v>
      </c>
      <c r="O64" s="34">
        <v>1200</v>
      </c>
      <c r="P64" s="34">
        <v>0</v>
      </c>
    </row>
    <row r="65" spans="2:16">
      <c r="B65" s="75"/>
      <c r="C65" s="6" t="s">
        <v>485</v>
      </c>
      <c r="D65" s="6" t="s">
        <v>802</v>
      </c>
      <c r="E65" s="6" t="s">
        <v>767</v>
      </c>
      <c r="F65" s="34">
        <v>15</v>
      </c>
      <c r="G65" s="34">
        <v>0</v>
      </c>
      <c r="H65" s="34">
        <v>15</v>
      </c>
      <c r="I65" s="34">
        <v>0</v>
      </c>
      <c r="J65" s="34">
        <v>4800</v>
      </c>
      <c r="K65" s="57">
        <v>320</v>
      </c>
      <c r="L65" s="35">
        <v>250800000</v>
      </c>
      <c r="M65" s="35">
        <v>74671527.272727266</v>
      </c>
      <c r="N65" s="67">
        <v>3.0533726619419741</v>
      </c>
      <c r="O65" s="34">
        <v>4813</v>
      </c>
      <c r="P65" s="34">
        <v>0</v>
      </c>
    </row>
    <row r="66" spans="2:16">
      <c r="B66" s="75"/>
      <c r="C66" s="75"/>
      <c r="D66" s="6" t="s">
        <v>801</v>
      </c>
      <c r="E66" s="6" t="s">
        <v>767</v>
      </c>
      <c r="F66" s="34">
        <v>1</v>
      </c>
      <c r="G66" s="34">
        <v>0</v>
      </c>
      <c r="H66" s="34">
        <v>2</v>
      </c>
      <c r="I66" s="34">
        <v>0</v>
      </c>
      <c r="J66" s="34">
        <v>3500</v>
      </c>
      <c r="K66" s="57">
        <v>1750</v>
      </c>
      <c r="L66" s="35">
        <v>206500000</v>
      </c>
      <c r="M66" s="35">
        <v>38500000</v>
      </c>
      <c r="N66" s="67">
        <v>4.8760330578512399</v>
      </c>
      <c r="O66" s="34">
        <v>3555</v>
      </c>
      <c r="P66" s="34">
        <v>0</v>
      </c>
    </row>
    <row r="67" spans="2:16">
      <c r="B67" s="75"/>
      <c r="C67" s="6" t="s">
        <v>1611</v>
      </c>
      <c r="D67" s="6" t="s">
        <v>801</v>
      </c>
      <c r="E67" s="6" t="s">
        <v>767</v>
      </c>
      <c r="F67" s="34">
        <v>2</v>
      </c>
      <c r="G67" s="34">
        <v>0</v>
      </c>
      <c r="H67" s="34">
        <v>2</v>
      </c>
      <c r="I67" s="34">
        <v>0</v>
      </c>
      <c r="J67" s="34">
        <v>1500</v>
      </c>
      <c r="K67" s="57">
        <v>750</v>
      </c>
      <c r="L67" s="35">
        <v>84500000</v>
      </c>
      <c r="M67" s="35">
        <v>8667008</v>
      </c>
      <c r="N67" s="67">
        <v>8.8632872864755416</v>
      </c>
      <c r="O67" s="34">
        <v>1498</v>
      </c>
      <c r="P67" s="34">
        <v>0</v>
      </c>
    </row>
    <row r="68" spans="2:16">
      <c r="B68" s="75"/>
      <c r="C68" s="6" t="s">
        <v>1616</v>
      </c>
      <c r="D68" s="6" t="s">
        <v>802</v>
      </c>
      <c r="E68" s="6" t="s">
        <v>767</v>
      </c>
      <c r="F68" s="34">
        <v>11</v>
      </c>
      <c r="G68" s="34">
        <v>0</v>
      </c>
      <c r="H68" s="34">
        <v>14</v>
      </c>
      <c r="I68" s="34">
        <v>0</v>
      </c>
      <c r="J68" s="34">
        <v>5200</v>
      </c>
      <c r="K68" s="57">
        <v>371.42857142857144</v>
      </c>
      <c r="L68" s="35">
        <v>289600000</v>
      </c>
      <c r="M68" s="35">
        <v>49583342</v>
      </c>
      <c r="N68" s="67">
        <v>5.3097011345610241</v>
      </c>
      <c r="O68" s="34">
        <v>5187</v>
      </c>
      <c r="P68" s="34">
        <v>0</v>
      </c>
    </row>
    <row r="69" spans="2:16">
      <c r="B69" s="75"/>
      <c r="C69" s="75"/>
      <c r="D69" s="75"/>
      <c r="E69" s="77" t="s">
        <v>12</v>
      </c>
      <c r="F69" s="42">
        <v>0</v>
      </c>
      <c r="G69" s="42">
        <v>1</v>
      </c>
      <c r="H69" s="42">
        <v>0</v>
      </c>
      <c r="I69" s="42">
        <v>1</v>
      </c>
      <c r="J69" s="42">
        <v>600</v>
      </c>
      <c r="K69" s="58">
        <v>600</v>
      </c>
      <c r="L69" s="43">
        <v>41400000</v>
      </c>
      <c r="M69" s="43">
        <v>6874548</v>
      </c>
      <c r="N69" s="78">
        <v>5.4747401045659485</v>
      </c>
      <c r="O69" s="42">
        <v>600</v>
      </c>
      <c r="P69" s="42">
        <v>0</v>
      </c>
    </row>
    <row r="70" spans="2:16">
      <c r="B70" s="79" t="s">
        <v>791</v>
      </c>
      <c r="C70" s="79"/>
      <c r="D70" s="79"/>
      <c r="E70" s="79"/>
      <c r="F70" s="36">
        <v>510.00000000000011</v>
      </c>
      <c r="G70" s="36">
        <v>32</v>
      </c>
      <c r="H70" s="36">
        <v>642</v>
      </c>
      <c r="I70" s="36">
        <v>35</v>
      </c>
      <c r="J70" s="36">
        <v>743214</v>
      </c>
      <c r="K70" s="59">
        <v>1097.8050221565732</v>
      </c>
      <c r="L70" s="37">
        <v>41925134000</v>
      </c>
      <c r="M70" s="37">
        <v>7155096418.4636354</v>
      </c>
      <c r="N70" s="68">
        <v>5.3267986834483612</v>
      </c>
      <c r="O70" s="36">
        <v>741684</v>
      </c>
      <c r="P70" s="36">
        <v>0</v>
      </c>
    </row>
    <row r="71" spans="2:16">
      <c r="B71" s="6" t="s">
        <v>15</v>
      </c>
      <c r="C71" s="6" t="s">
        <v>808</v>
      </c>
      <c r="D71" s="6" t="s">
        <v>802</v>
      </c>
      <c r="E71" s="6" t="s">
        <v>767</v>
      </c>
      <c r="F71" s="34">
        <v>37</v>
      </c>
      <c r="G71" s="34">
        <v>0</v>
      </c>
      <c r="H71" s="34">
        <v>38</v>
      </c>
      <c r="I71" s="34">
        <v>0</v>
      </c>
      <c r="J71" s="34">
        <v>4701</v>
      </c>
      <c r="K71" s="57">
        <v>123.71052631578948</v>
      </c>
      <c r="L71" s="35">
        <v>209045000</v>
      </c>
      <c r="M71" s="35">
        <v>85518409.090909094</v>
      </c>
      <c r="N71" s="67">
        <v>2.2222222222222219</v>
      </c>
      <c r="O71" s="34">
        <v>4700</v>
      </c>
      <c r="P71" s="34">
        <v>0</v>
      </c>
    </row>
    <row r="72" spans="2:16">
      <c r="B72" s="75"/>
      <c r="C72" s="75"/>
      <c r="D72" s="75"/>
      <c r="E72" s="77" t="s">
        <v>12</v>
      </c>
      <c r="F72" s="42">
        <v>0</v>
      </c>
      <c r="G72" s="42">
        <v>5</v>
      </c>
      <c r="H72" s="42">
        <v>0</v>
      </c>
      <c r="I72" s="42">
        <v>5</v>
      </c>
      <c r="J72" s="42">
        <v>640</v>
      </c>
      <c r="K72" s="58">
        <v>128</v>
      </c>
      <c r="L72" s="43">
        <v>25580000</v>
      </c>
      <c r="M72" s="43">
        <v>10464545.454545453</v>
      </c>
      <c r="N72" s="78">
        <v>2.2222222222222223</v>
      </c>
      <c r="O72" s="42">
        <v>640</v>
      </c>
      <c r="P72" s="42">
        <v>0</v>
      </c>
    </row>
    <row r="73" spans="2:16">
      <c r="B73" s="75"/>
      <c r="C73" s="6" t="s">
        <v>31</v>
      </c>
      <c r="D73" s="6" t="s">
        <v>802</v>
      </c>
      <c r="E73" s="6" t="s">
        <v>767</v>
      </c>
      <c r="F73" s="34">
        <v>9</v>
      </c>
      <c r="G73" s="34">
        <v>0</v>
      </c>
      <c r="H73" s="34">
        <v>12</v>
      </c>
      <c r="I73" s="34">
        <v>0</v>
      </c>
      <c r="J73" s="34">
        <v>3720</v>
      </c>
      <c r="K73" s="57">
        <v>310</v>
      </c>
      <c r="L73" s="35">
        <v>206904000</v>
      </c>
      <c r="M73" s="35">
        <v>45597264</v>
      </c>
      <c r="N73" s="67">
        <v>4.125127890448546</v>
      </c>
      <c r="O73" s="34">
        <v>3718</v>
      </c>
      <c r="P73" s="34">
        <v>0</v>
      </c>
    </row>
    <row r="74" spans="2:16">
      <c r="B74" s="75"/>
      <c r="C74" s="6" t="s">
        <v>32</v>
      </c>
      <c r="D74" s="6" t="s">
        <v>802</v>
      </c>
      <c r="E74" s="6" t="s">
        <v>767</v>
      </c>
      <c r="F74" s="34">
        <v>25.000000000000004</v>
      </c>
      <c r="G74" s="34">
        <v>0</v>
      </c>
      <c r="H74" s="34">
        <v>45</v>
      </c>
      <c r="I74" s="34">
        <v>0</v>
      </c>
      <c r="J74" s="34">
        <v>6650</v>
      </c>
      <c r="K74" s="57">
        <v>147.77777777777777</v>
      </c>
      <c r="L74" s="35">
        <v>344990000</v>
      </c>
      <c r="M74" s="35">
        <v>77110528.600000009</v>
      </c>
      <c r="N74" s="67">
        <v>4.0672431952083992</v>
      </c>
      <c r="O74" s="34">
        <v>6650</v>
      </c>
      <c r="P74" s="34">
        <v>0</v>
      </c>
    </row>
    <row r="75" spans="2:16">
      <c r="B75" s="75"/>
      <c r="C75" s="6" t="s">
        <v>1370</v>
      </c>
      <c r="D75" s="6" t="s">
        <v>802</v>
      </c>
      <c r="E75" s="6" t="s">
        <v>767</v>
      </c>
      <c r="F75" s="34">
        <v>19</v>
      </c>
      <c r="G75" s="34">
        <v>0</v>
      </c>
      <c r="H75" s="34">
        <v>22</v>
      </c>
      <c r="I75" s="34">
        <v>0</v>
      </c>
      <c r="J75" s="34">
        <v>17700</v>
      </c>
      <c r="K75" s="57">
        <v>804.5454545454545</v>
      </c>
      <c r="L75" s="35">
        <v>785796000</v>
      </c>
      <c r="M75" s="35">
        <v>214574005.79999992</v>
      </c>
      <c r="N75" s="67">
        <v>3.3292010247776256</v>
      </c>
      <c r="O75" s="34">
        <v>17688</v>
      </c>
      <c r="P75" s="34">
        <v>0</v>
      </c>
    </row>
    <row r="76" spans="2:16">
      <c r="B76" s="75"/>
      <c r="C76" s="6" t="s">
        <v>19</v>
      </c>
      <c r="D76" s="6" t="s">
        <v>802</v>
      </c>
      <c r="E76" s="6" t="s">
        <v>767</v>
      </c>
      <c r="F76" s="34">
        <v>10</v>
      </c>
      <c r="G76" s="34">
        <v>0</v>
      </c>
      <c r="H76" s="34">
        <v>14</v>
      </c>
      <c r="I76" s="34">
        <v>0</v>
      </c>
      <c r="J76" s="34">
        <v>2250</v>
      </c>
      <c r="K76" s="57">
        <v>160.71428571428572</v>
      </c>
      <c r="L76" s="35">
        <v>85300000</v>
      </c>
      <c r="M76" s="35">
        <v>29467272.727272723</v>
      </c>
      <c r="N76" s="67">
        <v>2.6315789473684212</v>
      </c>
      <c r="O76" s="34">
        <v>2250</v>
      </c>
      <c r="P76" s="34">
        <v>0</v>
      </c>
    </row>
    <row r="77" spans="2:16">
      <c r="B77" s="75"/>
      <c r="C77" s="6" t="s">
        <v>1371</v>
      </c>
      <c r="D77" s="6" t="s">
        <v>802</v>
      </c>
      <c r="E77" s="6" t="s">
        <v>767</v>
      </c>
      <c r="F77" s="34">
        <v>6</v>
      </c>
      <c r="G77" s="34">
        <v>0</v>
      </c>
      <c r="H77" s="34">
        <v>7</v>
      </c>
      <c r="I77" s="34">
        <v>0</v>
      </c>
      <c r="J77" s="34">
        <v>2304</v>
      </c>
      <c r="K77" s="57">
        <v>329.14285714285717</v>
      </c>
      <c r="L77" s="35">
        <v>112896000</v>
      </c>
      <c r="M77" s="35">
        <v>39769107.840000004</v>
      </c>
      <c r="N77" s="67">
        <v>2.5807148524840344</v>
      </c>
      <c r="O77" s="34">
        <v>995</v>
      </c>
      <c r="P77" s="34">
        <v>0</v>
      </c>
    </row>
    <row r="78" spans="2:16">
      <c r="B78" s="75"/>
      <c r="C78" s="6" t="s">
        <v>1953</v>
      </c>
      <c r="D78" s="6" t="s">
        <v>802</v>
      </c>
      <c r="E78" s="6" t="s">
        <v>767</v>
      </c>
      <c r="F78" s="34">
        <v>5</v>
      </c>
      <c r="G78" s="34">
        <v>0</v>
      </c>
      <c r="H78" s="34">
        <v>5</v>
      </c>
      <c r="I78" s="34">
        <v>0</v>
      </c>
      <c r="J78" s="34">
        <v>200</v>
      </c>
      <c r="K78" s="57">
        <v>40</v>
      </c>
      <c r="L78" s="35">
        <v>11800000</v>
      </c>
      <c r="M78" s="35">
        <v>4831272.7272727266</v>
      </c>
      <c r="N78" s="67">
        <v>2.2203823573686585</v>
      </c>
      <c r="O78" s="34">
        <v>200</v>
      </c>
      <c r="P78" s="34">
        <v>0</v>
      </c>
    </row>
    <row r="79" spans="2:16">
      <c r="B79" s="75"/>
      <c r="C79" s="75"/>
      <c r="D79" s="75"/>
      <c r="E79" s="77" t="s">
        <v>12</v>
      </c>
      <c r="F79" s="42">
        <v>0</v>
      </c>
      <c r="G79" s="42">
        <v>5</v>
      </c>
      <c r="H79" s="42">
        <v>0</v>
      </c>
      <c r="I79" s="42">
        <v>5</v>
      </c>
      <c r="J79" s="42">
        <v>25</v>
      </c>
      <c r="K79" s="58">
        <v>5</v>
      </c>
      <c r="L79" s="43">
        <v>1475000</v>
      </c>
      <c r="M79" s="43">
        <v>603909.09090909082</v>
      </c>
      <c r="N79" s="78">
        <v>2.2203823573686585</v>
      </c>
      <c r="O79" s="42">
        <v>25</v>
      </c>
      <c r="P79" s="42">
        <v>0</v>
      </c>
    </row>
    <row r="80" spans="2:16">
      <c r="B80" s="79" t="s">
        <v>796</v>
      </c>
      <c r="C80" s="79"/>
      <c r="D80" s="79"/>
      <c r="E80" s="79"/>
      <c r="F80" s="36">
        <v>111</v>
      </c>
      <c r="G80" s="36">
        <v>10</v>
      </c>
      <c r="H80" s="36">
        <v>143</v>
      </c>
      <c r="I80" s="36">
        <v>10</v>
      </c>
      <c r="J80" s="36">
        <v>38190</v>
      </c>
      <c r="K80" s="59">
        <v>249.60784313725489</v>
      </c>
      <c r="L80" s="37">
        <v>1783786000</v>
      </c>
      <c r="M80" s="37">
        <v>507936315.33090907</v>
      </c>
      <c r="N80" s="68">
        <v>3.1925727446898233</v>
      </c>
      <c r="O80" s="36">
        <v>36866</v>
      </c>
      <c r="P80" s="36">
        <v>0</v>
      </c>
    </row>
    <row r="81" spans="2:16">
      <c r="B81" s="80" t="s">
        <v>39</v>
      </c>
      <c r="C81" s="80"/>
      <c r="D81" s="80"/>
      <c r="E81" s="80"/>
      <c r="F81" s="38">
        <v>621.00000000000011</v>
      </c>
      <c r="G81" s="38">
        <v>42</v>
      </c>
      <c r="H81" s="38">
        <v>785</v>
      </c>
      <c r="I81" s="38">
        <v>45</v>
      </c>
      <c r="J81" s="38">
        <v>781404</v>
      </c>
      <c r="K81" s="60">
        <v>941.45060240963858</v>
      </c>
      <c r="L81" s="39">
        <v>43708920000</v>
      </c>
      <c r="M81" s="39">
        <v>7663032733.7945452</v>
      </c>
      <c r="N81" s="69">
        <v>5.1853336920963216</v>
      </c>
      <c r="O81" s="38">
        <v>778550</v>
      </c>
      <c r="P81" s="38">
        <v>0</v>
      </c>
    </row>
    <row r="82" spans="2:16">
      <c r="B82"/>
      <c r="C82"/>
      <c r="D82"/>
      <c r="E82"/>
      <c r="F82"/>
      <c r="G82"/>
      <c r="H82"/>
      <c r="I82"/>
      <c r="K82"/>
    </row>
    <row r="83" spans="2:16">
      <c r="B83"/>
      <c r="C83"/>
      <c r="D83"/>
      <c r="E83"/>
      <c r="F83"/>
      <c r="G83"/>
      <c r="H83"/>
      <c r="I83"/>
      <c r="K83"/>
    </row>
    <row r="84" spans="2:16">
      <c r="B84"/>
      <c r="C84"/>
      <c r="D84"/>
      <c r="E84"/>
      <c r="F84"/>
      <c r="G84"/>
      <c r="H84"/>
      <c r="I84"/>
      <c r="K84"/>
    </row>
    <row r="85" spans="2:16">
      <c r="B85"/>
      <c r="C85"/>
      <c r="D85"/>
      <c r="E85"/>
      <c r="F85"/>
      <c r="G85"/>
      <c r="H85"/>
      <c r="I85"/>
      <c r="K85"/>
    </row>
    <row r="86" spans="2:16">
      <c r="B86"/>
      <c r="C86"/>
      <c r="D86"/>
      <c r="E86"/>
      <c r="F86"/>
      <c r="G86"/>
      <c r="H86"/>
      <c r="I86"/>
      <c r="K86"/>
    </row>
    <row r="87" spans="2:16">
      <c r="B87"/>
      <c r="C87"/>
      <c r="D87"/>
      <c r="E87"/>
      <c r="F87"/>
      <c r="G87"/>
      <c r="H87"/>
      <c r="I87"/>
      <c r="K87"/>
    </row>
    <row r="88" spans="2:16">
      <c r="B88"/>
      <c r="C88"/>
      <c r="D88"/>
      <c r="E88"/>
      <c r="F88"/>
      <c r="G88"/>
      <c r="H88"/>
      <c r="I88"/>
      <c r="K88"/>
    </row>
    <row r="89" spans="2:16">
      <c r="B89"/>
      <c r="C89"/>
      <c r="D89"/>
      <c r="E89"/>
      <c r="F89"/>
      <c r="G89"/>
      <c r="H89"/>
      <c r="I89"/>
      <c r="K89"/>
    </row>
    <row r="90" spans="2:16">
      <c r="B90"/>
      <c r="C90"/>
      <c r="D90"/>
      <c r="E90"/>
      <c r="F90"/>
      <c r="G90"/>
      <c r="H90"/>
      <c r="I90"/>
      <c r="K90"/>
    </row>
    <row r="91" spans="2:16">
      <c r="B91"/>
      <c r="C91"/>
      <c r="D91"/>
      <c r="E91"/>
      <c r="F91"/>
      <c r="G91"/>
      <c r="H91"/>
      <c r="I91"/>
      <c r="K91"/>
    </row>
    <row r="92" spans="2:16">
      <c r="B92"/>
      <c r="C92"/>
      <c r="D92"/>
      <c r="E92"/>
      <c r="F92"/>
      <c r="G92"/>
      <c r="H92"/>
      <c r="I92"/>
      <c r="K92"/>
    </row>
    <row r="93" spans="2:16">
      <c r="B93"/>
      <c r="C93"/>
      <c r="D93"/>
      <c r="E93"/>
      <c r="F93"/>
      <c r="G93"/>
      <c r="H93"/>
      <c r="I93"/>
      <c r="K93"/>
    </row>
    <row r="94" spans="2:16">
      <c r="B94"/>
      <c r="C94"/>
      <c r="D94"/>
      <c r="E94"/>
      <c r="F94"/>
      <c r="G94"/>
      <c r="H94"/>
      <c r="I94"/>
      <c r="K94"/>
    </row>
    <row r="95" spans="2:16">
      <c r="B95"/>
      <c r="C95"/>
      <c r="D95"/>
      <c r="E95"/>
      <c r="F95"/>
      <c r="G95"/>
      <c r="H95"/>
      <c r="I95"/>
      <c r="K95"/>
    </row>
    <row r="96" spans="2:16">
      <c r="B96"/>
      <c r="C96"/>
      <c r="D96"/>
      <c r="E96"/>
      <c r="F96"/>
      <c r="G96"/>
      <c r="H96"/>
      <c r="I96"/>
      <c r="K96"/>
    </row>
    <row r="97" spans="2:11">
      <c r="B97"/>
      <c r="C97"/>
      <c r="D97"/>
      <c r="E97"/>
      <c r="F97"/>
      <c r="G97"/>
      <c r="H97"/>
      <c r="I97"/>
      <c r="K97"/>
    </row>
    <row r="98" spans="2:11">
      <c r="B98"/>
      <c r="C98"/>
      <c r="D98"/>
      <c r="E98"/>
      <c r="F98"/>
      <c r="G98"/>
      <c r="H98"/>
      <c r="I98"/>
      <c r="K98"/>
    </row>
    <row r="99" spans="2:11">
      <c r="B99"/>
      <c r="C99"/>
      <c r="D99"/>
      <c r="E99"/>
      <c r="F99"/>
      <c r="G99"/>
      <c r="H99"/>
      <c r="I99"/>
      <c r="K99"/>
    </row>
    <row r="100" spans="2:11">
      <c r="B100"/>
      <c r="C100"/>
      <c r="D100"/>
      <c r="E100"/>
      <c r="F100"/>
      <c r="G100"/>
      <c r="H100"/>
      <c r="I100"/>
      <c r="K100"/>
    </row>
    <row r="101" spans="2:11">
      <c r="B101"/>
      <c r="C101"/>
      <c r="D101"/>
      <c r="E101"/>
      <c r="F101"/>
      <c r="G101"/>
      <c r="H101"/>
      <c r="I101"/>
      <c r="K101"/>
    </row>
    <row r="102" spans="2:11">
      <c r="B102"/>
      <c r="C102"/>
      <c r="D102"/>
      <c r="E102"/>
      <c r="F102"/>
      <c r="G102"/>
      <c r="H102"/>
      <c r="I102"/>
      <c r="K102"/>
    </row>
    <row r="103" spans="2:11">
      <c r="B103"/>
      <c r="C103"/>
      <c r="D103"/>
      <c r="E103"/>
      <c r="F103"/>
      <c r="G103"/>
      <c r="H103"/>
      <c r="I103"/>
      <c r="K103"/>
    </row>
    <row r="104" spans="2:11">
      <c r="B104"/>
      <c r="C104"/>
      <c r="D104"/>
      <c r="E104"/>
      <c r="F104"/>
      <c r="G104"/>
      <c r="H104"/>
      <c r="I104"/>
      <c r="K104"/>
    </row>
    <row r="105" spans="2:11">
      <c r="B105"/>
      <c r="C105"/>
      <c r="D105"/>
      <c r="E105"/>
      <c r="F105"/>
      <c r="G105"/>
      <c r="H105"/>
      <c r="I105"/>
      <c r="K105"/>
    </row>
    <row r="106" spans="2:11">
      <c r="B106"/>
      <c r="C106"/>
      <c r="D106"/>
      <c r="E106"/>
      <c r="F106"/>
      <c r="G106"/>
      <c r="H106"/>
      <c r="I106"/>
      <c r="K106"/>
    </row>
    <row r="107" spans="2:11">
      <c r="B107"/>
      <c r="C107"/>
      <c r="D107"/>
      <c r="E107"/>
      <c r="F107"/>
      <c r="G107"/>
      <c r="H107"/>
      <c r="I107"/>
      <c r="K107"/>
    </row>
    <row r="108" spans="2:11">
      <c r="B108"/>
      <c r="C108"/>
      <c r="D108"/>
      <c r="E108"/>
      <c r="F108"/>
      <c r="G108"/>
      <c r="H108"/>
      <c r="I108"/>
      <c r="K108"/>
    </row>
    <row r="109" spans="2:11">
      <c r="B109"/>
      <c r="C109"/>
      <c r="D109"/>
      <c r="E109"/>
      <c r="F109"/>
      <c r="G109"/>
      <c r="H109"/>
      <c r="I109"/>
      <c r="K109"/>
    </row>
    <row r="110" spans="2:11">
      <c r="B110"/>
      <c r="C110"/>
      <c r="D110"/>
      <c r="E110"/>
      <c r="F110"/>
      <c r="G110"/>
      <c r="H110"/>
      <c r="I110"/>
      <c r="K110"/>
    </row>
    <row r="111" spans="2:11">
      <c r="B111"/>
      <c r="C111"/>
      <c r="D111"/>
      <c r="E111"/>
      <c r="F111"/>
      <c r="G111"/>
      <c r="H111"/>
      <c r="I111"/>
      <c r="K111"/>
    </row>
    <row r="112" spans="2:11">
      <c r="B112"/>
      <c r="C112"/>
      <c r="D112"/>
      <c r="E112"/>
      <c r="F112"/>
      <c r="G112"/>
      <c r="H112"/>
      <c r="I112"/>
      <c r="K112"/>
    </row>
    <row r="113" spans="2:11">
      <c r="B113"/>
      <c r="C113"/>
      <c r="D113"/>
      <c r="E113"/>
      <c r="F113"/>
      <c r="G113"/>
      <c r="H113"/>
      <c r="I113"/>
      <c r="K113"/>
    </row>
    <row r="114" spans="2:11">
      <c r="B114"/>
      <c r="C114"/>
      <c r="D114"/>
      <c r="E114"/>
      <c r="F114"/>
      <c r="G114"/>
      <c r="H114"/>
      <c r="I114"/>
      <c r="K114"/>
    </row>
    <row r="115" spans="2:11">
      <c r="B115"/>
      <c r="C115"/>
      <c r="D115"/>
      <c r="E115"/>
      <c r="F115"/>
      <c r="G115"/>
      <c r="H115"/>
      <c r="I115"/>
      <c r="K115"/>
    </row>
    <row r="116" spans="2:11">
      <c r="B116"/>
      <c r="C116"/>
      <c r="D116"/>
      <c r="E116"/>
      <c r="F116"/>
      <c r="G116"/>
      <c r="H116"/>
      <c r="I116"/>
      <c r="K116"/>
    </row>
    <row r="117" spans="2:11">
      <c r="B117"/>
      <c r="C117"/>
      <c r="D117"/>
      <c r="E117"/>
      <c r="F117"/>
      <c r="G117"/>
      <c r="H117"/>
      <c r="I117"/>
      <c r="K117"/>
    </row>
    <row r="118" spans="2:11">
      <c r="B118"/>
      <c r="C118"/>
      <c r="D118"/>
      <c r="E118"/>
      <c r="F118"/>
      <c r="G118"/>
      <c r="H118"/>
      <c r="I118"/>
      <c r="K118"/>
    </row>
    <row r="119" spans="2:11">
      <c r="B119"/>
      <c r="C119"/>
      <c r="D119"/>
      <c r="E119"/>
      <c r="F119"/>
      <c r="G119"/>
      <c r="H119"/>
      <c r="I119"/>
      <c r="K119"/>
    </row>
    <row r="120" spans="2:11">
      <c r="B120"/>
      <c r="C120"/>
      <c r="D120"/>
      <c r="E120"/>
      <c r="F120"/>
      <c r="G120"/>
      <c r="H120"/>
      <c r="I120"/>
      <c r="K120"/>
    </row>
    <row r="121" spans="2:11">
      <c r="B121"/>
      <c r="C121"/>
      <c r="D121"/>
      <c r="E121"/>
      <c r="F121"/>
      <c r="G121"/>
      <c r="H121"/>
      <c r="I121"/>
      <c r="K121"/>
    </row>
    <row r="122" spans="2:11">
      <c r="B122"/>
      <c r="C122"/>
      <c r="D122"/>
      <c r="E122"/>
      <c r="F122"/>
      <c r="G122"/>
      <c r="H122"/>
      <c r="I122"/>
      <c r="K122"/>
    </row>
    <row r="123" spans="2:11">
      <c r="B123"/>
      <c r="C123"/>
      <c r="D123"/>
      <c r="E123"/>
      <c r="F123"/>
      <c r="G123"/>
      <c r="H123"/>
      <c r="I123"/>
      <c r="K123"/>
    </row>
    <row r="124" spans="2:11">
      <c r="B124"/>
      <c r="C124"/>
      <c r="D124"/>
      <c r="E124"/>
      <c r="F124"/>
      <c r="G124"/>
      <c r="H124"/>
      <c r="I124"/>
      <c r="K124"/>
    </row>
    <row r="125" spans="2:11">
      <c r="B125"/>
      <c r="C125"/>
      <c r="D125"/>
      <c r="E125"/>
      <c r="F125"/>
      <c r="G125"/>
      <c r="H125"/>
      <c r="I125"/>
      <c r="K125"/>
    </row>
    <row r="126" spans="2:11">
      <c r="B126"/>
      <c r="C126"/>
      <c r="D126"/>
      <c r="E126"/>
      <c r="F126"/>
      <c r="G126"/>
      <c r="H126"/>
      <c r="I126"/>
      <c r="K126"/>
    </row>
    <row r="127" spans="2:11">
      <c r="B127"/>
      <c r="C127"/>
      <c r="D127"/>
      <c r="E127"/>
      <c r="F127"/>
      <c r="G127"/>
      <c r="H127"/>
      <c r="I127"/>
      <c r="K127"/>
    </row>
    <row r="128" spans="2:11">
      <c r="B128"/>
      <c r="C128"/>
      <c r="D128"/>
      <c r="E128"/>
      <c r="F128"/>
      <c r="G128"/>
      <c r="H128"/>
      <c r="I128"/>
      <c r="K128"/>
    </row>
    <row r="129" spans="2:11">
      <c r="B129"/>
      <c r="C129"/>
      <c r="D129"/>
      <c r="E129"/>
      <c r="F129"/>
      <c r="G129"/>
      <c r="H129"/>
      <c r="I129"/>
      <c r="K129"/>
    </row>
    <row r="130" spans="2:11">
      <c r="B130"/>
      <c r="C130"/>
      <c r="D130"/>
      <c r="E130"/>
      <c r="F130"/>
      <c r="G130"/>
      <c r="H130"/>
      <c r="I130"/>
      <c r="K130"/>
    </row>
    <row r="131" spans="2:11">
      <c r="B131"/>
      <c r="C131"/>
      <c r="D131"/>
      <c r="E131"/>
      <c r="F131"/>
      <c r="G131"/>
      <c r="H131"/>
      <c r="I131"/>
      <c r="K131"/>
    </row>
    <row r="132" spans="2:11">
      <c r="B132"/>
      <c r="C132"/>
      <c r="D132"/>
      <c r="E132"/>
      <c r="F132"/>
      <c r="G132"/>
      <c r="H132"/>
      <c r="I132"/>
      <c r="K132"/>
    </row>
    <row r="133" spans="2:11">
      <c r="B133"/>
      <c r="C133"/>
      <c r="D133"/>
      <c r="E133"/>
      <c r="F133"/>
      <c r="G133"/>
      <c r="H133"/>
      <c r="I133"/>
      <c r="K133"/>
    </row>
    <row r="134" spans="2:11">
      <c r="B134"/>
      <c r="C134"/>
      <c r="D134"/>
      <c r="E134"/>
      <c r="F134"/>
      <c r="G134"/>
      <c r="H134"/>
      <c r="I134"/>
      <c r="K134"/>
    </row>
    <row r="135" spans="2:11">
      <c r="B135"/>
      <c r="C135"/>
      <c r="D135"/>
      <c r="E135"/>
      <c r="F135"/>
      <c r="G135"/>
      <c r="H135"/>
      <c r="I135"/>
      <c r="K135"/>
    </row>
    <row r="136" spans="2:11">
      <c r="B136"/>
      <c r="C136"/>
      <c r="D136"/>
      <c r="E136"/>
      <c r="F136"/>
      <c r="G136"/>
      <c r="H136"/>
      <c r="I136"/>
      <c r="K136"/>
    </row>
    <row r="137" spans="2:11">
      <c r="B137"/>
      <c r="C137"/>
      <c r="D137"/>
      <c r="E137"/>
      <c r="F137"/>
      <c r="G137"/>
      <c r="H137"/>
      <c r="I137"/>
      <c r="K137"/>
    </row>
    <row r="138" spans="2:11">
      <c r="B138"/>
      <c r="C138"/>
      <c r="D138"/>
      <c r="E138"/>
      <c r="F138"/>
      <c r="G138"/>
      <c r="H138"/>
      <c r="I138"/>
      <c r="K138"/>
    </row>
    <row r="139" spans="2:11">
      <c r="B139"/>
      <c r="C139"/>
      <c r="D139"/>
      <c r="E139"/>
      <c r="F139"/>
      <c r="G139"/>
      <c r="H139"/>
      <c r="I139"/>
      <c r="K139"/>
    </row>
    <row r="140" spans="2:11">
      <c r="B140"/>
      <c r="C140"/>
      <c r="D140"/>
      <c r="E140"/>
      <c r="F140"/>
      <c r="G140"/>
      <c r="H140"/>
      <c r="I140"/>
      <c r="K140"/>
    </row>
    <row r="141" spans="2:11">
      <c r="B141"/>
      <c r="C141"/>
      <c r="D141"/>
      <c r="E141"/>
      <c r="F141"/>
      <c r="G141"/>
      <c r="H141"/>
      <c r="I141"/>
      <c r="K141"/>
    </row>
    <row r="142" spans="2:11">
      <c r="B142"/>
      <c r="C142"/>
      <c r="D142"/>
      <c r="E142"/>
      <c r="F142"/>
      <c r="G142"/>
      <c r="H142"/>
      <c r="I142"/>
      <c r="K142"/>
    </row>
    <row r="143" spans="2:11">
      <c r="B143"/>
      <c r="C143"/>
      <c r="D143"/>
      <c r="E143"/>
      <c r="F143"/>
      <c r="G143"/>
      <c r="H143"/>
      <c r="I143"/>
      <c r="K143"/>
    </row>
    <row r="144" spans="2:11">
      <c r="B144"/>
      <c r="C144"/>
      <c r="D144"/>
      <c r="E144"/>
      <c r="F144"/>
      <c r="G144"/>
      <c r="H144"/>
      <c r="I144"/>
      <c r="K144"/>
    </row>
    <row r="145" spans="2:11">
      <c r="B145"/>
      <c r="C145"/>
      <c r="D145"/>
      <c r="E145"/>
      <c r="F145"/>
      <c r="G145"/>
      <c r="H145"/>
      <c r="I145"/>
      <c r="K145"/>
    </row>
    <row r="146" spans="2:11">
      <c r="B146"/>
      <c r="C146"/>
      <c r="D146"/>
      <c r="E146"/>
      <c r="F146"/>
      <c r="G146"/>
      <c r="H146"/>
      <c r="I146"/>
      <c r="K146"/>
    </row>
    <row r="147" spans="2:11">
      <c r="B147"/>
      <c r="C147"/>
      <c r="D147"/>
      <c r="E147"/>
      <c r="F147"/>
      <c r="G147"/>
      <c r="H147"/>
      <c r="I147"/>
      <c r="K147"/>
    </row>
    <row r="148" spans="2:11">
      <c r="B148"/>
      <c r="C148"/>
      <c r="D148"/>
      <c r="E148"/>
      <c r="F148"/>
      <c r="G148"/>
      <c r="H148"/>
      <c r="I148"/>
      <c r="K148"/>
    </row>
    <row r="149" spans="2:11">
      <c r="B149"/>
      <c r="C149"/>
      <c r="D149"/>
      <c r="E149"/>
      <c r="F149"/>
      <c r="G149"/>
      <c r="H149"/>
      <c r="I149"/>
      <c r="K149"/>
    </row>
    <row r="150" spans="2:11">
      <c r="B150"/>
      <c r="C150"/>
      <c r="D150"/>
      <c r="E150"/>
      <c r="F150"/>
      <c r="G150"/>
      <c r="H150"/>
      <c r="I150"/>
      <c r="K150"/>
    </row>
    <row r="151" spans="2:11">
      <c r="B151"/>
      <c r="C151"/>
      <c r="D151"/>
      <c r="E151"/>
      <c r="F151"/>
      <c r="G151"/>
      <c r="H151"/>
      <c r="I151"/>
      <c r="K151"/>
    </row>
    <row r="152" spans="2:11">
      <c r="B152"/>
      <c r="C152"/>
      <c r="D152"/>
      <c r="E152"/>
      <c r="F152"/>
      <c r="G152"/>
      <c r="H152"/>
      <c r="I152"/>
      <c r="K152"/>
    </row>
    <row r="153" spans="2:11">
      <c r="B153"/>
      <c r="C153"/>
      <c r="D153"/>
      <c r="E153"/>
      <c r="F153"/>
      <c r="G153"/>
      <c r="H153"/>
      <c r="I153"/>
      <c r="K153"/>
    </row>
    <row r="154" spans="2:11">
      <c r="B154"/>
      <c r="C154"/>
      <c r="D154"/>
      <c r="E154"/>
      <c r="F154"/>
      <c r="G154"/>
      <c r="H154"/>
      <c r="I154"/>
      <c r="K154"/>
    </row>
    <row r="155" spans="2:11">
      <c r="B155"/>
      <c r="C155"/>
      <c r="D155"/>
      <c r="E155"/>
      <c r="F155"/>
      <c r="G155"/>
      <c r="H155"/>
      <c r="I155"/>
      <c r="K155"/>
    </row>
    <row r="156" spans="2:11">
      <c r="B156"/>
      <c r="C156"/>
      <c r="D156"/>
      <c r="E156"/>
      <c r="F156"/>
      <c r="G156"/>
      <c r="H156"/>
      <c r="I156"/>
      <c r="K156"/>
    </row>
    <row r="157" spans="2:11">
      <c r="B157"/>
      <c r="C157"/>
      <c r="D157"/>
      <c r="E157"/>
      <c r="F157"/>
      <c r="G157"/>
      <c r="H157"/>
      <c r="I157"/>
      <c r="K157"/>
    </row>
    <row r="158" spans="2:11">
      <c r="B158"/>
      <c r="C158"/>
      <c r="D158"/>
      <c r="E158"/>
      <c r="F158"/>
      <c r="G158"/>
      <c r="H158"/>
      <c r="I158"/>
      <c r="K158"/>
    </row>
    <row r="159" spans="2:11">
      <c r="B159"/>
      <c r="C159"/>
      <c r="D159"/>
      <c r="E159"/>
      <c r="F159"/>
      <c r="G159"/>
      <c r="H159"/>
      <c r="I159"/>
      <c r="K159"/>
    </row>
    <row r="160" spans="2:11">
      <c r="B160"/>
      <c r="C160"/>
      <c r="D160"/>
      <c r="E160"/>
      <c r="F160"/>
      <c r="G160"/>
      <c r="H160"/>
      <c r="I160"/>
      <c r="K160"/>
    </row>
    <row r="161" spans="2:9">
      <c r="B161"/>
      <c r="C161"/>
      <c r="D161"/>
      <c r="E161"/>
      <c r="F161"/>
      <c r="G161"/>
      <c r="H161"/>
      <c r="I161"/>
    </row>
    <row r="162" spans="2:9">
      <c r="B162"/>
      <c r="C162"/>
      <c r="D162"/>
      <c r="E162"/>
      <c r="F162"/>
      <c r="G162"/>
      <c r="H162"/>
      <c r="I162"/>
    </row>
    <row r="163" spans="2:9">
      <c r="B163"/>
      <c r="C163"/>
      <c r="D163"/>
      <c r="E163"/>
      <c r="F163"/>
      <c r="G163"/>
      <c r="H163"/>
      <c r="I163"/>
    </row>
    <row r="164" spans="2:9">
      <c r="B164"/>
      <c r="C164"/>
      <c r="D164"/>
      <c r="E164"/>
      <c r="F164"/>
      <c r="G164"/>
      <c r="H164"/>
      <c r="I164"/>
    </row>
    <row r="165" spans="2:9">
      <c r="B165"/>
      <c r="C165"/>
      <c r="D165"/>
      <c r="E165"/>
      <c r="F165"/>
      <c r="G165"/>
      <c r="H165"/>
      <c r="I165"/>
    </row>
    <row r="166" spans="2:9">
      <c r="B166"/>
      <c r="C166"/>
      <c r="D166"/>
      <c r="E166"/>
      <c r="F166"/>
      <c r="G166"/>
      <c r="H166"/>
      <c r="I166"/>
    </row>
    <row r="167" spans="2:9">
      <c r="B167"/>
      <c r="C167"/>
      <c r="D167"/>
      <c r="E167"/>
      <c r="F167"/>
      <c r="G167"/>
      <c r="H167"/>
      <c r="I167"/>
    </row>
    <row r="168" spans="2:9">
      <c r="B168"/>
      <c r="C168"/>
      <c r="D168"/>
      <c r="E168"/>
      <c r="F168"/>
      <c r="G168"/>
      <c r="H168"/>
      <c r="I168"/>
    </row>
    <row r="169" spans="2:9">
      <c r="B169"/>
      <c r="C169"/>
      <c r="D169"/>
      <c r="E169"/>
      <c r="F169"/>
      <c r="G169"/>
      <c r="H169"/>
      <c r="I169"/>
    </row>
    <row r="170" spans="2:9">
      <c r="B170"/>
      <c r="C170"/>
      <c r="D170"/>
      <c r="E170"/>
      <c r="F170"/>
      <c r="G170"/>
      <c r="H170"/>
      <c r="I170"/>
    </row>
    <row r="171" spans="2:9">
      <c r="B171"/>
      <c r="C171"/>
      <c r="D171"/>
      <c r="E171"/>
      <c r="F171"/>
      <c r="G171"/>
      <c r="H171"/>
      <c r="I171"/>
    </row>
    <row r="172" spans="2:9">
      <c r="B172"/>
      <c r="C172"/>
      <c r="D172"/>
      <c r="E172"/>
      <c r="F172"/>
      <c r="G172"/>
      <c r="H172"/>
      <c r="I172"/>
    </row>
    <row r="173" spans="2:9">
      <c r="B173"/>
      <c r="C173"/>
      <c r="D173"/>
      <c r="E173"/>
      <c r="F173"/>
      <c r="G173"/>
      <c r="H173"/>
      <c r="I173"/>
    </row>
    <row r="174" spans="2:9">
      <c r="B174"/>
      <c r="C174"/>
      <c r="D174"/>
      <c r="E174"/>
      <c r="F174"/>
      <c r="G174"/>
      <c r="H174"/>
      <c r="I174"/>
    </row>
    <row r="175" spans="2:9">
      <c r="B175"/>
      <c r="C175"/>
      <c r="D175"/>
      <c r="E175"/>
      <c r="F175"/>
      <c r="G175"/>
      <c r="H175"/>
      <c r="I175"/>
    </row>
    <row r="176" spans="2:9">
      <c r="B176"/>
      <c r="C176"/>
      <c r="D176"/>
      <c r="E176"/>
      <c r="F176"/>
      <c r="G176"/>
      <c r="H176"/>
      <c r="I176"/>
    </row>
    <row r="177" spans="2:9">
      <c r="B177"/>
      <c r="C177"/>
      <c r="D177"/>
      <c r="E177"/>
      <c r="F177"/>
      <c r="G177"/>
      <c r="H177"/>
      <c r="I177"/>
    </row>
    <row r="178" spans="2:9">
      <c r="B178"/>
      <c r="C178"/>
      <c r="D178"/>
      <c r="E178"/>
      <c r="F178"/>
      <c r="G178"/>
      <c r="H178"/>
      <c r="I178"/>
    </row>
    <row r="179" spans="2:9">
      <c r="B179"/>
      <c r="C179"/>
      <c r="D179"/>
      <c r="E179"/>
      <c r="F179"/>
      <c r="G179"/>
      <c r="H179"/>
      <c r="I179"/>
    </row>
    <row r="180" spans="2:9">
      <c r="B180"/>
      <c r="C180"/>
      <c r="D180"/>
      <c r="E180"/>
      <c r="F180"/>
      <c r="G180"/>
      <c r="H180"/>
      <c r="I180"/>
    </row>
    <row r="181" spans="2:9">
      <c r="B181"/>
      <c r="C181"/>
      <c r="D181"/>
      <c r="E181"/>
      <c r="F181"/>
      <c r="G181"/>
      <c r="H181"/>
      <c r="I181"/>
    </row>
    <row r="182" spans="2:9">
      <c r="B182"/>
      <c r="C182"/>
      <c r="D182"/>
      <c r="E182"/>
      <c r="F182"/>
      <c r="G182"/>
      <c r="H182"/>
      <c r="I182"/>
    </row>
    <row r="183" spans="2:9">
      <c r="B183"/>
      <c r="C183"/>
      <c r="D183"/>
      <c r="E183"/>
      <c r="F183"/>
      <c r="G183"/>
      <c r="H183"/>
      <c r="I183"/>
    </row>
    <row r="184" spans="2:9">
      <c r="B184"/>
      <c r="C184"/>
      <c r="D184"/>
      <c r="E184"/>
      <c r="F184"/>
      <c r="G184"/>
      <c r="H184"/>
      <c r="I184"/>
    </row>
    <row r="185" spans="2:9">
      <c r="B185"/>
      <c r="C185"/>
      <c r="D185"/>
      <c r="E185"/>
      <c r="F185"/>
      <c r="G185"/>
      <c r="H185"/>
      <c r="I185"/>
    </row>
    <row r="186" spans="2:9">
      <c r="B186"/>
      <c r="C186"/>
      <c r="D186"/>
      <c r="E186"/>
      <c r="F186"/>
      <c r="G186"/>
      <c r="H186"/>
      <c r="I186"/>
    </row>
    <row r="187" spans="2:9">
      <c r="B187"/>
      <c r="C187"/>
      <c r="D187"/>
      <c r="E187"/>
      <c r="F187"/>
      <c r="G187"/>
      <c r="H187"/>
      <c r="I187"/>
    </row>
    <row r="188" spans="2:9">
      <c r="B188"/>
      <c r="C188"/>
      <c r="D188"/>
      <c r="E188"/>
      <c r="F188"/>
      <c r="G188"/>
      <c r="H188"/>
      <c r="I188"/>
    </row>
    <row r="189" spans="2:9">
      <c r="B189"/>
      <c r="C189"/>
      <c r="D189"/>
      <c r="E189"/>
      <c r="F189"/>
      <c r="G189"/>
      <c r="H189"/>
      <c r="I189"/>
    </row>
    <row r="190" spans="2:9">
      <c r="B190"/>
      <c r="C190"/>
      <c r="D190"/>
      <c r="E190"/>
      <c r="F190"/>
      <c r="G190"/>
      <c r="H190"/>
      <c r="I190"/>
    </row>
    <row r="191" spans="2:9">
      <c r="B191"/>
      <c r="C191"/>
      <c r="D191"/>
      <c r="E191"/>
      <c r="F191"/>
      <c r="G191"/>
      <c r="H191"/>
      <c r="I191"/>
    </row>
    <row r="192" spans="2:9">
      <c r="B192"/>
      <c r="C192"/>
      <c r="D192"/>
      <c r="E192"/>
      <c r="F192"/>
      <c r="G192"/>
      <c r="H192"/>
      <c r="I192"/>
    </row>
    <row r="193" spans="2:9">
      <c r="B193"/>
      <c r="C193"/>
      <c r="D193"/>
      <c r="E193"/>
      <c r="F193"/>
      <c r="G193"/>
      <c r="H193"/>
      <c r="I193"/>
    </row>
    <row r="194" spans="2:9">
      <c r="B194"/>
      <c r="C194"/>
      <c r="D194"/>
      <c r="E194"/>
      <c r="F194"/>
      <c r="G194"/>
      <c r="H194"/>
      <c r="I194"/>
    </row>
    <row r="195" spans="2:9">
      <c r="B195"/>
      <c r="C195"/>
      <c r="D195"/>
      <c r="E195"/>
      <c r="F195"/>
      <c r="G195"/>
      <c r="H195"/>
      <c r="I195"/>
    </row>
    <row r="196" spans="2:9">
      <c r="B196"/>
      <c r="C196"/>
      <c r="D196"/>
      <c r="E196"/>
      <c r="F196"/>
      <c r="G196"/>
      <c r="H196"/>
      <c r="I196"/>
    </row>
    <row r="197" spans="2:9">
      <c r="B197"/>
      <c r="C197"/>
      <c r="D197"/>
      <c r="E197"/>
      <c r="F197"/>
      <c r="G197"/>
      <c r="H197"/>
      <c r="I197"/>
    </row>
    <row r="198" spans="2:9">
      <c r="B198"/>
      <c r="C198"/>
      <c r="D198"/>
      <c r="E198"/>
      <c r="F198"/>
      <c r="G198"/>
      <c r="H198"/>
      <c r="I198"/>
    </row>
    <row r="199" spans="2:9">
      <c r="B199"/>
      <c r="C199"/>
      <c r="D199"/>
      <c r="E199"/>
      <c r="F199"/>
      <c r="G199"/>
      <c r="H199"/>
      <c r="I199"/>
    </row>
    <row r="200" spans="2:9">
      <c r="B200"/>
      <c r="C200"/>
      <c r="D200"/>
      <c r="E200"/>
      <c r="F200"/>
      <c r="G200"/>
      <c r="H200"/>
      <c r="I200"/>
    </row>
    <row r="201" spans="2:9">
      <c r="B201"/>
      <c r="C201"/>
      <c r="D201"/>
      <c r="E201"/>
      <c r="F201"/>
      <c r="G201"/>
      <c r="H201"/>
      <c r="I201"/>
    </row>
    <row r="202" spans="2:9">
      <c r="B202"/>
      <c r="C202"/>
      <c r="D202"/>
      <c r="E202"/>
      <c r="F202"/>
      <c r="G202"/>
      <c r="H202"/>
      <c r="I202"/>
    </row>
    <row r="203" spans="2:9">
      <c r="B203"/>
      <c r="C203"/>
      <c r="D203"/>
      <c r="E203"/>
      <c r="F203"/>
      <c r="G203"/>
      <c r="H203"/>
      <c r="I203"/>
    </row>
    <row r="204" spans="2:9">
      <c r="B204"/>
      <c r="C204"/>
      <c r="D204"/>
      <c r="E204"/>
      <c r="F204"/>
      <c r="G204"/>
      <c r="H204"/>
      <c r="I204"/>
    </row>
    <row r="205" spans="2:9">
      <c r="B205"/>
      <c r="C205"/>
      <c r="D205"/>
      <c r="E205"/>
      <c r="F205"/>
      <c r="G205"/>
      <c r="H205"/>
      <c r="I205"/>
    </row>
    <row r="206" spans="2:9">
      <c r="B206"/>
      <c r="C206"/>
      <c r="D206"/>
      <c r="E206"/>
      <c r="F206"/>
      <c r="G206"/>
      <c r="H206"/>
      <c r="I206"/>
    </row>
    <row r="207" spans="2:9">
      <c r="B207"/>
      <c r="C207"/>
      <c r="D207"/>
      <c r="E207"/>
      <c r="F207"/>
      <c r="G207"/>
      <c r="H207"/>
      <c r="I207"/>
    </row>
    <row r="208" spans="2:9">
      <c r="B208"/>
      <c r="C208"/>
      <c r="D208"/>
      <c r="E208"/>
      <c r="F208"/>
      <c r="G208"/>
      <c r="H208"/>
      <c r="I208"/>
    </row>
    <row r="209" spans="2:9">
      <c r="B209"/>
      <c r="C209"/>
      <c r="D209"/>
      <c r="E209"/>
      <c r="F209"/>
      <c r="G209"/>
      <c r="H209"/>
      <c r="I209"/>
    </row>
    <row r="210" spans="2:9">
      <c r="B210"/>
      <c r="C210"/>
      <c r="D210"/>
      <c r="E210"/>
      <c r="F210"/>
      <c r="G210"/>
      <c r="H210"/>
      <c r="I210"/>
    </row>
    <row r="211" spans="2:9">
      <c r="B211"/>
      <c r="C211"/>
      <c r="D211"/>
      <c r="E211"/>
      <c r="F211"/>
      <c r="G211"/>
      <c r="H211"/>
      <c r="I211"/>
    </row>
    <row r="212" spans="2:9">
      <c r="B212"/>
      <c r="C212"/>
      <c r="D212"/>
      <c r="E212"/>
      <c r="F212"/>
      <c r="G212"/>
      <c r="H212"/>
      <c r="I212"/>
    </row>
    <row r="213" spans="2:9">
      <c r="B213"/>
      <c r="C213"/>
      <c r="D213"/>
      <c r="E213"/>
      <c r="F213"/>
      <c r="G213"/>
      <c r="H213"/>
      <c r="I213"/>
    </row>
    <row r="214" spans="2:9">
      <c r="B214"/>
      <c r="C214"/>
      <c r="D214"/>
      <c r="E214"/>
      <c r="F214"/>
      <c r="G214"/>
      <c r="H214"/>
      <c r="I214"/>
    </row>
    <row r="215" spans="2:9">
      <c r="B215"/>
      <c r="C215"/>
      <c r="D215"/>
      <c r="E215"/>
      <c r="F215"/>
      <c r="G215"/>
      <c r="H215"/>
      <c r="I215"/>
    </row>
    <row r="216" spans="2:9">
      <c r="B216"/>
      <c r="C216"/>
      <c r="D216"/>
      <c r="E216"/>
      <c r="F216"/>
      <c r="G216"/>
      <c r="H216"/>
      <c r="I216"/>
    </row>
    <row r="217" spans="2:9">
      <c r="B217"/>
      <c r="C217"/>
      <c r="D217"/>
      <c r="E217"/>
      <c r="F217"/>
      <c r="G217"/>
      <c r="H217"/>
      <c r="I217"/>
    </row>
    <row r="218" spans="2:9">
      <c r="B218"/>
      <c r="C218"/>
      <c r="D218"/>
      <c r="E218"/>
      <c r="F218"/>
      <c r="G218"/>
      <c r="H218"/>
      <c r="I218"/>
    </row>
    <row r="219" spans="2:9">
      <c r="B219"/>
      <c r="C219"/>
      <c r="D219"/>
      <c r="E219"/>
      <c r="F219"/>
      <c r="G219"/>
      <c r="H219"/>
      <c r="I219"/>
    </row>
    <row r="220" spans="2:9">
      <c r="B220"/>
      <c r="C220"/>
      <c r="D220"/>
      <c r="E220"/>
      <c r="F220"/>
      <c r="G220"/>
      <c r="H220"/>
      <c r="I220"/>
    </row>
    <row r="221" spans="2:9">
      <c r="B221"/>
      <c r="C221"/>
      <c r="D221"/>
      <c r="E221"/>
      <c r="F221"/>
      <c r="G221"/>
      <c r="H221"/>
      <c r="I221"/>
    </row>
    <row r="222" spans="2:9">
      <c r="B222"/>
      <c r="C222"/>
      <c r="D222"/>
      <c r="E222"/>
      <c r="F222"/>
      <c r="G222"/>
      <c r="H222"/>
      <c r="I222"/>
    </row>
    <row r="223" spans="2:9">
      <c r="B223"/>
      <c r="C223"/>
      <c r="D223"/>
      <c r="E223"/>
      <c r="F223"/>
      <c r="G223"/>
      <c r="H223"/>
      <c r="I223"/>
    </row>
    <row r="224" spans="2:9">
      <c r="B224"/>
      <c r="C224"/>
      <c r="D224"/>
      <c r="E224"/>
      <c r="F224"/>
      <c r="G224"/>
      <c r="H224"/>
      <c r="I224"/>
    </row>
    <row r="225" spans="2:9">
      <c r="B225"/>
      <c r="C225"/>
      <c r="D225"/>
      <c r="E225"/>
      <c r="F225"/>
      <c r="G225"/>
      <c r="H225"/>
      <c r="I225"/>
    </row>
    <row r="226" spans="2:9">
      <c r="B226"/>
      <c r="C226"/>
      <c r="D226"/>
      <c r="E226"/>
      <c r="F226"/>
      <c r="G226"/>
      <c r="H226"/>
      <c r="I226"/>
    </row>
    <row r="227" spans="2:9">
      <c r="B227"/>
      <c r="C227"/>
      <c r="D227"/>
      <c r="E227"/>
      <c r="F227"/>
      <c r="G227"/>
      <c r="H227"/>
      <c r="I227"/>
    </row>
    <row r="228" spans="2:9">
      <c r="B228"/>
      <c r="C228"/>
      <c r="D228"/>
      <c r="E228"/>
      <c r="F228"/>
      <c r="G228"/>
      <c r="H228"/>
      <c r="I228"/>
    </row>
    <row r="229" spans="2:9">
      <c r="B229"/>
      <c r="C229"/>
      <c r="D229"/>
      <c r="E229"/>
      <c r="F229"/>
      <c r="G229"/>
      <c r="H229"/>
      <c r="I229"/>
    </row>
    <row r="230" spans="2:9">
      <c r="B230"/>
      <c r="C230"/>
      <c r="D230"/>
      <c r="E230"/>
      <c r="F230"/>
      <c r="G230"/>
      <c r="H230"/>
      <c r="I230"/>
    </row>
    <row r="231" spans="2:9">
      <c r="B231"/>
      <c r="C231"/>
      <c r="D231"/>
      <c r="E231"/>
      <c r="F231"/>
      <c r="G231"/>
      <c r="H231"/>
      <c r="I231"/>
    </row>
    <row r="232" spans="2:9">
      <c r="B232"/>
      <c r="C232"/>
      <c r="D232"/>
      <c r="E232"/>
      <c r="F232"/>
      <c r="G232"/>
      <c r="H232"/>
      <c r="I232"/>
    </row>
    <row r="233" spans="2:9">
      <c r="B233"/>
      <c r="C233"/>
      <c r="D233"/>
      <c r="E233"/>
      <c r="F233"/>
      <c r="G233"/>
      <c r="H233"/>
      <c r="I233"/>
    </row>
    <row r="234" spans="2:9">
      <c r="B234"/>
      <c r="C234"/>
      <c r="D234"/>
      <c r="E234"/>
      <c r="F234"/>
      <c r="G234"/>
      <c r="H234"/>
      <c r="I234"/>
    </row>
    <row r="235" spans="2:9">
      <c r="B235"/>
      <c r="C235"/>
      <c r="D235"/>
      <c r="E235"/>
      <c r="F235"/>
      <c r="G235"/>
      <c r="H235"/>
      <c r="I235"/>
    </row>
    <row r="236" spans="2:9">
      <c r="B236"/>
      <c r="C236"/>
      <c r="D236"/>
      <c r="E236"/>
      <c r="F236"/>
      <c r="G236"/>
      <c r="H236"/>
      <c r="I236"/>
    </row>
    <row r="237" spans="2:9">
      <c r="B237"/>
      <c r="C237"/>
      <c r="D237"/>
      <c r="E237"/>
      <c r="F237"/>
      <c r="G237"/>
      <c r="H237"/>
      <c r="I237"/>
    </row>
    <row r="238" spans="2:9">
      <c r="B238"/>
      <c r="C238"/>
      <c r="D238"/>
      <c r="E238"/>
      <c r="F238"/>
      <c r="G238"/>
      <c r="H238"/>
      <c r="I238"/>
    </row>
    <row r="239" spans="2:9">
      <c r="B239"/>
      <c r="C239"/>
      <c r="D239"/>
      <c r="E239"/>
      <c r="F239"/>
      <c r="G239"/>
      <c r="H239"/>
      <c r="I239"/>
    </row>
    <row r="240" spans="2:9">
      <c r="B240"/>
      <c r="C240"/>
      <c r="D240"/>
      <c r="E240"/>
      <c r="F240"/>
      <c r="G240"/>
      <c r="H240"/>
      <c r="I240"/>
    </row>
    <row r="241" spans="2:9">
      <c r="B241"/>
      <c r="C241"/>
      <c r="D241"/>
      <c r="E241"/>
      <c r="F241"/>
      <c r="G241"/>
      <c r="H241"/>
      <c r="I241"/>
    </row>
    <row r="242" spans="2:9">
      <c r="B242"/>
      <c r="C242"/>
      <c r="D242"/>
      <c r="E242"/>
      <c r="F242"/>
      <c r="G242"/>
      <c r="H242"/>
      <c r="I242"/>
    </row>
    <row r="243" spans="2:9">
      <c r="B243"/>
      <c r="C243"/>
      <c r="D243"/>
      <c r="E243"/>
      <c r="F243"/>
      <c r="G243"/>
      <c r="H243"/>
      <c r="I243"/>
    </row>
    <row r="244" spans="2:9">
      <c r="B244"/>
      <c r="C244"/>
      <c r="D244"/>
      <c r="E244"/>
      <c r="F244"/>
      <c r="G244"/>
      <c r="H244"/>
      <c r="I244"/>
    </row>
    <row r="245" spans="2:9">
      <c r="B245"/>
      <c r="C245"/>
      <c r="D245"/>
      <c r="E245"/>
      <c r="F245"/>
      <c r="G245"/>
      <c r="H245"/>
      <c r="I245"/>
    </row>
    <row r="246" spans="2:9">
      <c r="B246"/>
      <c r="C246"/>
      <c r="D246"/>
      <c r="E246"/>
      <c r="F246"/>
      <c r="G246"/>
      <c r="H246"/>
      <c r="I246"/>
    </row>
    <row r="247" spans="2:9">
      <c r="B247"/>
      <c r="C247"/>
      <c r="D247"/>
      <c r="E247"/>
      <c r="F247"/>
      <c r="G247"/>
      <c r="H247"/>
      <c r="I247"/>
    </row>
    <row r="248" spans="2:9">
      <c r="B248"/>
      <c r="C248"/>
      <c r="D248"/>
      <c r="E248"/>
      <c r="F248"/>
      <c r="G248"/>
      <c r="H248"/>
      <c r="I248"/>
    </row>
    <row r="249" spans="2:9">
      <c r="B249"/>
      <c r="C249"/>
      <c r="D249"/>
      <c r="E249"/>
      <c r="F249"/>
      <c r="G249"/>
      <c r="H249"/>
      <c r="I249"/>
    </row>
    <row r="250" spans="2:9">
      <c r="B250"/>
      <c r="C250"/>
      <c r="D250"/>
      <c r="E250"/>
      <c r="F250"/>
      <c r="G250"/>
      <c r="H250"/>
      <c r="I250"/>
    </row>
    <row r="251" spans="2:9">
      <c r="B251"/>
      <c r="C251"/>
      <c r="D251"/>
      <c r="E251"/>
      <c r="F251"/>
      <c r="G251"/>
      <c r="H251"/>
      <c r="I251"/>
    </row>
    <row r="252" spans="2:9">
      <c r="B252"/>
      <c r="C252"/>
      <c r="D252"/>
      <c r="E252"/>
      <c r="F252"/>
      <c r="G252"/>
      <c r="H252"/>
      <c r="I252"/>
    </row>
    <row r="253" spans="2:9">
      <c r="B253"/>
      <c r="C253"/>
      <c r="D253"/>
      <c r="E253"/>
      <c r="F253"/>
      <c r="G253"/>
      <c r="H253"/>
      <c r="I253"/>
    </row>
    <row r="254" spans="2:9">
      <c r="B254"/>
      <c r="C254"/>
      <c r="D254"/>
      <c r="E254"/>
      <c r="F254"/>
      <c r="G254"/>
      <c r="H254"/>
      <c r="I254"/>
    </row>
    <row r="255" spans="2:9">
      <c r="B255"/>
      <c r="C255"/>
      <c r="D255"/>
      <c r="E255"/>
      <c r="F255"/>
      <c r="G255"/>
      <c r="H255"/>
      <c r="I255"/>
    </row>
    <row r="256" spans="2:9">
      <c r="B256"/>
      <c r="C256"/>
      <c r="D256"/>
      <c r="E256"/>
      <c r="F256"/>
      <c r="G256"/>
      <c r="H256"/>
      <c r="I256"/>
    </row>
    <row r="257" spans="2:9">
      <c r="B257"/>
      <c r="C257"/>
      <c r="D257"/>
      <c r="E257"/>
      <c r="F257"/>
      <c r="G257"/>
      <c r="H257"/>
      <c r="I257"/>
    </row>
    <row r="258" spans="2:9">
      <c r="B258"/>
      <c r="C258"/>
      <c r="D258"/>
      <c r="E258"/>
      <c r="F258"/>
      <c r="G258"/>
      <c r="H258"/>
      <c r="I258"/>
    </row>
    <row r="259" spans="2:9">
      <c r="B259"/>
      <c r="C259"/>
      <c r="D259"/>
      <c r="E259"/>
      <c r="F259"/>
      <c r="G259"/>
      <c r="H259"/>
      <c r="I259"/>
    </row>
    <row r="260" spans="2:9">
      <c r="B260"/>
      <c r="C260"/>
      <c r="D260"/>
      <c r="E260"/>
      <c r="F260"/>
      <c r="G260"/>
      <c r="H260"/>
      <c r="I260"/>
    </row>
    <row r="261" spans="2:9">
      <c r="B261"/>
      <c r="C261"/>
      <c r="D261"/>
      <c r="E261"/>
      <c r="F261"/>
      <c r="G261"/>
      <c r="H261"/>
      <c r="I261"/>
    </row>
    <row r="262" spans="2:9">
      <c r="B262"/>
      <c r="C262"/>
      <c r="D262"/>
      <c r="E262"/>
      <c r="F262"/>
      <c r="G262"/>
      <c r="H262"/>
      <c r="I262"/>
    </row>
    <row r="263" spans="2:9">
      <c r="B263"/>
      <c r="C263"/>
      <c r="D263"/>
      <c r="E263"/>
      <c r="F263"/>
      <c r="G263"/>
      <c r="H263"/>
      <c r="I263"/>
    </row>
    <row r="264" spans="2:9">
      <c r="B264"/>
      <c r="C264"/>
      <c r="D264"/>
      <c r="E264"/>
      <c r="F264"/>
      <c r="G264"/>
      <c r="H264"/>
      <c r="I264"/>
    </row>
    <row r="265" spans="2:9">
      <c r="B265"/>
      <c r="C265"/>
      <c r="D265"/>
      <c r="E265"/>
      <c r="F265"/>
      <c r="G265"/>
      <c r="H265"/>
      <c r="I265"/>
    </row>
    <row r="266" spans="2:9">
      <c r="B266"/>
      <c r="C266"/>
      <c r="D266"/>
      <c r="E266"/>
      <c r="F266"/>
      <c r="G266"/>
      <c r="H266"/>
      <c r="I266"/>
    </row>
    <row r="267" spans="2:9">
      <c r="B267"/>
      <c r="C267"/>
      <c r="D267"/>
      <c r="E267"/>
      <c r="F267"/>
      <c r="G267"/>
      <c r="H267"/>
      <c r="I267"/>
    </row>
    <row r="268" spans="2:9">
      <c r="B268"/>
      <c r="C268"/>
      <c r="D268"/>
      <c r="E268"/>
      <c r="F268"/>
      <c r="G268"/>
      <c r="H268"/>
      <c r="I268"/>
    </row>
    <row r="269" spans="2:9">
      <c r="B269"/>
      <c r="C269"/>
      <c r="D269"/>
      <c r="E269"/>
      <c r="F269"/>
      <c r="G269"/>
      <c r="H269"/>
      <c r="I269"/>
    </row>
    <row r="270" spans="2:9">
      <c r="B270"/>
      <c r="C270"/>
      <c r="D270"/>
      <c r="E270"/>
      <c r="F270"/>
      <c r="G270"/>
      <c r="H270"/>
      <c r="I270"/>
    </row>
    <row r="271" spans="2:9">
      <c r="B271"/>
      <c r="C271"/>
      <c r="D271"/>
      <c r="E271"/>
      <c r="F271"/>
      <c r="G271"/>
      <c r="H271"/>
      <c r="I271"/>
    </row>
    <row r="272" spans="2:9">
      <c r="B272"/>
      <c r="C272"/>
      <c r="D272"/>
      <c r="E272"/>
      <c r="F272"/>
      <c r="G272"/>
      <c r="H272"/>
      <c r="I272"/>
    </row>
    <row r="273" spans="2:9">
      <c r="B273"/>
      <c r="C273"/>
      <c r="D273"/>
      <c r="E273"/>
      <c r="F273"/>
      <c r="G273"/>
      <c r="H273"/>
      <c r="I273"/>
    </row>
    <row r="274" spans="2:9">
      <c r="B274"/>
      <c r="C274"/>
      <c r="D274"/>
      <c r="E274"/>
      <c r="F274"/>
      <c r="G274"/>
      <c r="H274"/>
      <c r="I274"/>
    </row>
    <row r="275" spans="2:9">
      <c r="B275"/>
      <c r="C275"/>
      <c r="D275"/>
      <c r="E275"/>
      <c r="F275"/>
      <c r="G275"/>
      <c r="H275"/>
      <c r="I275"/>
    </row>
    <row r="276" spans="2:9">
      <c r="B276"/>
      <c r="C276"/>
      <c r="D276"/>
      <c r="E276"/>
      <c r="F276"/>
      <c r="G276"/>
      <c r="H276"/>
      <c r="I276"/>
    </row>
    <row r="277" spans="2:9">
      <c r="B277"/>
      <c r="C277"/>
      <c r="D277"/>
      <c r="E277"/>
      <c r="F277"/>
      <c r="G277"/>
      <c r="H277"/>
      <c r="I277"/>
    </row>
    <row r="278" spans="2:9">
      <c r="B278"/>
      <c r="C278"/>
      <c r="D278"/>
      <c r="E278"/>
      <c r="F278"/>
      <c r="G278"/>
      <c r="H278"/>
      <c r="I278"/>
    </row>
    <row r="279" spans="2:9">
      <c r="B279"/>
      <c r="C279"/>
      <c r="D279"/>
      <c r="E279"/>
      <c r="F279"/>
      <c r="G279"/>
      <c r="H279"/>
      <c r="I279"/>
    </row>
    <row r="280" spans="2:9">
      <c r="B280"/>
      <c r="C280"/>
      <c r="D280"/>
      <c r="E280"/>
      <c r="F280"/>
      <c r="G280"/>
      <c r="H280"/>
      <c r="I280"/>
    </row>
    <row r="281" spans="2:9">
      <c r="B281"/>
      <c r="C281"/>
      <c r="D281"/>
      <c r="E281"/>
      <c r="F281"/>
      <c r="G281"/>
      <c r="H281"/>
      <c r="I281"/>
    </row>
    <row r="282" spans="2:9">
      <c r="B282"/>
      <c r="C282"/>
      <c r="D282"/>
      <c r="E282"/>
      <c r="F282"/>
      <c r="G282"/>
      <c r="H282"/>
      <c r="I282"/>
    </row>
    <row r="283" spans="2:9">
      <c r="B283"/>
      <c r="C283"/>
      <c r="D283"/>
      <c r="E283"/>
      <c r="F283"/>
      <c r="G283"/>
      <c r="H283"/>
      <c r="I283"/>
    </row>
    <row r="284" spans="2:9">
      <c r="B284"/>
      <c r="C284"/>
      <c r="D284"/>
      <c r="E284"/>
      <c r="F284"/>
      <c r="G284"/>
      <c r="H284"/>
      <c r="I284"/>
    </row>
    <row r="285" spans="2:9">
      <c r="B285"/>
      <c r="C285"/>
      <c r="D285"/>
      <c r="E285"/>
      <c r="F285"/>
      <c r="G285"/>
      <c r="H285"/>
      <c r="I285"/>
    </row>
    <row r="286" spans="2:9">
      <c r="B286"/>
      <c r="C286"/>
      <c r="D286"/>
      <c r="E286"/>
      <c r="F286"/>
      <c r="G286"/>
      <c r="H286"/>
      <c r="I286"/>
    </row>
    <row r="287" spans="2:9">
      <c r="B287"/>
      <c r="C287"/>
      <c r="D287"/>
      <c r="E287"/>
      <c r="F287"/>
      <c r="G287"/>
      <c r="H287"/>
      <c r="I287"/>
    </row>
    <row r="288" spans="2:9">
      <c r="B288"/>
      <c r="C288"/>
      <c r="D288"/>
      <c r="E288"/>
      <c r="F288"/>
      <c r="G288"/>
      <c r="H288"/>
      <c r="I288"/>
    </row>
    <row r="289" spans="2:9">
      <c r="B289"/>
      <c r="C289"/>
      <c r="D289"/>
      <c r="E289"/>
      <c r="F289"/>
      <c r="G289"/>
      <c r="H289"/>
      <c r="I289"/>
    </row>
    <row r="290" spans="2:9">
      <c r="B290"/>
      <c r="C290"/>
      <c r="D290"/>
      <c r="E290"/>
      <c r="F290"/>
      <c r="G290"/>
      <c r="H290"/>
      <c r="I290"/>
    </row>
    <row r="291" spans="2:9">
      <c r="B291"/>
      <c r="C291"/>
      <c r="D291"/>
      <c r="E291"/>
      <c r="F291"/>
      <c r="G291"/>
      <c r="H291"/>
      <c r="I291"/>
    </row>
    <row r="292" spans="2:9">
      <c r="B292"/>
      <c r="C292"/>
      <c r="D292"/>
      <c r="E292"/>
      <c r="F292"/>
      <c r="G292"/>
      <c r="H292"/>
      <c r="I292"/>
    </row>
    <row r="293" spans="2:9">
      <c r="B293"/>
      <c r="C293"/>
      <c r="D293"/>
      <c r="E293"/>
      <c r="F293"/>
      <c r="G293"/>
      <c r="H293"/>
      <c r="I293"/>
    </row>
    <row r="294" spans="2:9">
      <c r="B294"/>
      <c r="C294"/>
      <c r="D294"/>
      <c r="E294"/>
      <c r="F294"/>
      <c r="G294"/>
      <c r="H294"/>
      <c r="I294"/>
    </row>
    <row r="295" spans="2:9">
      <c r="B295"/>
      <c r="C295"/>
      <c r="D295"/>
      <c r="E295"/>
      <c r="F295"/>
      <c r="G295"/>
      <c r="H295"/>
      <c r="I295"/>
    </row>
    <row r="296" spans="2:9">
      <c r="B296"/>
      <c r="C296"/>
      <c r="D296"/>
      <c r="E296"/>
      <c r="F296"/>
      <c r="G296"/>
      <c r="H296"/>
      <c r="I296"/>
    </row>
    <row r="297" spans="2:9">
      <c r="B297"/>
      <c r="C297"/>
      <c r="D297"/>
      <c r="E297"/>
      <c r="F297"/>
      <c r="G297"/>
      <c r="H297"/>
      <c r="I297"/>
    </row>
    <row r="298" spans="2:9">
      <c r="B298"/>
      <c r="C298"/>
      <c r="D298"/>
      <c r="E298"/>
      <c r="F298"/>
      <c r="G298"/>
      <c r="H298"/>
      <c r="I298"/>
    </row>
    <row r="299" spans="2:9">
      <c r="B299"/>
      <c r="C299"/>
      <c r="D299"/>
      <c r="E299"/>
      <c r="F299"/>
      <c r="G299"/>
      <c r="H299"/>
      <c r="I299"/>
    </row>
    <row r="300" spans="2:9">
      <c r="B300"/>
      <c r="C300"/>
      <c r="D300"/>
      <c r="E300"/>
      <c r="F300"/>
      <c r="G300"/>
      <c r="H300"/>
      <c r="I300"/>
    </row>
    <row r="301" spans="2:9">
      <c r="B301"/>
      <c r="C301"/>
      <c r="D301"/>
      <c r="E301"/>
      <c r="F301"/>
      <c r="G301"/>
      <c r="H301"/>
      <c r="I301"/>
    </row>
    <row r="302" spans="2:9">
      <c r="B302"/>
      <c r="C302"/>
      <c r="D302"/>
      <c r="E302"/>
      <c r="F302"/>
      <c r="G302"/>
      <c r="H302"/>
      <c r="I302"/>
    </row>
    <row r="303" spans="2:9">
      <c r="B303"/>
      <c r="C303"/>
      <c r="D303"/>
      <c r="E303"/>
      <c r="F303"/>
      <c r="G303"/>
      <c r="H303"/>
      <c r="I303"/>
    </row>
    <row r="304" spans="2:9">
      <c r="B304"/>
      <c r="C304"/>
      <c r="D304"/>
      <c r="E304"/>
      <c r="F304"/>
      <c r="G304"/>
      <c r="H304"/>
      <c r="I304"/>
    </row>
    <row r="305" spans="2:9">
      <c r="B305"/>
      <c r="C305"/>
      <c r="D305"/>
      <c r="E305"/>
      <c r="F305"/>
      <c r="G305"/>
      <c r="H305"/>
      <c r="I305"/>
    </row>
    <row r="306" spans="2:9">
      <c r="B306"/>
      <c r="C306"/>
      <c r="D306"/>
      <c r="E306"/>
      <c r="F306"/>
      <c r="G306"/>
      <c r="H306"/>
      <c r="I306"/>
    </row>
    <row r="307" spans="2:9">
      <c r="B307"/>
      <c r="C307"/>
      <c r="D307"/>
      <c r="E307"/>
      <c r="F307"/>
      <c r="G307"/>
      <c r="H307"/>
      <c r="I307"/>
    </row>
    <row r="308" spans="2:9">
      <c r="B308"/>
      <c r="C308"/>
      <c r="D308"/>
      <c r="E308"/>
      <c r="F308"/>
      <c r="G308"/>
      <c r="H308"/>
      <c r="I308"/>
    </row>
    <row r="309" spans="2:9">
      <c r="B309"/>
      <c r="C309"/>
      <c r="D309"/>
      <c r="E309"/>
      <c r="F309"/>
      <c r="G309"/>
      <c r="H309"/>
      <c r="I309"/>
    </row>
    <row r="310" spans="2:9">
      <c r="B310"/>
      <c r="C310"/>
      <c r="D310"/>
      <c r="E310"/>
      <c r="F310"/>
      <c r="G310"/>
      <c r="H310"/>
      <c r="I310"/>
    </row>
    <row r="311" spans="2:9">
      <c r="B311"/>
      <c r="C311"/>
      <c r="D311"/>
      <c r="E311"/>
      <c r="F311"/>
      <c r="G311"/>
      <c r="H311"/>
      <c r="I311"/>
    </row>
    <row r="312" spans="2:9">
      <c r="B312"/>
      <c r="C312"/>
      <c r="D312"/>
      <c r="E312"/>
      <c r="F312"/>
      <c r="G312"/>
      <c r="H312"/>
      <c r="I312"/>
    </row>
    <row r="313" spans="2:9">
      <c r="B313"/>
      <c r="C313"/>
      <c r="D313"/>
      <c r="E313"/>
      <c r="F313"/>
      <c r="G313"/>
      <c r="H313"/>
      <c r="I313"/>
    </row>
    <row r="314" spans="2:9">
      <c r="B314"/>
      <c r="C314"/>
      <c r="D314"/>
      <c r="E314"/>
      <c r="F314"/>
      <c r="G314"/>
      <c r="H314"/>
      <c r="I314"/>
    </row>
    <row r="315" spans="2:9">
      <c r="B315"/>
      <c r="C315"/>
      <c r="D315"/>
      <c r="E315"/>
      <c r="F315"/>
      <c r="G315"/>
      <c r="H315"/>
      <c r="I315"/>
    </row>
    <row r="316" spans="2:9">
      <c r="B316"/>
      <c r="C316"/>
      <c r="D316"/>
      <c r="E316"/>
      <c r="F316"/>
      <c r="G316"/>
      <c r="H316"/>
      <c r="I316"/>
    </row>
    <row r="317" spans="2:9">
      <c r="B317"/>
      <c r="C317"/>
      <c r="D317"/>
      <c r="E317"/>
      <c r="F317"/>
      <c r="G317"/>
      <c r="H317"/>
      <c r="I317"/>
    </row>
    <row r="318" spans="2:9">
      <c r="B318"/>
      <c r="C318"/>
      <c r="D318"/>
      <c r="E318"/>
      <c r="F318"/>
      <c r="G318"/>
      <c r="H318"/>
      <c r="I318"/>
    </row>
    <row r="319" spans="2:9">
      <c r="B319"/>
      <c r="C319"/>
      <c r="D319"/>
      <c r="E319"/>
      <c r="F319"/>
      <c r="G319"/>
      <c r="H319"/>
      <c r="I319"/>
    </row>
    <row r="320" spans="2:9">
      <c r="B320"/>
      <c r="C320"/>
      <c r="D320"/>
      <c r="E320"/>
      <c r="F320"/>
      <c r="G320"/>
      <c r="H320"/>
      <c r="I320"/>
    </row>
    <row r="321" spans="2:9">
      <c r="B321"/>
      <c r="C321"/>
      <c r="D321"/>
      <c r="E321"/>
      <c r="F321"/>
      <c r="G321"/>
      <c r="H321"/>
      <c r="I321"/>
    </row>
    <row r="322" spans="2:9">
      <c r="B322"/>
      <c r="C322"/>
      <c r="D322"/>
      <c r="E322"/>
      <c r="F322"/>
      <c r="G322"/>
      <c r="H322"/>
      <c r="I322"/>
    </row>
    <row r="323" spans="2:9">
      <c r="B323"/>
      <c r="C323"/>
      <c r="D323"/>
      <c r="E323"/>
      <c r="F323"/>
      <c r="G323"/>
      <c r="H323"/>
      <c r="I323"/>
    </row>
    <row r="324" spans="2:9">
      <c r="B324"/>
      <c r="C324"/>
      <c r="D324"/>
      <c r="E324"/>
      <c r="F324"/>
      <c r="G324"/>
      <c r="H324"/>
      <c r="I324"/>
    </row>
    <row r="325" spans="2:9">
      <c r="B325"/>
      <c r="C325"/>
      <c r="D325"/>
      <c r="E325"/>
      <c r="F325"/>
      <c r="G325"/>
      <c r="H325"/>
      <c r="I325"/>
    </row>
    <row r="326" spans="2:9">
      <c r="B326"/>
      <c r="C326"/>
      <c r="D326"/>
      <c r="E326"/>
      <c r="F326"/>
      <c r="G326"/>
      <c r="H326"/>
      <c r="I326"/>
    </row>
    <row r="327" spans="2:9">
      <c r="B327"/>
      <c r="C327"/>
      <c r="D327"/>
      <c r="E327"/>
      <c r="F327"/>
      <c r="G327"/>
      <c r="H327"/>
      <c r="I327"/>
    </row>
    <row r="328" spans="2:9">
      <c r="B328"/>
      <c r="C328"/>
      <c r="D328"/>
      <c r="E328"/>
      <c r="F328"/>
      <c r="G328"/>
      <c r="H328"/>
      <c r="I328"/>
    </row>
    <row r="329" spans="2:9">
      <c r="B329"/>
      <c r="C329"/>
      <c r="D329"/>
      <c r="E329"/>
      <c r="F329"/>
      <c r="G329"/>
      <c r="H329"/>
      <c r="I329"/>
    </row>
    <row r="330" spans="2:9">
      <c r="B330"/>
      <c r="C330"/>
      <c r="D330"/>
      <c r="E330"/>
      <c r="F330"/>
      <c r="G330"/>
      <c r="H330"/>
      <c r="I330"/>
    </row>
    <row r="331" spans="2:9">
      <c r="B331"/>
      <c r="C331"/>
      <c r="D331"/>
      <c r="E331"/>
      <c r="F331"/>
      <c r="G331"/>
      <c r="H331"/>
      <c r="I331"/>
    </row>
    <row r="332" spans="2:9">
      <c r="B332"/>
      <c r="C332"/>
      <c r="D332"/>
      <c r="E332"/>
      <c r="F332"/>
      <c r="G332"/>
      <c r="H332"/>
      <c r="I332"/>
    </row>
    <row r="333" spans="2:9">
      <c r="B333"/>
      <c r="C333"/>
      <c r="D333"/>
      <c r="E333"/>
      <c r="F333"/>
      <c r="G333"/>
      <c r="H333"/>
      <c r="I333"/>
    </row>
    <row r="334" spans="2:9">
      <c r="B334"/>
      <c r="C334"/>
      <c r="D334"/>
      <c r="E334"/>
      <c r="F334"/>
      <c r="G334"/>
      <c r="H334"/>
      <c r="I334"/>
    </row>
    <row r="335" spans="2:9">
      <c r="B335"/>
      <c r="C335"/>
      <c r="D335"/>
      <c r="E335"/>
      <c r="F335"/>
      <c r="G335"/>
      <c r="H335"/>
      <c r="I335"/>
    </row>
    <row r="336" spans="2:9">
      <c r="B336"/>
      <c r="C336"/>
      <c r="D336"/>
      <c r="E336"/>
      <c r="F336"/>
      <c r="G336"/>
      <c r="H336"/>
      <c r="I336"/>
    </row>
    <row r="337" spans="2:9">
      <c r="B337"/>
      <c r="C337"/>
      <c r="D337"/>
      <c r="E337"/>
      <c r="F337"/>
      <c r="G337"/>
      <c r="H337"/>
      <c r="I337"/>
    </row>
    <row r="338" spans="2:9">
      <c r="B338"/>
      <c r="C338"/>
      <c r="D338"/>
      <c r="E338"/>
      <c r="F338"/>
      <c r="G338"/>
      <c r="H338"/>
      <c r="I338"/>
    </row>
    <row r="339" spans="2:9">
      <c r="B339"/>
      <c r="C339"/>
      <c r="D339"/>
      <c r="E339"/>
      <c r="F339"/>
      <c r="G339"/>
      <c r="H339"/>
      <c r="I339"/>
    </row>
    <row r="340" spans="2:9">
      <c r="B340"/>
      <c r="C340"/>
      <c r="D340"/>
      <c r="E340"/>
      <c r="F340"/>
      <c r="G340"/>
      <c r="H340"/>
      <c r="I340"/>
    </row>
    <row r="341" spans="2:9">
      <c r="B341"/>
      <c r="C341"/>
      <c r="D341"/>
      <c r="E341"/>
      <c r="F341"/>
      <c r="G341"/>
      <c r="H341"/>
      <c r="I341"/>
    </row>
    <row r="342" spans="2:9">
      <c r="B342"/>
      <c r="C342"/>
      <c r="D342"/>
      <c r="E342"/>
      <c r="F342"/>
      <c r="G342"/>
      <c r="H342"/>
      <c r="I342"/>
    </row>
    <row r="343" spans="2:9">
      <c r="B343"/>
      <c r="C343"/>
      <c r="D343"/>
      <c r="E343"/>
      <c r="F343"/>
      <c r="G343"/>
      <c r="H343"/>
      <c r="I343"/>
    </row>
    <row r="344" spans="2:9">
      <c r="B344"/>
      <c r="C344"/>
      <c r="D344"/>
      <c r="E344"/>
      <c r="F344"/>
      <c r="G344"/>
      <c r="H344"/>
      <c r="I344"/>
    </row>
    <row r="345" spans="2:9">
      <c r="B345"/>
      <c r="C345"/>
      <c r="D345"/>
      <c r="E345"/>
      <c r="F345"/>
      <c r="G345"/>
      <c r="H345"/>
      <c r="I345"/>
    </row>
    <row r="346" spans="2:9">
      <c r="B346"/>
      <c r="C346"/>
      <c r="D346"/>
      <c r="E346"/>
      <c r="F346"/>
      <c r="G346"/>
      <c r="H346"/>
      <c r="I346"/>
    </row>
    <row r="347" spans="2:9">
      <c r="B347"/>
      <c r="C347"/>
      <c r="D347"/>
      <c r="E347"/>
      <c r="F347"/>
      <c r="G347"/>
      <c r="H347"/>
      <c r="I347"/>
    </row>
    <row r="348" spans="2:9">
      <c r="B348"/>
      <c r="C348"/>
      <c r="D348"/>
      <c r="E348"/>
      <c r="F348"/>
      <c r="G348"/>
      <c r="H348"/>
      <c r="I348"/>
    </row>
    <row r="349" spans="2:9">
      <c r="B349"/>
      <c r="C349"/>
      <c r="D349"/>
      <c r="E349"/>
      <c r="F349"/>
      <c r="G349"/>
      <c r="H349"/>
      <c r="I349"/>
    </row>
    <row r="350" spans="2:9">
      <c r="B350"/>
      <c r="C350"/>
      <c r="D350"/>
      <c r="E350"/>
      <c r="F350"/>
      <c r="G350"/>
      <c r="H350"/>
      <c r="I350"/>
    </row>
    <row r="351" spans="2:9">
      <c r="B351"/>
      <c r="C351"/>
      <c r="D351"/>
      <c r="E351"/>
      <c r="F351"/>
      <c r="G351"/>
      <c r="H351"/>
      <c r="I351"/>
    </row>
    <row r="352" spans="2:9">
      <c r="B352"/>
      <c r="C352"/>
      <c r="D352"/>
      <c r="E352"/>
      <c r="F352"/>
      <c r="G352"/>
      <c r="H352"/>
      <c r="I352"/>
    </row>
    <row r="353" spans="2:9">
      <c r="B353"/>
      <c r="C353"/>
      <c r="D353"/>
      <c r="E353"/>
      <c r="F353"/>
      <c r="G353"/>
      <c r="H353"/>
      <c r="I353"/>
    </row>
    <row r="354" spans="2:9">
      <c r="B354"/>
      <c r="C354"/>
      <c r="D354"/>
      <c r="E354"/>
      <c r="F354"/>
      <c r="G354"/>
      <c r="H354"/>
      <c r="I354"/>
    </row>
    <row r="355" spans="2:9">
      <c r="B355"/>
      <c r="C355"/>
      <c r="D355"/>
      <c r="E355"/>
      <c r="F355"/>
      <c r="G355"/>
      <c r="H355"/>
      <c r="I355"/>
    </row>
    <row r="356" spans="2:9">
      <c r="B356"/>
      <c r="C356"/>
      <c r="D356"/>
      <c r="E356"/>
      <c r="F356"/>
      <c r="G356"/>
      <c r="H356"/>
      <c r="I356"/>
    </row>
    <row r="357" spans="2:9">
      <c r="B357"/>
      <c r="C357"/>
      <c r="D357"/>
      <c r="E357"/>
      <c r="F357"/>
      <c r="G357"/>
      <c r="H357"/>
      <c r="I357"/>
    </row>
    <row r="358" spans="2:9">
      <c r="B358"/>
      <c r="C358"/>
      <c r="D358"/>
      <c r="E358"/>
      <c r="F358"/>
      <c r="G358"/>
      <c r="H358"/>
      <c r="I358"/>
    </row>
    <row r="359" spans="2:9">
      <c r="B359"/>
      <c r="C359"/>
      <c r="D359"/>
      <c r="E359"/>
      <c r="F359"/>
      <c r="G359"/>
      <c r="H359"/>
      <c r="I359"/>
    </row>
    <row r="360" spans="2:9">
      <c r="B360"/>
      <c r="C360"/>
      <c r="D360"/>
      <c r="E360"/>
      <c r="F360"/>
      <c r="G360"/>
      <c r="H360"/>
      <c r="I360"/>
    </row>
    <row r="361" spans="2:9">
      <c r="B361"/>
      <c r="C361"/>
      <c r="D361"/>
      <c r="E361"/>
      <c r="F361"/>
      <c r="G361"/>
      <c r="H361"/>
      <c r="I361"/>
    </row>
    <row r="362" spans="2:9">
      <c r="B362"/>
      <c r="C362"/>
      <c r="D362"/>
      <c r="E362"/>
      <c r="F362"/>
      <c r="G362"/>
      <c r="H362"/>
      <c r="I362"/>
    </row>
    <row r="363" spans="2:9">
      <c r="B363"/>
      <c r="C363"/>
      <c r="D363"/>
      <c r="E363"/>
      <c r="F363"/>
      <c r="G363"/>
      <c r="H363"/>
      <c r="I363"/>
    </row>
    <row r="364" spans="2:9">
      <c r="B364"/>
      <c r="C364"/>
      <c r="D364"/>
      <c r="E364"/>
      <c r="F364"/>
      <c r="G364"/>
      <c r="H364"/>
      <c r="I364"/>
    </row>
    <row r="365" spans="2:9">
      <c r="B365"/>
      <c r="C365"/>
      <c r="D365"/>
      <c r="E365"/>
      <c r="F365"/>
      <c r="G365"/>
      <c r="H365"/>
      <c r="I365"/>
    </row>
    <row r="366" spans="2:9">
      <c r="B366"/>
      <c r="C366"/>
      <c r="D366"/>
      <c r="E366"/>
      <c r="F366"/>
      <c r="G366"/>
      <c r="H366"/>
      <c r="I366"/>
    </row>
    <row r="367" spans="2:9">
      <c r="B367"/>
      <c r="C367"/>
      <c r="D367"/>
      <c r="E367"/>
      <c r="F367"/>
      <c r="G367"/>
      <c r="H367"/>
      <c r="I367"/>
    </row>
    <row r="368" spans="2:9">
      <c r="B368"/>
      <c r="C368"/>
      <c r="D368"/>
      <c r="E368"/>
      <c r="F368"/>
      <c r="G368"/>
      <c r="H368"/>
      <c r="I368"/>
    </row>
    <row r="369" spans="2:9">
      <c r="B369"/>
      <c r="C369"/>
      <c r="D369"/>
      <c r="E369"/>
      <c r="F369"/>
      <c r="G369"/>
      <c r="H369"/>
      <c r="I369"/>
    </row>
    <row r="370" spans="2:9">
      <c r="B370"/>
      <c r="C370"/>
      <c r="D370"/>
      <c r="E370"/>
      <c r="F370"/>
      <c r="G370"/>
      <c r="H370"/>
      <c r="I370"/>
    </row>
    <row r="371" spans="2:9">
      <c r="B371"/>
      <c r="C371"/>
      <c r="D371"/>
      <c r="E371"/>
      <c r="F371"/>
      <c r="G371"/>
      <c r="H371"/>
      <c r="I371"/>
    </row>
    <row r="372" spans="2:9">
      <c r="B372"/>
      <c r="C372"/>
      <c r="D372"/>
      <c r="E372"/>
      <c r="F372"/>
      <c r="G372"/>
      <c r="H372"/>
      <c r="I372"/>
    </row>
    <row r="373" spans="2:9">
      <c r="B373"/>
      <c r="C373"/>
      <c r="D373"/>
      <c r="E373"/>
      <c r="F373"/>
      <c r="G373"/>
      <c r="H373"/>
      <c r="I373"/>
    </row>
    <row r="374" spans="2:9">
      <c r="B374"/>
      <c r="C374"/>
      <c r="D374"/>
      <c r="E374"/>
      <c r="F374"/>
      <c r="G374"/>
      <c r="H374"/>
      <c r="I374"/>
    </row>
    <row r="375" spans="2:9">
      <c r="B375"/>
      <c r="C375"/>
      <c r="D375"/>
      <c r="E375"/>
      <c r="F375"/>
      <c r="G375"/>
      <c r="H375"/>
      <c r="I375"/>
    </row>
    <row r="376" spans="2:9">
      <c r="B376"/>
      <c r="C376"/>
      <c r="D376"/>
      <c r="E376"/>
      <c r="F376"/>
      <c r="G376"/>
      <c r="H376"/>
      <c r="I376"/>
    </row>
    <row r="377" spans="2:9">
      <c r="B377"/>
      <c r="C377"/>
      <c r="D377"/>
      <c r="E377"/>
      <c r="F377"/>
      <c r="G377"/>
      <c r="H377"/>
      <c r="I377"/>
    </row>
    <row r="378" spans="2:9">
      <c r="B378"/>
      <c r="C378"/>
      <c r="D378"/>
      <c r="E378"/>
      <c r="F378"/>
      <c r="G378"/>
      <c r="H378"/>
      <c r="I378"/>
    </row>
    <row r="379" spans="2:9">
      <c r="B379"/>
      <c r="C379"/>
      <c r="D379"/>
      <c r="E379"/>
      <c r="F379"/>
      <c r="G379"/>
      <c r="H379"/>
      <c r="I379"/>
    </row>
    <row r="380" spans="2:9">
      <c r="B380"/>
      <c r="C380"/>
      <c r="D380"/>
      <c r="E380"/>
      <c r="F380"/>
      <c r="G380"/>
      <c r="H380"/>
      <c r="I380"/>
    </row>
    <row r="381" spans="2:9">
      <c r="B381"/>
      <c r="C381"/>
      <c r="D381"/>
      <c r="E381"/>
      <c r="F381"/>
      <c r="G381"/>
      <c r="H381"/>
      <c r="I381"/>
    </row>
    <row r="382" spans="2:9">
      <c r="B382"/>
      <c r="C382"/>
      <c r="D382"/>
      <c r="E382"/>
      <c r="F382"/>
      <c r="G382"/>
      <c r="H382"/>
      <c r="I382"/>
    </row>
    <row r="383" spans="2:9">
      <c r="B383"/>
      <c r="C383"/>
      <c r="D383"/>
      <c r="E383"/>
      <c r="F383"/>
      <c r="G383"/>
      <c r="H383"/>
      <c r="I383"/>
    </row>
    <row r="384" spans="2:9">
      <c r="B384"/>
      <c r="C384"/>
      <c r="D384"/>
      <c r="E384"/>
      <c r="F384"/>
      <c r="G384"/>
      <c r="H384"/>
      <c r="I384"/>
    </row>
    <row r="385" spans="2:9">
      <c r="B385"/>
      <c r="C385"/>
      <c r="D385"/>
      <c r="E385"/>
      <c r="F385"/>
      <c r="G385"/>
      <c r="H385"/>
      <c r="I385"/>
    </row>
    <row r="386" spans="2:9">
      <c r="B386"/>
      <c r="C386"/>
      <c r="D386"/>
      <c r="E386"/>
      <c r="F386"/>
      <c r="G386"/>
      <c r="H386"/>
      <c r="I386"/>
    </row>
    <row r="387" spans="2:9">
      <c r="B387"/>
      <c r="C387"/>
      <c r="D387"/>
      <c r="E387"/>
      <c r="F387"/>
      <c r="G387"/>
      <c r="H387"/>
      <c r="I387"/>
    </row>
    <row r="388" spans="2:9">
      <c r="B388"/>
      <c r="C388"/>
      <c r="D388"/>
      <c r="E388"/>
      <c r="F388"/>
      <c r="G388"/>
      <c r="H388"/>
      <c r="I388"/>
    </row>
    <row r="389" spans="2:9">
      <c r="B389"/>
      <c r="C389"/>
      <c r="D389"/>
      <c r="E389"/>
      <c r="F389"/>
      <c r="G389"/>
      <c r="H389"/>
      <c r="I389"/>
    </row>
    <row r="390" spans="2:9">
      <c r="B390"/>
      <c r="C390"/>
      <c r="D390"/>
      <c r="E390"/>
      <c r="F390"/>
      <c r="G390"/>
      <c r="H390"/>
      <c r="I390"/>
    </row>
    <row r="391" spans="2:9">
      <c r="B391"/>
      <c r="C391"/>
      <c r="D391"/>
      <c r="E391"/>
      <c r="F391"/>
      <c r="G391"/>
      <c r="H391"/>
      <c r="I391"/>
    </row>
    <row r="392" spans="2:9">
      <c r="B392"/>
      <c r="C392"/>
      <c r="D392"/>
      <c r="E392"/>
      <c r="F392"/>
      <c r="G392"/>
      <c r="H392"/>
      <c r="I392"/>
    </row>
    <row r="393" spans="2:9">
      <c r="B393"/>
      <c r="C393"/>
      <c r="D393"/>
      <c r="E393"/>
      <c r="F393"/>
      <c r="G393"/>
      <c r="H393"/>
      <c r="I393"/>
    </row>
    <row r="394" spans="2:9">
      <c r="B394"/>
      <c r="C394"/>
      <c r="D394"/>
      <c r="E394"/>
      <c r="F394"/>
      <c r="G394"/>
      <c r="H394"/>
      <c r="I394"/>
    </row>
    <row r="395" spans="2:9">
      <c r="B395"/>
      <c r="C395"/>
      <c r="D395"/>
      <c r="E395"/>
      <c r="F395"/>
      <c r="G395"/>
      <c r="H395"/>
      <c r="I395"/>
    </row>
    <row r="396" spans="2:9">
      <c r="B396"/>
      <c r="C396"/>
      <c r="D396"/>
      <c r="E396"/>
      <c r="F396"/>
      <c r="G396"/>
      <c r="H396"/>
      <c r="I396"/>
    </row>
    <row r="397" spans="2:9">
      <c r="B397"/>
      <c r="C397"/>
      <c r="D397"/>
      <c r="E397"/>
      <c r="F397"/>
      <c r="G397"/>
      <c r="H397"/>
      <c r="I397"/>
    </row>
    <row r="398" spans="2:9">
      <c r="B398"/>
      <c r="C398"/>
      <c r="D398"/>
      <c r="E398"/>
      <c r="F398"/>
      <c r="G398"/>
      <c r="H398"/>
      <c r="I398"/>
    </row>
    <row r="399" spans="2:9">
      <c r="B399"/>
      <c r="C399"/>
      <c r="D399"/>
      <c r="E399"/>
      <c r="F399"/>
      <c r="G399"/>
      <c r="H399"/>
      <c r="I399"/>
    </row>
    <row r="400" spans="2:9">
      <c r="B400"/>
      <c r="C400"/>
      <c r="D400"/>
      <c r="E400"/>
      <c r="F400"/>
      <c r="G400"/>
      <c r="H400"/>
      <c r="I400"/>
    </row>
    <row r="401" spans="2:9">
      <c r="B401"/>
      <c r="C401"/>
      <c r="D401"/>
      <c r="E401"/>
      <c r="F401"/>
      <c r="G401"/>
      <c r="H401"/>
      <c r="I401"/>
    </row>
    <row r="402" spans="2:9">
      <c r="B402"/>
      <c r="C402"/>
      <c r="D402"/>
      <c r="E402"/>
      <c r="F402"/>
      <c r="G402"/>
      <c r="H402"/>
      <c r="I402"/>
    </row>
    <row r="403" spans="2:9">
      <c r="B403"/>
      <c r="C403"/>
      <c r="D403"/>
      <c r="E403"/>
      <c r="F403"/>
      <c r="G403"/>
      <c r="H403"/>
      <c r="I403"/>
    </row>
    <row r="404" spans="2:9">
      <c r="B404"/>
      <c r="C404"/>
      <c r="D404"/>
      <c r="E404"/>
      <c r="F404"/>
      <c r="G404"/>
      <c r="H404"/>
      <c r="I404"/>
    </row>
    <row r="405" spans="2:9">
      <c r="B405"/>
      <c r="C405"/>
      <c r="D405"/>
      <c r="E405"/>
      <c r="F405"/>
      <c r="G405"/>
      <c r="H405"/>
      <c r="I405"/>
    </row>
    <row r="406" spans="2:9">
      <c r="B406"/>
      <c r="C406"/>
      <c r="D406"/>
      <c r="E406"/>
      <c r="F406"/>
      <c r="G406"/>
      <c r="H406"/>
      <c r="I406"/>
    </row>
    <row r="407" spans="2:9">
      <c r="B407"/>
      <c r="C407"/>
      <c r="D407"/>
      <c r="E407"/>
      <c r="F407"/>
      <c r="G407"/>
      <c r="H407"/>
      <c r="I407"/>
    </row>
    <row r="408" spans="2:9">
      <c r="B408"/>
      <c r="C408"/>
      <c r="D408"/>
      <c r="E408"/>
      <c r="F408"/>
      <c r="G408"/>
      <c r="H408"/>
      <c r="I408"/>
    </row>
    <row r="409" spans="2:9">
      <c r="B409"/>
      <c r="C409"/>
      <c r="D409"/>
      <c r="E409"/>
      <c r="F409"/>
      <c r="G409"/>
      <c r="H409"/>
      <c r="I409"/>
    </row>
    <row r="410" spans="2:9">
      <c r="B410"/>
      <c r="C410"/>
      <c r="D410"/>
      <c r="E410"/>
      <c r="F410"/>
      <c r="G410"/>
      <c r="H410"/>
      <c r="I410"/>
    </row>
    <row r="411" spans="2:9">
      <c r="B411"/>
      <c r="C411"/>
      <c r="D411"/>
      <c r="E411"/>
      <c r="F411"/>
      <c r="G411"/>
      <c r="H411"/>
      <c r="I411"/>
    </row>
    <row r="412" spans="2:9">
      <c r="B412"/>
      <c r="C412"/>
      <c r="D412"/>
      <c r="E412"/>
      <c r="F412"/>
      <c r="G412"/>
      <c r="H412"/>
      <c r="I412"/>
    </row>
    <row r="413" spans="2:9">
      <c r="B413"/>
      <c r="C413"/>
      <c r="D413"/>
      <c r="E413"/>
      <c r="F413"/>
      <c r="G413"/>
      <c r="H413"/>
      <c r="I413"/>
    </row>
    <row r="414" spans="2:9">
      <c r="B414"/>
      <c r="C414"/>
      <c r="D414"/>
      <c r="E414"/>
      <c r="F414"/>
      <c r="G414"/>
      <c r="H414"/>
      <c r="I414"/>
    </row>
    <row r="415" spans="2:9">
      <c r="B415"/>
      <c r="C415"/>
      <c r="D415"/>
      <c r="E415"/>
      <c r="F415"/>
      <c r="G415"/>
      <c r="H415"/>
      <c r="I415"/>
    </row>
    <row r="416" spans="2:9">
      <c r="B416"/>
      <c r="C416"/>
      <c r="D416"/>
      <c r="E416"/>
      <c r="F416"/>
      <c r="G416"/>
      <c r="H416"/>
      <c r="I416"/>
    </row>
    <row r="417" spans="2:9">
      <c r="B417"/>
      <c r="C417"/>
      <c r="D417"/>
      <c r="E417"/>
      <c r="F417"/>
      <c r="G417"/>
      <c r="H417"/>
      <c r="I417"/>
    </row>
    <row r="418" spans="2:9">
      <c r="B418"/>
      <c r="C418"/>
      <c r="D418"/>
      <c r="E418"/>
      <c r="F418"/>
      <c r="G418"/>
      <c r="H418"/>
      <c r="I418"/>
    </row>
    <row r="419" spans="2:9">
      <c r="B419"/>
      <c r="C419"/>
      <c r="D419"/>
      <c r="E419"/>
      <c r="F419"/>
      <c r="G419"/>
      <c r="H419"/>
      <c r="I419"/>
    </row>
    <row r="420" spans="2:9">
      <c r="B420"/>
      <c r="C420"/>
      <c r="D420"/>
      <c r="E420"/>
      <c r="F420"/>
      <c r="G420"/>
      <c r="H420"/>
      <c r="I420"/>
    </row>
    <row r="421" spans="2:9">
      <c r="B421"/>
      <c r="C421"/>
      <c r="D421"/>
      <c r="E421"/>
      <c r="F421"/>
      <c r="G421"/>
      <c r="H421"/>
      <c r="I421"/>
    </row>
    <row r="422" spans="2:9">
      <c r="B422"/>
      <c r="C422"/>
      <c r="D422"/>
      <c r="E422"/>
      <c r="F422"/>
      <c r="G422"/>
      <c r="H422"/>
      <c r="I422"/>
    </row>
    <row r="423" spans="2:9">
      <c r="B423"/>
      <c r="C423"/>
      <c r="D423"/>
      <c r="E423"/>
      <c r="F423"/>
      <c r="G423"/>
      <c r="H423"/>
      <c r="I423"/>
    </row>
    <row r="424" spans="2:9">
      <c r="B424"/>
      <c r="C424"/>
      <c r="D424"/>
      <c r="E424"/>
      <c r="F424"/>
      <c r="G424"/>
      <c r="H424"/>
      <c r="I424"/>
    </row>
    <row r="425" spans="2:9">
      <c r="B425"/>
      <c r="C425"/>
      <c r="D425"/>
      <c r="E425"/>
      <c r="F425"/>
      <c r="G425"/>
      <c r="H425"/>
      <c r="I425"/>
    </row>
    <row r="426" spans="2:9">
      <c r="B426"/>
      <c r="C426"/>
      <c r="D426"/>
      <c r="E426"/>
      <c r="F426"/>
      <c r="G426"/>
      <c r="H426"/>
      <c r="I426"/>
    </row>
    <row r="427" spans="2:9">
      <c r="B427"/>
      <c r="C427"/>
      <c r="D427"/>
      <c r="E427"/>
      <c r="F427"/>
      <c r="G427"/>
      <c r="H427"/>
      <c r="I427"/>
    </row>
    <row r="428" spans="2:9">
      <c r="B428"/>
      <c r="C428"/>
      <c r="D428"/>
      <c r="E428"/>
      <c r="F428"/>
      <c r="G428"/>
      <c r="H428"/>
      <c r="I428"/>
    </row>
    <row r="429" spans="2:9">
      <c r="B429"/>
      <c r="C429"/>
      <c r="D429"/>
      <c r="E429"/>
      <c r="F429"/>
      <c r="G429"/>
      <c r="H429"/>
      <c r="I429"/>
    </row>
    <row r="430" spans="2:9">
      <c r="B430"/>
      <c r="C430"/>
      <c r="D430"/>
      <c r="E430"/>
      <c r="F430"/>
      <c r="G430"/>
      <c r="H430"/>
      <c r="I430"/>
    </row>
    <row r="431" spans="2:9">
      <c r="B431"/>
      <c r="C431"/>
      <c r="D431"/>
      <c r="E431"/>
      <c r="F431"/>
      <c r="G431"/>
      <c r="H431"/>
      <c r="I431"/>
    </row>
    <row r="432" spans="2:9">
      <c r="B432"/>
      <c r="C432"/>
      <c r="D432"/>
      <c r="E432"/>
      <c r="F432"/>
      <c r="G432"/>
      <c r="H432"/>
      <c r="I432"/>
    </row>
    <row r="433" spans="2:9">
      <c r="B433"/>
      <c r="C433"/>
      <c r="D433"/>
      <c r="E433"/>
      <c r="F433"/>
      <c r="G433"/>
      <c r="H433"/>
      <c r="I433"/>
    </row>
    <row r="434" spans="2:9">
      <c r="B434"/>
      <c r="C434"/>
      <c r="D434"/>
      <c r="E434"/>
      <c r="F434"/>
      <c r="G434"/>
      <c r="H434"/>
      <c r="I434"/>
    </row>
    <row r="435" spans="2:9">
      <c r="B435"/>
      <c r="C435"/>
      <c r="D435"/>
      <c r="E435"/>
      <c r="F435"/>
      <c r="G435"/>
      <c r="H435"/>
      <c r="I435"/>
    </row>
    <row r="436" spans="2:9">
      <c r="B436"/>
      <c r="C436"/>
      <c r="D436"/>
      <c r="E436"/>
      <c r="F436"/>
      <c r="G436"/>
      <c r="H436"/>
      <c r="I436"/>
    </row>
    <row r="437" spans="2:9">
      <c r="B437"/>
      <c r="C437"/>
      <c r="D437"/>
      <c r="E437"/>
      <c r="F437"/>
      <c r="G437"/>
      <c r="H437"/>
      <c r="I437"/>
    </row>
    <row r="438" spans="2:9">
      <c r="B438"/>
      <c r="C438"/>
      <c r="D438"/>
      <c r="E438"/>
      <c r="F438"/>
      <c r="G438"/>
      <c r="H438"/>
      <c r="I438"/>
    </row>
    <row r="439" spans="2:9">
      <c r="B439"/>
      <c r="C439"/>
      <c r="D439"/>
      <c r="E439"/>
      <c r="F439"/>
      <c r="G439"/>
      <c r="H439"/>
      <c r="I439"/>
    </row>
    <row r="440" spans="2:9">
      <c r="B440"/>
      <c r="C440"/>
      <c r="D440"/>
      <c r="E440"/>
      <c r="F440"/>
      <c r="G440"/>
      <c r="H440"/>
      <c r="I440"/>
    </row>
    <row r="441" spans="2:9">
      <c r="B441"/>
      <c r="C441"/>
      <c r="D441"/>
      <c r="E441"/>
      <c r="F441"/>
      <c r="G441"/>
      <c r="H441"/>
      <c r="I441"/>
    </row>
    <row r="442" spans="2:9">
      <c r="B442"/>
      <c r="C442"/>
      <c r="D442"/>
      <c r="E442"/>
      <c r="F442"/>
      <c r="G442"/>
      <c r="H442"/>
      <c r="I442"/>
    </row>
    <row r="443" spans="2:9">
      <c r="B443"/>
      <c r="C443"/>
      <c r="D443"/>
      <c r="E443"/>
      <c r="F443"/>
      <c r="G443"/>
      <c r="H443"/>
      <c r="I443"/>
    </row>
    <row r="444" spans="2:9">
      <c r="B444"/>
      <c r="C444"/>
      <c r="D444"/>
      <c r="E444"/>
      <c r="F444"/>
      <c r="G444"/>
      <c r="H444"/>
      <c r="I444"/>
    </row>
    <row r="445" spans="2:9">
      <c r="B445"/>
      <c r="C445"/>
      <c r="D445"/>
      <c r="E445"/>
      <c r="F445"/>
      <c r="G445"/>
      <c r="H445"/>
      <c r="I445"/>
    </row>
    <row r="446" spans="2:9">
      <c r="B446"/>
      <c r="C446"/>
      <c r="D446"/>
      <c r="E446"/>
      <c r="F446"/>
      <c r="G446"/>
      <c r="H446"/>
      <c r="I446"/>
    </row>
    <row r="447" spans="2:9">
      <c r="B447"/>
      <c r="C447"/>
      <c r="D447"/>
      <c r="E447"/>
      <c r="F447"/>
      <c r="G447"/>
      <c r="H447"/>
      <c r="I447"/>
    </row>
    <row r="448" spans="2:9">
      <c r="B448"/>
      <c r="C448"/>
      <c r="D448"/>
      <c r="E448"/>
      <c r="F448"/>
      <c r="G448"/>
      <c r="H448"/>
      <c r="I448"/>
    </row>
    <row r="449" spans="2:9">
      <c r="B449"/>
      <c r="C449"/>
      <c r="D449"/>
      <c r="E449"/>
      <c r="F449"/>
      <c r="G449"/>
      <c r="H449"/>
      <c r="I449"/>
    </row>
    <row r="450" spans="2:9">
      <c r="B450"/>
      <c r="C450"/>
      <c r="D450"/>
      <c r="E450"/>
      <c r="F450"/>
      <c r="G450"/>
      <c r="H450"/>
      <c r="I450"/>
    </row>
    <row r="451" spans="2:9">
      <c r="B451"/>
      <c r="C451"/>
      <c r="D451"/>
      <c r="E451"/>
      <c r="F451"/>
      <c r="G451"/>
      <c r="H451"/>
      <c r="I451"/>
    </row>
    <row r="452" spans="2:9">
      <c r="B452"/>
      <c r="C452"/>
      <c r="D452"/>
      <c r="E452"/>
      <c r="F452"/>
      <c r="G452"/>
      <c r="H452"/>
      <c r="I452"/>
    </row>
    <row r="453" spans="2:9">
      <c r="B453"/>
      <c r="C453"/>
      <c r="D453"/>
      <c r="E453"/>
      <c r="F453"/>
      <c r="G453"/>
      <c r="H453"/>
      <c r="I453"/>
    </row>
    <row r="454" spans="2:9">
      <c r="B454"/>
      <c r="C454"/>
      <c r="D454"/>
      <c r="E454"/>
      <c r="F454"/>
      <c r="G454"/>
      <c r="H454"/>
      <c r="I454"/>
    </row>
    <row r="455" spans="2:9">
      <c r="B455"/>
      <c r="C455"/>
      <c r="D455"/>
      <c r="E455"/>
      <c r="F455"/>
      <c r="G455"/>
      <c r="H455"/>
      <c r="I455"/>
    </row>
    <row r="456" spans="2:9">
      <c r="B456"/>
      <c r="C456"/>
      <c r="D456"/>
      <c r="E456"/>
      <c r="F456"/>
      <c r="G456"/>
      <c r="H456"/>
      <c r="I456"/>
    </row>
    <row r="457" spans="2:9">
      <c r="B457"/>
      <c r="C457"/>
      <c r="D457"/>
      <c r="E457"/>
      <c r="F457"/>
      <c r="G457"/>
      <c r="H457"/>
      <c r="I457"/>
    </row>
    <row r="458" spans="2:9">
      <c r="B458"/>
      <c r="C458"/>
      <c r="D458"/>
      <c r="E458"/>
      <c r="F458"/>
      <c r="G458"/>
      <c r="H458"/>
      <c r="I458"/>
    </row>
    <row r="459" spans="2:9">
      <c r="B459"/>
      <c r="C459"/>
      <c r="D459"/>
      <c r="E459"/>
      <c r="F459"/>
      <c r="G459"/>
      <c r="H459"/>
      <c r="I459"/>
    </row>
    <row r="460" spans="2:9">
      <c r="B460"/>
      <c r="C460"/>
      <c r="D460"/>
      <c r="E460"/>
      <c r="F460"/>
      <c r="G460"/>
      <c r="H460"/>
      <c r="I460"/>
    </row>
    <row r="461" spans="2:9">
      <c r="B461"/>
      <c r="C461"/>
      <c r="D461"/>
      <c r="E461"/>
      <c r="F461"/>
      <c r="G461"/>
      <c r="H461"/>
      <c r="I461"/>
    </row>
    <row r="462" spans="2:9">
      <c r="B462"/>
      <c r="C462"/>
      <c r="D462"/>
      <c r="E462"/>
      <c r="F462"/>
      <c r="G462"/>
      <c r="H462"/>
      <c r="I462"/>
    </row>
    <row r="463" spans="2:9">
      <c r="B463"/>
      <c r="C463"/>
      <c r="D463"/>
      <c r="E463"/>
      <c r="F463"/>
      <c r="G463"/>
      <c r="H463"/>
      <c r="I463"/>
    </row>
    <row r="464" spans="2:9">
      <c r="B464"/>
      <c r="C464"/>
      <c r="D464"/>
      <c r="E464"/>
      <c r="F464"/>
      <c r="G464"/>
      <c r="H464"/>
      <c r="I464"/>
    </row>
    <row r="465" spans="2:9">
      <c r="B465"/>
      <c r="C465"/>
      <c r="D465"/>
      <c r="E465"/>
      <c r="F465"/>
      <c r="G465"/>
      <c r="H465"/>
      <c r="I465"/>
    </row>
    <row r="466" spans="2:9">
      <c r="B466"/>
      <c r="C466"/>
      <c r="D466"/>
      <c r="E466"/>
      <c r="F466"/>
      <c r="G466"/>
      <c r="H466"/>
      <c r="I466"/>
    </row>
    <row r="467" spans="2:9">
      <c r="B467"/>
      <c r="C467"/>
      <c r="D467"/>
      <c r="E467"/>
      <c r="F467"/>
      <c r="G467"/>
      <c r="H467"/>
      <c r="I467"/>
    </row>
    <row r="468" spans="2:9">
      <c r="B468"/>
      <c r="C468"/>
      <c r="D468"/>
      <c r="E468"/>
      <c r="F468"/>
      <c r="G468"/>
      <c r="H468"/>
      <c r="I468"/>
    </row>
    <row r="469" spans="2:9">
      <c r="B469"/>
      <c r="C469"/>
      <c r="D469"/>
      <c r="E469"/>
      <c r="F469"/>
      <c r="G469"/>
      <c r="H469"/>
      <c r="I469"/>
    </row>
    <row r="470" spans="2:9">
      <c r="B470"/>
      <c r="C470"/>
      <c r="D470"/>
      <c r="E470"/>
      <c r="F470"/>
      <c r="G470"/>
      <c r="H470"/>
      <c r="I470"/>
    </row>
    <row r="471" spans="2:9">
      <c r="B471"/>
      <c r="C471"/>
      <c r="D471"/>
      <c r="E471"/>
      <c r="F471"/>
      <c r="G471"/>
      <c r="H471"/>
      <c r="I471"/>
    </row>
    <row r="472" spans="2:9">
      <c r="B472"/>
      <c r="C472"/>
      <c r="D472"/>
      <c r="E472"/>
      <c r="F472"/>
      <c r="G472"/>
      <c r="H472"/>
      <c r="I472"/>
    </row>
    <row r="473" spans="2:9">
      <c r="B473"/>
      <c r="C473"/>
      <c r="D473"/>
      <c r="E473"/>
      <c r="F473"/>
      <c r="G473"/>
      <c r="H473"/>
      <c r="I473"/>
    </row>
    <row r="474" spans="2:9">
      <c r="B474"/>
      <c r="C474"/>
      <c r="D474"/>
      <c r="E474"/>
      <c r="F474"/>
      <c r="G474"/>
      <c r="H474"/>
      <c r="I474"/>
    </row>
    <row r="475" spans="2:9">
      <c r="B475"/>
      <c r="C475"/>
      <c r="D475"/>
      <c r="E475"/>
      <c r="F475"/>
      <c r="G475"/>
      <c r="H475"/>
      <c r="I475"/>
    </row>
    <row r="476" spans="2:9">
      <c r="B476"/>
      <c r="C476"/>
      <c r="D476"/>
      <c r="E476"/>
      <c r="F476"/>
      <c r="G476"/>
      <c r="H476"/>
      <c r="I476"/>
    </row>
    <row r="477" spans="2:9">
      <c r="B477"/>
      <c r="C477"/>
      <c r="D477"/>
      <c r="E477"/>
      <c r="F477"/>
      <c r="G477"/>
      <c r="H477"/>
      <c r="I477"/>
    </row>
    <row r="478" spans="2:9">
      <c r="B478"/>
      <c r="C478"/>
      <c r="D478"/>
      <c r="E478"/>
      <c r="F478"/>
      <c r="G478"/>
      <c r="H478"/>
      <c r="I478"/>
    </row>
    <row r="479" spans="2:9">
      <c r="B479"/>
      <c r="C479"/>
      <c r="D479"/>
      <c r="E479"/>
      <c r="F479"/>
      <c r="G479"/>
      <c r="H479"/>
      <c r="I479"/>
    </row>
    <row r="480" spans="2:9">
      <c r="B480"/>
      <c r="C480"/>
      <c r="D480"/>
      <c r="E480"/>
      <c r="F480"/>
      <c r="G480"/>
      <c r="H480"/>
      <c r="I480"/>
    </row>
    <row r="481" spans="2:9">
      <c r="B481"/>
      <c r="C481"/>
      <c r="D481"/>
      <c r="E481"/>
      <c r="F481"/>
      <c r="G481"/>
      <c r="H481"/>
      <c r="I481"/>
    </row>
    <row r="482" spans="2:9">
      <c r="B482"/>
      <c r="C482"/>
      <c r="D482"/>
      <c r="E482"/>
      <c r="F482"/>
      <c r="G482"/>
      <c r="H482"/>
      <c r="I482"/>
    </row>
    <row r="483" spans="2:9">
      <c r="B483"/>
      <c r="C483"/>
      <c r="D483"/>
      <c r="E483"/>
      <c r="F483"/>
      <c r="G483"/>
      <c r="H483"/>
      <c r="I483"/>
    </row>
    <row r="484" spans="2:9">
      <c r="B484"/>
      <c r="C484"/>
      <c r="D484"/>
      <c r="E484"/>
      <c r="F484"/>
      <c r="G484"/>
      <c r="H484"/>
      <c r="I484"/>
    </row>
    <row r="485" spans="2:9">
      <c r="B485"/>
      <c r="C485"/>
      <c r="D485"/>
      <c r="E485"/>
      <c r="F485"/>
      <c r="G485"/>
      <c r="H485"/>
      <c r="I485"/>
    </row>
    <row r="486" spans="2:9">
      <c r="B486"/>
      <c r="C486"/>
      <c r="D486"/>
      <c r="E486"/>
      <c r="F486"/>
      <c r="G486"/>
      <c r="H486"/>
      <c r="I486"/>
    </row>
    <row r="487" spans="2:9">
      <c r="B487"/>
      <c r="C487"/>
      <c r="D487"/>
      <c r="E487"/>
      <c r="F487"/>
      <c r="G487"/>
      <c r="H487"/>
      <c r="I487"/>
    </row>
    <row r="488" spans="2:9">
      <c r="B488"/>
      <c r="C488"/>
      <c r="D488"/>
      <c r="E488"/>
      <c r="F488"/>
      <c r="G488"/>
      <c r="H488"/>
      <c r="I488"/>
    </row>
    <row r="489" spans="2:9">
      <c r="B489"/>
      <c r="C489"/>
      <c r="D489"/>
      <c r="E489"/>
      <c r="F489"/>
      <c r="G489"/>
      <c r="H489"/>
      <c r="I489"/>
    </row>
    <row r="490" spans="2:9">
      <c r="B490"/>
      <c r="C490"/>
      <c r="D490"/>
      <c r="E490"/>
      <c r="F490"/>
      <c r="G490"/>
      <c r="H490"/>
      <c r="I490"/>
    </row>
    <row r="491" spans="2:9">
      <c r="B491"/>
      <c r="C491"/>
      <c r="D491"/>
      <c r="E491"/>
      <c r="F491"/>
      <c r="G491"/>
      <c r="H491"/>
      <c r="I491"/>
    </row>
    <row r="492" spans="2:9">
      <c r="B492"/>
      <c r="C492"/>
      <c r="D492"/>
      <c r="E492"/>
      <c r="F492"/>
      <c r="G492"/>
      <c r="H492"/>
      <c r="I492"/>
    </row>
    <row r="493" spans="2:9">
      <c r="B493"/>
      <c r="C493"/>
      <c r="D493"/>
      <c r="E493"/>
      <c r="F493"/>
      <c r="G493"/>
      <c r="H493"/>
      <c r="I493"/>
    </row>
    <row r="494" spans="2:9">
      <c r="B494"/>
      <c r="C494"/>
      <c r="D494"/>
      <c r="E494"/>
      <c r="F494"/>
      <c r="G494"/>
      <c r="H494"/>
      <c r="I494"/>
    </row>
    <row r="495" spans="2:9">
      <c r="B495"/>
      <c r="C495"/>
      <c r="D495"/>
      <c r="E495"/>
      <c r="F495"/>
      <c r="G495"/>
      <c r="H495"/>
      <c r="I495"/>
    </row>
    <row r="496" spans="2:9">
      <c r="B496"/>
      <c r="C496"/>
      <c r="D496"/>
      <c r="E496"/>
      <c r="F496"/>
      <c r="G496"/>
      <c r="H496"/>
      <c r="I496"/>
    </row>
    <row r="497" spans="2:9">
      <c r="B497"/>
      <c r="C497"/>
      <c r="D497"/>
      <c r="E497"/>
      <c r="F497"/>
      <c r="G497"/>
      <c r="H497"/>
      <c r="I497"/>
    </row>
    <row r="498" spans="2:9">
      <c r="B498"/>
      <c r="C498"/>
      <c r="D498"/>
      <c r="E498"/>
      <c r="F498"/>
      <c r="G498"/>
      <c r="H498"/>
      <c r="I498"/>
    </row>
    <row r="499" spans="2:9">
      <c r="B499"/>
      <c r="C499"/>
      <c r="D499"/>
      <c r="E499"/>
      <c r="F499"/>
      <c r="G499"/>
      <c r="H499"/>
      <c r="I499"/>
    </row>
    <row r="500" spans="2:9">
      <c r="B500"/>
      <c r="C500"/>
      <c r="D500"/>
      <c r="E500"/>
      <c r="F500"/>
      <c r="G500"/>
      <c r="H500"/>
      <c r="I500"/>
    </row>
    <row r="501" spans="2:9">
      <c r="B501"/>
      <c r="C501"/>
      <c r="D501"/>
      <c r="E501"/>
      <c r="F501"/>
      <c r="G501"/>
      <c r="H501"/>
      <c r="I501"/>
    </row>
    <row r="502" spans="2:9">
      <c r="B502"/>
      <c r="C502"/>
      <c r="D502"/>
      <c r="E502"/>
      <c r="F502"/>
      <c r="G502"/>
      <c r="H502"/>
      <c r="I502"/>
    </row>
    <row r="503" spans="2:9">
      <c r="B503"/>
      <c r="C503"/>
      <c r="D503"/>
      <c r="E503"/>
      <c r="F503"/>
      <c r="G503"/>
      <c r="H503"/>
      <c r="I503"/>
    </row>
    <row r="504" spans="2:9">
      <c r="B504"/>
      <c r="C504"/>
      <c r="D504"/>
      <c r="E504"/>
      <c r="F504"/>
      <c r="G504"/>
      <c r="H504"/>
      <c r="I504"/>
    </row>
    <row r="505" spans="2:9">
      <c r="B505"/>
      <c r="C505"/>
      <c r="D505"/>
      <c r="E505"/>
      <c r="F505"/>
      <c r="G505"/>
      <c r="H505"/>
      <c r="I505"/>
    </row>
    <row r="506" spans="2:9">
      <c r="B506"/>
      <c r="C506"/>
      <c r="D506"/>
      <c r="E506"/>
      <c r="F506"/>
      <c r="G506"/>
      <c r="H506"/>
      <c r="I506"/>
    </row>
    <row r="507" spans="2:9">
      <c r="B507"/>
      <c r="C507"/>
      <c r="D507"/>
      <c r="E507"/>
      <c r="F507"/>
      <c r="G507"/>
      <c r="H507"/>
      <c r="I507"/>
    </row>
    <row r="508" spans="2:9">
      <c r="B508"/>
      <c r="C508"/>
      <c r="D508"/>
      <c r="E508"/>
      <c r="F508"/>
      <c r="G508"/>
      <c r="H508"/>
      <c r="I508"/>
    </row>
    <row r="509" spans="2:9">
      <c r="B509"/>
      <c r="C509"/>
      <c r="D509"/>
      <c r="E509"/>
      <c r="F509"/>
      <c r="G509"/>
      <c r="H509"/>
      <c r="I509"/>
    </row>
    <row r="510" spans="2:9">
      <c r="B510"/>
      <c r="C510"/>
      <c r="D510"/>
      <c r="E510"/>
      <c r="F510"/>
      <c r="G510"/>
      <c r="H510"/>
      <c r="I510"/>
    </row>
    <row r="511" spans="2:9">
      <c r="B511"/>
      <c r="C511"/>
      <c r="D511"/>
      <c r="E511"/>
      <c r="F511"/>
      <c r="G511"/>
      <c r="H511"/>
      <c r="I511"/>
    </row>
    <row r="512" spans="2:9">
      <c r="B512"/>
      <c r="C512"/>
      <c r="D512"/>
      <c r="E512"/>
      <c r="F512"/>
      <c r="G512"/>
      <c r="H512"/>
      <c r="I512"/>
    </row>
    <row r="513" spans="2:9">
      <c r="B513"/>
      <c r="C513"/>
      <c r="D513"/>
      <c r="E513"/>
      <c r="F513"/>
      <c r="G513"/>
      <c r="H513"/>
      <c r="I513"/>
    </row>
    <row r="514" spans="2:9">
      <c r="B514"/>
      <c r="C514"/>
      <c r="D514"/>
      <c r="E514"/>
      <c r="F514"/>
      <c r="G514"/>
      <c r="H514"/>
      <c r="I514"/>
    </row>
    <row r="515" spans="2:9">
      <c r="B515"/>
      <c r="C515"/>
      <c r="D515"/>
      <c r="E515"/>
      <c r="F515"/>
      <c r="G515"/>
      <c r="H515"/>
      <c r="I515"/>
    </row>
    <row r="516" spans="2:9">
      <c r="B516"/>
      <c r="C516"/>
      <c r="D516"/>
      <c r="E516"/>
      <c r="F516"/>
      <c r="G516"/>
      <c r="H516"/>
      <c r="I516"/>
    </row>
    <row r="517" spans="2:9">
      <c r="B517"/>
      <c r="C517"/>
      <c r="D517"/>
      <c r="E517"/>
      <c r="F517"/>
      <c r="G517"/>
      <c r="H517"/>
      <c r="I517"/>
    </row>
    <row r="518" spans="2:9">
      <c r="B518"/>
      <c r="C518"/>
      <c r="D518"/>
      <c r="E518"/>
      <c r="F518"/>
      <c r="G518"/>
      <c r="H518"/>
      <c r="I518"/>
    </row>
    <row r="519" spans="2:9">
      <c r="B519"/>
      <c r="C519"/>
      <c r="D519"/>
      <c r="E519"/>
      <c r="F519"/>
      <c r="G519"/>
      <c r="H519"/>
      <c r="I519"/>
    </row>
    <row r="520" spans="2:9">
      <c r="B520"/>
      <c r="C520"/>
      <c r="D520"/>
      <c r="E520"/>
      <c r="F520"/>
      <c r="G520"/>
      <c r="H520"/>
      <c r="I520"/>
    </row>
    <row r="521" spans="2:9">
      <c r="B521"/>
      <c r="C521"/>
      <c r="D521"/>
      <c r="E521"/>
      <c r="F521"/>
      <c r="G521"/>
      <c r="H521"/>
      <c r="I521"/>
    </row>
    <row r="522" spans="2:9">
      <c r="B522"/>
      <c r="C522"/>
      <c r="D522"/>
      <c r="E522"/>
      <c r="F522"/>
      <c r="G522"/>
      <c r="H522"/>
      <c r="I522"/>
    </row>
    <row r="523" spans="2:9">
      <c r="B523"/>
      <c r="C523"/>
      <c r="D523"/>
      <c r="E523"/>
      <c r="F523"/>
      <c r="G523"/>
      <c r="H523"/>
      <c r="I523"/>
    </row>
    <row r="524" spans="2:9">
      <c r="B524"/>
      <c r="C524"/>
      <c r="D524"/>
      <c r="E524"/>
      <c r="F524"/>
      <c r="G524"/>
      <c r="H524"/>
      <c r="I524"/>
    </row>
    <row r="525" spans="2:9">
      <c r="B525"/>
      <c r="C525"/>
      <c r="D525"/>
      <c r="E525"/>
      <c r="F525"/>
      <c r="G525"/>
      <c r="H525"/>
      <c r="I525"/>
    </row>
    <row r="526" spans="2:9">
      <c r="B526"/>
      <c r="C526"/>
      <c r="D526"/>
      <c r="E526"/>
      <c r="F526"/>
      <c r="G526"/>
      <c r="H526"/>
      <c r="I526"/>
    </row>
    <row r="527" spans="2:9">
      <c r="B527"/>
      <c r="C527"/>
      <c r="D527"/>
      <c r="E527"/>
      <c r="F527"/>
      <c r="G527"/>
      <c r="H527"/>
      <c r="I527"/>
    </row>
    <row r="528" spans="2:9">
      <c r="B528"/>
      <c r="C528"/>
      <c r="D528"/>
      <c r="E528"/>
      <c r="F528"/>
      <c r="G528"/>
      <c r="H528"/>
      <c r="I528"/>
    </row>
    <row r="529" spans="2:9">
      <c r="B529"/>
      <c r="C529"/>
      <c r="D529"/>
      <c r="E529"/>
      <c r="F529"/>
      <c r="G529"/>
      <c r="H529"/>
      <c r="I529"/>
    </row>
    <row r="530" spans="2:9">
      <c r="B530"/>
      <c r="C530"/>
      <c r="D530"/>
      <c r="E530"/>
      <c r="F530"/>
      <c r="G530"/>
      <c r="H530"/>
      <c r="I530"/>
    </row>
    <row r="531" spans="2:9">
      <c r="B531"/>
      <c r="C531"/>
      <c r="D531"/>
      <c r="E531"/>
      <c r="F531"/>
      <c r="G531"/>
      <c r="H531"/>
      <c r="I531"/>
    </row>
    <row r="532" spans="2:9">
      <c r="B532"/>
      <c r="C532"/>
      <c r="D532"/>
      <c r="E532"/>
      <c r="F532"/>
      <c r="G532"/>
      <c r="H532"/>
      <c r="I532"/>
    </row>
    <row r="533" spans="2:9">
      <c r="B533"/>
      <c r="C533"/>
      <c r="D533"/>
      <c r="E533"/>
      <c r="F533"/>
      <c r="G533"/>
      <c r="H533"/>
      <c r="I533"/>
    </row>
    <row r="534" spans="2:9">
      <c r="B534"/>
      <c r="C534"/>
      <c r="D534"/>
      <c r="E534"/>
      <c r="F534"/>
      <c r="G534"/>
      <c r="H534"/>
      <c r="I534"/>
    </row>
    <row r="535" spans="2:9">
      <c r="B535"/>
      <c r="C535"/>
      <c r="D535"/>
      <c r="E535"/>
      <c r="F535"/>
      <c r="G535"/>
      <c r="H535"/>
      <c r="I535"/>
    </row>
    <row r="536" spans="2:9">
      <c r="B536"/>
      <c r="C536"/>
      <c r="D536"/>
      <c r="E536"/>
      <c r="F536"/>
      <c r="G536"/>
      <c r="H536"/>
      <c r="I536"/>
    </row>
    <row r="537" spans="2:9">
      <c r="B537"/>
      <c r="C537"/>
      <c r="D537"/>
      <c r="E537"/>
      <c r="F537"/>
      <c r="G537"/>
      <c r="H537"/>
      <c r="I537"/>
    </row>
    <row r="538" spans="2:9">
      <c r="B538"/>
      <c r="C538"/>
      <c r="D538"/>
      <c r="E538"/>
      <c r="F538"/>
      <c r="G538"/>
      <c r="H538"/>
      <c r="I538"/>
    </row>
    <row r="539" spans="2:9">
      <c r="B539"/>
      <c r="C539"/>
      <c r="D539"/>
      <c r="E539"/>
      <c r="F539"/>
      <c r="G539"/>
      <c r="H539"/>
      <c r="I539"/>
    </row>
    <row r="540" spans="2:9">
      <c r="B540"/>
      <c r="C540"/>
      <c r="D540"/>
      <c r="E540"/>
      <c r="F540"/>
      <c r="G540"/>
      <c r="H540"/>
      <c r="I540"/>
    </row>
    <row r="541" spans="2:9">
      <c r="B541"/>
      <c r="C541"/>
      <c r="D541"/>
      <c r="E541"/>
      <c r="F541"/>
      <c r="G541"/>
      <c r="H541"/>
      <c r="I541"/>
    </row>
    <row r="542" spans="2:9">
      <c r="B542"/>
      <c r="C542"/>
      <c r="D542"/>
      <c r="E542"/>
      <c r="F542"/>
      <c r="G542"/>
      <c r="H542"/>
      <c r="I542"/>
    </row>
    <row r="543" spans="2:9">
      <c r="B543"/>
      <c r="C543"/>
      <c r="D543"/>
      <c r="E543"/>
      <c r="F543"/>
      <c r="G543"/>
      <c r="H543"/>
      <c r="I543"/>
    </row>
    <row r="544" spans="2:9">
      <c r="B544"/>
      <c r="C544"/>
      <c r="D544"/>
      <c r="E544"/>
      <c r="F544"/>
      <c r="G544"/>
      <c r="H544"/>
      <c r="I544"/>
    </row>
    <row r="545" spans="2:9">
      <c r="B545"/>
      <c r="C545"/>
      <c r="D545"/>
      <c r="E545"/>
      <c r="F545"/>
      <c r="G545"/>
      <c r="H545"/>
      <c r="I545"/>
    </row>
    <row r="546" spans="2:9">
      <c r="B546"/>
      <c r="C546"/>
      <c r="D546"/>
      <c r="E546"/>
      <c r="F546"/>
      <c r="G546"/>
      <c r="H546"/>
      <c r="I546"/>
    </row>
    <row r="547" spans="2:9">
      <c r="B547"/>
      <c r="C547"/>
      <c r="D547"/>
      <c r="E547"/>
      <c r="F547"/>
      <c r="G547"/>
      <c r="H547"/>
      <c r="I547"/>
    </row>
    <row r="548" spans="2:9">
      <c r="B548"/>
      <c r="C548"/>
      <c r="D548"/>
      <c r="E548"/>
      <c r="F548"/>
      <c r="G548"/>
      <c r="H548"/>
      <c r="I548"/>
    </row>
    <row r="549" spans="2:9">
      <c r="B549"/>
      <c r="C549"/>
      <c r="D549"/>
      <c r="E549"/>
      <c r="F549"/>
      <c r="G549"/>
      <c r="H549"/>
      <c r="I549"/>
    </row>
    <row r="550" spans="2:9">
      <c r="B550"/>
      <c r="C550"/>
      <c r="D550"/>
      <c r="E550"/>
      <c r="F550"/>
      <c r="G550"/>
      <c r="H550"/>
      <c r="I550"/>
    </row>
    <row r="551" spans="2:9">
      <c r="B551"/>
      <c r="C551"/>
      <c r="D551"/>
      <c r="E551"/>
      <c r="F551"/>
      <c r="G551"/>
      <c r="H551"/>
      <c r="I551"/>
    </row>
    <row r="552" spans="2:9">
      <c r="B552"/>
      <c r="C552"/>
      <c r="D552"/>
      <c r="E552"/>
      <c r="F552"/>
      <c r="G552"/>
      <c r="H552"/>
      <c r="I552"/>
    </row>
    <row r="553" spans="2:9">
      <c r="B553"/>
      <c r="C553"/>
      <c r="D553"/>
      <c r="E553"/>
      <c r="F553"/>
      <c r="G553"/>
      <c r="H553"/>
      <c r="I553"/>
    </row>
    <row r="554" spans="2:9">
      <c r="B554"/>
      <c r="C554"/>
      <c r="D554"/>
      <c r="E554"/>
      <c r="F554"/>
      <c r="G554"/>
      <c r="H554"/>
      <c r="I554"/>
    </row>
    <row r="555" spans="2:9">
      <c r="B555"/>
      <c r="C555"/>
      <c r="D555"/>
      <c r="E555"/>
      <c r="F555"/>
      <c r="G555"/>
      <c r="H555"/>
      <c r="I555"/>
    </row>
    <row r="556" spans="2:9">
      <c r="B556"/>
      <c r="C556"/>
      <c r="D556"/>
      <c r="E556"/>
      <c r="F556"/>
      <c r="G556"/>
      <c r="H556"/>
      <c r="I556"/>
    </row>
    <row r="557" spans="2:9">
      <c r="B557"/>
      <c r="C557"/>
      <c r="D557"/>
      <c r="E557"/>
      <c r="F557"/>
      <c r="G557"/>
      <c r="H557"/>
      <c r="I557"/>
    </row>
    <row r="558" spans="2:9">
      <c r="B558"/>
      <c r="C558"/>
      <c r="D558"/>
      <c r="E558"/>
      <c r="F558"/>
      <c r="G558"/>
      <c r="H558"/>
      <c r="I558"/>
    </row>
    <row r="559" spans="2:9">
      <c r="B559"/>
      <c r="C559"/>
      <c r="D559"/>
      <c r="E559"/>
      <c r="F559"/>
      <c r="G559"/>
      <c r="H559"/>
      <c r="I559"/>
    </row>
    <row r="560" spans="2:9">
      <c r="B560"/>
      <c r="C560"/>
      <c r="D560"/>
      <c r="E560"/>
      <c r="F560"/>
      <c r="G560"/>
      <c r="H560"/>
      <c r="I560"/>
    </row>
    <row r="561" spans="2:9">
      <c r="B561"/>
      <c r="C561"/>
      <c r="D561"/>
      <c r="E561"/>
      <c r="F561"/>
      <c r="G561"/>
      <c r="H561"/>
      <c r="I561"/>
    </row>
    <row r="562" spans="2:9">
      <c r="B562"/>
      <c r="C562"/>
      <c r="D562"/>
      <c r="E562"/>
      <c r="F562"/>
      <c r="G562"/>
      <c r="H562"/>
      <c r="I562"/>
    </row>
    <row r="563" spans="2:9">
      <c r="B563"/>
      <c r="C563"/>
      <c r="D563"/>
      <c r="E563"/>
      <c r="F563"/>
      <c r="G563"/>
      <c r="H563"/>
      <c r="I563"/>
    </row>
    <row r="564" spans="2:9">
      <c r="B564"/>
      <c r="C564"/>
      <c r="D564"/>
      <c r="E564"/>
      <c r="F564"/>
      <c r="G564"/>
      <c r="H564"/>
      <c r="I564"/>
    </row>
    <row r="565" spans="2:9">
      <c r="B565"/>
      <c r="C565"/>
      <c r="D565"/>
      <c r="E565"/>
      <c r="F565"/>
      <c r="G565"/>
      <c r="H565"/>
      <c r="I565"/>
    </row>
    <row r="566" spans="2:9">
      <c r="B566"/>
      <c r="C566"/>
      <c r="D566"/>
      <c r="E566"/>
      <c r="F566"/>
      <c r="G566"/>
      <c r="H566"/>
      <c r="I566"/>
    </row>
    <row r="567" spans="2:9">
      <c r="B567"/>
      <c r="C567"/>
      <c r="D567"/>
      <c r="E567"/>
      <c r="F567"/>
      <c r="G567"/>
      <c r="H567"/>
      <c r="I567"/>
    </row>
    <row r="568" spans="2:9">
      <c r="B568"/>
      <c r="C568"/>
      <c r="D568"/>
      <c r="E568"/>
      <c r="F568"/>
      <c r="G568"/>
      <c r="H568"/>
      <c r="I568"/>
    </row>
    <row r="569" spans="2:9">
      <c r="B569"/>
      <c r="C569"/>
      <c r="D569"/>
      <c r="E569"/>
      <c r="F569"/>
      <c r="G569"/>
      <c r="H569"/>
      <c r="I569"/>
    </row>
    <row r="570" spans="2:9">
      <c r="B570"/>
      <c r="C570"/>
      <c r="D570"/>
      <c r="E570"/>
      <c r="F570"/>
      <c r="G570"/>
      <c r="H570"/>
      <c r="I570"/>
    </row>
    <row r="571" spans="2:9">
      <c r="B571"/>
      <c r="C571"/>
      <c r="D571"/>
      <c r="E571"/>
      <c r="F571"/>
      <c r="G571"/>
      <c r="H571"/>
      <c r="I571"/>
    </row>
    <row r="572" spans="2:9">
      <c r="B572"/>
      <c r="C572"/>
      <c r="D572"/>
      <c r="E572"/>
      <c r="F572"/>
      <c r="G572"/>
      <c r="H572"/>
      <c r="I572"/>
    </row>
    <row r="573" spans="2:9">
      <c r="B573"/>
      <c r="C573"/>
      <c r="D573"/>
      <c r="E573"/>
      <c r="F573"/>
      <c r="G573"/>
      <c r="H573"/>
      <c r="I573"/>
    </row>
    <row r="574" spans="2:9">
      <c r="B574"/>
      <c r="C574"/>
      <c r="D574"/>
      <c r="E574"/>
      <c r="F574"/>
      <c r="G574"/>
      <c r="H574"/>
      <c r="I574"/>
    </row>
    <row r="575" spans="2:9">
      <c r="B575"/>
      <c r="C575"/>
      <c r="D575"/>
      <c r="E575"/>
      <c r="F575"/>
      <c r="G575"/>
      <c r="H575"/>
      <c r="I575"/>
    </row>
    <row r="576" spans="2:9">
      <c r="B576"/>
      <c r="C576"/>
      <c r="D576"/>
      <c r="E576"/>
      <c r="F576"/>
      <c r="G576"/>
      <c r="H576"/>
      <c r="I576"/>
    </row>
    <row r="577" spans="2:9">
      <c r="B577"/>
      <c r="C577"/>
      <c r="D577"/>
      <c r="E577"/>
      <c r="F577"/>
      <c r="G577"/>
      <c r="H577"/>
      <c r="I577"/>
    </row>
    <row r="578" spans="2:9">
      <c r="B578"/>
      <c r="C578"/>
      <c r="D578"/>
      <c r="E578"/>
      <c r="F578"/>
      <c r="G578"/>
      <c r="H578"/>
      <c r="I578"/>
    </row>
    <row r="579" spans="2:9">
      <c r="B579"/>
      <c r="C579"/>
      <c r="D579"/>
      <c r="E579"/>
      <c r="F579"/>
      <c r="G579"/>
      <c r="H579"/>
      <c r="I579"/>
    </row>
    <row r="580" spans="2:9">
      <c r="B580"/>
      <c r="C580"/>
      <c r="D580"/>
      <c r="E580"/>
      <c r="F580"/>
      <c r="G580"/>
      <c r="H580"/>
      <c r="I580"/>
    </row>
    <row r="581" spans="2:9">
      <c r="B581"/>
      <c r="C581"/>
      <c r="D581"/>
      <c r="E581"/>
      <c r="F581"/>
      <c r="G581"/>
      <c r="H581"/>
      <c r="I581"/>
    </row>
    <row r="582" spans="2:9">
      <c r="B582"/>
      <c r="C582"/>
      <c r="D582"/>
      <c r="E582"/>
      <c r="F582"/>
      <c r="G582"/>
      <c r="H582"/>
      <c r="I582"/>
    </row>
    <row r="583" spans="2:9">
      <c r="B583"/>
      <c r="C583"/>
      <c r="D583"/>
      <c r="E583"/>
      <c r="F583"/>
      <c r="G583"/>
      <c r="H583"/>
      <c r="I583"/>
    </row>
    <row r="584" spans="2:9">
      <c r="B584"/>
      <c r="C584"/>
      <c r="D584"/>
      <c r="E584"/>
      <c r="F584"/>
      <c r="G584"/>
      <c r="H584"/>
      <c r="I584"/>
    </row>
    <row r="585" spans="2:9">
      <c r="B585"/>
      <c r="C585"/>
      <c r="D585"/>
      <c r="E585"/>
      <c r="F585"/>
      <c r="G585"/>
      <c r="H585"/>
      <c r="I585"/>
    </row>
    <row r="586" spans="2:9">
      <c r="B586"/>
      <c r="C586"/>
      <c r="D586"/>
      <c r="E586"/>
      <c r="F586"/>
      <c r="G586"/>
      <c r="H586"/>
      <c r="I586"/>
    </row>
    <row r="587" spans="2:9">
      <c r="B587"/>
      <c r="C587"/>
      <c r="D587"/>
      <c r="E587"/>
      <c r="F587"/>
      <c r="G587"/>
      <c r="H587"/>
      <c r="I587"/>
    </row>
    <row r="588" spans="2:9">
      <c r="B588"/>
      <c r="C588"/>
      <c r="D588"/>
      <c r="E588"/>
      <c r="F588"/>
      <c r="G588"/>
      <c r="H588"/>
      <c r="I588"/>
    </row>
    <row r="589" spans="2:9">
      <c r="B589"/>
      <c r="C589"/>
      <c r="D589"/>
      <c r="E589"/>
      <c r="F589"/>
      <c r="G589"/>
      <c r="H589"/>
      <c r="I589"/>
    </row>
    <row r="590" spans="2:9">
      <c r="B590"/>
      <c r="C590"/>
      <c r="D590"/>
      <c r="E590"/>
      <c r="F590"/>
      <c r="G590"/>
      <c r="H590"/>
      <c r="I590"/>
    </row>
    <row r="591" spans="2:9">
      <c r="B591"/>
      <c r="C591"/>
      <c r="D591"/>
      <c r="E591"/>
      <c r="F591"/>
      <c r="G591"/>
      <c r="H591"/>
      <c r="I591"/>
    </row>
    <row r="592" spans="2:9">
      <c r="B592"/>
      <c r="C592"/>
      <c r="D592"/>
      <c r="E592"/>
      <c r="F592"/>
      <c r="G592"/>
      <c r="H592"/>
      <c r="I592"/>
    </row>
    <row r="593" spans="2:9">
      <c r="B593"/>
      <c r="C593"/>
      <c r="D593"/>
      <c r="E593"/>
      <c r="F593"/>
      <c r="G593"/>
      <c r="H593"/>
      <c r="I593"/>
    </row>
    <row r="594" spans="2:9">
      <c r="B594"/>
      <c r="C594"/>
      <c r="D594"/>
      <c r="E594"/>
      <c r="F594"/>
      <c r="G594"/>
      <c r="H594"/>
      <c r="I594"/>
    </row>
    <row r="595" spans="2:9">
      <c r="B595"/>
      <c r="C595"/>
      <c r="D595"/>
      <c r="E595"/>
      <c r="F595"/>
      <c r="G595"/>
      <c r="H595"/>
      <c r="I595"/>
    </row>
    <row r="596" spans="2:9">
      <c r="B596"/>
      <c r="C596"/>
      <c r="D596"/>
      <c r="E596"/>
      <c r="F596"/>
      <c r="G596"/>
      <c r="H596"/>
      <c r="I596"/>
    </row>
    <row r="597" spans="2:9">
      <c r="B597"/>
      <c r="C597"/>
      <c r="D597"/>
      <c r="E597"/>
      <c r="F597"/>
      <c r="G597"/>
      <c r="H597"/>
      <c r="I597"/>
    </row>
    <row r="598" spans="2:9">
      <c r="B598"/>
      <c r="C598"/>
      <c r="D598"/>
      <c r="E598"/>
      <c r="F598"/>
      <c r="G598"/>
      <c r="H598"/>
      <c r="I598"/>
    </row>
    <row r="599" spans="2:9">
      <c r="B599"/>
      <c r="C599"/>
      <c r="D599"/>
      <c r="E599"/>
      <c r="F599"/>
      <c r="G599"/>
      <c r="H599"/>
      <c r="I599"/>
    </row>
    <row r="600" spans="2:9">
      <c r="B600"/>
      <c r="C600"/>
      <c r="D600"/>
      <c r="E600"/>
      <c r="F600"/>
      <c r="G600"/>
      <c r="H600"/>
      <c r="I600"/>
    </row>
    <row r="601" spans="2:9">
      <c r="B601"/>
      <c r="C601"/>
      <c r="D601"/>
      <c r="E601"/>
      <c r="F601"/>
      <c r="G601"/>
      <c r="H601"/>
      <c r="I601"/>
    </row>
    <row r="602" spans="2:9">
      <c r="B602"/>
      <c r="C602"/>
      <c r="D602"/>
      <c r="E602"/>
      <c r="F602"/>
      <c r="G602"/>
      <c r="H602"/>
      <c r="I602"/>
    </row>
    <row r="603" spans="2:9">
      <c r="B603"/>
      <c r="C603"/>
      <c r="D603"/>
      <c r="E603"/>
      <c r="F603"/>
      <c r="G603"/>
      <c r="H603"/>
      <c r="I603"/>
    </row>
    <row r="604" spans="2:9">
      <c r="B604"/>
      <c r="C604"/>
      <c r="D604"/>
      <c r="E604"/>
      <c r="F604"/>
      <c r="G604"/>
      <c r="H604"/>
      <c r="I604"/>
    </row>
    <row r="605" spans="2:9">
      <c r="B605"/>
      <c r="C605"/>
      <c r="D605"/>
      <c r="E605"/>
      <c r="F605"/>
      <c r="G605"/>
      <c r="H605"/>
      <c r="I605"/>
    </row>
    <row r="606" spans="2:9">
      <c r="B606"/>
      <c r="C606"/>
      <c r="D606"/>
      <c r="E606"/>
      <c r="F606"/>
      <c r="G606"/>
      <c r="H606"/>
      <c r="I606"/>
    </row>
    <row r="607" spans="2:9">
      <c r="B607"/>
      <c r="C607"/>
      <c r="D607"/>
      <c r="E607"/>
      <c r="F607"/>
      <c r="G607"/>
      <c r="H607"/>
      <c r="I607"/>
    </row>
    <row r="608" spans="2:9">
      <c r="B608"/>
      <c r="C608"/>
      <c r="D608"/>
      <c r="E608"/>
      <c r="F608"/>
      <c r="G608"/>
      <c r="H608"/>
      <c r="I608"/>
    </row>
    <row r="609" spans="2:9">
      <c r="B609"/>
      <c r="C609"/>
      <c r="D609"/>
      <c r="E609"/>
      <c r="F609"/>
      <c r="G609"/>
      <c r="H609"/>
      <c r="I609"/>
    </row>
    <row r="610" spans="2:9">
      <c r="B610"/>
      <c r="C610"/>
      <c r="D610"/>
      <c r="E610"/>
      <c r="F610"/>
      <c r="G610"/>
      <c r="H610"/>
      <c r="I610"/>
    </row>
    <row r="611" spans="2:9">
      <c r="B611"/>
      <c r="C611"/>
      <c r="D611"/>
      <c r="E611"/>
      <c r="F611"/>
      <c r="G611"/>
      <c r="H611"/>
      <c r="I611"/>
    </row>
    <row r="612" spans="2:9">
      <c r="B612"/>
      <c r="C612"/>
      <c r="D612"/>
      <c r="E612"/>
      <c r="F612"/>
      <c r="G612"/>
      <c r="H612"/>
      <c r="I612"/>
    </row>
    <row r="613" spans="2:9">
      <c r="B613"/>
      <c r="C613"/>
      <c r="D613"/>
      <c r="E613"/>
      <c r="F613"/>
      <c r="G613"/>
      <c r="H613"/>
      <c r="I613"/>
    </row>
    <row r="614" spans="2:9">
      <c r="B614"/>
      <c r="C614"/>
      <c r="D614"/>
      <c r="E614"/>
      <c r="F614"/>
      <c r="G614"/>
      <c r="H614"/>
      <c r="I614"/>
    </row>
    <row r="615" spans="2:9">
      <c r="B615"/>
      <c r="C615"/>
      <c r="D615"/>
      <c r="E615"/>
      <c r="F615"/>
      <c r="G615"/>
      <c r="H615"/>
      <c r="I615"/>
    </row>
    <row r="616" spans="2:9">
      <c r="B616"/>
      <c r="C616"/>
      <c r="D616"/>
      <c r="E616"/>
      <c r="F616"/>
      <c r="G616"/>
      <c r="H616"/>
      <c r="I616"/>
    </row>
    <row r="617" spans="2:9">
      <c r="B617"/>
      <c r="C617"/>
      <c r="D617"/>
      <c r="E617"/>
      <c r="F617"/>
      <c r="G617"/>
      <c r="H617"/>
      <c r="I617"/>
    </row>
    <row r="618" spans="2:9">
      <c r="B618"/>
      <c r="C618"/>
      <c r="D618"/>
      <c r="E618"/>
      <c r="F618"/>
      <c r="G618"/>
      <c r="H618"/>
      <c r="I618"/>
    </row>
    <row r="619" spans="2:9">
      <c r="B619"/>
      <c r="C619"/>
      <c r="D619"/>
      <c r="E619"/>
      <c r="F619"/>
      <c r="G619"/>
      <c r="H619"/>
      <c r="I619"/>
    </row>
    <row r="620" spans="2:9">
      <c r="B620"/>
      <c r="C620"/>
      <c r="D620"/>
      <c r="E620"/>
      <c r="F620"/>
      <c r="G620"/>
      <c r="H620"/>
      <c r="I620"/>
    </row>
    <row r="621" spans="2:9">
      <c r="B621"/>
      <c r="C621"/>
      <c r="D621"/>
      <c r="E621"/>
      <c r="F621"/>
      <c r="G621"/>
      <c r="H621"/>
      <c r="I621"/>
    </row>
    <row r="622" spans="2:9">
      <c r="B622"/>
      <c r="C622"/>
      <c r="D622"/>
      <c r="E622"/>
      <c r="F622"/>
      <c r="G622"/>
      <c r="H622"/>
      <c r="I622"/>
    </row>
    <row r="623" spans="2:9">
      <c r="B623"/>
      <c r="C623"/>
      <c r="D623"/>
      <c r="E623"/>
      <c r="F623"/>
      <c r="G623"/>
      <c r="H623"/>
      <c r="I623"/>
    </row>
    <row r="624" spans="2:9">
      <c r="B624"/>
      <c r="C624"/>
      <c r="D624"/>
      <c r="E624"/>
      <c r="F624"/>
      <c r="G624"/>
      <c r="H624"/>
      <c r="I624"/>
    </row>
    <row r="625" spans="2:9">
      <c r="B625"/>
      <c r="C625"/>
      <c r="D625"/>
      <c r="E625"/>
      <c r="F625"/>
      <c r="G625"/>
      <c r="H625"/>
      <c r="I625"/>
    </row>
    <row r="626" spans="2:9">
      <c r="B626"/>
      <c r="C626"/>
      <c r="D626"/>
      <c r="E626"/>
      <c r="F626"/>
      <c r="G626"/>
      <c r="H626"/>
      <c r="I626"/>
    </row>
    <row r="627" spans="2:9">
      <c r="B627"/>
      <c r="C627"/>
      <c r="D627"/>
      <c r="E627"/>
      <c r="F627"/>
      <c r="G627"/>
      <c r="H627"/>
      <c r="I627"/>
    </row>
    <row r="628" spans="2:9">
      <c r="B628"/>
      <c r="C628"/>
      <c r="D628"/>
      <c r="E628"/>
      <c r="F628"/>
      <c r="G628"/>
      <c r="H628"/>
      <c r="I628"/>
    </row>
    <row r="629" spans="2:9">
      <c r="B629"/>
      <c r="C629"/>
      <c r="D629"/>
      <c r="E629"/>
      <c r="F629"/>
      <c r="G629"/>
      <c r="H629"/>
      <c r="I629"/>
    </row>
    <row r="630" spans="2:9">
      <c r="B630"/>
      <c r="C630"/>
      <c r="D630"/>
      <c r="E630"/>
      <c r="F630"/>
      <c r="G630"/>
      <c r="H630"/>
      <c r="I630"/>
    </row>
    <row r="631" spans="2:9">
      <c r="B631"/>
      <c r="C631"/>
      <c r="D631"/>
      <c r="E631"/>
      <c r="F631"/>
      <c r="G631"/>
      <c r="H631"/>
      <c r="I631"/>
    </row>
    <row r="632" spans="2:9">
      <c r="B632"/>
      <c r="C632"/>
      <c r="D632"/>
      <c r="E632"/>
      <c r="F632"/>
      <c r="G632"/>
      <c r="H632"/>
      <c r="I632"/>
    </row>
    <row r="633" spans="2:9">
      <c r="B633"/>
      <c r="C633"/>
      <c r="D633"/>
      <c r="E633"/>
      <c r="F633"/>
      <c r="G633"/>
      <c r="H633"/>
      <c r="I633"/>
    </row>
    <row r="634" spans="2:9">
      <c r="B634"/>
      <c r="C634"/>
      <c r="D634"/>
      <c r="E634"/>
      <c r="F634"/>
      <c r="G634"/>
      <c r="H634"/>
      <c r="I634"/>
    </row>
    <row r="635" spans="2:9">
      <c r="B635"/>
      <c r="C635"/>
      <c r="D635"/>
      <c r="E635"/>
      <c r="F635"/>
      <c r="G635"/>
      <c r="H635"/>
      <c r="I635"/>
    </row>
    <row r="636" spans="2:9">
      <c r="B636"/>
      <c r="C636"/>
      <c r="D636"/>
      <c r="E636"/>
      <c r="F636"/>
      <c r="G636"/>
      <c r="H636"/>
      <c r="I636"/>
    </row>
    <row r="637" spans="2:9">
      <c r="B637"/>
      <c r="C637"/>
      <c r="D637"/>
      <c r="E637"/>
      <c r="F637"/>
      <c r="G637"/>
      <c r="H637"/>
      <c r="I637"/>
    </row>
    <row r="638" spans="2:9">
      <c r="B638"/>
      <c r="C638"/>
      <c r="D638"/>
      <c r="E638"/>
      <c r="F638"/>
      <c r="G638"/>
      <c r="H638"/>
      <c r="I638"/>
    </row>
    <row r="639" spans="2:9">
      <c r="B639"/>
      <c r="C639"/>
      <c r="D639"/>
      <c r="E639"/>
      <c r="F639"/>
      <c r="G639"/>
      <c r="H639"/>
      <c r="I639"/>
    </row>
    <row r="640" spans="2:9">
      <c r="B640"/>
      <c r="C640"/>
      <c r="D640"/>
      <c r="E640"/>
      <c r="F640"/>
      <c r="G640"/>
      <c r="H640"/>
      <c r="I640"/>
    </row>
    <row r="641" spans="2:9">
      <c r="B641"/>
      <c r="C641"/>
      <c r="D641"/>
      <c r="E641"/>
      <c r="F641"/>
      <c r="G641"/>
      <c r="H641"/>
      <c r="I641"/>
    </row>
    <row r="642" spans="2:9">
      <c r="B642"/>
      <c r="C642"/>
      <c r="D642"/>
      <c r="E642"/>
      <c r="F642"/>
      <c r="G642"/>
      <c r="H642"/>
      <c r="I642"/>
    </row>
    <row r="643" spans="2:9">
      <c r="B643"/>
      <c r="C643"/>
      <c r="D643"/>
      <c r="E643"/>
      <c r="F643"/>
      <c r="G643"/>
      <c r="H643"/>
      <c r="I643"/>
    </row>
    <row r="644" spans="2:9">
      <c r="B644"/>
      <c r="C644"/>
      <c r="D644"/>
      <c r="E644"/>
      <c r="F644"/>
      <c r="G644"/>
      <c r="H644"/>
      <c r="I644"/>
    </row>
    <row r="645" spans="2:9">
      <c r="B645"/>
      <c r="C645"/>
      <c r="D645"/>
      <c r="E645"/>
      <c r="F645"/>
      <c r="G645"/>
      <c r="H645"/>
      <c r="I645"/>
    </row>
    <row r="646" spans="2:9">
      <c r="B646"/>
      <c r="C646"/>
      <c r="D646"/>
      <c r="E646"/>
      <c r="F646"/>
      <c r="G646"/>
      <c r="H646"/>
      <c r="I646"/>
    </row>
    <row r="647" spans="2:9">
      <c r="B647"/>
      <c r="C647"/>
      <c r="D647"/>
      <c r="E647"/>
      <c r="F647"/>
      <c r="G647"/>
      <c r="H647"/>
      <c r="I647"/>
    </row>
    <row r="648" spans="2:9">
      <c r="B648"/>
      <c r="C648"/>
      <c r="D648"/>
      <c r="E648"/>
      <c r="F648"/>
      <c r="G648"/>
      <c r="H648"/>
      <c r="I648"/>
    </row>
    <row r="649" spans="2:9">
      <c r="B649"/>
      <c r="C649"/>
      <c r="D649"/>
      <c r="E649"/>
      <c r="F649"/>
      <c r="G649"/>
      <c r="H649"/>
      <c r="I649"/>
    </row>
    <row r="650" spans="2:9">
      <c r="B650"/>
      <c r="C650"/>
      <c r="D650"/>
      <c r="E650"/>
      <c r="F650"/>
      <c r="G650"/>
      <c r="H650"/>
      <c r="I650"/>
    </row>
    <row r="651" spans="2:9">
      <c r="B651"/>
      <c r="C651"/>
      <c r="D651"/>
      <c r="E651"/>
      <c r="F651"/>
      <c r="G651"/>
      <c r="H651"/>
      <c r="I651"/>
    </row>
    <row r="652" spans="2:9">
      <c r="B652"/>
      <c r="C652"/>
      <c r="D652"/>
      <c r="E652"/>
      <c r="F652"/>
      <c r="G652"/>
      <c r="H652"/>
      <c r="I652"/>
    </row>
    <row r="653" spans="2:9">
      <c r="B653"/>
      <c r="C653"/>
      <c r="D653"/>
      <c r="E653"/>
      <c r="F653"/>
      <c r="G653"/>
      <c r="H653"/>
      <c r="I653"/>
    </row>
    <row r="654" spans="2:9">
      <c r="B654"/>
      <c r="C654"/>
      <c r="D654"/>
      <c r="E654"/>
      <c r="F654"/>
      <c r="G654"/>
      <c r="H654"/>
      <c r="I654"/>
    </row>
    <row r="655" spans="2:9">
      <c r="B655"/>
      <c r="C655"/>
      <c r="D655"/>
      <c r="E655"/>
      <c r="F655"/>
      <c r="G655"/>
      <c r="H655"/>
      <c r="I655"/>
    </row>
    <row r="656" spans="2:9">
      <c r="B656"/>
      <c r="C656"/>
      <c r="D656"/>
      <c r="E656"/>
      <c r="F656"/>
      <c r="G656"/>
      <c r="H656"/>
      <c r="I656"/>
    </row>
    <row r="657" spans="2:9">
      <c r="B657"/>
      <c r="C657"/>
      <c r="D657"/>
      <c r="E657"/>
      <c r="F657"/>
      <c r="G657"/>
      <c r="H657"/>
      <c r="I657"/>
    </row>
    <row r="658" spans="2:9">
      <c r="B658"/>
      <c r="C658"/>
      <c r="D658"/>
      <c r="E658"/>
      <c r="F658"/>
      <c r="G658"/>
      <c r="H658"/>
      <c r="I658"/>
    </row>
    <row r="659" spans="2:9">
      <c r="B659"/>
      <c r="C659"/>
      <c r="D659"/>
      <c r="E659"/>
      <c r="F659"/>
      <c r="G659"/>
      <c r="H659"/>
      <c r="I659"/>
    </row>
    <row r="660" spans="2:9">
      <c r="B660"/>
      <c r="C660"/>
      <c r="D660"/>
      <c r="E660"/>
      <c r="F660"/>
      <c r="G660"/>
      <c r="H660"/>
      <c r="I660"/>
    </row>
    <row r="661" spans="2:9">
      <c r="B661"/>
      <c r="C661"/>
      <c r="D661"/>
      <c r="E661"/>
      <c r="F661"/>
      <c r="G661"/>
      <c r="H661"/>
      <c r="I661"/>
    </row>
    <row r="662" spans="2:9">
      <c r="B662"/>
      <c r="C662"/>
      <c r="D662"/>
      <c r="E662"/>
      <c r="F662"/>
      <c r="G662"/>
      <c r="H662"/>
      <c r="I662"/>
    </row>
    <row r="663" spans="2:9">
      <c r="B663"/>
      <c r="C663"/>
      <c r="D663"/>
      <c r="E663"/>
      <c r="F663"/>
      <c r="G663"/>
      <c r="H663"/>
      <c r="I663"/>
    </row>
    <row r="664" spans="2:9">
      <c r="B664"/>
      <c r="C664"/>
      <c r="D664"/>
      <c r="E664"/>
      <c r="F664"/>
      <c r="G664"/>
      <c r="H664"/>
      <c r="I664"/>
    </row>
    <row r="665" spans="2:9">
      <c r="B665"/>
      <c r="C665"/>
      <c r="D665"/>
      <c r="E665"/>
      <c r="F665"/>
      <c r="G665"/>
      <c r="H665"/>
      <c r="I665"/>
    </row>
    <row r="666" spans="2:9">
      <c r="B666"/>
      <c r="C666"/>
      <c r="D666"/>
      <c r="E666"/>
      <c r="F666"/>
      <c r="G666"/>
      <c r="H666"/>
      <c r="I666"/>
    </row>
    <row r="667" spans="2:9">
      <c r="B667"/>
      <c r="C667"/>
      <c r="D667"/>
      <c r="E667"/>
      <c r="F667"/>
      <c r="G667"/>
      <c r="H667"/>
      <c r="I667"/>
    </row>
    <row r="668" spans="2:9">
      <c r="B668"/>
      <c r="C668"/>
      <c r="D668"/>
      <c r="E668"/>
      <c r="F668"/>
      <c r="G668"/>
      <c r="H668"/>
      <c r="I668"/>
    </row>
    <row r="669" spans="2:9">
      <c r="B669"/>
      <c r="C669"/>
      <c r="D669"/>
      <c r="E669"/>
      <c r="F669"/>
      <c r="G669"/>
      <c r="H669"/>
      <c r="I669"/>
    </row>
    <row r="670" spans="2:9">
      <c r="B670"/>
      <c r="C670"/>
      <c r="D670"/>
      <c r="E670"/>
      <c r="F670"/>
      <c r="G670"/>
      <c r="H670"/>
      <c r="I670"/>
    </row>
    <row r="671" spans="2:9">
      <c r="B671"/>
      <c r="C671"/>
      <c r="D671"/>
      <c r="E671"/>
      <c r="F671"/>
      <c r="G671"/>
      <c r="H671"/>
      <c r="I671"/>
    </row>
    <row r="672" spans="2:9">
      <c r="B672"/>
      <c r="C672"/>
      <c r="D672"/>
      <c r="E672"/>
      <c r="F672"/>
      <c r="G672"/>
      <c r="H672"/>
      <c r="I672"/>
    </row>
    <row r="673" spans="2:9">
      <c r="B673"/>
      <c r="C673"/>
      <c r="D673"/>
      <c r="E673"/>
      <c r="F673"/>
      <c r="G673"/>
      <c r="H673"/>
      <c r="I673"/>
    </row>
    <row r="674" spans="2:9">
      <c r="B674"/>
      <c r="C674"/>
      <c r="D674"/>
      <c r="E674"/>
      <c r="F674"/>
      <c r="G674"/>
      <c r="H674"/>
      <c r="I674"/>
    </row>
    <row r="675" spans="2:9">
      <c r="B675"/>
      <c r="C675"/>
      <c r="D675"/>
      <c r="E675"/>
      <c r="F675"/>
      <c r="G675"/>
      <c r="H675"/>
      <c r="I675"/>
    </row>
    <row r="676" spans="2:9">
      <c r="B676"/>
      <c r="C676"/>
      <c r="D676"/>
      <c r="E676"/>
      <c r="F676"/>
      <c r="G676"/>
      <c r="H676"/>
      <c r="I676"/>
    </row>
    <row r="677" spans="2:9">
      <c r="B677"/>
      <c r="C677"/>
      <c r="D677"/>
      <c r="E677"/>
      <c r="F677"/>
      <c r="G677"/>
      <c r="H677"/>
      <c r="I677"/>
    </row>
    <row r="678" spans="2:9">
      <c r="B678"/>
      <c r="C678"/>
      <c r="D678"/>
      <c r="E678"/>
      <c r="F678"/>
      <c r="G678"/>
      <c r="H678"/>
      <c r="I678"/>
    </row>
    <row r="679" spans="2:9">
      <c r="B679"/>
      <c r="C679"/>
      <c r="D679"/>
      <c r="E679"/>
      <c r="F679"/>
      <c r="G679"/>
      <c r="H679"/>
      <c r="I679"/>
    </row>
    <row r="680" spans="2:9">
      <c r="B680"/>
      <c r="C680"/>
      <c r="D680"/>
      <c r="E680"/>
      <c r="F680"/>
      <c r="G680"/>
      <c r="H680"/>
      <c r="I680"/>
    </row>
    <row r="681" spans="2:9">
      <c r="B681"/>
      <c r="C681"/>
      <c r="D681"/>
      <c r="E681"/>
      <c r="F681"/>
      <c r="G681"/>
      <c r="H681"/>
      <c r="I681"/>
    </row>
    <row r="682" spans="2:9">
      <c r="B682"/>
      <c r="C682"/>
      <c r="D682"/>
      <c r="E682"/>
      <c r="F682"/>
      <c r="G682"/>
      <c r="H682"/>
      <c r="I682"/>
    </row>
    <row r="683" spans="2:9">
      <c r="B683"/>
      <c r="C683"/>
      <c r="D683"/>
      <c r="E683"/>
      <c r="F683"/>
      <c r="G683"/>
      <c r="H683"/>
      <c r="I683"/>
    </row>
    <row r="684" spans="2:9">
      <c r="B684"/>
      <c r="C684"/>
      <c r="D684"/>
      <c r="E684"/>
      <c r="F684"/>
      <c r="G684"/>
      <c r="H684"/>
      <c r="I684"/>
    </row>
    <row r="685" spans="2:9">
      <c r="B685"/>
      <c r="C685"/>
      <c r="D685"/>
      <c r="E685"/>
      <c r="F685"/>
      <c r="G685"/>
      <c r="H685"/>
      <c r="I685"/>
    </row>
    <row r="686" spans="2:9">
      <c r="B686"/>
      <c r="C686"/>
      <c r="D686"/>
      <c r="E686"/>
      <c r="F686"/>
      <c r="G686"/>
      <c r="H686"/>
      <c r="I686"/>
    </row>
    <row r="687" spans="2:9">
      <c r="B687"/>
      <c r="C687"/>
      <c r="D687"/>
      <c r="E687"/>
      <c r="F687"/>
      <c r="G687"/>
      <c r="H687"/>
      <c r="I687"/>
    </row>
    <row r="688" spans="2:9">
      <c r="B688"/>
      <c r="C688"/>
      <c r="D688"/>
      <c r="E688"/>
      <c r="F688"/>
      <c r="G688"/>
      <c r="H688"/>
      <c r="I688"/>
    </row>
    <row r="689" spans="2:9">
      <c r="B689"/>
      <c r="C689"/>
      <c r="D689"/>
      <c r="E689"/>
      <c r="F689"/>
      <c r="G689"/>
      <c r="H689"/>
      <c r="I689"/>
    </row>
    <row r="690" spans="2:9">
      <c r="B690"/>
      <c r="C690"/>
      <c r="D690"/>
      <c r="E690"/>
      <c r="F690"/>
      <c r="G690"/>
      <c r="H690"/>
      <c r="I690"/>
    </row>
    <row r="691" spans="2:9">
      <c r="B691"/>
      <c r="C691"/>
      <c r="D691"/>
      <c r="E691"/>
      <c r="F691"/>
      <c r="G691"/>
      <c r="H691"/>
      <c r="I691"/>
    </row>
    <row r="692" spans="2:9">
      <c r="B692"/>
      <c r="C692"/>
      <c r="D692"/>
      <c r="E692"/>
      <c r="F692"/>
      <c r="G692"/>
      <c r="H692"/>
      <c r="I692"/>
    </row>
    <row r="693" spans="2:9">
      <c r="B693"/>
      <c r="C693"/>
      <c r="D693"/>
      <c r="E693"/>
      <c r="F693"/>
      <c r="G693"/>
      <c r="H693"/>
      <c r="I693"/>
    </row>
    <row r="694" spans="2:9">
      <c r="B694"/>
      <c r="C694"/>
      <c r="D694"/>
      <c r="E694"/>
      <c r="F694"/>
      <c r="G694"/>
      <c r="H694"/>
      <c r="I694"/>
    </row>
    <row r="695" spans="2:9">
      <c r="B695"/>
      <c r="C695"/>
      <c r="D695"/>
      <c r="E695"/>
      <c r="F695"/>
      <c r="G695"/>
      <c r="H695"/>
      <c r="I695"/>
    </row>
    <row r="696" spans="2:9">
      <c r="B696"/>
      <c r="C696"/>
      <c r="D696"/>
      <c r="E696"/>
      <c r="F696"/>
      <c r="G696"/>
      <c r="H696"/>
      <c r="I696"/>
    </row>
    <row r="697" spans="2:9">
      <c r="B697"/>
      <c r="C697"/>
      <c r="D697"/>
      <c r="E697"/>
      <c r="F697"/>
      <c r="G697"/>
      <c r="H697"/>
      <c r="I697"/>
    </row>
    <row r="698" spans="2:9">
      <c r="B698"/>
      <c r="C698"/>
      <c r="D698"/>
      <c r="E698"/>
      <c r="F698"/>
      <c r="G698"/>
      <c r="H698"/>
      <c r="I698"/>
    </row>
    <row r="699" spans="2:9">
      <c r="B699"/>
      <c r="C699"/>
      <c r="D699"/>
      <c r="E699"/>
      <c r="F699"/>
      <c r="G699"/>
      <c r="H699"/>
      <c r="I699"/>
    </row>
    <row r="700" spans="2:9">
      <c r="B700"/>
      <c r="C700"/>
      <c r="D700"/>
      <c r="E700"/>
      <c r="F700"/>
      <c r="G700"/>
      <c r="H700"/>
      <c r="I700"/>
    </row>
    <row r="701" spans="2:9">
      <c r="B701"/>
      <c r="C701"/>
      <c r="D701"/>
      <c r="E701"/>
      <c r="F701"/>
      <c r="G701"/>
      <c r="H701"/>
      <c r="I701"/>
    </row>
    <row r="702" spans="2:9">
      <c r="B702"/>
      <c r="C702"/>
      <c r="D702"/>
      <c r="E702"/>
      <c r="F702"/>
      <c r="G702"/>
      <c r="H702"/>
      <c r="I702"/>
    </row>
    <row r="703" spans="2:9">
      <c r="B703"/>
      <c r="C703"/>
      <c r="D703"/>
      <c r="E703"/>
      <c r="F703"/>
      <c r="G703"/>
      <c r="H703"/>
      <c r="I703"/>
    </row>
    <row r="704" spans="2:9">
      <c r="B704"/>
      <c r="C704"/>
      <c r="D704"/>
      <c r="E704"/>
      <c r="F704"/>
      <c r="G704"/>
      <c r="H704"/>
      <c r="I704"/>
    </row>
    <row r="705" spans="2:9">
      <c r="B705"/>
      <c r="C705"/>
      <c r="D705"/>
      <c r="E705"/>
      <c r="F705"/>
      <c r="G705"/>
      <c r="H705"/>
      <c r="I705"/>
    </row>
    <row r="706" spans="2:9">
      <c r="B706"/>
      <c r="C706"/>
      <c r="D706"/>
      <c r="E706"/>
      <c r="F706"/>
      <c r="G706"/>
      <c r="H706"/>
      <c r="I706"/>
    </row>
    <row r="707" spans="2:9">
      <c r="B707"/>
      <c r="C707"/>
      <c r="D707"/>
      <c r="E707"/>
      <c r="F707"/>
      <c r="G707"/>
      <c r="H707"/>
      <c r="I707"/>
    </row>
    <row r="708" spans="2:9">
      <c r="B708"/>
      <c r="C708"/>
      <c r="D708"/>
      <c r="E708"/>
      <c r="F708"/>
      <c r="G708"/>
      <c r="H708"/>
      <c r="I708"/>
    </row>
    <row r="709" spans="2:9">
      <c r="B709"/>
      <c r="C709"/>
      <c r="D709"/>
      <c r="E709"/>
      <c r="F709"/>
      <c r="G709"/>
      <c r="H709"/>
      <c r="I709"/>
    </row>
    <row r="710" spans="2:9">
      <c r="B710"/>
      <c r="C710"/>
      <c r="D710"/>
      <c r="E710"/>
      <c r="F710"/>
      <c r="G710"/>
      <c r="H710"/>
      <c r="I710"/>
    </row>
    <row r="711" spans="2:9">
      <c r="B711"/>
      <c r="C711"/>
      <c r="D711"/>
      <c r="E711"/>
      <c r="F711"/>
      <c r="G711"/>
      <c r="H711"/>
      <c r="I711"/>
    </row>
    <row r="712" spans="2:9">
      <c r="B712"/>
      <c r="C712"/>
      <c r="D712"/>
      <c r="E712"/>
      <c r="F712"/>
      <c r="G712"/>
      <c r="H712"/>
      <c r="I712"/>
    </row>
    <row r="713" spans="2:9">
      <c r="B713"/>
      <c r="C713"/>
      <c r="D713"/>
      <c r="E713"/>
      <c r="F713"/>
      <c r="G713"/>
      <c r="H713"/>
      <c r="I713"/>
    </row>
    <row r="714" spans="2:9">
      <c r="B714"/>
      <c r="C714"/>
      <c r="D714"/>
      <c r="E714"/>
      <c r="F714"/>
      <c r="G714"/>
      <c r="H714"/>
      <c r="I714"/>
    </row>
    <row r="715" spans="2:9">
      <c r="B715"/>
      <c r="C715"/>
      <c r="D715"/>
      <c r="E715"/>
      <c r="F715"/>
      <c r="G715"/>
      <c r="H715"/>
      <c r="I715"/>
    </row>
    <row r="716" spans="2:9">
      <c r="B716"/>
      <c r="C716"/>
      <c r="D716"/>
      <c r="E716"/>
      <c r="F716"/>
      <c r="G716"/>
      <c r="H716"/>
      <c r="I716"/>
    </row>
    <row r="717" spans="2:9">
      <c r="B717"/>
      <c r="C717"/>
      <c r="D717"/>
      <c r="E717"/>
      <c r="F717"/>
      <c r="G717"/>
      <c r="H717"/>
      <c r="I717"/>
    </row>
    <row r="718" spans="2:9">
      <c r="B718"/>
      <c r="C718"/>
      <c r="D718"/>
      <c r="E718"/>
      <c r="F718"/>
      <c r="G718"/>
      <c r="H718"/>
      <c r="I718"/>
    </row>
    <row r="719" spans="2:9">
      <c r="B719"/>
      <c r="C719"/>
      <c r="D719"/>
      <c r="E719"/>
      <c r="F719"/>
      <c r="G719"/>
      <c r="H719"/>
      <c r="I719"/>
    </row>
    <row r="720" spans="2:9">
      <c r="B720"/>
      <c r="C720"/>
      <c r="D720"/>
      <c r="E720"/>
      <c r="F720"/>
      <c r="G720"/>
      <c r="H720"/>
      <c r="I720"/>
    </row>
    <row r="721" spans="2:9">
      <c r="B721"/>
      <c r="C721"/>
      <c r="D721"/>
      <c r="E721"/>
      <c r="F721"/>
      <c r="G721"/>
      <c r="H721"/>
      <c r="I721"/>
    </row>
    <row r="722" spans="2:9">
      <c r="B722"/>
      <c r="C722"/>
      <c r="D722"/>
      <c r="E722"/>
      <c r="F722"/>
      <c r="G722"/>
      <c r="H722"/>
      <c r="I722"/>
    </row>
    <row r="723" spans="2:9">
      <c r="B723"/>
      <c r="C723"/>
      <c r="D723"/>
      <c r="E723"/>
      <c r="F723"/>
      <c r="G723"/>
      <c r="H723"/>
      <c r="I723"/>
    </row>
    <row r="724" spans="2:9">
      <c r="B724"/>
      <c r="C724"/>
      <c r="D724"/>
      <c r="E724"/>
      <c r="F724"/>
      <c r="G724"/>
      <c r="H724"/>
      <c r="I724"/>
    </row>
    <row r="725" spans="2:9">
      <c r="B725"/>
      <c r="C725"/>
      <c r="D725"/>
      <c r="E725"/>
      <c r="F725"/>
      <c r="G725"/>
      <c r="H725"/>
      <c r="I725"/>
    </row>
    <row r="726" spans="2:9">
      <c r="B726"/>
      <c r="C726"/>
      <c r="D726"/>
      <c r="E726"/>
      <c r="F726"/>
      <c r="G726"/>
      <c r="H726"/>
      <c r="I726"/>
    </row>
    <row r="727" spans="2:9">
      <c r="B727"/>
      <c r="C727"/>
      <c r="D727"/>
      <c r="E727"/>
      <c r="F727"/>
      <c r="G727"/>
      <c r="H727"/>
      <c r="I727"/>
    </row>
    <row r="728" spans="2:9">
      <c r="B728"/>
      <c r="C728"/>
      <c r="D728"/>
      <c r="E728"/>
      <c r="F728"/>
      <c r="G728"/>
      <c r="H728"/>
      <c r="I728"/>
    </row>
    <row r="729" spans="2:9">
      <c r="B729"/>
      <c r="C729"/>
      <c r="D729"/>
      <c r="E729"/>
      <c r="F729"/>
      <c r="G729"/>
      <c r="H729"/>
      <c r="I729"/>
    </row>
    <row r="730" spans="2:9">
      <c r="B730"/>
      <c r="C730"/>
      <c r="D730"/>
      <c r="E730"/>
      <c r="F730"/>
      <c r="G730"/>
      <c r="H730"/>
      <c r="I730"/>
    </row>
    <row r="731" spans="2:9">
      <c r="B731"/>
      <c r="C731"/>
      <c r="D731"/>
      <c r="E731"/>
      <c r="F731"/>
      <c r="G731"/>
      <c r="H731"/>
      <c r="I731"/>
    </row>
    <row r="732" spans="2:9">
      <c r="B732"/>
      <c r="C732"/>
      <c r="D732"/>
      <c r="E732"/>
      <c r="F732"/>
      <c r="G732"/>
      <c r="H732"/>
      <c r="I732"/>
    </row>
    <row r="733" spans="2:9">
      <c r="B733"/>
      <c r="C733"/>
      <c r="D733"/>
      <c r="E733"/>
      <c r="F733"/>
      <c r="G733"/>
      <c r="H733"/>
      <c r="I733"/>
    </row>
    <row r="734" spans="2:9">
      <c r="B734"/>
      <c r="C734"/>
      <c r="D734"/>
      <c r="E734"/>
      <c r="F734"/>
      <c r="G734"/>
      <c r="H734"/>
      <c r="I734"/>
    </row>
    <row r="735" spans="2:9">
      <c r="B735"/>
      <c r="C735"/>
      <c r="D735"/>
      <c r="E735"/>
      <c r="F735"/>
      <c r="G735"/>
      <c r="H735"/>
      <c r="I735"/>
    </row>
    <row r="736" spans="2:9">
      <c r="B736"/>
      <c r="C736"/>
      <c r="D736"/>
      <c r="E736"/>
      <c r="F736"/>
      <c r="G736"/>
      <c r="H736"/>
      <c r="I736"/>
    </row>
    <row r="737" spans="2:9">
      <c r="B737"/>
      <c r="C737"/>
      <c r="D737"/>
      <c r="E737"/>
      <c r="F737"/>
      <c r="G737"/>
      <c r="H737"/>
      <c r="I737"/>
    </row>
    <row r="738" spans="2:9">
      <c r="B738"/>
      <c r="C738"/>
      <c r="D738"/>
      <c r="E738"/>
      <c r="F738"/>
      <c r="G738"/>
      <c r="H738"/>
      <c r="I738"/>
    </row>
    <row r="739" spans="2:9">
      <c r="B739"/>
      <c r="C739"/>
      <c r="D739"/>
      <c r="E739"/>
      <c r="F739"/>
      <c r="G739"/>
      <c r="H739"/>
      <c r="I739"/>
    </row>
    <row r="740" spans="2:9">
      <c r="B740"/>
      <c r="C740"/>
      <c r="D740"/>
      <c r="E740"/>
      <c r="F740"/>
      <c r="G740"/>
      <c r="H740"/>
      <c r="I740"/>
    </row>
    <row r="741" spans="2:9">
      <c r="B741"/>
      <c r="C741"/>
      <c r="D741"/>
      <c r="E741"/>
      <c r="F741"/>
      <c r="G741"/>
      <c r="H741"/>
      <c r="I741"/>
    </row>
    <row r="742" spans="2:9">
      <c r="B742"/>
      <c r="C742"/>
      <c r="D742"/>
      <c r="E742"/>
      <c r="F742"/>
      <c r="G742"/>
      <c r="H742"/>
      <c r="I742"/>
    </row>
    <row r="743" spans="2:9">
      <c r="B743"/>
      <c r="C743"/>
      <c r="D743"/>
      <c r="E743"/>
      <c r="F743"/>
      <c r="G743"/>
      <c r="H743"/>
      <c r="I743"/>
    </row>
    <row r="744" spans="2:9">
      <c r="B744"/>
      <c r="C744"/>
      <c r="D744"/>
      <c r="E744"/>
      <c r="F744"/>
      <c r="G744"/>
      <c r="H744"/>
      <c r="I744"/>
    </row>
    <row r="745" spans="2:9">
      <c r="B745"/>
      <c r="C745"/>
      <c r="D745"/>
      <c r="E745"/>
      <c r="F745"/>
      <c r="G745"/>
      <c r="H745"/>
      <c r="I745"/>
    </row>
    <row r="746" spans="2:9">
      <c r="B746"/>
      <c r="C746"/>
      <c r="D746"/>
      <c r="E746"/>
      <c r="F746"/>
      <c r="G746"/>
      <c r="H746"/>
      <c r="I746"/>
    </row>
    <row r="747" spans="2:9">
      <c r="B747"/>
      <c r="C747"/>
      <c r="D747"/>
      <c r="E747"/>
      <c r="F747"/>
      <c r="G747"/>
      <c r="H747"/>
      <c r="I747"/>
    </row>
    <row r="748" spans="2:9">
      <c r="B748"/>
      <c r="C748"/>
      <c r="D748"/>
      <c r="E748"/>
      <c r="F748"/>
      <c r="G748"/>
      <c r="H748"/>
      <c r="I748"/>
    </row>
    <row r="749" spans="2:9">
      <c r="B749"/>
      <c r="C749"/>
      <c r="D749"/>
      <c r="E749"/>
      <c r="F749"/>
      <c r="G749"/>
      <c r="H749"/>
      <c r="I749"/>
    </row>
    <row r="750" spans="2:9">
      <c r="B750"/>
      <c r="C750"/>
      <c r="D750"/>
      <c r="E750"/>
      <c r="F750"/>
      <c r="G750"/>
      <c r="H750"/>
      <c r="I750"/>
    </row>
    <row r="751" spans="2:9">
      <c r="B751"/>
      <c r="C751"/>
      <c r="D751"/>
      <c r="E751"/>
      <c r="F751"/>
      <c r="G751"/>
      <c r="H751"/>
      <c r="I751"/>
    </row>
    <row r="752" spans="2:9">
      <c r="B752"/>
      <c r="C752"/>
      <c r="D752"/>
      <c r="E752"/>
      <c r="F752"/>
      <c r="G752"/>
      <c r="H752"/>
      <c r="I752"/>
    </row>
    <row r="753" spans="2:9">
      <c r="B753"/>
      <c r="C753"/>
      <c r="D753"/>
      <c r="E753"/>
      <c r="F753"/>
      <c r="G753"/>
      <c r="H753"/>
      <c r="I753"/>
    </row>
    <row r="754" spans="2:9">
      <c r="B754"/>
      <c r="C754"/>
      <c r="D754"/>
      <c r="E754"/>
      <c r="F754"/>
      <c r="G754"/>
      <c r="H754"/>
      <c r="I754"/>
    </row>
    <row r="755" spans="2:9">
      <c r="B755"/>
      <c r="C755"/>
      <c r="D755"/>
      <c r="E755"/>
      <c r="F755"/>
      <c r="G755"/>
      <c r="H755"/>
      <c r="I755"/>
    </row>
    <row r="756" spans="2:9">
      <c r="B756"/>
      <c r="C756"/>
      <c r="D756"/>
      <c r="E756"/>
      <c r="F756"/>
      <c r="G756"/>
      <c r="H756"/>
      <c r="I756"/>
    </row>
    <row r="757" spans="2:9">
      <c r="B757"/>
      <c r="C757"/>
      <c r="D757"/>
      <c r="E757"/>
      <c r="F757"/>
      <c r="G757"/>
      <c r="H757"/>
      <c r="I757"/>
    </row>
    <row r="758" spans="2:9">
      <c r="B758"/>
      <c r="C758"/>
      <c r="D758"/>
      <c r="E758"/>
      <c r="F758"/>
      <c r="G758"/>
      <c r="H758"/>
      <c r="I758"/>
    </row>
    <row r="759" spans="2:9">
      <c r="B759"/>
      <c r="C759"/>
      <c r="D759"/>
      <c r="E759"/>
      <c r="F759"/>
      <c r="G759"/>
      <c r="H759"/>
      <c r="I759"/>
    </row>
    <row r="760" spans="2:9">
      <c r="B760"/>
      <c r="C760"/>
      <c r="D760"/>
      <c r="E760"/>
      <c r="F760"/>
      <c r="G760"/>
      <c r="H760"/>
      <c r="I760"/>
    </row>
    <row r="761" spans="2:9">
      <c r="B761"/>
      <c r="C761"/>
      <c r="D761"/>
      <c r="E761"/>
      <c r="F761"/>
      <c r="G761"/>
      <c r="H761"/>
      <c r="I761"/>
    </row>
    <row r="762" spans="2:9">
      <c r="B762"/>
      <c r="C762"/>
      <c r="D762"/>
      <c r="E762"/>
      <c r="F762"/>
      <c r="G762"/>
      <c r="H762"/>
      <c r="I762"/>
    </row>
    <row r="763" spans="2:9">
      <c r="B763"/>
      <c r="C763"/>
      <c r="D763"/>
      <c r="E763"/>
      <c r="F763"/>
      <c r="G763"/>
      <c r="H763"/>
      <c r="I763"/>
    </row>
    <row r="764" spans="2:9">
      <c r="B764"/>
      <c r="C764"/>
      <c r="D764"/>
      <c r="E764"/>
      <c r="F764"/>
      <c r="G764"/>
      <c r="H764"/>
      <c r="I764"/>
    </row>
    <row r="765" spans="2:9">
      <c r="B765"/>
      <c r="C765"/>
      <c r="D765"/>
      <c r="E765"/>
      <c r="F765"/>
      <c r="G765"/>
      <c r="H765"/>
      <c r="I765"/>
    </row>
    <row r="766" spans="2:9">
      <c r="B766"/>
      <c r="C766"/>
      <c r="D766"/>
      <c r="E766"/>
      <c r="F766"/>
      <c r="G766"/>
      <c r="H766"/>
      <c r="I766"/>
    </row>
    <row r="767" spans="2:9">
      <c r="B767"/>
      <c r="C767"/>
      <c r="D767"/>
      <c r="E767"/>
      <c r="F767"/>
      <c r="G767"/>
      <c r="H767"/>
      <c r="I767"/>
    </row>
    <row r="768" spans="2:9">
      <c r="B768"/>
      <c r="C768"/>
      <c r="D768"/>
      <c r="E768"/>
      <c r="F768"/>
      <c r="G768"/>
      <c r="H768"/>
      <c r="I768"/>
    </row>
    <row r="769" spans="2:9">
      <c r="B769"/>
      <c r="C769"/>
      <c r="D769"/>
      <c r="E769"/>
      <c r="F769"/>
      <c r="G769"/>
      <c r="H769"/>
      <c r="I769"/>
    </row>
    <row r="770" spans="2:9">
      <c r="B770"/>
      <c r="C770"/>
      <c r="D770"/>
      <c r="E770"/>
      <c r="F770"/>
      <c r="G770"/>
      <c r="H770"/>
      <c r="I770"/>
    </row>
    <row r="771" spans="2:9">
      <c r="B771"/>
      <c r="C771"/>
      <c r="D771"/>
      <c r="E771"/>
      <c r="F771"/>
      <c r="G771"/>
      <c r="H771"/>
      <c r="I771"/>
    </row>
    <row r="772" spans="2:9">
      <c r="B772"/>
      <c r="C772"/>
      <c r="D772"/>
      <c r="E772"/>
      <c r="F772"/>
      <c r="G772"/>
      <c r="H772"/>
      <c r="I772"/>
    </row>
    <row r="773" spans="2:9">
      <c r="B773"/>
      <c r="C773"/>
      <c r="D773"/>
      <c r="E773"/>
      <c r="F773"/>
      <c r="G773"/>
      <c r="H773"/>
      <c r="I773"/>
    </row>
    <row r="774" spans="2:9">
      <c r="B774"/>
      <c r="C774"/>
      <c r="D774"/>
      <c r="E774"/>
      <c r="F774"/>
      <c r="G774"/>
      <c r="H774"/>
      <c r="I774"/>
    </row>
    <row r="775" spans="2:9">
      <c r="B775"/>
      <c r="C775"/>
      <c r="D775"/>
      <c r="E775"/>
      <c r="F775"/>
      <c r="G775"/>
      <c r="H775"/>
      <c r="I775"/>
    </row>
    <row r="776" spans="2:9">
      <c r="B776"/>
      <c r="C776"/>
      <c r="D776"/>
      <c r="E776"/>
      <c r="F776"/>
      <c r="G776"/>
      <c r="H776"/>
      <c r="I776"/>
    </row>
    <row r="777" spans="2:9">
      <c r="B777"/>
      <c r="C777"/>
      <c r="D777"/>
      <c r="E777"/>
      <c r="F777"/>
      <c r="G777"/>
      <c r="H777"/>
      <c r="I777"/>
    </row>
    <row r="778" spans="2:9">
      <c r="B778"/>
      <c r="C778"/>
      <c r="D778"/>
      <c r="E778"/>
      <c r="F778"/>
      <c r="G778"/>
      <c r="H778"/>
      <c r="I778"/>
    </row>
    <row r="779" spans="2:9">
      <c r="B779"/>
      <c r="C779"/>
      <c r="D779"/>
      <c r="E779"/>
      <c r="F779"/>
      <c r="G779"/>
      <c r="H779"/>
      <c r="I779"/>
    </row>
    <row r="780" spans="2:9">
      <c r="B780"/>
      <c r="C780"/>
      <c r="D780"/>
      <c r="E780"/>
      <c r="F780"/>
      <c r="G780"/>
      <c r="H780"/>
      <c r="I780"/>
    </row>
    <row r="781" spans="2:9">
      <c r="B781"/>
      <c r="C781"/>
      <c r="D781"/>
      <c r="E781"/>
      <c r="F781"/>
      <c r="G781"/>
      <c r="H781"/>
      <c r="I781"/>
    </row>
    <row r="782" spans="2:9">
      <c r="B782"/>
      <c r="C782"/>
      <c r="D782"/>
      <c r="E782"/>
      <c r="F782"/>
      <c r="G782"/>
      <c r="H782"/>
      <c r="I782"/>
    </row>
    <row r="783" spans="2:9">
      <c r="B783"/>
      <c r="C783"/>
      <c r="D783"/>
      <c r="E783"/>
      <c r="F783"/>
      <c r="G783"/>
      <c r="H783"/>
      <c r="I783"/>
    </row>
    <row r="784" spans="2:9">
      <c r="B784"/>
      <c r="C784"/>
      <c r="D784"/>
      <c r="E784"/>
      <c r="F784"/>
      <c r="G784"/>
      <c r="H784"/>
      <c r="I784"/>
    </row>
    <row r="785" spans="2:9">
      <c r="B785"/>
      <c r="C785"/>
      <c r="D785"/>
      <c r="E785"/>
      <c r="F785"/>
      <c r="G785"/>
      <c r="H785"/>
      <c r="I785"/>
    </row>
    <row r="786" spans="2:9">
      <c r="B786"/>
      <c r="C786"/>
      <c r="D786"/>
      <c r="E786"/>
      <c r="F786"/>
      <c r="G786"/>
      <c r="H786"/>
      <c r="I786"/>
    </row>
    <row r="787" spans="2:9">
      <c r="B787"/>
      <c r="C787"/>
      <c r="D787"/>
      <c r="E787"/>
      <c r="F787"/>
      <c r="G787"/>
      <c r="H787"/>
      <c r="I787"/>
    </row>
    <row r="788" spans="2:9">
      <c r="B788"/>
      <c r="C788"/>
      <c r="D788"/>
      <c r="E788"/>
      <c r="F788"/>
      <c r="G788"/>
      <c r="H788"/>
      <c r="I788"/>
    </row>
    <row r="789" spans="2:9">
      <c r="B789"/>
      <c r="C789"/>
      <c r="D789"/>
      <c r="E789"/>
      <c r="F789"/>
      <c r="G789"/>
      <c r="H789"/>
      <c r="I789"/>
    </row>
    <row r="790" spans="2:9">
      <c r="B790"/>
      <c r="C790"/>
      <c r="D790"/>
      <c r="E790"/>
      <c r="F790"/>
      <c r="G790"/>
      <c r="H790"/>
      <c r="I790"/>
    </row>
    <row r="791" spans="2:9">
      <c r="B791"/>
      <c r="C791"/>
      <c r="D791"/>
      <c r="E791"/>
      <c r="F791"/>
      <c r="G791"/>
      <c r="H791"/>
      <c r="I791"/>
    </row>
    <row r="792" spans="2:9">
      <c r="B792"/>
      <c r="C792"/>
      <c r="D792"/>
      <c r="E792"/>
      <c r="F792"/>
      <c r="G792"/>
      <c r="H792"/>
      <c r="I792"/>
    </row>
    <row r="793" spans="2:9">
      <c r="B793"/>
      <c r="C793"/>
      <c r="D793"/>
      <c r="E793"/>
      <c r="F793"/>
      <c r="G793"/>
      <c r="H793"/>
      <c r="I793"/>
    </row>
    <row r="794" spans="2:9">
      <c r="B794"/>
      <c r="C794"/>
      <c r="D794"/>
      <c r="E794"/>
      <c r="F794"/>
      <c r="G794"/>
      <c r="H794"/>
      <c r="I794"/>
    </row>
    <row r="795" spans="2:9">
      <c r="B795"/>
      <c r="C795"/>
      <c r="D795"/>
      <c r="E795"/>
      <c r="F795"/>
      <c r="G795"/>
      <c r="H795"/>
      <c r="I795"/>
    </row>
    <row r="796" spans="2:9">
      <c r="B796"/>
      <c r="C796"/>
      <c r="D796"/>
      <c r="E796"/>
      <c r="F796"/>
      <c r="G796"/>
      <c r="H796"/>
      <c r="I796"/>
    </row>
    <row r="797" spans="2:9">
      <c r="B797"/>
      <c r="C797"/>
      <c r="D797"/>
      <c r="E797"/>
      <c r="F797"/>
      <c r="G797"/>
      <c r="H797"/>
      <c r="I797"/>
    </row>
    <row r="798" spans="2:9">
      <c r="B798"/>
      <c r="C798"/>
      <c r="D798"/>
      <c r="E798"/>
      <c r="F798"/>
      <c r="G798"/>
      <c r="H798"/>
      <c r="I798"/>
    </row>
    <row r="799" spans="2:9">
      <c r="B799"/>
      <c r="C799"/>
      <c r="D799"/>
      <c r="E799"/>
      <c r="F799"/>
      <c r="G799"/>
      <c r="H799"/>
      <c r="I799"/>
    </row>
    <row r="800" spans="2:9">
      <c r="B800"/>
      <c r="C800"/>
      <c r="D800"/>
      <c r="E800"/>
      <c r="F800"/>
      <c r="G800"/>
      <c r="H800"/>
      <c r="I800"/>
    </row>
    <row r="801" spans="2:9">
      <c r="B801"/>
      <c r="C801"/>
      <c r="D801"/>
      <c r="E801"/>
      <c r="F801"/>
      <c r="G801"/>
      <c r="H801"/>
      <c r="I801"/>
    </row>
    <row r="802" spans="2:9">
      <c r="B802"/>
      <c r="C802"/>
      <c r="D802"/>
      <c r="E802"/>
      <c r="F802"/>
      <c r="G802"/>
      <c r="H802"/>
      <c r="I802"/>
    </row>
    <row r="803" spans="2:9">
      <c r="B803"/>
      <c r="C803"/>
      <c r="D803"/>
      <c r="E803"/>
      <c r="F803"/>
      <c r="G803"/>
      <c r="H803"/>
      <c r="I803"/>
    </row>
    <row r="804" spans="2:9">
      <c r="B804"/>
      <c r="C804"/>
      <c r="D804"/>
      <c r="E804"/>
      <c r="F804"/>
      <c r="G804"/>
      <c r="H804"/>
      <c r="I804"/>
    </row>
    <row r="805" spans="2:9">
      <c r="B805"/>
      <c r="C805"/>
      <c r="D805"/>
      <c r="E805"/>
      <c r="F805"/>
      <c r="G805"/>
      <c r="H805"/>
      <c r="I805"/>
    </row>
    <row r="806" spans="2:9">
      <c r="B806"/>
      <c r="C806"/>
      <c r="D806"/>
      <c r="E806"/>
      <c r="F806"/>
      <c r="G806"/>
      <c r="H806"/>
      <c r="I806"/>
    </row>
    <row r="807" spans="2:9">
      <c r="B807"/>
      <c r="C807"/>
      <c r="D807"/>
      <c r="E807"/>
      <c r="F807"/>
      <c r="G807"/>
      <c r="H807"/>
      <c r="I807"/>
    </row>
    <row r="808" spans="2:9">
      <c r="B808"/>
      <c r="C808"/>
      <c r="D808"/>
      <c r="E808"/>
      <c r="F808"/>
      <c r="G808"/>
      <c r="H808"/>
      <c r="I808"/>
    </row>
    <row r="809" spans="2:9">
      <c r="B809"/>
      <c r="C809"/>
      <c r="D809"/>
      <c r="E809"/>
      <c r="F809"/>
      <c r="G809"/>
      <c r="H809"/>
      <c r="I809"/>
    </row>
    <row r="810" spans="2:9">
      <c r="B810"/>
      <c r="C810"/>
      <c r="D810"/>
      <c r="E810"/>
      <c r="F810"/>
      <c r="G810"/>
      <c r="H810"/>
      <c r="I810"/>
    </row>
    <row r="811" spans="2:9">
      <c r="B811"/>
      <c r="C811"/>
      <c r="D811"/>
      <c r="E811"/>
      <c r="F811"/>
      <c r="G811"/>
      <c r="H811"/>
      <c r="I811"/>
    </row>
    <row r="812" spans="2:9">
      <c r="B812"/>
      <c r="C812"/>
      <c r="D812"/>
      <c r="E812"/>
      <c r="F812"/>
      <c r="G812"/>
      <c r="H812"/>
      <c r="I812"/>
    </row>
    <row r="813" spans="2:9">
      <c r="B813"/>
      <c r="C813"/>
      <c r="D813"/>
      <c r="E813"/>
      <c r="F813"/>
      <c r="G813"/>
      <c r="H813"/>
      <c r="I813"/>
    </row>
    <row r="814" spans="2:9">
      <c r="B814"/>
      <c r="C814"/>
      <c r="D814"/>
      <c r="E814"/>
      <c r="F814"/>
      <c r="G814"/>
      <c r="H814"/>
      <c r="I814"/>
    </row>
    <row r="815" spans="2:9">
      <c r="B815"/>
      <c r="C815"/>
      <c r="D815"/>
      <c r="E815"/>
      <c r="F815"/>
      <c r="G815"/>
      <c r="H815"/>
      <c r="I815"/>
    </row>
    <row r="816" spans="2:9">
      <c r="B816"/>
      <c r="C816"/>
      <c r="D816"/>
      <c r="E816"/>
      <c r="F816"/>
      <c r="G816"/>
      <c r="H816"/>
      <c r="I816"/>
    </row>
    <row r="817" spans="2:9">
      <c r="B817"/>
      <c r="C817"/>
      <c r="D817"/>
      <c r="E817"/>
      <c r="F817"/>
      <c r="G817"/>
      <c r="H817"/>
      <c r="I817"/>
    </row>
    <row r="818" spans="2:9">
      <c r="B818"/>
      <c r="C818"/>
      <c r="D818"/>
      <c r="E818"/>
      <c r="F818"/>
      <c r="G818"/>
      <c r="H818"/>
      <c r="I818"/>
    </row>
    <row r="819" spans="2:9">
      <c r="B819"/>
      <c r="C819"/>
      <c r="D819"/>
      <c r="E819"/>
      <c r="F819"/>
      <c r="G819"/>
      <c r="H819"/>
      <c r="I819"/>
    </row>
    <row r="820" spans="2:9">
      <c r="B820"/>
      <c r="C820"/>
      <c r="D820"/>
      <c r="E820"/>
      <c r="F820"/>
      <c r="G820"/>
      <c r="H820"/>
      <c r="I820"/>
    </row>
    <row r="821" spans="2:9">
      <c r="B821"/>
      <c r="C821"/>
      <c r="D821"/>
      <c r="E821"/>
      <c r="F821"/>
      <c r="G821"/>
      <c r="H821"/>
      <c r="I821"/>
    </row>
    <row r="822" spans="2:9">
      <c r="B822"/>
      <c r="C822"/>
      <c r="D822"/>
      <c r="E822"/>
      <c r="F822"/>
      <c r="G822"/>
      <c r="H822"/>
      <c r="I822"/>
    </row>
    <row r="823" spans="2:9">
      <c r="B823"/>
      <c r="C823"/>
      <c r="D823"/>
      <c r="E823"/>
      <c r="F823"/>
      <c r="G823"/>
      <c r="H823"/>
      <c r="I823"/>
    </row>
    <row r="824" spans="2:9">
      <c r="B824"/>
      <c r="C824"/>
      <c r="D824"/>
      <c r="E824"/>
      <c r="F824"/>
      <c r="G824"/>
      <c r="H824"/>
      <c r="I824"/>
    </row>
    <row r="825" spans="2:9">
      <c r="B825"/>
      <c r="C825"/>
      <c r="D825"/>
      <c r="E825"/>
      <c r="F825"/>
      <c r="G825"/>
      <c r="H825"/>
      <c r="I825"/>
    </row>
    <row r="826" spans="2:9">
      <c r="B826"/>
      <c r="C826"/>
      <c r="D826"/>
      <c r="E826"/>
      <c r="F826"/>
      <c r="G826"/>
      <c r="H826"/>
      <c r="I826"/>
    </row>
    <row r="827" spans="2:9">
      <c r="B827"/>
      <c r="C827"/>
      <c r="D827"/>
      <c r="E827"/>
      <c r="F827"/>
      <c r="G827"/>
      <c r="H827"/>
      <c r="I827"/>
    </row>
    <row r="828" spans="2:9">
      <c r="B828"/>
      <c r="C828"/>
      <c r="D828"/>
      <c r="E828"/>
      <c r="F828"/>
      <c r="G828"/>
      <c r="H828"/>
      <c r="I828"/>
    </row>
    <row r="829" spans="2:9">
      <c r="B829"/>
      <c r="C829"/>
      <c r="D829"/>
      <c r="E829"/>
      <c r="F829"/>
      <c r="G829"/>
      <c r="H829"/>
      <c r="I829"/>
    </row>
    <row r="830" spans="2:9">
      <c r="B830"/>
      <c r="C830"/>
      <c r="D830"/>
      <c r="E830"/>
      <c r="F830"/>
      <c r="G830"/>
      <c r="H830"/>
      <c r="I830"/>
    </row>
    <row r="831" spans="2:9">
      <c r="B831"/>
      <c r="C831"/>
      <c r="D831"/>
      <c r="E831"/>
      <c r="F831"/>
      <c r="G831"/>
      <c r="H831"/>
      <c r="I831"/>
    </row>
    <row r="832" spans="2:9">
      <c r="B832"/>
      <c r="C832"/>
      <c r="D832"/>
      <c r="E832"/>
      <c r="F832"/>
      <c r="G832"/>
      <c r="H832"/>
      <c r="I832"/>
    </row>
    <row r="833" spans="2:9">
      <c r="B833"/>
      <c r="C833"/>
      <c r="D833"/>
      <c r="E833"/>
      <c r="F833"/>
      <c r="G833"/>
      <c r="H833"/>
      <c r="I833"/>
    </row>
    <row r="834" spans="2:9">
      <c r="B834"/>
      <c r="C834"/>
      <c r="D834"/>
      <c r="E834"/>
      <c r="F834"/>
      <c r="G834"/>
      <c r="H834"/>
      <c r="I834"/>
    </row>
    <row r="835" spans="2:9">
      <c r="B835"/>
      <c r="C835"/>
      <c r="D835"/>
      <c r="E835"/>
      <c r="F835"/>
      <c r="G835"/>
      <c r="H835"/>
      <c r="I835"/>
    </row>
    <row r="836" spans="2:9">
      <c r="B836"/>
      <c r="C836"/>
      <c r="D836"/>
      <c r="E836"/>
      <c r="F836"/>
      <c r="G836"/>
      <c r="H836"/>
      <c r="I836"/>
    </row>
    <row r="837" spans="2:9">
      <c r="B837"/>
      <c r="C837"/>
      <c r="D837"/>
      <c r="E837"/>
      <c r="F837"/>
      <c r="G837"/>
      <c r="H837"/>
      <c r="I837"/>
    </row>
    <row r="838" spans="2:9">
      <c r="B838"/>
      <c r="C838"/>
      <c r="D838"/>
      <c r="E838"/>
      <c r="F838"/>
      <c r="G838"/>
      <c r="H838"/>
      <c r="I838"/>
    </row>
    <row r="839" spans="2:9">
      <c r="B839"/>
      <c r="C839"/>
      <c r="D839"/>
      <c r="E839"/>
      <c r="F839"/>
      <c r="G839"/>
      <c r="H839"/>
      <c r="I839"/>
    </row>
    <row r="840" spans="2:9">
      <c r="B840"/>
      <c r="C840"/>
      <c r="D840"/>
      <c r="E840"/>
      <c r="F840"/>
      <c r="G840"/>
      <c r="H840"/>
      <c r="I840"/>
    </row>
    <row r="841" spans="2:9">
      <c r="B841"/>
      <c r="C841"/>
      <c r="D841"/>
      <c r="E841"/>
      <c r="F841"/>
      <c r="G841"/>
      <c r="H841"/>
      <c r="I841"/>
    </row>
    <row r="842" spans="2:9">
      <c r="B842"/>
      <c r="C842"/>
      <c r="D842"/>
      <c r="E842"/>
      <c r="F842"/>
      <c r="G842"/>
      <c r="H842"/>
      <c r="I842"/>
    </row>
    <row r="843" spans="2:9">
      <c r="B843"/>
      <c r="C843"/>
      <c r="D843"/>
      <c r="E843"/>
      <c r="F843"/>
      <c r="G843"/>
      <c r="H843"/>
      <c r="I843"/>
    </row>
    <row r="844" spans="2:9">
      <c r="B844"/>
      <c r="C844"/>
      <c r="D844"/>
      <c r="E844"/>
      <c r="F844"/>
      <c r="G844"/>
      <c r="H844"/>
      <c r="I844"/>
    </row>
    <row r="845" spans="2:9">
      <c r="B845"/>
      <c r="C845"/>
      <c r="D845"/>
      <c r="E845"/>
      <c r="F845"/>
      <c r="G845"/>
      <c r="H845"/>
      <c r="I845"/>
    </row>
    <row r="846" spans="2:9">
      <c r="B846"/>
      <c r="C846"/>
      <c r="D846"/>
      <c r="E846"/>
      <c r="F846"/>
      <c r="G846"/>
      <c r="H846"/>
      <c r="I846"/>
    </row>
    <row r="847" spans="2:9">
      <c r="B847"/>
      <c r="C847"/>
      <c r="D847"/>
      <c r="E847"/>
      <c r="F847"/>
      <c r="G847"/>
      <c r="H847"/>
      <c r="I847"/>
    </row>
    <row r="848" spans="2:9">
      <c r="B848"/>
      <c r="C848"/>
      <c r="D848"/>
      <c r="E848"/>
      <c r="F848"/>
      <c r="G848"/>
      <c r="H848"/>
      <c r="I848"/>
    </row>
    <row r="849" spans="2:9">
      <c r="B849"/>
      <c r="C849"/>
      <c r="D849"/>
      <c r="E849"/>
      <c r="F849"/>
      <c r="G849"/>
      <c r="H849"/>
      <c r="I849"/>
    </row>
    <row r="850" spans="2:9">
      <c r="B850"/>
      <c r="C850"/>
      <c r="D850"/>
      <c r="E850"/>
      <c r="F850"/>
      <c r="G850"/>
      <c r="H850"/>
      <c r="I850"/>
    </row>
    <row r="851" spans="2:9">
      <c r="B851"/>
      <c r="C851"/>
      <c r="D851"/>
      <c r="E851"/>
      <c r="F851"/>
      <c r="G851"/>
      <c r="H851"/>
      <c r="I851"/>
    </row>
    <row r="852" spans="2:9">
      <c r="B852"/>
      <c r="C852"/>
      <c r="D852"/>
      <c r="E852"/>
      <c r="F852"/>
      <c r="G852"/>
      <c r="H852"/>
      <c r="I852"/>
    </row>
    <row r="853" spans="2:9">
      <c r="B853"/>
      <c r="C853"/>
      <c r="D853"/>
      <c r="E853"/>
      <c r="F853"/>
      <c r="G853"/>
      <c r="H853"/>
      <c r="I853"/>
    </row>
    <row r="854" spans="2:9">
      <c r="B854"/>
      <c r="C854"/>
      <c r="D854"/>
      <c r="E854"/>
      <c r="F854"/>
      <c r="G854"/>
      <c r="H854"/>
      <c r="I854"/>
    </row>
    <row r="855" spans="2:9">
      <c r="B855"/>
      <c r="C855"/>
      <c r="D855"/>
      <c r="E855"/>
      <c r="F855"/>
      <c r="G855"/>
      <c r="H855"/>
      <c r="I855"/>
    </row>
    <row r="856" spans="2:9">
      <c r="B856"/>
      <c r="C856"/>
      <c r="D856"/>
      <c r="E856"/>
      <c r="F856"/>
      <c r="G856"/>
      <c r="H856"/>
      <c r="I856"/>
    </row>
    <row r="857" spans="2:9">
      <c r="B857"/>
      <c r="C857"/>
      <c r="D857"/>
      <c r="E857"/>
      <c r="F857"/>
      <c r="G857"/>
      <c r="H857"/>
      <c r="I857"/>
    </row>
    <row r="858" spans="2:9">
      <c r="B858"/>
      <c r="C858"/>
      <c r="D858"/>
      <c r="E858"/>
      <c r="F858"/>
      <c r="G858"/>
      <c r="H858"/>
      <c r="I858"/>
    </row>
    <row r="859" spans="2:9">
      <c r="B859"/>
      <c r="C859"/>
      <c r="D859"/>
      <c r="E859"/>
      <c r="F859"/>
      <c r="G859"/>
      <c r="H859"/>
      <c r="I859"/>
    </row>
    <row r="860" spans="2:9">
      <c r="B860"/>
      <c r="C860"/>
      <c r="D860"/>
      <c r="E860"/>
      <c r="F860"/>
      <c r="G860"/>
      <c r="H860"/>
      <c r="I860"/>
    </row>
    <row r="861" spans="2:9">
      <c r="B861"/>
      <c r="C861"/>
      <c r="D861"/>
      <c r="E861"/>
      <c r="F861"/>
      <c r="G861"/>
      <c r="H861"/>
      <c r="I861"/>
    </row>
    <row r="862" spans="2:9">
      <c r="B862"/>
      <c r="C862"/>
      <c r="D862"/>
      <c r="E862"/>
      <c r="F862"/>
      <c r="G862"/>
      <c r="H862"/>
      <c r="I862"/>
    </row>
    <row r="863" spans="2:9">
      <c r="B863"/>
      <c r="C863"/>
      <c r="D863"/>
      <c r="E863"/>
      <c r="F863"/>
      <c r="G863"/>
      <c r="H863"/>
      <c r="I863"/>
    </row>
    <row r="864" spans="2:9">
      <c r="B864"/>
      <c r="C864"/>
      <c r="D864"/>
      <c r="E864"/>
      <c r="F864"/>
      <c r="G864"/>
      <c r="H864"/>
      <c r="I864"/>
    </row>
    <row r="865" spans="2:9">
      <c r="B865"/>
      <c r="C865"/>
      <c r="D865"/>
      <c r="E865"/>
      <c r="F865"/>
      <c r="G865"/>
      <c r="H865"/>
      <c r="I865"/>
    </row>
    <row r="866" spans="2:9">
      <c r="B866"/>
      <c r="C866"/>
      <c r="D866"/>
      <c r="E866"/>
      <c r="F866"/>
      <c r="G866"/>
      <c r="H866"/>
      <c r="I866"/>
    </row>
    <row r="867" spans="2:9">
      <c r="B867"/>
      <c r="C867"/>
      <c r="D867"/>
      <c r="E867"/>
      <c r="F867"/>
      <c r="G867"/>
      <c r="H867"/>
      <c r="I867"/>
    </row>
    <row r="868" spans="2:9">
      <c r="B868"/>
      <c r="C868"/>
      <c r="D868"/>
      <c r="E868"/>
      <c r="F868"/>
      <c r="G868"/>
      <c r="H868"/>
      <c r="I868"/>
    </row>
    <row r="869" spans="2:9">
      <c r="B869"/>
      <c r="C869"/>
      <c r="D869"/>
      <c r="E869"/>
      <c r="F869"/>
      <c r="G869"/>
      <c r="H869"/>
      <c r="I869"/>
    </row>
    <row r="870" spans="2:9">
      <c r="B870"/>
      <c r="C870"/>
      <c r="D870"/>
      <c r="E870"/>
      <c r="F870"/>
      <c r="G870"/>
      <c r="H870"/>
      <c r="I870"/>
    </row>
    <row r="871" spans="2:9">
      <c r="B871"/>
      <c r="C871"/>
      <c r="D871"/>
      <c r="E871"/>
      <c r="F871"/>
      <c r="G871"/>
      <c r="H871"/>
      <c r="I871"/>
    </row>
    <row r="872" spans="2:9">
      <c r="B872"/>
      <c r="C872"/>
      <c r="D872"/>
      <c r="E872"/>
      <c r="F872"/>
      <c r="G872"/>
      <c r="H872"/>
      <c r="I872"/>
    </row>
    <row r="873" spans="2:9">
      <c r="B873"/>
      <c r="C873"/>
      <c r="D873"/>
      <c r="E873"/>
      <c r="F873"/>
      <c r="G873"/>
      <c r="H873"/>
      <c r="I873"/>
    </row>
    <row r="874" spans="2:9">
      <c r="B874"/>
      <c r="C874"/>
      <c r="D874"/>
      <c r="E874"/>
      <c r="F874"/>
      <c r="G874"/>
      <c r="H874"/>
      <c r="I874"/>
    </row>
    <row r="875" spans="2:9">
      <c r="B875"/>
      <c r="C875"/>
      <c r="D875"/>
      <c r="E875"/>
      <c r="F875"/>
      <c r="G875"/>
      <c r="H875"/>
      <c r="I875"/>
    </row>
    <row r="876" spans="2:9">
      <c r="B876"/>
      <c r="C876"/>
      <c r="D876"/>
      <c r="E876"/>
      <c r="F876"/>
      <c r="G876"/>
      <c r="H876"/>
      <c r="I876"/>
    </row>
    <row r="877" spans="2:9">
      <c r="B877"/>
      <c r="C877"/>
      <c r="D877"/>
      <c r="E877"/>
      <c r="F877"/>
      <c r="G877"/>
      <c r="H877"/>
      <c r="I877"/>
    </row>
    <row r="878" spans="2:9">
      <c r="B878"/>
      <c r="C878"/>
      <c r="D878"/>
      <c r="E878"/>
      <c r="F878"/>
      <c r="G878"/>
      <c r="H878"/>
      <c r="I878"/>
    </row>
    <row r="879" spans="2:9">
      <c r="B879"/>
      <c r="C879"/>
      <c r="D879"/>
      <c r="E879"/>
      <c r="F879"/>
      <c r="G879"/>
      <c r="H879"/>
      <c r="I879"/>
    </row>
    <row r="880" spans="2:9">
      <c r="B880"/>
      <c r="C880"/>
      <c r="D880"/>
      <c r="E880"/>
      <c r="F880"/>
      <c r="G880"/>
      <c r="H880"/>
      <c r="I880"/>
    </row>
    <row r="881" spans="2:9">
      <c r="B881"/>
      <c r="C881"/>
      <c r="D881"/>
      <c r="E881"/>
      <c r="F881"/>
      <c r="G881"/>
      <c r="H881"/>
      <c r="I881"/>
    </row>
    <row r="882" spans="2:9">
      <c r="B882"/>
      <c r="C882"/>
      <c r="D882"/>
      <c r="E882"/>
      <c r="F882"/>
      <c r="G882"/>
      <c r="H882"/>
      <c r="I882"/>
    </row>
    <row r="883" spans="2:9">
      <c r="B883"/>
      <c r="C883"/>
      <c r="D883"/>
      <c r="E883"/>
      <c r="F883"/>
      <c r="G883"/>
      <c r="H883"/>
      <c r="I883"/>
    </row>
    <row r="884" spans="2:9">
      <c r="B884"/>
      <c r="C884"/>
      <c r="D884"/>
      <c r="E884"/>
      <c r="F884"/>
      <c r="G884"/>
      <c r="H884"/>
    </row>
    <row r="885" spans="2:9">
      <c r="B885"/>
      <c r="C885"/>
      <c r="D885"/>
      <c r="E885"/>
      <c r="F885"/>
      <c r="G885"/>
      <c r="H885"/>
    </row>
    <row r="886" spans="2:9">
      <c r="B886"/>
      <c r="C886"/>
      <c r="D886"/>
      <c r="E886"/>
      <c r="F886"/>
      <c r="G886"/>
      <c r="H886"/>
    </row>
    <row r="887" spans="2:9">
      <c r="B887"/>
      <c r="C887"/>
      <c r="D887"/>
      <c r="E887"/>
      <c r="F887"/>
      <c r="G887"/>
      <c r="H887"/>
    </row>
    <row r="888" spans="2:9">
      <c r="B888"/>
      <c r="C888"/>
      <c r="D888"/>
      <c r="E888"/>
      <c r="F888"/>
      <c r="G888"/>
      <c r="H888"/>
    </row>
    <row r="889" spans="2:9">
      <c r="B889"/>
      <c r="C889"/>
      <c r="D889"/>
      <c r="E889"/>
      <c r="F889"/>
      <c r="G889"/>
      <c r="H889"/>
    </row>
    <row r="890" spans="2:9">
      <c r="B890"/>
      <c r="C890"/>
      <c r="D890"/>
      <c r="E890"/>
      <c r="F890"/>
      <c r="G890"/>
      <c r="H890"/>
    </row>
    <row r="891" spans="2:9">
      <c r="B891"/>
      <c r="C891"/>
      <c r="D891"/>
      <c r="E891"/>
      <c r="F891"/>
      <c r="G891"/>
      <c r="H891"/>
    </row>
    <row r="892" spans="2:9">
      <c r="B892"/>
      <c r="C892"/>
      <c r="D892"/>
      <c r="E892"/>
      <c r="F892"/>
      <c r="G892"/>
      <c r="H892"/>
    </row>
    <row r="893" spans="2:9">
      <c r="B893"/>
      <c r="C893"/>
      <c r="D893"/>
      <c r="E893"/>
      <c r="F893"/>
      <c r="G893"/>
      <c r="H893"/>
    </row>
    <row r="894" spans="2:9">
      <c r="B894"/>
      <c r="C894"/>
      <c r="D894"/>
      <c r="E894"/>
      <c r="F894"/>
      <c r="G894"/>
      <c r="H894"/>
    </row>
    <row r="895" spans="2:9">
      <c r="B895"/>
      <c r="C895"/>
      <c r="D895"/>
      <c r="E895"/>
      <c r="F895"/>
      <c r="G895"/>
      <c r="H895"/>
    </row>
    <row r="896" spans="2:9">
      <c r="B896"/>
      <c r="C896"/>
      <c r="D896"/>
      <c r="E896"/>
      <c r="F896"/>
      <c r="G896"/>
      <c r="H896"/>
    </row>
    <row r="897" spans="2:8">
      <c r="B897"/>
      <c r="C897"/>
      <c r="D897"/>
      <c r="E897"/>
      <c r="F897"/>
      <c r="G897"/>
      <c r="H897"/>
    </row>
    <row r="898" spans="2:8">
      <c r="B898"/>
      <c r="C898"/>
      <c r="D898"/>
      <c r="E898"/>
      <c r="F898"/>
      <c r="G898"/>
      <c r="H898"/>
    </row>
    <row r="899" spans="2:8">
      <c r="B899"/>
      <c r="C899"/>
      <c r="D899"/>
      <c r="E899"/>
      <c r="F899"/>
      <c r="G899"/>
      <c r="H899"/>
    </row>
    <row r="900" spans="2:8">
      <c r="B900"/>
      <c r="C900"/>
      <c r="D900"/>
      <c r="E900"/>
      <c r="F900"/>
      <c r="G900"/>
      <c r="H900"/>
    </row>
    <row r="901" spans="2:8">
      <c r="B901"/>
      <c r="C901"/>
      <c r="D901"/>
      <c r="E901"/>
      <c r="F901"/>
      <c r="G901"/>
      <c r="H901"/>
    </row>
    <row r="902" spans="2:8">
      <c r="B902"/>
      <c r="C902"/>
      <c r="D902"/>
      <c r="E902"/>
      <c r="F902"/>
      <c r="G902"/>
      <c r="H902"/>
    </row>
    <row r="903" spans="2:8">
      <c r="B903"/>
      <c r="C903"/>
      <c r="D903"/>
      <c r="E903"/>
      <c r="F903"/>
      <c r="G903"/>
      <c r="H903"/>
    </row>
    <row r="904" spans="2:8">
      <c r="B904"/>
      <c r="C904"/>
      <c r="D904"/>
      <c r="E904"/>
      <c r="F904"/>
      <c r="G904"/>
      <c r="H904"/>
    </row>
    <row r="905" spans="2:8">
      <c r="B905"/>
      <c r="C905"/>
      <c r="D905"/>
      <c r="E905"/>
      <c r="F905"/>
      <c r="G905"/>
      <c r="H905"/>
    </row>
    <row r="906" spans="2:8">
      <c r="B906"/>
      <c r="C906"/>
      <c r="D906"/>
      <c r="E906"/>
      <c r="F906"/>
      <c r="G906"/>
      <c r="H906"/>
    </row>
    <row r="907" spans="2:8">
      <c r="B907"/>
      <c r="C907"/>
      <c r="D907"/>
      <c r="E907"/>
      <c r="F907"/>
      <c r="G907"/>
      <c r="H907"/>
    </row>
    <row r="908" spans="2:8">
      <c r="B908"/>
      <c r="C908"/>
      <c r="D908"/>
      <c r="E908"/>
      <c r="F908"/>
      <c r="G908"/>
      <c r="H908"/>
    </row>
    <row r="909" spans="2:8">
      <c r="B909"/>
      <c r="C909"/>
      <c r="D909"/>
      <c r="E909"/>
      <c r="F909"/>
      <c r="G909"/>
      <c r="H909"/>
    </row>
    <row r="910" spans="2:8">
      <c r="B910"/>
      <c r="C910"/>
      <c r="D910"/>
      <c r="E910"/>
      <c r="F910"/>
      <c r="G910"/>
      <c r="H910"/>
    </row>
    <row r="911" spans="2:8">
      <c r="B911"/>
      <c r="C911"/>
      <c r="D911"/>
      <c r="E911"/>
      <c r="F911"/>
      <c r="G911"/>
      <c r="H911"/>
    </row>
    <row r="912" spans="2:8">
      <c r="B912"/>
      <c r="C912"/>
      <c r="D912"/>
      <c r="E912"/>
      <c r="F912"/>
      <c r="G912"/>
      <c r="H912"/>
    </row>
    <row r="913" spans="2:8">
      <c r="B913"/>
      <c r="C913"/>
      <c r="D913"/>
      <c r="E913"/>
      <c r="F913"/>
      <c r="G913"/>
      <c r="H913"/>
    </row>
    <row r="914" spans="2:8">
      <c r="B914"/>
      <c r="C914"/>
      <c r="D914"/>
      <c r="E914"/>
      <c r="F914"/>
      <c r="G914"/>
      <c r="H914"/>
    </row>
    <row r="915" spans="2:8">
      <c r="B915"/>
      <c r="C915"/>
      <c r="D915"/>
      <c r="E915"/>
      <c r="F915"/>
      <c r="G915"/>
      <c r="H915"/>
    </row>
    <row r="916" spans="2:8">
      <c r="B916"/>
      <c r="C916"/>
      <c r="D916"/>
      <c r="E916"/>
      <c r="F916"/>
      <c r="G916"/>
      <c r="H916"/>
    </row>
    <row r="917" spans="2:8">
      <c r="B917"/>
      <c r="C917"/>
      <c r="D917"/>
      <c r="E917"/>
      <c r="F917"/>
      <c r="G917"/>
      <c r="H917"/>
    </row>
    <row r="918" spans="2:8">
      <c r="B918"/>
      <c r="C918"/>
      <c r="D918"/>
      <c r="E918"/>
      <c r="F918"/>
      <c r="G918"/>
      <c r="H918"/>
    </row>
    <row r="919" spans="2:8">
      <c r="B919"/>
      <c r="C919"/>
      <c r="D919"/>
      <c r="E919"/>
      <c r="F919"/>
      <c r="G919"/>
      <c r="H919"/>
    </row>
    <row r="920" spans="2:8">
      <c r="B920"/>
      <c r="C920"/>
      <c r="D920"/>
      <c r="E920"/>
      <c r="F920"/>
      <c r="G920"/>
      <c r="H920"/>
    </row>
    <row r="921" spans="2:8">
      <c r="B921"/>
      <c r="C921"/>
      <c r="D921"/>
      <c r="E921"/>
      <c r="F921"/>
      <c r="G921"/>
      <c r="H921"/>
    </row>
    <row r="922" spans="2:8">
      <c r="B922"/>
      <c r="C922"/>
      <c r="D922"/>
      <c r="E922"/>
      <c r="F922"/>
      <c r="G922"/>
      <c r="H922"/>
    </row>
    <row r="923" spans="2:8">
      <c r="B923"/>
      <c r="C923"/>
      <c r="D923"/>
      <c r="E923"/>
      <c r="F923"/>
      <c r="G923"/>
      <c r="H923"/>
    </row>
    <row r="924" spans="2:8">
      <c r="B924"/>
      <c r="C924"/>
      <c r="D924"/>
      <c r="E924"/>
      <c r="F924"/>
      <c r="G924"/>
      <c r="H924"/>
    </row>
    <row r="925" spans="2:8">
      <c r="B925"/>
      <c r="C925"/>
      <c r="D925"/>
      <c r="E925"/>
      <c r="F925"/>
      <c r="G925"/>
      <c r="H925"/>
    </row>
    <row r="926" spans="2:8">
      <c r="B926"/>
      <c r="C926"/>
      <c r="D926"/>
      <c r="E926"/>
      <c r="F926"/>
      <c r="G926"/>
      <c r="H926"/>
    </row>
    <row r="927" spans="2:8">
      <c r="B927"/>
      <c r="C927"/>
      <c r="D927"/>
      <c r="E927"/>
      <c r="F927"/>
      <c r="G927"/>
      <c r="H927"/>
    </row>
    <row r="928" spans="2:8">
      <c r="B928"/>
      <c r="C928"/>
      <c r="D928"/>
      <c r="E928"/>
      <c r="F928"/>
      <c r="G928"/>
      <c r="H928"/>
    </row>
    <row r="929" spans="2:8">
      <c r="B929"/>
      <c r="C929"/>
      <c r="D929"/>
      <c r="E929"/>
      <c r="F929"/>
      <c r="G929"/>
      <c r="H929"/>
    </row>
    <row r="930" spans="2:8">
      <c r="B930"/>
      <c r="C930"/>
      <c r="D930"/>
      <c r="E930"/>
      <c r="F930"/>
      <c r="G930"/>
      <c r="H930"/>
    </row>
    <row r="931" spans="2:8">
      <c r="B931"/>
      <c r="C931"/>
      <c r="D931"/>
      <c r="E931"/>
      <c r="F931"/>
      <c r="G931"/>
      <c r="H931"/>
    </row>
    <row r="932" spans="2:8">
      <c r="B932"/>
      <c r="C932"/>
      <c r="D932"/>
      <c r="E932"/>
      <c r="F932"/>
      <c r="G932"/>
      <c r="H932"/>
    </row>
    <row r="933" spans="2:8">
      <c r="B933"/>
      <c r="C933"/>
      <c r="D933"/>
      <c r="E933"/>
      <c r="F933"/>
      <c r="G933"/>
      <c r="H933"/>
    </row>
    <row r="934" spans="2:8">
      <c r="B934"/>
      <c r="C934"/>
      <c r="D934"/>
      <c r="E934"/>
      <c r="F934"/>
      <c r="G934"/>
      <c r="H934"/>
    </row>
    <row r="935" spans="2:8">
      <c r="B935"/>
      <c r="C935"/>
      <c r="D935"/>
      <c r="E935"/>
      <c r="F935"/>
      <c r="G935"/>
      <c r="H935"/>
    </row>
    <row r="936" spans="2:8">
      <c r="B936"/>
      <c r="C936"/>
      <c r="D936"/>
      <c r="E936"/>
      <c r="F936"/>
      <c r="G936"/>
      <c r="H936"/>
    </row>
    <row r="937" spans="2:8">
      <c r="B937"/>
      <c r="C937"/>
      <c r="D937"/>
      <c r="E937"/>
      <c r="F937"/>
      <c r="G937"/>
      <c r="H937"/>
    </row>
    <row r="938" spans="2:8">
      <c r="B938"/>
      <c r="C938"/>
      <c r="D938"/>
      <c r="E938"/>
      <c r="F938"/>
      <c r="G938"/>
      <c r="H938"/>
    </row>
    <row r="939" spans="2:8">
      <c r="B939"/>
      <c r="C939"/>
      <c r="D939"/>
      <c r="E939"/>
      <c r="F939"/>
      <c r="G939"/>
      <c r="H939"/>
    </row>
    <row r="940" spans="2:8">
      <c r="B940"/>
      <c r="C940"/>
      <c r="D940"/>
      <c r="E940"/>
      <c r="F940"/>
      <c r="G940"/>
      <c r="H940"/>
    </row>
    <row r="941" spans="2:8">
      <c r="B941"/>
      <c r="C941"/>
      <c r="D941"/>
      <c r="E941"/>
      <c r="F941"/>
      <c r="G941"/>
      <c r="H941"/>
    </row>
    <row r="942" spans="2:8">
      <c r="B942"/>
      <c r="C942"/>
      <c r="D942"/>
      <c r="E942"/>
      <c r="F942"/>
      <c r="G942"/>
      <c r="H942"/>
    </row>
    <row r="943" spans="2:8">
      <c r="B943"/>
      <c r="C943"/>
      <c r="D943"/>
      <c r="E943"/>
      <c r="F943"/>
      <c r="G943"/>
      <c r="H943"/>
    </row>
    <row r="944" spans="2:8">
      <c r="B944"/>
      <c r="C944"/>
      <c r="D944"/>
      <c r="E944"/>
      <c r="F944"/>
      <c r="G944"/>
      <c r="H944"/>
    </row>
    <row r="945" spans="2:8">
      <c r="B945"/>
      <c r="C945"/>
      <c r="D945"/>
      <c r="E945"/>
      <c r="F945"/>
      <c r="G945"/>
      <c r="H945"/>
    </row>
    <row r="946" spans="2:8">
      <c r="B946"/>
      <c r="C946"/>
      <c r="D946"/>
      <c r="E946"/>
      <c r="F946"/>
      <c r="G946"/>
      <c r="H946"/>
    </row>
    <row r="947" spans="2:8">
      <c r="B947"/>
      <c r="C947"/>
      <c r="D947"/>
      <c r="E947"/>
      <c r="F947"/>
      <c r="G947"/>
      <c r="H947"/>
    </row>
    <row r="948" spans="2:8">
      <c r="B948"/>
      <c r="C948"/>
      <c r="D948"/>
      <c r="E948"/>
      <c r="F948"/>
      <c r="G948"/>
      <c r="H948"/>
    </row>
    <row r="949" spans="2:8">
      <c r="B949"/>
      <c r="C949"/>
      <c r="D949"/>
      <c r="E949"/>
      <c r="F949"/>
      <c r="G949"/>
      <c r="H949"/>
    </row>
    <row r="950" spans="2:8">
      <c r="B950"/>
      <c r="C950"/>
      <c r="D950"/>
      <c r="E950"/>
      <c r="F950"/>
      <c r="G950"/>
      <c r="H950"/>
    </row>
    <row r="951" spans="2:8">
      <c r="B951"/>
      <c r="C951"/>
      <c r="D951"/>
      <c r="E951"/>
      <c r="F951"/>
      <c r="G951"/>
      <c r="H951"/>
    </row>
    <row r="952" spans="2:8">
      <c r="B952"/>
      <c r="C952"/>
      <c r="D952"/>
      <c r="E952"/>
      <c r="F952"/>
      <c r="G952"/>
      <c r="H952"/>
    </row>
    <row r="953" spans="2:8">
      <c r="B953"/>
      <c r="C953"/>
      <c r="D953"/>
      <c r="E953"/>
      <c r="F953"/>
      <c r="G953"/>
      <c r="H953"/>
    </row>
    <row r="954" spans="2:8">
      <c r="B954"/>
      <c r="C954"/>
      <c r="D954"/>
      <c r="E954"/>
      <c r="F954"/>
      <c r="G954"/>
      <c r="H954"/>
    </row>
    <row r="955" spans="2:8">
      <c r="B955"/>
      <c r="C955"/>
      <c r="D955"/>
      <c r="E955"/>
      <c r="F955"/>
      <c r="G955"/>
      <c r="H955"/>
    </row>
    <row r="956" spans="2:8">
      <c r="B956"/>
      <c r="C956"/>
      <c r="D956"/>
      <c r="E956"/>
      <c r="F956"/>
      <c r="G956"/>
      <c r="H956"/>
    </row>
    <row r="957" spans="2:8">
      <c r="B957"/>
      <c r="C957"/>
      <c r="D957"/>
      <c r="E957"/>
      <c r="F957"/>
      <c r="G957"/>
      <c r="H957"/>
    </row>
    <row r="958" spans="2:8">
      <c r="B958"/>
      <c r="C958"/>
      <c r="D958"/>
      <c r="E958"/>
      <c r="F958"/>
      <c r="G958"/>
      <c r="H958"/>
    </row>
    <row r="959" spans="2:8">
      <c r="B959"/>
      <c r="C959"/>
      <c r="D959"/>
      <c r="E959"/>
      <c r="F959"/>
      <c r="G959"/>
      <c r="H959"/>
    </row>
    <row r="960" spans="2:8">
      <c r="B960"/>
      <c r="C960"/>
      <c r="D960"/>
      <c r="E960"/>
      <c r="F960"/>
      <c r="G960"/>
      <c r="H960"/>
    </row>
    <row r="961" spans="2:8">
      <c r="B961"/>
      <c r="C961"/>
      <c r="D961"/>
      <c r="E961"/>
      <c r="F961"/>
      <c r="G961"/>
      <c r="H961"/>
    </row>
    <row r="962" spans="2:8">
      <c r="B962"/>
      <c r="C962"/>
      <c r="D962"/>
      <c r="E962"/>
      <c r="F962"/>
      <c r="G962"/>
      <c r="H962"/>
    </row>
    <row r="963" spans="2:8">
      <c r="B963"/>
      <c r="C963"/>
      <c r="D963"/>
      <c r="E963"/>
      <c r="F963"/>
      <c r="G963"/>
      <c r="H963"/>
    </row>
    <row r="964" spans="2:8">
      <c r="B964"/>
      <c r="C964"/>
      <c r="D964"/>
      <c r="E964"/>
      <c r="F964"/>
      <c r="G964"/>
      <c r="H964"/>
    </row>
    <row r="965" spans="2:8">
      <c r="B965"/>
      <c r="C965"/>
      <c r="D965"/>
      <c r="E965"/>
      <c r="F965"/>
      <c r="G965"/>
      <c r="H965"/>
    </row>
    <row r="966" spans="2:8">
      <c r="B966"/>
      <c r="C966"/>
      <c r="D966"/>
      <c r="E966"/>
      <c r="F966"/>
      <c r="G966"/>
      <c r="H966"/>
    </row>
    <row r="967" spans="2:8">
      <c r="B967"/>
      <c r="C967"/>
      <c r="D967"/>
      <c r="E967"/>
      <c r="F967"/>
      <c r="G967"/>
      <c r="H967"/>
    </row>
    <row r="968" spans="2:8">
      <c r="B968"/>
      <c r="C968"/>
      <c r="D968"/>
      <c r="E968"/>
      <c r="F968"/>
      <c r="G968"/>
      <c r="H968"/>
    </row>
    <row r="969" spans="2:8">
      <c r="B969"/>
      <c r="C969"/>
      <c r="D969"/>
      <c r="E969"/>
      <c r="F969"/>
      <c r="G969"/>
      <c r="H969"/>
    </row>
    <row r="970" spans="2:8">
      <c r="B970"/>
      <c r="C970"/>
      <c r="D970"/>
      <c r="E970"/>
      <c r="F970"/>
      <c r="G970"/>
      <c r="H970"/>
    </row>
    <row r="971" spans="2:8">
      <c r="B971"/>
      <c r="C971"/>
      <c r="D971"/>
      <c r="E971"/>
      <c r="F971"/>
      <c r="G971"/>
      <c r="H971"/>
    </row>
    <row r="972" spans="2:8">
      <c r="B972"/>
      <c r="C972"/>
      <c r="D972"/>
      <c r="E972"/>
      <c r="F972"/>
      <c r="G972"/>
      <c r="H972"/>
    </row>
    <row r="973" spans="2:8">
      <c r="B973"/>
      <c r="C973"/>
      <c r="D973"/>
      <c r="E973"/>
      <c r="F973"/>
      <c r="G973"/>
      <c r="H973"/>
    </row>
    <row r="974" spans="2:8">
      <c r="B974"/>
      <c r="C974"/>
      <c r="D974"/>
      <c r="E974"/>
      <c r="F974"/>
      <c r="G974"/>
      <c r="H974"/>
    </row>
    <row r="975" spans="2:8">
      <c r="B975"/>
      <c r="C975"/>
      <c r="D975"/>
      <c r="E975"/>
      <c r="F975"/>
      <c r="G975"/>
      <c r="H975"/>
    </row>
    <row r="976" spans="2:8">
      <c r="B976"/>
      <c r="C976"/>
      <c r="D976"/>
      <c r="E976"/>
      <c r="F976"/>
      <c r="G976"/>
      <c r="H976"/>
    </row>
    <row r="977" spans="2:8">
      <c r="B977"/>
      <c r="C977"/>
      <c r="D977"/>
      <c r="E977"/>
      <c r="F977"/>
      <c r="G977"/>
      <c r="H977"/>
    </row>
    <row r="978" spans="2:8">
      <c r="B978"/>
      <c r="C978"/>
      <c r="D978"/>
      <c r="E978"/>
      <c r="F978"/>
      <c r="G978"/>
      <c r="H978"/>
    </row>
    <row r="979" spans="2:8">
      <c r="B979"/>
      <c r="C979"/>
      <c r="D979"/>
      <c r="E979"/>
      <c r="F979"/>
      <c r="G979"/>
      <c r="H979"/>
    </row>
    <row r="980" spans="2:8">
      <c r="B980"/>
      <c r="C980"/>
      <c r="D980"/>
      <c r="E980"/>
      <c r="F980"/>
      <c r="G980"/>
      <c r="H980"/>
    </row>
    <row r="981" spans="2:8">
      <c r="B981"/>
      <c r="C981"/>
      <c r="D981"/>
      <c r="E981"/>
      <c r="F981"/>
      <c r="G981"/>
      <c r="H981"/>
    </row>
    <row r="982" spans="2:8">
      <c r="B982"/>
      <c r="C982"/>
      <c r="D982"/>
      <c r="E982"/>
      <c r="F982"/>
      <c r="G982"/>
      <c r="H982"/>
    </row>
    <row r="983" spans="2:8">
      <c r="B983"/>
      <c r="C983"/>
      <c r="D983"/>
      <c r="E983"/>
      <c r="F983"/>
      <c r="G983"/>
      <c r="H983"/>
    </row>
    <row r="984" spans="2:8">
      <c r="B984"/>
      <c r="C984"/>
      <c r="D984"/>
      <c r="E984"/>
      <c r="F984"/>
      <c r="G984"/>
      <c r="H984"/>
    </row>
    <row r="985" spans="2:8">
      <c r="B985"/>
      <c r="C985"/>
      <c r="D985"/>
      <c r="E985"/>
      <c r="F985"/>
      <c r="G985"/>
      <c r="H985"/>
    </row>
    <row r="986" spans="2:8">
      <c r="B986"/>
      <c r="C986"/>
      <c r="D986"/>
      <c r="E986"/>
      <c r="F986"/>
      <c r="G986"/>
      <c r="H986"/>
    </row>
    <row r="987" spans="2:8">
      <c r="B987"/>
      <c r="C987"/>
      <c r="D987"/>
      <c r="E987"/>
      <c r="F987"/>
      <c r="G987"/>
      <c r="H987"/>
    </row>
    <row r="988" spans="2:8">
      <c r="B988"/>
      <c r="C988"/>
      <c r="D988"/>
      <c r="E988"/>
      <c r="F988"/>
      <c r="G988"/>
      <c r="H988"/>
    </row>
    <row r="989" spans="2:8">
      <c r="B989"/>
      <c r="C989"/>
      <c r="D989"/>
      <c r="E989"/>
      <c r="F989"/>
      <c r="G989"/>
      <c r="H989"/>
    </row>
    <row r="990" spans="2:8">
      <c r="B990"/>
      <c r="C990"/>
      <c r="D990"/>
      <c r="E990"/>
      <c r="F990"/>
      <c r="G990"/>
      <c r="H990"/>
    </row>
    <row r="991" spans="2:8">
      <c r="B991"/>
      <c r="C991"/>
      <c r="D991"/>
      <c r="E991"/>
      <c r="F991"/>
      <c r="G991"/>
      <c r="H991"/>
    </row>
    <row r="992" spans="2:8">
      <c r="B992"/>
      <c r="C992"/>
      <c r="D992"/>
      <c r="E992"/>
      <c r="F992"/>
      <c r="G992"/>
      <c r="H992"/>
    </row>
    <row r="993" spans="2:8">
      <c r="B993"/>
      <c r="C993"/>
      <c r="D993"/>
      <c r="E993"/>
      <c r="F993"/>
      <c r="G993"/>
      <c r="H993"/>
    </row>
    <row r="994" spans="2:8">
      <c r="B994"/>
      <c r="C994"/>
      <c r="D994"/>
      <c r="E994"/>
      <c r="F994"/>
      <c r="G994"/>
      <c r="H994"/>
    </row>
    <row r="995" spans="2:8">
      <c r="B995"/>
      <c r="C995"/>
      <c r="D995"/>
      <c r="E995"/>
      <c r="F995"/>
      <c r="G995"/>
      <c r="H995"/>
    </row>
    <row r="996" spans="2:8">
      <c r="B996"/>
      <c r="C996"/>
      <c r="D996"/>
      <c r="E996"/>
      <c r="F996"/>
      <c r="G996"/>
      <c r="H996"/>
    </row>
    <row r="997" spans="2:8">
      <c r="B997"/>
      <c r="C997"/>
      <c r="D997"/>
      <c r="E997"/>
      <c r="F997"/>
      <c r="G997"/>
      <c r="H997"/>
    </row>
    <row r="998" spans="2:8">
      <c r="B998"/>
      <c r="C998"/>
      <c r="D998"/>
      <c r="E998"/>
      <c r="F998"/>
      <c r="G998"/>
      <c r="H998"/>
    </row>
    <row r="999" spans="2:8">
      <c r="B999"/>
      <c r="C999"/>
      <c r="D999"/>
      <c r="E999"/>
      <c r="F999"/>
      <c r="G999"/>
      <c r="H999"/>
    </row>
    <row r="1000" spans="2:8">
      <c r="B1000"/>
      <c r="C1000"/>
      <c r="D1000"/>
      <c r="E1000"/>
      <c r="F1000"/>
      <c r="G1000"/>
      <c r="H1000"/>
    </row>
    <row r="1001" spans="2:8">
      <c r="B1001"/>
      <c r="C1001"/>
      <c r="D1001"/>
      <c r="E1001"/>
      <c r="F1001"/>
      <c r="G1001"/>
      <c r="H1001"/>
    </row>
    <row r="1002" spans="2:8">
      <c r="B1002"/>
      <c r="C1002"/>
      <c r="D1002"/>
      <c r="E1002"/>
      <c r="F1002"/>
      <c r="G1002"/>
      <c r="H1002"/>
    </row>
    <row r="1003" spans="2:8">
      <c r="B1003"/>
      <c r="C1003"/>
      <c r="D1003"/>
      <c r="E1003"/>
      <c r="F1003"/>
      <c r="G1003"/>
      <c r="H1003"/>
    </row>
    <row r="1004" spans="2:8">
      <c r="B1004"/>
      <c r="C1004"/>
      <c r="D1004"/>
      <c r="E1004"/>
      <c r="F1004"/>
      <c r="G1004"/>
      <c r="H1004"/>
    </row>
    <row r="1005" spans="2:8">
      <c r="B1005"/>
      <c r="C1005"/>
      <c r="D1005"/>
      <c r="E1005"/>
      <c r="F1005"/>
      <c r="G1005"/>
      <c r="H1005"/>
    </row>
    <row r="1006" spans="2:8">
      <c r="B1006"/>
      <c r="C1006"/>
      <c r="D1006"/>
      <c r="E1006"/>
      <c r="F1006"/>
      <c r="G1006"/>
      <c r="H1006"/>
    </row>
    <row r="1007" spans="2:8">
      <c r="B1007"/>
      <c r="C1007"/>
      <c r="D1007"/>
      <c r="E1007"/>
      <c r="F1007"/>
      <c r="G1007"/>
      <c r="H1007"/>
    </row>
    <row r="1008" spans="2:8">
      <c r="B1008"/>
      <c r="C1008"/>
      <c r="D1008"/>
      <c r="E1008"/>
      <c r="F1008"/>
      <c r="G1008"/>
      <c r="H1008"/>
    </row>
    <row r="1009" spans="2:8">
      <c r="B1009"/>
      <c r="C1009"/>
      <c r="D1009"/>
      <c r="E1009"/>
      <c r="F1009"/>
      <c r="G1009"/>
      <c r="H1009"/>
    </row>
    <row r="1010" spans="2:8">
      <c r="B1010"/>
      <c r="C1010"/>
      <c r="D1010"/>
      <c r="E1010"/>
      <c r="F1010"/>
      <c r="G1010"/>
      <c r="H1010"/>
    </row>
    <row r="1011" spans="2:8">
      <c r="B1011"/>
      <c r="C1011"/>
      <c r="D1011"/>
      <c r="E1011"/>
      <c r="F1011"/>
      <c r="G1011"/>
      <c r="H1011"/>
    </row>
    <row r="1012" spans="2:8">
      <c r="B1012"/>
      <c r="C1012"/>
      <c r="D1012"/>
      <c r="E1012"/>
      <c r="F1012"/>
      <c r="G1012"/>
      <c r="H1012"/>
    </row>
    <row r="1013" spans="2:8">
      <c r="B1013"/>
      <c r="C1013"/>
      <c r="D1013"/>
      <c r="E1013"/>
      <c r="F1013"/>
      <c r="G1013"/>
      <c r="H1013"/>
    </row>
    <row r="1014" spans="2:8">
      <c r="B1014"/>
      <c r="C1014"/>
      <c r="D1014"/>
      <c r="E1014"/>
      <c r="F1014"/>
      <c r="G1014"/>
      <c r="H1014"/>
    </row>
    <row r="1015" spans="2:8">
      <c r="B1015"/>
      <c r="C1015"/>
      <c r="D1015"/>
      <c r="E1015"/>
      <c r="F1015"/>
      <c r="G1015"/>
      <c r="H1015"/>
    </row>
    <row r="1016" spans="2:8">
      <c r="B1016"/>
      <c r="C1016"/>
      <c r="D1016"/>
      <c r="E1016"/>
      <c r="F1016"/>
      <c r="G1016"/>
      <c r="H1016"/>
    </row>
    <row r="1017" spans="2:8">
      <c r="B1017"/>
      <c r="C1017"/>
      <c r="D1017"/>
      <c r="E1017"/>
      <c r="F1017"/>
      <c r="G1017"/>
      <c r="H1017"/>
    </row>
    <row r="1018" spans="2:8">
      <c r="B1018"/>
      <c r="C1018"/>
      <c r="D1018"/>
      <c r="E1018"/>
      <c r="F1018"/>
      <c r="G1018"/>
      <c r="H1018"/>
    </row>
    <row r="1019" spans="2:8">
      <c r="B1019"/>
      <c r="C1019"/>
      <c r="D1019"/>
      <c r="E1019"/>
      <c r="F1019"/>
      <c r="G1019"/>
      <c r="H1019"/>
    </row>
    <row r="1020" spans="2:8">
      <c r="B1020"/>
      <c r="C1020"/>
      <c r="D1020"/>
      <c r="E1020"/>
      <c r="F1020"/>
      <c r="G1020"/>
      <c r="H1020"/>
    </row>
    <row r="1021" spans="2:8">
      <c r="B1021"/>
      <c r="C1021"/>
      <c r="D1021"/>
      <c r="E1021"/>
      <c r="F1021"/>
      <c r="G1021"/>
      <c r="H1021"/>
    </row>
    <row r="1022" spans="2:8">
      <c r="B1022"/>
      <c r="C1022"/>
      <c r="D1022"/>
      <c r="E1022"/>
      <c r="F1022"/>
      <c r="G1022"/>
      <c r="H1022"/>
    </row>
    <row r="1023" spans="2:8">
      <c r="B1023"/>
      <c r="C1023"/>
      <c r="D1023"/>
      <c r="E1023"/>
      <c r="F1023"/>
      <c r="G1023"/>
      <c r="H1023"/>
    </row>
    <row r="1024" spans="2:8">
      <c r="B1024"/>
      <c r="C1024"/>
      <c r="D1024"/>
      <c r="E1024"/>
      <c r="F1024"/>
      <c r="G1024"/>
      <c r="H1024"/>
    </row>
    <row r="1025" spans="2:8">
      <c r="B1025"/>
      <c r="C1025"/>
      <c r="D1025"/>
      <c r="E1025"/>
      <c r="F1025"/>
      <c r="G1025"/>
      <c r="H1025"/>
    </row>
    <row r="1026" spans="2:8">
      <c r="B1026"/>
      <c r="C1026"/>
      <c r="D1026"/>
      <c r="E1026"/>
      <c r="F1026"/>
      <c r="G1026"/>
      <c r="H1026"/>
    </row>
    <row r="1027" spans="2:8">
      <c r="B1027"/>
      <c r="C1027"/>
      <c r="D1027"/>
      <c r="E1027"/>
      <c r="F1027"/>
      <c r="G1027"/>
      <c r="H1027"/>
    </row>
    <row r="1028" spans="2:8">
      <c r="B1028"/>
      <c r="C1028"/>
      <c r="D1028"/>
      <c r="E1028"/>
      <c r="F1028"/>
      <c r="G1028"/>
      <c r="H1028"/>
    </row>
    <row r="1029" spans="2:8">
      <c r="B1029"/>
      <c r="C1029"/>
      <c r="D1029"/>
      <c r="E1029"/>
      <c r="F1029"/>
      <c r="G1029"/>
      <c r="H1029"/>
    </row>
    <row r="1030" spans="2:8">
      <c r="B1030"/>
      <c r="C1030"/>
      <c r="D1030"/>
      <c r="E1030"/>
      <c r="F1030"/>
      <c r="G1030"/>
      <c r="H1030"/>
    </row>
    <row r="1031" spans="2:8">
      <c r="B1031"/>
      <c r="C1031"/>
      <c r="D1031"/>
      <c r="E1031"/>
      <c r="F1031"/>
      <c r="G1031"/>
      <c r="H1031"/>
    </row>
    <row r="1032" spans="2:8">
      <c r="B1032"/>
      <c r="C1032"/>
      <c r="D1032"/>
      <c r="E1032"/>
      <c r="F1032"/>
      <c r="G1032"/>
      <c r="H1032"/>
    </row>
    <row r="1033" spans="2:8">
      <c r="B1033"/>
      <c r="C1033"/>
      <c r="D1033"/>
      <c r="E1033"/>
      <c r="F1033"/>
      <c r="G1033"/>
      <c r="H1033"/>
    </row>
    <row r="1034" spans="2:8">
      <c r="B1034"/>
      <c r="C1034"/>
      <c r="D1034"/>
      <c r="E1034"/>
      <c r="F1034"/>
      <c r="G1034"/>
      <c r="H1034"/>
    </row>
    <row r="1035" spans="2:8">
      <c r="B1035"/>
      <c r="C1035"/>
      <c r="D1035"/>
      <c r="E1035"/>
      <c r="F1035"/>
      <c r="G1035"/>
      <c r="H1035"/>
    </row>
    <row r="1036" spans="2:8">
      <c r="B1036"/>
      <c r="C1036"/>
      <c r="D1036"/>
      <c r="E1036"/>
      <c r="F1036"/>
      <c r="G1036"/>
      <c r="H1036"/>
    </row>
    <row r="1037" spans="2:8">
      <c r="B1037"/>
      <c r="C1037"/>
      <c r="D1037"/>
      <c r="E1037"/>
      <c r="F1037"/>
      <c r="G1037"/>
      <c r="H1037"/>
    </row>
    <row r="1038" spans="2:8">
      <c r="B1038"/>
      <c r="C1038"/>
      <c r="D1038"/>
      <c r="E1038"/>
      <c r="F1038"/>
      <c r="G1038"/>
      <c r="H1038"/>
    </row>
    <row r="1039" spans="2:8">
      <c r="B1039"/>
      <c r="C1039"/>
      <c r="D1039"/>
      <c r="E1039"/>
      <c r="F1039"/>
      <c r="G1039"/>
      <c r="H1039"/>
    </row>
    <row r="1040" spans="2:8">
      <c r="B1040"/>
      <c r="C1040"/>
      <c r="D1040"/>
      <c r="E1040"/>
      <c r="F1040"/>
      <c r="G1040"/>
      <c r="H1040"/>
    </row>
    <row r="1041" spans="2:8">
      <c r="B1041"/>
      <c r="C1041"/>
      <c r="D1041"/>
      <c r="E1041"/>
      <c r="F1041"/>
      <c r="G1041"/>
      <c r="H1041"/>
    </row>
    <row r="1042" spans="2:8">
      <c r="B1042"/>
      <c r="C1042"/>
      <c r="D1042"/>
      <c r="E1042"/>
      <c r="F1042"/>
      <c r="G1042"/>
      <c r="H1042"/>
    </row>
    <row r="1043" spans="2:8">
      <c r="B1043"/>
      <c r="C1043"/>
      <c r="D1043"/>
      <c r="E1043"/>
      <c r="F1043"/>
      <c r="G1043"/>
      <c r="H1043"/>
    </row>
    <row r="1044" spans="2:8">
      <c r="B1044"/>
      <c r="C1044"/>
      <c r="D1044"/>
      <c r="E1044"/>
      <c r="F1044"/>
      <c r="G1044"/>
      <c r="H1044"/>
    </row>
    <row r="1045" spans="2:8">
      <c r="B1045"/>
      <c r="C1045"/>
      <c r="D1045"/>
      <c r="E1045"/>
      <c r="F1045"/>
      <c r="G1045"/>
      <c r="H1045"/>
    </row>
    <row r="1046" spans="2:8">
      <c r="B1046"/>
      <c r="C1046"/>
      <c r="D1046"/>
      <c r="E1046"/>
      <c r="F1046"/>
      <c r="G1046"/>
      <c r="H1046"/>
    </row>
    <row r="1047" spans="2:8">
      <c r="B1047"/>
      <c r="C1047"/>
      <c r="D1047"/>
      <c r="E1047"/>
      <c r="F1047"/>
      <c r="G1047"/>
      <c r="H1047"/>
    </row>
    <row r="1048" spans="2:8">
      <c r="B1048"/>
      <c r="C1048"/>
      <c r="D1048"/>
      <c r="E1048"/>
      <c r="F1048"/>
      <c r="G1048"/>
      <c r="H1048"/>
    </row>
    <row r="1049" spans="2:8">
      <c r="B1049"/>
      <c r="C1049"/>
      <c r="D1049"/>
      <c r="E1049"/>
      <c r="F1049"/>
      <c r="G1049"/>
      <c r="H1049"/>
    </row>
    <row r="1050" spans="2:8">
      <c r="B1050"/>
      <c r="C1050"/>
      <c r="D1050"/>
      <c r="E1050"/>
      <c r="F1050"/>
      <c r="G1050"/>
      <c r="H1050"/>
    </row>
    <row r="1051" spans="2:8">
      <c r="B1051"/>
      <c r="C1051"/>
      <c r="D1051"/>
      <c r="E1051"/>
      <c r="F1051"/>
      <c r="G1051"/>
      <c r="H1051"/>
    </row>
    <row r="1052" spans="2:8">
      <c r="B1052"/>
      <c r="C1052"/>
      <c r="D1052"/>
      <c r="E1052"/>
      <c r="F1052"/>
      <c r="G1052"/>
      <c r="H1052"/>
    </row>
    <row r="1053" spans="2:8">
      <c r="B1053"/>
      <c r="C1053"/>
      <c r="D1053"/>
      <c r="E1053"/>
      <c r="F1053"/>
      <c r="G1053"/>
      <c r="H1053"/>
    </row>
    <row r="1054" spans="2:8">
      <c r="B1054"/>
      <c r="C1054"/>
      <c r="D1054"/>
      <c r="E1054"/>
      <c r="F1054"/>
      <c r="G1054"/>
      <c r="H1054"/>
    </row>
    <row r="1055" spans="2:8">
      <c r="B1055"/>
      <c r="C1055"/>
      <c r="D1055"/>
      <c r="E1055"/>
      <c r="F1055"/>
      <c r="G1055"/>
      <c r="H1055"/>
    </row>
    <row r="1056" spans="2:8">
      <c r="B1056"/>
      <c r="C1056"/>
      <c r="D1056"/>
      <c r="E1056"/>
      <c r="F1056"/>
      <c r="G1056"/>
      <c r="H1056"/>
    </row>
    <row r="1057" spans="2:8">
      <c r="B1057"/>
      <c r="C1057"/>
      <c r="D1057"/>
      <c r="E1057"/>
      <c r="F1057"/>
      <c r="G1057"/>
      <c r="H1057"/>
    </row>
    <row r="1058" spans="2:8">
      <c r="B1058"/>
      <c r="C1058"/>
      <c r="D1058"/>
      <c r="E1058"/>
      <c r="F1058"/>
      <c r="G1058"/>
      <c r="H1058"/>
    </row>
    <row r="1059" spans="2:8">
      <c r="B1059"/>
      <c r="C1059"/>
      <c r="D1059"/>
      <c r="E1059"/>
      <c r="F1059"/>
      <c r="G1059"/>
      <c r="H1059"/>
    </row>
    <row r="1060" spans="2:8">
      <c r="B1060"/>
      <c r="C1060"/>
      <c r="D1060"/>
      <c r="E1060"/>
      <c r="F1060"/>
      <c r="G1060"/>
      <c r="H1060"/>
    </row>
    <row r="1061" spans="2:8">
      <c r="B1061"/>
      <c r="C1061"/>
      <c r="D1061"/>
      <c r="E1061"/>
      <c r="F1061"/>
      <c r="G1061"/>
      <c r="H1061"/>
    </row>
    <row r="1062" spans="2:8">
      <c r="B1062"/>
      <c r="C1062"/>
      <c r="D1062"/>
      <c r="E1062"/>
      <c r="F1062"/>
      <c r="G1062"/>
      <c r="H1062"/>
    </row>
    <row r="1063" spans="2:8">
      <c r="B1063"/>
      <c r="C1063"/>
      <c r="D1063"/>
      <c r="E1063"/>
      <c r="F1063"/>
      <c r="G1063"/>
      <c r="H1063"/>
    </row>
    <row r="1064" spans="2:8">
      <c r="B1064"/>
      <c r="C1064"/>
      <c r="D1064"/>
      <c r="E1064"/>
      <c r="F1064"/>
      <c r="G1064"/>
      <c r="H1064"/>
    </row>
    <row r="1065" spans="2:8">
      <c r="B1065"/>
      <c r="C1065"/>
      <c r="D1065"/>
      <c r="E1065"/>
      <c r="F1065"/>
      <c r="G1065"/>
      <c r="H1065"/>
    </row>
    <row r="1066" spans="2:8">
      <c r="B1066"/>
      <c r="C1066"/>
      <c r="D1066"/>
      <c r="E1066"/>
      <c r="F1066"/>
      <c r="G1066"/>
      <c r="H1066"/>
    </row>
    <row r="1067" spans="2:8">
      <c r="B1067"/>
      <c r="C1067"/>
      <c r="D1067"/>
      <c r="E1067"/>
      <c r="F1067"/>
      <c r="G1067"/>
      <c r="H1067"/>
    </row>
    <row r="1068" spans="2:8">
      <c r="B1068"/>
      <c r="C1068"/>
      <c r="D1068"/>
      <c r="E1068"/>
      <c r="F1068"/>
      <c r="G1068"/>
      <c r="H1068"/>
    </row>
    <row r="1069" spans="2:8">
      <c r="B1069"/>
      <c r="C1069"/>
      <c r="D1069"/>
      <c r="E1069"/>
      <c r="F1069"/>
      <c r="G1069"/>
      <c r="H1069"/>
    </row>
    <row r="1070" spans="2:8">
      <c r="B1070"/>
      <c r="C1070"/>
      <c r="D1070"/>
      <c r="E1070"/>
      <c r="F1070"/>
      <c r="G1070"/>
      <c r="H1070"/>
    </row>
    <row r="1071" spans="2:8">
      <c r="B1071"/>
      <c r="C1071"/>
      <c r="D1071"/>
      <c r="E1071"/>
      <c r="F1071"/>
      <c r="G1071"/>
      <c r="H1071"/>
    </row>
    <row r="1072" spans="2:8">
      <c r="B1072"/>
      <c r="C1072"/>
      <c r="D1072"/>
      <c r="E1072"/>
      <c r="F1072"/>
      <c r="G1072"/>
      <c r="H1072"/>
    </row>
    <row r="1073" spans="2:8">
      <c r="B1073"/>
      <c r="C1073"/>
      <c r="D1073"/>
      <c r="E1073"/>
      <c r="F1073"/>
      <c r="G1073"/>
      <c r="H1073"/>
    </row>
    <row r="1074" spans="2:8">
      <c r="B1074"/>
      <c r="C1074"/>
      <c r="D1074"/>
      <c r="E1074"/>
      <c r="F1074"/>
      <c r="G1074"/>
      <c r="H1074"/>
    </row>
    <row r="1075" spans="2:8">
      <c r="B1075"/>
      <c r="C1075"/>
      <c r="D1075"/>
      <c r="E1075"/>
      <c r="F1075"/>
      <c r="G1075"/>
      <c r="H1075"/>
    </row>
    <row r="1076" spans="2:8">
      <c r="B1076"/>
      <c r="C1076"/>
      <c r="D1076"/>
      <c r="E1076"/>
      <c r="F1076"/>
      <c r="G1076"/>
      <c r="H1076"/>
    </row>
    <row r="1077" spans="2:8">
      <c r="B1077"/>
      <c r="C1077"/>
      <c r="D1077"/>
      <c r="E1077"/>
      <c r="F1077"/>
      <c r="G1077"/>
      <c r="H1077"/>
    </row>
    <row r="1078" spans="2:8">
      <c r="B1078"/>
      <c r="C1078"/>
      <c r="D1078"/>
      <c r="E1078"/>
      <c r="F1078"/>
      <c r="G1078"/>
      <c r="H1078"/>
    </row>
    <row r="1079" spans="2:8">
      <c r="B1079"/>
      <c r="C1079"/>
      <c r="D1079"/>
      <c r="E1079"/>
      <c r="F1079"/>
      <c r="G1079"/>
      <c r="H1079"/>
    </row>
    <row r="1080" spans="2:8">
      <c r="B1080"/>
      <c r="C1080"/>
      <c r="D1080"/>
      <c r="E1080"/>
      <c r="F1080"/>
      <c r="G1080"/>
      <c r="H1080"/>
    </row>
    <row r="1081" spans="2:8">
      <c r="B1081"/>
      <c r="C1081"/>
      <c r="D1081"/>
      <c r="E1081"/>
      <c r="F1081"/>
      <c r="G1081"/>
      <c r="H1081"/>
    </row>
    <row r="1082" spans="2:8">
      <c r="B1082"/>
      <c r="C1082"/>
      <c r="D1082"/>
      <c r="E1082"/>
      <c r="F1082"/>
      <c r="G1082"/>
      <c r="H1082"/>
    </row>
    <row r="1083" spans="2:8">
      <c r="B1083"/>
      <c r="C1083"/>
      <c r="D1083"/>
      <c r="E1083"/>
      <c r="F1083"/>
      <c r="G1083"/>
      <c r="H1083"/>
    </row>
    <row r="1084" spans="2:8">
      <c r="B1084"/>
      <c r="C1084"/>
      <c r="D1084"/>
      <c r="E1084"/>
      <c r="F1084"/>
      <c r="G1084"/>
      <c r="H1084"/>
    </row>
    <row r="1085" spans="2:8">
      <c r="B1085"/>
      <c r="C1085"/>
      <c r="D1085"/>
      <c r="E1085"/>
      <c r="F1085"/>
      <c r="G1085"/>
      <c r="H1085"/>
    </row>
    <row r="1086" spans="2:8">
      <c r="B1086"/>
      <c r="C1086"/>
      <c r="D1086"/>
      <c r="E1086"/>
      <c r="F1086"/>
      <c r="G1086"/>
      <c r="H1086"/>
    </row>
    <row r="1087" spans="2:8">
      <c r="B1087"/>
      <c r="C1087"/>
      <c r="D1087"/>
      <c r="E1087"/>
      <c r="F1087"/>
      <c r="G1087"/>
      <c r="H1087"/>
    </row>
    <row r="1088" spans="2:8">
      <c r="B1088"/>
      <c r="C1088"/>
      <c r="D1088"/>
      <c r="E1088"/>
      <c r="F1088"/>
      <c r="G1088"/>
      <c r="H1088"/>
    </row>
    <row r="1089" spans="2:8">
      <c r="B1089"/>
      <c r="C1089"/>
      <c r="D1089"/>
      <c r="E1089"/>
      <c r="F1089"/>
      <c r="G1089"/>
      <c r="H1089"/>
    </row>
    <row r="1090" spans="2:8">
      <c r="B1090"/>
      <c r="C1090"/>
      <c r="D1090"/>
      <c r="E1090"/>
      <c r="F1090"/>
      <c r="G1090"/>
      <c r="H1090"/>
    </row>
    <row r="1091" spans="2:8">
      <c r="B1091"/>
      <c r="C1091"/>
      <c r="D1091"/>
      <c r="E1091"/>
      <c r="F1091"/>
      <c r="G1091"/>
      <c r="H1091"/>
    </row>
    <row r="1092" spans="2:8">
      <c r="B1092"/>
      <c r="C1092"/>
      <c r="D1092"/>
      <c r="E1092"/>
      <c r="F1092"/>
      <c r="G1092"/>
      <c r="H1092"/>
    </row>
    <row r="1093" spans="2:8">
      <c r="B1093"/>
      <c r="C1093"/>
      <c r="D1093"/>
      <c r="E1093"/>
      <c r="F1093"/>
      <c r="G1093"/>
      <c r="H1093"/>
    </row>
    <row r="1094" spans="2:8">
      <c r="B1094"/>
      <c r="C1094"/>
      <c r="D1094"/>
      <c r="E1094"/>
      <c r="F1094"/>
      <c r="G1094"/>
      <c r="H1094"/>
    </row>
    <row r="1095" spans="2:8">
      <c r="B1095"/>
      <c r="C1095"/>
      <c r="D1095"/>
      <c r="E1095"/>
      <c r="F1095"/>
      <c r="G1095"/>
      <c r="H1095"/>
    </row>
    <row r="1096" spans="2:8">
      <c r="B1096"/>
      <c r="C1096"/>
      <c r="D1096"/>
      <c r="E1096"/>
      <c r="F1096"/>
      <c r="G1096"/>
      <c r="H1096"/>
    </row>
    <row r="1097" spans="2:8">
      <c r="B1097"/>
      <c r="C1097"/>
      <c r="D1097"/>
      <c r="E1097"/>
      <c r="F1097"/>
      <c r="G1097"/>
      <c r="H1097"/>
    </row>
    <row r="1098" spans="2:8">
      <c r="B1098"/>
      <c r="C1098"/>
      <c r="D1098"/>
      <c r="E1098"/>
      <c r="F1098"/>
      <c r="G1098"/>
      <c r="H1098"/>
    </row>
    <row r="1099" spans="2:8">
      <c r="B1099"/>
      <c r="C1099"/>
      <c r="D1099"/>
      <c r="E1099"/>
      <c r="F1099"/>
      <c r="G1099"/>
      <c r="H1099"/>
    </row>
    <row r="1100" spans="2:8">
      <c r="B1100"/>
      <c r="C1100"/>
      <c r="D1100"/>
      <c r="E1100"/>
      <c r="F1100"/>
      <c r="G1100"/>
      <c r="H1100"/>
    </row>
    <row r="1101" spans="2:8">
      <c r="B1101"/>
      <c r="C1101"/>
      <c r="D1101"/>
      <c r="E1101"/>
      <c r="F1101"/>
      <c r="G1101"/>
      <c r="H1101"/>
    </row>
    <row r="1102" spans="2:8">
      <c r="B1102"/>
      <c r="C1102"/>
      <c r="D1102"/>
      <c r="E1102"/>
      <c r="F1102"/>
      <c r="G1102"/>
      <c r="H1102"/>
    </row>
    <row r="1103" spans="2:8">
      <c r="B1103"/>
      <c r="C1103"/>
      <c r="D1103"/>
      <c r="E1103"/>
      <c r="F1103"/>
      <c r="G1103"/>
      <c r="H1103"/>
    </row>
    <row r="1104" spans="2:8">
      <c r="B1104"/>
      <c r="C1104"/>
      <c r="D1104"/>
      <c r="E1104"/>
      <c r="F1104"/>
      <c r="G1104"/>
      <c r="H1104"/>
    </row>
    <row r="1105" spans="2:8">
      <c r="B1105"/>
      <c r="C1105"/>
      <c r="D1105"/>
      <c r="E1105"/>
      <c r="F1105"/>
      <c r="G1105"/>
      <c r="H1105"/>
    </row>
    <row r="1106" spans="2:8">
      <c r="B1106"/>
      <c r="C1106"/>
      <c r="D1106"/>
      <c r="E1106"/>
      <c r="F1106"/>
      <c r="G1106"/>
      <c r="H1106"/>
    </row>
    <row r="1107" spans="2:8">
      <c r="B1107"/>
      <c r="C1107"/>
      <c r="D1107"/>
      <c r="E1107"/>
      <c r="F1107"/>
      <c r="G1107"/>
      <c r="H1107"/>
    </row>
    <row r="1108" spans="2:8">
      <c r="B1108"/>
      <c r="C1108"/>
      <c r="D1108"/>
      <c r="E1108"/>
      <c r="F1108"/>
      <c r="G1108"/>
      <c r="H1108"/>
    </row>
    <row r="1109" spans="2:8">
      <c r="B1109"/>
      <c r="C1109"/>
      <c r="D1109"/>
      <c r="E1109"/>
      <c r="F1109"/>
      <c r="G1109"/>
      <c r="H1109"/>
    </row>
    <row r="1110" spans="2:8">
      <c r="B1110"/>
      <c r="C1110"/>
      <c r="D1110"/>
      <c r="E1110"/>
      <c r="F1110"/>
      <c r="G1110"/>
      <c r="H1110"/>
    </row>
    <row r="1111" spans="2:8">
      <c r="B1111"/>
      <c r="C1111"/>
      <c r="D1111"/>
      <c r="E1111"/>
      <c r="F1111"/>
      <c r="G1111"/>
      <c r="H1111"/>
    </row>
    <row r="1112" spans="2:8">
      <c r="B1112"/>
      <c r="C1112"/>
      <c r="D1112"/>
      <c r="E1112"/>
      <c r="F1112"/>
      <c r="G1112"/>
      <c r="H1112"/>
    </row>
    <row r="1113" spans="2:8">
      <c r="B1113"/>
      <c r="C1113"/>
      <c r="D1113"/>
      <c r="E1113"/>
      <c r="F1113"/>
      <c r="G1113"/>
      <c r="H1113"/>
    </row>
    <row r="1114" spans="2:8">
      <c r="B1114"/>
      <c r="C1114"/>
      <c r="D1114"/>
      <c r="E1114"/>
      <c r="F1114"/>
      <c r="G1114"/>
      <c r="H1114"/>
    </row>
    <row r="1115" spans="2:8">
      <c r="B1115"/>
      <c r="C1115"/>
      <c r="D1115"/>
      <c r="E1115"/>
      <c r="F1115"/>
      <c r="G1115"/>
      <c r="H1115"/>
    </row>
    <row r="1116" spans="2:8">
      <c r="B1116"/>
      <c r="C1116"/>
      <c r="D1116"/>
      <c r="E1116"/>
      <c r="F1116"/>
      <c r="G1116"/>
      <c r="H1116"/>
    </row>
    <row r="1117" spans="2:8">
      <c r="B1117"/>
      <c r="C1117"/>
      <c r="D1117"/>
      <c r="E1117"/>
      <c r="F1117"/>
      <c r="G1117"/>
      <c r="H1117"/>
    </row>
    <row r="1118" spans="2:8">
      <c r="B1118"/>
      <c r="C1118"/>
      <c r="D1118"/>
      <c r="E1118"/>
      <c r="F1118"/>
      <c r="G1118"/>
      <c r="H1118"/>
    </row>
    <row r="1119" spans="2:8">
      <c r="B1119"/>
      <c r="C1119"/>
      <c r="D1119"/>
      <c r="E1119"/>
      <c r="F1119"/>
      <c r="G1119"/>
      <c r="H1119"/>
    </row>
    <row r="1120" spans="2:8">
      <c r="B1120"/>
      <c r="C1120"/>
      <c r="D1120"/>
      <c r="E1120"/>
      <c r="F1120"/>
      <c r="G1120"/>
      <c r="H1120"/>
    </row>
    <row r="1121" spans="2:8">
      <c r="B1121"/>
      <c r="C1121"/>
      <c r="D1121"/>
      <c r="E1121"/>
      <c r="F1121"/>
      <c r="G1121"/>
      <c r="H1121"/>
    </row>
    <row r="1122" spans="2:8">
      <c r="B1122"/>
      <c r="C1122"/>
      <c r="D1122"/>
      <c r="E1122"/>
      <c r="F1122"/>
      <c r="G1122"/>
      <c r="H1122"/>
    </row>
    <row r="1123" spans="2:8">
      <c r="B1123"/>
      <c r="C1123"/>
      <c r="D1123"/>
      <c r="E1123"/>
      <c r="F1123"/>
      <c r="G1123"/>
      <c r="H1123"/>
    </row>
    <row r="1124" spans="2:8">
      <c r="B1124"/>
      <c r="C1124"/>
      <c r="D1124"/>
      <c r="E1124"/>
      <c r="F1124"/>
      <c r="G1124"/>
      <c r="H1124"/>
    </row>
    <row r="1125" spans="2:8">
      <c r="B1125"/>
      <c r="C1125"/>
      <c r="D1125"/>
      <c r="E1125"/>
      <c r="F1125"/>
      <c r="G1125"/>
      <c r="H1125"/>
    </row>
    <row r="1126" spans="2:8">
      <c r="B1126"/>
      <c r="C1126"/>
      <c r="D1126"/>
      <c r="E1126"/>
      <c r="F1126"/>
      <c r="G1126"/>
      <c r="H1126"/>
    </row>
    <row r="1127" spans="2:8">
      <c r="B1127"/>
      <c r="C1127"/>
      <c r="D1127"/>
      <c r="E1127"/>
      <c r="F1127"/>
      <c r="G1127"/>
      <c r="H1127"/>
    </row>
    <row r="1128" spans="2:8">
      <c r="B1128"/>
      <c r="C1128"/>
      <c r="D1128"/>
      <c r="E1128"/>
      <c r="F1128"/>
      <c r="G1128"/>
      <c r="H1128"/>
    </row>
    <row r="1129" spans="2:8">
      <c r="B1129"/>
      <c r="C1129"/>
      <c r="D1129"/>
      <c r="E1129"/>
      <c r="F1129"/>
      <c r="G1129"/>
      <c r="H1129"/>
    </row>
    <row r="1130" spans="2:8">
      <c r="B1130"/>
      <c r="C1130"/>
      <c r="D1130"/>
      <c r="E1130"/>
      <c r="F1130"/>
      <c r="G1130"/>
      <c r="H1130"/>
    </row>
    <row r="1131" spans="2:8">
      <c r="B1131"/>
      <c r="C1131"/>
      <c r="D1131"/>
      <c r="E1131"/>
      <c r="F1131"/>
      <c r="G1131"/>
      <c r="H1131"/>
    </row>
    <row r="1132" spans="2:8">
      <c r="B1132"/>
      <c r="C1132"/>
      <c r="D1132"/>
      <c r="E1132"/>
      <c r="F1132"/>
      <c r="G1132"/>
      <c r="H1132"/>
    </row>
    <row r="1133" spans="2:8">
      <c r="B1133"/>
      <c r="C1133"/>
      <c r="D1133"/>
      <c r="E1133"/>
      <c r="F1133"/>
      <c r="G1133"/>
      <c r="H1133"/>
    </row>
    <row r="1134" spans="2:8">
      <c r="B1134"/>
      <c r="C1134"/>
      <c r="D1134"/>
      <c r="E1134"/>
      <c r="F1134"/>
      <c r="G1134"/>
      <c r="H1134"/>
    </row>
    <row r="1135" spans="2:8">
      <c r="B1135"/>
      <c r="C1135"/>
      <c r="D1135"/>
      <c r="E1135"/>
      <c r="F1135"/>
      <c r="G1135"/>
      <c r="H1135"/>
    </row>
    <row r="1136" spans="2:8">
      <c r="B1136"/>
      <c r="C1136"/>
      <c r="D1136"/>
      <c r="E1136"/>
      <c r="F1136"/>
      <c r="G1136"/>
      <c r="H1136"/>
    </row>
    <row r="1137" spans="2:8">
      <c r="B1137"/>
      <c r="C1137"/>
      <c r="D1137"/>
      <c r="E1137"/>
      <c r="F1137"/>
      <c r="G1137"/>
      <c r="H1137"/>
    </row>
    <row r="1138" spans="2:8">
      <c r="B1138"/>
      <c r="C1138"/>
      <c r="D1138"/>
      <c r="E1138"/>
      <c r="F1138"/>
      <c r="G1138"/>
      <c r="H1138"/>
    </row>
    <row r="1139" spans="2:8">
      <c r="B1139"/>
      <c r="C1139"/>
      <c r="D1139"/>
      <c r="E1139"/>
      <c r="F1139"/>
      <c r="G1139"/>
      <c r="H1139"/>
    </row>
    <row r="1140" spans="2:8">
      <c r="B1140"/>
      <c r="C1140"/>
      <c r="D1140"/>
      <c r="E1140"/>
      <c r="F1140"/>
      <c r="G1140"/>
      <c r="H1140"/>
    </row>
    <row r="1141" spans="2:8">
      <c r="B1141"/>
      <c r="C1141"/>
      <c r="D1141"/>
      <c r="E1141"/>
      <c r="F1141"/>
      <c r="G1141"/>
      <c r="H1141"/>
    </row>
    <row r="1142" spans="2:8">
      <c r="B1142"/>
      <c r="C1142"/>
      <c r="D1142"/>
      <c r="E1142"/>
      <c r="F1142"/>
      <c r="G1142"/>
      <c r="H1142"/>
    </row>
    <row r="1143" spans="2:8">
      <c r="B1143"/>
      <c r="C1143"/>
      <c r="D1143"/>
      <c r="E1143"/>
      <c r="F1143"/>
      <c r="G1143"/>
      <c r="H1143"/>
    </row>
    <row r="1144" spans="2:8">
      <c r="B1144"/>
      <c r="C1144"/>
      <c r="D1144"/>
      <c r="E1144"/>
      <c r="F1144"/>
      <c r="G1144"/>
      <c r="H1144"/>
    </row>
    <row r="1145" spans="2:8">
      <c r="B1145"/>
      <c r="C1145"/>
      <c r="D1145"/>
      <c r="E1145"/>
      <c r="F1145"/>
      <c r="G1145"/>
      <c r="H1145"/>
    </row>
    <row r="1146" spans="2:8">
      <c r="B1146"/>
      <c r="C1146"/>
      <c r="D1146"/>
      <c r="E1146"/>
      <c r="F1146"/>
      <c r="G1146"/>
      <c r="H1146"/>
    </row>
    <row r="1147" spans="2:8">
      <c r="B1147"/>
      <c r="C1147"/>
      <c r="D1147"/>
      <c r="E1147"/>
      <c r="F1147"/>
      <c r="G1147"/>
      <c r="H1147"/>
    </row>
    <row r="1148" spans="2:8">
      <c r="B1148"/>
      <c r="C1148"/>
      <c r="D1148"/>
      <c r="E1148"/>
      <c r="F1148"/>
      <c r="G1148"/>
      <c r="H1148"/>
    </row>
    <row r="1149" spans="2:8">
      <c r="B1149"/>
      <c r="C1149"/>
      <c r="D1149"/>
      <c r="E1149"/>
      <c r="F1149"/>
      <c r="G1149"/>
      <c r="H1149"/>
    </row>
    <row r="1150" spans="2:8">
      <c r="B1150"/>
      <c r="C1150"/>
      <c r="D1150"/>
      <c r="E1150"/>
      <c r="F1150"/>
      <c r="G1150"/>
      <c r="H1150"/>
    </row>
    <row r="1151" spans="2:8">
      <c r="B1151"/>
      <c r="C1151"/>
      <c r="D1151"/>
      <c r="E1151"/>
      <c r="F1151"/>
      <c r="G1151"/>
      <c r="H1151"/>
    </row>
    <row r="1152" spans="2:8">
      <c r="B1152"/>
      <c r="C1152"/>
      <c r="D1152"/>
      <c r="E1152"/>
      <c r="F1152"/>
      <c r="G1152"/>
      <c r="H1152"/>
    </row>
    <row r="1153" spans="2:8">
      <c r="B1153"/>
      <c r="C1153"/>
      <c r="D1153"/>
      <c r="E1153"/>
      <c r="F1153"/>
      <c r="G1153"/>
      <c r="H1153"/>
    </row>
    <row r="1154" spans="2:8">
      <c r="B1154"/>
      <c r="C1154"/>
      <c r="D1154"/>
      <c r="E1154"/>
      <c r="F1154"/>
      <c r="G1154"/>
      <c r="H1154"/>
    </row>
    <row r="1155" spans="2:8">
      <c r="B1155"/>
      <c r="C1155"/>
      <c r="D1155"/>
      <c r="E1155"/>
      <c r="F1155"/>
      <c r="G1155"/>
      <c r="H1155"/>
    </row>
    <row r="1156" spans="2:8">
      <c r="B1156"/>
      <c r="C1156"/>
      <c r="D1156"/>
      <c r="E1156"/>
      <c r="F1156"/>
      <c r="G1156"/>
      <c r="H1156"/>
    </row>
    <row r="1157" spans="2:8">
      <c r="B1157"/>
      <c r="C1157"/>
      <c r="D1157"/>
      <c r="E1157"/>
      <c r="F1157"/>
      <c r="G1157"/>
      <c r="H1157"/>
    </row>
    <row r="1158" spans="2:8">
      <c r="B1158"/>
      <c r="C1158"/>
      <c r="D1158"/>
      <c r="E1158"/>
      <c r="F1158"/>
      <c r="G1158"/>
      <c r="H1158"/>
    </row>
    <row r="1159" spans="2:8">
      <c r="B1159"/>
      <c r="C1159"/>
      <c r="D1159"/>
      <c r="E1159"/>
      <c r="F1159"/>
      <c r="G1159"/>
      <c r="H1159"/>
    </row>
    <row r="1160" spans="2:8">
      <c r="B1160"/>
      <c r="C1160"/>
      <c r="D1160"/>
      <c r="E1160"/>
      <c r="F1160"/>
      <c r="G1160"/>
      <c r="H1160"/>
    </row>
    <row r="1161" spans="2:8">
      <c r="B1161"/>
      <c r="C1161"/>
      <c r="D1161"/>
      <c r="E1161"/>
      <c r="F1161"/>
      <c r="G1161"/>
      <c r="H1161"/>
    </row>
    <row r="1162" spans="2:8">
      <c r="B1162"/>
      <c r="C1162"/>
      <c r="D1162"/>
      <c r="E1162"/>
      <c r="F1162"/>
      <c r="G1162"/>
      <c r="H1162"/>
    </row>
    <row r="1163" spans="2:8">
      <c r="B1163"/>
      <c r="C1163"/>
      <c r="D1163"/>
      <c r="E1163"/>
      <c r="F1163"/>
      <c r="G1163"/>
      <c r="H1163"/>
    </row>
    <row r="1164" spans="2:8">
      <c r="B1164"/>
      <c r="C1164"/>
      <c r="D1164"/>
      <c r="E1164"/>
      <c r="F1164"/>
      <c r="G1164"/>
      <c r="H1164"/>
    </row>
    <row r="1165" spans="2:8">
      <c r="B1165"/>
      <c r="C1165"/>
      <c r="D1165"/>
      <c r="E1165"/>
      <c r="F1165"/>
      <c r="G1165"/>
      <c r="H1165"/>
    </row>
    <row r="1166" spans="2:8">
      <c r="B1166"/>
      <c r="C1166"/>
      <c r="D1166"/>
      <c r="E1166"/>
      <c r="F1166"/>
      <c r="G1166"/>
      <c r="H1166"/>
    </row>
    <row r="1167" spans="2:8">
      <c r="B1167"/>
      <c r="C1167"/>
      <c r="D1167"/>
      <c r="E1167"/>
      <c r="F1167"/>
      <c r="G1167"/>
      <c r="H1167"/>
    </row>
    <row r="1168" spans="2:8">
      <c r="B1168"/>
      <c r="C1168"/>
      <c r="D1168"/>
      <c r="E1168"/>
      <c r="F1168"/>
      <c r="G1168"/>
      <c r="H1168"/>
    </row>
    <row r="1169" spans="2:8">
      <c r="B1169"/>
      <c r="C1169"/>
      <c r="D1169"/>
      <c r="E1169"/>
      <c r="F1169"/>
      <c r="G1169"/>
      <c r="H1169"/>
    </row>
    <row r="1170" spans="2:8">
      <c r="B1170"/>
      <c r="C1170"/>
      <c r="D1170"/>
      <c r="E1170"/>
      <c r="F1170"/>
      <c r="G1170"/>
      <c r="H1170"/>
    </row>
    <row r="1171" spans="2:8">
      <c r="B1171"/>
      <c r="C1171"/>
      <c r="D1171"/>
      <c r="E1171"/>
      <c r="F1171"/>
      <c r="G1171"/>
      <c r="H1171"/>
    </row>
    <row r="1172" spans="2:8">
      <c r="B1172"/>
      <c r="C1172"/>
      <c r="D1172"/>
      <c r="E1172"/>
      <c r="F1172"/>
      <c r="G1172"/>
      <c r="H1172"/>
    </row>
    <row r="1173" spans="2:8">
      <c r="B1173"/>
      <c r="C1173"/>
      <c r="D1173"/>
      <c r="E1173"/>
      <c r="F1173"/>
      <c r="G1173"/>
      <c r="H1173"/>
    </row>
    <row r="1174" spans="2:8">
      <c r="B1174"/>
      <c r="C1174"/>
      <c r="D1174"/>
      <c r="E1174"/>
      <c r="F1174"/>
      <c r="G1174"/>
      <c r="H1174"/>
    </row>
    <row r="1175" spans="2:8">
      <c r="B1175"/>
      <c r="C1175"/>
      <c r="D1175"/>
      <c r="E1175"/>
      <c r="F1175"/>
      <c r="G1175"/>
      <c r="H1175"/>
    </row>
    <row r="1176" spans="2:8">
      <c r="B1176"/>
      <c r="C1176"/>
      <c r="D1176"/>
      <c r="E1176"/>
      <c r="F1176"/>
      <c r="G1176"/>
      <c r="H1176"/>
    </row>
    <row r="1177" spans="2:8">
      <c r="B1177"/>
      <c r="C1177"/>
      <c r="D1177"/>
      <c r="E1177"/>
      <c r="F1177"/>
      <c r="G1177"/>
      <c r="H1177"/>
    </row>
    <row r="1178" spans="2:8">
      <c r="B1178"/>
      <c r="C1178"/>
      <c r="D1178"/>
      <c r="E1178"/>
      <c r="F1178"/>
      <c r="G1178"/>
      <c r="H1178"/>
    </row>
    <row r="1179" spans="2:8">
      <c r="B1179"/>
      <c r="C1179"/>
      <c r="D1179"/>
      <c r="E1179"/>
      <c r="F1179"/>
      <c r="G1179"/>
      <c r="H1179"/>
    </row>
    <row r="1180" spans="2:8">
      <c r="B1180"/>
      <c r="C1180"/>
      <c r="D1180"/>
      <c r="E1180"/>
      <c r="F1180"/>
      <c r="G1180"/>
      <c r="H1180"/>
    </row>
    <row r="1181" spans="2:8">
      <c r="B1181"/>
      <c r="C1181"/>
      <c r="D1181"/>
      <c r="E1181"/>
      <c r="F1181"/>
      <c r="G1181"/>
      <c r="H1181"/>
    </row>
    <row r="1182" spans="2:8">
      <c r="B1182"/>
      <c r="C1182"/>
      <c r="D1182"/>
      <c r="E1182"/>
      <c r="F1182"/>
      <c r="G1182"/>
      <c r="H1182"/>
    </row>
    <row r="1183" spans="2:8">
      <c r="B1183"/>
      <c r="C1183"/>
      <c r="D1183"/>
      <c r="E1183"/>
      <c r="F1183"/>
      <c r="G1183"/>
      <c r="H1183"/>
    </row>
    <row r="1184" spans="2:8">
      <c r="B1184"/>
      <c r="C1184"/>
      <c r="D1184"/>
      <c r="E1184"/>
      <c r="F1184"/>
      <c r="G1184"/>
      <c r="H1184"/>
    </row>
    <row r="1185" spans="2:8">
      <c r="B1185"/>
      <c r="C1185"/>
      <c r="D1185"/>
      <c r="E1185"/>
      <c r="F1185"/>
      <c r="G1185"/>
      <c r="H1185"/>
    </row>
    <row r="1186" spans="2:8">
      <c r="B1186"/>
      <c r="C1186"/>
      <c r="D1186"/>
      <c r="E1186"/>
      <c r="F1186"/>
      <c r="G1186"/>
      <c r="H1186"/>
    </row>
    <row r="1187" spans="2:8">
      <c r="B1187"/>
      <c r="C1187"/>
      <c r="D1187"/>
      <c r="E1187"/>
      <c r="F1187"/>
      <c r="G1187"/>
      <c r="H1187"/>
    </row>
    <row r="1188" spans="2:8">
      <c r="B1188"/>
      <c r="C1188"/>
      <c r="D1188"/>
      <c r="E1188"/>
      <c r="F1188"/>
      <c r="G1188"/>
      <c r="H1188"/>
    </row>
    <row r="1189" spans="2:8">
      <c r="B1189"/>
      <c r="C1189"/>
      <c r="D1189"/>
      <c r="E1189"/>
      <c r="F1189"/>
      <c r="G1189"/>
      <c r="H1189"/>
    </row>
    <row r="1190" spans="2:8">
      <c r="B1190"/>
      <c r="C1190"/>
      <c r="D1190"/>
      <c r="E1190"/>
      <c r="F1190"/>
      <c r="G1190"/>
      <c r="H1190"/>
    </row>
    <row r="1191" spans="2:8">
      <c r="B1191"/>
      <c r="C1191"/>
      <c r="D1191"/>
      <c r="E1191"/>
      <c r="F1191"/>
      <c r="G1191"/>
      <c r="H1191"/>
    </row>
    <row r="1192" spans="2:8">
      <c r="B1192"/>
      <c r="C1192"/>
      <c r="D1192"/>
      <c r="E1192"/>
      <c r="F1192"/>
      <c r="G1192"/>
      <c r="H1192"/>
    </row>
    <row r="1193" spans="2:8">
      <c r="B1193"/>
      <c r="C1193"/>
      <c r="D1193"/>
      <c r="E1193"/>
      <c r="F1193"/>
      <c r="G1193"/>
      <c r="H1193"/>
    </row>
    <row r="1194" spans="2:8">
      <c r="B1194"/>
      <c r="C1194"/>
      <c r="D1194"/>
      <c r="E1194"/>
      <c r="F1194"/>
      <c r="G1194"/>
      <c r="H1194"/>
    </row>
    <row r="1195" spans="2:8">
      <c r="B1195"/>
      <c r="C1195"/>
      <c r="D1195"/>
      <c r="E1195"/>
      <c r="F1195"/>
      <c r="G1195"/>
      <c r="H1195"/>
    </row>
    <row r="1196" spans="2:8">
      <c r="B1196"/>
      <c r="C1196"/>
      <c r="D1196"/>
      <c r="E1196"/>
      <c r="F1196"/>
      <c r="G1196"/>
      <c r="H1196"/>
    </row>
    <row r="1197" spans="2:8">
      <c r="B1197"/>
      <c r="C1197"/>
      <c r="D1197"/>
      <c r="E1197"/>
      <c r="F1197"/>
      <c r="G1197"/>
      <c r="H1197"/>
    </row>
    <row r="1198" spans="2:8">
      <c r="B1198"/>
      <c r="C1198"/>
      <c r="D1198"/>
      <c r="E1198"/>
      <c r="F1198"/>
      <c r="G1198"/>
      <c r="H1198"/>
    </row>
    <row r="1199" spans="2:8">
      <c r="B1199"/>
      <c r="C1199"/>
      <c r="D1199"/>
      <c r="E1199"/>
      <c r="F1199"/>
      <c r="G1199"/>
      <c r="H1199"/>
    </row>
    <row r="1200" spans="2:8">
      <c r="B1200"/>
      <c r="C1200"/>
      <c r="D1200"/>
      <c r="E1200"/>
      <c r="F1200"/>
      <c r="G1200"/>
      <c r="H1200"/>
    </row>
    <row r="1201" spans="2:8">
      <c r="B1201"/>
      <c r="C1201"/>
      <c r="D1201"/>
      <c r="E1201"/>
      <c r="F1201"/>
      <c r="G1201"/>
      <c r="H1201"/>
    </row>
    <row r="1202" spans="2:8">
      <c r="B1202"/>
      <c r="C1202"/>
      <c r="D1202"/>
      <c r="E1202"/>
      <c r="F1202"/>
      <c r="G1202"/>
      <c r="H1202"/>
    </row>
    <row r="1203" spans="2:8">
      <c r="B1203"/>
      <c r="C1203"/>
      <c r="D1203"/>
      <c r="E1203"/>
      <c r="F1203"/>
      <c r="G1203"/>
      <c r="H1203"/>
    </row>
    <row r="1204" spans="2:8">
      <c r="B1204"/>
      <c r="C1204"/>
      <c r="D1204"/>
      <c r="E1204"/>
      <c r="F1204"/>
      <c r="G1204"/>
      <c r="H1204"/>
    </row>
    <row r="1205" spans="2:8">
      <c r="B1205"/>
      <c r="C1205"/>
      <c r="D1205"/>
      <c r="E1205"/>
      <c r="F1205"/>
      <c r="G1205"/>
      <c r="H1205"/>
    </row>
    <row r="1206" spans="2:8">
      <c r="B1206"/>
      <c r="C1206"/>
      <c r="D1206"/>
      <c r="E1206"/>
      <c r="F1206"/>
      <c r="G1206"/>
      <c r="H1206"/>
    </row>
    <row r="1207" spans="2:8">
      <c r="B1207"/>
      <c r="C1207"/>
      <c r="D1207"/>
      <c r="E1207"/>
      <c r="F1207"/>
      <c r="G1207"/>
      <c r="H1207"/>
    </row>
    <row r="1208" spans="2:8">
      <c r="B1208"/>
      <c r="C1208"/>
      <c r="D1208"/>
      <c r="E1208"/>
      <c r="F1208"/>
      <c r="G1208"/>
      <c r="H1208"/>
    </row>
    <row r="1209" spans="2:8">
      <c r="B1209"/>
      <c r="C1209"/>
      <c r="D1209"/>
      <c r="E1209"/>
      <c r="F1209"/>
      <c r="G1209"/>
      <c r="H1209"/>
    </row>
    <row r="1210" spans="2:8">
      <c r="B1210"/>
      <c r="C1210"/>
      <c r="D1210"/>
      <c r="E1210"/>
      <c r="F1210"/>
      <c r="G1210"/>
      <c r="H1210"/>
    </row>
    <row r="1211" spans="2:8">
      <c r="B1211"/>
      <c r="C1211"/>
      <c r="D1211"/>
      <c r="E1211"/>
      <c r="F1211"/>
      <c r="G1211"/>
      <c r="H1211"/>
    </row>
    <row r="1212" spans="2:8">
      <c r="B1212"/>
      <c r="C1212"/>
      <c r="D1212"/>
      <c r="E1212"/>
      <c r="F1212"/>
      <c r="G1212"/>
      <c r="H1212"/>
    </row>
    <row r="1213" spans="2:8">
      <c r="B1213"/>
      <c r="C1213"/>
      <c r="D1213"/>
      <c r="E1213"/>
      <c r="F1213"/>
      <c r="G1213"/>
      <c r="H1213"/>
    </row>
    <row r="1214" spans="2:8">
      <c r="B1214"/>
      <c r="C1214"/>
      <c r="D1214"/>
      <c r="E1214"/>
      <c r="F1214"/>
      <c r="G1214"/>
      <c r="H1214"/>
    </row>
    <row r="1215" spans="2:8">
      <c r="B1215"/>
      <c r="C1215"/>
      <c r="D1215"/>
      <c r="E1215"/>
      <c r="F1215"/>
      <c r="G1215"/>
      <c r="H1215"/>
    </row>
    <row r="1216" spans="2:8">
      <c r="B1216"/>
      <c r="C1216"/>
      <c r="D1216"/>
      <c r="E1216"/>
      <c r="F1216"/>
      <c r="G1216"/>
      <c r="H1216"/>
    </row>
    <row r="1217" spans="2:8">
      <c r="B1217"/>
      <c r="C1217"/>
      <c r="D1217"/>
      <c r="E1217"/>
      <c r="F1217"/>
      <c r="G1217"/>
      <c r="H1217"/>
    </row>
    <row r="1218" spans="2:8">
      <c r="B1218"/>
      <c r="C1218"/>
      <c r="D1218"/>
      <c r="E1218"/>
      <c r="F1218"/>
      <c r="G1218"/>
      <c r="H1218"/>
    </row>
    <row r="1219" spans="2:8">
      <c r="B1219"/>
      <c r="C1219"/>
      <c r="D1219"/>
      <c r="E1219"/>
      <c r="F1219"/>
      <c r="G1219"/>
      <c r="H1219"/>
    </row>
    <row r="1220" spans="2:8">
      <c r="B1220"/>
      <c r="C1220"/>
      <c r="D1220"/>
      <c r="E1220"/>
      <c r="F1220"/>
      <c r="G1220"/>
      <c r="H1220"/>
    </row>
    <row r="1221" spans="2:8">
      <c r="B1221"/>
      <c r="C1221"/>
      <c r="D1221"/>
      <c r="E1221"/>
      <c r="F1221"/>
      <c r="G1221"/>
      <c r="H1221"/>
    </row>
    <row r="1222" spans="2:8">
      <c r="B1222"/>
      <c r="C1222"/>
      <c r="D1222"/>
      <c r="E1222"/>
      <c r="F1222"/>
      <c r="G1222"/>
      <c r="H1222"/>
    </row>
    <row r="1223" spans="2:8">
      <c r="B1223"/>
      <c r="C1223"/>
      <c r="D1223"/>
      <c r="E1223"/>
      <c r="F1223"/>
      <c r="G1223"/>
      <c r="H1223"/>
    </row>
    <row r="1224" spans="2:8">
      <c r="B1224"/>
      <c r="C1224"/>
      <c r="D1224"/>
      <c r="E1224"/>
      <c r="F1224"/>
      <c r="G1224"/>
      <c r="H1224"/>
    </row>
    <row r="1225" spans="2:8">
      <c r="B1225"/>
      <c r="C1225"/>
      <c r="D1225"/>
      <c r="E1225"/>
      <c r="F1225"/>
      <c r="G1225"/>
      <c r="H1225"/>
    </row>
    <row r="1226" spans="2:8">
      <c r="B1226"/>
      <c r="C1226"/>
      <c r="D1226"/>
      <c r="E1226"/>
      <c r="F1226"/>
      <c r="G1226"/>
      <c r="H1226"/>
    </row>
    <row r="1227" spans="2:8">
      <c r="B1227"/>
      <c r="C1227"/>
      <c r="D1227"/>
      <c r="E1227"/>
      <c r="F1227"/>
      <c r="G1227"/>
      <c r="H1227"/>
    </row>
    <row r="1228" spans="2:8">
      <c r="B1228"/>
      <c r="C1228"/>
      <c r="D1228"/>
      <c r="E1228"/>
      <c r="F1228"/>
      <c r="G1228"/>
      <c r="H1228"/>
    </row>
    <row r="1229" spans="2:8">
      <c r="B1229"/>
      <c r="C1229"/>
      <c r="D1229"/>
      <c r="E1229"/>
      <c r="F1229"/>
      <c r="G1229"/>
      <c r="H1229"/>
    </row>
    <row r="1230" spans="2:8">
      <c r="B1230"/>
      <c r="C1230"/>
      <c r="D1230"/>
      <c r="E1230"/>
      <c r="F1230"/>
      <c r="G1230"/>
      <c r="H1230"/>
    </row>
    <row r="1231" spans="2:8">
      <c r="B1231"/>
      <c r="C1231"/>
      <c r="D1231"/>
      <c r="E1231"/>
      <c r="F1231"/>
      <c r="G1231"/>
      <c r="H1231"/>
    </row>
    <row r="1232" spans="2:8">
      <c r="B1232"/>
      <c r="C1232"/>
      <c r="D1232"/>
      <c r="E1232"/>
      <c r="F1232"/>
      <c r="G1232"/>
      <c r="H1232"/>
    </row>
    <row r="1233" spans="2:8">
      <c r="B1233"/>
      <c r="C1233"/>
      <c r="D1233"/>
      <c r="E1233"/>
      <c r="F1233"/>
      <c r="G1233"/>
      <c r="H1233"/>
    </row>
    <row r="1234" spans="2:8">
      <c r="B1234"/>
      <c r="C1234"/>
      <c r="D1234"/>
      <c r="E1234"/>
      <c r="F1234"/>
      <c r="G1234"/>
      <c r="H1234"/>
    </row>
    <row r="1235" spans="2:8">
      <c r="B1235"/>
      <c r="C1235"/>
      <c r="D1235"/>
      <c r="E1235"/>
      <c r="F1235"/>
      <c r="G1235"/>
      <c r="H1235"/>
    </row>
    <row r="1236" spans="2:8">
      <c r="B1236"/>
      <c r="C1236"/>
      <c r="D1236"/>
      <c r="E1236"/>
      <c r="F1236"/>
      <c r="G1236"/>
      <c r="H1236"/>
    </row>
    <row r="1237" spans="2:8">
      <c r="B1237"/>
      <c r="C1237"/>
      <c r="D1237"/>
      <c r="E1237"/>
      <c r="F1237"/>
      <c r="G1237"/>
      <c r="H1237"/>
    </row>
    <row r="1238" spans="2:8">
      <c r="B1238"/>
      <c r="C1238"/>
      <c r="D1238"/>
      <c r="E1238"/>
      <c r="F1238"/>
      <c r="G1238"/>
      <c r="H1238"/>
    </row>
    <row r="1239" spans="2:8">
      <c r="B1239"/>
      <c r="C1239"/>
      <c r="D1239"/>
      <c r="E1239"/>
      <c r="F1239"/>
      <c r="G1239"/>
      <c r="H1239"/>
    </row>
    <row r="1240" spans="2:8">
      <c r="B1240"/>
      <c r="C1240"/>
      <c r="D1240"/>
      <c r="E1240"/>
      <c r="F1240"/>
      <c r="G1240"/>
      <c r="H1240"/>
    </row>
    <row r="1241" spans="2:8">
      <c r="B1241"/>
      <c r="C1241"/>
      <c r="D1241"/>
      <c r="E1241"/>
      <c r="F1241"/>
      <c r="G1241"/>
      <c r="H1241"/>
    </row>
    <row r="1242" spans="2:8">
      <c r="B1242"/>
      <c r="C1242"/>
      <c r="D1242"/>
      <c r="E1242"/>
      <c r="F1242"/>
      <c r="G1242"/>
      <c r="H1242"/>
    </row>
    <row r="1243" spans="2:8">
      <c r="B1243"/>
      <c r="C1243"/>
      <c r="D1243"/>
      <c r="E1243"/>
      <c r="F1243"/>
      <c r="G1243"/>
      <c r="H1243"/>
    </row>
    <row r="1244" spans="2:8">
      <c r="B1244"/>
      <c r="C1244"/>
      <c r="D1244"/>
      <c r="E1244"/>
      <c r="F1244"/>
      <c r="G1244"/>
      <c r="H1244"/>
    </row>
    <row r="1245" spans="2:8">
      <c r="B1245"/>
      <c r="C1245"/>
      <c r="D1245"/>
      <c r="E1245"/>
      <c r="F1245"/>
      <c r="G1245"/>
      <c r="H1245"/>
    </row>
    <row r="1246" spans="2:8">
      <c r="B1246"/>
      <c r="C1246"/>
      <c r="D1246"/>
      <c r="E1246"/>
      <c r="F1246"/>
      <c r="G1246"/>
      <c r="H1246"/>
    </row>
    <row r="1247" spans="2:8">
      <c r="B1247"/>
      <c r="C1247"/>
      <c r="D1247"/>
      <c r="E1247"/>
      <c r="F1247"/>
      <c r="G1247"/>
      <c r="H1247"/>
    </row>
    <row r="1248" spans="2:8">
      <c r="B1248"/>
      <c r="C1248"/>
      <c r="D1248"/>
      <c r="E1248"/>
      <c r="F1248"/>
      <c r="G1248"/>
      <c r="H1248"/>
    </row>
    <row r="1249" spans="2:8">
      <c r="B1249"/>
      <c r="C1249"/>
      <c r="D1249"/>
      <c r="E1249"/>
      <c r="F1249"/>
      <c r="G1249"/>
      <c r="H1249"/>
    </row>
    <row r="1250" spans="2:8">
      <c r="B1250"/>
      <c r="C1250"/>
      <c r="D1250"/>
      <c r="E1250"/>
      <c r="F1250"/>
      <c r="G1250"/>
      <c r="H1250"/>
    </row>
    <row r="1251" spans="2:8">
      <c r="B1251"/>
      <c r="C1251"/>
      <c r="D1251"/>
      <c r="E1251"/>
      <c r="F1251"/>
      <c r="G1251"/>
      <c r="H1251"/>
    </row>
    <row r="1252" spans="2:8">
      <c r="B1252"/>
      <c r="C1252"/>
      <c r="D1252"/>
      <c r="E1252"/>
      <c r="F1252"/>
      <c r="G1252"/>
      <c r="H1252"/>
    </row>
    <row r="1253" spans="2:8">
      <c r="B1253"/>
      <c r="C1253"/>
      <c r="D1253"/>
      <c r="E1253"/>
      <c r="F1253"/>
      <c r="G1253"/>
      <c r="H1253"/>
    </row>
    <row r="1254" spans="2:8">
      <c r="B1254"/>
      <c r="C1254"/>
      <c r="D1254"/>
      <c r="E1254"/>
      <c r="F1254"/>
      <c r="G1254"/>
      <c r="H1254"/>
    </row>
    <row r="1255" spans="2:8">
      <c r="B1255"/>
      <c r="C1255"/>
      <c r="D1255"/>
      <c r="E1255"/>
      <c r="F1255"/>
      <c r="G1255"/>
      <c r="H1255"/>
    </row>
    <row r="1256" spans="2:8">
      <c r="B1256"/>
      <c r="C1256"/>
      <c r="D1256"/>
      <c r="E1256"/>
      <c r="F1256"/>
      <c r="G1256"/>
      <c r="H1256"/>
    </row>
    <row r="1257" spans="2:8">
      <c r="B1257"/>
      <c r="C1257"/>
      <c r="D1257"/>
      <c r="E1257"/>
      <c r="F1257"/>
      <c r="G1257"/>
      <c r="H1257"/>
    </row>
    <row r="1258" spans="2:8">
      <c r="B1258"/>
      <c r="C1258"/>
      <c r="D1258"/>
      <c r="E1258"/>
      <c r="F1258"/>
      <c r="G1258"/>
      <c r="H1258"/>
    </row>
    <row r="1259" spans="2:8">
      <c r="B1259"/>
      <c r="C1259"/>
      <c r="D1259"/>
      <c r="E1259"/>
      <c r="F1259"/>
      <c r="G1259"/>
      <c r="H1259"/>
    </row>
    <row r="1260" spans="2:8">
      <c r="B1260"/>
      <c r="C1260"/>
      <c r="D1260"/>
      <c r="E1260"/>
      <c r="F1260"/>
      <c r="G1260"/>
      <c r="H1260"/>
    </row>
    <row r="1261" spans="2:8">
      <c r="B1261"/>
      <c r="C1261"/>
      <c r="D1261"/>
      <c r="E1261"/>
      <c r="F1261"/>
      <c r="G1261"/>
      <c r="H1261"/>
    </row>
    <row r="1262" spans="2:8">
      <c r="B1262"/>
      <c r="C1262"/>
      <c r="D1262"/>
      <c r="E1262"/>
      <c r="F1262"/>
      <c r="G1262"/>
      <c r="H1262"/>
    </row>
    <row r="1263" spans="2:8">
      <c r="B1263"/>
      <c r="C1263"/>
      <c r="D1263"/>
      <c r="E1263"/>
      <c r="F1263"/>
      <c r="G1263"/>
      <c r="H1263"/>
    </row>
    <row r="1264" spans="2:8">
      <c r="B1264"/>
      <c r="C1264"/>
      <c r="D1264"/>
      <c r="E1264"/>
      <c r="F1264"/>
      <c r="G1264"/>
      <c r="H1264"/>
    </row>
    <row r="1265" spans="2:8">
      <c r="B1265"/>
      <c r="C1265"/>
      <c r="D1265"/>
      <c r="E1265"/>
      <c r="F1265"/>
      <c r="G1265"/>
      <c r="H1265"/>
    </row>
    <row r="1266" spans="2:8">
      <c r="B1266"/>
      <c r="C1266"/>
      <c r="D1266"/>
      <c r="E1266"/>
      <c r="F1266"/>
      <c r="G1266"/>
      <c r="H1266"/>
    </row>
    <row r="1267" spans="2:8">
      <c r="B1267"/>
      <c r="C1267"/>
      <c r="D1267"/>
      <c r="E1267"/>
      <c r="F1267"/>
      <c r="G1267"/>
      <c r="H1267"/>
    </row>
    <row r="1268" spans="2:8">
      <c r="B1268"/>
      <c r="C1268"/>
      <c r="D1268"/>
      <c r="E1268"/>
      <c r="F1268"/>
      <c r="G1268"/>
      <c r="H1268"/>
    </row>
    <row r="1269" spans="2:8">
      <c r="B1269"/>
      <c r="C1269"/>
      <c r="D1269"/>
      <c r="E1269"/>
      <c r="F1269"/>
      <c r="G1269"/>
      <c r="H1269"/>
    </row>
    <row r="1270" spans="2:8">
      <c r="B1270"/>
      <c r="C1270"/>
      <c r="D1270"/>
      <c r="E1270"/>
      <c r="F1270"/>
      <c r="G1270"/>
      <c r="H1270"/>
    </row>
    <row r="1271" spans="2:8">
      <c r="B1271"/>
      <c r="C1271"/>
      <c r="D1271"/>
      <c r="E1271"/>
      <c r="F1271"/>
      <c r="G1271"/>
      <c r="H1271"/>
    </row>
    <row r="1272" spans="2:8">
      <c r="B1272"/>
      <c r="C1272"/>
      <c r="D1272"/>
      <c r="E1272"/>
      <c r="F1272"/>
      <c r="G1272"/>
      <c r="H1272"/>
    </row>
    <row r="1273" spans="2:8">
      <c r="B1273"/>
      <c r="C1273"/>
      <c r="D1273"/>
      <c r="E1273"/>
      <c r="F1273"/>
      <c r="G1273"/>
      <c r="H1273"/>
    </row>
    <row r="1274" spans="2:8">
      <c r="B1274"/>
      <c r="C1274"/>
      <c r="D1274"/>
      <c r="E1274"/>
      <c r="F1274"/>
      <c r="G1274"/>
      <c r="H1274"/>
    </row>
    <row r="1275" spans="2:8">
      <c r="B1275"/>
      <c r="C1275"/>
      <c r="D1275"/>
      <c r="E1275"/>
      <c r="F1275"/>
      <c r="G1275"/>
      <c r="H1275"/>
    </row>
    <row r="1276" spans="2:8">
      <c r="B1276"/>
      <c r="C1276"/>
      <c r="D1276"/>
      <c r="E1276"/>
      <c r="F1276"/>
      <c r="G1276"/>
      <c r="H1276"/>
    </row>
    <row r="1277" spans="2:8">
      <c r="B1277"/>
      <c r="C1277"/>
      <c r="D1277"/>
      <c r="E1277"/>
      <c r="F1277"/>
      <c r="G1277"/>
      <c r="H1277"/>
    </row>
    <row r="1278" spans="2:8">
      <c r="B1278"/>
      <c r="C1278"/>
      <c r="D1278"/>
      <c r="E1278"/>
      <c r="F1278"/>
      <c r="G1278"/>
      <c r="H1278"/>
    </row>
    <row r="1279" spans="2:8">
      <c r="B1279"/>
      <c r="C1279"/>
      <c r="D1279"/>
      <c r="E1279"/>
      <c r="F1279"/>
      <c r="G1279"/>
      <c r="H1279"/>
    </row>
    <row r="1280" spans="2:8">
      <c r="B1280"/>
      <c r="C1280"/>
      <c r="D1280"/>
      <c r="E1280"/>
      <c r="F1280"/>
      <c r="G1280"/>
      <c r="H1280"/>
    </row>
    <row r="1281" spans="2:8">
      <c r="B1281"/>
      <c r="C1281"/>
      <c r="D1281"/>
      <c r="E1281"/>
      <c r="F1281"/>
      <c r="G1281"/>
      <c r="H1281"/>
    </row>
    <row r="1282" spans="2:8">
      <c r="B1282"/>
      <c r="C1282"/>
      <c r="D1282"/>
      <c r="E1282"/>
      <c r="F1282"/>
      <c r="G1282"/>
      <c r="H1282"/>
    </row>
    <row r="1283" spans="2:8">
      <c r="B1283"/>
      <c r="C1283"/>
      <c r="D1283"/>
      <c r="E1283"/>
      <c r="F1283"/>
      <c r="G1283"/>
      <c r="H1283"/>
    </row>
    <row r="1284" spans="2:8">
      <c r="B1284"/>
      <c r="C1284"/>
      <c r="D1284"/>
      <c r="E1284"/>
      <c r="F1284"/>
      <c r="G1284"/>
      <c r="H1284"/>
    </row>
    <row r="1285" spans="2:8">
      <c r="B1285"/>
      <c r="C1285"/>
      <c r="D1285"/>
      <c r="E1285"/>
      <c r="F1285"/>
      <c r="G1285"/>
      <c r="H1285"/>
    </row>
    <row r="1286" spans="2:8">
      <c r="B1286"/>
      <c r="C1286"/>
      <c r="D1286"/>
      <c r="E1286"/>
      <c r="F1286"/>
      <c r="G1286"/>
      <c r="H1286"/>
    </row>
    <row r="1287" spans="2:8">
      <c r="B1287"/>
      <c r="C1287"/>
      <c r="D1287"/>
      <c r="E1287"/>
      <c r="F1287"/>
      <c r="G1287"/>
      <c r="H1287"/>
    </row>
    <row r="1288" spans="2:8">
      <c r="B1288"/>
      <c r="C1288"/>
      <c r="D1288"/>
      <c r="E1288"/>
      <c r="F1288"/>
      <c r="G1288"/>
      <c r="H1288"/>
    </row>
    <row r="1289" spans="2:8">
      <c r="B1289"/>
      <c r="C1289"/>
      <c r="D1289"/>
      <c r="E1289"/>
      <c r="F1289"/>
      <c r="G1289"/>
      <c r="H1289"/>
    </row>
    <row r="1290" spans="2:8">
      <c r="B1290"/>
      <c r="C1290"/>
      <c r="D1290"/>
      <c r="E1290"/>
      <c r="F1290"/>
      <c r="G1290"/>
      <c r="H1290"/>
    </row>
    <row r="1291" spans="2:8">
      <c r="B1291"/>
      <c r="C1291"/>
      <c r="D1291"/>
      <c r="E1291"/>
      <c r="F1291"/>
      <c r="G1291"/>
      <c r="H1291"/>
    </row>
    <row r="1292" spans="2:8">
      <c r="B1292"/>
      <c r="C1292"/>
      <c r="D1292"/>
      <c r="E1292"/>
      <c r="F1292"/>
      <c r="G1292"/>
      <c r="H1292"/>
    </row>
    <row r="1293" spans="2:8">
      <c r="B1293"/>
      <c r="C1293"/>
      <c r="D1293"/>
      <c r="E1293"/>
      <c r="F1293"/>
      <c r="G1293"/>
      <c r="H1293"/>
    </row>
    <row r="1294" spans="2:8">
      <c r="B1294"/>
      <c r="C1294"/>
      <c r="D1294"/>
      <c r="E1294"/>
      <c r="F1294"/>
      <c r="G1294"/>
      <c r="H1294"/>
    </row>
    <row r="1295" spans="2:8">
      <c r="B1295"/>
      <c r="C1295"/>
      <c r="D1295"/>
      <c r="E1295"/>
      <c r="F1295"/>
      <c r="G1295"/>
      <c r="H1295"/>
    </row>
    <row r="1296" spans="2:8">
      <c r="B1296"/>
      <c r="C1296"/>
      <c r="D1296"/>
      <c r="E1296"/>
      <c r="F1296"/>
      <c r="G1296"/>
      <c r="H1296"/>
    </row>
    <row r="1297" spans="2:8">
      <c r="B1297"/>
      <c r="C1297"/>
      <c r="D1297"/>
      <c r="E1297"/>
      <c r="F1297"/>
      <c r="G1297"/>
      <c r="H1297"/>
    </row>
    <row r="1298" spans="2:8">
      <c r="B1298"/>
      <c r="C1298"/>
      <c r="D1298"/>
      <c r="E1298"/>
      <c r="F1298"/>
      <c r="G1298"/>
      <c r="H1298"/>
    </row>
    <row r="1299" spans="2:8">
      <c r="B1299"/>
      <c r="C1299"/>
      <c r="D1299"/>
      <c r="E1299"/>
      <c r="F1299"/>
      <c r="G1299"/>
      <c r="H1299"/>
    </row>
    <row r="1300" spans="2:8">
      <c r="B1300"/>
      <c r="C1300"/>
      <c r="D1300"/>
      <c r="E1300"/>
      <c r="F1300"/>
      <c r="G1300"/>
      <c r="H1300"/>
    </row>
    <row r="1301" spans="2:8">
      <c r="B1301"/>
      <c r="C1301"/>
      <c r="D1301"/>
      <c r="E1301"/>
      <c r="F1301"/>
      <c r="G1301"/>
      <c r="H1301"/>
    </row>
    <row r="1302" spans="2:8">
      <c r="B1302"/>
      <c r="C1302"/>
      <c r="D1302"/>
      <c r="E1302"/>
      <c r="F1302"/>
      <c r="G1302"/>
      <c r="H1302"/>
    </row>
    <row r="1303" spans="2:8">
      <c r="B1303"/>
      <c r="C1303"/>
      <c r="D1303"/>
      <c r="E1303"/>
      <c r="F1303"/>
      <c r="G1303"/>
      <c r="H1303"/>
    </row>
    <row r="1304" spans="2:8">
      <c r="B1304"/>
      <c r="C1304"/>
      <c r="D1304"/>
      <c r="E1304"/>
      <c r="F1304"/>
      <c r="G1304"/>
      <c r="H1304"/>
    </row>
    <row r="1305" spans="2:8">
      <c r="B1305"/>
      <c r="C1305"/>
      <c r="D1305"/>
      <c r="E1305"/>
      <c r="F1305"/>
      <c r="G1305"/>
      <c r="H1305"/>
    </row>
    <row r="1306" spans="2:8">
      <c r="B1306"/>
      <c r="C1306"/>
      <c r="D1306"/>
      <c r="E1306"/>
      <c r="F1306"/>
      <c r="G1306"/>
      <c r="H1306"/>
    </row>
    <row r="1307" spans="2:8">
      <c r="B1307"/>
      <c r="C1307"/>
      <c r="D1307"/>
      <c r="E1307"/>
      <c r="F1307"/>
      <c r="G1307"/>
      <c r="H1307"/>
    </row>
    <row r="1308" spans="2:8">
      <c r="B1308"/>
      <c r="C1308"/>
      <c r="D1308"/>
      <c r="E1308"/>
      <c r="F1308"/>
      <c r="G1308"/>
      <c r="H1308"/>
    </row>
    <row r="1309" spans="2:8">
      <c r="B1309"/>
      <c r="C1309"/>
      <c r="D1309"/>
      <c r="E1309"/>
      <c r="F1309"/>
      <c r="G1309"/>
      <c r="H1309"/>
    </row>
    <row r="1310" spans="2:8">
      <c r="B1310"/>
      <c r="C1310"/>
      <c r="D1310"/>
      <c r="E1310"/>
      <c r="F1310"/>
      <c r="G1310"/>
      <c r="H1310"/>
    </row>
    <row r="1311" spans="2:8">
      <c r="B1311"/>
      <c r="C1311"/>
      <c r="D1311"/>
      <c r="E1311"/>
      <c r="F1311"/>
      <c r="G1311"/>
      <c r="H1311"/>
    </row>
    <row r="1312" spans="2:8">
      <c r="B1312"/>
      <c r="C1312"/>
      <c r="D1312"/>
      <c r="E1312"/>
      <c r="F1312"/>
      <c r="G1312"/>
      <c r="H1312"/>
    </row>
    <row r="1313" spans="2:8">
      <c r="B1313"/>
      <c r="C1313"/>
      <c r="D1313"/>
      <c r="E1313"/>
      <c r="F1313"/>
      <c r="G1313"/>
      <c r="H1313"/>
    </row>
    <row r="1314" spans="2:8">
      <c r="B1314"/>
      <c r="C1314"/>
      <c r="D1314"/>
      <c r="E1314"/>
      <c r="F1314"/>
      <c r="G1314"/>
      <c r="H1314"/>
    </row>
    <row r="1315" spans="2:8">
      <c r="B1315"/>
      <c r="C1315"/>
      <c r="D1315"/>
      <c r="E1315"/>
      <c r="F1315"/>
      <c r="G1315"/>
      <c r="H1315"/>
    </row>
    <row r="1316" spans="2:8">
      <c r="B1316"/>
      <c r="C1316"/>
      <c r="D1316"/>
      <c r="E1316"/>
      <c r="F1316"/>
      <c r="G1316"/>
      <c r="H1316"/>
    </row>
    <row r="1317" spans="2:8">
      <c r="B1317"/>
      <c r="C1317"/>
      <c r="D1317"/>
      <c r="E1317"/>
      <c r="F1317"/>
      <c r="G1317"/>
      <c r="H1317"/>
    </row>
    <row r="1318" spans="2:8">
      <c r="B1318"/>
      <c r="C1318"/>
      <c r="D1318"/>
      <c r="E1318"/>
      <c r="F1318"/>
      <c r="G1318"/>
      <c r="H1318"/>
    </row>
    <row r="1319" spans="2:8">
      <c r="B1319"/>
      <c r="C1319"/>
      <c r="D1319"/>
      <c r="E1319"/>
      <c r="F1319"/>
      <c r="G1319"/>
      <c r="H1319"/>
    </row>
    <row r="1320" spans="2:8">
      <c r="B1320"/>
      <c r="C1320"/>
      <c r="D1320"/>
      <c r="E1320"/>
      <c r="F1320"/>
      <c r="G1320"/>
      <c r="H1320"/>
    </row>
    <row r="1321" spans="2:8">
      <c r="B1321"/>
      <c r="C1321"/>
      <c r="D1321"/>
      <c r="E1321"/>
      <c r="F1321"/>
      <c r="G1321"/>
      <c r="H1321"/>
    </row>
    <row r="1322" spans="2:8">
      <c r="B1322"/>
      <c r="C1322"/>
      <c r="D1322"/>
      <c r="E1322"/>
      <c r="F1322"/>
      <c r="G1322"/>
      <c r="H1322"/>
    </row>
    <row r="1323" spans="2:8">
      <c r="B1323"/>
      <c r="C1323"/>
      <c r="D1323"/>
      <c r="E1323"/>
      <c r="F1323"/>
      <c r="G1323"/>
      <c r="H1323"/>
    </row>
    <row r="1324" spans="2:8">
      <c r="B1324"/>
      <c r="C1324"/>
      <c r="D1324"/>
      <c r="E1324"/>
      <c r="F1324"/>
      <c r="G1324"/>
      <c r="H1324"/>
    </row>
    <row r="1325" spans="2:8">
      <c r="B1325"/>
      <c r="C1325"/>
      <c r="D1325"/>
      <c r="E1325"/>
      <c r="F1325"/>
      <c r="G1325"/>
      <c r="H1325"/>
    </row>
    <row r="1326" spans="2:8">
      <c r="B1326"/>
      <c r="C1326"/>
      <c r="D1326"/>
      <c r="E1326"/>
      <c r="F1326"/>
      <c r="G1326"/>
      <c r="H1326"/>
    </row>
    <row r="1327" spans="2:8">
      <c r="B1327"/>
      <c r="C1327"/>
      <c r="D1327"/>
      <c r="E1327"/>
      <c r="F1327"/>
      <c r="G1327"/>
      <c r="H1327"/>
    </row>
    <row r="1328" spans="2:8">
      <c r="B1328"/>
      <c r="C1328"/>
      <c r="D1328"/>
      <c r="E1328"/>
      <c r="F1328"/>
      <c r="G1328"/>
      <c r="H1328"/>
    </row>
    <row r="1329" spans="2:8">
      <c r="B1329"/>
      <c r="C1329"/>
      <c r="D1329"/>
      <c r="E1329"/>
      <c r="F1329"/>
      <c r="G1329"/>
      <c r="H1329"/>
    </row>
    <row r="1330" spans="2:8">
      <c r="B1330"/>
      <c r="C1330"/>
      <c r="D1330"/>
      <c r="E1330"/>
      <c r="F1330"/>
      <c r="G1330"/>
      <c r="H1330"/>
    </row>
    <row r="1331" spans="2:8">
      <c r="B1331"/>
      <c r="C1331"/>
      <c r="D1331"/>
      <c r="E1331"/>
      <c r="F1331"/>
      <c r="G1331"/>
      <c r="H1331"/>
    </row>
    <row r="1332" spans="2:8">
      <c r="B1332"/>
      <c r="C1332"/>
      <c r="D1332"/>
      <c r="E1332"/>
      <c r="F1332"/>
      <c r="G1332"/>
      <c r="H1332"/>
    </row>
    <row r="1333" spans="2:8">
      <c r="B1333"/>
      <c r="C1333"/>
      <c r="D1333"/>
      <c r="E1333"/>
      <c r="F1333"/>
      <c r="G1333"/>
      <c r="H1333"/>
    </row>
    <row r="1334" spans="2:8">
      <c r="B1334"/>
      <c r="C1334"/>
      <c r="D1334"/>
      <c r="E1334"/>
      <c r="F1334"/>
      <c r="G1334"/>
      <c r="H1334"/>
    </row>
    <row r="1335" spans="2:8">
      <c r="B1335"/>
      <c r="C1335"/>
      <c r="D1335"/>
      <c r="E1335"/>
      <c r="F1335"/>
      <c r="G1335"/>
      <c r="H1335"/>
    </row>
    <row r="1336" spans="2:8">
      <c r="B1336"/>
      <c r="C1336"/>
      <c r="D1336"/>
      <c r="E1336"/>
      <c r="F1336"/>
      <c r="G1336"/>
      <c r="H1336"/>
    </row>
    <row r="1337" spans="2:8">
      <c r="B1337"/>
      <c r="C1337"/>
      <c r="D1337"/>
      <c r="E1337"/>
      <c r="F1337"/>
      <c r="G1337"/>
      <c r="H1337"/>
    </row>
    <row r="1338" spans="2:8">
      <c r="B1338"/>
      <c r="C1338"/>
      <c r="D1338"/>
      <c r="E1338"/>
      <c r="F1338"/>
      <c r="G1338"/>
      <c r="H1338"/>
    </row>
    <row r="1339" spans="2:8">
      <c r="B1339"/>
      <c r="C1339"/>
      <c r="D1339"/>
      <c r="E1339"/>
      <c r="F1339"/>
      <c r="G1339"/>
      <c r="H1339"/>
    </row>
    <row r="1340" spans="2:8">
      <c r="B1340"/>
      <c r="C1340"/>
      <c r="D1340"/>
      <c r="E1340"/>
      <c r="F1340"/>
      <c r="G1340"/>
      <c r="H1340"/>
    </row>
    <row r="1341" spans="2:8">
      <c r="B1341"/>
      <c r="C1341"/>
      <c r="D1341"/>
      <c r="E1341"/>
      <c r="F1341"/>
      <c r="G1341"/>
      <c r="H1341"/>
    </row>
    <row r="1342" spans="2:8">
      <c r="B1342"/>
      <c r="C1342"/>
      <c r="D1342"/>
      <c r="E1342"/>
      <c r="F1342"/>
      <c r="G1342"/>
      <c r="H1342"/>
    </row>
    <row r="1343" spans="2:8">
      <c r="B1343"/>
      <c r="C1343"/>
      <c r="D1343"/>
      <c r="E1343"/>
      <c r="F1343"/>
      <c r="G1343"/>
      <c r="H1343"/>
    </row>
    <row r="1344" spans="2:8">
      <c r="B1344"/>
      <c r="C1344"/>
      <c r="D1344"/>
      <c r="E1344"/>
      <c r="F1344"/>
      <c r="G1344"/>
      <c r="H1344"/>
    </row>
    <row r="1345" spans="2:8">
      <c r="B1345"/>
      <c r="C1345"/>
      <c r="D1345"/>
      <c r="E1345"/>
      <c r="F1345"/>
      <c r="G1345"/>
      <c r="H1345"/>
    </row>
    <row r="1346" spans="2:8">
      <c r="B1346"/>
      <c r="C1346"/>
      <c r="D1346"/>
      <c r="E1346"/>
      <c r="F1346"/>
      <c r="G1346"/>
      <c r="H1346"/>
    </row>
    <row r="1347" spans="2:8">
      <c r="B1347"/>
      <c r="C1347"/>
      <c r="D1347"/>
      <c r="E1347"/>
      <c r="F1347"/>
      <c r="G1347"/>
      <c r="H1347"/>
    </row>
    <row r="1348" spans="2:8">
      <c r="B1348"/>
      <c r="C1348"/>
      <c r="D1348"/>
      <c r="E1348"/>
      <c r="F1348"/>
      <c r="G1348"/>
      <c r="H1348"/>
    </row>
    <row r="1349" spans="2:8">
      <c r="B1349"/>
      <c r="C1349"/>
      <c r="D1349"/>
      <c r="E1349"/>
      <c r="F1349"/>
      <c r="G1349"/>
      <c r="H1349"/>
    </row>
    <row r="1350" spans="2:8">
      <c r="B1350"/>
      <c r="C1350"/>
      <c r="D1350"/>
      <c r="E1350"/>
      <c r="F1350"/>
      <c r="G1350"/>
      <c r="H1350"/>
    </row>
    <row r="1351" spans="2:8">
      <c r="B1351"/>
      <c r="C1351"/>
      <c r="D1351"/>
      <c r="E1351"/>
      <c r="F1351"/>
      <c r="G1351"/>
      <c r="H1351"/>
    </row>
    <row r="1352" spans="2:8">
      <c r="B1352"/>
      <c r="C1352"/>
      <c r="D1352"/>
      <c r="E1352"/>
      <c r="F1352"/>
      <c r="G1352"/>
      <c r="H1352"/>
    </row>
    <row r="1353" spans="2:8">
      <c r="B1353"/>
      <c r="C1353"/>
      <c r="D1353"/>
      <c r="E1353"/>
      <c r="F1353"/>
      <c r="G1353"/>
      <c r="H1353"/>
    </row>
    <row r="1354" spans="2:8">
      <c r="B1354"/>
      <c r="C1354"/>
      <c r="D1354"/>
      <c r="E1354"/>
      <c r="F1354"/>
      <c r="G1354"/>
      <c r="H1354"/>
    </row>
    <row r="1355" spans="2:8">
      <c r="B1355"/>
      <c r="C1355"/>
      <c r="D1355"/>
      <c r="E1355"/>
      <c r="F1355"/>
      <c r="G1355"/>
      <c r="H1355"/>
    </row>
    <row r="1356" spans="2:8">
      <c r="B1356"/>
      <c r="C1356"/>
      <c r="D1356"/>
      <c r="E1356"/>
      <c r="F1356"/>
      <c r="G1356"/>
      <c r="H1356"/>
    </row>
    <row r="1357" spans="2:8">
      <c r="B1357"/>
      <c r="C1357"/>
      <c r="D1357"/>
      <c r="E1357"/>
      <c r="F1357"/>
      <c r="G1357"/>
      <c r="H1357"/>
    </row>
    <row r="1358" spans="2:8">
      <c r="B1358"/>
      <c r="C1358"/>
      <c r="D1358"/>
      <c r="E1358"/>
      <c r="F1358"/>
      <c r="G1358"/>
      <c r="H1358"/>
    </row>
    <row r="1359" spans="2:8">
      <c r="B1359"/>
      <c r="C1359"/>
      <c r="D1359"/>
      <c r="E1359"/>
      <c r="F1359"/>
      <c r="G1359"/>
      <c r="H1359"/>
    </row>
    <row r="1360" spans="2:8">
      <c r="B1360"/>
      <c r="C1360"/>
      <c r="D1360"/>
      <c r="E1360"/>
      <c r="F1360"/>
      <c r="G1360"/>
      <c r="H1360"/>
    </row>
    <row r="1361" spans="2:8">
      <c r="B1361"/>
      <c r="C1361"/>
      <c r="D1361"/>
      <c r="E1361"/>
      <c r="F1361"/>
      <c r="G1361"/>
      <c r="H1361"/>
    </row>
    <row r="1362" spans="2:8">
      <c r="B1362"/>
      <c r="C1362"/>
      <c r="D1362"/>
      <c r="E1362"/>
      <c r="F1362"/>
      <c r="G1362"/>
      <c r="H1362"/>
    </row>
    <row r="1363" spans="2:8">
      <c r="B1363"/>
      <c r="C1363"/>
      <c r="D1363"/>
      <c r="E1363"/>
      <c r="F1363"/>
      <c r="G1363"/>
      <c r="H1363"/>
    </row>
    <row r="1364" spans="2:8">
      <c r="B1364"/>
      <c r="C1364"/>
      <c r="D1364"/>
      <c r="E1364"/>
      <c r="F1364"/>
      <c r="G1364"/>
      <c r="H1364"/>
    </row>
    <row r="1365" spans="2:8">
      <c r="B1365"/>
      <c r="C1365"/>
      <c r="D1365"/>
      <c r="E1365"/>
      <c r="F1365"/>
      <c r="G1365"/>
      <c r="H1365"/>
    </row>
    <row r="1366" spans="2:8">
      <c r="B1366"/>
      <c r="C1366"/>
      <c r="D1366"/>
      <c r="E1366"/>
      <c r="F1366"/>
      <c r="G1366"/>
      <c r="H1366"/>
    </row>
    <row r="1367" spans="2:8">
      <c r="B1367"/>
      <c r="C1367"/>
      <c r="D1367"/>
      <c r="E1367"/>
      <c r="F1367"/>
      <c r="G1367"/>
      <c r="H1367"/>
    </row>
    <row r="1368" spans="2:8">
      <c r="B1368"/>
      <c r="C1368"/>
      <c r="D1368"/>
      <c r="E1368"/>
      <c r="F1368"/>
      <c r="G1368"/>
      <c r="H1368"/>
    </row>
    <row r="1369" spans="2:8">
      <c r="B1369"/>
      <c r="C1369"/>
      <c r="D1369"/>
      <c r="E1369"/>
      <c r="F1369"/>
      <c r="G1369"/>
      <c r="H1369"/>
    </row>
    <row r="1370" spans="2:8">
      <c r="B1370"/>
      <c r="C1370"/>
      <c r="D1370"/>
      <c r="E1370"/>
      <c r="F1370"/>
      <c r="G1370"/>
      <c r="H1370"/>
    </row>
    <row r="1371" spans="2:8">
      <c r="B1371"/>
      <c r="C1371"/>
      <c r="D1371"/>
      <c r="E1371"/>
      <c r="F1371"/>
      <c r="G1371"/>
      <c r="H1371"/>
    </row>
    <row r="1372" spans="2:8">
      <c r="B1372"/>
      <c r="C1372"/>
      <c r="D1372"/>
      <c r="E1372"/>
      <c r="F1372"/>
      <c r="G1372"/>
      <c r="H1372"/>
    </row>
    <row r="1373" spans="2:8">
      <c r="B1373"/>
      <c r="C1373"/>
      <c r="D1373"/>
      <c r="E1373"/>
      <c r="F1373"/>
      <c r="G1373"/>
      <c r="H1373"/>
    </row>
    <row r="1374" spans="2:8">
      <c r="B1374"/>
      <c r="C1374"/>
      <c r="D1374"/>
      <c r="E1374"/>
      <c r="F1374"/>
      <c r="G1374"/>
      <c r="H1374"/>
    </row>
    <row r="1375" spans="2:8">
      <c r="B1375"/>
      <c r="C1375"/>
      <c r="D1375"/>
      <c r="E1375"/>
      <c r="F1375"/>
      <c r="G1375"/>
      <c r="H1375"/>
    </row>
    <row r="1376" spans="2:8">
      <c r="B1376"/>
      <c r="C1376"/>
      <c r="D1376"/>
      <c r="E1376"/>
      <c r="F1376"/>
      <c r="G1376"/>
      <c r="H1376"/>
    </row>
    <row r="1377" spans="2:8">
      <c r="B1377"/>
      <c r="C1377"/>
      <c r="D1377"/>
      <c r="E1377"/>
      <c r="F1377"/>
      <c r="G1377"/>
      <c r="H1377"/>
    </row>
    <row r="1378" spans="2:8">
      <c r="B1378"/>
      <c r="C1378"/>
      <c r="D1378"/>
      <c r="E1378"/>
      <c r="F1378"/>
      <c r="G1378"/>
      <c r="H1378"/>
    </row>
    <row r="1379" spans="2:8">
      <c r="B1379"/>
      <c r="C1379"/>
      <c r="D1379"/>
      <c r="E1379"/>
      <c r="F1379"/>
      <c r="G1379"/>
      <c r="H1379"/>
    </row>
    <row r="1380" spans="2:8">
      <c r="B1380"/>
      <c r="C1380"/>
      <c r="D1380"/>
      <c r="E1380"/>
      <c r="F1380"/>
      <c r="G1380"/>
      <c r="H1380"/>
    </row>
    <row r="1381" spans="2:8">
      <c r="B1381"/>
      <c r="C1381"/>
      <c r="D1381"/>
      <c r="E1381"/>
      <c r="F1381"/>
      <c r="G1381"/>
      <c r="H1381"/>
    </row>
    <row r="1382" spans="2:8">
      <c r="B1382"/>
      <c r="C1382"/>
      <c r="D1382"/>
      <c r="E1382"/>
      <c r="F1382"/>
      <c r="G1382"/>
      <c r="H1382"/>
    </row>
    <row r="1383" spans="2:8">
      <c r="B1383"/>
      <c r="C1383"/>
      <c r="D1383"/>
      <c r="E1383"/>
      <c r="F1383"/>
      <c r="G1383"/>
      <c r="H1383"/>
    </row>
    <row r="1384" spans="2:8">
      <c r="B1384"/>
      <c r="C1384"/>
      <c r="D1384"/>
      <c r="E1384"/>
      <c r="F1384"/>
      <c r="G1384"/>
      <c r="H1384"/>
    </row>
    <row r="1385" spans="2:8">
      <c r="B1385"/>
      <c r="C1385"/>
      <c r="D1385"/>
      <c r="E1385"/>
      <c r="F1385"/>
      <c r="G1385"/>
      <c r="H1385"/>
    </row>
    <row r="1386" spans="2:8">
      <c r="B1386"/>
      <c r="C1386"/>
      <c r="D1386"/>
      <c r="E1386"/>
      <c r="F1386"/>
      <c r="G1386"/>
      <c r="H1386"/>
    </row>
    <row r="1387" spans="2:8">
      <c r="B1387"/>
      <c r="C1387"/>
      <c r="D1387"/>
      <c r="E1387"/>
      <c r="F1387"/>
      <c r="G1387"/>
      <c r="H1387"/>
    </row>
    <row r="1388" spans="2:8">
      <c r="B1388"/>
      <c r="C1388"/>
      <c r="D1388"/>
      <c r="E1388"/>
      <c r="F1388"/>
      <c r="G1388"/>
      <c r="H1388"/>
    </row>
    <row r="1389" spans="2:8">
      <c r="B1389"/>
      <c r="C1389"/>
      <c r="D1389"/>
      <c r="E1389"/>
      <c r="F1389"/>
      <c r="G1389"/>
      <c r="H1389"/>
    </row>
    <row r="1390" spans="2:8">
      <c r="B1390"/>
      <c r="C1390"/>
      <c r="D1390"/>
      <c r="E1390"/>
      <c r="F1390"/>
      <c r="G1390"/>
      <c r="H1390"/>
    </row>
    <row r="1391" spans="2:8">
      <c r="B1391"/>
      <c r="C1391"/>
      <c r="D1391"/>
      <c r="E1391"/>
      <c r="F1391"/>
      <c r="G1391"/>
      <c r="H1391"/>
    </row>
    <row r="1392" spans="2:8">
      <c r="B1392"/>
      <c r="C1392"/>
      <c r="D1392"/>
      <c r="E1392"/>
      <c r="F1392"/>
      <c r="G1392"/>
      <c r="H1392"/>
    </row>
    <row r="1393" spans="2:11">
      <c r="B1393"/>
      <c r="C1393"/>
      <c r="D1393"/>
      <c r="E1393"/>
      <c r="F1393"/>
      <c r="G1393"/>
      <c r="H1393"/>
    </row>
    <row r="1394" spans="2:11">
      <c r="B1394"/>
      <c r="C1394"/>
      <c r="D1394"/>
      <c r="E1394"/>
      <c r="F1394"/>
      <c r="G1394"/>
      <c r="H1394"/>
    </row>
    <row r="1395" spans="2:11">
      <c r="B1395"/>
      <c r="C1395"/>
      <c r="D1395"/>
      <c r="E1395"/>
      <c r="F1395"/>
      <c r="G1395"/>
      <c r="H1395"/>
    </row>
    <row r="1396" spans="2:11" s="3" customFormat="1">
      <c r="B1396"/>
      <c r="C1396"/>
      <c r="D1396"/>
      <c r="E1396"/>
      <c r="F1396"/>
      <c r="G1396"/>
      <c r="H1396"/>
      <c r="K1396" s="61"/>
    </row>
    <row r="1397" spans="2:11" s="3" customFormat="1">
      <c r="B1397"/>
      <c r="C1397"/>
      <c r="D1397"/>
      <c r="E1397"/>
      <c r="F1397"/>
      <c r="G1397"/>
      <c r="H1397"/>
      <c r="K1397" s="61"/>
    </row>
    <row r="1398" spans="2:11" s="3" customFormat="1">
      <c r="B1398"/>
      <c r="C1398"/>
      <c r="D1398"/>
      <c r="E1398"/>
      <c r="F1398"/>
      <c r="G1398"/>
      <c r="H1398"/>
      <c r="K1398" s="61"/>
    </row>
    <row r="1399" spans="2:11" s="3" customFormat="1">
      <c r="B1399"/>
      <c r="C1399"/>
      <c r="D1399"/>
      <c r="E1399"/>
      <c r="F1399"/>
      <c r="G1399"/>
      <c r="H1399"/>
      <c r="K1399" s="61"/>
    </row>
    <row r="1400" spans="2:11" s="3" customFormat="1">
      <c r="B1400"/>
      <c r="C1400"/>
      <c r="D1400"/>
      <c r="E1400"/>
      <c r="F1400"/>
      <c r="G1400"/>
      <c r="H1400"/>
      <c r="K1400" s="61"/>
    </row>
    <row r="1401" spans="2:11" s="3" customFormat="1">
      <c r="B1401"/>
      <c r="C1401"/>
      <c r="D1401"/>
      <c r="E1401"/>
      <c r="F1401"/>
      <c r="G1401"/>
      <c r="H1401"/>
      <c r="K1401" s="61"/>
    </row>
    <row r="1402" spans="2:11" s="3" customFormat="1">
      <c r="B1402"/>
      <c r="C1402"/>
      <c r="D1402"/>
      <c r="E1402"/>
      <c r="F1402"/>
      <c r="G1402"/>
      <c r="H1402"/>
      <c r="K1402" s="61"/>
    </row>
    <row r="1403" spans="2:11" s="3" customFormat="1">
      <c r="B1403"/>
      <c r="C1403"/>
      <c r="D1403"/>
      <c r="E1403"/>
      <c r="F1403"/>
      <c r="G1403"/>
      <c r="H1403"/>
      <c r="K1403" s="61"/>
    </row>
    <row r="1404" spans="2:11" s="3" customFormat="1">
      <c r="B1404"/>
      <c r="C1404"/>
      <c r="D1404"/>
      <c r="E1404"/>
      <c r="F1404"/>
      <c r="G1404"/>
      <c r="H1404"/>
      <c r="K1404" s="61"/>
    </row>
    <row r="1405" spans="2:11" s="3" customFormat="1">
      <c r="B1405"/>
      <c r="C1405"/>
      <c r="D1405"/>
      <c r="E1405"/>
      <c r="F1405"/>
      <c r="G1405"/>
      <c r="H1405"/>
      <c r="K1405" s="61"/>
    </row>
    <row r="1406" spans="2:11" s="3" customFormat="1">
      <c r="B1406"/>
      <c r="C1406"/>
      <c r="D1406"/>
      <c r="E1406"/>
      <c r="F1406"/>
      <c r="G1406"/>
      <c r="H1406"/>
      <c r="K1406" s="61"/>
    </row>
    <row r="1407" spans="2:11" s="3" customFormat="1">
      <c r="B1407"/>
      <c r="C1407"/>
      <c r="D1407"/>
      <c r="E1407"/>
      <c r="F1407"/>
      <c r="G1407"/>
      <c r="H1407"/>
      <c r="K1407" s="61"/>
    </row>
    <row r="1408" spans="2:11" s="3" customFormat="1">
      <c r="B1408"/>
      <c r="C1408"/>
      <c r="D1408"/>
      <c r="E1408"/>
      <c r="F1408"/>
      <c r="G1408"/>
      <c r="H1408"/>
      <c r="K1408" s="61"/>
    </row>
    <row r="1409" spans="2:11" s="3" customFormat="1">
      <c r="B1409"/>
      <c r="C1409"/>
      <c r="D1409"/>
      <c r="E1409"/>
      <c r="F1409"/>
      <c r="G1409"/>
      <c r="H1409"/>
      <c r="K1409" s="61"/>
    </row>
    <row r="1410" spans="2:11" s="3" customFormat="1">
      <c r="B1410"/>
      <c r="C1410"/>
      <c r="D1410"/>
      <c r="E1410"/>
      <c r="F1410"/>
      <c r="G1410"/>
      <c r="H1410"/>
      <c r="K1410" s="61"/>
    </row>
    <row r="1411" spans="2:11" s="3" customFormat="1">
      <c r="B1411"/>
      <c r="C1411"/>
      <c r="D1411"/>
      <c r="E1411"/>
      <c r="F1411"/>
      <c r="G1411"/>
      <c r="H1411"/>
      <c r="K1411" s="61"/>
    </row>
    <row r="1412" spans="2:11" s="3" customFormat="1">
      <c r="B1412"/>
      <c r="C1412"/>
      <c r="D1412"/>
      <c r="E1412"/>
      <c r="F1412"/>
      <c r="G1412"/>
      <c r="H1412"/>
      <c r="K1412" s="61"/>
    </row>
    <row r="1413" spans="2:11" s="3" customFormat="1">
      <c r="B1413"/>
      <c r="C1413"/>
      <c r="D1413"/>
      <c r="E1413"/>
      <c r="F1413"/>
      <c r="G1413"/>
      <c r="H1413"/>
      <c r="K1413" s="61"/>
    </row>
    <row r="1414" spans="2:11" s="3" customFormat="1">
      <c r="B1414"/>
      <c r="C1414"/>
      <c r="D1414"/>
      <c r="E1414"/>
      <c r="F1414"/>
      <c r="G1414"/>
      <c r="H1414"/>
      <c r="K1414" s="61"/>
    </row>
    <row r="1415" spans="2:11" s="3" customFormat="1">
      <c r="B1415"/>
      <c r="C1415"/>
      <c r="D1415"/>
      <c r="E1415"/>
      <c r="F1415"/>
      <c r="G1415"/>
      <c r="H1415"/>
      <c r="K1415" s="61"/>
    </row>
    <row r="1416" spans="2:11" s="3" customFormat="1">
      <c r="B1416"/>
      <c r="C1416"/>
      <c r="D1416"/>
      <c r="E1416"/>
      <c r="F1416"/>
      <c r="G1416"/>
      <c r="H1416"/>
      <c r="K1416" s="61"/>
    </row>
    <row r="1417" spans="2:11" s="3" customFormat="1">
      <c r="B1417"/>
      <c r="C1417"/>
      <c r="D1417"/>
      <c r="E1417"/>
      <c r="F1417"/>
      <c r="G1417"/>
      <c r="H1417"/>
      <c r="K1417" s="61"/>
    </row>
    <row r="1418" spans="2:11" s="3" customFormat="1">
      <c r="B1418"/>
      <c r="C1418"/>
      <c r="D1418"/>
      <c r="E1418"/>
      <c r="F1418"/>
      <c r="G1418"/>
      <c r="H1418"/>
      <c r="K1418" s="61"/>
    </row>
    <row r="1419" spans="2:11" s="3" customFormat="1">
      <c r="B1419"/>
      <c r="C1419"/>
      <c r="D1419"/>
      <c r="E1419"/>
      <c r="F1419"/>
      <c r="G1419"/>
      <c r="H1419"/>
      <c r="K1419" s="61"/>
    </row>
    <row r="1420" spans="2:11" s="3" customFormat="1">
      <c r="B1420"/>
      <c r="C1420"/>
      <c r="D1420"/>
      <c r="E1420"/>
      <c r="F1420"/>
      <c r="G1420"/>
      <c r="H1420"/>
      <c r="K1420" s="61"/>
    </row>
    <row r="1421" spans="2:11" s="3" customFormat="1">
      <c r="B1421"/>
      <c r="C1421"/>
      <c r="D1421"/>
      <c r="E1421"/>
      <c r="F1421"/>
      <c r="G1421"/>
      <c r="H1421"/>
      <c r="K1421" s="61"/>
    </row>
    <row r="1422" spans="2:11" s="3" customFormat="1">
      <c r="B1422"/>
      <c r="C1422"/>
      <c r="D1422"/>
      <c r="E1422"/>
      <c r="F1422"/>
      <c r="G1422"/>
      <c r="H1422"/>
      <c r="K1422" s="61"/>
    </row>
    <row r="1423" spans="2:11" s="3" customFormat="1">
      <c r="B1423"/>
      <c r="C1423"/>
      <c r="D1423"/>
      <c r="E1423"/>
      <c r="F1423"/>
      <c r="G1423"/>
      <c r="H1423"/>
      <c r="K1423" s="61"/>
    </row>
    <row r="1424" spans="2:11" s="3" customFormat="1">
      <c r="B1424"/>
      <c r="C1424"/>
      <c r="D1424"/>
      <c r="E1424"/>
      <c r="F1424"/>
      <c r="G1424"/>
      <c r="H1424"/>
      <c r="K1424" s="61"/>
    </row>
    <row r="1425" spans="2:11" s="3" customFormat="1">
      <c r="B1425"/>
      <c r="C1425"/>
      <c r="D1425"/>
      <c r="E1425"/>
      <c r="F1425"/>
      <c r="G1425"/>
      <c r="H1425"/>
      <c r="K1425" s="61"/>
    </row>
    <row r="1426" spans="2:11" s="3" customFormat="1">
      <c r="B1426"/>
      <c r="C1426"/>
      <c r="D1426"/>
      <c r="E1426"/>
      <c r="F1426"/>
      <c r="G1426"/>
      <c r="H1426"/>
      <c r="K1426" s="61"/>
    </row>
    <row r="1427" spans="2:11" s="3" customFormat="1">
      <c r="B1427"/>
      <c r="C1427"/>
      <c r="D1427"/>
      <c r="E1427"/>
      <c r="F1427"/>
      <c r="G1427"/>
      <c r="H1427"/>
      <c r="K1427" s="61"/>
    </row>
    <row r="1428" spans="2:11" s="3" customFormat="1">
      <c r="B1428"/>
      <c r="C1428"/>
      <c r="D1428"/>
      <c r="E1428"/>
      <c r="F1428"/>
      <c r="G1428"/>
      <c r="H1428"/>
      <c r="K1428" s="61"/>
    </row>
    <row r="1429" spans="2:11" s="3" customFormat="1">
      <c r="B1429"/>
      <c r="C1429"/>
      <c r="D1429"/>
      <c r="E1429"/>
      <c r="F1429"/>
      <c r="G1429"/>
      <c r="H1429"/>
      <c r="K1429" s="61"/>
    </row>
    <row r="1430" spans="2:11" s="3" customFormat="1">
      <c r="B1430"/>
      <c r="C1430"/>
      <c r="D1430"/>
      <c r="E1430"/>
      <c r="F1430"/>
      <c r="G1430"/>
      <c r="H1430"/>
      <c r="K1430" s="61"/>
    </row>
    <row r="1431" spans="2:11" s="3" customFormat="1">
      <c r="B1431"/>
      <c r="C1431"/>
      <c r="D1431"/>
      <c r="E1431"/>
      <c r="F1431"/>
      <c r="G1431"/>
      <c r="H1431"/>
      <c r="K1431" s="61"/>
    </row>
    <row r="1432" spans="2:11" s="3" customFormat="1">
      <c r="B1432"/>
      <c r="C1432"/>
      <c r="D1432"/>
      <c r="E1432"/>
      <c r="F1432"/>
      <c r="G1432"/>
      <c r="H1432"/>
      <c r="K1432" s="61"/>
    </row>
    <row r="1433" spans="2:11" s="3" customFormat="1">
      <c r="B1433"/>
      <c r="C1433"/>
      <c r="D1433"/>
      <c r="E1433"/>
      <c r="F1433"/>
      <c r="G1433"/>
      <c r="H1433"/>
      <c r="K1433" s="61"/>
    </row>
    <row r="1434" spans="2:11" s="3" customFormat="1">
      <c r="B1434"/>
      <c r="C1434"/>
      <c r="D1434"/>
      <c r="E1434"/>
      <c r="F1434"/>
      <c r="G1434"/>
      <c r="H1434"/>
      <c r="K1434" s="61"/>
    </row>
    <row r="1435" spans="2:11" s="3" customFormat="1">
      <c r="B1435"/>
      <c r="C1435"/>
      <c r="D1435"/>
      <c r="E1435"/>
      <c r="F1435"/>
      <c r="G1435"/>
      <c r="H1435"/>
      <c r="K1435" s="61"/>
    </row>
    <row r="1436" spans="2:11" s="3" customFormat="1">
      <c r="B1436"/>
      <c r="C1436"/>
      <c r="D1436"/>
      <c r="E1436"/>
      <c r="F1436"/>
      <c r="G1436"/>
      <c r="H1436"/>
      <c r="K1436" s="61"/>
    </row>
    <row r="1437" spans="2:11" s="3" customFormat="1">
      <c r="B1437"/>
      <c r="C1437"/>
      <c r="D1437"/>
      <c r="E1437"/>
      <c r="F1437"/>
      <c r="G1437"/>
      <c r="H1437"/>
      <c r="K1437" s="61"/>
    </row>
    <row r="1438" spans="2:11" s="3" customFormat="1">
      <c r="B1438"/>
      <c r="C1438"/>
      <c r="D1438"/>
      <c r="E1438"/>
      <c r="F1438"/>
      <c r="G1438"/>
      <c r="H1438"/>
      <c r="K1438" s="61"/>
    </row>
    <row r="1439" spans="2:11" s="3" customFormat="1">
      <c r="B1439"/>
      <c r="C1439"/>
      <c r="D1439"/>
      <c r="E1439"/>
      <c r="F1439"/>
      <c r="G1439"/>
      <c r="H1439"/>
      <c r="K1439" s="61"/>
    </row>
    <row r="1440" spans="2:11" s="3" customFormat="1">
      <c r="B1440"/>
      <c r="C1440"/>
      <c r="D1440"/>
      <c r="E1440"/>
      <c r="F1440"/>
      <c r="G1440"/>
      <c r="H1440"/>
      <c r="K1440" s="61"/>
    </row>
    <row r="1441" spans="2:11" s="3" customFormat="1">
      <c r="B1441"/>
      <c r="C1441"/>
      <c r="D1441"/>
      <c r="E1441"/>
      <c r="F1441"/>
      <c r="G1441"/>
      <c r="H1441"/>
      <c r="K1441" s="61"/>
    </row>
    <row r="1442" spans="2:11" s="3" customFormat="1">
      <c r="B1442"/>
      <c r="C1442"/>
      <c r="D1442"/>
      <c r="E1442"/>
      <c r="F1442"/>
      <c r="G1442"/>
      <c r="H1442"/>
      <c r="K1442" s="61"/>
    </row>
    <row r="1443" spans="2:11" s="3" customFormat="1">
      <c r="B1443"/>
      <c r="C1443"/>
      <c r="D1443"/>
      <c r="E1443"/>
      <c r="F1443"/>
      <c r="G1443"/>
      <c r="H1443"/>
      <c r="K1443" s="61"/>
    </row>
    <row r="1444" spans="2:11" s="3" customFormat="1">
      <c r="B1444"/>
      <c r="C1444"/>
      <c r="D1444"/>
      <c r="E1444"/>
      <c r="F1444"/>
      <c r="G1444"/>
      <c r="H1444"/>
      <c r="K1444" s="61"/>
    </row>
    <row r="1445" spans="2:11" s="3" customFormat="1">
      <c r="B1445"/>
      <c r="C1445"/>
      <c r="D1445"/>
      <c r="E1445"/>
      <c r="F1445"/>
      <c r="G1445"/>
      <c r="H1445"/>
      <c r="K1445" s="61"/>
    </row>
    <row r="1446" spans="2:11" s="3" customFormat="1">
      <c r="B1446"/>
      <c r="C1446"/>
      <c r="D1446"/>
      <c r="E1446"/>
      <c r="F1446"/>
      <c r="G1446"/>
      <c r="H1446"/>
      <c r="K1446" s="61"/>
    </row>
    <row r="1447" spans="2:11" s="3" customFormat="1">
      <c r="B1447"/>
      <c r="C1447"/>
      <c r="D1447"/>
      <c r="E1447"/>
      <c r="F1447"/>
      <c r="G1447"/>
      <c r="H1447"/>
      <c r="K1447" s="61"/>
    </row>
    <row r="1448" spans="2:11" s="3" customFormat="1">
      <c r="B1448"/>
      <c r="C1448"/>
      <c r="D1448"/>
      <c r="E1448"/>
      <c r="F1448"/>
      <c r="G1448"/>
      <c r="H1448"/>
      <c r="K1448" s="61"/>
    </row>
    <row r="1449" spans="2:11" s="3" customFormat="1">
      <c r="B1449"/>
      <c r="C1449"/>
      <c r="D1449"/>
      <c r="E1449"/>
      <c r="F1449"/>
      <c r="G1449"/>
      <c r="H1449"/>
      <c r="K1449" s="61"/>
    </row>
    <row r="1450" spans="2:11" s="3" customFormat="1">
      <c r="B1450"/>
      <c r="C1450"/>
      <c r="D1450"/>
      <c r="E1450"/>
      <c r="F1450"/>
      <c r="G1450"/>
      <c r="H1450"/>
      <c r="K1450" s="61"/>
    </row>
    <row r="1451" spans="2:11" s="3" customFormat="1">
      <c r="B1451"/>
      <c r="C1451"/>
      <c r="D1451"/>
      <c r="E1451"/>
      <c r="F1451"/>
      <c r="G1451"/>
      <c r="H1451"/>
      <c r="K1451" s="61"/>
    </row>
    <row r="1452" spans="2:11" s="3" customFormat="1">
      <c r="B1452"/>
      <c r="C1452"/>
      <c r="D1452"/>
      <c r="E1452"/>
      <c r="F1452"/>
      <c r="G1452"/>
      <c r="H1452"/>
      <c r="K1452" s="61"/>
    </row>
    <row r="1453" spans="2:11" s="3" customFormat="1">
      <c r="B1453"/>
      <c r="C1453"/>
      <c r="D1453"/>
      <c r="E1453"/>
      <c r="F1453"/>
      <c r="G1453"/>
      <c r="H1453"/>
      <c r="K1453" s="61"/>
    </row>
    <row r="1454" spans="2:11" s="3" customFormat="1">
      <c r="B1454"/>
      <c r="C1454"/>
      <c r="D1454"/>
      <c r="E1454"/>
      <c r="F1454"/>
      <c r="G1454"/>
      <c r="H1454"/>
      <c r="K1454" s="61"/>
    </row>
    <row r="1455" spans="2:11" s="3" customFormat="1">
      <c r="B1455"/>
      <c r="C1455"/>
      <c r="D1455"/>
      <c r="E1455"/>
      <c r="F1455"/>
      <c r="G1455"/>
      <c r="H1455"/>
      <c r="K1455" s="61"/>
    </row>
    <row r="1456" spans="2:11" s="3" customFormat="1">
      <c r="B1456"/>
      <c r="C1456"/>
      <c r="D1456"/>
      <c r="E1456"/>
      <c r="F1456"/>
      <c r="G1456"/>
      <c r="H1456"/>
      <c r="K1456" s="61"/>
    </row>
    <row r="1457" spans="2:11" s="3" customFormat="1">
      <c r="B1457"/>
      <c r="C1457"/>
      <c r="D1457"/>
      <c r="E1457"/>
      <c r="F1457"/>
      <c r="G1457"/>
      <c r="H1457"/>
      <c r="K1457" s="61"/>
    </row>
    <row r="1458" spans="2:11" s="3" customFormat="1">
      <c r="B1458"/>
      <c r="C1458"/>
      <c r="D1458"/>
      <c r="E1458"/>
      <c r="F1458"/>
      <c r="G1458"/>
      <c r="H1458"/>
      <c r="K1458" s="61"/>
    </row>
    <row r="1459" spans="2:11" s="3" customFormat="1">
      <c r="B1459"/>
      <c r="C1459"/>
      <c r="D1459"/>
      <c r="E1459"/>
      <c r="F1459"/>
      <c r="G1459"/>
      <c r="H1459"/>
      <c r="K1459" s="61"/>
    </row>
    <row r="1460" spans="2:11" s="3" customFormat="1">
      <c r="B1460"/>
      <c r="C1460"/>
      <c r="D1460"/>
      <c r="E1460"/>
      <c r="F1460"/>
      <c r="G1460"/>
      <c r="H1460"/>
      <c r="K1460" s="61"/>
    </row>
    <row r="1461" spans="2:11" s="3" customFormat="1">
      <c r="B1461"/>
      <c r="C1461"/>
      <c r="D1461"/>
      <c r="E1461"/>
      <c r="F1461"/>
      <c r="G1461"/>
      <c r="H1461"/>
      <c r="K1461" s="61"/>
    </row>
    <row r="1462" spans="2:11" s="3" customFormat="1">
      <c r="B1462"/>
      <c r="C1462"/>
      <c r="D1462"/>
      <c r="E1462"/>
      <c r="F1462"/>
      <c r="G1462"/>
      <c r="H1462"/>
      <c r="K1462" s="61"/>
    </row>
    <row r="1463" spans="2:11" s="3" customFormat="1">
      <c r="B1463"/>
      <c r="C1463"/>
      <c r="D1463"/>
      <c r="E1463"/>
      <c r="F1463"/>
      <c r="G1463"/>
      <c r="H1463"/>
      <c r="K1463" s="61"/>
    </row>
    <row r="1464" spans="2:11" s="3" customFormat="1">
      <c r="B1464"/>
      <c r="C1464"/>
      <c r="D1464"/>
      <c r="E1464"/>
      <c r="F1464"/>
      <c r="G1464"/>
      <c r="H1464"/>
      <c r="K1464" s="61"/>
    </row>
    <row r="1465" spans="2:11" s="3" customFormat="1">
      <c r="B1465"/>
      <c r="C1465"/>
      <c r="D1465"/>
      <c r="E1465"/>
      <c r="F1465"/>
      <c r="G1465"/>
      <c r="H1465"/>
      <c r="K1465" s="61"/>
    </row>
    <row r="1466" spans="2:11" s="3" customFormat="1">
      <c r="B1466"/>
      <c r="C1466"/>
      <c r="D1466"/>
      <c r="E1466"/>
      <c r="F1466"/>
      <c r="G1466"/>
      <c r="H1466"/>
      <c r="K1466" s="61"/>
    </row>
    <row r="1467" spans="2:11" s="3" customFormat="1">
      <c r="B1467"/>
      <c r="C1467"/>
      <c r="D1467"/>
      <c r="E1467"/>
      <c r="F1467"/>
      <c r="G1467"/>
      <c r="H1467"/>
      <c r="K1467" s="61"/>
    </row>
    <row r="1468" spans="2:11" s="3" customFormat="1">
      <c r="B1468"/>
      <c r="C1468"/>
      <c r="D1468"/>
      <c r="E1468"/>
      <c r="F1468"/>
      <c r="G1468"/>
      <c r="H1468"/>
      <c r="K1468" s="61"/>
    </row>
    <row r="1469" spans="2:11" s="3" customFormat="1">
      <c r="B1469"/>
      <c r="C1469"/>
      <c r="D1469"/>
      <c r="E1469"/>
      <c r="F1469"/>
      <c r="G1469"/>
      <c r="H1469"/>
      <c r="K1469" s="61"/>
    </row>
    <row r="1470" spans="2:11" s="3" customFormat="1">
      <c r="B1470"/>
      <c r="C1470"/>
      <c r="D1470"/>
      <c r="E1470"/>
      <c r="F1470"/>
      <c r="G1470"/>
      <c r="H1470"/>
      <c r="K1470" s="61"/>
    </row>
    <row r="1471" spans="2:11" s="3" customFormat="1">
      <c r="B1471"/>
      <c r="C1471"/>
      <c r="D1471"/>
      <c r="E1471"/>
      <c r="F1471"/>
      <c r="G1471"/>
      <c r="H1471"/>
      <c r="K1471" s="61"/>
    </row>
    <row r="1472" spans="2:11" s="3" customFormat="1">
      <c r="B1472"/>
      <c r="C1472"/>
      <c r="D1472"/>
      <c r="E1472"/>
      <c r="F1472"/>
      <c r="G1472"/>
      <c r="H1472"/>
      <c r="K1472" s="61"/>
    </row>
    <row r="1473" spans="2:11" s="3" customFormat="1">
      <c r="B1473"/>
      <c r="C1473"/>
      <c r="D1473"/>
      <c r="E1473"/>
      <c r="F1473"/>
      <c r="G1473"/>
      <c r="H1473"/>
      <c r="K1473" s="61"/>
    </row>
    <row r="1474" spans="2:11" s="3" customFormat="1">
      <c r="B1474"/>
      <c r="C1474"/>
      <c r="D1474"/>
      <c r="E1474"/>
      <c r="F1474"/>
      <c r="G1474"/>
      <c r="H1474"/>
      <c r="K1474" s="61"/>
    </row>
    <row r="1475" spans="2:11" s="3" customFormat="1">
      <c r="B1475"/>
      <c r="C1475"/>
      <c r="D1475"/>
      <c r="E1475"/>
      <c r="F1475"/>
      <c r="G1475"/>
      <c r="H1475"/>
      <c r="K1475" s="61"/>
    </row>
    <row r="1476" spans="2:11" s="3" customFormat="1">
      <c r="B1476"/>
      <c r="C1476"/>
      <c r="D1476"/>
      <c r="E1476"/>
      <c r="F1476"/>
      <c r="G1476"/>
      <c r="H1476"/>
      <c r="K1476" s="61"/>
    </row>
    <row r="1477" spans="2:11" s="3" customFormat="1">
      <c r="B1477"/>
      <c r="C1477"/>
      <c r="D1477"/>
      <c r="E1477"/>
      <c r="F1477"/>
      <c r="G1477"/>
      <c r="H1477"/>
      <c r="K1477" s="61"/>
    </row>
    <row r="1478" spans="2:11" s="3" customFormat="1">
      <c r="B1478"/>
      <c r="C1478"/>
      <c r="D1478"/>
      <c r="E1478"/>
      <c r="F1478"/>
      <c r="G1478"/>
      <c r="H1478"/>
      <c r="K1478" s="61"/>
    </row>
    <row r="1479" spans="2:11" s="3" customFormat="1">
      <c r="B1479"/>
      <c r="C1479"/>
      <c r="D1479"/>
      <c r="E1479"/>
      <c r="F1479"/>
      <c r="G1479"/>
      <c r="H1479"/>
      <c r="K1479" s="61"/>
    </row>
    <row r="1480" spans="2:11" s="3" customFormat="1">
      <c r="B1480"/>
      <c r="C1480"/>
      <c r="D1480"/>
      <c r="E1480"/>
      <c r="F1480"/>
      <c r="G1480"/>
      <c r="H1480"/>
      <c r="K1480" s="61"/>
    </row>
    <row r="1481" spans="2:11" s="3" customFormat="1">
      <c r="B1481"/>
      <c r="C1481"/>
      <c r="D1481"/>
      <c r="E1481"/>
      <c r="F1481"/>
      <c r="G1481"/>
      <c r="H1481"/>
      <c r="K1481" s="61"/>
    </row>
    <row r="1482" spans="2:11" s="3" customFormat="1">
      <c r="B1482"/>
      <c r="C1482"/>
      <c r="D1482"/>
      <c r="E1482"/>
      <c r="F1482"/>
      <c r="G1482"/>
      <c r="H1482"/>
      <c r="K1482" s="61"/>
    </row>
    <row r="1483" spans="2:11" s="3" customFormat="1">
      <c r="B1483"/>
      <c r="C1483"/>
      <c r="D1483"/>
      <c r="E1483"/>
      <c r="F1483"/>
      <c r="G1483"/>
      <c r="H1483"/>
      <c r="K1483" s="61"/>
    </row>
    <row r="1484" spans="2:11" s="3" customFormat="1">
      <c r="B1484"/>
      <c r="C1484"/>
      <c r="D1484"/>
      <c r="E1484"/>
      <c r="F1484"/>
      <c r="G1484"/>
      <c r="H1484"/>
      <c r="K1484" s="61"/>
    </row>
    <row r="1485" spans="2:11" s="3" customFormat="1">
      <c r="B1485"/>
      <c r="C1485"/>
      <c r="D1485"/>
      <c r="E1485"/>
      <c r="F1485"/>
      <c r="G1485"/>
      <c r="H1485"/>
      <c r="K1485" s="61"/>
    </row>
    <row r="1486" spans="2:11" s="3" customFormat="1">
      <c r="B1486"/>
      <c r="C1486"/>
      <c r="D1486"/>
      <c r="E1486"/>
      <c r="F1486"/>
      <c r="G1486"/>
      <c r="H1486"/>
      <c r="K1486" s="61"/>
    </row>
    <row r="1487" spans="2:11" s="3" customFormat="1">
      <c r="B1487"/>
      <c r="C1487"/>
      <c r="D1487"/>
      <c r="E1487"/>
      <c r="F1487"/>
      <c r="G1487"/>
      <c r="H1487"/>
      <c r="K1487" s="61"/>
    </row>
    <row r="1488" spans="2:11" s="3" customFormat="1">
      <c r="B1488"/>
      <c r="C1488"/>
      <c r="D1488"/>
      <c r="E1488"/>
      <c r="F1488"/>
      <c r="G1488"/>
      <c r="H1488"/>
      <c r="K1488" s="61"/>
    </row>
    <row r="1489" spans="2:11" s="3" customFormat="1">
      <c r="B1489"/>
      <c r="C1489"/>
      <c r="D1489"/>
      <c r="E1489"/>
      <c r="F1489"/>
      <c r="G1489"/>
      <c r="H1489"/>
      <c r="K1489" s="61"/>
    </row>
    <row r="1490" spans="2:11" s="3" customFormat="1">
      <c r="B1490"/>
      <c r="C1490"/>
      <c r="D1490"/>
      <c r="E1490"/>
      <c r="F1490"/>
      <c r="G1490"/>
      <c r="H1490"/>
      <c r="K1490" s="61"/>
    </row>
    <row r="1491" spans="2:11" s="3" customFormat="1">
      <c r="B1491"/>
      <c r="C1491"/>
      <c r="D1491"/>
      <c r="E1491"/>
      <c r="F1491"/>
      <c r="G1491"/>
      <c r="H1491"/>
      <c r="K1491" s="61"/>
    </row>
    <row r="1492" spans="2:11" s="3" customFormat="1">
      <c r="B1492"/>
      <c r="C1492"/>
      <c r="D1492"/>
      <c r="E1492"/>
      <c r="F1492"/>
      <c r="G1492"/>
      <c r="H1492"/>
      <c r="K1492" s="61"/>
    </row>
    <row r="1493" spans="2:11" s="3" customFormat="1">
      <c r="B1493"/>
      <c r="C1493"/>
      <c r="D1493"/>
      <c r="E1493"/>
      <c r="F1493"/>
      <c r="G1493"/>
      <c r="H1493"/>
      <c r="K1493" s="61"/>
    </row>
    <row r="1494" spans="2:11" s="3" customFormat="1">
      <c r="B1494"/>
      <c r="C1494"/>
      <c r="D1494"/>
      <c r="E1494"/>
      <c r="F1494"/>
      <c r="G1494"/>
      <c r="H1494"/>
      <c r="K1494" s="61"/>
    </row>
    <row r="1495" spans="2:11" s="3" customFormat="1">
      <c r="B1495"/>
      <c r="C1495"/>
      <c r="D1495"/>
      <c r="E1495"/>
      <c r="F1495"/>
      <c r="G1495"/>
      <c r="H1495"/>
      <c r="K1495" s="61"/>
    </row>
    <row r="1496" spans="2:11" s="3" customFormat="1">
      <c r="B1496"/>
      <c r="C1496"/>
      <c r="D1496"/>
      <c r="E1496"/>
      <c r="F1496"/>
      <c r="G1496"/>
      <c r="H1496"/>
      <c r="K1496" s="61"/>
    </row>
    <row r="1497" spans="2:11" s="3" customFormat="1">
      <c r="B1497"/>
      <c r="C1497"/>
      <c r="D1497"/>
      <c r="E1497"/>
      <c r="F1497"/>
      <c r="G1497"/>
      <c r="H1497"/>
      <c r="K1497" s="61"/>
    </row>
    <row r="1498" spans="2:11" s="3" customFormat="1">
      <c r="B1498"/>
      <c r="C1498"/>
      <c r="D1498"/>
      <c r="E1498"/>
      <c r="F1498"/>
      <c r="G1498"/>
      <c r="H1498"/>
      <c r="K1498" s="61"/>
    </row>
    <row r="1499" spans="2:11" s="3" customFormat="1">
      <c r="B1499"/>
      <c r="C1499"/>
      <c r="D1499"/>
      <c r="E1499"/>
      <c r="F1499"/>
      <c r="G1499"/>
      <c r="H1499"/>
      <c r="K1499" s="61"/>
    </row>
    <row r="1500" spans="2:11" s="3" customFormat="1">
      <c r="B1500"/>
      <c r="C1500"/>
      <c r="D1500"/>
      <c r="E1500"/>
      <c r="F1500"/>
      <c r="G1500"/>
      <c r="H1500"/>
      <c r="K1500" s="61"/>
    </row>
    <row r="1501" spans="2:11" s="3" customFormat="1">
      <c r="B1501"/>
      <c r="C1501"/>
      <c r="D1501"/>
      <c r="E1501"/>
      <c r="F1501"/>
      <c r="G1501"/>
      <c r="H1501"/>
      <c r="K1501" s="61"/>
    </row>
    <row r="1502" spans="2:11" s="3" customFormat="1">
      <c r="B1502"/>
      <c r="C1502"/>
      <c r="D1502"/>
      <c r="E1502"/>
      <c r="F1502"/>
      <c r="G1502"/>
      <c r="H1502"/>
      <c r="K1502" s="61"/>
    </row>
    <row r="1503" spans="2:11" s="3" customFormat="1">
      <c r="B1503"/>
      <c r="C1503"/>
      <c r="D1503"/>
      <c r="E1503"/>
      <c r="F1503"/>
      <c r="G1503"/>
      <c r="H1503"/>
      <c r="K1503" s="61"/>
    </row>
    <row r="1504" spans="2:11" s="3" customFormat="1">
      <c r="B1504"/>
      <c r="C1504"/>
      <c r="D1504"/>
      <c r="E1504"/>
      <c r="F1504"/>
      <c r="G1504"/>
      <c r="H1504"/>
      <c r="K1504" s="61"/>
    </row>
    <row r="1505" spans="2:11" s="3" customFormat="1">
      <c r="B1505"/>
      <c r="C1505"/>
      <c r="D1505"/>
      <c r="E1505"/>
      <c r="F1505"/>
      <c r="G1505"/>
      <c r="H1505"/>
      <c r="K1505" s="61"/>
    </row>
    <row r="1506" spans="2:11" s="3" customFormat="1">
      <c r="B1506"/>
      <c r="C1506"/>
      <c r="D1506"/>
      <c r="E1506"/>
      <c r="F1506"/>
      <c r="G1506"/>
      <c r="H1506"/>
      <c r="K1506" s="61"/>
    </row>
    <row r="1507" spans="2:11" s="3" customFormat="1">
      <c r="B1507"/>
      <c r="C1507"/>
      <c r="D1507"/>
      <c r="E1507"/>
      <c r="F1507"/>
      <c r="G1507"/>
      <c r="H1507"/>
      <c r="K1507" s="61"/>
    </row>
    <row r="1508" spans="2:11" s="3" customFormat="1">
      <c r="B1508"/>
      <c r="C1508"/>
      <c r="D1508"/>
      <c r="E1508"/>
      <c r="F1508"/>
      <c r="G1508"/>
      <c r="H1508"/>
      <c r="K1508" s="61"/>
    </row>
    <row r="1509" spans="2:11" s="3" customFormat="1">
      <c r="B1509"/>
      <c r="C1509"/>
      <c r="D1509"/>
      <c r="E1509"/>
      <c r="F1509"/>
      <c r="G1509"/>
      <c r="H1509"/>
      <c r="K1509" s="61"/>
    </row>
    <row r="1510" spans="2:11" s="3" customFormat="1">
      <c r="B1510"/>
      <c r="C1510"/>
      <c r="D1510"/>
      <c r="E1510"/>
      <c r="F1510"/>
      <c r="G1510"/>
      <c r="H1510"/>
      <c r="K1510" s="61"/>
    </row>
    <row r="1511" spans="2:11" s="3" customFormat="1">
      <c r="B1511"/>
      <c r="C1511"/>
      <c r="D1511"/>
      <c r="E1511"/>
      <c r="F1511"/>
      <c r="G1511"/>
      <c r="H1511"/>
      <c r="K1511" s="61"/>
    </row>
    <row r="1512" spans="2:11" s="3" customFormat="1">
      <c r="B1512"/>
      <c r="C1512"/>
      <c r="D1512"/>
      <c r="E1512"/>
      <c r="F1512"/>
      <c r="G1512"/>
      <c r="H1512"/>
      <c r="K1512" s="61"/>
    </row>
    <row r="1513" spans="2:11" s="3" customFormat="1">
      <c r="B1513"/>
      <c r="C1513"/>
      <c r="D1513"/>
      <c r="E1513"/>
      <c r="F1513"/>
      <c r="G1513"/>
      <c r="H1513"/>
      <c r="K1513" s="61"/>
    </row>
    <row r="1514" spans="2:11" s="3" customFormat="1">
      <c r="B1514"/>
      <c r="C1514"/>
      <c r="D1514"/>
      <c r="E1514"/>
      <c r="F1514"/>
      <c r="G1514"/>
      <c r="H1514"/>
      <c r="K1514" s="61"/>
    </row>
    <row r="1515" spans="2:11" s="3" customFormat="1">
      <c r="B1515"/>
      <c r="C1515"/>
      <c r="D1515"/>
      <c r="E1515"/>
      <c r="F1515"/>
      <c r="G1515"/>
      <c r="H1515"/>
      <c r="K1515" s="61"/>
    </row>
    <row r="1516" spans="2:11" s="3" customFormat="1">
      <c r="B1516"/>
      <c r="C1516"/>
      <c r="D1516"/>
      <c r="E1516"/>
      <c r="F1516"/>
      <c r="G1516"/>
      <c r="H1516"/>
      <c r="K1516" s="61"/>
    </row>
    <row r="1517" spans="2:11" s="3" customFormat="1">
      <c r="B1517"/>
      <c r="C1517"/>
      <c r="D1517"/>
      <c r="E1517"/>
      <c r="F1517"/>
      <c r="G1517"/>
      <c r="H1517"/>
      <c r="K1517" s="61"/>
    </row>
    <row r="1518" spans="2:11" s="3" customFormat="1">
      <c r="B1518"/>
      <c r="C1518"/>
      <c r="D1518"/>
      <c r="E1518"/>
      <c r="F1518"/>
      <c r="G1518"/>
      <c r="H1518"/>
      <c r="K1518" s="61"/>
    </row>
    <row r="1519" spans="2:11" s="3" customFormat="1">
      <c r="B1519"/>
      <c r="C1519"/>
      <c r="D1519"/>
      <c r="E1519"/>
      <c r="F1519"/>
      <c r="G1519"/>
      <c r="H1519"/>
      <c r="K1519" s="61"/>
    </row>
    <row r="1520" spans="2:11" s="3" customFormat="1">
      <c r="B1520"/>
      <c r="C1520"/>
      <c r="D1520"/>
      <c r="E1520"/>
      <c r="F1520"/>
      <c r="G1520"/>
      <c r="H1520"/>
      <c r="K1520" s="61"/>
    </row>
    <row r="1521" spans="2:11" s="3" customFormat="1">
      <c r="B1521"/>
      <c r="C1521"/>
      <c r="D1521"/>
      <c r="E1521"/>
      <c r="F1521"/>
      <c r="G1521"/>
      <c r="H1521"/>
      <c r="K1521" s="61"/>
    </row>
    <row r="1522" spans="2:11" s="3" customFormat="1">
      <c r="B1522"/>
      <c r="C1522"/>
      <c r="D1522"/>
      <c r="E1522"/>
      <c r="F1522"/>
      <c r="G1522"/>
      <c r="H1522"/>
      <c r="K1522" s="61"/>
    </row>
    <row r="1523" spans="2:11" s="3" customFormat="1">
      <c r="B1523"/>
      <c r="C1523"/>
      <c r="D1523"/>
      <c r="E1523"/>
      <c r="F1523"/>
      <c r="G1523"/>
      <c r="H1523"/>
      <c r="K1523" s="61"/>
    </row>
    <row r="1524" spans="2:11" s="3" customFormat="1">
      <c r="B1524"/>
      <c r="C1524"/>
      <c r="D1524"/>
      <c r="E1524"/>
      <c r="F1524"/>
      <c r="G1524"/>
      <c r="H1524"/>
      <c r="K1524" s="61"/>
    </row>
    <row r="1525" spans="2:11" s="3" customFormat="1">
      <c r="B1525"/>
      <c r="C1525"/>
      <c r="D1525"/>
      <c r="E1525"/>
      <c r="F1525"/>
      <c r="G1525"/>
      <c r="H1525"/>
      <c r="K1525" s="61"/>
    </row>
    <row r="1526" spans="2:11" s="3" customFormat="1">
      <c r="B1526"/>
      <c r="C1526"/>
      <c r="D1526"/>
      <c r="E1526"/>
      <c r="F1526"/>
      <c r="G1526"/>
      <c r="H1526"/>
      <c r="K1526" s="61"/>
    </row>
    <row r="1527" spans="2:11" s="3" customFormat="1">
      <c r="B1527"/>
      <c r="C1527"/>
      <c r="D1527"/>
      <c r="E1527"/>
      <c r="F1527"/>
      <c r="G1527"/>
      <c r="H1527"/>
      <c r="K1527" s="61"/>
    </row>
    <row r="1528" spans="2:11" s="3" customFormat="1">
      <c r="B1528"/>
      <c r="C1528"/>
      <c r="D1528"/>
      <c r="E1528"/>
      <c r="F1528"/>
      <c r="G1528"/>
      <c r="H1528"/>
      <c r="K1528" s="61"/>
    </row>
    <row r="1529" spans="2:11" s="3" customFormat="1">
      <c r="B1529"/>
      <c r="C1529"/>
      <c r="D1529"/>
      <c r="E1529"/>
      <c r="F1529"/>
      <c r="G1529"/>
      <c r="H1529"/>
      <c r="K1529" s="61"/>
    </row>
    <row r="1530" spans="2:11" s="3" customFormat="1">
      <c r="B1530"/>
      <c r="C1530"/>
      <c r="D1530"/>
      <c r="E1530"/>
      <c r="F1530"/>
      <c r="G1530"/>
      <c r="H1530"/>
      <c r="K1530" s="61"/>
    </row>
    <row r="1531" spans="2:11" s="3" customFormat="1">
      <c r="B1531"/>
      <c r="C1531"/>
      <c r="D1531"/>
      <c r="E1531"/>
      <c r="F1531"/>
      <c r="G1531"/>
      <c r="H1531"/>
      <c r="K1531" s="61"/>
    </row>
    <row r="1532" spans="2:11" s="3" customFormat="1">
      <c r="B1532"/>
      <c r="C1532"/>
      <c r="D1532"/>
      <c r="E1532"/>
      <c r="F1532"/>
      <c r="G1532"/>
      <c r="H1532"/>
      <c r="K1532" s="61"/>
    </row>
    <row r="1533" spans="2:11" s="3" customFormat="1">
      <c r="B1533"/>
      <c r="C1533"/>
      <c r="D1533"/>
      <c r="E1533"/>
      <c r="F1533"/>
      <c r="G1533"/>
      <c r="H1533"/>
      <c r="K1533" s="61"/>
    </row>
    <row r="1534" spans="2:11" s="3" customFormat="1">
      <c r="B1534"/>
      <c r="C1534"/>
      <c r="D1534"/>
      <c r="E1534"/>
      <c r="F1534"/>
      <c r="G1534"/>
      <c r="H1534"/>
      <c r="K1534" s="61"/>
    </row>
    <row r="1535" spans="2:11" s="3" customFormat="1">
      <c r="B1535"/>
      <c r="C1535"/>
      <c r="D1535"/>
      <c r="E1535"/>
      <c r="F1535"/>
      <c r="G1535"/>
      <c r="H1535"/>
      <c r="K1535" s="61"/>
    </row>
    <row r="1536" spans="2:11" s="3" customFormat="1">
      <c r="B1536"/>
      <c r="C1536"/>
      <c r="D1536"/>
      <c r="E1536"/>
      <c r="F1536"/>
      <c r="G1536"/>
      <c r="H1536"/>
      <c r="K1536" s="61"/>
    </row>
    <row r="1537" spans="2:11" s="3" customFormat="1">
      <c r="B1537"/>
      <c r="C1537"/>
      <c r="D1537"/>
      <c r="E1537"/>
      <c r="F1537"/>
      <c r="G1537"/>
      <c r="H1537"/>
      <c r="K1537" s="61"/>
    </row>
    <row r="1538" spans="2:11" s="3" customFormat="1">
      <c r="B1538"/>
      <c r="C1538"/>
      <c r="D1538"/>
      <c r="E1538"/>
      <c r="F1538"/>
      <c r="G1538"/>
      <c r="H1538"/>
      <c r="K1538" s="61"/>
    </row>
    <row r="1539" spans="2:11" s="3" customFormat="1">
      <c r="B1539"/>
      <c r="C1539"/>
      <c r="D1539"/>
      <c r="E1539"/>
      <c r="F1539"/>
      <c r="G1539"/>
      <c r="H1539"/>
      <c r="K1539" s="61"/>
    </row>
    <row r="1540" spans="2:11" s="3" customFormat="1">
      <c r="B1540"/>
      <c r="C1540"/>
      <c r="D1540"/>
      <c r="E1540"/>
      <c r="F1540"/>
      <c r="G1540"/>
      <c r="H1540"/>
      <c r="K1540" s="61"/>
    </row>
    <row r="1541" spans="2:11" s="3" customFormat="1">
      <c r="B1541"/>
      <c r="C1541"/>
      <c r="D1541"/>
      <c r="E1541"/>
      <c r="F1541"/>
      <c r="G1541"/>
      <c r="H1541"/>
      <c r="K1541" s="61"/>
    </row>
    <row r="1542" spans="2:11" s="3" customFormat="1">
      <c r="B1542"/>
      <c r="C1542"/>
      <c r="D1542"/>
      <c r="E1542"/>
      <c r="F1542"/>
      <c r="G1542"/>
      <c r="H1542"/>
      <c r="K1542" s="61"/>
    </row>
    <row r="1543" spans="2:11" s="3" customFormat="1">
      <c r="B1543"/>
      <c r="C1543"/>
      <c r="D1543"/>
      <c r="E1543"/>
      <c r="F1543"/>
      <c r="G1543"/>
      <c r="H1543"/>
      <c r="K1543" s="61"/>
    </row>
    <row r="1544" spans="2:11" s="3" customFormat="1">
      <c r="B1544"/>
      <c r="C1544"/>
      <c r="D1544"/>
      <c r="E1544"/>
      <c r="F1544"/>
      <c r="G1544"/>
      <c r="H1544"/>
      <c r="K1544" s="61"/>
    </row>
    <row r="1545" spans="2:11" s="3" customFormat="1">
      <c r="B1545"/>
      <c r="C1545"/>
      <c r="D1545"/>
      <c r="E1545"/>
      <c r="F1545"/>
      <c r="G1545"/>
      <c r="H1545"/>
      <c r="K1545" s="61"/>
    </row>
    <row r="1546" spans="2:11" s="3" customFormat="1">
      <c r="B1546"/>
      <c r="C1546"/>
      <c r="D1546"/>
      <c r="E1546"/>
      <c r="F1546"/>
      <c r="G1546"/>
      <c r="H1546"/>
      <c r="K1546" s="61"/>
    </row>
    <row r="1547" spans="2:11" s="3" customFormat="1">
      <c r="B1547"/>
      <c r="C1547"/>
      <c r="D1547"/>
      <c r="E1547"/>
      <c r="F1547"/>
      <c r="G1547"/>
      <c r="H1547"/>
      <c r="K1547" s="61"/>
    </row>
    <row r="1548" spans="2:11" s="3" customFormat="1">
      <c r="B1548"/>
      <c r="C1548"/>
      <c r="D1548"/>
      <c r="E1548"/>
      <c r="F1548"/>
      <c r="G1548"/>
      <c r="H1548"/>
      <c r="K1548" s="61"/>
    </row>
    <row r="1549" spans="2:11" s="3" customFormat="1">
      <c r="B1549"/>
      <c r="C1549"/>
      <c r="D1549"/>
      <c r="E1549"/>
      <c r="F1549"/>
      <c r="G1549"/>
      <c r="H1549"/>
      <c r="K1549" s="61"/>
    </row>
    <row r="1550" spans="2:11" s="3" customFormat="1">
      <c r="B1550"/>
      <c r="C1550"/>
      <c r="D1550"/>
      <c r="E1550"/>
      <c r="F1550"/>
      <c r="G1550"/>
      <c r="H1550"/>
      <c r="K1550" s="61"/>
    </row>
    <row r="1551" spans="2:11" s="3" customFormat="1">
      <c r="B1551"/>
      <c r="C1551"/>
      <c r="D1551"/>
      <c r="E1551"/>
      <c r="F1551"/>
      <c r="G1551"/>
      <c r="H1551"/>
      <c r="K1551" s="61"/>
    </row>
    <row r="1552" spans="2:11" s="3" customFormat="1">
      <c r="B1552"/>
      <c r="C1552"/>
      <c r="D1552"/>
      <c r="E1552"/>
      <c r="F1552"/>
      <c r="G1552"/>
      <c r="H1552"/>
      <c r="K1552" s="61"/>
    </row>
    <row r="1553" spans="2:11" s="3" customFormat="1">
      <c r="B1553"/>
      <c r="C1553"/>
      <c r="D1553"/>
      <c r="E1553"/>
      <c r="F1553"/>
      <c r="G1553"/>
      <c r="H1553"/>
      <c r="K1553" s="61"/>
    </row>
    <row r="1554" spans="2:11" s="3" customFormat="1">
      <c r="B1554"/>
      <c r="C1554"/>
      <c r="D1554"/>
      <c r="E1554"/>
      <c r="F1554"/>
      <c r="G1554"/>
      <c r="H1554"/>
      <c r="K1554" s="61"/>
    </row>
    <row r="1555" spans="2:11" s="3" customFormat="1">
      <c r="B1555"/>
      <c r="C1555"/>
      <c r="D1555"/>
      <c r="E1555"/>
      <c r="F1555"/>
      <c r="G1555"/>
      <c r="H1555"/>
      <c r="K1555" s="61"/>
    </row>
    <row r="1556" spans="2:11" s="3" customFormat="1">
      <c r="B1556"/>
      <c r="C1556"/>
      <c r="D1556"/>
      <c r="E1556"/>
      <c r="F1556"/>
      <c r="G1556"/>
      <c r="H1556"/>
      <c r="K1556" s="61"/>
    </row>
    <row r="1557" spans="2:11" s="3" customFormat="1">
      <c r="B1557"/>
      <c r="C1557"/>
      <c r="D1557"/>
      <c r="E1557"/>
      <c r="F1557"/>
      <c r="G1557"/>
      <c r="H1557"/>
      <c r="K1557" s="61"/>
    </row>
    <row r="1558" spans="2:11" s="3" customFormat="1">
      <c r="B1558"/>
      <c r="C1558"/>
      <c r="D1558"/>
      <c r="E1558"/>
      <c r="F1558"/>
      <c r="G1558"/>
      <c r="H1558"/>
      <c r="K1558" s="61"/>
    </row>
    <row r="1559" spans="2:11" s="3" customFormat="1">
      <c r="B1559"/>
      <c r="C1559"/>
      <c r="D1559"/>
      <c r="E1559"/>
      <c r="F1559"/>
      <c r="G1559"/>
      <c r="H1559"/>
      <c r="K1559" s="61"/>
    </row>
    <row r="1560" spans="2:11" s="3" customFormat="1">
      <c r="B1560"/>
      <c r="C1560"/>
      <c r="D1560"/>
      <c r="E1560"/>
      <c r="F1560"/>
      <c r="G1560"/>
      <c r="H1560"/>
      <c r="K1560" s="61"/>
    </row>
    <row r="1561" spans="2:11" s="3" customFormat="1">
      <c r="B1561"/>
      <c r="C1561"/>
      <c r="D1561"/>
      <c r="E1561"/>
      <c r="F1561"/>
      <c r="G1561"/>
      <c r="H1561"/>
      <c r="K1561" s="61"/>
    </row>
    <row r="1562" spans="2:11" s="3" customFormat="1">
      <c r="B1562"/>
      <c r="C1562"/>
      <c r="D1562"/>
      <c r="E1562"/>
      <c r="F1562"/>
      <c r="G1562"/>
      <c r="H1562"/>
      <c r="K1562" s="61"/>
    </row>
    <row r="1563" spans="2:11" s="3" customFormat="1">
      <c r="B1563"/>
      <c r="C1563"/>
      <c r="D1563"/>
      <c r="E1563"/>
      <c r="F1563"/>
      <c r="G1563"/>
      <c r="H1563"/>
      <c r="K1563" s="61"/>
    </row>
    <row r="1564" spans="2:11" s="3" customFormat="1">
      <c r="B1564"/>
      <c r="C1564"/>
      <c r="D1564"/>
      <c r="E1564"/>
      <c r="F1564"/>
      <c r="G1564"/>
      <c r="H1564"/>
      <c r="K1564" s="61"/>
    </row>
    <row r="1565" spans="2:11" s="3" customFormat="1">
      <c r="B1565"/>
      <c r="C1565"/>
      <c r="D1565"/>
      <c r="E1565"/>
      <c r="F1565"/>
      <c r="G1565"/>
      <c r="H1565"/>
      <c r="K1565" s="61"/>
    </row>
    <row r="1566" spans="2:11" s="3" customFormat="1">
      <c r="B1566"/>
      <c r="C1566"/>
      <c r="D1566"/>
      <c r="E1566"/>
      <c r="F1566"/>
      <c r="G1566"/>
      <c r="H1566"/>
      <c r="K1566" s="61"/>
    </row>
    <row r="1567" spans="2:11" s="3" customFormat="1">
      <c r="B1567"/>
      <c r="C1567"/>
      <c r="D1567"/>
      <c r="E1567"/>
      <c r="F1567"/>
      <c r="G1567"/>
      <c r="H1567"/>
      <c r="K1567" s="61"/>
    </row>
    <row r="1568" spans="2:11" s="3" customFormat="1">
      <c r="B1568"/>
      <c r="C1568"/>
      <c r="D1568"/>
      <c r="E1568"/>
      <c r="F1568"/>
      <c r="G1568"/>
      <c r="H1568"/>
      <c r="K1568" s="61"/>
    </row>
    <row r="1569" spans="2:11" s="3" customFormat="1">
      <c r="B1569"/>
      <c r="C1569"/>
      <c r="D1569"/>
      <c r="E1569"/>
      <c r="F1569"/>
      <c r="G1569"/>
      <c r="H1569"/>
      <c r="K1569" s="61"/>
    </row>
    <row r="1570" spans="2:11" s="3" customFormat="1">
      <c r="B1570"/>
      <c r="C1570"/>
      <c r="D1570"/>
      <c r="E1570"/>
      <c r="F1570"/>
      <c r="G1570"/>
      <c r="H1570"/>
      <c r="K1570" s="61"/>
    </row>
    <row r="1571" spans="2:11" s="3" customFormat="1">
      <c r="B1571"/>
      <c r="C1571"/>
      <c r="D1571"/>
      <c r="E1571"/>
      <c r="F1571"/>
      <c r="G1571"/>
      <c r="H1571"/>
      <c r="K1571" s="61"/>
    </row>
    <row r="1572" spans="2:11" s="3" customFormat="1">
      <c r="B1572"/>
      <c r="C1572"/>
      <c r="D1572"/>
      <c r="E1572"/>
      <c r="F1572"/>
      <c r="G1572"/>
      <c r="H1572"/>
      <c r="K1572" s="61"/>
    </row>
    <row r="1573" spans="2:11" s="3" customFormat="1">
      <c r="B1573"/>
      <c r="C1573"/>
      <c r="D1573"/>
      <c r="E1573"/>
      <c r="F1573"/>
      <c r="G1573"/>
      <c r="H1573"/>
      <c r="K1573" s="61"/>
    </row>
    <row r="1574" spans="2:11" s="3" customFormat="1">
      <c r="B1574"/>
      <c r="C1574"/>
      <c r="D1574"/>
      <c r="E1574"/>
      <c r="F1574"/>
      <c r="G1574"/>
      <c r="H1574"/>
      <c r="K1574" s="61"/>
    </row>
    <row r="1575" spans="2:11" s="3" customFormat="1">
      <c r="B1575"/>
      <c r="C1575"/>
      <c r="D1575"/>
      <c r="E1575"/>
      <c r="F1575"/>
      <c r="G1575"/>
      <c r="H1575"/>
      <c r="K1575" s="61"/>
    </row>
    <row r="1576" spans="2:11" s="3" customFormat="1">
      <c r="B1576"/>
      <c r="C1576"/>
      <c r="D1576"/>
      <c r="E1576"/>
      <c r="F1576"/>
      <c r="G1576"/>
      <c r="H1576"/>
      <c r="K1576" s="61"/>
    </row>
    <row r="1577" spans="2:11" s="3" customFormat="1">
      <c r="B1577"/>
      <c r="C1577"/>
      <c r="D1577"/>
      <c r="E1577"/>
      <c r="F1577"/>
      <c r="G1577"/>
      <c r="H1577"/>
      <c r="K1577" s="61"/>
    </row>
    <row r="1578" spans="2:11" s="3" customFormat="1">
      <c r="B1578"/>
      <c r="C1578"/>
      <c r="D1578"/>
      <c r="E1578"/>
      <c r="F1578"/>
      <c r="G1578"/>
      <c r="H1578"/>
      <c r="K1578" s="61"/>
    </row>
    <row r="1579" spans="2:11" s="3" customFormat="1">
      <c r="B1579"/>
      <c r="C1579"/>
      <c r="D1579"/>
      <c r="E1579"/>
      <c r="F1579"/>
      <c r="G1579"/>
      <c r="H1579"/>
      <c r="K1579" s="61"/>
    </row>
    <row r="1580" spans="2:11" s="3" customFormat="1">
      <c r="B1580"/>
      <c r="C1580"/>
      <c r="D1580"/>
      <c r="E1580"/>
      <c r="F1580"/>
      <c r="G1580"/>
      <c r="H1580"/>
      <c r="K1580" s="61"/>
    </row>
    <row r="1581" spans="2:11" s="3" customFormat="1">
      <c r="B1581"/>
      <c r="C1581"/>
      <c r="D1581"/>
      <c r="E1581"/>
      <c r="F1581"/>
      <c r="G1581"/>
      <c r="H1581"/>
      <c r="K1581" s="61"/>
    </row>
    <row r="1582" spans="2:11" s="3" customFormat="1">
      <c r="B1582"/>
      <c r="C1582"/>
      <c r="D1582"/>
      <c r="E1582"/>
      <c r="F1582"/>
      <c r="G1582"/>
      <c r="H1582"/>
      <c r="K1582" s="61"/>
    </row>
    <row r="1583" spans="2:11" s="3" customFormat="1">
      <c r="B1583"/>
      <c r="C1583"/>
      <c r="D1583"/>
      <c r="E1583"/>
      <c r="F1583"/>
      <c r="G1583"/>
      <c r="H1583"/>
      <c r="K1583" s="61"/>
    </row>
    <row r="1584" spans="2:11" s="3" customFormat="1">
      <c r="B1584"/>
      <c r="C1584"/>
      <c r="D1584"/>
      <c r="E1584"/>
      <c r="F1584"/>
      <c r="G1584"/>
      <c r="H1584"/>
      <c r="K1584" s="61"/>
    </row>
    <row r="1585" spans="2:11" s="3" customFormat="1">
      <c r="B1585"/>
      <c r="C1585"/>
      <c r="D1585"/>
      <c r="E1585"/>
      <c r="F1585"/>
      <c r="G1585"/>
      <c r="H1585"/>
      <c r="K1585" s="61"/>
    </row>
    <row r="1586" spans="2:11" s="3" customFormat="1">
      <c r="B1586"/>
      <c r="C1586"/>
      <c r="D1586"/>
      <c r="E1586"/>
      <c r="F1586"/>
      <c r="G1586"/>
      <c r="H1586"/>
      <c r="K1586" s="61"/>
    </row>
    <row r="1587" spans="2:11" s="3" customFormat="1">
      <c r="B1587"/>
      <c r="C1587"/>
      <c r="D1587"/>
      <c r="E1587"/>
      <c r="F1587"/>
      <c r="G1587"/>
      <c r="H1587"/>
      <c r="K1587" s="61"/>
    </row>
    <row r="1588" spans="2:11" s="3" customFormat="1">
      <c r="B1588"/>
      <c r="C1588"/>
      <c r="D1588"/>
      <c r="E1588"/>
      <c r="F1588"/>
      <c r="G1588"/>
      <c r="H1588"/>
      <c r="K1588" s="61"/>
    </row>
    <row r="1589" spans="2:11" s="3" customFormat="1">
      <c r="B1589"/>
      <c r="C1589"/>
      <c r="D1589"/>
      <c r="E1589"/>
      <c r="F1589"/>
      <c r="G1589"/>
      <c r="H1589"/>
      <c r="K1589" s="61"/>
    </row>
    <row r="1590" spans="2:11" s="3" customFormat="1">
      <c r="B1590"/>
      <c r="C1590"/>
      <c r="D1590"/>
      <c r="E1590"/>
      <c r="F1590"/>
      <c r="G1590"/>
      <c r="H1590"/>
      <c r="K1590" s="61"/>
    </row>
    <row r="1591" spans="2:11" s="3" customFormat="1">
      <c r="B1591"/>
      <c r="C1591"/>
      <c r="D1591"/>
      <c r="E1591"/>
      <c r="F1591"/>
      <c r="G1591"/>
      <c r="H1591"/>
      <c r="K1591" s="61"/>
    </row>
    <row r="1592" spans="2:11" s="3" customFormat="1">
      <c r="B1592"/>
      <c r="C1592"/>
      <c r="D1592"/>
      <c r="E1592"/>
      <c r="F1592"/>
      <c r="G1592"/>
      <c r="H1592"/>
      <c r="K1592" s="61"/>
    </row>
    <row r="1593" spans="2:11" s="3" customFormat="1">
      <c r="B1593"/>
      <c r="C1593"/>
      <c r="D1593"/>
      <c r="E1593"/>
      <c r="F1593"/>
      <c r="G1593"/>
      <c r="H1593"/>
      <c r="K1593" s="61"/>
    </row>
    <row r="1594" spans="2:11" s="3" customFormat="1">
      <c r="B1594"/>
      <c r="C1594"/>
      <c r="D1594"/>
      <c r="E1594"/>
      <c r="F1594"/>
      <c r="G1594"/>
      <c r="H1594"/>
      <c r="K1594" s="61"/>
    </row>
    <row r="1595" spans="2:11" s="3" customFormat="1">
      <c r="B1595"/>
      <c r="C1595"/>
      <c r="D1595"/>
      <c r="E1595"/>
      <c r="F1595"/>
      <c r="G1595"/>
      <c r="H1595"/>
      <c r="K1595" s="61"/>
    </row>
    <row r="1596" spans="2:11" s="3" customFormat="1">
      <c r="B1596"/>
      <c r="C1596"/>
      <c r="D1596"/>
      <c r="E1596"/>
      <c r="F1596"/>
      <c r="G1596"/>
      <c r="H1596"/>
      <c r="K1596" s="61"/>
    </row>
    <row r="1597" spans="2:11" s="3" customFormat="1">
      <c r="B1597"/>
      <c r="C1597"/>
      <c r="D1597"/>
      <c r="E1597"/>
      <c r="F1597"/>
      <c r="G1597"/>
      <c r="H1597"/>
      <c r="K1597" s="61"/>
    </row>
    <row r="1598" spans="2:11" s="3" customFormat="1">
      <c r="B1598"/>
      <c r="C1598"/>
      <c r="D1598"/>
      <c r="E1598"/>
      <c r="F1598"/>
      <c r="G1598"/>
      <c r="H1598"/>
      <c r="K1598" s="61"/>
    </row>
    <row r="1599" spans="2:11" s="3" customFormat="1">
      <c r="B1599"/>
      <c r="C1599"/>
      <c r="D1599"/>
      <c r="E1599"/>
      <c r="F1599"/>
      <c r="G1599"/>
      <c r="H1599"/>
      <c r="K1599" s="61"/>
    </row>
    <row r="1600" spans="2:11" s="3" customFormat="1">
      <c r="B1600"/>
      <c r="C1600"/>
      <c r="D1600"/>
      <c r="E1600"/>
      <c r="F1600"/>
      <c r="G1600"/>
      <c r="H1600"/>
      <c r="K1600" s="61"/>
    </row>
    <row r="1601" spans="2:11" s="3" customFormat="1">
      <c r="B1601"/>
      <c r="C1601"/>
      <c r="D1601"/>
      <c r="E1601"/>
      <c r="F1601"/>
      <c r="G1601"/>
      <c r="H1601"/>
      <c r="K1601" s="61"/>
    </row>
    <row r="1602" spans="2:11" s="3" customFormat="1">
      <c r="B1602"/>
      <c r="C1602"/>
      <c r="D1602"/>
      <c r="E1602"/>
      <c r="F1602"/>
      <c r="G1602"/>
      <c r="H1602"/>
      <c r="K1602" s="61"/>
    </row>
    <row r="1603" spans="2:11" s="3" customFormat="1">
      <c r="B1603"/>
      <c r="C1603"/>
      <c r="D1603"/>
      <c r="E1603"/>
      <c r="F1603"/>
      <c r="G1603"/>
      <c r="H1603"/>
      <c r="K1603" s="61"/>
    </row>
    <row r="1604" spans="2:11" s="3" customFormat="1">
      <c r="B1604"/>
      <c r="C1604"/>
      <c r="D1604"/>
      <c r="E1604"/>
      <c r="F1604"/>
      <c r="G1604"/>
      <c r="H1604"/>
      <c r="K1604" s="61"/>
    </row>
    <row r="1605" spans="2:11" s="3" customFormat="1">
      <c r="B1605"/>
      <c r="C1605"/>
      <c r="D1605"/>
      <c r="E1605"/>
      <c r="F1605"/>
      <c r="G1605"/>
      <c r="H1605"/>
      <c r="K1605" s="61"/>
    </row>
    <row r="1606" spans="2:11" s="3" customFormat="1">
      <c r="B1606"/>
      <c r="C1606"/>
      <c r="D1606"/>
      <c r="E1606"/>
      <c r="F1606"/>
      <c r="G1606"/>
      <c r="H1606"/>
      <c r="K1606" s="61"/>
    </row>
    <row r="1607" spans="2:11" s="3" customFormat="1">
      <c r="B1607"/>
      <c r="C1607"/>
      <c r="D1607"/>
      <c r="E1607"/>
      <c r="F1607"/>
      <c r="G1607"/>
      <c r="H1607"/>
      <c r="K1607" s="61"/>
    </row>
    <row r="1608" spans="2:11" s="3" customFormat="1">
      <c r="B1608"/>
      <c r="C1608"/>
      <c r="D1608"/>
      <c r="E1608"/>
      <c r="F1608"/>
      <c r="G1608"/>
      <c r="H1608"/>
      <c r="K1608" s="61"/>
    </row>
    <row r="1609" spans="2:11" s="3" customFormat="1">
      <c r="B1609"/>
      <c r="C1609"/>
      <c r="D1609"/>
      <c r="E1609"/>
      <c r="F1609"/>
      <c r="G1609"/>
      <c r="H1609"/>
      <c r="K1609" s="61"/>
    </row>
    <row r="1610" spans="2:11" s="3" customFormat="1">
      <c r="B1610"/>
      <c r="C1610"/>
      <c r="D1610"/>
      <c r="E1610"/>
      <c r="F1610"/>
      <c r="G1610"/>
      <c r="H1610"/>
      <c r="K1610" s="61"/>
    </row>
    <row r="1611" spans="2:11" s="3" customFormat="1">
      <c r="B1611"/>
      <c r="C1611"/>
      <c r="D1611"/>
      <c r="E1611"/>
      <c r="F1611"/>
      <c r="G1611"/>
      <c r="H1611"/>
      <c r="K1611" s="61"/>
    </row>
    <row r="1612" spans="2:11" s="3" customFormat="1">
      <c r="B1612"/>
      <c r="C1612"/>
      <c r="D1612"/>
      <c r="E1612"/>
      <c r="F1612"/>
      <c r="G1612"/>
      <c r="H1612"/>
      <c r="K1612" s="61"/>
    </row>
    <row r="1613" spans="2:11" s="3" customFormat="1">
      <c r="B1613"/>
      <c r="C1613"/>
      <c r="D1613"/>
      <c r="E1613"/>
      <c r="F1613"/>
      <c r="G1613"/>
      <c r="H1613"/>
      <c r="K1613" s="61"/>
    </row>
    <row r="1614" spans="2:11" s="3" customFormat="1">
      <c r="B1614"/>
      <c r="C1614"/>
      <c r="D1614"/>
      <c r="E1614"/>
      <c r="F1614"/>
      <c r="G1614"/>
      <c r="H1614"/>
      <c r="K1614" s="61"/>
    </row>
    <row r="1615" spans="2:11" s="3" customFormat="1">
      <c r="B1615"/>
      <c r="C1615"/>
      <c r="D1615"/>
      <c r="E1615"/>
      <c r="F1615"/>
      <c r="G1615"/>
      <c r="H1615"/>
      <c r="K1615" s="61"/>
    </row>
    <row r="1616" spans="2:11" s="3" customFormat="1">
      <c r="B1616"/>
      <c r="C1616"/>
      <c r="D1616"/>
      <c r="E1616"/>
      <c r="F1616"/>
      <c r="G1616"/>
      <c r="H1616"/>
      <c r="K1616" s="61"/>
    </row>
    <row r="1617" spans="2:11" s="3" customFormat="1">
      <c r="B1617"/>
      <c r="C1617"/>
      <c r="D1617"/>
      <c r="E1617"/>
      <c r="F1617"/>
      <c r="G1617"/>
      <c r="H1617"/>
      <c r="K1617" s="61"/>
    </row>
    <row r="1618" spans="2:11" s="3" customFormat="1">
      <c r="B1618"/>
      <c r="C1618"/>
      <c r="D1618"/>
      <c r="E1618"/>
      <c r="F1618"/>
      <c r="G1618"/>
      <c r="H1618"/>
      <c r="K1618" s="61"/>
    </row>
    <row r="1619" spans="2:11" s="3" customFormat="1">
      <c r="B1619"/>
      <c r="C1619"/>
      <c r="D1619"/>
      <c r="E1619"/>
      <c r="F1619"/>
      <c r="G1619"/>
      <c r="H1619"/>
      <c r="K1619" s="61"/>
    </row>
    <row r="1620" spans="2:11" s="3" customFormat="1">
      <c r="B1620"/>
      <c r="C1620"/>
      <c r="D1620"/>
      <c r="E1620"/>
      <c r="F1620"/>
      <c r="G1620"/>
      <c r="H1620"/>
      <c r="K1620" s="61"/>
    </row>
    <row r="1621" spans="2:11" s="3" customFormat="1">
      <c r="B1621"/>
      <c r="C1621"/>
      <c r="D1621"/>
      <c r="E1621"/>
      <c r="F1621"/>
      <c r="G1621"/>
      <c r="H1621"/>
      <c r="K1621" s="61"/>
    </row>
    <row r="1622" spans="2:11" s="3" customFormat="1">
      <c r="B1622"/>
      <c r="C1622"/>
      <c r="D1622"/>
      <c r="E1622"/>
      <c r="F1622"/>
      <c r="G1622"/>
      <c r="H1622"/>
      <c r="K1622" s="61"/>
    </row>
    <row r="1623" spans="2:11" s="3" customFormat="1">
      <c r="B1623"/>
      <c r="C1623"/>
      <c r="D1623"/>
      <c r="E1623"/>
      <c r="F1623"/>
      <c r="G1623"/>
      <c r="H1623"/>
      <c r="K1623" s="61"/>
    </row>
    <row r="1624" spans="2:11" s="3" customFormat="1">
      <c r="B1624"/>
      <c r="C1624"/>
      <c r="D1624"/>
      <c r="E1624"/>
      <c r="F1624"/>
      <c r="G1624"/>
      <c r="H1624"/>
      <c r="K1624" s="61"/>
    </row>
    <row r="1625" spans="2:11" s="3" customFormat="1">
      <c r="B1625"/>
      <c r="C1625"/>
      <c r="D1625"/>
      <c r="E1625"/>
      <c r="F1625"/>
      <c r="G1625"/>
      <c r="H1625"/>
      <c r="K1625" s="61"/>
    </row>
    <row r="1626" spans="2:11" s="3" customFormat="1">
      <c r="B1626"/>
      <c r="C1626"/>
      <c r="D1626"/>
      <c r="E1626"/>
      <c r="F1626"/>
      <c r="G1626"/>
      <c r="H1626"/>
      <c r="K1626" s="61"/>
    </row>
    <row r="1627" spans="2:11" s="3" customFormat="1">
      <c r="B1627"/>
      <c r="C1627"/>
      <c r="D1627"/>
      <c r="E1627"/>
      <c r="F1627"/>
      <c r="G1627"/>
      <c r="H1627"/>
      <c r="K1627" s="61"/>
    </row>
    <row r="1628" spans="2:11" s="3" customFormat="1">
      <c r="B1628"/>
      <c r="C1628"/>
      <c r="D1628"/>
      <c r="E1628"/>
      <c r="F1628"/>
      <c r="G1628"/>
      <c r="H1628"/>
      <c r="K1628" s="61"/>
    </row>
    <row r="1629" spans="2:11" s="3" customFormat="1">
      <c r="B1629"/>
      <c r="C1629"/>
      <c r="D1629"/>
      <c r="E1629"/>
      <c r="F1629"/>
      <c r="G1629"/>
      <c r="H1629"/>
      <c r="K1629" s="61"/>
    </row>
    <row r="1630" spans="2:11" s="3" customFormat="1">
      <c r="B1630"/>
      <c r="C1630"/>
      <c r="D1630"/>
      <c r="E1630"/>
      <c r="F1630"/>
      <c r="G1630"/>
      <c r="H1630"/>
      <c r="K1630" s="61"/>
    </row>
    <row r="1631" spans="2:11" s="3" customFormat="1">
      <c r="B1631"/>
      <c r="C1631"/>
      <c r="D1631"/>
      <c r="E1631"/>
      <c r="F1631"/>
      <c r="G1631"/>
      <c r="H1631"/>
      <c r="K1631" s="61"/>
    </row>
    <row r="1632" spans="2:11" s="3" customFormat="1">
      <c r="B1632"/>
      <c r="C1632"/>
      <c r="D1632"/>
      <c r="E1632"/>
      <c r="F1632"/>
      <c r="G1632"/>
      <c r="H1632"/>
      <c r="K1632" s="61"/>
    </row>
    <row r="1633" spans="2:11" s="3" customFormat="1">
      <c r="B1633"/>
      <c r="C1633"/>
      <c r="D1633"/>
      <c r="E1633"/>
      <c r="F1633"/>
      <c r="G1633"/>
      <c r="H1633"/>
      <c r="K1633" s="61"/>
    </row>
    <row r="1634" spans="2:11" s="3" customFormat="1">
      <c r="B1634"/>
      <c r="C1634"/>
      <c r="D1634"/>
      <c r="E1634"/>
      <c r="F1634"/>
      <c r="G1634"/>
      <c r="H1634"/>
      <c r="K1634" s="61"/>
    </row>
    <row r="1635" spans="2:11" s="3" customFormat="1">
      <c r="B1635"/>
      <c r="C1635"/>
      <c r="D1635"/>
      <c r="E1635"/>
      <c r="F1635"/>
      <c r="G1635"/>
      <c r="H1635"/>
      <c r="K1635" s="61"/>
    </row>
    <row r="1636" spans="2:11" s="3" customFormat="1">
      <c r="B1636"/>
      <c r="C1636"/>
      <c r="D1636"/>
      <c r="E1636"/>
      <c r="F1636"/>
      <c r="G1636"/>
      <c r="H1636"/>
      <c r="K1636" s="61"/>
    </row>
    <row r="1637" spans="2:11" s="3" customFormat="1">
      <c r="B1637"/>
      <c r="C1637"/>
      <c r="D1637"/>
      <c r="E1637"/>
      <c r="F1637"/>
      <c r="G1637"/>
      <c r="H1637"/>
      <c r="K1637" s="61"/>
    </row>
    <row r="1638" spans="2:11" s="3" customFormat="1">
      <c r="B1638"/>
      <c r="C1638"/>
      <c r="D1638"/>
      <c r="E1638"/>
      <c r="F1638"/>
      <c r="G1638"/>
      <c r="H1638"/>
      <c r="K1638" s="61"/>
    </row>
    <row r="1639" spans="2:11" s="3" customFormat="1">
      <c r="B1639"/>
      <c r="C1639"/>
      <c r="D1639"/>
      <c r="E1639"/>
      <c r="F1639"/>
      <c r="G1639"/>
      <c r="H1639"/>
      <c r="K1639" s="61"/>
    </row>
    <row r="1640" spans="2:11" s="3" customFormat="1">
      <c r="B1640"/>
      <c r="C1640"/>
      <c r="D1640"/>
      <c r="E1640"/>
      <c r="F1640"/>
      <c r="G1640"/>
      <c r="H1640"/>
      <c r="K1640" s="61"/>
    </row>
    <row r="1641" spans="2:11" s="3" customFormat="1">
      <c r="B1641"/>
      <c r="C1641"/>
      <c r="D1641"/>
      <c r="E1641"/>
      <c r="F1641"/>
      <c r="G1641"/>
      <c r="H1641"/>
      <c r="K1641" s="61"/>
    </row>
    <row r="1642" spans="2:11" s="3" customFormat="1">
      <c r="B1642"/>
      <c r="C1642"/>
      <c r="D1642"/>
      <c r="E1642"/>
      <c r="F1642"/>
      <c r="G1642"/>
      <c r="H1642"/>
      <c r="K1642" s="61"/>
    </row>
    <row r="1643" spans="2:11" s="3" customFormat="1">
      <c r="B1643"/>
      <c r="C1643"/>
      <c r="D1643"/>
      <c r="E1643"/>
      <c r="F1643"/>
      <c r="G1643"/>
      <c r="H1643"/>
      <c r="K1643" s="61"/>
    </row>
    <row r="1644" spans="2:11" s="3" customFormat="1">
      <c r="B1644"/>
      <c r="C1644"/>
      <c r="D1644"/>
      <c r="E1644"/>
      <c r="F1644"/>
      <c r="G1644"/>
      <c r="H1644"/>
      <c r="K1644" s="61"/>
    </row>
    <row r="1645" spans="2:11" s="3" customFormat="1">
      <c r="B1645"/>
      <c r="C1645"/>
      <c r="D1645"/>
      <c r="E1645"/>
      <c r="F1645"/>
      <c r="G1645"/>
      <c r="H1645"/>
      <c r="K1645" s="61"/>
    </row>
    <row r="1646" spans="2:11" s="3" customFormat="1">
      <c r="B1646"/>
      <c r="C1646"/>
      <c r="D1646"/>
      <c r="E1646"/>
      <c r="F1646"/>
      <c r="G1646"/>
      <c r="H1646"/>
      <c r="K1646" s="61"/>
    </row>
    <row r="1647" spans="2:11" s="3" customFormat="1">
      <c r="B1647"/>
      <c r="C1647"/>
      <c r="D1647"/>
      <c r="E1647"/>
      <c r="F1647"/>
      <c r="G1647"/>
      <c r="H1647"/>
      <c r="K1647" s="61"/>
    </row>
    <row r="1648" spans="2:11" s="3" customFormat="1">
      <c r="B1648"/>
      <c r="C1648"/>
      <c r="D1648"/>
      <c r="E1648"/>
      <c r="F1648"/>
      <c r="G1648"/>
      <c r="H1648"/>
      <c r="K1648" s="61"/>
    </row>
    <row r="1649" spans="2:11" s="3" customFormat="1">
      <c r="B1649"/>
      <c r="C1649"/>
      <c r="D1649"/>
      <c r="E1649"/>
      <c r="F1649"/>
      <c r="G1649"/>
      <c r="H1649"/>
      <c r="K1649" s="61"/>
    </row>
    <row r="1650" spans="2:11" s="3" customFormat="1">
      <c r="B1650"/>
      <c r="C1650"/>
      <c r="D1650"/>
      <c r="E1650"/>
      <c r="F1650"/>
      <c r="G1650"/>
      <c r="H1650"/>
      <c r="K1650" s="61"/>
    </row>
    <row r="1651" spans="2:11" s="3" customFormat="1">
      <c r="B1651"/>
      <c r="C1651"/>
      <c r="D1651"/>
      <c r="E1651"/>
      <c r="F1651"/>
      <c r="G1651"/>
      <c r="H1651"/>
      <c r="K1651" s="61"/>
    </row>
    <row r="1652" spans="2:11" s="3" customFormat="1">
      <c r="B1652"/>
      <c r="C1652"/>
      <c r="D1652"/>
      <c r="E1652"/>
      <c r="F1652"/>
      <c r="G1652"/>
      <c r="H1652"/>
      <c r="K1652" s="61"/>
    </row>
    <row r="1653" spans="2:11" s="3" customFormat="1">
      <c r="B1653"/>
      <c r="C1653"/>
      <c r="D1653"/>
      <c r="E1653"/>
      <c r="F1653"/>
      <c r="G1653"/>
      <c r="H1653"/>
      <c r="K1653" s="61"/>
    </row>
    <row r="1654" spans="2:11" s="3" customFormat="1">
      <c r="B1654"/>
      <c r="C1654"/>
      <c r="D1654"/>
      <c r="E1654"/>
      <c r="F1654"/>
      <c r="G1654"/>
      <c r="H1654"/>
      <c r="K1654" s="61"/>
    </row>
    <row r="1655" spans="2:11" s="3" customFormat="1">
      <c r="B1655"/>
      <c r="C1655"/>
      <c r="D1655"/>
      <c r="E1655"/>
      <c r="F1655"/>
      <c r="G1655"/>
      <c r="H1655"/>
      <c r="K1655" s="61"/>
    </row>
    <row r="1656" spans="2:11" s="3" customFormat="1">
      <c r="B1656"/>
      <c r="C1656"/>
      <c r="D1656"/>
      <c r="E1656"/>
      <c r="F1656"/>
      <c r="G1656"/>
      <c r="H1656"/>
      <c r="K1656" s="61"/>
    </row>
    <row r="1657" spans="2:11" s="3" customFormat="1">
      <c r="B1657"/>
      <c r="C1657"/>
      <c r="D1657"/>
      <c r="E1657"/>
      <c r="F1657"/>
      <c r="G1657"/>
      <c r="H1657"/>
      <c r="K1657" s="61"/>
    </row>
    <row r="1658" spans="2:11" s="3" customFormat="1">
      <c r="B1658"/>
      <c r="C1658"/>
      <c r="D1658"/>
      <c r="E1658"/>
      <c r="F1658"/>
      <c r="G1658"/>
      <c r="H1658"/>
      <c r="K1658" s="61"/>
    </row>
    <row r="1659" spans="2:11" s="3" customFormat="1">
      <c r="B1659"/>
      <c r="C1659"/>
      <c r="D1659"/>
      <c r="E1659"/>
      <c r="F1659"/>
      <c r="G1659"/>
      <c r="H1659"/>
      <c r="K1659" s="61"/>
    </row>
    <row r="1660" spans="2:11" s="3" customFormat="1">
      <c r="B1660"/>
      <c r="C1660"/>
      <c r="D1660"/>
      <c r="E1660"/>
      <c r="F1660"/>
      <c r="G1660"/>
      <c r="H1660"/>
      <c r="K1660" s="61"/>
    </row>
    <row r="1661" spans="2:11" s="3" customFormat="1">
      <c r="B1661"/>
      <c r="C1661"/>
      <c r="D1661"/>
      <c r="E1661"/>
      <c r="F1661"/>
      <c r="G1661"/>
      <c r="H1661"/>
      <c r="K1661" s="61"/>
    </row>
    <row r="1662" spans="2:11" s="3" customFormat="1">
      <c r="B1662"/>
      <c r="C1662"/>
      <c r="D1662"/>
      <c r="E1662"/>
      <c r="F1662"/>
      <c r="G1662"/>
      <c r="H1662"/>
      <c r="K1662" s="61"/>
    </row>
    <row r="1663" spans="2:11" s="3" customFormat="1">
      <c r="B1663"/>
      <c r="C1663"/>
      <c r="D1663"/>
      <c r="E1663"/>
      <c r="F1663"/>
      <c r="G1663"/>
      <c r="H1663"/>
      <c r="K1663" s="61"/>
    </row>
    <row r="1664" spans="2:11" s="3" customFormat="1">
      <c r="B1664"/>
      <c r="C1664"/>
      <c r="D1664"/>
      <c r="E1664"/>
      <c r="F1664"/>
      <c r="G1664"/>
      <c r="H1664"/>
      <c r="K1664" s="61"/>
    </row>
    <row r="1665" spans="2:11" s="3" customFormat="1">
      <c r="B1665"/>
      <c r="C1665"/>
      <c r="D1665"/>
      <c r="E1665"/>
      <c r="F1665"/>
      <c r="G1665"/>
      <c r="H1665"/>
      <c r="K1665" s="61"/>
    </row>
    <row r="1666" spans="2:11" s="3" customFormat="1">
      <c r="B1666"/>
      <c r="C1666"/>
      <c r="D1666"/>
      <c r="E1666"/>
      <c r="F1666"/>
      <c r="G1666"/>
      <c r="H1666"/>
      <c r="K1666" s="61"/>
    </row>
    <row r="1667" spans="2:11" s="3" customFormat="1">
      <c r="B1667"/>
      <c r="C1667"/>
      <c r="D1667"/>
      <c r="E1667"/>
      <c r="F1667"/>
      <c r="G1667"/>
      <c r="H1667"/>
      <c r="K1667" s="61"/>
    </row>
    <row r="1668" spans="2:11" s="3" customFormat="1">
      <c r="B1668"/>
      <c r="C1668"/>
      <c r="D1668"/>
      <c r="E1668"/>
      <c r="F1668"/>
      <c r="G1668"/>
      <c r="H1668"/>
      <c r="K1668" s="61"/>
    </row>
    <row r="1669" spans="2:11" s="3" customFormat="1">
      <c r="B1669"/>
      <c r="C1669"/>
      <c r="D1669"/>
      <c r="E1669"/>
      <c r="F1669"/>
      <c r="G1669"/>
      <c r="H1669"/>
      <c r="K1669" s="61"/>
    </row>
    <row r="1670" spans="2:11" s="3" customFormat="1">
      <c r="B1670"/>
      <c r="C1670"/>
      <c r="D1670"/>
      <c r="E1670"/>
      <c r="F1670"/>
      <c r="G1670"/>
      <c r="H1670"/>
      <c r="K1670" s="61"/>
    </row>
    <row r="1671" spans="2:11" s="3" customFormat="1">
      <c r="B1671"/>
      <c r="C1671"/>
      <c r="D1671"/>
      <c r="E1671"/>
      <c r="F1671"/>
      <c r="G1671"/>
      <c r="H1671"/>
      <c r="K1671" s="61"/>
    </row>
    <row r="1672" spans="2:11" s="3" customFormat="1">
      <c r="B1672"/>
      <c r="C1672"/>
      <c r="D1672"/>
      <c r="E1672"/>
      <c r="F1672"/>
      <c r="G1672"/>
      <c r="H1672"/>
      <c r="K1672" s="61"/>
    </row>
    <row r="1673" spans="2:11" s="3" customFormat="1">
      <c r="B1673"/>
      <c r="C1673"/>
      <c r="D1673"/>
      <c r="E1673"/>
      <c r="F1673"/>
      <c r="G1673"/>
      <c r="H1673"/>
      <c r="K1673" s="61"/>
    </row>
    <row r="1674" spans="2:11" s="3" customFormat="1">
      <c r="B1674"/>
      <c r="C1674"/>
      <c r="D1674"/>
      <c r="E1674"/>
      <c r="F1674"/>
      <c r="G1674"/>
      <c r="H1674"/>
      <c r="K1674" s="61"/>
    </row>
    <row r="1675" spans="2:11" s="3" customFormat="1">
      <c r="B1675"/>
      <c r="C1675"/>
      <c r="D1675"/>
      <c r="E1675"/>
      <c r="F1675"/>
      <c r="G1675"/>
      <c r="H1675"/>
      <c r="K1675" s="61"/>
    </row>
    <row r="1676" spans="2:11" s="3" customFormat="1">
      <c r="B1676"/>
      <c r="C1676"/>
      <c r="D1676"/>
      <c r="E1676"/>
      <c r="F1676"/>
      <c r="G1676"/>
      <c r="H1676"/>
      <c r="K1676" s="61"/>
    </row>
    <row r="1677" spans="2:11" s="3" customFormat="1">
      <c r="B1677"/>
      <c r="C1677"/>
      <c r="D1677"/>
      <c r="E1677"/>
      <c r="F1677"/>
      <c r="G1677"/>
      <c r="H1677"/>
      <c r="K1677" s="61"/>
    </row>
    <row r="1678" spans="2:11" s="3" customFormat="1">
      <c r="B1678"/>
      <c r="C1678"/>
      <c r="D1678"/>
      <c r="E1678"/>
      <c r="F1678"/>
      <c r="G1678"/>
      <c r="H1678"/>
      <c r="K1678" s="61"/>
    </row>
    <row r="1679" spans="2:11" s="3" customFormat="1">
      <c r="B1679"/>
      <c r="C1679"/>
      <c r="D1679"/>
      <c r="E1679"/>
      <c r="F1679"/>
      <c r="G1679"/>
      <c r="H1679"/>
      <c r="K1679" s="61"/>
    </row>
    <row r="1680" spans="2:11" s="3" customFormat="1">
      <c r="B1680"/>
      <c r="C1680"/>
      <c r="D1680"/>
      <c r="E1680"/>
      <c r="F1680"/>
      <c r="G1680"/>
      <c r="H1680"/>
      <c r="K1680" s="61"/>
    </row>
    <row r="1681" spans="2:11" s="3" customFormat="1">
      <c r="B1681"/>
      <c r="C1681"/>
      <c r="D1681"/>
      <c r="E1681"/>
      <c r="F1681"/>
      <c r="G1681"/>
      <c r="H1681"/>
      <c r="K1681" s="61"/>
    </row>
    <row r="1682" spans="2:11" s="3" customFormat="1">
      <c r="B1682"/>
      <c r="C1682"/>
      <c r="D1682"/>
      <c r="E1682"/>
      <c r="F1682"/>
      <c r="G1682"/>
      <c r="H1682"/>
      <c r="K1682" s="61"/>
    </row>
    <row r="1683" spans="2:11" s="3" customFormat="1">
      <c r="B1683"/>
      <c r="C1683"/>
      <c r="D1683"/>
      <c r="E1683"/>
      <c r="F1683"/>
      <c r="G1683"/>
      <c r="H1683"/>
      <c r="K1683" s="61"/>
    </row>
    <row r="1684" spans="2:11" s="3" customFormat="1">
      <c r="B1684"/>
      <c r="C1684"/>
      <c r="D1684"/>
      <c r="E1684"/>
      <c r="F1684"/>
      <c r="G1684"/>
      <c r="H1684"/>
      <c r="K1684" s="61"/>
    </row>
    <row r="1685" spans="2:11" s="3" customFormat="1">
      <c r="B1685"/>
      <c r="C1685"/>
      <c r="D1685"/>
      <c r="E1685"/>
      <c r="F1685"/>
      <c r="G1685"/>
      <c r="H1685"/>
      <c r="K1685" s="61"/>
    </row>
    <row r="1686" spans="2:11" s="3" customFormat="1">
      <c r="B1686"/>
      <c r="C1686"/>
      <c r="D1686"/>
      <c r="E1686"/>
      <c r="F1686"/>
      <c r="G1686"/>
      <c r="H1686"/>
      <c r="K1686" s="61"/>
    </row>
    <row r="1687" spans="2:11" s="3" customFormat="1">
      <c r="B1687"/>
      <c r="C1687"/>
      <c r="D1687"/>
      <c r="E1687"/>
      <c r="F1687"/>
      <c r="G1687"/>
      <c r="H1687"/>
      <c r="K1687" s="61"/>
    </row>
    <row r="1688" spans="2:11" s="3" customFormat="1">
      <c r="B1688"/>
      <c r="C1688"/>
      <c r="D1688"/>
      <c r="E1688"/>
      <c r="F1688"/>
      <c r="G1688"/>
      <c r="H1688"/>
      <c r="K1688" s="61"/>
    </row>
    <row r="1689" spans="2:11" s="3" customFormat="1">
      <c r="B1689"/>
      <c r="C1689"/>
      <c r="D1689"/>
      <c r="E1689"/>
      <c r="F1689"/>
      <c r="G1689"/>
      <c r="H1689"/>
      <c r="K1689" s="61"/>
    </row>
    <row r="1690" spans="2:11" s="3" customFormat="1">
      <c r="B1690"/>
      <c r="C1690"/>
      <c r="D1690"/>
      <c r="E1690"/>
      <c r="F1690"/>
      <c r="G1690"/>
      <c r="H1690"/>
      <c r="K1690" s="61"/>
    </row>
    <row r="1691" spans="2:11" s="3" customFormat="1">
      <c r="B1691"/>
      <c r="C1691"/>
      <c r="D1691"/>
      <c r="E1691"/>
      <c r="F1691"/>
      <c r="G1691"/>
      <c r="H1691"/>
      <c r="K1691" s="61"/>
    </row>
    <row r="1692" spans="2:11" s="3" customFormat="1">
      <c r="B1692"/>
      <c r="C1692"/>
      <c r="D1692"/>
      <c r="E1692"/>
      <c r="F1692"/>
      <c r="G1692"/>
      <c r="H1692"/>
      <c r="K1692" s="61"/>
    </row>
    <row r="1693" spans="2:11" s="3" customFormat="1">
      <c r="B1693"/>
      <c r="C1693"/>
      <c r="D1693"/>
      <c r="E1693"/>
      <c r="F1693"/>
      <c r="G1693"/>
      <c r="H1693"/>
      <c r="K1693" s="61"/>
    </row>
    <row r="1694" spans="2:11" s="3" customFormat="1">
      <c r="B1694"/>
      <c r="C1694"/>
      <c r="D1694"/>
      <c r="E1694"/>
      <c r="F1694"/>
      <c r="G1694"/>
      <c r="H1694"/>
      <c r="K1694" s="61"/>
    </row>
    <row r="1695" spans="2:11" s="3" customFormat="1">
      <c r="B1695"/>
      <c r="C1695"/>
      <c r="D1695"/>
      <c r="E1695"/>
      <c r="F1695"/>
      <c r="G1695"/>
      <c r="H1695"/>
      <c r="K1695" s="61"/>
    </row>
    <row r="1696" spans="2:11" s="3" customFormat="1">
      <c r="B1696"/>
      <c r="C1696"/>
      <c r="D1696"/>
      <c r="E1696"/>
      <c r="F1696"/>
      <c r="G1696"/>
      <c r="H1696"/>
      <c r="K1696" s="61"/>
    </row>
    <row r="1697" spans="2:11" s="3" customFormat="1">
      <c r="B1697"/>
      <c r="C1697"/>
      <c r="D1697"/>
      <c r="E1697"/>
      <c r="F1697"/>
      <c r="G1697"/>
      <c r="H1697"/>
      <c r="K1697" s="61"/>
    </row>
    <row r="1698" spans="2:11" s="3" customFormat="1">
      <c r="B1698"/>
      <c r="C1698"/>
      <c r="D1698"/>
      <c r="E1698"/>
      <c r="F1698"/>
      <c r="G1698"/>
      <c r="H1698"/>
      <c r="K1698" s="61"/>
    </row>
    <row r="1699" spans="2:11" s="3" customFormat="1">
      <c r="B1699"/>
      <c r="C1699"/>
      <c r="D1699"/>
      <c r="E1699"/>
      <c r="F1699"/>
      <c r="G1699"/>
      <c r="H1699"/>
      <c r="K1699" s="61"/>
    </row>
    <row r="1700" spans="2:11" s="3" customFormat="1">
      <c r="B1700"/>
      <c r="C1700"/>
      <c r="D1700"/>
      <c r="E1700"/>
      <c r="F1700"/>
      <c r="G1700"/>
      <c r="H1700"/>
      <c r="K1700" s="61"/>
    </row>
    <row r="1701" spans="2:11" s="3" customFormat="1">
      <c r="B1701"/>
      <c r="C1701"/>
      <c r="D1701"/>
      <c r="E1701"/>
      <c r="F1701"/>
      <c r="G1701"/>
      <c r="H1701"/>
      <c r="K1701" s="61"/>
    </row>
    <row r="1702" spans="2:11" s="3" customFormat="1">
      <c r="B1702"/>
      <c r="C1702"/>
      <c r="D1702"/>
      <c r="E1702"/>
      <c r="F1702"/>
      <c r="G1702"/>
      <c r="H1702"/>
      <c r="K1702" s="61"/>
    </row>
    <row r="1703" spans="2:11" s="3" customFormat="1">
      <c r="B1703"/>
      <c r="C1703"/>
      <c r="D1703"/>
      <c r="E1703"/>
      <c r="F1703"/>
      <c r="G1703"/>
      <c r="H1703"/>
      <c r="K1703" s="61"/>
    </row>
    <row r="1704" spans="2:11" s="3" customFormat="1">
      <c r="B1704"/>
      <c r="C1704"/>
      <c r="D1704"/>
      <c r="E1704"/>
      <c r="F1704"/>
      <c r="G1704"/>
      <c r="H1704"/>
      <c r="K1704" s="61"/>
    </row>
    <row r="1705" spans="2:11" s="3" customFormat="1">
      <c r="B1705"/>
      <c r="C1705"/>
      <c r="D1705"/>
      <c r="E1705"/>
      <c r="F1705"/>
      <c r="G1705"/>
      <c r="H1705"/>
      <c r="K1705" s="61"/>
    </row>
    <row r="1706" spans="2:11" s="3" customFormat="1">
      <c r="B1706"/>
      <c r="C1706"/>
      <c r="D1706"/>
      <c r="E1706"/>
      <c r="F1706"/>
      <c r="G1706"/>
      <c r="H1706"/>
      <c r="K1706" s="61"/>
    </row>
    <row r="1707" spans="2:11" s="3" customFormat="1">
      <c r="B1707"/>
      <c r="C1707"/>
      <c r="D1707"/>
      <c r="E1707"/>
      <c r="F1707"/>
      <c r="G1707"/>
      <c r="H1707"/>
      <c r="K1707" s="61"/>
    </row>
    <row r="1708" spans="2:11" s="3" customFormat="1">
      <c r="B1708"/>
      <c r="C1708"/>
      <c r="D1708"/>
      <c r="E1708"/>
      <c r="F1708"/>
      <c r="G1708"/>
      <c r="H1708"/>
      <c r="K1708" s="61"/>
    </row>
    <row r="1709" spans="2:11" s="3" customFormat="1">
      <c r="B1709"/>
      <c r="C1709"/>
      <c r="D1709"/>
      <c r="E1709"/>
      <c r="F1709"/>
      <c r="G1709"/>
      <c r="H1709"/>
      <c r="K1709" s="61"/>
    </row>
    <row r="1710" spans="2:11" s="3" customFormat="1">
      <c r="B1710"/>
      <c r="C1710"/>
      <c r="D1710"/>
      <c r="E1710"/>
      <c r="F1710"/>
      <c r="G1710"/>
      <c r="H1710"/>
      <c r="K1710" s="61"/>
    </row>
    <row r="1711" spans="2:11" s="3" customFormat="1">
      <c r="B1711"/>
      <c r="C1711"/>
      <c r="D1711"/>
      <c r="E1711"/>
      <c r="F1711"/>
      <c r="G1711"/>
      <c r="H1711"/>
      <c r="K1711" s="61"/>
    </row>
    <row r="1712" spans="2:11" s="3" customFormat="1">
      <c r="B1712"/>
      <c r="C1712"/>
      <c r="D1712"/>
      <c r="E1712"/>
      <c r="F1712"/>
      <c r="G1712"/>
      <c r="H1712"/>
      <c r="K1712" s="61"/>
    </row>
    <row r="1713" spans="2:11" s="3" customFormat="1">
      <c r="B1713"/>
      <c r="C1713"/>
      <c r="D1713"/>
      <c r="E1713"/>
      <c r="F1713"/>
      <c r="G1713"/>
      <c r="H1713"/>
      <c r="K1713" s="61"/>
    </row>
    <row r="1714" spans="2:11" s="3" customFormat="1">
      <c r="B1714"/>
      <c r="C1714"/>
      <c r="D1714"/>
      <c r="E1714"/>
      <c r="F1714"/>
      <c r="G1714"/>
      <c r="H1714"/>
      <c r="K1714" s="61"/>
    </row>
    <row r="1715" spans="2:11" s="3" customFormat="1">
      <c r="B1715"/>
      <c r="C1715"/>
      <c r="D1715"/>
      <c r="E1715"/>
      <c r="F1715"/>
      <c r="G1715"/>
      <c r="H1715"/>
      <c r="K1715" s="61"/>
    </row>
    <row r="1716" spans="2:11" s="3" customFormat="1">
      <c r="B1716"/>
      <c r="C1716"/>
      <c r="D1716"/>
      <c r="E1716"/>
      <c r="F1716"/>
      <c r="G1716"/>
      <c r="H1716"/>
      <c r="K1716" s="61"/>
    </row>
    <row r="1717" spans="2:11" s="3" customFormat="1">
      <c r="B1717"/>
      <c r="C1717"/>
      <c r="D1717"/>
      <c r="E1717"/>
      <c r="F1717"/>
      <c r="G1717"/>
      <c r="H1717"/>
      <c r="K1717" s="61"/>
    </row>
    <row r="1718" spans="2:11" s="3" customFormat="1">
      <c r="B1718"/>
      <c r="C1718"/>
      <c r="D1718"/>
      <c r="E1718"/>
      <c r="F1718"/>
      <c r="G1718"/>
      <c r="H1718"/>
      <c r="K1718" s="61"/>
    </row>
    <row r="1719" spans="2:11" s="3" customFormat="1">
      <c r="B1719"/>
      <c r="C1719"/>
      <c r="D1719"/>
      <c r="E1719"/>
      <c r="F1719"/>
      <c r="G1719"/>
      <c r="H1719"/>
      <c r="K1719" s="61"/>
    </row>
    <row r="1720" spans="2:11" s="3" customFormat="1">
      <c r="B1720"/>
      <c r="C1720"/>
      <c r="D1720"/>
      <c r="E1720"/>
      <c r="F1720"/>
      <c r="G1720"/>
      <c r="H1720"/>
      <c r="K1720" s="61"/>
    </row>
    <row r="1721" spans="2:11" s="3" customFormat="1">
      <c r="B1721"/>
      <c r="C1721"/>
      <c r="D1721"/>
      <c r="E1721"/>
      <c r="F1721"/>
      <c r="G1721"/>
      <c r="H1721"/>
      <c r="K1721" s="61"/>
    </row>
    <row r="1722" spans="2:11" s="3" customFormat="1">
      <c r="B1722"/>
      <c r="C1722"/>
      <c r="D1722"/>
      <c r="E1722"/>
      <c r="F1722"/>
      <c r="G1722"/>
      <c r="H1722"/>
      <c r="K1722" s="61"/>
    </row>
    <row r="1723" spans="2:11" s="3" customFormat="1">
      <c r="B1723"/>
      <c r="C1723"/>
      <c r="D1723"/>
      <c r="E1723"/>
      <c r="F1723"/>
      <c r="G1723"/>
      <c r="H1723"/>
      <c r="K1723" s="61"/>
    </row>
    <row r="1724" spans="2:11" s="3" customFormat="1">
      <c r="B1724"/>
      <c r="C1724"/>
      <c r="D1724"/>
      <c r="E1724"/>
      <c r="F1724"/>
      <c r="G1724"/>
      <c r="H1724"/>
      <c r="K1724" s="61"/>
    </row>
    <row r="1725" spans="2:11" s="3" customFormat="1">
      <c r="B1725"/>
      <c r="C1725"/>
      <c r="D1725"/>
      <c r="E1725"/>
      <c r="F1725"/>
      <c r="G1725"/>
      <c r="H1725"/>
      <c r="K1725" s="61"/>
    </row>
    <row r="1726" spans="2:11" s="3" customFormat="1">
      <c r="B1726"/>
      <c r="C1726"/>
      <c r="D1726"/>
      <c r="E1726"/>
      <c r="F1726"/>
      <c r="G1726"/>
      <c r="H1726"/>
      <c r="K1726" s="61"/>
    </row>
    <row r="1727" spans="2:11" s="3" customFormat="1">
      <c r="B1727"/>
      <c r="C1727"/>
      <c r="D1727"/>
      <c r="E1727"/>
      <c r="F1727"/>
      <c r="G1727"/>
      <c r="H1727"/>
      <c r="K1727" s="61"/>
    </row>
    <row r="1728" spans="2:11" s="3" customFormat="1">
      <c r="B1728"/>
      <c r="C1728"/>
      <c r="D1728"/>
      <c r="E1728"/>
      <c r="F1728"/>
      <c r="G1728"/>
      <c r="H1728"/>
      <c r="K1728" s="61"/>
    </row>
    <row r="1729" spans="2:11" s="3" customFormat="1">
      <c r="B1729"/>
      <c r="C1729"/>
      <c r="D1729"/>
      <c r="E1729"/>
      <c r="F1729"/>
      <c r="G1729"/>
      <c r="H1729"/>
      <c r="K1729" s="61"/>
    </row>
    <row r="1730" spans="2:11" s="3" customFormat="1">
      <c r="B1730"/>
      <c r="C1730"/>
      <c r="D1730"/>
      <c r="E1730"/>
      <c r="F1730"/>
      <c r="G1730"/>
      <c r="H1730"/>
      <c r="K1730" s="61"/>
    </row>
    <row r="1731" spans="2:11" s="3" customFormat="1">
      <c r="B1731"/>
      <c r="C1731"/>
      <c r="D1731"/>
      <c r="E1731"/>
      <c r="F1731"/>
      <c r="G1731"/>
      <c r="H1731"/>
      <c r="K1731" s="61"/>
    </row>
    <row r="1732" spans="2:11" s="3" customFormat="1">
      <c r="B1732"/>
      <c r="C1732"/>
      <c r="D1732"/>
      <c r="E1732"/>
      <c r="F1732"/>
      <c r="G1732"/>
      <c r="H1732"/>
      <c r="K1732" s="61"/>
    </row>
    <row r="1733" spans="2:11" s="3" customFormat="1">
      <c r="B1733"/>
      <c r="C1733"/>
      <c r="D1733"/>
      <c r="E1733"/>
      <c r="F1733"/>
      <c r="G1733"/>
      <c r="H1733"/>
      <c r="K1733" s="61"/>
    </row>
    <row r="1734" spans="2:11" s="3" customFormat="1">
      <c r="B1734"/>
      <c r="C1734"/>
      <c r="D1734"/>
      <c r="E1734"/>
      <c r="F1734"/>
      <c r="G1734"/>
      <c r="H1734"/>
      <c r="K1734" s="61"/>
    </row>
    <row r="1735" spans="2:11" s="3" customFormat="1">
      <c r="B1735"/>
      <c r="C1735"/>
      <c r="D1735"/>
      <c r="E1735"/>
      <c r="F1735"/>
      <c r="G1735"/>
      <c r="H1735"/>
      <c r="K1735" s="61"/>
    </row>
    <row r="1736" spans="2:11" s="3" customFormat="1">
      <c r="B1736"/>
      <c r="C1736"/>
      <c r="D1736"/>
      <c r="E1736"/>
      <c r="F1736"/>
      <c r="G1736"/>
      <c r="H1736"/>
      <c r="K1736" s="61"/>
    </row>
    <row r="1737" spans="2:11" s="3" customFormat="1">
      <c r="B1737"/>
      <c r="C1737"/>
      <c r="D1737"/>
      <c r="E1737"/>
      <c r="F1737"/>
      <c r="G1737"/>
      <c r="H1737"/>
      <c r="K1737" s="61"/>
    </row>
    <row r="1738" spans="2:11" s="3" customFormat="1">
      <c r="B1738"/>
      <c r="C1738"/>
      <c r="D1738"/>
      <c r="E1738"/>
      <c r="F1738"/>
      <c r="G1738"/>
      <c r="H1738"/>
      <c r="K1738" s="61"/>
    </row>
    <row r="1739" spans="2:11" s="3" customFormat="1">
      <c r="B1739"/>
      <c r="C1739"/>
      <c r="D1739"/>
      <c r="E1739"/>
      <c r="F1739"/>
      <c r="G1739"/>
      <c r="H1739"/>
      <c r="K1739" s="61"/>
    </row>
    <row r="1740" spans="2:11" s="3" customFormat="1">
      <c r="B1740"/>
      <c r="C1740"/>
      <c r="D1740"/>
      <c r="E1740"/>
      <c r="F1740"/>
      <c r="G1740"/>
      <c r="H1740"/>
      <c r="K1740" s="61"/>
    </row>
    <row r="1741" spans="2:11" s="3" customFormat="1">
      <c r="B1741"/>
      <c r="C1741"/>
      <c r="D1741"/>
      <c r="E1741"/>
      <c r="F1741"/>
      <c r="G1741"/>
      <c r="H1741"/>
      <c r="K1741" s="61"/>
    </row>
    <row r="1742" spans="2:11" s="3" customFormat="1">
      <c r="B1742"/>
      <c r="C1742"/>
      <c r="D1742"/>
      <c r="E1742"/>
      <c r="F1742"/>
      <c r="G1742"/>
      <c r="H1742"/>
      <c r="K1742" s="61"/>
    </row>
    <row r="1743" spans="2:11" s="3" customFormat="1">
      <c r="B1743"/>
      <c r="C1743"/>
      <c r="D1743"/>
      <c r="E1743"/>
      <c r="F1743"/>
      <c r="G1743"/>
      <c r="H1743"/>
      <c r="K1743" s="61"/>
    </row>
    <row r="1744" spans="2:11" s="3" customFormat="1">
      <c r="B1744"/>
      <c r="C1744"/>
      <c r="D1744"/>
      <c r="E1744"/>
      <c r="F1744"/>
      <c r="G1744"/>
      <c r="H1744"/>
      <c r="K1744" s="61"/>
    </row>
    <row r="1745" spans="2:11" s="3" customFormat="1">
      <c r="B1745"/>
      <c r="C1745"/>
      <c r="D1745"/>
      <c r="E1745"/>
      <c r="F1745"/>
      <c r="G1745"/>
      <c r="H1745"/>
      <c r="K1745" s="61"/>
    </row>
    <row r="1746" spans="2:11" s="3" customFormat="1">
      <c r="B1746"/>
      <c r="C1746"/>
      <c r="D1746"/>
      <c r="E1746"/>
      <c r="F1746"/>
      <c r="G1746"/>
      <c r="H1746"/>
      <c r="K1746" s="61"/>
    </row>
    <row r="1747" spans="2:11" s="3" customFormat="1">
      <c r="B1747"/>
      <c r="C1747"/>
      <c r="D1747"/>
      <c r="E1747"/>
      <c r="F1747"/>
      <c r="G1747"/>
      <c r="H1747"/>
      <c r="K1747" s="61"/>
    </row>
    <row r="1748" spans="2:11" s="3" customFormat="1">
      <c r="B1748"/>
      <c r="C1748"/>
      <c r="D1748"/>
      <c r="E1748"/>
      <c r="F1748"/>
      <c r="G1748"/>
      <c r="H1748"/>
      <c r="K1748" s="61"/>
    </row>
    <row r="1749" spans="2:11" s="3" customFormat="1">
      <c r="B1749"/>
      <c r="C1749"/>
      <c r="D1749"/>
      <c r="E1749"/>
      <c r="F1749"/>
      <c r="G1749"/>
      <c r="H1749"/>
      <c r="K1749" s="61"/>
    </row>
    <row r="1750" spans="2:11" s="3" customFormat="1">
      <c r="B1750"/>
      <c r="C1750"/>
      <c r="D1750"/>
      <c r="E1750"/>
      <c r="F1750"/>
      <c r="G1750"/>
      <c r="H1750"/>
      <c r="K1750" s="61"/>
    </row>
    <row r="1751" spans="2:11" s="3" customFormat="1">
      <c r="B1751"/>
      <c r="C1751"/>
      <c r="D1751"/>
      <c r="E1751"/>
      <c r="F1751"/>
      <c r="G1751"/>
      <c r="H1751"/>
      <c r="K1751" s="61"/>
    </row>
    <row r="1752" spans="2:11" s="3" customFormat="1">
      <c r="B1752"/>
      <c r="C1752"/>
      <c r="D1752"/>
      <c r="E1752"/>
      <c r="F1752"/>
      <c r="G1752"/>
      <c r="H1752"/>
      <c r="K1752" s="61"/>
    </row>
    <row r="1753" spans="2:11" s="3" customFormat="1">
      <c r="B1753"/>
      <c r="C1753"/>
      <c r="D1753"/>
      <c r="E1753"/>
      <c r="F1753"/>
      <c r="G1753"/>
      <c r="H1753"/>
      <c r="K1753" s="61"/>
    </row>
    <row r="1754" spans="2:11" s="3" customFormat="1">
      <c r="B1754"/>
      <c r="C1754"/>
      <c r="D1754"/>
      <c r="E1754"/>
      <c r="F1754"/>
      <c r="G1754"/>
      <c r="H1754"/>
      <c r="K1754" s="61"/>
    </row>
    <row r="1755" spans="2:11" s="3" customFormat="1">
      <c r="B1755"/>
      <c r="C1755"/>
      <c r="D1755"/>
      <c r="E1755"/>
      <c r="F1755"/>
      <c r="G1755"/>
      <c r="H1755"/>
      <c r="K1755" s="61"/>
    </row>
    <row r="1756" spans="2:11" s="3" customFormat="1">
      <c r="B1756"/>
      <c r="C1756"/>
      <c r="D1756"/>
      <c r="E1756"/>
      <c r="F1756"/>
      <c r="G1756"/>
      <c r="H1756"/>
      <c r="K1756" s="61"/>
    </row>
    <row r="1757" spans="2:11" s="3" customFormat="1">
      <c r="B1757"/>
      <c r="C1757"/>
      <c r="D1757"/>
      <c r="E1757"/>
      <c r="F1757"/>
      <c r="G1757"/>
      <c r="H1757"/>
      <c r="K1757" s="61"/>
    </row>
    <row r="1758" spans="2:11" s="3" customFormat="1">
      <c r="B1758"/>
      <c r="C1758"/>
      <c r="D1758"/>
      <c r="E1758"/>
      <c r="F1758"/>
      <c r="G1758"/>
      <c r="H1758"/>
      <c r="K1758" s="61"/>
    </row>
    <row r="1759" spans="2:11" s="3" customFormat="1">
      <c r="B1759"/>
      <c r="C1759"/>
      <c r="D1759"/>
      <c r="E1759"/>
      <c r="F1759"/>
      <c r="G1759"/>
      <c r="H1759"/>
      <c r="K1759" s="61"/>
    </row>
    <row r="1760" spans="2:11" s="3" customFormat="1">
      <c r="B1760"/>
      <c r="C1760"/>
      <c r="D1760"/>
      <c r="E1760"/>
      <c r="F1760"/>
      <c r="G1760"/>
      <c r="H1760"/>
      <c r="K1760" s="61"/>
    </row>
    <row r="1761" spans="2:11" s="3" customFormat="1">
      <c r="B1761"/>
      <c r="C1761"/>
      <c r="D1761"/>
      <c r="E1761"/>
      <c r="F1761"/>
      <c r="G1761"/>
      <c r="H1761"/>
      <c r="K1761" s="61"/>
    </row>
    <row r="1762" spans="2:11" s="3" customFormat="1">
      <c r="B1762"/>
      <c r="C1762"/>
      <c r="D1762"/>
      <c r="E1762"/>
      <c r="F1762"/>
      <c r="G1762"/>
      <c r="H1762"/>
      <c r="K1762" s="61"/>
    </row>
    <row r="1763" spans="2:11" s="3" customFormat="1">
      <c r="B1763"/>
      <c r="C1763"/>
      <c r="D1763"/>
      <c r="E1763"/>
      <c r="F1763"/>
      <c r="G1763"/>
      <c r="H1763"/>
      <c r="K1763" s="61"/>
    </row>
    <row r="1764" spans="2:11" s="3" customFormat="1">
      <c r="B1764"/>
      <c r="C1764"/>
      <c r="D1764"/>
      <c r="E1764"/>
      <c r="F1764"/>
      <c r="G1764"/>
      <c r="H1764"/>
      <c r="K1764" s="61"/>
    </row>
    <row r="1765" spans="2:11" s="3" customFormat="1">
      <c r="B1765"/>
      <c r="C1765"/>
      <c r="D1765"/>
      <c r="E1765"/>
      <c r="F1765"/>
      <c r="G1765"/>
      <c r="H1765"/>
      <c r="K1765" s="61"/>
    </row>
    <row r="1766" spans="2:11" s="3" customFormat="1">
      <c r="B1766"/>
      <c r="C1766"/>
      <c r="D1766"/>
      <c r="E1766"/>
      <c r="F1766"/>
      <c r="G1766"/>
      <c r="H1766"/>
      <c r="K1766" s="61"/>
    </row>
    <row r="1767" spans="2:11" s="3" customFormat="1">
      <c r="B1767"/>
      <c r="C1767"/>
      <c r="D1767"/>
      <c r="E1767"/>
      <c r="F1767"/>
      <c r="G1767"/>
      <c r="H1767"/>
      <c r="K1767" s="61"/>
    </row>
    <row r="1768" spans="2:11" s="3" customFormat="1">
      <c r="B1768"/>
      <c r="C1768"/>
      <c r="D1768"/>
      <c r="E1768"/>
      <c r="F1768"/>
      <c r="G1768"/>
      <c r="H1768"/>
      <c r="K1768" s="61"/>
    </row>
    <row r="1769" spans="2:11" s="3" customFormat="1">
      <c r="B1769"/>
      <c r="C1769"/>
      <c r="D1769"/>
      <c r="E1769"/>
      <c r="F1769"/>
      <c r="G1769"/>
      <c r="H1769"/>
      <c r="K1769" s="61"/>
    </row>
    <row r="1770" spans="2:11" s="3" customFormat="1">
      <c r="B1770"/>
      <c r="C1770"/>
      <c r="D1770"/>
      <c r="E1770"/>
      <c r="F1770"/>
      <c r="G1770"/>
      <c r="H1770"/>
      <c r="K1770" s="61"/>
    </row>
    <row r="1771" spans="2:11" s="3" customFormat="1">
      <c r="B1771"/>
      <c r="C1771"/>
      <c r="D1771"/>
      <c r="E1771"/>
      <c r="F1771"/>
      <c r="G1771"/>
      <c r="H1771"/>
      <c r="K1771" s="61"/>
    </row>
    <row r="1772" spans="2:11" s="3" customFormat="1">
      <c r="B1772"/>
      <c r="C1772"/>
      <c r="D1772"/>
      <c r="E1772"/>
      <c r="F1772"/>
      <c r="G1772"/>
      <c r="H1772"/>
      <c r="K1772" s="61"/>
    </row>
    <row r="1773" spans="2:11" s="3" customFormat="1">
      <c r="B1773"/>
      <c r="C1773"/>
      <c r="D1773"/>
      <c r="E1773"/>
      <c r="F1773"/>
      <c r="G1773"/>
      <c r="H1773"/>
      <c r="K1773" s="61"/>
    </row>
    <row r="1774" spans="2:11" s="3" customFormat="1">
      <c r="B1774"/>
      <c r="C1774"/>
      <c r="D1774"/>
      <c r="E1774"/>
      <c r="F1774"/>
      <c r="G1774"/>
      <c r="H1774"/>
      <c r="K1774" s="61"/>
    </row>
    <row r="1775" spans="2:11" s="3" customFormat="1">
      <c r="B1775"/>
      <c r="C1775"/>
      <c r="D1775"/>
      <c r="E1775"/>
      <c r="F1775"/>
      <c r="G1775"/>
      <c r="H1775"/>
      <c r="K1775" s="61"/>
    </row>
    <row r="1776" spans="2:11" s="3" customFormat="1">
      <c r="B1776"/>
      <c r="C1776"/>
      <c r="D1776"/>
      <c r="E1776"/>
      <c r="F1776"/>
      <c r="G1776"/>
      <c r="H1776"/>
      <c r="K1776" s="61"/>
    </row>
    <row r="1777" spans="2:11" s="3" customFormat="1">
      <c r="B1777"/>
      <c r="C1777"/>
      <c r="D1777"/>
      <c r="E1777"/>
      <c r="F1777"/>
      <c r="G1777"/>
      <c r="H1777"/>
      <c r="K1777" s="61"/>
    </row>
    <row r="1778" spans="2:11" s="3" customFormat="1">
      <c r="B1778"/>
      <c r="C1778"/>
      <c r="D1778"/>
      <c r="E1778"/>
      <c r="F1778"/>
      <c r="G1778"/>
      <c r="H1778"/>
      <c r="K1778" s="61"/>
    </row>
    <row r="1779" spans="2:11" s="3" customFormat="1">
      <c r="B1779"/>
      <c r="C1779"/>
      <c r="D1779"/>
      <c r="E1779"/>
      <c r="F1779"/>
      <c r="G1779"/>
      <c r="H1779"/>
      <c r="K1779" s="61"/>
    </row>
    <row r="1780" spans="2:11" s="3" customFormat="1">
      <c r="B1780"/>
      <c r="C1780"/>
      <c r="D1780"/>
      <c r="E1780"/>
      <c r="F1780"/>
      <c r="G1780"/>
      <c r="H1780"/>
      <c r="K1780" s="61"/>
    </row>
    <row r="1781" spans="2:11" s="3" customFormat="1">
      <c r="B1781"/>
      <c r="C1781"/>
      <c r="D1781"/>
      <c r="E1781"/>
      <c r="F1781"/>
      <c r="G1781"/>
      <c r="H1781"/>
      <c r="K1781" s="61"/>
    </row>
    <row r="1782" spans="2:11" s="3" customFormat="1">
      <c r="B1782"/>
      <c r="C1782"/>
      <c r="D1782"/>
      <c r="E1782"/>
      <c r="F1782"/>
      <c r="G1782"/>
      <c r="H1782"/>
      <c r="K1782" s="61"/>
    </row>
    <row r="1783" spans="2:11" s="3" customFormat="1">
      <c r="B1783"/>
      <c r="C1783"/>
      <c r="D1783"/>
      <c r="E1783"/>
      <c r="F1783"/>
      <c r="G1783"/>
      <c r="H1783"/>
      <c r="K1783" s="61"/>
    </row>
    <row r="1784" spans="2:11" s="3" customFormat="1">
      <c r="B1784"/>
      <c r="C1784"/>
      <c r="D1784"/>
      <c r="E1784"/>
      <c r="F1784"/>
      <c r="G1784"/>
      <c r="H1784"/>
      <c r="K1784" s="61"/>
    </row>
    <row r="1785" spans="2:11" s="3" customFormat="1">
      <c r="B1785"/>
      <c r="C1785"/>
      <c r="D1785"/>
      <c r="E1785"/>
      <c r="F1785"/>
      <c r="G1785"/>
      <c r="H1785"/>
      <c r="K1785" s="61"/>
    </row>
    <row r="1786" spans="2:11" s="3" customFormat="1">
      <c r="B1786"/>
      <c r="C1786"/>
      <c r="D1786"/>
      <c r="E1786"/>
      <c r="F1786"/>
      <c r="G1786"/>
      <c r="H1786"/>
      <c r="K1786" s="61"/>
    </row>
    <row r="1787" spans="2:11" s="3" customFormat="1">
      <c r="B1787"/>
      <c r="C1787"/>
      <c r="D1787"/>
      <c r="E1787"/>
      <c r="F1787"/>
      <c r="G1787"/>
      <c r="H1787"/>
      <c r="K1787" s="61"/>
    </row>
    <row r="1788" spans="2:11" s="3" customFormat="1">
      <c r="B1788"/>
      <c r="C1788"/>
      <c r="D1788"/>
      <c r="E1788"/>
      <c r="F1788"/>
      <c r="G1788"/>
      <c r="H1788"/>
      <c r="K1788" s="61"/>
    </row>
    <row r="1789" spans="2:11" s="3" customFormat="1">
      <c r="B1789"/>
      <c r="C1789"/>
      <c r="D1789"/>
      <c r="E1789"/>
      <c r="F1789"/>
      <c r="G1789"/>
      <c r="H1789"/>
      <c r="K1789" s="61"/>
    </row>
    <row r="1790" spans="2:11" s="3" customFormat="1">
      <c r="B1790"/>
      <c r="C1790"/>
      <c r="D1790"/>
      <c r="E1790"/>
      <c r="F1790"/>
      <c r="G1790"/>
      <c r="H1790"/>
      <c r="K1790" s="61"/>
    </row>
    <row r="1791" spans="2:11" s="3" customFormat="1">
      <c r="B1791"/>
      <c r="C1791"/>
      <c r="D1791"/>
      <c r="E1791"/>
      <c r="F1791"/>
      <c r="G1791"/>
      <c r="H1791"/>
      <c r="K1791" s="61"/>
    </row>
    <row r="1792" spans="2:11" s="3" customFormat="1">
      <c r="B1792"/>
      <c r="C1792"/>
      <c r="D1792"/>
      <c r="E1792"/>
      <c r="F1792"/>
      <c r="G1792"/>
      <c r="H1792"/>
      <c r="K1792" s="61"/>
    </row>
    <row r="1793" spans="2:11" s="3" customFormat="1">
      <c r="B1793"/>
      <c r="C1793"/>
      <c r="D1793"/>
      <c r="E1793"/>
      <c r="F1793"/>
      <c r="G1793"/>
      <c r="H1793"/>
      <c r="K1793" s="61"/>
    </row>
    <row r="1794" spans="2:11" s="3" customFormat="1">
      <c r="B1794"/>
      <c r="C1794"/>
      <c r="D1794"/>
      <c r="E1794"/>
      <c r="F1794"/>
      <c r="G1794"/>
      <c r="H1794"/>
      <c r="K1794" s="61"/>
    </row>
    <row r="1795" spans="2:11" s="3" customFormat="1">
      <c r="B1795"/>
      <c r="C1795"/>
      <c r="D1795"/>
      <c r="E1795"/>
      <c r="F1795"/>
      <c r="G1795"/>
      <c r="H1795"/>
      <c r="K1795" s="61"/>
    </row>
    <row r="1796" spans="2:11" s="3" customFormat="1">
      <c r="B1796"/>
      <c r="C1796"/>
      <c r="D1796"/>
      <c r="E1796"/>
      <c r="F1796"/>
      <c r="G1796"/>
      <c r="H1796"/>
      <c r="K1796" s="61"/>
    </row>
    <row r="1797" spans="2:11" s="3" customFormat="1">
      <c r="B1797"/>
      <c r="C1797"/>
      <c r="D1797"/>
      <c r="E1797"/>
      <c r="F1797"/>
      <c r="G1797"/>
      <c r="H1797"/>
      <c r="K1797" s="61"/>
    </row>
    <row r="1798" spans="2:11" s="3" customFormat="1">
      <c r="B1798"/>
      <c r="C1798"/>
      <c r="D1798"/>
      <c r="E1798"/>
      <c r="F1798"/>
      <c r="G1798"/>
      <c r="H1798"/>
      <c r="K1798" s="61"/>
    </row>
    <row r="1799" spans="2:11" s="3" customFormat="1">
      <c r="B1799"/>
      <c r="C1799"/>
      <c r="D1799"/>
      <c r="E1799"/>
      <c r="F1799"/>
      <c r="G1799"/>
      <c r="H1799"/>
      <c r="K1799" s="61"/>
    </row>
    <row r="1800" spans="2:11" s="3" customFormat="1">
      <c r="B1800"/>
      <c r="C1800"/>
      <c r="D1800"/>
      <c r="E1800"/>
      <c r="F1800"/>
      <c r="G1800"/>
      <c r="H1800"/>
      <c r="K1800" s="61"/>
    </row>
    <row r="1801" spans="2:11" s="3" customFormat="1">
      <c r="B1801"/>
      <c r="C1801"/>
      <c r="D1801"/>
      <c r="E1801"/>
      <c r="F1801"/>
      <c r="G1801"/>
      <c r="H1801"/>
      <c r="K1801" s="61"/>
    </row>
    <row r="1802" spans="2:11" s="3" customFormat="1">
      <c r="B1802"/>
      <c r="C1802"/>
      <c r="D1802"/>
      <c r="E1802"/>
      <c r="F1802"/>
      <c r="G1802"/>
      <c r="H1802"/>
      <c r="K1802" s="61"/>
    </row>
    <row r="1803" spans="2:11" s="3" customFormat="1">
      <c r="B1803"/>
      <c r="C1803"/>
      <c r="D1803"/>
      <c r="E1803"/>
      <c r="F1803"/>
      <c r="G1803"/>
      <c r="H1803"/>
      <c r="K1803" s="61"/>
    </row>
    <row r="1804" spans="2:11" s="3" customFormat="1">
      <c r="B1804"/>
      <c r="C1804"/>
      <c r="D1804"/>
      <c r="E1804"/>
      <c r="F1804"/>
      <c r="G1804"/>
      <c r="H1804"/>
      <c r="K1804" s="61"/>
    </row>
    <row r="1805" spans="2:11" s="3" customFormat="1">
      <c r="B1805"/>
      <c r="C1805"/>
      <c r="D1805"/>
      <c r="E1805"/>
      <c r="F1805"/>
      <c r="G1805"/>
      <c r="H1805"/>
      <c r="K1805" s="61"/>
    </row>
    <row r="1806" spans="2:11" s="3" customFormat="1">
      <c r="B1806"/>
      <c r="C1806"/>
      <c r="D1806"/>
      <c r="E1806"/>
      <c r="F1806"/>
      <c r="G1806"/>
      <c r="H1806"/>
      <c r="K1806" s="61"/>
    </row>
    <row r="1807" spans="2:11" s="3" customFormat="1">
      <c r="B1807"/>
      <c r="C1807"/>
      <c r="D1807"/>
      <c r="E1807"/>
      <c r="F1807"/>
      <c r="G1807"/>
      <c r="H1807"/>
      <c r="K1807" s="61"/>
    </row>
    <row r="1808" spans="2:11" s="3" customFormat="1">
      <c r="B1808"/>
      <c r="C1808"/>
      <c r="D1808"/>
      <c r="E1808"/>
      <c r="F1808"/>
      <c r="G1808"/>
      <c r="H1808"/>
      <c r="K1808" s="61"/>
    </row>
    <row r="1809" spans="2:11" s="3" customFormat="1">
      <c r="B1809"/>
      <c r="C1809"/>
      <c r="D1809"/>
      <c r="E1809"/>
      <c r="F1809"/>
      <c r="G1809"/>
      <c r="H1809"/>
      <c r="K1809" s="61"/>
    </row>
    <row r="1810" spans="2:11" s="3" customFormat="1">
      <c r="B1810"/>
      <c r="C1810"/>
      <c r="D1810"/>
      <c r="E1810"/>
      <c r="F1810"/>
      <c r="G1810"/>
      <c r="H1810"/>
      <c r="K1810" s="61"/>
    </row>
    <row r="1811" spans="2:11" s="3" customFormat="1">
      <c r="B1811"/>
      <c r="C1811"/>
      <c r="D1811"/>
      <c r="E1811"/>
      <c r="F1811"/>
      <c r="G1811"/>
      <c r="H1811"/>
      <c r="K1811" s="61"/>
    </row>
    <row r="1812" spans="2:11" s="3" customFormat="1">
      <c r="B1812"/>
      <c r="C1812"/>
      <c r="D1812"/>
      <c r="E1812"/>
      <c r="F1812"/>
      <c r="G1812"/>
      <c r="H1812"/>
      <c r="K1812" s="61"/>
    </row>
    <row r="1813" spans="2:11" s="3" customFormat="1">
      <c r="B1813"/>
      <c r="C1813"/>
      <c r="D1813"/>
      <c r="E1813"/>
      <c r="F1813"/>
      <c r="G1813"/>
      <c r="H1813"/>
      <c r="K1813" s="61"/>
    </row>
    <row r="1814" spans="2:11" s="3" customFormat="1">
      <c r="B1814"/>
      <c r="C1814"/>
      <c r="D1814"/>
      <c r="E1814"/>
      <c r="F1814"/>
      <c r="G1814"/>
      <c r="H1814"/>
      <c r="K1814" s="61"/>
    </row>
    <row r="1815" spans="2:11" s="3" customFormat="1">
      <c r="B1815"/>
      <c r="C1815"/>
      <c r="D1815"/>
      <c r="E1815"/>
      <c r="F1815"/>
      <c r="G1815"/>
      <c r="H1815"/>
      <c r="K1815" s="61"/>
    </row>
    <row r="1816" spans="2:11" s="3" customFormat="1">
      <c r="B1816"/>
      <c r="C1816"/>
      <c r="D1816"/>
      <c r="E1816"/>
      <c r="F1816"/>
      <c r="G1816"/>
      <c r="H1816"/>
      <c r="K1816" s="61"/>
    </row>
    <row r="1817" spans="2:11" s="3" customFormat="1">
      <c r="B1817"/>
      <c r="C1817"/>
      <c r="D1817"/>
      <c r="E1817"/>
      <c r="F1817"/>
      <c r="G1817"/>
      <c r="H1817"/>
      <c r="K1817" s="61"/>
    </row>
    <row r="1818" spans="2:11" s="3" customFormat="1">
      <c r="B1818"/>
      <c r="C1818"/>
      <c r="D1818"/>
      <c r="E1818"/>
      <c r="F1818"/>
      <c r="G1818"/>
      <c r="H1818"/>
      <c r="K1818" s="61"/>
    </row>
    <row r="1819" spans="2:11" s="3" customFormat="1">
      <c r="B1819"/>
      <c r="C1819"/>
      <c r="D1819"/>
      <c r="E1819"/>
      <c r="F1819"/>
      <c r="G1819"/>
      <c r="H1819"/>
      <c r="K1819" s="61"/>
    </row>
    <row r="1820" spans="2:11" s="3" customFormat="1">
      <c r="B1820"/>
      <c r="C1820"/>
      <c r="D1820"/>
      <c r="E1820"/>
      <c r="F1820"/>
      <c r="G1820"/>
      <c r="H1820"/>
      <c r="K1820" s="61"/>
    </row>
    <row r="1821" spans="2:11" s="3" customFormat="1">
      <c r="B1821"/>
      <c r="C1821"/>
      <c r="D1821"/>
      <c r="E1821"/>
      <c r="F1821"/>
      <c r="G1821"/>
      <c r="H1821"/>
      <c r="K1821" s="61"/>
    </row>
    <row r="1822" spans="2:11" s="3" customFormat="1">
      <c r="B1822"/>
      <c r="C1822"/>
      <c r="D1822"/>
      <c r="E1822"/>
      <c r="F1822"/>
      <c r="G1822"/>
      <c r="H1822"/>
      <c r="K1822" s="61"/>
    </row>
    <row r="1823" spans="2:11" s="3" customFormat="1">
      <c r="B1823"/>
      <c r="C1823"/>
      <c r="D1823"/>
      <c r="E1823"/>
      <c r="F1823"/>
      <c r="G1823"/>
      <c r="H1823"/>
      <c r="K1823" s="61"/>
    </row>
    <row r="1824" spans="2:11" s="3" customFormat="1">
      <c r="B1824"/>
      <c r="C1824"/>
      <c r="D1824"/>
      <c r="E1824"/>
      <c r="F1824"/>
      <c r="G1824"/>
      <c r="H1824"/>
      <c r="K1824" s="61"/>
    </row>
    <row r="1825" spans="2:11" s="3" customFormat="1">
      <c r="B1825"/>
      <c r="C1825"/>
      <c r="D1825"/>
      <c r="E1825"/>
      <c r="F1825"/>
      <c r="G1825"/>
      <c r="H1825"/>
      <c r="K1825" s="61"/>
    </row>
    <row r="1826" spans="2:11" s="3" customFormat="1">
      <c r="B1826"/>
      <c r="C1826"/>
      <c r="D1826"/>
      <c r="E1826"/>
      <c r="F1826"/>
      <c r="G1826"/>
      <c r="H1826"/>
      <c r="K1826" s="61"/>
    </row>
    <row r="1827" spans="2:11" s="3" customFormat="1">
      <c r="B1827"/>
      <c r="C1827"/>
      <c r="D1827"/>
      <c r="E1827"/>
      <c r="F1827"/>
      <c r="G1827"/>
      <c r="H1827"/>
      <c r="K1827" s="61"/>
    </row>
    <row r="1828" spans="2:11" s="3" customFormat="1">
      <c r="B1828"/>
      <c r="C1828"/>
      <c r="D1828"/>
      <c r="E1828"/>
      <c r="F1828"/>
      <c r="G1828"/>
      <c r="H1828"/>
      <c r="K1828" s="61"/>
    </row>
    <row r="1829" spans="2:11" s="3" customFormat="1">
      <c r="B1829"/>
      <c r="C1829"/>
      <c r="D1829"/>
      <c r="E1829"/>
      <c r="F1829"/>
      <c r="G1829"/>
      <c r="H1829"/>
      <c r="K1829" s="61"/>
    </row>
    <row r="1830" spans="2:11" s="3" customFormat="1">
      <c r="B1830"/>
      <c r="C1830"/>
      <c r="D1830"/>
      <c r="E1830"/>
      <c r="F1830"/>
      <c r="G1830"/>
      <c r="H1830"/>
      <c r="K1830" s="61"/>
    </row>
    <row r="1831" spans="2:11" s="3" customFormat="1">
      <c r="B1831"/>
      <c r="C1831"/>
      <c r="D1831"/>
      <c r="E1831"/>
      <c r="F1831"/>
      <c r="G1831"/>
      <c r="H1831"/>
      <c r="K1831" s="61"/>
    </row>
    <row r="1832" spans="2:11" s="3" customFormat="1">
      <c r="B1832"/>
      <c r="C1832"/>
      <c r="D1832"/>
      <c r="E1832"/>
      <c r="F1832"/>
      <c r="G1832"/>
      <c r="H1832"/>
      <c r="K1832" s="61"/>
    </row>
    <row r="1833" spans="2:11" s="3" customFormat="1">
      <c r="B1833"/>
      <c r="C1833"/>
      <c r="D1833"/>
      <c r="E1833"/>
      <c r="F1833"/>
      <c r="G1833"/>
      <c r="H1833"/>
      <c r="K1833" s="61"/>
    </row>
    <row r="1834" spans="2:11" s="3" customFormat="1">
      <c r="B1834"/>
      <c r="C1834"/>
      <c r="D1834"/>
      <c r="E1834"/>
      <c r="F1834"/>
      <c r="G1834"/>
      <c r="H1834"/>
      <c r="K1834" s="61"/>
    </row>
    <row r="1835" spans="2:11" s="3" customFormat="1">
      <c r="B1835"/>
      <c r="C1835"/>
      <c r="D1835"/>
      <c r="E1835"/>
      <c r="F1835"/>
      <c r="G1835"/>
      <c r="H1835"/>
      <c r="K1835" s="61"/>
    </row>
    <row r="1836" spans="2:11" s="3" customFormat="1">
      <c r="B1836"/>
      <c r="C1836"/>
      <c r="D1836"/>
      <c r="E1836"/>
      <c r="F1836"/>
      <c r="G1836"/>
      <c r="H1836"/>
      <c r="K1836" s="61"/>
    </row>
    <row r="1837" spans="2:11" s="3" customFormat="1">
      <c r="B1837"/>
      <c r="C1837"/>
      <c r="D1837"/>
      <c r="E1837"/>
      <c r="F1837"/>
      <c r="G1837"/>
      <c r="H1837"/>
      <c r="K1837" s="61"/>
    </row>
    <row r="1838" spans="2:11" s="3" customFormat="1">
      <c r="B1838"/>
      <c r="C1838"/>
      <c r="D1838"/>
      <c r="E1838"/>
      <c r="F1838"/>
      <c r="G1838"/>
      <c r="H1838"/>
      <c r="K1838" s="61"/>
    </row>
    <row r="1839" spans="2:11" s="3" customFormat="1">
      <c r="B1839"/>
      <c r="C1839"/>
      <c r="D1839"/>
      <c r="E1839"/>
      <c r="F1839"/>
      <c r="G1839"/>
      <c r="H1839"/>
      <c r="K1839" s="61"/>
    </row>
    <row r="1840" spans="2:11" s="3" customFormat="1">
      <c r="B1840"/>
      <c r="C1840"/>
      <c r="D1840"/>
      <c r="E1840"/>
      <c r="F1840"/>
      <c r="G1840"/>
      <c r="H1840"/>
      <c r="K1840" s="61"/>
    </row>
    <row r="1841" spans="2:11" s="3" customFormat="1">
      <c r="B1841"/>
      <c r="C1841"/>
      <c r="D1841"/>
      <c r="E1841"/>
      <c r="F1841"/>
      <c r="G1841"/>
      <c r="H1841"/>
      <c r="K1841" s="61"/>
    </row>
    <row r="1842" spans="2:11" s="3" customFormat="1">
      <c r="B1842"/>
      <c r="C1842"/>
      <c r="D1842"/>
      <c r="E1842"/>
      <c r="F1842"/>
      <c r="G1842"/>
      <c r="H1842"/>
      <c r="K1842" s="61"/>
    </row>
    <row r="1843" spans="2:11" s="3" customFormat="1">
      <c r="B1843"/>
      <c r="C1843"/>
      <c r="D1843"/>
      <c r="E1843"/>
      <c r="F1843"/>
      <c r="G1843"/>
      <c r="H1843"/>
      <c r="K1843" s="61"/>
    </row>
    <row r="1844" spans="2:11" s="3" customFormat="1">
      <c r="B1844"/>
      <c r="C1844"/>
      <c r="D1844"/>
      <c r="E1844"/>
      <c r="F1844"/>
      <c r="G1844"/>
      <c r="H1844"/>
      <c r="K1844" s="61"/>
    </row>
    <row r="1845" spans="2:11" s="3" customFormat="1">
      <c r="B1845"/>
      <c r="C1845"/>
      <c r="D1845"/>
      <c r="E1845"/>
      <c r="F1845"/>
      <c r="G1845"/>
      <c r="H1845"/>
      <c r="K1845" s="61"/>
    </row>
    <row r="1846" spans="2:11" s="3" customFormat="1">
      <c r="B1846"/>
      <c r="C1846"/>
      <c r="D1846"/>
      <c r="E1846"/>
      <c r="F1846"/>
      <c r="G1846"/>
      <c r="H1846"/>
      <c r="K1846" s="61"/>
    </row>
    <row r="1847" spans="2:11" s="3" customFormat="1">
      <c r="B1847"/>
      <c r="C1847"/>
      <c r="D1847"/>
      <c r="E1847"/>
      <c r="F1847"/>
      <c r="G1847"/>
      <c r="H1847"/>
      <c r="K1847" s="61"/>
    </row>
    <row r="1848" spans="2:11" s="3" customFormat="1">
      <c r="B1848"/>
      <c r="C1848"/>
      <c r="D1848"/>
      <c r="E1848"/>
      <c r="F1848"/>
      <c r="G1848"/>
      <c r="H1848"/>
      <c r="K1848" s="61"/>
    </row>
    <row r="1849" spans="2:11" s="3" customFormat="1">
      <c r="B1849"/>
      <c r="C1849"/>
      <c r="D1849"/>
      <c r="E1849"/>
      <c r="F1849"/>
      <c r="G1849"/>
      <c r="H1849"/>
      <c r="K1849" s="61"/>
    </row>
    <row r="1850" spans="2:11" s="3" customFormat="1">
      <c r="B1850"/>
      <c r="C1850"/>
      <c r="D1850"/>
      <c r="E1850"/>
      <c r="F1850"/>
      <c r="G1850"/>
      <c r="H1850"/>
      <c r="K1850" s="61"/>
    </row>
    <row r="1851" spans="2:11" s="3" customFormat="1">
      <c r="B1851"/>
      <c r="C1851"/>
      <c r="D1851"/>
      <c r="E1851"/>
      <c r="F1851"/>
      <c r="G1851"/>
      <c r="H1851"/>
      <c r="K1851" s="61"/>
    </row>
    <row r="1852" spans="2:11" s="3" customFormat="1">
      <c r="B1852"/>
      <c r="C1852"/>
      <c r="D1852"/>
      <c r="E1852"/>
      <c r="F1852"/>
      <c r="G1852"/>
      <c r="H1852"/>
      <c r="K1852" s="61"/>
    </row>
    <row r="1853" spans="2:11" s="3" customFormat="1">
      <c r="B1853"/>
      <c r="C1853"/>
      <c r="D1853"/>
      <c r="E1853"/>
      <c r="F1853"/>
      <c r="G1853"/>
      <c r="H1853"/>
      <c r="K1853" s="61"/>
    </row>
    <row r="1854" spans="2:11" s="3" customFormat="1">
      <c r="B1854"/>
      <c r="C1854"/>
      <c r="D1854"/>
      <c r="E1854"/>
      <c r="F1854"/>
      <c r="G1854"/>
      <c r="K1854" s="61"/>
    </row>
    <row r="1855" spans="2:11" s="3" customFormat="1">
      <c r="B1855"/>
      <c r="C1855"/>
      <c r="D1855"/>
      <c r="E1855"/>
      <c r="F1855"/>
      <c r="G1855"/>
      <c r="K1855" s="61"/>
    </row>
    <row r="1856" spans="2:11" s="3" customFormat="1">
      <c r="B1856"/>
      <c r="C1856"/>
      <c r="D1856"/>
      <c r="E1856"/>
      <c r="F1856"/>
      <c r="G1856"/>
      <c r="K1856" s="61"/>
    </row>
    <row r="1857" spans="2:11" s="3" customFormat="1">
      <c r="B1857"/>
      <c r="C1857"/>
      <c r="D1857"/>
      <c r="E1857"/>
      <c r="F1857"/>
      <c r="G1857"/>
      <c r="K1857" s="61"/>
    </row>
    <row r="1858" spans="2:11" s="3" customFormat="1">
      <c r="B1858"/>
      <c r="C1858"/>
      <c r="D1858"/>
      <c r="E1858"/>
      <c r="F1858"/>
      <c r="G1858"/>
      <c r="K1858" s="61"/>
    </row>
    <row r="1859" spans="2:11" s="3" customFormat="1">
      <c r="B1859"/>
      <c r="C1859"/>
      <c r="D1859"/>
      <c r="E1859"/>
      <c r="F1859"/>
      <c r="G1859"/>
      <c r="K1859" s="61"/>
    </row>
    <row r="1860" spans="2:11" s="3" customFormat="1">
      <c r="B1860"/>
      <c r="C1860"/>
      <c r="D1860"/>
      <c r="E1860"/>
      <c r="F1860"/>
      <c r="G1860"/>
      <c r="K1860" s="61"/>
    </row>
    <row r="1861" spans="2:11" s="3" customFormat="1">
      <c r="B1861"/>
      <c r="C1861"/>
      <c r="D1861"/>
      <c r="E1861"/>
      <c r="F1861"/>
      <c r="G1861"/>
      <c r="K1861" s="61"/>
    </row>
    <row r="1862" spans="2:11" s="3" customFormat="1">
      <c r="B1862"/>
      <c r="C1862"/>
      <c r="D1862"/>
      <c r="E1862"/>
      <c r="F1862"/>
      <c r="G1862"/>
      <c r="K1862" s="61"/>
    </row>
    <row r="1863" spans="2:11" s="3" customFormat="1">
      <c r="B1863"/>
      <c r="C1863"/>
      <c r="D1863"/>
      <c r="E1863"/>
      <c r="F1863"/>
      <c r="G1863"/>
      <c r="K1863" s="61"/>
    </row>
    <row r="1864" spans="2:11" s="3" customFormat="1">
      <c r="B1864"/>
      <c r="C1864"/>
      <c r="D1864"/>
      <c r="E1864"/>
      <c r="F1864"/>
      <c r="G1864"/>
      <c r="K1864" s="61"/>
    </row>
    <row r="1865" spans="2:11" s="3" customFormat="1">
      <c r="B1865"/>
      <c r="C1865"/>
      <c r="D1865"/>
      <c r="E1865"/>
      <c r="F1865"/>
      <c r="G1865"/>
      <c r="K1865" s="61"/>
    </row>
    <row r="1866" spans="2:11" s="3" customFormat="1">
      <c r="B1866"/>
      <c r="C1866"/>
      <c r="D1866"/>
      <c r="E1866"/>
      <c r="F1866"/>
      <c r="G1866"/>
      <c r="K1866" s="61"/>
    </row>
    <row r="1867" spans="2:11" s="3" customFormat="1">
      <c r="B1867"/>
      <c r="C1867"/>
      <c r="D1867"/>
      <c r="E1867"/>
      <c r="F1867"/>
      <c r="G1867"/>
      <c r="K1867" s="61"/>
    </row>
    <row r="1868" spans="2:11" s="3" customFormat="1">
      <c r="B1868"/>
      <c r="C1868"/>
      <c r="D1868"/>
      <c r="E1868"/>
      <c r="F1868"/>
      <c r="G1868"/>
      <c r="K1868" s="61"/>
    </row>
    <row r="1869" spans="2:11" s="3" customFormat="1">
      <c r="B1869"/>
      <c r="C1869"/>
      <c r="D1869"/>
      <c r="E1869"/>
      <c r="F1869"/>
      <c r="G1869"/>
      <c r="K1869" s="61"/>
    </row>
    <row r="1870" spans="2:11" s="3" customFormat="1">
      <c r="B1870"/>
      <c r="C1870"/>
      <c r="D1870"/>
      <c r="E1870"/>
      <c r="F1870"/>
      <c r="G1870"/>
      <c r="K1870" s="61"/>
    </row>
    <row r="1871" spans="2:11" s="3" customFormat="1">
      <c r="B1871"/>
      <c r="C1871"/>
      <c r="D1871"/>
      <c r="E1871"/>
      <c r="F1871"/>
      <c r="G1871"/>
      <c r="K1871" s="61"/>
    </row>
    <row r="1872" spans="2:11" s="3" customFormat="1">
      <c r="B1872"/>
      <c r="C1872"/>
      <c r="D1872"/>
      <c r="E1872"/>
      <c r="F1872"/>
      <c r="G1872"/>
      <c r="K1872" s="61"/>
    </row>
    <row r="1873" spans="2:11" s="3" customFormat="1">
      <c r="B1873"/>
      <c r="C1873"/>
      <c r="D1873"/>
      <c r="E1873"/>
      <c r="F1873"/>
      <c r="G1873"/>
      <c r="K1873" s="61"/>
    </row>
    <row r="1874" spans="2:11" s="3" customFormat="1">
      <c r="B1874"/>
      <c r="C1874"/>
      <c r="D1874"/>
      <c r="E1874"/>
      <c r="F1874"/>
      <c r="G1874"/>
      <c r="K1874" s="61"/>
    </row>
    <row r="1875" spans="2:11" s="3" customFormat="1">
      <c r="B1875"/>
      <c r="C1875"/>
      <c r="D1875"/>
      <c r="E1875"/>
      <c r="F1875"/>
      <c r="G1875"/>
      <c r="K1875" s="61"/>
    </row>
    <row r="1876" spans="2:11" s="3" customFormat="1">
      <c r="B1876"/>
      <c r="C1876"/>
      <c r="D1876"/>
      <c r="E1876"/>
      <c r="F1876"/>
      <c r="G1876"/>
      <c r="K1876" s="61"/>
    </row>
    <row r="1877" spans="2:11" s="3" customFormat="1">
      <c r="B1877"/>
      <c r="C1877"/>
      <c r="D1877"/>
      <c r="E1877"/>
      <c r="F1877"/>
      <c r="G1877"/>
      <c r="K1877" s="61"/>
    </row>
    <row r="1878" spans="2:11" s="3" customFormat="1">
      <c r="B1878"/>
      <c r="C1878"/>
      <c r="D1878"/>
      <c r="E1878"/>
      <c r="F1878"/>
      <c r="G1878"/>
      <c r="K1878" s="61"/>
    </row>
    <row r="1879" spans="2:11" s="3" customFormat="1">
      <c r="B1879"/>
      <c r="C1879"/>
      <c r="D1879"/>
      <c r="E1879"/>
      <c r="F1879"/>
      <c r="G1879"/>
      <c r="K1879" s="61"/>
    </row>
    <row r="1880" spans="2:11" s="3" customFormat="1">
      <c r="B1880"/>
      <c r="C1880"/>
      <c r="D1880"/>
      <c r="E1880"/>
      <c r="F1880"/>
      <c r="G1880"/>
      <c r="K1880" s="61"/>
    </row>
    <row r="1881" spans="2:11" s="3" customFormat="1">
      <c r="B1881"/>
      <c r="C1881"/>
      <c r="D1881"/>
      <c r="E1881"/>
      <c r="F1881"/>
      <c r="G1881"/>
      <c r="K1881" s="61"/>
    </row>
    <row r="1882" spans="2:11" s="3" customFormat="1">
      <c r="B1882"/>
      <c r="C1882"/>
      <c r="D1882"/>
      <c r="E1882"/>
      <c r="F1882"/>
      <c r="G1882"/>
      <c r="K1882" s="61"/>
    </row>
    <row r="1883" spans="2:11" s="3" customFormat="1">
      <c r="B1883"/>
      <c r="C1883"/>
      <c r="D1883"/>
      <c r="E1883"/>
      <c r="F1883"/>
      <c r="G1883"/>
      <c r="K1883" s="61"/>
    </row>
    <row r="1884" spans="2:11" s="3" customFormat="1">
      <c r="B1884"/>
      <c r="C1884"/>
      <c r="D1884"/>
      <c r="E1884"/>
      <c r="F1884"/>
      <c r="G1884"/>
      <c r="K1884" s="61"/>
    </row>
    <row r="1885" spans="2:11" s="3" customFormat="1">
      <c r="B1885"/>
      <c r="C1885"/>
      <c r="D1885"/>
      <c r="E1885"/>
      <c r="F1885"/>
      <c r="G1885"/>
      <c r="K1885" s="61"/>
    </row>
    <row r="1886" spans="2:11" s="3" customFormat="1">
      <c r="B1886"/>
      <c r="C1886"/>
      <c r="D1886"/>
      <c r="E1886"/>
      <c r="F1886"/>
      <c r="G1886"/>
      <c r="K1886" s="61"/>
    </row>
    <row r="1887" spans="2:11" s="3" customFormat="1">
      <c r="B1887"/>
      <c r="C1887"/>
      <c r="D1887"/>
      <c r="E1887"/>
      <c r="F1887"/>
      <c r="G1887"/>
      <c r="K1887" s="61"/>
    </row>
    <row r="1888" spans="2:11" s="3" customFormat="1">
      <c r="B1888"/>
      <c r="C1888"/>
      <c r="D1888"/>
      <c r="E1888"/>
      <c r="F1888"/>
      <c r="G1888"/>
      <c r="K1888" s="61"/>
    </row>
    <row r="1889" spans="2:11" s="3" customFormat="1">
      <c r="B1889"/>
      <c r="C1889"/>
      <c r="D1889"/>
      <c r="E1889"/>
      <c r="F1889"/>
      <c r="G1889"/>
      <c r="K1889" s="61"/>
    </row>
    <row r="1890" spans="2:11" s="3" customFormat="1">
      <c r="B1890"/>
      <c r="C1890"/>
      <c r="D1890"/>
      <c r="E1890"/>
      <c r="F1890"/>
      <c r="G1890"/>
      <c r="K1890" s="61"/>
    </row>
    <row r="1891" spans="2:11" s="3" customFormat="1">
      <c r="B1891"/>
      <c r="C1891"/>
      <c r="D1891"/>
      <c r="E1891"/>
      <c r="F1891"/>
      <c r="G1891"/>
      <c r="K1891" s="61"/>
    </row>
    <row r="1892" spans="2:11" s="3" customFormat="1">
      <c r="B1892"/>
      <c r="C1892"/>
      <c r="D1892"/>
      <c r="E1892"/>
      <c r="F1892"/>
      <c r="G1892"/>
      <c r="K1892" s="61"/>
    </row>
    <row r="1893" spans="2:11" s="3" customFormat="1">
      <c r="B1893"/>
      <c r="C1893"/>
      <c r="D1893"/>
      <c r="E1893"/>
      <c r="F1893"/>
      <c r="G1893"/>
      <c r="K1893" s="61"/>
    </row>
    <row r="1894" spans="2:11" s="3" customFormat="1">
      <c r="B1894"/>
      <c r="C1894"/>
      <c r="D1894"/>
      <c r="E1894"/>
      <c r="F1894"/>
      <c r="G1894"/>
      <c r="K1894" s="61"/>
    </row>
    <row r="1895" spans="2:11" s="3" customFormat="1">
      <c r="B1895"/>
      <c r="C1895"/>
      <c r="D1895"/>
      <c r="E1895"/>
      <c r="F1895"/>
      <c r="G1895"/>
      <c r="K1895" s="61"/>
    </row>
    <row r="1896" spans="2:11" s="3" customFormat="1">
      <c r="B1896"/>
      <c r="C1896"/>
      <c r="D1896"/>
      <c r="E1896"/>
      <c r="F1896"/>
      <c r="G1896"/>
      <c r="K1896" s="61"/>
    </row>
    <row r="1897" spans="2:11" s="3" customFormat="1">
      <c r="B1897"/>
      <c r="C1897"/>
      <c r="D1897"/>
      <c r="E1897"/>
      <c r="F1897"/>
      <c r="G1897"/>
      <c r="K1897" s="61"/>
    </row>
    <row r="1898" spans="2:11" s="3" customFormat="1">
      <c r="B1898"/>
      <c r="C1898"/>
      <c r="D1898"/>
      <c r="E1898"/>
      <c r="F1898"/>
      <c r="G1898"/>
      <c r="K1898" s="61"/>
    </row>
    <row r="1899" spans="2:11" s="3" customFormat="1">
      <c r="B1899"/>
      <c r="C1899"/>
      <c r="D1899"/>
      <c r="E1899"/>
      <c r="F1899"/>
      <c r="G1899"/>
      <c r="K1899" s="61"/>
    </row>
    <row r="1900" spans="2:11" s="3" customFormat="1">
      <c r="B1900"/>
      <c r="C1900"/>
      <c r="D1900"/>
      <c r="E1900"/>
      <c r="F1900"/>
      <c r="G1900"/>
      <c r="K1900" s="61"/>
    </row>
    <row r="1901" spans="2:11" s="3" customFormat="1">
      <c r="B1901"/>
      <c r="C1901"/>
      <c r="D1901"/>
      <c r="E1901"/>
      <c r="F1901"/>
      <c r="G1901"/>
      <c r="K1901" s="61"/>
    </row>
    <row r="1902" spans="2:11" s="3" customFormat="1">
      <c r="B1902"/>
      <c r="C1902"/>
      <c r="D1902"/>
      <c r="E1902"/>
      <c r="F1902"/>
      <c r="G1902"/>
      <c r="K1902" s="61"/>
    </row>
    <row r="1903" spans="2:11" s="3" customFormat="1">
      <c r="B1903"/>
      <c r="C1903"/>
      <c r="D1903"/>
      <c r="E1903"/>
      <c r="F1903"/>
      <c r="G1903"/>
      <c r="K1903" s="61"/>
    </row>
    <row r="1904" spans="2:11" s="3" customFormat="1">
      <c r="B1904"/>
      <c r="C1904"/>
      <c r="D1904"/>
      <c r="E1904"/>
      <c r="F1904"/>
      <c r="G1904"/>
      <c r="K1904" s="61"/>
    </row>
    <row r="1905" spans="2:11" s="3" customFormat="1">
      <c r="B1905"/>
      <c r="C1905"/>
      <c r="D1905"/>
      <c r="E1905"/>
      <c r="F1905"/>
      <c r="G1905"/>
      <c r="K1905" s="61"/>
    </row>
    <row r="1906" spans="2:11" s="3" customFormat="1">
      <c r="B1906"/>
      <c r="C1906"/>
      <c r="D1906"/>
      <c r="E1906"/>
      <c r="F1906"/>
      <c r="G1906"/>
      <c r="K1906" s="61"/>
    </row>
    <row r="1907" spans="2:11" s="3" customFormat="1">
      <c r="B1907"/>
      <c r="C1907"/>
      <c r="D1907"/>
      <c r="E1907"/>
      <c r="F1907"/>
      <c r="G1907"/>
      <c r="K1907" s="61"/>
    </row>
    <row r="1908" spans="2:11" s="3" customFormat="1">
      <c r="B1908"/>
      <c r="C1908"/>
      <c r="D1908"/>
      <c r="E1908"/>
      <c r="F1908"/>
      <c r="G1908"/>
      <c r="K1908" s="61"/>
    </row>
    <row r="1909" spans="2:11" s="3" customFormat="1">
      <c r="B1909"/>
      <c r="C1909"/>
      <c r="D1909"/>
      <c r="E1909"/>
      <c r="F1909"/>
      <c r="G1909"/>
      <c r="K1909" s="61"/>
    </row>
    <row r="1910" spans="2:11" s="3" customFormat="1">
      <c r="B1910"/>
      <c r="C1910"/>
      <c r="D1910"/>
      <c r="E1910"/>
      <c r="F1910"/>
      <c r="G1910"/>
      <c r="K1910" s="61"/>
    </row>
    <row r="1911" spans="2:11" s="3" customFormat="1">
      <c r="B1911"/>
      <c r="C1911"/>
      <c r="D1911"/>
      <c r="E1911"/>
      <c r="F1911"/>
      <c r="G1911"/>
      <c r="K1911" s="61"/>
    </row>
    <row r="1912" spans="2:11" s="3" customFormat="1">
      <c r="B1912"/>
      <c r="C1912"/>
      <c r="D1912"/>
      <c r="E1912"/>
      <c r="F1912"/>
      <c r="G1912"/>
      <c r="K1912" s="61"/>
    </row>
    <row r="1913" spans="2:11" s="3" customFormat="1">
      <c r="B1913"/>
      <c r="C1913"/>
      <c r="D1913"/>
      <c r="E1913"/>
      <c r="F1913"/>
      <c r="G1913"/>
      <c r="K1913" s="61"/>
    </row>
    <row r="1914" spans="2:11" s="3" customFormat="1">
      <c r="B1914"/>
      <c r="C1914"/>
      <c r="D1914"/>
      <c r="E1914"/>
      <c r="F1914"/>
      <c r="G1914"/>
      <c r="K1914" s="61"/>
    </row>
    <row r="1915" spans="2:11" s="3" customFormat="1">
      <c r="B1915"/>
      <c r="C1915"/>
      <c r="D1915"/>
      <c r="E1915"/>
      <c r="F1915"/>
      <c r="G1915"/>
      <c r="K1915" s="61"/>
    </row>
    <row r="1916" spans="2:11" s="3" customFormat="1">
      <c r="B1916"/>
      <c r="C1916"/>
      <c r="D1916"/>
      <c r="E1916"/>
      <c r="F1916"/>
      <c r="G1916"/>
      <c r="K1916" s="61"/>
    </row>
    <row r="1917" spans="2:11" s="3" customFormat="1">
      <c r="B1917"/>
      <c r="C1917"/>
      <c r="D1917"/>
      <c r="E1917"/>
      <c r="F1917"/>
      <c r="G1917"/>
      <c r="K1917" s="61"/>
    </row>
    <row r="1918" spans="2:11" s="3" customFormat="1">
      <c r="B1918"/>
      <c r="C1918"/>
      <c r="D1918"/>
      <c r="E1918"/>
      <c r="F1918"/>
      <c r="G1918"/>
      <c r="K1918" s="61"/>
    </row>
    <row r="1919" spans="2:11" s="3" customFormat="1">
      <c r="B1919"/>
      <c r="C1919"/>
      <c r="D1919"/>
      <c r="E1919"/>
      <c r="F1919"/>
      <c r="G1919"/>
      <c r="K1919" s="61"/>
    </row>
    <row r="1920" spans="2:11" s="3" customFormat="1">
      <c r="B1920"/>
      <c r="C1920"/>
      <c r="D1920"/>
      <c r="E1920"/>
      <c r="F1920"/>
      <c r="G1920"/>
      <c r="K1920" s="61"/>
    </row>
    <row r="1921" spans="2:11" s="3" customFormat="1">
      <c r="B1921"/>
      <c r="C1921"/>
      <c r="D1921"/>
      <c r="E1921"/>
      <c r="F1921"/>
      <c r="G1921"/>
      <c r="K1921" s="61"/>
    </row>
    <row r="1922" spans="2:11" s="3" customFormat="1">
      <c r="B1922"/>
      <c r="C1922"/>
      <c r="D1922"/>
      <c r="E1922"/>
      <c r="F1922"/>
      <c r="G1922"/>
      <c r="K1922" s="61"/>
    </row>
    <row r="1923" spans="2:11" s="3" customFormat="1">
      <c r="B1923"/>
      <c r="C1923"/>
      <c r="D1923"/>
      <c r="E1923"/>
      <c r="F1923"/>
      <c r="G1923"/>
      <c r="K1923" s="61"/>
    </row>
    <row r="1924" spans="2:11" s="3" customFormat="1">
      <c r="B1924"/>
      <c r="C1924"/>
      <c r="D1924"/>
      <c r="E1924"/>
      <c r="F1924"/>
      <c r="G1924"/>
      <c r="K1924" s="61"/>
    </row>
    <row r="1925" spans="2:11" s="3" customFormat="1">
      <c r="B1925"/>
      <c r="C1925"/>
      <c r="D1925"/>
      <c r="E1925"/>
      <c r="F1925"/>
      <c r="G1925"/>
      <c r="K1925" s="61"/>
    </row>
    <row r="1926" spans="2:11" s="3" customFormat="1">
      <c r="B1926"/>
      <c r="C1926"/>
      <c r="D1926"/>
      <c r="E1926"/>
      <c r="F1926"/>
      <c r="G1926"/>
      <c r="K1926" s="61"/>
    </row>
    <row r="1927" spans="2:11" s="3" customFormat="1">
      <c r="B1927"/>
      <c r="C1927"/>
      <c r="D1927"/>
      <c r="E1927"/>
      <c r="F1927"/>
      <c r="G1927"/>
      <c r="K1927" s="61"/>
    </row>
    <row r="1928" spans="2:11" s="3" customFormat="1">
      <c r="B1928"/>
      <c r="C1928"/>
      <c r="D1928"/>
      <c r="E1928"/>
      <c r="F1928"/>
      <c r="G1928"/>
      <c r="K1928" s="61"/>
    </row>
    <row r="1929" spans="2:11" s="3" customFormat="1">
      <c r="B1929"/>
      <c r="C1929"/>
      <c r="D1929"/>
      <c r="E1929"/>
      <c r="F1929"/>
      <c r="G1929"/>
      <c r="K1929" s="61"/>
    </row>
    <row r="1930" spans="2:11" s="3" customFormat="1">
      <c r="B1930"/>
      <c r="C1930"/>
      <c r="D1930"/>
      <c r="E1930"/>
      <c r="F1930"/>
      <c r="G1930"/>
      <c r="K1930" s="61"/>
    </row>
    <row r="1931" spans="2:11" s="3" customFormat="1">
      <c r="B1931"/>
      <c r="C1931"/>
      <c r="D1931"/>
      <c r="E1931"/>
      <c r="F1931"/>
      <c r="G1931"/>
      <c r="K1931" s="61"/>
    </row>
    <row r="1932" spans="2:11" s="3" customFormat="1">
      <c r="B1932"/>
      <c r="C1932"/>
      <c r="D1932"/>
      <c r="E1932"/>
      <c r="F1932"/>
      <c r="G1932"/>
      <c r="K1932" s="61"/>
    </row>
    <row r="1933" spans="2:11" s="3" customFormat="1">
      <c r="B1933"/>
      <c r="C1933"/>
      <c r="D1933"/>
      <c r="E1933"/>
      <c r="F1933"/>
      <c r="G1933"/>
      <c r="K1933" s="61"/>
    </row>
    <row r="1934" spans="2:11" s="3" customFormat="1">
      <c r="B1934"/>
      <c r="C1934"/>
      <c r="D1934"/>
      <c r="E1934"/>
      <c r="F1934"/>
      <c r="G1934"/>
      <c r="K1934" s="61"/>
    </row>
    <row r="1935" spans="2:11" s="3" customFormat="1">
      <c r="B1935"/>
      <c r="C1935"/>
      <c r="D1935"/>
      <c r="E1935"/>
      <c r="F1935"/>
      <c r="G1935"/>
      <c r="K1935" s="61"/>
    </row>
    <row r="1936" spans="2:11" s="3" customFormat="1">
      <c r="B1936"/>
      <c r="C1936"/>
      <c r="D1936"/>
      <c r="E1936"/>
      <c r="F1936"/>
      <c r="G1936"/>
      <c r="K1936" s="61"/>
    </row>
    <row r="1937" spans="2:11" s="3" customFormat="1">
      <c r="B1937"/>
      <c r="C1937"/>
      <c r="D1937"/>
      <c r="E1937"/>
      <c r="F1937"/>
      <c r="G1937"/>
      <c r="K1937" s="61"/>
    </row>
    <row r="1938" spans="2:11" s="3" customFormat="1">
      <c r="B1938"/>
      <c r="C1938"/>
      <c r="D1938"/>
      <c r="E1938"/>
      <c r="F1938"/>
      <c r="G1938"/>
      <c r="K1938" s="61"/>
    </row>
    <row r="1939" spans="2:11" s="3" customFormat="1">
      <c r="B1939"/>
      <c r="C1939"/>
      <c r="D1939"/>
      <c r="E1939"/>
      <c r="F1939"/>
      <c r="G1939"/>
      <c r="K1939" s="61"/>
    </row>
    <row r="1940" spans="2:11" s="3" customFormat="1">
      <c r="B1940"/>
      <c r="C1940"/>
      <c r="D1940"/>
      <c r="E1940"/>
      <c r="F1940"/>
      <c r="G1940"/>
      <c r="K1940" s="61"/>
    </row>
    <row r="1941" spans="2:11" s="3" customFormat="1">
      <c r="B1941"/>
      <c r="C1941"/>
      <c r="D1941"/>
      <c r="E1941"/>
      <c r="F1941"/>
      <c r="G1941"/>
      <c r="K1941" s="61"/>
    </row>
    <row r="1942" spans="2:11" s="3" customFormat="1">
      <c r="B1942"/>
      <c r="C1942"/>
      <c r="D1942"/>
      <c r="E1942"/>
      <c r="F1942"/>
      <c r="G1942"/>
      <c r="K1942" s="61"/>
    </row>
    <row r="1943" spans="2:11" s="3" customFormat="1">
      <c r="B1943"/>
      <c r="C1943"/>
      <c r="D1943"/>
      <c r="E1943"/>
      <c r="F1943"/>
      <c r="G1943"/>
      <c r="K1943" s="61"/>
    </row>
    <row r="1944" spans="2:11" s="3" customFormat="1">
      <c r="B1944"/>
      <c r="C1944"/>
      <c r="D1944"/>
      <c r="E1944"/>
      <c r="F1944"/>
      <c r="G1944"/>
      <c r="K1944" s="61"/>
    </row>
    <row r="1945" spans="2:11" s="3" customFormat="1">
      <c r="B1945"/>
      <c r="C1945"/>
      <c r="D1945"/>
      <c r="E1945"/>
      <c r="F1945"/>
      <c r="G1945"/>
      <c r="K1945" s="61"/>
    </row>
    <row r="1946" spans="2:11" s="3" customFormat="1">
      <c r="B1946"/>
      <c r="C1946"/>
      <c r="D1946"/>
      <c r="E1946"/>
      <c r="F1946"/>
      <c r="G1946"/>
      <c r="K1946" s="61"/>
    </row>
    <row r="1947" spans="2:11" s="3" customFormat="1">
      <c r="B1947"/>
      <c r="C1947"/>
      <c r="D1947"/>
      <c r="E1947"/>
      <c r="F1947"/>
      <c r="G1947"/>
      <c r="K1947" s="61"/>
    </row>
    <row r="1948" spans="2:11" s="3" customFormat="1">
      <c r="B1948"/>
      <c r="C1948"/>
      <c r="D1948"/>
      <c r="E1948"/>
      <c r="F1948"/>
      <c r="G1948"/>
      <c r="K1948" s="61"/>
    </row>
    <row r="1949" spans="2:11" s="3" customFormat="1">
      <c r="B1949"/>
      <c r="C1949"/>
      <c r="D1949"/>
      <c r="E1949"/>
      <c r="F1949"/>
      <c r="G1949"/>
      <c r="K1949" s="61"/>
    </row>
    <row r="1950" spans="2:11" s="3" customFormat="1">
      <c r="B1950"/>
      <c r="C1950"/>
      <c r="D1950"/>
      <c r="E1950"/>
      <c r="F1950"/>
      <c r="G1950"/>
      <c r="K1950" s="61"/>
    </row>
    <row r="1951" spans="2:11" s="3" customFormat="1">
      <c r="B1951"/>
      <c r="C1951"/>
      <c r="D1951"/>
      <c r="E1951"/>
      <c r="F1951"/>
      <c r="G1951"/>
      <c r="K1951" s="61"/>
    </row>
    <row r="1952" spans="2:11" s="3" customFormat="1">
      <c r="B1952"/>
      <c r="C1952"/>
      <c r="D1952"/>
      <c r="E1952"/>
      <c r="F1952"/>
      <c r="G1952"/>
      <c r="K1952" s="61"/>
    </row>
    <row r="1953" spans="2:11" s="3" customFormat="1">
      <c r="B1953"/>
      <c r="C1953"/>
      <c r="D1953"/>
      <c r="E1953"/>
      <c r="F1953"/>
      <c r="G1953"/>
      <c r="K1953" s="61"/>
    </row>
    <row r="1954" spans="2:11" s="3" customFormat="1">
      <c r="B1954"/>
      <c r="C1954"/>
      <c r="D1954"/>
      <c r="E1954"/>
      <c r="F1954"/>
      <c r="G1954"/>
      <c r="K1954" s="61"/>
    </row>
    <row r="1955" spans="2:11" s="3" customFormat="1">
      <c r="B1955"/>
      <c r="C1955"/>
      <c r="D1955"/>
      <c r="E1955"/>
      <c r="F1955"/>
      <c r="G1955"/>
      <c r="K1955" s="61"/>
    </row>
    <row r="1956" spans="2:11" s="3" customFormat="1">
      <c r="B1956"/>
      <c r="C1956"/>
      <c r="D1956"/>
      <c r="E1956"/>
      <c r="F1956"/>
      <c r="G1956"/>
      <c r="K1956" s="61"/>
    </row>
    <row r="1957" spans="2:11" s="3" customFormat="1">
      <c r="B1957"/>
      <c r="C1957"/>
      <c r="D1957"/>
      <c r="E1957"/>
      <c r="F1957"/>
      <c r="G1957"/>
      <c r="K1957" s="61"/>
    </row>
    <row r="1958" spans="2:11" s="3" customFormat="1">
      <c r="B1958"/>
      <c r="C1958"/>
      <c r="D1958"/>
      <c r="E1958"/>
      <c r="F1958"/>
      <c r="G1958"/>
      <c r="K1958" s="61"/>
    </row>
    <row r="1959" spans="2:11" s="3" customFormat="1">
      <c r="B1959"/>
      <c r="C1959"/>
      <c r="D1959"/>
      <c r="E1959"/>
      <c r="F1959"/>
      <c r="G1959"/>
      <c r="K1959" s="61"/>
    </row>
    <row r="1960" spans="2:11" s="3" customFormat="1">
      <c r="B1960"/>
      <c r="C1960"/>
      <c r="D1960"/>
      <c r="E1960"/>
      <c r="F1960"/>
      <c r="G1960"/>
      <c r="K1960" s="61"/>
    </row>
    <row r="1961" spans="2:11" s="3" customFormat="1">
      <c r="B1961"/>
      <c r="C1961"/>
      <c r="D1961"/>
      <c r="E1961"/>
      <c r="F1961"/>
      <c r="G1961"/>
      <c r="K1961" s="61"/>
    </row>
    <row r="1962" spans="2:11" s="3" customFormat="1">
      <c r="B1962"/>
      <c r="C1962"/>
      <c r="D1962"/>
      <c r="E1962"/>
      <c r="F1962"/>
      <c r="G1962"/>
      <c r="K1962" s="61"/>
    </row>
    <row r="1963" spans="2:11" s="3" customFormat="1">
      <c r="B1963"/>
      <c r="C1963"/>
      <c r="D1963"/>
      <c r="E1963"/>
      <c r="F1963"/>
      <c r="G1963"/>
      <c r="K1963" s="61"/>
    </row>
    <row r="1964" spans="2:11" s="3" customFormat="1">
      <c r="B1964"/>
      <c r="C1964"/>
      <c r="D1964"/>
      <c r="E1964"/>
      <c r="F1964"/>
      <c r="G1964"/>
      <c r="K1964" s="61"/>
    </row>
    <row r="1965" spans="2:11" s="3" customFormat="1">
      <c r="B1965"/>
      <c r="C1965"/>
      <c r="D1965"/>
      <c r="E1965"/>
      <c r="F1965"/>
      <c r="G1965"/>
      <c r="K1965" s="61"/>
    </row>
    <row r="1966" spans="2:11" s="3" customFormat="1">
      <c r="B1966"/>
      <c r="C1966"/>
      <c r="D1966"/>
      <c r="E1966"/>
      <c r="F1966"/>
      <c r="G1966"/>
      <c r="K1966" s="61"/>
    </row>
    <row r="1967" spans="2:11" s="3" customFormat="1">
      <c r="B1967"/>
      <c r="C1967"/>
      <c r="D1967"/>
      <c r="E1967"/>
      <c r="F1967"/>
      <c r="G1967"/>
      <c r="K1967" s="61"/>
    </row>
    <row r="1968" spans="2:11" s="3" customFormat="1">
      <c r="B1968"/>
      <c r="C1968"/>
      <c r="D1968"/>
      <c r="E1968"/>
      <c r="F1968"/>
      <c r="G1968"/>
      <c r="K1968" s="61"/>
    </row>
    <row r="1969" spans="2:11" s="3" customFormat="1">
      <c r="B1969"/>
      <c r="C1969"/>
      <c r="D1969"/>
      <c r="E1969"/>
      <c r="F1969"/>
      <c r="G1969"/>
      <c r="K1969" s="61"/>
    </row>
    <row r="1970" spans="2:11" s="3" customFormat="1">
      <c r="B1970"/>
      <c r="C1970"/>
      <c r="D1970"/>
      <c r="E1970"/>
      <c r="F1970"/>
      <c r="G1970"/>
      <c r="K1970" s="61"/>
    </row>
    <row r="1971" spans="2:11" s="3" customFormat="1">
      <c r="B1971"/>
      <c r="C1971"/>
      <c r="D1971"/>
      <c r="E1971"/>
      <c r="F1971"/>
      <c r="G1971"/>
      <c r="K1971" s="61"/>
    </row>
    <row r="1972" spans="2:11" s="3" customFormat="1">
      <c r="B1972"/>
      <c r="C1972"/>
      <c r="D1972"/>
      <c r="E1972"/>
      <c r="F1972"/>
      <c r="G1972"/>
      <c r="K1972" s="61"/>
    </row>
    <row r="1973" spans="2:11" s="3" customFormat="1">
      <c r="B1973"/>
      <c r="C1973"/>
      <c r="D1973"/>
      <c r="E1973"/>
      <c r="F1973"/>
      <c r="G1973"/>
      <c r="K1973" s="61"/>
    </row>
    <row r="1974" spans="2:11" s="3" customFormat="1">
      <c r="B1974"/>
      <c r="C1974"/>
      <c r="D1974"/>
      <c r="E1974"/>
      <c r="F1974"/>
      <c r="G1974"/>
      <c r="K1974" s="61"/>
    </row>
    <row r="1975" spans="2:11" s="3" customFormat="1">
      <c r="B1975"/>
      <c r="C1975"/>
      <c r="D1975"/>
      <c r="E1975"/>
      <c r="F1975"/>
      <c r="G1975"/>
      <c r="K1975" s="61"/>
    </row>
    <row r="1976" spans="2:11" s="3" customFormat="1">
      <c r="B1976"/>
      <c r="C1976"/>
      <c r="D1976"/>
      <c r="E1976"/>
      <c r="F1976"/>
      <c r="G1976"/>
      <c r="K1976" s="61"/>
    </row>
    <row r="1977" spans="2:11" s="3" customFormat="1">
      <c r="B1977"/>
      <c r="C1977"/>
      <c r="D1977"/>
      <c r="E1977"/>
      <c r="F1977"/>
      <c r="G1977"/>
      <c r="K1977" s="61"/>
    </row>
    <row r="1978" spans="2:11" s="3" customFormat="1">
      <c r="B1978"/>
      <c r="C1978"/>
      <c r="D1978"/>
      <c r="E1978"/>
      <c r="F1978"/>
      <c r="G1978"/>
      <c r="K1978" s="61"/>
    </row>
    <row r="1979" spans="2:11" s="3" customFormat="1">
      <c r="B1979"/>
      <c r="C1979"/>
      <c r="D1979"/>
      <c r="E1979"/>
      <c r="F1979"/>
      <c r="G1979"/>
      <c r="K1979" s="61"/>
    </row>
    <row r="1980" spans="2:11" s="3" customFormat="1">
      <c r="B1980"/>
      <c r="C1980"/>
      <c r="D1980"/>
      <c r="E1980"/>
      <c r="F1980"/>
      <c r="G1980"/>
      <c r="K1980" s="61"/>
    </row>
    <row r="1981" spans="2:11" s="3" customFormat="1">
      <c r="B1981"/>
      <c r="C1981"/>
      <c r="D1981"/>
      <c r="E1981"/>
      <c r="F1981"/>
      <c r="G1981"/>
      <c r="K1981" s="61"/>
    </row>
    <row r="1982" spans="2:11" s="3" customFormat="1">
      <c r="B1982"/>
      <c r="C1982"/>
      <c r="D1982"/>
      <c r="E1982"/>
      <c r="F1982"/>
      <c r="G1982"/>
      <c r="K1982" s="61"/>
    </row>
    <row r="1983" spans="2:11" s="3" customFormat="1">
      <c r="B1983"/>
      <c r="C1983"/>
      <c r="D1983"/>
      <c r="E1983"/>
      <c r="F1983"/>
      <c r="G1983"/>
      <c r="K1983" s="61"/>
    </row>
    <row r="1984" spans="2:11" s="3" customFormat="1">
      <c r="B1984"/>
      <c r="C1984"/>
      <c r="D1984"/>
      <c r="E1984"/>
      <c r="F1984"/>
      <c r="G1984"/>
      <c r="K1984" s="61"/>
    </row>
    <row r="1985" spans="2:11" s="3" customFormat="1">
      <c r="B1985"/>
      <c r="C1985"/>
      <c r="D1985"/>
      <c r="E1985"/>
      <c r="F1985"/>
      <c r="G1985"/>
      <c r="K1985" s="61"/>
    </row>
    <row r="1986" spans="2:11" s="3" customFormat="1">
      <c r="B1986"/>
      <c r="C1986"/>
      <c r="D1986"/>
      <c r="E1986"/>
      <c r="F1986"/>
      <c r="G1986"/>
      <c r="K1986" s="61"/>
    </row>
    <row r="1987" spans="2:11" s="3" customFormat="1">
      <c r="B1987"/>
      <c r="C1987"/>
      <c r="D1987"/>
      <c r="E1987"/>
      <c r="F1987"/>
      <c r="G1987"/>
      <c r="K1987" s="61"/>
    </row>
    <row r="1988" spans="2:11" s="3" customFormat="1">
      <c r="B1988"/>
      <c r="C1988"/>
      <c r="D1988"/>
      <c r="E1988"/>
      <c r="F1988"/>
      <c r="G1988"/>
      <c r="K1988" s="61"/>
    </row>
    <row r="1989" spans="2:11" s="3" customFormat="1">
      <c r="B1989"/>
      <c r="C1989"/>
      <c r="D1989"/>
      <c r="E1989"/>
      <c r="F1989"/>
      <c r="G1989"/>
      <c r="K1989" s="61"/>
    </row>
    <row r="1990" spans="2:11" s="3" customFormat="1">
      <c r="B1990"/>
      <c r="C1990"/>
      <c r="D1990"/>
      <c r="E1990"/>
      <c r="F1990"/>
      <c r="G1990"/>
      <c r="K1990" s="61"/>
    </row>
    <row r="1991" spans="2:11" s="3" customFormat="1">
      <c r="B1991"/>
      <c r="C1991"/>
      <c r="D1991"/>
      <c r="E1991"/>
      <c r="F1991"/>
      <c r="G1991"/>
      <c r="K1991" s="61"/>
    </row>
    <row r="1992" spans="2:11" s="3" customFormat="1">
      <c r="B1992"/>
      <c r="C1992"/>
      <c r="D1992"/>
      <c r="E1992"/>
      <c r="F1992"/>
      <c r="G1992"/>
      <c r="K1992" s="61"/>
    </row>
    <row r="1993" spans="2:11" s="3" customFormat="1">
      <c r="B1993"/>
      <c r="C1993"/>
      <c r="D1993"/>
      <c r="E1993"/>
      <c r="F1993"/>
      <c r="G1993"/>
      <c r="K1993" s="61"/>
    </row>
    <row r="1994" spans="2:11" s="3" customFormat="1">
      <c r="B1994"/>
      <c r="C1994"/>
      <c r="D1994"/>
      <c r="E1994"/>
      <c r="F1994"/>
      <c r="G1994"/>
      <c r="K1994" s="61"/>
    </row>
    <row r="1995" spans="2:11" s="3" customFormat="1">
      <c r="B1995"/>
      <c r="C1995"/>
      <c r="D1995"/>
      <c r="E1995"/>
      <c r="F1995"/>
      <c r="G1995"/>
      <c r="K1995" s="61"/>
    </row>
    <row r="1996" spans="2:11" s="3" customFormat="1">
      <c r="B1996"/>
      <c r="C1996"/>
      <c r="D1996"/>
      <c r="E1996"/>
      <c r="F1996"/>
      <c r="G1996"/>
      <c r="K1996" s="61"/>
    </row>
    <row r="1997" spans="2:11" s="3" customFormat="1">
      <c r="B1997"/>
      <c r="C1997"/>
      <c r="D1997"/>
      <c r="E1997"/>
      <c r="F1997"/>
      <c r="G1997"/>
      <c r="K1997" s="61"/>
    </row>
    <row r="1998" spans="2:11" s="3" customFormat="1">
      <c r="B1998"/>
      <c r="C1998"/>
      <c r="D1998"/>
      <c r="E1998"/>
      <c r="F1998"/>
      <c r="G1998"/>
      <c r="K1998" s="61"/>
    </row>
    <row r="1999" spans="2:11" s="3" customFormat="1">
      <c r="B1999"/>
      <c r="C1999"/>
      <c r="D1999"/>
      <c r="E1999"/>
      <c r="F1999"/>
      <c r="G1999"/>
      <c r="K1999" s="61"/>
    </row>
    <row r="2000" spans="2:11" s="3" customFormat="1">
      <c r="B2000"/>
      <c r="C2000"/>
      <c r="D2000"/>
      <c r="E2000"/>
      <c r="F2000"/>
      <c r="G2000"/>
      <c r="K2000" s="61"/>
    </row>
    <row r="2001" spans="2:11" s="3" customFormat="1">
      <c r="B2001"/>
      <c r="C2001"/>
      <c r="D2001"/>
      <c r="E2001"/>
      <c r="F2001"/>
      <c r="G2001"/>
      <c r="K2001" s="61"/>
    </row>
    <row r="2002" spans="2:11" s="3" customFormat="1">
      <c r="B2002"/>
      <c r="C2002"/>
      <c r="D2002"/>
      <c r="E2002"/>
      <c r="F2002"/>
      <c r="G2002"/>
      <c r="K2002" s="61"/>
    </row>
    <row r="2003" spans="2:11" s="3" customFormat="1">
      <c r="B2003"/>
      <c r="C2003"/>
      <c r="D2003"/>
      <c r="E2003"/>
      <c r="F2003"/>
      <c r="G2003"/>
      <c r="K2003" s="61"/>
    </row>
    <row r="2004" spans="2:11" s="3" customFormat="1">
      <c r="B2004"/>
      <c r="C2004"/>
      <c r="D2004"/>
      <c r="E2004"/>
      <c r="F2004"/>
      <c r="G2004"/>
      <c r="K2004" s="61"/>
    </row>
    <row r="2005" spans="2:11" s="3" customFormat="1">
      <c r="B2005"/>
      <c r="C2005"/>
      <c r="D2005"/>
      <c r="E2005"/>
      <c r="F2005"/>
      <c r="G2005"/>
      <c r="K2005" s="61"/>
    </row>
    <row r="2006" spans="2:11" s="3" customFormat="1">
      <c r="B2006"/>
      <c r="C2006"/>
      <c r="D2006"/>
      <c r="E2006"/>
      <c r="F2006"/>
      <c r="G2006"/>
      <c r="K2006" s="61"/>
    </row>
    <row r="2007" spans="2:11" s="3" customFormat="1">
      <c r="B2007"/>
      <c r="C2007"/>
      <c r="D2007"/>
      <c r="E2007"/>
      <c r="F2007"/>
      <c r="G2007"/>
      <c r="K2007" s="61"/>
    </row>
    <row r="2008" spans="2:11" s="3" customFormat="1">
      <c r="B2008"/>
      <c r="C2008"/>
      <c r="D2008"/>
      <c r="E2008"/>
      <c r="F2008"/>
      <c r="G2008"/>
      <c r="K2008" s="61"/>
    </row>
    <row r="2009" spans="2:11" s="3" customFormat="1">
      <c r="B2009"/>
      <c r="C2009"/>
      <c r="D2009"/>
      <c r="E2009"/>
      <c r="F2009"/>
      <c r="G2009"/>
      <c r="K2009" s="61"/>
    </row>
    <row r="2010" spans="2:11" s="3" customFormat="1">
      <c r="B2010"/>
      <c r="C2010"/>
      <c r="D2010"/>
      <c r="E2010"/>
      <c r="F2010"/>
      <c r="G2010"/>
      <c r="K2010" s="61"/>
    </row>
    <row r="2011" spans="2:11" s="3" customFormat="1">
      <c r="B2011"/>
      <c r="C2011"/>
      <c r="D2011"/>
      <c r="E2011"/>
      <c r="F2011"/>
      <c r="G2011"/>
      <c r="K2011" s="61"/>
    </row>
    <row r="2012" spans="2:11" s="3" customFormat="1">
      <c r="B2012"/>
      <c r="C2012"/>
      <c r="D2012"/>
      <c r="E2012"/>
      <c r="F2012"/>
      <c r="G2012"/>
      <c r="K2012" s="61"/>
    </row>
    <row r="2013" spans="2:11" s="3" customFormat="1">
      <c r="B2013"/>
      <c r="C2013"/>
      <c r="D2013"/>
      <c r="E2013"/>
      <c r="F2013"/>
      <c r="G2013"/>
      <c r="K2013" s="61"/>
    </row>
    <row r="2014" spans="2:11" s="3" customFormat="1">
      <c r="B2014"/>
      <c r="C2014"/>
      <c r="D2014"/>
      <c r="E2014"/>
      <c r="F2014"/>
      <c r="G2014"/>
      <c r="K2014" s="61"/>
    </row>
    <row r="2015" spans="2:11" s="3" customFormat="1">
      <c r="B2015"/>
      <c r="C2015"/>
      <c r="D2015"/>
      <c r="E2015"/>
      <c r="F2015"/>
      <c r="G2015"/>
      <c r="K2015" s="61"/>
    </row>
    <row r="2016" spans="2:11" s="3" customFormat="1">
      <c r="B2016"/>
      <c r="C2016"/>
      <c r="D2016"/>
      <c r="E2016"/>
      <c r="F2016"/>
      <c r="G2016"/>
      <c r="K2016" s="61"/>
    </row>
    <row r="2017" spans="2:11" s="3" customFormat="1">
      <c r="B2017"/>
      <c r="C2017"/>
      <c r="D2017"/>
      <c r="E2017"/>
      <c r="F2017"/>
      <c r="G2017"/>
      <c r="K2017" s="61"/>
    </row>
    <row r="2018" spans="2:11" s="3" customFormat="1">
      <c r="B2018"/>
      <c r="C2018"/>
      <c r="D2018"/>
      <c r="E2018"/>
      <c r="F2018"/>
      <c r="G2018"/>
      <c r="K2018" s="61"/>
    </row>
    <row r="2019" spans="2:11" s="3" customFormat="1">
      <c r="B2019"/>
      <c r="C2019"/>
      <c r="D2019"/>
      <c r="E2019"/>
      <c r="F2019"/>
      <c r="G2019"/>
      <c r="K2019" s="61"/>
    </row>
    <row r="2020" spans="2:11" s="3" customFormat="1">
      <c r="B2020"/>
      <c r="C2020"/>
      <c r="D2020"/>
      <c r="E2020"/>
      <c r="F2020"/>
      <c r="G2020"/>
      <c r="K2020" s="61"/>
    </row>
    <row r="2021" spans="2:11" s="3" customFormat="1">
      <c r="B2021"/>
      <c r="C2021"/>
      <c r="D2021"/>
      <c r="E2021"/>
      <c r="F2021"/>
      <c r="G2021"/>
      <c r="K2021" s="61"/>
    </row>
    <row r="2022" spans="2:11" s="3" customFormat="1">
      <c r="B2022"/>
      <c r="C2022"/>
      <c r="D2022"/>
      <c r="E2022"/>
      <c r="F2022"/>
      <c r="G2022"/>
      <c r="K2022" s="61"/>
    </row>
    <row r="2023" spans="2:11" s="3" customFormat="1">
      <c r="B2023"/>
      <c r="C2023"/>
      <c r="D2023"/>
      <c r="E2023"/>
      <c r="F2023"/>
      <c r="G2023"/>
      <c r="K2023" s="61"/>
    </row>
    <row r="2024" spans="2:11" s="3" customFormat="1">
      <c r="B2024"/>
      <c r="C2024"/>
      <c r="D2024"/>
      <c r="E2024"/>
      <c r="F2024"/>
      <c r="G2024"/>
      <c r="K2024" s="61"/>
    </row>
    <row r="2025" spans="2:11" s="3" customFormat="1">
      <c r="B2025"/>
      <c r="C2025"/>
      <c r="D2025"/>
      <c r="E2025"/>
      <c r="F2025"/>
      <c r="G2025"/>
      <c r="K2025" s="61"/>
    </row>
    <row r="2026" spans="2:11" s="3" customFormat="1">
      <c r="B2026"/>
      <c r="C2026"/>
      <c r="D2026"/>
      <c r="E2026"/>
      <c r="F2026"/>
      <c r="G2026"/>
      <c r="K2026" s="61"/>
    </row>
    <row r="2027" spans="2:11" s="3" customFormat="1">
      <c r="B2027"/>
      <c r="C2027"/>
      <c r="D2027"/>
      <c r="E2027"/>
      <c r="F2027"/>
      <c r="G2027"/>
      <c r="K2027" s="61"/>
    </row>
    <row r="2028" spans="2:11" s="3" customFormat="1">
      <c r="B2028"/>
      <c r="C2028"/>
      <c r="D2028"/>
      <c r="E2028"/>
      <c r="F2028"/>
      <c r="G2028"/>
      <c r="K2028" s="61"/>
    </row>
    <row r="2029" spans="2:11" s="3" customFormat="1">
      <c r="B2029"/>
      <c r="C2029"/>
      <c r="D2029"/>
      <c r="E2029"/>
      <c r="F2029"/>
      <c r="G2029"/>
      <c r="K2029" s="61"/>
    </row>
    <row r="2030" spans="2:11" s="3" customFormat="1">
      <c r="B2030"/>
      <c r="C2030"/>
      <c r="D2030"/>
      <c r="E2030"/>
      <c r="F2030"/>
      <c r="G2030"/>
      <c r="K2030" s="61"/>
    </row>
    <row r="2031" spans="2:11" s="3" customFormat="1">
      <c r="B2031"/>
      <c r="C2031"/>
      <c r="D2031"/>
      <c r="E2031"/>
      <c r="F2031"/>
      <c r="G2031"/>
      <c r="K2031" s="61"/>
    </row>
    <row r="2032" spans="2:11" s="3" customFormat="1">
      <c r="B2032"/>
      <c r="C2032"/>
      <c r="D2032"/>
      <c r="E2032"/>
      <c r="F2032"/>
      <c r="G2032"/>
      <c r="K2032" s="61"/>
    </row>
    <row r="2033" spans="2:11" s="3" customFormat="1">
      <c r="B2033"/>
      <c r="C2033"/>
      <c r="D2033"/>
      <c r="E2033"/>
      <c r="F2033"/>
      <c r="G2033"/>
      <c r="K2033" s="61"/>
    </row>
    <row r="2034" spans="2:11" s="3" customFormat="1">
      <c r="B2034"/>
      <c r="C2034"/>
      <c r="D2034"/>
      <c r="E2034"/>
      <c r="F2034"/>
      <c r="G2034"/>
      <c r="K2034" s="61"/>
    </row>
    <row r="2035" spans="2:11" s="3" customFormat="1">
      <c r="B2035"/>
      <c r="C2035"/>
      <c r="D2035"/>
      <c r="E2035"/>
      <c r="F2035"/>
      <c r="G2035"/>
      <c r="K2035" s="61"/>
    </row>
    <row r="2036" spans="2:11" s="3" customFormat="1">
      <c r="B2036"/>
      <c r="C2036"/>
      <c r="D2036"/>
      <c r="E2036"/>
      <c r="F2036"/>
      <c r="G2036"/>
      <c r="K2036" s="61"/>
    </row>
    <row r="2037" spans="2:11" s="3" customFormat="1">
      <c r="B2037"/>
      <c r="C2037"/>
      <c r="D2037"/>
      <c r="E2037"/>
      <c r="F2037"/>
      <c r="G2037"/>
      <c r="K2037" s="61"/>
    </row>
    <row r="2038" spans="2:11" s="3" customFormat="1">
      <c r="B2038"/>
      <c r="C2038"/>
      <c r="D2038"/>
      <c r="E2038"/>
      <c r="F2038"/>
      <c r="G2038"/>
      <c r="K2038" s="61"/>
    </row>
    <row r="2039" spans="2:11" s="3" customFormat="1">
      <c r="B2039"/>
      <c r="C2039"/>
      <c r="D2039"/>
      <c r="E2039"/>
      <c r="F2039"/>
      <c r="G2039"/>
      <c r="K2039" s="61"/>
    </row>
    <row r="2040" spans="2:11" s="3" customFormat="1">
      <c r="B2040"/>
      <c r="C2040"/>
      <c r="D2040"/>
      <c r="E2040"/>
      <c r="F2040"/>
      <c r="G2040"/>
      <c r="K2040" s="61"/>
    </row>
    <row r="2041" spans="2:11" s="3" customFormat="1">
      <c r="B2041"/>
      <c r="C2041"/>
      <c r="D2041"/>
      <c r="E2041"/>
      <c r="F2041"/>
      <c r="G2041"/>
      <c r="K2041" s="61"/>
    </row>
    <row r="2042" spans="2:11" s="3" customFormat="1">
      <c r="B2042"/>
      <c r="C2042"/>
      <c r="D2042"/>
      <c r="E2042"/>
      <c r="F2042"/>
      <c r="G2042"/>
      <c r="K2042" s="61"/>
    </row>
    <row r="2043" spans="2:11" s="3" customFormat="1">
      <c r="B2043"/>
      <c r="C2043"/>
      <c r="D2043"/>
      <c r="E2043"/>
      <c r="F2043"/>
      <c r="G2043"/>
      <c r="K2043" s="61"/>
    </row>
    <row r="2044" spans="2:11" s="3" customFormat="1">
      <c r="B2044"/>
      <c r="C2044"/>
      <c r="D2044"/>
      <c r="E2044"/>
      <c r="F2044"/>
      <c r="G2044"/>
      <c r="K2044" s="61"/>
    </row>
    <row r="2045" spans="2:11" s="3" customFormat="1">
      <c r="B2045"/>
      <c r="C2045"/>
      <c r="D2045"/>
      <c r="E2045"/>
      <c r="F2045"/>
      <c r="G2045"/>
      <c r="K2045" s="61"/>
    </row>
    <row r="2046" spans="2:11" s="3" customFormat="1">
      <c r="B2046"/>
      <c r="C2046"/>
      <c r="D2046"/>
      <c r="E2046"/>
      <c r="F2046"/>
      <c r="G2046"/>
      <c r="K2046" s="61"/>
    </row>
    <row r="2047" spans="2:11" s="3" customFormat="1">
      <c r="B2047"/>
      <c r="C2047"/>
      <c r="D2047"/>
      <c r="E2047"/>
      <c r="F2047"/>
      <c r="G2047"/>
      <c r="K2047" s="61"/>
    </row>
    <row r="2048" spans="2:11" s="3" customFormat="1">
      <c r="B2048"/>
      <c r="C2048"/>
      <c r="D2048"/>
      <c r="E2048"/>
      <c r="F2048"/>
      <c r="G2048"/>
      <c r="K2048" s="61"/>
    </row>
    <row r="2049" spans="2:11" s="3" customFormat="1">
      <c r="B2049"/>
      <c r="C2049"/>
      <c r="D2049"/>
      <c r="E2049"/>
      <c r="F2049"/>
      <c r="G2049"/>
      <c r="K2049" s="61"/>
    </row>
    <row r="2050" spans="2:11" s="3" customFormat="1">
      <c r="B2050"/>
      <c r="C2050"/>
      <c r="D2050"/>
      <c r="E2050"/>
      <c r="F2050"/>
      <c r="G2050"/>
      <c r="K2050" s="61"/>
    </row>
    <row r="2051" spans="2:11" s="3" customFormat="1">
      <c r="B2051"/>
      <c r="C2051"/>
      <c r="D2051"/>
      <c r="E2051"/>
      <c r="F2051"/>
      <c r="G2051"/>
      <c r="K2051" s="61"/>
    </row>
    <row r="2052" spans="2:11" s="3" customFormat="1">
      <c r="B2052"/>
      <c r="C2052"/>
      <c r="D2052"/>
      <c r="E2052"/>
      <c r="F2052"/>
      <c r="G2052"/>
      <c r="K2052" s="61"/>
    </row>
    <row r="2053" spans="2:11" s="3" customFormat="1">
      <c r="B2053"/>
      <c r="C2053"/>
      <c r="D2053"/>
      <c r="E2053"/>
      <c r="F2053"/>
      <c r="G2053"/>
      <c r="K2053" s="61"/>
    </row>
    <row r="2054" spans="2:11" s="3" customFormat="1">
      <c r="B2054"/>
      <c r="C2054"/>
      <c r="D2054"/>
      <c r="E2054"/>
      <c r="F2054"/>
      <c r="G2054"/>
      <c r="K2054" s="61"/>
    </row>
    <row r="2055" spans="2:11" s="3" customFormat="1">
      <c r="B2055"/>
      <c r="C2055"/>
      <c r="D2055"/>
      <c r="E2055"/>
      <c r="F2055"/>
      <c r="G2055"/>
      <c r="K2055" s="61"/>
    </row>
    <row r="2056" spans="2:11" s="3" customFormat="1">
      <c r="B2056"/>
      <c r="C2056"/>
      <c r="D2056"/>
      <c r="E2056"/>
      <c r="F2056"/>
      <c r="G2056"/>
      <c r="K2056" s="61"/>
    </row>
    <row r="2057" spans="2:11" s="3" customFormat="1">
      <c r="B2057"/>
      <c r="C2057"/>
      <c r="D2057"/>
      <c r="E2057"/>
      <c r="F2057"/>
      <c r="G2057"/>
      <c r="K2057" s="61"/>
    </row>
    <row r="2058" spans="2:11" s="3" customFormat="1">
      <c r="B2058"/>
      <c r="C2058"/>
      <c r="D2058"/>
      <c r="E2058"/>
      <c r="F2058"/>
      <c r="G2058"/>
      <c r="K2058" s="61"/>
    </row>
    <row r="2059" spans="2:11" s="3" customFormat="1">
      <c r="B2059"/>
      <c r="C2059"/>
      <c r="D2059"/>
      <c r="E2059"/>
      <c r="F2059"/>
      <c r="G2059"/>
      <c r="K2059" s="61"/>
    </row>
    <row r="2060" spans="2:11" s="3" customFormat="1">
      <c r="B2060"/>
      <c r="C2060"/>
      <c r="D2060"/>
      <c r="E2060"/>
      <c r="F2060"/>
      <c r="G2060"/>
      <c r="K2060" s="61"/>
    </row>
    <row r="2061" spans="2:11" s="3" customFormat="1">
      <c r="B2061"/>
      <c r="C2061"/>
      <c r="D2061"/>
      <c r="E2061"/>
      <c r="F2061"/>
      <c r="G2061"/>
      <c r="K2061" s="61"/>
    </row>
    <row r="2062" spans="2:11" s="3" customFormat="1">
      <c r="B2062"/>
      <c r="C2062"/>
      <c r="D2062"/>
      <c r="E2062"/>
      <c r="F2062"/>
      <c r="G2062"/>
      <c r="K2062" s="61"/>
    </row>
    <row r="2063" spans="2:11" s="3" customFormat="1">
      <c r="B2063"/>
      <c r="C2063"/>
      <c r="D2063"/>
      <c r="E2063"/>
      <c r="F2063"/>
      <c r="G2063"/>
      <c r="K2063" s="61"/>
    </row>
    <row r="2064" spans="2:11" s="3" customFormat="1">
      <c r="B2064"/>
      <c r="C2064"/>
      <c r="D2064"/>
      <c r="E2064"/>
      <c r="F2064"/>
      <c r="G2064"/>
      <c r="K2064" s="61"/>
    </row>
    <row r="2065" spans="2:11" s="3" customFormat="1">
      <c r="B2065"/>
      <c r="C2065"/>
      <c r="D2065"/>
      <c r="E2065"/>
      <c r="F2065"/>
      <c r="G2065"/>
      <c r="K2065" s="61"/>
    </row>
    <row r="2066" spans="2:11" s="3" customFormat="1">
      <c r="B2066"/>
      <c r="C2066"/>
      <c r="D2066"/>
      <c r="E2066"/>
      <c r="F2066"/>
      <c r="G2066"/>
      <c r="K2066" s="61"/>
    </row>
    <row r="2067" spans="2:11" s="3" customFormat="1">
      <c r="B2067"/>
      <c r="C2067"/>
      <c r="D2067"/>
      <c r="E2067"/>
      <c r="F2067"/>
      <c r="G2067"/>
      <c r="K2067" s="61"/>
    </row>
    <row r="2068" spans="2:11" s="3" customFormat="1">
      <c r="B2068"/>
      <c r="C2068"/>
      <c r="D2068"/>
      <c r="E2068"/>
      <c r="F2068"/>
      <c r="G2068"/>
      <c r="K2068" s="61"/>
    </row>
    <row r="2069" spans="2:11" s="3" customFormat="1">
      <c r="B2069"/>
      <c r="C2069"/>
      <c r="D2069"/>
      <c r="E2069"/>
      <c r="F2069"/>
      <c r="G2069"/>
      <c r="K2069" s="61"/>
    </row>
    <row r="2070" spans="2:11" s="3" customFormat="1">
      <c r="B2070"/>
      <c r="C2070"/>
      <c r="D2070"/>
      <c r="E2070"/>
      <c r="F2070"/>
      <c r="G2070"/>
      <c r="K2070" s="61"/>
    </row>
    <row r="2071" spans="2:11" s="3" customFormat="1">
      <c r="B2071"/>
      <c r="C2071"/>
      <c r="D2071"/>
      <c r="E2071"/>
      <c r="F2071"/>
      <c r="G2071"/>
      <c r="K2071" s="61"/>
    </row>
    <row r="2072" spans="2:11" s="3" customFormat="1">
      <c r="B2072"/>
      <c r="C2072"/>
      <c r="D2072"/>
      <c r="E2072"/>
      <c r="F2072"/>
      <c r="G2072"/>
      <c r="K2072" s="61"/>
    </row>
    <row r="2073" spans="2:11" s="3" customFormat="1">
      <c r="B2073"/>
      <c r="C2073"/>
      <c r="D2073"/>
      <c r="E2073"/>
      <c r="F2073"/>
      <c r="G2073"/>
      <c r="K2073" s="61"/>
    </row>
    <row r="2074" spans="2:11" s="3" customFormat="1">
      <c r="B2074"/>
      <c r="C2074"/>
      <c r="D2074"/>
      <c r="E2074"/>
      <c r="F2074"/>
      <c r="G2074"/>
      <c r="K2074" s="61"/>
    </row>
    <row r="2075" spans="2:11" s="3" customFormat="1">
      <c r="B2075"/>
      <c r="C2075"/>
      <c r="D2075"/>
      <c r="E2075"/>
      <c r="F2075"/>
      <c r="G2075"/>
      <c r="K2075" s="61"/>
    </row>
    <row r="2076" spans="2:11" s="3" customFormat="1">
      <c r="B2076"/>
      <c r="C2076"/>
      <c r="D2076"/>
      <c r="E2076"/>
      <c r="F2076"/>
      <c r="G2076"/>
      <c r="K2076" s="61"/>
    </row>
    <row r="2077" spans="2:11" s="3" customFormat="1">
      <c r="B2077"/>
      <c r="C2077"/>
      <c r="D2077"/>
      <c r="E2077"/>
      <c r="F2077"/>
      <c r="G2077"/>
      <c r="K2077" s="61"/>
    </row>
    <row r="2078" spans="2:11" s="3" customFormat="1">
      <c r="B2078"/>
      <c r="C2078"/>
      <c r="D2078"/>
      <c r="E2078"/>
      <c r="F2078"/>
      <c r="G2078"/>
      <c r="K2078" s="61"/>
    </row>
    <row r="2079" spans="2:11" s="3" customFormat="1">
      <c r="B2079"/>
      <c r="C2079"/>
      <c r="D2079"/>
      <c r="E2079"/>
      <c r="F2079"/>
      <c r="G2079"/>
      <c r="K2079" s="61"/>
    </row>
    <row r="2080" spans="2:11" s="3" customFormat="1">
      <c r="B2080"/>
      <c r="C2080"/>
      <c r="D2080"/>
      <c r="E2080"/>
      <c r="F2080"/>
      <c r="G2080"/>
      <c r="K2080" s="61"/>
    </row>
    <row r="2081" spans="2:11" s="3" customFormat="1">
      <c r="B2081"/>
      <c r="C2081"/>
      <c r="D2081"/>
      <c r="E2081"/>
      <c r="F2081"/>
      <c r="G2081"/>
      <c r="K2081" s="61"/>
    </row>
    <row r="2082" spans="2:11" s="3" customFormat="1">
      <c r="B2082"/>
      <c r="C2082"/>
      <c r="D2082"/>
      <c r="E2082"/>
      <c r="F2082"/>
      <c r="G2082"/>
      <c r="K2082" s="61"/>
    </row>
    <row r="2083" spans="2:11" s="3" customFormat="1">
      <c r="B2083"/>
      <c r="C2083"/>
      <c r="D2083"/>
      <c r="E2083"/>
      <c r="F2083"/>
      <c r="G2083"/>
      <c r="K2083" s="61"/>
    </row>
    <row r="2084" spans="2:11" s="3" customFormat="1">
      <c r="B2084"/>
      <c r="C2084"/>
      <c r="D2084"/>
      <c r="E2084"/>
      <c r="F2084"/>
      <c r="G2084"/>
      <c r="K2084" s="61"/>
    </row>
    <row r="2085" spans="2:11" s="3" customFormat="1">
      <c r="B2085"/>
      <c r="C2085"/>
      <c r="D2085"/>
      <c r="E2085"/>
      <c r="F2085"/>
      <c r="G2085"/>
      <c r="K2085" s="61"/>
    </row>
    <row r="2086" spans="2:11" s="3" customFormat="1">
      <c r="B2086"/>
      <c r="C2086"/>
      <c r="D2086"/>
      <c r="E2086"/>
      <c r="F2086"/>
      <c r="G2086"/>
      <c r="K2086" s="61"/>
    </row>
    <row r="2087" spans="2:11" s="3" customFormat="1">
      <c r="B2087"/>
      <c r="C2087"/>
      <c r="D2087"/>
      <c r="E2087"/>
      <c r="F2087"/>
      <c r="G2087"/>
      <c r="K2087" s="61"/>
    </row>
    <row r="2088" spans="2:11" s="3" customFormat="1">
      <c r="B2088"/>
      <c r="C2088"/>
      <c r="D2088"/>
      <c r="E2088"/>
      <c r="F2088"/>
      <c r="G2088"/>
      <c r="K2088" s="61"/>
    </row>
    <row r="2089" spans="2:11" s="3" customFormat="1">
      <c r="B2089"/>
      <c r="C2089"/>
      <c r="D2089"/>
      <c r="E2089"/>
      <c r="F2089"/>
      <c r="G2089"/>
      <c r="K2089" s="61"/>
    </row>
    <row r="2090" spans="2:11" s="3" customFormat="1">
      <c r="B2090"/>
      <c r="C2090"/>
      <c r="D2090"/>
      <c r="E2090"/>
      <c r="F2090"/>
      <c r="G2090"/>
      <c r="K2090" s="61"/>
    </row>
    <row r="2091" spans="2:11" s="3" customFormat="1">
      <c r="B2091"/>
      <c r="C2091"/>
      <c r="D2091"/>
      <c r="E2091"/>
      <c r="F2091"/>
      <c r="G2091"/>
      <c r="K2091" s="61"/>
    </row>
    <row r="2092" spans="2:11" s="3" customFormat="1">
      <c r="B2092"/>
      <c r="C2092"/>
      <c r="D2092"/>
      <c r="E2092"/>
      <c r="F2092"/>
      <c r="G2092"/>
      <c r="K2092" s="61"/>
    </row>
    <row r="2093" spans="2:11" s="3" customFormat="1">
      <c r="B2093"/>
      <c r="C2093"/>
      <c r="D2093"/>
      <c r="E2093"/>
      <c r="F2093"/>
      <c r="G2093"/>
      <c r="K2093" s="61"/>
    </row>
    <row r="2094" spans="2:11" s="3" customFormat="1">
      <c r="B2094"/>
      <c r="C2094"/>
      <c r="D2094"/>
      <c r="E2094"/>
      <c r="F2094"/>
      <c r="G2094"/>
      <c r="K2094" s="61"/>
    </row>
    <row r="2095" spans="2:11" s="3" customFormat="1">
      <c r="B2095"/>
      <c r="C2095"/>
      <c r="D2095"/>
      <c r="E2095"/>
      <c r="F2095"/>
      <c r="G2095"/>
      <c r="K2095" s="61"/>
    </row>
    <row r="2096" spans="2:11" s="3" customFormat="1">
      <c r="B2096"/>
      <c r="C2096"/>
      <c r="D2096"/>
      <c r="E2096"/>
      <c r="F2096"/>
      <c r="G2096"/>
      <c r="K2096" s="61"/>
    </row>
    <row r="2097" spans="2:11" s="3" customFormat="1">
      <c r="B2097"/>
      <c r="C2097"/>
      <c r="D2097"/>
      <c r="E2097"/>
      <c r="F2097"/>
      <c r="G2097"/>
      <c r="K2097" s="61"/>
    </row>
    <row r="2098" spans="2:11" s="3" customFormat="1">
      <c r="B2098"/>
      <c r="C2098"/>
      <c r="D2098"/>
      <c r="E2098"/>
      <c r="F2098"/>
      <c r="G2098"/>
      <c r="K2098" s="61"/>
    </row>
    <row r="2099" spans="2:11" s="3" customFormat="1">
      <c r="B2099"/>
      <c r="C2099"/>
      <c r="D2099"/>
      <c r="E2099"/>
      <c r="F2099"/>
      <c r="G2099"/>
      <c r="K2099" s="61"/>
    </row>
    <row r="2100" spans="2:11" s="3" customFormat="1">
      <c r="B2100"/>
      <c r="C2100"/>
      <c r="D2100"/>
      <c r="E2100"/>
      <c r="F2100"/>
      <c r="G2100"/>
      <c r="K2100" s="61"/>
    </row>
    <row r="2101" spans="2:11" s="3" customFormat="1">
      <c r="B2101"/>
      <c r="C2101"/>
      <c r="D2101"/>
      <c r="E2101"/>
      <c r="F2101"/>
      <c r="G2101"/>
      <c r="K2101" s="61"/>
    </row>
    <row r="2102" spans="2:11" s="3" customFormat="1">
      <c r="B2102"/>
      <c r="C2102"/>
      <c r="D2102"/>
      <c r="E2102"/>
      <c r="F2102"/>
      <c r="G2102"/>
      <c r="K2102" s="61"/>
    </row>
    <row r="2103" spans="2:11" s="3" customFormat="1">
      <c r="B2103"/>
      <c r="C2103"/>
      <c r="D2103"/>
      <c r="E2103"/>
      <c r="F2103"/>
      <c r="G2103"/>
      <c r="K2103" s="61"/>
    </row>
    <row r="2104" spans="2:11" s="3" customFormat="1">
      <c r="B2104"/>
      <c r="C2104"/>
      <c r="D2104"/>
      <c r="E2104"/>
      <c r="F2104"/>
      <c r="G2104"/>
      <c r="K2104" s="61"/>
    </row>
    <row r="2105" spans="2:11" s="3" customFormat="1">
      <c r="B2105"/>
      <c r="C2105"/>
      <c r="D2105"/>
      <c r="E2105"/>
      <c r="F2105"/>
      <c r="G2105"/>
      <c r="K2105" s="61"/>
    </row>
    <row r="2106" spans="2:11" s="3" customFormat="1">
      <c r="B2106"/>
      <c r="C2106"/>
      <c r="D2106"/>
      <c r="E2106"/>
      <c r="F2106"/>
      <c r="G2106"/>
      <c r="K2106" s="61"/>
    </row>
    <row r="2107" spans="2:11" s="3" customFormat="1">
      <c r="B2107"/>
      <c r="C2107"/>
      <c r="D2107"/>
      <c r="E2107"/>
      <c r="F2107"/>
      <c r="G2107"/>
      <c r="K2107" s="61"/>
    </row>
    <row r="2108" spans="2:11" s="3" customFormat="1">
      <c r="B2108"/>
      <c r="C2108"/>
      <c r="D2108"/>
      <c r="E2108"/>
      <c r="F2108"/>
      <c r="G2108"/>
      <c r="K2108" s="61"/>
    </row>
    <row r="2109" spans="2:11" s="3" customFormat="1">
      <c r="B2109"/>
      <c r="C2109"/>
      <c r="D2109"/>
      <c r="E2109"/>
      <c r="F2109"/>
      <c r="G2109"/>
      <c r="K2109" s="61"/>
    </row>
    <row r="2110" spans="2:11" s="3" customFormat="1">
      <c r="B2110"/>
      <c r="C2110"/>
      <c r="D2110"/>
      <c r="E2110"/>
      <c r="F2110"/>
      <c r="G2110"/>
      <c r="K2110" s="61"/>
    </row>
    <row r="2111" spans="2:11" s="3" customFormat="1">
      <c r="B2111"/>
      <c r="C2111"/>
      <c r="D2111"/>
      <c r="E2111"/>
      <c r="F2111"/>
      <c r="G2111"/>
      <c r="K2111" s="61"/>
    </row>
    <row r="2112" spans="2:11" s="3" customFormat="1">
      <c r="B2112"/>
      <c r="C2112"/>
      <c r="D2112"/>
      <c r="E2112"/>
      <c r="F2112"/>
      <c r="G2112"/>
      <c r="K2112" s="61"/>
    </row>
    <row r="2113" spans="2:11" s="3" customFormat="1">
      <c r="B2113"/>
      <c r="C2113"/>
      <c r="D2113"/>
      <c r="E2113"/>
      <c r="F2113"/>
      <c r="G2113"/>
      <c r="K2113" s="61"/>
    </row>
    <row r="2114" spans="2:11" s="3" customFormat="1">
      <c r="B2114"/>
      <c r="C2114"/>
      <c r="D2114"/>
      <c r="E2114"/>
      <c r="F2114"/>
      <c r="G2114"/>
      <c r="K2114" s="61"/>
    </row>
    <row r="2115" spans="2:11" s="3" customFormat="1">
      <c r="B2115"/>
      <c r="C2115"/>
      <c r="D2115"/>
      <c r="E2115"/>
      <c r="F2115"/>
      <c r="G2115"/>
      <c r="K2115" s="61"/>
    </row>
    <row r="2116" spans="2:11" s="3" customFormat="1">
      <c r="B2116"/>
      <c r="C2116"/>
      <c r="D2116"/>
      <c r="E2116"/>
      <c r="F2116"/>
      <c r="G2116"/>
      <c r="K2116" s="61"/>
    </row>
    <row r="2117" spans="2:11" s="3" customFormat="1">
      <c r="B2117"/>
      <c r="C2117"/>
      <c r="D2117"/>
      <c r="E2117"/>
      <c r="F2117"/>
      <c r="G2117"/>
      <c r="K2117" s="61"/>
    </row>
    <row r="2118" spans="2:11" s="3" customFormat="1">
      <c r="B2118"/>
      <c r="C2118"/>
      <c r="D2118"/>
      <c r="E2118"/>
      <c r="F2118"/>
      <c r="G2118"/>
      <c r="K2118" s="61"/>
    </row>
    <row r="2119" spans="2:11" s="3" customFormat="1">
      <c r="B2119"/>
      <c r="C2119"/>
      <c r="D2119"/>
      <c r="E2119"/>
      <c r="F2119"/>
      <c r="G2119"/>
      <c r="K2119" s="61"/>
    </row>
    <row r="2120" spans="2:11" s="3" customFormat="1">
      <c r="B2120"/>
      <c r="C2120"/>
      <c r="D2120"/>
      <c r="E2120"/>
      <c r="F2120"/>
      <c r="G2120"/>
      <c r="K2120" s="61"/>
    </row>
    <row r="2121" spans="2:11" s="3" customFormat="1">
      <c r="B2121"/>
      <c r="C2121"/>
      <c r="D2121"/>
      <c r="E2121"/>
      <c r="F2121"/>
      <c r="G2121"/>
      <c r="K2121" s="61"/>
    </row>
    <row r="2122" spans="2:11" s="3" customFormat="1">
      <c r="B2122"/>
      <c r="C2122"/>
      <c r="D2122"/>
      <c r="E2122"/>
      <c r="F2122"/>
      <c r="G2122"/>
      <c r="K2122" s="61"/>
    </row>
    <row r="2123" spans="2:11" s="3" customFormat="1">
      <c r="B2123"/>
      <c r="C2123"/>
      <c r="D2123"/>
      <c r="E2123"/>
      <c r="F2123"/>
      <c r="G2123"/>
      <c r="K2123" s="61"/>
    </row>
    <row r="2124" spans="2:11" s="3" customFormat="1">
      <c r="B2124"/>
      <c r="C2124"/>
      <c r="D2124"/>
      <c r="E2124"/>
      <c r="F2124"/>
      <c r="G2124"/>
      <c r="K2124" s="61"/>
    </row>
    <row r="2125" spans="2:11" s="3" customFormat="1">
      <c r="B2125"/>
      <c r="C2125"/>
      <c r="D2125"/>
      <c r="E2125"/>
      <c r="F2125"/>
      <c r="G2125"/>
      <c r="K2125" s="61"/>
    </row>
    <row r="2126" spans="2:11" s="3" customFormat="1">
      <c r="B2126"/>
      <c r="C2126"/>
      <c r="D2126"/>
      <c r="E2126"/>
      <c r="F2126"/>
      <c r="G2126"/>
      <c r="K2126" s="61"/>
    </row>
    <row r="2127" spans="2:11" s="3" customFormat="1">
      <c r="B2127"/>
      <c r="C2127"/>
      <c r="D2127"/>
      <c r="E2127"/>
      <c r="F2127"/>
      <c r="G2127"/>
      <c r="K2127" s="61"/>
    </row>
    <row r="2128" spans="2:11" s="3" customFormat="1">
      <c r="B2128"/>
      <c r="C2128"/>
      <c r="D2128"/>
      <c r="E2128"/>
      <c r="F2128"/>
      <c r="G2128"/>
      <c r="K2128" s="61"/>
    </row>
    <row r="2129" spans="2:11" s="3" customFormat="1">
      <c r="B2129"/>
      <c r="C2129"/>
      <c r="D2129"/>
      <c r="E2129"/>
      <c r="F2129"/>
      <c r="G2129"/>
      <c r="K2129" s="61"/>
    </row>
    <row r="2130" spans="2:11" s="3" customFormat="1">
      <c r="B2130"/>
      <c r="C2130"/>
      <c r="D2130"/>
      <c r="E2130"/>
      <c r="F2130"/>
      <c r="G2130"/>
      <c r="K2130" s="61"/>
    </row>
    <row r="2131" spans="2:11" s="3" customFormat="1">
      <c r="B2131"/>
      <c r="C2131"/>
      <c r="D2131"/>
      <c r="E2131"/>
      <c r="F2131"/>
      <c r="G2131"/>
      <c r="K2131" s="61"/>
    </row>
    <row r="2132" spans="2:11" s="3" customFormat="1">
      <c r="B2132"/>
      <c r="C2132"/>
      <c r="D2132"/>
      <c r="E2132"/>
      <c r="F2132"/>
      <c r="G2132"/>
      <c r="K2132" s="61"/>
    </row>
    <row r="2133" spans="2:11" s="3" customFormat="1">
      <c r="B2133"/>
      <c r="C2133"/>
      <c r="D2133"/>
      <c r="E2133"/>
      <c r="F2133"/>
      <c r="G2133"/>
      <c r="K2133" s="61"/>
    </row>
    <row r="2134" spans="2:11" s="3" customFormat="1">
      <c r="B2134"/>
      <c r="C2134"/>
      <c r="D2134"/>
      <c r="E2134"/>
      <c r="F2134"/>
      <c r="G2134"/>
      <c r="K2134" s="61"/>
    </row>
    <row r="2135" spans="2:11" s="3" customFormat="1">
      <c r="B2135"/>
      <c r="C2135"/>
      <c r="D2135"/>
      <c r="E2135"/>
      <c r="F2135"/>
      <c r="G2135"/>
      <c r="K2135" s="61"/>
    </row>
    <row r="2136" spans="2:11" s="3" customFormat="1">
      <c r="B2136"/>
      <c r="C2136"/>
      <c r="D2136"/>
      <c r="E2136"/>
      <c r="F2136"/>
      <c r="G2136"/>
      <c r="K2136" s="61"/>
    </row>
    <row r="2137" spans="2:11" s="3" customFormat="1">
      <c r="B2137"/>
      <c r="C2137"/>
      <c r="D2137"/>
      <c r="E2137"/>
      <c r="F2137"/>
      <c r="G2137"/>
      <c r="K2137" s="61"/>
    </row>
    <row r="2138" spans="2:11" s="3" customFormat="1">
      <c r="B2138"/>
      <c r="C2138"/>
      <c r="D2138"/>
      <c r="E2138"/>
      <c r="F2138"/>
      <c r="G2138"/>
      <c r="K2138" s="61"/>
    </row>
    <row r="2139" spans="2:11" s="3" customFormat="1">
      <c r="B2139"/>
      <c r="C2139"/>
      <c r="D2139"/>
      <c r="E2139"/>
      <c r="F2139"/>
      <c r="G2139"/>
      <c r="K2139" s="61"/>
    </row>
    <row r="2140" spans="2:11" s="3" customFormat="1">
      <c r="B2140"/>
      <c r="C2140"/>
      <c r="D2140"/>
      <c r="E2140"/>
      <c r="F2140"/>
      <c r="G2140"/>
      <c r="K2140" s="61"/>
    </row>
    <row r="2141" spans="2:11" s="3" customFormat="1">
      <c r="B2141"/>
      <c r="C2141"/>
      <c r="D2141"/>
      <c r="E2141"/>
      <c r="F2141"/>
      <c r="G2141"/>
      <c r="K2141" s="61"/>
    </row>
    <row r="2142" spans="2:11" s="3" customFormat="1">
      <c r="B2142"/>
      <c r="C2142"/>
      <c r="D2142"/>
      <c r="E2142"/>
      <c r="F2142"/>
      <c r="G2142"/>
      <c r="K2142" s="61"/>
    </row>
    <row r="2143" spans="2:11" s="3" customFormat="1">
      <c r="B2143"/>
      <c r="C2143"/>
      <c r="D2143"/>
      <c r="E2143"/>
      <c r="F2143"/>
      <c r="G2143"/>
      <c r="K2143" s="61"/>
    </row>
    <row r="2144" spans="2:11" s="3" customFormat="1">
      <c r="B2144"/>
      <c r="C2144"/>
      <c r="D2144"/>
      <c r="E2144"/>
      <c r="F2144"/>
      <c r="G2144"/>
      <c r="K2144" s="61"/>
    </row>
    <row r="2145" spans="2:11" s="3" customFormat="1">
      <c r="B2145"/>
      <c r="C2145"/>
      <c r="D2145"/>
      <c r="E2145"/>
      <c r="F2145"/>
      <c r="G2145"/>
      <c r="K2145" s="61"/>
    </row>
    <row r="2146" spans="2:11" s="3" customFormat="1">
      <c r="B2146"/>
      <c r="C2146"/>
      <c r="D2146"/>
      <c r="E2146"/>
      <c r="F2146"/>
      <c r="G2146"/>
      <c r="K2146" s="61"/>
    </row>
    <row r="2147" spans="2:11" s="3" customFormat="1">
      <c r="B2147"/>
      <c r="C2147"/>
      <c r="D2147"/>
      <c r="E2147"/>
      <c r="F2147"/>
      <c r="G2147"/>
      <c r="K2147" s="61"/>
    </row>
    <row r="2148" spans="2:11" s="3" customFormat="1">
      <c r="B2148"/>
      <c r="C2148"/>
      <c r="D2148"/>
      <c r="E2148"/>
      <c r="F2148"/>
      <c r="G2148"/>
      <c r="K2148" s="61"/>
    </row>
    <row r="2149" spans="2:11" s="3" customFormat="1">
      <c r="B2149"/>
      <c r="C2149"/>
      <c r="D2149"/>
      <c r="E2149"/>
      <c r="F2149"/>
      <c r="G2149"/>
      <c r="K2149" s="61"/>
    </row>
    <row r="2150" spans="2:11" s="3" customFormat="1">
      <c r="B2150"/>
      <c r="C2150"/>
      <c r="D2150"/>
      <c r="E2150"/>
      <c r="F2150"/>
      <c r="G2150"/>
      <c r="K2150" s="61"/>
    </row>
    <row r="2151" spans="2:11" s="3" customFormat="1">
      <c r="B2151"/>
      <c r="C2151"/>
      <c r="D2151"/>
      <c r="E2151"/>
      <c r="F2151"/>
      <c r="G2151"/>
      <c r="K2151" s="61"/>
    </row>
    <row r="2152" spans="2:11" s="3" customFormat="1">
      <c r="B2152"/>
      <c r="C2152"/>
      <c r="D2152"/>
      <c r="E2152"/>
      <c r="F2152"/>
      <c r="G2152"/>
      <c r="K2152" s="61"/>
    </row>
    <row r="2153" spans="2:11" s="3" customFormat="1">
      <c r="B2153"/>
      <c r="C2153"/>
      <c r="D2153"/>
      <c r="E2153"/>
      <c r="F2153"/>
      <c r="G2153"/>
      <c r="K2153" s="61"/>
    </row>
    <row r="2154" spans="2:11" s="3" customFormat="1">
      <c r="B2154"/>
      <c r="C2154"/>
      <c r="D2154"/>
      <c r="E2154"/>
      <c r="F2154"/>
      <c r="G2154"/>
      <c r="K2154" s="61"/>
    </row>
    <row r="2155" spans="2:11" s="3" customFormat="1">
      <c r="B2155"/>
      <c r="C2155"/>
      <c r="D2155"/>
      <c r="E2155"/>
      <c r="F2155"/>
      <c r="G2155"/>
      <c r="K2155" s="61"/>
    </row>
    <row r="2156" spans="2:11" s="3" customFormat="1">
      <c r="B2156"/>
      <c r="C2156"/>
      <c r="D2156"/>
      <c r="E2156"/>
      <c r="F2156"/>
      <c r="G2156"/>
      <c r="K2156" s="61"/>
    </row>
    <row r="2157" spans="2:11" s="3" customFormat="1">
      <c r="B2157"/>
      <c r="C2157"/>
      <c r="D2157"/>
      <c r="E2157"/>
      <c r="F2157"/>
      <c r="G2157"/>
      <c r="K2157" s="61"/>
    </row>
    <row r="2158" spans="2:11" s="3" customFormat="1">
      <c r="B2158"/>
      <c r="C2158"/>
      <c r="D2158"/>
      <c r="E2158"/>
      <c r="F2158"/>
      <c r="G2158"/>
      <c r="K2158" s="61"/>
    </row>
    <row r="2159" spans="2:11" s="3" customFormat="1">
      <c r="B2159"/>
      <c r="C2159"/>
      <c r="D2159"/>
      <c r="E2159"/>
      <c r="F2159"/>
      <c r="G2159"/>
      <c r="K2159" s="61"/>
    </row>
    <row r="2160" spans="2:11" s="3" customFormat="1">
      <c r="B2160"/>
      <c r="C2160"/>
      <c r="D2160"/>
      <c r="E2160"/>
      <c r="F2160"/>
      <c r="G2160"/>
      <c r="K2160" s="61"/>
    </row>
    <row r="2161" spans="2:11" s="3" customFormat="1">
      <c r="B2161"/>
      <c r="C2161"/>
      <c r="D2161"/>
      <c r="E2161"/>
      <c r="F2161"/>
      <c r="G2161"/>
      <c r="K2161" s="61"/>
    </row>
    <row r="2162" spans="2:11" s="3" customFormat="1">
      <c r="B2162"/>
      <c r="C2162"/>
      <c r="D2162"/>
      <c r="E2162"/>
      <c r="F2162"/>
      <c r="G2162"/>
      <c r="K2162" s="61"/>
    </row>
    <row r="2163" spans="2:11" s="3" customFormat="1">
      <c r="B2163"/>
      <c r="C2163"/>
      <c r="D2163"/>
      <c r="E2163"/>
      <c r="F2163"/>
      <c r="G2163"/>
      <c r="K2163" s="61"/>
    </row>
    <row r="2164" spans="2:11" s="3" customFormat="1">
      <c r="B2164"/>
      <c r="C2164"/>
      <c r="D2164"/>
      <c r="E2164"/>
      <c r="F2164"/>
      <c r="G2164"/>
      <c r="K2164" s="61"/>
    </row>
    <row r="2165" spans="2:11" s="3" customFormat="1">
      <c r="B2165"/>
      <c r="C2165"/>
      <c r="D2165"/>
      <c r="E2165"/>
      <c r="F2165"/>
      <c r="G2165"/>
      <c r="K2165" s="61"/>
    </row>
    <row r="2166" spans="2:11" s="3" customFormat="1">
      <c r="B2166"/>
      <c r="C2166"/>
      <c r="D2166"/>
      <c r="E2166"/>
      <c r="F2166"/>
      <c r="G2166"/>
      <c r="K2166" s="61"/>
    </row>
    <row r="2167" spans="2:11" s="3" customFormat="1">
      <c r="B2167"/>
      <c r="C2167"/>
      <c r="D2167"/>
      <c r="E2167"/>
      <c r="F2167"/>
      <c r="G2167"/>
      <c r="K2167" s="61"/>
    </row>
    <row r="2168" spans="2:11" s="3" customFormat="1">
      <c r="B2168"/>
      <c r="C2168"/>
      <c r="D2168"/>
      <c r="E2168"/>
      <c r="F2168"/>
      <c r="G2168"/>
      <c r="K2168" s="61"/>
    </row>
    <row r="2169" spans="2:11" s="3" customFormat="1">
      <c r="B2169"/>
      <c r="C2169"/>
      <c r="D2169"/>
      <c r="E2169"/>
      <c r="F2169"/>
      <c r="G2169"/>
      <c r="K2169" s="61"/>
    </row>
    <row r="2170" spans="2:11" s="3" customFormat="1">
      <c r="B2170"/>
      <c r="C2170"/>
      <c r="D2170"/>
      <c r="E2170"/>
      <c r="F2170"/>
      <c r="G2170"/>
      <c r="K2170" s="61"/>
    </row>
    <row r="2171" spans="2:11" s="3" customFormat="1">
      <c r="B2171"/>
      <c r="C2171"/>
      <c r="D2171"/>
      <c r="E2171"/>
      <c r="F2171"/>
      <c r="G2171"/>
      <c r="K2171" s="61"/>
    </row>
    <row r="2172" spans="2:11" s="3" customFormat="1">
      <c r="B2172"/>
      <c r="C2172"/>
      <c r="D2172"/>
      <c r="E2172"/>
      <c r="F2172"/>
      <c r="G2172"/>
      <c r="K2172" s="61"/>
    </row>
    <row r="2173" spans="2:11" s="3" customFormat="1">
      <c r="B2173"/>
      <c r="C2173"/>
      <c r="D2173"/>
      <c r="E2173"/>
      <c r="F2173"/>
      <c r="G2173"/>
      <c r="K2173" s="61"/>
    </row>
    <row r="2174" spans="2:11" s="3" customFormat="1">
      <c r="B2174"/>
      <c r="C2174"/>
      <c r="D2174"/>
      <c r="E2174"/>
      <c r="F2174"/>
      <c r="G2174"/>
      <c r="K2174" s="61"/>
    </row>
    <row r="2175" spans="2:11" s="3" customFormat="1">
      <c r="B2175"/>
      <c r="C2175"/>
      <c r="D2175"/>
      <c r="E2175"/>
      <c r="F2175"/>
      <c r="G2175"/>
      <c r="K2175" s="61"/>
    </row>
    <row r="2176" spans="2:11" s="3" customFormat="1">
      <c r="B2176"/>
      <c r="C2176"/>
      <c r="D2176"/>
      <c r="E2176"/>
      <c r="F2176"/>
      <c r="G2176"/>
      <c r="K2176" s="61"/>
    </row>
    <row r="2177" spans="2:11" s="3" customFormat="1">
      <c r="B2177"/>
      <c r="C2177"/>
      <c r="D2177"/>
      <c r="E2177"/>
      <c r="F2177"/>
      <c r="G2177"/>
      <c r="K2177" s="61"/>
    </row>
    <row r="2178" spans="2:11" s="3" customFormat="1">
      <c r="B2178"/>
      <c r="C2178"/>
      <c r="D2178"/>
      <c r="E2178"/>
      <c r="F2178"/>
      <c r="G2178"/>
      <c r="K2178" s="61"/>
    </row>
    <row r="2179" spans="2:11" s="3" customFormat="1">
      <c r="B2179"/>
      <c r="C2179"/>
      <c r="D2179"/>
      <c r="E2179"/>
      <c r="F2179"/>
      <c r="G2179"/>
      <c r="K2179" s="61"/>
    </row>
    <row r="2180" spans="2:11" s="3" customFormat="1">
      <c r="B2180"/>
      <c r="C2180"/>
      <c r="D2180"/>
      <c r="E2180"/>
      <c r="F2180"/>
      <c r="G2180"/>
      <c r="K2180" s="61"/>
    </row>
    <row r="2181" spans="2:11" s="3" customFormat="1">
      <c r="B2181"/>
      <c r="C2181"/>
      <c r="D2181"/>
      <c r="E2181"/>
      <c r="F2181"/>
      <c r="G2181"/>
      <c r="K2181" s="61"/>
    </row>
    <row r="2182" spans="2:11" s="3" customFormat="1">
      <c r="B2182"/>
      <c r="C2182"/>
      <c r="D2182"/>
      <c r="E2182"/>
      <c r="F2182"/>
      <c r="G2182"/>
      <c r="K2182" s="61"/>
    </row>
    <row r="2183" spans="2:11" s="3" customFormat="1">
      <c r="B2183"/>
      <c r="C2183"/>
      <c r="D2183"/>
      <c r="E2183"/>
      <c r="F2183"/>
      <c r="G2183"/>
      <c r="K2183" s="61"/>
    </row>
    <row r="2184" spans="2:11" s="3" customFormat="1">
      <c r="B2184"/>
      <c r="C2184"/>
      <c r="D2184"/>
      <c r="E2184"/>
      <c r="F2184"/>
      <c r="G2184"/>
      <c r="K2184" s="61"/>
    </row>
    <row r="2185" spans="2:11" s="3" customFormat="1">
      <c r="B2185"/>
      <c r="C2185"/>
      <c r="D2185"/>
      <c r="E2185"/>
      <c r="F2185"/>
      <c r="G2185"/>
      <c r="K2185" s="61"/>
    </row>
    <row r="2186" spans="2:11" s="3" customFormat="1">
      <c r="B2186"/>
      <c r="C2186"/>
      <c r="D2186"/>
      <c r="E2186"/>
      <c r="F2186"/>
      <c r="G2186"/>
      <c r="K2186" s="61"/>
    </row>
    <row r="2187" spans="2:11" s="3" customFormat="1">
      <c r="B2187"/>
      <c r="C2187"/>
      <c r="D2187"/>
      <c r="E2187"/>
      <c r="F2187"/>
      <c r="G2187"/>
      <c r="K2187" s="61"/>
    </row>
    <row r="2188" spans="2:11" s="3" customFormat="1">
      <c r="B2188"/>
      <c r="C2188"/>
      <c r="D2188"/>
      <c r="E2188"/>
      <c r="F2188"/>
      <c r="G2188"/>
      <c r="K2188" s="61"/>
    </row>
    <row r="2189" spans="2:11" s="3" customFormat="1">
      <c r="B2189"/>
      <c r="C2189"/>
      <c r="D2189"/>
      <c r="E2189"/>
      <c r="F2189"/>
      <c r="G2189"/>
      <c r="K2189" s="61"/>
    </row>
    <row r="2190" spans="2:11" s="3" customFormat="1">
      <c r="B2190"/>
      <c r="C2190"/>
      <c r="D2190"/>
      <c r="E2190"/>
      <c r="F2190"/>
      <c r="G2190"/>
      <c r="K2190" s="61"/>
    </row>
    <row r="2191" spans="2:11" s="3" customFormat="1">
      <c r="B2191"/>
      <c r="C2191"/>
      <c r="D2191"/>
      <c r="E2191"/>
      <c r="F2191"/>
      <c r="G2191"/>
      <c r="K2191" s="61"/>
    </row>
    <row r="2192" spans="2:11" s="3" customFormat="1">
      <c r="B2192"/>
      <c r="C2192"/>
      <c r="D2192"/>
      <c r="E2192"/>
      <c r="F2192"/>
      <c r="G2192"/>
      <c r="K2192" s="61"/>
    </row>
    <row r="2193" spans="2:11" s="3" customFormat="1">
      <c r="B2193"/>
      <c r="C2193"/>
      <c r="D2193"/>
      <c r="E2193"/>
      <c r="F2193"/>
      <c r="G2193"/>
      <c r="K2193" s="61"/>
    </row>
    <row r="2194" spans="2:11" s="3" customFormat="1">
      <c r="B2194"/>
      <c r="C2194"/>
      <c r="D2194"/>
      <c r="E2194"/>
      <c r="F2194"/>
      <c r="G2194"/>
      <c r="K2194" s="61"/>
    </row>
    <row r="2195" spans="2:11" s="3" customFormat="1">
      <c r="B2195"/>
      <c r="C2195"/>
      <c r="D2195"/>
      <c r="E2195"/>
      <c r="F2195"/>
      <c r="G2195"/>
      <c r="K2195" s="61"/>
    </row>
    <row r="2196" spans="2:11" s="3" customFormat="1">
      <c r="B2196"/>
      <c r="C2196"/>
      <c r="D2196"/>
      <c r="E2196"/>
      <c r="F2196"/>
      <c r="G2196"/>
      <c r="K2196" s="61"/>
    </row>
    <row r="2197" spans="2:11" s="3" customFormat="1">
      <c r="B2197"/>
      <c r="C2197"/>
      <c r="D2197"/>
      <c r="E2197"/>
      <c r="F2197"/>
      <c r="G2197"/>
      <c r="K2197" s="61"/>
    </row>
    <row r="2198" spans="2:11" s="3" customFormat="1">
      <c r="B2198"/>
      <c r="C2198"/>
      <c r="D2198"/>
      <c r="E2198"/>
      <c r="F2198"/>
      <c r="G2198"/>
      <c r="K2198" s="61"/>
    </row>
    <row r="2199" spans="2:11" s="3" customFormat="1">
      <c r="B2199"/>
      <c r="C2199"/>
      <c r="D2199"/>
      <c r="E2199"/>
      <c r="F2199"/>
      <c r="G2199"/>
      <c r="K2199" s="61"/>
    </row>
    <row r="2200" spans="2:11" s="3" customFormat="1">
      <c r="B2200"/>
      <c r="C2200"/>
      <c r="D2200"/>
      <c r="E2200"/>
      <c r="F2200"/>
      <c r="G2200"/>
      <c r="K2200" s="61"/>
    </row>
    <row r="2201" spans="2:11" s="3" customFormat="1">
      <c r="B2201"/>
      <c r="C2201"/>
      <c r="D2201"/>
      <c r="E2201"/>
      <c r="F2201"/>
      <c r="G2201"/>
      <c r="K2201" s="61"/>
    </row>
    <row r="2202" spans="2:11" s="3" customFormat="1">
      <c r="B2202"/>
      <c r="C2202"/>
      <c r="D2202"/>
      <c r="E2202"/>
      <c r="F2202"/>
      <c r="G2202"/>
      <c r="K2202" s="61"/>
    </row>
    <row r="2203" spans="2:11" s="3" customFormat="1">
      <c r="B2203"/>
      <c r="C2203"/>
      <c r="D2203"/>
      <c r="E2203"/>
      <c r="F2203"/>
      <c r="G2203"/>
      <c r="K2203" s="61"/>
    </row>
    <row r="2204" spans="2:11" s="3" customFormat="1">
      <c r="B2204"/>
      <c r="C2204"/>
      <c r="D2204"/>
      <c r="E2204"/>
      <c r="F2204"/>
      <c r="G2204"/>
      <c r="K2204" s="61"/>
    </row>
    <row r="2205" spans="2:11" s="3" customFormat="1">
      <c r="B2205"/>
      <c r="C2205"/>
      <c r="D2205"/>
      <c r="E2205"/>
      <c r="F2205"/>
      <c r="G2205"/>
      <c r="K2205" s="61"/>
    </row>
    <row r="2206" spans="2:11" s="3" customFormat="1">
      <c r="B2206"/>
      <c r="C2206"/>
      <c r="D2206"/>
      <c r="E2206"/>
      <c r="F2206"/>
      <c r="G2206"/>
      <c r="K2206" s="61"/>
    </row>
    <row r="2207" spans="2:11" s="3" customFormat="1">
      <c r="B2207"/>
      <c r="C2207"/>
      <c r="D2207"/>
      <c r="E2207"/>
      <c r="F2207"/>
      <c r="G2207"/>
      <c r="K2207" s="61"/>
    </row>
    <row r="2208" spans="2:11" s="3" customFormat="1">
      <c r="B2208"/>
      <c r="C2208"/>
      <c r="D2208"/>
      <c r="E2208"/>
      <c r="F2208"/>
      <c r="G2208"/>
      <c r="K2208" s="61"/>
    </row>
    <row r="2209" spans="2:11" s="3" customFormat="1">
      <c r="B2209"/>
      <c r="C2209"/>
      <c r="D2209"/>
      <c r="E2209"/>
      <c r="F2209"/>
      <c r="G2209"/>
      <c r="K2209" s="61"/>
    </row>
    <row r="2210" spans="2:11" s="3" customFormat="1">
      <c r="B2210"/>
      <c r="C2210"/>
      <c r="D2210"/>
      <c r="E2210"/>
      <c r="F2210"/>
      <c r="G2210"/>
      <c r="K2210" s="61"/>
    </row>
    <row r="2211" spans="2:11" s="3" customFormat="1">
      <c r="B2211"/>
      <c r="C2211"/>
      <c r="D2211"/>
      <c r="E2211"/>
      <c r="F2211"/>
      <c r="G2211"/>
      <c r="K2211" s="61"/>
    </row>
    <row r="2212" spans="2:11" s="3" customFormat="1">
      <c r="B2212"/>
      <c r="C2212"/>
      <c r="D2212"/>
      <c r="E2212"/>
      <c r="F2212"/>
      <c r="G2212"/>
      <c r="K2212" s="61"/>
    </row>
    <row r="2213" spans="2:11" s="3" customFormat="1">
      <c r="B2213"/>
      <c r="C2213"/>
      <c r="D2213"/>
      <c r="E2213"/>
      <c r="F2213"/>
      <c r="G2213"/>
      <c r="K2213" s="61"/>
    </row>
    <row r="2214" spans="2:11" s="3" customFormat="1">
      <c r="B2214"/>
      <c r="C2214"/>
      <c r="D2214"/>
      <c r="E2214"/>
      <c r="F2214"/>
      <c r="G2214"/>
      <c r="K2214" s="61"/>
    </row>
    <row r="2215" spans="2:11" s="3" customFormat="1">
      <c r="B2215"/>
      <c r="C2215"/>
      <c r="D2215"/>
      <c r="E2215"/>
      <c r="F2215"/>
      <c r="G2215"/>
      <c r="K2215" s="61"/>
    </row>
    <row r="2216" spans="2:11" s="3" customFormat="1">
      <c r="B2216"/>
      <c r="C2216"/>
      <c r="D2216"/>
      <c r="E2216"/>
      <c r="F2216"/>
      <c r="G2216"/>
      <c r="K2216" s="61"/>
    </row>
    <row r="2217" spans="2:11" s="3" customFormat="1">
      <c r="B2217"/>
      <c r="C2217"/>
      <c r="D2217"/>
      <c r="E2217"/>
      <c r="F2217"/>
      <c r="G2217"/>
      <c r="K2217" s="61"/>
    </row>
    <row r="2218" spans="2:11" s="3" customFormat="1">
      <c r="B2218"/>
      <c r="C2218"/>
      <c r="D2218"/>
      <c r="E2218"/>
      <c r="F2218"/>
      <c r="G2218"/>
      <c r="K2218" s="61"/>
    </row>
    <row r="2219" spans="2:11" s="3" customFormat="1">
      <c r="B2219"/>
      <c r="C2219"/>
      <c r="D2219"/>
      <c r="E2219"/>
      <c r="F2219"/>
      <c r="G2219"/>
      <c r="K2219" s="61"/>
    </row>
    <row r="2220" spans="2:11" s="3" customFormat="1">
      <c r="B2220"/>
      <c r="C2220"/>
      <c r="D2220"/>
      <c r="E2220"/>
      <c r="F2220"/>
      <c r="G2220"/>
      <c r="K2220" s="61"/>
    </row>
    <row r="2221" spans="2:11" s="3" customFormat="1">
      <c r="B2221"/>
      <c r="C2221"/>
      <c r="D2221"/>
      <c r="E2221"/>
      <c r="F2221"/>
      <c r="G2221"/>
      <c r="K2221" s="61"/>
    </row>
    <row r="2222" spans="2:11" s="3" customFormat="1">
      <c r="B2222"/>
      <c r="C2222"/>
      <c r="D2222"/>
      <c r="E2222"/>
      <c r="F2222"/>
      <c r="G2222"/>
      <c r="K2222" s="61"/>
    </row>
    <row r="2223" spans="2:11" s="3" customFormat="1">
      <c r="B2223"/>
      <c r="C2223"/>
      <c r="D2223"/>
      <c r="E2223"/>
      <c r="F2223"/>
      <c r="G2223"/>
      <c r="K2223" s="61"/>
    </row>
    <row r="2224" spans="2:11" s="3" customFormat="1">
      <c r="B2224"/>
      <c r="C2224"/>
      <c r="D2224"/>
      <c r="E2224"/>
      <c r="F2224"/>
      <c r="G2224"/>
      <c r="K2224" s="61"/>
    </row>
    <row r="2225" spans="2:11" s="3" customFormat="1">
      <c r="B2225"/>
      <c r="C2225"/>
      <c r="D2225"/>
      <c r="E2225"/>
      <c r="F2225"/>
      <c r="G2225"/>
      <c r="K2225" s="61"/>
    </row>
    <row r="2226" spans="2:11" s="3" customFormat="1">
      <c r="B2226"/>
      <c r="C2226"/>
      <c r="D2226"/>
      <c r="E2226"/>
      <c r="F2226"/>
      <c r="G2226"/>
      <c r="K2226" s="61"/>
    </row>
    <row r="2227" spans="2:11" s="3" customFormat="1">
      <c r="B2227"/>
      <c r="C2227"/>
      <c r="D2227"/>
      <c r="E2227"/>
      <c r="F2227"/>
      <c r="G2227"/>
      <c r="K2227" s="61"/>
    </row>
    <row r="2228" spans="2:11" s="3" customFormat="1">
      <c r="B2228"/>
      <c r="C2228"/>
      <c r="D2228"/>
      <c r="E2228"/>
      <c r="F2228"/>
      <c r="G2228"/>
      <c r="K2228" s="61"/>
    </row>
    <row r="2229" spans="2:11" s="3" customFormat="1">
      <c r="B2229"/>
      <c r="C2229"/>
      <c r="D2229"/>
      <c r="E2229"/>
      <c r="F2229"/>
      <c r="G2229"/>
      <c r="K2229" s="61"/>
    </row>
    <row r="2230" spans="2:11" s="3" customFormat="1">
      <c r="B2230"/>
      <c r="C2230"/>
      <c r="D2230"/>
      <c r="E2230"/>
      <c r="F2230"/>
      <c r="G2230"/>
      <c r="K2230" s="61"/>
    </row>
    <row r="2231" spans="2:11" s="3" customFormat="1">
      <c r="B2231"/>
      <c r="C2231"/>
      <c r="D2231"/>
      <c r="E2231"/>
      <c r="F2231"/>
      <c r="G2231"/>
      <c r="K2231" s="61"/>
    </row>
    <row r="2232" spans="2:11" s="3" customFormat="1">
      <c r="B2232"/>
      <c r="C2232"/>
      <c r="D2232"/>
      <c r="E2232"/>
      <c r="F2232"/>
      <c r="G2232"/>
      <c r="K2232" s="61"/>
    </row>
    <row r="2233" spans="2:11" s="3" customFormat="1">
      <c r="B2233"/>
      <c r="C2233"/>
      <c r="D2233"/>
      <c r="E2233"/>
      <c r="F2233"/>
      <c r="G2233"/>
      <c r="K2233" s="61"/>
    </row>
    <row r="2234" spans="2:11" s="3" customFormat="1">
      <c r="B2234"/>
      <c r="C2234"/>
      <c r="D2234"/>
      <c r="E2234"/>
      <c r="F2234"/>
      <c r="G2234"/>
      <c r="K2234" s="61"/>
    </row>
    <row r="2235" spans="2:11" s="3" customFormat="1">
      <c r="B2235"/>
      <c r="C2235"/>
      <c r="D2235"/>
      <c r="E2235"/>
      <c r="F2235"/>
      <c r="G2235"/>
      <c r="K2235" s="61"/>
    </row>
    <row r="2236" spans="2:11" s="3" customFormat="1">
      <c r="B2236"/>
      <c r="C2236"/>
      <c r="D2236"/>
      <c r="E2236"/>
      <c r="F2236"/>
      <c r="G2236"/>
      <c r="K2236" s="61"/>
    </row>
    <row r="2237" spans="2:11" s="3" customFormat="1">
      <c r="B2237"/>
      <c r="C2237"/>
      <c r="D2237"/>
      <c r="E2237"/>
      <c r="F2237"/>
      <c r="G2237"/>
      <c r="K2237" s="61"/>
    </row>
    <row r="2238" spans="2:11" s="3" customFormat="1">
      <c r="B2238"/>
      <c r="C2238"/>
      <c r="D2238"/>
      <c r="E2238"/>
      <c r="F2238"/>
      <c r="G2238"/>
      <c r="K2238" s="61"/>
    </row>
    <row r="2239" spans="2:11" s="3" customFormat="1">
      <c r="B2239"/>
      <c r="C2239"/>
      <c r="D2239"/>
      <c r="E2239"/>
      <c r="F2239"/>
      <c r="G2239"/>
      <c r="K2239" s="61"/>
    </row>
    <row r="2240" spans="2:11" s="3" customFormat="1">
      <c r="B2240"/>
      <c r="C2240"/>
      <c r="D2240"/>
      <c r="E2240"/>
      <c r="F2240"/>
      <c r="G2240"/>
      <c r="K2240" s="61"/>
    </row>
    <row r="2241" spans="2:11" s="3" customFormat="1">
      <c r="B2241"/>
      <c r="C2241"/>
      <c r="D2241"/>
      <c r="E2241"/>
      <c r="F2241"/>
      <c r="G2241"/>
      <c r="K2241" s="61"/>
    </row>
    <row r="2242" spans="2:11" s="3" customFormat="1">
      <c r="B2242"/>
      <c r="C2242"/>
      <c r="D2242"/>
      <c r="E2242"/>
      <c r="F2242"/>
      <c r="G2242"/>
      <c r="K2242" s="61"/>
    </row>
    <row r="2243" spans="2:11" s="3" customFormat="1">
      <c r="B2243"/>
      <c r="C2243"/>
      <c r="D2243"/>
      <c r="E2243"/>
      <c r="F2243"/>
      <c r="G2243"/>
      <c r="K2243" s="61"/>
    </row>
    <row r="2244" spans="2:11" s="3" customFormat="1">
      <c r="B2244"/>
      <c r="C2244"/>
      <c r="D2244"/>
      <c r="E2244"/>
      <c r="F2244"/>
      <c r="G2244"/>
      <c r="K2244" s="61"/>
    </row>
    <row r="2245" spans="2:11" s="3" customFormat="1">
      <c r="B2245"/>
      <c r="C2245"/>
      <c r="D2245"/>
      <c r="E2245"/>
      <c r="F2245"/>
      <c r="G2245"/>
      <c r="K2245" s="61"/>
    </row>
    <row r="2246" spans="2:11" s="3" customFormat="1">
      <c r="B2246"/>
      <c r="C2246"/>
      <c r="D2246"/>
      <c r="E2246"/>
      <c r="F2246"/>
      <c r="G2246"/>
      <c r="K2246" s="61"/>
    </row>
    <row r="2247" spans="2:11" s="3" customFormat="1">
      <c r="B2247"/>
      <c r="C2247"/>
      <c r="D2247"/>
      <c r="E2247"/>
      <c r="F2247"/>
      <c r="G2247"/>
      <c r="K2247" s="61"/>
    </row>
    <row r="2248" spans="2:11" s="3" customFormat="1">
      <c r="B2248"/>
      <c r="C2248"/>
      <c r="D2248"/>
      <c r="E2248"/>
      <c r="F2248"/>
      <c r="G2248"/>
      <c r="K2248" s="61"/>
    </row>
    <row r="2249" spans="2:11" s="3" customFormat="1">
      <c r="B2249"/>
      <c r="C2249"/>
      <c r="D2249"/>
      <c r="E2249"/>
      <c r="F2249"/>
      <c r="G2249"/>
      <c r="K2249" s="61"/>
    </row>
    <row r="2250" spans="2:11" s="3" customFormat="1">
      <c r="B2250"/>
      <c r="C2250"/>
      <c r="D2250"/>
      <c r="E2250"/>
      <c r="F2250"/>
      <c r="G2250"/>
      <c r="K2250" s="61"/>
    </row>
    <row r="2251" spans="2:11" s="3" customFormat="1">
      <c r="B2251"/>
      <c r="C2251"/>
      <c r="D2251"/>
      <c r="E2251"/>
      <c r="F2251"/>
      <c r="G2251"/>
      <c r="K2251" s="61"/>
    </row>
    <row r="2252" spans="2:11" s="3" customFormat="1">
      <c r="B2252"/>
      <c r="C2252"/>
      <c r="D2252"/>
      <c r="E2252"/>
      <c r="F2252"/>
      <c r="G2252"/>
      <c r="K2252" s="61"/>
    </row>
    <row r="2253" spans="2:11" s="3" customFormat="1">
      <c r="B2253"/>
      <c r="C2253"/>
      <c r="D2253"/>
      <c r="E2253"/>
      <c r="F2253"/>
      <c r="G2253"/>
      <c r="K2253" s="61"/>
    </row>
    <row r="2254" spans="2:11" s="3" customFormat="1">
      <c r="B2254"/>
      <c r="C2254"/>
      <c r="D2254"/>
      <c r="E2254"/>
      <c r="F2254"/>
      <c r="G2254"/>
      <c r="K2254" s="61"/>
    </row>
    <row r="2255" spans="2:11" s="3" customFormat="1">
      <c r="B2255"/>
      <c r="C2255"/>
      <c r="D2255"/>
      <c r="E2255"/>
      <c r="F2255"/>
      <c r="G2255"/>
      <c r="K2255" s="61"/>
    </row>
    <row r="2256" spans="2:11" s="3" customFormat="1">
      <c r="B2256"/>
      <c r="C2256"/>
      <c r="D2256"/>
      <c r="E2256"/>
      <c r="F2256"/>
      <c r="G2256"/>
      <c r="K2256" s="61"/>
    </row>
    <row r="2257" spans="2:11" s="3" customFormat="1">
      <c r="B2257"/>
      <c r="C2257"/>
      <c r="D2257"/>
      <c r="E2257"/>
      <c r="F2257"/>
      <c r="G2257"/>
      <c r="K2257" s="61"/>
    </row>
    <row r="2258" spans="2:11" s="3" customFormat="1">
      <c r="B2258"/>
      <c r="C2258"/>
      <c r="D2258"/>
      <c r="E2258"/>
      <c r="F2258"/>
      <c r="G2258"/>
      <c r="K2258" s="61"/>
    </row>
    <row r="2259" spans="2:11" s="3" customFormat="1">
      <c r="B2259"/>
      <c r="C2259"/>
      <c r="D2259"/>
      <c r="E2259"/>
      <c r="F2259"/>
      <c r="G2259"/>
      <c r="K2259" s="61"/>
    </row>
    <row r="2260" spans="2:11" s="3" customFormat="1">
      <c r="B2260"/>
      <c r="C2260"/>
      <c r="D2260"/>
      <c r="E2260"/>
      <c r="F2260"/>
      <c r="G2260"/>
      <c r="K2260" s="61"/>
    </row>
    <row r="2261" spans="2:11" s="3" customFormat="1">
      <c r="B2261"/>
      <c r="C2261"/>
      <c r="D2261"/>
      <c r="E2261"/>
      <c r="F2261"/>
      <c r="G2261"/>
      <c r="K2261" s="61"/>
    </row>
    <row r="2262" spans="2:11" s="3" customFormat="1">
      <c r="B2262"/>
      <c r="C2262"/>
      <c r="D2262"/>
      <c r="E2262"/>
      <c r="F2262"/>
      <c r="G2262"/>
      <c r="K2262" s="61"/>
    </row>
    <row r="2263" spans="2:11" s="3" customFormat="1">
      <c r="B2263"/>
      <c r="C2263"/>
      <c r="D2263"/>
      <c r="E2263"/>
      <c r="F2263"/>
      <c r="G2263"/>
      <c r="K2263" s="61"/>
    </row>
    <row r="2264" spans="2:11" s="3" customFormat="1">
      <c r="B2264"/>
      <c r="C2264"/>
      <c r="D2264"/>
      <c r="E2264"/>
      <c r="F2264"/>
      <c r="G2264"/>
      <c r="K2264" s="61"/>
    </row>
    <row r="2265" spans="2:11" s="3" customFormat="1">
      <c r="B2265"/>
      <c r="C2265"/>
      <c r="D2265"/>
      <c r="E2265"/>
      <c r="F2265"/>
      <c r="G2265"/>
      <c r="K2265" s="61"/>
    </row>
    <row r="2266" spans="2:11" s="3" customFormat="1">
      <c r="B2266"/>
      <c r="C2266"/>
      <c r="D2266"/>
      <c r="E2266"/>
      <c r="F2266"/>
      <c r="G2266"/>
      <c r="K2266" s="61"/>
    </row>
    <row r="2267" spans="2:11" s="3" customFormat="1">
      <c r="B2267"/>
      <c r="C2267"/>
      <c r="D2267"/>
      <c r="E2267"/>
      <c r="F2267"/>
      <c r="G2267"/>
      <c r="K2267" s="61"/>
    </row>
    <row r="2268" spans="2:11" s="3" customFormat="1">
      <c r="B2268"/>
      <c r="C2268"/>
      <c r="D2268"/>
      <c r="E2268"/>
      <c r="F2268"/>
      <c r="G2268"/>
      <c r="K2268" s="61"/>
    </row>
    <row r="2269" spans="2:11" s="3" customFormat="1">
      <c r="B2269"/>
      <c r="C2269"/>
      <c r="D2269"/>
      <c r="E2269"/>
      <c r="F2269"/>
      <c r="G2269"/>
      <c r="K2269" s="61"/>
    </row>
    <row r="2270" spans="2:11" s="3" customFormat="1">
      <c r="B2270"/>
      <c r="C2270"/>
      <c r="D2270"/>
      <c r="E2270"/>
      <c r="F2270"/>
      <c r="G2270"/>
      <c r="K2270" s="61"/>
    </row>
    <row r="2271" spans="2:11" s="3" customFormat="1">
      <c r="B2271"/>
      <c r="C2271"/>
      <c r="D2271"/>
      <c r="E2271"/>
      <c r="F2271"/>
      <c r="G2271"/>
      <c r="K2271" s="61"/>
    </row>
    <row r="2272" spans="2:11" s="3" customFormat="1">
      <c r="B2272"/>
      <c r="C2272"/>
      <c r="D2272"/>
      <c r="E2272"/>
      <c r="F2272"/>
      <c r="G2272"/>
      <c r="K2272" s="61"/>
    </row>
    <row r="2273" spans="2:11" s="3" customFormat="1">
      <c r="B2273"/>
      <c r="C2273"/>
      <c r="D2273"/>
      <c r="E2273"/>
      <c r="F2273"/>
      <c r="G2273"/>
      <c r="K2273" s="61"/>
    </row>
    <row r="2274" spans="2:11" s="3" customFormat="1">
      <c r="B2274"/>
      <c r="C2274"/>
      <c r="D2274"/>
      <c r="E2274"/>
      <c r="F2274"/>
      <c r="G2274"/>
      <c r="K2274" s="61"/>
    </row>
    <row r="2275" spans="2:11" s="3" customFormat="1">
      <c r="B2275"/>
      <c r="C2275"/>
      <c r="D2275"/>
      <c r="E2275"/>
      <c r="F2275"/>
      <c r="G2275"/>
      <c r="K2275" s="61"/>
    </row>
    <row r="2276" spans="2:11" s="3" customFormat="1">
      <c r="B2276"/>
      <c r="C2276"/>
      <c r="D2276"/>
      <c r="E2276"/>
      <c r="F2276"/>
      <c r="G2276"/>
      <c r="K2276" s="61"/>
    </row>
    <row r="2277" spans="2:11" s="3" customFormat="1">
      <c r="B2277"/>
      <c r="C2277"/>
      <c r="D2277"/>
      <c r="E2277"/>
      <c r="F2277"/>
      <c r="G2277"/>
      <c r="K2277" s="61"/>
    </row>
    <row r="2278" spans="2:11" s="3" customFormat="1">
      <c r="B2278"/>
      <c r="C2278"/>
      <c r="D2278"/>
      <c r="E2278"/>
      <c r="F2278"/>
      <c r="G2278"/>
      <c r="K2278" s="61"/>
    </row>
    <row r="2279" spans="2:11" s="3" customFormat="1">
      <c r="B2279"/>
      <c r="C2279"/>
      <c r="D2279"/>
      <c r="E2279"/>
      <c r="F2279"/>
      <c r="G2279"/>
      <c r="K2279" s="61"/>
    </row>
    <row r="2280" spans="2:11" s="3" customFormat="1">
      <c r="B2280"/>
      <c r="C2280"/>
      <c r="D2280"/>
      <c r="E2280"/>
      <c r="F2280"/>
      <c r="G2280"/>
      <c r="K2280" s="61"/>
    </row>
    <row r="2281" spans="2:11" s="3" customFormat="1">
      <c r="B2281"/>
      <c r="C2281"/>
      <c r="D2281"/>
      <c r="E2281"/>
      <c r="F2281"/>
      <c r="G2281"/>
      <c r="K2281" s="61"/>
    </row>
    <row r="2282" spans="2:11" s="3" customFormat="1">
      <c r="B2282"/>
      <c r="C2282"/>
      <c r="D2282"/>
      <c r="E2282"/>
      <c r="F2282"/>
      <c r="G2282"/>
      <c r="K2282" s="61"/>
    </row>
    <row r="2283" spans="2:11" s="3" customFormat="1">
      <c r="B2283"/>
      <c r="C2283"/>
      <c r="D2283"/>
      <c r="E2283"/>
      <c r="F2283"/>
      <c r="G2283"/>
      <c r="K2283" s="61"/>
    </row>
    <row r="2284" spans="2:11" s="3" customFormat="1">
      <c r="B2284"/>
      <c r="C2284"/>
      <c r="D2284"/>
      <c r="E2284"/>
      <c r="F2284"/>
      <c r="G2284"/>
      <c r="K2284" s="61"/>
    </row>
    <row r="2285" spans="2:11" s="3" customFormat="1">
      <c r="B2285"/>
      <c r="C2285"/>
      <c r="D2285"/>
      <c r="E2285"/>
      <c r="F2285"/>
      <c r="G2285"/>
      <c r="K2285" s="61"/>
    </row>
    <row r="2286" spans="2:11" s="3" customFormat="1">
      <c r="B2286"/>
      <c r="C2286"/>
      <c r="D2286"/>
      <c r="E2286"/>
      <c r="F2286"/>
      <c r="G2286"/>
      <c r="K2286" s="61"/>
    </row>
    <row r="2287" spans="2:11" s="3" customFormat="1">
      <c r="B2287"/>
      <c r="C2287"/>
      <c r="D2287"/>
      <c r="E2287"/>
      <c r="F2287"/>
      <c r="G2287"/>
      <c r="K2287" s="61"/>
    </row>
    <row r="2288" spans="2:11" s="3" customFormat="1">
      <c r="B2288"/>
      <c r="C2288"/>
      <c r="D2288"/>
      <c r="E2288"/>
      <c r="F2288"/>
      <c r="G2288"/>
      <c r="K2288" s="61"/>
    </row>
    <row r="2289" spans="2:11" s="3" customFormat="1">
      <c r="B2289"/>
      <c r="C2289"/>
      <c r="D2289"/>
      <c r="E2289"/>
      <c r="F2289"/>
      <c r="G2289"/>
      <c r="K2289" s="61"/>
    </row>
    <row r="2290" spans="2:11" s="3" customFormat="1">
      <c r="B2290"/>
      <c r="C2290"/>
      <c r="D2290"/>
      <c r="E2290"/>
      <c r="F2290"/>
      <c r="G2290"/>
      <c r="K2290" s="61"/>
    </row>
    <row r="2291" spans="2:11" s="3" customFormat="1">
      <c r="B2291"/>
      <c r="C2291"/>
      <c r="D2291"/>
      <c r="E2291"/>
      <c r="F2291"/>
      <c r="G2291"/>
      <c r="K2291" s="61"/>
    </row>
    <row r="2292" spans="2:11" s="3" customFormat="1">
      <c r="B2292"/>
      <c r="C2292"/>
      <c r="D2292"/>
      <c r="E2292"/>
      <c r="F2292"/>
      <c r="G2292"/>
      <c r="K2292" s="61"/>
    </row>
    <row r="2293" spans="2:11" s="3" customFormat="1">
      <c r="B2293"/>
      <c r="C2293"/>
      <c r="D2293"/>
      <c r="E2293"/>
      <c r="F2293"/>
      <c r="G2293"/>
      <c r="K2293" s="61"/>
    </row>
    <row r="2294" spans="2:11" s="3" customFormat="1">
      <c r="B2294"/>
      <c r="C2294"/>
      <c r="D2294"/>
      <c r="E2294"/>
      <c r="F2294"/>
      <c r="G2294"/>
      <c r="K2294" s="61"/>
    </row>
    <row r="2295" spans="2:11" s="3" customFormat="1">
      <c r="B2295"/>
      <c r="C2295"/>
      <c r="D2295"/>
      <c r="E2295"/>
      <c r="F2295"/>
      <c r="G2295"/>
      <c r="K2295" s="61"/>
    </row>
    <row r="2296" spans="2:11" s="3" customFormat="1">
      <c r="B2296"/>
      <c r="C2296"/>
      <c r="D2296"/>
      <c r="E2296"/>
      <c r="F2296"/>
      <c r="G2296"/>
      <c r="K2296" s="61"/>
    </row>
    <row r="2297" spans="2:11" s="3" customFormat="1">
      <c r="B2297"/>
      <c r="C2297"/>
      <c r="D2297"/>
      <c r="E2297"/>
      <c r="F2297"/>
      <c r="G2297"/>
      <c r="K2297" s="61"/>
    </row>
    <row r="2298" spans="2:11" s="3" customFormat="1">
      <c r="B2298"/>
      <c r="C2298"/>
      <c r="D2298"/>
      <c r="E2298"/>
      <c r="F2298"/>
      <c r="G2298"/>
      <c r="K2298" s="61"/>
    </row>
    <row r="2299" spans="2:11" s="3" customFormat="1">
      <c r="B2299"/>
      <c r="C2299"/>
      <c r="D2299"/>
      <c r="E2299"/>
      <c r="F2299"/>
      <c r="G2299"/>
      <c r="K2299" s="61"/>
    </row>
    <row r="2300" spans="2:11" s="3" customFormat="1">
      <c r="B2300"/>
      <c r="C2300"/>
      <c r="D2300"/>
      <c r="E2300"/>
      <c r="F2300"/>
      <c r="G2300"/>
      <c r="K2300" s="61"/>
    </row>
    <row r="2301" spans="2:11" s="3" customFormat="1">
      <c r="B2301"/>
      <c r="C2301"/>
      <c r="D2301"/>
      <c r="E2301"/>
      <c r="F2301"/>
      <c r="G2301"/>
      <c r="K2301" s="61"/>
    </row>
    <row r="2302" spans="2:11" s="3" customFormat="1">
      <c r="B2302"/>
      <c r="C2302"/>
      <c r="D2302"/>
      <c r="E2302"/>
      <c r="F2302"/>
      <c r="G2302"/>
      <c r="K2302" s="61"/>
    </row>
    <row r="2303" spans="2:11" s="3" customFormat="1">
      <c r="B2303"/>
      <c r="C2303"/>
      <c r="D2303"/>
      <c r="E2303"/>
      <c r="F2303"/>
      <c r="G2303"/>
      <c r="K2303" s="61"/>
    </row>
    <row r="2304" spans="2:11" s="3" customFormat="1">
      <c r="B2304"/>
      <c r="C2304"/>
      <c r="D2304"/>
      <c r="E2304"/>
      <c r="F2304"/>
      <c r="G2304"/>
      <c r="K2304" s="61"/>
    </row>
    <row r="2305" spans="2:11" s="3" customFormat="1">
      <c r="B2305"/>
      <c r="C2305"/>
      <c r="D2305"/>
      <c r="E2305"/>
      <c r="F2305"/>
      <c r="G2305"/>
      <c r="K2305" s="61"/>
    </row>
    <row r="2306" spans="2:11" s="3" customFormat="1">
      <c r="B2306"/>
      <c r="C2306"/>
      <c r="D2306"/>
      <c r="E2306"/>
      <c r="F2306"/>
      <c r="G2306"/>
      <c r="K2306" s="61"/>
    </row>
    <row r="2307" spans="2:11" s="3" customFormat="1">
      <c r="B2307"/>
      <c r="C2307"/>
      <c r="D2307"/>
      <c r="E2307"/>
      <c r="F2307"/>
      <c r="G2307"/>
      <c r="K2307" s="61"/>
    </row>
    <row r="2308" spans="2:11" s="3" customFormat="1">
      <c r="B2308"/>
      <c r="C2308"/>
      <c r="D2308"/>
      <c r="E2308"/>
      <c r="F2308"/>
      <c r="G2308"/>
      <c r="K2308" s="61"/>
    </row>
    <row r="2309" spans="2:11" s="3" customFormat="1">
      <c r="B2309"/>
      <c r="C2309"/>
      <c r="D2309"/>
      <c r="E2309"/>
      <c r="F2309"/>
      <c r="G2309"/>
      <c r="K2309" s="61"/>
    </row>
    <row r="2310" spans="2:11" s="3" customFormat="1">
      <c r="B2310"/>
      <c r="C2310"/>
      <c r="D2310"/>
      <c r="E2310"/>
      <c r="F2310"/>
      <c r="G2310"/>
      <c r="K2310" s="61"/>
    </row>
    <row r="2311" spans="2:11" s="3" customFormat="1">
      <c r="B2311"/>
      <c r="C2311"/>
      <c r="D2311"/>
      <c r="E2311"/>
      <c r="F2311"/>
      <c r="G2311"/>
      <c r="K2311" s="61"/>
    </row>
    <row r="2312" spans="2:11" s="3" customFormat="1">
      <c r="B2312"/>
      <c r="C2312"/>
      <c r="D2312"/>
      <c r="E2312"/>
      <c r="F2312"/>
      <c r="G2312"/>
      <c r="K2312" s="61"/>
    </row>
    <row r="2313" spans="2:11" s="3" customFormat="1">
      <c r="B2313"/>
      <c r="C2313"/>
      <c r="D2313"/>
      <c r="E2313"/>
      <c r="F2313"/>
      <c r="G2313"/>
      <c r="K2313" s="61"/>
    </row>
    <row r="2314" spans="2:11" s="3" customFormat="1">
      <c r="B2314"/>
      <c r="C2314"/>
      <c r="D2314"/>
      <c r="E2314"/>
      <c r="F2314"/>
      <c r="G2314"/>
      <c r="K2314" s="61"/>
    </row>
    <row r="2315" spans="2:11" s="3" customFormat="1">
      <c r="B2315"/>
      <c r="C2315"/>
      <c r="D2315"/>
      <c r="E2315"/>
      <c r="F2315"/>
      <c r="G2315"/>
      <c r="K2315" s="61"/>
    </row>
    <row r="2316" spans="2:11" s="3" customFormat="1">
      <c r="B2316"/>
      <c r="C2316"/>
      <c r="D2316"/>
      <c r="E2316"/>
      <c r="F2316"/>
      <c r="G2316"/>
      <c r="K2316" s="61"/>
    </row>
    <row r="2317" spans="2:11" s="3" customFormat="1">
      <c r="B2317"/>
      <c r="C2317"/>
      <c r="D2317"/>
      <c r="E2317"/>
      <c r="F2317"/>
      <c r="G2317"/>
      <c r="K2317" s="61"/>
    </row>
    <row r="2318" spans="2:11" s="3" customFormat="1">
      <c r="B2318"/>
      <c r="C2318"/>
      <c r="D2318"/>
      <c r="E2318"/>
      <c r="F2318"/>
      <c r="G2318"/>
      <c r="K2318" s="61"/>
    </row>
    <row r="2319" spans="2:11" s="3" customFormat="1">
      <c r="B2319"/>
      <c r="C2319"/>
      <c r="D2319"/>
      <c r="E2319"/>
      <c r="F2319"/>
      <c r="G2319"/>
      <c r="K2319" s="61"/>
    </row>
    <row r="2320" spans="2:11" s="3" customFormat="1">
      <c r="B2320"/>
      <c r="C2320"/>
      <c r="D2320"/>
      <c r="E2320"/>
      <c r="F2320"/>
      <c r="G2320"/>
      <c r="K2320" s="61"/>
    </row>
    <row r="2321" spans="2:11" s="3" customFormat="1">
      <c r="B2321"/>
      <c r="C2321"/>
      <c r="D2321"/>
      <c r="E2321"/>
      <c r="F2321"/>
      <c r="G2321"/>
      <c r="K2321" s="61"/>
    </row>
    <row r="2322" spans="2:11" s="3" customFormat="1">
      <c r="B2322"/>
      <c r="C2322"/>
      <c r="D2322"/>
      <c r="E2322"/>
      <c r="F2322"/>
      <c r="G2322"/>
      <c r="K2322" s="61"/>
    </row>
    <row r="2323" spans="2:11" s="3" customFormat="1">
      <c r="B2323"/>
      <c r="C2323"/>
      <c r="D2323"/>
      <c r="E2323"/>
      <c r="F2323"/>
      <c r="G2323"/>
      <c r="K2323" s="61"/>
    </row>
    <row r="2324" spans="2:11" s="3" customFormat="1">
      <c r="B2324"/>
      <c r="C2324"/>
      <c r="D2324"/>
      <c r="E2324"/>
      <c r="F2324"/>
      <c r="G2324"/>
      <c r="K2324" s="61"/>
    </row>
    <row r="2325" spans="2:11" s="3" customFormat="1">
      <c r="B2325"/>
      <c r="C2325"/>
      <c r="D2325"/>
      <c r="E2325"/>
      <c r="F2325"/>
      <c r="G2325"/>
      <c r="K2325" s="61"/>
    </row>
    <row r="2326" spans="2:11" s="3" customFormat="1">
      <c r="B2326"/>
      <c r="C2326"/>
      <c r="D2326"/>
      <c r="E2326"/>
      <c r="F2326"/>
      <c r="G2326"/>
      <c r="K2326" s="61"/>
    </row>
    <row r="2327" spans="2:11" s="3" customFormat="1">
      <c r="B2327"/>
      <c r="C2327"/>
      <c r="D2327"/>
      <c r="E2327"/>
      <c r="F2327"/>
      <c r="G2327"/>
      <c r="K2327" s="61"/>
    </row>
    <row r="2328" spans="2:11" s="3" customFormat="1">
      <c r="B2328"/>
      <c r="C2328"/>
      <c r="D2328"/>
      <c r="E2328"/>
      <c r="F2328"/>
      <c r="G2328"/>
      <c r="K2328" s="61"/>
    </row>
    <row r="2329" spans="2:11" s="3" customFormat="1">
      <c r="B2329"/>
      <c r="C2329"/>
      <c r="D2329"/>
      <c r="E2329"/>
      <c r="F2329"/>
      <c r="G2329"/>
      <c r="K2329" s="61"/>
    </row>
    <row r="2330" spans="2:11" s="3" customFormat="1">
      <c r="B2330"/>
      <c r="C2330"/>
      <c r="D2330"/>
      <c r="E2330"/>
      <c r="F2330"/>
      <c r="G2330"/>
      <c r="K2330" s="61"/>
    </row>
    <row r="2331" spans="2:11" s="3" customFormat="1">
      <c r="B2331"/>
      <c r="C2331"/>
      <c r="D2331"/>
      <c r="E2331"/>
      <c r="F2331"/>
      <c r="G2331"/>
      <c r="K2331" s="61"/>
    </row>
    <row r="2332" spans="2:11" s="3" customFormat="1">
      <c r="B2332"/>
      <c r="C2332"/>
      <c r="D2332"/>
      <c r="E2332"/>
      <c r="F2332"/>
      <c r="G2332"/>
      <c r="K2332" s="61"/>
    </row>
    <row r="2333" spans="2:11" s="3" customFormat="1">
      <c r="B2333"/>
      <c r="C2333"/>
      <c r="D2333"/>
      <c r="E2333"/>
      <c r="F2333"/>
      <c r="G2333"/>
      <c r="K2333" s="61"/>
    </row>
    <row r="2334" spans="2:11" s="3" customFormat="1">
      <c r="B2334"/>
      <c r="C2334"/>
      <c r="D2334"/>
      <c r="E2334"/>
      <c r="F2334"/>
      <c r="G2334"/>
      <c r="K2334" s="61"/>
    </row>
    <row r="2335" spans="2:11" s="3" customFormat="1">
      <c r="B2335"/>
      <c r="C2335"/>
      <c r="D2335"/>
      <c r="E2335"/>
      <c r="F2335"/>
      <c r="G2335"/>
      <c r="K2335" s="61"/>
    </row>
    <row r="2336" spans="2:11" s="3" customFormat="1">
      <c r="B2336"/>
      <c r="C2336"/>
      <c r="D2336"/>
      <c r="E2336"/>
      <c r="F2336"/>
      <c r="G2336"/>
      <c r="K2336" s="61"/>
    </row>
    <row r="2337" spans="2:11" s="3" customFormat="1">
      <c r="B2337"/>
      <c r="C2337"/>
      <c r="D2337"/>
      <c r="E2337"/>
      <c r="F2337"/>
      <c r="G2337"/>
      <c r="K2337" s="61"/>
    </row>
    <row r="2338" spans="2:11" s="3" customFormat="1">
      <c r="B2338"/>
      <c r="C2338"/>
      <c r="D2338"/>
      <c r="E2338"/>
      <c r="F2338"/>
      <c r="G2338"/>
      <c r="K2338" s="61"/>
    </row>
    <row r="2339" spans="2:11" s="3" customFormat="1">
      <c r="B2339"/>
      <c r="C2339"/>
      <c r="D2339"/>
      <c r="E2339"/>
      <c r="F2339"/>
      <c r="G2339"/>
      <c r="K2339" s="61"/>
    </row>
    <row r="2340" spans="2:11" s="3" customFormat="1">
      <c r="B2340"/>
      <c r="C2340"/>
      <c r="D2340"/>
      <c r="E2340"/>
      <c r="F2340"/>
      <c r="G2340"/>
      <c r="K2340" s="61"/>
    </row>
    <row r="2341" spans="2:11" s="3" customFormat="1">
      <c r="B2341"/>
      <c r="C2341"/>
      <c r="D2341"/>
      <c r="E2341"/>
      <c r="F2341"/>
      <c r="G2341"/>
      <c r="K2341" s="61"/>
    </row>
    <row r="2342" spans="2:11" s="3" customFormat="1">
      <c r="B2342"/>
      <c r="C2342"/>
      <c r="D2342"/>
      <c r="E2342"/>
      <c r="F2342"/>
      <c r="G2342"/>
      <c r="K2342" s="61"/>
    </row>
    <row r="2343" spans="2:11" s="3" customFormat="1">
      <c r="B2343"/>
      <c r="C2343"/>
      <c r="D2343"/>
      <c r="E2343"/>
      <c r="F2343"/>
      <c r="G2343"/>
      <c r="K2343" s="61"/>
    </row>
    <row r="2344" spans="2:11" s="3" customFormat="1">
      <c r="B2344"/>
      <c r="C2344"/>
      <c r="D2344"/>
      <c r="E2344"/>
      <c r="F2344"/>
      <c r="G2344"/>
      <c r="K2344" s="61"/>
    </row>
    <row r="2345" spans="2:11" s="3" customFormat="1">
      <c r="B2345"/>
      <c r="C2345"/>
      <c r="D2345"/>
      <c r="E2345"/>
      <c r="F2345"/>
      <c r="G2345"/>
      <c r="K2345" s="61"/>
    </row>
    <row r="2346" spans="2:11" s="3" customFormat="1">
      <c r="B2346"/>
      <c r="C2346"/>
      <c r="D2346"/>
      <c r="E2346"/>
      <c r="F2346"/>
      <c r="G2346"/>
      <c r="K2346" s="61"/>
    </row>
    <row r="2347" spans="2:11" s="3" customFormat="1">
      <c r="B2347"/>
      <c r="C2347"/>
      <c r="D2347"/>
      <c r="E2347"/>
      <c r="F2347"/>
      <c r="G2347"/>
      <c r="K2347" s="61"/>
    </row>
    <row r="2348" spans="2:11" s="3" customFormat="1">
      <c r="B2348"/>
      <c r="C2348"/>
      <c r="D2348"/>
      <c r="E2348"/>
      <c r="F2348"/>
      <c r="G2348"/>
      <c r="K2348" s="61"/>
    </row>
    <row r="2349" spans="2:11" s="3" customFormat="1">
      <c r="B2349"/>
      <c r="C2349"/>
      <c r="D2349"/>
      <c r="E2349"/>
      <c r="F2349"/>
      <c r="G2349"/>
      <c r="K2349" s="61"/>
    </row>
    <row r="2350" spans="2:11" s="3" customFormat="1">
      <c r="B2350"/>
      <c r="C2350"/>
      <c r="D2350"/>
      <c r="E2350"/>
      <c r="F2350"/>
      <c r="G2350"/>
      <c r="K2350" s="61"/>
    </row>
    <row r="2351" spans="2:11" s="3" customFormat="1">
      <c r="B2351"/>
      <c r="C2351"/>
      <c r="D2351"/>
      <c r="E2351"/>
      <c r="F2351"/>
      <c r="G2351"/>
      <c r="K2351" s="61"/>
    </row>
    <row r="2352" spans="2:11" s="3" customFormat="1">
      <c r="B2352"/>
      <c r="C2352"/>
      <c r="D2352"/>
      <c r="E2352"/>
      <c r="F2352"/>
      <c r="G2352"/>
      <c r="K2352" s="61"/>
    </row>
    <row r="2353" spans="2:11" s="3" customFormat="1">
      <c r="B2353"/>
      <c r="C2353"/>
      <c r="D2353"/>
      <c r="E2353"/>
      <c r="F2353"/>
      <c r="G2353"/>
      <c r="K2353" s="61"/>
    </row>
    <row r="2354" spans="2:11" s="3" customFormat="1">
      <c r="B2354"/>
      <c r="C2354"/>
      <c r="D2354"/>
      <c r="E2354"/>
      <c r="F2354"/>
      <c r="G2354"/>
      <c r="K2354" s="61"/>
    </row>
    <row r="2355" spans="2:11" s="3" customFormat="1">
      <c r="B2355"/>
      <c r="C2355"/>
      <c r="D2355"/>
      <c r="E2355"/>
      <c r="F2355"/>
      <c r="G2355"/>
      <c r="K2355" s="61"/>
    </row>
    <row r="2356" spans="2:11" s="3" customFormat="1">
      <c r="B2356"/>
      <c r="C2356"/>
      <c r="D2356"/>
      <c r="E2356"/>
      <c r="F2356"/>
      <c r="G2356"/>
      <c r="K2356" s="61"/>
    </row>
    <row r="2357" spans="2:11" s="3" customFormat="1">
      <c r="B2357"/>
      <c r="C2357"/>
      <c r="D2357"/>
      <c r="E2357"/>
      <c r="F2357"/>
      <c r="G2357"/>
      <c r="K2357" s="61"/>
    </row>
    <row r="2358" spans="2:11" s="3" customFormat="1">
      <c r="B2358"/>
      <c r="C2358"/>
      <c r="D2358"/>
      <c r="E2358"/>
      <c r="F2358"/>
      <c r="G2358"/>
      <c r="K2358" s="61"/>
    </row>
    <row r="2359" spans="2:11" s="3" customFormat="1">
      <c r="B2359"/>
      <c r="C2359"/>
      <c r="D2359"/>
      <c r="E2359"/>
      <c r="F2359"/>
      <c r="G2359"/>
      <c r="K2359" s="61"/>
    </row>
    <row r="2360" spans="2:11" s="3" customFormat="1">
      <c r="B2360"/>
      <c r="C2360"/>
      <c r="D2360"/>
      <c r="E2360"/>
      <c r="F2360"/>
      <c r="G2360"/>
      <c r="K2360" s="61"/>
    </row>
    <row r="2361" spans="2:11" s="3" customFormat="1">
      <c r="B2361"/>
      <c r="C2361"/>
      <c r="D2361"/>
      <c r="E2361"/>
      <c r="F2361"/>
      <c r="G2361"/>
      <c r="K2361" s="61"/>
    </row>
    <row r="2362" spans="2:11" s="3" customFormat="1">
      <c r="B2362"/>
      <c r="C2362"/>
      <c r="D2362"/>
      <c r="E2362"/>
      <c r="F2362"/>
      <c r="G2362"/>
      <c r="K2362" s="61"/>
    </row>
    <row r="2363" spans="2:11" s="3" customFormat="1">
      <c r="B2363"/>
      <c r="C2363"/>
      <c r="D2363"/>
      <c r="E2363"/>
      <c r="F2363"/>
      <c r="G2363"/>
      <c r="K2363" s="61"/>
    </row>
    <row r="2364" spans="2:11" s="3" customFormat="1">
      <c r="B2364"/>
      <c r="C2364"/>
      <c r="D2364"/>
      <c r="E2364"/>
      <c r="F2364"/>
      <c r="G2364"/>
      <c r="K2364" s="61"/>
    </row>
    <row r="2365" spans="2:11" s="3" customFormat="1">
      <c r="B2365"/>
      <c r="C2365"/>
      <c r="D2365"/>
      <c r="E2365"/>
      <c r="F2365"/>
      <c r="G2365"/>
      <c r="K2365" s="61"/>
    </row>
    <row r="2366" spans="2:11" s="3" customFormat="1">
      <c r="B2366"/>
      <c r="C2366"/>
      <c r="D2366"/>
      <c r="E2366"/>
      <c r="F2366"/>
      <c r="G2366"/>
      <c r="K2366" s="61"/>
    </row>
    <row r="2367" spans="2:11" s="3" customFormat="1">
      <c r="B2367"/>
      <c r="C2367"/>
      <c r="D2367"/>
      <c r="E2367"/>
      <c r="F2367"/>
      <c r="G2367"/>
      <c r="K2367" s="61"/>
    </row>
    <row r="2368" spans="2:11" s="3" customFormat="1">
      <c r="B2368"/>
      <c r="C2368"/>
      <c r="D2368"/>
      <c r="E2368"/>
      <c r="F2368"/>
      <c r="G2368"/>
      <c r="K2368" s="61"/>
    </row>
    <row r="2369" spans="2:11" s="3" customFormat="1">
      <c r="B2369"/>
      <c r="C2369"/>
      <c r="D2369"/>
      <c r="E2369"/>
      <c r="F2369"/>
      <c r="G2369"/>
      <c r="K2369" s="61"/>
    </row>
    <row r="2370" spans="2:11" s="3" customFormat="1">
      <c r="B2370"/>
      <c r="C2370"/>
      <c r="D2370"/>
      <c r="E2370"/>
      <c r="F2370"/>
      <c r="G2370"/>
      <c r="K2370" s="61"/>
    </row>
    <row r="2371" spans="2:11" s="3" customFormat="1">
      <c r="B2371"/>
      <c r="C2371"/>
      <c r="D2371"/>
      <c r="E2371"/>
      <c r="F2371"/>
      <c r="G2371"/>
      <c r="K2371" s="61"/>
    </row>
    <row r="2372" spans="2:11" s="3" customFormat="1">
      <c r="B2372"/>
      <c r="C2372"/>
      <c r="D2372"/>
      <c r="E2372"/>
      <c r="F2372"/>
      <c r="G2372"/>
      <c r="K2372" s="61"/>
    </row>
    <row r="2373" spans="2:11" s="3" customFormat="1">
      <c r="B2373"/>
      <c r="C2373"/>
      <c r="D2373"/>
      <c r="E2373"/>
      <c r="F2373"/>
      <c r="G2373"/>
      <c r="K2373" s="61"/>
    </row>
    <row r="2374" spans="2:11" s="3" customFormat="1">
      <c r="B2374"/>
      <c r="C2374"/>
      <c r="D2374"/>
      <c r="E2374"/>
      <c r="F2374"/>
      <c r="G2374"/>
      <c r="K2374" s="61"/>
    </row>
    <row r="2375" spans="2:11" s="3" customFormat="1">
      <c r="B2375"/>
      <c r="C2375"/>
      <c r="D2375"/>
      <c r="E2375"/>
      <c r="F2375"/>
      <c r="G2375"/>
      <c r="K2375" s="61"/>
    </row>
    <row r="2376" spans="2:11" s="3" customFormat="1">
      <c r="B2376"/>
      <c r="C2376"/>
      <c r="D2376"/>
      <c r="E2376"/>
      <c r="F2376"/>
      <c r="G2376"/>
      <c r="K2376" s="61"/>
    </row>
    <row r="2377" spans="2:11" s="3" customFormat="1">
      <c r="B2377"/>
      <c r="C2377"/>
      <c r="D2377"/>
      <c r="E2377"/>
      <c r="F2377"/>
      <c r="G2377"/>
      <c r="K2377" s="61"/>
    </row>
    <row r="2378" spans="2:11" s="3" customFormat="1">
      <c r="B2378"/>
      <c r="C2378"/>
      <c r="D2378"/>
      <c r="E2378"/>
      <c r="F2378"/>
      <c r="G2378"/>
      <c r="K2378" s="61"/>
    </row>
    <row r="2379" spans="2:11" s="3" customFormat="1">
      <c r="B2379"/>
      <c r="C2379"/>
      <c r="D2379"/>
      <c r="E2379"/>
      <c r="F2379"/>
      <c r="G2379"/>
      <c r="K2379" s="61"/>
    </row>
    <row r="2380" spans="2:11" s="3" customFormat="1">
      <c r="B2380"/>
      <c r="C2380"/>
      <c r="D2380"/>
      <c r="E2380"/>
      <c r="F2380"/>
      <c r="G2380"/>
      <c r="K2380" s="61"/>
    </row>
    <row r="2381" spans="2:11" s="3" customFormat="1">
      <c r="B2381"/>
      <c r="C2381"/>
      <c r="D2381"/>
      <c r="E2381"/>
      <c r="F2381"/>
      <c r="G2381"/>
      <c r="K2381" s="61"/>
    </row>
    <row r="2382" spans="2:11" s="3" customFormat="1">
      <c r="B2382"/>
      <c r="C2382"/>
      <c r="D2382"/>
      <c r="E2382"/>
      <c r="F2382"/>
      <c r="G2382"/>
      <c r="K2382" s="61"/>
    </row>
    <row r="2383" spans="2:11" s="3" customFormat="1">
      <c r="B2383"/>
      <c r="C2383"/>
      <c r="D2383"/>
      <c r="E2383"/>
      <c r="F2383"/>
      <c r="G2383"/>
      <c r="K2383" s="61"/>
    </row>
    <row r="2384" spans="2:11" s="3" customFormat="1">
      <c r="B2384"/>
      <c r="C2384"/>
      <c r="D2384"/>
      <c r="E2384"/>
      <c r="F2384"/>
      <c r="G2384"/>
      <c r="K2384" s="61"/>
    </row>
    <row r="2385" spans="2:11" s="3" customFormat="1">
      <c r="B2385"/>
      <c r="C2385"/>
      <c r="D2385"/>
      <c r="E2385"/>
      <c r="F2385"/>
      <c r="G2385"/>
      <c r="K2385" s="61"/>
    </row>
    <row r="2386" spans="2:11" s="3" customFormat="1">
      <c r="B2386"/>
      <c r="C2386"/>
      <c r="D2386"/>
      <c r="E2386"/>
      <c r="F2386"/>
      <c r="G2386"/>
      <c r="K2386" s="61"/>
    </row>
    <row r="2387" spans="2:11" s="3" customFormat="1">
      <c r="B2387"/>
      <c r="C2387"/>
      <c r="D2387"/>
      <c r="E2387"/>
      <c r="F2387"/>
      <c r="G2387"/>
      <c r="K2387" s="61"/>
    </row>
    <row r="2388" spans="2:11" s="3" customFormat="1">
      <c r="B2388"/>
      <c r="C2388"/>
      <c r="D2388"/>
      <c r="E2388"/>
      <c r="F2388"/>
      <c r="G2388"/>
      <c r="K2388" s="61"/>
    </row>
    <row r="2389" spans="2:11" s="3" customFormat="1">
      <c r="B2389"/>
      <c r="C2389"/>
      <c r="D2389"/>
      <c r="E2389"/>
      <c r="F2389"/>
      <c r="G2389"/>
      <c r="K2389" s="61"/>
    </row>
    <row r="2390" spans="2:11" s="3" customFormat="1">
      <c r="B2390"/>
      <c r="C2390"/>
      <c r="D2390"/>
      <c r="E2390"/>
      <c r="F2390"/>
      <c r="G2390"/>
      <c r="K2390" s="61"/>
    </row>
    <row r="2391" spans="2:11" s="3" customFormat="1">
      <c r="B2391"/>
      <c r="C2391"/>
      <c r="D2391"/>
      <c r="E2391"/>
      <c r="F2391"/>
      <c r="G2391"/>
      <c r="K2391" s="61"/>
    </row>
    <row r="2392" spans="2:11" s="3" customFormat="1">
      <c r="B2392"/>
      <c r="C2392"/>
      <c r="D2392"/>
      <c r="E2392"/>
      <c r="F2392"/>
      <c r="G2392"/>
      <c r="K2392" s="61"/>
    </row>
    <row r="2393" spans="2:11" s="3" customFormat="1">
      <c r="B2393"/>
      <c r="C2393"/>
      <c r="D2393"/>
      <c r="E2393"/>
      <c r="F2393"/>
      <c r="G2393"/>
      <c r="K2393" s="61"/>
    </row>
    <row r="2394" spans="2:11" s="3" customFormat="1">
      <c r="B2394"/>
      <c r="C2394"/>
      <c r="D2394"/>
      <c r="E2394"/>
      <c r="F2394"/>
      <c r="G2394"/>
      <c r="K2394" s="61"/>
    </row>
    <row r="2395" spans="2:11" s="3" customFormat="1">
      <c r="B2395"/>
      <c r="C2395"/>
      <c r="D2395"/>
      <c r="E2395"/>
      <c r="F2395"/>
      <c r="G2395"/>
      <c r="K2395" s="61"/>
    </row>
    <row r="2396" spans="2:11" s="3" customFormat="1">
      <c r="B2396"/>
      <c r="C2396"/>
      <c r="D2396"/>
      <c r="E2396"/>
      <c r="F2396"/>
      <c r="G2396"/>
      <c r="K2396" s="61"/>
    </row>
    <row r="2397" spans="2:11" s="3" customFormat="1">
      <c r="B2397"/>
      <c r="C2397"/>
      <c r="D2397"/>
      <c r="E2397"/>
      <c r="F2397"/>
      <c r="G2397"/>
      <c r="K2397" s="61"/>
    </row>
    <row r="2398" spans="2:11" s="3" customFormat="1">
      <c r="B2398"/>
      <c r="C2398"/>
      <c r="D2398"/>
      <c r="E2398"/>
      <c r="F2398"/>
      <c r="G2398"/>
      <c r="K2398" s="61"/>
    </row>
    <row r="2399" spans="2:11" s="3" customFormat="1">
      <c r="B2399"/>
      <c r="C2399"/>
      <c r="D2399"/>
      <c r="E2399"/>
      <c r="F2399"/>
      <c r="G2399"/>
      <c r="K2399" s="61"/>
    </row>
    <row r="2400" spans="2:11" s="3" customFormat="1">
      <c r="B2400"/>
      <c r="C2400"/>
      <c r="D2400"/>
      <c r="E2400"/>
      <c r="F2400"/>
      <c r="G2400"/>
      <c r="K2400" s="61"/>
    </row>
    <row r="2401" spans="2:11" s="3" customFormat="1">
      <c r="B2401"/>
      <c r="C2401"/>
      <c r="D2401"/>
      <c r="E2401"/>
      <c r="F2401"/>
      <c r="G2401"/>
      <c r="K2401" s="61"/>
    </row>
    <row r="2402" spans="2:11" s="3" customFormat="1">
      <c r="B2402"/>
      <c r="C2402"/>
      <c r="D2402"/>
      <c r="E2402"/>
      <c r="F2402"/>
      <c r="G2402"/>
      <c r="K2402" s="61"/>
    </row>
    <row r="2403" spans="2:11" s="3" customFormat="1">
      <c r="B2403"/>
      <c r="C2403"/>
      <c r="D2403"/>
      <c r="E2403"/>
      <c r="F2403"/>
      <c r="G2403"/>
      <c r="K2403" s="61"/>
    </row>
    <row r="2404" spans="2:11" s="3" customFormat="1">
      <c r="B2404"/>
      <c r="C2404"/>
      <c r="D2404"/>
      <c r="E2404"/>
      <c r="F2404"/>
      <c r="G2404"/>
      <c r="K2404" s="61"/>
    </row>
    <row r="2405" spans="2:11" s="3" customFormat="1">
      <c r="B2405"/>
      <c r="C2405"/>
      <c r="D2405"/>
      <c r="E2405"/>
      <c r="F2405"/>
      <c r="G2405"/>
      <c r="K2405" s="61"/>
    </row>
    <row r="2406" spans="2:11" s="3" customFormat="1">
      <c r="B2406"/>
      <c r="C2406"/>
      <c r="D2406"/>
      <c r="E2406"/>
      <c r="F2406"/>
      <c r="G2406"/>
      <c r="K2406" s="61"/>
    </row>
    <row r="2407" spans="2:11" s="3" customFormat="1">
      <c r="B2407"/>
      <c r="C2407"/>
      <c r="D2407"/>
      <c r="E2407"/>
      <c r="F2407"/>
      <c r="G2407"/>
      <c r="K2407" s="61"/>
    </row>
    <row r="2408" spans="2:11" s="3" customFormat="1">
      <c r="B2408"/>
      <c r="C2408"/>
      <c r="D2408"/>
      <c r="E2408"/>
      <c r="F2408"/>
      <c r="G2408"/>
      <c r="K2408" s="61"/>
    </row>
    <row r="2409" spans="2:11" s="3" customFormat="1">
      <c r="B2409"/>
      <c r="C2409"/>
      <c r="D2409"/>
      <c r="E2409"/>
      <c r="F2409"/>
      <c r="G2409"/>
      <c r="K2409" s="61"/>
    </row>
    <row r="2410" spans="2:11" s="3" customFormat="1">
      <c r="B2410"/>
      <c r="C2410"/>
      <c r="D2410"/>
      <c r="E2410"/>
      <c r="F2410"/>
      <c r="G2410"/>
      <c r="K2410" s="61"/>
    </row>
    <row r="2411" spans="2:11" s="3" customFormat="1">
      <c r="B2411"/>
      <c r="C2411"/>
      <c r="D2411"/>
      <c r="E2411"/>
      <c r="F2411"/>
      <c r="G2411"/>
      <c r="K2411" s="61"/>
    </row>
    <row r="2412" spans="2:11" s="3" customFormat="1">
      <c r="B2412"/>
      <c r="C2412"/>
      <c r="D2412"/>
      <c r="E2412"/>
      <c r="F2412"/>
      <c r="G2412"/>
      <c r="K2412" s="61"/>
    </row>
    <row r="2413" spans="2:11" s="3" customFormat="1">
      <c r="B2413"/>
      <c r="C2413"/>
      <c r="D2413"/>
      <c r="E2413"/>
      <c r="F2413"/>
      <c r="G2413"/>
      <c r="K2413" s="61"/>
    </row>
    <row r="2414" spans="2:11" s="3" customFormat="1">
      <c r="B2414"/>
      <c r="C2414"/>
      <c r="D2414"/>
      <c r="E2414"/>
      <c r="F2414"/>
      <c r="G2414"/>
      <c r="K2414" s="61"/>
    </row>
    <row r="2415" spans="2:11" s="3" customFormat="1">
      <c r="B2415"/>
      <c r="C2415"/>
      <c r="D2415"/>
      <c r="E2415"/>
      <c r="F2415"/>
      <c r="G2415"/>
      <c r="K2415" s="61"/>
    </row>
    <row r="2416" spans="2:11" s="3" customFormat="1">
      <c r="B2416"/>
      <c r="C2416"/>
      <c r="D2416"/>
      <c r="E2416"/>
      <c r="F2416"/>
      <c r="G2416"/>
      <c r="K2416" s="61"/>
    </row>
    <row r="2417" spans="2:11" s="3" customFormat="1">
      <c r="B2417"/>
      <c r="C2417"/>
      <c r="D2417"/>
      <c r="E2417"/>
      <c r="F2417"/>
      <c r="G2417"/>
      <c r="K2417" s="61"/>
    </row>
    <row r="2418" spans="2:11" s="3" customFormat="1">
      <c r="B2418"/>
      <c r="C2418"/>
      <c r="D2418"/>
      <c r="E2418"/>
      <c r="F2418"/>
      <c r="G2418"/>
      <c r="K2418" s="61"/>
    </row>
    <row r="2419" spans="2:11" s="3" customFormat="1">
      <c r="B2419"/>
      <c r="C2419"/>
      <c r="D2419"/>
      <c r="E2419"/>
      <c r="F2419"/>
      <c r="G2419"/>
      <c r="K2419" s="61"/>
    </row>
    <row r="2420" spans="2:11" s="3" customFormat="1">
      <c r="B2420"/>
      <c r="C2420"/>
      <c r="D2420"/>
      <c r="E2420"/>
      <c r="F2420"/>
      <c r="G2420"/>
      <c r="K2420" s="61"/>
    </row>
    <row r="2421" spans="2:11" s="3" customFormat="1">
      <c r="B2421"/>
      <c r="C2421"/>
      <c r="D2421"/>
      <c r="E2421"/>
      <c r="F2421"/>
      <c r="G2421"/>
      <c r="K2421" s="61"/>
    </row>
    <row r="2422" spans="2:11" s="3" customFormat="1">
      <c r="B2422"/>
      <c r="C2422"/>
      <c r="D2422"/>
      <c r="E2422"/>
      <c r="F2422"/>
      <c r="G2422"/>
      <c r="K2422" s="61"/>
    </row>
    <row r="2423" spans="2:11" s="3" customFormat="1">
      <c r="B2423"/>
      <c r="C2423"/>
      <c r="D2423"/>
      <c r="E2423"/>
      <c r="F2423"/>
      <c r="G2423"/>
      <c r="K2423" s="61"/>
    </row>
    <row r="2424" spans="2:11" s="3" customFormat="1">
      <c r="B2424"/>
      <c r="C2424"/>
      <c r="D2424"/>
      <c r="E2424"/>
      <c r="F2424"/>
      <c r="G2424"/>
      <c r="K2424" s="61"/>
    </row>
    <row r="2425" spans="2:11" s="3" customFormat="1">
      <c r="B2425"/>
      <c r="C2425"/>
      <c r="D2425"/>
      <c r="E2425"/>
      <c r="F2425"/>
      <c r="G2425"/>
      <c r="K2425" s="61"/>
    </row>
    <row r="2426" spans="2:11" s="3" customFormat="1">
      <c r="B2426"/>
      <c r="C2426"/>
      <c r="D2426"/>
      <c r="E2426"/>
      <c r="F2426"/>
      <c r="G2426"/>
      <c r="K2426" s="61"/>
    </row>
    <row r="2427" spans="2:11" s="3" customFormat="1">
      <c r="B2427"/>
      <c r="C2427"/>
      <c r="D2427"/>
      <c r="E2427"/>
      <c r="F2427"/>
      <c r="G2427"/>
      <c r="K2427" s="61"/>
    </row>
    <row r="2428" spans="2:11" s="3" customFormat="1">
      <c r="B2428"/>
      <c r="C2428"/>
      <c r="D2428"/>
      <c r="E2428"/>
      <c r="F2428"/>
      <c r="G2428"/>
      <c r="K2428" s="61"/>
    </row>
    <row r="2429" spans="2:11" s="3" customFormat="1">
      <c r="B2429"/>
      <c r="C2429"/>
      <c r="D2429"/>
      <c r="E2429"/>
      <c r="F2429"/>
      <c r="G2429"/>
      <c r="K2429" s="61"/>
    </row>
    <row r="2430" spans="2:11" s="3" customFormat="1">
      <c r="B2430"/>
      <c r="C2430"/>
      <c r="D2430"/>
      <c r="E2430"/>
      <c r="F2430"/>
      <c r="G2430"/>
      <c r="K2430" s="61"/>
    </row>
    <row r="2431" spans="2:11" s="3" customFormat="1">
      <c r="B2431"/>
      <c r="C2431"/>
      <c r="D2431"/>
      <c r="E2431"/>
      <c r="F2431"/>
      <c r="G2431"/>
      <c r="K2431" s="61"/>
    </row>
    <row r="2432" spans="2:11" s="3" customFormat="1">
      <c r="B2432"/>
      <c r="C2432"/>
      <c r="D2432"/>
      <c r="E2432"/>
      <c r="F2432"/>
      <c r="G2432"/>
      <c r="K2432" s="61"/>
    </row>
    <row r="2433" spans="2:11" s="3" customFormat="1">
      <c r="B2433"/>
      <c r="C2433"/>
      <c r="D2433"/>
      <c r="E2433"/>
      <c r="F2433"/>
      <c r="G2433"/>
      <c r="K2433" s="61"/>
    </row>
    <row r="2434" spans="2:11" s="3" customFormat="1">
      <c r="B2434"/>
      <c r="C2434"/>
      <c r="D2434"/>
      <c r="E2434"/>
      <c r="F2434"/>
      <c r="G2434"/>
      <c r="K2434" s="61"/>
    </row>
    <row r="2435" spans="2:11" s="3" customFormat="1">
      <c r="B2435"/>
      <c r="C2435"/>
      <c r="D2435"/>
      <c r="E2435"/>
      <c r="F2435"/>
      <c r="G2435"/>
      <c r="K2435" s="61"/>
    </row>
    <row r="2436" spans="2:11" s="3" customFormat="1">
      <c r="B2436"/>
      <c r="C2436"/>
      <c r="D2436"/>
      <c r="E2436"/>
      <c r="F2436"/>
      <c r="G2436"/>
      <c r="K2436" s="61"/>
    </row>
    <row r="2437" spans="2:11" s="3" customFormat="1">
      <c r="B2437"/>
      <c r="C2437"/>
      <c r="D2437"/>
      <c r="E2437"/>
      <c r="F2437"/>
      <c r="G2437"/>
      <c r="K2437" s="61"/>
    </row>
    <row r="2438" spans="2:11" s="3" customFormat="1">
      <c r="B2438"/>
      <c r="C2438"/>
      <c r="D2438"/>
      <c r="E2438"/>
      <c r="F2438"/>
      <c r="G2438"/>
      <c r="K2438" s="61"/>
    </row>
    <row r="2439" spans="2:11" s="3" customFormat="1">
      <c r="B2439"/>
      <c r="C2439"/>
      <c r="D2439"/>
      <c r="E2439"/>
      <c r="F2439"/>
      <c r="G2439"/>
      <c r="K2439" s="61"/>
    </row>
    <row r="2440" spans="2:11" s="3" customFormat="1">
      <c r="B2440"/>
      <c r="C2440"/>
      <c r="D2440"/>
      <c r="E2440"/>
      <c r="F2440"/>
      <c r="G2440"/>
      <c r="K2440" s="61"/>
    </row>
    <row r="2441" spans="2:11" s="3" customFormat="1">
      <c r="B2441"/>
      <c r="C2441"/>
      <c r="D2441"/>
      <c r="E2441"/>
      <c r="F2441"/>
      <c r="G2441"/>
      <c r="K2441" s="61"/>
    </row>
    <row r="2442" spans="2:11" s="3" customFormat="1">
      <c r="B2442"/>
      <c r="C2442"/>
      <c r="D2442"/>
      <c r="E2442"/>
      <c r="F2442"/>
      <c r="G2442"/>
      <c r="K2442" s="61"/>
    </row>
    <row r="2443" spans="2:11" s="3" customFormat="1">
      <c r="B2443"/>
      <c r="C2443"/>
      <c r="D2443"/>
      <c r="E2443"/>
      <c r="F2443"/>
      <c r="G2443"/>
      <c r="K2443" s="61"/>
    </row>
    <row r="2444" spans="2:11" s="3" customFormat="1">
      <c r="B2444"/>
      <c r="C2444"/>
      <c r="D2444"/>
      <c r="E2444"/>
      <c r="F2444"/>
      <c r="G2444"/>
      <c r="K2444" s="61"/>
    </row>
    <row r="2445" spans="2:11" s="3" customFormat="1">
      <c r="B2445"/>
      <c r="C2445"/>
      <c r="D2445"/>
      <c r="E2445"/>
      <c r="F2445"/>
      <c r="G2445"/>
      <c r="K2445" s="61"/>
    </row>
    <row r="2446" spans="2:11" s="3" customFormat="1">
      <c r="B2446"/>
      <c r="C2446"/>
      <c r="D2446"/>
      <c r="E2446"/>
      <c r="F2446"/>
      <c r="G2446"/>
      <c r="K2446" s="61"/>
    </row>
    <row r="2447" spans="2:11" s="3" customFormat="1">
      <c r="B2447"/>
      <c r="C2447"/>
      <c r="D2447"/>
      <c r="E2447"/>
      <c r="F2447"/>
      <c r="G2447"/>
      <c r="K2447" s="61"/>
    </row>
    <row r="2448" spans="2:11" s="3" customFormat="1">
      <c r="B2448"/>
      <c r="C2448"/>
      <c r="D2448"/>
      <c r="E2448"/>
      <c r="F2448"/>
      <c r="G2448"/>
      <c r="K2448" s="61"/>
    </row>
    <row r="2449" spans="2:11" s="3" customFormat="1">
      <c r="B2449"/>
      <c r="C2449"/>
      <c r="D2449"/>
      <c r="E2449"/>
      <c r="F2449"/>
      <c r="G2449"/>
      <c r="K2449" s="61"/>
    </row>
    <row r="2450" spans="2:11" s="3" customFormat="1">
      <c r="B2450"/>
      <c r="C2450"/>
      <c r="D2450"/>
      <c r="E2450"/>
      <c r="F2450"/>
      <c r="G2450"/>
      <c r="K2450" s="61"/>
    </row>
    <row r="2451" spans="2:11" s="3" customFormat="1">
      <c r="B2451"/>
      <c r="C2451"/>
      <c r="D2451"/>
      <c r="E2451"/>
      <c r="F2451"/>
      <c r="G2451"/>
      <c r="K2451" s="61"/>
    </row>
    <row r="2452" spans="2:11" s="3" customFormat="1">
      <c r="B2452"/>
      <c r="C2452"/>
      <c r="D2452"/>
      <c r="E2452"/>
      <c r="F2452"/>
      <c r="G2452"/>
      <c r="K2452" s="61"/>
    </row>
    <row r="2453" spans="2:11" s="3" customFormat="1">
      <c r="B2453"/>
      <c r="C2453"/>
      <c r="D2453"/>
      <c r="E2453"/>
      <c r="F2453"/>
      <c r="G2453"/>
      <c r="K2453" s="61"/>
    </row>
    <row r="2454" spans="2:11" s="3" customFormat="1">
      <c r="B2454"/>
      <c r="C2454"/>
      <c r="D2454"/>
      <c r="E2454"/>
      <c r="F2454"/>
      <c r="G2454"/>
      <c r="K2454" s="61"/>
    </row>
    <row r="2455" spans="2:11" s="3" customFormat="1">
      <c r="B2455"/>
      <c r="C2455"/>
      <c r="D2455"/>
      <c r="E2455"/>
      <c r="F2455"/>
      <c r="G2455"/>
      <c r="K2455" s="61"/>
    </row>
    <row r="2456" spans="2:11" s="3" customFormat="1">
      <c r="B2456"/>
      <c r="C2456"/>
      <c r="D2456"/>
      <c r="E2456"/>
      <c r="F2456"/>
      <c r="G2456"/>
      <c r="K2456" s="61"/>
    </row>
    <row r="2457" spans="2:11" s="3" customFormat="1">
      <c r="B2457"/>
      <c r="C2457"/>
      <c r="D2457"/>
      <c r="E2457"/>
      <c r="F2457"/>
      <c r="G2457"/>
      <c r="K2457" s="61"/>
    </row>
    <row r="2458" spans="2:11" s="3" customFormat="1">
      <c r="B2458"/>
      <c r="C2458"/>
      <c r="D2458"/>
      <c r="E2458"/>
      <c r="F2458"/>
      <c r="G2458"/>
      <c r="K2458" s="61"/>
    </row>
    <row r="2459" spans="2:11" s="3" customFormat="1">
      <c r="B2459"/>
      <c r="C2459"/>
      <c r="D2459"/>
      <c r="E2459"/>
      <c r="F2459"/>
      <c r="G2459"/>
      <c r="K2459" s="61"/>
    </row>
    <row r="2460" spans="2:11" s="3" customFormat="1">
      <c r="B2460"/>
      <c r="C2460"/>
      <c r="D2460"/>
      <c r="E2460"/>
      <c r="F2460"/>
      <c r="G2460"/>
      <c r="K2460" s="61"/>
    </row>
    <row r="2461" spans="2:11" s="3" customFormat="1">
      <c r="B2461"/>
      <c r="C2461"/>
      <c r="D2461"/>
      <c r="E2461"/>
      <c r="F2461"/>
      <c r="G2461"/>
      <c r="K2461" s="61"/>
    </row>
    <row r="2462" spans="2:11" s="3" customFormat="1">
      <c r="B2462"/>
      <c r="C2462"/>
      <c r="D2462"/>
      <c r="E2462"/>
      <c r="F2462"/>
      <c r="G2462"/>
      <c r="K2462" s="61"/>
    </row>
    <row r="2463" spans="2:11" s="3" customFormat="1">
      <c r="B2463"/>
      <c r="C2463"/>
      <c r="D2463"/>
      <c r="E2463"/>
      <c r="F2463"/>
      <c r="G2463"/>
      <c r="K2463" s="61"/>
    </row>
    <row r="2464" spans="2:11" s="3" customFormat="1">
      <c r="B2464"/>
      <c r="C2464"/>
      <c r="D2464"/>
      <c r="E2464"/>
      <c r="F2464"/>
      <c r="G2464"/>
      <c r="K2464" s="61"/>
    </row>
    <row r="2465" spans="2:11" s="3" customFormat="1">
      <c r="B2465"/>
      <c r="C2465"/>
      <c r="D2465"/>
      <c r="E2465"/>
      <c r="F2465"/>
      <c r="G2465"/>
      <c r="K2465" s="61"/>
    </row>
    <row r="2466" spans="2:11" s="3" customFormat="1">
      <c r="B2466"/>
      <c r="C2466"/>
      <c r="D2466"/>
      <c r="E2466"/>
      <c r="F2466"/>
      <c r="G2466"/>
      <c r="K2466" s="61"/>
    </row>
    <row r="2467" spans="2:11" s="3" customFormat="1">
      <c r="B2467"/>
      <c r="C2467"/>
      <c r="D2467"/>
      <c r="E2467"/>
      <c r="F2467"/>
      <c r="G2467"/>
      <c r="K2467" s="61"/>
    </row>
    <row r="2468" spans="2:11" s="3" customFormat="1">
      <c r="B2468"/>
      <c r="C2468"/>
      <c r="D2468"/>
      <c r="E2468"/>
      <c r="F2468"/>
      <c r="G2468"/>
      <c r="K2468" s="61"/>
    </row>
    <row r="2469" spans="2:11" s="3" customFormat="1">
      <c r="B2469"/>
      <c r="C2469"/>
      <c r="D2469"/>
      <c r="E2469"/>
      <c r="F2469"/>
      <c r="G2469"/>
      <c r="K2469" s="61"/>
    </row>
    <row r="2470" spans="2:11" s="3" customFormat="1">
      <c r="B2470"/>
      <c r="C2470"/>
      <c r="D2470"/>
      <c r="E2470"/>
      <c r="F2470"/>
      <c r="G2470"/>
      <c r="K2470" s="61"/>
    </row>
    <row r="2471" spans="2:11" s="3" customFormat="1">
      <c r="B2471"/>
      <c r="C2471"/>
      <c r="D2471"/>
      <c r="E2471"/>
      <c r="F2471"/>
      <c r="G2471"/>
      <c r="K2471" s="61"/>
    </row>
    <row r="2472" spans="2:11" s="3" customFormat="1">
      <c r="B2472"/>
      <c r="C2472"/>
      <c r="D2472"/>
      <c r="E2472"/>
      <c r="F2472"/>
      <c r="G2472"/>
      <c r="K2472" s="61"/>
    </row>
    <row r="2473" spans="2:11" s="3" customFormat="1">
      <c r="B2473"/>
      <c r="C2473"/>
      <c r="D2473"/>
      <c r="E2473"/>
      <c r="F2473"/>
      <c r="G2473"/>
      <c r="K2473" s="61"/>
    </row>
    <row r="2474" spans="2:11" s="3" customFormat="1">
      <c r="B2474"/>
      <c r="C2474"/>
      <c r="D2474"/>
      <c r="E2474"/>
      <c r="F2474"/>
      <c r="G2474"/>
      <c r="K2474" s="61"/>
    </row>
    <row r="2475" spans="2:11" s="3" customFormat="1">
      <c r="B2475"/>
      <c r="C2475"/>
      <c r="D2475"/>
      <c r="E2475"/>
      <c r="F2475"/>
      <c r="G2475"/>
      <c r="K2475" s="61"/>
    </row>
    <row r="2476" spans="2:11" s="3" customFormat="1">
      <c r="B2476"/>
      <c r="C2476"/>
      <c r="D2476"/>
      <c r="E2476"/>
      <c r="F2476"/>
      <c r="G2476"/>
      <c r="K2476" s="61"/>
    </row>
    <row r="2477" spans="2:11" s="3" customFormat="1">
      <c r="B2477"/>
      <c r="C2477"/>
      <c r="D2477"/>
      <c r="E2477"/>
      <c r="F2477"/>
      <c r="G2477"/>
      <c r="K2477" s="61"/>
    </row>
    <row r="2478" spans="2:11" s="3" customFormat="1">
      <c r="B2478"/>
      <c r="C2478"/>
      <c r="D2478"/>
      <c r="E2478"/>
      <c r="F2478"/>
      <c r="G2478"/>
      <c r="K2478" s="61"/>
    </row>
    <row r="2479" spans="2:11" s="3" customFormat="1">
      <c r="B2479"/>
      <c r="C2479"/>
      <c r="D2479"/>
      <c r="E2479"/>
      <c r="F2479"/>
      <c r="G2479"/>
      <c r="K2479" s="61"/>
    </row>
    <row r="2480" spans="2:11" s="3" customFormat="1">
      <c r="B2480"/>
      <c r="C2480"/>
      <c r="D2480"/>
      <c r="E2480"/>
      <c r="F2480"/>
      <c r="G2480"/>
      <c r="K2480" s="61"/>
    </row>
    <row r="2481" spans="2:11" s="3" customFormat="1">
      <c r="B2481"/>
      <c r="C2481"/>
      <c r="D2481"/>
      <c r="E2481"/>
      <c r="F2481"/>
      <c r="G2481"/>
      <c r="K2481" s="61"/>
    </row>
    <row r="2482" spans="2:11" s="3" customFormat="1">
      <c r="B2482"/>
      <c r="C2482"/>
      <c r="D2482"/>
      <c r="E2482"/>
      <c r="F2482"/>
      <c r="G2482"/>
      <c r="K2482" s="61"/>
    </row>
    <row r="2483" spans="2:11" s="3" customFormat="1">
      <c r="B2483"/>
      <c r="C2483"/>
      <c r="D2483"/>
      <c r="E2483"/>
      <c r="F2483"/>
      <c r="G2483"/>
      <c r="K2483" s="61"/>
    </row>
    <row r="2484" spans="2:11" s="3" customFormat="1">
      <c r="B2484"/>
      <c r="C2484"/>
      <c r="D2484"/>
      <c r="E2484"/>
      <c r="F2484"/>
      <c r="G2484"/>
      <c r="K2484" s="61"/>
    </row>
    <row r="2485" spans="2:11" s="3" customFormat="1">
      <c r="B2485"/>
      <c r="C2485"/>
      <c r="D2485"/>
      <c r="E2485"/>
      <c r="F2485"/>
      <c r="G2485"/>
      <c r="K2485" s="61"/>
    </row>
    <row r="2486" spans="2:11" s="3" customFormat="1">
      <c r="B2486"/>
      <c r="C2486"/>
      <c r="D2486"/>
      <c r="E2486"/>
      <c r="F2486"/>
      <c r="G2486"/>
      <c r="K2486" s="61"/>
    </row>
    <row r="2487" spans="2:11" s="3" customFormat="1">
      <c r="B2487"/>
      <c r="C2487"/>
      <c r="D2487"/>
      <c r="E2487"/>
      <c r="F2487"/>
      <c r="G2487"/>
      <c r="K2487" s="61"/>
    </row>
    <row r="2488" spans="2:11" s="3" customFormat="1">
      <c r="B2488"/>
      <c r="C2488"/>
      <c r="D2488"/>
      <c r="E2488"/>
      <c r="F2488"/>
      <c r="G2488"/>
      <c r="K2488" s="61"/>
    </row>
    <row r="2489" spans="2:11" s="3" customFormat="1">
      <c r="B2489"/>
      <c r="C2489"/>
      <c r="D2489"/>
      <c r="E2489"/>
      <c r="F2489"/>
      <c r="G2489"/>
      <c r="K2489" s="61"/>
    </row>
    <row r="2490" spans="2:11" s="3" customFormat="1">
      <c r="B2490"/>
      <c r="C2490"/>
      <c r="D2490"/>
      <c r="E2490"/>
      <c r="F2490"/>
      <c r="G2490"/>
      <c r="K2490" s="61"/>
    </row>
    <row r="2491" spans="2:11" s="3" customFormat="1">
      <c r="B2491"/>
      <c r="C2491"/>
      <c r="D2491"/>
      <c r="E2491"/>
      <c r="F2491"/>
      <c r="G2491"/>
      <c r="K2491" s="61"/>
    </row>
    <row r="2492" spans="2:11" s="3" customFormat="1">
      <c r="B2492"/>
      <c r="C2492"/>
      <c r="D2492"/>
      <c r="E2492"/>
      <c r="F2492"/>
      <c r="G2492"/>
      <c r="K2492" s="61"/>
    </row>
    <row r="2493" spans="2:11" s="3" customFormat="1">
      <c r="B2493"/>
      <c r="C2493"/>
      <c r="D2493"/>
      <c r="E2493"/>
      <c r="F2493"/>
      <c r="G2493"/>
      <c r="K2493" s="61"/>
    </row>
    <row r="2494" spans="2:11" s="3" customFormat="1">
      <c r="B2494"/>
      <c r="C2494"/>
      <c r="D2494"/>
      <c r="E2494"/>
      <c r="F2494"/>
      <c r="G2494"/>
      <c r="K2494" s="61"/>
    </row>
    <row r="2495" spans="2:11" s="3" customFormat="1">
      <c r="B2495"/>
      <c r="C2495"/>
      <c r="D2495"/>
      <c r="E2495"/>
      <c r="F2495"/>
      <c r="G2495"/>
      <c r="K2495" s="61"/>
    </row>
    <row r="2496" spans="2:11" s="3" customFormat="1">
      <c r="B2496"/>
      <c r="C2496"/>
      <c r="D2496"/>
      <c r="E2496"/>
      <c r="F2496"/>
      <c r="G2496"/>
      <c r="K2496" s="61"/>
    </row>
    <row r="2497" spans="2:11" s="3" customFormat="1">
      <c r="B2497"/>
      <c r="C2497"/>
      <c r="D2497"/>
      <c r="E2497"/>
      <c r="F2497"/>
      <c r="G2497"/>
      <c r="K2497" s="61"/>
    </row>
    <row r="2498" spans="2:11" s="3" customFormat="1">
      <c r="B2498"/>
      <c r="C2498"/>
      <c r="D2498"/>
      <c r="E2498"/>
      <c r="F2498"/>
      <c r="G2498"/>
      <c r="K2498" s="61"/>
    </row>
    <row r="2499" spans="2:11" s="3" customFormat="1">
      <c r="B2499"/>
      <c r="C2499"/>
      <c r="D2499"/>
      <c r="E2499"/>
      <c r="F2499"/>
      <c r="G2499"/>
      <c r="K2499" s="61"/>
    </row>
    <row r="2500" spans="2:11" s="3" customFormat="1">
      <c r="B2500"/>
      <c r="C2500"/>
      <c r="D2500"/>
      <c r="E2500"/>
      <c r="F2500"/>
      <c r="G2500"/>
      <c r="K2500" s="61"/>
    </row>
    <row r="2501" spans="2:11" s="3" customFormat="1">
      <c r="B2501"/>
      <c r="C2501"/>
      <c r="D2501"/>
      <c r="E2501"/>
      <c r="F2501"/>
      <c r="G2501"/>
      <c r="K2501" s="61"/>
    </row>
    <row r="2502" spans="2:11" s="3" customFormat="1">
      <c r="B2502"/>
      <c r="C2502"/>
      <c r="D2502"/>
      <c r="E2502"/>
      <c r="F2502"/>
      <c r="G2502"/>
      <c r="K2502" s="61"/>
    </row>
    <row r="2503" spans="2:11" s="3" customFormat="1">
      <c r="B2503"/>
      <c r="C2503"/>
      <c r="D2503"/>
      <c r="E2503"/>
      <c r="F2503"/>
      <c r="G2503"/>
      <c r="K2503" s="61"/>
    </row>
    <row r="2504" spans="2:11" s="3" customFormat="1">
      <c r="B2504"/>
      <c r="C2504"/>
      <c r="D2504"/>
      <c r="E2504"/>
      <c r="F2504"/>
      <c r="G2504"/>
      <c r="K2504" s="61"/>
    </row>
    <row r="2505" spans="2:11" s="3" customFormat="1">
      <c r="B2505"/>
      <c r="C2505"/>
      <c r="D2505"/>
      <c r="E2505"/>
      <c r="F2505"/>
      <c r="G2505"/>
      <c r="K2505" s="61"/>
    </row>
    <row r="2506" spans="2:11" s="3" customFormat="1">
      <c r="B2506"/>
      <c r="C2506"/>
      <c r="D2506"/>
      <c r="E2506"/>
      <c r="F2506"/>
      <c r="G2506"/>
      <c r="K2506" s="61"/>
    </row>
    <row r="2507" spans="2:11" s="3" customFormat="1">
      <c r="B2507"/>
      <c r="C2507"/>
      <c r="D2507"/>
      <c r="E2507"/>
      <c r="F2507"/>
      <c r="G2507"/>
      <c r="K2507" s="61"/>
    </row>
    <row r="2508" spans="2:11" s="3" customFormat="1">
      <c r="B2508"/>
      <c r="C2508"/>
      <c r="D2508"/>
      <c r="E2508"/>
      <c r="F2508"/>
      <c r="G2508"/>
      <c r="K2508" s="61"/>
    </row>
    <row r="2509" spans="2:11" s="3" customFormat="1">
      <c r="B2509"/>
      <c r="C2509"/>
      <c r="D2509"/>
      <c r="E2509"/>
      <c r="F2509"/>
      <c r="G2509"/>
      <c r="K2509" s="61"/>
    </row>
    <row r="2510" spans="2:11" s="3" customFormat="1">
      <c r="B2510"/>
      <c r="C2510"/>
      <c r="D2510"/>
      <c r="E2510"/>
      <c r="F2510"/>
      <c r="G2510"/>
      <c r="K2510" s="61"/>
    </row>
    <row r="2511" spans="2:11" s="3" customFormat="1">
      <c r="B2511"/>
      <c r="C2511"/>
      <c r="D2511"/>
      <c r="E2511"/>
      <c r="F2511"/>
      <c r="G2511"/>
      <c r="K2511" s="61"/>
    </row>
    <row r="2512" spans="2:11" s="3" customFormat="1">
      <c r="B2512"/>
      <c r="C2512"/>
      <c r="D2512"/>
      <c r="E2512"/>
      <c r="F2512"/>
      <c r="G2512"/>
      <c r="K2512" s="61"/>
    </row>
    <row r="2513" spans="2:11" s="3" customFormat="1">
      <c r="B2513"/>
      <c r="C2513"/>
      <c r="D2513"/>
      <c r="E2513"/>
      <c r="F2513"/>
      <c r="G2513"/>
      <c r="K2513" s="61"/>
    </row>
    <row r="2514" spans="2:11" s="3" customFormat="1">
      <c r="B2514"/>
      <c r="C2514"/>
      <c r="D2514"/>
      <c r="E2514"/>
      <c r="F2514"/>
      <c r="G2514"/>
      <c r="K2514" s="61"/>
    </row>
    <row r="2515" spans="2:11" s="3" customFormat="1">
      <c r="B2515"/>
      <c r="C2515"/>
      <c r="D2515"/>
      <c r="E2515"/>
      <c r="F2515"/>
      <c r="G2515"/>
      <c r="K2515" s="61"/>
    </row>
    <row r="2516" spans="2:11" s="3" customFormat="1">
      <c r="B2516"/>
      <c r="C2516"/>
      <c r="D2516"/>
      <c r="E2516"/>
      <c r="F2516"/>
      <c r="G2516"/>
      <c r="K2516" s="61"/>
    </row>
    <row r="2517" spans="2:11" s="3" customFormat="1">
      <c r="B2517"/>
      <c r="C2517"/>
      <c r="D2517"/>
      <c r="E2517"/>
      <c r="F2517"/>
      <c r="G2517"/>
      <c r="K2517" s="61"/>
    </row>
    <row r="2518" spans="2:11" s="3" customFormat="1">
      <c r="B2518"/>
      <c r="C2518"/>
      <c r="D2518"/>
      <c r="E2518"/>
      <c r="F2518"/>
      <c r="G2518"/>
      <c r="K2518" s="61"/>
    </row>
    <row r="2519" spans="2:11" s="3" customFormat="1">
      <c r="B2519"/>
      <c r="C2519"/>
      <c r="D2519"/>
      <c r="E2519"/>
      <c r="F2519"/>
      <c r="G2519"/>
      <c r="K2519" s="61"/>
    </row>
    <row r="2520" spans="2:11" s="3" customFormat="1">
      <c r="B2520"/>
      <c r="C2520"/>
      <c r="D2520"/>
      <c r="E2520"/>
      <c r="F2520"/>
      <c r="G2520"/>
      <c r="K2520" s="61"/>
    </row>
    <row r="2521" spans="2:11" s="3" customFormat="1">
      <c r="B2521"/>
      <c r="C2521"/>
      <c r="D2521"/>
      <c r="E2521"/>
      <c r="F2521"/>
      <c r="G2521"/>
      <c r="K2521" s="61"/>
    </row>
    <row r="2522" spans="2:11" s="3" customFormat="1">
      <c r="B2522"/>
      <c r="C2522"/>
      <c r="D2522"/>
      <c r="E2522"/>
      <c r="F2522"/>
      <c r="G2522"/>
      <c r="K2522" s="61"/>
    </row>
    <row r="2523" spans="2:11" s="3" customFormat="1">
      <c r="B2523"/>
      <c r="C2523"/>
      <c r="D2523"/>
      <c r="E2523"/>
      <c r="F2523"/>
      <c r="G2523"/>
      <c r="K2523" s="61"/>
    </row>
    <row r="2524" spans="2:11" s="3" customFormat="1">
      <c r="B2524"/>
      <c r="C2524"/>
      <c r="D2524"/>
      <c r="E2524"/>
      <c r="F2524"/>
      <c r="G2524"/>
      <c r="K2524" s="61"/>
    </row>
    <row r="2525" spans="2:11" s="3" customFormat="1">
      <c r="B2525"/>
      <c r="C2525"/>
      <c r="D2525"/>
      <c r="E2525"/>
      <c r="F2525"/>
      <c r="G2525"/>
      <c r="K2525" s="61"/>
    </row>
    <row r="2526" spans="2:11" s="3" customFormat="1">
      <c r="B2526"/>
      <c r="C2526"/>
      <c r="D2526"/>
      <c r="E2526"/>
      <c r="F2526"/>
      <c r="G2526"/>
      <c r="K2526" s="61"/>
    </row>
    <row r="2527" spans="2:11" s="3" customFormat="1">
      <c r="B2527"/>
      <c r="C2527"/>
      <c r="D2527"/>
      <c r="E2527"/>
      <c r="F2527"/>
      <c r="G2527"/>
      <c r="K2527" s="61"/>
    </row>
    <row r="2528" spans="2:11" s="3" customFormat="1">
      <c r="B2528"/>
      <c r="C2528"/>
      <c r="D2528"/>
      <c r="E2528"/>
      <c r="F2528"/>
      <c r="G2528"/>
      <c r="K2528" s="61"/>
    </row>
    <row r="2529" spans="2:11" s="3" customFormat="1">
      <c r="B2529"/>
      <c r="C2529"/>
      <c r="D2529"/>
      <c r="E2529"/>
      <c r="F2529"/>
      <c r="G2529"/>
      <c r="K2529" s="61"/>
    </row>
    <row r="2530" spans="2:11" s="3" customFormat="1">
      <c r="B2530"/>
      <c r="C2530"/>
      <c r="D2530"/>
      <c r="E2530"/>
      <c r="F2530"/>
      <c r="G2530"/>
      <c r="K2530" s="61"/>
    </row>
    <row r="2531" spans="2:11" s="3" customFormat="1">
      <c r="B2531"/>
      <c r="C2531"/>
      <c r="D2531"/>
      <c r="E2531"/>
      <c r="F2531"/>
      <c r="G2531"/>
      <c r="K2531" s="61"/>
    </row>
    <row r="2532" spans="2:11" s="3" customFormat="1">
      <c r="B2532"/>
      <c r="C2532"/>
      <c r="D2532"/>
      <c r="E2532"/>
      <c r="F2532"/>
      <c r="G2532"/>
      <c r="K2532" s="61"/>
    </row>
    <row r="2533" spans="2:11" s="3" customFormat="1">
      <c r="B2533"/>
      <c r="C2533"/>
      <c r="D2533"/>
      <c r="E2533"/>
      <c r="F2533"/>
      <c r="G2533"/>
      <c r="K2533" s="61"/>
    </row>
    <row r="2534" spans="2:11" s="3" customFormat="1">
      <c r="B2534"/>
      <c r="C2534"/>
      <c r="D2534"/>
      <c r="E2534"/>
      <c r="F2534"/>
      <c r="G2534"/>
      <c r="K2534" s="61"/>
    </row>
    <row r="2535" spans="2:11" s="3" customFormat="1">
      <c r="B2535"/>
      <c r="C2535"/>
      <c r="D2535"/>
      <c r="E2535"/>
      <c r="F2535"/>
      <c r="G2535"/>
      <c r="K2535" s="61"/>
    </row>
    <row r="2536" spans="2:11" s="3" customFormat="1">
      <c r="B2536"/>
      <c r="C2536"/>
      <c r="D2536"/>
      <c r="E2536"/>
      <c r="F2536"/>
      <c r="G2536"/>
      <c r="K2536" s="61"/>
    </row>
    <row r="2537" spans="2:11" s="3" customFormat="1">
      <c r="B2537"/>
      <c r="C2537"/>
      <c r="D2537"/>
      <c r="E2537"/>
      <c r="F2537"/>
      <c r="G2537"/>
      <c r="K2537" s="61"/>
    </row>
    <row r="2538" spans="2:11" s="3" customFormat="1">
      <c r="B2538"/>
      <c r="C2538"/>
      <c r="D2538"/>
      <c r="E2538"/>
      <c r="F2538"/>
      <c r="G2538"/>
      <c r="K2538" s="61"/>
    </row>
    <row r="2539" spans="2:11" s="3" customFormat="1">
      <c r="B2539"/>
      <c r="C2539"/>
      <c r="D2539"/>
      <c r="E2539"/>
      <c r="F2539"/>
      <c r="G2539"/>
      <c r="K2539" s="61"/>
    </row>
    <row r="2540" spans="2:11" s="3" customFormat="1">
      <c r="B2540"/>
      <c r="C2540"/>
      <c r="D2540"/>
      <c r="E2540"/>
      <c r="F2540"/>
      <c r="G2540"/>
      <c r="K2540" s="61"/>
    </row>
    <row r="2541" spans="2:11" s="3" customFormat="1">
      <c r="B2541"/>
      <c r="C2541"/>
      <c r="D2541"/>
      <c r="E2541"/>
      <c r="F2541"/>
      <c r="G2541"/>
      <c r="K2541" s="61"/>
    </row>
    <row r="2542" spans="2:11" s="3" customFormat="1">
      <c r="B2542"/>
      <c r="C2542"/>
      <c r="D2542"/>
      <c r="E2542"/>
      <c r="F2542"/>
      <c r="G2542"/>
      <c r="K2542" s="61"/>
    </row>
    <row r="2543" spans="2:11" s="3" customFormat="1">
      <c r="B2543"/>
      <c r="C2543"/>
      <c r="D2543"/>
      <c r="E2543"/>
      <c r="F2543"/>
      <c r="G2543"/>
      <c r="K2543" s="61"/>
    </row>
    <row r="2544" spans="2:11" s="3" customFormat="1">
      <c r="B2544"/>
      <c r="C2544"/>
      <c r="D2544"/>
      <c r="E2544"/>
      <c r="F2544"/>
      <c r="G2544"/>
      <c r="K2544" s="61"/>
    </row>
    <row r="2545" spans="2:11" s="3" customFormat="1">
      <c r="B2545"/>
      <c r="C2545"/>
      <c r="D2545"/>
      <c r="E2545"/>
      <c r="F2545"/>
      <c r="G2545"/>
      <c r="K2545" s="61"/>
    </row>
    <row r="2546" spans="2:11" s="3" customFormat="1">
      <c r="B2546"/>
      <c r="C2546"/>
      <c r="D2546"/>
      <c r="E2546"/>
      <c r="F2546"/>
      <c r="G2546"/>
      <c r="K2546" s="61"/>
    </row>
    <row r="2547" spans="2:11" s="3" customFormat="1">
      <c r="B2547"/>
      <c r="C2547"/>
      <c r="D2547"/>
      <c r="E2547"/>
      <c r="F2547"/>
      <c r="G2547"/>
      <c r="K2547" s="61"/>
    </row>
    <row r="2548" spans="2:11" s="3" customFormat="1">
      <c r="B2548"/>
      <c r="C2548"/>
      <c r="D2548"/>
      <c r="E2548"/>
      <c r="F2548"/>
      <c r="G2548"/>
      <c r="K2548" s="61"/>
    </row>
    <row r="2549" spans="2:11" s="3" customFormat="1">
      <c r="B2549"/>
      <c r="C2549"/>
      <c r="D2549"/>
      <c r="E2549"/>
      <c r="F2549"/>
      <c r="G2549"/>
      <c r="K2549" s="61"/>
    </row>
    <row r="2550" spans="2:11" s="3" customFormat="1">
      <c r="B2550"/>
      <c r="C2550"/>
      <c r="D2550"/>
      <c r="E2550"/>
      <c r="F2550"/>
      <c r="G2550"/>
      <c r="K2550" s="61"/>
    </row>
    <row r="2551" spans="2:11" s="3" customFormat="1">
      <c r="B2551"/>
      <c r="C2551"/>
      <c r="D2551"/>
      <c r="E2551"/>
      <c r="F2551"/>
      <c r="G2551"/>
      <c r="K2551" s="61"/>
    </row>
    <row r="2552" spans="2:11" s="3" customFormat="1">
      <c r="B2552"/>
      <c r="C2552"/>
      <c r="D2552"/>
      <c r="E2552"/>
      <c r="F2552"/>
      <c r="G2552"/>
      <c r="K2552" s="61"/>
    </row>
    <row r="2553" spans="2:11" s="3" customFormat="1">
      <c r="B2553"/>
      <c r="C2553"/>
      <c r="D2553"/>
      <c r="E2553"/>
      <c r="F2553"/>
      <c r="G2553"/>
      <c r="K2553" s="61"/>
    </row>
    <row r="2554" spans="2:11" s="3" customFormat="1">
      <c r="B2554"/>
      <c r="C2554"/>
      <c r="D2554"/>
      <c r="E2554"/>
      <c r="F2554"/>
      <c r="G2554"/>
      <c r="K2554" s="61"/>
    </row>
    <row r="2555" spans="2:11" s="3" customFormat="1">
      <c r="B2555"/>
      <c r="C2555"/>
      <c r="D2555"/>
      <c r="E2555"/>
      <c r="F2555"/>
      <c r="G2555"/>
      <c r="K2555" s="61"/>
    </row>
    <row r="2556" spans="2:11" s="3" customFormat="1">
      <c r="B2556"/>
      <c r="C2556"/>
      <c r="D2556"/>
      <c r="E2556"/>
      <c r="F2556"/>
      <c r="G2556"/>
      <c r="K2556" s="61"/>
    </row>
    <row r="2557" spans="2:11" s="3" customFormat="1">
      <c r="B2557"/>
      <c r="C2557"/>
      <c r="D2557"/>
      <c r="E2557"/>
      <c r="F2557"/>
      <c r="G2557"/>
      <c r="K2557" s="61"/>
    </row>
    <row r="2558" spans="2:11" s="3" customFormat="1">
      <c r="B2558"/>
      <c r="C2558"/>
      <c r="D2558"/>
      <c r="E2558"/>
      <c r="F2558"/>
      <c r="G2558"/>
      <c r="K2558" s="61"/>
    </row>
    <row r="2559" spans="2:11" s="3" customFormat="1">
      <c r="B2559"/>
      <c r="C2559"/>
      <c r="D2559"/>
      <c r="E2559"/>
      <c r="F2559"/>
      <c r="G2559"/>
      <c r="K2559" s="61"/>
    </row>
    <row r="2560" spans="2:11" s="3" customFormat="1">
      <c r="B2560"/>
      <c r="C2560"/>
      <c r="D2560"/>
      <c r="E2560"/>
      <c r="F2560"/>
      <c r="G2560"/>
      <c r="K2560" s="61"/>
    </row>
    <row r="2561" spans="2:11" s="3" customFormat="1">
      <c r="B2561"/>
      <c r="C2561"/>
      <c r="D2561"/>
      <c r="E2561"/>
      <c r="F2561"/>
      <c r="G2561"/>
      <c r="K2561" s="61"/>
    </row>
    <row r="2562" spans="2:11" s="3" customFormat="1">
      <c r="B2562"/>
      <c r="C2562"/>
      <c r="D2562"/>
      <c r="E2562"/>
      <c r="F2562"/>
      <c r="G2562"/>
      <c r="K2562" s="61"/>
    </row>
    <row r="2563" spans="2:11" s="3" customFormat="1">
      <c r="B2563"/>
      <c r="C2563"/>
      <c r="D2563"/>
      <c r="E2563"/>
      <c r="F2563"/>
      <c r="G2563"/>
      <c r="K2563" s="61"/>
    </row>
    <row r="2564" spans="2:11" s="3" customFormat="1">
      <c r="B2564"/>
      <c r="C2564"/>
      <c r="D2564"/>
      <c r="E2564"/>
      <c r="F2564"/>
      <c r="G2564"/>
      <c r="K2564" s="61"/>
    </row>
    <row r="2565" spans="2:11" s="3" customFormat="1">
      <c r="B2565"/>
      <c r="C2565"/>
      <c r="D2565"/>
      <c r="E2565"/>
      <c r="F2565"/>
      <c r="G2565"/>
      <c r="K2565" s="61"/>
    </row>
    <row r="2566" spans="2:11" s="3" customFormat="1">
      <c r="B2566"/>
      <c r="C2566"/>
      <c r="D2566"/>
      <c r="E2566"/>
      <c r="F2566"/>
      <c r="G2566"/>
      <c r="K2566" s="61"/>
    </row>
    <row r="2567" spans="2:11" s="3" customFormat="1">
      <c r="B2567"/>
      <c r="C2567"/>
      <c r="D2567"/>
      <c r="E2567"/>
      <c r="F2567"/>
      <c r="G2567"/>
      <c r="K2567" s="61"/>
    </row>
    <row r="2568" spans="2:11" s="3" customFormat="1">
      <c r="B2568"/>
      <c r="C2568"/>
      <c r="D2568"/>
      <c r="E2568"/>
      <c r="F2568"/>
      <c r="G2568"/>
      <c r="K2568" s="61"/>
    </row>
    <row r="2569" spans="2:11" s="3" customFormat="1">
      <c r="B2569"/>
      <c r="C2569"/>
      <c r="D2569"/>
      <c r="E2569"/>
      <c r="F2569"/>
      <c r="G2569"/>
      <c r="K2569" s="61"/>
    </row>
    <row r="2570" spans="2:11" s="3" customFormat="1">
      <c r="B2570"/>
      <c r="C2570"/>
      <c r="D2570"/>
      <c r="E2570"/>
      <c r="F2570"/>
      <c r="G2570"/>
      <c r="K2570" s="61"/>
    </row>
    <row r="2571" spans="2:11" s="3" customFormat="1">
      <c r="B2571"/>
      <c r="C2571"/>
      <c r="D2571"/>
      <c r="E2571"/>
      <c r="F2571"/>
      <c r="G2571"/>
      <c r="K2571" s="61"/>
    </row>
    <row r="2572" spans="2:11" s="3" customFormat="1">
      <c r="B2572"/>
      <c r="C2572"/>
      <c r="D2572"/>
      <c r="E2572"/>
      <c r="F2572"/>
      <c r="G2572"/>
      <c r="K2572" s="61"/>
    </row>
    <row r="2573" spans="2:11" s="3" customFormat="1">
      <c r="B2573"/>
      <c r="C2573"/>
      <c r="D2573"/>
      <c r="E2573"/>
      <c r="F2573"/>
      <c r="G2573"/>
      <c r="K2573" s="61"/>
    </row>
    <row r="2574" spans="2:11" s="3" customFormat="1">
      <c r="B2574"/>
      <c r="C2574"/>
      <c r="D2574"/>
      <c r="E2574"/>
      <c r="F2574"/>
      <c r="G2574"/>
      <c r="K2574" s="61"/>
    </row>
    <row r="2575" spans="2:11" s="3" customFormat="1">
      <c r="B2575"/>
      <c r="C2575"/>
      <c r="D2575"/>
      <c r="E2575"/>
      <c r="F2575"/>
      <c r="G2575"/>
      <c r="K2575" s="61"/>
    </row>
    <row r="2576" spans="2:11" s="3" customFormat="1">
      <c r="B2576"/>
      <c r="C2576"/>
      <c r="D2576"/>
      <c r="E2576"/>
      <c r="F2576"/>
      <c r="G2576"/>
      <c r="K2576" s="61"/>
    </row>
    <row r="2577" spans="2:11" s="3" customFormat="1">
      <c r="B2577"/>
      <c r="C2577"/>
      <c r="D2577"/>
      <c r="E2577"/>
      <c r="F2577"/>
      <c r="G2577"/>
      <c r="K2577" s="61"/>
    </row>
    <row r="2578" spans="2:11" s="3" customFormat="1">
      <c r="B2578"/>
      <c r="C2578"/>
      <c r="D2578"/>
      <c r="E2578"/>
      <c r="F2578"/>
      <c r="G2578"/>
      <c r="K2578" s="61"/>
    </row>
    <row r="2579" spans="2:11" s="3" customFormat="1">
      <c r="B2579"/>
      <c r="C2579"/>
      <c r="D2579"/>
      <c r="E2579"/>
      <c r="F2579"/>
      <c r="G2579"/>
      <c r="K2579" s="61"/>
    </row>
    <row r="2580" spans="2:11" s="3" customFormat="1">
      <c r="B2580"/>
      <c r="C2580"/>
      <c r="D2580"/>
      <c r="E2580"/>
      <c r="F2580"/>
      <c r="G2580"/>
      <c r="K2580" s="61"/>
    </row>
    <row r="2581" spans="2:11" s="3" customFormat="1">
      <c r="B2581"/>
      <c r="C2581"/>
      <c r="D2581"/>
      <c r="E2581"/>
      <c r="F2581"/>
      <c r="G2581"/>
      <c r="K2581" s="61"/>
    </row>
    <row r="2582" spans="2:11" s="3" customFormat="1">
      <c r="B2582"/>
      <c r="C2582"/>
      <c r="D2582"/>
      <c r="E2582"/>
      <c r="F2582"/>
      <c r="G2582"/>
      <c r="K2582" s="61"/>
    </row>
    <row r="2583" spans="2:11" s="3" customFormat="1">
      <c r="B2583"/>
      <c r="C2583"/>
      <c r="D2583"/>
      <c r="E2583"/>
      <c r="F2583"/>
      <c r="G2583"/>
      <c r="K2583" s="61"/>
    </row>
    <row r="2584" spans="2:11" s="3" customFormat="1">
      <c r="B2584"/>
      <c r="C2584"/>
      <c r="D2584"/>
      <c r="E2584"/>
      <c r="F2584"/>
      <c r="G2584"/>
      <c r="K2584" s="61"/>
    </row>
    <row r="2585" spans="2:11" s="3" customFormat="1">
      <c r="B2585"/>
      <c r="C2585"/>
      <c r="D2585"/>
      <c r="E2585"/>
      <c r="F2585"/>
      <c r="G2585"/>
      <c r="K2585" s="61"/>
    </row>
    <row r="2586" spans="2:11" s="3" customFormat="1">
      <c r="B2586"/>
      <c r="C2586"/>
      <c r="D2586"/>
      <c r="E2586"/>
      <c r="F2586"/>
      <c r="G2586"/>
      <c r="K2586" s="61"/>
    </row>
    <row r="2587" spans="2:11" s="3" customFormat="1">
      <c r="B2587"/>
      <c r="C2587"/>
      <c r="D2587"/>
      <c r="E2587"/>
      <c r="F2587"/>
      <c r="G2587"/>
      <c r="K2587" s="61"/>
    </row>
    <row r="2588" spans="2:11" s="3" customFormat="1">
      <c r="B2588"/>
      <c r="C2588"/>
      <c r="D2588"/>
      <c r="E2588"/>
      <c r="F2588"/>
      <c r="G2588"/>
      <c r="K2588" s="61"/>
    </row>
    <row r="2589" spans="2:11" s="3" customFormat="1">
      <c r="B2589"/>
      <c r="C2589"/>
      <c r="D2589"/>
      <c r="E2589"/>
      <c r="F2589"/>
      <c r="G2589"/>
      <c r="K2589" s="61"/>
    </row>
    <row r="2590" spans="2:11" s="3" customFormat="1">
      <c r="B2590"/>
      <c r="C2590"/>
      <c r="D2590"/>
      <c r="E2590"/>
      <c r="F2590"/>
      <c r="G2590"/>
      <c r="K2590" s="61"/>
    </row>
    <row r="2591" spans="2:11" s="3" customFormat="1">
      <c r="B2591"/>
      <c r="C2591"/>
      <c r="D2591"/>
      <c r="E2591"/>
      <c r="F2591"/>
      <c r="G2591"/>
      <c r="K2591" s="61"/>
    </row>
    <row r="2592" spans="2:11" s="3" customFormat="1">
      <c r="B2592"/>
      <c r="C2592"/>
      <c r="D2592"/>
      <c r="E2592"/>
      <c r="F2592"/>
      <c r="G2592"/>
      <c r="K2592" s="61"/>
    </row>
    <row r="2593" spans="2:11" s="3" customFormat="1">
      <c r="B2593"/>
      <c r="C2593"/>
      <c r="D2593"/>
      <c r="E2593"/>
      <c r="F2593"/>
      <c r="G2593"/>
      <c r="K2593" s="61"/>
    </row>
    <row r="2594" spans="2:11" s="3" customFormat="1">
      <c r="B2594"/>
      <c r="C2594"/>
      <c r="D2594"/>
      <c r="E2594"/>
      <c r="F2594"/>
      <c r="G2594"/>
      <c r="K2594" s="61"/>
    </row>
    <row r="2595" spans="2:11" s="3" customFormat="1">
      <c r="B2595"/>
      <c r="C2595"/>
      <c r="D2595"/>
      <c r="E2595"/>
      <c r="F2595"/>
      <c r="G2595"/>
      <c r="K2595" s="61"/>
    </row>
    <row r="2596" spans="2:11" s="3" customFormat="1">
      <c r="B2596"/>
      <c r="C2596"/>
      <c r="D2596"/>
      <c r="E2596"/>
      <c r="F2596"/>
      <c r="G2596"/>
      <c r="K2596" s="61"/>
    </row>
    <row r="2597" spans="2:11" s="3" customFormat="1">
      <c r="B2597"/>
      <c r="C2597"/>
      <c r="D2597"/>
      <c r="E2597"/>
      <c r="F2597"/>
      <c r="G2597"/>
      <c r="K2597" s="61"/>
    </row>
    <row r="2598" spans="2:11" s="3" customFormat="1">
      <c r="B2598"/>
      <c r="C2598"/>
      <c r="D2598"/>
      <c r="E2598"/>
      <c r="F2598"/>
      <c r="G2598"/>
      <c r="K2598" s="61"/>
    </row>
    <row r="2599" spans="2:11" s="3" customFormat="1">
      <c r="B2599"/>
      <c r="C2599"/>
      <c r="D2599"/>
      <c r="E2599"/>
      <c r="F2599"/>
      <c r="G2599"/>
      <c r="K2599" s="61"/>
    </row>
    <row r="2600" spans="2:11" s="3" customFormat="1">
      <c r="B2600"/>
      <c r="C2600"/>
      <c r="D2600"/>
      <c r="E2600"/>
      <c r="F2600"/>
      <c r="G2600"/>
      <c r="K2600" s="61"/>
    </row>
    <row r="2601" spans="2:11" s="3" customFormat="1">
      <c r="B2601"/>
      <c r="C2601"/>
      <c r="D2601"/>
      <c r="E2601"/>
      <c r="F2601"/>
      <c r="G2601"/>
      <c r="K2601" s="61"/>
    </row>
    <row r="2602" spans="2:11" s="3" customFormat="1">
      <c r="B2602"/>
      <c r="C2602"/>
      <c r="D2602"/>
      <c r="E2602"/>
      <c r="F2602"/>
      <c r="G2602"/>
      <c r="K2602" s="61"/>
    </row>
    <row r="2603" spans="2:11" s="3" customFormat="1">
      <c r="B2603"/>
      <c r="C2603"/>
      <c r="D2603"/>
      <c r="E2603"/>
      <c r="F2603"/>
      <c r="G2603"/>
      <c r="K2603" s="61"/>
    </row>
    <row r="2604" spans="2:11" s="3" customFormat="1">
      <c r="B2604"/>
      <c r="C2604"/>
      <c r="D2604"/>
      <c r="E2604"/>
      <c r="F2604"/>
      <c r="G2604"/>
      <c r="K2604" s="61"/>
    </row>
    <row r="2605" spans="2:11" s="3" customFormat="1">
      <c r="B2605"/>
      <c r="C2605"/>
      <c r="D2605"/>
      <c r="E2605"/>
      <c r="F2605"/>
      <c r="G2605"/>
      <c r="K2605" s="61"/>
    </row>
    <row r="2606" spans="2:11" s="3" customFormat="1">
      <c r="B2606"/>
      <c r="C2606"/>
      <c r="D2606"/>
      <c r="E2606"/>
      <c r="F2606"/>
      <c r="G2606"/>
      <c r="K2606" s="61"/>
    </row>
    <row r="2607" spans="2:11" s="3" customFormat="1">
      <c r="B2607"/>
      <c r="C2607"/>
      <c r="D2607"/>
      <c r="E2607"/>
      <c r="F2607"/>
      <c r="G2607"/>
      <c r="K2607" s="61"/>
    </row>
    <row r="2608" spans="2:11" s="3" customFormat="1">
      <c r="B2608"/>
      <c r="C2608"/>
      <c r="D2608"/>
      <c r="E2608"/>
      <c r="F2608"/>
      <c r="G2608"/>
      <c r="K2608" s="61"/>
    </row>
    <row r="2609" spans="2:11" s="3" customFormat="1">
      <c r="B2609"/>
      <c r="C2609"/>
      <c r="D2609"/>
      <c r="E2609"/>
      <c r="F2609"/>
      <c r="G2609"/>
      <c r="K2609" s="61"/>
    </row>
    <row r="2610" spans="2:11" s="3" customFormat="1">
      <c r="B2610"/>
      <c r="C2610"/>
      <c r="D2610"/>
      <c r="E2610"/>
      <c r="F2610"/>
      <c r="G2610"/>
      <c r="K2610" s="61"/>
    </row>
    <row r="2611" spans="2:11" s="3" customFormat="1">
      <c r="B2611"/>
      <c r="C2611"/>
      <c r="D2611"/>
      <c r="E2611"/>
      <c r="F2611"/>
      <c r="G2611"/>
      <c r="K2611" s="61"/>
    </row>
    <row r="2612" spans="2:11" s="3" customFormat="1">
      <c r="B2612"/>
      <c r="C2612"/>
      <c r="D2612"/>
      <c r="E2612"/>
      <c r="F2612"/>
      <c r="G2612"/>
      <c r="K2612" s="61"/>
    </row>
    <row r="2613" spans="2:11" s="3" customFormat="1">
      <c r="B2613"/>
      <c r="C2613"/>
      <c r="D2613"/>
      <c r="E2613"/>
      <c r="F2613"/>
      <c r="G2613"/>
      <c r="K2613" s="61"/>
    </row>
    <row r="2614" spans="2:11" s="3" customFormat="1">
      <c r="B2614"/>
      <c r="C2614"/>
      <c r="D2614"/>
      <c r="E2614"/>
      <c r="F2614"/>
      <c r="G2614"/>
      <c r="K2614" s="61"/>
    </row>
    <row r="2615" spans="2:11" s="3" customFormat="1">
      <c r="B2615"/>
      <c r="C2615"/>
      <c r="D2615"/>
      <c r="E2615"/>
      <c r="F2615"/>
      <c r="G2615"/>
      <c r="K2615" s="61"/>
    </row>
    <row r="2616" spans="2:11" s="3" customFormat="1">
      <c r="B2616"/>
      <c r="C2616"/>
      <c r="D2616"/>
      <c r="E2616"/>
      <c r="F2616"/>
      <c r="G2616"/>
      <c r="K2616" s="61"/>
    </row>
    <row r="2617" spans="2:11" s="3" customFormat="1">
      <c r="B2617"/>
      <c r="C2617"/>
      <c r="D2617"/>
      <c r="E2617"/>
      <c r="F2617"/>
      <c r="G2617"/>
      <c r="K2617" s="61"/>
    </row>
    <row r="2618" spans="2:11" s="3" customFormat="1">
      <c r="B2618"/>
      <c r="C2618"/>
      <c r="D2618"/>
      <c r="E2618"/>
      <c r="F2618"/>
      <c r="G2618"/>
      <c r="K2618" s="61"/>
    </row>
    <row r="2619" spans="2:11" s="3" customFormat="1">
      <c r="B2619"/>
      <c r="C2619"/>
      <c r="D2619"/>
      <c r="E2619"/>
      <c r="F2619"/>
      <c r="G2619"/>
      <c r="K2619" s="61"/>
    </row>
    <row r="2620" spans="2:11" s="3" customFormat="1">
      <c r="B2620"/>
      <c r="C2620"/>
      <c r="D2620"/>
      <c r="E2620"/>
      <c r="F2620"/>
      <c r="G2620"/>
      <c r="K2620" s="61"/>
    </row>
    <row r="2621" spans="2:11" s="3" customFormat="1">
      <c r="B2621"/>
      <c r="C2621"/>
      <c r="D2621"/>
      <c r="E2621"/>
      <c r="F2621"/>
      <c r="G2621"/>
      <c r="K2621" s="61"/>
    </row>
    <row r="2622" spans="2:11" s="3" customFormat="1">
      <c r="B2622"/>
      <c r="C2622"/>
      <c r="D2622"/>
      <c r="E2622"/>
      <c r="F2622"/>
      <c r="G2622"/>
      <c r="K2622" s="61"/>
    </row>
    <row r="2623" spans="2:11" s="3" customFormat="1">
      <c r="B2623"/>
      <c r="C2623"/>
      <c r="D2623"/>
      <c r="E2623"/>
      <c r="F2623"/>
      <c r="G2623"/>
      <c r="K2623" s="61"/>
    </row>
    <row r="2624" spans="2:11" s="3" customFormat="1">
      <c r="B2624"/>
      <c r="C2624"/>
      <c r="D2624"/>
      <c r="E2624"/>
      <c r="F2624"/>
      <c r="G2624"/>
      <c r="K2624" s="61"/>
    </row>
    <row r="2625" spans="2:11" s="3" customFormat="1">
      <c r="B2625"/>
      <c r="C2625"/>
      <c r="D2625"/>
      <c r="E2625"/>
      <c r="F2625"/>
      <c r="G2625"/>
      <c r="K2625" s="61"/>
    </row>
    <row r="2626" spans="2:11" s="3" customFormat="1">
      <c r="B2626"/>
      <c r="C2626"/>
      <c r="D2626"/>
      <c r="E2626"/>
      <c r="F2626"/>
      <c r="G2626"/>
      <c r="K2626" s="61"/>
    </row>
    <row r="2627" spans="2:11" s="3" customFormat="1">
      <c r="B2627"/>
      <c r="C2627"/>
      <c r="D2627"/>
      <c r="E2627"/>
      <c r="F2627"/>
      <c r="G2627"/>
      <c r="K2627" s="61"/>
    </row>
    <row r="2628" spans="2:11" s="3" customFormat="1">
      <c r="B2628"/>
      <c r="C2628"/>
      <c r="D2628"/>
      <c r="E2628"/>
      <c r="F2628"/>
      <c r="G2628"/>
      <c r="K2628" s="61"/>
    </row>
    <row r="2629" spans="2:11" s="3" customFormat="1">
      <c r="B2629"/>
      <c r="C2629"/>
      <c r="D2629"/>
      <c r="E2629"/>
      <c r="F2629"/>
      <c r="G2629"/>
      <c r="K2629" s="61"/>
    </row>
    <row r="2630" spans="2:11" s="3" customFormat="1">
      <c r="B2630"/>
      <c r="C2630"/>
      <c r="D2630"/>
      <c r="E2630"/>
      <c r="F2630"/>
      <c r="G2630"/>
      <c r="K2630" s="61"/>
    </row>
    <row r="2631" spans="2:11" s="3" customFormat="1">
      <c r="B2631"/>
      <c r="C2631"/>
      <c r="D2631"/>
      <c r="E2631"/>
      <c r="F2631"/>
      <c r="G2631"/>
      <c r="K2631" s="61"/>
    </row>
    <row r="2632" spans="2:11" s="3" customFormat="1">
      <c r="B2632"/>
      <c r="C2632"/>
      <c r="D2632"/>
      <c r="E2632"/>
      <c r="F2632"/>
      <c r="G2632"/>
      <c r="K2632" s="61"/>
    </row>
    <row r="2633" spans="2:11" s="3" customFormat="1">
      <c r="B2633"/>
      <c r="C2633"/>
      <c r="D2633"/>
      <c r="E2633"/>
      <c r="F2633"/>
      <c r="G2633"/>
      <c r="K2633" s="61"/>
    </row>
    <row r="2634" spans="2:11" s="3" customFormat="1">
      <c r="B2634"/>
      <c r="C2634"/>
      <c r="D2634"/>
      <c r="E2634"/>
      <c r="F2634"/>
      <c r="G2634"/>
      <c r="K2634" s="61"/>
    </row>
    <row r="2635" spans="2:11" s="3" customFormat="1">
      <c r="B2635"/>
      <c r="C2635"/>
      <c r="D2635"/>
      <c r="E2635"/>
      <c r="F2635"/>
      <c r="G2635"/>
      <c r="K2635" s="61"/>
    </row>
    <row r="2636" spans="2:11" s="3" customFormat="1">
      <c r="B2636"/>
      <c r="C2636"/>
      <c r="D2636"/>
      <c r="E2636"/>
      <c r="F2636"/>
      <c r="G2636"/>
      <c r="K2636" s="61"/>
    </row>
    <row r="2637" spans="2:11" s="3" customFormat="1">
      <c r="B2637"/>
      <c r="C2637"/>
      <c r="D2637"/>
      <c r="E2637"/>
      <c r="F2637"/>
      <c r="G2637"/>
      <c r="K2637" s="61"/>
    </row>
    <row r="2638" spans="2:11" s="3" customFormat="1">
      <c r="B2638"/>
      <c r="C2638"/>
      <c r="D2638"/>
      <c r="E2638"/>
      <c r="F2638"/>
      <c r="G2638"/>
      <c r="K2638" s="61"/>
    </row>
    <row r="2639" spans="2:11" s="3" customFormat="1">
      <c r="B2639"/>
      <c r="C2639"/>
      <c r="D2639"/>
      <c r="E2639"/>
      <c r="F2639"/>
      <c r="G2639"/>
      <c r="K2639" s="61"/>
    </row>
    <row r="2640" spans="2:11" s="3" customFormat="1">
      <c r="B2640"/>
      <c r="C2640"/>
      <c r="D2640"/>
      <c r="E2640"/>
      <c r="F2640"/>
      <c r="G2640"/>
      <c r="K2640" s="61"/>
    </row>
    <row r="2641" spans="2:11" s="3" customFormat="1">
      <c r="B2641"/>
      <c r="C2641"/>
      <c r="D2641"/>
      <c r="E2641"/>
      <c r="F2641"/>
      <c r="G2641"/>
      <c r="K2641" s="61"/>
    </row>
    <row r="2642" spans="2:11" s="3" customFormat="1">
      <c r="B2642"/>
      <c r="C2642"/>
      <c r="D2642"/>
      <c r="E2642"/>
      <c r="F2642"/>
      <c r="G2642"/>
      <c r="K2642" s="61"/>
    </row>
    <row r="2643" spans="2:11" s="3" customFormat="1">
      <c r="B2643"/>
      <c r="C2643"/>
      <c r="D2643"/>
      <c r="E2643"/>
      <c r="F2643"/>
      <c r="G2643"/>
      <c r="K2643" s="61"/>
    </row>
    <row r="2644" spans="2:11" s="3" customFormat="1">
      <c r="B2644"/>
      <c r="C2644"/>
      <c r="D2644"/>
      <c r="E2644"/>
      <c r="F2644"/>
      <c r="G2644"/>
      <c r="K2644" s="61"/>
    </row>
    <row r="2645" spans="2:11" s="3" customFormat="1">
      <c r="B2645"/>
      <c r="C2645"/>
      <c r="D2645"/>
      <c r="E2645"/>
      <c r="F2645"/>
      <c r="G2645"/>
      <c r="K2645" s="61"/>
    </row>
    <row r="2646" spans="2:11" s="3" customFormat="1">
      <c r="B2646"/>
      <c r="C2646"/>
      <c r="D2646"/>
      <c r="E2646"/>
      <c r="F2646"/>
      <c r="G2646"/>
      <c r="K2646" s="61"/>
    </row>
    <row r="2647" spans="2:11" s="3" customFormat="1">
      <c r="B2647"/>
      <c r="C2647"/>
      <c r="D2647"/>
      <c r="E2647"/>
      <c r="F2647"/>
      <c r="G2647"/>
      <c r="K2647" s="61"/>
    </row>
    <row r="2648" spans="2:11" s="3" customFormat="1">
      <c r="B2648"/>
      <c r="C2648"/>
      <c r="D2648"/>
      <c r="E2648"/>
      <c r="F2648"/>
      <c r="G2648"/>
      <c r="K2648" s="61"/>
    </row>
    <row r="2649" spans="2:11" s="3" customFormat="1">
      <c r="B2649"/>
      <c r="C2649"/>
      <c r="D2649"/>
      <c r="E2649"/>
      <c r="F2649"/>
      <c r="G2649"/>
      <c r="K2649" s="61"/>
    </row>
    <row r="2650" spans="2:11" s="3" customFormat="1">
      <c r="B2650"/>
      <c r="C2650"/>
      <c r="D2650"/>
      <c r="E2650"/>
      <c r="F2650"/>
      <c r="G2650"/>
      <c r="K2650" s="61"/>
    </row>
    <row r="2651" spans="2:11" s="3" customFormat="1">
      <c r="B2651"/>
      <c r="C2651"/>
      <c r="D2651"/>
      <c r="E2651"/>
      <c r="F2651"/>
      <c r="G2651"/>
      <c r="K2651" s="61"/>
    </row>
    <row r="2652" spans="2:11" s="3" customFormat="1">
      <c r="B2652"/>
      <c r="C2652"/>
      <c r="D2652"/>
      <c r="E2652"/>
      <c r="F2652"/>
      <c r="G2652"/>
      <c r="K2652" s="61"/>
    </row>
    <row r="2653" spans="2:11" s="3" customFormat="1">
      <c r="B2653"/>
      <c r="C2653"/>
      <c r="D2653"/>
      <c r="E2653"/>
      <c r="F2653"/>
      <c r="G2653"/>
      <c r="K2653" s="61"/>
    </row>
    <row r="2654" spans="2:11" s="3" customFormat="1">
      <c r="B2654"/>
      <c r="C2654"/>
      <c r="D2654"/>
      <c r="E2654"/>
      <c r="F2654"/>
      <c r="G2654"/>
      <c r="K2654" s="61"/>
    </row>
    <row r="2655" spans="2:11" s="3" customFormat="1">
      <c r="B2655"/>
      <c r="C2655"/>
      <c r="D2655"/>
      <c r="E2655"/>
      <c r="F2655"/>
      <c r="G2655"/>
      <c r="K2655" s="61"/>
    </row>
    <row r="2656" spans="2:11" s="3" customFormat="1">
      <c r="B2656"/>
      <c r="C2656"/>
      <c r="D2656"/>
      <c r="E2656"/>
      <c r="F2656"/>
      <c r="G2656"/>
      <c r="K2656" s="61"/>
    </row>
    <row r="2657" spans="2:11" s="3" customFormat="1">
      <c r="B2657"/>
      <c r="C2657"/>
      <c r="D2657"/>
      <c r="E2657"/>
      <c r="F2657"/>
      <c r="G2657"/>
      <c r="K2657" s="61"/>
    </row>
    <row r="2658" spans="2:11" s="3" customFormat="1">
      <c r="B2658"/>
      <c r="C2658"/>
      <c r="D2658"/>
      <c r="E2658"/>
      <c r="F2658"/>
      <c r="G2658"/>
      <c r="K2658" s="61"/>
    </row>
    <row r="2659" spans="2:11" s="3" customFormat="1">
      <c r="B2659"/>
      <c r="C2659"/>
      <c r="D2659"/>
      <c r="E2659"/>
      <c r="F2659"/>
      <c r="G2659"/>
      <c r="K2659" s="61"/>
    </row>
    <row r="2660" spans="2:11" s="3" customFormat="1">
      <c r="B2660"/>
      <c r="C2660"/>
      <c r="D2660"/>
      <c r="E2660"/>
      <c r="F2660"/>
      <c r="G2660"/>
      <c r="K2660" s="61"/>
    </row>
    <row r="2661" spans="2:11" s="3" customFormat="1">
      <c r="B2661"/>
      <c r="C2661"/>
      <c r="D2661"/>
      <c r="E2661"/>
      <c r="F2661"/>
      <c r="G2661"/>
      <c r="K2661" s="61"/>
    </row>
    <row r="2662" spans="2:11" s="3" customFormat="1">
      <c r="B2662"/>
      <c r="C2662"/>
      <c r="D2662"/>
      <c r="E2662"/>
      <c r="F2662"/>
      <c r="G2662"/>
      <c r="K2662" s="61"/>
    </row>
    <row r="2663" spans="2:11" s="3" customFormat="1">
      <c r="B2663"/>
      <c r="C2663"/>
      <c r="D2663"/>
      <c r="E2663"/>
      <c r="F2663"/>
      <c r="G2663"/>
      <c r="K2663" s="61"/>
    </row>
    <row r="2664" spans="2:11" s="3" customFormat="1">
      <c r="B2664"/>
      <c r="C2664"/>
      <c r="D2664"/>
      <c r="E2664"/>
      <c r="F2664"/>
      <c r="G2664"/>
      <c r="K2664" s="61"/>
    </row>
    <row r="2665" spans="2:11" s="3" customFormat="1">
      <c r="B2665"/>
      <c r="C2665"/>
      <c r="D2665"/>
      <c r="E2665"/>
      <c r="F2665"/>
      <c r="G2665"/>
      <c r="K2665" s="61"/>
    </row>
    <row r="2666" spans="2:11" s="3" customFormat="1">
      <c r="B2666"/>
      <c r="C2666"/>
      <c r="D2666"/>
      <c r="E2666"/>
      <c r="F2666"/>
      <c r="G2666"/>
      <c r="K2666" s="61"/>
    </row>
    <row r="2667" spans="2:11" s="3" customFormat="1">
      <c r="B2667"/>
      <c r="C2667"/>
      <c r="D2667"/>
      <c r="E2667"/>
      <c r="F2667"/>
      <c r="G2667"/>
      <c r="K2667" s="61"/>
    </row>
    <row r="2668" spans="2:11" s="3" customFormat="1">
      <c r="B2668"/>
      <c r="C2668"/>
      <c r="D2668"/>
      <c r="E2668"/>
      <c r="F2668"/>
      <c r="G2668"/>
      <c r="K2668" s="61"/>
    </row>
    <row r="2669" spans="2:11" s="3" customFormat="1">
      <c r="B2669"/>
      <c r="C2669"/>
      <c r="D2669"/>
      <c r="E2669"/>
      <c r="F2669"/>
      <c r="G2669"/>
      <c r="K2669" s="61"/>
    </row>
    <row r="2670" spans="2:11" s="3" customFormat="1">
      <c r="B2670"/>
      <c r="C2670"/>
      <c r="D2670"/>
      <c r="E2670"/>
      <c r="F2670"/>
      <c r="G2670"/>
      <c r="K2670" s="61"/>
    </row>
    <row r="2671" spans="2:11" s="3" customFormat="1">
      <c r="B2671"/>
      <c r="C2671"/>
      <c r="D2671"/>
      <c r="E2671"/>
      <c r="F2671"/>
      <c r="G2671"/>
      <c r="K2671" s="61"/>
    </row>
    <row r="2672" spans="2:11" s="3" customFormat="1">
      <c r="B2672"/>
      <c r="C2672"/>
      <c r="D2672"/>
      <c r="E2672"/>
      <c r="F2672"/>
      <c r="G2672"/>
      <c r="K2672" s="61"/>
    </row>
    <row r="2673" spans="2:11" s="3" customFormat="1">
      <c r="B2673"/>
      <c r="C2673"/>
      <c r="D2673"/>
      <c r="E2673"/>
      <c r="F2673"/>
      <c r="G2673"/>
      <c r="K2673" s="61"/>
    </row>
    <row r="2674" spans="2:11" s="3" customFormat="1">
      <c r="B2674"/>
      <c r="C2674"/>
      <c r="D2674"/>
      <c r="E2674"/>
      <c r="F2674"/>
      <c r="G2674"/>
      <c r="K2674" s="61"/>
    </row>
    <row r="2675" spans="2:11" s="3" customFormat="1">
      <c r="B2675"/>
      <c r="C2675"/>
      <c r="D2675"/>
      <c r="E2675"/>
      <c r="F2675"/>
      <c r="G2675"/>
      <c r="K2675" s="61"/>
    </row>
    <row r="2676" spans="2:11" s="3" customFormat="1">
      <c r="B2676"/>
      <c r="C2676"/>
      <c r="D2676"/>
      <c r="E2676"/>
      <c r="F2676"/>
      <c r="G2676"/>
      <c r="K2676" s="61"/>
    </row>
    <row r="2677" spans="2:11" s="3" customFormat="1">
      <c r="B2677"/>
      <c r="C2677"/>
      <c r="D2677"/>
      <c r="E2677"/>
      <c r="F2677"/>
      <c r="G2677"/>
      <c r="K2677" s="61"/>
    </row>
    <row r="2678" spans="2:11" s="3" customFormat="1">
      <c r="B2678"/>
      <c r="C2678"/>
      <c r="D2678"/>
      <c r="E2678"/>
      <c r="F2678"/>
      <c r="G2678"/>
      <c r="K2678" s="61"/>
    </row>
    <row r="2679" spans="2:11" s="3" customFormat="1">
      <c r="B2679"/>
      <c r="C2679"/>
      <c r="D2679"/>
      <c r="E2679"/>
      <c r="F2679"/>
      <c r="G2679"/>
      <c r="K2679" s="61"/>
    </row>
    <row r="2680" spans="2:11" s="3" customFormat="1">
      <c r="B2680"/>
      <c r="C2680"/>
      <c r="D2680"/>
      <c r="E2680"/>
      <c r="F2680"/>
      <c r="G2680"/>
      <c r="K2680" s="61"/>
    </row>
    <row r="2681" spans="2:11" s="3" customFormat="1">
      <c r="B2681"/>
      <c r="C2681"/>
      <c r="D2681"/>
      <c r="E2681"/>
      <c r="F2681"/>
      <c r="G2681"/>
      <c r="K2681" s="61"/>
    </row>
    <row r="2682" spans="2:11" s="3" customFormat="1">
      <c r="B2682"/>
      <c r="C2682"/>
      <c r="D2682"/>
      <c r="E2682"/>
      <c r="F2682"/>
      <c r="G2682"/>
      <c r="K2682" s="61"/>
    </row>
    <row r="2683" spans="2:11" s="3" customFormat="1">
      <c r="B2683"/>
      <c r="C2683"/>
      <c r="D2683"/>
      <c r="E2683"/>
      <c r="F2683"/>
      <c r="G2683"/>
      <c r="K2683" s="61"/>
    </row>
    <row r="2684" spans="2:11" s="3" customFormat="1">
      <c r="B2684"/>
      <c r="C2684"/>
      <c r="D2684"/>
      <c r="E2684"/>
      <c r="F2684"/>
      <c r="G2684"/>
      <c r="K2684" s="61"/>
    </row>
    <row r="2685" spans="2:11" s="3" customFormat="1">
      <c r="B2685"/>
      <c r="C2685"/>
      <c r="D2685"/>
      <c r="E2685"/>
      <c r="F2685"/>
      <c r="G2685"/>
      <c r="K2685" s="61"/>
    </row>
    <row r="2686" spans="2:11" s="3" customFormat="1">
      <c r="B2686"/>
      <c r="C2686"/>
      <c r="D2686"/>
      <c r="E2686"/>
      <c r="F2686"/>
      <c r="G2686"/>
      <c r="K2686" s="61"/>
    </row>
    <row r="2687" spans="2:11" s="3" customFormat="1">
      <c r="B2687"/>
      <c r="C2687"/>
      <c r="D2687"/>
      <c r="E2687"/>
      <c r="F2687"/>
      <c r="G2687"/>
      <c r="K2687" s="61"/>
    </row>
    <row r="2688" spans="2:11" s="3" customFormat="1">
      <c r="B2688"/>
      <c r="C2688"/>
      <c r="D2688"/>
      <c r="E2688"/>
      <c r="F2688"/>
      <c r="G2688"/>
      <c r="K2688" s="61"/>
    </row>
    <row r="2689" spans="2:11" s="3" customFormat="1">
      <c r="B2689"/>
      <c r="C2689"/>
      <c r="D2689"/>
      <c r="E2689"/>
      <c r="F2689"/>
      <c r="G2689"/>
      <c r="K2689" s="61"/>
    </row>
    <row r="2690" spans="2:11" s="3" customFormat="1">
      <c r="B2690"/>
      <c r="C2690"/>
      <c r="D2690"/>
      <c r="E2690"/>
      <c r="F2690"/>
      <c r="G2690"/>
      <c r="K2690" s="61"/>
    </row>
    <row r="2691" spans="2:11" s="3" customFormat="1">
      <c r="B2691"/>
      <c r="C2691"/>
      <c r="D2691"/>
      <c r="E2691"/>
      <c r="F2691"/>
      <c r="G2691"/>
      <c r="K2691" s="61"/>
    </row>
    <row r="2692" spans="2:11" s="3" customFormat="1">
      <c r="B2692"/>
      <c r="C2692"/>
      <c r="D2692"/>
      <c r="E2692"/>
      <c r="F2692"/>
      <c r="G2692"/>
      <c r="K2692" s="61"/>
    </row>
    <row r="2693" spans="2:11" s="3" customFormat="1">
      <c r="B2693"/>
      <c r="C2693"/>
      <c r="D2693"/>
      <c r="E2693"/>
      <c r="F2693"/>
      <c r="G2693"/>
      <c r="K2693" s="61"/>
    </row>
    <row r="2694" spans="2:11" s="3" customFormat="1">
      <c r="B2694"/>
      <c r="C2694"/>
      <c r="D2694"/>
      <c r="E2694"/>
      <c r="F2694"/>
      <c r="G2694"/>
      <c r="K2694" s="61"/>
    </row>
    <row r="2695" spans="2:11" s="3" customFormat="1">
      <c r="B2695"/>
      <c r="C2695"/>
      <c r="D2695"/>
      <c r="E2695"/>
      <c r="F2695"/>
      <c r="G2695"/>
      <c r="K2695" s="61"/>
    </row>
    <row r="2696" spans="2:11" s="3" customFormat="1">
      <c r="B2696"/>
      <c r="C2696"/>
      <c r="D2696"/>
      <c r="E2696"/>
      <c r="F2696"/>
      <c r="G2696"/>
      <c r="K2696" s="61"/>
    </row>
    <row r="2697" spans="2:11" s="3" customFormat="1">
      <c r="B2697"/>
      <c r="C2697"/>
      <c r="D2697"/>
      <c r="E2697"/>
      <c r="F2697"/>
      <c r="G2697"/>
      <c r="K2697" s="61"/>
    </row>
    <row r="2698" spans="2:11" s="3" customFormat="1">
      <c r="B2698"/>
      <c r="C2698"/>
      <c r="D2698"/>
      <c r="E2698"/>
      <c r="F2698"/>
      <c r="G2698"/>
      <c r="K2698" s="61"/>
    </row>
    <row r="2699" spans="2:11" s="3" customFormat="1">
      <c r="B2699"/>
      <c r="C2699"/>
      <c r="D2699"/>
      <c r="E2699"/>
      <c r="F2699"/>
      <c r="G2699"/>
      <c r="K2699" s="61"/>
    </row>
    <row r="2700" spans="2:11" s="3" customFormat="1">
      <c r="B2700"/>
      <c r="C2700"/>
      <c r="D2700"/>
      <c r="E2700"/>
      <c r="F2700"/>
      <c r="G2700"/>
      <c r="K2700" s="61"/>
    </row>
    <row r="2701" spans="2:11" s="3" customFormat="1">
      <c r="B2701"/>
      <c r="C2701"/>
      <c r="D2701"/>
      <c r="E2701"/>
      <c r="F2701"/>
      <c r="G2701"/>
      <c r="K2701" s="61"/>
    </row>
    <row r="2702" spans="2:11" s="3" customFormat="1">
      <c r="B2702"/>
      <c r="C2702"/>
      <c r="D2702"/>
      <c r="E2702"/>
      <c r="F2702"/>
      <c r="G2702"/>
      <c r="K2702" s="61"/>
    </row>
    <row r="2703" spans="2:11" s="3" customFormat="1">
      <c r="B2703"/>
      <c r="C2703"/>
      <c r="D2703"/>
      <c r="E2703"/>
      <c r="F2703"/>
      <c r="G2703"/>
      <c r="K2703" s="61"/>
    </row>
    <row r="2704" spans="2:11" s="3" customFormat="1">
      <c r="B2704"/>
      <c r="C2704"/>
      <c r="D2704"/>
      <c r="E2704"/>
      <c r="F2704"/>
      <c r="G2704"/>
      <c r="K2704" s="61"/>
    </row>
    <row r="2705" spans="2:11" s="3" customFormat="1">
      <c r="B2705"/>
      <c r="C2705"/>
      <c r="D2705"/>
      <c r="E2705"/>
      <c r="F2705"/>
      <c r="G2705"/>
      <c r="K2705" s="61"/>
    </row>
    <row r="2706" spans="2:11" s="3" customFormat="1">
      <c r="B2706"/>
      <c r="C2706"/>
      <c r="D2706"/>
      <c r="E2706"/>
      <c r="F2706"/>
      <c r="G2706"/>
      <c r="K2706" s="61"/>
    </row>
    <row r="2707" spans="2:11" s="3" customFormat="1">
      <c r="B2707"/>
      <c r="C2707"/>
      <c r="D2707"/>
      <c r="E2707"/>
      <c r="F2707"/>
      <c r="G2707"/>
      <c r="K2707" s="61"/>
    </row>
    <row r="2708" spans="2:11" s="3" customFormat="1">
      <c r="B2708"/>
      <c r="C2708"/>
      <c r="D2708"/>
      <c r="E2708"/>
      <c r="F2708"/>
      <c r="G2708"/>
      <c r="K2708" s="61"/>
    </row>
    <row r="2709" spans="2:11" s="3" customFormat="1">
      <c r="B2709"/>
      <c r="C2709"/>
      <c r="D2709"/>
      <c r="E2709"/>
      <c r="F2709"/>
      <c r="G2709"/>
      <c r="K2709" s="61"/>
    </row>
    <row r="2710" spans="2:11" s="3" customFormat="1">
      <c r="B2710"/>
      <c r="C2710"/>
      <c r="D2710"/>
      <c r="E2710"/>
      <c r="F2710"/>
      <c r="G2710"/>
      <c r="K2710" s="61"/>
    </row>
    <row r="2711" spans="2:11" s="3" customFormat="1">
      <c r="B2711"/>
      <c r="C2711"/>
      <c r="D2711"/>
      <c r="E2711"/>
      <c r="F2711"/>
      <c r="G2711"/>
      <c r="K2711" s="61"/>
    </row>
    <row r="2712" spans="2:11" s="3" customFormat="1">
      <c r="B2712"/>
      <c r="C2712"/>
      <c r="D2712"/>
      <c r="E2712"/>
      <c r="F2712"/>
      <c r="G2712"/>
      <c r="K2712" s="61"/>
    </row>
    <row r="2713" spans="2:11" s="3" customFormat="1">
      <c r="B2713"/>
      <c r="C2713"/>
      <c r="D2713"/>
      <c r="E2713"/>
      <c r="F2713"/>
      <c r="G2713"/>
      <c r="K2713" s="61"/>
    </row>
    <row r="2714" spans="2:11" s="3" customFormat="1">
      <c r="B2714"/>
      <c r="C2714"/>
      <c r="D2714"/>
      <c r="E2714"/>
      <c r="F2714"/>
      <c r="G2714"/>
      <c r="K2714" s="61"/>
    </row>
    <row r="2715" spans="2:11" s="3" customFormat="1">
      <c r="B2715"/>
      <c r="C2715"/>
      <c r="D2715"/>
      <c r="E2715"/>
      <c r="F2715"/>
      <c r="G2715"/>
      <c r="K2715" s="61"/>
    </row>
    <row r="2716" spans="2:11" s="3" customFormat="1">
      <c r="B2716"/>
      <c r="C2716"/>
      <c r="D2716"/>
      <c r="E2716"/>
      <c r="F2716"/>
      <c r="G2716"/>
      <c r="K2716" s="61"/>
    </row>
    <row r="2717" spans="2:11" s="3" customFormat="1">
      <c r="B2717"/>
      <c r="C2717"/>
      <c r="D2717"/>
      <c r="E2717"/>
      <c r="F2717"/>
      <c r="G2717"/>
      <c r="K2717" s="61"/>
    </row>
    <row r="2718" spans="2:11" s="3" customFormat="1">
      <c r="B2718"/>
      <c r="C2718"/>
      <c r="D2718"/>
      <c r="E2718"/>
      <c r="F2718"/>
      <c r="G2718"/>
      <c r="K2718" s="61"/>
    </row>
    <row r="2719" spans="2:11" s="3" customFormat="1">
      <c r="B2719"/>
      <c r="C2719"/>
      <c r="D2719"/>
      <c r="E2719"/>
      <c r="F2719"/>
      <c r="G2719"/>
      <c r="K2719" s="61"/>
    </row>
    <row r="2720" spans="2:11" s="3" customFormat="1">
      <c r="B2720"/>
      <c r="C2720"/>
      <c r="D2720"/>
      <c r="E2720"/>
      <c r="F2720"/>
      <c r="G2720"/>
      <c r="K2720" s="61"/>
    </row>
    <row r="2721" spans="2:11" s="3" customFormat="1">
      <c r="B2721"/>
      <c r="C2721"/>
      <c r="D2721"/>
      <c r="E2721"/>
      <c r="F2721"/>
      <c r="G2721"/>
      <c r="K2721" s="61"/>
    </row>
    <row r="2722" spans="2:11" s="3" customFormat="1">
      <c r="B2722"/>
      <c r="C2722"/>
      <c r="D2722"/>
      <c r="E2722"/>
      <c r="F2722"/>
      <c r="G2722"/>
      <c r="K2722" s="61"/>
    </row>
    <row r="2723" spans="2:11" s="3" customFormat="1">
      <c r="B2723"/>
      <c r="C2723"/>
      <c r="D2723"/>
      <c r="E2723"/>
      <c r="F2723"/>
      <c r="G2723"/>
      <c r="K2723" s="61"/>
    </row>
    <row r="2724" spans="2:11" s="3" customFormat="1">
      <c r="B2724"/>
      <c r="C2724"/>
      <c r="D2724"/>
      <c r="E2724"/>
      <c r="F2724"/>
      <c r="G2724"/>
      <c r="K2724" s="61"/>
    </row>
    <row r="2725" spans="2:11" s="3" customFormat="1">
      <c r="B2725"/>
      <c r="C2725"/>
      <c r="D2725"/>
      <c r="E2725"/>
      <c r="F2725"/>
      <c r="G2725"/>
      <c r="K2725" s="61"/>
    </row>
    <row r="2726" spans="2:11" s="3" customFormat="1">
      <c r="B2726"/>
      <c r="C2726"/>
      <c r="D2726"/>
      <c r="E2726"/>
      <c r="F2726"/>
      <c r="G2726"/>
      <c r="K2726" s="61"/>
    </row>
    <row r="2727" spans="2:11" s="3" customFormat="1">
      <c r="B2727"/>
      <c r="C2727"/>
      <c r="D2727"/>
      <c r="E2727"/>
      <c r="F2727"/>
      <c r="G2727"/>
      <c r="K2727" s="61"/>
    </row>
    <row r="2728" spans="2:11" s="3" customFormat="1">
      <c r="B2728"/>
      <c r="C2728"/>
      <c r="D2728"/>
      <c r="E2728"/>
      <c r="F2728"/>
      <c r="G2728"/>
      <c r="K2728" s="61"/>
    </row>
    <row r="2729" spans="2:11" s="3" customFormat="1">
      <c r="B2729"/>
      <c r="C2729"/>
      <c r="D2729"/>
      <c r="E2729"/>
      <c r="F2729"/>
      <c r="G2729"/>
      <c r="K2729" s="61"/>
    </row>
    <row r="2730" spans="2:11" s="3" customFormat="1">
      <c r="B2730"/>
      <c r="C2730"/>
      <c r="D2730"/>
      <c r="E2730"/>
      <c r="F2730"/>
      <c r="G2730"/>
      <c r="K2730" s="61"/>
    </row>
    <row r="2731" spans="2:11" s="3" customFormat="1">
      <c r="B2731"/>
      <c r="C2731"/>
      <c r="D2731"/>
      <c r="E2731"/>
      <c r="F2731"/>
      <c r="G2731"/>
      <c r="K2731" s="61"/>
    </row>
    <row r="2732" spans="2:11" s="3" customFormat="1">
      <c r="B2732"/>
      <c r="C2732"/>
      <c r="D2732"/>
      <c r="E2732"/>
      <c r="F2732"/>
      <c r="G2732"/>
      <c r="K2732" s="61"/>
    </row>
    <row r="2733" spans="2:11" s="3" customFormat="1">
      <c r="B2733"/>
      <c r="C2733"/>
      <c r="D2733"/>
      <c r="E2733"/>
      <c r="F2733"/>
      <c r="G2733"/>
      <c r="K2733" s="61"/>
    </row>
    <row r="2734" spans="2:11" s="3" customFormat="1">
      <c r="B2734"/>
      <c r="C2734"/>
      <c r="D2734"/>
      <c r="E2734"/>
      <c r="F2734"/>
      <c r="G2734"/>
      <c r="K2734" s="61"/>
    </row>
    <row r="2735" spans="2:11" s="3" customFormat="1">
      <c r="B2735"/>
      <c r="C2735"/>
      <c r="D2735"/>
      <c r="E2735"/>
      <c r="F2735"/>
      <c r="G2735"/>
      <c r="K2735" s="61"/>
    </row>
    <row r="2736" spans="2:11" s="3" customFormat="1">
      <c r="B2736"/>
      <c r="C2736"/>
      <c r="D2736"/>
      <c r="E2736"/>
      <c r="F2736"/>
      <c r="G2736"/>
      <c r="K2736" s="61"/>
    </row>
    <row r="2737" spans="2:11" s="3" customFormat="1">
      <c r="B2737"/>
      <c r="C2737"/>
      <c r="D2737"/>
      <c r="E2737"/>
      <c r="F2737"/>
      <c r="G2737"/>
      <c r="K2737" s="61"/>
    </row>
    <row r="2738" spans="2:11" s="3" customFormat="1">
      <c r="B2738"/>
      <c r="C2738"/>
      <c r="D2738"/>
      <c r="E2738"/>
      <c r="F2738"/>
      <c r="G2738"/>
      <c r="K2738" s="61"/>
    </row>
    <row r="2739" spans="2:11" s="3" customFormat="1">
      <c r="B2739"/>
      <c r="C2739"/>
      <c r="D2739"/>
      <c r="E2739"/>
      <c r="F2739"/>
      <c r="G2739"/>
      <c r="K2739" s="61"/>
    </row>
    <row r="2740" spans="2:11" s="3" customFormat="1">
      <c r="B2740"/>
      <c r="C2740"/>
      <c r="D2740"/>
      <c r="E2740"/>
      <c r="F2740"/>
      <c r="G2740"/>
      <c r="K2740" s="61"/>
    </row>
    <row r="2741" spans="2:11" s="3" customFormat="1">
      <c r="B2741"/>
      <c r="C2741"/>
      <c r="D2741"/>
      <c r="E2741"/>
      <c r="F2741"/>
      <c r="G2741"/>
      <c r="K2741" s="61"/>
    </row>
    <row r="2742" spans="2:11" s="3" customFormat="1">
      <c r="B2742"/>
      <c r="C2742"/>
      <c r="D2742"/>
      <c r="E2742"/>
      <c r="F2742"/>
      <c r="G2742"/>
      <c r="K2742" s="61"/>
    </row>
    <row r="2743" spans="2:11" s="3" customFormat="1">
      <c r="B2743"/>
      <c r="C2743"/>
      <c r="D2743"/>
      <c r="E2743"/>
      <c r="F2743"/>
      <c r="G2743"/>
      <c r="K2743" s="61"/>
    </row>
    <row r="2744" spans="2:11" s="3" customFormat="1">
      <c r="B2744"/>
      <c r="C2744"/>
      <c r="D2744"/>
      <c r="E2744"/>
      <c r="F2744"/>
      <c r="G2744"/>
      <c r="K2744" s="61"/>
    </row>
    <row r="2745" spans="2:11" s="3" customFormat="1">
      <c r="B2745"/>
      <c r="C2745"/>
      <c r="D2745"/>
      <c r="E2745"/>
      <c r="F2745"/>
      <c r="G2745"/>
      <c r="K2745" s="61"/>
    </row>
    <row r="2746" spans="2:11" s="3" customFormat="1">
      <c r="B2746"/>
      <c r="C2746"/>
      <c r="D2746"/>
      <c r="E2746"/>
      <c r="F2746"/>
      <c r="G2746"/>
      <c r="K2746" s="61"/>
    </row>
    <row r="2747" spans="2:11" s="3" customFormat="1">
      <c r="B2747"/>
      <c r="C2747"/>
      <c r="D2747"/>
      <c r="E2747"/>
      <c r="F2747"/>
      <c r="G2747"/>
      <c r="K2747" s="61"/>
    </row>
    <row r="2748" spans="2:11" s="3" customFormat="1">
      <c r="B2748"/>
      <c r="C2748"/>
      <c r="D2748"/>
      <c r="E2748"/>
      <c r="F2748"/>
      <c r="G2748"/>
      <c r="K2748" s="61"/>
    </row>
    <row r="2749" spans="2:11" s="3" customFormat="1">
      <c r="B2749"/>
      <c r="C2749"/>
      <c r="D2749"/>
      <c r="E2749"/>
      <c r="F2749"/>
      <c r="G2749"/>
      <c r="K2749" s="61"/>
    </row>
    <row r="2750" spans="2:11" s="3" customFormat="1">
      <c r="B2750"/>
      <c r="C2750"/>
      <c r="D2750"/>
      <c r="E2750"/>
      <c r="F2750"/>
      <c r="G2750"/>
      <c r="K2750" s="61"/>
    </row>
    <row r="2751" spans="2:11" s="3" customFormat="1">
      <c r="B2751"/>
      <c r="C2751"/>
      <c r="D2751"/>
      <c r="E2751"/>
      <c r="F2751"/>
      <c r="G2751"/>
      <c r="K2751" s="61"/>
    </row>
    <row r="2752" spans="2:11" s="3" customFormat="1">
      <c r="B2752"/>
      <c r="C2752"/>
      <c r="D2752"/>
      <c r="E2752"/>
      <c r="F2752"/>
      <c r="G2752"/>
      <c r="K2752" s="61"/>
    </row>
    <row r="2753" spans="2:11" s="3" customFormat="1">
      <c r="B2753"/>
      <c r="C2753"/>
      <c r="D2753"/>
      <c r="E2753"/>
      <c r="F2753"/>
      <c r="G2753"/>
      <c r="K2753" s="61"/>
    </row>
    <row r="2754" spans="2:11" s="3" customFormat="1">
      <c r="B2754"/>
      <c r="C2754"/>
      <c r="D2754"/>
      <c r="E2754"/>
      <c r="F2754"/>
      <c r="G2754"/>
      <c r="K2754" s="61"/>
    </row>
    <row r="2755" spans="2:11" s="3" customFormat="1">
      <c r="B2755"/>
      <c r="C2755"/>
      <c r="D2755"/>
      <c r="E2755"/>
      <c r="F2755"/>
      <c r="G2755"/>
      <c r="K2755" s="61"/>
    </row>
    <row r="2756" spans="2:11" s="3" customFormat="1">
      <c r="B2756"/>
      <c r="C2756"/>
      <c r="D2756"/>
      <c r="E2756"/>
      <c r="F2756"/>
      <c r="G2756"/>
      <c r="K2756" s="61"/>
    </row>
    <row r="2757" spans="2:11" s="3" customFormat="1">
      <c r="B2757"/>
      <c r="C2757"/>
      <c r="D2757"/>
      <c r="E2757"/>
      <c r="F2757"/>
      <c r="G2757"/>
      <c r="K2757" s="61"/>
    </row>
    <row r="2758" spans="2:11" s="3" customFormat="1">
      <c r="B2758"/>
      <c r="C2758"/>
      <c r="D2758"/>
      <c r="E2758"/>
      <c r="F2758"/>
      <c r="G2758"/>
      <c r="K2758" s="61"/>
    </row>
    <row r="2759" spans="2:11" s="3" customFormat="1">
      <c r="B2759"/>
      <c r="C2759"/>
      <c r="D2759"/>
      <c r="E2759"/>
      <c r="F2759"/>
      <c r="G2759"/>
      <c r="K2759" s="61"/>
    </row>
    <row r="2760" spans="2:11" s="3" customFormat="1">
      <c r="B2760"/>
      <c r="C2760"/>
      <c r="D2760"/>
      <c r="E2760"/>
      <c r="F2760"/>
      <c r="G2760"/>
      <c r="K2760" s="61"/>
    </row>
    <row r="2761" spans="2:11" s="3" customFormat="1">
      <c r="B2761"/>
      <c r="C2761"/>
      <c r="D2761"/>
      <c r="E2761"/>
      <c r="F2761"/>
      <c r="G2761"/>
      <c r="K2761" s="61"/>
    </row>
    <row r="2762" spans="2:11" s="3" customFormat="1">
      <c r="B2762"/>
      <c r="C2762"/>
      <c r="D2762"/>
      <c r="E2762"/>
      <c r="F2762"/>
      <c r="G2762"/>
      <c r="K2762" s="61"/>
    </row>
    <row r="2763" spans="2:11" s="3" customFormat="1">
      <c r="B2763"/>
      <c r="C2763"/>
      <c r="D2763"/>
      <c r="E2763"/>
      <c r="F2763"/>
      <c r="G2763"/>
      <c r="K2763" s="61"/>
    </row>
    <row r="2764" spans="2:11" s="3" customFormat="1">
      <c r="B2764"/>
      <c r="C2764"/>
      <c r="D2764"/>
      <c r="E2764"/>
      <c r="F2764"/>
      <c r="G2764"/>
      <c r="K2764" s="61"/>
    </row>
    <row r="2765" spans="2:11" s="3" customFormat="1">
      <c r="B2765"/>
      <c r="C2765"/>
      <c r="D2765"/>
      <c r="E2765"/>
      <c r="F2765"/>
      <c r="G2765"/>
      <c r="K2765" s="61"/>
    </row>
    <row r="2766" spans="2:11" s="3" customFormat="1">
      <c r="B2766"/>
      <c r="C2766"/>
      <c r="D2766"/>
      <c r="E2766"/>
      <c r="F2766"/>
      <c r="G2766"/>
      <c r="K2766" s="61"/>
    </row>
    <row r="2767" spans="2:11" s="3" customFormat="1">
      <c r="B2767"/>
      <c r="C2767"/>
      <c r="D2767"/>
      <c r="E2767"/>
      <c r="F2767"/>
      <c r="G2767"/>
      <c r="K2767" s="61"/>
    </row>
    <row r="2768" spans="2:11" s="3" customFormat="1">
      <c r="B2768"/>
      <c r="C2768"/>
      <c r="D2768"/>
      <c r="E2768"/>
      <c r="F2768"/>
      <c r="G2768"/>
      <c r="K2768" s="61"/>
    </row>
    <row r="2769" spans="2:11" s="3" customFormat="1">
      <c r="B2769"/>
      <c r="C2769"/>
      <c r="D2769"/>
      <c r="E2769"/>
      <c r="F2769"/>
      <c r="G2769"/>
      <c r="K2769" s="61"/>
    </row>
    <row r="2770" spans="2:11" s="3" customFormat="1">
      <c r="B2770"/>
      <c r="C2770"/>
      <c r="D2770"/>
      <c r="E2770"/>
      <c r="F2770"/>
      <c r="G2770"/>
      <c r="K2770" s="61"/>
    </row>
    <row r="2771" spans="2:11" s="3" customFormat="1">
      <c r="B2771"/>
      <c r="C2771"/>
      <c r="D2771"/>
      <c r="E2771"/>
      <c r="F2771"/>
      <c r="G2771"/>
      <c r="K2771" s="61"/>
    </row>
    <row r="2772" spans="2:11" s="3" customFormat="1">
      <c r="B2772"/>
      <c r="C2772"/>
      <c r="D2772"/>
      <c r="E2772"/>
      <c r="F2772"/>
      <c r="G2772"/>
      <c r="K2772" s="61"/>
    </row>
    <row r="2773" spans="2:11" s="3" customFormat="1">
      <c r="B2773"/>
      <c r="C2773"/>
      <c r="D2773"/>
      <c r="E2773"/>
      <c r="F2773"/>
      <c r="G2773"/>
      <c r="K2773" s="61"/>
    </row>
    <row r="2774" spans="2:11" s="3" customFormat="1">
      <c r="B2774"/>
      <c r="C2774"/>
      <c r="D2774"/>
      <c r="E2774"/>
      <c r="F2774"/>
      <c r="G2774"/>
      <c r="K2774" s="61"/>
    </row>
    <row r="2775" spans="2:11" s="3" customFormat="1">
      <c r="B2775"/>
      <c r="C2775"/>
      <c r="D2775"/>
      <c r="E2775"/>
      <c r="F2775"/>
      <c r="G2775"/>
      <c r="K2775" s="61"/>
    </row>
    <row r="2776" spans="2:11" s="3" customFormat="1">
      <c r="B2776"/>
      <c r="C2776"/>
      <c r="D2776"/>
      <c r="E2776"/>
      <c r="F2776"/>
      <c r="G2776"/>
      <c r="K2776" s="61"/>
    </row>
    <row r="2777" spans="2:11" s="3" customFormat="1">
      <c r="B2777"/>
      <c r="C2777"/>
      <c r="D2777"/>
      <c r="E2777"/>
      <c r="F2777"/>
      <c r="G2777"/>
      <c r="K2777" s="61"/>
    </row>
    <row r="2778" spans="2:11" s="3" customFormat="1">
      <c r="B2778"/>
      <c r="C2778"/>
      <c r="D2778"/>
      <c r="E2778"/>
      <c r="F2778"/>
      <c r="G2778"/>
      <c r="K2778" s="61"/>
    </row>
    <row r="2779" spans="2:11" s="3" customFormat="1">
      <c r="B2779"/>
      <c r="C2779"/>
      <c r="D2779"/>
      <c r="E2779"/>
      <c r="F2779"/>
      <c r="G2779"/>
      <c r="K2779" s="61"/>
    </row>
    <row r="2780" spans="2:11" s="3" customFormat="1">
      <c r="B2780"/>
      <c r="C2780"/>
      <c r="D2780"/>
      <c r="E2780"/>
      <c r="F2780"/>
      <c r="G2780"/>
      <c r="K2780" s="61"/>
    </row>
    <row r="2781" spans="2:11" s="3" customFormat="1">
      <c r="B2781"/>
      <c r="C2781"/>
      <c r="D2781"/>
      <c r="E2781"/>
      <c r="F2781"/>
      <c r="G2781"/>
      <c r="K2781" s="61"/>
    </row>
    <row r="2782" spans="2:11" s="3" customFormat="1">
      <c r="B2782"/>
      <c r="C2782"/>
      <c r="D2782"/>
      <c r="E2782"/>
      <c r="F2782"/>
      <c r="G2782"/>
      <c r="K2782" s="61"/>
    </row>
    <row r="2783" spans="2:11" s="3" customFormat="1">
      <c r="B2783"/>
      <c r="C2783"/>
      <c r="D2783"/>
      <c r="E2783"/>
      <c r="F2783"/>
      <c r="G2783"/>
      <c r="K2783" s="61"/>
    </row>
    <row r="2784" spans="2:11" s="3" customFormat="1">
      <c r="B2784"/>
      <c r="C2784"/>
      <c r="D2784"/>
      <c r="E2784"/>
      <c r="F2784"/>
      <c r="G2784"/>
      <c r="K2784" s="61"/>
    </row>
    <row r="2785" spans="2:11" s="3" customFormat="1">
      <c r="B2785"/>
      <c r="C2785"/>
      <c r="D2785"/>
      <c r="E2785"/>
      <c r="F2785"/>
      <c r="G2785"/>
      <c r="K2785" s="61"/>
    </row>
    <row r="2786" spans="2:11" s="3" customFormat="1">
      <c r="B2786"/>
      <c r="C2786"/>
      <c r="D2786"/>
      <c r="E2786"/>
      <c r="F2786"/>
      <c r="G2786"/>
      <c r="K2786" s="61"/>
    </row>
    <row r="2787" spans="2:11" s="3" customFormat="1">
      <c r="B2787"/>
      <c r="C2787"/>
      <c r="D2787"/>
      <c r="E2787"/>
      <c r="F2787"/>
      <c r="G2787"/>
      <c r="K2787" s="61"/>
    </row>
    <row r="2788" spans="2:11" s="3" customFormat="1">
      <c r="B2788"/>
      <c r="C2788"/>
      <c r="D2788"/>
      <c r="E2788"/>
      <c r="F2788"/>
      <c r="G2788"/>
      <c r="K2788" s="61"/>
    </row>
    <row r="2789" spans="2:11" s="3" customFormat="1">
      <c r="B2789"/>
      <c r="C2789"/>
      <c r="D2789"/>
      <c r="E2789"/>
      <c r="F2789"/>
      <c r="G2789"/>
      <c r="K2789" s="61"/>
    </row>
    <row r="2790" spans="2:11" s="3" customFormat="1">
      <c r="B2790"/>
      <c r="C2790"/>
      <c r="D2790"/>
      <c r="E2790"/>
      <c r="F2790"/>
      <c r="G2790"/>
      <c r="K2790" s="61"/>
    </row>
    <row r="2791" spans="2:11" s="3" customFormat="1">
      <c r="B2791"/>
      <c r="C2791"/>
      <c r="D2791"/>
      <c r="E2791"/>
      <c r="F2791"/>
      <c r="G2791"/>
      <c r="K2791" s="61"/>
    </row>
    <row r="2792" spans="2:11" s="3" customFormat="1">
      <c r="B2792"/>
      <c r="C2792"/>
      <c r="D2792"/>
      <c r="E2792"/>
      <c r="F2792"/>
      <c r="G2792"/>
      <c r="K2792" s="61"/>
    </row>
    <row r="2793" spans="2:11" s="3" customFormat="1">
      <c r="B2793"/>
      <c r="C2793"/>
      <c r="D2793"/>
      <c r="E2793"/>
      <c r="F2793"/>
      <c r="G2793"/>
      <c r="K2793" s="61"/>
    </row>
    <row r="2794" spans="2:11" s="3" customFormat="1">
      <c r="B2794"/>
      <c r="C2794"/>
      <c r="D2794"/>
      <c r="E2794"/>
      <c r="F2794"/>
      <c r="G2794"/>
      <c r="K2794" s="61"/>
    </row>
    <row r="2795" spans="2:11" s="3" customFormat="1">
      <c r="B2795"/>
      <c r="C2795"/>
      <c r="D2795"/>
      <c r="E2795"/>
      <c r="F2795"/>
      <c r="G2795"/>
      <c r="K2795" s="61"/>
    </row>
    <row r="2796" spans="2:11" s="3" customFormat="1">
      <c r="B2796"/>
      <c r="C2796"/>
      <c r="D2796"/>
      <c r="E2796"/>
      <c r="F2796"/>
      <c r="G2796"/>
      <c r="K2796" s="61"/>
    </row>
    <row r="2797" spans="2:11" s="3" customFormat="1">
      <c r="B2797"/>
      <c r="C2797"/>
      <c r="D2797"/>
      <c r="E2797"/>
      <c r="F2797"/>
      <c r="G2797"/>
      <c r="K2797" s="61"/>
    </row>
    <row r="2798" spans="2:11" s="3" customFormat="1">
      <c r="B2798"/>
      <c r="C2798"/>
      <c r="D2798"/>
      <c r="E2798"/>
      <c r="F2798"/>
      <c r="G2798"/>
      <c r="K2798" s="61"/>
    </row>
    <row r="2799" spans="2:11" s="3" customFormat="1">
      <c r="B2799"/>
      <c r="C2799"/>
      <c r="D2799"/>
      <c r="E2799"/>
      <c r="F2799"/>
      <c r="G2799"/>
      <c r="K2799" s="61"/>
    </row>
    <row r="2800" spans="2:11" s="3" customFormat="1">
      <c r="B2800"/>
      <c r="C2800"/>
      <c r="D2800"/>
      <c r="E2800"/>
      <c r="F2800"/>
      <c r="G2800"/>
      <c r="K2800" s="61"/>
    </row>
    <row r="2801" spans="2:11" s="3" customFormat="1">
      <c r="B2801"/>
      <c r="C2801"/>
      <c r="D2801"/>
      <c r="E2801"/>
      <c r="F2801"/>
      <c r="G2801"/>
      <c r="K2801" s="61"/>
    </row>
    <row r="2802" spans="2:11" s="3" customFormat="1">
      <c r="B2802"/>
      <c r="C2802"/>
      <c r="D2802"/>
      <c r="E2802"/>
      <c r="F2802"/>
      <c r="G2802"/>
      <c r="K2802" s="61"/>
    </row>
    <row r="2803" spans="2:11" s="3" customFormat="1">
      <c r="B2803"/>
      <c r="C2803"/>
      <c r="D2803"/>
      <c r="E2803"/>
      <c r="F2803"/>
      <c r="G2803"/>
      <c r="K2803" s="61"/>
    </row>
    <row r="2804" spans="2:11" s="3" customFormat="1">
      <c r="B2804"/>
      <c r="C2804"/>
      <c r="D2804"/>
      <c r="E2804"/>
      <c r="F2804"/>
      <c r="G2804"/>
      <c r="K2804" s="61"/>
    </row>
    <row r="2805" spans="2:11" s="3" customFormat="1">
      <c r="B2805"/>
      <c r="C2805"/>
      <c r="D2805"/>
      <c r="E2805"/>
      <c r="F2805"/>
      <c r="G2805"/>
      <c r="K2805" s="61"/>
    </row>
    <row r="2806" spans="2:11" s="3" customFormat="1">
      <c r="B2806"/>
      <c r="C2806"/>
      <c r="D2806"/>
      <c r="E2806"/>
      <c r="F2806"/>
      <c r="G2806"/>
      <c r="K2806" s="61"/>
    </row>
    <row r="2807" spans="2:11" s="3" customFormat="1">
      <c r="B2807"/>
      <c r="C2807"/>
      <c r="D2807"/>
      <c r="E2807"/>
      <c r="F2807"/>
      <c r="G2807"/>
      <c r="K2807" s="61"/>
    </row>
    <row r="2808" spans="2:11" s="3" customFormat="1">
      <c r="B2808"/>
      <c r="C2808"/>
      <c r="D2808"/>
      <c r="E2808"/>
      <c r="F2808"/>
      <c r="G2808"/>
      <c r="K2808" s="61"/>
    </row>
    <row r="2809" spans="2:11" s="3" customFormat="1">
      <c r="B2809"/>
      <c r="C2809"/>
      <c r="D2809"/>
      <c r="E2809"/>
      <c r="F2809"/>
      <c r="G2809"/>
      <c r="K2809" s="61"/>
    </row>
    <row r="2810" spans="2:11" s="3" customFormat="1">
      <c r="B2810"/>
      <c r="C2810"/>
      <c r="D2810"/>
      <c r="E2810"/>
      <c r="F2810"/>
      <c r="G2810"/>
      <c r="K2810" s="61"/>
    </row>
    <row r="2811" spans="2:11" s="3" customFormat="1">
      <c r="B2811"/>
      <c r="C2811"/>
      <c r="D2811"/>
      <c r="E2811"/>
      <c r="F2811"/>
      <c r="G2811"/>
      <c r="K2811" s="61"/>
    </row>
    <row r="2812" spans="2:11" s="3" customFormat="1">
      <c r="B2812"/>
      <c r="C2812"/>
      <c r="D2812"/>
      <c r="E2812"/>
      <c r="F2812"/>
      <c r="G2812"/>
      <c r="K2812" s="61"/>
    </row>
    <row r="2813" spans="2:11" s="3" customFormat="1">
      <c r="B2813"/>
      <c r="C2813"/>
      <c r="D2813"/>
      <c r="E2813"/>
      <c r="F2813"/>
      <c r="G2813"/>
      <c r="K2813" s="61"/>
    </row>
    <row r="2814" spans="2:11" s="3" customFormat="1">
      <c r="B2814"/>
      <c r="C2814"/>
      <c r="D2814"/>
      <c r="E2814"/>
      <c r="F2814"/>
      <c r="G2814"/>
      <c r="K2814" s="61"/>
    </row>
    <row r="2815" spans="2:11" s="3" customFormat="1">
      <c r="B2815"/>
      <c r="C2815"/>
      <c r="D2815"/>
      <c r="E2815"/>
      <c r="F2815"/>
      <c r="G2815"/>
      <c r="K2815" s="61"/>
    </row>
    <row r="2816" spans="2:11" s="3" customFormat="1">
      <c r="B2816"/>
      <c r="C2816"/>
      <c r="D2816"/>
      <c r="E2816"/>
      <c r="F2816"/>
      <c r="G2816"/>
      <c r="K2816" s="61"/>
    </row>
    <row r="2817" spans="2:11" s="3" customFormat="1">
      <c r="B2817"/>
      <c r="C2817"/>
      <c r="D2817"/>
      <c r="E2817"/>
      <c r="F2817"/>
      <c r="G2817"/>
      <c r="K2817" s="61"/>
    </row>
    <row r="2818" spans="2:11" s="3" customFormat="1">
      <c r="B2818"/>
      <c r="C2818"/>
      <c r="D2818"/>
      <c r="E2818"/>
      <c r="F2818"/>
      <c r="G2818"/>
      <c r="K2818" s="61"/>
    </row>
    <row r="2819" spans="2:11" s="3" customFormat="1">
      <c r="B2819"/>
      <c r="C2819"/>
      <c r="D2819"/>
      <c r="E2819"/>
      <c r="F2819"/>
      <c r="G2819"/>
      <c r="K2819" s="61"/>
    </row>
    <row r="2820" spans="2:11" s="3" customFormat="1">
      <c r="B2820"/>
      <c r="C2820"/>
      <c r="D2820"/>
      <c r="E2820"/>
      <c r="F2820"/>
      <c r="G2820"/>
      <c r="K2820" s="61"/>
    </row>
    <row r="2821" spans="2:11" s="3" customFormat="1">
      <c r="B2821"/>
      <c r="C2821"/>
      <c r="D2821"/>
      <c r="E2821"/>
      <c r="F2821"/>
      <c r="G2821"/>
      <c r="K2821" s="61"/>
    </row>
    <row r="2822" spans="2:11" s="3" customFormat="1">
      <c r="B2822"/>
      <c r="C2822"/>
      <c r="D2822"/>
      <c r="E2822"/>
      <c r="F2822"/>
      <c r="G2822"/>
      <c r="K2822" s="61"/>
    </row>
    <row r="2823" spans="2:11" s="3" customFormat="1">
      <c r="B2823"/>
      <c r="C2823"/>
      <c r="D2823"/>
      <c r="E2823"/>
      <c r="F2823"/>
      <c r="G2823"/>
      <c r="K2823" s="61"/>
    </row>
    <row r="2824" spans="2:11" s="3" customFormat="1">
      <c r="B2824"/>
      <c r="C2824"/>
      <c r="D2824"/>
      <c r="E2824"/>
      <c r="F2824"/>
      <c r="G2824"/>
      <c r="K2824" s="61"/>
    </row>
    <row r="2825" spans="2:11" s="3" customFormat="1">
      <c r="B2825"/>
      <c r="C2825"/>
      <c r="D2825"/>
      <c r="E2825"/>
      <c r="F2825"/>
      <c r="G2825"/>
      <c r="K2825" s="61"/>
    </row>
    <row r="2826" spans="2:11" s="3" customFormat="1">
      <c r="B2826"/>
      <c r="C2826"/>
      <c r="D2826"/>
      <c r="E2826"/>
      <c r="F2826"/>
      <c r="G2826"/>
      <c r="K2826" s="61"/>
    </row>
    <row r="2827" spans="2:11" s="3" customFormat="1">
      <c r="B2827"/>
      <c r="C2827"/>
      <c r="D2827"/>
      <c r="E2827"/>
      <c r="F2827"/>
      <c r="G2827"/>
      <c r="K2827" s="61"/>
    </row>
    <row r="2828" spans="2:11" s="3" customFormat="1">
      <c r="B2828"/>
      <c r="C2828"/>
      <c r="D2828"/>
      <c r="E2828"/>
      <c r="F2828"/>
      <c r="G2828"/>
      <c r="K2828" s="61"/>
    </row>
    <row r="2829" spans="2:11" s="3" customFormat="1">
      <c r="B2829"/>
      <c r="C2829"/>
      <c r="D2829"/>
      <c r="E2829"/>
      <c r="F2829"/>
      <c r="G2829"/>
      <c r="K2829" s="61"/>
    </row>
    <row r="2830" spans="2:11" s="3" customFormat="1">
      <c r="B2830"/>
      <c r="C2830"/>
      <c r="D2830"/>
      <c r="E2830"/>
      <c r="F2830"/>
      <c r="G2830"/>
      <c r="K2830" s="61"/>
    </row>
    <row r="2831" spans="2:11" s="3" customFormat="1">
      <c r="B2831"/>
      <c r="C2831"/>
      <c r="D2831"/>
      <c r="E2831"/>
      <c r="F2831"/>
      <c r="G2831"/>
      <c r="K2831" s="61"/>
    </row>
    <row r="2832" spans="2:11" s="3" customFormat="1">
      <c r="B2832"/>
      <c r="C2832"/>
      <c r="D2832"/>
      <c r="E2832"/>
      <c r="F2832"/>
      <c r="G2832"/>
      <c r="K2832" s="61"/>
    </row>
    <row r="2833" spans="2:11" s="3" customFormat="1">
      <c r="B2833"/>
      <c r="C2833"/>
      <c r="D2833"/>
      <c r="E2833"/>
      <c r="F2833"/>
      <c r="G2833"/>
      <c r="K2833" s="61"/>
    </row>
    <row r="2834" spans="2:11" s="3" customFormat="1">
      <c r="B2834"/>
      <c r="C2834"/>
      <c r="D2834"/>
      <c r="E2834"/>
      <c r="F2834"/>
      <c r="G2834"/>
      <c r="K2834" s="61"/>
    </row>
    <row r="2835" spans="2:11" s="3" customFormat="1">
      <c r="B2835"/>
      <c r="C2835"/>
      <c r="D2835"/>
      <c r="E2835"/>
      <c r="F2835"/>
      <c r="G2835"/>
      <c r="K2835" s="61"/>
    </row>
    <row r="2836" spans="2:11" s="3" customFormat="1">
      <c r="B2836"/>
      <c r="C2836"/>
      <c r="D2836"/>
      <c r="E2836"/>
      <c r="F2836"/>
      <c r="G2836"/>
      <c r="K2836" s="61"/>
    </row>
    <row r="2837" spans="2:11" s="3" customFormat="1">
      <c r="B2837"/>
      <c r="C2837"/>
      <c r="D2837"/>
      <c r="E2837"/>
      <c r="F2837"/>
      <c r="G2837"/>
      <c r="K2837" s="61"/>
    </row>
    <row r="2838" spans="2:11" s="3" customFormat="1">
      <c r="B2838"/>
      <c r="C2838"/>
      <c r="D2838"/>
      <c r="E2838"/>
      <c r="F2838"/>
      <c r="G2838"/>
      <c r="K2838" s="61"/>
    </row>
    <row r="2839" spans="2:11" s="3" customFormat="1">
      <c r="B2839"/>
      <c r="C2839"/>
      <c r="D2839"/>
      <c r="E2839"/>
      <c r="F2839"/>
      <c r="G2839"/>
      <c r="K2839" s="61"/>
    </row>
    <row r="2840" spans="2:11" s="3" customFormat="1">
      <c r="B2840"/>
      <c r="C2840"/>
      <c r="D2840"/>
      <c r="E2840"/>
      <c r="F2840"/>
      <c r="G2840"/>
      <c r="K2840" s="61"/>
    </row>
    <row r="2841" spans="2:11" s="3" customFormat="1">
      <c r="B2841"/>
      <c r="C2841"/>
      <c r="D2841"/>
      <c r="E2841"/>
      <c r="F2841"/>
      <c r="G2841"/>
      <c r="K2841" s="61"/>
    </row>
    <row r="2842" spans="2:11" s="3" customFormat="1">
      <c r="B2842"/>
      <c r="C2842"/>
      <c r="D2842"/>
      <c r="E2842"/>
      <c r="F2842"/>
      <c r="G2842"/>
      <c r="K2842" s="61"/>
    </row>
    <row r="2843" spans="2:11" s="3" customFormat="1">
      <c r="B2843"/>
      <c r="C2843"/>
      <c r="D2843"/>
      <c r="E2843"/>
      <c r="F2843"/>
      <c r="G2843"/>
      <c r="K2843" s="61"/>
    </row>
    <row r="2844" spans="2:11" s="3" customFormat="1">
      <c r="B2844"/>
      <c r="C2844"/>
      <c r="D2844"/>
      <c r="E2844"/>
      <c r="F2844"/>
      <c r="G2844"/>
      <c r="K2844" s="61"/>
    </row>
    <row r="2845" spans="2:11" s="3" customFormat="1">
      <c r="B2845"/>
      <c r="C2845"/>
      <c r="D2845"/>
      <c r="E2845"/>
      <c r="F2845"/>
      <c r="G2845"/>
      <c r="K2845" s="61"/>
    </row>
    <row r="2846" spans="2:11" s="3" customFormat="1">
      <c r="B2846"/>
      <c r="C2846"/>
      <c r="D2846"/>
      <c r="E2846"/>
      <c r="F2846"/>
      <c r="G2846"/>
      <c r="K2846" s="61"/>
    </row>
    <row r="2847" spans="2:11" s="3" customFormat="1">
      <c r="B2847"/>
      <c r="C2847"/>
      <c r="D2847"/>
      <c r="E2847"/>
      <c r="F2847"/>
      <c r="G2847"/>
      <c r="K2847" s="61"/>
    </row>
    <row r="2848" spans="2:11" s="3" customFormat="1">
      <c r="B2848"/>
      <c r="C2848"/>
      <c r="D2848"/>
      <c r="E2848"/>
      <c r="F2848"/>
      <c r="G2848"/>
      <c r="K2848" s="61"/>
    </row>
    <row r="2849" spans="2:11" s="3" customFormat="1">
      <c r="B2849"/>
      <c r="C2849"/>
      <c r="D2849"/>
      <c r="E2849"/>
      <c r="F2849"/>
      <c r="G2849"/>
      <c r="K2849" s="61"/>
    </row>
    <row r="2850" spans="2:11" s="3" customFormat="1">
      <c r="B2850"/>
      <c r="C2850"/>
      <c r="D2850"/>
      <c r="E2850"/>
      <c r="F2850"/>
      <c r="G2850"/>
      <c r="K2850" s="61"/>
    </row>
    <row r="2851" spans="2:11" s="3" customFormat="1">
      <c r="B2851"/>
      <c r="C2851"/>
      <c r="D2851"/>
      <c r="E2851"/>
      <c r="F2851"/>
      <c r="G2851"/>
      <c r="K2851" s="61"/>
    </row>
    <row r="2852" spans="2:11" s="3" customFormat="1">
      <c r="B2852"/>
      <c r="C2852"/>
      <c r="D2852"/>
      <c r="E2852"/>
      <c r="F2852"/>
      <c r="G2852"/>
      <c r="K2852" s="61"/>
    </row>
    <row r="2853" spans="2:11" s="3" customFormat="1">
      <c r="B2853"/>
      <c r="C2853"/>
      <c r="D2853"/>
      <c r="E2853"/>
      <c r="F2853"/>
      <c r="G2853"/>
      <c r="K2853" s="61"/>
    </row>
    <row r="2854" spans="2:11" s="3" customFormat="1">
      <c r="B2854"/>
      <c r="C2854"/>
      <c r="D2854"/>
      <c r="E2854"/>
      <c r="F2854"/>
      <c r="G2854"/>
      <c r="K2854" s="61"/>
    </row>
    <row r="2855" spans="2:11" s="3" customFormat="1">
      <c r="B2855"/>
      <c r="C2855"/>
      <c r="D2855"/>
      <c r="E2855"/>
      <c r="F2855"/>
      <c r="G2855"/>
      <c r="K2855" s="61"/>
    </row>
    <row r="2856" spans="2:11" s="3" customFormat="1">
      <c r="B2856"/>
      <c r="C2856"/>
      <c r="D2856"/>
      <c r="E2856"/>
      <c r="F2856"/>
      <c r="G2856"/>
      <c r="K2856" s="61"/>
    </row>
    <row r="2857" spans="2:11" s="3" customFormat="1">
      <c r="B2857"/>
      <c r="C2857"/>
      <c r="D2857"/>
      <c r="E2857"/>
      <c r="F2857"/>
      <c r="G2857"/>
      <c r="K2857" s="61"/>
    </row>
    <row r="2858" spans="2:11" s="3" customFormat="1">
      <c r="B2858"/>
      <c r="C2858"/>
      <c r="D2858"/>
      <c r="E2858"/>
      <c r="F2858"/>
      <c r="G2858"/>
      <c r="K2858" s="61"/>
    </row>
    <row r="2859" spans="2:11" s="3" customFormat="1">
      <c r="B2859"/>
      <c r="C2859"/>
      <c r="D2859"/>
      <c r="E2859"/>
      <c r="F2859"/>
      <c r="G2859"/>
      <c r="K2859" s="61"/>
    </row>
    <row r="2860" spans="2:11" s="3" customFormat="1">
      <c r="B2860"/>
      <c r="C2860"/>
      <c r="D2860"/>
      <c r="E2860"/>
      <c r="F2860"/>
      <c r="G2860"/>
      <c r="K2860" s="61"/>
    </row>
    <row r="2861" spans="2:11" s="3" customFormat="1">
      <c r="B2861"/>
      <c r="C2861"/>
      <c r="D2861"/>
      <c r="E2861"/>
      <c r="F2861"/>
      <c r="G2861"/>
      <c r="K2861" s="61"/>
    </row>
    <row r="2862" spans="2:11" s="3" customFormat="1">
      <c r="B2862"/>
      <c r="C2862"/>
      <c r="D2862"/>
      <c r="E2862"/>
      <c r="F2862"/>
      <c r="G2862"/>
      <c r="K2862" s="61"/>
    </row>
    <row r="2863" spans="2:11" s="3" customFormat="1">
      <c r="B2863"/>
      <c r="C2863"/>
      <c r="D2863"/>
      <c r="E2863"/>
      <c r="F2863"/>
      <c r="G2863"/>
      <c r="K2863" s="61"/>
    </row>
    <row r="2864" spans="2:11" s="3" customFormat="1">
      <c r="B2864"/>
      <c r="C2864"/>
      <c r="D2864"/>
      <c r="E2864"/>
      <c r="F2864"/>
      <c r="G2864"/>
      <c r="K2864" s="61"/>
    </row>
    <row r="2865" spans="2:11" s="3" customFormat="1">
      <c r="B2865"/>
      <c r="C2865"/>
      <c r="D2865"/>
      <c r="E2865"/>
      <c r="F2865"/>
      <c r="G2865"/>
      <c r="K2865" s="61"/>
    </row>
    <row r="2866" spans="2:11" s="3" customFormat="1">
      <c r="B2866"/>
      <c r="C2866"/>
      <c r="D2866"/>
      <c r="E2866"/>
      <c r="F2866"/>
      <c r="G2866"/>
      <c r="K2866" s="61"/>
    </row>
    <row r="2867" spans="2:11" s="3" customFormat="1">
      <c r="B2867"/>
      <c r="C2867"/>
      <c r="D2867"/>
      <c r="E2867"/>
      <c r="F2867"/>
      <c r="G2867"/>
      <c r="K2867" s="61"/>
    </row>
    <row r="2868" spans="2:11" s="3" customFormat="1">
      <c r="B2868"/>
      <c r="C2868"/>
      <c r="D2868"/>
      <c r="E2868"/>
      <c r="F2868"/>
      <c r="G2868"/>
      <c r="K2868" s="61"/>
    </row>
    <row r="2869" spans="2:11" s="3" customFormat="1">
      <c r="B2869"/>
      <c r="C2869"/>
      <c r="D2869"/>
      <c r="E2869"/>
      <c r="F2869"/>
      <c r="G2869"/>
      <c r="K2869" s="61"/>
    </row>
    <row r="2870" spans="2:11" s="3" customFormat="1">
      <c r="B2870"/>
      <c r="C2870"/>
      <c r="D2870"/>
      <c r="E2870"/>
      <c r="F2870"/>
      <c r="G2870"/>
      <c r="K2870" s="61"/>
    </row>
    <row r="2871" spans="2:11" s="3" customFormat="1">
      <c r="B2871"/>
      <c r="C2871"/>
      <c r="D2871"/>
      <c r="E2871"/>
      <c r="F2871"/>
      <c r="G2871"/>
      <c r="K2871" s="61"/>
    </row>
    <row r="2872" spans="2:11" s="3" customFormat="1">
      <c r="B2872"/>
      <c r="C2872"/>
      <c r="D2872"/>
      <c r="E2872"/>
      <c r="F2872"/>
      <c r="G2872"/>
      <c r="K2872" s="61"/>
    </row>
    <row r="2873" spans="2:11" s="3" customFormat="1">
      <c r="B2873"/>
      <c r="C2873"/>
      <c r="D2873"/>
      <c r="E2873"/>
      <c r="F2873"/>
      <c r="G2873"/>
      <c r="K2873" s="61"/>
    </row>
    <row r="2874" spans="2:11" s="3" customFormat="1">
      <c r="B2874"/>
      <c r="C2874"/>
      <c r="D2874"/>
      <c r="E2874"/>
      <c r="F2874"/>
      <c r="G2874"/>
      <c r="K2874" s="61"/>
    </row>
    <row r="2875" spans="2:11" s="3" customFormat="1">
      <c r="B2875"/>
      <c r="C2875"/>
      <c r="D2875"/>
      <c r="E2875"/>
      <c r="F2875"/>
      <c r="G2875"/>
      <c r="K2875" s="61"/>
    </row>
    <row r="2876" spans="2:11" s="3" customFormat="1">
      <c r="B2876"/>
      <c r="C2876"/>
      <c r="D2876"/>
      <c r="E2876"/>
      <c r="F2876"/>
      <c r="G2876"/>
      <c r="K2876" s="61"/>
    </row>
    <row r="2877" spans="2:11" s="3" customFormat="1">
      <c r="B2877"/>
      <c r="C2877"/>
      <c r="D2877"/>
      <c r="E2877"/>
      <c r="F2877"/>
      <c r="G2877"/>
      <c r="K2877" s="61"/>
    </row>
    <row r="2878" spans="2:11" s="3" customFormat="1">
      <c r="B2878"/>
      <c r="C2878"/>
      <c r="D2878"/>
      <c r="E2878"/>
      <c r="F2878"/>
      <c r="G2878"/>
      <c r="K2878" s="61"/>
    </row>
    <row r="2879" spans="2:11" s="3" customFormat="1">
      <c r="B2879"/>
      <c r="C2879"/>
      <c r="D2879"/>
      <c r="E2879"/>
      <c r="F2879"/>
      <c r="G2879"/>
      <c r="K2879" s="61"/>
    </row>
    <row r="2880" spans="2:11" s="3" customFormat="1">
      <c r="B2880"/>
      <c r="C2880"/>
      <c r="D2880"/>
      <c r="E2880"/>
      <c r="F2880"/>
      <c r="G2880"/>
      <c r="K2880" s="61"/>
    </row>
    <row r="2881" spans="2:11" s="3" customFormat="1">
      <c r="B2881"/>
      <c r="C2881"/>
      <c r="D2881"/>
      <c r="E2881"/>
      <c r="F2881"/>
      <c r="G2881"/>
      <c r="K2881" s="61"/>
    </row>
    <row r="2882" spans="2:11" s="3" customFormat="1">
      <c r="B2882"/>
      <c r="C2882"/>
      <c r="D2882"/>
      <c r="E2882"/>
      <c r="F2882"/>
      <c r="G2882"/>
      <c r="K2882" s="61"/>
    </row>
    <row r="2883" spans="2:11" s="3" customFormat="1">
      <c r="B2883"/>
      <c r="C2883"/>
      <c r="D2883"/>
      <c r="E2883"/>
      <c r="F2883"/>
      <c r="G2883"/>
      <c r="K2883" s="61"/>
    </row>
    <row r="2884" spans="2:11" s="3" customFormat="1">
      <c r="B2884"/>
      <c r="C2884"/>
      <c r="D2884"/>
      <c r="E2884"/>
      <c r="F2884"/>
      <c r="G2884"/>
      <c r="K2884" s="61"/>
    </row>
    <row r="2885" spans="2:11" s="3" customFormat="1">
      <c r="B2885"/>
      <c r="C2885"/>
      <c r="D2885"/>
      <c r="E2885"/>
      <c r="F2885"/>
      <c r="G2885"/>
      <c r="K2885" s="61"/>
    </row>
    <row r="2886" spans="2:11" s="3" customFormat="1">
      <c r="B2886"/>
      <c r="C2886"/>
      <c r="D2886"/>
      <c r="E2886"/>
      <c r="F2886"/>
      <c r="G2886"/>
      <c r="K2886" s="61"/>
    </row>
    <row r="2887" spans="2:11" s="3" customFormat="1">
      <c r="B2887"/>
      <c r="C2887"/>
      <c r="D2887"/>
      <c r="E2887"/>
      <c r="F2887"/>
      <c r="G2887"/>
      <c r="K2887" s="61"/>
    </row>
    <row r="2888" spans="2:11" s="3" customFormat="1">
      <c r="B2888"/>
      <c r="C2888"/>
      <c r="D2888"/>
      <c r="E2888"/>
      <c r="F2888"/>
      <c r="G2888"/>
      <c r="K2888" s="61"/>
    </row>
    <row r="2889" spans="2:11" s="3" customFormat="1">
      <c r="B2889"/>
      <c r="C2889"/>
      <c r="D2889"/>
      <c r="E2889"/>
      <c r="F2889"/>
      <c r="G2889"/>
      <c r="K2889" s="61"/>
    </row>
    <row r="2890" spans="2:11" s="3" customFormat="1">
      <c r="B2890"/>
      <c r="C2890"/>
      <c r="D2890"/>
      <c r="E2890"/>
      <c r="F2890"/>
      <c r="G2890"/>
      <c r="K2890" s="61"/>
    </row>
    <row r="2891" spans="2:11" s="3" customFormat="1">
      <c r="B2891"/>
      <c r="C2891"/>
      <c r="D2891"/>
      <c r="E2891"/>
      <c r="F2891"/>
      <c r="G2891"/>
      <c r="K2891" s="61"/>
    </row>
    <row r="2892" spans="2:11" s="3" customFormat="1">
      <c r="B2892"/>
      <c r="C2892"/>
      <c r="D2892"/>
      <c r="E2892"/>
      <c r="F2892"/>
      <c r="G2892"/>
      <c r="K2892" s="61"/>
    </row>
    <row r="2893" spans="2:11" s="3" customFormat="1">
      <c r="B2893"/>
      <c r="C2893"/>
      <c r="D2893"/>
      <c r="E2893"/>
      <c r="F2893"/>
      <c r="G2893"/>
      <c r="K2893" s="61"/>
    </row>
    <row r="2894" spans="2:11" s="3" customFormat="1">
      <c r="B2894"/>
      <c r="C2894"/>
      <c r="D2894"/>
      <c r="E2894"/>
      <c r="F2894"/>
      <c r="G2894"/>
      <c r="K2894" s="61"/>
    </row>
    <row r="2895" spans="2:11" s="3" customFormat="1">
      <c r="B2895"/>
      <c r="C2895"/>
      <c r="D2895"/>
      <c r="E2895"/>
      <c r="F2895"/>
      <c r="G2895"/>
      <c r="K2895" s="61"/>
    </row>
    <row r="2896" spans="2:11" s="3" customFormat="1">
      <c r="B2896"/>
      <c r="C2896"/>
      <c r="D2896"/>
      <c r="E2896"/>
      <c r="F2896"/>
      <c r="G2896"/>
      <c r="K2896" s="61"/>
    </row>
    <row r="2897" spans="2:11" s="3" customFormat="1">
      <c r="B2897"/>
      <c r="C2897"/>
      <c r="D2897"/>
      <c r="E2897"/>
      <c r="F2897"/>
      <c r="G2897"/>
      <c r="K2897" s="61"/>
    </row>
    <row r="2898" spans="2:11" s="3" customFormat="1">
      <c r="B2898"/>
      <c r="C2898"/>
      <c r="D2898"/>
      <c r="E2898"/>
      <c r="F2898"/>
      <c r="G2898"/>
      <c r="K2898" s="61"/>
    </row>
    <row r="2899" spans="2:11" s="3" customFormat="1">
      <c r="B2899"/>
      <c r="C2899"/>
      <c r="D2899"/>
      <c r="E2899"/>
      <c r="F2899"/>
      <c r="G2899"/>
      <c r="K2899" s="61"/>
    </row>
    <row r="2900" spans="2:11" s="3" customFormat="1">
      <c r="B2900"/>
      <c r="C2900"/>
      <c r="D2900"/>
      <c r="E2900"/>
      <c r="F2900"/>
      <c r="G2900"/>
      <c r="K2900" s="61"/>
    </row>
    <row r="2901" spans="2:11" s="3" customFormat="1">
      <c r="B2901"/>
      <c r="C2901"/>
      <c r="D2901"/>
      <c r="E2901"/>
      <c r="F2901"/>
      <c r="G2901"/>
      <c r="K2901" s="61"/>
    </row>
    <row r="2902" spans="2:11" s="3" customFormat="1">
      <c r="B2902"/>
      <c r="C2902"/>
      <c r="D2902"/>
      <c r="E2902"/>
      <c r="F2902"/>
      <c r="G2902"/>
      <c r="K2902" s="61"/>
    </row>
    <row r="2903" spans="2:11" s="3" customFormat="1">
      <c r="B2903"/>
      <c r="C2903"/>
      <c r="D2903"/>
      <c r="E2903"/>
      <c r="F2903"/>
      <c r="G2903"/>
      <c r="K2903" s="61"/>
    </row>
    <row r="2904" spans="2:11" s="3" customFormat="1">
      <c r="B2904"/>
      <c r="C2904"/>
      <c r="D2904"/>
      <c r="E2904"/>
      <c r="F2904"/>
      <c r="G2904"/>
      <c r="K2904" s="61"/>
    </row>
    <row r="2905" spans="2:11" s="3" customFormat="1">
      <c r="B2905"/>
      <c r="C2905"/>
      <c r="D2905"/>
      <c r="E2905"/>
      <c r="F2905"/>
      <c r="G2905"/>
      <c r="K2905" s="61"/>
    </row>
    <row r="2906" spans="2:11" s="3" customFormat="1">
      <c r="B2906"/>
      <c r="C2906"/>
      <c r="D2906"/>
      <c r="E2906"/>
      <c r="F2906"/>
      <c r="G2906"/>
      <c r="K2906" s="61"/>
    </row>
    <row r="2907" spans="2:11" s="3" customFormat="1">
      <c r="B2907"/>
      <c r="C2907"/>
      <c r="D2907"/>
      <c r="E2907"/>
      <c r="F2907"/>
      <c r="G2907"/>
      <c r="K2907" s="61"/>
    </row>
    <row r="2908" spans="2:11" s="3" customFormat="1">
      <c r="B2908"/>
      <c r="C2908"/>
      <c r="D2908"/>
      <c r="E2908"/>
      <c r="F2908"/>
      <c r="G2908"/>
      <c r="K2908" s="61"/>
    </row>
    <row r="2909" spans="2:11" s="3" customFormat="1">
      <c r="B2909"/>
      <c r="C2909"/>
      <c r="D2909"/>
      <c r="E2909"/>
      <c r="F2909"/>
      <c r="G2909"/>
      <c r="K2909" s="61"/>
    </row>
    <row r="2910" spans="2:11" s="3" customFormat="1">
      <c r="B2910"/>
      <c r="C2910"/>
      <c r="D2910"/>
      <c r="E2910"/>
      <c r="F2910"/>
      <c r="G2910"/>
      <c r="K2910" s="61"/>
    </row>
    <row r="2911" spans="2:11" s="3" customFormat="1">
      <c r="B2911"/>
      <c r="C2911"/>
      <c r="D2911"/>
      <c r="E2911"/>
      <c r="F2911"/>
      <c r="G2911"/>
      <c r="K2911" s="61"/>
    </row>
    <row r="2912" spans="2:11" s="3" customFormat="1">
      <c r="B2912"/>
      <c r="C2912"/>
      <c r="D2912"/>
      <c r="E2912"/>
      <c r="F2912"/>
      <c r="G2912"/>
      <c r="K2912" s="61"/>
    </row>
    <row r="2913" spans="2:11" s="3" customFormat="1">
      <c r="B2913"/>
      <c r="C2913"/>
      <c r="D2913"/>
      <c r="E2913"/>
      <c r="F2913"/>
      <c r="G2913"/>
      <c r="K2913" s="61"/>
    </row>
    <row r="2914" spans="2:11" s="3" customFormat="1">
      <c r="B2914"/>
      <c r="C2914"/>
      <c r="D2914"/>
      <c r="E2914"/>
      <c r="F2914"/>
      <c r="G2914"/>
      <c r="K2914" s="61"/>
    </row>
    <row r="2915" spans="2:11" s="3" customFormat="1">
      <c r="B2915"/>
      <c r="C2915"/>
      <c r="D2915"/>
      <c r="E2915"/>
      <c r="F2915"/>
      <c r="G2915"/>
      <c r="K2915" s="61"/>
    </row>
    <row r="2916" spans="2:11" s="3" customFormat="1">
      <c r="B2916"/>
      <c r="C2916"/>
      <c r="D2916"/>
      <c r="E2916"/>
      <c r="F2916"/>
      <c r="G2916"/>
      <c r="K2916" s="61"/>
    </row>
    <row r="2917" spans="2:11" s="3" customFormat="1">
      <c r="B2917"/>
      <c r="C2917"/>
      <c r="D2917"/>
      <c r="E2917"/>
      <c r="F2917"/>
      <c r="G2917"/>
      <c r="K2917" s="61"/>
    </row>
    <row r="2918" spans="2:11" s="3" customFormat="1">
      <c r="B2918"/>
      <c r="C2918"/>
      <c r="D2918"/>
      <c r="E2918"/>
      <c r="F2918"/>
      <c r="G2918"/>
      <c r="K2918" s="61"/>
    </row>
    <row r="2919" spans="2:11" s="3" customFormat="1">
      <c r="B2919"/>
      <c r="C2919"/>
      <c r="D2919"/>
      <c r="E2919"/>
      <c r="F2919"/>
      <c r="G2919"/>
      <c r="K2919" s="61"/>
    </row>
    <row r="2920" spans="2:11" s="3" customFormat="1">
      <c r="B2920"/>
      <c r="C2920"/>
      <c r="D2920"/>
      <c r="E2920"/>
      <c r="F2920"/>
      <c r="G2920"/>
      <c r="K2920" s="61"/>
    </row>
    <row r="2921" spans="2:11" s="3" customFormat="1">
      <c r="B2921"/>
      <c r="C2921"/>
      <c r="D2921"/>
      <c r="E2921"/>
      <c r="F2921"/>
      <c r="G2921"/>
      <c r="K2921" s="61"/>
    </row>
    <row r="2922" spans="2:11" s="3" customFormat="1">
      <c r="B2922"/>
      <c r="C2922"/>
      <c r="D2922"/>
      <c r="E2922"/>
      <c r="F2922"/>
      <c r="G2922"/>
      <c r="K2922" s="61"/>
    </row>
    <row r="2923" spans="2:11" s="3" customFormat="1">
      <c r="B2923"/>
      <c r="C2923"/>
      <c r="D2923"/>
      <c r="E2923"/>
      <c r="F2923"/>
      <c r="G2923"/>
      <c r="K2923" s="61"/>
    </row>
    <row r="2924" spans="2:11" s="3" customFormat="1">
      <c r="B2924"/>
      <c r="C2924"/>
      <c r="D2924"/>
      <c r="E2924"/>
      <c r="F2924"/>
      <c r="G2924"/>
      <c r="K2924" s="61"/>
    </row>
    <row r="2925" spans="2:11" s="3" customFormat="1">
      <c r="B2925"/>
      <c r="C2925"/>
      <c r="D2925"/>
      <c r="E2925"/>
      <c r="F2925"/>
      <c r="G2925"/>
      <c r="K2925" s="61"/>
    </row>
    <row r="2926" spans="2:11" s="3" customFormat="1">
      <c r="B2926"/>
      <c r="C2926"/>
      <c r="D2926"/>
      <c r="E2926"/>
      <c r="F2926"/>
      <c r="G2926"/>
      <c r="K2926" s="61"/>
    </row>
    <row r="2927" spans="2:11" s="3" customFormat="1">
      <c r="B2927"/>
      <c r="C2927"/>
      <c r="D2927"/>
      <c r="E2927"/>
      <c r="F2927"/>
      <c r="G2927"/>
      <c r="K2927" s="61"/>
    </row>
    <row r="2928" spans="2:11" s="3" customFormat="1">
      <c r="B2928"/>
      <c r="C2928"/>
      <c r="D2928"/>
      <c r="E2928"/>
      <c r="F2928"/>
      <c r="G2928"/>
      <c r="K2928" s="61"/>
    </row>
    <row r="2929" spans="2:11" s="3" customFormat="1">
      <c r="B2929"/>
      <c r="C2929"/>
      <c r="D2929"/>
      <c r="E2929"/>
      <c r="F2929"/>
      <c r="G2929"/>
      <c r="K2929" s="61"/>
    </row>
    <row r="2930" spans="2:11" s="3" customFormat="1">
      <c r="B2930"/>
      <c r="C2930"/>
      <c r="D2930"/>
      <c r="E2930"/>
      <c r="F2930"/>
      <c r="G2930"/>
      <c r="K2930" s="61"/>
    </row>
    <row r="2931" spans="2:11" s="3" customFormat="1">
      <c r="B2931"/>
      <c r="C2931"/>
      <c r="D2931"/>
      <c r="E2931"/>
      <c r="F2931"/>
      <c r="G2931"/>
      <c r="K2931" s="61"/>
    </row>
    <row r="2932" spans="2:11" s="3" customFormat="1">
      <c r="B2932"/>
      <c r="C2932"/>
      <c r="D2932"/>
      <c r="E2932"/>
      <c r="F2932"/>
      <c r="G2932"/>
      <c r="K2932" s="61"/>
    </row>
    <row r="2933" spans="2:11" s="3" customFormat="1">
      <c r="B2933"/>
      <c r="C2933"/>
      <c r="D2933"/>
      <c r="E2933"/>
      <c r="F2933"/>
      <c r="G2933"/>
      <c r="K2933" s="61"/>
    </row>
    <row r="2934" spans="2:11" s="3" customFormat="1">
      <c r="B2934"/>
      <c r="C2934"/>
      <c r="D2934"/>
      <c r="E2934"/>
      <c r="F2934"/>
      <c r="G2934"/>
      <c r="K2934" s="61"/>
    </row>
    <row r="2935" spans="2:11" s="3" customFormat="1">
      <c r="B2935"/>
      <c r="C2935"/>
      <c r="D2935"/>
      <c r="E2935"/>
      <c r="F2935"/>
      <c r="G2935"/>
      <c r="K2935" s="61"/>
    </row>
    <row r="2936" spans="2:11" s="3" customFormat="1">
      <c r="B2936"/>
      <c r="C2936"/>
      <c r="D2936"/>
      <c r="E2936"/>
      <c r="F2936"/>
      <c r="G2936"/>
      <c r="K2936" s="61"/>
    </row>
    <row r="2937" spans="2:11" s="3" customFormat="1">
      <c r="B2937"/>
      <c r="C2937"/>
      <c r="D2937"/>
      <c r="E2937"/>
      <c r="F2937"/>
      <c r="G2937"/>
      <c r="K2937" s="61"/>
    </row>
    <row r="2938" spans="2:11" s="3" customFormat="1">
      <c r="B2938"/>
      <c r="C2938"/>
      <c r="D2938"/>
      <c r="E2938"/>
      <c r="F2938"/>
      <c r="G2938"/>
      <c r="K2938" s="61"/>
    </row>
    <row r="2939" spans="2:11" s="3" customFormat="1">
      <c r="B2939"/>
      <c r="C2939"/>
      <c r="D2939"/>
      <c r="E2939"/>
      <c r="F2939"/>
      <c r="G2939"/>
      <c r="K2939" s="61"/>
    </row>
    <row r="2940" spans="2:11" s="3" customFormat="1">
      <c r="B2940"/>
      <c r="C2940"/>
      <c r="D2940"/>
      <c r="E2940"/>
      <c r="F2940"/>
      <c r="G2940"/>
      <c r="K2940" s="61"/>
    </row>
    <row r="2941" spans="2:11" s="3" customFormat="1">
      <c r="B2941"/>
      <c r="C2941"/>
      <c r="D2941"/>
      <c r="E2941"/>
      <c r="F2941"/>
      <c r="G2941"/>
      <c r="K2941" s="61"/>
    </row>
    <row r="2942" spans="2:11" s="3" customFormat="1">
      <c r="B2942"/>
      <c r="C2942"/>
      <c r="D2942"/>
      <c r="E2942"/>
      <c r="F2942"/>
      <c r="G2942"/>
      <c r="K2942" s="61"/>
    </row>
    <row r="2943" spans="2:11" s="3" customFormat="1">
      <c r="B2943"/>
      <c r="C2943"/>
      <c r="D2943"/>
      <c r="E2943"/>
      <c r="F2943"/>
      <c r="G2943"/>
      <c r="K2943" s="61"/>
    </row>
    <row r="2944" spans="2:11" s="3" customFormat="1">
      <c r="B2944"/>
      <c r="C2944"/>
      <c r="D2944"/>
      <c r="E2944"/>
      <c r="F2944"/>
      <c r="G2944"/>
      <c r="K2944" s="61"/>
    </row>
    <row r="2945" spans="2:11" s="3" customFormat="1">
      <c r="B2945"/>
      <c r="C2945"/>
      <c r="D2945"/>
      <c r="E2945"/>
      <c r="F2945"/>
      <c r="G2945"/>
      <c r="K2945" s="61"/>
    </row>
    <row r="2946" spans="2:11" s="3" customFormat="1">
      <c r="B2946"/>
      <c r="C2946"/>
      <c r="D2946"/>
      <c r="E2946"/>
      <c r="F2946"/>
      <c r="G2946"/>
      <c r="K2946" s="61"/>
    </row>
    <row r="2947" spans="2:11" s="3" customFormat="1">
      <c r="B2947"/>
      <c r="C2947"/>
      <c r="D2947"/>
      <c r="E2947"/>
      <c r="F2947"/>
      <c r="G2947"/>
      <c r="K2947" s="61"/>
    </row>
    <row r="2948" spans="2:11" s="3" customFormat="1">
      <c r="B2948"/>
      <c r="C2948"/>
      <c r="D2948"/>
      <c r="E2948"/>
      <c r="F2948"/>
      <c r="G2948"/>
      <c r="K2948" s="61"/>
    </row>
    <row r="2949" spans="2:11" s="3" customFormat="1">
      <c r="B2949"/>
      <c r="C2949"/>
      <c r="D2949"/>
      <c r="E2949"/>
      <c r="F2949"/>
      <c r="G2949"/>
      <c r="K2949" s="61"/>
    </row>
    <row r="2950" spans="2:11" s="3" customFormat="1">
      <c r="B2950"/>
      <c r="C2950"/>
      <c r="D2950"/>
      <c r="E2950"/>
      <c r="F2950"/>
      <c r="G2950"/>
      <c r="K2950" s="61"/>
    </row>
    <row r="2951" spans="2:11" s="3" customFormat="1">
      <c r="B2951"/>
      <c r="C2951"/>
      <c r="D2951"/>
      <c r="E2951"/>
      <c r="F2951"/>
      <c r="G2951"/>
      <c r="K2951" s="61"/>
    </row>
    <row r="2952" spans="2:11" s="3" customFormat="1">
      <c r="B2952"/>
      <c r="C2952"/>
      <c r="D2952"/>
      <c r="E2952"/>
      <c r="F2952"/>
      <c r="G2952"/>
      <c r="K2952" s="61"/>
    </row>
    <row r="2953" spans="2:11" s="3" customFormat="1">
      <c r="B2953"/>
      <c r="C2953"/>
      <c r="D2953"/>
      <c r="E2953"/>
      <c r="F2953"/>
      <c r="G2953"/>
      <c r="K2953" s="61"/>
    </row>
    <row r="2954" spans="2:11" s="3" customFormat="1">
      <c r="B2954"/>
      <c r="C2954"/>
      <c r="D2954"/>
      <c r="E2954"/>
      <c r="F2954"/>
      <c r="G2954"/>
      <c r="K2954" s="61"/>
    </row>
    <row r="2955" spans="2:11" s="3" customFormat="1">
      <c r="B2955"/>
      <c r="C2955"/>
      <c r="D2955"/>
      <c r="E2955"/>
      <c r="F2955"/>
      <c r="G2955"/>
      <c r="K2955" s="61"/>
    </row>
    <row r="2956" spans="2:11" s="3" customFormat="1">
      <c r="B2956"/>
      <c r="C2956"/>
      <c r="D2956"/>
      <c r="E2956"/>
      <c r="F2956"/>
      <c r="G2956"/>
      <c r="K2956" s="61"/>
    </row>
    <row r="2957" spans="2:11" s="3" customFormat="1">
      <c r="B2957"/>
      <c r="C2957"/>
      <c r="D2957"/>
      <c r="E2957"/>
      <c r="F2957"/>
      <c r="G2957"/>
      <c r="K2957" s="61"/>
    </row>
    <row r="2958" spans="2:11" s="3" customFormat="1">
      <c r="B2958"/>
      <c r="C2958"/>
      <c r="D2958"/>
      <c r="E2958"/>
      <c r="F2958"/>
      <c r="G2958"/>
      <c r="K2958" s="61"/>
    </row>
    <row r="2959" spans="2:11" s="3" customFormat="1">
      <c r="B2959"/>
      <c r="C2959"/>
      <c r="D2959"/>
      <c r="E2959"/>
      <c r="F2959"/>
      <c r="G2959"/>
      <c r="K2959" s="61"/>
    </row>
    <row r="2960" spans="2:11" s="3" customFormat="1">
      <c r="B2960"/>
      <c r="C2960"/>
      <c r="D2960"/>
      <c r="E2960"/>
      <c r="F2960"/>
      <c r="G2960"/>
      <c r="K2960" s="61"/>
    </row>
    <row r="2961" spans="2:11" s="3" customFormat="1">
      <c r="B2961"/>
      <c r="C2961"/>
      <c r="D2961"/>
      <c r="E2961"/>
      <c r="F2961"/>
      <c r="G2961"/>
      <c r="K2961" s="61"/>
    </row>
    <row r="2962" spans="2:11" s="3" customFormat="1">
      <c r="B2962"/>
      <c r="C2962"/>
      <c r="D2962"/>
      <c r="E2962"/>
      <c r="F2962"/>
      <c r="G2962"/>
      <c r="K2962" s="61"/>
    </row>
    <row r="2963" spans="2:11" s="3" customFormat="1">
      <c r="B2963"/>
      <c r="C2963"/>
      <c r="D2963"/>
      <c r="E2963"/>
      <c r="F2963"/>
      <c r="G2963"/>
      <c r="K2963" s="61"/>
    </row>
    <row r="2964" spans="2:11" s="3" customFormat="1">
      <c r="B2964"/>
      <c r="C2964"/>
      <c r="D2964"/>
      <c r="E2964"/>
      <c r="F2964"/>
      <c r="G2964"/>
      <c r="K2964" s="61"/>
    </row>
    <row r="2965" spans="2:11" s="3" customFormat="1">
      <c r="B2965"/>
      <c r="C2965"/>
      <c r="D2965"/>
      <c r="E2965"/>
      <c r="F2965"/>
      <c r="G2965"/>
      <c r="K2965" s="61"/>
    </row>
    <row r="2966" spans="2:11" s="3" customFormat="1">
      <c r="B2966"/>
      <c r="C2966"/>
      <c r="D2966"/>
      <c r="E2966"/>
      <c r="F2966"/>
      <c r="G2966"/>
      <c r="K2966" s="61"/>
    </row>
    <row r="2967" spans="2:11" s="3" customFormat="1">
      <c r="B2967"/>
      <c r="C2967"/>
      <c r="D2967"/>
      <c r="E2967"/>
      <c r="F2967"/>
      <c r="G2967"/>
      <c r="K2967" s="61"/>
    </row>
    <row r="2968" spans="2:11" s="3" customFormat="1">
      <c r="B2968"/>
      <c r="C2968"/>
      <c r="D2968"/>
      <c r="E2968"/>
      <c r="F2968"/>
      <c r="G2968"/>
      <c r="K2968" s="61"/>
    </row>
    <row r="2969" spans="2:11" s="3" customFormat="1">
      <c r="B2969"/>
      <c r="C2969"/>
      <c r="D2969"/>
      <c r="E2969"/>
      <c r="F2969"/>
      <c r="G2969"/>
      <c r="K2969" s="61"/>
    </row>
    <row r="2970" spans="2:11" s="3" customFormat="1">
      <c r="B2970"/>
      <c r="C2970"/>
      <c r="D2970"/>
      <c r="E2970"/>
      <c r="F2970"/>
      <c r="G2970"/>
      <c r="K2970" s="61"/>
    </row>
    <row r="2971" spans="2:11" s="3" customFormat="1">
      <c r="B2971"/>
      <c r="C2971"/>
      <c r="D2971"/>
      <c r="E2971"/>
      <c r="F2971"/>
      <c r="G2971"/>
      <c r="K2971" s="61"/>
    </row>
    <row r="2972" spans="2:11" s="3" customFormat="1">
      <c r="B2972"/>
      <c r="C2972"/>
      <c r="D2972"/>
      <c r="E2972"/>
      <c r="F2972"/>
      <c r="G2972"/>
      <c r="K2972" s="61"/>
    </row>
    <row r="2973" spans="2:11" s="3" customFormat="1">
      <c r="B2973"/>
      <c r="C2973"/>
      <c r="D2973"/>
      <c r="E2973"/>
      <c r="F2973"/>
      <c r="G2973"/>
      <c r="K2973" s="61"/>
    </row>
    <row r="2974" spans="2:11" s="3" customFormat="1">
      <c r="B2974"/>
      <c r="C2974"/>
      <c r="D2974"/>
      <c r="E2974"/>
      <c r="F2974"/>
      <c r="G2974"/>
      <c r="K2974" s="61"/>
    </row>
    <row r="2975" spans="2:11" s="3" customFormat="1">
      <c r="B2975"/>
      <c r="C2975"/>
      <c r="D2975"/>
      <c r="E2975"/>
      <c r="F2975"/>
      <c r="G2975"/>
      <c r="K2975" s="61"/>
    </row>
    <row r="2976" spans="2:11" s="3" customFormat="1">
      <c r="B2976"/>
      <c r="C2976"/>
      <c r="D2976"/>
      <c r="E2976"/>
      <c r="F2976"/>
      <c r="G2976"/>
      <c r="K2976" s="61"/>
    </row>
    <row r="2977" spans="2:11" s="3" customFormat="1">
      <c r="B2977"/>
      <c r="C2977"/>
      <c r="D2977"/>
      <c r="E2977"/>
      <c r="F2977"/>
      <c r="G2977"/>
      <c r="K2977" s="61"/>
    </row>
    <row r="2978" spans="2:11" s="3" customFormat="1">
      <c r="B2978"/>
      <c r="C2978"/>
      <c r="D2978"/>
      <c r="E2978"/>
      <c r="F2978"/>
      <c r="G2978"/>
      <c r="K2978" s="61"/>
    </row>
    <row r="2979" spans="2:11" s="3" customFormat="1">
      <c r="B2979"/>
      <c r="C2979"/>
      <c r="D2979"/>
      <c r="E2979"/>
      <c r="F2979"/>
      <c r="G2979"/>
      <c r="K2979" s="61"/>
    </row>
    <row r="2980" spans="2:11" s="3" customFormat="1">
      <c r="B2980"/>
      <c r="C2980"/>
      <c r="D2980"/>
      <c r="E2980"/>
      <c r="F2980"/>
      <c r="G2980"/>
      <c r="K2980" s="61"/>
    </row>
    <row r="2981" spans="2:11" s="3" customFormat="1">
      <c r="B2981"/>
      <c r="C2981"/>
      <c r="D2981"/>
      <c r="E2981"/>
      <c r="F2981"/>
      <c r="G2981"/>
      <c r="K2981" s="61"/>
    </row>
    <row r="2982" spans="2:11" s="3" customFormat="1">
      <c r="B2982"/>
      <c r="C2982"/>
      <c r="D2982"/>
      <c r="E2982"/>
      <c r="F2982"/>
      <c r="G2982"/>
      <c r="K2982" s="61"/>
    </row>
    <row r="2983" spans="2:11" s="3" customFormat="1">
      <c r="B2983"/>
      <c r="C2983"/>
      <c r="D2983"/>
      <c r="E2983"/>
      <c r="F2983"/>
      <c r="G2983"/>
      <c r="K2983" s="61"/>
    </row>
    <row r="2984" spans="2:11" s="3" customFormat="1">
      <c r="B2984"/>
      <c r="C2984"/>
      <c r="D2984"/>
      <c r="E2984"/>
      <c r="F2984"/>
      <c r="G2984"/>
      <c r="K2984" s="61"/>
    </row>
    <row r="2985" spans="2:11" s="3" customFormat="1">
      <c r="B2985"/>
      <c r="C2985"/>
      <c r="D2985"/>
      <c r="E2985"/>
      <c r="F2985"/>
      <c r="G2985"/>
      <c r="K2985" s="61"/>
    </row>
    <row r="2986" spans="2:11" s="3" customFormat="1">
      <c r="B2986"/>
      <c r="C2986"/>
      <c r="D2986"/>
      <c r="E2986"/>
      <c r="F2986"/>
      <c r="G2986"/>
      <c r="K2986" s="61"/>
    </row>
    <row r="2987" spans="2:11" s="3" customFormat="1">
      <c r="B2987"/>
      <c r="C2987"/>
      <c r="D2987"/>
      <c r="E2987"/>
      <c r="F2987"/>
      <c r="G2987"/>
      <c r="K2987" s="61"/>
    </row>
    <row r="2988" spans="2:11" s="3" customFormat="1">
      <c r="B2988"/>
      <c r="C2988"/>
      <c r="D2988"/>
      <c r="E2988"/>
      <c r="F2988"/>
      <c r="G2988"/>
      <c r="K2988" s="61"/>
    </row>
    <row r="2989" spans="2:11" s="3" customFormat="1">
      <c r="B2989"/>
      <c r="C2989"/>
      <c r="D2989"/>
      <c r="E2989"/>
      <c r="F2989"/>
      <c r="G2989"/>
      <c r="K2989" s="61"/>
    </row>
    <row r="2990" spans="2:11" s="3" customFormat="1">
      <c r="B2990"/>
      <c r="C2990"/>
      <c r="D2990"/>
      <c r="E2990"/>
      <c r="F2990"/>
      <c r="G2990"/>
      <c r="K2990" s="61"/>
    </row>
    <row r="2991" spans="2:11" s="3" customFormat="1">
      <c r="B2991"/>
      <c r="C2991"/>
      <c r="D2991"/>
      <c r="E2991"/>
      <c r="F2991"/>
      <c r="G2991"/>
      <c r="K2991" s="61"/>
    </row>
    <row r="2992" spans="2:11" s="3" customFormat="1">
      <c r="B2992"/>
      <c r="C2992"/>
      <c r="D2992"/>
      <c r="E2992"/>
      <c r="F2992"/>
      <c r="G2992"/>
      <c r="K2992" s="61"/>
    </row>
    <row r="2993" spans="2:11" s="3" customFormat="1">
      <c r="B2993"/>
      <c r="C2993"/>
      <c r="D2993"/>
      <c r="E2993"/>
      <c r="F2993"/>
      <c r="G2993"/>
      <c r="K2993" s="61"/>
    </row>
    <row r="2994" spans="2:11" s="3" customFormat="1">
      <c r="B2994"/>
      <c r="C2994"/>
      <c r="D2994"/>
      <c r="E2994"/>
      <c r="F2994"/>
      <c r="G2994"/>
      <c r="K2994" s="61"/>
    </row>
    <row r="2995" spans="2:11" s="3" customFormat="1">
      <c r="B2995"/>
      <c r="C2995"/>
      <c r="D2995"/>
      <c r="E2995"/>
      <c r="F2995"/>
      <c r="G2995"/>
      <c r="K2995" s="61"/>
    </row>
    <row r="2996" spans="2:11" s="3" customFormat="1">
      <c r="B2996"/>
      <c r="C2996"/>
      <c r="D2996"/>
      <c r="E2996"/>
      <c r="F2996"/>
      <c r="G2996"/>
      <c r="K2996" s="61"/>
    </row>
    <row r="2997" spans="2:11" s="3" customFormat="1">
      <c r="B2997"/>
      <c r="C2997"/>
      <c r="D2997"/>
      <c r="E2997"/>
      <c r="F2997"/>
      <c r="G2997"/>
      <c r="K2997" s="61"/>
    </row>
    <row r="2998" spans="2:11" s="3" customFormat="1">
      <c r="B2998"/>
      <c r="C2998"/>
      <c r="D2998"/>
      <c r="E2998"/>
      <c r="F2998"/>
      <c r="G2998"/>
      <c r="K2998" s="61"/>
    </row>
    <row r="2999" spans="2:11" s="3" customFormat="1">
      <c r="B2999"/>
      <c r="C2999"/>
      <c r="D2999"/>
      <c r="E2999"/>
      <c r="F2999"/>
      <c r="G2999"/>
      <c r="K2999" s="61"/>
    </row>
    <row r="3000" spans="2:11" s="3" customFormat="1">
      <c r="B3000"/>
      <c r="C3000"/>
      <c r="D3000"/>
      <c r="E3000"/>
      <c r="F3000"/>
      <c r="G3000"/>
      <c r="K3000" s="61"/>
    </row>
    <row r="3001" spans="2:11" s="3" customFormat="1">
      <c r="B3001"/>
      <c r="C3001"/>
      <c r="D3001"/>
      <c r="E3001"/>
      <c r="F3001"/>
      <c r="G3001"/>
      <c r="K3001" s="61"/>
    </row>
    <row r="3002" spans="2:11" s="3" customFormat="1">
      <c r="B3002"/>
      <c r="C3002"/>
      <c r="D3002"/>
      <c r="E3002"/>
      <c r="F3002"/>
      <c r="G3002"/>
      <c r="K3002" s="61"/>
    </row>
    <row r="3003" spans="2:11" s="3" customFormat="1">
      <c r="B3003"/>
      <c r="C3003"/>
      <c r="D3003"/>
      <c r="E3003"/>
      <c r="F3003"/>
      <c r="G3003"/>
      <c r="K3003" s="61"/>
    </row>
    <row r="3004" spans="2:11" s="3" customFormat="1">
      <c r="B3004"/>
      <c r="C3004"/>
      <c r="D3004"/>
      <c r="E3004"/>
      <c r="F3004"/>
      <c r="G3004"/>
      <c r="K3004" s="61"/>
    </row>
    <row r="3005" spans="2:11" s="3" customFormat="1">
      <c r="B3005"/>
      <c r="C3005"/>
      <c r="D3005"/>
      <c r="E3005"/>
      <c r="F3005"/>
      <c r="G3005"/>
      <c r="K3005" s="61"/>
    </row>
    <row r="3006" spans="2:11" s="3" customFormat="1">
      <c r="B3006"/>
      <c r="C3006"/>
      <c r="D3006"/>
      <c r="E3006"/>
      <c r="F3006"/>
      <c r="G3006"/>
      <c r="K3006" s="61"/>
    </row>
    <row r="3007" spans="2:11" s="3" customFormat="1">
      <c r="B3007"/>
      <c r="C3007"/>
      <c r="D3007"/>
      <c r="E3007"/>
      <c r="F3007"/>
      <c r="G3007"/>
      <c r="K3007" s="61"/>
    </row>
    <row r="3008" spans="2:11" s="3" customFormat="1">
      <c r="B3008"/>
      <c r="C3008"/>
      <c r="D3008"/>
      <c r="E3008"/>
      <c r="F3008"/>
      <c r="G3008"/>
      <c r="K3008" s="61"/>
    </row>
    <row r="3009" spans="2:11" s="3" customFormat="1">
      <c r="B3009"/>
      <c r="C3009"/>
      <c r="D3009"/>
      <c r="E3009"/>
      <c r="F3009"/>
      <c r="G3009"/>
      <c r="K3009" s="61"/>
    </row>
    <row r="3010" spans="2:11" s="3" customFormat="1">
      <c r="B3010"/>
      <c r="C3010"/>
      <c r="D3010"/>
      <c r="E3010"/>
      <c r="F3010"/>
      <c r="G3010"/>
      <c r="K3010" s="61"/>
    </row>
    <row r="3011" spans="2:11" s="3" customFormat="1">
      <c r="B3011"/>
      <c r="C3011"/>
      <c r="D3011"/>
      <c r="E3011"/>
      <c r="F3011"/>
      <c r="G3011"/>
      <c r="K3011" s="61"/>
    </row>
    <row r="3012" spans="2:11" s="3" customFormat="1">
      <c r="B3012"/>
      <c r="C3012"/>
      <c r="D3012"/>
      <c r="E3012"/>
      <c r="F3012"/>
      <c r="G3012"/>
      <c r="K3012" s="61"/>
    </row>
    <row r="3013" spans="2:11" s="3" customFormat="1">
      <c r="B3013"/>
      <c r="C3013"/>
      <c r="D3013"/>
      <c r="E3013"/>
      <c r="F3013"/>
      <c r="G3013"/>
      <c r="K3013" s="61"/>
    </row>
    <row r="3014" spans="2:11" s="3" customFormat="1">
      <c r="B3014"/>
      <c r="C3014"/>
      <c r="D3014"/>
      <c r="E3014"/>
      <c r="F3014"/>
      <c r="G3014"/>
      <c r="K3014" s="61"/>
    </row>
    <row r="3015" spans="2:11" s="3" customFormat="1">
      <c r="B3015"/>
      <c r="C3015"/>
      <c r="D3015"/>
      <c r="E3015"/>
      <c r="F3015"/>
      <c r="G3015"/>
      <c r="K3015" s="61"/>
    </row>
    <row r="3016" spans="2:11" s="3" customFormat="1">
      <c r="B3016"/>
      <c r="C3016"/>
      <c r="D3016"/>
      <c r="E3016"/>
      <c r="F3016"/>
      <c r="G3016"/>
      <c r="K3016" s="61"/>
    </row>
    <row r="3017" spans="2:11" s="3" customFormat="1">
      <c r="B3017"/>
      <c r="C3017"/>
      <c r="D3017"/>
      <c r="E3017"/>
      <c r="F3017"/>
      <c r="G3017"/>
      <c r="K3017" s="61"/>
    </row>
    <row r="3018" spans="2:11" s="3" customFormat="1">
      <c r="B3018"/>
      <c r="C3018"/>
      <c r="D3018"/>
      <c r="E3018"/>
      <c r="F3018"/>
      <c r="G3018"/>
      <c r="K3018" s="61"/>
    </row>
    <row r="3019" spans="2:11" s="3" customFormat="1">
      <c r="B3019"/>
      <c r="C3019"/>
      <c r="D3019"/>
      <c r="E3019"/>
      <c r="F3019"/>
      <c r="G3019"/>
      <c r="K3019" s="61"/>
    </row>
    <row r="3020" spans="2:11" s="3" customFormat="1">
      <c r="B3020"/>
      <c r="C3020"/>
      <c r="D3020"/>
      <c r="E3020"/>
      <c r="F3020"/>
      <c r="G3020"/>
      <c r="K3020" s="61"/>
    </row>
    <row r="3021" spans="2:11" s="3" customFormat="1">
      <c r="B3021"/>
      <c r="C3021"/>
      <c r="D3021"/>
      <c r="E3021"/>
      <c r="F3021"/>
      <c r="G3021"/>
      <c r="K3021" s="61"/>
    </row>
    <row r="3022" spans="2:11" s="3" customFormat="1">
      <c r="B3022"/>
      <c r="C3022"/>
      <c r="D3022"/>
      <c r="E3022"/>
      <c r="F3022"/>
      <c r="G3022"/>
      <c r="K3022" s="61"/>
    </row>
    <row r="3023" spans="2:11" s="3" customFormat="1">
      <c r="B3023"/>
      <c r="C3023"/>
      <c r="D3023"/>
      <c r="E3023"/>
      <c r="F3023"/>
      <c r="G3023"/>
      <c r="K3023" s="61"/>
    </row>
    <row r="3024" spans="2:11" s="3" customFormat="1">
      <c r="B3024"/>
      <c r="C3024"/>
      <c r="D3024"/>
      <c r="E3024"/>
      <c r="F3024"/>
      <c r="G3024"/>
      <c r="K3024" s="61"/>
    </row>
    <row r="3025" spans="2:11" s="3" customFormat="1">
      <c r="B3025"/>
      <c r="C3025"/>
      <c r="D3025"/>
      <c r="E3025"/>
      <c r="F3025"/>
      <c r="G3025"/>
      <c r="K3025" s="61"/>
    </row>
    <row r="3026" spans="2:11" s="3" customFormat="1">
      <c r="B3026"/>
      <c r="C3026"/>
      <c r="D3026"/>
      <c r="E3026"/>
      <c r="F3026"/>
      <c r="G3026"/>
      <c r="K3026" s="61"/>
    </row>
    <row r="3027" spans="2:11" s="3" customFormat="1">
      <c r="B3027"/>
      <c r="C3027"/>
      <c r="D3027"/>
      <c r="E3027"/>
      <c r="F3027"/>
      <c r="G3027"/>
      <c r="K3027" s="61"/>
    </row>
    <row r="3028" spans="2:11" s="3" customFormat="1">
      <c r="B3028"/>
      <c r="C3028"/>
      <c r="D3028"/>
      <c r="E3028"/>
      <c r="F3028"/>
      <c r="G3028"/>
      <c r="K3028" s="61"/>
    </row>
    <row r="3029" spans="2:11" s="3" customFormat="1">
      <c r="B3029"/>
      <c r="C3029"/>
      <c r="D3029"/>
      <c r="E3029"/>
      <c r="F3029"/>
      <c r="G3029"/>
      <c r="K3029" s="61"/>
    </row>
    <row r="3030" spans="2:11" s="3" customFormat="1">
      <c r="B3030"/>
      <c r="C3030"/>
      <c r="D3030"/>
      <c r="E3030"/>
      <c r="F3030"/>
      <c r="G3030"/>
      <c r="K3030" s="61"/>
    </row>
    <row r="3031" spans="2:11" s="3" customFormat="1">
      <c r="B3031"/>
      <c r="C3031"/>
      <c r="D3031"/>
      <c r="E3031"/>
      <c r="F3031"/>
      <c r="G3031"/>
      <c r="K3031" s="61"/>
    </row>
    <row r="3032" spans="2:11" s="3" customFormat="1">
      <c r="B3032"/>
      <c r="C3032"/>
      <c r="D3032"/>
      <c r="E3032"/>
      <c r="F3032"/>
      <c r="G3032"/>
      <c r="K3032" s="61"/>
    </row>
    <row r="3033" spans="2:11" s="3" customFormat="1">
      <c r="B3033"/>
      <c r="C3033"/>
      <c r="D3033"/>
      <c r="E3033"/>
      <c r="F3033"/>
      <c r="G3033"/>
      <c r="K3033" s="61"/>
    </row>
    <row r="3034" spans="2:11" s="3" customFormat="1">
      <c r="B3034"/>
      <c r="C3034"/>
      <c r="D3034"/>
      <c r="E3034"/>
      <c r="F3034"/>
      <c r="G3034"/>
      <c r="K3034" s="61"/>
    </row>
    <row r="3035" spans="2:11" s="3" customFormat="1">
      <c r="B3035"/>
      <c r="C3035"/>
      <c r="D3035"/>
      <c r="E3035"/>
      <c r="F3035"/>
      <c r="G3035"/>
      <c r="K3035" s="61"/>
    </row>
    <row r="3036" spans="2:11" s="3" customFormat="1">
      <c r="B3036"/>
      <c r="C3036"/>
      <c r="D3036"/>
      <c r="E3036"/>
      <c r="F3036"/>
      <c r="G3036"/>
      <c r="K3036" s="61"/>
    </row>
    <row r="3037" spans="2:11" s="3" customFormat="1">
      <c r="B3037"/>
      <c r="C3037"/>
      <c r="D3037"/>
      <c r="E3037"/>
      <c r="F3037"/>
      <c r="G3037"/>
      <c r="K3037" s="61"/>
    </row>
    <row r="3038" spans="2:11" s="3" customFormat="1">
      <c r="B3038"/>
      <c r="C3038"/>
      <c r="D3038"/>
      <c r="E3038"/>
      <c r="F3038"/>
      <c r="G3038"/>
      <c r="K3038" s="61"/>
    </row>
    <row r="3039" spans="2:11" s="3" customFormat="1">
      <c r="B3039"/>
      <c r="C3039"/>
      <c r="D3039"/>
      <c r="E3039"/>
      <c r="F3039"/>
      <c r="G3039"/>
      <c r="K3039" s="61"/>
    </row>
    <row r="3040" spans="2:11" s="3" customFormat="1">
      <c r="B3040"/>
      <c r="C3040"/>
      <c r="D3040"/>
      <c r="E3040"/>
      <c r="F3040"/>
      <c r="G3040"/>
      <c r="K3040" s="61"/>
    </row>
    <row r="3041" spans="2:11" s="3" customFormat="1">
      <c r="B3041"/>
      <c r="C3041"/>
      <c r="D3041"/>
      <c r="E3041"/>
      <c r="F3041"/>
      <c r="G3041"/>
      <c r="K3041" s="61"/>
    </row>
    <row r="3042" spans="2:11" s="3" customFormat="1">
      <c r="B3042"/>
      <c r="C3042"/>
      <c r="D3042"/>
      <c r="E3042"/>
      <c r="F3042"/>
      <c r="G3042"/>
      <c r="K3042" s="61"/>
    </row>
    <row r="3043" spans="2:11" s="3" customFormat="1">
      <c r="B3043"/>
      <c r="C3043"/>
      <c r="D3043"/>
      <c r="E3043"/>
      <c r="F3043"/>
      <c r="G3043"/>
      <c r="K3043" s="61"/>
    </row>
    <row r="3044" spans="2:11" s="3" customFormat="1">
      <c r="B3044"/>
      <c r="C3044"/>
      <c r="D3044"/>
      <c r="E3044"/>
      <c r="F3044"/>
      <c r="G3044"/>
      <c r="K3044" s="61"/>
    </row>
    <row r="3045" spans="2:11" s="3" customFormat="1">
      <c r="B3045"/>
      <c r="C3045"/>
      <c r="D3045"/>
      <c r="E3045"/>
      <c r="F3045"/>
      <c r="G3045"/>
      <c r="K3045" s="61"/>
    </row>
    <row r="3046" spans="2:11" s="3" customFormat="1">
      <c r="B3046"/>
      <c r="C3046"/>
      <c r="D3046"/>
      <c r="E3046"/>
      <c r="F3046"/>
      <c r="G3046"/>
      <c r="K3046" s="61"/>
    </row>
    <row r="3047" spans="2:11" s="3" customFormat="1">
      <c r="B3047"/>
      <c r="C3047"/>
      <c r="D3047"/>
      <c r="E3047"/>
      <c r="F3047"/>
      <c r="G3047"/>
      <c r="K3047" s="61"/>
    </row>
    <row r="3048" spans="2:11" s="3" customFormat="1">
      <c r="B3048"/>
      <c r="C3048"/>
      <c r="D3048"/>
      <c r="E3048"/>
      <c r="F3048"/>
      <c r="G3048"/>
      <c r="K3048" s="61"/>
    </row>
    <row r="3049" spans="2:11" s="3" customFormat="1">
      <c r="B3049"/>
      <c r="C3049"/>
      <c r="D3049"/>
      <c r="E3049"/>
      <c r="F3049"/>
      <c r="G3049"/>
      <c r="K3049" s="61"/>
    </row>
    <row r="3050" spans="2:11" s="3" customFormat="1">
      <c r="B3050"/>
      <c r="C3050"/>
      <c r="D3050"/>
      <c r="E3050"/>
      <c r="F3050"/>
      <c r="G3050"/>
      <c r="K3050" s="61"/>
    </row>
    <row r="3051" spans="2:11" s="3" customFormat="1">
      <c r="B3051"/>
      <c r="C3051"/>
      <c r="D3051"/>
      <c r="E3051"/>
      <c r="F3051"/>
      <c r="G3051"/>
      <c r="K3051" s="61"/>
    </row>
    <row r="3052" spans="2:11" s="3" customFormat="1">
      <c r="B3052"/>
      <c r="C3052"/>
      <c r="D3052"/>
      <c r="E3052"/>
      <c r="F3052"/>
      <c r="G3052"/>
      <c r="K3052" s="61"/>
    </row>
    <row r="3053" spans="2:11" s="3" customFormat="1">
      <c r="B3053"/>
      <c r="C3053"/>
      <c r="D3053"/>
      <c r="E3053"/>
      <c r="F3053"/>
      <c r="G3053"/>
      <c r="K3053" s="61"/>
    </row>
    <row r="3054" spans="2:11" s="3" customFormat="1">
      <c r="B3054"/>
      <c r="C3054"/>
      <c r="D3054"/>
      <c r="E3054"/>
      <c r="F3054"/>
      <c r="G3054"/>
      <c r="K3054" s="61"/>
    </row>
    <row r="3055" spans="2:11" s="3" customFormat="1">
      <c r="B3055"/>
      <c r="C3055"/>
      <c r="D3055"/>
      <c r="E3055"/>
      <c r="F3055"/>
      <c r="G3055"/>
      <c r="K3055" s="61"/>
    </row>
    <row r="3056" spans="2:11" s="3" customFormat="1">
      <c r="B3056"/>
      <c r="C3056"/>
      <c r="D3056"/>
      <c r="E3056"/>
      <c r="F3056"/>
      <c r="G3056"/>
      <c r="K3056" s="61"/>
    </row>
    <row r="3057" spans="2:11" s="3" customFormat="1">
      <c r="B3057"/>
      <c r="C3057"/>
      <c r="D3057"/>
      <c r="E3057"/>
      <c r="F3057"/>
      <c r="G3057"/>
      <c r="K3057" s="61"/>
    </row>
    <row r="3058" spans="2:11" s="3" customFormat="1">
      <c r="B3058"/>
      <c r="C3058"/>
      <c r="D3058"/>
      <c r="E3058"/>
      <c r="F3058"/>
      <c r="G3058"/>
      <c r="K3058" s="61"/>
    </row>
    <row r="3059" spans="2:11" s="3" customFormat="1">
      <c r="B3059"/>
      <c r="C3059"/>
      <c r="D3059"/>
      <c r="E3059"/>
      <c r="F3059"/>
      <c r="G3059"/>
      <c r="K3059" s="61"/>
    </row>
    <row r="3060" spans="2:11" s="3" customFormat="1">
      <c r="B3060"/>
      <c r="C3060"/>
      <c r="D3060"/>
      <c r="E3060"/>
      <c r="F3060"/>
      <c r="G3060"/>
      <c r="K3060" s="61"/>
    </row>
    <row r="3061" spans="2:11" s="3" customFormat="1">
      <c r="B3061"/>
      <c r="C3061"/>
      <c r="D3061"/>
      <c r="E3061"/>
      <c r="F3061"/>
      <c r="G3061"/>
      <c r="K3061" s="61"/>
    </row>
    <row r="3062" spans="2:11" s="3" customFormat="1">
      <c r="B3062"/>
      <c r="C3062"/>
      <c r="D3062"/>
      <c r="E3062"/>
      <c r="F3062"/>
      <c r="G3062"/>
      <c r="K3062" s="61"/>
    </row>
    <row r="3063" spans="2:11" s="3" customFormat="1">
      <c r="B3063"/>
      <c r="C3063"/>
      <c r="D3063"/>
      <c r="E3063"/>
      <c r="F3063"/>
      <c r="G3063"/>
      <c r="K3063" s="61"/>
    </row>
    <row r="3064" spans="2:11" s="3" customFormat="1">
      <c r="B3064"/>
      <c r="C3064"/>
      <c r="D3064"/>
      <c r="E3064"/>
      <c r="F3064"/>
      <c r="G3064"/>
      <c r="K3064" s="61"/>
    </row>
    <row r="3065" spans="2:11" s="3" customFormat="1">
      <c r="B3065"/>
      <c r="C3065"/>
      <c r="D3065"/>
      <c r="E3065"/>
      <c r="F3065"/>
      <c r="G3065"/>
      <c r="K3065" s="61"/>
    </row>
    <row r="3066" spans="2:11" s="3" customFormat="1">
      <c r="B3066"/>
      <c r="C3066"/>
      <c r="D3066"/>
      <c r="E3066"/>
      <c r="F3066"/>
      <c r="G3066"/>
      <c r="K3066" s="61"/>
    </row>
    <row r="3067" spans="2:11" s="3" customFormat="1">
      <c r="B3067"/>
      <c r="C3067"/>
      <c r="D3067"/>
      <c r="E3067"/>
      <c r="F3067"/>
      <c r="G3067"/>
      <c r="K3067" s="61"/>
    </row>
    <row r="3068" spans="2:11" s="3" customFormat="1">
      <c r="B3068"/>
      <c r="C3068"/>
      <c r="D3068"/>
      <c r="E3068"/>
      <c r="F3068"/>
      <c r="G3068"/>
      <c r="K3068" s="61"/>
    </row>
    <row r="3069" spans="2:11" s="3" customFormat="1">
      <c r="B3069"/>
      <c r="C3069"/>
      <c r="D3069"/>
      <c r="E3069"/>
      <c r="F3069"/>
      <c r="G3069"/>
      <c r="K3069" s="61"/>
    </row>
    <row r="3070" spans="2:11" s="3" customFormat="1">
      <c r="B3070"/>
      <c r="C3070"/>
      <c r="D3070"/>
      <c r="E3070"/>
      <c r="F3070"/>
      <c r="G3070"/>
      <c r="K3070" s="61"/>
    </row>
    <row r="3071" spans="2:11" s="3" customFormat="1">
      <c r="B3071"/>
      <c r="C3071"/>
      <c r="D3071"/>
      <c r="E3071"/>
      <c r="F3071"/>
      <c r="G3071"/>
      <c r="K3071" s="61"/>
    </row>
    <row r="3072" spans="2:11" s="3" customFormat="1">
      <c r="B3072"/>
      <c r="C3072"/>
      <c r="D3072"/>
      <c r="E3072"/>
      <c r="F3072"/>
      <c r="G3072"/>
      <c r="K3072" s="61"/>
    </row>
    <row r="3073" spans="2:11" s="3" customFormat="1">
      <c r="B3073"/>
      <c r="C3073"/>
      <c r="D3073"/>
      <c r="E3073"/>
      <c r="F3073"/>
      <c r="G3073"/>
      <c r="K3073" s="61"/>
    </row>
    <row r="3074" spans="2:11" s="3" customFormat="1">
      <c r="B3074"/>
      <c r="C3074"/>
      <c r="D3074"/>
      <c r="E3074"/>
      <c r="F3074"/>
      <c r="G3074"/>
      <c r="K3074" s="61"/>
    </row>
    <row r="3075" spans="2:11" s="3" customFormat="1">
      <c r="B3075"/>
      <c r="C3075"/>
      <c r="D3075"/>
      <c r="E3075"/>
      <c r="F3075"/>
      <c r="G3075"/>
      <c r="K3075" s="61"/>
    </row>
    <row r="3076" spans="2:11" s="3" customFormat="1">
      <c r="B3076"/>
      <c r="C3076"/>
      <c r="D3076"/>
      <c r="E3076"/>
      <c r="F3076"/>
      <c r="G3076"/>
      <c r="K3076" s="61"/>
    </row>
    <row r="3077" spans="2:11" s="3" customFormat="1">
      <c r="B3077"/>
      <c r="C3077"/>
      <c r="D3077"/>
      <c r="E3077"/>
      <c r="F3077"/>
      <c r="G3077"/>
      <c r="K3077" s="61"/>
    </row>
    <row r="3078" spans="2:11" s="3" customFormat="1">
      <c r="B3078"/>
      <c r="C3078"/>
      <c r="D3078"/>
      <c r="E3078"/>
      <c r="F3078"/>
      <c r="G3078"/>
      <c r="K3078" s="61"/>
    </row>
    <row r="3079" spans="2:11" s="3" customFormat="1">
      <c r="B3079"/>
      <c r="C3079"/>
      <c r="D3079"/>
      <c r="E3079"/>
      <c r="F3079"/>
      <c r="G3079"/>
      <c r="K3079" s="61"/>
    </row>
    <row r="3080" spans="2:11" s="3" customFormat="1">
      <c r="B3080"/>
      <c r="C3080"/>
      <c r="D3080"/>
      <c r="E3080"/>
      <c r="F3080"/>
      <c r="G3080"/>
      <c r="K3080" s="61"/>
    </row>
    <row r="3081" spans="2:11" s="3" customFormat="1">
      <c r="B3081"/>
      <c r="C3081"/>
      <c r="D3081"/>
      <c r="E3081"/>
      <c r="F3081"/>
      <c r="G3081"/>
      <c r="K3081" s="61"/>
    </row>
    <row r="3082" spans="2:11" s="3" customFormat="1">
      <c r="B3082"/>
      <c r="C3082"/>
      <c r="D3082"/>
      <c r="E3082"/>
      <c r="F3082"/>
      <c r="G3082"/>
      <c r="K3082" s="61"/>
    </row>
    <row r="3083" spans="2:11" s="3" customFormat="1">
      <c r="B3083"/>
      <c r="C3083"/>
      <c r="D3083"/>
      <c r="E3083"/>
      <c r="F3083"/>
      <c r="G3083"/>
      <c r="K3083" s="61"/>
    </row>
    <row r="3084" spans="2:11" s="3" customFormat="1">
      <c r="B3084"/>
      <c r="C3084"/>
      <c r="D3084"/>
      <c r="E3084"/>
      <c r="F3084"/>
      <c r="G3084"/>
      <c r="K3084" s="61"/>
    </row>
    <row r="3085" spans="2:11" s="3" customFormat="1">
      <c r="B3085"/>
      <c r="C3085"/>
      <c r="D3085"/>
      <c r="E3085"/>
      <c r="F3085"/>
      <c r="G3085"/>
      <c r="K3085" s="61"/>
    </row>
    <row r="3086" spans="2:11" s="3" customFormat="1">
      <c r="B3086"/>
      <c r="C3086"/>
      <c r="D3086"/>
      <c r="E3086"/>
      <c r="F3086"/>
      <c r="G3086"/>
      <c r="K3086" s="61"/>
    </row>
    <row r="3087" spans="2:11" s="3" customFormat="1">
      <c r="B3087"/>
      <c r="C3087"/>
      <c r="D3087"/>
      <c r="E3087"/>
      <c r="F3087"/>
      <c r="G3087"/>
      <c r="K3087" s="61"/>
    </row>
    <row r="3088" spans="2:11" s="3" customFormat="1">
      <c r="B3088"/>
      <c r="C3088"/>
      <c r="D3088"/>
      <c r="E3088"/>
      <c r="F3088"/>
      <c r="G3088"/>
      <c r="K3088" s="61"/>
    </row>
    <row r="3089" spans="2:11" s="3" customFormat="1">
      <c r="B3089"/>
      <c r="C3089"/>
      <c r="D3089"/>
      <c r="E3089"/>
      <c r="F3089"/>
      <c r="G3089"/>
      <c r="K3089" s="61"/>
    </row>
    <row r="3090" spans="2:11" s="3" customFormat="1">
      <c r="B3090"/>
      <c r="C3090"/>
      <c r="D3090"/>
      <c r="E3090"/>
      <c r="F3090"/>
      <c r="G3090"/>
      <c r="K3090" s="61"/>
    </row>
    <row r="3091" spans="2:11" s="3" customFormat="1">
      <c r="B3091"/>
      <c r="C3091"/>
      <c r="D3091"/>
      <c r="E3091"/>
      <c r="F3091"/>
      <c r="G3091"/>
      <c r="K3091" s="61"/>
    </row>
    <row r="3092" spans="2:11" s="3" customFormat="1">
      <c r="B3092"/>
      <c r="C3092"/>
      <c r="D3092"/>
      <c r="E3092"/>
      <c r="F3092"/>
      <c r="G3092"/>
      <c r="K3092" s="61"/>
    </row>
    <row r="3093" spans="2:11" s="3" customFormat="1">
      <c r="B3093"/>
      <c r="C3093"/>
      <c r="D3093"/>
      <c r="E3093"/>
      <c r="F3093"/>
      <c r="G3093"/>
      <c r="K3093" s="61"/>
    </row>
    <row r="3094" spans="2:11" s="3" customFormat="1">
      <c r="B3094"/>
      <c r="C3094"/>
      <c r="D3094"/>
      <c r="E3094"/>
      <c r="F3094"/>
      <c r="G3094"/>
      <c r="K3094" s="61"/>
    </row>
    <row r="3095" spans="2:11" s="3" customFormat="1">
      <c r="B3095"/>
      <c r="C3095"/>
      <c r="D3095"/>
      <c r="E3095"/>
      <c r="F3095"/>
      <c r="G3095"/>
      <c r="K3095" s="61"/>
    </row>
    <row r="3096" spans="2:11" s="3" customFormat="1">
      <c r="B3096"/>
      <c r="C3096"/>
      <c r="D3096"/>
      <c r="E3096"/>
      <c r="F3096"/>
      <c r="G3096"/>
      <c r="K3096" s="61"/>
    </row>
    <row r="3097" spans="2:11" s="3" customFormat="1">
      <c r="B3097"/>
      <c r="C3097"/>
      <c r="D3097"/>
      <c r="E3097"/>
      <c r="F3097"/>
      <c r="G3097"/>
      <c r="K3097" s="61"/>
    </row>
    <row r="3098" spans="2:11" s="3" customFormat="1">
      <c r="B3098"/>
      <c r="C3098"/>
      <c r="D3098"/>
      <c r="E3098"/>
      <c r="F3098"/>
      <c r="G3098"/>
      <c r="K3098" s="61"/>
    </row>
    <row r="3099" spans="2:11" s="3" customFormat="1">
      <c r="B3099"/>
      <c r="C3099"/>
      <c r="D3099"/>
      <c r="E3099"/>
      <c r="F3099"/>
      <c r="G3099"/>
      <c r="K3099" s="61"/>
    </row>
    <row r="3100" spans="2:11" s="3" customFormat="1">
      <c r="B3100"/>
      <c r="C3100"/>
      <c r="D3100"/>
      <c r="E3100"/>
      <c r="F3100"/>
      <c r="G3100"/>
      <c r="K3100" s="61"/>
    </row>
    <row r="3101" spans="2:11" s="3" customFormat="1">
      <c r="B3101"/>
      <c r="C3101"/>
      <c r="D3101"/>
      <c r="E3101"/>
      <c r="F3101"/>
      <c r="G3101"/>
      <c r="K3101" s="61"/>
    </row>
    <row r="3102" spans="2:11" s="3" customFormat="1">
      <c r="B3102"/>
      <c r="C3102"/>
      <c r="D3102"/>
      <c r="E3102"/>
      <c r="F3102"/>
      <c r="G3102"/>
      <c r="K3102" s="61"/>
    </row>
    <row r="3103" spans="2:11" s="3" customFormat="1">
      <c r="B3103"/>
      <c r="C3103"/>
      <c r="D3103"/>
      <c r="E3103"/>
      <c r="F3103"/>
      <c r="G3103"/>
      <c r="K3103" s="61"/>
    </row>
    <row r="3104" spans="2:11" s="3" customFormat="1">
      <c r="B3104"/>
      <c r="C3104"/>
      <c r="D3104"/>
      <c r="E3104"/>
      <c r="F3104"/>
      <c r="G3104"/>
      <c r="K3104" s="61"/>
    </row>
    <row r="3105" spans="2:11" s="3" customFormat="1">
      <c r="B3105"/>
      <c r="C3105"/>
      <c r="D3105"/>
      <c r="E3105"/>
      <c r="F3105"/>
      <c r="G3105"/>
      <c r="K3105" s="61"/>
    </row>
    <row r="3106" spans="2:11" s="3" customFormat="1">
      <c r="B3106"/>
      <c r="C3106"/>
      <c r="D3106"/>
      <c r="E3106"/>
      <c r="F3106"/>
      <c r="G3106"/>
      <c r="K3106" s="61"/>
    </row>
    <row r="3107" spans="2:11" s="3" customFormat="1">
      <c r="B3107"/>
      <c r="C3107"/>
      <c r="D3107"/>
      <c r="E3107"/>
      <c r="F3107"/>
      <c r="G3107"/>
      <c r="K3107" s="61"/>
    </row>
    <row r="3108" spans="2:11" s="3" customFormat="1">
      <c r="B3108"/>
      <c r="C3108"/>
      <c r="D3108"/>
      <c r="E3108"/>
      <c r="F3108"/>
      <c r="G3108"/>
      <c r="K3108" s="61"/>
    </row>
    <row r="3109" spans="2:11" s="3" customFormat="1">
      <c r="B3109"/>
      <c r="C3109"/>
      <c r="D3109"/>
      <c r="E3109"/>
      <c r="F3109"/>
      <c r="G3109"/>
      <c r="K3109" s="61"/>
    </row>
    <row r="3110" spans="2:11" s="3" customFormat="1">
      <c r="B3110"/>
      <c r="C3110"/>
      <c r="D3110"/>
      <c r="E3110"/>
      <c r="F3110"/>
      <c r="G3110"/>
      <c r="K3110" s="61"/>
    </row>
    <row r="3111" spans="2:11" s="3" customFormat="1">
      <c r="B3111"/>
      <c r="C3111"/>
      <c r="D3111"/>
      <c r="E3111"/>
      <c r="F3111"/>
      <c r="G3111"/>
      <c r="K3111" s="61"/>
    </row>
    <row r="3112" spans="2:11" s="3" customFormat="1">
      <c r="B3112"/>
      <c r="C3112"/>
      <c r="D3112"/>
      <c r="E3112"/>
      <c r="F3112"/>
      <c r="G3112"/>
      <c r="K3112" s="61"/>
    </row>
    <row r="3113" spans="2:11" s="3" customFormat="1">
      <c r="B3113"/>
      <c r="C3113"/>
      <c r="D3113"/>
      <c r="E3113"/>
      <c r="F3113"/>
      <c r="G3113"/>
      <c r="K3113" s="61"/>
    </row>
    <row r="3114" spans="2:11" s="3" customFormat="1">
      <c r="B3114"/>
      <c r="C3114"/>
      <c r="D3114"/>
      <c r="E3114"/>
      <c r="F3114"/>
      <c r="G3114"/>
      <c r="K3114" s="61"/>
    </row>
    <row r="3115" spans="2:11" s="3" customFormat="1">
      <c r="B3115"/>
      <c r="C3115"/>
      <c r="D3115"/>
      <c r="E3115"/>
      <c r="F3115"/>
      <c r="G3115"/>
      <c r="K3115" s="61"/>
    </row>
    <row r="3116" spans="2:11" s="3" customFormat="1">
      <c r="B3116"/>
      <c r="C3116"/>
      <c r="D3116"/>
      <c r="E3116"/>
      <c r="F3116"/>
      <c r="G3116"/>
      <c r="K3116" s="61"/>
    </row>
    <row r="3117" spans="2:11" s="3" customFormat="1">
      <c r="B3117"/>
      <c r="C3117"/>
      <c r="D3117"/>
      <c r="E3117"/>
      <c r="F3117"/>
      <c r="G3117"/>
      <c r="K3117" s="61"/>
    </row>
    <row r="3118" spans="2:11" s="3" customFormat="1">
      <c r="B3118"/>
      <c r="C3118"/>
      <c r="D3118"/>
      <c r="E3118"/>
      <c r="F3118"/>
      <c r="G3118"/>
      <c r="K3118" s="61"/>
    </row>
    <row r="3119" spans="2:11" s="3" customFormat="1">
      <c r="B3119"/>
      <c r="C3119"/>
      <c r="D3119"/>
      <c r="E3119"/>
      <c r="F3119"/>
      <c r="G3119"/>
      <c r="K3119" s="61"/>
    </row>
    <row r="3120" spans="2:11" s="3" customFormat="1">
      <c r="B3120"/>
      <c r="C3120"/>
      <c r="D3120"/>
      <c r="E3120"/>
      <c r="F3120"/>
      <c r="G3120"/>
      <c r="K3120" s="61"/>
    </row>
    <row r="3121" spans="2:11" s="3" customFormat="1">
      <c r="B3121"/>
      <c r="C3121"/>
      <c r="D3121"/>
      <c r="E3121"/>
      <c r="F3121"/>
      <c r="G3121"/>
      <c r="K3121" s="61"/>
    </row>
    <row r="3122" spans="2:11" s="3" customFormat="1">
      <c r="B3122"/>
      <c r="C3122"/>
      <c r="D3122"/>
      <c r="E3122"/>
      <c r="F3122"/>
      <c r="G3122"/>
      <c r="K3122" s="61"/>
    </row>
    <row r="3123" spans="2:11" s="3" customFormat="1">
      <c r="B3123"/>
      <c r="C3123"/>
      <c r="D3123"/>
      <c r="E3123"/>
      <c r="F3123"/>
      <c r="G3123"/>
      <c r="K3123" s="61"/>
    </row>
    <row r="3124" spans="2:11" s="3" customFormat="1">
      <c r="B3124"/>
      <c r="C3124"/>
      <c r="D3124"/>
      <c r="E3124"/>
      <c r="F3124"/>
      <c r="G3124"/>
      <c r="K3124" s="61"/>
    </row>
    <row r="3125" spans="2:11" s="3" customFormat="1">
      <c r="B3125"/>
      <c r="C3125"/>
      <c r="D3125"/>
      <c r="E3125"/>
      <c r="F3125"/>
      <c r="G3125"/>
      <c r="K3125" s="61"/>
    </row>
    <row r="3126" spans="2:11" s="3" customFormat="1">
      <c r="B3126"/>
      <c r="C3126"/>
      <c r="D3126"/>
      <c r="E3126"/>
      <c r="F3126"/>
      <c r="G3126"/>
      <c r="K3126" s="61"/>
    </row>
    <row r="3127" spans="2:11" s="3" customFormat="1">
      <c r="B3127"/>
      <c r="C3127"/>
      <c r="D3127"/>
      <c r="E3127"/>
      <c r="F3127"/>
      <c r="G3127"/>
      <c r="K3127" s="61"/>
    </row>
    <row r="3128" spans="2:11" s="3" customFormat="1">
      <c r="B3128"/>
      <c r="C3128"/>
      <c r="D3128"/>
      <c r="E3128"/>
      <c r="F3128"/>
      <c r="G3128"/>
      <c r="K3128" s="61"/>
    </row>
    <row r="3129" spans="2:11" s="3" customFormat="1">
      <c r="B3129"/>
      <c r="C3129"/>
      <c r="D3129"/>
      <c r="E3129"/>
      <c r="F3129"/>
      <c r="G3129"/>
      <c r="K3129" s="61"/>
    </row>
    <row r="3130" spans="2:11" s="3" customFormat="1">
      <c r="B3130"/>
      <c r="C3130"/>
      <c r="D3130"/>
      <c r="E3130"/>
      <c r="F3130"/>
      <c r="G3130"/>
      <c r="K3130" s="61"/>
    </row>
    <row r="3131" spans="2:11" s="3" customFormat="1">
      <c r="B3131"/>
      <c r="C3131"/>
      <c r="D3131"/>
      <c r="E3131"/>
      <c r="F3131"/>
      <c r="G3131"/>
      <c r="K3131" s="61"/>
    </row>
    <row r="3132" spans="2:11" s="3" customFormat="1">
      <c r="B3132"/>
      <c r="C3132"/>
      <c r="D3132"/>
      <c r="E3132"/>
      <c r="F3132"/>
      <c r="G3132"/>
      <c r="K3132" s="61"/>
    </row>
    <row r="3133" spans="2:11" s="3" customFormat="1">
      <c r="B3133"/>
      <c r="C3133"/>
      <c r="D3133"/>
      <c r="E3133"/>
      <c r="F3133"/>
      <c r="G3133"/>
      <c r="K3133" s="61"/>
    </row>
    <row r="3134" spans="2:11" s="3" customFormat="1">
      <c r="B3134"/>
      <c r="C3134"/>
      <c r="D3134"/>
      <c r="E3134"/>
      <c r="F3134"/>
      <c r="G3134"/>
      <c r="K3134" s="61"/>
    </row>
    <row r="3135" spans="2:11" s="3" customFormat="1">
      <c r="B3135"/>
      <c r="C3135"/>
      <c r="D3135"/>
      <c r="E3135"/>
      <c r="F3135"/>
      <c r="G3135"/>
      <c r="K3135" s="61"/>
    </row>
    <row r="3136" spans="2:11" s="3" customFormat="1">
      <c r="B3136"/>
      <c r="C3136"/>
      <c r="D3136"/>
      <c r="E3136"/>
      <c r="F3136"/>
      <c r="G3136"/>
      <c r="K3136" s="61"/>
    </row>
    <row r="3137" spans="2:11" s="3" customFormat="1">
      <c r="B3137"/>
      <c r="C3137"/>
      <c r="D3137"/>
      <c r="E3137"/>
      <c r="F3137"/>
      <c r="G3137"/>
      <c r="K3137" s="61"/>
    </row>
    <row r="3138" spans="2:11" s="3" customFormat="1">
      <c r="B3138"/>
      <c r="C3138"/>
      <c r="D3138"/>
      <c r="E3138"/>
      <c r="F3138"/>
      <c r="G3138"/>
      <c r="K3138" s="61"/>
    </row>
    <row r="3139" spans="2:11" s="3" customFormat="1">
      <c r="B3139"/>
      <c r="C3139"/>
      <c r="D3139"/>
      <c r="E3139"/>
      <c r="F3139"/>
      <c r="G3139"/>
      <c r="K3139" s="61"/>
    </row>
    <row r="3140" spans="2:11" s="3" customFormat="1">
      <c r="B3140"/>
      <c r="C3140"/>
      <c r="D3140"/>
      <c r="E3140"/>
      <c r="F3140"/>
      <c r="G3140"/>
      <c r="K3140" s="61"/>
    </row>
    <row r="3141" spans="2:11" s="3" customFormat="1">
      <c r="B3141"/>
      <c r="C3141"/>
      <c r="D3141"/>
      <c r="E3141"/>
      <c r="F3141"/>
      <c r="G3141"/>
      <c r="K3141" s="61"/>
    </row>
    <row r="3142" spans="2:11" s="3" customFormat="1">
      <c r="B3142"/>
      <c r="C3142"/>
      <c r="D3142"/>
      <c r="E3142"/>
      <c r="F3142"/>
      <c r="G3142"/>
      <c r="K3142" s="61"/>
    </row>
    <row r="3143" spans="2:11" s="3" customFormat="1">
      <c r="B3143"/>
      <c r="C3143"/>
      <c r="D3143"/>
      <c r="E3143"/>
      <c r="F3143"/>
      <c r="G3143"/>
      <c r="K3143" s="61"/>
    </row>
    <row r="3144" spans="2:11" s="3" customFormat="1">
      <c r="B3144"/>
      <c r="C3144"/>
      <c r="D3144"/>
      <c r="E3144"/>
      <c r="F3144"/>
      <c r="G3144"/>
      <c r="K3144" s="61"/>
    </row>
    <row r="3145" spans="2:11" s="3" customFormat="1">
      <c r="B3145"/>
      <c r="C3145"/>
      <c r="D3145"/>
      <c r="E3145"/>
      <c r="F3145"/>
      <c r="G3145"/>
      <c r="K3145" s="61"/>
    </row>
    <row r="3146" spans="2:11" s="3" customFormat="1">
      <c r="B3146"/>
      <c r="C3146"/>
      <c r="D3146"/>
      <c r="E3146"/>
      <c r="F3146"/>
      <c r="G3146"/>
      <c r="K3146" s="61"/>
    </row>
    <row r="3147" spans="2:11" s="3" customFormat="1">
      <c r="B3147"/>
      <c r="C3147"/>
      <c r="D3147"/>
      <c r="E3147"/>
      <c r="F3147"/>
      <c r="G3147"/>
      <c r="K3147" s="61"/>
    </row>
    <row r="3148" spans="2:11" s="3" customFormat="1">
      <c r="B3148"/>
      <c r="C3148"/>
      <c r="D3148"/>
      <c r="E3148"/>
      <c r="F3148"/>
      <c r="G3148"/>
      <c r="K3148" s="61"/>
    </row>
    <row r="3149" spans="2:11" s="3" customFormat="1">
      <c r="B3149"/>
      <c r="C3149"/>
      <c r="D3149"/>
      <c r="E3149"/>
      <c r="F3149"/>
      <c r="G3149"/>
      <c r="K3149" s="61"/>
    </row>
    <row r="3150" spans="2:11" s="3" customFormat="1">
      <c r="B3150"/>
      <c r="C3150"/>
      <c r="D3150"/>
      <c r="E3150"/>
      <c r="F3150"/>
      <c r="G3150"/>
      <c r="K3150" s="61"/>
    </row>
    <row r="3151" spans="2:11" s="3" customFormat="1">
      <c r="B3151"/>
      <c r="C3151"/>
      <c r="D3151"/>
      <c r="E3151"/>
      <c r="F3151"/>
      <c r="G3151"/>
      <c r="K3151" s="61"/>
    </row>
    <row r="3152" spans="2:11" s="3" customFormat="1">
      <c r="B3152"/>
      <c r="C3152"/>
      <c r="D3152"/>
      <c r="E3152"/>
      <c r="F3152"/>
      <c r="G3152"/>
      <c r="K3152" s="61"/>
    </row>
    <row r="3153" spans="2:11" s="3" customFormat="1">
      <c r="B3153"/>
      <c r="C3153"/>
      <c r="D3153"/>
      <c r="E3153"/>
      <c r="F3153"/>
      <c r="G3153"/>
      <c r="K3153" s="61"/>
    </row>
    <row r="3154" spans="2:11" s="3" customFormat="1">
      <c r="B3154"/>
      <c r="C3154"/>
      <c r="D3154"/>
      <c r="E3154"/>
      <c r="F3154"/>
      <c r="G3154"/>
      <c r="K3154" s="61"/>
    </row>
    <row r="3155" spans="2:11" s="3" customFormat="1">
      <c r="B3155"/>
      <c r="C3155"/>
      <c r="D3155"/>
      <c r="E3155"/>
      <c r="F3155"/>
      <c r="G3155"/>
      <c r="K3155" s="61"/>
    </row>
    <row r="3156" spans="2:11" s="3" customFormat="1">
      <c r="B3156"/>
      <c r="C3156"/>
      <c r="D3156"/>
      <c r="E3156"/>
      <c r="F3156"/>
      <c r="G3156"/>
      <c r="K3156" s="61"/>
    </row>
    <row r="3157" spans="2:11" s="3" customFormat="1">
      <c r="B3157"/>
      <c r="C3157"/>
      <c r="D3157"/>
      <c r="E3157"/>
      <c r="F3157"/>
      <c r="G3157"/>
      <c r="K3157" s="61"/>
    </row>
    <row r="3158" spans="2:11" s="3" customFormat="1">
      <c r="B3158"/>
      <c r="C3158"/>
      <c r="D3158"/>
      <c r="E3158"/>
      <c r="F3158"/>
      <c r="G3158"/>
      <c r="K3158" s="61"/>
    </row>
    <row r="3159" spans="2:11" s="3" customFormat="1">
      <c r="B3159"/>
      <c r="C3159"/>
      <c r="D3159"/>
      <c r="E3159"/>
      <c r="F3159"/>
      <c r="G3159"/>
      <c r="K3159" s="61"/>
    </row>
    <row r="3160" spans="2:11" s="3" customFormat="1">
      <c r="B3160"/>
      <c r="C3160"/>
      <c r="D3160"/>
      <c r="E3160"/>
      <c r="F3160"/>
      <c r="G3160"/>
      <c r="K3160" s="61"/>
    </row>
    <row r="3161" spans="2:11" s="3" customFormat="1">
      <c r="B3161"/>
      <c r="C3161"/>
      <c r="D3161"/>
      <c r="E3161"/>
      <c r="F3161"/>
      <c r="G3161"/>
      <c r="K3161" s="61"/>
    </row>
    <row r="3162" spans="2:11" s="3" customFormat="1">
      <c r="B3162"/>
      <c r="C3162"/>
      <c r="D3162"/>
      <c r="E3162"/>
      <c r="F3162"/>
      <c r="G3162"/>
      <c r="K3162" s="61"/>
    </row>
    <row r="3163" spans="2:11" s="3" customFormat="1">
      <c r="B3163"/>
      <c r="C3163"/>
      <c r="D3163"/>
      <c r="E3163"/>
      <c r="F3163"/>
      <c r="G3163"/>
      <c r="K3163" s="61"/>
    </row>
    <row r="3164" spans="2:11" s="3" customFormat="1">
      <c r="B3164"/>
      <c r="C3164"/>
      <c r="D3164"/>
      <c r="E3164"/>
      <c r="F3164"/>
      <c r="G3164"/>
      <c r="K3164" s="61"/>
    </row>
    <row r="3165" spans="2:11" s="3" customFormat="1">
      <c r="B3165"/>
      <c r="C3165"/>
      <c r="D3165"/>
      <c r="E3165"/>
      <c r="F3165"/>
      <c r="G3165"/>
      <c r="K3165" s="61"/>
    </row>
    <row r="3166" spans="2:11" s="3" customFormat="1">
      <c r="B3166"/>
      <c r="C3166"/>
      <c r="D3166"/>
      <c r="E3166"/>
      <c r="F3166"/>
      <c r="G3166"/>
      <c r="K3166" s="61"/>
    </row>
    <row r="3167" spans="2:11" s="3" customFormat="1">
      <c r="B3167"/>
      <c r="C3167"/>
      <c r="D3167"/>
      <c r="E3167"/>
      <c r="F3167"/>
      <c r="G3167"/>
      <c r="K3167" s="61"/>
    </row>
    <row r="3168" spans="2:11" s="3" customFormat="1">
      <c r="B3168"/>
      <c r="C3168"/>
      <c r="D3168"/>
      <c r="E3168"/>
      <c r="F3168"/>
      <c r="G3168"/>
      <c r="K3168" s="61"/>
    </row>
    <row r="3169" spans="2:11" s="3" customFormat="1">
      <c r="B3169"/>
      <c r="C3169"/>
      <c r="D3169"/>
      <c r="E3169"/>
      <c r="F3169"/>
      <c r="G3169"/>
      <c r="K3169" s="61"/>
    </row>
    <row r="3170" spans="2:11" s="3" customFormat="1">
      <c r="B3170"/>
      <c r="C3170"/>
      <c r="D3170"/>
      <c r="E3170"/>
      <c r="F3170"/>
      <c r="G3170"/>
      <c r="K3170" s="61"/>
    </row>
    <row r="3171" spans="2:11" s="3" customFormat="1">
      <c r="B3171"/>
      <c r="C3171"/>
      <c r="D3171"/>
      <c r="E3171"/>
      <c r="F3171"/>
      <c r="G3171"/>
      <c r="K3171" s="61"/>
    </row>
    <row r="3172" spans="2:11" s="3" customFormat="1">
      <c r="B3172"/>
      <c r="C3172"/>
      <c r="D3172"/>
      <c r="E3172"/>
      <c r="F3172"/>
      <c r="G3172"/>
      <c r="K3172" s="61"/>
    </row>
    <row r="3173" spans="2:11" s="3" customFormat="1">
      <c r="B3173"/>
      <c r="C3173"/>
      <c r="D3173"/>
      <c r="E3173"/>
      <c r="F3173"/>
      <c r="G3173"/>
      <c r="K3173" s="61"/>
    </row>
    <row r="3174" spans="2:11" s="3" customFormat="1">
      <c r="B3174"/>
      <c r="C3174"/>
      <c r="D3174"/>
      <c r="E3174"/>
      <c r="F3174"/>
      <c r="G3174"/>
      <c r="K3174" s="61"/>
    </row>
    <row r="3175" spans="2:11" s="3" customFormat="1">
      <c r="B3175"/>
      <c r="C3175"/>
      <c r="D3175"/>
      <c r="E3175"/>
      <c r="F3175"/>
      <c r="G3175"/>
      <c r="K3175" s="61"/>
    </row>
    <row r="3176" spans="2:11" s="3" customFormat="1">
      <c r="B3176"/>
      <c r="C3176"/>
      <c r="D3176"/>
      <c r="E3176"/>
      <c r="F3176"/>
      <c r="G3176"/>
      <c r="K3176" s="61"/>
    </row>
    <row r="3177" spans="2:11" s="3" customFormat="1">
      <c r="B3177"/>
      <c r="C3177"/>
      <c r="D3177"/>
      <c r="E3177"/>
      <c r="F3177"/>
      <c r="G3177"/>
      <c r="K3177" s="61"/>
    </row>
    <row r="3178" spans="2:11" s="3" customFormat="1">
      <c r="B3178"/>
      <c r="C3178"/>
      <c r="D3178"/>
      <c r="E3178"/>
      <c r="F3178"/>
      <c r="G3178"/>
      <c r="K3178" s="61"/>
    </row>
    <row r="3179" spans="2:11" s="3" customFormat="1">
      <c r="B3179"/>
      <c r="C3179"/>
      <c r="D3179"/>
      <c r="E3179"/>
      <c r="F3179"/>
      <c r="G3179"/>
      <c r="K3179" s="61"/>
    </row>
    <row r="3180" spans="2:11" s="3" customFormat="1">
      <c r="B3180"/>
      <c r="C3180"/>
      <c r="D3180"/>
      <c r="E3180"/>
      <c r="F3180"/>
      <c r="G3180"/>
      <c r="K3180" s="61"/>
    </row>
    <row r="3181" spans="2:11" s="3" customFormat="1">
      <c r="B3181"/>
      <c r="C3181"/>
      <c r="D3181"/>
      <c r="E3181"/>
      <c r="F3181"/>
      <c r="G3181"/>
      <c r="K3181" s="61"/>
    </row>
    <row r="3182" spans="2:11" s="3" customFormat="1">
      <c r="B3182"/>
      <c r="C3182"/>
      <c r="D3182"/>
      <c r="E3182"/>
      <c r="F3182"/>
      <c r="G3182"/>
      <c r="K3182" s="61"/>
    </row>
    <row r="3183" spans="2:11" s="3" customFormat="1">
      <c r="B3183"/>
      <c r="C3183"/>
      <c r="D3183"/>
      <c r="E3183"/>
      <c r="F3183"/>
      <c r="G3183"/>
      <c r="K3183" s="61"/>
    </row>
    <row r="3184" spans="2:11" s="3" customFormat="1">
      <c r="B3184"/>
      <c r="C3184"/>
      <c r="D3184"/>
      <c r="E3184"/>
      <c r="F3184"/>
      <c r="G3184"/>
      <c r="K3184" s="61"/>
    </row>
    <row r="3185" spans="2:11" s="3" customFormat="1">
      <c r="B3185"/>
      <c r="C3185"/>
      <c r="D3185"/>
      <c r="E3185"/>
      <c r="F3185"/>
      <c r="G3185"/>
      <c r="K3185" s="61"/>
    </row>
    <row r="3186" spans="2:11" s="3" customFormat="1">
      <c r="B3186"/>
      <c r="C3186"/>
      <c r="D3186"/>
      <c r="E3186"/>
      <c r="F3186"/>
      <c r="G3186"/>
      <c r="K3186" s="61"/>
    </row>
    <row r="3187" spans="2:11" s="3" customFormat="1">
      <c r="B3187"/>
      <c r="C3187"/>
      <c r="D3187"/>
      <c r="E3187"/>
      <c r="F3187"/>
      <c r="G3187"/>
      <c r="K3187" s="61"/>
    </row>
    <row r="3188" spans="2:11" s="3" customFormat="1">
      <c r="B3188"/>
      <c r="C3188"/>
      <c r="D3188"/>
      <c r="E3188"/>
      <c r="F3188"/>
      <c r="G3188"/>
      <c r="K3188" s="61"/>
    </row>
    <row r="3189" spans="2:11" s="3" customFormat="1">
      <c r="B3189"/>
      <c r="C3189"/>
      <c r="D3189"/>
      <c r="E3189"/>
      <c r="F3189"/>
      <c r="G3189"/>
      <c r="K3189" s="61"/>
    </row>
    <row r="3190" spans="2:11" s="3" customFormat="1">
      <c r="B3190"/>
      <c r="C3190"/>
      <c r="D3190"/>
      <c r="E3190"/>
      <c r="F3190"/>
      <c r="G3190"/>
      <c r="K3190" s="61"/>
    </row>
    <row r="3191" spans="2:11" s="3" customFormat="1">
      <c r="B3191"/>
      <c r="C3191"/>
      <c r="D3191"/>
      <c r="E3191"/>
      <c r="F3191"/>
      <c r="G3191"/>
      <c r="K3191" s="61"/>
    </row>
    <row r="3192" spans="2:11" s="3" customFormat="1">
      <c r="B3192"/>
      <c r="C3192"/>
      <c r="D3192"/>
      <c r="E3192"/>
      <c r="F3192"/>
      <c r="G3192"/>
      <c r="K3192" s="61"/>
    </row>
    <row r="3193" spans="2:11" s="3" customFormat="1">
      <c r="B3193"/>
      <c r="C3193"/>
      <c r="D3193"/>
      <c r="E3193"/>
      <c r="F3193"/>
      <c r="G3193"/>
      <c r="K3193" s="61"/>
    </row>
    <row r="3194" spans="2:11" s="3" customFormat="1">
      <c r="B3194"/>
      <c r="C3194"/>
      <c r="D3194"/>
      <c r="E3194"/>
      <c r="F3194"/>
      <c r="G3194"/>
      <c r="K3194" s="61"/>
    </row>
    <row r="3195" spans="2:11" s="3" customFormat="1">
      <c r="B3195"/>
      <c r="C3195"/>
      <c r="D3195"/>
      <c r="E3195"/>
      <c r="F3195"/>
      <c r="G3195"/>
      <c r="K3195" s="61"/>
    </row>
    <row r="3196" spans="2:11" s="3" customFormat="1">
      <c r="B3196"/>
      <c r="C3196"/>
      <c r="D3196"/>
      <c r="E3196"/>
      <c r="F3196"/>
      <c r="G3196"/>
      <c r="K3196" s="61"/>
    </row>
    <row r="3197" spans="2:11" s="3" customFormat="1">
      <c r="B3197"/>
      <c r="C3197"/>
      <c r="D3197"/>
      <c r="E3197"/>
      <c r="F3197"/>
      <c r="G3197"/>
      <c r="K3197" s="61"/>
    </row>
    <row r="3198" spans="2:11" s="3" customFormat="1">
      <c r="B3198"/>
      <c r="C3198"/>
      <c r="D3198"/>
      <c r="E3198"/>
      <c r="F3198"/>
      <c r="G3198"/>
      <c r="K3198" s="61"/>
    </row>
    <row r="3199" spans="2:11" s="3" customFormat="1">
      <c r="B3199"/>
      <c r="C3199"/>
      <c r="D3199"/>
      <c r="E3199"/>
      <c r="F3199"/>
      <c r="G3199"/>
      <c r="K3199" s="61"/>
    </row>
    <row r="3200" spans="2:11" s="3" customFormat="1">
      <c r="B3200"/>
      <c r="C3200"/>
      <c r="D3200"/>
      <c r="E3200"/>
      <c r="F3200"/>
      <c r="G3200"/>
      <c r="K3200" s="61"/>
    </row>
    <row r="3201" spans="2:11" s="3" customFormat="1">
      <c r="B3201"/>
      <c r="C3201"/>
      <c r="D3201"/>
      <c r="E3201"/>
      <c r="F3201"/>
      <c r="G3201"/>
      <c r="K3201" s="61"/>
    </row>
    <row r="3202" spans="2:11" s="3" customFormat="1">
      <c r="B3202"/>
      <c r="C3202"/>
      <c r="D3202"/>
      <c r="E3202"/>
      <c r="F3202"/>
      <c r="G3202"/>
      <c r="K3202" s="61"/>
    </row>
    <row r="3203" spans="2:11" s="3" customFormat="1">
      <c r="B3203"/>
      <c r="C3203"/>
      <c r="D3203"/>
      <c r="E3203"/>
      <c r="F3203"/>
      <c r="G3203"/>
      <c r="K3203" s="61"/>
    </row>
    <row r="3204" spans="2:11" s="3" customFormat="1">
      <c r="B3204"/>
      <c r="C3204"/>
      <c r="D3204"/>
      <c r="E3204"/>
      <c r="F3204"/>
      <c r="G3204"/>
      <c r="K3204" s="61"/>
    </row>
    <row r="3205" spans="2:11" s="3" customFormat="1">
      <c r="B3205"/>
      <c r="C3205"/>
      <c r="D3205"/>
      <c r="E3205"/>
      <c r="F3205"/>
      <c r="G3205"/>
      <c r="K3205" s="61"/>
    </row>
    <row r="3206" spans="2:11" s="3" customFormat="1">
      <c r="B3206"/>
      <c r="C3206"/>
      <c r="D3206"/>
      <c r="E3206"/>
      <c r="F3206"/>
      <c r="G3206"/>
      <c r="K3206" s="61"/>
    </row>
    <row r="3207" spans="2:11" s="3" customFormat="1">
      <c r="B3207"/>
      <c r="C3207"/>
      <c r="D3207"/>
      <c r="E3207"/>
      <c r="F3207"/>
      <c r="G3207"/>
      <c r="K3207" s="61"/>
    </row>
    <row r="3208" spans="2:11" s="3" customFormat="1">
      <c r="B3208"/>
      <c r="C3208"/>
      <c r="D3208"/>
      <c r="E3208"/>
      <c r="F3208"/>
      <c r="G3208"/>
      <c r="K3208" s="61"/>
    </row>
    <row r="3209" spans="2:11" s="3" customFormat="1">
      <c r="B3209"/>
      <c r="C3209"/>
      <c r="D3209"/>
      <c r="E3209"/>
      <c r="F3209"/>
      <c r="G3209"/>
      <c r="K3209" s="61"/>
    </row>
    <row r="3210" spans="2:11" s="3" customFormat="1">
      <c r="B3210"/>
      <c r="C3210"/>
      <c r="D3210"/>
      <c r="E3210"/>
      <c r="F3210"/>
      <c r="G3210"/>
      <c r="K3210" s="61"/>
    </row>
    <row r="3211" spans="2:11" s="3" customFormat="1">
      <c r="B3211"/>
      <c r="C3211"/>
      <c r="D3211"/>
      <c r="E3211"/>
      <c r="F3211"/>
      <c r="G3211"/>
      <c r="K3211" s="61"/>
    </row>
    <row r="3212" spans="2:11" s="3" customFormat="1">
      <c r="B3212"/>
      <c r="C3212"/>
      <c r="D3212"/>
      <c r="E3212"/>
      <c r="F3212"/>
      <c r="G3212"/>
      <c r="K3212" s="61"/>
    </row>
    <row r="3213" spans="2:11" s="3" customFormat="1">
      <c r="B3213"/>
      <c r="C3213"/>
      <c r="D3213"/>
      <c r="E3213"/>
      <c r="F3213"/>
      <c r="G3213"/>
      <c r="K3213" s="61"/>
    </row>
    <row r="3214" spans="2:11" s="3" customFormat="1">
      <c r="B3214"/>
      <c r="C3214"/>
      <c r="D3214"/>
      <c r="E3214"/>
      <c r="F3214"/>
      <c r="G3214"/>
      <c r="K3214" s="61"/>
    </row>
    <row r="3215" spans="2:11" s="3" customFormat="1">
      <c r="B3215"/>
      <c r="C3215"/>
      <c r="D3215"/>
      <c r="E3215"/>
      <c r="F3215"/>
      <c r="G3215"/>
      <c r="K3215" s="61"/>
    </row>
    <row r="3216" spans="2:11" s="3" customFormat="1">
      <c r="B3216"/>
      <c r="C3216"/>
      <c r="D3216"/>
      <c r="E3216"/>
      <c r="F3216"/>
      <c r="G3216"/>
      <c r="K3216" s="61"/>
    </row>
    <row r="3217" spans="2:11" s="3" customFormat="1">
      <c r="B3217"/>
      <c r="C3217"/>
      <c r="D3217"/>
      <c r="E3217"/>
      <c r="F3217"/>
      <c r="G3217"/>
      <c r="K3217" s="61"/>
    </row>
    <row r="3218" spans="2:11" s="3" customFormat="1">
      <c r="B3218"/>
      <c r="C3218"/>
      <c r="D3218"/>
      <c r="E3218"/>
      <c r="F3218"/>
      <c r="G3218"/>
      <c r="K3218" s="61"/>
    </row>
    <row r="3219" spans="2:11" s="3" customFormat="1">
      <c r="B3219"/>
      <c r="C3219"/>
      <c r="D3219"/>
      <c r="E3219"/>
      <c r="F3219"/>
      <c r="G3219"/>
      <c r="K3219" s="61"/>
    </row>
    <row r="3220" spans="2:11" s="3" customFormat="1">
      <c r="B3220"/>
      <c r="C3220"/>
      <c r="D3220"/>
      <c r="E3220"/>
      <c r="F3220"/>
      <c r="G3220"/>
      <c r="K3220" s="61"/>
    </row>
    <row r="3221" spans="2:11" s="3" customFormat="1">
      <c r="B3221"/>
      <c r="C3221"/>
      <c r="D3221"/>
      <c r="E3221"/>
      <c r="F3221"/>
      <c r="G3221"/>
      <c r="K3221" s="61"/>
    </row>
    <row r="3222" spans="2:11" s="3" customFormat="1">
      <c r="B3222"/>
      <c r="C3222"/>
      <c r="D3222"/>
      <c r="E3222"/>
      <c r="F3222"/>
      <c r="G3222"/>
      <c r="K3222" s="61"/>
    </row>
    <row r="3223" spans="2:11" s="3" customFormat="1">
      <c r="B3223"/>
      <c r="C3223"/>
      <c r="D3223"/>
      <c r="E3223"/>
      <c r="F3223"/>
      <c r="G3223"/>
      <c r="K3223" s="61"/>
    </row>
    <row r="3224" spans="2:11" s="3" customFormat="1">
      <c r="B3224"/>
      <c r="C3224"/>
      <c r="D3224"/>
      <c r="E3224"/>
      <c r="F3224"/>
      <c r="G3224"/>
      <c r="K3224" s="61"/>
    </row>
    <row r="3225" spans="2:11" s="3" customFormat="1">
      <c r="B3225"/>
      <c r="C3225"/>
      <c r="D3225"/>
      <c r="E3225"/>
      <c r="F3225"/>
      <c r="G3225"/>
      <c r="K3225" s="61"/>
    </row>
    <row r="3226" spans="2:11" s="3" customFormat="1">
      <c r="B3226"/>
      <c r="C3226"/>
      <c r="D3226"/>
      <c r="E3226"/>
      <c r="F3226"/>
      <c r="G3226"/>
      <c r="K3226" s="61"/>
    </row>
    <row r="3227" spans="2:11" s="3" customFormat="1">
      <c r="B3227"/>
      <c r="C3227"/>
      <c r="D3227"/>
      <c r="E3227"/>
      <c r="F3227"/>
      <c r="G3227"/>
      <c r="K3227" s="61"/>
    </row>
    <row r="3228" spans="2:11" s="3" customFormat="1">
      <c r="B3228"/>
      <c r="C3228"/>
      <c r="D3228"/>
      <c r="E3228"/>
      <c r="F3228"/>
      <c r="G3228"/>
      <c r="K3228" s="61"/>
    </row>
    <row r="3229" spans="2:11" s="3" customFormat="1">
      <c r="B3229"/>
      <c r="C3229"/>
      <c r="D3229"/>
      <c r="E3229"/>
      <c r="F3229"/>
      <c r="G3229"/>
      <c r="K3229" s="61"/>
    </row>
    <row r="3230" spans="2:11" s="3" customFormat="1">
      <c r="B3230"/>
      <c r="C3230"/>
      <c r="D3230"/>
      <c r="E3230"/>
      <c r="F3230"/>
      <c r="G3230"/>
      <c r="K3230" s="61"/>
    </row>
    <row r="3231" spans="2:11" s="3" customFormat="1">
      <c r="B3231"/>
      <c r="C3231"/>
      <c r="D3231"/>
      <c r="E3231"/>
      <c r="F3231"/>
      <c r="G3231"/>
      <c r="K3231" s="61"/>
    </row>
    <row r="3232" spans="2:11" s="3" customFormat="1">
      <c r="B3232"/>
      <c r="C3232"/>
      <c r="D3232"/>
      <c r="E3232"/>
      <c r="F3232"/>
      <c r="G3232"/>
      <c r="K3232" s="61"/>
    </row>
    <row r="3233" spans="2:11" s="3" customFormat="1">
      <c r="B3233"/>
      <c r="C3233"/>
      <c r="D3233"/>
      <c r="E3233"/>
      <c r="F3233"/>
      <c r="G3233"/>
      <c r="K3233" s="61"/>
    </row>
    <row r="3234" spans="2:11" s="3" customFormat="1">
      <c r="B3234"/>
      <c r="C3234"/>
      <c r="D3234"/>
      <c r="E3234"/>
      <c r="F3234"/>
      <c r="G3234"/>
      <c r="K3234" s="61"/>
    </row>
    <row r="3235" spans="2:11" s="3" customFormat="1">
      <c r="B3235"/>
      <c r="C3235"/>
      <c r="D3235"/>
      <c r="E3235"/>
      <c r="F3235"/>
      <c r="G3235"/>
      <c r="K3235" s="61"/>
    </row>
    <row r="3236" spans="2:11" s="3" customFormat="1">
      <c r="B3236"/>
      <c r="C3236"/>
      <c r="D3236"/>
      <c r="E3236"/>
      <c r="F3236"/>
      <c r="G3236"/>
      <c r="K3236" s="61"/>
    </row>
    <row r="3237" spans="2:11" s="3" customFormat="1">
      <c r="B3237"/>
      <c r="C3237"/>
      <c r="D3237"/>
      <c r="E3237"/>
      <c r="F3237"/>
      <c r="G3237"/>
      <c r="K3237" s="61"/>
    </row>
    <row r="3238" spans="2:11" s="3" customFormat="1">
      <c r="B3238"/>
      <c r="C3238"/>
      <c r="D3238"/>
      <c r="E3238"/>
      <c r="F3238"/>
      <c r="G3238"/>
      <c r="K3238" s="61"/>
    </row>
    <row r="3239" spans="2:11" s="3" customFormat="1">
      <c r="B3239"/>
      <c r="C3239"/>
      <c r="D3239"/>
      <c r="E3239"/>
      <c r="F3239"/>
      <c r="G3239"/>
      <c r="K3239" s="61"/>
    </row>
    <row r="3240" spans="2:11" s="3" customFormat="1">
      <c r="B3240"/>
      <c r="C3240"/>
      <c r="D3240"/>
      <c r="E3240"/>
      <c r="F3240"/>
      <c r="G3240"/>
      <c r="K3240" s="61"/>
    </row>
    <row r="3241" spans="2:11" s="3" customFormat="1">
      <c r="B3241"/>
      <c r="C3241"/>
      <c r="D3241"/>
      <c r="E3241"/>
      <c r="F3241"/>
      <c r="G3241"/>
      <c r="K3241" s="61"/>
    </row>
    <row r="3242" spans="2:11" s="3" customFormat="1">
      <c r="B3242"/>
      <c r="C3242"/>
      <c r="D3242"/>
      <c r="E3242"/>
      <c r="F3242"/>
      <c r="G3242"/>
      <c r="K3242" s="61"/>
    </row>
    <row r="3243" spans="2:11" s="3" customFormat="1">
      <c r="B3243"/>
      <c r="C3243"/>
      <c r="D3243"/>
      <c r="E3243"/>
      <c r="F3243"/>
      <c r="G3243"/>
      <c r="K3243" s="61"/>
    </row>
    <row r="3244" spans="2:11" s="3" customFormat="1">
      <c r="B3244"/>
      <c r="C3244"/>
      <c r="D3244"/>
      <c r="E3244"/>
      <c r="F3244"/>
      <c r="G3244"/>
      <c r="K3244" s="61"/>
    </row>
    <row r="3245" spans="2:11" s="3" customFormat="1">
      <c r="B3245"/>
      <c r="C3245"/>
      <c r="D3245"/>
      <c r="E3245"/>
      <c r="F3245"/>
      <c r="G3245"/>
      <c r="K3245" s="61"/>
    </row>
    <row r="3246" spans="2:11" s="3" customFormat="1">
      <c r="B3246"/>
      <c r="C3246"/>
      <c r="D3246"/>
      <c r="E3246"/>
      <c r="F3246"/>
      <c r="G3246"/>
      <c r="K3246" s="61"/>
    </row>
    <row r="3247" spans="2:11" s="3" customFormat="1">
      <c r="B3247"/>
      <c r="C3247"/>
      <c r="D3247"/>
      <c r="E3247"/>
      <c r="F3247"/>
      <c r="G3247"/>
      <c r="K3247" s="61"/>
    </row>
    <row r="3248" spans="2:11" s="3" customFormat="1">
      <c r="B3248"/>
      <c r="C3248"/>
      <c r="D3248"/>
      <c r="E3248"/>
      <c r="F3248"/>
      <c r="G3248"/>
      <c r="K3248" s="61"/>
    </row>
    <row r="3249" spans="2:11" s="3" customFormat="1">
      <c r="B3249"/>
      <c r="C3249"/>
      <c r="D3249"/>
      <c r="E3249"/>
      <c r="F3249"/>
      <c r="G3249"/>
      <c r="K3249" s="61"/>
    </row>
    <row r="3250" spans="2:11" s="3" customFormat="1">
      <c r="B3250"/>
      <c r="C3250"/>
      <c r="D3250"/>
      <c r="E3250"/>
      <c r="F3250"/>
      <c r="G3250"/>
      <c r="K3250" s="61"/>
    </row>
    <row r="3251" spans="2:11" s="3" customFormat="1">
      <c r="B3251"/>
      <c r="C3251"/>
      <c r="D3251"/>
      <c r="E3251"/>
      <c r="F3251"/>
      <c r="G3251"/>
      <c r="K3251" s="61"/>
    </row>
    <row r="3252" spans="2:11" s="3" customFormat="1">
      <c r="B3252"/>
      <c r="C3252"/>
      <c r="D3252"/>
      <c r="E3252"/>
      <c r="F3252"/>
      <c r="G3252"/>
      <c r="K3252" s="61"/>
    </row>
    <row r="3253" spans="2:11" s="3" customFormat="1">
      <c r="B3253"/>
      <c r="C3253"/>
      <c r="D3253"/>
      <c r="E3253"/>
      <c r="F3253"/>
      <c r="G3253"/>
      <c r="K3253" s="61"/>
    </row>
    <row r="3254" spans="2:11" s="3" customFormat="1">
      <c r="B3254"/>
      <c r="C3254"/>
      <c r="D3254"/>
      <c r="E3254"/>
      <c r="F3254"/>
      <c r="G3254"/>
      <c r="K3254" s="61"/>
    </row>
    <row r="3255" spans="2:11" s="3" customFormat="1">
      <c r="B3255"/>
      <c r="C3255"/>
      <c r="D3255"/>
      <c r="E3255"/>
      <c r="F3255"/>
      <c r="G3255"/>
      <c r="K3255" s="61"/>
    </row>
    <row r="3256" spans="2:11" s="3" customFormat="1">
      <c r="B3256"/>
      <c r="C3256"/>
      <c r="D3256"/>
      <c r="E3256"/>
      <c r="F3256"/>
      <c r="G3256"/>
      <c r="K3256" s="61"/>
    </row>
    <row r="3257" spans="2:11" s="3" customFormat="1">
      <c r="B3257"/>
      <c r="C3257"/>
      <c r="D3257"/>
      <c r="E3257"/>
      <c r="F3257"/>
      <c r="G3257"/>
      <c r="K3257" s="61"/>
    </row>
    <row r="3258" spans="2:11" s="3" customFormat="1">
      <c r="B3258"/>
      <c r="C3258"/>
      <c r="D3258"/>
      <c r="E3258"/>
      <c r="F3258"/>
      <c r="G3258"/>
      <c r="K3258" s="61"/>
    </row>
    <row r="3259" spans="2:11" s="3" customFormat="1">
      <c r="B3259"/>
      <c r="C3259"/>
      <c r="D3259"/>
      <c r="E3259"/>
      <c r="F3259"/>
      <c r="G3259"/>
      <c r="K3259" s="61"/>
    </row>
    <row r="3260" spans="2:11" s="3" customFormat="1">
      <c r="B3260"/>
      <c r="C3260"/>
      <c r="D3260"/>
      <c r="E3260"/>
      <c r="F3260"/>
      <c r="G3260"/>
      <c r="K3260" s="61"/>
    </row>
    <row r="3261" spans="2:11" s="3" customFormat="1">
      <c r="B3261"/>
      <c r="C3261"/>
      <c r="D3261"/>
      <c r="E3261"/>
      <c r="F3261"/>
      <c r="G3261"/>
      <c r="K3261" s="61"/>
    </row>
    <row r="3262" spans="2:11" s="3" customFormat="1">
      <c r="B3262"/>
      <c r="C3262"/>
      <c r="D3262"/>
      <c r="E3262"/>
      <c r="F3262"/>
      <c r="G3262"/>
      <c r="K3262" s="61"/>
    </row>
    <row r="3263" spans="2:11" s="3" customFormat="1">
      <c r="B3263"/>
      <c r="C3263"/>
      <c r="D3263"/>
      <c r="E3263"/>
      <c r="F3263"/>
      <c r="G3263"/>
      <c r="K3263" s="61"/>
    </row>
    <row r="3264" spans="2:11" s="3" customFormat="1">
      <c r="B3264"/>
      <c r="C3264"/>
      <c r="D3264"/>
      <c r="E3264"/>
      <c r="F3264"/>
      <c r="G3264"/>
      <c r="K3264" s="61"/>
    </row>
    <row r="3265" spans="2:11" s="3" customFormat="1">
      <c r="B3265"/>
      <c r="C3265"/>
      <c r="D3265"/>
      <c r="E3265"/>
      <c r="F3265"/>
      <c r="G3265"/>
      <c r="K3265" s="61"/>
    </row>
    <row r="3266" spans="2:11" s="3" customFormat="1">
      <c r="B3266"/>
      <c r="C3266"/>
      <c r="D3266"/>
      <c r="E3266"/>
      <c r="F3266"/>
      <c r="G3266"/>
      <c r="K3266" s="61"/>
    </row>
    <row r="3267" spans="2:11" s="3" customFormat="1">
      <c r="B3267"/>
      <c r="C3267"/>
      <c r="D3267"/>
      <c r="E3267"/>
      <c r="F3267"/>
      <c r="G3267"/>
      <c r="K3267" s="61"/>
    </row>
    <row r="3268" spans="2:11" s="3" customFormat="1">
      <c r="B3268"/>
      <c r="C3268"/>
      <c r="D3268"/>
      <c r="E3268"/>
      <c r="F3268"/>
      <c r="G3268"/>
      <c r="K3268" s="61"/>
    </row>
    <row r="3269" spans="2:11" s="3" customFormat="1">
      <c r="B3269"/>
      <c r="C3269"/>
      <c r="D3269"/>
      <c r="E3269"/>
      <c r="F3269"/>
      <c r="G3269"/>
      <c r="K3269" s="61"/>
    </row>
    <row r="3270" spans="2:11" s="3" customFormat="1">
      <c r="B3270"/>
      <c r="C3270"/>
      <c r="D3270"/>
      <c r="E3270"/>
      <c r="F3270"/>
      <c r="G3270"/>
      <c r="K3270" s="61"/>
    </row>
    <row r="3271" spans="2:11" s="3" customFormat="1">
      <c r="B3271"/>
      <c r="C3271"/>
      <c r="D3271"/>
      <c r="E3271"/>
      <c r="F3271"/>
      <c r="G3271"/>
      <c r="K3271" s="61"/>
    </row>
    <row r="3272" spans="2:11" s="3" customFormat="1">
      <c r="B3272"/>
      <c r="C3272"/>
      <c r="D3272"/>
      <c r="E3272"/>
      <c r="F3272"/>
      <c r="G3272"/>
      <c r="K3272" s="61"/>
    </row>
    <row r="3273" spans="2:11" s="3" customFormat="1">
      <c r="B3273"/>
      <c r="C3273"/>
      <c r="D3273"/>
      <c r="E3273"/>
      <c r="F3273"/>
      <c r="G3273"/>
      <c r="K3273" s="61"/>
    </row>
    <row r="3274" spans="2:11" s="3" customFormat="1">
      <c r="B3274"/>
      <c r="C3274"/>
      <c r="D3274"/>
      <c r="E3274"/>
      <c r="F3274"/>
      <c r="G3274"/>
      <c r="K3274" s="61"/>
    </row>
    <row r="3275" spans="2:11" s="3" customFormat="1">
      <c r="B3275"/>
      <c r="C3275"/>
      <c r="D3275"/>
      <c r="E3275"/>
      <c r="F3275"/>
      <c r="G3275"/>
      <c r="K3275" s="61"/>
    </row>
    <row r="3276" spans="2:11" s="3" customFormat="1">
      <c r="B3276"/>
      <c r="C3276"/>
      <c r="D3276"/>
      <c r="E3276"/>
      <c r="F3276"/>
      <c r="G3276"/>
      <c r="K3276" s="61"/>
    </row>
    <row r="3277" spans="2:11" s="3" customFormat="1">
      <c r="B3277"/>
      <c r="C3277"/>
      <c r="D3277"/>
      <c r="E3277"/>
      <c r="F3277"/>
      <c r="G3277"/>
      <c r="K3277" s="61"/>
    </row>
    <row r="3278" spans="2:11" s="3" customFormat="1">
      <c r="B3278"/>
      <c r="C3278"/>
      <c r="D3278"/>
      <c r="E3278"/>
      <c r="F3278"/>
      <c r="G3278"/>
      <c r="K3278" s="61"/>
    </row>
    <row r="3279" spans="2:11" s="3" customFormat="1">
      <c r="B3279"/>
      <c r="C3279"/>
      <c r="D3279"/>
      <c r="E3279"/>
      <c r="F3279"/>
      <c r="G3279"/>
      <c r="K3279" s="61"/>
    </row>
    <row r="3280" spans="2:11" s="3" customFormat="1">
      <c r="B3280"/>
      <c r="C3280"/>
      <c r="D3280"/>
      <c r="E3280"/>
      <c r="F3280"/>
      <c r="G3280"/>
      <c r="K3280" s="61"/>
    </row>
    <row r="3281" spans="2:11" s="3" customFormat="1">
      <c r="B3281"/>
      <c r="C3281"/>
      <c r="D3281"/>
      <c r="E3281"/>
      <c r="F3281"/>
      <c r="G3281"/>
      <c r="K3281" s="61"/>
    </row>
    <row r="3282" spans="2:11" s="3" customFormat="1">
      <c r="B3282"/>
      <c r="C3282"/>
      <c r="D3282"/>
      <c r="E3282"/>
      <c r="F3282"/>
      <c r="G3282"/>
      <c r="K3282" s="61"/>
    </row>
    <row r="3283" spans="2:11" s="3" customFormat="1">
      <c r="B3283"/>
      <c r="C3283"/>
      <c r="D3283"/>
      <c r="E3283"/>
      <c r="F3283"/>
      <c r="G3283"/>
      <c r="K3283" s="61"/>
    </row>
    <row r="3284" spans="2:11" s="3" customFormat="1">
      <c r="B3284"/>
      <c r="C3284"/>
      <c r="D3284"/>
      <c r="E3284"/>
      <c r="F3284"/>
      <c r="G3284"/>
      <c r="K3284" s="61"/>
    </row>
    <row r="3285" spans="2:11" s="3" customFormat="1">
      <c r="B3285"/>
      <c r="C3285"/>
      <c r="D3285"/>
      <c r="E3285"/>
      <c r="F3285"/>
      <c r="G3285"/>
      <c r="K3285" s="61"/>
    </row>
    <row r="3286" spans="2:11" s="3" customFormat="1">
      <c r="B3286"/>
      <c r="C3286"/>
      <c r="D3286"/>
      <c r="E3286"/>
      <c r="F3286"/>
      <c r="G3286"/>
      <c r="K3286" s="61"/>
    </row>
    <row r="3287" spans="2:11" s="3" customFormat="1">
      <c r="B3287"/>
      <c r="C3287"/>
      <c r="D3287"/>
      <c r="E3287"/>
      <c r="F3287"/>
      <c r="G3287"/>
      <c r="K3287" s="61"/>
    </row>
    <row r="3288" spans="2:11" s="3" customFormat="1">
      <c r="B3288"/>
      <c r="C3288"/>
      <c r="D3288"/>
      <c r="E3288"/>
      <c r="F3288"/>
      <c r="G3288"/>
      <c r="K3288" s="61"/>
    </row>
    <row r="3289" spans="2:11" s="3" customFormat="1">
      <c r="B3289"/>
      <c r="C3289"/>
      <c r="D3289"/>
      <c r="E3289"/>
      <c r="F3289"/>
      <c r="G3289"/>
      <c r="K3289" s="61"/>
    </row>
    <row r="3290" spans="2:11" s="3" customFormat="1">
      <c r="B3290"/>
      <c r="C3290"/>
      <c r="D3290"/>
      <c r="E3290"/>
      <c r="F3290"/>
      <c r="G3290"/>
      <c r="K3290" s="61"/>
    </row>
    <row r="3291" spans="2:11" s="3" customFormat="1">
      <c r="B3291"/>
      <c r="C3291"/>
      <c r="D3291"/>
      <c r="E3291"/>
      <c r="F3291"/>
      <c r="G3291"/>
      <c r="K3291" s="61"/>
    </row>
    <row r="3292" spans="2:11" s="3" customFormat="1">
      <c r="B3292"/>
      <c r="C3292"/>
      <c r="D3292"/>
      <c r="E3292"/>
      <c r="F3292"/>
      <c r="G3292"/>
      <c r="K3292" s="61"/>
    </row>
    <row r="3293" spans="2:11" s="3" customFormat="1">
      <c r="B3293"/>
      <c r="C3293"/>
      <c r="D3293"/>
      <c r="E3293"/>
      <c r="F3293"/>
      <c r="G3293"/>
      <c r="K3293" s="61"/>
    </row>
    <row r="3294" spans="2:11" s="3" customFormat="1">
      <c r="B3294"/>
      <c r="C3294"/>
      <c r="D3294"/>
      <c r="E3294"/>
      <c r="F3294"/>
      <c r="G3294"/>
      <c r="K3294" s="61"/>
    </row>
    <row r="3295" spans="2:11" s="3" customFormat="1">
      <c r="B3295"/>
      <c r="C3295"/>
      <c r="D3295"/>
      <c r="E3295"/>
      <c r="F3295"/>
      <c r="G3295"/>
      <c r="K3295" s="61"/>
    </row>
    <row r="3296" spans="2:11" s="3" customFormat="1">
      <c r="B3296"/>
      <c r="C3296"/>
      <c r="D3296"/>
      <c r="E3296"/>
      <c r="F3296"/>
      <c r="G3296"/>
      <c r="K3296" s="61"/>
    </row>
    <row r="3297" spans="2:11" s="3" customFormat="1">
      <c r="B3297"/>
      <c r="C3297"/>
      <c r="D3297"/>
      <c r="E3297"/>
      <c r="F3297"/>
      <c r="G3297"/>
      <c r="K3297" s="61"/>
    </row>
    <row r="3298" spans="2:11" s="3" customFormat="1">
      <c r="B3298"/>
      <c r="C3298"/>
      <c r="D3298"/>
      <c r="E3298"/>
      <c r="F3298"/>
      <c r="G3298"/>
      <c r="K3298" s="61"/>
    </row>
    <row r="3299" spans="2:11" s="3" customFormat="1">
      <c r="B3299"/>
      <c r="C3299"/>
      <c r="D3299"/>
      <c r="E3299"/>
      <c r="F3299"/>
      <c r="G3299"/>
      <c r="K3299" s="61"/>
    </row>
    <row r="3300" spans="2:11" s="3" customFormat="1">
      <c r="B3300"/>
      <c r="C3300"/>
      <c r="D3300"/>
      <c r="E3300"/>
      <c r="F3300"/>
      <c r="G3300"/>
      <c r="K3300" s="61"/>
    </row>
    <row r="3301" spans="2:11" s="3" customFormat="1">
      <c r="B3301"/>
      <c r="C3301"/>
      <c r="D3301"/>
      <c r="E3301"/>
      <c r="F3301"/>
      <c r="G3301"/>
      <c r="K3301" s="61"/>
    </row>
    <row r="3302" spans="2:11" s="3" customFormat="1">
      <c r="B3302"/>
      <c r="C3302"/>
      <c r="D3302"/>
      <c r="E3302"/>
      <c r="F3302"/>
      <c r="G3302"/>
      <c r="K3302" s="61"/>
    </row>
    <row r="3303" spans="2:11" s="3" customFormat="1">
      <c r="B3303"/>
      <c r="C3303"/>
      <c r="D3303"/>
      <c r="E3303"/>
      <c r="F3303"/>
      <c r="G3303"/>
      <c r="K3303" s="61"/>
    </row>
    <row r="3304" spans="2:11" s="3" customFormat="1">
      <c r="B3304"/>
      <c r="C3304"/>
      <c r="D3304"/>
      <c r="E3304"/>
      <c r="F3304"/>
      <c r="G3304"/>
      <c r="K3304" s="61"/>
    </row>
    <row r="3305" spans="2:11" s="3" customFormat="1">
      <c r="B3305"/>
      <c r="C3305"/>
      <c r="D3305"/>
      <c r="E3305"/>
      <c r="F3305"/>
      <c r="G3305"/>
      <c r="K3305" s="61"/>
    </row>
    <row r="3306" spans="2:11" s="3" customFormat="1">
      <c r="B3306"/>
      <c r="C3306"/>
      <c r="D3306"/>
      <c r="E3306"/>
      <c r="F3306"/>
      <c r="G3306"/>
      <c r="K3306" s="61"/>
    </row>
    <row r="3307" spans="2:11" s="3" customFormat="1">
      <c r="B3307"/>
      <c r="C3307"/>
      <c r="D3307"/>
      <c r="E3307"/>
      <c r="F3307"/>
      <c r="G3307"/>
      <c r="K3307" s="61"/>
    </row>
    <row r="3308" spans="2:11" s="3" customFormat="1">
      <c r="B3308"/>
      <c r="C3308"/>
      <c r="D3308"/>
      <c r="E3308"/>
      <c r="F3308"/>
      <c r="G3308"/>
      <c r="K3308" s="61"/>
    </row>
    <row r="3309" spans="2:11" s="3" customFormat="1">
      <c r="B3309"/>
      <c r="C3309"/>
      <c r="D3309"/>
      <c r="E3309"/>
      <c r="F3309"/>
      <c r="G3309"/>
      <c r="K3309" s="61"/>
    </row>
    <row r="3310" spans="2:11" s="3" customFormat="1">
      <c r="B3310"/>
      <c r="C3310"/>
      <c r="D3310"/>
      <c r="E3310"/>
      <c r="F3310"/>
      <c r="G3310"/>
      <c r="K3310" s="61"/>
    </row>
    <row r="3311" spans="2:11" s="3" customFormat="1">
      <c r="B3311"/>
      <c r="C3311"/>
      <c r="D3311"/>
      <c r="E3311"/>
      <c r="F3311"/>
      <c r="G3311"/>
      <c r="K3311" s="61"/>
    </row>
    <row r="3312" spans="2:11" s="3" customFormat="1">
      <c r="B3312"/>
      <c r="C3312"/>
      <c r="D3312"/>
      <c r="E3312"/>
      <c r="F3312"/>
      <c r="G3312"/>
      <c r="K3312" s="61"/>
    </row>
    <row r="3313" spans="2:11" s="3" customFormat="1">
      <c r="B3313"/>
      <c r="C3313"/>
      <c r="D3313"/>
      <c r="E3313"/>
      <c r="F3313"/>
      <c r="G3313"/>
      <c r="K3313" s="61"/>
    </row>
    <row r="3314" spans="2:11" s="3" customFormat="1">
      <c r="B3314"/>
      <c r="C3314"/>
      <c r="D3314"/>
      <c r="E3314"/>
      <c r="F3314"/>
      <c r="G3314"/>
      <c r="K3314" s="61"/>
    </row>
    <row r="3315" spans="2:11" s="3" customFormat="1">
      <c r="B3315"/>
      <c r="C3315"/>
      <c r="D3315"/>
      <c r="E3315"/>
      <c r="F3315"/>
      <c r="G3315"/>
      <c r="K3315" s="61"/>
    </row>
    <row r="3316" spans="2:11" s="3" customFormat="1">
      <c r="B3316"/>
      <c r="C3316"/>
      <c r="D3316"/>
      <c r="E3316"/>
      <c r="F3316"/>
      <c r="G3316"/>
      <c r="K3316" s="61"/>
    </row>
    <row r="3317" spans="2:11" s="3" customFormat="1">
      <c r="B3317"/>
      <c r="C3317"/>
      <c r="D3317"/>
      <c r="E3317"/>
      <c r="F3317"/>
      <c r="G3317"/>
      <c r="K3317" s="61"/>
    </row>
    <row r="3318" spans="2:11" s="3" customFormat="1">
      <c r="B3318"/>
      <c r="C3318"/>
      <c r="D3318"/>
      <c r="E3318"/>
      <c r="F3318"/>
      <c r="G3318"/>
      <c r="K3318" s="61"/>
    </row>
    <row r="3319" spans="2:11" s="3" customFormat="1">
      <c r="B3319"/>
      <c r="C3319"/>
      <c r="D3319"/>
      <c r="E3319"/>
      <c r="F3319"/>
      <c r="G3319"/>
      <c r="K3319" s="61"/>
    </row>
    <row r="3320" spans="2:11" s="3" customFormat="1">
      <c r="B3320"/>
      <c r="C3320"/>
      <c r="D3320"/>
      <c r="E3320"/>
      <c r="F3320"/>
      <c r="G3320"/>
      <c r="K3320" s="61"/>
    </row>
    <row r="3321" spans="2:11" s="3" customFormat="1">
      <c r="B3321"/>
      <c r="C3321"/>
      <c r="D3321"/>
      <c r="E3321"/>
      <c r="F3321"/>
      <c r="G3321"/>
      <c r="K3321" s="61"/>
    </row>
    <row r="3322" spans="2:11" s="3" customFormat="1">
      <c r="B3322"/>
      <c r="C3322"/>
      <c r="D3322"/>
      <c r="E3322"/>
      <c r="F3322"/>
      <c r="G3322"/>
      <c r="K3322" s="61"/>
    </row>
    <row r="3323" spans="2:11" s="3" customFormat="1">
      <c r="B3323"/>
      <c r="C3323"/>
      <c r="D3323"/>
      <c r="E3323"/>
      <c r="F3323"/>
      <c r="G3323"/>
      <c r="K3323" s="61"/>
    </row>
    <row r="3324" spans="2:11" s="3" customFormat="1">
      <c r="B3324"/>
      <c r="C3324"/>
      <c r="D3324"/>
      <c r="E3324"/>
      <c r="F3324"/>
      <c r="G3324"/>
      <c r="K3324" s="61"/>
    </row>
    <row r="3325" spans="2:11" s="3" customFormat="1">
      <c r="B3325"/>
      <c r="C3325"/>
      <c r="D3325"/>
      <c r="E3325"/>
      <c r="F3325"/>
      <c r="G3325"/>
      <c r="K3325" s="61"/>
    </row>
    <row r="3326" spans="2:11" s="3" customFormat="1">
      <c r="B3326"/>
      <c r="C3326"/>
      <c r="D3326"/>
      <c r="E3326"/>
      <c r="F3326"/>
      <c r="G3326"/>
      <c r="K3326" s="61"/>
    </row>
    <row r="3327" spans="2:11" s="3" customFormat="1">
      <c r="B3327"/>
      <c r="C3327"/>
      <c r="D3327"/>
      <c r="E3327"/>
      <c r="F3327"/>
      <c r="G3327"/>
      <c r="K3327" s="61"/>
    </row>
    <row r="3328" spans="2:11" s="3" customFormat="1">
      <c r="B3328"/>
      <c r="C3328"/>
      <c r="D3328"/>
      <c r="E3328"/>
      <c r="F3328"/>
      <c r="G3328"/>
      <c r="K3328" s="61"/>
    </row>
    <row r="3329" spans="2:11" s="3" customFormat="1">
      <c r="B3329"/>
      <c r="C3329"/>
      <c r="D3329"/>
      <c r="E3329"/>
      <c r="F3329"/>
      <c r="G3329"/>
      <c r="K3329" s="61"/>
    </row>
    <row r="3330" spans="2:11" s="3" customFormat="1">
      <c r="B3330"/>
      <c r="C3330"/>
      <c r="D3330"/>
      <c r="E3330"/>
      <c r="F3330"/>
      <c r="G3330"/>
      <c r="K3330" s="61"/>
    </row>
    <row r="3331" spans="2:11" s="3" customFormat="1">
      <c r="B3331"/>
      <c r="C3331"/>
      <c r="D3331"/>
      <c r="E3331"/>
      <c r="F3331"/>
      <c r="G3331"/>
      <c r="K3331" s="61"/>
    </row>
    <row r="3332" spans="2:11" s="3" customFormat="1">
      <c r="B3332"/>
      <c r="C3332"/>
      <c r="D3332"/>
      <c r="E3332"/>
      <c r="F3332"/>
      <c r="G3332"/>
      <c r="K3332" s="61"/>
    </row>
    <row r="3333" spans="2:11" s="3" customFormat="1">
      <c r="B3333"/>
      <c r="C3333"/>
      <c r="D3333"/>
      <c r="E3333"/>
      <c r="F3333"/>
      <c r="G3333"/>
      <c r="K3333" s="61"/>
    </row>
    <row r="3334" spans="2:11" s="3" customFormat="1">
      <c r="B3334"/>
      <c r="C3334"/>
      <c r="D3334"/>
      <c r="E3334"/>
      <c r="F3334"/>
      <c r="G3334"/>
      <c r="K3334" s="61"/>
    </row>
    <row r="3335" spans="2:11" s="3" customFormat="1">
      <c r="B3335"/>
      <c r="C3335"/>
      <c r="D3335"/>
      <c r="E3335"/>
      <c r="F3335"/>
      <c r="G3335"/>
      <c r="K3335" s="61"/>
    </row>
    <row r="3336" spans="2:11" s="3" customFormat="1">
      <c r="B3336"/>
      <c r="C3336"/>
      <c r="D3336"/>
      <c r="E3336"/>
      <c r="F3336"/>
      <c r="G3336"/>
      <c r="K3336" s="61"/>
    </row>
    <row r="3337" spans="2:11" s="3" customFormat="1">
      <c r="B3337"/>
      <c r="C3337"/>
      <c r="D3337"/>
      <c r="E3337"/>
      <c r="F3337"/>
      <c r="G3337"/>
      <c r="K3337" s="61"/>
    </row>
    <row r="3338" spans="2:11" s="3" customFormat="1">
      <c r="B3338"/>
      <c r="C3338"/>
      <c r="D3338"/>
      <c r="E3338"/>
      <c r="F3338"/>
      <c r="G3338"/>
      <c r="K3338" s="61"/>
    </row>
    <row r="3339" spans="2:11" s="3" customFormat="1">
      <c r="B3339"/>
      <c r="C3339"/>
      <c r="D3339"/>
      <c r="E3339"/>
      <c r="F3339"/>
      <c r="G3339"/>
      <c r="K3339" s="61"/>
    </row>
    <row r="3340" spans="2:11" s="3" customFormat="1">
      <c r="B3340"/>
      <c r="C3340"/>
      <c r="D3340"/>
      <c r="E3340"/>
      <c r="F3340"/>
      <c r="G3340"/>
      <c r="K3340" s="61"/>
    </row>
    <row r="3341" spans="2:11" s="3" customFormat="1">
      <c r="B3341"/>
      <c r="C3341"/>
      <c r="D3341"/>
      <c r="E3341"/>
      <c r="F3341"/>
      <c r="G3341"/>
      <c r="K3341" s="61"/>
    </row>
    <row r="3342" spans="2:11" s="3" customFormat="1">
      <c r="B3342"/>
      <c r="C3342"/>
      <c r="D3342"/>
      <c r="E3342"/>
      <c r="F3342"/>
      <c r="G3342"/>
      <c r="K3342" s="61"/>
    </row>
    <row r="3343" spans="2:11" s="3" customFormat="1">
      <c r="B3343"/>
      <c r="C3343"/>
      <c r="D3343"/>
      <c r="E3343"/>
      <c r="F3343"/>
      <c r="G3343"/>
      <c r="K3343" s="61"/>
    </row>
    <row r="3344" spans="2:11" s="3" customFormat="1">
      <c r="B3344"/>
      <c r="C3344"/>
      <c r="D3344"/>
      <c r="E3344"/>
      <c r="F3344"/>
      <c r="G3344"/>
      <c r="K3344" s="61"/>
    </row>
    <row r="3345" spans="2:11" s="3" customFormat="1">
      <c r="B3345"/>
      <c r="C3345"/>
      <c r="D3345"/>
      <c r="E3345"/>
      <c r="F3345"/>
      <c r="G3345"/>
      <c r="K3345" s="61"/>
    </row>
    <row r="3346" spans="2:11" s="3" customFormat="1">
      <c r="B3346"/>
      <c r="C3346"/>
      <c r="D3346"/>
      <c r="E3346"/>
      <c r="F3346"/>
      <c r="G3346"/>
      <c r="K3346" s="61"/>
    </row>
    <row r="3347" spans="2:11" s="3" customFormat="1">
      <c r="B3347"/>
      <c r="C3347"/>
      <c r="D3347"/>
      <c r="E3347"/>
      <c r="F3347"/>
      <c r="G3347"/>
      <c r="K3347" s="61"/>
    </row>
    <row r="3348" spans="2:11" s="3" customFormat="1">
      <c r="B3348"/>
      <c r="C3348"/>
      <c r="D3348"/>
      <c r="E3348"/>
      <c r="F3348"/>
      <c r="G3348"/>
      <c r="K3348" s="61"/>
    </row>
    <row r="3349" spans="2:11" s="3" customFormat="1">
      <c r="B3349"/>
      <c r="C3349"/>
      <c r="D3349"/>
      <c r="E3349"/>
      <c r="F3349"/>
      <c r="G3349"/>
      <c r="K3349" s="61"/>
    </row>
    <row r="3350" spans="2:11" s="3" customFormat="1">
      <c r="B3350"/>
      <c r="C3350"/>
      <c r="D3350"/>
      <c r="E3350"/>
      <c r="F3350"/>
      <c r="G3350"/>
      <c r="K3350" s="61"/>
    </row>
    <row r="3351" spans="2:11" s="3" customFormat="1">
      <c r="B3351"/>
      <c r="C3351"/>
      <c r="D3351"/>
      <c r="E3351"/>
      <c r="F3351"/>
      <c r="G3351"/>
      <c r="K3351" s="61"/>
    </row>
    <row r="3352" spans="2:11" s="3" customFormat="1">
      <c r="B3352"/>
      <c r="C3352"/>
      <c r="D3352"/>
      <c r="E3352"/>
      <c r="F3352"/>
      <c r="G3352"/>
      <c r="K3352" s="61"/>
    </row>
    <row r="3353" spans="2:11" s="3" customFormat="1">
      <c r="B3353"/>
      <c r="C3353"/>
      <c r="D3353"/>
      <c r="E3353"/>
      <c r="F3353"/>
      <c r="G3353"/>
      <c r="K3353" s="61"/>
    </row>
    <row r="3354" spans="2:11" s="3" customFormat="1">
      <c r="B3354"/>
      <c r="C3354"/>
      <c r="D3354"/>
      <c r="E3354"/>
      <c r="F3354"/>
      <c r="G3354"/>
      <c r="K3354" s="61"/>
    </row>
    <row r="3355" spans="2:11" s="3" customFormat="1">
      <c r="B3355"/>
      <c r="C3355"/>
      <c r="D3355"/>
      <c r="E3355"/>
      <c r="F3355"/>
      <c r="G3355"/>
      <c r="K3355" s="61"/>
    </row>
    <row r="3356" spans="2:11" s="3" customFormat="1">
      <c r="B3356"/>
      <c r="C3356"/>
      <c r="D3356"/>
      <c r="E3356"/>
      <c r="F3356"/>
      <c r="G3356"/>
      <c r="K3356" s="61"/>
    </row>
    <row r="3357" spans="2:11" s="3" customFormat="1">
      <c r="B3357"/>
      <c r="C3357"/>
      <c r="D3357"/>
      <c r="E3357"/>
      <c r="F3357"/>
      <c r="G3357"/>
      <c r="K3357" s="61"/>
    </row>
    <row r="3358" spans="2:11" s="3" customFormat="1">
      <c r="B3358"/>
      <c r="C3358"/>
      <c r="D3358"/>
      <c r="E3358"/>
      <c r="F3358"/>
      <c r="G3358"/>
      <c r="K3358" s="61"/>
    </row>
    <row r="3359" spans="2:11" s="3" customFormat="1">
      <c r="B3359"/>
      <c r="C3359"/>
      <c r="D3359"/>
      <c r="E3359"/>
      <c r="F3359"/>
      <c r="G3359"/>
      <c r="K3359" s="61"/>
    </row>
    <row r="3360" spans="2:11" s="3" customFormat="1">
      <c r="B3360"/>
      <c r="C3360"/>
      <c r="D3360"/>
      <c r="E3360"/>
      <c r="F3360"/>
      <c r="G3360"/>
      <c r="K3360" s="61"/>
    </row>
    <row r="3361" spans="2:11" s="3" customFormat="1">
      <c r="B3361"/>
      <c r="C3361"/>
      <c r="D3361"/>
      <c r="E3361"/>
      <c r="F3361"/>
      <c r="G3361"/>
      <c r="K3361" s="61"/>
    </row>
    <row r="3362" spans="2:11" s="3" customFormat="1">
      <c r="B3362"/>
      <c r="C3362"/>
      <c r="D3362"/>
      <c r="E3362"/>
      <c r="F3362"/>
      <c r="G3362"/>
      <c r="K3362" s="61"/>
    </row>
    <row r="3363" spans="2:11" s="3" customFormat="1">
      <c r="B3363"/>
      <c r="C3363"/>
      <c r="D3363"/>
      <c r="E3363"/>
      <c r="F3363"/>
      <c r="G3363"/>
      <c r="K3363" s="61"/>
    </row>
    <row r="3364" spans="2:11" s="3" customFormat="1">
      <c r="B3364"/>
      <c r="C3364"/>
      <c r="D3364"/>
      <c r="E3364"/>
      <c r="F3364"/>
      <c r="G3364"/>
      <c r="K3364" s="61"/>
    </row>
    <row r="3365" spans="2:11" s="3" customFormat="1">
      <c r="B3365"/>
      <c r="C3365"/>
      <c r="D3365"/>
      <c r="E3365"/>
      <c r="F3365"/>
      <c r="G3365"/>
      <c r="K3365" s="61"/>
    </row>
    <row r="3366" spans="2:11" s="3" customFormat="1">
      <c r="B3366"/>
      <c r="C3366"/>
      <c r="D3366"/>
      <c r="E3366"/>
      <c r="F3366"/>
      <c r="G3366"/>
      <c r="K3366" s="61"/>
    </row>
    <row r="3367" spans="2:11" s="3" customFormat="1">
      <c r="B3367"/>
      <c r="C3367"/>
      <c r="D3367"/>
      <c r="E3367"/>
      <c r="F3367"/>
      <c r="G3367"/>
      <c r="K3367" s="61"/>
    </row>
    <row r="3368" spans="2:11" s="3" customFormat="1">
      <c r="B3368"/>
      <c r="C3368"/>
      <c r="D3368"/>
      <c r="E3368"/>
      <c r="F3368"/>
      <c r="G3368"/>
      <c r="K3368" s="61"/>
    </row>
    <row r="3369" spans="2:11" s="3" customFormat="1">
      <c r="B3369"/>
      <c r="C3369"/>
      <c r="D3369"/>
      <c r="E3369"/>
      <c r="F3369"/>
      <c r="G3369"/>
      <c r="K3369" s="61"/>
    </row>
    <row r="3370" spans="2:11" s="3" customFormat="1">
      <c r="B3370"/>
      <c r="C3370"/>
      <c r="D3370"/>
      <c r="E3370"/>
      <c r="F3370"/>
      <c r="G3370"/>
      <c r="K3370" s="61"/>
    </row>
    <row r="3371" spans="2:11" s="3" customFormat="1">
      <c r="B3371"/>
      <c r="C3371"/>
      <c r="D3371"/>
      <c r="E3371"/>
      <c r="F3371"/>
      <c r="G3371"/>
      <c r="K3371" s="61"/>
    </row>
    <row r="3372" spans="2:11" s="3" customFormat="1">
      <c r="B3372"/>
      <c r="C3372"/>
      <c r="D3372"/>
      <c r="E3372"/>
      <c r="F3372"/>
      <c r="G3372"/>
      <c r="K3372" s="61"/>
    </row>
    <row r="3373" spans="2:11" s="3" customFormat="1">
      <c r="B3373"/>
      <c r="C3373"/>
      <c r="D3373"/>
      <c r="E3373"/>
      <c r="F3373"/>
      <c r="G3373"/>
      <c r="K3373" s="61"/>
    </row>
    <row r="3374" spans="2:11" s="3" customFormat="1">
      <c r="B3374"/>
      <c r="C3374"/>
      <c r="D3374"/>
      <c r="E3374"/>
      <c r="F3374"/>
      <c r="G3374"/>
      <c r="K3374" s="61"/>
    </row>
    <row r="3375" spans="2:11" s="3" customFormat="1">
      <c r="B3375"/>
      <c r="C3375"/>
      <c r="D3375"/>
      <c r="E3375"/>
      <c r="F3375"/>
      <c r="G3375"/>
      <c r="K3375" s="61"/>
    </row>
    <row r="3376" spans="2:11" s="3" customFormat="1">
      <c r="B3376"/>
      <c r="C3376"/>
      <c r="D3376"/>
      <c r="E3376"/>
      <c r="F3376"/>
      <c r="G3376"/>
      <c r="K3376" s="61"/>
    </row>
    <row r="3377" spans="2:11" s="3" customFormat="1">
      <c r="B3377"/>
      <c r="C3377"/>
      <c r="D3377"/>
      <c r="E3377"/>
      <c r="F3377"/>
      <c r="G3377"/>
      <c r="K3377" s="61"/>
    </row>
    <row r="3378" spans="2:11" s="3" customFormat="1">
      <c r="B3378"/>
      <c r="C3378"/>
      <c r="D3378"/>
      <c r="E3378"/>
      <c r="F3378"/>
      <c r="G3378"/>
      <c r="K3378" s="61"/>
    </row>
    <row r="3379" spans="2:11" s="3" customFormat="1">
      <c r="B3379"/>
      <c r="C3379"/>
      <c r="D3379"/>
      <c r="E3379"/>
      <c r="F3379"/>
      <c r="G3379"/>
      <c r="K3379" s="61"/>
    </row>
    <row r="3380" spans="2:11" s="3" customFormat="1">
      <c r="B3380"/>
      <c r="C3380"/>
      <c r="D3380"/>
      <c r="E3380"/>
      <c r="F3380"/>
      <c r="G3380"/>
      <c r="K3380" s="61"/>
    </row>
    <row r="3381" spans="2:11" s="3" customFormat="1">
      <c r="B3381"/>
      <c r="C3381"/>
      <c r="D3381"/>
      <c r="E3381"/>
      <c r="F3381"/>
      <c r="G3381"/>
      <c r="K3381" s="61"/>
    </row>
    <row r="3382" spans="2:11" s="3" customFormat="1">
      <c r="B3382"/>
      <c r="C3382"/>
      <c r="D3382"/>
      <c r="E3382"/>
      <c r="F3382"/>
      <c r="G3382"/>
      <c r="K3382" s="61"/>
    </row>
    <row r="3383" spans="2:11" s="3" customFormat="1">
      <c r="B3383"/>
      <c r="C3383"/>
      <c r="D3383"/>
      <c r="E3383"/>
      <c r="F3383"/>
      <c r="G3383"/>
      <c r="K3383" s="61"/>
    </row>
    <row r="3384" spans="2:11" s="3" customFormat="1">
      <c r="B3384"/>
      <c r="C3384"/>
      <c r="D3384"/>
      <c r="E3384"/>
      <c r="F3384"/>
      <c r="G3384"/>
      <c r="K3384" s="61"/>
    </row>
    <row r="3385" spans="2:11" s="3" customFormat="1">
      <c r="B3385"/>
      <c r="C3385"/>
      <c r="D3385"/>
      <c r="E3385"/>
      <c r="F3385"/>
      <c r="G3385"/>
      <c r="K3385" s="61"/>
    </row>
    <row r="3386" spans="2:11" s="3" customFormat="1">
      <c r="B3386"/>
      <c r="C3386"/>
      <c r="D3386"/>
      <c r="E3386"/>
      <c r="F3386"/>
      <c r="G3386"/>
      <c r="K3386" s="61"/>
    </row>
    <row r="3387" spans="2:11" s="3" customFormat="1">
      <c r="B3387"/>
      <c r="C3387"/>
      <c r="D3387"/>
      <c r="E3387"/>
      <c r="F3387"/>
      <c r="G3387"/>
      <c r="K3387" s="61"/>
    </row>
    <row r="3388" spans="2:11" s="3" customFormat="1">
      <c r="B3388"/>
      <c r="C3388"/>
      <c r="D3388"/>
      <c r="E3388"/>
      <c r="F3388"/>
      <c r="G3388"/>
      <c r="K3388" s="61"/>
    </row>
    <row r="3389" spans="2:11" s="3" customFormat="1">
      <c r="B3389"/>
      <c r="C3389"/>
      <c r="D3389"/>
      <c r="E3389"/>
      <c r="F3389"/>
      <c r="G3389"/>
      <c r="K3389" s="61"/>
    </row>
    <row r="3390" spans="2:11" s="3" customFormat="1">
      <c r="B3390"/>
      <c r="C3390"/>
      <c r="D3390"/>
      <c r="E3390"/>
      <c r="F3390"/>
      <c r="G3390"/>
      <c r="K3390" s="61"/>
    </row>
    <row r="3391" spans="2:11" s="3" customFormat="1">
      <c r="B3391"/>
      <c r="C3391"/>
      <c r="D3391"/>
      <c r="E3391"/>
      <c r="F3391"/>
      <c r="G3391"/>
      <c r="K3391" s="61"/>
    </row>
    <row r="3392" spans="2:11" s="3" customFormat="1">
      <c r="B3392"/>
      <c r="C3392"/>
      <c r="D3392"/>
      <c r="E3392"/>
      <c r="F3392"/>
      <c r="G3392"/>
      <c r="K3392" s="61"/>
    </row>
    <row r="3393" spans="2:11" s="3" customFormat="1">
      <c r="B3393"/>
      <c r="C3393"/>
      <c r="D3393"/>
      <c r="E3393"/>
      <c r="F3393"/>
      <c r="G3393"/>
      <c r="K3393" s="61"/>
    </row>
    <row r="3394" spans="2:11" s="3" customFormat="1">
      <c r="B3394"/>
      <c r="C3394"/>
      <c r="D3394"/>
      <c r="E3394"/>
      <c r="F3394"/>
      <c r="G3394"/>
      <c r="K3394" s="61"/>
    </row>
    <row r="3395" spans="2:11" s="3" customFormat="1">
      <c r="B3395"/>
      <c r="C3395"/>
      <c r="D3395"/>
      <c r="E3395"/>
      <c r="F3395"/>
      <c r="G3395"/>
      <c r="K3395" s="61"/>
    </row>
    <row r="3396" spans="2:11" s="3" customFormat="1">
      <c r="B3396"/>
      <c r="C3396"/>
      <c r="D3396"/>
      <c r="E3396"/>
      <c r="F3396"/>
      <c r="G3396"/>
      <c r="K3396" s="61"/>
    </row>
    <row r="3397" spans="2:11" s="3" customFormat="1">
      <c r="B3397"/>
      <c r="C3397"/>
      <c r="D3397"/>
      <c r="E3397"/>
      <c r="F3397"/>
      <c r="G3397"/>
      <c r="K3397" s="61"/>
    </row>
    <row r="3398" spans="2:11" s="3" customFormat="1">
      <c r="B3398"/>
      <c r="C3398"/>
      <c r="D3398"/>
      <c r="E3398"/>
      <c r="F3398"/>
      <c r="G3398"/>
      <c r="K3398" s="61"/>
    </row>
    <row r="3399" spans="2:11" s="3" customFormat="1">
      <c r="B3399"/>
      <c r="C3399"/>
      <c r="D3399"/>
      <c r="E3399"/>
      <c r="F3399"/>
      <c r="G3399"/>
      <c r="K3399" s="61"/>
    </row>
    <row r="3400" spans="2:11" s="3" customFormat="1">
      <c r="B3400"/>
      <c r="C3400"/>
      <c r="D3400"/>
      <c r="E3400"/>
      <c r="F3400"/>
      <c r="G3400"/>
      <c r="K3400" s="61"/>
    </row>
    <row r="3401" spans="2:11" s="3" customFormat="1">
      <c r="B3401"/>
      <c r="C3401"/>
      <c r="D3401"/>
      <c r="E3401"/>
      <c r="F3401"/>
      <c r="G3401"/>
      <c r="K3401" s="61"/>
    </row>
    <row r="3402" spans="2:11" s="3" customFormat="1">
      <c r="B3402"/>
      <c r="C3402"/>
      <c r="D3402"/>
      <c r="E3402"/>
      <c r="F3402"/>
      <c r="G3402"/>
      <c r="K3402" s="61"/>
    </row>
    <row r="3403" spans="2:11" s="3" customFormat="1">
      <c r="B3403"/>
      <c r="C3403"/>
      <c r="D3403"/>
      <c r="E3403"/>
      <c r="F3403"/>
      <c r="G3403"/>
      <c r="K3403" s="61"/>
    </row>
    <row r="3404" spans="2:11" s="3" customFormat="1">
      <c r="B3404"/>
      <c r="C3404"/>
      <c r="D3404"/>
      <c r="E3404"/>
      <c r="F3404"/>
      <c r="G3404"/>
      <c r="K3404" s="61"/>
    </row>
    <row r="3405" spans="2:11" s="3" customFormat="1">
      <c r="B3405"/>
      <c r="C3405"/>
      <c r="D3405"/>
      <c r="E3405"/>
      <c r="F3405"/>
      <c r="G3405"/>
      <c r="K3405" s="61"/>
    </row>
    <row r="3406" spans="2:11" s="3" customFormat="1">
      <c r="B3406"/>
      <c r="C3406"/>
      <c r="D3406"/>
      <c r="E3406"/>
      <c r="F3406"/>
      <c r="G3406"/>
      <c r="K3406" s="61"/>
    </row>
    <row r="3407" spans="2:11" s="3" customFormat="1">
      <c r="B3407"/>
      <c r="C3407"/>
      <c r="D3407"/>
      <c r="E3407"/>
      <c r="F3407"/>
      <c r="G3407"/>
      <c r="K3407" s="61"/>
    </row>
    <row r="3408" spans="2:11" s="3" customFormat="1">
      <c r="B3408"/>
      <c r="C3408"/>
      <c r="D3408"/>
      <c r="E3408"/>
      <c r="F3408"/>
      <c r="G3408"/>
      <c r="K3408" s="61"/>
    </row>
    <row r="3409" spans="2:11" s="3" customFormat="1">
      <c r="B3409"/>
      <c r="C3409"/>
      <c r="D3409"/>
      <c r="E3409"/>
      <c r="F3409"/>
      <c r="G3409"/>
      <c r="K3409" s="61"/>
    </row>
    <row r="3410" spans="2:11" s="3" customFormat="1">
      <c r="B3410"/>
      <c r="C3410"/>
      <c r="D3410"/>
      <c r="E3410"/>
      <c r="F3410"/>
      <c r="G3410"/>
      <c r="K3410" s="61"/>
    </row>
    <row r="3411" spans="2:11" s="3" customFormat="1">
      <c r="B3411"/>
      <c r="C3411"/>
      <c r="D3411"/>
      <c r="E3411"/>
      <c r="F3411"/>
      <c r="G3411"/>
      <c r="K3411" s="61"/>
    </row>
    <row r="3412" spans="2:11" s="3" customFormat="1">
      <c r="B3412"/>
      <c r="C3412"/>
      <c r="D3412"/>
      <c r="E3412"/>
      <c r="F3412"/>
      <c r="G3412"/>
      <c r="K3412" s="61"/>
    </row>
    <row r="3413" spans="2:11" s="3" customFormat="1">
      <c r="B3413"/>
      <c r="C3413"/>
      <c r="D3413"/>
      <c r="E3413"/>
      <c r="F3413"/>
      <c r="G3413"/>
      <c r="K3413" s="61"/>
    </row>
    <row r="3414" spans="2:11" s="3" customFormat="1">
      <c r="B3414"/>
      <c r="C3414"/>
      <c r="D3414"/>
      <c r="E3414"/>
      <c r="F3414"/>
      <c r="G3414"/>
      <c r="K3414" s="61"/>
    </row>
    <row r="3415" spans="2:11" s="3" customFormat="1">
      <c r="B3415"/>
      <c r="C3415"/>
      <c r="D3415"/>
      <c r="E3415"/>
      <c r="F3415"/>
      <c r="G3415"/>
      <c r="K3415" s="61"/>
    </row>
    <row r="3416" spans="2:11" s="3" customFormat="1">
      <c r="B3416"/>
      <c r="C3416"/>
      <c r="D3416"/>
      <c r="E3416"/>
      <c r="F3416"/>
      <c r="G3416"/>
      <c r="K3416" s="61"/>
    </row>
    <row r="3417" spans="2:11" s="3" customFormat="1">
      <c r="B3417"/>
      <c r="C3417"/>
      <c r="D3417"/>
      <c r="E3417"/>
      <c r="F3417"/>
      <c r="G3417"/>
      <c r="K3417" s="61"/>
    </row>
    <row r="3418" spans="2:11" s="3" customFormat="1">
      <c r="B3418"/>
      <c r="C3418"/>
      <c r="D3418"/>
      <c r="E3418"/>
      <c r="F3418"/>
      <c r="G3418"/>
      <c r="K3418" s="61"/>
    </row>
    <row r="3419" spans="2:11" s="3" customFormat="1">
      <c r="B3419"/>
      <c r="C3419"/>
      <c r="D3419"/>
      <c r="E3419"/>
      <c r="F3419"/>
      <c r="G3419"/>
      <c r="K3419" s="61"/>
    </row>
    <row r="3420" spans="2:11" s="3" customFormat="1">
      <c r="B3420"/>
      <c r="C3420"/>
      <c r="D3420"/>
      <c r="E3420"/>
      <c r="F3420"/>
      <c r="G3420"/>
      <c r="K3420" s="61"/>
    </row>
    <row r="3421" spans="2:11" s="3" customFormat="1">
      <c r="B3421"/>
      <c r="C3421"/>
      <c r="D3421"/>
      <c r="E3421"/>
      <c r="F3421"/>
      <c r="G3421"/>
      <c r="K3421" s="61"/>
    </row>
    <row r="3422" spans="2:11" s="3" customFormat="1">
      <c r="B3422"/>
      <c r="C3422"/>
      <c r="D3422"/>
      <c r="E3422"/>
      <c r="F3422"/>
      <c r="G3422"/>
      <c r="K3422" s="61"/>
    </row>
    <row r="3423" spans="2:11" s="3" customFormat="1">
      <c r="B3423"/>
      <c r="C3423"/>
      <c r="D3423"/>
      <c r="E3423"/>
      <c r="F3423"/>
      <c r="G3423"/>
      <c r="K3423" s="61"/>
    </row>
    <row r="3424" spans="2:11" s="3" customFormat="1">
      <c r="B3424"/>
      <c r="C3424"/>
      <c r="D3424"/>
      <c r="E3424"/>
      <c r="F3424"/>
      <c r="G3424"/>
      <c r="K3424" s="61"/>
    </row>
    <row r="3425" spans="2:11" s="3" customFormat="1">
      <c r="B3425"/>
      <c r="C3425"/>
      <c r="D3425"/>
      <c r="E3425"/>
      <c r="F3425"/>
      <c r="G3425"/>
      <c r="K3425" s="61"/>
    </row>
    <row r="3426" spans="2:11" s="3" customFormat="1">
      <c r="B3426"/>
      <c r="C3426"/>
      <c r="D3426"/>
      <c r="E3426"/>
      <c r="F3426"/>
      <c r="G3426"/>
      <c r="K3426" s="61"/>
    </row>
    <row r="3427" spans="2:11" s="3" customFormat="1">
      <c r="B3427"/>
      <c r="C3427"/>
      <c r="D3427"/>
      <c r="E3427"/>
      <c r="F3427"/>
      <c r="G3427"/>
      <c r="K3427" s="61"/>
    </row>
    <row r="3428" spans="2:11" s="3" customFormat="1">
      <c r="B3428"/>
      <c r="C3428"/>
      <c r="D3428"/>
      <c r="E3428"/>
      <c r="F3428"/>
      <c r="G3428"/>
      <c r="K3428" s="61"/>
    </row>
    <row r="3429" spans="2:11" s="3" customFormat="1">
      <c r="B3429"/>
      <c r="C3429"/>
      <c r="D3429"/>
      <c r="E3429"/>
      <c r="F3429"/>
      <c r="G3429"/>
      <c r="K3429" s="61"/>
    </row>
    <row r="3430" spans="2:11" s="3" customFormat="1">
      <c r="B3430"/>
      <c r="C3430"/>
      <c r="D3430"/>
      <c r="E3430"/>
      <c r="F3430"/>
      <c r="G3430"/>
      <c r="K3430" s="61"/>
    </row>
    <row r="3431" spans="2:11" s="3" customFormat="1">
      <c r="B3431"/>
      <c r="C3431"/>
      <c r="D3431"/>
      <c r="E3431"/>
      <c r="F3431"/>
      <c r="G3431"/>
      <c r="K3431" s="61"/>
    </row>
    <row r="3432" spans="2:11" s="3" customFormat="1">
      <c r="B3432"/>
      <c r="C3432"/>
      <c r="D3432"/>
      <c r="E3432"/>
      <c r="F3432"/>
      <c r="G3432"/>
      <c r="K3432" s="61"/>
    </row>
    <row r="3433" spans="2:11" s="3" customFormat="1">
      <c r="B3433"/>
      <c r="C3433"/>
      <c r="D3433"/>
      <c r="E3433"/>
      <c r="F3433"/>
      <c r="G3433"/>
      <c r="K3433" s="61"/>
    </row>
    <row r="3434" spans="2:11" s="3" customFormat="1">
      <c r="B3434"/>
      <c r="C3434"/>
      <c r="D3434"/>
      <c r="E3434"/>
      <c r="F3434"/>
      <c r="G3434"/>
      <c r="K3434" s="61"/>
    </row>
    <row r="3435" spans="2:11" s="3" customFormat="1">
      <c r="B3435"/>
      <c r="C3435"/>
      <c r="D3435"/>
      <c r="E3435"/>
      <c r="F3435"/>
      <c r="G3435"/>
      <c r="K3435" s="61"/>
    </row>
    <row r="3436" spans="2:11" s="3" customFormat="1">
      <c r="B3436"/>
      <c r="C3436"/>
      <c r="D3436"/>
      <c r="E3436"/>
      <c r="F3436"/>
      <c r="G3436"/>
      <c r="K3436" s="61"/>
    </row>
    <row r="3437" spans="2:11" s="3" customFormat="1">
      <c r="B3437"/>
      <c r="C3437"/>
      <c r="D3437"/>
      <c r="E3437"/>
      <c r="F3437"/>
      <c r="G3437"/>
      <c r="K3437" s="61"/>
    </row>
    <row r="3438" spans="2:11" s="3" customFormat="1">
      <c r="B3438"/>
      <c r="C3438"/>
      <c r="D3438"/>
      <c r="E3438"/>
      <c r="F3438"/>
      <c r="G3438"/>
      <c r="K3438" s="61"/>
    </row>
    <row r="3439" spans="2:11" s="3" customFormat="1">
      <c r="B3439"/>
      <c r="C3439"/>
      <c r="D3439"/>
      <c r="E3439"/>
      <c r="F3439"/>
      <c r="G3439"/>
      <c r="K3439" s="61"/>
    </row>
    <row r="3440" spans="2:11" s="3" customFormat="1">
      <c r="B3440"/>
      <c r="C3440"/>
      <c r="D3440"/>
      <c r="E3440"/>
      <c r="F3440"/>
      <c r="G3440"/>
      <c r="K3440" s="61"/>
    </row>
    <row r="3441" spans="2:11" s="3" customFormat="1">
      <c r="B3441"/>
      <c r="C3441"/>
      <c r="D3441"/>
      <c r="E3441"/>
      <c r="F3441"/>
      <c r="G3441"/>
      <c r="K3441" s="61"/>
    </row>
    <row r="3442" spans="2:11" s="3" customFormat="1">
      <c r="B3442"/>
      <c r="C3442"/>
      <c r="D3442"/>
      <c r="E3442"/>
      <c r="F3442"/>
      <c r="G3442"/>
      <c r="K3442" s="61"/>
    </row>
    <row r="3443" spans="2:11" s="3" customFormat="1">
      <c r="B3443"/>
      <c r="C3443"/>
      <c r="D3443"/>
      <c r="E3443"/>
      <c r="F3443"/>
      <c r="G3443"/>
      <c r="K3443" s="61"/>
    </row>
    <row r="3444" spans="2:11" s="3" customFormat="1">
      <c r="B3444"/>
      <c r="C3444"/>
      <c r="D3444"/>
      <c r="E3444"/>
      <c r="F3444"/>
      <c r="G3444"/>
      <c r="K3444" s="61"/>
    </row>
    <row r="3445" spans="2:11" s="3" customFormat="1">
      <c r="B3445"/>
      <c r="C3445"/>
      <c r="D3445"/>
      <c r="E3445"/>
      <c r="F3445"/>
      <c r="G3445"/>
      <c r="K3445" s="61"/>
    </row>
    <row r="3446" spans="2:11" s="3" customFormat="1">
      <c r="B3446"/>
      <c r="C3446"/>
      <c r="D3446"/>
      <c r="E3446"/>
      <c r="F3446"/>
      <c r="G3446"/>
      <c r="K3446" s="61"/>
    </row>
    <row r="3447" spans="2:11" s="3" customFormat="1">
      <c r="B3447"/>
      <c r="C3447"/>
      <c r="D3447"/>
      <c r="E3447"/>
      <c r="F3447"/>
      <c r="G3447"/>
      <c r="K3447" s="61"/>
    </row>
    <row r="3448" spans="2:11" s="3" customFormat="1">
      <c r="B3448"/>
      <c r="C3448"/>
      <c r="D3448"/>
      <c r="E3448"/>
      <c r="F3448"/>
      <c r="G3448"/>
      <c r="K3448" s="61"/>
    </row>
    <row r="3449" spans="2:11" s="3" customFormat="1">
      <c r="B3449"/>
      <c r="C3449"/>
      <c r="D3449"/>
      <c r="E3449"/>
      <c r="F3449"/>
      <c r="G3449"/>
      <c r="K3449" s="61"/>
    </row>
    <row r="3450" spans="2:11" s="3" customFormat="1">
      <c r="B3450"/>
      <c r="C3450"/>
      <c r="D3450"/>
      <c r="E3450"/>
      <c r="F3450"/>
      <c r="G3450"/>
      <c r="K3450" s="61"/>
    </row>
    <row r="3451" spans="2:11" s="3" customFormat="1">
      <c r="B3451"/>
      <c r="C3451"/>
      <c r="D3451"/>
      <c r="E3451"/>
      <c r="F3451"/>
      <c r="G3451"/>
      <c r="K3451" s="61"/>
    </row>
    <row r="3452" spans="2:11" s="3" customFormat="1">
      <c r="B3452"/>
      <c r="C3452"/>
      <c r="D3452"/>
      <c r="E3452"/>
      <c r="F3452"/>
      <c r="G3452"/>
      <c r="K3452" s="61"/>
    </row>
    <row r="3453" spans="2:11" s="3" customFormat="1">
      <c r="B3453"/>
      <c r="C3453"/>
      <c r="D3453"/>
      <c r="E3453"/>
      <c r="F3453"/>
      <c r="G3453"/>
      <c r="K3453" s="61"/>
    </row>
    <row r="3454" spans="2:11" s="3" customFormat="1">
      <c r="B3454"/>
      <c r="C3454"/>
      <c r="D3454"/>
      <c r="E3454"/>
      <c r="F3454"/>
      <c r="G3454"/>
      <c r="K3454" s="61"/>
    </row>
    <row r="3455" spans="2:11" s="3" customFormat="1">
      <c r="B3455"/>
      <c r="C3455"/>
      <c r="D3455"/>
      <c r="E3455"/>
      <c r="F3455"/>
      <c r="G3455"/>
      <c r="K3455" s="61"/>
    </row>
    <row r="3456" spans="2:11" s="3" customFormat="1">
      <c r="B3456"/>
      <c r="C3456"/>
      <c r="D3456"/>
      <c r="E3456"/>
      <c r="F3456"/>
      <c r="G3456"/>
      <c r="K3456" s="61"/>
    </row>
    <row r="3457" spans="2:11" s="3" customFormat="1">
      <c r="B3457"/>
      <c r="C3457"/>
      <c r="D3457"/>
      <c r="E3457"/>
      <c r="F3457"/>
      <c r="G3457"/>
      <c r="K3457" s="61"/>
    </row>
    <row r="3458" spans="2:11" s="3" customFormat="1">
      <c r="B3458"/>
      <c r="C3458"/>
      <c r="D3458"/>
      <c r="E3458"/>
      <c r="F3458"/>
      <c r="G3458"/>
      <c r="K3458" s="61"/>
    </row>
    <row r="3459" spans="2:11" s="3" customFormat="1">
      <c r="B3459"/>
      <c r="C3459"/>
      <c r="D3459"/>
      <c r="E3459"/>
      <c r="F3459"/>
      <c r="G3459"/>
      <c r="K3459" s="61"/>
    </row>
    <row r="3460" spans="2:11" s="3" customFormat="1">
      <c r="B3460"/>
      <c r="C3460"/>
      <c r="D3460"/>
      <c r="E3460"/>
      <c r="F3460"/>
      <c r="G3460"/>
      <c r="K3460" s="61"/>
    </row>
    <row r="3461" spans="2:11" s="3" customFormat="1">
      <c r="B3461"/>
      <c r="C3461"/>
      <c r="D3461"/>
      <c r="E3461"/>
      <c r="F3461"/>
      <c r="G3461"/>
      <c r="K3461" s="61"/>
    </row>
    <row r="3462" spans="2:11" s="3" customFormat="1">
      <c r="B3462"/>
      <c r="C3462"/>
      <c r="D3462"/>
      <c r="E3462"/>
      <c r="F3462"/>
      <c r="G3462"/>
      <c r="K3462" s="61"/>
    </row>
    <row r="3463" spans="2:11" s="3" customFormat="1">
      <c r="B3463"/>
      <c r="C3463"/>
      <c r="D3463"/>
      <c r="E3463"/>
      <c r="F3463"/>
      <c r="G3463"/>
      <c r="K3463" s="61"/>
    </row>
    <row r="3464" spans="2:11" s="3" customFormat="1">
      <c r="B3464"/>
      <c r="C3464"/>
      <c r="D3464"/>
      <c r="E3464"/>
      <c r="F3464"/>
      <c r="G3464"/>
      <c r="K3464" s="61"/>
    </row>
    <row r="3465" spans="2:11" s="3" customFormat="1">
      <c r="B3465"/>
      <c r="C3465"/>
      <c r="D3465"/>
      <c r="E3465"/>
      <c r="F3465"/>
      <c r="G3465"/>
      <c r="K3465" s="61"/>
    </row>
    <row r="3466" spans="2:11" s="3" customFormat="1">
      <c r="B3466"/>
      <c r="C3466"/>
      <c r="D3466"/>
      <c r="E3466"/>
      <c r="F3466"/>
      <c r="G3466"/>
      <c r="K3466" s="61"/>
    </row>
    <row r="3467" spans="2:11" s="3" customFormat="1">
      <c r="B3467"/>
      <c r="C3467"/>
      <c r="D3467"/>
      <c r="E3467"/>
      <c r="F3467"/>
      <c r="G3467"/>
      <c r="K3467" s="61"/>
    </row>
    <row r="3468" spans="2:11" s="3" customFormat="1">
      <c r="B3468"/>
      <c r="C3468"/>
      <c r="D3468"/>
      <c r="E3468"/>
      <c r="F3468"/>
      <c r="G3468"/>
      <c r="K3468" s="61"/>
    </row>
    <row r="3469" spans="2:11" s="3" customFormat="1">
      <c r="B3469"/>
      <c r="C3469"/>
      <c r="D3469"/>
      <c r="E3469"/>
      <c r="F3469"/>
      <c r="G3469"/>
      <c r="K3469" s="61"/>
    </row>
    <row r="3470" spans="2:11" s="3" customFormat="1">
      <c r="B3470"/>
      <c r="C3470"/>
      <c r="D3470"/>
      <c r="E3470"/>
      <c r="F3470"/>
      <c r="G3470"/>
      <c r="K3470" s="61"/>
    </row>
    <row r="3471" spans="2:11" s="3" customFormat="1">
      <c r="B3471"/>
      <c r="C3471"/>
      <c r="D3471"/>
      <c r="E3471"/>
      <c r="F3471"/>
      <c r="G3471"/>
      <c r="K3471" s="61"/>
    </row>
    <row r="3472" spans="2:11" s="3" customFormat="1">
      <c r="B3472"/>
      <c r="C3472"/>
      <c r="D3472"/>
      <c r="E3472"/>
      <c r="F3472"/>
      <c r="G3472"/>
      <c r="K3472" s="61"/>
    </row>
    <row r="3473" spans="2:11" s="3" customFormat="1">
      <c r="B3473"/>
      <c r="C3473"/>
      <c r="D3473"/>
      <c r="E3473"/>
      <c r="F3473"/>
      <c r="G3473"/>
      <c r="K3473" s="61"/>
    </row>
    <row r="3474" spans="2:11" s="3" customFormat="1">
      <c r="B3474"/>
      <c r="C3474"/>
      <c r="D3474"/>
      <c r="E3474"/>
      <c r="F3474"/>
      <c r="G3474"/>
      <c r="K3474" s="61"/>
    </row>
    <row r="3475" spans="2:11" s="3" customFormat="1">
      <c r="B3475"/>
      <c r="C3475"/>
      <c r="D3475"/>
      <c r="E3475"/>
      <c r="F3475"/>
      <c r="G3475"/>
      <c r="K3475" s="61"/>
    </row>
    <row r="3476" spans="2:11" s="3" customFormat="1">
      <c r="B3476"/>
      <c r="C3476"/>
      <c r="D3476"/>
      <c r="E3476"/>
      <c r="F3476"/>
      <c r="G3476"/>
      <c r="K3476" s="61"/>
    </row>
    <row r="3477" spans="2:11" s="3" customFormat="1">
      <c r="B3477"/>
      <c r="C3477"/>
      <c r="D3477"/>
      <c r="E3477"/>
      <c r="F3477"/>
      <c r="G3477"/>
      <c r="K3477" s="61"/>
    </row>
    <row r="3478" spans="2:11" s="3" customFormat="1">
      <c r="B3478"/>
      <c r="C3478"/>
      <c r="D3478"/>
      <c r="E3478"/>
      <c r="F3478"/>
      <c r="G3478"/>
      <c r="K3478" s="61"/>
    </row>
    <row r="3479" spans="2:11" s="3" customFormat="1">
      <c r="B3479"/>
      <c r="C3479"/>
      <c r="D3479"/>
      <c r="E3479"/>
      <c r="F3479"/>
      <c r="G3479"/>
      <c r="K3479" s="61"/>
    </row>
    <row r="3480" spans="2:11" s="3" customFormat="1">
      <c r="B3480"/>
      <c r="C3480"/>
      <c r="D3480"/>
      <c r="E3480"/>
      <c r="F3480"/>
      <c r="G3480"/>
      <c r="K3480" s="61"/>
    </row>
    <row r="3481" spans="2:11" s="3" customFormat="1">
      <c r="B3481"/>
      <c r="C3481"/>
      <c r="D3481"/>
      <c r="E3481"/>
      <c r="F3481"/>
      <c r="G3481"/>
      <c r="K3481" s="61"/>
    </row>
    <row r="3482" spans="2:11" s="3" customFormat="1">
      <c r="B3482"/>
      <c r="C3482"/>
      <c r="D3482"/>
      <c r="E3482"/>
      <c r="F3482"/>
      <c r="G3482"/>
      <c r="K3482" s="61"/>
    </row>
    <row r="3483" spans="2:11" s="3" customFormat="1">
      <c r="B3483"/>
      <c r="C3483"/>
      <c r="D3483"/>
      <c r="E3483"/>
      <c r="F3483"/>
      <c r="G3483"/>
      <c r="K3483" s="61"/>
    </row>
    <row r="3484" spans="2:11" s="3" customFormat="1">
      <c r="B3484"/>
      <c r="C3484"/>
      <c r="D3484"/>
      <c r="E3484"/>
      <c r="F3484"/>
      <c r="G3484"/>
      <c r="K3484" s="61"/>
    </row>
    <row r="3485" spans="2:11" s="3" customFormat="1">
      <c r="B3485"/>
      <c r="C3485"/>
      <c r="D3485"/>
      <c r="E3485"/>
      <c r="F3485"/>
      <c r="G3485"/>
      <c r="K3485" s="61"/>
    </row>
    <row r="3486" spans="2:11" s="3" customFormat="1">
      <c r="B3486"/>
      <c r="C3486"/>
      <c r="D3486"/>
      <c r="E3486"/>
      <c r="F3486"/>
      <c r="G3486"/>
      <c r="K3486" s="61"/>
    </row>
    <row r="3487" spans="2:11" s="3" customFormat="1">
      <c r="B3487"/>
      <c r="C3487"/>
      <c r="D3487"/>
      <c r="E3487"/>
      <c r="F3487"/>
      <c r="G3487"/>
      <c r="K3487" s="61"/>
    </row>
    <row r="3488" spans="2:11" s="3" customFormat="1">
      <c r="B3488"/>
      <c r="C3488"/>
      <c r="D3488"/>
      <c r="E3488"/>
      <c r="F3488"/>
      <c r="G3488"/>
      <c r="K3488" s="61"/>
    </row>
    <row r="3489" spans="2:11" s="3" customFormat="1">
      <c r="B3489"/>
      <c r="C3489"/>
      <c r="D3489"/>
      <c r="E3489"/>
      <c r="F3489"/>
      <c r="G3489"/>
      <c r="K3489" s="61"/>
    </row>
    <row r="3490" spans="2:11" s="3" customFormat="1">
      <c r="B3490"/>
      <c r="C3490"/>
      <c r="D3490"/>
      <c r="E3490"/>
      <c r="F3490"/>
      <c r="G3490"/>
      <c r="K3490" s="61"/>
    </row>
    <row r="3491" spans="2:11" s="3" customFormat="1">
      <c r="B3491"/>
      <c r="C3491"/>
      <c r="D3491"/>
      <c r="E3491"/>
      <c r="F3491"/>
      <c r="G3491"/>
      <c r="K3491" s="61"/>
    </row>
    <row r="3492" spans="2:11" s="3" customFormat="1">
      <c r="B3492"/>
      <c r="C3492"/>
      <c r="D3492"/>
      <c r="E3492"/>
      <c r="F3492"/>
      <c r="G3492"/>
      <c r="K3492" s="61"/>
    </row>
    <row r="3493" spans="2:11" s="3" customFormat="1">
      <c r="B3493"/>
      <c r="C3493"/>
      <c r="D3493"/>
      <c r="E3493"/>
      <c r="F3493"/>
      <c r="G3493"/>
      <c r="K3493" s="61"/>
    </row>
    <row r="3494" spans="2:11" s="3" customFormat="1">
      <c r="B3494"/>
      <c r="C3494"/>
      <c r="D3494"/>
      <c r="E3494"/>
      <c r="F3494"/>
      <c r="G3494"/>
      <c r="K3494" s="61"/>
    </row>
    <row r="3495" spans="2:11" s="3" customFormat="1">
      <c r="B3495"/>
      <c r="C3495"/>
      <c r="D3495"/>
      <c r="E3495"/>
      <c r="F3495"/>
      <c r="G3495"/>
      <c r="K3495" s="61"/>
    </row>
    <row r="3496" spans="2:11" s="3" customFormat="1">
      <c r="B3496"/>
      <c r="C3496"/>
      <c r="D3496"/>
      <c r="E3496"/>
      <c r="F3496"/>
      <c r="G3496"/>
      <c r="K3496" s="61"/>
    </row>
    <row r="3497" spans="2:11" s="3" customFormat="1">
      <c r="B3497"/>
      <c r="C3497"/>
      <c r="D3497"/>
      <c r="E3497"/>
      <c r="F3497"/>
      <c r="G3497"/>
      <c r="K3497" s="61"/>
    </row>
    <row r="3498" spans="2:11" s="3" customFormat="1">
      <c r="B3498"/>
      <c r="C3498"/>
      <c r="D3498"/>
      <c r="E3498"/>
      <c r="F3498"/>
      <c r="G3498"/>
      <c r="K3498" s="61"/>
    </row>
    <row r="3499" spans="2:11" s="3" customFormat="1">
      <c r="B3499"/>
      <c r="C3499"/>
      <c r="D3499"/>
      <c r="E3499"/>
      <c r="F3499"/>
      <c r="G3499"/>
      <c r="K3499" s="61"/>
    </row>
    <row r="3500" spans="2:11" s="3" customFormat="1">
      <c r="B3500"/>
      <c r="C3500"/>
      <c r="D3500"/>
      <c r="E3500"/>
      <c r="F3500"/>
      <c r="G3500"/>
      <c r="K3500" s="61"/>
    </row>
    <row r="3501" spans="2:11" s="3" customFormat="1">
      <c r="B3501"/>
      <c r="C3501"/>
      <c r="D3501"/>
      <c r="E3501"/>
      <c r="F3501"/>
      <c r="G3501"/>
      <c r="K3501" s="61"/>
    </row>
    <row r="3502" spans="2:11" s="3" customFormat="1">
      <c r="B3502"/>
      <c r="C3502"/>
      <c r="D3502"/>
      <c r="E3502"/>
      <c r="F3502"/>
      <c r="G3502"/>
      <c r="K3502" s="61"/>
    </row>
    <row r="3503" spans="2:11" s="3" customFormat="1">
      <c r="B3503"/>
      <c r="C3503"/>
      <c r="D3503"/>
      <c r="E3503"/>
      <c r="F3503"/>
      <c r="G3503"/>
      <c r="K3503" s="61"/>
    </row>
    <row r="3504" spans="2:11" s="3" customFormat="1">
      <c r="B3504"/>
      <c r="C3504"/>
      <c r="D3504"/>
      <c r="E3504"/>
      <c r="F3504"/>
      <c r="G3504"/>
      <c r="K3504" s="61"/>
    </row>
    <row r="3505" spans="2:11" s="3" customFormat="1">
      <c r="B3505"/>
      <c r="C3505"/>
      <c r="D3505"/>
      <c r="E3505"/>
      <c r="F3505"/>
      <c r="G3505"/>
      <c r="K3505" s="61"/>
    </row>
    <row r="3506" spans="2:11" s="3" customFormat="1">
      <c r="B3506"/>
      <c r="C3506"/>
      <c r="D3506"/>
      <c r="E3506"/>
      <c r="F3506"/>
      <c r="G3506"/>
      <c r="K3506" s="61"/>
    </row>
    <row r="3507" spans="2:11" s="3" customFormat="1">
      <c r="B3507"/>
      <c r="C3507"/>
      <c r="D3507"/>
      <c r="E3507"/>
      <c r="F3507"/>
      <c r="G3507"/>
      <c r="K3507" s="61"/>
    </row>
    <row r="3508" spans="2:11" s="3" customFormat="1">
      <c r="B3508"/>
      <c r="C3508"/>
      <c r="D3508"/>
      <c r="E3508"/>
      <c r="F3508"/>
      <c r="G3508"/>
      <c r="K3508" s="61"/>
    </row>
    <row r="3509" spans="2:11" s="3" customFormat="1">
      <c r="B3509"/>
      <c r="C3509"/>
      <c r="D3509"/>
      <c r="E3509"/>
      <c r="F3509"/>
      <c r="G3509"/>
      <c r="K3509" s="61"/>
    </row>
    <row r="3510" spans="2:11" s="3" customFormat="1">
      <c r="B3510"/>
      <c r="C3510"/>
      <c r="D3510"/>
      <c r="E3510"/>
      <c r="F3510"/>
      <c r="G3510"/>
      <c r="K3510" s="61"/>
    </row>
    <row r="3511" spans="2:11" s="3" customFormat="1">
      <c r="B3511"/>
      <c r="C3511"/>
      <c r="D3511"/>
      <c r="E3511"/>
      <c r="F3511"/>
      <c r="G3511"/>
      <c r="K3511" s="61"/>
    </row>
    <row r="3512" spans="2:11" s="3" customFormat="1">
      <c r="B3512"/>
      <c r="C3512"/>
      <c r="D3512"/>
      <c r="E3512"/>
      <c r="F3512"/>
      <c r="G3512"/>
      <c r="K3512" s="61"/>
    </row>
    <row r="3513" spans="2:11" s="3" customFormat="1">
      <c r="B3513"/>
      <c r="C3513"/>
      <c r="D3513"/>
      <c r="E3513"/>
      <c r="F3513"/>
      <c r="G3513"/>
      <c r="K3513" s="61"/>
    </row>
    <row r="3514" spans="2:11" s="3" customFormat="1">
      <c r="B3514"/>
      <c r="C3514"/>
      <c r="D3514"/>
      <c r="E3514"/>
      <c r="F3514"/>
      <c r="G3514"/>
      <c r="K3514" s="61"/>
    </row>
    <row r="3515" spans="2:11" s="3" customFormat="1">
      <c r="B3515"/>
      <c r="C3515"/>
      <c r="D3515"/>
      <c r="E3515"/>
      <c r="F3515"/>
      <c r="G3515"/>
      <c r="K3515" s="61"/>
    </row>
    <row r="3516" spans="2:11" s="3" customFormat="1">
      <c r="B3516"/>
      <c r="C3516"/>
      <c r="D3516"/>
      <c r="E3516"/>
      <c r="F3516"/>
      <c r="G3516"/>
      <c r="K3516" s="61"/>
    </row>
    <row r="3517" spans="2:11" s="3" customFormat="1">
      <c r="B3517"/>
      <c r="C3517"/>
      <c r="D3517"/>
      <c r="E3517"/>
      <c r="F3517"/>
      <c r="G3517"/>
      <c r="K3517" s="61"/>
    </row>
    <row r="3518" spans="2:11" s="3" customFormat="1">
      <c r="B3518"/>
      <c r="C3518"/>
      <c r="D3518"/>
      <c r="E3518"/>
      <c r="F3518"/>
      <c r="G3518"/>
      <c r="K3518" s="61"/>
    </row>
    <row r="3519" spans="2:11" s="3" customFormat="1">
      <c r="B3519"/>
      <c r="C3519"/>
      <c r="D3519"/>
      <c r="E3519"/>
      <c r="F3519"/>
      <c r="G3519"/>
      <c r="K3519" s="61"/>
    </row>
    <row r="3520" spans="2:11" s="3" customFormat="1">
      <c r="B3520"/>
      <c r="C3520"/>
      <c r="D3520"/>
      <c r="E3520"/>
      <c r="F3520"/>
      <c r="G3520"/>
      <c r="K3520" s="61"/>
    </row>
    <row r="3521" spans="2:11" s="3" customFormat="1">
      <c r="B3521"/>
      <c r="C3521"/>
      <c r="D3521"/>
      <c r="E3521"/>
      <c r="F3521"/>
      <c r="G3521"/>
      <c r="K3521" s="61"/>
    </row>
    <row r="3522" spans="2:11" s="3" customFormat="1">
      <c r="B3522"/>
      <c r="C3522"/>
      <c r="D3522"/>
      <c r="E3522"/>
      <c r="F3522"/>
      <c r="G3522"/>
      <c r="K3522" s="61"/>
    </row>
    <row r="3523" spans="2:11" s="3" customFormat="1">
      <c r="B3523"/>
      <c r="C3523"/>
      <c r="D3523"/>
      <c r="E3523"/>
      <c r="F3523"/>
      <c r="G3523"/>
      <c r="K3523" s="61"/>
    </row>
    <row r="3524" spans="2:11" s="3" customFormat="1">
      <c r="B3524"/>
      <c r="C3524"/>
      <c r="D3524"/>
      <c r="E3524"/>
      <c r="F3524"/>
      <c r="G3524"/>
      <c r="K3524" s="61"/>
    </row>
    <row r="3525" spans="2:11" s="3" customFormat="1">
      <c r="B3525"/>
      <c r="C3525"/>
      <c r="D3525"/>
      <c r="E3525"/>
      <c r="F3525"/>
      <c r="G3525"/>
      <c r="K3525" s="61"/>
    </row>
    <row r="3526" spans="2:11" s="3" customFormat="1">
      <c r="B3526"/>
      <c r="C3526"/>
      <c r="D3526"/>
      <c r="E3526"/>
      <c r="F3526"/>
      <c r="G3526"/>
      <c r="K3526" s="61"/>
    </row>
    <row r="3527" spans="2:11" s="3" customFormat="1">
      <c r="B3527"/>
      <c r="C3527"/>
      <c r="D3527"/>
      <c r="E3527"/>
      <c r="F3527"/>
      <c r="G3527"/>
      <c r="K3527" s="61"/>
    </row>
    <row r="3528" spans="2:11" s="3" customFormat="1">
      <c r="B3528"/>
      <c r="C3528"/>
      <c r="D3528"/>
      <c r="E3528"/>
      <c r="F3528"/>
      <c r="G3528"/>
      <c r="K3528" s="61"/>
    </row>
    <row r="3529" spans="2:11" s="3" customFormat="1">
      <c r="B3529"/>
      <c r="C3529"/>
      <c r="D3529"/>
      <c r="E3529"/>
      <c r="F3529"/>
      <c r="G3529"/>
      <c r="K3529" s="61"/>
    </row>
    <row r="3530" spans="2:11" s="3" customFormat="1">
      <c r="B3530"/>
      <c r="C3530"/>
      <c r="D3530"/>
      <c r="E3530"/>
      <c r="F3530"/>
      <c r="G3530"/>
      <c r="K3530" s="61"/>
    </row>
    <row r="3531" spans="2:11" s="3" customFormat="1">
      <c r="B3531"/>
      <c r="C3531"/>
      <c r="D3531"/>
      <c r="E3531"/>
      <c r="F3531"/>
      <c r="G3531"/>
      <c r="K3531" s="61"/>
    </row>
    <row r="3532" spans="2:11" s="3" customFormat="1">
      <c r="B3532"/>
      <c r="C3532"/>
      <c r="D3532"/>
      <c r="E3532"/>
      <c r="F3532"/>
      <c r="G3532"/>
      <c r="K3532" s="61"/>
    </row>
    <row r="3533" spans="2:11" s="3" customFormat="1">
      <c r="B3533"/>
      <c r="C3533"/>
      <c r="D3533"/>
      <c r="E3533"/>
      <c r="F3533"/>
      <c r="G3533"/>
      <c r="K3533" s="61"/>
    </row>
    <row r="3534" spans="2:11" s="3" customFormat="1">
      <c r="B3534"/>
      <c r="C3534"/>
      <c r="D3534"/>
      <c r="E3534"/>
      <c r="F3534"/>
      <c r="G3534"/>
      <c r="K3534" s="61"/>
    </row>
    <row r="3535" spans="2:11" s="3" customFormat="1">
      <c r="B3535"/>
      <c r="C3535"/>
      <c r="D3535"/>
      <c r="E3535"/>
      <c r="F3535"/>
      <c r="G3535"/>
      <c r="K3535" s="61"/>
    </row>
    <row r="3536" spans="2:11" s="3" customFormat="1">
      <c r="B3536"/>
      <c r="C3536"/>
      <c r="D3536"/>
      <c r="E3536"/>
      <c r="F3536"/>
      <c r="G3536"/>
      <c r="K3536" s="61"/>
    </row>
    <row r="3537" spans="2:11" s="3" customFormat="1">
      <c r="B3537"/>
      <c r="C3537"/>
      <c r="D3537"/>
      <c r="E3537"/>
      <c r="F3537"/>
      <c r="G3537"/>
      <c r="K3537" s="61"/>
    </row>
    <row r="3538" spans="2:11" s="3" customFormat="1">
      <c r="B3538"/>
      <c r="C3538"/>
      <c r="D3538"/>
      <c r="E3538"/>
      <c r="F3538"/>
      <c r="G3538"/>
      <c r="K3538" s="61"/>
    </row>
    <row r="3539" spans="2:11" s="3" customFormat="1">
      <c r="B3539"/>
      <c r="C3539"/>
      <c r="D3539"/>
      <c r="E3539"/>
      <c r="F3539"/>
      <c r="G3539"/>
      <c r="K3539" s="61"/>
    </row>
    <row r="3540" spans="2:11" s="3" customFormat="1">
      <c r="B3540"/>
      <c r="C3540"/>
      <c r="D3540"/>
      <c r="E3540"/>
      <c r="F3540"/>
      <c r="G3540"/>
      <c r="K3540" s="61"/>
    </row>
    <row r="3541" spans="2:11" s="3" customFormat="1">
      <c r="B3541"/>
      <c r="C3541"/>
      <c r="D3541"/>
      <c r="E3541"/>
      <c r="F3541"/>
      <c r="G3541"/>
      <c r="K3541" s="61"/>
    </row>
    <row r="3542" spans="2:11" s="3" customFormat="1">
      <c r="B3542"/>
      <c r="C3542"/>
      <c r="D3542"/>
      <c r="E3542"/>
      <c r="F3542"/>
      <c r="G3542"/>
      <c r="K3542" s="61"/>
    </row>
    <row r="3543" spans="2:11" s="3" customFormat="1">
      <c r="B3543"/>
      <c r="C3543"/>
      <c r="D3543"/>
      <c r="E3543"/>
      <c r="F3543"/>
      <c r="G3543"/>
      <c r="K3543" s="61"/>
    </row>
    <row r="3544" spans="2:11" s="3" customFormat="1">
      <c r="B3544"/>
      <c r="C3544"/>
      <c r="D3544"/>
      <c r="E3544"/>
      <c r="F3544"/>
      <c r="G3544"/>
      <c r="K3544" s="61"/>
    </row>
    <row r="3545" spans="2:11" s="3" customFormat="1">
      <c r="B3545"/>
      <c r="C3545"/>
      <c r="D3545"/>
      <c r="E3545"/>
      <c r="F3545"/>
      <c r="G3545"/>
      <c r="K3545" s="61"/>
    </row>
    <row r="3546" spans="2:11" s="3" customFormat="1">
      <c r="B3546"/>
      <c r="C3546"/>
      <c r="D3546"/>
      <c r="E3546"/>
      <c r="F3546"/>
      <c r="G3546"/>
      <c r="K3546" s="61"/>
    </row>
    <row r="3547" spans="2:11" s="3" customFormat="1">
      <c r="B3547"/>
      <c r="C3547"/>
      <c r="D3547"/>
      <c r="E3547"/>
      <c r="F3547"/>
      <c r="G3547"/>
      <c r="K3547" s="61"/>
    </row>
    <row r="3548" spans="2:11" s="3" customFormat="1">
      <c r="B3548"/>
      <c r="C3548"/>
      <c r="D3548"/>
      <c r="E3548"/>
      <c r="F3548"/>
      <c r="G3548"/>
      <c r="K3548" s="61"/>
    </row>
    <row r="3549" spans="2:11" s="3" customFormat="1">
      <c r="B3549"/>
      <c r="C3549"/>
      <c r="D3549"/>
      <c r="E3549"/>
      <c r="F3549"/>
      <c r="G3549"/>
      <c r="K3549" s="61"/>
    </row>
    <row r="3550" spans="2:11" s="3" customFormat="1">
      <c r="B3550"/>
      <c r="C3550"/>
      <c r="D3550"/>
      <c r="E3550"/>
      <c r="F3550"/>
      <c r="G3550"/>
      <c r="K3550" s="61"/>
    </row>
    <row r="3551" spans="2:11" s="3" customFormat="1">
      <c r="B3551"/>
      <c r="C3551"/>
      <c r="D3551"/>
      <c r="E3551"/>
      <c r="F3551"/>
      <c r="G3551"/>
      <c r="K3551" s="61"/>
    </row>
    <row r="3552" spans="2:11" s="3" customFormat="1">
      <c r="B3552"/>
      <c r="C3552"/>
      <c r="D3552"/>
      <c r="E3552"/>
      <c r="F3552"/>
      <c r="G3552"/>
      <c r="K3552" s="61"/>
    </row>
    <row r="3553" spans="2:11" s="3" customFormat="1">
      <c r="B3553"/>
      <c r="C3553"/>
      <c r="D3553"/>
      <c r="E3553"/>
      <c r="F3553"/>
      <c r="G3553"/>
      <c r="K3553" s="61"/>
    </row>
    <row r="3554" spans="2:11" s="3" customFormat="1">
      <c r="B3554"/>
      <c r="C3554"/>
      <c r="D3554"/>
      <c r="E3554"/>
      <c r="F3554"/>
      <c r="G3554"/>
      <c r="K3554" s="61"/>
    </row>
    <row r="3555" spans="2:11" s="3" customFormat="1">
      <c r="B3555"/>
      <c r="C3555"/>
      <c r="D3555"/>
      <c r="E3555"/>
      <c r="F3555"/>
      <c r="G3555"/>
      <c r="K3555" s="61"/>
    </row>
    <row r="3556" spans="2:11" s="3" customFormat="1">
      <c r="B3556"/>
      <c r="C3556"/>
      <c r="D3556"/>
      <c r="E3556"/>
      <c r="F3556"/>
      <c r="G3556"/>
      <c r="K3556" s="61"/>
    </row>
    <row r="3557" spans="2:11" s="3" customFormat="1">
      <c r="B3557"/>
      <c r="C3557"/>
      <c r="D3557"/>
      <c r="E3557"/>
      <c r="F3557"/>
      <c r="G3557"/>
      <c r="K3557" s="61"/>
    </row>
    <row r="3558" spans="2:11" s="3" customFormat="1">
      <c r="B3558"/>
      <c r="C3558"/>
      <c r="D3558"/>
      <c r="E3558"/>
      <c r="F3558"/>
      <c r="G3558"/>
      <c r="K3558" s="61"/>
    </row>
    <row r="3559" spans="2:11" s="3" customFormat="1">
      <c r="B3559"/>
      <c r="C3559"/>
      <c r="D3559"/>
      <c r="E3559"/>
      <c r="F3559"/>
      <c r="G3559"/>
      <c r="K3559" s="61"/>
    </row>
    <row r="3560" spans="2:11" s="3" customFormat="1">
      <c r="B3560"/>
      <c r="C3560"/>
      <c r="D3560"/>
      <c r="E3560"/>
      <c r="F3560"/>
      <c r="G3560"/>
      <c r="K3560" s="61"/>
    </row>
    <row r="3561" spans="2:11" s="3" customFormat="1">
      <c r="B3561"/>
      <c r="C3561"/>
      <c r="D3561"/>
      <c r="E3561"/>
      <c r="F3561"/>
      <c r="G3561"/>
      <c r="K3561" s="61"/>
    </row>
    <row r="3562" spans="2:11" s="3" customFormat="1">
      <c r="B3562"/>
      <c r="C3562"/>
      <c r="D3562"/>
      <c r="E3562"/>
      <c r="F3562"/>
      <c r="G3562"/>
      <c r="K3562" s="61"/>
    </row>
    <row r="3563" spans="2:11" s="3" customFormat="1">
      <c r="B3563"/>
      <c r="C3563"/>
      <c r="D3563"/>
      <c r="E3563"/>
      <c r="F3563"/>
      <c r="G3563"/>
      <c r="K3563" s="61"/>
    </row>
    <row r="3564" spans="2:11" s="3" customFormat="1">
      <c r="B3564"/>
      <c r="C3564"/>
      <c r="D3564"/>
      <c r="E3564"/>
      <c r="F3564"/>
      <c r="G3564"/>
      <c r="K3564" s="61"/>
    </row>
    <row r="3565" spans="2:11" s="3" customFormat="1">
      <c r="B3565"/>
      <c r="C3565"/>
      <c r="D3565"/>
      <c r="E3565"/>
      <c r="F3565"/>
      <c r="G3565"/>
      <c r="K3565" s="61"/>
    </row>
    <row r="3566" spans="2:11" s="3" customFormat="1">
      <c r="B3566"/>
      <c r="C3566"/>
      <c r="D3566"/>
      <c r="E3566"/>
      <c r="F3566"/>
      <c r="G3566"/>
      <c r="K3566" s="61"/>
    </row>
    <row r="3567" spans="2:11" s="3" customFormat="1">
      <c r="B3567"/>
      <c r="C3567"/>
      <c r="D3567"/>
      <c r="E3567"/>
      <c r="F3567"/>
      <c r="G3567"/>
      <c r="K3567" s="61"/>
    </row>
    <row r="3568" spans="2:11" s="3" customFormat="1">
      <c r="B3568"/>
      <c r="C3568"/>
      <c r="D3568"/>
      <c r="E3568"/>
      <c r="F3568"/>
      <c r="G3568"/>
      <c r="K3568" s="61"/>
    </row>
    <row r="3569" spans="2:11" s="3" customFormat="1">
      <c r="B3569"/>
      <c r="C3569"/>
      <c r="D3569"/>
      <c r="E3569"/>
      <c r="F3569"/>
      <c r="G3569"/>
      <c r="K3569" s="61"/>
    </row>
    <row r="3570" spans="2:11" s="3" customFormat="1">
      <c r="B3570"/>
      <c r="C3570"/>
      <c r="D3570"/>
      <c r="E3570"/>
      <c r="F3570"/>
      <c r="G3570"/>
      <c r="K3570" s="61"/>
    </row>
    <row r="3571" spans="2:11" s="3" customFormat="1">
      <c r="B3571"/>
      <c r="C3571"/>
      <c r="D3571"/>
      <c r="E3571"/>
      <c r="F3571"/>
      <c r="G3571"/>
      <c r="K3571" s="61"/>
    </row>
    <row r="3572" spans="2:11" s="3" customFormat="1">
      <c r="B3572"/>
      <c r="C3572"/>
      <c r="D3572"/>
      <c r="E3572"/>
      <c r="F3572"/>
      <c r="G3572"/>
      <c r="K3572" s="61"/>
    </row>
    <row r="3573" spans="2:11" s="3" customFormat="1">
      <c r="B3573"/>
      <c r="C3573"/>
      <c r="D3573"/>
      <c r="E3573"/>
      <c r="F3573"/>
      <c r="G3573"/>
      <c r="K3573" s="61"/>
    </row>
    <row r="3574" spans="2:11" s="3" customFormat="1">
      <c r="B3574"/>
      <c r="C3574"/>
      <c r="D3574"/>
      <c r="E3574"/>
      <c r="F3574"/>
      <c r="G3574"/>
      <c r="K3574" s="61"/>
    </row>
    <row r="3575" spans="2:11" s="3" customFormat="1">
      <c r="B3575"/>
      <c r="C3575"/>
      <c r="D3575"/>
      <c r="E3575"/>
      <c r="F3575"/>
      <c r="G3575"/>
      <c r="K3575" s="61"/>
    </row>
    <row r="3576" spans="2:11" s="3" customFormat="1">
      <c r="B3576"/>
      <c r="C3576"/>
      <c r="D3576"/>
      <c r="E3576"/>
      <c r="F3576"/>
      <c r="G3576"/>
      <c r="K3576" s="61"/>
    </row>
    <row r="3577" spans="2:11" s="3" customFormat="1">
      <c r="B3577"/>
      <c r="C3577"/>
      <c r="D3577"/>
      <c r="E3577"/>
      <c r="F3577"/>
      <c r="G3577"/>
      <c r="K3577" s="61"/>
    </row>
    <row r="3578" spans="2:11" s="3" customFormat="1">
      <c r="B3578"/>
      <c r="C3578"/>
      <c r="D3578"/>
      <c r="E3578"/>
      <c r="F3578"/>
      <c r="G3578"/>
      <c r="K3578" s="61"/>
    </row>
    <row r="3579" spans="2:11" s="3" customFormat="1">
      <c r="B3579"/>
      <c r="C3579"/>
      <c r="D3579"/>
      <c r="E3579"/>
      <c r="F3579"/>
      <c r="G3579"/>
      <c r="K3579" s="61"/>
    </row>
    <row r="3580" spans="2:11" s="3" customFormat="1">
      <c r="B3580"/>
      <c r="C3580"/>
      <c r="D3580"/>
      <c r="E3580"/>
      <c r="F3580"/>
      <c r="G3580"/>
      <c r="K3580" s="61"/>
    </row>
    <row r="3581" spans="2:11" s="3" customFormat="1">
      <c r="B3581"/>
      <c r="C3581"/>
      <c r="D3581"/>
      <c r="E3581"/>
      <c r="F3581"/>
      <c r="G3581"/>
      <c r="K3581" s="61"/>
    </row>
    <row r="3582" spans="2:11" s="3" customFormat="1">
      <c r="B3582"/>
      <c r="C3582"/>
      <c r="D3582"/>
      <c r="E3582"/>
      <c r="F3582"/>
      <c r="G3582"/>
      <c r="K3582" s="61"/>
    </row>
    <row r="3583" spans="2:11" s="3" customFormat="1">
      <c r="B3583"/>
      <c r="C3583"/>
      <c r="D3583"/>
      <c r="E3583"/>
      <c r="F3583"/>
      <c r="G3583"/>
      <c r="K3583" s="61"/>
    </row>
    <row r="3584" spans="2:11" s="3" customFormat="1">
      <c r="B3584"/>
      <c r="C3584"/>
      <c r="D3584"/>
      <c r="E3584"/>
      <c r="F3584"/>
      <c r="G3584"/>
      <c r="K3584" s="61"/>
    </row>
    <row r="3585" spans="2:11" s="3" customFormat="1">
      <c r="B3585"/>
      <c r="C3585"/>
      <c r="D3585"/>
      <c r="E3585"/>
      <c r="F3585"/>
      <c r="G3585"/>
      <c r="K3585" s="61"/>
    </row>
    <row r="3586" spans="2:11" s="3" customFormat="1">
      <c r="B3586"/>
      <c r="C3586"/>
      <c r="D3586"/>
      <c r="E3586"/>
      <c r="F3586"/>
      <c r="G3586"/>
      <c r="K3586" s="61"/>
    </row>
    <row r="3587" spans="2:11" s="3" customFormat="1">
      <c r="B3587"/>
      <c r="C3587"/>
      <c r="D3587"/>
      <c r="E3587"/>
      <c r="F3587"/>
      <c r="G3587"/>
      <c r="K3587" s="61"/>
    </row>
    <row r="3588" spans="2:11" s="3" customFormat="1">
      <c r="B3588"/>
      <c r="C3588"/>
      <c r="D3588"/>
      <c r="E3588"/>
      <c r="F3588"/>
      <c r="G3588"/>
      <c r="K3588" s="61"/>
    </row>
    <row r="3589" spans="2:11" s="3" customFormat="1">
      <c r="B3589"/>
      <c r="C3589"/>
      <c r="D3589"/>
      <c r="E3589"/>
      <c r="F3589"/>
      <c r="G3589"/>
      <c r="K3589" s="61"/>
    </row>
    <row r="3590" spans="2:11" s="3" customFormat="1">
      <c r="B3590"/>
      <c r="C3590"/>
      <c r="D3590"/>
      <c r="E3590"/>
      <c r="F3590"/>
      <c r="G3590"/>
      <c r="K3590" s="61"/>
    </row>
    <row r="3591" spans="2:11" s="3" customFormat="1">
      <c r="B3591"/>
      <c r="C3591"/>
      <c r="D3591"/>
      <c r="E3591"/>
      <c r="F3591"/>
      <c r="G3591"/>
      <c r="K3591" s="61"/>
    </row>
    <row r="3592" spans="2:11" s="3" customFormat="1">
      <c r="B3592"/>
      <c r="C3592"/>
      <c r="D3592"/>
      <c r="E3592"/>
      <c r="F3592"/>
      <c r="G3592"/>
      <c r="K3592" s="61"/>
    </row>
    <row r="3593" spans="2:11" s="3" customFormat="1">
      <c r="B3593"/>
      <c r="C3593"/>
      <c r="D3593"/>
      <c r="E3593"/>
      <c r="F3593"/>
      <c r="G3593"/>
      <c r="K3593" s="61"/>
    </row>
    <row r="3594" spans="2:11" s="3" customFormat="1">
      <c r="B3594"/>
      <c r="C3594"/>
      <c r="D3594"/>
      <c r="E3594"/>
      <c r="F3594"/>
      <c r="G3594"/>
      <c r="K3594" s="61"/>
    </row>
    <row r="3595" spans="2:11" s="3" customFormat="1">
      <c r="B3595"/>
      <c r="C3595"/>
      <c r="D3595"/>
      <c r="E3595"/>
      <c r="F3595"/>
      <c r="G3595"/>
      <c r="K3595" s="61"/>
    </row>
    <row r="3596" spans="2:11" s="3" customFormat="1">
      <c r="B3596"/>
      <c r="C3596"/>
      <c r="D3596"/>
      <c r="E3596"/>
      <c r="F3596"/>
      <c r="G3596"/>
      <c r="K3596" s="61"/>
    </row>
    <row r="3597" spans="2:11" s="3" customFormat="1">
      <c r="B3597"/>
      <c r="C3597"/>
      <c r="D3597"/>
      <c r="E3597"/>
      <c r="F3597"/>
      <c r="G3597"/>
      <c r="K3597" s="61"/>
    </row>
    <row r="3598" spans="2:11" s="3" customFormat="1">
      <c r="B3598"/>
      <c r="C3598"/>
      <c r="D3598"/>
      <c r="E3598"/>
      <c r="F3598"/>
      <c r="G3598"/>
      <c r="K3598" s="61"/>
    </row>
    <row r="3599" spans="2:11" s="3" customFormat="1">
      <c r="B3599"/>
      <c r="C3599"/>
      <c r="D3599"/>
      <c r="E3599"/>
      <c r="F3599"/>
      <c r="G3599"/>
      <c r="K3599" s="61"/>
    </row>
    <row r="3600" spans="2:11" s="3" customFormat="1">
      <c r="B3600"/>
      <c r="C3600"/>
      <c r="D3600"/>
      <c r="E3600"/>
      <c r="F3600"/>
      <c r="G3600"/>
      <c r="K3600" s="61"/>
    </row>
    <row r="3601" spans="2:11" s="3" customFormat="1">
      <c r="B3601"/>
      <c r="C3601"/>
      <c r="D3601"/>
      <c r="E3601"/>
      <c r="F3601"/>
      <c r="G3601"/>
      <c r="K3601" s="61"/>
    </row>
    <row r="3602" spans="2:11" s="3" customFormat="1">
      <c r="B3602"/>
      <c r="C3602"/>
      <c r="D3602"/>
      <c r="E3602"/>
      <c r="F3602"/>
      <c r="G3602"/>
      <c r="K3602" s="61"/>
    </row>
    <row r="3603" spans="2:11" s="3" customFormat="1">
      <c r="B3603"/>
      <c r="C3603"/>
      <c r="D3603"/>
      <c r="E3603"/>
      <c r="F3603"/>
      <c r="G3603"/>
      <c r="K3603" s="61"/>
    </row>
    <row r="3604" spans="2:11" s="3" customFormat="1">
      <c r="B3604"/>
      <c r="C3604"/>
      <c r="D3604"/>
      <c r="E3604"/>
      <c r="F3604"/>
      <c r="G3604"/>
      <c r="K3604" s="61"/>
    </row>
    <row r="3605" spans="2:11" s="3" customFormat="1">
      <c r="B3605"/>
      <c r="C3605"/>
      <c r="D3605"/>
      <c r="E3605"/>
      <c r="F3605"/>
      <c r="G3605"/>
      <c r="K3605" s="61"/>
    </row>
    <row r="3606" spans="2:11" s="3" customFormat="1">
      <c r="B3606"/>
      <c r="C3606"/>
      <c r="D3606"/>
      <c r="E3606"/>
      <c r="F3606"/>
      <c r="G3606"/>
      <c r="K3606" s="61"/>
    </row>
    <row r="3607" spans="2:11" s="3" customFormat="1">
      <c r="B3607"/>
      <c r="C3607"/>
      <c r="D3607"/>
      <c r="E3607"/>
      <c r="F3607"/>
      <c r="G3607"/>
      <c r="K3607" s="61"/>
    </row>
    <row r="3608" spans="2:11" s="3" customFormat="1">
      <c r="B3608"/>
      <c r="C3608"/>
      <c r="D3608"/>
      <c r="E3608"/>
      <c r="F3608"/>
      <c r="G3608"/>
      <c r="K3608" s="61"/>
    </row>
    <row r="3609" spans="2:11" s="3" customFormat="1">
      <c r="B3609"/>
      <c r="C3609"/>
      <c r="D3609"/>
      <c r="E3609"/>
      <c r="F3609"/>
      <c r="G3609"/>
      <c r="K3609" s="61"/>
    </row>
    <row r="3610" spans="2:11" s="3" customFormat="1">
      <c r="B3610"/>
      <c r="C3610"/>
      <c r="D3610"/>
      <c r="E3610"/>
      <c r="F3610"/>
      <c r="G3610"/>
      <c r="K3610" s="61"/>
    </row>
    <row r="3611" spans="2:11" s="3" customFormat="1">
      <c r="B3611"/>
      <c r="C3611"/>
      <c r="D3611"/>
      <c r="E3611"/>
      <c r="F3611"/>
      <c r="G3611"/>
      <c r="K3611" s="61"/>
    </row>
    <row r="3612" spans="2:11" s="3" customFormat="1">
      <c r="B3612"/>
      <c r="C3612"/>
      <c r="D3612"/>
      <c r="E3612"/>
      <c r="F3612"/>
      <c r="G3612"/>
      <c r="K3612" s="61"/>
    </row>
    <row r="3613" spans="2:11" s="3" customFormat="1">
      <c r="B3613"/>
      <c r="C3613"/>
      <c r="D3613"/>
      <c r="E3613"/>
      <c r="F3613"/>
      <c r="G3613"/>
      <c r="K3613" s="61"/>
    </row>
    <row r="3614" spans="2:11" s="3" customFormat="1">
      <c r="B3614"/>
      <c r="C3614"/>
      <c r="D3614"/>
      <c r="E3614"/>
      <c r="F3614"/>
      <c r="G3614"/>
      <c r="K3614" s="61"/>
    </row>
    <row r="3615" spans="2:11" s="3" customFormat="1">
      <c r="B3615"/>
      <c r="C3615"/>
      <c r="D3615"/>
      <c r="E3615"/>
      <c r="F3615"/>
      <c r="G3615"/>
      <c r="K3615" s="61"/>
    </row>
    <row r="3616" spans="2:11" s="3" customFormat="1">
      <c r="B3616"/>
      <c r="C3616"/>
      <c r="D3616"/>
      <c r="E3616"/>
      <c r="F3616"/>
      <c r="G3616"/>
      <c r="K3616" s="61"/>
    </row>
    <row r="3617" spans="2:11" s="3" customFormat="1">
      <c r="B3617"/>
      <c r="C3617"/>
      <c r="D3617"/>
      <c r="E3617"/>
      <c r="F3617"/>
      <c r="G3617"/>
      <c r="K3617" s="61"/>
    </row>
    <row r="3618" spans="2:11" s="3" customFormat="1">
      <c r="B3618"/>
      <c r="C3618"/>
      <c r="D3618"/>
      <c r="E3618"/>
      <c r="F3618"/>
      <c r="G3618"/>
      <c r="K3618" s="61"/>
    </row>
    <row r="3619" spans="2:11" s="3" customFormat="1">
      <c r="B3619"/>
      <c r="C3619"/>
      <c r="D3619"/>
      <c r="E3619"/>
      <c r="F3619"/>
      <c r="G3619"/>
      <c r="K3619" s="61"/>
    </row>
    <row r="3620" spans="2:11" s="3" customFormat="1">
      <c r="B3620"/>
      <c r="C3620"/>
      <c r="D3620"/>
      <c r="E3620"/>
      <c r="F3620"/>
      <c r="G3620"/>
      <c r="K3620" s="61"/>
    </row>
    <row r="3621" spans="2:11" s="3" customFormat="1">
      <c r="B3621"/>
      <c r="C3621"/>
      <c r="D3621"/>
      <c r="E3621"/>
      <c r="F3621"/>
      <c r="G3621"/>
      <c r="K3621" s="61"/>
    </row>
    <row r="3622" spans="2:11" s="3" customFormat="1">
      <c r="B3622"/>
      <c r="C3622"/>
      <c r="D3622"/>
      <c r="E3622"/>
      <c r="F3622"/>
      <c r="G3622"/>
      <c r="K3622" s="61"/>
    </row>
    <row r="3623" spans="2:11" s="3" customFormat="1">
      <c r="B3623"/>
      <c r="C3623"/>
      <c r="D3623"/>
      <c r="E3623"/>
      <c r="F3623"/>
      <c r="G3623"/>
      <c r="K3623" s="61"/>
    </row>
    <row r="3624" spans="2:11" s="3" customFormat="1">
      <c r="B3624"/>
      <c r="C3624"/>
      <c r="D3624"/>
      <c r="E3624"/>
      <c r="F3624"/>
      <c r="G3624"/>
      <c r="K3624" s="61"/>
    </row>
    <row r="3625" spans="2:11" s="3" customFormat="1">
      <c r="B3625"/>
      <c r="C3625"/>
      <c r="D3625"/>
      <c r="E3625"/>
      <c r="F3625"/>
      <c r="G3625"/>
      <c r="K3625" s="61"/>
    </row>
    <row r="3626" spans="2:11" s="3" customFormat="1">
      <c r="B3626"/>
      <c r="C3626"/>
      <c r="D3626"/>
      <c r="E3626"/>
      <c r="F3626"/>
      <c r="G3626"/>
      <c r="K3626" s="61"/>
    </row>
    <row r="3627" spans="2:11" s="3" customFormat="1">
      <c r="B3627"/>
      <c r="C3627"/>
      <c r="D3627"/>
      <c r="E3627"/>
      <c r="F3627"/>
      <c r="G3627"/>
      <c r="K3627" s="61"/>
    </row>
    <row r="3628" spans="2:11" s="3" customFormat="1">
      <c r="B3628"/>
      <c r="C3628"/>
      <c r="D3628"/>
      <c r="E3628"/>
      <c r="F3628"/>
      <c r="G3628"/>
      <c r="K3628" s="61"/>
    </row>
    <row r="3629" spans="2:11" s="3" customFormat="1">
      <c r="B3629"/>
      <c r="C3629"/>
      <c r="D3629"/>
      <c r="E3629"/>
      <c r="F3629"/>
      <c r="G3629"/>
      <c r="K3629" s="61"/>
    </row>
    <row r="3630" spans="2:11" s="3" customFormat="1">
      <c r="B3630"/>
      <c r="C3630"/>
      <c r="D3630"/>
      <c r="E3630"/>
      <c r="F3630"/>
      <c r="G3630"/>
      <c r="K3630" s="61"/>
    </row>
    <row r="3631" spans="2:11" s="3" customFormat="1">
      <c r="B3631"/>
      <c r="C3631"/>
      <c r="D3631"/>
      <c r="E3631"/>
      <c r="F3631"/>
      <c r="G3631"/>
      <c r="K3631" s="61"/>
    </row>
    <row r="3632" spans="2:11" s="3" customFormat="1">
      <c r="B3632"/>
      <c r="C3632"/>
      <c r="D3632"/>
      <c r="E3632"/>
      <c r="F3632"/>
      <c r="G3632"/>
      <c r="K3632" s="61"/>
    </row>
    <row r="3633" spans="2:11" s="3" customFormat="1">
      <c r="B3633"/>
      <c r="C3633"/>
      <c r="D3633"/>
      <c r="E3633"/>
      <c r="F3633"/>
      <c r="G3633"/>
      <c r="K3633" s="61"/>
    </row>
    <row r="3634" spans="2:11" s="3" customFormat="1">
      <c r="B3634"/>
      <c r="C3634"/>
      <c r="D3634"/>
      <c r="E3634"/>
      <c r="F3634"/>
      <c r="G3634"/>
      <c r="K3634" s="61"/>
    </row>
    <row r="3635" spans="2:11" s="3" customFormat="1">
      <c r="B3635"/>
      <c r="C3635"/>
      <c r="D3635"/>
      <c r="E3635"/>
      <c r="F3635"/>
      <c r="G3635"/>
      <c r="K3635" s="61"/>
    </row>
    <row r="3636" spans="2:11" s="3" customFormat="1">
      <c r="B3636"/>
      <c r="C3636"/>
      <c r="D3636"/>
      <c r="E3636"/>
      <c r="F3636"/>
      <c r="G3636"/>
      <c r="K3636" s="61"/>
    </row>
    <row r="3637" spans="2:11" s="3" customFormat="1">
      <c r="B3637"/>
      <c r="C3637"/>
      <c r="D3637"/>
      <c r="E3637"/>
      <c r="F3637"/>
      <c r="G3637"/>
      <c r="K3637" s="61"/>
    </row>
    <row r="3638" spans="2:11" s="3" customFormat="1">
      <c r="B3638"/>
      <c r="C3638"/>
      <c r="D3638"/>
      <c r="E3638"/>
      <c r="F3638"/>
      <c r="G3638"/>
      <c r="K3638" s="61"/>
    </row>
    <row r="3639" spans="2:11" s="3" customFormat="1">
      <c r="B3639"/>
      <c r="C3639"/>
      <c r="D3639"/>
      <c r="E3639"/>
      <c r="F3639"/>
      <c r="G3639"/>
      <c r="K3639" s="61"/>
    </row>
    <row r="3640" spans="2:11" s="3" customFormat="1">
      <c r="B3640"/>
      <c r="C3640"/>
      <c r="D3640"/>
      <c r="E3640"/>
      <c r="F3640"/>
      <c r="G3640"/>
      <c r="K3640" s="61"/>
    </row>
    <row r="3641" spans="2:11" s="3" customFormat="1">
      <c r="B3641"/>
      <c r="C3641"/>
      <c r="D3641"/>
      <c r="E3641"/>
      <c r="F3641"/>
      <c r="G3641"/>
      <c r="K3641" s="61"/>
    </row>
    <row r="3642" spans="2:11" s="3" customFormat="1">
      <c r="B3642"/>
      <c r="C3642"/>
      <c r="D3642"/>
      <c r="E3642"/>
      <c r="F3642"/>
      <c r="G3642"/>
      <c r="K3642" s="61"/>
    </row>
    <row r="3643" spans="2:11" s="3" customFormat="1">
      <c r="B3643"/>
      <c r="C3643"/>
      <c r="D3643"/>
      <c r="E3643"/>
      <c r="F3643"/>
      <c r="G3643"/>
      <c r="K3643" s="61"/>
    </row>
    <row r="3644" spans="2:11" s="3" customFormat="1">
      <c r="B3644"/>
      <c r="C3644"/>
      <c r="D3644"/>
      <c r="E3644"/>
      <c r="F3644"/>
      <c r="G3644"/>
      <c r="K3644" s="61"/>
    </row>
    <row r="3645" spans="2:11" s="3" customFormat="1">
      <c r="B3645"/>
      <c r="C3645"/>
      <c r="D3645"/>
      <c r="E3645"/>
      <c r="F3645"/>
      <c r="G3645"/>
      <c r="K3645" s="61"/>
    </row>
    <row r="3646" spans="2:11" s="3" customFormat="1">
      <c r="B3646"/>
      <c r="C3646"/>
      <c r="D3646"/>
      <c r="E3646"/>
      <c r="F3646"/>
      <c r="G3646"/>
      <c r="K3646" s="61"/>
    </row>
    <row r="3647" spans="2:11" s="3" customFormat="1">
      <c r="B3647"/>
      <c r="C3647"/>
      <c r="D3647"/>
      <c r="E3647"/>
      <c r="F3647"/>
      <c r="G3647"/>
      <c r="K3647" s="61"/>
    </row>
    <row r="3648" spans="2:11" s="3" customFormat="1">
      <c r="B3648"/>
      <c r="C3648"/>
      <c r="D3648"/>
      <c r="E3648"/>
      <c r="F3648"/>
      <c r="G3648"/>
      <c r="K3648" s="61"/>
    </row>
    <row r="3649" spans="2:11" s="3" customFormat="1">
      <c r="B3649"/>
      <c r="C3649"/>
      <c r="D3649"/>
      <c r="E3649"/>
      <c r="F3649"/>
      <c r="G3649"/>
      <c r="K3649" s="61"/>
    </row>
    <row r="3650" spans="2:11" s="3" customFormat="1">
      <c r="B3650"/>
      <c r="C3650"/>
      <c r="D3650"/>
      <c r="E3650"/>
      <c r="F3650"/>
      <c r="G3650"/>
      <c r="K3650" s="61"/>
    </row>
    <row r="3651" spans="2:11" s="3" customFormat="1">
      <c r="B3651"/>
      <c r="C3651"/>
      <c r="D3651"/>
      <c r="E3651"/>
      <c r="F3651"/>
      <c r="G3651"/>
      <c r="K3651" s="61"/>
    </row>
    <row r="3652" spans="2:11" s="3" customFormat="1">
      <c r="B3652"/>
      <c r="C3652"/>
      <c r="D3652"/>
      <c r="E3652"/>
      <c r="F3652"/>
      <c r="G3652"/>
      <c r="K3652" s="61"/>
    </row>
    <row r="3653" spans="2:11" s="3" customFormat="1">
      <c r="B3653"/>
      <c r="C3653"/>
      <c r="D3653"/>
      <c r="E3653"/>
      <c r="F3653"/>
      <c r="G3653"/>
      <c r="K3653" s="61"/>
    </row>
    <row r="3654" spans="2:11" s="3" customFormat="1">
      <c r="B3654"/>
      <c r="C3654"/>
      <c r="D3654"/>
      <c r="E3654"/>
      <c r="F3654"/>
      <c r="G3654"/>
      <c r="K3654" s="61"/>
    </row>
    <row r="3655" spans="2:11" s="3" customFormat="1">
      <c r="B3655"/>
      <c r="C3655"/>
      <c r="D3655"/>
      <c r="E3655"/>
      <c r="F3655"/>
      <c r="G3655"/>
      <c r="K3655" s="61"/>
    </row>
    <row r="3656" spans="2:11" s="3" customFormat="1">
      <c r="B3656"/>
      <c r="C3656"/>
      <c r="D3656"/>
      <c r="E3656"/>
      <c r="F3656"/>
      <c r="G3656"/>
      <c r="K3656" s="61"/>
    </row>
    <row r="3657" spans="2:11" s="3" customFormat="1">
      <c r="B3657"/>
      <c r="C3657"/>
      <c r="D3657"/>
      <c r="E3657"/>
      <c r="F3657"/>
      <c r="G3657"/>
      <c r="K3657" s="61"/>
    </row>
    <row r="3658" spans="2:11" s="3" customFormat="1">
      <c r="B3658"/>
      <c r="C3658"/>
      <c r="D3658"/>
      <c r="E3658"/>
      <c r="F3658"/>
      <c r="G3658"/>
      <c r="K3658" s="61"/>
    </row>
    <row r="3659" spans="2:11" s="3" customFormat="1">
      <c r="B3659"/>
      <c r="C3659"/>
      <c r="D3659"/>
      <c r="E3659"/>
      <c r="F3659"/>
      <c r="G3659"/>
      <c r="K3659" s="61"/>
    </row>
    <row r="3660" spans="2:11" s="3" customFormat="1">
      <c r="B3660"/>
      <c r="C3660"/>
      <c r="D3660"/>
      <c r="E3660"/>
      <c r="F3660"/>
      <c r="G3660"/>
      <c r="K3660" s="61"/>
    </row>
    <row r="3661" spans="2:11" s="3" customFormat="1">
      <c r="B3661"/>
      <c r="C3661"/>
      <c r="D3661"/>
      <c r="E3661"/>
      <c r="F3661"/>
      <c r="G3661"/>
      <c r="K3661" s="61"/>
    </row>
    <row r="3662" spans="2:11" s="3" customFormat="1">
      <c r="B3662"/>
      <c r="C3662"/>
      <c r="D3662"/>
      <c r="E3662"/>
      <c r="F3662"/>
      <c r="G3662"/>
      <c r="K3662" s="61"/>
    </row>
    <row r="3663" spans="2:11" s="3" customFormat="1">
      <c r="B3663"/>
      <c r="C3663"/>
      <c r="D3663"/>
      <c r="E3663"/>
      <c r="F3663"/>
      <c r="G3663"/>
      <c r="K3663" s="61"/>
    </row>
    <row r="3664" spans="2:11" s="3" customFormat="1">
      <c r="B3664"/>
      <c r="C3664"/>
      <c r="D3664"/>
      <c r="E3664"/>
      <c r="F3664"/>
      <c r="G3664"/>
      <c r="K3664" s="61"/>
    </row>
    <row r="3665" spans="2:11" s="3" customFormat="1">
      <c r="B3665"/>
      <c r="C3665"/>
      <c r="D3665"/>
      <c r="E3665"/>
      <c r="F3665"/>
      <c r="G3665"/>
      <c r="K3665" s="61"/>
    </row>
    <row r="3666" spans="2:11" s="3" customFormat="1">
      <c r="B3666"/>
      <c r="C3666"/>
      <c r="D3666"/>
      <c r="E3666"/>
      <c r="F3666"/>
      <c r="G3666"/>
      <c r="K3666" s="61"/>
    </row>
    <row r="3667" spans="2:11" s="3" customFormat="1">
      <c r="B3667"/>
      <c r="C3667"/>
      <c r="D3667"/>
      <c r="E3667"/>
      <c r="F3667"/>
      <c r="G3667"/>
      <c r="K3667" s="61"/>
    </row>
    <row r="3668" spans="2:11" s="3" customFormat="1">
      <c r="B3668"/>
      <c r="C3668"/>
      <c r="D3668"/>
      <c r="E3668"/>
      <c r="F3668"/>
      <c r="G3668"/>
      <c r="K3668" s="61"/>
    </row>
    <row r="3669" spans="2:11" s="3" customFormat="1">
      <c r="B3669"/>
      <c r="C3669"/>
      <c r="D3669"/>
      <c r="E3669"/>
      <c r="F3669"/>
      <c r="G3669"/>
      <c r="K3669" s="61"/>
    </row>
    <row r="3670" spans="2:11" s="3" customFormat="1">
      <c r="B3670"/>
      <c r="C3670"/>
      <c r="D3670"/>
      <c r="E3670"/>
      <c r="F3670"/>
      <c r="G3670"/>
      <c r="K3670" s="61"/>
    </row>
    <row r="3671" spans="2:11" s="3" customFormat="1">
      <c r="B3671"/>
      <c r="C3671"/>
      <c r="D3671"/>
      <c r="E3671"/>
      <c r="F3671"/>
      <c r="G3671"/>
      <c r="K3671" s="61"/>
    </row>
    <row r="3672" spans="2:11" s="3" customFormat="1">
      <c r="B3672"/>
      <c r="C3672"/>
      <c r="D3672"/>
      <c r="E3672"/>
      <c r="F3672"/>
      <c r="G3672"/>
      <c r="K3672" s="61"/>
    </row>
    <row r="3673" spans="2:11" s="3" customFormat="1">
      <c r="B3673"/>
      <c r="C3673"/>
      <c r="D3673"/>
      <c r="E3673"/>
      <c r="F3673"/>
      <c r="G3673"/>
      <c r="K3673" s="61"/>
    </row>
    <row r="3674" spans="2:11" s="3" customFormat="1">
      <c r="B3674"/>
      <c r="C3674"/>
      <c r="D3674"/>
      <c r="E3674"/>
      <c r="F3674"/>
      <c r="G3674"/>
      <c r="K3674" s="61"/>
    </row>
    <row r="3675" spans="2:11" s="3" customFormat="1">
      <c r="B3675"/>
      <c r="C3675"/>
      <c r="D3675"/>
      <c r="E3675"/>
      <c r="F3675"/>
      <c r="G3675"/>
      <c r="K3675" s="61"/>
    </row>
    <row r="3676" spans="2:11" s="3" customFormat="1">
      <c r="B3676"/>
      <c r="C3676"/>
      <c r="D3676"/>
      <c r="E3676"/>
      <c r="F3676"/>
      <c r="G3676"/>
      <c r="K3676" s="61"/>
    </row>
    <row r="3677" spans="2:11" s="3" customFormat="1">
      <c r="B3677"/>
      <c r="C3677"/>
      <c r="D3677"/>
      <c r="E3677"/>
      <c r="F3677"/>
      <c r="G3677"/>
      <c r="K3677" s="61"/>
    </row>
    <row r="3678" spans="2:11" s="3" customFormat="1">
      <c r="B3678"/>
      <c r="C3678"/>
      <c r="D3678"/>
      <c r="E3678"/>
      <c r="F3678"/>
      <c r="G3678"/>
      <c r="K3678" s="61"/>
    </row>
    <row r="3679" spans="2:11" s="3" customFormat="1">
      <c r="B3679"/>
      <c r="C3679"/>
      <c r="D3679"/>
      <c r="E3679"/>
      <c r="F3679"/>
      <c r="G3679"/>
      <c r="K3679" s="61"/>
    </row>
    <row r="3680" spans="2:11" s="3" customFormat="1">
      <c r="B3680"/>
      <c r="C3680"/>
      <c r="D3680"/>
      <c r="E3680"/>
      <c r="F3680"/>
      <c r="G3680"/>
      <c r="K3680" s="61"/>
    </row>
    <row r="3681" spans="2:11" s="3" customFormat="1">
      <c r="B3681"/>
      <c r="C3681"/>
      <c r="D3681"/>
      <c r="E3681"/>
      <c r="F3681"/>
      <c r="G3681"/>
      <c r="K3681" s="61"/>
    </row>
    <row r="3682" spans="2:11" s="3" customFormat="1">
      <c r="B3682"/>
      <c r="C3682"/>
      <c r="D3682"/>
      <c r="E3682"/>
      <c r="F3682"/>
      <c r="G3682"/>
      <c r="K3682" s="61"/>
    </row>
    <row r="3683" spans="2:11" s="3" customFormat="1">
      <c r="B3683"/>
      <c r="C3683"/>
      <c r="D3683"/>
      <c r="E3683"/>
      <c r="F3683"/>
      <c r="G3683"/>
      <c r="K3683" s="61"/>
    </row>
    <row r="3684" spans="2:11" s="3" customFormat="1">
      <c r="B3684"/>
      <c r="C3684"/>
      <c r="D3684"/>
      <c r="E3684"/>
      <c r="F3684"/>
      <c r="G3684"/>
      <c r="K3684" s="61"/>
    </row>
    <row r="3685" spans="2:11" s="3" customFormat="1">
      <c r="B3685"/>
      <c r="C3685"/>
      <c r="D3685"/>
      <c r="E3685"/>
      <c r="F3685"/>
      <c r="G3685"/>
      <c r="K3685" s="61"/>
    </row>
    <row r="3686" spans="2:11" s="3" customFormat="1">
      <c r="B3686"/>
      <c r="C3686"/>
      <c r="D3686"/>
      <c r="E3686"/>
      <c r="F3686"/>
      <c r="G3686"/>
      <c r="K3686" s="61"/>
    </row>
    <row r="3687" spans="2:11" s="3" customFormat="1">
      <c r="B3687"/>
      <c r="C3687"/>
      <c r="D3687"/>
      <c r="E3687"/>
      <c r="F3687"/>
      <c r="G3687"/>
      <c r="K3687" s="61"/>
    </row>
    <row r="3688" spans="2:11" s="3" customFormat="1">
      <c r="B3688"/>
      <c r="C3688"/>
      <c r="D3688"/>
      <c r="E3688"/>
      <c r="F3688"/>
      <c r="G3688"/>
      <c r="K3688" s="61"/>
    </row>
    <row r="3689" spans="2:11" s="3" customFormat="1">
      <c r="B3689"/>
      <c r="C3689"/>
      <c r="D3689"/>
      <c r="E3689"/>
      <c r="F3689"/>
      <c r="G3689"/>
      <c r="K3689" s="61"/>
    </row>
    <row r="3690" spans="2:11" s="3" customFormat="1">
      <c r="B3690"/>
      <c r="C3690"/>
      <c r="D3690"/>
      <c r="E3690"/>
      <c r="F3690"/>
      <c r="G3690"/>
      <c r="K3690" s="61"/>
    </row>
    <row r="3691" spans="2:11" s="3" customFormat="1">
      <c r="B3691"/>
      <c r="C3691"/>
      <c r="D3691"/>
      <c r="E3691"/>
      <c r="F3691"/>
      <c r="G3691"/>
      <c r="K3691" s="61"/>
    </row>
    <row r="3692" spans="2:11" s="3" customFormat="1">
      <c r="B3692"/>
      <c r="C3692"/>
      <c r="D3692"/>
      <c r="E3692"/>
      <c r="F3692"/>
      <c r="G3692"/>
      <c r="K3692" s="61"/>
    </row>
    <row r="3693" spans="2:11" s="3" customFormat="1">
      <c r="B3693"/>
      <c r="C3693"/>
      <c r="D3693"/>
      <c r="E3693"/>
      <c r="F3693"/>
      <c r="G3693"/>
      <c r="K3693" s="61"/>
    </row>
    <row r="3694" spans="2:11" s="3" customFormat="1">
      <c r="B3694"/>
      <c r="C3694"/>
      <c r="D3694"/>
      <c r="E3694"/>
      <c r="F3694"/>
      <c r="G3694"/>
      <c r="K3694" s="61"/>
    </row>
    <row r="3695" spans="2:11" s="3" customFormat="1">
      <c r="B3695"/>
      <c r="C3695"/>
      <c r="D3695"/>
      <c r="E3695"/>
      <c r="F3695"/>
      <c r="G3695"/>
      <c r="K3695" s="61"/>
    </row>
    <row r="3696" spans="2:11" s="3" customFormat="1">
      <c r="B3696"/>
      <c r="C3696"/>
      <c r="D3696"/>
      <c r="E3696"/>
      <c r="F3696"/>
      <c r="G3696"/>
      <c r="K3696" s="61"/>
    </row>
    <row r="3697" spans="2:11" s="3" customFormat="1">
      <c r="B3697"/>
      <c r="C3697"/>
      <c r="D3697"/>
      <c r="E3697"/>
      <c r="F3697"/>
      <c r="G3697"/>
      <c r="K3697" s="61"/>
    </row>
    <row r="3698" spans="2:11" s="3" customFormat="1">
      <c r="B3698"/>
      <c r="C3698"/>
      <c r="D3698"/>
      <c r="E3698"/>
      <c r="F3698"/>
      <c r="G3698"/>
      <c r="K3698" s="61"/>
    </row>
  </sheetData>
  <phoneticPr fontId="1" type="noConversion"/>
  <printOptions horizontalCentered="1"/>
  <pageMargins left="0.39370078740157483" right="0.39370078740157483" top="0.39370078740157483" bottom="0.39370078740157483" header="0.39370078740157483" footer="0.39370078740157483"/>
  <pageSetup paperSize="9" scale="4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34998626667073579"/>
  </sheetPr>
  <dimension ref="A1:AX209"/>
  <sheetViews>
    <sheetView showGridLines="0" showZeros="0" zoomScale="80" zoomScaleNormal="70" workbookViewId="0">
      <pane ySplit="4" topLeftCell="A149" activePane="bottomLeft" state="frozen"/>
      <selection activeCell="AE29" sqref="AE29"/>
      <selection pane="bottomLeft" sqref="A1:XFD1048576"/>
    </sheetView>
  </sheetViews>
  <sheetFormatPr defaultRowHeight="13.5"/>
  <cols>
    <col min="1" max="1" width="7" style="94" bestFit="1" customWidth="1"/>
    <col min="2" max="2" width="5.625" style="153" bestFit="1" customWidth="1"/>
    <col min="3" max="3" width="33.75" style="95" bestFit="1" customWidth="1"/>
    <col min="4" max="4" width="7" style="154" bestFit="1" customWidth="1"/>
    <col min="5" max="5" width="6" style="154" bestFit="1" customWidth="1"/>
    <col min="6" max="6" width="6" style="154" customWidth="1"/>
    <col min="7" max="7" width="7" style="155" customWidth="1"/>
    <col min="8" max="8" width="1.25" style="94" customWidth="1"/>
    <col min="9" max="9" width="7" style="94" bestFit="1" customWidth="1"/>
    <col min="10" max="10" width="35.125" style="95" bestFit="1" customWidth="1"/>
    <col min="11" max="11" width="5.625" style="94" bestFit="1" customWidth="1"/>
    <col min="12" max="12" width="25.25" style="95" bestFit="1" customWidth="1"/>
    <col min="13" max="13" width="5.625" style="94" bestFit="1" customWidth="1"/>
    <col min="14" max="15" width="7.5" style="94" bestFit="1" customWidth="1"/>
    <col min="16" max="16" width="7.5" style="94" customWidth="1"/>
    <col min="17" max="17" width="1.25" style="94" customWidth="1"/>
    <col min="18" max="18" width="5.625" style="94" bestFit="1" customWidth="1"/>
    <col min="19" max="19" width="7.5" style="94" bestFit="1" customWidth="1"/>
    <col min="20" max="20" width="5.625" style="94" bestFit="1" customWidth="1"/>
    <col min="21" max="21" width="1.25" style="94" customWidth="1"/>
    <col min="22" max="22" width="6.25" style="94" customWidth="1"/>
    <col min="23" max="23" width="5.625" style="94" bestFit="1" customWidth="1"/>
    <col min="24" max="24" width="7.5" style="94" bestFit="1" customWidth="1"/>
    <col min="25" max="25" width="5.625" style="94" bestFit="1" customWidth="1"/>
    <col min="26" max="26" width="1.25" style="94" customWidth="1"/>
    <col min="27" max="27" width="14.375" style="94" bestFit="1" customWidth="1"/>
    <col min="28" max="28" width="1.25" style="94" customWidth="1"/>
    <col min="29" max="29" width="6.625" style="94" customWidth="1"/>
    <col min="30" max="30" width="5.625" style="94" bestFit="1" customWidth="1"/>
    <col min="31" max="31" width="16.625" style="95" bestFit="1" customWidth="1"/>
    <col min="32" max="32" width="5.625" style="94" bestFit="1" customWidth="1"/>
    <col min="33" max="33" width="1.25" style="94" customWidth="1"/>
    <col min="34" max="34" width="7" style="94" bestFit="1" customWidth="1"/>
    <col min="35" max="35" width="5.625" style="94" bestFit="1" customWidth="1"/>
    <col min="36" max="36" width="17.625" style="95" bestFit="1" customWidth="1"/>
    <col min="37" max="37" width="5.625" style="94" customWidth="1"/>
    <col min="38" max="38" width="5.625" style="94" bestFit="1" customWidth="1"/>
    <col min="39" max="39" width="1.25" style="94" customWidth="1"/>
    <col min="40" max="40" width="5.25" style="94" bestFit="1" customWidth="1"/>
    <col min="41" max="41" width="9.75" style="94" bestFit="1" customWidth="1"/>
    <col min="42" max="42" width="5.625" style="94" bestFit="1" customWidth="1"/>
    <col min="43" max="43" width="1.375" style="94" customWidth="1"/>
    <col min="44" max="44" width="5.25" style="94" customWidth="1"/>
    <col min="45" max="45" width="10.875" style="94" bestFit="1" customWidth="1"/>
    <col min="46" max="46" width="5.25" style="94" bestFit="1" customWidth="1"/>
    <col min="47" max="47" width="1.25" style="94" customWidth="1"/>
    <col min="48" max="48" width="5.25" style="94" bestFit="1" customWidth="1"/>
    <col min="49" max="49" width="12" style="94" bestFit="1" customWidth="1"/>
    <col min="50" max="50" width="5.625" style="94" bestFit="1" customWidth="1"/>
    <col min="51" max="51" width="2.125" style="94" customWidth="1"/>
    <col min="52" max="16384" width="9" style="94"/>
  </cols>
  <sheetData>
    <row r="1" spans="1:50" s="82" customFormat="1">
      <c r="B1" s="83"/>
      <c r="C1" s="82">
        <v>2</v>
      </c>
      <c r="D1" s="82">
        <v>3</v>
      </c>
      <c r="E1" s="82">
        <v>4</v>
      </c>
      <c r="F1" s="82">
        <v>5</v>
      </c>
      <c r="G1" s="82">
        <v>6</v>
      </c>
      <c r="J1" s="84"/>
      <c r="L1" s="82">
        <v>2</v>
      </c>
      <c r="M1" s="82">
        <v>3</v>
      </c>
      <c r="N1" s="82">
        <v>4</v>
      </c>
      <c r="O1" s="82">
        <v>5</v>
      </c>
      <c r="P1" s="82">
        <v>6</v>
      </c>
      <c r="S1" s="82">
        <v>2</v>
      </c>
      <c r="T1" s="82">
        <v>3</v>
      </c>
      <c r="X1" s="82">
        <v>2</v>
      </c>
      <c r="Y1" s="82">
        <v>3</v>
      </c>
      <c r="AE1" s="84">
        <v>2</v>
      </c>
      <c r="AF1" s="82">
        <v>3</v>
      </c>
      <c r="AJ1" s="84">
        <v>2</v>
      </c>
      <c r="AK1" s="82">
        <v>3</v>
      </c>
      <c r="AL1" s="82">
        <v>4</v>
      </c>
      <c r="AO1" s="82">
        <v>2</v>
      </c>
      <c r="AP1" s="82">
        <v>3</v>
      </c>
      <c r="AS1" s="82">
        <v>2</v>
      </c>
      <c r="AT1" s="82">
        <v>3</v>
      </c>
      <c r="AW1" s="82">
        <v>2</v>
      </c>
      <c r="AX1" s="82">
        <v>3</v>
      </c>
    </row>
    <row r="2" spans="1:50" s="82" customFormat="1" ht="14.25" thickBot="1">
      <c r="A2" s="210" t="s">
        <v>1658</v>
      </c>
      <c r="B2" s="210"/>
      <c r="C2" s="210"/>
      <c r="D2" s="210"/>
      <c r="E2" s="210"/>
      <c r="F2" s="210"/>
      <c r="G2" s="210"/>
      <c r="I2" s="210" t="s">
        <v>1659</v>
      </c>
      <c r="J2" s="210"/>
      <c r="K2" s="210"/>
      <c r="L2" s="210"/>
      <c r="M2" s="210"/>
      <c r="N2" s="210"/>
      <c r="O2" s="208"/>
      <c r="P2" s="208"/>
      <c r="R2" s="210" t="s">
        <v>1660</v>
      </c>
      <c r="S2" s="210"/>
      <c r="T2" s="210"/>
      <c r="V2" s="210" t="s">
        <v>1661</v>
      </c>
      <c r="W2" s="210"/>
      <c r="X2" s="210"/>
      <c r="Y2" s="210"/>
      <c r="AA2" s="208" t="s">
        <v>1662</v>
      </c>
      <c r="AC2" s="210" t="s">
        <v>1663</v>
      </c>
      <c r="AD2" s="210"/>
      <c r="AE2" s="210"/>
      <c r="AF2" s="210"/>
      <c r="AH2" s="210" t="s">
        <v>1664</v>
      </c>
      <c r="AI2" s="210"/>
      <c r="AJ2" s="210"/>
      <c r="AK2" s="210"/>
      <c r="AL2" s="210"/>
      <c r="AN2" s="210" t="s">
        <v>1665</v>
      </c>
      <c r="AO2" s="210"/>
      <c r="AP2" s="210"/>
      <c r="AR2" s="210" t="s">
        <v>1666</v>
      </c>
      <c r="AS2" s="210"/>
      <c r="AT2" s="210"/>
      <c r="AV2" s="210" t="s">
        <v>1667</v>
      </c>
      <c r="AW2" s="210"/>
      <c r="AX2" s="210"/>
    </row>
    <row r="3" spans="1:50" s="82" customFormat="1">
      <c r="A3" s="208" t="s">
        <v>1668</v>
      </c>
      <c r="B3" s="85" t="s">
        <v>1669</v>
      </c>
      <c r="C3" s="208" t="s">
        <v>1670</v>
      </c>
      <c r="D3" s="86" t="s">
        <v>1671</v>
      </c>
      <c r="E3" s="86" t="s">
        <v>1669</v>
      </c>
      <c r="F3" s="86" t="s">
        <v>1672</v>
      </c>
      <c r="G3" s="87" t="s">
        <v>1673</v>
      </c>
      <c r="I3" s="208" t="s">
        <v>1668</v>
      </c>
      <c r="J3" s="208" t="s">
        <v>1674</v>
      </c>
      <c r="K3" s="88" t="s">
        <v>1669</v>
      </c>
      <c r="L3" s="208" t="s">
        <v>1670</v>
      </c>
      <c r="M3" s="208" t="s">
        <v>1669</v>
      </c>
      <c r="N3" s="208" t="s">
        <v>1672</v>
      </c>
      <c r="O3" s="208" t="s">
        <v>1672</v>
      </c>
      <c r="P3" s="208" t="s">
        <v>1672</v>
      </c>
      <c r="R3" s="88" t="s">
        <v>1669</v>
      </c>
      <c r="S3" s="208" t="s">
        <v>1670</v>
      </c>
      <c r="T3" s="208" t="s">
        <v>1669</v>
      </c>
      <c r="V3" s="208" t="s">
        <v>1668</v>
      </c>
      <c r="W3" s="88" t="s">
        <v>1669</v>
      </c>
      <c r="X3" s="208" t="s">
        <v>1670</v>
      </c>
      <c r="Y3" s="208" t="s">
        <v>1669</v>
      </c>
      <c r="AA3" s="208" t="s">
        <v>1669</v>
      </c>
      <c r="AC3" s="208" t="s">
        <v>1668</v>
      </c>
      <c r="AD3" s="88" t="s">
        <v>1669</v>
      </c>
      <c r="AE3" s="208" t="s">
        <v>1670</v>
      </c>
      <c r="AF3" s="208" t="s">
        <v>1669</v>
      </c>
      <c r="AH3" s="208" t="s">
        <v>1668</v>
      </c>
      <c r="AI3" s="88" t="s">
        <v>1669</v>
      </c>
      <c r="AJ3" s="208" t="s">
        <v>1670</v>
      </c>
      <c r="AK3" s="208" t="s">
        <v>1675</v>
      </c>
      <c r="AL3" s="208" t="s">
        <v>1669</v>
      </c>
      <c r="AN3" s="88" t="s">
        <v>1669</v>
      </c>
      <c r="AO3" s="208" t="s">
        <v>1670</v>
      </c>
      <c r="AP3" s="208" t="s">
        <v>1669</v>
      </c>
      <c r="AR3" s="88" t="s">
        <v>1669</v>
      </c>
      <c r="AS3" s="208" t="s">
        <v>1670</v>
      </c>
      <c r="AT3" s="208" t="s">
        <v>1669</v>
      </c>
      <c r="AV3" s="88" t="s">
        <v>1669</v>
      </c>
      <c r="AW3" s="208" t="s">
        <v>1670</v>
      </c>
      <c r="AX3" s="208" t="s">
        <v>1669</v>
      </c>
    </row>
    <row r="4" spans="1:50">
      <c r="A4" s="89" t="s">
        <v>44</v>
      </c>
      <c r="B4" s="90"/>
      <c r="C4" s="91" t="s">
        <v>45</v>
      </c>
      <c r="D4" s="92">
        <f>B4</f>
        <v>0</v>
      </c>
      <c r="E4" s="92">
        <f t="shared" ref="E4:E49" si="0">B4</f>
        <v>0</v>
      </c>
      <c r="F4" s="92" t="s">
        <v>46</v>
      </c>
      <c r="G4" s="93" t="s">
        <v>15</v>
      </c>
      <c r="I4" s="94" t="s">
        <v>47</v>
      </c>
      <c r="J4" s="95" t="s">
        <v>48</v>
      </c>
      <c r="K4" s="96" t="s">
        <v>49</v>
      </c>
      <c r="L4" s="95" t="s">
        <v>50</v>
      </c>
      <c r="M4" s="94" t="str">
        <f>K4</f>
        <v>BA</v>
      </c>
      <c r="N4" s="94" t="s">
        <v>1676</v>
      </c>
      <c r="P4" s="94" t="s">
        <v>1677</v>
      </c>
      <c r="R4" s="96" t="s">
        <v>51</v>
      </c>
      <c r="S4" s="94">
        <v>2009</v>
      </c>
      <c r="T4" s="94" t="str">
        <f>R4</f>
        <v>A</v>
      </c>
      <c r="V4" s="94">
        <v>0</v>
      </c>
      <c r="W4" s="97" t="s">
        <v>1678</v>
      </c>
      <c r="X4" s="94" t="s">
        <v>1679</v>
      </c>
      <c r="Y4" s="94" t="str">
        <f>W4</f>
        <v>0</v>
      </c>
      <c r="AA4" s="94" t="s">
        <v>52</v>
      </c>
      <c r="AC4" s="94" t="s">
        <v>53</v>
      </c>
      <c r="AD4" s="96" t="s">
        <v>54</v>
      </c>
      <c r="AE4" s="95" t="s">
        <v>55</v>
      </c>
      <c r="AF4" s="94" t="str">
        <f>AD4</f>
        <v>BK</v>
      </c>
      <c r="AH4" s="94" t="s">
        <v>51</v>
      </c>
      <c r="AI4" s="96" t="s">
        <v>4</v>
      </c>
      <c r="AJ4" s="95" t="s">
        <v>56</v>
      </c>
      <c r="AK4" s="94">
        <v>1</v>
      </c>
      <c r="AL4" s="94" t="str">
        <f>AI4</f>
        <v>FRE</v>
      </c>
      <c r="AN4" s="96" t="s">
        <v>15</v>
      </c>
      <c r="AO4" s="94" t="s">
        <v>57</v>
      </c>
      <c r="AP4" s="94" t="str">
        <f>AN4</f>
        <v>B</v>
      </c>
      <c r="AR4" s="96" t="s">
        <v>14</v>
      </c>
      <c r="AS4" s="94" t="s">
        <v>58</v>
      </c>
      <c r="AT4" s="94" t="str">
        <f t="shared" ref="AT4:AT9" si="1">AR4</f>
        <v>M</v>
      </c>
      <c r="AV4" s="98" t="s">
        <v>59</v>
      </c>
      <c r="AW4" s="99" t="s">
        <v>60</v>
      </c>
      <c r="AX4" s="99" t="str">
        <f t="shared" ref="AX4:AX22" si="2">AV4</f>
        <v>CN</v>
      </c>
    </row>
    <row r="5" spans="1:50">
      <c r="A5" s="89" t="s">
        <v>61</v>
      </c>
      <c r="B5" s="90"/>
      <c r="C5" s="91" t="s">
        <v>62</v>
      </c>
      <c r="D5" s="92">
        <f>B5</f>
        <v>0</v>
      </c>
      <c r="E5" s="92">
        <f t="shared" si="0"/>
        <v>0</v>
      </c>
      <c r="F5" s="92" t="s">
        <v>46</v>
      </c>
      <c r="G5" s="93" t="s">
        <v>15</v>
      </c>
      <c r="I5" s="94" t="s">
        <v>63</v>
      </c>
      <c r="J5" s="95" t="s">
        <v>64</v>
      </c>
      <c r="K5" s="96" t="s">
        <v>49</v>
      </c>
      <c r="L5" s="95" t="s">
        <v>50</v>
      </c>
      <c r="M5" s="94" t="str">
        <f t="shared" ref="M5:M50" si="3">K5</f>
        <v>BA</v>
      </c>
      <c r="N5" s="94" t="s">
        <v>1676</v>
      </c>
      <c r="P5" s="94" t="s">
        <v>1677</v>
      </c>
      <c r="R5" s="96" t="s">
        <v>15</v>
      </c>
      <c r="S5" s="94">
        <v>2010</v>
      </c>
      <c r="T5" s="94" t="str">
        <f t="shared" ref="T5:T13" si="4">R5</f>
        <v>B</v>
      </c>
      <c r="V5" s="94">
        <v>1</v>
      </c>
      <c r="W5" s="96" t="s">
        <v>42</v>
      </c>
      <c r="X5" s="94" t="s">
        <v>1679</v>
      </c>
      <c r="Y5" s="94" t="str">
        <f t="shared" ref="Y5:Y13" si="5">W5</f>
        <v>0</v>
      </c>
      <c r="AA5" s="94" t="s">
        <v>65</v>
      </c>
      <c r="AC5" s="94" t="s">
        <v>66</v>
      </c>
      <c r="AD5" s="96"/>
      <c r="AE5" s="95" t="s">
        <v>67</v>
      </c>
      <c r="AF5" s="94">
        <f t="shared" ref="AF5:AF68" si="6">AD5</f>
        <v>0</v>
      </c>
      <c r="AH5" s="109"/>
      <c r="AI5" s="107" t="s">
        <v>1680</v>
      </c>
      <c r="AJ5" s="108" t="s">
        <v>1680</v>
      </c>
      <c r="AK5" s="109">
        <v>1</v>
      </c>
      <c r="AL5" s="109" t="s">
        <v>1680</v>
      </c>
      <c r="AN5" s="96" t="s">
        <v>70</v>
      </c>
      <c r="AO5" s="94" t="s">
        <v>71</v>
      </c>
      <c r="AP5" s="94" t="str">
        <f>AN5</f>
        <v>C</v>
      </c>
      <c r="AR5" s="96" t="s">
        <v>72</v>
      </c>
      <c r="AS5" s="94" t="s">
        <v>73</v>
      </c>
      <c r="AT5" s="94" t="str">
        <f t="shared" si="1"/>
        <v>W</v>
      </c>
      <c r="AV5" s="98" t="s">
        <v>74</v>
      </c>
      <c r="AW5" s="99" t="s">
        <v>75</v>
      </c>
      <c r="AX5" s="99" t="str">
        <f t="shared" si="2"/>
        <v>JP</v>
      </c>
    </row>
    <row r="6" spans="1:50" ht="14.25" thickBot="1">
      <c r="A6" s="89" t="s">
        <v>76</v>
      </c>
      <c r="B6" s="90"/>
      <c r="C6" s="91" t="s">
        <v>77</v>
      </c>
      <c r="D6" s="92">
        <f>B6</f>
        <v>0</v>
      </c>
      <c r="E6" s="92">
        <f t="shared" si="0"/>
        <v>0</v>
      </c>
      <c r="F6" s="92" t="s">
        <v>46</v>
      </c>
      <c r="G6" s="93" t="s">
        <v>15</v>
      </c>
      <c r="I6" s="94" t="s">
        <v>78</v>
      </c>
      <c r="J6" s="95" t="s">
        <v>79</v>
      </c>
      <c r="K6" s="96" t="s">
        <v>80</v>
      </c>
      <c r="L6" s="95" t="s">
        <v>81</v>
      </c>
      <c r="M6" s="94" t="str">
        <f t="shared" si="3"/>
        <v>FL</v>
      </c>
      <c r="N6" s="94" t="s">
        <v>1676</v>
      </c>
      <c r="P6" s="94" t="s">
        <v>1677</v>
      </c>
      <c r="R6" s="96" t="s">
        <v>70</v>
      </c>
      <c r="S6" s="94">
        <v>2011</v>
      </c>
      <c r="T6" s="94" t="str">
        <f t="shared" si="4"/>
        <v>C</v>
      </c>
      <c r="V6" s="94">
        <v>2</v>
      </c>
      <c r="W6" s="96" t="s">
        <v>42</v>
      </c>
      <c r="X6" s="94" t="s">
        <v>1679</v>
      </c>
      <c r="Y6" s="94" t="str">
        <f t="shared" si="5"/>
        <v>0</v>
      </c>
      <c r="AA6" s="94" t="s">
        <v>82</v>
      </c>
      <c r="AC6" s="94" t="s">
        <v>83</v>
      </c>
      <c r="AD6" s="96"/>
      <c r="AE6" s="95" t="s">
        <v>84</v>
      </c>
      <c r="AF6" s="94">
        <f t="shared" si="6"/>
        <v>0</v>
      </c>
      <c r="AH6" s="94" t="s">
        <v>68</v>
      </c>
      <c r="AI6" s="96" t="s">
        <v>6</v>
      </c>
      <c r="AJ6" s="95" t="s">
        <v>69</v>
      </c>
      <c r="AK6" s="94">
        <v>1</v>
      </c>
      <c r="AL6" s="94" t="str">
        <f t="shared" ref="AL6:AL13" si="7">AI6</f>
        <v>OXS</v>
      </c>
      <c r="AN6" s="100" t="s">
        <v>14</v>
      </c>
      <c r="AO6" s="94" t="s">
        <v>86</v>
      </c>
      <c r="AP6" s="94" t="str">
        <f>AN6</f>
        <v>M</v>
      </c>
      <c r="AR6" s="96" t="s">
        <v>87</v>
      </c>
      <c r="AS6" s="94" t="s">
        <v>88</v>
      </c>
      <c r="AT6" s="94" t="str">
        <f t="shared" si="1"/>
        <v>U</v>
      </c>
      <c r="AV6" s="98" t="s">
        <v>89</v>
      </c>
      <c r="AW6" s="99" t="s">
        <v>90</v>
      </c>
      <c r="AX6" s="99" t="str">
        <f t="shared" si="2"/>
        <v>KR</v>
      </c>
    </row>
    <row r="7" spans="1:50" ht="14.25" thickBot="1">
      <c r="A7" s="89" t="s">
        <v>91</v>
      </c>
      <c r="B7" s="90"/>
      <c r="C7" s="91" t="s">
        <v>92</v>
      </c>
      <c r="D7" s="92">
        <f>B7</f>
        <v>0</v>
      </c>
      <c r="E7" s="92">
        <f t="shared" si="0"/>
        <v>0</v>
      </c>
      <c r="F7" s="92" t="s">
        <v>46</v>
      </c>
      <c r="G7" s="93" t="s">
        <v>15</v>
      </c>
      <c r="I7" s="94" t="s">
        <v>93</v>
      </c>
      <c r="J7" s="95" t="s">
        <v>94</v>
      </c>
      <c r="K7" s="96" t="s">
        <v>80</v>
      </c>
      <c r="L7" s="95" t="s">
        <v>81</v>
      </c>
      <c r="M7" s="94" t="str">
        <f t="shared" si="3"/>
        <v>FL</v>
      </c>
      <c r="N7" s="94" t="s">
        <v>1676</v>
      </c>
      <c r="P7" s="94" t="s">
        <v>1677</v>
      </c>
      <c r="R7" s="96" t="s">
        <v>95</v>
      </c>
      <c r="S7" s="94">
        <v>2012</v>
      </c>
      <c r="T7" s="94" t="str">
        <f t="shared" si="4"/>
        <v>D</v>
      </c>
      <c r="V7" s="94">
        <v>3</v>
      </c>
      <c r="W7" s="96" t="s">
        <v>42</v>
      </c>
      <c r="X7" s="94" t="s">
        <v>1679</v>
      </c>
      <c r="Y7" s="94" t="str">
        <f t="shared" si="5"/>
        <v>0</v>
      </c>
      <c r="AA7" s="94" t="s">
        <v>96</v>
      </c>
      <c r="AC7" s="94" t="s">
        <v>97</v>
      </c>
      <c r="AD7" s="96"/>
      <c r="AE7" s="95" t="s">
        <v>98</v>
      </c>
      <c r="AF7" s="94">
        <f t="shared" si="6"/>
        <v>0</v>
      </c>
      <c r="AI7" s="96" t="s">
        <v>7</v>
      </c>
      <c r="AJ7" s="95" t="s">
        <v>85</v>
      </c>
      <c r="AK7" s="94">
        <v>1</v>
      </c>
      <c r="AL7" s="94" t="str">
        <f t="shared" si="7"/>
        <v>OSS</v>
      </c>
      <c r="AR7" s="96" t="s">
        <v>99</v>
      </c>
      <c r="AS7" s="94" t="s">
        <v>100</v>
      </c>
      <c r="AT7" s="94" t="str">
        <f t="shared" si="1"/>
        <v>K</v>
      </c>
      <c r="AV7" s="101" t="s">
        <v>101</v>
      </c>
      <c r="AW7" s="99" t="s">
        <v>102</v>
      </c>
      <c r="AX7" s="99" t="str">
        <f t="shared" si="2"/>
        <v>US</v>
      </c>
    </row>
    <row r="8" spans="1:50">
      <c r="A8" s="89" t="s">
        <v>103</v>
      </c>
      <c r="B8" s="90"/>
      <c r="C8" s="91" t="s">
        <v>104</v>
      </c>
      <c r="D8" s="92">
        <f>B8</f>
        <v>0</v>
      </c>
      <c r="E8" s="92">
        <f t="shared" si="0"/>
        <v>0</v>
      </c>
      <c r="F8" s="92" t="s">
        <v>46</v>
      </c>
      <c r="G8" s="93" t="s">
        <v>15</v>
      </c>
      <c r="I8" s="94" t="s">
        <v>105</v>
      </c>
      <c r="J8" s="95" t="s">
        <v>106</v>
      </c>
      <c r="K8" s="96" t="s">
        <v>107</v>
      </c>
      <c r="L8" s="95" t="s">
        <v>108</v>
      </c>
      <c r="M8" s="94" t="str">
        <f t="shared" si="3"/>
        <v>FI</v>
      </c>
      <c r="N8" s="94" t="s">
        <v>1676</v>
      </c>
      <c r="P8" s="94" t="s">
        <v>1677</v>
      </c>
      <c r="R8" s="96" t="s">
        <v>109</v>
      </c>
      <c r="S8" s="94">
        <v>2013</v>
      </c>
      <c r="T8" s="94" t="str">
        <f t="shared" si="4"/>
        <v>E</v>
      </c>
      <c r="V8" s="94">
        <v>4</v>
      </c>
      <c r="W8" s="96" t="s">
        <v>42</v>
      </c>
      <c r="X8" s="94" t="s">
        <v>1679</v>
      </c>
      <c r="Y8" s="94" t="str">
        <f t="shared" si="5"/>
        <v>0</v>
      </c>
      <c r="AA8" s="94" t="s">
        <v>110</v>
      </c>
      <c r="AC8" s="94" t="s">
        <v>111</v>
      </c>
      <c r="AD8" s="96"/>
      <c r="AE8" s="95" t="s">
        <v>112</v>
      </c>
      <c r="AF8" s="94">
        <f t="shared" si="6"/>
        <v>0</v>
      </c>
      <c r="AI8" s="96" t="s">
        <v>8</v>
      </c>
      <c r="AJ8" s="95" t="s">
        <v>14</v>
      </c>
      <c r="AK8" s="94">
        <v>1</v>
      </c>
      <c r="AL8" s="94" t="str">
        <f t="shared" si="7"/>
        <v>OMM</v>
      </c>
      <c r="AR8" s="96" t="s">
        <v>68</v>
      </c>
      <c r="AS8" s="94" t="s">
        <v>34</v>
      </c>
      <c r="AT8" s="94" t="str">
        <f t="shared" si="1"/>
        <v>N</v>
      </c>
      <c r="AV8" s="99" t="s">
        <v>1681</v>
      </c>
      <c r="AW8" s="99" t="s">
        <v>1682</v>
      </c>
      <c r="AX8" s="99" t="str">
        <f t="shared" si="2"/>
        <v>IN</v>
      </c>
    </row>
    <row r="9" spans="1:50" ht="14.25" thickBot="1">
      <c r="A9" s="89" t="s">
        <v>114</v>
      </c>
      <c r="B9" s="90" t="s">
        <v>115</v>
      </c>
      <c r="C9" s="91" t="s">
        <v>116</v>
      </c>
      <c r="D9" s="92" t="s">
        <v>1683</v>
      </c>
      <c r="E9" s="92" t="str">
        <f t="shared" si="0"/>
        <v>KDO</v>
      </c>
      <c r="F9" s="92" t="s">
        <v>46</v>
      </c>
      <c r="G9" s="93" t="s">
        <v>15</v>
      </c>
      <c r="I9" s="94" t="s">
        <v>117</v>
      </c>
      <c r="J9" s="95" t="s">
        <v>118</v>
      </c>
      <c r="K9" s="96" t="s">
        <v>107</v>
      </c>
      <c r="L9" s="95" t="s">
        <v>108</v>
      </c>
      <c r="M9" s="94" t="str">
        <f t="shared" si="3"/>
        <v>FI</v>
      </c>
      <c r="N9" s="94" t="s">
        <v>1676</v>
      </c>
      <c r="P9" s="94" t="s">
        <v>1677</v>
      </c>
      <c r="R9" s="96" t="s">
        <v>119</v>
      </c>
      <c r="S9" s="94">
        <v>2014</v>
      </c>
      <c r="T9" s="94" t="str">
        <f t="shared" si="4"/>
        <v>F</v>
      </c>
      <c r="V9" s="94">
        <v>5</v>
      </c>
      <c r="W9" s="97" t="s">
        <v>1684</v>
      </c>
      <c r="X9" s="94" t="s">
        <v>1685</v>
      </c>
      <c r="Y9" s="94" t="str">
        <f t="shared" si="5"/>
        <v>3</v>
      </c>
      <c r="AA9" s="94" t="s">
        <v>120</v>
      </c>
      <c r="AC9" s="94" t="s">
        <v>121</v>
      </c>
      <c r="AD9" s="96"/>
      <c r="AE9" s="95" t="s">
        <v>122</v>
      </c>
      <c r="AF9" s="94">
        <f t="shared" si="6"/>
        <v>0</v>
      </c>
      <c r="AI9" s="96" t="s">
        <v>9</v>
      </c>
      <c r="AJ9" s="95" t="s">
        <v>113</v>
      </c>
      <c r="AK9" s="94">
        <v>1</v>
      </c>
      <c r="AL9" s="94" t="str">
        <f t="shared" si="7"/>
        <v>OLL</v>
      </c>
      <c r="AR9" s="100" t="s">
        <v>51</v>
      </c>
      <c r="AS9" s="94" t="s">
        <v>124</v>
      </c>
      <c r="AT9" s="94" t="str">
        <f t="shared" si="1"/>
        <v>A</v>
      </c>
      <c r="AV9" s="99" t="s">
        <v>1686</v>
      </c>
      <c r="AW9" s="99" t="s">
        <v>1687</v>
      </c>
      <c r="AX9" s="99" t="str">
        <f t="shared" si="2"/>
        <v>BG</v>
      </c>
    </row>
    <row r="10" spans="1:50">
      <c r="A10" s="89" t="s">
        <v>93</v>
      </c>
      <c r="B10" s="90" t="s">
        <v>125</v>
      </c>
      <c r="C10" s="91" t="s">
        <v>126</v>
      </c>
      <c r="D10" s="92" t="str">
        <f>B10</f>
        <v>ZCD</v>
      </c>
      <c r="E10" s="92" t="str">
        <f t="shared" si="0"/>
        <v>ZCD</v>
      </c>
      <c r="F10" s="92" t="s">
        <v>46</v>
      </c>
      <c r="G10" s="93" t="s">
        <v>15</v>
      </c>
      <c r="I10" s="94" t="s">
        <v>127</v>
      </c>
      <c r="J10" s="95" t="s">
        <v>128</v>
      </c>
      <c r="K10" s="96" t="s">
        <v>107</v>
      </c>
      <c r="L10" s="95" t="s">
        <v>108</v>
      </c>
      <c r="M10" s="94" t="str">
        <f t="shared" si="3"/>
        <v>FI</v>
      </c>
      <c r="N10" s="94" t="s">
        <v>1676</v>
      </c>
      <c r="P10" s="94" t="s">
        <v>1677</v>
      </c>
      <c r="R10" s="96" t="s">
        <v>129</v>
      </c>
      <c r="S10" s="94">
        <v>2015</v>
      </c>
      <c r="T10" s="94" t="str">
        <f t="shared" si="4"/>
        <v>G</v>
      </c>
      <c r="V10" s="94">
        <v>6</v>
      </c>
      <c r="W10" s="96" t="s">
        <v>130</v>
      </c>
      <c r="X10" s="94" t="s">
        <v>1685</v>
      </c>
      <c r="Y10" s="94" t="str">
        <f t="shared" si="5"/>
        <v>3</v>
      </c>
      <c r="AA10" s="94" t="s">
        <v>131</v>
      </c>
      <c r="AC10" s="94" t="s">
        <v>132</v>
      </c>
      <c r="AD10" s="96"/>
      <c r="AE10" s="95" t="s">
        <v>133</v>
      </c>
      <c r="AF10" s="94">
        <f t="shared" si="6"/>
        <v>0</v>
      </c>
      <c r="AI10" s="96" t="s">
        <v>10</v>
      </c>
      <c r="AJ10" s="95" t="s">
        <v>123</v>
      </c>
      <c r="AK10" s="94">
        <v>1</v>
      </c>
      <c r="AL10" s="94" t="str">
        <f t="shared" si="7"/>
        <v>OXL</v>
      </c>
      <c r="AV10" s="99" t="s">
        <v>1688</v>
      </c>
      <c r="AW10" s="99" t="s">
        <v>1689</v>
      </c>
      <c r="AX10" s="99" t="str">
        <f t="shared" si="2"/>
        <v>DE</v>
      </c>
    </row>
    <row r="11" spans="1:50">
      <c r="A11" s="89" t="s">
        <v>47</v>
      </c>
      <c r="B11" s="90" t="s">
        <v>136</v>
      </c>
      <c r="C11" s="91" t="s">
        <v>137</v>
      </c>
      <c r="D11" s="92" t="str">
        <f>B11</f>
        <v>ZCA</v>
      </c>
      <c r="E11" s="92" t="str">
        <f t="shared" si="0"/>
        <v>ZCA</v>
      </c>
      <c r="F11" s="92" t="s">
        <v>46</v>
      </c>
      <c r="G11" s="93" t="s">
        <v>15</v>
      </c>
      <c r="I11" s="94" t="s">
        <v>138</v>
      </c>
      <c r="J11" s="95" t="s">
        <v>139</v>
      </c>
      <c r="K11" s="96" t="s">
        <v>140</v>
      </c>
      <c r="L11" s="95" t="s">
        <v>141</v>
      </c>
      <c r="M11" s="94" t="str">
        <f t="shared" si="3"/>
        <v>WC</v>
      </c>
      <c r="N11" s="94" t="s">
        <v>1676</v>
      </c>
      <c r="P11" s="94" t="s">
        <v>1677</v>
      </c>
      <c r="R11" s="96" t="s">
        <v>142</v>
      </c>
      <c r="S11" s="94">
        <v>2016</v>
      </c>
      <c r="T11" s="94" t="str">
        <f t="shared" si="4"/>
        <v>H</v>
      </c>
      <c r="V11" s="94">
        <v>7</v>
      </c>
      <c r="W11" s="96" t="s">
        <v>130</v>
      </c>
      <c r="X11" s="94" t="s">
        <v>1685</v>
      </c>
      <c r="Y11" s="94" t="str">
        <f t="shared" si="5"/>
        <v>3</v>
      </c>
      <c r="AA11" s="94" t="s">
        <v>143</v>
      </c>
      <c r="AC11" s="94" t="s">
        <v>144</v>
      </c>
      <c r="AD11" s="96"/>
      <c r="AE11" s="95" t="s">
        <v>145</v>
      </c>
      <c r="AF11" s="94">
        <f t="shared" si="6"/>
        <v>0</v>
      </c>
      <c r="AH11" s="94" t="s">
        <v>134</v>
      </c>
      <c r="AI11" s="96" t="s">
        <v>2</v>
      </c>
      <c r="AJ11" s="95" t="s">
        <v>135</v>
      </c>
      <c r="AK11" s="94">
        <v>1</v>
      </c>
      <c r="AL11" s="94" t="str">
        <f t="shared" si="7"/>
        <v>OSM</v>
      </c>
      <c r="AV11" s="99" t="s">
        <v>1690</v>
      </c>
      <c r="AW11" s="99" t="s">
        <v>1691</v>
      </c>
      <c r="AX11" s="99" t="str">
        <f t="shared" si="2"/>
        <v>AT</v>
      </c>
    </row>
    <row r="12" spans="1:50">
      <c r="A12" s="89" t="s">
        <v>148</v>
      </c>
      <c r="B12" s="90" t="s">
        <v>149</v>
      </c>
      <c r="C12" s="91" t="s">
        <v>150</v>
      </c>
      <c r="D12" s="92" t="s">
        <v>1683</v>
      </c>
      <c r="E12" s="92" t="str">
        <f t="shared" si="0"/>
        <v>KHA</v>
      </c>
      <c r="F12" s="92" t="s">
        <v>46</v>
      </c>
      <c r="G12" s="93" t="s">
        <v>15</v>
      </c>
      <c r="I12" s="94" t="s">
        <v>151</v>
      </c>
      <c r="J12" s="95" t="s">
        <v>152</v>
      </c>
      <c r="K12" s="96" t="s">
        <v>153</v>
      </c>
      <c r="L12" s="95" t="s">
        <v>152</v>
      </c>
      <c r="M12" s="94" t="str">
        <f t="shared" si="3"/>
        <v>TR</v>
      </c>
      <c r="N12" s="94" t="s">
        <v>1676</v>
      </c>
      <c r="P12" s="94" t="s">
        <v>1677</v>
      </c>
      <c r="R12" s="96" t="s">
        <v>154</v>
      </c>
      <c r="S12" s="94">
        <v>2017</v>
      </c>
      <c r="T12" s="94" t="str">
        <f t="shared" si="4"/>
        <v>I</v>
      </c>
      <c r="V12" s="94">
        <v>8</v>
      </c>
      <c r="W12" s="96" t="s">
        <v>130</v>
      </c>
      <c r="X12" s="94" t="s">
        <v>1685</v>
      </c>
      <c r="Y12" s="94" t="str">
        <f t="shared" si="5"/>
        <v>3</v>
      </c>
      <c r="AA12" s="94" t="s">
        <v>155</v>
      </c>
      <c r="AC12" s="94" t="s">
        <v>156</v>
      </c>
      <c r="AD12" s="96"/>
      <c r="AE12" s="95" t="s">
        <v>157</v>
      </c>
      <c r="AF12" s="94">
        <f t="shared" si="6"/>
        <v>0</v>
      </c>
      <c r="AH12" s="94" t="s">
        <v>146</v>
      </c>
      <c r="AI12" s="96" t="s">
        <v>3</v>
      </c>
      <c r="AJ12" s="95" t="s">
        <v>147</v>
      </c>
      <c r="AK12" s="94">
        <v>1</v>
      </c>
      <c r="AL12" s="94" t="str">
        <f t="shared" si="7"/>
        <v>OML</v>
      </c>
      <c r="AV12" s="99" t="s">
        <v>1692</v>
      </c>
      <c r="AW12" s="99" t="s">
        <v>1693</v>
      </c>
      <c r="AX12" s="99" t="str">
        <f t="shared" si="2"/>
        <v>BE</v>
      </c>
    </row>
    <row r="13" spans="1:50" ht="14.25" thickBot="1">
      <c r="A13" s="89" t="s">
        <v>160</v>
      </c>
      <c r="B13" s="90" t="s">
        <v>161</v>
      </c>
      <c r="C13" s="91" t="s">
        <v>162</v>
      </c>
      <c r="D13" s="92" t="s">
        <v>1683</v>
      </c>
      <c r="E13" s="92" t="str">
        <f t="shared" si="0"/>
        <v>KKI</v>
      </c>
      <c r="F13" s="92" t="s">
        <v>46</v>
      </c>
      <c r="G13" s="93" t="s">
        <v>15</v>
      </c>
      <c r="I13" s="94" t="s">
        <v>163</v>
      </c>
      <c r="J13" s="95" t="s">
        <v>164</v>
      </c>
      <c r="K13" s="96" t="s">
        <v>153</v>
      </c>
      <c r="L13" s="95" t="s">
        <v>152</v>
      </c>
      <c r="M13" s="94" t="str">
        <f t="shared" si="3"/>
        <v>TR</v>
      </c>
      <c r="N13" s="94" t="s">
        <v>1676</v>
      </c>
      <c r="P13" s="94" t="s">
        <v>1677</v>
      </c>
      <c r="R13" s="100" t="s">
        <v>165</v>
      </c>
      <c r="S13" s="94">
        <v>2018</v>
      </c>
      <c r="T13" s="94" t="str">
        <f t="shared" si="4"/>
        <v>J</v>
      </c>
      <c r="V13" s="94">
        <v>9</v>
      </c>
      <c r="W13" s="100" t="s">
        <v>130</v>
      </c>
      <c r="X13" s="94" t="s">
        <v>1685</v>
      </c>
      <c r="Y13" s="94" t="str">
        <f t="shared" si="5"/>
        <v>3</v>
      </c>
      <c r="AA13" s="94" t="s">
        <v>166</v>
      </c>
      <c r="AC13" s="94" t="s">
        <v>167</v>
      </c>
      <c r="AD13" s="96" t="s">
        <v>168</v>
      </c>
      <c r="AE13" s="95" t="s">
        <v>169</v>
      </c>
      <c r="AF13" s="94" t="str">
        <f t="shared" si="6"/>
        <v>BU</v>
      </c>
      <c r="AH13" s="94" t="s">
        <v>158</v>
      </c>
      <c r="AI13" s="96" t="s">
        <v>5</v>
      </c>
      <c r="AJ13" s="95" t="s">
        <v>159</v>
      </c>
      <c r="AK13" s="94">
        <v>1</v>
      </c>
      <c r="AL13" s="94" t="str">
        <f t="shared" si="7"/>
        <v>LXL</v>
      </c>
      <c r="AV13" s="99" t="s">
        <v>1694</v>
      </c>
      <c r="AW13" s="99" t="s">
        <v>1695</v>
      </c>
      <c r="AX13" s="99" t="str">
        <f t="shared" si="2"/>
        <v>CH</v>
      </c>
    </row>
    <row r="14" spans="1:50">
      <c r="A14" s="89" t="s">
        <v>170</v>
      </c>
      <c r="B14" s="90" t="s">
        <v>171</v>
      </c>
      <c r="C14" s="91" t="s">
        <v>172</v>
      </c>
      <c r="D14" s="92" t="s">
        <v>1696</v>
      </c>
      <c r="E14" s="92" t="str">
        <f t="shared" si="0"/>
        <v>KLG</v>
      </c>
      <c r="F14" s="92" t="s">
        <v>46</v>
      </c>
      <c r="G14" s="93" t="s">
        <v>15</v>
      </c>
      <c r="I14" s="94" t="s">
        <v>173</v>
      </c>
      <c r="J14" s="95" t="s">
        <v>174</v>
      </c>
      <c r="K14" s="96" t="s">
        <v>153</v>
      </c>
      <c r="L14" s="95" t="s">
        <v>152</v>
      </c>
      <c r="M14" s="94" t="str">
        <f t="shared" si="3"/>
        <v>TR</v>
      </c>
      <c r="N14" s="94" t="s">
        <v>1697</v>
      </c>
      <c r="P14" s="94" t="s">
        <v>1698</v>
      </c>
      <c r="AC14" s="94" t="s">
        <v>49</v>
      </c>
      <c r="AD14" s="96"/>
      <c r="AE14" s="95" t="s">
        <v>175</v>
      </c>
      <c r="AF14" s="94">
        <f t="shared" si="6"/>
        <v>0</v>
      </c>
      <c r="AI14" s="96"/>
      <c r="AV14" s="99" t="s">
        <v>1699</v>
      </c>
      <c r="AW14" s="99" t="s">
        <v>1700</v>
      </c>
      <c r="AX14" s="99" t="str">
        <f t="shared" si="2"/>
        <v>ES</v>
      </c>
    </row>
    <row r="15" spans="1:50">
      <c r="A15" s="89" t="s">
        <v>177</v>
      </c>
      <c r="B15" s="90" t="s">
        <v>178</v>
      </c>
      <c r="C15" s="91" t="s">
        <v>179</v>
      </c>
      <c r="D15" s="92" t="s">
        <v>1696</v>
      </c>
      <c r="E15" s="92" t="str">
        <f t="shared" si="0"/>
        <v>KLO</v>
      </c>
      <c r="F15" s="92" t="s">
        <v>46</v>
      </c>
      <c r="G15" s="93" t="s">
        <v>15</v>
      </c>
      <c r="I15" s="94" t="s">
        <v>180</v>
      </c>
      <c r="J15" s="95" t="s">
        <v>181</v>
      </c>
      <c r="K15" s="96" t="s">
        <v>153</v>
      </c>
      <c r="L15" s="95" t="s">
        <v>152</v>
      </c>
      <c r="M15" s="94" t="str">
        <f t="shared" si="3"/>
        <v>TR</v>
      </c>
      <c r="N15" s="94" t="s">
        <v>1697</v>
      </c>
      <c r="P15" s="94" t="s">
        <v>1698</v>
      </c>
      <c r="AC15" s="94" t="s">
        <v>182</v>
      </c>
      <c r="AD15" s="96"/>
      <c r="AE15" s="95" t="s">
        <v>183</v>
      </c>
      <c r="AF15" s="94">
        <f t="shared" si="6"/>
        <v>0</v>
      </c>
      <c r="AH15" s="94" t="s">
        <v>109</v>
      </c>
      <c r="AI15" s="96">
        <v>700</v>
      </c>
      <c r="AJ15" s="95" t="s">
        <v>176</v>
      </c>
      <c r="AK15" s="94" t="s">
        <v>1701</v>
      </c>
      <c r="AL15" s="94">
        <f>AI15</f>
        <v>700</v>
      </c>
      <c r="AV15" s="99" t="s">
        <v>1702</v>
      </c>
      <c r="AW15" s="99" t="s">
        <v>1703</v>
      </c>
      <c r="AX15" s="99" t="str">
        <f t="shared" si="2"/>
        <v>FR</v>
      </c>
    </row>
    <row r="16" spans="1:50">
      <c r="A16" s="89" t="s">
        <v>185</v>
      </c>
      <c r="B16" s="90" t="s">
        <v>186</v>
      </c>
      <c r="C16" s="91" t="s">
        <v>187</v>
      </c>
      <c r="D16" s="92" t="s">
        <v>1704</v>
      </c>
      <c r="E16" s="92" t="str">
        <f t="shared" si="0"/>
        <v>NAN</v>
      </c>
      <c r="F16" s="92" t="s">
        <v>46</v>
      </c>
      <c r="G16" s="93" t="s">
        <v>15</v>
      </c>
      <c r="I16" s="94" t="s">
        <v>188</v>
      </c>
      <c r="J16" s="95" t="s">
        <v>189</v>
      </c>
      <c r="K16" s="96" t="s">
        <v>190</v>
      </c>
      <c r="L16" s="95" t="s">
        <v>189</v>
      </c>
      <c r="M16" s="94" t="str">
        <f t="shared" si="3"/>
        <v>UM</v>
      </c>
      <c r="N16" s="94" t="s">
        <v>1697</v>
      </c>
      <c r="P16" s="94" t="s">
        <v>1698</v>
      </c>
      <c r="AC16" s="94" t="s">
        <v>191</v>
      </c>
      <c r="AD16" s="96" t="s">
        <v>192</v>
      </c>
      <c r="AE16" s="95" t="s">
        <v>193</v>
      </c>
      <c r="AF16" s="94" t="str">
        <f t="shared" si="6"/>
        <v>BG</v>
      </c>
      <c r="AH16" s="94" t="s">
        <v>119</v>
      </c>
      <c r="AI16" s="96">
        <v>718</v>
      </c>
      <c r="AJ16" s="95" t="s">
        <v>184</v>
      </c>
      <c r="AK16" s="94" t="s">
        <v>1701</v>
      </c>
      <c r="AL16" s="94">
        <f t="shared" ref="AL16:AL23" si="8">AI16</f>
        <v>718</v>
      </c>
      <c r="AV16" s="99" t="s">
        <v>1705</v>
      </c>
      <c r="AW16" s="99" t="s">
        <v>1706</v>
      </c>
      <c r="AX16" s="99" t="str">
        <f t="shared" si="2"/>
        <v>GR</v>
      </c>
    </row>
    <row r="17" spans="1:50">
      <c r="A17" s="102" t="s">
        <v>195</v>
      </c>
      <c r="B17" s="103" t="s">
        <v>196</v>
      </c>
      <c r="C17" s="104" t="s">
        <v>197</v>
      </c>
      <c r="D17" s="105" t="s">
        <v>1704</v>
      </c>
      <c r="E17" s="105" t="str">
        <f t="shared" si="0"/>
        <v>NAS</v>
      </c>
      <c r="F17" s="105" t="s">
        <v>46</v>
      </c>
      <c r="G17" s="106" t="s">
        <v>15</v>
      </c>
      <c r="I17" s="94" t="s">
        <v>198</v>
      </c>
      <c r="J17" s="95" t="s">
        <v>199</v>
      </c>
      <c r="K17" s="96" t="s">
        <v>200</v>
      </c>
      <c r="L17" s="95" t="s">
        <v>201</v>
      </c>
      <c r="M17" s="94" t="str">
        <f t="shared" si="3"/>
        <v>PE</v>
      </c>
      <c r="N17" s="94" t="s">
        <v>1697</v>
      </c>
      <c r="P17" s="94" t="s">
        <v>1698</v>
      </c>
      <c r="AC17" s="94" t="s">
        <v>202</v>
      </c>
      <c r="AD17" s="96"/>
      <c r="AE17" s="95" t="s">
        <v>203</v>
      </c>
      <c r="AF17" s="94">
        <f t="shared" si="6"/>
        <v>0</v>
      </c>
      <c r="AH17" s="94" t="s">
        <v>129</v>
      </c>
      <c r="AI17" s="96">
        <v>714</v>
      </c>
      <c r="AJ17" s="95" t="s">
        <v>194</v>
      </c>
      <c r="AK17" s="94" t="s">
        <v>1701</v>
      </c>
      <c r="AL17" s="94">
        <f t="shared" si="8"/>
        <v>714</v>
      </c>
      <c r="AV17" s="99" t="s">
        <v>1707</v>
      </c>
      <c r="AW17" s="99" t="s">
        <v>1708</v>
      </c>
      <c r="AX17" s="99" t="str">
        <f t="shared" si="2"/>
        <v>IT</v>
      </c>
    </row>
    <row r="18" spans="1:50">
      <c r="A18" s="89" t="s">
        <v>205</v>
      </c>
      <c r="B18" s="90" t="s">
        <v>206</v>
      </c>
      <c r="C18" s="91" t="s">
        <v>207</v>
      </c>
      <c r="D18" s="92" t="s">
        <v>1704</v>
      </c>
      <c r="E18" s="92" t="str">
        <f t="shared" si="0"/>
        <v>NAT</v>
      </c>
      <c r="F18" s="92" t="s">
        <v>46</v>
      </c>
      <c r="G18" s="93" t="s">
        <v>15</v>
      </c>
      <c r="I18" s="94" t="s">
        <v>208</v>
      </c>
      <c r="J18" s="95" t="s">
        <v>209</v>
      </c>
      <c r="K18" s="96" t="s">
        <v>210</v>
      </c>
      <c r="L18" s="95" t="s">
        <v>209</v>
      </c>
      <c r="M18" s="94" t="str">
        <f t="shared" si="3"/>
        <v>MI</v>
      </c>
      <c r="N18" s="94" t="s">
        <v>1697</v>
      </c>
      <c r="P18" s="94" t="s">
        <v>1698</v>
      </c>
      <c r="AC18" s="94" t="s">
        <v>211</v>
      </c>
      <c r="AD18" s="96"/>
      <c r="AE18" s="95" t="s">
        <v>212</v>
      </c>
      <c r="AF18" s="94">
        <f t="shared" si="6"/>
        <v>0</v>
      </c>
      <c r="AH18" s="94" t="s">
        <v>142</v>
      </c>
      <c r="AI18" s="96">
        <v>738</v>
      </c>
      <c r="AJ18" s="95" t="s">
        <v>204</v>
      </c>
      <c r="AK18" s="94" t="s">
        <v>1701</v>
      </c>
      <c r="AL18" s="94">
        <f t="shared" si="8"/>
        <v>738</v>
      </c>
      <c r="AV18" s="99" t="s">
        <v>1709</v>
      </c>
      <c r="AW18" s="99" t="s">
        <v>1710</v>
      </c>
      <c r="AX18" s="99" t="str">
        <f t="shared" si="2"/>
        <v>PI</v>
      </c>
    </row>
    <row r="19" spans="1:50">
      <c r="A19" s="89" t="s">
        <v>214</v>
      </c>
      <c r="B19" s="90" t="s">
        <v>215</v>
      </c>
      <c r="C19" s="91" t="s">
        <v>216</v>
      </c>
      <c r="D19" s="92" t="s">
        <v>1704</v>
      </c>
      <c r="E19" s="92" t="str">
        <f t="shared" si="0"/>
        <v>NBL</v>
      </c>
      <c r="F19" s="92" t="s">
        <v>46</v>
      </c>
      <c r="G19" s="93" t="s">
        <v>15</v>
      </c>
      <c r="I19" s="94" t="s">
        <v>217</v>
      </c>
      <c r="J19" s="95" t="s">
        <v>218</v>
      </c>
      <c r="K19" s="96" t="s">
        <v>219</v>
      </c>
      <c r="L19" s="95" t="s">
        <v>218</v>
      </c>
      <c r="M19" s="94" t="str">
        <f t="shared" si="3"/>
        <v>FE</v>
      </c>
      <c r="N19" s="94" t="s">
        <v>1697</v>
      </c>
      <c r="P19" s="94" t="s">
        <v>1698</v>
      </c>
      <c r="AC19" s="94" t="s">
        <v>220</v>
      </c>
      <c r="AD19" s="96" t="s">
        <v>148</v>
      </c>
      <c r="AE19" s="95" t="s">
        <v>221</v>
      </c>
      <c r="AF19" s="94" t="str">
        <f t="shared" si="6"/>
        <v>KH</v>
      </c>
      <c r="AH19" s="94" t="s">
        <v>154</v>
      </c>
      <c r="AI19" s="96">
        <v>712</v>
      </c>
      <c r="AJ19" s="95" t="s">
        <v>213</v>
      </c>
      <c r="AK19" s="94" t="s">
        <v>1701</v>
      </c>
      <c r="AL19" s="94">
        <f t="shared" si="8"/>
        <v>712</v>
      </c>
      <c r="AV19" s="99" t="s">
        <v>1711</v>
      </c>
      <c r="AW19" s="99" t="s">
        <v>1712</v>
      </c>
      <c r="AX19" s="99" t="str">
        <f t="shared" si="2"/>
        <v>PT</v>
      </c>
    </row>
    <row r="20" spans="1:50">
      <c r="A20" s="102" t="s">
        <v>223</v>
      </c>
      <c r="B20" s="103" t="s">
        <v>224</v>
      </c>
      <c r="C20" s="104" t="s">
        <v>225</v>
      </c>
      <c r="D20" s="105" t="s">
        <v>1704</v>
      </c>
      <c r="E20" s="105" t="str">
        <f t="shared" si="0"/>
        <v>NBR</v>
      </c>
      <c r="F20" s="105" t="s">
        <v>46</v>
      </c>
      <c r="G20" s="106" t="s">
        <v>15</v>
      </c>
      <c r="I20" s="94" t="s">
        <v>226</v>
      </c>
      <c r="J20" s="95" t="s">
        <v>227</v>
      </c>
      <c r="K20" s="96" t="s">
        <v>228</v>
      </c>
      <c r="L20" s="95" t="s">
        <v>227</v>
      </c>
      <c r="M20" s="94" t="str">
        <f t="shared" si="3"/>
        <v>HU</v>
      </c>
      <c r="N20" s="94" t="s">
        <v>1697</v>
      </c>
      <c r="P20" s="94" t="s">
        <v>1698</v>
      </c>
      <c r="AC20" s="94" t="s">
        <v>229</v>
      </c>
      <c r="AD20" s="96"/>
      <c r="AE20" s="95" t="s">
        <v>230</v>
      </c>
      <c r="AF20" s="94">
        <f t="shared" si="6"/>
        <v>0</v>
      </c>
      <c r="AH20" s="94" t="s">
        <v>165</v>
      </c>
      <c r="AI20" s="96">
        <v>758</v>
      </c>
      <c r="AJ20" s="95" t="s">
        <v>222</v>
      </c>
      <c r="AK20" s="94" t="s">
        <v>1701</v>
      </c>
      <c r="AL20" s="94">
        <f t="shared" si="8"/>
        <v>758</v>
      </c>
      <c r="AV20" s="99" t="s">
        <v>1713</v>
      </c>
      <c r="AW20" s="99" t="s">
        <v>1714</v>
      </c>
      <c r="AX20" s="99" t="str">
        <f t="shared" si="2"/>
        <v>TW</v>
      </c>
    </row>
    <row r="21" spans="1:50">
      <c r="A21" s="89" t="s">
        <v>232</v>
      </c>
      <c r="B21" s="90" t="s">
        <v>233</v>
      </c>
      <c r="C21" s="91" t="s">
        <v>234</v>
      </c>
      <c r="D21" s="92" t="s">
        <v>1704</v>
      </c>
      <c r="E21" s="92" t="str">
        <f t="shared" si="0"/>
        <v>NBE</v>
      </c>
      <c r="F21" s="92" t="s">
        <v>46</v>
      </c>
      <c r="G21" s="93" t="s">
        <v>15</v>
      </c>
      <c r="I21" s="94" t="s">
        <v>235</v>
      </c>
      <c r="J21" s="95" t="s">
        <v>236</v>
      </c>
      <c r="K21" s="96" t="s">
        <v>235</v>
      </c>
      <c r="L21" s="95" t="s">
        <v>236</v>
      </c>
      <c r="M21" s="94" t="str">
        <f t="shared" si="3"/>
        <v>CT</v>
      </c>
      <c r="N21" s="94" t="s">
        <v>1697</v>
      </c>
      <c r="P21" s="94" t="s">
        <v>1698</v>
      </c>
      <c r="AC21" s="94" t="s">
        <v>237</v>
      </c>
      <c r="AD21" s="96" t="s">
        <v>238</v>
      </c>
      <c r="AE21" s="95" t="s">
        <v>239</v>
      </c>
      <c r="AF21" s="94" t="str">
        <f t="shared" si="6"/>
        <v>BW</v>
      </c>
      <c r="AH21" s="94" t="s">
        <v>99</v>
      </c>
      <c r="AI21" s="96">
        <v>734</v>
      </c>
      <c r="AJ21" s="95" t="s">
        <v>231</v>
      </c>
      <c r="AK21" s="94" t="s">
        <v>1701</v>
      </c>
      <c r="AL21" s="94">
        <f t="shared" si="8"/>
        <v>734</v>
      </c>
      <c r="AV21" s="109" t="s">
        <v>1715</v>
      </c>
      <c r="AW21" s="109" t="s">
        <v>1716</v>
      </c>
      <c r="AX21" s="109" t="str">
        <f t="shared" si="2"/>
        <v>VT</v>
      </c>
    </row>
    <row r="22" spans="1:50">
      <c r="A22" s="89" t="s">
        <v>241</v>
      </c>
      <c r="B22" s="90" t="s">
        <v>242</v>
      </c>
      <c r="C22" s="91" t="s">
        <v>243</v>
      </c>
      <c r="D22" s="92" t="s">
        <v>1704</v>
      </c>
      <c r="E22" s="92" t="str">
        <f t="shared" si="0"/>
        <v>NCA</v>
      </c>
      <c r="F22" s="92" t="s">
        <v>46</v>
      </c>
      <c r="G22" s="93" t="s">
        <v>15</v>
      </c>
      <c r="I22" s="94" t="s">
        <v>244</v>
      </c>
      <c r="J22" s="95" t="s">
        <v>245</v>
      </c>
      <c r="K22" s="96" t="s">
        <v>244</v>
      </c>
      <c r="L22" s="95" t="s">
        <v>245</v>
      </c>
      <c r="M22" s="94" t="str">
        <f t="shared" si="3"/>
        <v>CM</v>
      </c>
      <c r="N22" s="94" t="s">
        <v>1697</v>
      </c>
      <c r="P22" s="94" t="s">
        <v>1698</v>
      </c>
      <c r="AC22" s="94" t="s">
        <v>246</v>
      </c>
      <c r="AD22" s="96"/>
      <c r="AE22" s="95" t="s">
        <v>247</v>
      </c>
      <c r="AF22" s="94">
        <f t="shared" si="6"/>
        <v>0</v>
      </c>
      <c r="AH22" s="94" t="s">
        <v>113</v>
      </c>
      <c r="AI22" s="96">
        <v>778</v>
      </c>
      <c r="AJ22" s="95" t="s">
        <v>240</v>
      </c>
      <c r="AK22" s="94" t="s">
        <v>1701</v>
      </c>
      <c r="AL22" s="94">
        <f t="shared" si="8"/>
        <v>778</v>
      </c>
      <c r="AV22" s="109" t="s">
        <v>1717</v>
      </c>
      <c r="AW22" s="109" t="s">
        <v>1718</v>
      </c>
      <c r="AX22" s="109" t="str">
        <f t="shared" si="2"/>
        <v>CB</v>
      </c>
    </row>
    <row r="23" spans="1:50">
      <c r="A23" s="89" t="s">
        <v>249</v>
      </c>
      <c r="B23" s="90" t="s">
        <v>250</v>
      </c>
      <c r="C23" s="91" t="s">
        <v>251</v>
      </c>
      <c r="D23" s="92" t="s">
        <v>1704</v>
      </c>
      <c r="E23" s="92" t="str">
        <f t="shared" si="0"/>
        <v>NCU</v>
      </c>
      <c r="F23" s="92" t="s">
        <v>46</v>
      </c>
      <c r="G23" s="93" t="s">
        <v>15</v>
      </c>
      <c r="I23" s="94" t="s">
        <v>252</v>
      </c>
      <c r="J23" s="95" t="s">
        <v>253</v>
      </c>
      <c r="K23" s="96" t="s">
        <v>254</v>
      </c>
      <c r="L23" s="95" t="s">
        <v>253</v>
      </c>
      <c r="M23" s="94" t="str">
        <f t="shared" si="3"/>
        <v>FA</v>
      </c>
      <c r="N23" s="94" t="s">
        <v>1697</v>
      </c>
      <c r="P23" s="94" t="s">
        <v>1698</v>
      </c>
      <c r="AC23" s="94" t="s">
        <v>255</v>
      </c>
      <c r="AD23" s="96"/>
      <c r="AE23" s="95" t="s">
        <v>256</v>
      </c>
      <c r="AF23" s="94">
        <f t="shared" si="6"/>
        <v>0</v>
      </c>
      <c r="AH23" s="94" t="s">
        <v>14</v>
      </c>
      <c r="AI23" s="96">
        <v>800</v>
      </c>
      <c r="AJ23" s="95" t="s">
        <v>248</v>
      </c>
      <c r="AK23" s="94" t="s">
        <v>1701</v>
      </c>
      <c r="AL23" s="94">
        <f t="shared" si="8"/>
        <v>800</v>
      </c>
    </row>
    <row r="24" spans="1:50">
      <c r="A24" s="89" t="s">
        <v>257</v>
      </c>
      <c r="B24" s="90" t="s">
        <v>258</v>
      </c>
      <c r="C24" s="91" t="s">
        <v>259</v>
      </c>
      <c r="D24" s="92" t="s">
        <v>1704</v>
      </c>
      <c r="E24" s="92" t="str">
        <f t="shared" si="0"/>
        <v>NDB</v>
      </c>
      <c r="F24" s="92" t="s">
        <v>46</v>
      </c>
      <c r="G24" s="93" t="s">
        <v>15</v>
      </c>
      <c r="I24" s="94" t="s">
        <v>260</v>
      </c>
      <c r="J24" s="95" t="s">
        <v>261</v>
      </c>
      <c r="K24" s="96" t="s">
        <v>254</v>
      </c>
      <c r="L24" s="95" t="s">
        <v>253</v>
      </c>
      <c r="M24" s="94" t="str">
        <f t="shared" si="3"/>
        <v>FA</v>
      </c>
      <c r="N24" s="94" t="s">
        <v>1697</v>
      </c>
      <c r="P24" s="94" t="s">
        <v>1698</v>
      </c>
      <c r="AC24" s="94" t="s">
        <v>262</v>
      </c>
      <c r="AD24" s="96" t="s">
        <v>76</v>
      </c>
      <c r="AE24" s="95" t="s">
        <v>263</v>
      </c>
      <c r="AF24" s="94" t="str">
        <f t="shared" si="6"/>
        <v>BR</v>
      </c>
      <c r="AI24" s="96"/>
    </row>
    <row r="25" spans="1:50">
      <c r="A25" s="89" t="s">
        <v>265</v>
      </c>
      <c r="B25" s="90" t="s">
        <v>266</v>
      </c>
      <c r="C25" s="91" t="s">
        <v>267</v>
      </c>
      <c r="D25" s="92" t="s">
        <v>1704</v>
      </c>
      <c r="E25" s="92" t="str">
        <f t="shared" si="0"/>
        <v>NDE</v>
      </c>
      <c r="F25" s="92" t="s">
        <v>46</v>
      </c>
      <c r="G25" s="93" t="s">
        <v>15</v>
      </c>
      <c r="I25" s="94" t="s">
        <v>268</v>
      </c>
      <c r="J25" s="95" t="s">
        <v>269</v>
      </c>
      <c r="K25" s="96" t="s">
        <v>254</v>
      </c>
      <c r="L25" s="95" t="s">
        <v>253</v>
      </c>
      <c r="M25" s="94" t="str">
        <f t="shared" si="3"/>
        <v>FA</v>
      </c>
      <c r="N25" s="94" t="s">
        <v>1697</v>
      </c>
      <c r="P25" s="94" t="s">
        <v>1698</v>
      </c>
      <c r="AC25" s="94" t="s">
        <v>47</v>
      </c>
      <c r="AD25" s="96"/>
      <c r="AE25" s="95" t="s">
        <v>270</v>
      </c>
      <c r="AF25" s="94">
        <f t="shared" si="6"/>
        <v>0</v>
      </c>
      <c r="AI25" s="96">
        <v>600</v>
      </c>
      <c r="AJ25" s="95" t="s">
        <v>264</v>
      </c>
      <c r="AK25" s="94" t="s">
        <v>1719</v>
      </c>
      <c r="AL25" s="94">
        <f t="shared" ref="AL25:AL32" si="9">AI25</f>
        <v>600</v>
      </c>
    </row>
    <row r="26" spans="1:50">
      <c r="A26" s="102" t="s">
        <v>272</v>
      </c>
      <c r="B26" s="103" t="s">
        <v>273</v>
      </c>
      <c r="C26" s="104" t="s">
        <v>274</v>
      </c>
      <c r="D26" s="105" t="s">
        <v>1704</v>
      </c>
      <c r="E26" s="105" t="str">
        <f t="shared" si="0"/>
        <v>NDO</v>
      </c>
      <c r="F26" s="105" t="s">
        <v>46</v>
      </c>
      <c r="G26" s="106" t="s">
        <v>15</v>
      </c>
      <c r="I26" s="94" t="s">
        <v>275</v>
      </c>
      <c r="J26" s="95" t="s">
        <v>276</v>
      </c>
      <c r="K26" s="96" t="s">
        <v>254</v>
      </c>
      <c r="L26" s="95" t="s">
        <v>253</v>
      </c>
      <c r="M26" s="94" t="str">
        <f t="shared" si="3"/>
        <v>FA</v>
      </c>
      <c r="N26" s="94" t="s">
        <v>1697</v>
      </c>
      <c r="P26" s="94" t="s">
        <v>1698</v>
      </c>
      <c r="AC26" s="94" t="s">
        <v>138</v>
      </c>
      <c r="AD26" s="96"/>
      <c r="AE26" s="95" t="s">
        <v>277</v>
      </c>
      <c r="AF26" s="94">
        <f t="shared" si="6"/>
        <v>0</v>
      </c>
      <c r="AI26" s="96">
        <v>618</v>
      </c>
      <c r="AJ26" s="95" t="s">
        <v>271</v>
      </c>
      <c r="AK26" s="94" t="s">
        <v>1719</v>
      </c>
      <c r="AL26" s="94">
        <f t="shared" si="9"/>
        <v>618</v>
      </c>
    </row>
    <row r="27" spans="1:50">
      <c r="A27" s="102" t="s">
        <v>279</v>
      </c>
      <c r="B27" s="103" t="s">
        <v>280</v>
      </c>
      <c r="C27" s="104" t="s">
        <v>281</v>
      </c>
      <c r="D27" s="105" t="s">
        <v>1704</v>
      </c>
      <c r="E27" s="105" t="str">
        <f t="shared" si="0"/>
        <v>NGI</v>
      </c>
      <c r="F27" s="105" t="s">
        <v>46</v>
      </c>
      <c r="G27" s="106" t="s">
        <v>15</v>
      </c>
      <c r="I27" s="94" t="s">
        <v>59</v>
      </c>
      <c r="J27" s="95" t="s">
        <v>282</v>
      </c>
      <c r="K27" s="96" t="s">
        <v>283</v>
      </c>
      <c r="L27" s="95" t="s">
        <v>284</v>
      </c>
      <c r="M27" s="94" t="str">
        <f t="shared" si="3"/>
        <v>BE</v>
      </c>
      <c r="N27" s="94" t="s">
        <v>1697</v>
      </c>
      <c r="P27" s="94" t="s">
        <v>1698</v>
      </c>
      <c r="AC27" s="94" t="s">
        <v>78</v>
      </c>
      <c r="AD27" s="96" t="s">
        <v>275</v>
      </c>
      <c r="AE27" s="95" t="s">
        <v>285</v>
      </c>
      <c r="AF27" s="94" t="str">
        <f t="shared" si="6"/>
        <v>CH</v>
      </c>
      <c r="AI27" s="96">
        <v>614</v>
      </c>
      <c r="AJ27" s="95" t="s">
        <v>278</v>
      </c>
      <c r="AK27" s="94" t="s">
        <v>1719</v>
      </c>
      <c r="AL27" s="94">
        <f t="shared" si="9"/>
        <v>614</v>
      </c>
    </row>
    <row r="28" spans="1:50">
      <c r="A28" s="102" t="s">
        <v>287</v>
      </c>
      <c r="B28" s="103" t="s">
        <v>288</v>
      </c>
      <c r="C28" s="104" t="s">
        <v>289</v>
      </c>
      <c r="D28" s="105" t="s">
        <v>1704</v>
      </c>
      <c r="E28" s="105" t="str">
        <f t="shared" si="0"/>
        <v>NIN</v>
      </c>
      <c r="F28" s="105" t="s">
        <v>46</v>
      </c>
      <c r="G28" s="106" t="s">
        <v>15</v>
      </c>
      <c r="I28" s="94" t="s">
        <v>290</v>
      </c>
      <c r="J28" s="95" t="s">
        <v>291</v>
      </c>
      <c r="K28" s="96" t="s">
        <v>283</v>
      </c>
      <c r="L28" s="95" t="s">
        <v>284</v>
      </c>
      <c r="M28" s="94" t="str">
        <f t="shared" si="3"/>
        <v>BE</v>
      </c>
      <c r="N28" s="94" t="s">
        <v>1697</v>
      </c>
      <c r="P28" s="94" t="s">
        <v>1698</v>
      </c>
      <c r="AC28" s="94" t="s">
        <v>93</v>
      </c>
      <c r="AD28" s="96"/>
      <c r="AE28" s="95" t="s">
        <v>292</v>
      </c>
      <c r="AF28" s="94">
        <f t="shared" si="6"/>
        <v>0</v>
      </c>
      <c r="AH28" s="94" t="s">
        <v>142</v>
      </c>
      <c r="AI28" s="96">
        <v>638</v>
      </c>
      <c r="AJ28" s="95" t="s">
        <v>286</v>
      </c>
      <c r="AK28" s="94" t="s">
        <v>1719</v>
      </c>
      <c r="AL28" s="94">
        <f t="shared" si="9"/>
        <v>638</v>
      </c>
    </row>
    <row r="29" spans="1:50">
      <c r="A29" s="89" t="s">
        <v>294</v>
      </c>
      <c r="B29" s="90" t="s">
        <v>295</v>
      </c>
      <c r="C29" s="91" t="s">
        <v>296</v>
      </c>
      <c r="D29" s="92" t="s">
        <v>1704</v>
      </c>
      <c r="E29" s="92" t="str">
        <f t="shared" si="0"/>
        <v>NMR</v>
      </c>
      <c r="F29" s="92" t="s">
        <v>46</v>
      </c>
      <c r="G29" s="93" t="s">
        <v>15</v>
      </c>
      <c r="I29" s="94" t="s">
        <v>297</v>
      </c>
      <c r="J29" s="95" t="s">
        <v>298</v>
      </c>
      <c r="K29" s="96" t="s">
        <v>283</v>
      </c>
      <c r="L29" s="95" t="s">
        <v>284</v>
      </c>
      <c r="M29" s="94" t="str">
        <f t="shared" si="3"/>
        <v>BE</v>
      </c>
      <c r="N29" s="94" t="s">
        <v>1697</v>
      </c>
      <c r="P29" s="94" t="s">
        <v>1698</v>
      </c>
      <c r="AC29" s="94" t="s">
        <v>105</v>
      </c>
      <c r="AD29" s="96" t="s">
        <v>226</v>
      </c>
      <c r="AE29" s="95" t="s">
        <v>299</v>
      </c>
      <c r="AF29" s="94" t="str">
        <f t="shared" si="6"/>
        <v>CL</v>
      </c>
      <c r="AH29" s="94" t="s">
        <v>154</v>
      </c>
      <c r="AI29" s="96">
        <v>612</v>
      </c>
      <c r="AJ29" s="95" t="s">
        <v>293</v>
      </c>
      <c r="AK29" s="94" t="s">
        <v>1719</v>
      </c>
      <c r="AL29" s="94">
        <f t="shared" si="9"/>
        <v>612</v>
      </c>
    </row>
    <row r="30" spans="1:50">
      <c r="A30" s="89" t="s">
        <v>301</v>
      </c>
      <c r="B30" s="90" t="s">
        <v>302</v>
      </c>
      <c r="C30" s="91" t="s">
        <v>303</v>
      </c>
      <c r="D30" s="92" t="s">
        <v>1704</v>
      </c>
      <c r="E30" s="92" t="str">
        <f t="shared" si="0"/>
        <v>NMA</v>
      </c>
      <c r="F30" s="92" t="s">
        <v>46</v>
      </c>
      <c r="G30" s="93" t="s">
        <v>15</v>
      </c>
      <c r="I30" s="94" t="s">
        <v>304</v>
      </c>
      <c r="J30" s="95" t="s">
        <v>305</v>
      </c>
      <c r="K30" s="96" t="s">
        <v>306</v>
      </c>
      <c r="L30" s="95" t="s">
        <v>307</v>
      </c>
      <c r="M30" s="94" t="str">
        <f t="shared" si="3"/>
        <v>VB</v>
      </c>
      <c r="N30" s="94" t="s">
        <v>1697</v>
      </c>
      <c r="P30" s="94" t="s">
        <v>1698</v>
      </c>
      <c r="AC30" s="94" t="s">
        <v>151</v>
      </c>
      <c r="AD30" s="96"/>
      <c r="AE30" s="95" t="s">
        <v>308</v>
      </c>
      <c r="AF30" s="94">
        <f t="shared" si="6"/>
        <v>0</v>
      </c>
      <c r="AH30" s="94" t="s">
        <v>165</v>
      </c>
      <c r="AI30" s="96">
        <v>658</v>
      </c>
      <c r="AJ30" s="95" t="s">
        <v>300</v>
      </c>
      <c r="AK30" s="94" t="s">
        <v>1719</v>
      </c>
      <c r="AL30" s="94">
        <f t="shared" si="9"/>
        <v>658</v>
      </c>
    </row>
    <row r="31" spans="1:50">
      <c r="A31" s="89" t="s">
        <v>310</v>
      </c>
      <c r="B31" s="90" t="s">
        <v>311</v>
      </c>
      <c r="C31" s="91" t="s">
        <v>312</v>
      </c>
      <c r="D31" s="92" t="s">
        <v>1704</v>
      </c>
      <c r="E31" s="92" t="str">
        <f t="shared" si="0"/>
        <v>NME</v>
      </c>
      <c r="F31" s="92" t="s">
        <v>46</v>
      </c>
      <c r="G31" s="93" t="s">
        <v>15</v>
      </c>
      <c r="I31" s="94" t="s">
        <v>313</v>
      </c>
      <c r="J31" s="95" t="s">
        <v>314</v>
      </c>
      <c r="K31" s="96" t="s">
        <v>315</v>
      </c>
      <c r="L31" s="95" t="s">
        <v>314</v>
      </c>
      <c r="M31" s="94" t="str">
        <f t="shared" si="3"/>
        <v>EB</v>
      </c>
      <c r="N31" s="94" t="s">
        <v>1697</v>
      </c>
      <c r="P31" s="94" t="s">
        <v>1698</v>
      </c>
      <c r="AC31" s="94" t="s">
        <v>316</v>
      </c>
      <c r="AD31" s="96" t="s">
        <v>317</v>
      </c>
      <c r="AE31" s="95" t="s">
        <v>318</v>
      </c>
      <c r="AF31" s="94" t="str">
        <f t="shared" si="6"/>
        <v>GY</v>
      </c>
      <c r="AH31" s="94" t="s">
        <v>99</v>
      </c>
      <c r="AI31" s="96">
        <v>634</v>
      </c>
      <c r="AJ31" s="95" t="s">
        <v>309</v>
      </c>
      <c r="AK31" s="94" t="s">
        <v>1719</v>
      </c>
      <c r="AL31" s="94">
        <f t="shared" si="9"/>
        <v>634</v>
      </c>
    </row>
    <row r="32" spans="1:50">
      <c r="A32" s="89" t="s">
        <v>320</v>
      </c>
      <c r="B32" s="90" t="s">
        <v>321</v>
      </c>
      <c r="C32" s="91" t="s">
        <v>322</v>
      </c>
      <c r="D32" s="92" t="s">
        <v>1704</v>
      </c>
      <c r="E32" s="92" t="str">
        <f t="shared" si="0"/>
        <v>NNA</v>
      </c>
      <c r="F32" s="92" t="s">
        <v>46</v>
      </c>
      <c r="G32" s="93" t="s">
        <v>15</v>
      </c>
      <c r="J32" s="95" t="s">
        <v>323</v>
      </c>
      <c r="K32" s="96" t="s">
        <v>324</v>
      </c>
      <c r="L32" s="95" t="s">
        <v>323</v>
      </c>
      <c r="M32" s="94" t="str">
        <f t="shared" si="3"/>
        <v>ER</v>
      </c>
      <c r="N32" s="94" t="s">
        <v>1697</v>
      </c>
      <c r="P32" s="94" t="s">
        <v>1698</v>
      </c>
      <c r="AC32" s="94" t="s">
        <v>325</v>
      </c>
      <c r="AD32" s="96"/>
      <c r="AE32" s="95" t="s">
        <v>326</v>
      </c>
      <c r="AF32" s="94">
        <f t="shared" si="6"/>
        <v>0</v>
      </c>
      <c r="AH32" s="94" t="s">
        <v>95</v>
      </c>
      <c r="AI32" s="96">
        <v>678</v>
      </c>
      <c r="AJ32" s="95" t="s">
        <v>319</v>
      </c>
      <c r="AK32" s="94" t="s">
        <v>1719</v>
      </c>
      <c r="AL32" s="94">
        <f t="shared" si="9"/>
        <v>678</v>
      </c>
    </row>
    <row r="33" spans="1:38">
      <c r="A33" s="89" t="s">
        <v>327</v>
      </c>
      <c r="B33" s="90" t="s">
        <v>328</v>
      </c>
      <c r="C33" s="91" t="s">
        <v>329</v>
      </c>
      <c r="D33" s="92" t="s">
        <v>1704</v>
      </c>
      <c r="E33" s="92" t="str">
        <f t="shared" si="0"/>
        <v>NOR</v>
      </c>
      <c r="F33" s="92" t="s">
        <v>46</v>
      </c>
      <c r="G33" s="93" t="s">
        <v>15</v>
      </c>
      <c r="J33" s="95" t="s">
        <v>330</v>
      </c>
      <c r="K33" s="96" t="s">
        <v>331</v>
      </c>
      <c r="L33" s="95" t="s">
        <v>330</v>
      </c>
      <c r="M33" s="94" t="str">
        <f t="shared" si="3"/>
        <v>TP</v>
      </c>
      <c r="N33" s="94" t="s">
        <v>1697</v>
      </c>
      <c r="P33" s="94" t="s">
        <v>1698</v>
      </c>
      <c r="AC33" s="94" t="s">
        <v>332</v>
      </c>
      <c r="AD33" s="96"/>
      <c r="AE33" s="95" t="s">
        <v>333</v>
      </c>
      <c r="AF33" s="94">
        <f t="shared" si="6"/>
        <v>0</v>
      </c>
      <c r="AI33" s="96"/>
    </row>
    <row r="34" spans="1:38">
      <c r="A34" s="89" t="s">
        <v>334</v>
      </c>
      <c r="B34" s="90" t="s">
        <v>335</v>
      </c>
      <c r="C34" s="91" t="s">
        <v>336</v>
      </c>
      <c r="D34" s="92" t="s">
        <v>1704</v>
      </c>
      <c r="E34" s="92" t="str">
        <f t="shared" si="0"/>
        <v>NPA</v>
      </c>
      <c r="F34" s="92" t="s">
        <v>46</v>
      </c>
      <c r="G34" s="93" t="s">
        <v>15</v>
      </c>
      <c r="I34" s="94" t="s">
        <v>337</v>
      </c>
      <c r="J34" s="95" t="s">
        <v>338</v>
      </c>
      <c r="K34" s="96" t="s">
        <v>339</v>
      </c>
      <c r="L34" s="95" t="s">
        <v>340</v>
      </c>
      <c r="M34" s="94" t="str">
        <f t="shared" si="3"/>
        <v>MU</v>
      </c>
      <c r="N34" s="94" t="s">
        <v>1697</v>
      </c>
      <c r="O34" s="94" t="s">
        <v>1720</v>
      </c>
      <c r="P34" s="94" t="s">
        <v>1720</v>
      </c>
      <c r="AC34" s="94" t="s">
        <v>341</v>
      </c>
      <c r="AD34" s="96"/>
      <c r="AE34" s="95" t="s">
        <v>342</v>
      </c>
      <c r="AF34" s="94">
        <f t="shared" si="6"/>
        <v>0</v>
      </c>
      <c r="AH34" s="94">
        <v>4</v>
      </c>
      <c r="AI34" s="96">
        <v>240</v>
      </c>
      <c r="AJ34" s="95">
        <v>240</v>
      </c>
      <c r="AK34" s="94" t="s">
        <v>1721</v>
      </c>
      <c r="AL34" s="94">
        <f>AI34</f>
        <v>240</v>
      </c>
    </row>
    <row r="35" spans="1:38">
      <c r="A35" s="102" t="s">
        <v>343</v>
      </c>
      <c r="B35" s="103" t="s">
        <v>344</v>
      </c>
      <c r="C35" s="104" t="s">
        <v>345</v>
      </c>
      <c r="D35" s="105" t="s">
        <v>1704</v>
      </c>
      <c r="E35" s="105" t="str">
        <f t="shared" si="0"/>
        <v>NPH</v>
      </c>
      <c r="F35" s="105" t="s">
        <v>46</v>
      </c>
      <c r="G35" s="106" t="s">
        <v>15</v>
      </c>
      <c r="I35" s="94" t="s">
        <v>315</v>
      </c>
      <c r="J35" s="95" t="s">
        <v>346</v>
      </c>
      <c r="K35" s="96" t="s">
        <v>339</v>
      </c>
      <c r="L35" s="95" t="s">
        <v>340</v>
      </c>
      <c r="M35" s="94" t="str">
        <f t="shared" si="3"/>
        <v>MU</v>
      </c>
      <c r="N35" s="94" t="s">
        <v>1697</v>
      </c>
      <c r="O35" s="94" t="s">
        <v>1720</v>
      </c>
      <c r="P35" s="94" t="s">
        <v>1720</v>
      </c>
      <c r="AC35" s="94" t="s">
        <v>347</v>
      </c>
      <c r="AD35" s="96"/>
      <c r="AE35" s="95" t="s">
        <v>348</v>
      </c>
      <c r="AF35" s="94">
        <f t="shared" si="6"/>
        <v>0</v>
      </c>
      <c r="AH35" s="94">
        <v>5</v>
      </c>
      <c r="AI35" s="96">
        <v>250</v>
      </c>
      <c r="AJ35" s="95">
        <v>250</v>
      </c>
      <c r="AK35" s="94" t="s">
        <v>1721</v>
      </c>
      <c r="AL35" s="94">
        <f>AI35</f>
        <v>250</v>
      </c>
    </row>
    <row r="36" spans="1:38">
      <c r="A36" s="102" t="s">
        <v>349</v>
      </c>
      <c r="B36" s="103" t="s">
        <v>350</v>
      </c>
      <c r="C36" s="104" t="s">
        <v>351</v>
      </c>
      <c r="D36" s="105" t="s">
        <v>1704</v>
      </c>
      <c r="E36" s="105" t="str">
        <f t="shared" si="0"/>
        <v>NPI</v>
      </c>
      <c r="F36" s="105" t="s">
        <v>46</v>
      </c>
      <c r="G36" s="106" t="s">
        <v>15</v>
      </c>
      <c r="I36" s="94" t="s">
        <v>352</v>
      </c>
      <c r="J36" s="95" t="s">
        <v>353</v>
      </c>
      <c r="K36" s="96" t="s">
        <v>339</v>
      </c>
      <c r="L36" s="95" t="s">
        <v>340</v>
      </c>
      <c r="M36" s="94" t="str">
        <f t="shared" si="3"/>
        <v>MU</v>
      </c>
      <c r="N36" s="94" t="s">
        <v>1697</v>
      </c>
      <c r="O36" s="94" t="s">
        <v>1720</v>
      </c>
      <c r="P36" s="94" t="s">
        <v>1720</v>
      </c>
      <c r="AC36" s="94" t="s">
        <v>354</v>
      </c>
      <c r="AD36" s="96"/>
      <c r="AE36" s="95" t="s">
        <v>355</v>
      </c>
      <c r="AF36" s="94">
        <f t="shared" si="6"/>
        <v>0</v>
      </c>
      <c r="AH36" s="94">
        <v>7</v>
      </c>
      <c r="AI36" s="96">
        <v>270</v>
      </c>
      <c r="AJ36" s="95">
        <v>270</v>
      </c>
      <c r="AK36" s="94" t="s">
        <v>1721</v>
      </c>
      <c r="AL36" s="94">
        <f>AI36</f>
        <v>270</v>
      </c>
    </row>
    <row r="37" spans="1:38" ht="14.25" thickBot="1">
      <c r="A37" s="89" t="s">
        <v>356</v>
      </c>
      <c r="B37" s="90" t="s">
        <v>357</v>
      </c>
      <c r="C37" s="91" t="s">
        <v>358</v>
      </c>
      <c r="D37" s="92" t="s">
        <v>1704</v>
      </c>
      <c r="E37" s="92" t="str">
        <f t="shared" si="0"/>
        <v>NRA</v>
      </c>
      <c r="F37" s="92" t="s">
        <v>46</v>
      </c>
      <c r="G37" s="93" t="s">
        <v>15</v>
      </c>
      <c r="J37" s="95" t="s">
        <v>359</v>
      </c>
      <c r="K37" s="96" t="s">
        <v>360</v>
      </c>
      <c r="L37" s="95" t="s">
        <v>359</v>
      </c>
      <c r="M37" s="94" t="str">
        <f t="shared" si="3"/>
        <v>WA</v>
      </c>
      <c r="N37" s="94" t="s">
        <v>1697</v>
      </c>
      <c r="O37" s="94" t="s">
        <v>1720</v>
      </c>
      <c r="P37" s="94" t="s">
        <v>1720</v>
      </c>
      <c r="AC37" s="94" t="s">
        <v>361</v>
      </c>
      <c r="AD37" s="96"/>
      <c r="AE37" s="95" t="s">
        <v>362</v>
      </c>
      <c r="AF37" s="94">
        <f t="shared" si="6"/>
        <v>0</v>
      </c>
      <c r="AH37" s="94">
        <v>8</v>
      </c>
      <c r="AI37" s="100">
        <v>280</v>
      </c>
      <c r="AJ37" s="95">
        <v>280</v>
      </c>
      <c r="AK37" s="94" t="s">
        <v>1721</v>
      </c>
      <c r="AL37" s="94">
        <f>AI37</f>
        <v>280</v>
      </c>
    </row>
    <row r="38" spans="1:38">
      <c r="A38" s="89" t="s">
        <v>363</v>
      </c>
      <c r="B38" s="90" t="s">
        <v>364</v>
      </c>
      <c r="C38" s="91" t="s">
        <v>365</v>
      </c>
      <c r="D38" s="92" t="s">
        <v>1722</v>
      </c>
      <c r="E38" s="92" t="str">
        <f t="shared" si="0"/>
        <v>NRD</v>
      </c>
      <c r="F38" s="92" t="s">
        <v>46</v>
      </c>
      <c r="G38" s="93" t="s">
        <v>15</v>
      </c>
      <c r="I38" s="94" t="s">
        <v>366</v>
      </c>
      <c r="J38" s="95" t="s">
        <v>367</v>
      </c>
      <c r="K38" s="96" t="s">
        <v>366</v>
      </c>
      <c r="L38" s="95" t="s">
        <v>368</v>
      </c>
      <c r="M38" s="94" t="str">
        <f t="shared" si="3"/>
        <v>ED</v>
      </c>
      <c r="N38" s="94" t="s">
        <v>1676</v>
      </c>
      <c r="O38" s="94" t="s">
        <v>1723</v>
      </c>
      <c r="P38" s="94" t="s">
        <v>1723</v>
      </c>
      <c r="AC38" s="94" t="s">
        <v>369</v>
      </c>
      <c r="AD38" s="96" t="s">
        <v>370</v>
      </c>
      <c r="AE38" s="95" t="s">
        <v>371</v>
      </c>
      <c r="AF38" s="94" t="str">
        <f t="shared" si="6"/>
        <v>MT</v>
      </c>
    </row>
    <row r="39" spans="1:38">
      <c r="A39" s="102" t="s">
        <v>372</v>
      </c>
      <c r="B39" s="103" t="s">
        <v>373</v>
      </c>
      <c r="C39" s="104" t="s">
        <v>374</v>
      </c>
      <c r="D39" s="105" t="s">
        <v>1722</v>
      </c>
      <c r="E39" s="105" t="str">
        <f t="shared" si="0"/>
        <v>NRE</v>
      </c>
      <c r="F39" s="105" t="s">
        <v>46</v>
      </c>
      <c r="G39" s="106" t="s">
        <v>15</v>
      </c>
      <c r="I39" s="94" t="s">
        <v>254</v>
      </c>
      <c r="J39" s="95" t="s">
        <v>375</v>
      </c>
      <c r="K39" s="96" t="s">
        <v>78</v>
      </c>
      <c r="L39" s="95" t="s">
        <v>376</v>
      </c>
      <c r="M39" s="94" t="str">
        <f t="shared" si="3"/>
        <v>CC</v>
      </c>
      <c r="N39" s="94" t="s">
        <v>1676</v>
      </c>
      <c r="O39" s="94" t="s">
        <v>1723</v>
      </c>
      <c r="P39" s="94" t="s">
        <v>1723</v>
      </c>
      <c r="AC39" s="94" t="s">
        <v>377</v>
      </c>
      <c r="AD39" s="96" t="s">
        <v>378</v>
      </c>
      <c r="AE39" s="95" t="s">
        <v>379</v>
      </c>
      <c r="AF39" s="94" t="str">
        <f t="shared" si="6"/>
        <v>GR</v>
      </c>
      <c r="AI39" s="109" t="s">
        <v>1724</v>
      </c>
      <c r="AJ39" s="108" t="s">
        <v>1725</v>
      </c>
      <c r="AK39" s="109" t="s">
        <v>1726</v>
      </c>
      <c r="AL39" s="108" t="s">
        <v>1725</v>
      </c>
    </row>
    <row r="40" spans="1:38">
      <c r="A40" s="89" t="s">
        <v>380</v>
      </c>
      <c r="B40" s="90" t="s">
        <v>381</v>
      </c>
      <c r="C40" s="91" t="s">
        <v>382</v>
      </c>
      <c r="D40" s="92" t="s">
        <v>1722</v>
      </c>
      <c r="E40" s="92" t="str">
        <f t="shared" si="0"/>
        <v>NRO</v>
      </c>
      <c r="F40" s="92" t="s">
        <v>46</v>
      </c>
      <c r="G40" s="93" t="s">
        <v>15</v>
      </c>
      <c r="I40" s="94" t="s">
        <v>383</v>
      </c>
      <c r="J40" s="95" t="s">
        <v>384</v>
      </c>
      <c r="K40" s="96" t="s">
        <v>63</v>
      </c>
      <c r="L40" s="95" t="s">
        <v>385</v>
      </c>
      <c r="M40" s="94" t="str">
        <f t="shared" si="3"/>
        <v>CS</v>
      </c>
      <c r="N40" s="94" t="s">
        <v>1676</v>
      </c>
      <c r="O40" s="94" t="s">
        <v>1723</v>
      </c>
      <c r="P40" s="94" t="s">
        <v>1723</v>
      </c>
      <c r="AC40" s="94" t="s">
        <v>386</v>
      </c>
      <c r="AD40" s="96"/>
      <c r="AE40" s="95" t="s">
        <v>387</v>
      </c>
      <c r="AF40" s="94">
        <f t="shared" si="6"/>
        <v>0</v>
      </c>
      <c r="AI40" s="109" t="s">
        <v>1727</v>
      </c>
      <c r="AJ40" s="108" t="s">
        <v>1728</v>
      </c>
      <c r="AK40" s="109" t="s">
        <v>1726</v>
      </c>
      <c r="AL40" s="108" t="s">
        <v>1728</v>
      </c>
    </row>
    <row r="41" spans="1:38">
      <c r="A41" s="89" t="s">
        <v>388</v>
      </c>
      <c r="B41" s="90" t="s">
        <v>389</v>
      </c>
      <c r="C41" s="91" t="s">
        <v>390</v>
      </c>
      <c r="D41" s="92" t="s">
        <v>1722</v>
      </c>
      <c r="E41" s="92" t="str">
        <f t="shared" si="0"/>
        <v>NRY</v>
      </c>
      <c r="F41" s="92" t="s">
        <v>46</v>
      </c>
      <c r="G41" s="93" t="s">
        <v>15</v>
      </c>
      <c r="I41" s="94" t="s">
        <v>391</v>
      </c>
      <c r="J41" s="95" t="s">
        <v>392</v>
      </c>
      <c r="K41" s="96" t="s">
        <v>393</v>
      </c>
      <c r="L41" s="95" t="s">
        <v>394</v>
      </c>
      <c r="M41" s="94" t="str">
        <f t="shared" si="3"/>
        <v>DC</v>
      </c>
      <c r="N41" s="94" t="s">
        <v>1676</v>
      </c>
      <c r="O41" s="94" t="s">
        <v>1723</v>
      </c>
      <c r="P41" s="94" t="s">
        <v>1723</v>
      </c>
      <c r="AC41" s="94" t="s">
        <v>395</v>
      </c>
      <c r="AD41" s="96"/>
      <c r="AE41" s="95" t="s">
        <v>396</v>
      </c>
      <c r="AF41" s="94">
        <f t="shared" si="6"/>
        <v>0</v>
      </c>
      <c r="AI41" s="109" t="s">
        <v>1729</v>
      </c>
      <c r="AJ41" s="108" t="s">
        <v>1730</v>
      </c>
      <c r="AK41" s="109" t="s">
        <v>1726</v>
      </c>
      <c r="AL41" s="108" t="s">
        <v>1730</v>
      </c>
    </row>
    <row r="42" spans="1:38">
      <c r="A42" s="89" t="s">
        <v>397</v>
      </c>
      <c r="B42" s="90" t="s">
        <v>398</v>
      </c>
      <c r="C42" s="91" t="s">
        <v>399</v>
      </c>
      <c r="D42" s="92" t="s">
        <v>1722</v>
      </c>
      <c r="E42" s="92" t="str">
        <f t="shared" si="0"/>
        <v>NTI</v>
      </c>
      <c r="F42" s="92" t="s">
        <v>46</v>
      </c>
      <c r="G42" s="93" t="s">
        <v>15</v>
      </c>
      <c r="J42" s="95" t="s">
        <v>400</v>
      </c>
      <c r="K42" s="96" t="s">
        <v>223</v>
      </c>
      <c r="L42" s="95" t="s">
        <v>401</v>
      </c>
      <c r="M42" s="94" t="str">
        <f t="shared" si="3"/>
        <v>AC</v>
      </c>
      <c r="N42" s="94" t="s">
        <v>1676</v>
      </c>
      <c r="O42" s="94" t="s">
        <v>1723</v>
      </c>
      <c r="P42" s="94" t="s">
        <v>1723</v>
      </c>
      <c r="AC42" s="94" t="s">
        <v>402</v>
      </c>
      <c r="AD42" s="96"/>
      <c r="AE42" s="95" t="s">
        <v>403</v>
      </c>
      <c r="AF42" s="94">
        <f t="shared" si="6"/>
        <v>0</v>
      </c>
      <c r="AI42" s="109" t="s">
        <v>1731</v>
      </c>
      <c r="AJ42" s="108" t="s">
        <v>1731</v>
      </c>
      <c r="AK42" s="109" t="s">
        <v>1726</v>
      </c>
      <c r="AL42" s="108" t="s">
        <v>1731</v>
      </c>
    </row>
    <row r="43" spans="1:38">
      <c r="A43" s="89" t="s">
        <v>404</v>
      </c>
      <c r="B43" s="90" t="s">
        <v>405</v>
      </c>
      <c r="C43" s="91" t="s">
        <v>406</v>
      </c>
      <c r="D43" s="92" t="s">
        <v>1722</v>
      </c>
      <c r="E43" s="92" t="str">
        <f t="shared" si="0"/>
        <v>NTW</v>
      </c>
      <c r="F43" s="92" t="s">
        <v>46</v>
      </c>
      <c r="G43" s="93" t="s">
        <v>15</v>
      </c>
      <c r="I43" s="94" t="s">
        <v>388</v>
      </c>
      <c r="J43" s="95" t="s">
        <v>407</v>
      </c>
      <c r="K43" s="96" t="s">
        <v>36</v>
      </c>
      <c r="L43" s="95" t="s">
        <v>1732</v>
      </c>
      <c r="M43" s="94" t="str">
        <f t="shared" si="3"/>
        <v>TS</v>
      </c>
      <c r="N43" s="94" t="s">
        <v>1733</v>
      </c>
      <c r="O43" s="94" t="s">
        <v>1733</v>
      </c>
      <c r="P43" s="94" t="s">
        <v>1733</v>
      </c>
      <c r="AC43" s="94" t="s">
        <v>408</v>
      </c>
      <c r="AD43" s="96"/>
      <c r="AE43" s="95" t="s">
        <v>409</v>
      </c>
      <c r="AF43" s="94">
        <f t="shared" si="6"/>
        <v>0</v>
      </c>
      <c r="AI43" s="109" t="s">
        <v>1734</v>
      </c>
      <c r="AJ43" s="108" t="s">
        <v>1734</v>
      </c>
      <c r="AK43" s="109" t="s">
        <v>1735</v>
      </c>
      <c r="AL43" s="108" t="s">
        <v>1734</v>
      </c>
    </row>
    <row r="44" spans="1:38">
      <c r="A44" s="102" t="s">
        <v>410</v>
      </c>
      <c r="B44" s="103" t="s">
        <v>411</v>
      </c>
      <c r="C44" s="104" t="s">
        <v>412</v>
      </c>
      <c r="D44" s="105" t="s">
        <v>1704</v>
      </c>
      <c r="E44" s="105" t="str">
        <f t="shared" si="0"/>
        <v>NWS</v>
      </c>
      <c r="F44" s="105" t="s">
        <v>46</v>
      </c>
      <c r="G44" s="106" t="s">
        <v>15</v>
      </c>
      <c r="J44" s="95" t="s">
        <v>413</v>
      </c>
      <c r="K44" s="96" t="s">
        <v>414</v>
      </c>
      <c r="L44" s="95" t="s">
        <v>1736</v>
      </c>
      <c r="M44" s="94" t="str">
        <f t="shared" si="3"/>
        <v>TL</v>
      </c>
      <c r="N44" s="94" t="s">
        <v>1737</v>
      </c>
      <c r="O44" s="94" t="s">
        <v>1737</v>
      </c>
      <c r="P44" s="94" t="s">
        <v>1737</v>
      </c>
      <c r="AC44" s="94" t="s">
        <v>415</v>
      </c>
      <c r="AD44" s="96"/>
      <c r="AE44" s="95" t="s">
        <v>416</v>
      </c>
      <c r="AF44" s="94">
        <f t="shared" si="6"/>
        <v>0</v>
      </c>
    </row>
    <row r="45" spans="1:38">
      <c r="A45" s="102" t="s">
        <v>417</v>
      </c>
      <c r="B45" s="103" t="s">
        <v>418</v>
      </c>
      <c r="C45" s="104" t="s">
        <v>419</v>
      </c>
      <c r="D45" s="105" t="s">
        <v>1704</v>
      </c>
      <c r="E45" s="105" t="str">
        <f t="shared" si="0"/>
        <v>NYA</v>
      </c>
      <c r="F45" s="105" t="s">
        <v>46</v>
      </c>
      <c r="G45" s="106" t="s">
        <v>15</v>
      </c>
      <c r="J45" s="95" t="s">
        <v>420</v>
      </c>
      <c r="K45" s="96" t="s">
        <v>421</v>
      </c>
      <c r="L45" s="95" t="s">
        <v>1738</v>
      </c>
      <c r="M45" s="94" t="str">
        <f t="shared" si="3"/>
        <v>TH</v>
      </c>
      <c r="N45" s="94" t="s">
        <v>1737</v>
      </c>
      <c r="O45" s="94" t="s">
        <v>1737</v>
      </c>
      <c r="P45" s="94" t="s">
        <v>1737</v>
      </c>
      <c r="AC45" s="94" t="s">
        <v>422</v>
      </c>
      <c r="AD45" s="96"/>
      <c r="AE45" s="95" t="s">
        <v>423</v>
      </c>
      <c r="AF45" s="94">
        <f t="shared" si="6"/>
        <v>0</v>
      </c>
    </row>
    <row r="46" spans="1:38">
      <c r="A46" s="89" t="s">
        <v>424</v>
      </c>
      <c r="B46" s="90" t="s">
        <v>425</v>
      </c>
      <c r="C46" s="91" t="s">
        <v>426</v>
      </c>
      <c r="D46" s="92" t="s">
        <v>1704</v>
      </c>
      <c r="E46" s="89" t="str">
        <f t="shared" si="0"/>
        <v>NEW</v>
      </c>
      <c r="F46" s="89" t="s">
        <v>1739</v>
      </c>
      <c r="G46" s="110" t="s">
        <v>1740</v>
      </c>
      <c r="K46" s="96" t="s">
        <v>427</v>
      </c>
      <c r="L46" s="95" t="s">
        <v>1741</v>
      </c>
      <c r="M46" s="94" t="str">
        <f t="shared" si="3"/>
        <v>HP</v>
      </c>
      <c r="N46" s="94" t="s">
        <v>1737</v>
      </c>
      <c r="O46" s="94" t="s">
        <v>1737</v>
      </c>
      <c r="P46" s="94" t="s">
        <v>1737</v>
      </c>
      <c r="AC46" s="94" t="s">
        <v>428</v>
      </c>
      <c r="AD46" s="96"/>
      <c r="AE46" s="95" t="s">
        <v>429</v>
      </c>
      <c r="AF46" s="94">
        <f t="shared" si="6"/>
        <v>0</v>
      </c>
    </row>
    <row r="47" spans="1:38">
      <c r="A47" s="89" t="s">
        <v>430</v>
      </c>
      <c r="B47" s="90" t="s">
        <v>431</v>
      </c>
      <c r="C47" s="91" t="s">
        <v>432</v>
      </c>
      <c r="D47" s="92" t="s">
        <v>1696</v>
      </c>
      <c r="E47" s="92" t="str">
        <f t="shared" si="0"/>
        <v>KNE</v>
      </c>
      <c r="F47" s="92" t="s">
        <v>46</v>
      </c>
      <c r="G47" s="93" t="s">
        <v>15</v>
      </c>
      <c r="J47" s="95" t="s">
        <v>433</v>
      </c>
      <c r="K47" s="96" t="s">
        <v>74</v>
      </c>
      <c r="L47" s="95" t="s">
        <v>1742</v>
      </c>
      <c r="M47" s="94" t="str">
        <f t="shared" si="3"/>
        <v>JP</v>
      </c>
      <c r="N47" s="94" t="s">
        <v>1737</v>
      </c>
      <c r="O47" s="94" t="s">
        <v>1737</v>
      </c>
      <c r="P47" s="94" t="s">
        <v>1737</v>
      </c>
      <c r="AC47" s="94" t="s">
        <v>434</v>
      </c>
      <c r="AD47" s="96"/>
      <c r="AE47" s="95" t="s">
        <v>435</v>
      </c>
      <c r="AF47" s="94">
        <f t="shared" si="6"/>
        <v>0</v>
      </c>
    </row>
    <row r="48" spans="1:38">
      <c r="A48" s="89" t="s">
        <v>436</v>
      </c>
      <c r="B48" s="90" t="s">
        <v>437</v>
      </c>
      <c r="C48" s="91" t="s">
        <v>438</v>
      </c>
      <c r="D48" s="92" t="s">
        <v>1696</v>
      </c>
      <c r="E48" s="92" t="str">
        <f t="shared" si="0"/>
        <v>KSA</v>
      </c>
      <c r="F48" s="92" t="s">
        <v>46</v>
      </c>
      <c r="G48" s="93" t="s">
        <v>15</v>
      </c>
      <c r="I48" s="94" t="s">
        <v>439</v>
      </c>
      <c r="J48" s="95" t="s">
        <v>440</v>
      </c>
      <c r="K48" s="96" t="s">
        <v>439</v>
      </c>
      <c r="L48" s="95" t="s">
        <v>440</v>
      </c>
      <c r="M48" s="94" t="str">
        <f t="shared" si="3"/>
        <v>FF</v>
      </c>
      <c r="N48" s="94" t="s">
        <v>1697</v>
      </c>
      <c r="O48" s="94" t="s">
        <v>1743</v>
      </c>
      <c r="P48" s="94" t="s">
        <v>1743</v>
      </c>
      <c r="AC48" s="94" t="s">
        <v>441</v>
      </c>
      <c r="AD48" s="96"/>
      <c r="AE48" s="95" t="s">
        <v>442</v>
      </c>
      <c r="AF48" s="94">
        <f t="shared" si="6"/>
        <v>0</v>
      </c>
    </row>
    <row r="49" spans="1:32" s="94" customFormat="1" ht="14.25" thickBot="1">
      <c r="A49" s="89" t="s">
        <v>443</v>
      </c>
      <c r="B49" s="90" t="s">
        <v>444</v>
      </c>
      <c r="C49" s="91" t="s">
        <v>445</v>
      </c>
      <c r="D49" s="92" t="s">
        <v>1696</v>
      </c>
      <c r="E49" s="92" t="str">
        <f t="shared" si="0"/>
        <v>KSK</v>
      </c>
      <c r="F49" s="92" t="s">
        <v>46</v>
      </c>
      <c r="G49" s="93" t="s">
        <v>15</v>
      </c>
      <c r="I49" s="94" t="s">
        <v>446</v>
      </c>
      <c r="J49" s="95" t="s">
        <v>447</v>
      </c>
      <c r="K49" s="100" t="s">
        <v>446</v>
      </c>
      <c r="L49" s="95" t="s">
        <v>1744</v>
      </c>
      <c r="M49" s="94" t="str">
        <f t="shared" si="3"/>
        <v>BP</v>
      </c>
      <c r="N49" s="94" t="s">
        <v>1697</v>
      </c>
      <c r="O49" s="94" t="s">
        <v>1745</v>
      </c>
      <c r="P49" s="94" t="s">
        <v>1745</v>
      </c>
      <c r="AC49" s="94" t="s">
        <v>448</v>
      </c>
      <c r="AD49" s="96" t="s">
        <v>404</v>
      </c>
      <c r="AE49" s="95" t="s">
        <v>449</v>
      </c>
      <c r="AF49" s="94" t="str">
        <f t="shared" si="6"/>
        <v>AR</v>
      </c>
    </row>
    <row r="50" spans="1:32" s="94" customFormat="1">
      <c r="A50" s="102"/>
      <c r="B50" s="103" t="s">
        <v>1746</v>
      </c>
      <c r="C50" s="104" t="s">
        <v>1747</v>
      </c>
      <c r="D50" s="105" t="s">
        <v>1748</v>
      </c>
      <c r="E50" s="102" t="str">
        <f>B50</f>
        <v>BBC</v>
      </c>
      <c r="F50" s="105" t="s">
        <v>46</v>
      </c>
      <c r="G50" s="106" t="s">
        <v>15</v>
      </c>
      <c r="J50" s="95"/>
      <c r="K50" s="94" t="s">
        <v>1749</v>
      </c>
      <c r="L50" s="95" t="s">
        <v>1750</v>
      </c>
      <c r="M50" s="94" t="str">
        <f t="shared" si="3"/>
        <v>JS</v>
      </c>
      <c r="N50" s="94" t="s">
        <v>1733</v>
      </c>
      <c r="O50" s="94" t="s">
        <v>1733</v>
      </c>
      <c r="P50" s="94" t="s">
        <v>1733</v>
      </c>
      <c r="AC50" s="94" t="s">
        <v>450</v>
      </c>
      <c r="AD50" s="96"/>
      <c r="AE50" s="95" t="s">
        <v>451</v>
      </c>
      <c r="AF50" s="94">
        <f t="shared" si="6"/>
        <v>0</v>
      </c>
    </row>
    <row r="51" spans="1:32" s="94" customFormat="1">
      <c r="A51" s="102"/>
      <c r="B51" s="103" t="s">
        <v>1751</v>
      </c>
      <c r="C51" s="104" t="s">
        <v>1752</v>
      </c>
      <c r="D51" s="105" t="s">
        <v>1753</v>
      </c>
      <c r="E51" s="105" t="str">
        <f>B51</f>
        <v>BCB</v>
      </c>
      <c r="F51" s="105" t="s">
        <v>46</v>
      </c>
      <c r="G51" s="106" t="s">
        <v>15</v>
      </c>
      <c r="J51" s="95"/>
      <c r="K51" s="94" t="s">
        <v>1754</v>
      </c>
      <c r="L51" s="95" t="s">
        <v>1755</v>
      </c>
      <c r="M51" s="94" t="s">
        <v>1754</v>
      </c>
      <c r="N51" s="94" t="s">
        <v>1676</v>
      </c>
      <c r="O51" s="94" t="s">
        <v>1756</v>
      </c>
      <c r="P51" s="94" t="s">
        <v>1756</v>
      </c>
      <c r="AC51" s="94" t="s">
        <v>452</v>
      </c>
      <c r="AD51" s="96" t="s">
        <v>453</v>
      </c>
      <c r="AE51" s="95" t="s">
        <v>454</v>
      </c>
      <c r="AF51" s="94" t="str">
        <f t="shared" si="6"/>
        <v>NY</v>
      </c>
    </row>
    <row r="52" spans="1:32" s="94" customFormat="1">
      <c r="A52" s="111" t="s">
        <v>254</v>
      </c>
      <c r="B52" s="112" t="s">
        <v>455</v>
      </c>
      <c r="C52" s="113" t="s">
        <v>456</v>
      </c>
      <c r="D52" s="114" t="str">
        <f t="shared" ref="D52:D102" si="10">B52</f>
        <v>VOL</v>
      </c>
      <c r="E52" s="114" t="str">
        <f t="shared" ref="E52:E102" si="11">B52</f>
        <v>VOL</v>
      </c>
      <c r="F52" s="114" t="s">
        <v>46</v>
      </c>
      <c r="G52" s="115" t="s">
        <v>15</v>
      </c>
      <c r="J52" s="95"/>
      <c r="K52" s="94" t="s">
        <v>1757</v>
      </c>
      <c r="L52" s="95" t="s">
        <v>1758</v>
      </c>
      <c r="M52" s="94" t="s">
        <v>1757</v>
      </c>
      <c r="N52" s="94" t="s">
        <v>1733</v>
      </c>
      <c r="O52" s="94" t="s">
        <v>1733</v>
      </c>
      <c r="P52" s="94" t="s">
        <v>1733</v>
      </c>
      <c r="AC52" s="94" t="s">
        <v>457</v>
      </c>
      <c r="AD52" s="96"/>
      <c r="AE52" s="95" t="s">
        <v>458</v>
      </c>
      <c r="AF52" s="94">
        <f t="shared" si="6"/>
        <v>0</v>
      </c>
    </row>
    <row r="53" spans="1:32" s="94" customFormat="1">
      <c r="A53" s="111" t="s">
        <v>383</v>
      </c>
      <c r="B53" s="112" t="s">
        <v>33</v>
      </c>
      <c r="C53" s="113" t="s">
        <v>459</v>
      </c>
      <c r="D53" s="114" t="str">
        <f t="shared" si="10"/>
        <v>BIL</v>
      </c>
      <c r="E53" s="114" t="str">
        <f t="shared" si="11"/>
        <v>BIL</v>
      </c>
      <c r="F53" s="114" t="s">
        <v>1759</v>
      </c>
      <c r="G53" s="115" t="s">
        <v>15</v>
      </c>
      <c r="J53" s="95"/>
      <c r="K53" s="109" t="s">
        <v>1760</v>
      </c>
      <c r="L53" s="108" t="s">
        <v>1761</v>
      </c>
      <c r="M53" s="109" t="s">
        <v>1760</v>
      </c>
      <c r="N53" s="94" t="s">
        <v>1737</v>
      </c>
      <c r="O53" s="94" t="s">
        <v>1737</v>
      </c>
      <c r="P53" s="94" t="s">
        <v>1737</v>
      </c>
      <c r="AC53" s="94" t="s">
        <v>460</v>
      </c>
      <c r="AD53" s="96" t="s">
        <v>461</v>
      </c>
      <c r="AE53" s="95" t="s">
        <v>462</v>
      </c>
      <c r="AF53" s="94" t="str">
        <f t="shared" si="6"/>
        <v>PP</v>
      </c>
    </row>
    <row r="54" spans="1:32" s="94" customFormat="1">
      <c r="A54" s="111" t="s">
        <v>391</v>
      </c>
      <c r="B54" s="112" t="s">
        <v>463</v>
      </c>
      <c r="C54" s="113" t="s">
        <v>464</v>
      </c>
      <c r="D54" s="114" t="str">
        <f t="shared" si="10"/>
        <v>QSV</v>
      </c>
      <c r="E54" s="114" t="str">
        <f t="shared" si="11"/>
        <v>QSV</v>
      </c>
      <c r="F54" s="114" t="s">
        <v>1759</v>
      </c>
      <c r="G54" s="115" t="s">
        <v>15</v>
      </c>
      <c r="J54" s="95"/>
      <c r="K54" s="109" t="s">
        <v>1762</v>
      </c>
      <c r="L54" s="108" t="s">
        <v>1763</v>
      </c>
      <c r="M54" s="109" t="s">
        <v>1762</v>
      </c>
      <c r="N54" s="94" t="s">
        <v>1697</v>
      </c>
      <c r="P54" s="94" t="s">
        <v>1698</v>
      </c>
      <c r="AC54" s="94" t="s">
        <v>465</v>
      </c>
      <c r="AD54" s="96"/>
      <c r="AE54" s="95" t="s">
        <v>466</v>
      </c>
      <c r="AF54" s="94">
        <f t="shared" si="6"/>
        <v>0</v>
      </c>
    </row>
    <row r="55" spans="1:32" s="94" customFormat="1">
      <c r="A55" s="111" t="s">
        <v>467</v>
      </c>
      <c r="B55" s="112" t="s">
        <v>468</v>
      </c>
      <c r="C55" s="113" t="s">
        <v>469</v>
      </c>
      <c r="D55" s="114" t="str">
        <f t="shared" si="10"/>
        <v>ROX</v>
      </c>
      <c r="E55" s="114" t="str">
        <f t="shared" si="11"/>
        <v>ROX</v>
      </c>
      <c r="F55" s="114" t="s">
        <v>1759</v>
      </c>
      <c r="G55" s="115" t="s">
        <v>15</v>
      </c>
      <c r="J55" s="95"/>
      <c r="K55" s="109" t="s">
        <v>1764</v>
      </c>
      <c r="L55" s="108" t="s">
        <v>1765</v>
      </c>
      <c r="M55" s="109" t="s">
        <v>1764</v>
      </c>
      <c r="N55" s="94" t="s">
        <v>1737</v>
      </c>
      <c r="O55" s="94" t="s">
        <v>1737</v>
      </c>
      <c r="P55" s="94" t="s">
        <v>1737</v>
      </c>
      <c r="AC55" s="94" t="s">
        <v>470</v>
      </c>
      <c r="AD55" s="96"/>
      <c r="AE55" s="95" t="s">
        <v>471</v>
      </c>
      <c r="AF55" s="94">
        <f t="shared" si="6"/>
        <v>0</v>
      </c>
    </row>
    <row r="56" spans="1:32" s="94" customFormat="1">
      <c r="A56" s="111" t="s">
        <v>219</v>
      </c>
      <c r="B56" s="112" t="s">
        <v>32</v>
      </c>
      <c r="C56" s="113" t="s">
        <v>472</v>
      </c>
      <c r="D56" s="114" t="str">
        <f t="shared" si="10"/>
        <v>GRA</v>
      </c>
      <c r="E56" s="114" t="str">
        <f t="shared" si="11"/>
        <v>GRA</v>
      </c>
      <c r="F56" s="114" t="s">
        <v>1766</v>
      </c>
      <c r="G56" s="115" t="s">
        <v>15</v>
      </c>
      <c r="J56" s="95"/>
      <c r="K56" s="109" t="s">
        <v>1767</v>
      </c>
      <c r="L56" s="108" t="s">
        <v>1768</v>
      </c>
      <c r="M56" s="109" t="s">
        <v>1767</v>
      </c>
      <c r="N56" s="94" t="s">
        <v>1737</v>
      </c>
      <c r="O56" s="94" t="s">
        <v>1737</v>
      </c>
      <c r="P56" s="94" t="s">
        <v>1737</v>
      </c>
      <c r="AC56" s="94" t="s">
        <v>473</v>
      </c>
      <c r="AD56" s="96"/>
      <c r="AE56" s="95" t="s">
        <v>474</v>
      </c>
      <c r="AF56" s="94">
        <f t="shared" si="6"/>
        <v>0</v>
      </c>
    </row>
    <row r="57" spans="1:32" s="94" customFormat="1">
      <c r="A57" s="116"/>
      <c r="B57" s="117" t="s">
        <v>1769</v>
      </c>
      <c r="C57" s="118" t="s">
        <v>1770</v>
      </c>
      <c r="D57" s="119" t="str">
        <f>B57</f>
        <v>GRL</v>
      </c>
      <c r="E57" s="119" t="str">
        <f>B57</f>
        <v>GRL</v>
      </c>
      <c r="F57" s="119" t="s">
        <v>1771</v>
      </c>
      <c r="G57" s="120" t="s">
        <v>15</v>
      </c>
      <c r="J57" s="95"/>
      <c r="K57" s="109" t="s">
        <v>1772</v>
      </c>
      <c r="L57" s="108" t="s">
        <v>1773</v>
      </c>
      <c r="M57" s="109" t="s">
        <v>1772</v>
      </c>
      <c r="N57" s="94" t="s">
        <v>1733</v>
      </c>
      <c r="O57" s="94" t="s">
        <v>1733</v>
      </c>
      <c r="P57" s="94" t="s">
        <v>1733</v>
      </c>
      <c r="AC57" s="94" t="s">
        <v>475</v>
      </c>
      <c r="AD57" s="96"/>
      <c r="AE57" s="95" t="s">
        <v>476</v>
      </c>
      <c r="AF57" s="94">
        <f t="shared" si="6"/>
        <v>0</v>
      </c>
    </row>
    <row r="58" spans="1:32" s="94" customFormat="1">
      <c r="A58" s="121"/>
      <c r="B58" s="122" t="s">
        <v>1774</v>
      </c>
      <c r="C58" s="123" t="s">
        <v>1775</v>
      </c>
      <c r="D58" s="124" t="str">
        <f>B58</f>
        <v>GRH</v>
      </c>
      <c r="E58" s="124" t="str">
        <f>B58</f>
        <v>GRH</v>
      </c>
      <c r="F58" s="124" t="s">
        <v>477</v>
      </c>
      <c r="G58" s="125" t="s">
        <v>15</v>
      </c>
      <c r="J58" s="95"/>
      <c r="K58" s="109" t="s">
        <v>1776</v>
      </c>
      <c r="L58" s="108" t="s">
        <v>1777</v>
      </c>
      <c r="M58" s="109" t="s">
        <v>1776</v>
      </c>
      <c r="N58" s="94" t="s">
        <v>1733</v>
      </c>
      <c r="O58" s="94" t="s">
        <v>1733</v>
      </c>
      <c r="P58" s="94" t="s">
        <v>1733</v>
      </c>
      <c r="AC58" s="94" t="s">
        <v>478</v>
      </c>
      <c r="AD58" s="96"/>
      <c r="AE58" s="95" t="s">
        <v>479</v>
      </c>
      <c r="AF58" s="94">
        <f t="shared" si="6"/>
        <v>0</v>
      </c>
    </row>
    <row r="59" spans="1:32" s="94" customFormat="1">
      <c r="A59" s="111" t="s">
        <v>439</v>
      </c>
      <c r="B59" s="112" t="s">
        <v>480</v>
      </c>
      <c r="C59" s="113" t="s">
        <v>481</v>
      </c>
      <c r="D59" s="114" t="str">
        <f t="shared" si="10"/>
        <v>BUT</v>
      </c>
      <c r="E59" s="114" t="str">
        <f t="shared" si="11"/>
        <v>BUT</v>
      </c>
      <c r="F59" s="114" t="s">
        <v>1778</v>
      </c>
      <c r="G59" s="115" t="s">
        <v>15</v>
      </c>
      <c r="J59" s="95"/>
      <c r="K59" s="109" t="s">
        <v>1779</v>
      </c>
      <c r="L59" s="108" t="s">
        <v>1780</v>
      </c>
      <c r="M59" s="109" t="s">
        <v>1779</v>
      </c>
      <c r="N59" s="94" t="s">
        <v>1676</v>
      </c>
      <c r="O59" s="94" t="s">
        <v>1723</v>
      </c>
      <c r="P59" s="94" t="s">
        <v>1723</v>
      </c>
      <c r="AC59" s="94" t="s">
        <v>482</v>
      </c>
      <c r="AD59" s="96"/>
      <c r="AE59" s="95" t="s">
        <v>483</v>
      </c>
      <c r="AF59" s="94">
        <f t="shared" si="6"/>
        <v>0</v>
      </c>
    </row>
    <row r="60" spans="1:32" s="94" customFormat="1">
      <c r="A60" s="111" t="s">
        <v>484</v>
      </c>
      <c r="B60" s="112" t="s">
        <v>485</v>
      </c>
      <c r="C60" s="113" t="s">
        <v>486</v>
      </c>
      <c r="D60" s="114" t="str">
        <f t="shared" si="10"/>
        <v>ZZZ</v>
      </c>
      <c r="E60" s="114" t="str">
        <f t="shared" si="11"/>
        <v>ZZZ</v>
      </c>
      <c r="F60" s="114"/>
      <c r="G60" s="115" t="s">
        <v>15</v>
      </c>
      <c r="J60" s="95"/>
      <c r="K60" s="109" t="s">
        <v>1781</v>
      </c>
      <c r="L60" s="108" t="s">
        <v>1782</v>
      </c>
      <c r="M60" s="109" t="s">
        <v>1781</v>
      </c>
      <c r="N60" s="94" t="s">
        <v>1676</v>
      </c>
      <c r="O60" s="94" t="s">
        <v>1756</v>
      </c>
      <c r="P60" s="94" t="s">
        <v>1756</v>
      </c>
      <c r="AC60" s="94" t="s">
        <v>487</v>
      </c>
      <c r="AD60" s="96"/>
      <c r="AE60" s="95" t="s">
        <v>488</v>
      </c>
      <c r="AF60" s="94">
        <f t="shared" si="6"/>
        <v>0</v>
      </c>
    </row>
    <row r="61" spans="1:32" s="94" customFormat="1">
      <c r="A61" s="111" t="s">
        <v>489</v>
      </c>
      <c r="B61" s="112" t="s">
        <v>485</v>
      </c>
      <c r="C61" s="113" t="s">
        <v>490</v>
      </c>
      <c r="D61" s="114" t="str">
        <f t="shared" si="10"/>
        <v>ZZZ</v>
      </c>
      <c r="E61" s="114" t="str">
        <f t="shared" si="11"/>
        <v>ZZZ</v>
      </c>
      <c r="F61" s="114"/>
      <c r="G61" s="115" t="s">
        <v>15</v>
      </c>
      <c r="J61" s="95"/>
      <c r="K61" s="109" t="s">
        <v>1783</v>
      </c>
      <c r="L61" s="108" t="s">
        <v>1784</v>
      </c>
      <c r="M61" s="109" t="s">
        <v>1783</v>
      </c>
      <c r="N61" s="94" t="s">
        <v>1737</v>
      </c>
      <c r="O61" s="94" t="s">
        <v>1737</v>
      </c>
      <c r="P61" s="94" t="s">
        <v>1737</v>
      </c>
      <c r="AC61" s="94" t="s">
        <v>491</v>
      </c>
      <c r="AD61" s="96"/>
      <c r="AE61" s="95" t="s">
        <v>492</v>
      </c>
      <c r="AF61" s="94">
        <f t="shared" si="6"/>
        <v>0</v>
      </c>
    </row>
    <row r="62" spans="1:32" s="94" customFormat="1">
      <c r="A62" s="111" t="s">
        <v>107</v>
      </c>
      <c r="B62" s="112" t="s">
        <v>493</v>
      </c>
      <c r="C62" s="113" t="s">
        <v>494</v>
      </c>
      <c r="D62" s="114" t="str">
        <f t="shared" si="10"/>
        <v>STU</v>
      </c>
      <c r="E62" s="114" t="str">
        <f t="shared" si="11"/>
        <v>STU</v>
      </c>
      <c r="F62" s="114" t="s">
        <v>1759</v>
      </c>
      <c r="G62" s="115" t="s">
        <v>15</v>
      </c>
      <c r="J62" s="95"/>
      <c r="K62" s="109" t="s">
        <v>1785</v>
      </c>
      <c r="L62" s="108" t="s">
        <v>1786</v>
      </c>
      <c r="M62" s="109" t="s">
        <v>1785</v>
      </c>
      <c r="N62" s="94" t="s">
        <v>1697</v>
      </c>
      <c r="P62" s="94" t="s">
        <v>1698</v>
      </c>
      <c r="AC62" s="94" t="s">
        <v>495</v>
      </c>
      <c r="AD62" s="96"/>
      <c r="AE62" s="95" t="s">
        <v>496</v>
      </c>
      <c r="AF62" s="94">
        <f t="shared" si="6"/>
        <v>0</v>
      </c>
    </row>
    <row r="63" spans="1:32" s="94" customFormat="1">
      <c r="A63" s="111" t="s">
        <v>497</v>
      </c>
      <c r="B63" s="112" t="s">
        <v>19</v>
      </c>
      <c r="C63" s="113" t="s">
        <v>498</v>
      </c>
      <c r="D63" s="114" t="str">
        <f t="shared" si="10"/>
        <v>NIX</v>
      </c>
      <c r="E63" s="114" t="str">
        <f t="shared" si="11"/>
        <v>NIX</v>
      </c>
      <c r="F63" s="114" t="s">
        <v>1759</v>
      </c>
      <c r="G63" s="115" t="s">
        <v>15</v>
      </c>
      <c r="J63" s="95"/>
      <c r="K63" s="109" t="s">
        <v>1787</v>
      </c>
      <c r="L63" s="108" t="s">
        <v>1788</v>
      </c>
      <c r="M63" s="109" t="s">
        <v>1787</v>
      </c>
      <c r="N63" s="94" t="s">
        <v>1737</v>
      </c>
      <c r="O63" s="94" t="s">
        <v>1737</v>
      </c>
      <c r="P63" s="94" t="s">
        <v>1737</v>
      </c>
      <c r="AC63" s="94" t="s">
        <v>499</v>
      </c>
      <c r="AD63" s="96" t="s">
        <v>500</v>
      </c>
      <c r="AE63" s="95" t="s">
        <v>501</v>
      </c>
      <c r="AF63" s="94" t="str">
        <f t="shared" si="6"/>
        <v>RE</v>
      </c>
    </row>
    <row r="64" spans="1:32" s="94" customFormat="1">
      <c r="A64" s="111" t="s">
        <v>502</v>
      </c>
      <c r="B64" s="112" t="s">
        <v>485</v>
      </c>
      <c r="C64" s="113" t="s">
        <v>503</v>
      </c>
      <c r="D64" s="114" t="str">
        <f t="shared" si="10"/>
        <v>ZZZ</v>
      </c>
      <c r="E64" s="114" t="str">
        <f t="shared" si="11"/>
        <v>ZZZ</v>
      </c>
      <c r="F64" s="114"/>
      <c r="G64" s="115" t="s">
        <v>15</v>
      </c>
      <c r="J64" s="95"/>
      <c r="L64" s="95"/>
      <c r="AC64" s="94" t="s">
        <v>504</v>
      </c>
      <c r="AD64" s="96"/>
      <c r="AE64" s="95" t="s">
        <v>505</v>
      </c>
      <c r="AF64" s="94">
        <f t="shared" si="6"/>
        <v>0</v>
      </c>
    </row>
    <row r="65" spans="1:32" s="94" customFormat="1">
      <c r="A65" s="111" t="s">
        <v>80</v>
      </c>
      <c r="B65" s="112" t="s">
        <v>506</v>
      </c>
      <c r="C65" s="113" t="s">
        <v>507</v>
      </c>
      <c r="D65" s="114" t="str">
        <f t="shared" si="10"/>
        <v>ANA</v>
      </c>
      <c r="E65" s="114" t="str">
        <f t="shared" si="11"/>
        <v>ANA</v>
      </c>
      <c r="F65" s="114" t="s">
        <v>1759</v>
      </c>
      <c r="G65" s="115" t="s">
        <v>15</v>
      </c>
      <c r="J65" s="95"/>
      <c r="L65" s="95"/>
      <c r="AC65" s="94" t="s">
        <v>508</v>
      </c>
      <c r="AD65" s="96"/>
      <c r="AE65" s="95" t="s">
        <v>509</v>
      </c>
      <c r="AF65" s="94">
        <f t="shared" si="6"/>
        <v>0</v>
      </c>
    </row>
    <row r="66" spans="1:32" s="94" customFormat="1">
      <c r="A66" s="111" t="s">
        <v>510</v>
      </c>
      <c r="B66" s="112" t="s">
        <v>511</v>
      </c>
      <c r="C66" s="113" t="s">
        <v>512</v>
      </c>
      <c r="D66" s="114" t="str">
        <f t="shared" si="10"/>
        <v>ADA</v>
      </c>
      <c r="E66" s="114" t="str">
        <f t="shared" si="11"/>
        <v>ADA</v>
      </c>
      <c r="F66" s="114" t="s">
        <v>1759</v>
      </c>
      <c r="G66" s="115" t="s">
        <v>15</v>
      </c>
      <c r="J66" s="95"/>
      <c r="L66" s="95"/>
      <c r="AC66" s="94" t="s">
        <v>513</v>
      </c>
      <c r="AD66" s="96" t="s">
        <v>514</v>
      </c>
      <c r="AE66" s="95" t="s">
        <v>515</v>
      </c>
      <c r="AF66" s="94" t="str">
        <f t="shared" si="6"/>
        <v>PK</v>
      </c>
    </row>
    <row r="67" spans="1:32" s="94" customFormat="1">
      <c r="A67" s="111" t="s">
        <v>516</v>
      </c>
      <c r="B67" s="112" t="s">
        <v>517</v>
      </c>
      <c r="C67" s="113" t="s">
        <v>518</v>
      </c>
      <c r="D67" s="114" t="str">
        <f t="shared" si="10"/>
        <v>NKE</v>
      </c>
      <c r="E67" s="114" t="str">
        <f t="shared" si="11"/>
        <v>NKE</v>
      </c>
      <c r="F67" s="114"/>
      <c r="G67" s="115" t="s">
        <v>15</v>
      </c>
      <c r="J67" s="95"/>
      <c r="L67" s="95"/>
      <c r="AC67" s="94" t="s">
        <v>519</v>
      </c>
      <c r="AD67" s="96"/>
      <c r="AE67" s="95" t="s">
        <v>520</v>
      </c>
      <c r="AF67" s="94">
        <f t="shared" si="6"/>
        <v>0</v>
      </c>
    </row>
    <row r="68" spans="1:32" s="94" customFormat="1">
      <c r="A68" s="111" t="s">
        <v>521</v>
      </c>
      <c r="B68" s="112" t="s">
        <v>522</v>
      </c>
      <c r="C68" s="113" t="s">
        <v>523</v>
      </c>
      <c r="D68" s="114" t="str">
        <f t="shared" si="10"/>
        <v>PUM</v>
      </c>
      <c r="E68" s="114" t="str">
        <f t="shared" si="11"/>
        <v>PUM</v>
      </c>
      <c r="F68" s="114"/>
      <c r="G68" s="115" t="s">
        <v>15</v>
      </c>
      <c r="J68" s="95"/>
      <c r="L68" s="95"/>
      <c r="AC68" s="94" t="s">
        <v>524</v>
      </c>
      <c r="AD68" s="96"/>
      <c r="AE68" s="95" t="s">
        <v>525</v>
      </c>
      <c r="AF68" s="94">
        <f t="shared" si="6"/>
        <v>0</v>
      </c>
    </row>
    <row r="69" spans="1:32" s="94" customFormat="1">
      <c r="A69" s="111" t="s">
        <v>526</v>
      </c>
      <c r="B69" s="112" t="s">
        <v>485</v>
      </c>
      <c r="C69" s="113" t="s">
        <v>527</v>
      </c>
      <c r="D69" s="114" t="str">
        <f t="shared" si="10"/>
        <v>ZZZ</v>
      </c>
      <c r="E69" s="114" t="str">
        <f t="shared" si="11"/>
        <v>ZZZ</v>
      </c>
      <c r="F69" s="114"/>
      <c r="G69" s="115" t="s">
        <v>15</v>
      </c>
      <c r="J69" s="95"/>
      <c r="L69" s="95"/>
      <c r="AC69" s="94" t="s">
        <v>528</v>
      </c>
      <c r="AD69" s="96"/>
      <c r="AE69" s="95" t="s">
        <v>529</v>
      </c>
      <c r="AF69" s="94">
        <f t="shared" ref="AF69:AF114" si="12">AD69</f>
        <v>0</v>
      </c>
    </row>
    <row r="70" spans="1:32" s="94" customFormat="1">
      <c r="A70" s="111" t="s">
        <v>530</v>
      </c>
      <c r="B70" s="112" t="s">
        <v>485</v>
      </c>
      <c r="C70" s="113" t="s">
        <v>531</v>
      </c>
      <c r="D70" s="114" t="str">
        <f t="shared" si="10"/>
        <v>ZZZ</v>
      </c>
      <c r="E70" s="114" t="str">
        <f t="shared" si="11"/>
        <v>ZZZ</v>
      </c>
      <c r="F70" s="114"/>
      <c r="G70" s="115" t="s">
        <v>15</v>
      </c>
      <c r="J70" s="95"/>
      <c r="L70" s="95"/>
      <c r="AC70" s="94" t="s">
        <v>532</v>
      </c>
      <c r="AD70" s="96"/>
      <c r="AE70" s="95" t="s">
        <v>533</v>
      </c>
      <c r="AF70" s="94">
        <f t="shared" si="12"/>
        <v>0</v>
      </c>
    </row>
    <row r="71" spans="1:32" s="94" customFormat="1">
      <c r="A71" s="111" t="s">
        <v>534</v>
      </c>
      <c r="B71" s="112" t="s">
        <v>485</v>
      </c>
      <c r="C71" s="113" t="s">
        <v>535</v>
      </c>
      <c r="D71" s="114" t="str">
        <f t="shared" si="10"/>
        <v>ZZZ</v>
      </c>
      <c r="E71" s="114" t="str">
        <f t="shared" si="11"/>
        <v>ZZZ</v>
      </c>
      <c r="F71" s="114"/>
      <c r="G71" s="115" t="s">
        <v>15</v>
      </c>
      <c r="J71" s="95"/>
      <c r="L71" s="95"/>
      <c r="AC71" s="94" t="s">
        <v>536</v>
      </c>
      <c r="AD71" s="96"/>
      <c r="AE71" s="95" t="s">
        <v>537</v>
      </c>
      <c r="AF71" s="94">
        <f t="shared" si="12"/>
        <v>0</v>
      </c>
    </row>
    <row r="72" spans="1:32" s="94" customFormat="1">
      <c r="A72" s="111" t="s">
        <v>538</v>
      </c>
      <c r="B72" s="112" t="s">
        <v>485</v>
      </c>
      <c r="C72" s="113" t="s">
        <v>539</v>
      </c>
      <c r="D72" s="114" t="str">
        <f t="shared" si="10"/>
        <v>ZZZ</v>
      </c>
      <c r="E72" s="114" t="str">
        <f t="shared" si="11"/>
        <v>ZZZ</v>
      </c>
      <c r="F72" s="114"/>
      <c r="G72" s="115" t="s">
        <v>15</v>
      </c>
      <c r="J72" s="95"/>
      <c r="L72" s="95"/>
      <c r="AC72" s="94" t="s">
        <v>540</v>
      </c>
      <c r="AD72" s="96"/>
      <c r="AE72" s="95" t="s">
        <v>541</v>
      </c>
      <c r="AF72" s="94">
        <f t="shared" si="12"/>
        <v>0</v>
      </c>
    </row>
    <row r="73" spans="1:32" s="94" customFormat="1">
      <c r="A73" s="111" t="s">
        <v>542</v>
      </c>
      <c r="B73" s="112" t="s">
        <v>485</v>
      </c>
      <c r="C73" s="113" t="s">
        <v>543</v>
      </c>
      <c r="D73" s="114" t="str">
        <f t="shared" si="10"/>
        <v>ZZZ</v>
      </c>
      <c r="E73" s="114" t="str">
        <f t="shared" si="11"/>
        <v>ZZZ</v>
      </c>
      <c r="F73" s="114"/>
      <c r="G73" s="115" t="s">
        <v>15</v>
      </c>
      <c r="J73" s="95"/>
      <c r="L73" s="95"/>
      <c r="AC73" s="94" t="s">
        <v>544</v>
      </c>
      <c r="AD73" s="96"/>
      <c r="AE73" s="95" t="s">
        <v>545</v>
      </c>
      <c r="AF73" s="94">
        <f t="shared" si="12"/>
        <v>0</v>
      </c>
    </row>
    <row r="74" spans="1:32" s="94" customFormat="1">
      <c r="A74" s="111" t="s">
        <v>546</v>
      </c>
      <c r="B74" s="112" t="s">
        <v>485</v>
      </c>
      <c r="C74" s="113" t="s">
        <v>547</v>
      </c>
      <c r="D74" s="114" t="str">
        <f t="shared" si="10"/>
        <v>ZZZ</v>
      </c>
      <c r="E74" s="114" t="str">
        <f t="shared" si="11"/>
        <v>ZZZ</v>
      </c>
      <c r="F74" s="114"/>
      <c r="G74" s="115" t="s">
        <v>15</v>
      </c>
      <c r="J74" s="95"/>
      <c r="L74" s="95"/>
      <c r="AC74" s="94" t="s">
        <v>548</v>
      </c>
      <c r="AD74" s="96"/>
      <c r="AE74" s="95" t="s">
        <v>549</v>
      </c>
      <c r="AF74" s="94">
        <f t="shared" si="12"/>
        <v>0</v>
      </c>
    </row>
    <row r="75" spans="1:32" s="94" customFormat="1">
      <c r="A75" s="111" t="s">
        <v>550</v>
      </c>
      <c r="B75" s="112" t="s">
        <v>551</v>
      </c>
      <c r="C75" s="113" t="s">
        <v>552</v>
      </c>
      <c r="D75" s="114" t="str">
        <f t="shared" si="10"/>
        <v>DRA</v>
      </c>
      <c r="E75" s="114" t="str">
        <f t="shared" si="11"/>
        <v>DRA</v>
      </c>
      <c r="F75" s="114" t="s">
        <v>1759</v>
      </c>
      <c r="G75" s="115" t="s">
        <v>15</v>
      </c>
      <c r="J75" s="95"/>
      <c r="L75" s="95"/>
      <c r="AC75" s="94" t="s">
        <v>553</v>
      </c>
      <c r="AD75" s="96" t="s">
        <v>554</v>
      </c>
      <c r="AE75" s="95" t="s">
        <v>555</v>
      </c>
      <c r="AF75" s="94" t="str">
        <f t="shared" si="12"/>
        <v>BL</v>
      </c>
    </row>
    <row r="76" spans="1:32" s="94" customFormat="1">
      <c r="A76" s="111" t="s">
        <v>556</v>
      </c>
      <c r="B76" s="112" t="s">
        <v>557</v>
      </c>
      <c r="C76" s="113" t="s">
        <v>557</v>
      </c>
      <c r="D76" s="114" t="str">
        <f t="shared" si="10"/>
        <v>HUF</v>
      </c>
      <c r="E76" s="114" t="str">
        <f t="shared" si="11"/>
        <v>HUF</v>
      </c>
      <c r="F76" s="114" t="s">
        <v>1759</v>
      </c>
      <c r="G76" s="115" t="s">
        <v>15</v>
      </c>
      <c r="J76" s="95"/>
      <c r="L76" s="95"/>
      <c r="AC76" s="94" t="s">
        <v>558</v>
      </c>
      <c r="AD76" s="96"/>
      <c r="AE76" s="95" t="s">
        <v>559</v>
      </c>
      <c r="AF76" s="94">
        <f t="shared" si="12"/>
        <v>0</v>
      </c>
    </row>
    <row r="77" spans="1:32" s="94" customFormat="1">
      <c r="A77" s="111" t="s">
        <v>560</v>
      </c>
      <c r="B77" s="112" t="s">
        <v>561</v>
      </c>
      <c r="C77" s="113" t="s">
        <v>562</v>
      </c>
      <c r="D77" s="114" t="str">
        <f t="shared" si="10"/>
        <v>HUN</v>
      </c>
      <c r="E77" s="114" t="str">
        <f t="shared" si="11"/>
        <v>HUN</v>
      </c>
      <c r="F77" s="114" t="s">
        <v>1759</v>
      </c>
      <c r="G77" s="115" t="s">
        <v>15</v>
      </c>
      <c r="J77" s="95"/>
      <c r="L77" s="95"/>
      <c r="AC77" s="94" t="s">
        <v>563</v>
      </c>
      <c r="AD77" s="96"/>
      <c r="AE77" s="95" t="s">
        <v>564</v>
      </c>
      <c r="AF77" s="94">
        <f t="shared" si="12"/>
        <v>0</v>
      </c>
    </row>
    <row r="78" spans="1:32" s="94" customFormat="1">
      <c r="A78" s="111" t="s">
        <v>565</v>
      </c>
      <c r="B78" s="112" t="s">
        <v>485</v>
      </c>
      <c r="C78" s="113" t="s">
        <v>566</v>
      </c>
      <c r="D78" s="114" t="str">
        <f t="shared" si="10"/>
        <v>ZZZ</v>
      </c>
      <c r="E78" s="114" t="str">
        <f t="shared" si="11"/>
        <v>ZZZ</v>
      </c>
      <c r="F78" s="114"/>
      <c r="G78" s="115" t="s">
        <v>15</v>
      </c>
      <c r="J78" s="95"/>
      <c r="L78" s="95"/>
      <c r="AC78" s="94" t="s">
        <v>567</v>
      </c>
      <c r="AD78" s="96"/>
      <c r="AE78" s="95" t="s">
        <v>568</v>
      </c>
      <c r="AF78" s="94">
        <f t="shared" si="12"/>
        <v>0</v>
      </c>
    </row>
    <row r="79" spans="1:32" s="94" customFormat="1">
      <c r="A79" s="111" t="s">
        <v>569</v>
      </c>
      <c r="B79" s="112" t="s">
        <v>31</v>
      </c>
      <c r="C79" s="113" t="s">
        <v>1789</v>
      </c>
      <c r="D79" s="114" t="str">
        <f t="shared" si="10"/>
        <v>GOO</v>
      </c>
      <c r="E79" s="114" t="str">
        <f t="shared" si="11"/>
        <v>GOO</v>
      </c>
      <c r="F79" s="114" t="s">
        <v>1766</v>
      </c>
      <c r="G79" s="115" t="s">
        <v>15</v>
      </c>
      <c r="J79" s="95"/>
      <c r="L79" s="95"/>
      <c r="AC79" s="94" t="s">
        <v>570</v>
      </c>
      <c r="AD79" s="96"/>
      <c r="AE79" s="95" t="s">
        <v>571</v>
      </c>
      <c r="AF79" s="94">
        <f t="shared" si="12"/>
        <v>0</v>
      </c>
    </row>
    <row r="80" spans="1:32" s="94" customFormat="1">
      <c r="A80" s="126"/>
      <c r="B80" s="117" t="s">
        <v>1790</v>
      </c>
      <c r="C80" s="127" t="s">
        <v>1791</v>
      </c>
      <c r="D80" s="119" t="str">
        <f>B80</f>
        <v>GOL</v>
      </c>
      <c r="E80" s="119" t="str">
        <f>B80</f>
        <v>GOL</v>
      </c>
      <c r="F80" s="119" t="s">
        <v>1771</v>
      </c>
      <c r="G80" s="120" t="s">
        <v>15</v>
      </c>
      <c r="J80" s="95"/>
      <c r="L80" s="95"/>
      <c r="AC80" s="94" t="s">
        <v>572</v>
      </c>
      <c r="AD80" s="96"/>
      <c r="AE80" s="95" t="s">
        <v>573</v>
      </c>
      <c r="AF80" s="94">
        <f t="shared" si="12"/>
        <v>0</v>
      </c>
    </row>
    <row r="81" spans="1:32" s="94" customFormat="1">
      <c r="A81" s="121"/>
      <c r="B81" s="122" t="s">
        <v>1792</v>
      </c>
      <c r="C81" s="123" t="s">
        <v>1793</v>
      </c>
      <c r="D81" s="124" t="str">
        <f>B81</f>
        <v>GOD</v>
      </c>
      <c r="E81" s="124" t="str">
        <f>B81</f>
        <v>GOD</v>
      </c>
      <c r="F81" s="124" t="s">
        <v>477</v>
      </c>
      <c r="G81" s="125" t="s">
        <v>15</v>
      </c>
      <c r="J81" s="95"/>
      <c r="L81" s="95"/>
      <c r="AC81" s="94" t="s">
        <v>574</v>
      </c>
      <c r="AD81" s="96"/>
      <c r="AE81" s="95" t="s">
        <v>575</v>
      </c>
      <c r="AF81" s="94">
        <f t="shared" si="12"/>
        <v>0</v>
      </c>
    </row>
    <row r="82" spans="1:32" s="94" customFormat="1">
      <c r="A82" s="111" t="s">
        <v>576</v>
      </c>
      <c r="B82" s="112" t="s">
        <v>577</v>
      </c>
      <c r="C82" s="113" t="s">
        <v>578</v>
      </c>
      <c r="D82" s="114" t="str">
        <f t="shared" si="10"/>
        <v>CRO</v>
      </c>
      <c r="E82" s="114" t="str">
        <f t="shared" si="11"/>
        <v>CRO</v>
      </c>
      <c r="F82" s="114" t="s">
        <v>1778</v>
      </c>
      <c r="G82" s="115" t="s">
        <v>15</v>
      </c>
      <c r="J82" s="95"/>
      <c r="L82" s="95"/>
      <c r="AC82" s="94" t="s">
        <v>579</v>
      </c>
      <c r="AD82" s="96"/>
      <c r="AE82" s="95" t="s">
        <v>580</v>
      </c>
      <c r="AF82" s="94">
        <f t="shared" si="12"/>
        <v>0</v>
      </c>
    </row>
    <row r="83" spans="1:32" s="94" customFormat="1">
      <c r="A83" s="111" t="s">
        <v>581</v>
      </c>
      <c r="B83" s="112" t="s">
        <v>485</v>
      </c>
      <c r="C83" s="113" t="s">
        <v>582</v>
      </c>
      <c r="D83" s="114" t="str">
        <f t="shared" si="10"/>
        <v>ZZZ</v>
      </c>
      <c r="E83" s="114" t="str">
        <f t="shared" si="11"/>
        <v>ZZZ</v>
      </c>
      <c r="F83" s="114"/>
      <c r="G83" s="115" t="s">
        <v>15</v>
      </c>
      <c r="J83" s="95"/>
      <c r="L83" s="95"/>
      <c r="AC83" s="94" t="s">
        <v>583</v>
      </c>
      <c r="AD83" s="96"/>
      <c r="AE83" s="95" t="s">
        <v>584</v>
      </c>
      <c r="AF83" s="94">
        <f t="shared" si="12"/>
        <v>0</v>
      </c>
    </row>
    <row r="84" spans="1:32" s="94" customFormat="1">
      <c r="A84" s="111" t="s">
        <v>585</v>
      </c>
      <c r="B84" s="112" t="s">
        <v>485</v>
      </c>
      <c r="C84" s="113" t="s">
        <v>586</v>
      </c>
      <c r="D84" s="114" t="str">
        <f t="shared" si="10"/>
        <v>ZZZ</v>
      </c>
      <c r="E84" s="114" t="str">
        <f t="shared" si="11"/>
        <v>ZZZ</v>
      </c>
      <c r="F84" s="114"/>
      <c r="G84" s="115" t="s">
        <v>15</v>
      </c>
      <c r="J84" s="95"/>
      <c r="L84" s="95"/>
      <c r="AC84" s="94" t="s">
        <v>587</v>
      </c>
      <c r="AD84" s="96"/>
      <c r="AE84" s="95" t="s">
        <v>588</v>
      </c>
      <c r="AF84" s="94">
        <f t="shared" si="12"/>
        <v>0</v>
      </c>
    </row>
    <row r="85" spans="1:32" s="94" customFormat="1">
      <c r="A85" s="111" t="s">
        <v>589</v>
      </c>
      <c r="B85" s="112" t="s">
        <v>485</v>
      </c>
      <c r="C85" s="113" t="s">
        <v>590</v>
      </c>
      <c r="D85" s="114" t="str">
        <f t="shared" si="10"/>
        <v>ZZZ</v>
      </c>
      <c r="E85" s="114" t="str">
        <f t="shared" si="11"/>
        <v>ZZZ</v>
      </c>
      <c r="F85" s="114"/>
      <c r="G85" s="115" t="s">
        <v>15</v>
      </c>
      <c r="J85" s="95"/>
      <c r="L85" s="95"/>
      <c r="AC85" s="94" t="s">
        <v>591</v>
      </c>
      <c r="AD85" s="96" t="s">
        <v>592</v>
      </c>
      <c r="AE85" s="95" t="s">
        <v>593</v>
      </c>
      <c r="AF85" s="94" t="str">
        <f t="shared" si="12"/>
        <v>WH</v>
      </c>
    </row>
    <row r="86" spans="1:32" s="94" customFormat="1">
      <c r="A86" s="111" t="s">
        <v>441</v>
      </c>
      <c r="B86" s="112" t="s">
        <v>485</v>
      </c>
      <c r="C86" s="113" t="s">
        <v>594</v>
      </c>
      <c r="D86" s="114" t="str">
        <f t="shared" si="10"/>
        <v>ZZZ</v>
      </c>
      <c r="E86" s="114" t="str">
        <f t="shared" si="11"/>
        <v>ZZZ</v>
      </c>
      <c r="F86" s="114"/>
      <c r="G86" s="115" t="s">
        <v>15</v>
      </c>
      <c r="J86" s="95"/>
      <c r="L86" s="95"/>
      <c r="AC86" s="94" t="s">
        <v>595</v>
      </c>
      <c r="AD86" s="96" t="s">
        <v>596</v>
      </c>
      <c r="AE86" s="95" t="s">
        <v>597</v>
      </c>
      <c r="AF86" s="94" t="str">
        <f t="shared" si="12"/>
        <v>SL</v>
      </c>
    </row>
    <row r="87" spans="1:32" s="94" customFormat="1">
      <c r="A87" s="111" t="s">
        <v>448</v>
      </c>
      <c r="B87" s="112" t="s">
        <v>35</v>
      </c>
      <c r="C87" s="113" t="s">
        <v>810</v>
      </c>
      <c r="D87" s="114" t="str">
        <f t="shared" si="10"/>
        <v>TRU</v>
      </c>
      <c r="E87" s="114" t="str">
        <f t="shared" si="11"/>
        <v>TRU</v>
      </c>
      <c r="F87" s="114" t="s">
        <v>1794</v>
      </c>
      <c r="G87" s="115" t="s">
        <v>15</v>
      </c>
      <c r="J87" s="95"/>
      <c r="L87" s="95"/>
      <c r="AC87" s="94" t="s">
        <v>598</v>
      </c>
      <c r="AD87" s="96"/>
      <c r="AE87" s="95" t="s">
        <v>599</v>
      </c>
      <c r="AF87" s="94">
        <f t="shared" si="12"/>
        <v>0</v>
      </c>
    </row>
    <row r="88" spans="1:32" s="94" customFormat="1">
      <c r="A88" s="116"/>
      <c r="B88" s="117" t="s">
        <v>1795</v>
      </c>
      <c r="C88" s="118" t="s">
        <v>1796</v>
      </c>
      <c r="D88" s="119" t="str">
        <f t="shared" si="10"/>
        <v>TRL</v>
      </c>
      <c r="E88" s="119" t="str">
        <f t="shared" si="11"/>
        <v>TRL</v>
      </c>
      <c r="F88" s="119" t="s">
        <v>1794</v>
      </c>
      <c r="G88" s="120" t="s">
        <v>15</v>
      </c>
      <c r="J88" s="95"/>
      <c r="L88" s="95"/>
      <c r="AC88" s="94" t="s">
        <v>601</v>
      </c>
      <c r="AD88" s="96" t="s">
        <v>602</v>
      </c>
      <c r="AE88" s="95" t="s">
        <v>603</v>
      </c>
      <c r="AF88" s="94" t="str">
        <f t="shared" si="12"/>
        <v>IV</v>
      </c>
    </row>
    <row r="89" spans="1:32" s="94" customFormat="1">
      <c r="A89" s="111" t="s">
        <v>450</v>
      </c>
      <c r="B89" s="112" t="s">
        <v>604</v>
      </c>
      <c r="C89" s="113" t="s">
        <v>605</v>
      </c>
      <c r="D89" s="114" t="str">
        <f t="shared" si="10"/>
        <v>DAK</v>
      </c>
      <c r="E89" s="114" t="str">
        <f t="shared" si="11"/>
        <v>DAK</v>
      </c>
      <c r="F89" s="114" t="s">
        <v>1778</v>
      </c>
      <c r="G89" s="115" t="s">
        <v>15</v>
      </c>
      <c r="J89" s="95"/>
      <c r="L89" s="95"/>
      <c r="AC89" s="94" t="s">
        <v>606</v>
      </c>
      <c r="AD89" s="96"/>
      <c r="AE89" s="95" t="s">
        <v>607</v>
      </c>
      <c r="AF89" s="94">
        <f t="shared" si="12"/>
        <v>0</v>
      </c>
    </row>
    <row r="90" spans="1:32" s="94" customFormat="1">
      <c r="A90" s="111" t="s">
        <v>608</v>
      </c>
      <c r="B90" s="112" t="s">
        <v>485</v>
      </c>
      <c r="C90" s="113" t="s">
        <v>609</v>
      </c>
      <c r="D90" s="114" t="str">
        <f t="shared" si="10"/>
        <v>ZZZ</v>
      </c>
      <c r="E90" s="114" t="str">
        <f t="shared" si="11"/>
        <v>ZZZ</v>
      </c>
      <c r="F90" s="114"/>
      <c r="G90" s="115" t="s">
        <v>15</v>
      </c>
      <c r="J90" s="95"/>
      <c r="L90" s="95"/>
      <c r="AC90" s="94" t="s">
        <v>610</v>
      </c>
      <c r="AD90" s="96"/>
      <c r="AE90" s="95" t="s">
        <v>611</v>
      </c>
      <c r="AF90" s="94">
        <f t="shared" si="12"/>
        <v>0</v>
      </c>
    </row>
    <row r="91" spans="1:32" s="94" customFormat="1">
      <c r="A91" s="111" t="s">
        <v>612</v>
      </c>
      <c r="B91" s="112" t="s">
        <v>613</v>
      </c>
      <c r="C91" s="113" t="s">
        <v>614</v>
      </c>
      <c r="D91" s="114" t="str">
        <f t="shared" si="10"/>
        <v>EDH</v>
      </c>
      <c r="E91" s="114" t="str">
        <f t="shared" si="11"/>
        <v>EDH</v>
      </c>
      <c r="F91" s="114" t="s">
        <v>1794</v>
      </c>
      <c r="G91" s="115" t="s">
        <v>15</v>
      </c>
      <c r="J91" s="95"/>
      <c r="L91" s="95"/>
      <c r="AC91" s="94" t="s">
        <v>615</v>
      </c>
      <c r="AD91" s="96" t="s">
        <v>616</v>
      </c>
      <c r="AE91" s="95" t="s">
        <v>617</v>
      </c>
      <c r="AF91" s="94" t="str">
        <f t="shared" si="12"/>
        <v>YE</v>
      </c>
    </row>
    <row r="92" spans="1:32" s="94" customFormat="1">
      <c r="A92" s="111" t="s">
        <v>618</v>
      </c>
      <c r="B92" s="112" t="s">
        <v>485</v>
      </c>
      <c r="C92" s="113" t="s">
        <v>619</v>
      </c>
      <c r="D92" s="114" t="str">
        <f t="shared" si="10"/>
        <v>ZZZ</v>
      </c>
      <c r="E92" s="114" t="str">
        <f t="shared" si="11"/>
        <v>ZZZ</v>
      </c>
      <c r="F92" s="114"/>
      <c r="G92" s="115" t="s">
        <v>15</v>
      </c>
      <c r="J92" s="95"/>
      <c r="L92" s="95"/>
      <c r="AC92" s="94" t="s">
        <v>620</v>
      </c>
      <c r="AD92" s="96"/>
      <c r="AE92" s="95" t="s">
        <v>621</v>
      </c>
      <c r="AF92" s="94">
        <f t="shared" si="12"/>
        <v>0</v>
      </c>
    </row>
    <row r="93" spans="1:32" s="94" customFormat="1">
      <c r="A93" s="111" t="s">
        <v>622</v>
      </c>
      <c r="B93" s="112" t="s">
        <v>485</v>
      </c>
      <c r="C93" s="113" t="s">
        <v>623</v>
      </c>
      <c r="D93" s="114" t="str">
        <f t="shared" si="10"/>
        <v>ZZZ</v>
      </c>
      <c r="E93" s="114" t="str">
        <f t="shared" si="11"/>
        <v>ZZZ</v>
      </c>
      <c r="F93" s="114"/>
      <c r="G93" s="115" t="s">
        <v>15</v>
      </c>
      <c r="J93" s="95"/>
      <c r="L93" s="95"/>
      <c r="AC93" s="94" t="s">
        <v>624</v>
      </c>
      <c r="AD93" s="96" t="s">
        <v>608</v>
      </c>
      <c r="AE93" s="95" t="s">
        <v>625</v>
      </c>
      <c r="AF93" s="94" t="str">
        <f t="shared" si="12"/>
        <v>GD</v>
      </c>
    </row>
    <row r="94" spans="1:32" s="94" customFormat="1">
      <c r="A94" s="111" t="s">
        <v>626</v>
      </c>
      <c r="B94" s="112" t="s">
        <v>485</v>
      </c>
      <c r="C94" s="113" t="s">
        <v>627</v>
      </c>
      <c r="D94" s="114" t="str">
        <f t="shared" si="10"/>
        <v>ZZZ</v>
      </c>
      <c r="E94" s="114" t="str">
        <f t="shared" si="11"/>
        <v>ZZZ</v>
      </c>
      <c r="F94" s="114"/>
      <c r="G94" s="115" t="s">
        <v>15</v>
      </c>
      <c r="J94" s="95"/>
      <c r="L94" s="95"/>
      <c r="AC94" s="94" t="s">
        <v>628</v>
      </c>
      <c r="AD94" s="96"/>
      <c r="AE94" s="95" t="s">
        <v>629</v>
      </c>
      <c r="AF94" s="94">
        <f t="shared" si="12"/>
        <v>0</v>
      </c>
    </row>
    <row r="95" spans="1:32" s="94" customFormat="1">
      <c r="A95" s="111" t="s">
        <v>630</v>
      </c>
      <c r="B95" s="112" t="s">
        <v>485</v>
      </c>
      <c r="C95" s="113" t="s">
        <v>631</v>
      </c>
      <c r="D95" s="114" t="str">
        <f t="shared" si="10"/>
        <v>ZZZ</v>
      </c>
      <c r="E95" s="114" t="str">
        <f t="shared" si="11"/>
        <v>ZZZ</v>
      </c>
      <c r="F95" s="114"/>
      <c r="G95" s="115" t="s">
        <v>15</v>
      </c>
      <c r="J95" s="95"/>
      <c r="L95" s="95"/>
      <c r="AC95" s="94" t="s">
        <v>632</v>
      </c>
      <c r="AD95" s="96"/>
      <c r="AE95" s="95" t="s">
        <v>633</v>
      </c>
      <c r="AF95" s="94">
        <f t="shared" si="12"/>
        <v>0</v>
      </c>
    </row>
    <row r="96" spans="1:32" s="94" customFormat="1">
      <c r="A96" s="111" t="s">
        <v>634</v>
      </c>
      <c r="B96" s="112" t="s">
        <v>635</v>
      </c>
      <c r="C96" s="113" t="s">
        <v>636</v>
      </c>
      <c r="D96" s="114" t="str">
        <f t="shared" si="10"/>
        <v>KAN</v>
      </c>
      <c r="E96" s="114" t="str">
        <f t="shared" si="11"/>
        <v>KAN</v>
      </c>
      <c r="F96" s="114" t="s">
        <v>477</v>
      </c>
      <c r="G96" s="115" t="s">
        <v>15</v>
      </c>
      <c r="J96" s="95"/>
      <c r="L96" s="95"/>
      <c r="AC96" s="94" t="s">
        <v>637</v>
      </c>
      <c r="AD96" s="96" t="s">
        <v>638</v>
      </c>
      <c r="AE96" s="95" t="s">
        <v>639</v>
      </c>
      <c r="AF96" s="94" t="str">
        <f t="shared" si="12"/>
        <v>OR</v>
      </c>
    </row>
    <row r="97" spans="1:32" s="94" customFormat="1">
      <c r="A97" s="111" t="s">
        <v>640</v>
      </c>
      <c r="B97" s="112" t="s">
        <v>485</v>
      </c>
      <c r="C97" s="113" t="s">
        <v>641</v>
      </c>
      <c r="D97" s="114" t="str">
        <f t="shared" si="10"/>
        <v>ZZZ</v>
      </c>
      <c r="E97" s="114" t="str">
        <f t="shared" si="11"/>
        <v>ZZZ</v>
      </c>
      <c r="F97" s="114"/>
      <c r="G97" s="115" t="s">
        <v>15</v>
      </c>
      <c r="J97" s="95"/>
      <c r="L97" s="95"/>
      <c r="AC97" s="94" t="s">
        <v>642</v>
      </c>
      <c r="AD97" s="96"/>
      <c r="AE97" s="95" t="s">
        <v>643</v>
      </c>
      <c r="AF97" s="94">
        <f t="shared" si="12"/>
        <v>0</v>
      </c>
    </row>
    <row r="98" spans="1:32" s="94" customFormat="1">
      <c r="A98" s="111" t="s">
        <v>644</v>
      </c>
      <c r="B98" s="112" t="s">
        <v>485</v>
      </c>
      <c r="C98" s="113" t="s">
        <v>645</v>
      </c>
      <c r="D98" s="114" t="str">
        <f t="shared" si="10"/>
        <v>ZZZ</v>
      </c>
      <c r="E98" s="114" t="str">
        <f t="shared" si="11"/>
        <v>ZZZ</v>
      </c>
      <c r="F98" s="114"/>
      <c r="G98" s="115" t="s">
        <v>15</v>
      </c>
      <c r="J98" s="95"/>
      <c r="L98" s="95"/>
      <c r="AC98" s="94" t="s">
        <v>646</v>
      </c>
      <c r="AD98" s="96"/>
      <c r="AE98" s="95" t="s">
        <v>647</v>
      </c>
      <c r="AF98" s="94">
        <f t="shared" si="12"/>
        <v>0</v>
      </c>
    </row>
    <row r="99" spans="1:32" s="94" customFormat="1">
      <c r="A99" s="111" t="s">
        <v>648</v>
      </c>
      <c r="B99" s="112" t="s">
        <v>485</v>
      </c>
      <c r="C99" s="113" t="s">
        <v>649</v>
      </c>
      <c r="D99" s="114" t="str">
        <f t="shared" si="10"/>
        <v>ZZZ</v>
      </c>
      <c r="E99" s="114" t="str">
        <f t="shared" si="11"/>
        <v>ZZZ</v>
      </c>
      <c r="F99" s="114"/>
      <c r="G99" s="115" t="s">
        <v>15</v>
      </c>
      <c r="J99" s="95"/>
      <c r="L99" s="95"/>
      <c r="AD99" s="96"/>
      <c r="AE99" s="95"/>
    </row>
    <row r="100" spans="1:32" s="94" customFormat="1">
      <c r="A100" s="111" t="s">
        <v>378</v>
      </c>
      <c r="B100" s="112" t="s">
        <v>650</v>
      </c>
      <c r="C100" s="113" t="s">
        <v>651</v>
      </c>
      <c r="D100" s="114" t="str">
        <f t="shared" si="10"/>
        <v>WES</v>
      </c>
      <c r="E100" s="114" t="str">
        <f t="shared" si="11"/>
        <v>WES</v>
      </c>
      <c r="F100" s="114" t="s">
        <v>1778</v>
      </c>
      <c r="G100" s="115" t="s">
        <v>15</v>
      </c>
      <c r="J100" s="95"/>
      <c r="L100" s="95"/>
      <c r="AD100" s="96"/>
      <c r="AE100" s="95"/>
    </row>
    <row r="101" spans="1:32" s="94" customFormat="1">
      <c r="A101" s="111" t="s">
        <v>652</v>
      </c>
      <c r="B101" s="112" t="s">
        <v>485</v>
      </c>
      <c r="C101" s="113" t="s">
        <v>653</v>
      </c>
      <c r="D101" s="114" t="str">
        <f t="shared" si="10"/>
        <v>ZZZ</v>
      </c>
      <c r="E101" s="114" t="str">
        <f t="shared" si="11"/>
        <v>ZZZ</v>
      </c>
      <c r="F101" s="114"/>
      <c r="G101" s="115" t="s">
        <v>15</v>
      </c>
      <c r="J101" s="95"/>
      <c r="L101" s="95"/>
      <c r="AD101" s="96"/>
      <c r="AE101" s="95"/>
    </row>
    <row r="102" spans="1:32" s="94" customFormat="1">
      <c r="A102" s="111" t="s">
        <v>654</v>
      </c>
      <c r="B102" s="112" t="s">
        <v>38</v>
      </c>
      <c r="C102" s="113" t="s">
        <v>37</v>
      </c>
      <c r="D102" s="114" t="str">
        <f t="shared" si="10"/>
        <v>TWI</v>
      </c>
      <c r="E102" s="114" t="str">
        <f t="shared" si="11"/>
        <v>TWI</v>
      </c>
      <c r="F102" s="114" t="s">
        <v>1797</v>
      </c>
      <c r="G102" s="115" t="s">
        <v>15</v>
      </c>
      <c r="J102" s="95"/>
      <c r="L102" s="95"/>
      <c r="AC102" s="94" t="s">
        <v>655</v>
      </c>
      <c r="AD102" s="96"/>
      <c r="AE102" s="95" t="s">
        <v>656</v>
      </c>
      <c r="AF102" s="94">
        <f t="shared" si="12"/>
        <v>0</v>
      </c>
    </row>
    <row r="103" spans="1:32" s="94" customFormat="1">
      <c r="A103" s="111"/>
      <c r="B103" s="112" t="s">
        <v>1798</v>
      </c>
      <c r="C103" s="113" t="s">
        <v>1799</v>
      </c>
      <c r="D103" s="114" t="s">
        <v>1798</v>
      </c>
      <c r="E103" s="114" t="s">
        <v>1798</v>
      </c>
      <c r="F103" s="114" t="s">
        <v>1797</v>
      </c>
      <c r="G103" s="115" t="s">
        <v>15</v>
      </c>
      <c r="J103" s="95"/>
      <c r="L103" s="95"/>
      <c r="AD103" s="96"/>
      <c r="AE103" s="95"/>
    </row>
    <row r="104" spans="1:32" s="94" customFormat="1">
      <c r="A104" s="111"/>
      <c r="B104" s="112" t="s">
        <v>657</v>
      </c>
      <c r="C104" s="113" t="s">
        <v>658</v>
      </c>
      <c r="D104" s="114" t="str">
        <f>B104</f>
        <v>RVC</v>
      </c>
      <c r="E104" s="114" t="str">
        <f>B104</f>
        <v>RVC</v>
      </c>
      <c r="F104" s="114" t="s">
        <v>1778</v>
      </c>
      <c r="G104" s="115" t="s">
        <v>15</v>
      </c>
      <c r="J104" s="95"/>
      <c r="L104" s="95"/>
      <c r="AD104" s="96"/>
      <c r="AE104" s="95"/>
    </row>
    <row r="105" spans="1:32" s="94" customFormat="1">
      <c r="A105" s="111"/>
      <c r="B105" s="112" t="s">
        <v>1800</v>
      </c>
      <c r="C105" s="113" t="s">
        <v>1801</v>
      </c>
      <c r="D105" s="114" t="str">
        <f>B105</f>
        <v>AKU</v>
      </c>
      <c r="E105" s="114" t="str">
        <f>B105</f>
        <v>AKU</v>
      </c>
      <c r="F105" s="114" t="s">
        <v>477</v>
      </c>
      <c r="G105" s="115" t="s">
        <v>1802</v>
      </c>
      <c r="J105" s="95"/>
      <c r="L105" s="95"/>
      <c r="AC105" s="94" t="s">
        <v>659</v>
      </c>
      <c r="AD105" s="96"/>
      <c r="AE105" s="95" t="s">
        <v>660</v>
      </c>
      <c r="AF105" s="94">
        <f t="shared" si="12"/>
        <v>0</v>
      </c>
    </row>
    <row r="106" spans="1:32" s="94" customFormat="1">
      <c r="A106" s="111"/>
      <c r="B106" s="112" t="s">
        <v>1803</v>
      </c>
      <c r="C106" s="113" t="s">
        <v>1803</v>
      </c>
      <c r="D106" s="114" t="str">
        <f>B106</f>
        <v>NHL</v>
      </c>
      <c r="E106" s="114" t="str">
        <f>B106</f>
        <v>NHL</v>
      </c>
      <c r="F106" s="114" t="s">
        <v>46</v>
      </c>
      <c r="G106" s="115" t="s">
        <v>1802</v>
      </c>
      <c r="J106" s="95"/>
      <c r="L106" s="95"/>
      <c r="AC106" s="94" t="s">
        <v>661</v>
      </c>
      <c r="AD106" s="96"/>
      <c r="AE106" s="95" t="s">
        <v>662</v>
      </c>
      <c r="AF106" s="94">
        <f t="shared" si="12"/>
        <v>0</v>
      </c>
    </row>
    <row r="107" spans="1:32" s="94" customFormat="1">
      <c r="A107" s="111"/>
      <c r="B107" s="112" t="s">
        <v>1804</v>
      </c>
      <c r="C107" s="113" t="s">
        <v>1805</v>
      </c>
      <c r="D107" s="114" t="str">
        <f>B107</f>
        <v>JRC</v>
      </c>
      <c r="E107" s="114" t="str">
        <f>B107</f>
        <v>JRC</v>
      </c>
      <c r="F107" s="114" t="s">
        <v>1778</v>
      </c>
      <c r="G107" s="115" t="s">
        <v>1802</v>
      </c>
      <c r="J107" s="95"/>
      <c r="L107" s="95"/>
      <c r="AC107" s="94" t="s">
        <v>663</v>
      </c>
      <c r="AD107" s="96"/>
      <c r="AE107" s="95" t="s">
        <v>664</v>
      </c>
      <c r="AF107" s="94">
        <f t="shared" si="12"/>
        <v>0</v>
      </c>
    </row>
    <row r="108" spans="1:32" s="94" customFormat="1">
      <c r="A108" s="111"/>
      <c r="B108" s="112" t="s">
        <v>1806</v>
      </c>
      <c r="C108" s="113" t="s">
        <v>1807</v>
      </c>
      <c r="D108" s="114" t="str">
        <f>B108</f>
        <v>BRH</v>
      </c>
      <c r="E108" s="114" t="str">
        <f>B108</f>
        <v>BRH</v>
      </c>
      <c r="F108" s="114" t="s">
        <v>1778</v>
      </c>
      <c r="G108" s="115" t="s">
        <v>1802</v>
      </c>
      <c r="J108" s="95"/>
      <c r="L108" s="95"/>
      <c r="AC108" s="94" t="s">
        <v>665</v>
      </c>
      <c r="AD108" s="96"/>
      <c r="AE108" s="95" t="s">
        <v>666</v>
      </c>
      <c r="AF108" s="94">
        <f t="shared" si="12"/>
        <v>0</v>
      </c>
    </row>
    <row r="109" spans="1:32" s="94" customFormat="1">
      <c r="A109" s="156"/>
      <c r="B109" s="157" t="s">
        <v>1808</v>
      </c>
      <c r="C109" s="158" t="s">
        <v>1809</v>
      </c>
      <c r="D109" s="159" t="s">
        <v>1808</v>
      </c>
      <c r="E109" s="159" t="s">
        <v>1808</v>
      </c>
      <c r="F109" s="159" t="s">
        <v>1778</v>
      </c>
      <c r="G109" s="160" t="s">
        <v>1802</v>
      </c>
      <c r="J109" s="95"/>
      <c r="L109" s="95"/>
      <c r="AC109" s="94" t="s">
        <v>667</v>
      </c>
      <c r="AD109" s="96"/>
      <c r="AE109" s="95" t="s">
        <v>668</v>
      </c>
      <c r="AF109" s="94">
        <f t="shared" si="12"/>
        <v>0</v>
      </c>
    </row>
    <row r="110" spans="1:32" s="94" customFormat="1">
      <c r="A110" s="156"/>
      <c r="B110" s="157" t="s">
        <v>1810</v>
      </c>
      <c r="C110" s="158" t="s">
        <v>1811</v>
      </c>
      <c r="D110" s="159" t="s">
        <v>1810</v>
      </c>
      <c r="E110" s="159" t="s">
        <v>1810</v>
      </c>
      <c r="F110" s="159" t="s">
        <v>1778</v>
      </c>
      <c r="G110" s="160" t="s">
        <v>1802</v>
      </c>
      <c r="J110" s="95"/>
      <c r="L110" s="95"/>
      <c r="AC110" s="94" t="s">
        <v>669</v>
      </c>
      <c r="AD110" s="96"/>
      <c r="AE110" s="95" t="s">
        <v>670</v>
      </c>
      <c r="AF110" s="94">
        <f t="shared" si="12"/>
        <v>0</v>
      </c>
    </row>
    <row r="111" spans="1:32" s="94" customFormat="1">
      <c r="A111" s="156"/>
      <c r="B111" s="157" t="s">
        <v>1812</v>
      </c>
      <c r="C111" s="158" t="s">
        <v>1813</v>
      </c>
      <c r="D111" s="159" t="s">
        <v>1812</v>
      </c>
      <c r="E111" s="159" t="s">
        <v>1812</v>
      </c>
      <c r="F111" s="159" t="s">
        <v>1778</v>
      </c>
      <c r="G111" s="160" t="s">
        <v>1802</v>
      </c>
      <c r="J111" s="95"/>
      <c r="L111" s="95"/>
      <c r="AC111" s="94" t="s">
        <v>671</v>
      </c>
      <c r="AD111" s="96" t="s">
        <v>491</v>
      </c>
      <c r="AE111" s="95" t="s">
        <v>672</v>
      </c>
      <c r="AF111" s="94" t="str">
        <f t="shared" si="12"/>
        <v>NA</v>
      </c>
    </row>
    <row r="112" spans="1:32" s="94" customFormat="1">
      <c r="A112" s="128"/>
      <c r="B112" s="129" t="s">
        <v>1814</v>
      </c>
      <c r="C112" s="130" t="s">
        <v>1815</v>
      </c>
      <c r="D112" s="131" t="str">
        <f>B112</f>
        <v>ZEL</v>
      </c>
      <c r="E112" s="131" t="str">
        <f>B112</f>
        <v>ZEL</v>
      </c>
      <c r="F112" s="131" t="s">
        <v>1771</v>
      </c>
      <c r="G112" s="132" t="s">
        <v>15</v>
      </c>
      <c r="J112" s="95"/>
      <c r="L112" s="95"/>
      <c r="AC112" s="94" t="s">
        <v>673</v>
      </c>
      <c r="AD112" s="96"/>
      <c r="AE112" s="95" t="s">
        <v>674</v>
      </c>
      <c r="AF112" s="94">
        <f t="shared" si="12"/>
        <v>0</v>
      </c>
    </row>
    <row r="113" spans="1:32" s="94" customFormat="1">
      <c r="A113" s="116"/>
      <c r="B113" s="117" t="s">
        <v>1816</v>
      </c>
      <c r="C113" s="118" t="s">
        <v>1817</v>
      </c>
      <c r="D113" s="119" t="str">
        <f>B113</f>
        <v>KRH</v>
      </c>
      <c r="E113" s="119" t="str">
        <f>B113</f>
        <v>KRH</v>
      </c>
      <c r="F113" s="119" t="s">
        <v>1771</v>
      </c>
      <c r="G113" s="120" t="s">
        <v>15</v>
      </c>
      <c r="J113" s="95"/>
      <c r="L113" s="95"/>
      <c r="AC113" s="94" t="s">
        <v>677</v>
      </c>
      <c r="AD113" s="96" t="s">
        <v>677</v>
      </c>
      <c r="AE113" s="95" t="s">
        <v>1818</v>
      </c>
      <c r="AF113" s="94" t="str">
        <f t="shared" si="12"/>
        <v>ZZ</v>
      </c>
    </row>
    <row r="114" spans="1:32" s="94" customFormat="1">
      <c r="A114" s="116"/>
      <c r="B114" s="117" t="s">
        <v>1819</v>
      </c>
      <c r="C114" s="118" t="s">
        <v>1820</v>
      </c>
      <c r="D114" s="119" t="str">
        <f>B114</f>
        <v>BRL</v>
      </c>
      <c r="E114" s="119" t="str">
        <f>B114</f>
        <v>BRL</v>
      </c>
      <c r="F114" s="119" t="s">
        <v>1771</v>
      </c>
      <c r="G114" s="120" t="s">
        <v>15</v>
      </c>
      <c r="J114" s="95"/>
      <c r="L114" s="95"/>
      <c r="AD114" s="96" t="s">
        <v>681</v>
      </c>
      <c r="AE114" s="95" t="s">
        <v>682</v>
      </c>
      <c r="AF114" s="94" t="str">
        <f t="shared" si="12"/>
        <v>LI</v>
      </c>
    </row>
    <row r="115" spans="1:32" s="94" customFormat="1">
      <c r="A115" s="116"/>
      <c r="B115" s="117" t="s">
        <v>1821</v>
      </c>
      <c r="C115" s="118" t="s">
        <v>1822</v>
      </c>
      <c r="D115" s="119" t="str">
        <f>B115</f>
        <v>CDL</v>
      </c>
      <c r="E115" s="119" t="str">
        <f>B115</f>
        <v>CDL</v>
      </c>
      <c r="F115" s="119" t="s">
        <v>1723</v>
      </c>
      <c r="G115" s="120" t="s">
        <v>15</v>
      </c>
      <c r="J115" s="95"/>
      <c r="L115" s="95"/>
      <c r="AC115" s="133"/>
      <c r="AD115" s="134" t="s">
        <v>686</v>
      </c>
      <c r="AE115" s="135" t="s">
        <v>687</v>
      </c>
      <c r="AF115" s="133"/>
    </row>
    <row r="116" spans="1:32" s="94" customFormat="1" ht="14.25" thickBot="1">
      <c r="A116" s="116"/>
      <c r="B116" s="117" t="s">
        <v>1823</v>
      </c>
      <c r="C116" s="118" t="s">
        <v>1824</v>
      </c>
      <c r="D116" s="119" t="s">
        <v>1823</v>
      </c>
      <c r="E116" s="119" t="s">
        <v>1823</v>
      </c>
      <c r="F116" s="119" t="s">
        <v>1771</v>
      </c>
      <c r="G116" s="120" t="s">
        <v>1802</v>
      </c>
      <c r="J116" s="95"/>
      <c r="L116" s="95"/>
      <c r="AC116" s="133"/>
      <c r="AD116" s="141" t="s">
        <v>691</v>
      </c>
      <c r="AE116" s="135" t="s">
        <v>692</v>
      </c>
      <c r="AF116" s="133"/>
    </row>
    <row r="117" spans="1:32" s="94" customFormat="1">
      <c r="A117" s="116"/>
      <c r="B117" s="117" t="s">
        <v>1825</v>
      </c>
      <c r="C117" s="118" t="s">
        <v>1826</v>
      </c>
      <c r="D117" s="119" t="s">
        <v>1825</v>
      </c>
      <c r="E117" s="119" t="s">
        <v>1825</v>
      </c>
      <c r="F117" s="119" t="s">
        <v>1771</v>
      </c>
      <c r="G117" s="120" t="s">
        <v>1802</v>
      </c>
      <c r="J117" s="95"/>
      <c r="L117" s="95"/>
      <c r="AE117" s="95"/>
    </row>
    <row r="118" spans="1:32" s="94" customFormat="1">
      <c r="A118" s="116"/>
      <c r="B118" s="117" t="s">
        <v>1827</v>
      </c>
      <c r="C118" s="118" t="s">
        <v>1828</v>
      </c>
      <c r="D118" s="119" t="s">
        <v>1827</v>
      </c>
      <c r="E118" s="119" t="s">
        <v>1827</v>
      </c>
      <c r="F118" s="119" t="s">
        <v>1771</v>
      </c>
      <c r="G118" s="120" t="s">
        <v>1802</v>
      </c>
      <c r="J118" s="95"/>
      <c r="L118" s="95"/>
      <c r="AE118" s="95"/>
    </row>
    <row r="119" spans="1:32" s="94" customFormat="1" ht="14.25" thickBot="1">
      <c r="A119" s="116"/>
      <c r="B119" s="117" t="s">
        <v>1829</v>
      </c>
      <c r="C119" s="118" t="s">
        <v>1830</v>
      </c>
      <c r="D119" s="119" t="s">
        <v>1829</v>
      </c>
      <c r="E119" s="119" t="s">
        <v>1829</v>
      </c>
      <c r="F119" s="119" t="s">
        <v>1771</v>
      </c>
      <c r="G119" s="120" t="s">
        <v>1802</v>
      </c>
      <c r="J119" s="95"/>
      <c r="L119" s="95"/>
      <c r="AE119" s="95"/>
    </row>
    <row r="120" spans="1:32" s="94" customFormat="1" ht="14.25" thickTop="1">
      <c r="A120" s="136" t="s">
        <v>675</v>
      </c>
      <c r="B120" s="137" t="s">
        <v>23</v>
      </c>
      <c r="C120" s="138" t="s">
        <v>676</v>
      </c>
      <c r="D120" s="139" t="str">
        <f>B120</f>
        <v>PLA</v>
      </c>
      <c r="E120" s="139" t="str">
        <f>B120</f>
        <v>PLA</v>
      </c>
      <c r="F120" s="139"/>
      <c r="G120" s="140" t="s">
        <v>1831</v>
      </c>
      <c r="J120" s="95"/>
      <c r="L120" s="95"/>
      <c r="AE120" s="95"/>
    </row>
    <row r="121" spans="1:32" s="94" customFormat="1">
      <c r="A121" s="161"/>
      <c r="B121" s="162" t="s">
        <v>1832</v>
      </c>
      <c r="C121" s="163" t="s">
        <v>1833</v>
      </c>
      <c r="D121" s="164" t="str">
        <f>B121</f>
        <v>PLK</v>
      </c>
      <c r="E121" s="164" t="str">
        <f>B121</f>
        <v>PLK</v>
      </c>
      <c r="F121" s="164"/>
      <c r="G121" s="165" t="s">
        <v>14</v>
      </c>
      <c r="J121" s="95"/>
      <c r="L121" s="95"/>
      <c r="AE121" s="95"/>
    </row>
    <row r="122" spans="1:32" s="94" customFormat="1">
      <c r="A122" s="161"/>
      <c r="B122" s="162" t="s">
        <v>1834</v>
      </c>
      <c r="C122" s="163" t="s">
        <v>1835</v>
      </c>
      <c r="D122" s="164" t="s">
        <v>1834</v>
      </c>
      <c r="E122" s="164" t="s">
        <v>1834</v>
      </c>
      <c r="F122" s="164"/>
      <c r="G122" s="165" t="s">
        <v>14</v>
      </c>
      <c r="J122" s="95"/>
      <c r="L122" s="95"/>
      <c r="AE122" s="95"/>
    </row>
    <row r="123" spans="1:32" s="94" customFormat="1">
      <c r="A123" s="142"/>
      <c r="B123" s="90" t="s">
        <v>1836</v>
      </c>
      <c r="C123" s="143" t="s">
        <v>1837</v>
      </c>
      <c r="D123" s="144" t="str">
        <f>B123</f>
        <v>PNY</v>
      </c>
      <c r="E123" s="144" t="str">
        <f>B123</f>
        <v>PNY</v>
      </c>
      <c r="F123" s="144"/>
      <c r="G123" s="145" t="s">
        <v>14</v>
      </c>
      <c r="J123" s="95"/>
      <c r="L123" s="95"/>
      <c r="AE123" s="95"/>
    </row>
    <row r="124" spans="1:32" s="94" customFormat="1">
      <c r="A124" s="161"/>
      <c r="B124" s="162" t="s">
        <v>1838</v>
      </c>
      <c r="C124" s="163" t="s">
        <v>1839</v>
      </c>
      <c r="D124" s="164" t="str">
        <f>B124</f>
        <v>PNK</v>
      </c>
      <c r="E124" s="164" t="str">
        <f>B124</f>
        <v>PNK</v>
      </c>
      <c r="F124" s="164"/>
      <c r="G124" s="165" t="s">
        <v>14</v>
      </c>
      <c r="J124" s="95"/>
      <c r="L124" s="95"/>
      <c r="AE124" s="95"/>
    </row>
    <row r="125" spans="1:32" s="94" customFormat="1">
      <c r="A125" s="142" t="s">
        <v>678</v>
      </c>
      <c r="B125" s="90" t="s">
        <v>679</v>
      </c>
      <c r="C125" s="143" t="s">
        <v>680</v>
      </c>
      <c r="D125" s="144" t="str">
        <f t="shared" ref="D125:D146" si="13">B125</f>
        <v>UPO</v>
      </c>
      <c r="E125" s="144" t="str">
        <f t="shared" ref="E125:E146" si="14">B125</f>
        <v>UPO</v>
      </c>
      <c r="F125" s="144"/>
      <c r="G125" s="145" t="s">
        <v>14</v>
      </c>
      <c r="J125" s="95"/>
      <c r="L125" s="95"/>
      <c r="AE125" s="95"/>
    </row>
    <row r="126" spans="1:32" s="94" customFormat="1">
      <c r="A126" s="142" t="s">
        <v>683</v>
      </c>
      <c r="B126" s="90" t="s">
        <v>684</v>
      </c>
      <c r="C126" s="143" t="s">
        <v>685</v>
      </c>
      <c r="D126" s="144" t="str">
        <f t="shared" si="13"/>
        <v>ECK</v>
      </c>
      <c r="E126" s="144" t="str">
        <f t="shared" si="14"/>
        <v>ECK</v>
      </c>
      <c r="F126" s="144"/>
      <c r="G126" s="145" t="s">
        <v>14</v>
      </c>
      <c r="J126" s="95"/>
      <c r="L126" s="95"/>
      <c r="AE126" s="95"/>
    </row>
    <row r="127" spans="1:32" s="94" customFormat="1">
      <c r="A127" s="142" t="s">
        <v>688</v>
      </c>
      <c r="B127" s="90" t="s">
        <v>689</v>
      </c>
      <c r="C127" s="143" t="s">
        <v>690</v>
      </c>
      <c r="D127" s="144" t="str">
        <f t="shared" si="13"/>
        <v>EUR</v>
      </c>
      <c r="E127" s="144" t="str">
        <f t="shared" si="14"/>
        <v>EUR</v>
      </c>
      <c r="F127" s="144"/>
      <c r="G127" s="145" t="s">
        <v>14</v>
      </c>
      <c r="J127" s="95"/>
      <c r="L127" s="95"/>
      <c r="AE127" s="95"/>
    </row>
    <row r="128" spans="1:32" s="94" customFormat="1">
      <c r="A128" s="142" t="s">
        <v>693</v>
      </c>
      <c r="B128" s="90" t="s">
        <v>694</v>
      </c>
      <c r="C128" s="143" t="s">
        <v>695</v>
      </c>
      <c r="D128" s="144" t="str">
        <f t="shared" si="13"/>
        <v>LID</v>
      </c>
      <c r="E128" s="144" t="str">
        <f t="shared" si="14"/>
        <v>LID</v>
      </c>
      <c r="F128" s="144"/>
      <c r="G128" s="145" t="s">
        <v>14</v>
      </c>
      <c r="J128" s="95"/>
      <c r="L128" s="95"/>
      <c r="AE128" s="95"/>
    </row>
    <row r="129" spans="1:7" s="94" customFormat="1">
      <c r="A129" s="142" t="s">
        <v>696</v>
      </c>
      <c r="B129" s="90" t="s">
        <v>697</v>
      </c>
      <c r="C129" s="143" t="s">
        <v>697</v>
      </c>
      <c r="D129" s="144" t="str">
        <f t="shared" si="13"/>
        <v>RXG</v>
      </c>
      <c r="E129" s="144" t="str">
        <f t="shared" si="14"/>
        <v>RXG</v>
      </c>
      <c r="F129" s="144"/>
      <c r="G129" s="145" t="s">
        <v>14</v>
      </c>
    </row>
    <row r="130" spans="1:7" s="94" customFormat="1">
      <c r="A130" s="142" t="s">
        <v>698</v>
      </c>
      <c r="B130" s="90" t="s">
        <v>699</v>
      </c>
      <c r="C130" s="143" t="s">
        <v>700</v>
      </c>
      <c r="D130" s="144" t="str">
        <f t="shared" si="13"/>
        <v>NOX</v>
      </c>
      <c r="E130" s="144" t="str">
        <f t="shared" si="14"/>
        <v>NOX</v>
      </c>
      <c r="F130" s="144"/>
      <c r="G130" s="145" t="s">
        <v>14</v>
      </c>
    </row>
    <row r="131" spans="1:7" s="94" customFormat="1">
      <c r="A131" s="142" t="s">
        <v>701</v>
      </c>
      <c r="B131" s="90" t="s">
        <v>702</v>
      </c>
      <c r="C131" s="143" t="s">
        <v>702</v>
      </c>
      <c r="D131" s="144" t="str">
        <f t="shared" si="13"/>
        <v>MIX</v>
      </c>
      <c r="E131" s="144" t="str">
        <f t="shared" si="14"/>
        <v>MIX</v>
      </c>
      <c r="F131" s="144"/>
      <c r="G131" s="145" t="s">
        <v>14</v>
      </c>
    </row>
    <row r="132" spans="1:7" s="94" customFormat="1">
      <c r="A132" s="142" t="s">
        <v>703</v>
      </c>
      <c r="B132" s="90" t="s">
        <v>704</v>
      </c>
      <c r="C132" s="143" t="s">
        <v>705</v>
      </c>
      <c r="D132" s="144" t="str">
        <f t="shared" si="13"/>
        <v>KOR</v>
      </c>
      <c r="E132" s="144" t="str">
        <f t="shared" si="14"/>
        <v>KOR</v>
      </c>
      <c r="F132" s="144"/>
      <c r="G132" s="145" t="s">
        <v>14</v>
      </c>
    </row>
    <row r="133" spans="1:7" s="94" customFormat="1">
      <c r="A133" s="142" t="s">
        <v>706</v>
      </c>
      <c r="B133" s="90" t="s">
        <v>29</v>
      </c>
      <c r="C133" s="143" t="s">
        <v>1840</v>
      </c>
      <c r="D133" s="144" t="str">
        <f t="shared" si="13"/>
        <v>JIL</v>
      </c>
      <c r="E133" s="144" t="str">
        <f t="shared" si="14"/>
        <v>JIL</v>
      </c>
      <c r="F133" s="144" t="s">
        <v>477</v>
      </c>
      <c r="G133" s="145" t="s">
        <v>14</v>
      </c>
    </row>
    <row r="134" spans="1:7" s="94" customFormat="1">
      <c r="A134" s="161"/>
      <c r="B134" s="162" t="s">
        <v>1841</v>
      </c>
      <c r="C134" s="163" t="s">
        <v>1842</v>
      </c>
      <c r="D134" s="164" t="s">
        <v>1841</v>
      </c>
      <c r="E134" s="164" t="s">
        <v>1841</v>
      </c>
      <c r="F134" s="164" t="s">
        <v>477</v>
      </c>
      <c r="G134" s="165" t="s">
        <v>14</v>
      </c>
    </row>
    <row r="135" spans="1:7" s="94" customFormat="1">
      <c r="A135" s="161"/>
      <c r="B135" s="162" t="s">
        <v>1843</v>
      </c>
      <c r="C135" s="163" t="s">
        <v>1844</v>
      </c>
      <c r="D135" s="164" t="s">
        <v>1843</v>
      </c>
      <c r="E135" s="164" t="s">
        <v>1843</v>
      </c>
      <c r="F135" s="164" t="s">
        <v>477</v>
      </c>
      <c r="G135" s="165" t="s">
        <v>14</v>
      </c>
    </row>
    <row r="136" spans="1:7" s="94" customFormat="1">
      <c r="A136" s="166"/>
      <c r="B136" s="167" t="s">
        <v>1845</v>
      </c>
      <c r="C136" s="168" t="s">
        <v>1846</v>
      </c>
      <c r="D136" s="169" t="s">
        <v>1845</v>
      </c>
      <c r="E136" s="169" t="s">
        <v>1845</v>
      </c>
      <c r="F136" s="169" t="s">
        <v>477</v>
      </c>
      <c r="G136" s="170" t="s">
        <v>14</v>
      </c>
    </row>
    <row r="137" spans="1:7" s="94" customFormat="1">
      <c r="A137" s="142" t="s">
        <v>707</v>
      </c>
      <c r="B137" s="90" t="s">
        <v>708</v>
      </c>
      <c r="C137" s="143" t="s">
        <v>709</v>
      </c>
      <c r="D137" s="144" t="str">
        <f t="shared" si="13"/>
        <v>LIH</v>
      </c>
      <c r="E137" s="144" t="str">
        <f t="shared" si="14"/>
        <v>LIH</v>
      </c>
      <c r="F137" s="144"/>
      <c r="G137" s="145" t="s">
        <v>14</v>
      </c>
    </row>
    <row r="138" spans="1:7" s="94" customFormat="1">
      <c r="A138" s="142" t="s">
        <v>710</v>
      </c>
      <c r="B138" s="90" t="s">
        <v>20</v>
      </c>
      <c r="C138" s="143" t="s">
        <v>711</v>
      </c>
      <c r="D138" s="144" t="str">
        <f t="shared" si="13"/>
        <v>ELS</v>
      </c>
      <c r="E138" s="144" t="str">
        <f t="shared" si="14"/>
        <v>ELS</v>
      </c>
      <c r="F138" s="144" t="s">
        <v>1794</v>
      </c>
      <c r="G138" s="145" t="s">
        <v>14</v>
      </c>
    </row>
    <row r="139" spans="1:7" s="94" customFormat="1">
      <c r="A139" s="142"/>
      <c r="B139" s="162" t="s">
        <v>1847</v>
      </c>
      <c r="C139" s="163" t="s">
        <v>1848</v>
      </c>
      <c r="D139" s="164" t="str">
        <f t="shared" si="13"/>
        <v>ELK</v>
      </c>
      <c r="E139" s="164" t="str">
        <f t="shared" si="14"/>
        <v>ELK</v>
      </c>
      <c r="F139" s="164" t="s">
        <v>1794</v>
      </c>
      <c r="G139" s="165" t="s">
        <v>1831</v>
      </c>
    </row>
    <row r="140" spans="1:7" s="94" customFormat="1">
      <c r="A140" s="166"/>
      <c r="B140" s="167" t="s">
        <v>1849</v>
      </c>
      <c r="C140" s="168" t="s">
        <v>1850</v>
      </c>
      <c r="D140" s="169" t="str">
        <f t="shared" si="13"/>
        <v>ELH</v>
      </c>
      <c r="E140" s="169" t="str">
        <f t="shared" si="14"/>
        <v>ELH</v>
      </c>
      <c r="F140" s="169" t="s">
        <v>1794</v>
      </c>
      <c r="G140" s="170" t="s">
        <v>1831</v>
      </c>
    </row>
    <row r="141" spans="1:7" s="94" customFormat="1">
      <c r="A141" s="142" t="s">
        <v>712</v>
      </c>
      <c r="B141" s="90" t="s">
        <v>713</v>
      </c>
      <c r="C141" s="143" t="s">
        <v>714</v>
      </c>
      <c r="D141" s="144" t="str">
        <f t="shared" si="13"/>
        <v>COC</v>
      </c>
      <c r="E141" s="144" t="str">
        <f t="shared" si="14"/>
        <v>COC</v>
      </c>
      <c r="F141" s="144" t="s">
        <v>1794</v>
      </c>
      <c r="G141" s="145" t="s">
        <v>14</v>
      </c>
    </row>
    <row r="142" spans="1:7" s="94" customFormat="1">
      <c r="A142" s="142"/>
      <c r="B142" s="90" t="s">
        <v>1851</v>
      </c>
      <c r="C142" s="143" t="s">
        <v>1852</v>
      </c>
      <c r="D142" s="144" t="str">
        <f t="shared" si="13"/>
        <v>B1A</v>
      </c>
      <c r="E142" s="144" t="str">
        <f t="shared" si="14"/>
        <v>B1A</v>
      </c>
      <c r="F142" s="144" t="s">
        <v>600</v>
      </c>
      <c r="G142" s="145" t="s">
        <v>14</v>
      </c>
    </row>
    <row r="143" spans="1:7" s="94" customFormat="1">
      <c r="A143" s="142"/>
      <c r="B143" s="90" t="s">
        <v>1853</v>
      </c>
      <c r="C143" s="143" t="s">
        <v>1854</v>
      </c>
      <c r="D143" s="144" t="str">
        <f t="shared" si="13"/>
        <v>BMD</v>
      </c>
      <c r="E143" s="144" t="str">
        <f t="shared" si="14"/>
        <v>BMD</v>
      </c>
      <c r="F143" s="144" t="s">
        <v>477</v>
      </c>
      <c r="G143" s="145" t="s">
        <v>14</v>
      </c>
    </row>
    <row r="144" spans="1:7" s="94" customFormat="1">
      <c r="A144" s="161"/>
      <c r="B144" s="162" t="s">
        <v>1855</v>
      </c>
      <c r="C144" s="163" t="s">
        <v>1856</v>
      </c>
      <c r="D144" s="164" t="s">
        <v>1855</v>
      </c>
      <c r="E144" s="164" t="s">
        <v>1855</v>
      </c>
      <c r="F144" s="164" t="s">
        <v>477</v>
      </c>
      <c r="G144" s="165" t="s">
        <v>14</v>
      </c>
    </row>
    <row r="145" spans="1:36">
      <c r="A145" s="166"/>
      <c r="B145" s="167" t="s">
        <v>1857</v>
      </c>
      <c r="C145" s="168" t="s">
        <v>1858</v>
      </c>
      <c r="D145" s="169" t="str">
        <f>B145</f>
        <v>BMH</v>
      </c>
      <c r="E145" s="169" t="str">
        <f>B145</f>
        <v>BMH</v>
      </c>
      <c r="F145" s="169" t="s">
        <v>1771</v>
      </c>
      <c r="G145" s="170" t="s">
        <v>1831</v>
      </c>
      <c r="AE145" s="94"/>
      <c r="AJ145" s="94"/>
    </row>
    <row r="146" spans="1:36">
      <c r="A146" s="142"/>
      <c r="B146" s="90" t="s">
        <v>1859</v>
      </c>
      <c r="C146" s="143" t="s">
        <v>1860</v>
      </c>
      <c r="D146" s="144" t="str">
        <f t="shared" si="13"/>
        <v>HCU</v>
      </c>
      <c r="E146" s="144" t="str">
        <f t="shared" si="14"/>
        <v>HCU</v>
      </c>
      <c r="F146" s="144" t="s">
        <v>477</v>
      </c>
      <c r="G146" s="145" t="s">
        <v>14</v>
      </c>
      <c r="AE146" s="94"/>
      <c r="AJ146" s="94"/>
    </row>
    <row r="147" spans="1:36">
      <c r="A147" s="142"/>
      <c r="B147" s="90" t="s">
        <v>1861</v>
      </c>
      <c r="C147" s="143" t="s">
        <v>1862</v>
      </c>
      <c r="D147" s="144" t="s">
        <v>1861</v>
      </c>
      <c r="E147" s="144" t="s">
        <v>1861</v>
      </c>
      <c r="F147" s="144" t="s">
        <v>477</v>
      </c>
      <c r="G147" s="145" t="s">
        <v>14</v>
      </c>
      <c r="AE147" s="94"/>
      <c r="AJ147" s="94"/>
    </row>
    <row r="148" spans="1:36">
      <c r="A148" s="161"/>
      <c r="B148" s="162" t="s">
        <v>1863</v>
      </c>
      <c r="C148" s="163" t="s">
        <v>1864</v>
      </c>
      <c r="D148" s="164" t="s">
        <v>1863</v>
      </c>
      <c r="E148" s="164" t="s">
        <v>1863</v>
      </c>
      <c r="F148" s="164" t="s">
        <v>477</v>
      </c>
      <c r="G148" s="165" t="s">
        <v>14</v>
      </c>
      <c r="AE148" s="94"/>
      <c r="AJ148" s="94"/>
    </row>
    <row r="149" spans="1:36">
      <c r="A149" s="142"/>
      <c r="B149" s="90" t="s">
        <v>1865</v>
      </c>
      <c r="C149" s="143" t="s">
        <v>1866</v>
      </c>
      <c r="D149" s="144" t="str">
        <f>B149</f>
        <v>NOV</v>
      </c>
      <c r="E149" s="144" t="str">
        <f>B149</f>
        <v>NOV</v>
      </c>
      <c r="F149" s="144" t="s">
        <v>46</v>
      </c>
      <c r="G149" s="145" t="s">
        <v>14</v>
      </c>
      <c r="AE149" s="94"/>
      <c r="AJ149" s="94"/>
    </row>
    <row r="150" spans="1:36">
      <c r="A150" s="142"/>
      <c r="B150" s="162" t="s">
        <v>1867</v>
      </c>
      <c r="C150" s="163" t="s">
        <v>1868</v>
      </c>
      <c r="D150" s="164" t="s">
        <v>1867</v>
      </c>
      <c r="E150" s="164" t="s">
        <v>1867</v>
      </c>
      <c r="F150" s="164" t="s">
        <v>46</v>
      </c>
      <c r="G150" s="165" t="s">
        <v>14</v>
      </c>
      <c r="AE150" s="94"/>
      <c r="AJ150" s="94"/>
    </row>
    <row r="151" spans="1:36">
      <c r="A151" s="166"/>
      <c r="B151" s="167" t="s">
        <v>1869</v>
      </c>
      <c r="C151" s="168" t="s">
        <v>1870</v>
      </c>
      <c r="D151" s="169" t="s">
        <v>1869</v>
      </c>
      <c r="E151" s="169" t="s">
        <v>1869</v>
      </c>
      <c r="F151" s="169" t="s">
        <v>46</v>
      </c>
      <c r="G151" s="170" t="s">
        <v>1831</v>
      </c>
      <c r="AE151" s="94"/>
      <c r="AJ151" s="94"/>
    </row>
    <row r="152" spans="1:36">
      <c r="A152" s="142"/>
      <c r="B152" s="90" t="s">
        <v>24</v>
      </c>
      <c r="C152" s="143" t="s">
        <v>1871</v>
      </c>
      <c r="D152" s="144" t="str">
        <f>B152</f>
        <v>SMB</v>
      </c>
      <c r="E152" s="144" t="str">
        <f>B152</f>
        <v>SMB</v>
      </c>
      <c r="F152" s="144" t="s">
        <v>46</v>
      </c>
      <c r="G152" s="145" t="s">
        <v>14</v>
      </c>
      <c r="AE152" s="94"/>
      <c r="AJ152" s="94"/>
    </row>
    <row r="153" spans="1:36">
      <c r="A153" s="142"/>
      <c r="B153" s="90" t="s">
        <v>1872</v>
      </c>
      <c r="C153" s="143" t="s">
        <v>1873</v>
      </c>
      <c r="D153" s="144" t="str">
        <f>B153</f>
        <v>SWB</v>
      </c>
      <c r="E153" s="144" t="str">
        <f>B153</f>
        <v>SWB</v>
      </c>
      <c r="F153" s="144" t="s">
        <v>46</v>
      </c>
      <c r="G153" s="145" t="s">
        <v>14</v>
      </c>
      <c r="AE153" s="94"/>
      <c r="AJ153" s="94"/>
    </row>
    <row r="154" spans="1:36">
      <c r="A154" s="161"/>
      <c r="B154" s="162" t="s">
        <v>1874</v>
      </c>
      <c r="C154" s="163" t="s">
        <v>1875</v>
      </c>
      <c r="D154" s="164" t="s">
        <v>1874</v>
      </c>
      <c r="E154" s="164" t="s">
        <v>1874</v>
      </c>
      <c r="F154" s="164" t="s">
        <v>46</v>
      </c>
      <c r="G154" s="165" t="s">
        <v>14</v>
      </c>
      <c r="AE154" s="94"/>
      <c r="AJ154" s="94"/>
    </row>
    <row r="155" spans="1:36">
      <c r="A155" s="161"/>
      <c r="B155" s="162" t="s">
        <v>1876</v>
      </c>
      <c r="C155" s="163" t="s">
        <v>1877</v>
      </c>
      <c r="D155" s="164" t="s">
        <v>1876</v>
      </c>
      <c r="E155" s="164" t="s">
        <v>1876</v>
      </c>
      <c r="F155" s="164" t="s">
        <v>46</v>
      </c>
      <c r="G155" s="165" t="s">
        <v>14</v>
      </c>
      <c r="AE155" s="94"/>
      <c r="AJ155" s="94"/>
    </row>
    <row r="156" spans="1:36">
      <c r="A156" s="166"/>
      <c r="B156" s="167" t="s">
        <v>1878</v>
      </c>
      <c r="C156" s="168" t="s">
        <v>1879</v>
      </c>
      <c r="D156" s="169" t="str">
        <f>B156</f>
        <v>SMH</v>
      </c>
      <c r="E156" s="169" t="str">
        <f>B156</f>
        <v>SMH</v>
      </c>
      <c r="F156" s="169" t="s">
        <v>1797</v>
      </c>
      <c r="G156" s="170" t="s">
        <v>1831</v>
      </c>
      <c r="AE156" s="94"/>
      <c r="AJ156" s="94"/>
    </row>
    <row r="157" spans="1:36">
      <c r="A157" s="142"/>
      <c r="B157" s="90" t="s">
        <v>1880</v>
      </c>
      <c r="C157" s="143" t="s">
        <v>1881</v>
      </c>
      <c r="D157" s="144" t="str">
        <f>B157</f>
        <v>VBL</v>
      </c>
      <c r="E157" s="144" t="str">
        <f>B157</f>
        <v>VBL</v>
      </c>
      <c r="F157" s="144" t="s">
        <v>46</v>
      </c>
      <c r="G157" s="145" t="s">
        <v>14</v>
      </c>
      <c r="AE157" s="94"/>
      <c r="AJ157" s="94"/>
    </row>
    <row r="158" spans="1:36">
      <c r="A158" s="142"/>
      <c r="B158" s="162" t="s">
        <v>1882</v>
      </c>
      <c r="C158" s="163" t="s">
        <v>1883</v>
      </c>
      <c r="D158" s="164" t="s">
        <v>1882</v>
      </c>
      <c r="E158" s="164" t="s">
        <v>1882</v>
      </c>
      <c r="F158" s="164" t="s">
        <v>46</v>
      </c>
      <c r="G158" s="165" t="s">
        <v>14</v>
      </c>
      <c r="AE158" s="94"/>
      <c r="AJ158" s="94"/>
    </row>
    <row r="159" spans="1:36">
      <c r="A159" s="166"/>
      <c r="B159" s="167" t="s">
        <v>1884</v>
      </c>
      <c r="C159" s="168" t="s">
        <v>1885</v>
      </c>
      <c r="D159" s="169" t="str">
        <f>B159</f>
        <v>VBH</v>
      </c>
      <c r="E159" s="169" t="str">
        <f>B159</f>
        <v>VBH</v>
      </c>
      <c r="F159" s="169" t="s">
        <v>1797</v>
      </c>
      <c r="G159" s="170" t="s">
        <v>1831</v>
      </c>
      <c r="AE159" s="94"/>
      <c r="AJ159" s="94"/>
    </row>
    <row r="160" spans="1:36">
      <c r="A160" s="142"/>
      <c r="B160" s="90" t="s">
        <v>25</v>
      </c>
      <c r="C160" s="143" t="s">
        <v>715</v>
      </c>
      <c r="D160" s="144" t="str">
        <f>B160</f>
        <v>WTR</v>
      </c>
      <c r="E160" s="144" t="str">
        <f>B160</f>
        <v>WTR</v>
      </c>
      <c r="F160" s="144" t="s">
        <v>477</v>
      </c>
      <c r="G160" s="145" t="s">
        <v>14</v>
      </c>
      <c r="AE160" s="94"/>
      <c r="AJ160" s="94"/>
    </row>
    <row r="161" spans="1:36">
      <c r="A161" s="161"/>
      <c r="B161" s="162" t="s">
        <v>1886</v>
      </c>
      <c r="C161" s="163" t="s">
        <v>1887</v>
      </c>
      <c r="D161" s="164" t="s">
        <v>1886</v>
      </c>
      <c r="E161" s="164" t="s">
        <v>1886</v>
      </c>
      <c r="F161" s="164" t="s">
        <v>477</v>
      </c>
      <c r="G161" s="165" t="s">
        <v>14</v>
      </c>
      <c r="AD161" s="96"/>
      <c r="AE161" s="94"/>
      <c r="AJ161" s="94"/>
    </row>
    <row r="162" spans="1:36">
      <c r="A162" s="161"/>
      <c r="B162" s="162" t="s">
        <v>1888</v>
      </c>
      <c r="C162" s="163" t="s">
        <v>1889</v>
      </c>
      <c r="D162" s="164" t="s">
        <v>1888</v>
      </c>
      <c r="E162" s="164" t="s">
        <v>1888</v>
      </c>
      <c r="F162" s="164" t="s">
        <v>477</v>
      </c>
      <c r="G162" s="165" t="s">
        <v>14</v>
      </c>
      <c r="AE162" s="94"/>
      <c r="AJ162" s="94"/>
    </row>
    <row r="163" spans="1:36">
      <c r="A163" s="142"/>
      <c r="B163" s="90" t="s">
        <v>1890</v>
      </c>
      <c r="C163" s="143" t="s">
        <v>1891</v>
      </c>
      <c r="D163" s="144" t="str">
        <f>B163</f>
        <v>BRO</v>
      </c>
      <c r="E163" s="144" t="str">
        <f>B163</f>
        <v>BRO</v>
      </c>
      <c r="F163" s="144" t="s">
        <v>1794</v>
      </c>
      <c r="G163" s="145" t="s">
        <v>14</v>
      </c>
      <c r="J163" s="94"/>
      <c r="L163" s="94"/>
      <c r="AE163" s="94"/>
      <c r="AJ163" s="94"/>
    </row>
    <row r="164" spans="1:36">
      <c r="A164" s="161"/>
      <c r="B164" s="162" t="s">
        <v>1892</v>
      </c>
      <c r="C164" s="163" t="s">
        <v>1893</v>
      </c>
      <c r="D164" s="164" t="s">
        <v>1892</v>
      </c>
      <c r="E164" s="164" t="s">
        <v>1892</v>
      </c>
      <c r="F164" s="164" t="s">
        <v>1794</v>
      </c>
      <c r="G164" s="165" t="s">
        <v>14</v>
      </c>
      <c r="J164" s="94"/>
      <c r="L164" s="94"/>
      <c r="AE164" s="94"/>
      <c r="AJ164" s="94"/>
    </row>
    <row r="165" spans="1:36">
      <c r="A165" s="166"/>
      <c r="B165" s="167" t="s">
        <v>1806</v>
      </c>
      <c r="C165" s="168" t="s">
        <v>1894</v>
      </c>
      <c r="D165" s="169" t="str">
        <f>B165</f>
        <v>BRH</v>
      </c>
      <c r="E165" s="169" t="str">
        <f>B165</f>
        <v>BRH</v>
      </c>
      <c r="F165" s="169" t="s">
        <v>600</v>
      </c>
      <c r="G165" s="170" t="s">
        <v>14</v>
      </c>
      <c r="J165" s="94"/>
      <c r="L165" s="94"/>
      <c r="AE165" s="94"/>
      <c r="AJ165" s="94"/>
    </row>
    <row r="166" spans="1:36">
      <c r="A166" s="142"/>
      <c r="B166" s="90" t="s">
        <v>1895</v>
      </c>
      <c r="C166" s="143" t="s">
        <v>1896</v>
      </c>
      <c r="D166" s="144" t="str">
        <f>B166</f>
        <v>JOI</v>
      </c>
      <c r="E166" s="144" t="str">
        <f>B166</f>
        <v>JOI</v>
      </c>
      <c r="F166" s="144" t="s">
        <v>477</v>
      </c>
      <c r="G166" s="145" t="s">
        <v>14</v>
      </c>
      <c r="J166" s="94"/>
      <c r="L166" s="94"/>
      <c r="AE166" s="94"/>
      <c r="AJ166" s="94"/>
    </row>
    <row r="167" spans="1:36">
      <c r="A167" s="142"/>
      <c r="B167" s="162" t="s">
        <v>1897</v>
      </c>
      <c r="C167" s="163" t="s">
        <v>1898</v>
      </c>
      <c r="D167" s="164" t="str">
        <f>B167</f>
        <v>JOK</v>
      </c>
      <c r="E167" s="164" t="str">
        <f>B167</f>
        <v>JOK</v>
      </c>
      <c r="F167" s="164" t="s">
        <v>1771</v>
      </c>
      <c r="G167" s="165" t="s">
        <v>1831</v>
      </c>
      <c r="J167" s="94"/>
      <c r="L167" s="94"/>
      <c r="AE167" s="94"/>
      <c r="AJ167" s="94"/>
    </row>
    <row r="168" spans="1:36">
      <c r="A168" s="142"/>
      <c r="B168" s="162" t="s">
        <v>1899</v>
      </c>
      <c r="C168" s="163" t="s">
        <v>1900</v>
      </c>
      <c r="D168" s="164" t="s">
        <v>1899</v>
      </c>
      <c r="E168" s="164" t="s">
        <v>1899</v>
      </c>
      <c r="F168" s="164" t="s">
        <v>1771</v>
      </c>
      <c r="G168" s="165" t="s">
        <v>1831</v>
      </c>
      <c r="J168" s="94"/>
      <c r="L168" s="94"/>
      <c r="AE168" s="94"/>
      <c r="AJ168" s="94"/>
    </row>
    <row r="169" spans="1:36">
      <c r="A169" s="142"/>
      <c r="B169" s="90" t="s">
        <v>1901</v>
      </c>
      <c r="C169" s="143" t="s">
        <v>1902</v>
      </c>
      <c r="D169" s="144" t="str">
        <f t="shared" ref="D169" si="15">B169</f>
        <v>NAA</v>
      </c>
      <c r="E169" s="144" t="str">
        <f t="shared" ref="E169" si="16">B169</f>
        <v>NAA</v>
      </c>
      <c r="F169" s="144" t="s">
        <v>46</v>
      </c>
      <c r="G169" s="145" t="s">
        <v>14</v>
      </c>
      <c r="J169" s="94"/>
      <c r="L169" s="94"/>
      <c r="AE169" s="94"/>
      <c r="AJ169" s="94"/>
    </row>
    <row r="170" spans="1:36">
      <c r="A170" s="161"/>
      <c r="B170" s="162" t="s">
        <v>1903</v>
      </c>
      <c r="C170" s="163" t="s">
        <v>1904</v>
      </c>
      <c r="D170" s="164" t="s">
        <v>1903</v>
      </c>
      <c r="E170" s="164" t="s">
        <v>1903</v>
      </c>
      <c r="F170" s="164" t="s">
        <v>46</v>
      </c>
      <c r="G170" s="165" t="s">
        <v>14</v>
      </c>
      <c r="J170" s="94"/>
      <c r="L170" s="94"/>
      <c r="AE170" s="94"/>
      <c r="AJ170" s="94"/>
    </row>
    <row r="171" spans="1:36">
      <c r="A171" s="142"/>
      <c r="B171" s="90" t="s">
        <v>1905</v>
      </c>
      <c r="C171" s="143" t="s">
        <v>1905</v>
      </c>
      <c r="D171" s="144" t="str">
        <f t="shared" ref="D171:D173" si="17">B171</f>
        <v>UCL</v>
      </c>
      <c r="E171" s="144" t="str">
        <f t="shared" ref="E171:E173" si="18">B171</f>
        <v>UCL</v>
      </c>
      <c r="F171" s="144" t="s">
        <v>46</v>
      </c>
      <c r="G171" s="145" t="s">
        <v>14</v>
      </c>
      <c r="J171" s="94"/>
      <c r="L171" s="94"/>
      <c r="AE171" s="94"/>
      <c r="AJ171" s="94"/>
    </row>
    <row r="172" spans="1:36">
      <c r="A172" s="142"/>
      <c r="B172" s="90" t="s">
        <v>1906</v>
      </c>
      <c r="C172" s="143" t="s">
        <v>1907</v>
      </c>
      <c r="D172" s="144" t="str">
        <f t="shared" si="17"/>
        <v>AND</v>
      </c>
      <c r="E172" s="144" t="str">
        <f t="shared" si="18"/>
        <v>AND</v>
      </c>
      <c r="F172" s="144" t="s">
        <v>1794</v>
      </c>
      <c r="G172" s="145" t="s">
        <v>14</v>
      </c>
      <c r="J172" s="94"/>
      <c r="L172" s="94"/>
      <c r="AE172" s="94"/>
      <c r="AJ172" s="94"/>
    </row>
    <row r="173" spans="1:36">
      <c r="A173" s="142"/>
      <c r="B173" s="90" t="s">
        <v>1908</v>
      </c>
      <c r="C173" s="143" t="s">
        <v>1909</v>
      </c>
      <c r="D173" s="144" t="str">
        <f t="shared" si="17"/>
        <v>URB</v>
      </c>
      <c r="E173" s="144" t="str">
        <f t="shared" si="18"/>
        <v>URB</v>
      </c>
      <c r="F173" s="144" t="s">
        <v>1794</v>
      </c>
      <c r="G173" s="145" t="s">
        <v>14</v>
      </c>
      <c r="J173" s="94"/>
      <c r="L173" s="94"/>
      <c r="AE173" s="94"/>
      <c r="AJ173" s="94"/>
    </row>
    <row r="174" spans="1:36">
      <c r="A174" s="161"/>
      <c r="B174" s="162" t="s">
        <v>1910</v>
      </c>
      <c r="C174" s="163" t="s">
        <v>1911</v>
      </c>
      <c r="D174" s="164" t="s">
        <v>1910</v>
      </c>
      <c r="E174" s="164" t="s">
        <v>1910</v>
      </c>
      <c r="F174" s="164" t="s">
        <v>1794</v>
      </c>
      <c r="G174" s="165" t="s">
        <v>14</v>
      </c>
      <c r="J174" s="94"/>
      <c r="L174" s="94"/>
      <c r="AE174" s="94"/>
      <c r="AJ174" s="94"/>
    </row>
    <row r="175" spans="1:36">
      <c r="A175" s="166"/>
      <c r="B175" s="167" t="s">
        <v>1912</v>
      </c>
      <c r="C175" s="168" t="s">
        <v>1913</v>
      </c>
      <c r="D175" s="169" t="str">
        <f>B175</f>
        <v>URH</v>
      </c>
      <c r="E175" s="169" t="str">
        <f>B175</f>
        <v>URH</v>
      </c>
      <c r="F175" s="169" t="s">
        <v>1794</v>
      </c>
      <c r="G175" s="170" t="s">
        <v>1831</v>
      </c>
      <c r="J175" s="94"/>
      <c r="L175" s="94"/>
      <c r="AE175" s="94"/>
      <c r="AJ175" s="94"/>
    </row>
    <row r="176" spans="1:36">
      <c r="A176" s="142"/>
      <c r="B176" s="90" t="s">
        <v>1914</v>
      </c>
      <c r="C176" s="143" t="s">
        <v>1915</v>
      </c>
      <c r="D176" s="144" t="str">
        <f t="shared" ref="D176" si="19">B176</f>
        <v>YGF</v>
      </c>
      <c r="E176" s="144" t="str">
        <f t="shared" ref="E176" si="20">B176</f>
        <v>YGF</v>
      </c>
      <c r="F176" s="144" t="s">
        <v>1794</v>
      </c>
      <c r="G176" s="145" t="s">
        <v>1831</v>
      </c>
      <c r="J176" s="94"/>
      <c r="L176" s="94"/>
      <c r="AE176" s="94"/>
      <c r="AJ176" s="94"/>
    </row>
    <row r="177" spans="1:36">
      <c r="A177" s="161"/>
      <c r="B177" s="162" t="s">
        <v>1916</v>
      </c>
      <c r="C177" s="163" t="s">
        <v>1917</v>
      </c>
      <c r="D177" s="164" t="s">
        <v>1916</v>
      </c>
      <c r="E177" s="164" t="s">
        <v>1916</v>
      </c>
      <c r="F177" s="164" t="s">
        <v>1794</v>
      </c>
      <c r="G177" s="165" t="s">
        <v>1831</v>
      </c>
      <c r="J177" s="94"/>
      <c r="L177" s="94"/>
      <c r="AE177" s="94"/>
      <c r="AJ177" s="94"/>
    </row>
    <row r="178" spans="1:36">
      <c r="A178" s="142"/>
      <c r="B178" s="90" t="s">
        <v>1918</v>
      </c>
      <c r="C178" s="143" t="s">
        <v>1919</v>
      </c>
      <c r="D178" s="142" t="str">
        <f t="shared" ref="D178:D179" si="21">B178</f>
        <v>POL</v>
      </c>
      <c r="E178" s="142" t="str">
        <f t="shared" ref="E178:E179" si="22">B178</f>
        <v>POL</v>
      </c>
      <c r="F178" s="144" t="s">
        <v>1794</v>
      </c>
      <c r="G178" s="145" t="s">
        <v>1831</v>
      </c>
      <c r="J178" s="94"/>
      <c r="L178" s="94"/>
      <c r="AE178" s="94"/>
      <c r="AJ178" s="94"/>
    </row>
    <row r="179" spans="1:36">
      <c r="A179" s="161"/>
      <c r="B179" s="162" t="s">
        <v>1920</v>
      </c>
      <c r="C179" s="163" t="s">
        <v>1921</v>
      </c>
      <c r="D179" s="161" t="str">
        <f t="shared" si="21"/>
        <v>POK</v>
      </c>
      <c r="E179" s="161" t="str">
        <f t="shared" si="22"/>
        <v>POK</v>
      </c>
      <c r="F179" s="164" t="s">
        <v>1794</v>
      </c>
      <c r="G179" s="165" t="s">
        <v>1831</v>
      </c>
      <c r="J179" s="94"/>
      <c r="L179" s="94"/>
      <c r="AE179" s="94"/>
      <c r="AJ179" s="94"/>
    </row>
    <row r="180" spans="1:36">
      <c r="A180" s="166"/>
      <c r="B180" s="167" t="s">
        <v>1922</v>
      </c>
      <c r="C180" s="168" t="s">
        <v>1923</v>
      </c>
      <c r="D180" s="166" t="str">
        <f>B180</f>
        <v>POH</v>
      </c>
      <c r="E180" s="166" t="str">
        <f>B180</f>
        <v>POH</v>
      </c>
      <c r="F180" s="169" t="s">
        <v>1794</v>
      </c>
      <c r="G180" s="170" t="s">
        <v>1831</v>
      </c>
      <c r="J180" s="94"/>
      <c r="L180" s="94"/>
      <c r="AE180" s="94"/>
      <c r="AJ180" s="94"/>
    </row>
    <row r="181" spans="1:36">
      <c r="A181" s="142"/>
      <c r="B181" s="90" t="s">
        <v>1924</v>
      </c>
      <c r="C181" s="143" t="s">
        <v>1925</v>
      </c>
      <c r="D181" s="142" t="str">
        <f t="shared" ref="D181:D182" si="23">B181</f>
        <v>DPS</v>
      </c>
      <c r="E181" s="142" t="str">
        <f t="shared" ref="E181:E182" si="24">B181</f>
        <v>DPS</v>
      </c>
      <c r="F181" s="144" t="s">
        <v>1794</v>
      </c>
      <c r="G181" s="145" t="s">
        <v>1831</v>
      </c>
      <c r="J181" s="94"/>
      <c r="L181" s="94"/>
      <c r="AE181" s="94"/>
      <c r="AJ181" s="94"/>
    </row>
    <row r="182" spans="1:36">
      <c r="A182" s="161"/>
      <c r="B182" s="162" t="s">
        <v>1926</v>
      </c>
      <c r="C182" s="163" t="s">
        <v>1927</v>
      </c>
      <c r="D182" s="161" t="str">
        <f t="shared" si="23"/>
        <v>DPK</v>
      </c>
      <c r="E182" s="161" t="str">
        <f t="shared" si="24"/>
        <v>DPK</v>
      </c>
      <c r="F182" s="164" t="s">
        <v>1794</v>
      </c>
      <c r="G182" s="165" t="s">
        <v>1831</v>
      </c>
      <c r="J182" s="94"/>
      <c r="L182" s="94"/>
      <c r="AE182" s="94"/>
      <c r="AJ182" s="94"/>
    </row>
    <row r="183" spans="1:36">
      <c r="A183" s="161"/>
      <c r="B183" s="162" t="s">
        <v>1928</v>
      </c>
      <c r="C183" s="163" t="s">
        <v>1929</v>
      </c>
      <c r="D183" s="161" t="s">
        <v>1928</v>
      </c>
      <c r="E183" s="161" t="s">
        <v>1928</v>
      </c>
      <c r="F183" s="164" t="s">
        <v>1794</v>
      </c>
      <c r="G183" s="165" t="s">
        <v>1831</v>
      </c>
      <c r="J183" s="94"/>
      <c r="L183" s="94"/>
      <c r="AE183" s="94"/>
      <c r="AJ183" s="94"/>
    </row>
    <row r="184" spans="1:36">
      <c r="A184" s="161"/>
      <c r="B184" s="90" t="s">
        <v>1930</v>
      </c>
      <c r="C184" s="143" t="s">
        <v>1931</v>
      </c>
      <c r="D184" s="142" t="str">
        <f t="shared" ref="D184:D209" si="25">B184</f>
        <v>MGM</v>
      </c>
      <c r="E184" s="142" t="str">
        <f t="shared" ref="E184:E209" si="26">B184</f>
        <v>MGM</v>
      </c>
      <c r="F184" s="171" t="s">
        <v>600</v>
      </c>
      <c r="G184" s="172" t="s">
        <v>14</v>
      </c>
      <c r="J184" s="94"/>
      <c r="L184" s="94"/>
      <c r="AE184" s="94"/>
      <c r="AJ184" s="94"/>
    </row>
    <row r="185" spans="1:36">
      <c r="A185" s="161"/>
      <c r="B185" s="162" t="s">
        <v>1932</v>
      </c>
      <c r="C185" s="143" t="s">
        <v>1933</v>
      </c>
      <c r="D185" s="161" t="str">
        <f t="shared" si="25"/>
        <v>MGK</v>
      </c>
      <c r="E185" s="161" t="str">
        <f t="shared" si="26"/>
        <v>MGK</v>
      </c>
      <c r="F185" s="173" t="s">
        <v>600</v>
      </c>
      <c r="G185" s="174" t="s">
        <v>14</v>
      </c>
      <c r="J185" s="94"/>
      <c r="L185" s="94"/>
      <c r="AE185" s="94"/>
      <c r="AJ185" s="94"/>
    </row>
    <row r="186" spans="1:36">
      <c r="A186" s="161"/>
      <c r="B186" s="90" t="s">
        <v>1934</v>
      </c>
      <c r="C186" s="143" t="s">
        <v>1935</v>
      </c>
      <c r="D186" s="142" t="str">
        <f t="shared" si="25"/>
        <v>SBR</v>
      </c>
      <c r="E186" s="142" t="str">
        <f t="shared" si="26"/>
        <v>SBR</v>
      </c>
      <c r="F186" s="171" t="s">
        <v>600</v>
      </c>
      <c r="G186" s="172" t="s">
        <v>14</v>
      </c>
      <c r="J186" s="94"/>
      <c r="L186" s="94"/>
      <c r="AE186" s="94"/>
      <c r="AJ186" s="94"/>
    </row>
    <row r="187" spans="1:36">
      <c r="A187" s="161"/>
      <c r="B187" s="162" t="s">
        <v>1936</v>
      </c>
      <c r="C187" s="143" t="s">
        <v>1937</v>
      </c>
      <c r="D187" s="161" t="str">
        <f t="shared" si="25"/>
        <v>SBK</v>
      </c>
      <c r="E187" s="161" t="str">
        <f t="shared" si="26"/>
        <v>SBK</v>
      </c>
      <c r="F187" s="173" t="s">
        <v>600</v>
      </c>
      <c r="G187" s="174" t="s">
        <v>14</v>
      </c>
      <c r="J187" s="94"/>
      <c r="L187" s="94"/>
      <c r="AE187" s="94"/>
      <c r="AJ187" s="94"/>
    </row>
    <row r="188" spans="1:36">
      <c r="A188" s="161"/>
      <c r="B188" s="90" t="s">
        <v>1938</v>
      </c>
      <c r="C188" s="143" t="s">
        <v>1939</v>
      </c>
      <c r="D188" s="142" t="str">
        <f t="shared" si="25"/>
        <v>BLL</v>
      </c>
      <c r="E188" s="142" t="str">
        <f t="shared" si="26"/>
        <v>BLL</v>
      </c>
      <c r="F188" s="171" t="s">
        <v>477</v>
      </c>
      <c r="G188" s="172" t="s">
        <v>14</v>
      </c>
      <c r="J188" s="94"/>
      <c r="L188" s="94"/>
      <c r="AE188" s="94"/>
      <c r="AJ188" s="94"/>
    </row>
    <row r="189" spans="1:36">
      <c r="A189" s="126"/>
      <c r="B189" s="117" t="s">
        <v>1940</v>
      </c>
      <c r="C189" s="127" t="s">
        <v>1941</v>
      </c>
      <c r="D189" s="146" t="str">
        <f t="shared" si="25"/>
        <v>JST</v>
      </c>
      <c r="E189" s="146" t="str">
        <f t="shared" si="26"/>
        <v>JST</v>
      </c>
      <c r="F189" s="146" t="s">
        <v>477</v>
      </c>
      <c r="G189" s="147" t="s">
        <v>14</v>
      </c>
      <c r="J189" s="94"/>
      <c r="L189" s="94"/>
      <c r="AE189" s="94"/>
      <c r="AJ189" s="94"/>
    </row>
    <row r="190" spans="1:36">
      <c r="A190" s="126"/>
      <c r="B190" s="117" t="s">
        <v>1942</v>
      </c>
      <c r="C190" s="127" t="s">
        <v>1943</v>
      </c>
      <c r="D190" s="146" t="str">
        <f t="shared" si="25"/>
        <v>JLL</v>
      </c>
      <c r="E190" s="146" t="str">
        <f t="shared" si="26"/>
        <v>JLL</v>
      </c>
      <c r="F190" s="146" t="s">
        <v>477</v>
      </c>
      <c r="G190" s="147" t="s">
        <v>14</v>
      </c>
      <c r="J190" s="94"/>
      <c r="L190" s="94"/>
      <c r="AE190" s="94"/>
      <c r="AJ190" s="94"/>
    </row>
    <row r="191" spans="1:36" ht="14.25" thickBot="1">
      <c r="A191" s="148"/>
      <c r="B191" s="149" t="s">
        <v>1944</v>
      </c>
      <c r="C191" s="150" t="s">
        <v>1939</v>
      </c>
      <c r="D191" s="151" t="str">
        <f t="shared" si="25"/>
        <v>BEL</v>
      </c>
      <c r="E191" s="151" t="str">
        <f t="shared" si="26"/>
        <v>BEL</v>
      </c>
      <c r="F191" s="151" t="s">
        <v>477</v>
      </c>
      <c r="G191" s="152" t="s">
        <v>14</v>
      </c>
      <c r="J191" s="94"/>
      <c r="L191" s="94"/>
      <c r="AE191" s="94"/>
      <c r="AJ191" s="94"/>
    </row>
    <row r="192" spans="1:36" ht="14.25" thickTop="1">
      <c r="A192" s="111" t="s">
        <v>716</v>
      </c>
      <c r="B192" s="112" t="s">
        <v>717</v>
      </c>
      <c r="C192" s="113" t="s">
        <v>718</v>
      </c>
      <c r="D192" s="114" t="str">
        <f t="shared" si="25"/>
        <v>ZGN</v>
      </c>
      <c r="E192" s="114" t="str">
        <f t="shared" si="26"/>
        <v>ZGN</v>
      </c>
      <c r="F192" s="114"/>
      <c r="G192" s="115" t="s">
        <v>1945</v>
      </c>
      <c r="J192" s="94"/>
      <c r="L192" s="94"/>
      <c r="AE192" s="94"/>
      <c r="AJ192" s="94"/>
    </row>
    <row r="193" spans="1:36">
      <c r="A193" s="111" t="s">
        <v>719</v>
      </c>
      <c r="B193" s="112" t="s">
        <v>720</v>
      </c>
      <c r="C193" s="113" t="s">
        <v>721</v>
      </c>
      <c r="D193" s="114" t="str">
        <f t="shared" si="25"/>
        <v>ZGO</v>
      </c>
      <c r="E193" s="114" t="str">
        <f t="shared" si="26"/>
        <v>ZGO</v>
      </c>
      <c r="F193" s="114"/>
      <c r="G193" s="115" t="s">
        <v>1945</v>
      </c>
      <c r="J193" s="94"/>
      <c r="L193" s="94"/>
      <c r="AE193" s="94"/>
      <c r="AJ193" s="94"/>
    </row>
    <row r="194" spans="1:36">
      <c r="A194" s="111" t="s">
        <v>722</v>
      </c>
      <c r="B194" s="112" t="s">
        <v>723</v>
      </c>
      <c r="C194" s="113" t="s">
        <v>724</v>
      </c>
      <c r="D194" s="114" t="str">
        <f t="shared" si="25"/>
        <v>ZGP</v>
      </c>
      <c r="E194" s="114" t="str">
        <f t="shared" si="26"/>
        <v>ZGP</v>
      </c>
      <c r="F194" s="114"/>
      <c r="G194" s="115" t="s">
        <v>1945</v>
      </c>
      <c r="J194" s="94"/>
      <c r="L194" s="94"/>
      <c r="AE194" s="94"/>
      <c r="AJ194" s="94"/>
    </row>
    <row r="195" spans="1:36">
      <c r="A195" s="111" t="s">
        <v>725</v>
      </c>
      <c r="B195" s="112" t="s">
        <v>726</v>
      </c>
      <c r="C195" s="113" t="s">
        <v>727</v>
      </c>
      <c r="D195" s="114" t="str">
        <f t="shared" si="25"/>
        <v>ZGQ</v>
      </c>
      <c r="E195" s="114" t="str">
        <f t="shared" si="26"/>
        <v>ZGQ</v>
      </c>
      <c r="F195" s="114"/>
      <c r="G195" s="115" t="s">
        <v>1945</v>
      </c>
      <c r="J195" s="94"/>
      <c r="L195" s="94"/>
      <c r="AE195" s="94"/>
      <c r="AJ195" s="94"/>
    </row>
    <row r="196" spans="1:36">
      <c r="A196" s="111" t="s">
        <v>728</v>
      </c>
      <c r="B196" s="112" t="s">
        <v>729</v>
      </c>
      <c r="C196" s="113" t="s">
        <v>730</v>
      </c>
      <c r="D196" s="114" t="str">
        <f t="shared" si="25"/>
        <v>ZGT</v>
      </c>
      <c r="E196" s="114" t="str">
        <f t="shared" si="26"/>
        <v>ZGT</v>
      </c>
      <c r="F196" s="114"/>
      <c r="G196" s="115" t="s">
        <v>1945</v>
      </c>
      <c r="J196" s="94"/>
      <c r="L196" s="94"/>
      <c r="AE196" s="94"/>
      <c r="AJ196" s="94"/>
    </row>
    <row r="197" spans="1:36">
      <c r="A197" s="111" t="s">
        <v>731</v>
      </c>
      <c r="B197" s="112" t="s">
        <v>732</v>
      </c>
      <c r="C197" s="113" t="s">
        <v>733</v>
      </c>
      <c r="D197" s="114" t="str">
        <f t="shared" si="25"/>
        <v>ZGU</v>
      </c>
      <c r="E197" s="114" t="str">
        <f t="shared" si="26"/>
        <v>ZGU</v>
      </c>
      <c r="F197" s="114"/>
      <c r="G197" s="115" t="s">
        <v>1945</v>
      </c>
    </row>
    <row r="198" spans="1:36">
      <c r="A198" s="111" t="s">
        <v>734</v>
      </c>
      <c r="B198" s="112" t="s">
        <v>735</v>
      </c>
      <c r="C198" s="113" t="s">
        <v>736</v>
      </c>
      <c r="D198" s="114" t="str">
        <f t="shared" si="25"/>
        <v>ZGV</v>
      </c>
      <c r="E198" s="114" t="str">
        <f t="shared" si="26"/>
        <v>ZGV</v>
      </c>
      <c r="F198" s="114"/>
      <c r="G198" s="115" t="s">
        <v>1945</v>
      </c>
    </row>
    <row r="199" spans="1:36">
      <c r="A199" s="111" t="s">
        <v>737</v>
      </c>
      <c r="B199" s="112" t="s">
        <v>738</v>
      </c>
      <c r="C199" s="113" t="s">
        <v>739</v>
      </c>
      <c r="D199" s="114" t="str">
        <f t="shared" si="25"/>
        <v>ZGW</v>
      </c>
      <c r="E199" s="114" t="str">
        <f t="shared" si="26"/>
        <v>ZGW</v>
      </c>
      <c r="F199" s="114"/>
      <c r="G199" s="115" t="s">
        <v>1945</v>
      </c>
    </row>
    <row r="200" spans="1:36">
      <c r="A200" s="111" t="s">
        <v>740</v>
      </c>
      <c r="B200" s="112" t="s">
        <v>741</v>
      </c>
      <c r="C200" s="113" t="s">
        <v>742</v>
      </c>
      <c r="D200" s="114" t="str">
        <f t="shared" si="25"/>
        <v>ZGX</v>
      </c>
      <c r="E200" s="114" t="str">
        <f t="shared" si="26"/>
        <v>ZGX</v>
      </c>
      <c r="F200" s="114"/>
      <c r="G200" s="115" t="s">
        <v>1945</v>
      </c>
    </row>
    <row r="201" spans="1:36">
      <c r="A201" s="111" t="s">
        <v>317</v>
      </c>
      <c r="B201" s="112" t="s">
        <v>743</v>
      </c>
      <c r="C201" s="113" t="s">
        <v>744</v>
      </c>
      <c r="D201" s="114" t="str">
        <f t="shared" si="25"/>
        <v>ZGY</v>
      </c>
      <c r="E201" s="114" t="str">
        <f t="shared" si="26"/>
        <v>ZGY</v>
      </c>
      <c r="F201" s="114"/>
      <c r="G201" s="115" t="s">
        <v>1945</v>
      </c>
    </row>
    <row r="202" spans="1:36">
      <c r="A202" s="111" t="s">
        <v>377</v>
      </c>
      <c r="B202" s="112" t="s">
        <v>745</v>
      </c>
      <c r="C202" s="113" t="s">
        <v>746</v>
      </c>
      <c r="D202" s="114" t="str">
        <f t="shared" si="25"/>
        <v>ZG1</v>
      </c>
      <c r="E202" s="114" t="str">
        <f t="shared" si="26"/>
        <v>ZG1</v>
      </c>
      <c r="F202" s="114"/>
      <c r="G202" s="115" t="s">
        <v>1945</v>
      </c>
    </row>
    <row r="203" spans="1:36">
      <c r="A203" s="111" t="s">
        <v>386</v>
      </c>
      <c r="B203" s="112" t="s">
        <v>747</v>
      </c>
      <c r="C203" s="113" t="s">
        <v>748</v>
      </c>
      <c r="D203" s="114" t="str">
        <f t="shared" si="25"/>
        <v>ZG2</v>
      </c>
      <c r="E203" s="114" t="str">
        <f t="shared" si="26"/>
        <v>ZG2</v>
      </c>
      <c r="F203" s="114"/>
      <c r="G203" s="115" t="s">
        <v>1945</v>
      </c>
    </row>
    <row r="204" spans="1:36">
      <c r="A204" s="111" t="s">
        <v>395</v>
      </c>
      <c r="B204" s="112" t="s">
        <v>749</v>
      </c>
      <c r="C204" s="113" t="s">
        <v>750</v>
      </c>
      <c r="D204" s="114" t="str">
        <f t="shared" si="25"/>
        <v>ZG3</v>
      </c>
      <c r="E204" s="114" t="str">
        <f t="shared" si="26"/>
        <v>ZG3</v>
      </c>
      <c r="F204" s="114"/>
      <c r="G204" s="115" t="s">
        <v>1945</v>
      </c>
    </row>
    <row r="205" spans="1:36">
      <c r="A205" s="111" t="s">
        <v>402</v>
      </c>
      <c r="B205" s="112" t="s">
        <v>751</v>
      </c>
      <c r="C205" s="113" t="s">
        <v>752</v>
      </c>
      <c r="D205" s="114" t="str">
        <f t="shared" si="25"/>
        <v>ZG4</v>
      </c>
      <c r="E205" s="114" t="str">
        <f t="shared" si="26"/>
        <v>ZG4</v>
      </c>
      <c r="F205" s="114"/>
      <c r="G205" s="115" t="s">
        <v>1945</v>
      </c>
    </row>
    <row r="206" spans="1:36">
      <c r="A206" s="111" t="s">
        <v>753</v>
      </c>
      <c r="B206" s="112" t="s">
        <v>754</v>
      </c>
      <c r="C206" s="113" t="s">
        <v>755</v>
      </c>
      <c r="D206" s="114" t="str">
        <f t="shared" si="25"/>
        <v>NBP</v>
      </c>
      <c r="E206" s="114" t="str">
        <f t="shared" si="26"/>
        <v>NBP</v>
      </c>
      <c r="F206" s="114"/>
      <c r="G206" s="115" t="s">
        <v>1945</v>
      </c>
    </row>
    <row r="207" spans="1:36">
      <c r="A207" s="111" t="s">
        <v>756</v>
      </c>
      <c r="B207" s="112" t="s">
        <v>757</v>
      </c>
      <c r="C207" s="113" t="s">
        <v>758</v>
      </c>
      <c r="D207" s="114" t="str">
        <f t="shared" si="25"/>
        <v>DBP</v>
      </c>
      <c r="E207" s="114" t="str">
        <f t="shared" si="26"/>
        <v>DBP</v>
      </c>
      <c r="F207" s="114"/>
      <c r="G207" s="115" t="s">
        <v>1945</v>
      </c>
    </row>
    <row r="208" spans="1:36">
      <c r="A208" s="111"/>
      <c r="B208" s="112" t="s">
        <v>808</v>
      </c>
      <c r="C208" s="113" t="s">
        <v>1360</v>
      </c>
      <c r="D208" s="209" t="str">
        <f t="shared" si="25"/>
        <v>FFT</v>
      </c>
      <c r="E208" s="209" t="str">
        <f t="shared" si="26"/>
        <v>FFT</v>
      </c>
      <c r="F208" s="114" t="s">
        <v>1361</v>
      </c>
      <c r="G208" s="115" t="s">
        <v>70</v>
      </c>
    </row>
    <row r="209" spans="1:7" s="94" customFormat="1">
      <c r="A209" s="111"/>
      <c r="B209" s="112" t="s">
        <v>1946</v>
      </c>
      <c r="C209" s="113" t="s">
        <v>1947</v>
      </c>
      <c r="D209" s="209" t="str">
        <f t="shared" si="25"/>
        <v>SHL</v>
      </c>
      <c r="E209" s="209" t="str">
        <f t="shared" si="26"/>
        <v>SHL</v>
      </c>
      <c r="F209" s="114" t="s">
        <v>1361</v>
      </c>
      <c r="G209" s="115" t="s">
        <v>70</v>
      </c>
    </row>
  </sheetData>
  <autoFilter ref="A3:G158"/>
  <mergeCells count="9">
    <mergeCell ref="AN2:AP2"/>
    <mergeCell ref="AR2:AT2"/>
    <mergeCell ref="AV2:AX2"/>
    <mergeCell ref="A2:G2"/>
    <mergeCell ref="I2:N2"/>
    <mergeCell ref="R2:T2"/>
    <mergeCell ref="V2:Y2"/>
    <mergeCell ref="AC2:AF2"/>
    <mergeCell ref="AH2:AL2"/>
  </mergeCells>
  <phoneticPr fontId="1" type="noConversion"/>
  <conditionalFormatting sqref="V4:Y13">
    <cfRule type="expression" dxfId="328" priority="276" stopIfTrue="1">
      <formula>V3=V4</formula>
    </cfRule>
  </conditionalFormatting>
  <conditionalFormatting sqref="V4:Y13">
    <cfRule type="expression" dxfId="327" priority="275" stopIfTrue="1">
      <formula>V3=V4</formula>
    </cfRule>
  </conditionalFormatting>
  <conditionalFormatting sqref="V4:Y13">
    <cfRule type="expression" dxfId="326" priority="274" stopIfTrue="1">
      <formula>V3=V4</formula>
    </cfRule>
  </conditionalFormatting>
  <conditionalFormatting sqref="V4:Y13">
    <cfRule type="expression" dxfId="325" priority="273" stopIfTrue="1">
      <formula>V3=V4</formula>
    </cfRule>
  </conditionalFormatting>
  <conditionalFormatting sqref="V4:Y13">
    <cfRule type="expression" dxfId="324" priority="272" stopIfTrue="1">
      <formula>V3=V4</formula>
    </cfRule>
  </conditionalFormatting>
  <conditionalFormatting sqref="V4:Y13">
    <cfRule type="expression" dxfId="323" priority="271" stopIfTrue="1">
      <formula>V3=V4</formula>
    </cfRule>
  </conditionalFormatting>
  <conditionalFormatting sqref="V4:Y13">
    <cfRule type="expression" dxfId="322" priority="270" stopIfTrue="1">
      <formula>V3=V4</formula>
    </cfRule>
  </conditionalFormatting>
  <conditionalFormatting sqref="V4:Y13">
    <cfRule type="expression" dxfId="321" priority="269" stopIfTrue="1">
      <formula>V3=V4</formula>
    </cfRule>
  </conditionalFormatting>
  <conditionalFormatting sqref="V4:Y13">
    <cfRule type="expression" dxfId="320" priority="268" stopIfTrue="1">
      <formula>V3=V4</formula>
    </cfRule>
  </conditionalFormatting>
  <conditionalFormatting sqref="V4:Y13">
    <cfRule type="expression" dxfId="319" priority="267" stopIfTrue="1">
      <formula>V3=V4</formula>
    </cfRule>
  </conditionalFormatting>
  <conditionalFormatting sqref="V4:Y13">
    <cfRule type="expression" dxfId="318" priority="266" stopIfTrue="1">
      <formula>V3=V4</formula>
    </cfRule>
  </conditionalFormatting>
  <conditionalFormatting sqref="V4:Y13">
    <cfRule type="expression" dxfId="317" priority="265" stopIfTrue="1">
      <formula>V3=V4</formula>
    </cfRule>
  </conditionalFormatting>
  <conditionalFormatting sqref="V4:Y13">
    <cfRule type="expression" dxfId="316" priority="264" stopIfTrue="1">
      <formula>V3=V4</formula>
    </cfRule>
  </conditionalFormatting>
  <conditionalFormatting sqref="V4:Y13">
    <cfRule type="expression" dxfId="315" priority="263" stopIfTrue="1">
      <formula>V3=V4</formula>
    </cfRule>
  </conditionalFormatting>
  <conditionalFormatting sqref="V4:Y13">
    <cfRule type="expression" dxfId="314" priority="262" stopIfTrue="1">
      <formula>V3=V4</formula>
    </cfRule>
  </conditionalFormatting>
  <conditionalFormatting sqref="V4:Y13">
    <cfRule type="expression" dxfId="313" priority="261" stopIfTrue="1">
      <formula>V3=V4</formula>
    </cfRule>
  </conditionalFormatting>
  <conditionalFormatting sqref="V4:Y13">
    <cfRule type="expression" dxfId="312" priority="260" stopIfTrue="1">
      <formula>V3=V4</formula>
    </cfRule>
  </conditionalFormatting>
  <conditionalFormatting sqref="V4:Y13">
    <cfRule type="expression" dxfId="311" priority="259" stopIfTrue="1">
      <formula>V3=V4</formula>
    </cfRule>
  </conditionalFormatting>
  <conditionalFormatting sqref="V4:Y13">
    <cfRule type="expression" dxfId="310" priority="258" stopIfTrue="1">
      <formula>V3=V4</formula>
    </cfRule>
  </conditionalFormatting>
  <conditionalFormatting sqref="V4:Y13">
    <cfRule type="expression" dxfId="309" priority="257" stopIfTrue="1">
      <formula>V3=V4</formula>
    </cfRule>
  </conditionalFormatting>
  <conditionalFormatting sqref="V4:Y13">
    <cfRule type="expression" dxfId="308" priority="256" stopIfTrue="1">
      <formula>V3=V4</formula>
    </cfRule>
  </conditionalFormatting>
  <conditionalFormatting sqref="V4:Y13">
    <cfRule type="expression" dxfId="307" priority="255" stopIfTrue="1">
      <formula>V3=V4</formula>
    </cfRule>
  </conditionalFormatting>
  <conditionalFormatting sqref="V4:Y13">
    <cfRule type="expression" dxfId="306" priority="254" stopIfTrue="1">
      <formula>V3=V4</formula>
    </cfRule>
  </conditionalFormatting>
  <conditionalFormatting sqref="V4:Y13">
    <cfRule type="expression" dxfId="305" priority="253" stopIfTrue="1">
      <formula>V3=V4</formula>
    </cfRule>
  </conditionalFormatting>
  <conditionalFormatting sqref="V4:Y13">
    <cfRule type="expression" dxfId="304" priority="252" stopIfTrue="1">
      <formula>V3=V4</formula>
    </cfRule>
  </conditionalFormatting>
  <conditionalFormatting sqref="V4:Y13">
    <cfRule type="expression" dxfId="303" priority="251" stopIfTrue="1">
      <formula>V3=V4</formula>
    </cfRule>
  </conditionalFormatting>
  <conditionalFormatting sqref="V4:Y13">
    <cfRule type="expression" dxfId="302" priority="250" stopIfTrue="1">
      <formula>V3=V4</formula>
    </cfRule>
  </conditionalFormatting>
  <conditionalFormatting sqref="V4:Y13">
    <cfRule type="expression" dxfId="301" priority="249" stopIfTrue="1">
      <formula>V3=V4</formula>
    </cfRule>
  </conditionalFormatting>
  <conditionalFormatting sqref="V4:Y13">
    <cfRule type="expression" dxfId="300" priority="248" stopIfTrue="1">
      <formula>V3=V4</formula>
    </cfRule>
  </conditionalFormatting>
  <conditionalFormatting sqref="V4:Y13">
    <cfRule type="expression" dxfId="299" priority="247" stopIfTrue="1">
      <formula>V3=V4</formula>
    </cfRule>
  </conditionalFormatting>
  <conditionalFormatting sqref="V4:Y13">
    <cfRule type="expression" dxfId="298" priority="246" stopIfTrue="1">
      <formula>V3=V4</formula>
    </cfRule>
  </conditionalFormatting>
  <conditionalFormatting sqref="V4:Y13">
    <cfRule type="expression" dxfId="297" priority="245" stopIfTrue="1">
      <formula>V3=V4</formula>
    </cfRule>
  </conditionalFormatting>
  <conditionalFormatting sqref="V4:Y13">
    <cfRule type="expression" dxfId="296" priority="244" stopIfTrue="1">
      <formula>V3=V4</formula>
    </cfRule>
  </conditionalFormatting>
  <conditionalFormatting sqref="V4:Y13">
    <cfRule type="expression" dxfId="295" priority="243" stopIfTrue="1">
      <formula>V3=V4</formula>
    </cfRule>
  </conditionalFormatting>
  <conditionalFormatting sqref="V4:Y13">
    <cfRule type="expression" dxfId="294" priority="242" stopIfTrue="1">
      <formula>V3=V4</formula>
    </cfRule>
  </conditionalFormatting>
  <conditionalFormatting sqref="V4:Y13">
    <cfRule type="expression" dxfId="293" priority="241" stopIfTrue="1">
      <formula>V3=V4</formula>
    </cfRule>
  </conditionalFormatting>
  <conditionalFormatting sqref="V4:Y13">
    <cfRule type="expression" dxfId="292" priority="240" stopIfTrue="1">
      <formula>V3=V4</formula>
    </cfRule>
  </conditionalFormatting>
  <conditionalFormatting sqref="V4:Y13">
    <cfRule type="expression" dxfId="291" priority="239" stopIfTrue="1">
      <formula>V3=V4</formula>
    </cfRule>
  </conditionalFormatting>
  <conditionalFormatting sqref="V4:Y13">
    <cfRule type="expression" dxfId="290" priority="238" stopIfTrue="1">
      <formula>V3=V4</formula>
    </cfRule>
  </conditionalFormatting>
  <conditionalFormatting sqref="V4:Y13">
    <cfRule type="expression" dxfId="289" priority="237" stopIfTrue="1">
      <formula>V3=V4</formula>
    </cfRule>
  </conditionalFormatting>
  <conditionalFormatting sqref="V4:Y13">
    <cfRule type="expression" dxfId="288" priority="236" stopIfTrue="1">
      <formula>V3=V4</formula>
    </cfRule>
  </conditionalFormatting>
  <conditionalFormatting sqref="V4:Y13">
    <cfRule type="expression" dxfId="287" priority="235" stopIfTrue="1">
      <formula>V3=V4</formula>
    </cfRule>
  </conditionalFormatting>
  <conditionalFormatting sqref="V4:Y13">
    <cfRule type="expression" dxfId="286" priority="234" stopIfTrue="1">
      <formula>V3=V4</formula>
    </cfRule>
  </conditionalFormatting>
  <conditionalFormatting sqref="V4:Y13">
    <cfRule type="expression" dxfId="285" priority="233" stopIfTrue="1">
      <formula>V3=V4</formula>
    </cfRule>
  </conditionalFormatting>
  <conditionalFormatting sqref="V4:Y13">
    <cfRule type="expression" dxfId="284" priority="232" stopIfTrue="1">
      <formula>V3=V4</formula>
    </cfRule>
  </conditionalFormatting>
  <conditionalFormatting sqref="V4:Y13">
    <cfRule type="expression" dxfId="283" priority="231" stopIfTrue="1">
      <formula>V3=V4</formula>
    </cfRule>
  </conditionalFormatting>
  <conditionalFormatting sqref="V4:Y13">
    <cfRule type="expression" dxfId="282" priority="230" stopIfTrue="1">
      <formula>V3=V4</formula>
    </cfRule>
  </conditionalFormatting>
  <conditionalFormatting sqref="V4:Y13">
    <cfRule type="expression" dxfId="281" priority="229" stopIfTrue="1">
      <formula>V3=V4</formula>
    </cfRule>
  </conditionalFormatting>
  <conditionalFormatting sqref="V4:Y13">
    <cfRule type="expression" dxfId="280" priority="228" stopIfTrue="1">
      <formula>V3=V4</formula>
    </cfRule>
  </conditionalFormatting>
  <conditionalFormatting sqref="V4:Y13">
    <cfRule type="expression" dxfId="279" priority="227" stopIfTrue="1">
      <formula>V3=V4</formula>
    </cfRule>
  </conditionalFormatting>
  <conditionalFormatting sqref="V4:Y13">
    <cfRule type="expression" dxfId="278" priority="226" stopIfTrue="1">
      <formula>V3=V4</formula>
    </cfRule>
  </conditionalFormatting>
  <conditionalFormatting sqref="V4:Y13">
    <cfRule type="expression" dxfId="277" priority="225" stopIfTrue="1">
      <formula>V3=V4</formula>
    </cfRule>
  </conditionalFormatting>
  <conditionalFormatting sqref="V4:Y13">
    <cfRule type="expression" dxfId="276" priority="224" stopIfTrue="1">
      <formula>V3=V4</formula>
    </cfRule>
  </conditionalFormatting>
  <conditionalFormatting sqref="V4:Y13">
    <cfRule type="expression" dxfId="275" priority="223" stopIfTrue="1">
      <formula>V3=V4</formula>
    </cfRule>
  </conditionalFormatting>
  <conditionalFormatting sqref="V4:Y13">
    <cfRule type="expression" dxfId="274" priority="222" stopIfTrue="1">
      <formula>V3=V4</formula>
    </cfRule>
  </conditionalFormatting>
  <conditionalFormatting sqref="V4:Y13">
    <cfRule type="expression" dxfId="273" priority="221" stopIfTrue="1">
      <formula>V3=V4</formula>
    </cfRule>
  </conditionalFormatting>
  <conditionalFormatting sqref="V4:Y13">
    <cfRule type="expression" dxfId="272" priority="220" stopIfTrue="1">
      <formula>V3=V4</formula>
    </cfRule>
  </conditionalFormatting>
  <conditionalFormatting sqref="V4:Y13">
    <cfRule type="expression" dxfId="271" priority="219" stopIfTrue="1">
      <formula>V3=V4</formula>
    </cfRule>
  </conditionalFormatting>
  <conditionalFormatting sqref="V4:Y13">
    <cfRule type="expression" dxfId="270" priority="218" stopIfTrue="1">
      <formula>V3=V4</formula>
    </cfRule>
  </conditionalFormatting>
  <conditionalFormatting sqref="V4:Y13">
    <cfRule type="expression" dxfId="269" priority="217" stopIfTrue="1">
      <formula>V3=V4</formula>
    </cfRule>
  </conditionalFormatting>
  <conditionalFormatting sqref="V4:Y13">
    <cfRule type="expression" dxfId="268" priority="216" stopIfTrue="1">
      <formula>V3=V4</formula>
    </cfRule>
  </conditionalFormatting>
  <conditionalFormatting sqref="V4:Y13">
    <cfRule type="expression" dxfId="267" priority="215" stopIfTrue="1">
      <formula>V3=V4</formula>
    </cfRule>
  </conditionalFormatting>
  <conditionalFormatting sqref="V4:Y13">
    <cfRule type="expression" dxfId="266" priority="214" stopIfTrue="1">
      <formula>V3=V4</formula>
    </cfRule>
  </conditionalFormatting>
  <conditionalFormatting sqref="V4:Y13">
    <cfRule type="expression" dxfId="265" priority="213" stopIfTrue="1">
      <formula>V3=V4</formula>
    </cfRule>
  </conditionalFormatting>
  <conditionalFormatting sqref="V4:Y13">
    <cfRule type="expression" dxfId="264" priority="212" stopIfTrue="1">
      <formula>V3=V4</formula>
    </cfRule>
  </conditionalFormatting>
  <conditionalFormatting sqref="V4:Y13">
    <cfRule type="expression" dxfId="263" priority="211" stopIfTrue="1">
      <formula>V3=V4</formula>
    </cfRule>
  </conditionalFormatting>
  <conditionalFormatting sqref="V4:Y13">
    <cfRule type="expression" dxfId="262" priority="210" stopIfTrue="1">
      <formula>V3=V4</formula>
    </cfRule>
  </conditionalFormatting>
  <conditionalFormatting sqref="V4:Y13">
    <cfRule type="expression" dxfId="261" priority="209" stopIfTrue="1">
      <formula>V3=V4</formula>
    </cfRule>
  </conditionalFormatting>
  <conditionalFormatting sqref="V4:Y13">
    <cfRule type="expression" dxfId="260" priority="208" stopIfTrue="1">
      <formula>V3=V4</formula>
    </cfRule>
  </conditionalFormatting>
  <conditionalFormatting sqref="V4:Y13">
    <cfRule type="expression" dxfId="259" priority="207" stopIfTrue="1">
      <formula>V3=V4</formula>
    </cfRule>
  </conditionalFormatting>
  <conditionalFormatting sqref="V4:Y13">
    <cfRule type="expression" dxfId="258" priority="206" stopIfTrue="1">
      <formula>V3=V4</formula>
    </cfRule>
  </conditionalFormatting>
  <conditionalFormatting sqref="V4:Y13">
    <cfRule type="expression" dxfId="257" priority="205" stopIfTrue="1">
      <formula>V3=V4</formula>
    </cfRule>
  </conditionalFormatting>
  <conditionalFormatting sqref="V4:Y13">
    <cfRule type="expression" dxfId="256" priority="204" stopIfTrue="1">
      <formula>V3=V4</formula>
    </cfRule>
  </conditionalFormatting>
  <conditionalFormatting sqref="V4:Y13">
    <cfRule type="expression" dxfId="255" priority="203" stopIfTrue="1">
      <formula>V3=V4</formula>
    </cfRule>
  </conditionalFormatting>
  <conditionalFormatting sqref="V4:Y13">
    <cfRule type="expression" dxfId="254" priority="202" stopIfTrue="1">
      <formula>V3=V4</formula>
    </cfRule>
  </conditionalFormatting>
  <conditionalFormatting sqref="V4:Y13 I4:M49 M50">
    <cfRule type="expression" dxfId="253" priority="201" stopIfTrue="1">
      <formula>I3=I4</formula>
    </cfRule>
  </conditionalFormatting>
  <conditionalFormatting sqref="V4:Y13 I4:M49 M50">
    <cfRule type="expression" dxfId="252" priority="200" stopIfTrue="1">
      <formula>I3=I4</formula>
    </cfRule>
  </conditionalFormatting>
  <conditionalFormatting sqref="K4:M49 M50">
    <cfRule type="expression" dxfId="251" priority="199" stopIfTrue="1">
      <formula>K3=K4</formula>
    </cfRule>
  </conditionalFormatting>
  <conditionalFormatting sqref="V4:Y13 I4:M49 M50">
    <cfRule type="expression" dxfId="250" priority="198" stopIfTrue="1">
      <formula>I3=I4</formula>
    </cfRule>
  </conditionalFormatting>
  <conditionalFormatting sqref="K4:M49 M50">
    <cfRule type="expression" dxfId="249" priority="197" stopIfTrue="1">
      <formula>K3=K4</formula>
    </cfRule>
  </conditionalFormatting>
  <conditionalFormatting sqref="V4:Y13 I4:M49 M50">
    <cfRule type="expression" dxfId="248" priority="196" stopIfTrue="1">
      <formula>I3=I4</formula>
    </cfRule>
  </conditionalFormatting>
  <conditionalFormatting sqref="K4:M49 M50">
    <cfRule type="expression" dxfId="247" priority="195" stopIfTrue="1">
      <formula>K3=K4</formula>
    </cfRule>
  </conditionalFormatting>
  <conditionalFormatting sqref="V4:Y13 I4:M49 M50">
    <cfRule type="expression" dxfId="246" priority="194" stopIfTrue="1">
      <formula>I3=I4</formula>
    </cfRule>
  </conditionalFormatting>
  <conditionalFormatting sqref="K4:M49 M50">
    <cfRule type="expression" dxfId="245" priority="193" stopIfTrue="1">
      <formula>K3=K4</formula>
    </cfRule>
  </conditionalFormatting>
  <conditionalFormatting sqref="V4:Y13 I4:M49 M50">
    <cfRule type="expression" dxfId="244" priority="192" stopIfTrue="1">
      <formula>I3=I4</formula>
    </cfRule>
  </conditionalFormatting>
  <conditionalFormatting sqref="K4:M49 M50">
    <cfRule type="expression" dxfId="243" priority="191" stopIfTrue="1">
      <formula>K3=K4</formula>
    </cfRule>
  </conditionalFormatting>
  <conditionalFormatting sqref="V4:Y13 I4:M49 M50">
    <cfRule type="expression" dxfId="242" priority="190" stopIfTrue="1">
      <formula>I3=I4</formula>
    </cfRule>
  </conditionalFormatting>
  <conditionalFormatting sqref="K4:M49 M50">
    <cfRule type="expression" dxfId="241" priority="189" stopIfTrue="1">
      <formula>K3=K4</formula>
    </cfRule>
  </conditionalFormatting>
  <conditionalFormatting sqref="V4:Y13 I4:M49 M50">
    <cfRule type="expression" dxfId="240" priority="188" stopIfTrue="1">
      <formula>I3=I4</formula>
    </cfRule>
  </conditionalFormatting>
  <conditionalFormatting sqref="K4:M49 M50">
    <cfRule type="expression" dxfId="239" priority="187" stopIfTrue="1">
      <formula>K3=K4</formula>
    </cfRule>
  </conditionalFormatting>
  <conditionalFormatting sqref="V4:Y13 I4:O49">
    <cfRule type="expression" dxfId="238" priority="186" stopIfTrue="1">
      <formula>I3=I4</formula>
    </cfRule>
  </conditionalFormatting>
  <conditionalFormatting sqref="I4:M49 M50">
    <cfRule type="expression" dxfId="237" priority="185" stopIfTrue="1">
      <formula>I3=I4</formula>
    </cfRule>
  </conditionalFormatting>
  <conditionalFormatting sqref="K4:M49 M50">
    <cfRule type="expression" dxfId="236" priority="184" stopIfTrue="1">
      <formula>K3=K4</formula>
    </cfRule>
  </conditionalFormatting>
  <conditionalFormatting sqref="I4:M49 M50">
    <cfRule type="expression" dxfId="235" priority="183" stopIfTrue="1">
      <formula>I3=I4</formula>
    </cfRule>
  </conditionalFormatting>
  <conditionalFormatting sqref="K4:M49 M50">
    <cfRule type="expression" dxfId="234" priority="182" stopIfTrue="1">
      <formula>K3=K4</formula>
    </cfRule>
  </conditionalFormatting>
  <conditionalFormatting sqref="I4:M49 M50">
    <cfRule type="expression" dxfId="233" priority="181" stopIfTrue="1">
      <formula>I3=I4</formula>
    </cfRule>
  </conditionalFormatting>
  <conditionalFormatting sqref="K4:M49 M50">
    <cfRule type="expression" dxfId="232" priority="180" stopIfTrue="1">
      <formula>K3=K4</formula>
    </cfRule>
  </conditionalFormatting>
  <conditionalFormatting sqref="V4:Y13 I4:M49 M50">
    <cfRule type="expression" dxfId="231" priority="179" stopIfTrue="1">
      <formula>I3=I4</formula>
    </cfRule>
  </conditionalFormatting>
  <conditionalFormatting sqref="K4:M49 M50">
    <cfRule type="expression" dxfId="230" priority="178" stopIfTrue="1">
      <formula>K3=K4</formula>
    </cfRule>
  </conditionalFormatting>
  <conditionalFormatting sqref="V4:Y13 I4:M49 M50">
    <cfRule type="expression" dxfId="229" priority="177" stopIfTrue="1">
      <formula>I3=I4</formula>
    </cfRule>
  </conditionalFormatting>
  <conditionalFormatting sqref="K4:M49 M50">
    <cfRule type="expression" dxfId="228" priority="176" stopIfTrue="1">
      <formula>K3=K4</formula>
    </cfRule>
  </conditionalFormatting>
  <conditionalFormatting sqref="V4:Y13 I4:M49 M50">
    <cfRule type="expression" dxfId="227" priority="175" stopIfTrue="1">
      <formula>I3=I4</formula>
    </cfRule>
  </conditionalFormatting>
  <conditionalFormatting sqref="K4:M49 M50">
    <cfRule type="expression" dxfId="226" priority="174" stopIfTrue="1">
      <formula>K3=K4</formula>
    </cfRule>
  </conditionalFormatting>
  <conditionalFormatting sqref="V4:Y13 I4:M49 M50">
    <cfRule type="expression" dxfId="225" priority="173" stopIfTrue="1">
      <formula>I3=I4</formula>
    </cfRule>
  </conditionalFormatting>
  <conditionalFormatting sqref="K4:M49 M50">
    <cfRule type="expression" dxfId="224" priority="172" stopIfTrue="1">
      <formula>K3=K4</formula>
    </cfRule>
  </conditionalFormatting>
  <conditionalFormatting sqref="V4:Y13 I4:M49 M50">
    <cfRule type="expression" dxfId="223" priority="171" stopIfTrue="1">
      <formula>I3=I4</formula>
    </cfRule>
  </conditionalFormatting>
  <conditionalFormatting sqref="K4:M49 M50">
    <cfRule type="expression" dxfId="222" priority="170" stopIfTrue="1">
      <formula>K3=K4</formula>
    </cfRule>
  </conditionalFormatting>
  <conditionalFormatting sqref="V4:Y13 I4:M49 M50">
    <cfRule type="expression" dxfId="221" priority="169" stopIfTrue="1">
      <formula>I3=I4</formula>
    </cfRule>
  </conditionalFormatting>
  <conditionalFormatting sqref="K4:M49 M50">
    <cfRule type="expression" dxfId="220" priority="168" stopIfTrue="1">
      <formula>K3=K4</formula>
    </cfRule>
  </conditionalFormatting>
  <conditionalFormatting sqref="V4:Y13 I4:O49">
    <cfRule type="expression" dxfId="219" priority="167" stopIfTrue="1">
      <formula>I3=I4</formula>
    </cfRule>
  </conditionalFormatting>
  <conditionalFormatting sqref="I4:M49 M50">
    <cfRule type="expression" dxfId="218" priority="166" stopIfTrue="1">
      <formula>I3=I4</formula>
    </cfRule>
  </conditionalFormatting>
  <conditionalFormatting sqref="K4:M49 M50">
    <cfRule type="expression" dxfId="217" priority="165" stopIfTrue="1">
      <formula>K3=K4</formula>
    </cfRule>
  </conditionalFormatting>
  <conditionalFormatting sqref="I4:M49 M50">
    <cfRule type="expression" dxfId="216" priority="164" stopIfTrue="1">
      <formula>I3=I4</formula>
    </cfRule>
  </conditionalFormatting>
  <conditionalFormatting sqref="K4:M49 M50">
    <cfRule type="expression" dxfId="215" priority="163" stopIfTrue="1">
      <formula>K3=K4</formula>
    </cfRule>
  </conditionalFormatting>
  <conditionalFormatting sqref="I4:M49 M50">
    <cfRule type="expression" dxfId="214" priority="162" stopIfTrue="1">
      <formula>I3=I4</formula>
    </cfRule>
  </conditionalFormatting>
  <conditionalFormatting sqref="K4:M49 M50">
    <cfRule type="expression" dxfId="213" priority="161" stopIfTrue="1">
      <formula>K3=K4</formula>
    </cfRule>
  </conditionalFormatting>
  <conditionalFormatting sqref="V4:Y13 I4:M49 M50">
    <cfRule type="expression" dxfId="212" priority="160" stopIfTrue="1">
      <formula>I3=I4</formula>
    </cfRule>
  </conditionalFormatting>
  <conditionalFormatting sqref="K4:M49 M50">
    <cfRule type="expression" dxfId="211" priority="159" stopIfTrue="1">
      <formula>K3=K4</formula>
    </cfRule>
  </conditionalFormatting>
  <conditionalFormatting sqref="V4:Y13 I4:M49 M50">
    <cfRule type="expression" dxfId="210" priority="158" stopIfTrue="1">
      <formula>I3=I4</formula>
    </cfRule>
  </conditionalFormatting>
  <conditionalFormatting sqref="K4:M49 M50">
    <cfRule type="expression" dxfId="209" priority="157" stopIfTrue="1">
      <formula>K3=K4</formula>
    </cfRule>
  </conditionalFormatting>
  <conditionalFormatting sqref="V4:Y13 I4:M49 M50">
    <cfRule type="expression" dxfId="208" priority="156" stopIfTrue="1">
      <formula>I3=I4</formula>
    </cfRule>
  </conditionalFormatting>
  <conditionalFormatting sqref="K4:M49 M50">
    <cfRule type="expression" dxfId="207" priority="155" stopIfTrue="1">
      <formula>K3=K4</formula>
    </cfRule>
  </conditionalFormatting>
  <conditionalFormatting sqref="V4:Y13 I4:M49 M50">
    <cfRule type="expression" dxfId="206" priority="154" stopIfTrue="1">
      <formula>I3=I4</formula>
    </cfRule>
  </conditionalFormatting>
  <conditionalFormatting sqref="K4:M49 M50">
    <cfRule type="expression" dxfId="205" priority="153" stopIfTrue="1">
      <formula>K3=K4</formula>
    </cfRule>
  </conditionalFormatting>
  <conditionalFormatting sqref="V4:Y13 I4:M49 M50">
    <cfRule type="expression" dxfId="204" priority="152" stopIfTrue="1">
      <formula>I3=I4</formula>
    </cfRule>
  </conditionalFormatting>
  <conditionalFormatting sqref="K4:M49 M50">
    <cfRule type="expression" dxfId="203" priority="151" stopIfTrue="1">
      <formula>K3=K4</formula>
    </cfRule>
  </conditionalFormatting>
  <conditionalFormatting sqref="V4:Y13 I4:M49 M50">
    <cfRule type="expression" dxfId="202" priority="150" stopIfTrue="1">
      <formula>I3=I4</formula>
    </cfRule>
  </conditionalFormatting>
  <conditionalFormatting sqref="K4:M49 M50">
    <cfRule type="expression" dxfId="201" priority="149" stopIfTrue="1">
      <formula>K3=K4</formula>
    </cfRule>
  </conditionalFormatting>
  <conditionalFormatting sqref="V4:Y13 I4:O49">
    <cfRule type="expression" dxfId="200" priority="148" stopIfTrue="1">
      <formula>I3=I4</formula>
    </cfRule>
  </conditionalFormatting>
  <conditionalFormatting sqref="I4:M49 M50">
    <cfRule type="expression" dxfId="199" priority="147" stopIfTrue="1">
      <formula>I3=I4</formula>
    </cfRule>
  </conditionalFormatting>
  <conditionalFormatting sqref="K4:M49 M50">
    <cfRule type="expression" dxfId="198" priority="146" stopIfTrue="1">
      <formula>K3=K4</formula>
    </cfRule>
  </conditionalFormatting>
  <conditionalFormatting sqref="I4:M49 M50">
    <cfRule type="expression" dxfId="197" priority="145" stopIfTrue="1">
      <formula>I3=I4</formula>
    </cfRule>
  </conditionalFormatting>
  <conditionalFormatting sqref="K4:M49 M50">
    <cfRule type="expression" dxfId="196" priority="144" stopIfTrue="1">
      <formula>K3=K4</formula>
    </cfRule>
  </conditionalFormatting>
  <conditionalFormatting sqref="I4:M49 M50">
    <cfRule type="expression" dxfId="195" priority="143" stopIfTrue="1">
      <formula>I3=I4</formula>
    </cfRule>
  </conditionalFormatting>
  <conditionalFormatting sqref="K4:M49 M50">
    <cfRule type="expression" dxfId="194" priority="142" stopIfTrue="1">
      <formula>K3=K4</formula>
    </cfRule>
  </conditionalFormatting>
  <conditionalFormatting sqref="V4:Y13 I4:M49 M50">
    <cfRule type="expression" dxfId="193" priority="141" stopIfTrue="1">
      <formula>I3=I4</formula>
    </cfRule>
  </conditionalFormatting>
  <conditionalFormatting sqref="K4:M49 M50">
    <cfRule type="expression" dxfId="192" priority="140" stopIfTrue="1">
      <formula>K3=K4</formula>
    </cfRule>
  </conditionalFormatting>
  <conditionalFormatting sqref="V4:Y13 I4:M49 M50">
    <cfRule type="expression" dxfId="191" priority="139" stopIfTrue="1">
      <formula>I3=I4</formula>
    </cfRule>
  </conditionalFormatting>
  <conditionalFormatting sqref="K4:M49 M50">
    <cfRule type="expression" dxfId="190" priority="138" stopIfTrue="1">
      <formula>K3=K4</formula>
    </cfRule>
  </conditionalFormatting>
  <conditionalFormatting sqref="V4:Y13 I4:M49 M50">
    <cfRule type="expression" dxfId="189" priority="137" stopIfTrue="1">
      <formula>I3=I4</formula>
    </cfRule>
  </conditionalFormatting>
  <conditionalFormatting sqref="K4:M49 M50">
    <cfRule type="expression" dxfId="188" priority="136" stopIfTrue="1">
      <formula>K3=K4</formula>
    </cfRule>
  </conditionalFormatting>
  <conditionalFormatting sqref="V4:Y13 I4:M49 M50">
    <cfRule type="expression" dxfId="187" priority="135" stopIfTrue="1">
      <formula>I3=I4</formula>
    </cfRule>
  </conditionalFormatting>
  <conditionalFormatting sqref="K4:M49 M50">
    <cfRule type="expression" dxfId="186" priority="134" stopIfTrue="1">
      <formula>K3=K4</formula>
    </cfRule>
  </conditionalFormatting>
  <conditionalFormatting sqref="V4:Y13 I4:M49 M50">
    <cfRule type="expression" dxfId="185" priority="133" stopIfTrue="1">
      <formula>I3=I4</formula>
    </cfRule>
  </conditionalFormatting>
  <conditionalFormatting sqref="K4:M49 M50">
    <cfRule type="expression" dxfId="184" priority="132" stopIfTrue="1">
      <formula>K3=K4</formula>
    </cfRule>
  </conditionalFormatting>
  <conditionalFormatting sqref="V4:Y13 I4:M49 M50">
    <cfRule type="expression" dxfId="183" priority="131" stopIfTrue="1">
      <formula>I3=I4</formula>
    </cfRule>
  </conditionalFormatting>
  <conditionalFormatting sqref="K4:M49 M50">
    <cfRule type="expression" dxfId="182" priority="130" stopIfTrue="1">
      <formula>K3=K4</formula>
    </cfRule>
  </conditionalFormatting>
  <conditionalFormatting sqref="V4:Y13 I4:O49">
    <cfRule type="expression" dxfId="181" priority="129" stopIfTrue="1">
      <formula>I3=I4</formula>
    </cfRule>
  </conditionalFormatting>
  <conditionalFormatting sqref="I4:M49 M50">
    <cfRule type="expression" dxfId="180" priority="128" stopIfTrue="1">
      <formula>I3=I4</formula>
    </cfRule>
  </conditionalFormatting>
  <conditionalFormatting sqref="K4:M49 M50">
    <cfRule type="expression" dxfId="179" priority="127" stopIfTrue="1">
      <formula>K3=K4</formula>
    </cfRule>
  </conditionalFormatting>
  <conditionalFormatting sqref="I4:M49 M50">
    <cfRule type="expression" dxfId="178" priority="126" stopIfTrue="1">
      <formula>I3=I4</formula>
    </cfRule>
  </conditionalFormatting>
  <conditionalFormatting sqref="K4:M49 M50">
    <cfRule type="expression" dxfId="177" priority="125" stopIfTrue="1">
      <formula>K3=K4</formula>
    </cfRule>
  </conditionalFormatting>
  <conditionalFormatting sqref="I4:M49 M50">
    <cfRule type="expression" dxfId="176" priority="124" stopIfTrue="1">
      <formula>I3=I4</formula>
    </cfRule>
  </conditionalFormatting>
  <conditionalFormatting sqref="K4:M49 M50">
    <cfRule type="expression" dxfId="175" priority="123" stopIfTrue="1">
      <formula>K3=K4</formula>
    </cfRule>
  </conditionalFormatting>
  <conditionalFormatting sqref="V4:Y13 I4:M49 M50">
    <cfRule type="expression" dxfId="174" priority="122" stopIfTrue="1">
      <formula>I3=I4</formula>
    </cfRule>
  </conditionalFormatting>
  <conditionalFormatting sqref="K4:M49 M50">
    <cfRule type="expression" dxfId="173" priority="121" stopIfTrue="1">
      <formula>K3=K4</formula>
    </cfRule>
  </conditionalFormatting>
  <conditionalFormatting sqref="V4:Y13 I4:M49 M50">
    <cfRule type="expression" dxfId="172" priority="120" stopIfTrue="1">
      <formula>I3=I4</formula>
    </cfRule>
  </conditionalFormatting>
  <conditionalFormatting sqref="K4:M49 M50">
    <cfRule type="expression" dxfId="171" priority="119" stopIfTrue="1">
      <formula>K3=K4</formula>
    </cfRule>
  </conditionalFormatting>
  <conditionalFormatting sqref="V4:Y13 I4:M49 M50">
    <cfRule type="expression" dxfId="170" priority="118" stopIfTrue="1">
      <formula>I3=I4</formula>
    </cfRule>
  </conditionalFormatting>
  <conditionalFormatting sqref="K4:M49 M50">
    <cfRule type="expression" dxfId="169" priority="117" stopIfTrue="1">
      <formula>K3=K4</formula>
    </cfRule>
  </conditionalFormatting>
  <conditionalFormatting sqref="M50">
    <cfRule type="expression" dxfId="168" priority="116" stopIfTrue="1">
      <formula>M49=M50</formula>
    </cfRule>
  </conditionalFormatting>
  <conditionalFormatting sqref="M50">
    <cfRule type="expression" dxfId="167" priority="115" stopIfTrue="1">
      <formula>M49=M50</formula>
    </cfRule>
  </conditionalFormatting>
  <conditionalFormatting sqref="M50">
    <cfRule type="expression" dxfId="166" priority="114" stopIfTrue="1">
      <formula>M49=M50</formula>
    </cfRule>
  </conditionalFormatting>
  <conditionalFormatting sqref="M50">
    <cfRule type="expression" dxfId="165" priority="113" stopIfTrue="1">
      <formula>M49=M50</formula>
    </cfRule>
  </conditionalFormatting>
  <conditionalFormatting sqref="M50">
    <cfRule type="expression" dxfId="164" priority="112" stopIfTrue="1">
      <formula>M49=M50</formula>
    </cfRule>
  </conditionalFormatting>
  <conditionalFormatting sqref="M50">
    <cfRule type="expression" dxfId="163" priority="111" stopIfTrue="1">
      <formula>M49=M50</formula>
    </cfRule>
  </conditionalFormatting>
  <conditionalFormatting sqref="M50">
    <cfRule type="expression" dxfId="162" priority="110" stopIfTrue="1">
      <formula>M49=M50</formula>
    </cfRule>
  </conditionalFormatting>
  <conditionalFormatting sqref="M50">
    <cfRule type="expression" dxfId="161" priority="109" stopIfTrue="1">
      <formula>M49=M50</formula>
    </cfRule>
  </conditionalFormatting>
  <conditionalFormatting sqref="M50">
    <cfRule type="expression" dxfId="160" priority="108" stopIfTrue="1">
      <formula>M49=M50</formula>
    </cfRule>
  </conditionalFormatting>
  <conditionalFormatting sqref="M50">
    <cfRule type="expression" dxfId="159" priority="107" stopIfTrue="1">
      <formula>M49=M50</formula>
    </cfRule>
  </conditionalFormatting>
  <conditionalFormatting sqref="M50">
    <cfRule type="expression" dxfId="158" priority="106" stopIfTrue="1">
      <formula>M49=M50</formula>
    </cfRule>
  </conditionalFormatting>
  <conditionalFormatting sqref="M50">
    <cfRule type="expression" dxfId="157" priority="105" stopIfTrue="1">
      <formula>M49=M50</formula>
    </cfRule>
  </conditionalFormatting>
  <conditionalFormatting sqref="M50">
    <cfRule type="expression" dxfId="156" priority="104" stopIfTrue="1">
      <formula>M49=M50</formula>
    </cfRule>
  </conditionalFormatting>
  <conditionalFormatting sqref="M50">
    <cfRule type="expression" dxfId="155" priority="103" stopIfTrue="1">
      <formula>M49=M50</formula>
    </cfRule>
  </conditionalFormatting>
  <conditionalFormatting sqref="M50">
    <cfRule type="expression" dxfId="154" priority="102" stopIfTrue="1">
      <formula>M49=M50</formula>
    </cfRule>
  </conditionalFormatting>
  <conditionalFormatting sqref="M50">
    <cfRule type="expression" dxfId="153" priority="101" stopIfTrue="1">
      <formula>M49=M50</formula>
    </cfRule>
  </conditionalFormatting>
  <conditionalFormatting sqref="M50">
    <cfRule type="expression" dxfId="152" priority="100" stopIfTrue="1">
      <formula>M49=M50</formula>
    </cfRule>
  </conditionalFormatting>
  <conditionalFormatting sqref="M50">
    <cfRule type="expression" dxfId="151" priority="99" stopIfTrue="1">
      <formula>M49=M50</formula>
    </cfRule>
  </conditionalFormatting>
  <conditionalFormatting sqref="V4:Y13 I4:M49 M50">
    <cfRule type="expression" dxfId="150" priority="98" stopIfTrue="1">
      <formula>I3=I4</formula>
    </cfRule>
  </conditionalFormatting>
  <conditionalFormatting sqref="V4:Y13 I4:M49 M50">
    <cfRule type="expression" dxfId="149" priority="97" stopIfTrue="1">
      <formula>I3=I4</formula>
    </cfRule>
  </conditionalFormatting>
  <conditionalFormatting sqref="K4:M49 M50">
    <cfRule type="expression" dxfId="148" priority="96" stopIfTrue="1">
      <formula>K3=K4</formula>
    </cfRule>
  </conditionalFormatting>
  <conditionalFormatting sqref="V4:Y13 I4:M49 M50">
    <cfRule type="expression" dxfId="147" priority="95" stopIfTrue="1">
      <formula>I3=I4</formula>
    </cfRule>
  </conditionalFormatting>
  <conditionalFormatting sqref="K4:M49 M50">
    <cfRule type="expression" dxfId="146" priority="94" stopIfTrue="1">
      <formula>K3=K4</formula>
    </cfRule>
  </conditionalFormatting>
  <conditionalFormatting sqref="V4:Y13 I4:M49 M50">
    <cfRule type="expression" dxfId="145" priority="93" stopIfTrue="1">
      <formula>I3=I4</formula>
    </cfRule>
  </conditionalFormatting>
  <conditionalFormatting sqref="K4:M49 M50">
    <cfRule type="expression" dxfId="144" priority="92" stopIfTrue="1">
      <formula>K3=K4</formula>
    </cfRule>
  </conditionalFormatting>
  <conditionalFormatting sqref="V4:Y13 I4:M49 M50">
    <cfRule type="expression" dxfId="143" priority="91" stopIfTrue="1">
      <formula>I3=I4</formula>
    </cfRule>
  </conditionalFormatting>
  <conditionalFormatting sqref="K4:M49 M50">
    <cfRule type="expression" dxfId="142" priority="90" stopIfTrue="1">
      <formula>K3=K4</formula>
    </cfRule>
  </conditionalFormatting>
  <conditionalFormatting sqref="V4:Y13 I4:M49 M50">
    <cfRule type="expression" dxfId="141" priority="89" stopIfTrue="1">
      <formula>I3=I4</formula>
    </cfRule>
  </conditionalFormatting>
  <conditionalFormatting sqref="K4:M49 M50">
    <cfRule type="expression" dxfId="140" priority="88" stopIfTrue="1">
      <formula>K3=K4</formula>
    </cfRule>
  </conditionalFormatting>
  <conditionalFormatting sqref="V4:Y13 I4:M49 M50">
    <cfRule type="expression" dxfId="139" priority="87" stopIfTrue="1">
      <formula>I3=I4</formula>
    </cfRule>
  </conditionalFormatting>
  <conditionalFormatting sqref="K4:M49 M50">
    <cfRule type="expression" dxfId="138" priority="86" stopIfTrue="1">
      <formula>K3=K4</formula>
    </cfRule>
  </conditionalFormatting>
  <conditionalFormatting sqref="V4:Y13 I4:M49 M50">
    <cfRule type="expression" dxfId="137" priority="85" stopIfTrue="1">
      <formula>I3=I4</formula>
    </cfRule>
  </conditionalFormatting>
  <conditionalFormatting sqref="K4:M49 M50">
    <cfRule type="expression" dxfId="136" priority="84" stopIfTrue="1">
      <formula>K3=K4</formula>
    </cfRule>
  </conditionalFormatting>
  <conditionalFormatting sqref="V4:Y13 I4:O49">
    <cfRule type="expression" dxfId="135" priority="83" stopIfTrue="1">
      <formula>I3=I4</formula>
    </cfRule>
  </conditionalFormatting>
  <conditionalFormatting sqref="I4:M49 M50">
    <cfRule type="expression" dxfId="134" priority="82" stopIfTrue="1">
      <formula>I3=I4</formula>
    </cfRule>
  </conditionalFormatting>
  <conditionalFormatting sqref="K4:M49 M50">
    <cfRule type="expression" dxfId="133" priority="81" stopIfTrue="1">
      <formula>K3=K4</formula>
    </cfRule>
  </conditionalFormatting>
  <conditionalFormatting sqref="I4:M49 M50">
    <cfRule type="expression" dxfId="132" priority="80" stopIfTrue="1">
      <formula>I3=I4</formula>
    </cfRule>
  </conditionalFormatting>
  <conditionalFormatting sqref="K4:M49 M50">
    <cfRule type="expression" dxfId="131" priority="79" stopIfTrue="1">
      <formula>K3=K4</formula>
    </cfRule>
  </conditionalFormatting>
  <conditionalFormatting sqref="I4:M49 M50">
    <cfRule type="expression" dxfId="130" priority="78" stopIfTrue="1">
      <formula>I3=I4</formula>
    </cfRule>
  </conditionalFormatting>
  <conditionalFormatting sqref="K4:M49 M50">
    <cfRule type="expression" dxfId="129" priority="77" stopIfTrue="1">
      <formula>K3=K4</formula>
    </cfRule>
  </conditionalFormatting>
  <conditionalFormatting sqref="V4:Y13 I4:M49 M50">
    <cfRule type="expression" dxfId="128" priority="76" stopIfTrue="1">
      <formula>I3=I4</formula>
    </cfRule>
  </conditionalFormatting>
  <conditionalFormatting sqref="K4:M49 M50">
    <cfRule type="expression" dxfId="127" priority="75" stopIfTrue="1">
      <formula>K3=K4</formula>
    </cfRule>
  </conditionalFormatting>
  <conditionalFormatting sqref="V4:Y13 I4:M49 M50">
    <cfRule type="expression" dxfId="126" priority="74" stopIfTrue="1">
      <formula>I3=I4</formula>
    </cfRule>
  </conditionalFormatting>
  <conditionalFormatting sqref="K4:M49 M50">
    <cfRule type="expression" dxfId="125" priority="73" stopIfTrue="1">
      <formula>K3=K4</formula>
    </cfRule>
  </conditionalFormatting>
  <conditionalFormatting sqref="V4:Y13 I4:M49 M50">
    <cfRule type="expression" dxfId="124" priority="72" stopIfTrue="1">
      <formula>I3=I4</formula>
    </cfRule>
  </conditionalFormatting>
  <conditionalFormatting sqref="K4:M49 M50">
    <cfRule type="expression" dxfId="123" priority="71" stopIfTrue="1">
      <formula>K3=K4</formula>
    </cfRule>
  </conditionalFormatting>
  <conditionalFormatting sqref="V4:Y13 I4:M49 M50">
    <cfRule type="expression" dxfId="122" priority="70" stopIfTrue="1">
      <formula>I3=I4</formula>
    </cfRule>
  </conditionalFormatting>
  <conditionalFormatting sqref="K4:M49 M50">
    <cfRule type="expression" dxfId="121" priority="69" stopIfTrue="1">
      <formula>K3=K4</formula>
    </cfRule>
  </conditionalFormatting>
  <conditionalFormatting sqref="V4:Y13 I4:M49 M50">
    <cfRule type="expression" dxfId="120" priority="68" stopIfTrue="1">
      <formula>I3=I4</formula>
    </cfRule>
  </conditionalFormatting>
  <conditionalFormatting sqref="K4:M49 M50">
    <cfRule type="expression" dxfId="119" priority="67" stopIfTrue="1">
      <formula>K3=K4</formula>
    </cfRule>
  </conditionalFormatting>
  <conditionalFormatting sqref="V4:Y13 I4:M49 M50">
    <cfRule type="expression" dxfId="118" priority="66" stopIfTrue="1">
      <formula>I3=I4</formula>
    </cfRule>
  </conditionalFormatting>
  <conditionalFormatting sqref="K4:M49 M50">
    <cfRule type="expression" dxfId="117" priority="65" stopIfTrue="1">
      <formula>K3=K4</formula>
    </cfRule>
  </conditionalFormatting>
  <conditionalFormatting sqref="V4:Y13 I4:O49">
    <cfRule type="expression" dxfId="116" priority="64" stopIfTrue="1">
      <formula>I3=I4</formula>
    </cfRule>
  </conditionalFormatting>
  <conditionalFormatting sqref="I4:M49 M50">
    <cfRule type="expression" dxfId="115" priority="63" stopIfTrue="1">
      <formula>I3=I4</formula>
    </cfRule>
  </conditionalFormatting>
  <conditionalFormatting sqref="K4:M49 M50">
    <cfRule type="expression" dxfId="114" priority="62" stopIfTrue="1">
      <formula>K3=K4</formula>
    </cfRule>
  </conditionalFormatting>
  <conditionalFormatting sqref="I4:M49 M50">
    <cfRule type="expression" dxfId="113" priority="61" stopIfTrue="1">
      <formula>I3=I4</formula>
    </cfRule>
  </conditionalFormatting>
  <conditionalFormatting sqref="K4:M49 M50">
    <cfRule type="expression" dxfId="112" priority="60" stopIfTrue="1">
      <formula>K3=K4</formula>
    </cfRule>
  </conditionalFormatting>
  <conditionalFormatting sqref="I4:M49 M50">
    <cfRule type="expression" dxfId="111" priority="59" stopIfTrue="1">
      <formula>I3=I4</formula>
    </cfRule>
  </conditionalFormatting>
  <conditionalFormatting sqref="K4:M49 M50">
    <cfRule type="expression" dxfId="110" priority="58" stopIfTrue="1">
      <formula>K3=K4</formula>
    </cfRule>
  </conditionalFormatting>
  <conditionalFormatting sqref="V4:Y13 I4:M49 M50">
    <cfRule type="expression" dxfId="109" priority="57" stopIfTrue="1">
      <formula>I3=I4</formula>
    </cfRule>
  </conditionalFormatting>
  <conditionalFormatting sqref="K4:M49 M50">
    <cfRule type="expression" dxfId="108" priority="56" stopIfTrue="1">
      <formula>K3=K4</formula>
    </cfRule>
  </conditionalFormatting>
  <conditionalFormatting sqref="V4:Y13 I4:M49 M50">
    <cfRule type="expression" dxfId="107" priority="55" stopIfTrue="1">
      <formula>I3=I4</formula>
    </cfRule>
  </conditionalFormatting>
  <conditionalFormatting sqref="K4:M49 M50">
    <cfRule type="expression" dxfId="106" priority="54" stopIfTrue="1">
      <formula>K3=K4</formula>
    </cfRule>
  </conditionalFormatting>
  <conditionalFormatting sqref="V4:Y13 I4:M49 M50">
    <cfRule type="expression" dxfId="105" priority="53" stopIfTrue="1">
      <formula>I3=I4</formula>
    </cfRule>
  </conditionalFormatting>
  <conditionalFormatting sqref="K4:M49 M50">
    <cfRule type="expression" dxfId="104" priority="52" stopIfTrue="1">
      <formula>K3=K4</formula>
    </cfRule>
  </conditionalFormatting>
  <conditionalFormatting sqref="M50">
    <cfRule type="expression" dxfId="103" priority="51" stopIfTrue="1">
      <formula>M49=M50</formula>
    </cfRule>
  </conditionalFormatting>
  <conditionalFormatting sqref="M50">
    <cfRule type="expression" dxfId="102" priority="50" stopIfTrue="1">
      <formula>M49=M50</formula>
    </cfRule>
  </conditionalFormatting>
  <conditionalFormatting sqref="M50">
    <cfRule type="expression" dxfId="101" priority="49" stopIfTrue="1">
      <formula>M49=M50</formula>
    </cfRule>
  </conditionalFormatting>
  <conditionalFormatting sqref="M50">
    <cfRule type="expression" dxfId="100" priority="48" stopIfTrue="1">
      <formula>M49=M50</formula>
    </cfRule>
  </conditionalFormatting>
  <conditionalFormatting sqref="M50">
    <cfRule type="expression" dxfId="99" priority="47" stopIfTrue="1">
      <formula>M49=M50</formula>
    </cfRule>
  </conditionalFormatting>
  <conditionalFormatting sqref="M50">
    <cfRule type="expression" dxfId="98" priority="46" stopIfTrue="1">
      <formula>M49=M50</formula>
    </cfRule>
  </conditionalFormatting>
  <conditionalFormatting sqref="M50">
    <cfRule type="expression" dxfId="97" priority="45" stopIfTrue="1">
      <formula>M49=M50</formula>
    </cfRule>
  </conditionalFormatting>
  <conditionalFormatting sqref="M50">
    <cfRule type="expression" dxfId="96" priority="44" stopIfTrue="1">
      <formula>M49=M50</formula>
    </cfRule>
  </conditionalFormatting>
  <conditionalFormatting sqref="M50">
    <cfRule type="expression" dxfId="95" priority="43" stopIfTrue="1">
      <formula>M49=M50</formula>
    </cfRule>
  </conditionalFormatting>
  <conditionalFormatting sqref="M50">
    <cfRule type="expression" dxfId="94" priority="42" stopIfTrue="1">
      <formula>M49=M50</formula>
    </cfRule>
  </conditionalFormatting>
  <conditionalFormatting sqref="M50">
    <cfRule type="expression" dxfId="93" priority="41" stopIfTrue="1">
      <formula>M49=M50</formula>
    </cfRule>
  </conditionalFormatting>
  <conditionalFormatting sqref="M50">
    <cfRule type="expression" dxfId="92" priority="40" stopIfTrue="1">
      <formula>M49=M50</formula>
    </cfRule>
  </conditionalFormatting>
  <conditionalFormatting sqref="M50">
    <cfRule type="expression" dxfId="91" priority="39" stopIfTrue="1">
      <formula>M49=M50</formula>
    </cfRule>
  </conditionalFormatting>
  <conditionalFormatting sqref="M50">
    <cfRule type="expression" dxfId="90" priority="38" stopIfTrue="1">
      <formula>M49=M50</formula>
    </cfRule>
  </conditionalFormatting>
  <conditionalFormatting sqref="M50">
    <cfRule type="expression" dxfId="89" priority="37" stopIfTrue="1">
      <formula>M49=M50</formula>
    </cfRule>
  </conditionalFormatting>
  <conditionalFormatting sqref="M50">
    <cfRule type="expression" dxfId="88" priority="36" stopIfTrue="1">
      <formula>M49=M50</formula>
    </cfRule>
  </conditionalFormatting>
  <conditionalFormatting sqref="M50">
    <cfRule type="expression" dxfId="87" priority="35" stopIfTrue="1">
      <formula>M49=M50</formula>
    </cfRule>
  </conditionalFormatting>
  <conditionalFormatting sqref="M50">
    <cfRule type="expression" dxfId="86" priority="34" stopIfTrue="1">
      <formula>M49=M50</formula>
    </cfRule>
  </conditionalFormatting>
  <conditionalFormatting sqref="V4:Y13">
    <cfRule type="expression" dxfId="85" priority="33" stopIfTrue="1">
      <formula>V3=V4</formula>
    </cfRule>
  </conditionalFormatting>
  <conditionalFormatting sqref="V4:Y13">
    <cfRule type="expression" dxfId="84" priority="32" stopIfTrue="1">
      <formula>V3=V4</formula>
    </cfRule>
  </conditionalFormatting>
  <conditionalFormatting sqref="V4:Y13">
    <cfRule type="expression" dxfId="83" priority="31" stopIfTrue="1">
      <formula>V3=V4</formula>
    </cfRule>
  </conditionalFormatting>
  <conditionalFormatting sqref="V4:Y13">
    <cfRule type="expression" dxfId="82" priority="30" stopIfTrue="1">
      <formula>V3=V4</formula>
    </cfRule>
  </conditionalFormatting>
  <conditionalFormatting sqref="V4:Y13">
    <cfRule type="expression" dxfId="81" priority="29" stopIfTrue="1">
      <formula>V3=V4</formula>
    </cfRule>
  </conditionalFormatting>
  <conditionalFormatting sqref="V4:Y13">
    <cfRule type="expression" dxfId="80" priority="28" stopIfTrue="1">
      <formula>V3=V4</formula>
    </cfRule>
  </conditionalFormatting>
  <conditionalFormatting sqref="V4:Y13">
    <cfRule type="expression" dxfId="79" priority="27" stopIfTrue="1">
      <formula>V3=V4</formula>
    </cfRule>
  </conditionalFormatting>
  <conditionalFormatting sqref="V4:Y13">
    <cfRule type="expression" dxfId="78" priority="26" stopIfTrue="1">
      <formula>V3=V4</formula>
    </cfRule>
  </conditionalFormatting>
  <conditionalFormatting sqref="V4:Y13">
    <cfRule type="expression" dxfId="77" priority="25" stopIfTrue="1">
      <formula>V3=V4</formula>
    </cfRule>
  </conditionalFormatting>
  <conditionalFormatting sqref="V4:Y13">
    <cfRule type="expression" dxfId="76" priority="24" stopIfTrue="1">
      <formula>V3=V4</formula>
    </cfRule>
  </conditionalFormatting>
  <conditionalFormatting sqref="V4:Y13">
    <cfRule type="expression" dxfId="75" priority="23" stopIfTrue="1">
      <formula>V3=V4</formula>
    </cfRule>
  </conditionalFormatting>
  <conditionalFormatting sqref="V4:Y13">
    <cfRule type="expression" dxfId="74" priority="22" stopIfTrue="1">
      <formula>V3=V4</formula>
    </cfRule>
  </conditionalFormatting>
  <conditionalFormatting sqref="V4:Y13">
    <cfRule type="expression" dxfId="73" priority="21" stopIfTrue="1">
      <formula>V3=V4</formula>
    </cfRule>
  </conditionalFormatting>
  <conditionalFormatting sqref="V4:Y13">
    <cfRule type="expression" dxfId="72" priority="20" stopIfTrue="1">
      <formula>V3=V4</formula>
    </cfRule>
  </conditionalFormatting>
  <conditionalFormatting sqref="V4:Y13">
    <cfRule type="expression" dxfId="71" priority="19" stopIfTrue="1">
      <formula>V3=V4</formula>
    </cfRule>
  </conditionalFormatting>
  <conditionalFormatting sqref="V4:Y13">
    <cfRule type="expression" dxfId="70" priority="18" stopIfTrue="1">
      <formula>V3=V4</formula>
    </cfRule>
  </conditionalFormatting>
  <conditionalFormatting sqref="V4:Y13">
    <cfRule type="expression" dxfId="69" priority="17" stopIfTrue="1">
      <formula>V3=V4</formula>
    </cfRule>
  </conditionalFormatting>
  <conditionalFormatting sqref="V4:Y13">
    <cfRule type="expression" dxfId="68" priority="16" stopIfTrue="1">
      <formula>V3=V4</formula>
    </cfRule>
  </conditionalFormatting>
  <conditionalFormatting sqref="V4:Y13">
    <cfRule type="expression" dxfId="67" priority="15" stopIfTrue="1">
      <formula>V3=V4</formula>
    </cfRule>
  </conditionalFormatting>
  <conditionalFormatting sqref="V4:Y13">
    <cfRule type="expression" dxfId="66" priority="14" stopIfTrue="1">
      <formula>V3=V4</formula>
    </cfRule>
  </conditionalFormatting>
  <conditionalFormatting sqref="V4:Y13">
    <cfRule type="expression" dxfId="65" priority="13" stopIfTrue="1">
      <formula>V3=V4</formula>
    </cfRule>
  </conditionalFormatting>
  <conditionalFormatting sqref="N62:O62">
    <cfRule type="expression" dxfId="64" priority="12" stopIfTrue="1">
      <formula>N61=N62</formula>
    </cfRule>
  </conditionalFormatting>
  <conditionalFormatting sqref="N62:O62">
    <cfRule type="expression" dxfId="63" priority="11" stopIfTrue="1">
      <formula>N61=N62</formula>
    </cfRule>
  </conditionalFormatting>
  <conditionalFormatting sqref="N62:O62">
    <cfRule type="expression" dxfId="62" priority="10" stopIfTrue="1">
      <formula>N61=N62</formula>
    </cfRule>
  </conditionalFormatting>
  <conditionalFormatting sqref="N62:O62">
    <cfRule type="expression" dxfId="61" priority="9" stopIfTrue="1">
      <formula>N61=N62</formula>
    </cfRule>
  </conditionalFormatting>
  <conditionalFormatting sqref="N62:O62">
    <cfRule type="expression" dxfId="60" priority="8" stopIfTrue="1">
      <formula>N61=N62</formula>
    </cfRule>
  </conditionalFormatting>
  <conditionalFormatting sqref="N62:O62">
    <cfRule type="expression" dxfId="59" priority="7" stopIfTrue="1">
      <formula>N61=N62</formula>
    </cfRule>
  </conditionalFormatting>
  <conditionalFormatting sqref="N54:O54">
    <cfRule type="expression" dxfId="58" priority="6" stopIfTrue="1">
      <formula>N53=N54</formula>
    </cfRule>
  </conditionalFormatting>
  <conditionalFormatting sqref="N54:O54">
    <cfRule type="expression" dxfId="57" priority="5" stopIfTrue="1">
      <formula>N53=N54</formula>
    </cfRule>
  </conditionalFormatting>
  <conditionalFormatting sqref="N54:O54">
    <cfRule type="expression" dxfId="56" priority="4" stopIfTrue="1">
      <formula>N53=N54</formula>
    </cfRule>
  </conditionalFormatting>
  <conditionalFormatting sqref="N54:O54">
    <cfRule type="expression" dxfId="55" priority="3" stopIfTrue="1">
      <formula>N53=N54</formula>
    </cfRule>
  </conditionalFormatting>
  <conditionalFormatting sqref="N54:O54">
    <cfRule type="expression" dxfId="54" priority="2" stopIfTrue="1">
      <formula>N53=N54</formula>
    </cfRule>
  </conditionalFormatting>
  <conditionalFormatting sqref="N54:O54">
    <cfRule type="expression" dxfId="53" priority="1" stopIfTrue="1">
      <formula>N53=N54</formula>
    </cfRule>
  </conditionalFormatting>
  <printOptions horizontalCentered="1"/>
  <pageMargins left="0" right="0" top="0" bottom="0" header="0" footer="0"/>
  <pageSetup paperSize="9" scale="4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3697"/>
  <sheetViews>
    <sheetView showZeros="0" zoomScale="80" zoomScaleNormal="80" workbookViewId="0">
      <pane xSplit="4" ySplit="6" topLeftCell="E7" activePane="bottomRight" state="frozen"/>
      <selection pane="topRight" activeCell="D1" sqref="D1"/>
      <selection pane="bottomLeft" activeCell="A9" sqref="A9"/>
      <selection pane="bottomRight" activeCell="J38" sqref="J38"/>
    </sheetView>
  </sheetViews>
  <sheetFormatPr defaultRowHeight="15" customHeight="1"/>
  <cols>
    <col min="1" max="1" width="2.25" style="187" customWidth="1"/>
    <col min="2" max="2" width="7.75" style="188" bestFit="1" customWidth="1"/>
    <col min="3" max="3" width="11.875" style="49" customWidth="1"/>
    <col min="4" max="4" width="11.25" style="188" customWidth="1"/>
    <col min="5" max="5" width="9.5" style="188" customWidth="1"/>
    <col min="6" max="7" width="8.75" style="188" customWidth="1"/>
    <col min="8" max="9" width="10.5" style="188" customWidth="1"/>
    <col min="10" max="10" width="9.375" style="189" customWidth="1"/>
    <col min="11" max="11" width="10" style="190" customWidth="1"/>
    <col min="12" max="12" width="9.875" style="190" customWidth="1"/>
    <col min="13" max="13" width="8.75" style="189" customWidth="1"/>
    <col min="14" max="14" width="10.5" style="189" customWidth="1"/>
    <col min="15" max="15" width="10.5" style="187" customWidth="1"/>
    <col min="16" max="16" width="11.125" style="187" customWidth="1"/>
    <col min="17" max="17" width="13" style="187" bestFit="1" customWidth="1"/>
    <col min="18" max="18" width="10" style="187" bestFit="1" customWidth="1"/>
    <col min="19" max="19" width="13.75" style="187" bestFit="1" customWidth="1"/>
    <col min="20" max="20" width="15.625" style="187" bestFit="1" customWidth="1"/>
    <col min="21" max="16384" width="9" style="187"/>
  </cols>
  <sheetData>
    <row r="1" spans="2:16" customFormat="1" ht="26.25" customHeight="1">
      <c r="B1" s="30" t="s">
        <v>1402</v>
      </c>
      <c r="C1" s="5"/>
      <c r="D1" s="3"/>
      <c r="E1" s="3"/>
      <c r="F1" s="3"/>
      <c r="G1" s="3"/>
      <c r="H1" s="3"/>
      <c r="I1" s="3"/>
      <c r="K1" s="55"/>
    </row>
    <row r="2" spans="2:16" customFormat="1" ht="16.5">
      <c r="D2" s="3"/>
      <c r="E2" s="3"/>
      <c r="F2" s="3"/>
      <c r="G2" s="3"/>
      <c r="H2" s="4"/>
      <c r="I2" s="3"/>
      <c r="K2" s="55"/>
      <c r="N2" s="41">
        <f ca="1">TODAY()</f>
        <v>42157</v>
      </c>
      <c r="P2" s="187"/>
    </row>
    <row r="3" spans="2:16" ht="15" customHeight="1">
      <c r="B3" s="213" t="s">
        <v>1391</v>
      </c>
      <c r="C3" s="213" t="s">
        <v>1392</v>
      </c>
      <c r="D3" s="213" t="s">
        <v>1393</v>
      </c>
      <c r="E3" s="213" t="s">
        <v>1394</v>
      </c>
      <c r="F3" s="211" t="s">
        <v>1397</v>
      </c>
      <c r="G3" s="212"/>
      <c r="H3" s="211" t="s">
        <v>1398</v>
      </c>
      <c r="I3" s="212"/>
      <c r="J3" s="215" t="s">
        <v>776</v>
      </c>
      <c r="K3" s="215" t="s">
        <v>1387</v>
      </c>
      <c r="L3" s="215" t="s">
        <v>1388</v>
      </c>
      <c r="M3" s="215" t="s">
        <v>1389</v>
      </c>
      <c r="N3" s="215" t="s">
        <v>1390</v>
      </c>
    </row>
    <row r="4" spans="2:16" ht="15" customHeight="1">
      <c r="B4" s="214"/>
      <c r="C4" s="214"/>
      <c r="D4" s="214"/>
      <c r="E4" s="214"/>
      <c r="F4" s="191" t="s">
        <v>1395</v>
      </c>
      <c r="G4" s="191" t="s">
        <v>1396</v>
      </c>
      <c r="H4" s="191" t="s">
        <v>1395</v>
      </c>
      <c r="I4" s="191" t="s">
        <v>1396</v>
      </c>
      <c r="J4" s="216"/>
      <c r="K4" s="216"/>
      <c r="L4" s="216"/>
      <c r="M4" s="216"/>
      <c r="N4" s="216"/>
    </row>
    <row r="5" spans="2:16" ht="15" customHeight="1">
      <c r="B5" s="175"/>
      <c r="C5" s="12"/>
      <c r="D5" s="12"/>
      <c r="E5" s="40"/>
      <c r="F5" s="45" t="s">
        <v>17</v>
      </c>
      <c r="G5" s="175"/>
      <c r="H5" s="14"/>
      <c r="I5" s="12"/>
      <c r="J5" s="175"/>
      <c r="K5" s="12"/>
      <c r="L5" s="12"/>
      <c r="M5" s="40"/>
      <c r="N5" s="47"/>
      <c r="O5"/>
      <c r="P5" s="192"/>
    </row>
    <row r="6" spans="2:16" ht="15" customHeight="1">
      <c r="B6" s="45" t="s">
        <v>13</v>
      </c>
      <c r="C6" s="8" t="s">
        <v>1372</v>
      </c>
      <c r="D6" s="8" t="s">
        <v>1374</v>
      </c>
      <c r="E6" s="8" t="s">
        <v>1382</v>
      </c>
      <c r="F6" s="9" t="s">
        <v>1383</v>
      </c>
      <c r="G6" s="10" t="s">
        <v>1384</v>
      </c>
      <c r="H6" s="10" t="s">
        <v>1385</v>
      </c>
      <c r="I6" s="10" t="s">
        <v>1386</v>
      </c>
      <c r="J6" s="10" t="s">
        <v>776</v>
      </c>
      <c r="K6" s="10" t="s">
        <v>1387</v>
      </c>
      <c r="L6" s="10" t="s">
        <v>1388</v>
      </c>
      <c r="M6" s="10" t="s">
        <v>1389</v>
      </c>
      <c r="N6" s="11" t="s">
        <v>1390</v>
      </c>
      <c r="O6"/>
      <c r="P6" s="192"/>
    </row>
    <row r="7" spans="2:16" ht="15" customHeight="1">
      <c r="B7" s="47" t="s">
        <v>14</v>
      </c>
      <c r="C7" s="9" t="s">
        <v>565</v>
      </c>
      <c r="D7" s="9" t="s">
        <v>401</v>
      </c>
      <c r="E7" s="9" t="s">
        <v>26</v>
      </c>
      <c r="F7" s="63">
        <v>4</v>
      </c>
      <c r="G7" s="63">
        <v>5</v>
      </c>
      <c r="H7" s="63">
        <v>0</v>
      </c>
      <c r="I7" s="63">
        <v>0</v>
      </c>
      <c r="J7" s="182">
        <v>6000</v>
      </c>
      <c r="K7" s="176">
        <v>42600000</v>
      </c>
      <c r="L7" s="176">
        <v>6451740</v>
      </c>
      <c r="M7" s="63">
        <v>5998</v>
      </c>
      <c r="N7" s="63">
        <v>0</v>
      </c>
      <c r="O7"/>
      <c r="P7" s="192"/>
    </row>
    <row r="8" spans="2:16" ht="15" customHeight="1">
      <c r="B8" s="48"/>
      <c r="C8" s="46"/>
      <c r="D8" s="199" t="s">
        <v>1378</v>
      </c>
      <c r="E8" s="200"/>
      <c r="F8" s="201">
        <v>4</v>
      </c>
      <c r="G8" s="201">
        <v>5</v>
      </c>
      <c r="H8" s="201">
        <v>0</v>
      </c>
      <c r="I8" s="201">
        <v>0</v>
      </c>
      <c r="J8" s="202">
        <v>6000</v>
      </c>
      <c r="K8" s="203">
        <v>42600000</v>
      </c>
      <c r="L8" s="203">
        <v>6451740</v>
      </c>
      <c r="M8" s="201">
        <v>5998</v>
      </c>
      <c r="N8" s="201">
        <v>0</v>
      </c>
      <c r="O8"/>
      <c r="P8" s="192"/>
    </row>
    <row r="9" spans="2:16" ht="15" customHeight="1">
      <c r="B9" s="48"/>
      <c r="C9" s="46"/>
      <c r="D9" s="9" t="s">
        <v>1376</v>
      </c>
      <c r="E9" s="9" t="s">
        <v>1364</v>
      </c>
      <c r="F9" s="63">
        <v>3</v>
      </c>
      <c r="G9" s="63">
        <v>3</v>
      </c>
      <c r="H9" s="63">
        <v>0</v>
      </c>
      <c r="I9" s="63">
        <v>0</v>
      </c>
      <c r="J9" s="182">
        <v>1500</v>
      </c>
      <c r="K9" s="176">
        <v>193500000</v>
      </c>
      <c r="L9" s="176">
        <v>51280000</v>
      </c>
      <c r="M9" s="63">
        <v>1500</v>
      </c>
      <c r="N9" s="63">
        <v>0</v>
      </c>
      <c r="O9"/>
      <c r="P9" s="192"/>
    </row>
    <row r="10" spans="2:16" ht="15" customHeight="1">
      <c r="B10" s="48"/>
      <c r="C10" s="46"/>
      <c r="D10" s="46"/>
      <c r="E10" s="62" t="s">
        <v>20</v>
      </c>
      <c r="F10" s="64">
        <v>6</v>
      </c>
      <c r="G10" s="64">
        <v>6</v>
      </c>
      <c r="H10" s="64">
        <v>0</v>
      </c>
      <c r="I10" s="64">
        <v>0</v>
      </c>
      <c r="J10" s="183">
        <v>4800</v>
      </c>
      <c r="K10" s="177">
        <v>427200000</v>
      </c>
      <c r="L10" s="177">
        <v>96246000</v>
      </c>
      <c r="M10" s="64">
        <v>4800</v>
      </c>
      <c r="N10" s="64">
        <v>0</v>
      </c>
      <c r="O10"/>
      <c r="P10" s="192"/>
    </row>
    <row r="11" spans="2:16" ht="15" customHeight="1">
      <c r="B11" s="48"/>
      <c r="C11" s="46"/>
      <c r="D11" s="46"/>
      <c r="E11" s="62" t="s">
        <v>1362</v>
      </c>
      <c r="F11" s="64">
        <v>3</v>
      </c>
      <c r="G11" s="64">
        <v>3</v>
      </c>
      <c r="H11" s="64">
        <v>0</v>
      </c>
      <c r="I11" s="64">
        <v>0</v>
      </c>
      <c r="J11" s="183">
        <v>1200</v>
      </c>
      <c r="K11" s="177">
        <v>153200000</v>
      </c>
      <c r="L11" s="177">
        <v>36824000</v>
      </c>
      <c r="M11" s="64">
        <v>1200</v>
      </c>
      <c r="N11" s="64">
        <v>0</v>
      </c>
      <c r="O11"/>
      <c r="P11" s="192"/>
    </row>
    <row r="12" spans="2:16" ht="15" customHeight="1">
      <c r="B12" s="48"/>
      <c r="C12" s="46"/>
      <c r="D12" s="46"/>
      <c r="E12" s="62" t="s">
        <v>23</v>
      </c>
      <c r="F12" s="64">
        <v>2</v>
      </c>
      <c r="G12" s="64">
        <v>2</v>
      </c>
      <c r="H12" s="64">
        <v>2</v>
      </c>
      <c r="I12" s="64">
        <v>2</v>
      </c>
      <c r="J12" s="183">
        <v>2600</v>
      </c>
      <c r="K12" s="177">
        <v>361000000</v>
      </c>
      <c r="L12" s="177">
        <v>84386000</v>
      </c>
      <c r="M12" s="64">
        <v>2600</v>
      </c>
      <c r="N12" s="64">
        <v>0</v>
      </c>
      <c r="O12"/>
      <c r="P12" s="192"/>
    </row>
    <row r="13" spans="2:16" ht="15" customHeight="1">
      <c r="B13" s="48"/>
      <c r="C13" s="46"/>
      <c r="D13" s="46"/>
      <c r="E13" s="62" t="s">
        <v>811</v>
      </c>
      <c r="F13" s="64">
        <v>3</v>
      </c>
      <c r="G13" s="64">
        <v>3</v>
      </c>
      <c r="H13" s="64">
        <v>0</v>
      </c>
      <c r="I13" s="64">
        <v>0</v>
      </c>
      <c r="J13" s="183">
        <v>1800</v>
      </c>
      <c r="K13" s="177">
        <v>284400000</v>
      </c>
      <c r="L13" s="177">
        <v>67536000</v>
      </c>
      <c r="M13" s="64">
        <v>1800</v>
      </c>
      <c r="N13" s="64">
        <v>0</v>
      </c>
      <c r="O13"/>
      <c r="P13" s="192"/>
    </row>
    <row r="14" spans="2:16" ht="15" customHeight="1">
      <c r="B14" s="48"/>
      <c r="C14" s="46"/>
      <c r="D14" s="46"/>
      <c r="E14" s="62" t="s">
        <v>1482</v>
      </c>
      <c r="F14" s="64">
        <v>2</v>
      </c>
      <c r="G14" s="64">
        <v>2</v>
      </c>
      <c r="H14" s="64">
        <v>0</v>
      </c>
      <c r="I14" s="64">
        <v>0</v>
      </c>
      <c r="J14" s="183">
        <v>1200</v>
      </c>
      <c r="K14" s="177">
        <v>152400000</v>
      </c>
      <c r="L14" s="177">
        <v>35340000</v>
      </c>
      <c r="M14" s="64">
        <v>1200</v>
      </c>
      <c r="N14" s="64">
        <v>0</v>
      </c>
      <c r="O14"/>
      <c r="P14" s="192"/>
    </row>
    <row r="15" spans="2:16" ht="15" customHeight="1">
      <c r="B15" s="48"/>
      <c r="C15" s="46"/>
      <c r="D15" s="199" t="s">
        <v>1379</v>
      </c>
      <c r="E15" s="200"/>
      <c r="F15" s="201">
        <v>19</v>
      </c>
      <c r="G15" s="201">
        <v>19</v>
      </c>
      <c r="H15" s="201">
        <v>2</v>
      </c>
      <c r="I15" s="201">
        <v>2</v>
      </c>
      <c r="J15" s="202">
        <v>13100</v>
      </c>
      <c r="K15" s="203">
        <v>1571700000</v>
      </c>
      <c r="L15" s="203">
        <v>371612000</v>
      </c>
      <c r="M15" s="201">
        <v>13100</v>
      </c>
      <c r="N15" s="201">
        <v>0</v>
      </c>
      <c r="O15"/>
      <c r="P15" s="192"/>
    </row>
    <row r="16" spans="2:16" ht="15" customHeight="1">
      <c r="B16" s="48"/>
      <c r="C16" s="46"/>
      <c r="D16" s="9" t="s">
        <v>1375</v>
      </c>
      <c r="E16" s="9" t="s">
        <v>28</v>
      </c>
      <c r="F16" s="63">
        <v>2</v>
      </c>
      <c r="G16" s="63">
        <v>2</v>
      </c>
      <c r="H16" s="63">
        <v>0</v>
      </c>
      <c r="I16" s="63">
        <v>0</v>
      </c>
      <c r="J16" s="182">
        <v>2000</v>
      </c>
      <c r="K16" s="176">
        <v>108000000</v>
      </c>
      <c r="L16" s="176">
        <v>13387180.000000004</v>
      </c>
      <c r="M16" s="63">
        <v>1891</v>
      </c>
      <c r="N16" s="63">
        <v>0</v>
      </c>
      <c r="O16"/>
      <c r="P16" s="192"/>
    </row>
    <row r="17" spans="2:16" ht="15" customHeight="1">
      <c r="B17" s="48"/>
      <c r="C17" s="46"/>
      <c r="D17" s="46"/>
      <c r="E17" s="62" t="s">
        <v>1364</v>
      </c>
      <c r="F17" s="64">
        <v>11</v>
      </c>
      <c r="G17" s="64">
        <v>12</v>
      </c>
      <c r="H17" s="64">
        <v>4</v>
      </c>
      <c r="I17" s="64">
        <v>4</v>
      </c>
      <c r="J17" s="183">
        <v>19600</v>
      </c>
      <c r="K17" s="177">
        <v>917600000</v>
      </c>
      <c r="L17" s="177">
        <v>162709668</v>
      </c>
      <c r="M17" s="64">
        <v>19537</v>
      </c>
      <c r="N17" s="64">
        <v>0</v>
      </c>
      <c r="O17"/>
      <c r="P17" s="192"/>
    </row>
    <row r="18" spans="2:16" ht="15" customHeight="1">
      <c r="B18" s="48"/>
      <c r="C18" s="46"/>
      <c r="D18" s="46"/>
      <c r="E18" s="62" t="s">
        <v>20</v>
      </c>
      <c r="F18" s="64">
        <v>8</v>
      </c>
      <c r="G18" s="64">
        <v>9</v>
      </c>
      <c r="H18" s="64">
        <v>1</v>
      </c>
      <c r="I18" s="64">
        <v>1</v>
      </c>
      <c r="J18" s="183">
        <v>18900</v>
      </c>
      <c r="K18" s="177">
        <v>924500000</v>
      </c>
      <c r="L18" s="177">
        <v>124339603</v>
      </c>
      <c r="M18" s="64">
        <v>18766</v>
      </c>
      <c r="N18" s="64">
        <v>0</v>
      </c>
      <c r="O18"/>
      <c r="P18" s="192"/>
    </row>
    <row r="19" spans="2:16" ht="15" customHeight="1">
      <c r="B19" s="48"/>
      <c r="C19" s="46"/>
      <c r="D19" s="46"/>
      <c r="E19" s="62" t="s">
        <v>21</v>
      </c>
      <c r="F19" s="64">
        <v>13</v>
      </c>
      <c r="G19" s="64">
        <v>18</v>
      </c>
      <c r="H19" s="64">
        <v>0</v>
      </c>
      <c r="I19" s="64">
        <v>0</v>
      </c>
      <c r="J19" s="183">
        <v>25600</v>
      </c>
      <c r="K19" s="177">
        <v>1261000000</v>
      </c>
      <c r="L19" s="177">
        <v>183859922</v>
      </c>
      <c r="M19" s="64">
        <v>25617</v>
      </c>
      <c r="N19" s="64">
        <v>0</v>
      </c>
      <c r="O19"/>
      <c r="P19" s="192"/>
    </row>
    <row r="20" spans="2:16" ht="15" customHeight="1">
      <c r="B20" s="48"/>
      <c r="C20" s="46"/>
      <c r="D20" s="46"/>
      <c r="E20" s="62" t="s">
        <v>30</v>
      </c>
      <c r="F20" s="64">
        <v>4</v>
      </c>
      <c r="G20" s="64">
        <v>4</v>
      </c>
      <c r="H20" s="64">
        <v>0</v>
      </c>
      <c r="I20" s="64">
        <v>0</v>
      </c>
      <c r="J20" s="183">
        <v>5400</v>
      </c>
      <c r="K20" s="177">
        <v>264600000</v>
      </c>
      <c r="L20" s="177">
        <v>43956588</v>
      </c>
      <c r="M20" s="64">
        <v>5267</v>
      </c>
      <c r="N20" s="64">
        <v>0</v>
      </c>
      <c r="O20"/>
      <c r="P20" s="192"/>
    </row>
    <row r="21" spans="2:16" ht="15" customHeight="1">
      <c r="B21" s="48"/>
      <c r="C21" s="46"/>
      <c r="D21" s="46"/>
      <c r="E21" s="62" t="s">
        <v>1362</v>
      </c>
      <c r="F21" s="64">
        <v>15</v>
      </c>
      <c r="G21" s="64">
        <v>15</v>
      </c>
      <c r="H21" s="64">
        <v>5</v>
      </c>
      <c r="I21" s="64">
        <v>5</v>
      </c>
      <c r="J21" s="183">
        <v>24200</v>
      </c>
      <c r="K21" s="177">
        <v>1089000000</v>
      </c>
      <c r="L21" s="177">
        <v>146097032</v>
      </c>
      <c r="M21" s="64">
        <v>23957</v>
      </c>
      <c r="N21" s="64">
        <v>0</v>
      </c>
      <c r="O21"/>
      <c r="P21" s="192"/>
    </row>
    <row r="22" spans="2:16" ht="15" customHeight="1">
      <c r="B22" s="48"/>
      <c r="C22" s="46"/>
      <c r="D22" s="46"/>
      <c r="E22" s="62" t="s">
        <v>807</v>
      </c>
      <c r="F22" s="64">
        <v>3</v>
      </c>
      <c r="G22" s="64">
        <v>3</v>
      </c>
      <c r="H22" s="64">
        <v>0</v>
      </c>
      <c r="I22" s="64">
        <v>0</v>
      </c>
      <c r="J22" s="183">
        <v>2400</v>
      </c>
      <c r="K22" s="177">
        <v>93600000</v>
      </c>
      <c r="L22" s="177">
        <v>14322000</v>
      </c>
      <c r="M22" s="64">
        <v>2395</v>
      </c>
      <c r="N22" s="64">
        <v>0</v>
      </c>
      <c r="O22"/>
      <c r="P22" s="192"/>
    </row>
    <row r="23" spans="2:16" ht="15" customHeight="1">
      <c r="B23" s="48"/>
      <c r="C23" s="46"/>
      <c r="D23" s="46"/>
      <c r="E23" s="62" t="s">
        <v>23</v>
      </c>
      <c r="F23" s="64">
        <v>4</v>
      </c>
      <c r="G23" s="64">
        <v>4</v>
      </c>
      <c r="H23" s="64">
        <v>1</v>
      </c>
      <c r="I23" s="64">
        <v>1</v>
      </c>
      <c r="J23" s="183">
        <v>8000</v>
      </c>
      <c r="K23" s="177">
        <v>472000000</v>
      </c>
      <c r="L23" s="177">
        <v>59719275</v>
      </c>
      <c r="M23" s="64">
        <v>7998</v>
      </c>
      <c r="N23" s="64">
        <v>0</v>
      </c>
      <c r="O23"/>
      <c r="P23" s="192"/>
    </row>
    <row r="24" spans="2:16" ht="15" customHeight="1">
      <c r="B24" s="48"/>
      <c r="C24" s="46"/>
      <c r="D24" s="46"/>
      <c r="E24" s="62" t="s">
        <v>1369</v>
      </c>
      <c r="F24" s="64">
        <v>6</v>
      </c>
      <c r="G24" s="64">
        <v>6</v>
      </c>
      <c r="H24" s="64">
        <v>0</v>
      </c>
      <c r="I24" s="64">
        <v>0</v>
      </c>
      <c r="J24" s="183">
        <v>11200</v>
      </c>
      <c r="K24" s="177">
        <v>520800000</v>
      </c>
      <c r="L24" s="177">
        <v>108613660</v>
      </c>
      <c r="M24" s="64">
        <v>11163</v>
      </c>
      <c r="N24" s="64">
        <v>0</v>
      </c>
      <c r="O24"/>
      <c r="P24" s="192"/>
    </row>
    <row r="25" spans="2:16" ht="15" customHeight="1">
      <c r="B25" s="48"/>
      <c r="C25" s="46"/>
      <c r="D25" s="46"/>
      <c r="E25" s="62" t="s">
        <v>1366</v>
      </c>
      <c r="F25" s="64">
        <v>21</v>
      </c>
      <c r="G25" s="64">
        <v>23</v>
      </c>
      <c r="H25" s="64">
        <v>2</v>
      </c>
      <c r="I25" s="64">
        <v>2</v>
      </c>
      <c r="J25" s="183">
        <v>28890</v>
      </c>
      <c r="K25" s="177">
        <v>1172310000</v>
      </c>
      <c r="L25" s="177">
        <v>167492338.45454544</v>
      </c>
      <c r="M25" s="64">
        <v>28961</v>
      </c>
      <c r="N25" s="64">
        <v>0</v>
      </c>
      <c r="O25"/>
      <c r="P25" s="192"/>
    </row>
    <row r="26" spans="2:16" ht="15" customHeight="1">
      <c r="B26" s="48"/>
      <c r="C26" s="46"/>
      <c r="D26" s="46"/>
      <c r="E26" s="62" t="s">
        <v>24</v>
      </c>
      <c r="F26" s="64">
        <v>20</v>
      </c>
      <c r="G26" s="64">
        <v>28</v>
      </c>
      <c r="H26" s="64">
        <v>0</v>
      </c>
      <c r="I26" s="64">
        <v>0</v>
      </c>
      <c r="J26" s="183">
        <v>40900</v>
      </c>
      <c r="K26" s="177">
        <v>1668300000</v>
      </c>
      <c r="L26" s="177">
        <v>222598359</v>
      </c>
      <c r="M26" s="64">
        <v>40413</v>
      </c>
      <c r="N26" s="64">
        <v>0</v>
      </c>
      <c r="O26"/>
      <c r="P26" s="192"/>
    </row>
    <row r="27" spans="2:16" ht="15" customHeight="1">
      <c r="B27" s="48"/>
      <c r="C27" s="46"/>
      <c r="D27" s="46"/>
      <c r="E27" s="62" t="s">
        <v>1363</v>
      </c>
      <c r="F27" s="64">
        <v>1</v>
      </c>
      <c r="G27" s="64">
        <v>2</v>
      </c>
      <c r="H27" s="64">
        <v>0</v>
      </c>
      <c r="I27" s="64">
        <v>0</v>
      </c>
      <c r="J27" s="183">
        <v>3000</v>
      </c>
      <c r="K27" s="177">
        <v>135000000</v>
      </c>
      <c r="L27" s="177">
        <v>15515040</v>
      </c>
      <c r="M27" s="64">
        <v>3000</v>
      </c>
      <c r="N27" s="64">
        <v>0</v>
      </c>
      <c r="O27"/>
      <c r="P27" s="192"/>
    </row>
    <row r="28" spans="2:16" ht="15" customHeight="1">
      <c r="B28" s="48"/>
      <c r="C28" s="46"/>
      <c r="D28" s="46"/>
      <c r="E28" s="62" t="s">
        <v>811</v>
      </c>
      <c r="F28" s="64">
        <v>64</v>
      </c>
      <c r="G28" s="64">
        <v>73</v>
      </c>
      <c r="H28" s="64">
        <v>3</v>
      </c>
      <c r="I28" s="64">
        <v>3</v>
      </c>
      <c r="J28" s="183">
        <v>103150</v>
      </c>
      <c r="K28" s="177">
        <v>4551050000</v>
      </c>
      <c r="L28" s="177">
        <v>591897583.29999995</v>
      </c>
      <c r="M28" s="64">
        <v>103014</v>
      </c>
      <c r="N28" s="64">
        <v>0</v>
      </c>
      <c r="O28"/>
      <c r="P28" s="192"/>
    </row>
    <row r="29" spans="2:16" ht="15" customHeight="1">
      <c r="B29" s="48"/>
      <c r="C29" s="46"/>
      <c r="D29" s="46"/>
      <c r="E29" s="62" t="s">
        <v>27</v>
      </c>
      <c r="F29" s="64">
        <v>4</v>
      </c>
      <c r="G29" s="64">
        <v>4</v>
      </c>
      <c r="H29" s="64">
        <v>0</v>
      </c>
      <c r="I29" s="64">
        <v>0</v>
      </c>
      <c r="J29" s="183">
        <v>5900</v>
      </c>
      <c r="K29" s="177">
        <v>304500000</v>
      </c>
      <c r="L29" s="177">
        <v>27053784</v>
      </c>
      <c r="M29" s="64">
        <v>5895</v>
      </c>
      <c r="N29" s="64">
        <v>0</v>
      </c>
      <c r="O29"/>
      <c r="P29" s="192"/>
    </row>
    <row r="30" spans="2:16" ht="15" customHeight="1">
      <c r="B30" s="48"/>
      <c r="C30" s="46"/>
      <c r="D30" s="46"/>
      <c r="E30" s="62" t="s">
        <v>25</v>
      </c>
      <c r="F30" s="64">
        <v>2</v>
      </c>
      <c r="G30" s="64">
        <v>2</v>
      </c>
      <c r="H30" s="64">
        <v>0</v>
      </c>
      <c r="I30" s="64">
        <v>0</v>
      </c>
      <c r="J30" s="183">
        <v>1600</v>
      </c>
      <c r="K30" s="177">
        <v>84800000</v>
      </c>
      <c r="L30" s="177">
        <v>11559736.000000002</v>
      </c>
      <c r="M30" s="64">
        <v>1600</v>
      </c>
      <c r="N30" s="64">
        <v>0</v>
      </c>
      <c r="O30"/>
      <c r="P30" s="192"/>
    </row>
    <row r="31" spans="2:16" ht="15" customHeight="1">
      <c r="B31" s="48"/>
      <c r="C31" s="46"/>
      <c r="D31" s="46"/>
      <c r="E31" s="62" t="s">
        <v>808</v>
      </c>
      <c r="F31" s="64">
        <v>8</v>
      </c>
      <c r="G31" s="64">
        <v>8</v>
      </c>
      <c r="H31" s="64">
        <v>0</v>
      </c>
      <c r="I31" s="64">
        <v>0</v>
      </c>
      <c r="J31" s="183">
        <v>144</v>
      </c>
      <c r="K31" s="177">
        <v>6024000</v>
      </c>
      <c r="L31" s="177">
        <v>2464363.6363636362</v>
      </c>
      <c r="M31" s="64">
        <v>144</v>
      </c>
      <c r="N31" s="64">
        <v>0</v>
      </c>
      <c r="O31"/>
      <c r="P31" s="192"/>
    </row>
    <row r="32" spans="2:16" ht="15" customHeight="1">
      <c r="B32" s="48"/>
      <c r="C32" s="46"/>
      <c r="D32" s="46"/>
      <c r="E32" s="62" t="s">
        <v>485</v>
      </c>
      <c r="F32" s="64">
        <v>16</v>
      </c>
      <c r="G32" s="64">
        <v>17</v>
      </c>
      <c r="H32" s="64">
        <v>0</v>
      </c>
      <c r="I32" s="64">
        <v>0</v>
      </c>
      <c r="J32" s="183">
        <v>8300</v>
      </c>
      <c r="K32" s="177">
        <v>457300000</v>
      </c>
      <c r="L32" s="177">
        <v>113171527.27272725</v>
      </c>
      <c r="M32" s="64">
        <v>8368</v>
      </c>
      <c r="N32" s="64">
        <v>0</v>
      </c>
      <c r="O32"/>
      <c r="P32" s="192"/>
    </row>
    <row r="33" spans="2:16" ht="15" customHeight="1">
      <c r="B33" s="48"/>
      <c r="C33" s="46"/>
      <c r="D33" s="46"/>
      <c r="E33" s="62" t="s">
        <v>1611</v>
      </c>
      <c r="F33" s="64">
        <v>2</v>
      </c>
      <c r="G33" s="64">
        <v>2</v>
      </c>
      <c r="H33" s="64">
        <v>0</v>
      </c>
      <c r="I33" s="64">
        <v>0</v>
      </c>
      <c r="J33" s="183">
        <v>1500</v>
      </c>
      <c r="K33" s="177">
        <v>84500000</v>
      </c>
      <c r="L33" s="177">
        <v>8667008</v>
      </c>
      <c r="M33" s="64">
        <v>1498</v>
      </c>
      <c r="N33" s="64">
        <v>0</v>
      </c>
      <c r="O33"/>
      <c r="P33" s="192"/>
    </row>
    <row r="34" spans="2:16" ht="15" customHeight="1">
      <c r="B34" s="48"/>
      <c r="C34" s="46"/>
      <c r="D34" s="199" t="s">
        <v>1380</v>
      </c>
      <c r="E34" s="200"/>
      <c r="F34" s="201">
        <v>204</v>
      </c>
      <c r="G34" s="201">
        <v>232</v>
      </c>
      <c r="H34" s="201">
        <v>16</v>
      </c>
      <c r="I34" s="201">
        <v>16</v>
      </c>
      <c r="J34" s="202">
        <v>310684</v>
      </c>
      <c r="K34" s="203">
        <v>14114884000</v>
      </c>
      <c r="L34" s="203">
        <v>2017424667.6636364</v>
      </c>
      <c r="M34" s="201">
        <v>309484</v>
      </c>
      <c r="N34" s="201">
        <v>0</v>
      </c>
      <c r="O34"/>
      <c r="P34" s="192"/>
    </row>
    <row r="35" spans="2:16" ht="15" customHeight="1">
      <c r="B35" s="48"/>
      <c r="C35" s="194" t="s">
        <v>1399</v>
      </c>
      <c r="D35" s="195"/>
      <c r="E35" s="195"/>
      <c r="F35" s="196">
        <v>227</v>
      </c>
      <c r="G35" s="196">
        <v>256</v>
      </c>
      <c r="H35" s="196">
        <v>18</v>
      </c>
      <c r="I35" s="196">
        <v>18</v>
      </c>
      <c r="J35" s="197">
        <v>329784</v>
      </c>
      <c r="K35" s="198">
        <v>15729184000</v>
      </c>
      <c r="L35" s="198">
        <v>2395488407.6636362</v>
      </c>
      <c r="M35" s="196">
        <v>328582</v>
      </c>
      <c r="N35" s="196">
        <v>0</v>
      </c>
      <c r="O35"/>
      <c r="P35" s="192"/>
    </row>
    <row r="36" spans="2:16" ht="15" customHeight="1">
      <c r="B36" s="48"/>
      <c r="C36" s="9" t="s">
        <v>569</v>
      </c>
      <c r="D36" s="9" t="s">
        <v>1377</v>
      </c>
      <c r="E36" s="9" t="s">
        <v>20</v>
      </c>
      <c r="F36" s="63">
        <v>5</v>
      </c>
      <c r="G36" s="63">
        <v>7</v>
      </c>
      <c r="H36" s="63">
        <v>0</v>
      </c>
      <c r="I36" s="63">
        <v>0</v>
      </c>
      <c r="J36" s="182">
        <v>7900</v>
      </c>
      <c r="K36" s="176">
        <v>562500000</v>
      </c>
      <c r="L36" s="176">
        <v>117233675</v>
      </c>
      <c r="M36" s="63">
        <v>7446</v>
      </c>
      <c r="N36" s="63">
        <v>0</v>
      </c>
      <c r="O36"/>
      <c r="P36" s="192"/>
    </row>
    <row r="37" spans="2:16" ht="15" customHeight="1">
      <c r="B37" s="48"/>
      <c r="C37" s="46"/>
      <c r="D37" s="46"/>
      <c r="E37" s="62" t="s">
        <v>27</v>
      </c>
      <c r="F37" s="64">
        <v>3</v>
      </c>
      <c r="G37" s="64">
        <v>4</v>
      </c>
      <c r="H37" s="64">
        <v>0</v>
      </c>
      <c r="I37" s="64">
        <v>0</v>
      </c>
      <c r="J37" s="183">
        <v>4400</v>
      </c>
      <c r="K37" s="177">
        <v>327600000</v>
      </c>
      <c r="L37" s="177">
        <v>67648150</v>
      </c>
      <c r="M37" s="64">
        <v>4499</v>
      </c>
      <c r="N37" s="64">
        <v>0</v>
      </c>
      <c r="O37"/>
      <c r="P37" s="192"/>
    </row>
    <row r="38" spans="2:16" ht="15" customHeight="1">
      <c r="B38" s="48"/>
      <c r="C38" s="46"/>
      <c r="D38" s="46"/>
      <c r="E38" s="62" t="s">
        <v>1482</v>
      </c>
      <c r="F38" s="64">
        <v>2</v>
      </c>
      <c r="G38" s="64">
        <v>2</v>
      </c>
      <c r="H38" s="64">
        <v>0</v>
      </c>
      <c r="I38" s="64">
        <v>0</v>
      </c>
      <c r="J38" s="183">
        <v>2200</v>
      </c>
      <c r="K38" s="177">
        <v>183800000</v>
      </c>
      <c r="L38" s="177">
        <v>39868400</v>
      </c>
      <c r="M38" s="64">
        <v>2238</v>
      </c>
      <c r="N38" s="64">
        <v>0</v>
      </c>
      <c r="O38"/>
      <c r="P38" s="192"/>
    </row>
    <row r="39" spans="2:16" ht="15" customHeight="1">
      <c r="B39" s="48"/>
      <c r="C39" s="46"/>
      <c r="D39" s="199" t="s">
        <v>1381</v>
      </c>
      <c r="E39" s="200"/>
      <c r="F39" s="201">
        <v>10</v>
      </c>
      <c r="G39" s="201">
        <v>13</v>
      </c>
      <c r="H39" s="201">
        <v>0</v>
      </c>
      <c r="I39" s="201">
        <v>0</v>
      </c>
      <c r="J39" s="202">
        <v>14500</v>
      </c>
      <c r="K39" s="203">
        <v>1073900000</v>
      </c>
      <c r="L39" s="203">
        <v>224750225</v>
      </c>
      <c r="M39" s="201">
        <v>14183</v>
      </c>
      <c r="N39" s="201">
        <v>0</v>
      </c>
      <c r="O39"/>
      <c r="P39" s="192"/>
    </row>
    <row r="40" spans="2:16" ht="15" customHeight="1">
      <c r="B40" s="48"/>
      <c r="C40" s="194" t="s">
        <v>1401</v>
      </c>
      <c r="D40" s="195"/>
      <c r="E40" s="195"/>
      <c r="F40" s="196">
        <v>10</v>
      </c>
      <c r="G40" s="196">
        <v>13</v>
      </c>
      <c r="H40" s="196">
        <v>0</v>
      </c>
      <c r="I40" s="196">
        <v>0</v>
      </c>
      <c r="J40" s="197">
        <v>14500</v>
      </c>
      <c r="K40" s="198">
        <v>1073900000</v>
      </c>
      <c r="L40" s="198">
        <v>224750225</v>
      </c>
      <c r="M40" s="196">
        <v>14183</v>
      </c>
      <c r="N40" s="196">
        <v>0</v>
      </c>
      <c r="O40"/>
      <c r="P40" s="192"/>
    </row>
    <row r="41" spans="2:16" ht="15" customHeight="1">
      <c r="B41" s="48"/>
      <c r="C41" s="9" t="s">
        <v>576</v>
      </c>
      <c r="D41" s="9" t="s">
        <v>401</v>
      </c>
      <c r="E41" s="9" t="s">
        <v>20</v>
      </c>
      <c r="F41" s="63">
        <v>3</v>
      </c>
      <c r="G41" s="63">
        <v>3</v>
      </c>
      <c r="H41" s="63">
        <v>0</v>
      </c>
      <c r="I41" s="63">
        <v>0</v>
      </c>
      <c r="J41" s="182">
        <v>2400</v>
      </c>
      <c r="K41" s="176">
        <v>108000000</v>
      </c>
      <c r="L41" s="176">
        <v>21866272</v>
      </c>
      <c r="M41" s="63">
        <v>2344</v>
      </c>
      <c r="N41" s="63">
        <v>0</v>
      </c>
      <c r="O41"/>
      <c r="P41" s="192"/>
    </row>
    <row r="42" spans="2:16" ht="15" customHeight="1">
      <c r="B42" s="48"/>
      <c r="C42" s="46"/>
      <c r="D42" s="46"/>
      <c r="E42" s="62" t="s">
        <v>30</v>
      </c>
      <c r="F42" s="64">
        <v>4</v>
      </c>
      <c r="G42" s="64">
        <v>4</v>
      </c>
      <c r="H42" s="64">
        <v>0</v>
      </c>
      <c r="I42" s="64">
        <v>0</v>
      </c>
      <c r="J42" s="183">
        <v>3200</v>
      </c>
      <c r="K42" s="177">
        <v>118400000</v>
      </c>
      <c r="L42" s="177">
        <v>16809097.600000001</v>
      </c>
      <c r="M42" s="64">
        <v>3197</v>
      </c>
      <c r="N42" s="64">
        <v>0</v>
      </c>
      <c r="O42"/>
      <c r="P42" s="192"/>
    </row>
    <row r="43" spans="2:16" ht="15" customHeight="1">
      <c r="B43" s="48"/>
      <c r="C43" s="46"/>
      <c r="D43" s="199" t="s">
        <v>1378</v>
      </c>
      <c r="E43" s="200"/>
      <c r="F43" s="201">
        <v>7</v>
      </c>
      <c r="G43" s="201">
        <v>7</v>
      </c>
      <c r="H43" s="201">
        <v>0</v>
      </c>
      <c r="I43" s="201">
        <v>0</v>
      </c>
      <c r="J43" s="202">
        <v>5600</v>
      </c>
      <c r="K43" s="203">
        <v>226400000</v>
      </c>
      <c r="L43" s="203">
        <v>38675369.600000001</v>
      </c>
      <c r="M43" s="201">
        <v>5541</v>
      </c>
      <c r="N43" s="201">
        <v>0</v>
      </c>
      <c r="O43"/>
      <c r="P43" s="192"/>
    </row>
    <row r="44" spans="2:16" ht="15" customHeight="1">
      <c r="B44" s="48"/>
      <c r="C44" s="46"/>
      <c r="D44" s="9" t="s">
        <v>1375</v>
      </c>
      <c r="E44" s="9" t="s">
        <v>26</v>
      </c>
      <c r="F44" s="63">
        <v>9</v>
      </c>
      <c r="G44" s="63">
        <v>14</v>
      </c>
      <c r="H44" s="63">
        <v>1</v>
      </c>
      <c r="I44" s="63">
        <v>3</v>
      </c>
      <c r="J44" s="182">
        <v>13500</v>
      </c>
      <c r="K44" s="176">
        <v>1003700000</v>
      </c>
      <c r="L44" s="176">
        <v>171002531</v>
      </c>
      <c r="M44" s="63">
        <v>13476</v>
      </c>
      <c r="N44" s="63">
        <v>0</v>
      </c>
      <c r="O44"/>
      <c r="P44" s="192"/>
    </row>
    <row r="45" spans="2:16" ht="15" customHeight="1">
      <c r="B45" s="48"/>
      <c r="C45" s="46"/>
      <c r="D45" s="46"/>
      <c r="E45" s="62" t="s">
        <v>28</v>
      </c>
      <c r="F45" s="64">
        <v>2</v>
      </c>
      <c r="G45" s="64">
        <v>2</v>
      </c>
      <c r="H45" s="64">
        <v>0</v>
      </c>
      <c r="I45" s="64">
        <v>0</v>
      </c>
      <c r="J45" s="183">
        <v>2000</v>
      </c>
      <c r="K45" s="177">
        <v>104000000</v>
      </c>
      <c r="L45" s="177">
        <v>15833020</v>
      </c>
      <c r="M45" s="64">
        <v>1992</v>
      </c>
      <c r="N45" s="64">
        <v>0</v>
      </c>
      <c r="O45"/>
      <c r="P45" s="192"/>
    </row>
    <row r="46" spans="2:16" ht="15" customHeight="1">
      <c r="B46" s="48"/>
      <c r="C46" s="46"/>
      <c r="D46" s="46"/>
      <c r="E46" s="62" t="s">
        <v>22</v>
      </c>
      <c r="F46" s="64">
        <v>7</v>
      </c>
      <c r="G46" s="64">
        <v>8</v>
      </c>
      <c r="H46" s="64">
        <v>0</v>
      </c>
      <c r="I46" s="64">
        <v>0</v>
      </c>
      <c r="J46" s="183">
        <v>8000</v>
      </c>
      <c r="K46" s="177">
        <v>428000000</v>
      </c>
      <c r="L46" s="177">
        <v>68141450</v>
      </c>
      <c r="M46" s="64">
        <v>7871</v>
      </c>
      <c r="N46" s="64">
        <v>0</v>
      </c>
      <c r="O46"/>
      <c r="P46" s="192"/>
    </row>
    <row r="47" spans="2:16" ht="15" customHeight="1">
      <c r="B47" s="48"/>
      <c r="C47" s="46"/>
      <c r="D47" s="46"/>
      <c r="E47" s="62" t="s">
        <v>1364</v>
      </c>
      <c r="F47" s="64">
        <v>4</v>
      </c>
      <c r="G47" s="64">
        <v>4</v>
      </c>
      <c r="H47" s="64">
        <v>0</v>
      </c>
      <c r="I47" s="64">
        <v>0</v>
      </c>
      <c r="J47" s="183">
        <v>3600</v>
      </c>
      <c r="K47" s="177">
        <v>186000000</v>
      </c>
      <c r="L47" s="177">
        <v>22258456</v>
      </c>
      <c r="M47" s="64">
        <v>3596</v>
      </c>
      <c r="N47" s="64">
        <v>0</v>
      </c>
      <c r="O47"/>
      <c r="P47" s="192"/>
    </row>
    <row r="48" spans="2:16" ht="15" customHeight="1">
      <c r="B48" s="48"/>
      <c r="C48" s="46"/>
      <c r="D48" s="46"/>
      <c r="E48" s="62" t="s">
        <v>20</v>
      </c>
      <c r="F48" s="64">
        <v>31</v>
      </c>
      <c r="G48" s="64">
        <v>32</v>
      </c>
      <c r="H48" s="64">
        <v>3</v>
      </c>
      <c r="I48" s="64">
        <v>3</v>
      </c>
      <c r="J48" s="183">
        <v>43830</v>
      </c>
      <c r="K48" s="177">
        <v>2246450000</v>
      </c>
      <c r="L48" s="177">
        <v>356466147</v>
      </c>
      <c r="M48" s="64">
        <v>43996</v>
      </c>
      <c r="N48" s="64">
        <v>0</v>
      </c>
      <c r="O48"/>
      <c r="P48" s="192"/>
    </row>
    <row r="49" spans="2:16" ht="15" customHeight="1">
      <c r="B49" s="48"/>
      <c r="C49" s="46"/>
      <c r="D49" s="46"/>
      <c r="E49" s="62" t="s">
        <v>21</v>
      </c>
      <c r="F49" s="64">
        <v>3</v>
      </c>
      <c r="G49" s="64">
        <v>4</v>
      </c>
      <c r="H49" s="64">
        <v>0</v>
      </c>
      <c r="I49" s="64">
        <v>0</v>
      </c>
      <c r="J49" s="183">
        <v>4000</v>
      </c>
      <c r="K49" s="177">
        <v>214000000</v>
      </c>
      <c r="L49" s="177">
        <v>31617920</v>
      </c>
      <c r="M49" s="64">
        <v>4006</v>
      </c>
      <c r="N49" s="64">
        <v>0</v>
      </c>
      <c r="O49"/>
      <c r="P49" s="192"/>
    </row>
    <row r="50" spans="2:16" ht="15" customHeight="1">
      <c r="B50" s="48"/>
      <c r="C50" s="46"/>
      <c r="D50" s="46"/>
      <c r="E50" s="62" t="s">
        <v>30</v>
      </c>
      <c r="F50" s="64">
        <v>11</v>
      </c>
      <c r="G50" s="64">
        <v>13</v>
      </c>
      <c r="H50" s="64">
        <v>0</v>
      </c>
      <c r="I50" s="64">
        <v>0</v>
      </c>
      <c r="J50" s="183">
        <v>15700</v>
      </c>
      <c r="K50" s="177">
        <v>804300000</v>
      </c>
      <c r="L50" s="177">
        <v>135358368</v>
      </c>
      <c r="M50" s="64">
        <v>15677</v>
      </c>
      <c r="N50" s="64">
        <v>0</v>
      </c>
      <c r="O50"/>
      <c r="P50" s="192"/>
    </row>
    <row r="51" spans="2:16" ht="15" customHeight="1">
      <c r="B51" s="48"/>
      <c r="C51" s="46"/>
      <c r="D51" s="46"/>
      <c r="E51" s="62" t="s">
        <v>1362</v>
      </c>
      <c r="F51" s="64">
        <v>2</v>
      </c>
      <c r="G51" s="64">
        <v>2</v>
      </c>
      <c r="H51" s="64">
        <v>0</v>
      </c>
      <c r="I51" s="64">
        <v>0</v>
      </c>
      <c r="J51" s="183">
        <v>2000</v>
      </c>
      <c r="K51" s="177">
        <v>90000000</v>
      </c>
      <c r="L51" s="177">
        <v>11900924</v>
      </c>
      <c r="M51" s="64">
        <v>1956</v>
      </c>
      <c r="N51" s="64">
        <v>0</v>
      </c>
      <c r="O51"/>
      <c r="P51" s="192"/>
    </row>
    <row r="52" spans="2:16" ht="15" customHeight="1">
      <c r="B52" s="48"/>
      <c r="C52" s="46"/>
      <c r="D52" s="46"/>
      <c r="E52" s="62" t="s">
        <v>23</v>
      </c>
      <c r="F52" s="64">
        <v>3</v>
      </c>
      <c r="G52" s="64">
        <v>8</v>
      </c>
      <c r="H52" s="64">
        <v>0</v>
      </c>
      <c r="I52" s="64">
        <v>0</v>
      </c>
      <c r="J52" s="183">
        <v>8400</v>
      </c>
      <c r="K52" s="177">
        <v>474000000</v>
      </c>
      <c r="L52" s="177">
        <v>63721872</v>
      </c>
      <c r="M52" s="64">
        <v>8332</v>
      </c>
      <c r="N52" s="64">
        <v>0</v>
      </c>
      <c r="O52"/>
      <c r="P52" s="192"/>
    </row>
    <row r="53" spans="2:16" ht="15" customHeight="1">
      <c r="B53" s="48"/>
      <c r="C53" s="46"/>
      <c r="D53" s="46"/>
      <c r="E53" s="62" t="s">
        <v>1369</v>
      </c>
      <c r="F53" s="64">
        <v>2</v>
      </c>
      <c r="G53" s="64">
        <v>2</v>
      </c>
      <c r="H53" s="64">
        <v>2</v>
      </c>
      <c r="I53" s="64">
        <v>2</v>
      </c>
      <c r="J53" s="183">
        <v>3600</v>
      </c>
      <c r="K53" s="177">
        <v>198000000</v>
      </c>
      <c r="L53" s="177">
        <v>44529336.000000015</v>
      </c>
      <c r="M53" s="64">
        <v>3597</v>
      </c>
      <c r="N53" s="64">
        <v>0</v>
      </c>
      <c r="O53"/>
      <c r="P53" s="192"/>
    </row>
    <row r="54" spans="2:16" ht="15" customHeight="1">
      <c r="B54" s="48"/>
      <c r="C54" s="46"/>
      <c r="D54" s="46"/>
      <c r="E54" s="62" t="s">
        <v>1366</v>
      </c>
      <c r="F54" s="64">
        <v>67.000000000000057</v>
      </c>
      <c r="G54" s="64">
        <v>126</v>
      </c>
      <c r="H54" s="64">
        <v>3</v>
      </c>
      <c r="I54" s="64">
        <v>3</v>
      </c>
      <c r="J54" s="183">
        <v>127600</v>
      </c>
      <c r="K54" s="177">
        <v>5469800000</v>
      </c>
      <c r="L54" s="177">
        <v>841859460.19999993</v>
      </c>
      <c r="M54" s="64">
        <v>126823</v>
      </c>
      <c r="N54" s="64">
        <v>0</v>
      </c>
      <c r="O54"/>
      <c r="P54" s="192"/>
    </row>
    <row r="55" spans="2:16" ht="15" customHeight="1">
      <c r="B55" s="48"/>
      <c r="C55" s="46"/>
      <c r="D55" s="46"/>
      <c r="E55" s="62" t="s">
        <v>24</v>
      </c>
      <c r="F55" s="64">
        <v>25</v>
      </c>
      <c r="G55" s="64">
        <v>30</v>
      </c>
      <c r="H55" s="64">
        <v>3</v>
      </c>
      <c r="I55" s="64">
        <v>4</v>
      </c>
      <c r="J55" s="183">
        <v>30300</v>
      </c>
      <c r="K55" s="177">
        <v>1419100000</v>
      </c>
      <c r="L55" s="177">
        <v>200911352.00000003</v>
      </c>
      <c r="M55" s="64">
        <v>30353</v>
      </c>
      <c r="N55" s="64">
        <v>0</v>
      </c>
      <c r="O55"/>
      <c r="P55" s="192"/>
    </row>
    <row r="56" spans="2:16" ht="15" customHeight="1">
      <c r="B56" s="48"/>
      <c r="C56" s="46"/>
      <c r="D56" s="46"/>
      <c r="E56" s="62" t="s">
        <v>1363</v>
      </c>
      <c r="F56" s="64">
        <v>16</v>
      </c>
      <c r="G56" s="64">
        <v>20</v>
      </c>
      <c r="H56" s="64">
        <v>0</v>
      </c>
      <c r="I56" s="64">
        <v>0</v>
      </c>
      <c r="J56" s="183">
        <v>21800</v>
      </c>
      <c r="K56" s="177">
        <v>1085400000</v>
      </c>
      <c r="L56" s="177">
        <v>169736948</v>
      </c>
      <c r="M56" s="64">
        <v>21213</v>
      </c>
      <c r="N56" s="64">
        <v>0</v>
      </c>
      <c r="O56"/>
      <c r="P56" s="192"/>
    </row>
    <row r="57" spans="2:16" ht="15" customHeight="1">
      <c r="B57" s="48"/>
      <c r="C57" s="46"/>
      <c r="D57" s="46"/>
      <c r="E57" s="62" t="s">
        <v>811</v>
      </c>
      <c r="F57" s="64">
        <v>6</v>
      </c>
      <c r="G57" s="64">
        <v>7</v>
      </c>
      <c r="H57" s="64">
        <v>1</v>
      </c>
      <c r="I57" s="64">
        <v>1</v>
      </c>
      <c r="J57" s="183">
        <v>10900</v>
      </c>
      <c r="K57" s="177">
        <v>517500000</v>
      </c>
      <c r="L57" s="177">
        <v>62479437</v>
      </c>
      <c r="M57" s="64">
        <v>10694</v>
      </c>
      <c r="N57" s="64">
        <v>0</v>
      </c>
      <c r="O57"/>
      <c r="P57" s="192"/>
    </row>
    <row r="58" spans="2:16" ht="15" customHeight="1">
      <c r="B58" s="48"/>
      <c r="C58" s="46"/>
      <c r="D58" s="46"/>
      <c r="E58" s="62" t="s">
        <v>27</v>
      </c>
      <c r="F58" s="64">
        <v>10</v>
      </c>
      <c r="G58" s="64">
        <v>10</v>
      </c>
      <c r="H58" s="64">
        <v>0</v>
      </c>
      <c r="I58" s="64">
        <v>0</v>
      </c>
      <c r="J58" s="183">
        <v>13200</v>
      </c>
      <c r="K58" s="177">
        <v>722400000</v>
      </c>
      <c r="L58" s="177">
        <v>83846186</v>
      </c>
      <c r="M58" s="64">
        <v>12988</v>
      </c>
      <c r="N58" s="64">
        <v>0</v>
      </c>
      <c r="O58"/>
      <c r="P58" s="192"/>
    </row>
    <row r="59" spans="2:16" ht="15" customHeight="1">
      <c r="B59" s="48"/>
      <c r="C59" s="46"/>
      <c r="D59" s="46"/>
      <c r="E59" s="62" t="s">
        <v>25</v>
      </c>
      <c r="F59" s="64">
        <v>13</v>
      </c>
      <c r="G59" s="64">
        <v>13</v>
      </c>
      <c r="H59" s="64">
        <v>0</v>
      </c>
      <c r="I59" s="64">
        <v>0</v>
      </c>
      <c r="J59" s="183">
        <v>12600</v>
      </c>
      <c r="K59" s="177">
        <v>743800000</v>
      </c>
      <c r="L59" s="177">
        <v>122732344</v>
      </c>
      <c r="M59" s="64">
        <v>12545</v>
      </c>
      <c r="N59" s="64">
        <v>0</v>
      </c>
      <c r="O59"/>
      <c r="P59" s="192"/>
    </row>
    <row r="60" spans="2:16" ht="15" customHeight="1">
      <c r="B60" s="48"/>
      <c r="C60" s="46"/>
      <c r="D60" s="46"/>
      <c r="E60" s="62" t="s">
        <v>1482</v>
      </c>
      <c r="F60" s="64">
        <v>1</v>
      </c>
      <c r="G60" s="64">
        <v>1</v>
      </c>
      <c r="H60" s="64">
        <v>0</v>
      </c>
      <c r="I60" s="64">
        <v>0</v>
      </c>
      <c r="J60" s="183">
        <v>1200</v>
      </c>
      <c r="K60" s="177">
        <v>63600000</v>
      </c>
      <c r="L60" s="177">
        <v>8232840.0000000019</v>
      </c>
      <c r="M60" s="64">
        <v>1200</v>
      </c>
      <c r="N60" s="64">
        <v>0</v>
      </c>
      <c r="O60"/>
      <c r="P60" s="192"/>
    </row>
    <row r="61" spans="2:16" ht="15" customHeight="1">
      <c r="B61" s="48"/>
      <c r="C61" s="46"/>
      <c r="D61" s="46"/>
      <c r="E61" s="62" t="s">
        <v>1616</v>
      </c>
      <c r="F61" s="64">
        <v>11</v>
      </c>
      <c r="G61" s="64">
        <v>14</v>
      </c>
      <c r="H61" s="64">
        <v>1</v>
      </c>
      <c r="I61" s="64">
        <v>1</v>
      </c>
      <c r="J61" s="183">
        <v>5800</v>
      </c>
      <c r="K61" s="177">
        <v>331000000</v>
      </c>
      <c r="L61" s="177">
        <v>56457890</v>
      </c>
      <c r="M61" s="64">
        <v>5787</v>
      </c>
      <c r="N61" s="64">
        <v>0</v>
      </c>
      <c r="O61"/>
      <c r="P61" s="192"/>
    </row>
    <row r="62" spans="2:16" ht="15" customHeight="1">
      <c r="B62" s="48"/>
      <c r="C62" s="46"/>
      <c r="D62" s="199" t="s">
        <v>1380</v>
      </c>
      <c r="E62" s="200"/>
      <c r="F62" s="201">
        <v>223.00000000000006</v>
      </c>
      <c r="G62" s="201">
        <v>310</v>
      </c>
      <c r="H62" s="201">
        <v>14</v>
      </c>
      <c r="I62" s="201">
        <v>17</v>
      </c>
      <c r="J62" s="202">
        <v>328030</v>
      </c>
      <c r="K62" s="203">
        <v>16101050000</v>
      </c>
      <c r="L62" s="203">
        <v>2467086481.1999998</v>
      </c>
      <c r="M62" s="201">
        <v>326102</v>
      </c>
      <c r="N62" s="201">
        <v>0</v>
      </c>
      <c r="O62"/>
      <c r="P62" s="192"/>
    </row>
    <row r="63" spans="2:16" ht="15" customHeight="1">
      <c r="B63" s="48"/>
      <c r="C63" s="46"/>
      <c r="D63" s="9" t="s">
        <v>1377</v>
      </c>
      <c r="E63" s="9" t="s">
        <v>20</v>
      </c>
      <c r="F63" s="63">
        <v>26</v>
      </c>
      <c r="G63" s="63">
        <v>35</v>
      </c>
      <c r="H63" s="63">
        <v>0</v>
      </c>
      <c r="I63" s="63">
        <v>0</v>
      </c>
      <c r="J63" s="182">
        <v>40700</v>
      </c>
      <c r="K63" s="176">
        <v>5536300000</v>
      </c>
      <c r="L63" s="176">
        <v>1287344139</v>
      </c>
      <c r="M63" s="63">
        <v>41800</v>
      </c>
      <c r="N63" s="63">
        <v>0</v>
      </c>
      <c r="O63"/>
      <c r="P63" s="192"/>
    </row>
    <row r="64" spans="2:16" ht="15" customHeight="1">
      <c r="B64" s="48"/>
      <c r="C64" s="46"/>
      <c r="D64" s="46"/>
      <c r="E64" s="62" t="s">
        <v>811</v>
      </c>
      <c r="F64" s="64">
        <v>5</v>
      </c>
      <c r="G64" s="64">
        <v>6</v>
      </c>
      <c r="H64" s="64">
        <v>0</v>
      </c>
      <c r="I64" s="64">
        <v>0</v>
      </c>
      <c r="J64" s="183">
        <v>7900</v>
      </c>
      <c r="K64" s="177">
        <v>1628600000</v>
      </c>
      <c r="L64" s="177">
        <v>387556550</v>
      </c>
      <c r="M64" s="64">
        <v>8492</v>
      </c>
      <c r="N64" s="64">
        <v>0</v>
      </c>
      <c r="O64"/>
      <c r="P64" s="192"/>
    </row>
    <row r="65" spans="2:16" ht="15" customHeight="1">
      <c r="B65" s="48"/>
      <c r="C65" s="46"/>
      <c r="D65" s="46"/>
      <c r="E65" s="62" t="s">
        <v>1482</v>
      </c>
      <c r="F65" s="64">
        <v>12</v>
      </c>
      <c r="G65" s="64">
        <v>15</v>
      </c>
      <c r="H65" s="64">
        <v>0</v>
      </c>
      <c r="I65" s="64">
        <v>0</v>
      </c>
      <c r="J65" s="183">
        <v>16700</v>
      </c>
      <c r="K65" s="177">
        <v>1629700000</v>
      </c>
      <c r="L65" s="177">
        <v>354195246</v>
      </c>
      <c r="M65" s="64">
        <v>16984</v>
      </c>
      <c r="N65" s="64">
        <v>0</v>
      </c>
      <c r="O65"/>
      <c r="P65" s="192"/>
    </row>
    <row r="66" spans="2:16" ht="15" customHeight="1">
      <c r="B66" s="48"/>
      <c r="C66" s="46"/>
      <c r="D66" s="199" t="s">
        <v>1381</v>
      </c>
      <c r="E66" s="200"/>
      <c r="F66" s="201">
        <v>43</v>
      </c>
      <c r="G66" s="201">
        <v>56</v>
      </c>
      <c r="H66" s="201">
        <v>0</v>
      </c>
      <c r="I66" s="201">
        <v>0</v>
      </c>
      <c r="J66" s="202">
        <v>65300</v>
      </c>
      <c r="K66" s="203">
        <v>8794600000</v>
      </c>
      <c r="L66" s="203">
        <v>2029095935</v>
      </c>
      <c r="M66" s="201">
        <v>67276</v>
      </c>
      <c r="N66" s="201">
        <v>0</v>
      </c>
      <c r="O66"/>
      <c r="P66" s="192"/>
    </row>
    <row r="67" spans="2:16" ht="15" customHeight="1">
      <c r="B67" s="48"/>
      <c r="C67" s="194" t="s">
        <v>1400</v>
      </c>
      <c r="D67" s="195"/>
      <c r="E67" s="195"/>
      <c r="F67" s="196">
        <v>273.00000000000006</v>
      </c>
      <c r="G67" s="196">
        <v>373</v>
      </c>
      <c r="H67" s="196">
        <v>14</v>
      </c>
      <c r="I67" s="196">
        <v>17</v>
      </c>
      <c r="J67" s="197">
        <v>398930</v>
      </c>
      <c r="K67" s="198">
        <v>25122050000</v>
      </c>
      <c r="L67" s="198">
        <v>4534857785.8000002</v>
      </c>
      <c r="M67" s="196">
        <v>398919</v>
      </c>
      <c r="N67" s="196">
        <v>0</v>
      </c>
      <c r="O67"/>
      <c r="P67" s="192"/>
    </row>
    <row r="68" spans="2:16" ht="15" customHeight="1">
      <c r="B68" s="50" t="s">
        <v>791</v>
      </c>
      <c r="C68" s="51"/>
      <c r="D68" s="51"/>
      <c r="E68" s="52"/>
      <c r="F68" s="66">
        <v>510.00000000000006</v>
      </c>
      <c r="G68" s="66">
        <v>642</v>
      </c>
      <c r="H68" s="66">
        <v>32</v>
      </c>
      <c r="I68" s="66">
        <v>35</v>
      </c>
      <c r="J68" s="184">
        <v>743214</v>
      </c>
      <c r="K68" s="178">
        <v>41925134000</v>
      </c>
      <c r="L68" s="178">
        <v>7155096418.4636364</v>
      </c>
      <c r="M68" s="66">
        <v>741684</v>
      </c>
      <c r="N68" s="66">
        <v>0</v>
      </c>
      <c r="O68"/>
    </row>
    <row r="69" spans="2:16" ht="15" customHeight="1">
      <c r="B69" s="47" t="s">
        <v>15</v>
      </c>
      <c r="C69" s="9" t="s">
        <v>565</v>
      </c>
      <c r="D69" s="9" t="s">
        <v>1375</v>
      </c>
      <c r="E69" s="9" t="s">
        <v>31</v>
      </c>
      <c r="F69" s="63">
        <v>9</v>
      </c>
      <c r="G69" s="63">
        <v>12</v>
      </c>
      <c r="H69" s="63">
        <v>0</v>
      </c>
      <c r="I69" s="63">
        <v>0</v>
      </c>
      <c r="J69" s="182">
        <v>3720</v>
      </c>
      <c r="K69" s="176">
        <v>206904000</v>
      </c>
      <c r="L69" s="176">
        <v>45597264</v>
      </c>
      <c r="M69" s="63">
        <v>3718</v>
      </c>
      <c r="N69" s="63">
        <v>0</v>
      </c>
      <c r="O69"/>
    </row>
    <row r="70" spans="2:16" ht="15" customHeight="1">
      <c r="B70" s="48"/>
      <c r="C70" s="46"/>
      <c r="D70" s="46"/>
      <c r="E70" s="62" t="s">
        <v>32</v>
      </c>
      <c r="F70" s="64">
        <v>4</v>
      </c>
      <c r="G70" s="64">
        <v>7</v>
      </c>
      <c r="H70" s="64">
        <v>0</v>
      </c>
      <c r="I70" s="64">
        <v>0</v>
      </c>
      <c r="J70" s="183">
        <v>1000</v>
      </c>
      <c r="K70" s="177">
        <v>50000000</v>
      </c>
      <c r="L70" s="177">
        <v>12739207.700000001</v>
      </c>
      <c r="M70" s="64">
        <v>1000</v>
      </c>
      <c r="N70" s="64">
        <v>0</v>
      </c>
      <c r="O70"/>
    </row>
    <row r="71" spans="2:16" ht="15" customHeight="1">
      <c r="B71" s="48"/>
      <c r="C71" s="46"/>
      <c r="D71" s="46"/>
      <c r="E71" s="62" t="s">
        <v>1371</v>
      </c>
      <c r="F71" s="64">
        <v>6</v>
      </c>
      <c r="G71" s="64">
        <v>7</v>
      </c>
      <c r="H71" s="64">
        <v>0</v>
      </c>
      <c r="I71" s="64">
        <v>0</v>
      </c>
      <c r="J71" s="183">
        <v>2304</v>
      </c>
      <c r="K71" s="177">
        <v>112896000</v>
      </c>
      <c r="L71" s="177">
        <v>39769107.840000004</v>
      </c>
      <c r="M71" s="64">
        <v>995</v>
      </c>
      <c r="N71" s="64">
        <v>0</v>
      </c>
      <c r="O71"/>
    </row>
    <row r="72" spans="2:16" ht="15" customHeight="1">
      <c r="B72" s="48"/>
      <c r="C72" s="46"/>
      <c r="D72" s="46"/>
      <c r="E72" s="62" t="s">
        <v>1370</v>
      </c>
      <c r="F72" s="64">
        <v>19</v>
      </c>
      <c r="G72" s="64">
        <v>22</v>
      </c>
      <c r="H72" s="64">
        <v>0</v>
      </c>
      <c r="I72" s="64">
        <v>0</v>
      </c>
      <c r="J72" s="183">
        <v>17700</v>
      </c>
      <c r="K72" s="177">
        <v>785796000</v>
      </c>
      <c r="L72" s="177">
        <v>214574005.79999992</v>
      </c>
      <c r="M72" s="64">
        <v>17688</v>
      </c>
      <c r="N72" s="64">
        <v>0</v>
      </c>
      <c r="O72"/>
    </row>
    <row r="73" spans="2:16" ht="15" customHeight="1">
      <c r="B73" s="48"/>
      <c r="C73" s="46"/>
      <c r="D73" s="46"/>
      <c r="E73" s="62" t="s">
        <v>19</v>
      </c>
      <c r="F73" s="64">
        <v>9</v>
      </c>
      <c r="G73" s="64">
        <v>13</v>
      </c>
      <c r="H73" s="64">
        <v>0</v>
      </c>
      <c r="I73" s="64">
        <v>0</v>
      </c>
      <c r="J73" s="183">
        <v>2050</v>
      </c>
      <c r="K73" s="177">
        <v>79700000</v>
      </c>
      <c r="L73" s="177">
        <v>27532727.272727266</v>
      </c>
      <c r="M73" s="64">
        <v>2050</v>
      </c>
      <c r="N73" s="64">
        <v>0</v>
      </c>
      <c r="O73"/>
    </row>
    <row r="74" spans="2:16" ht="15" customHeight="1">
      <c r="B74" s="48"/>
      <c r="C74" s="46"/>
      <c r="D74" s="46"/>
      <c r="E74" s="62" t="s">
        <v>808</v>
      </c>
      <c r="F74" s="64">
        <v>23</v>
      </c>
      <c r="G74" s="64">
        <v>23</v>
      </c>
      <c r="H74" s="64">
        <v>2</v>
      </c>
      <c r="I74" s="64">
        <v>2</v>
      </c>
      <c r="J74" s="183">
        <v>3041</v>
      </c>
      <c r="K74" s="177">
        <v>140025000</v>
      </c>
      <c r="L74" s="177">
        <v>57282954.545454554</v>
      </c>
      <c r="M74" s="64">
        <v>3040</v>
      </c>
      <c r="N74" s="64">
        <v>0</v>
      </c>
      <c r="O74"/>
    </row>
    <row r="75" spans="2:16" ht="15" customHeight="1">
      <c r="B75" s="48"/>
      <c r="C75" s="46"/>
      <c r="D75" s="199" t="s">
        <v>1380</v>
      </c>
      <c r="E75" s="200"/>
      <c r="F75" s="201">
        <v>70</v>
      </c>
      <c r="G75" s="201">
        <v>84</v>
      </c>
      <c r="H75" s="201">
        <v>2</v>
      </c>
      <c r="I75" s="201">
        <v>2</v>
      </c>
      <c r="J75" s="202">
        <v>29815</v>
      </c>
      <c r="K75" s="203">
        <v>1375321000</v>
      </c>
      <c r="L75" s="203">
        <v>397495267.15818173</v>
      </c>
      <c r="M75" s="201">
        <v>28491</v>
      </c>
      <c r="N75" s="201">
        <v>0</v>
      </c>
      <c r="O75"/>
    </row>
    <row r="76" spans="2:16" ht="15" customHeight="1">
      <c r="B76" s="48"/>
      <c r="C76" s="194" t="s">
        <v>1399</v>
      </c>
      <c r="D76" s="195"/>
      <c r="E76" s="195"/>
      <c r="F76" s="196">
        <v>70</v>
      </c>
      <c r="G76" s="196">
        <v>84</v>
      </c>
      <c r="H76" s="196">
        <v>2</v>
      </c>
      <c r="I76" s="196">
        <v>2</v>
      </c>
      <c r="J76" s="197">
        <v>29815</v>
      </c>
      <c r="K76" s="198">
        <v>1375321000</v>
      </c>
      <c r="L76" s="198">
        <v>397495267.15818173</v>
      </c>
      <c r="M76" s="196">
        <v>28491</v>
      </c>
      <c r="N76" s="196">
        <v>0</v>
      </c>
      <c r="O76"/>
    </row>
    <row r="77" spans="2:16" ht="15" customHeight="1">
      <c r="B77" s="48"/>
      <c r="C77" s="9" t="s">
        <v>576</v>
      </c>
      <c r="D77" s="9" t="s">
        <v>1375</v>
      </c>
      <c r="E77" s="9" t="s">
        <v>32</v>
      </c>
      <c r="F77" s="63">
        <v>21.000000000000004</v>
      </c>
      <c r="G77" s="63">
        <v>38</v>
      </c>
      <c r="H77" s="63">
        <v>0</v>
      </c>
      <c r="I77" s="63">
        <v>0</v>
      </c>
      <c r="J77" s="182">
        <v>5650</v>
      </c>
      <c r="K77" s="176">
        <v>294990000</v>
      </c>
      <c r="L77" s="176">
        <v>64371320.899999999</v>
      </c>
      <c r="M77" s="63">
        <v>5650</v>
      </c>
      <c r="N77" s="63">
        <v>0</v>
      </c>
      <c r="O77"/>
    </row>
    <row r="78" spans="2:16" ht="15" customHeight="1">
      <c r="B78" s="48"/>
      <c r="C78" s="46"/>
      <c r="D78" s="46"/>
      <c r="E78" s="62" t="s">
        <v>19</v>
      </c>
      <c r="F78" s="64">
        <v>1</v>
      </c>
      <c r="G78" s="64">
        <v>1</v>
      </c>
      <c r="H78" s="64">
        <v>0</v>
      </c>
      <c r="I78" s="64">
        <v>0</v>
      </c>
      <c r="J78" s="183">
        <v>200</v>
      </c>
      <c r="K78" s="177">
        <v>5600000</v>
      </c>
      <c r="L78" s="177">
        <v>1934545.4545454544</v>
      </c>
      <c r="M78" s="64">
        <v>200</v>
      </c>
      <c r="N78" s="64">
        <v>0</v>
      </c>
      <c r="O78"/>
    </row>
    <row r="79" spans="2:16" ht="15" customHeight="1">
      <c r="B79" s="48"/>
      <c r="C79" s="46"/>
      <c r="D79" s="46"/>
      <c r="E79" s="62" t="s">
        <v>808</v>
      </c>
      <c r="F79" s="64">
        <v>14</v>
      </c>
      <c r="G79" s="64">
        <v>15</v>
      </c>
      <c r="H79" s="64">
        <v>3</v>
      </c>
      <c r="I79" s="64">
        <v>3</v>
      </c>
      <c r="J79" s="183">
        <v>2300</v>
      </c>
      <c r="K79" s="177">
        <v>94600000</v>
      </c>
      <c r="L79" s="177">
        <v>38700000</v>
      </c>
      <c r="M79" s="64">
        <v>2300</v>
      </c>
      <c r="N79" s="64">
        <v>0</v>
      </c>
      <c r="O79"/>
    </row>
    <row r="80" spans="2:16" ht="15" customHeight="1">
      <c r="B80" s="48"/>
      <c r="C80" s="46"/>
      <c r="D80" s="46"/>
      <c r="E80" s="62" t="s">
        <v>1953</v>
      </c>
      <c r="F80" s="64">
        <v>5</v>
      </c>
      <c r="G80" s="64">
        <v>5</v>
      </c>
      <c r="H80" s="64">
        <v>5</v>
      </c>
      <c r="I80" s="64">
        <v>5</v>
      </c>
      <c r="J80" s="183">
        <v>225</v>
      </c>
      <c r="K80" s="177">
        <v>13275000</v>
      </c>
      <c r="L80" s="177">
        <v>5435181.8181818184</v>
      </c>
      <c r="M80" s="64">
        <v>225</v>
      </c>
      <c r="N80" s="64">
        <v>0</v>
      </c>
      <c r="O80"/>
    </row>
    <row r="81" spans="2:15" ht="15" customHeight="1">
      <c r="B81" s="48"/>
      <c r="C81" s="46"/>
      <c r="D81" s="199" t="s">
        <v>1380</v>
      </c>
      <c r="E81" s="200"/>
      <c r="F81" s="201">
        <v>41</v>
      </c>
      <c r="G81" s="201">
        <v>59</v>
      </c>
      <c r="H81" s="201">
        <v>8</v>
      </c>
      <c r="I81" s="201">
        <v>8</v>
      </c>
      <c r="J81" s="202">
        <v>8375</v>
      </c>
      <c r="K81" s="203">
        <v>408465000</v>
      </c>
      <c r="L81" s="203">
        <v>110441048.17272726</v>
      </c>
      <c r="M81" s="201">
        <v>8375</v>
      </c>
      <c r="N81" s="201">
        <v>0</v>
      </c>
      <c r="O81"/>
    </row>
    <row r="82" spans="2:15" ht="15" customHeight="1">
      <c r="B82" s="48"/>
      <c r="C82" s="194" t="s">
        <v>1400</v>
      </c>
      <c r="D82" s="195"/>
      <c r="E82" s="195"/>
      <c r="F82" s="196">
        <v>41</v>
      </c>
      <c r="G82" s="196">
        <v>59</v>
      </c>
      <c r="H82" s="196">
        <v>8</v>
      </c>
      <c r="I82" s="196">
        <v>8</v>
      </c>
      <c r="J82" s="197">
        <v>8375</v>
      </c>
      <c r="K82" s="198">
        <v>408465000</v>
      </c>
      <c r="L82" s="198">
        <v>110441048.17272726</v>
      </c>
      <c r="M82" s="196">
        <v>8375</v>
      </c>
      <c r="N82" s="196">
        <v>0</v>
      </c>
      <c r="O82"/>
    </row>
    <row r="83" spans="2:15" ht="15" customHeight="1">
      <c r="B83" s="50" t="s">
        <v>796</v>
      </c>
      <c r="C83" s="51"/>
      <c r="D83" s="51"/>
      <c r="E83" s="52"/>
      <c r="F83" s="66">
        <v>111</v>
      </c>
      <c r="G83" s="66">
        <v>143</v>
      </c>
      <c r="H83" s="66">
        <v>10</v>
      </c>
      <c r="I83" s="66">
        <v>10</v>
      </c>
      <c r="J83" s="184">
        <v>38190</v>
      </c>
      <c r="K83" s="178">
        <v>1783786000</v>
      </c>
      <c r="L83" s="178">
        <v>507936315.33090895</v>
      </c>
      <c r="M83" s="66">
        <v>36866</v>
      </c>
      <c r="N83" s="66">
        <v>0</v>
      </c>
      <c r="O83"/>
    </row>
    <row r="84" spans="2:15" ht="15" customHeight="1">
      <c r="B84" s="53" t="s">
        <v>39</v>
      </c>
      <c r="C84" s="13"/>
      <c r="D84" s="13"/>
      <c r="E84" s="54"/>
      <c r="F84" s="65">
        <v>621</v>
      </c>
      <c r="G84" s="65">
        <v>785</v>
      </c>
      <c r="H84" s="65">
        <v>42</v>
      </c>
      <c r="I84" s="65">
        <v>45</v>
      </c>
      <c r="J84" s="185">
        <v>781404</v>
      </c>
      <c r="K84" s="179">
        <v>43708920000</v>
      </c>
      <c r="L84" s="179">
        <v>7663032733.7945452</v>
      </c>
      <c r="M84" s="65">
        <v>778550</v>
      </c>
      <c r="N84" s="65">
        <v>0</v>
      </c>
      <c r="O84"/>
    </row>
    <row r="85" spans="2:15" ht="15" customHeight="1"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2:15" ht="15" customHeight="1"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2:15" ht="15" customHeight="1"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2:15" ht="15" customHeight="1"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2:15" ht="15" customHeight="1"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2:15" ht="15" customHeight="1"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2:15" ht="15" customHeight="1"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2:15" ht="15" customHeight="1"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2:15" ht="15" customHeight="1"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2:15" ht="15" customHeight="1"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2:15" ht="15" customHeight="1"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2:15" ht="15" customHeight="1"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2:15" ht="15" customHeight="1"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2:15" ht="15" customHeight="1"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2:15" ht="15" customHeight="1"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2:15" ht="15" customHeight="1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2:15" ht="15" customHeight="1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2:15" ht="15" customHeight="1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2:15" ht="15" customHeight="1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2:15" ht="15" customHeight="1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2:15" ht="15" customHeight="1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2:15" ht="15" customHeight="1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2:15" ht="15" customHeight="1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2:15" ht="15" customHeight="1">
      <c r="B108" s="192"/>
      <c r="C108" s="192"/>
      <c r="D108" s="192"/>
      <c r="E108" s="192"/>
      <c r="F108" s="192"/>
      <c r="G108" s="192"/>
      <c r="H108" s="192"/>
      <c r="I108" s="192"/>
      <c r="J108" s="193"/>
      <c r="K108" s="181"/>
      <c r="L108" s="181"/>
      <c r="M108" s="193"/>
      <c r="N108" s="193"/>
    </row>
    <row r="109" spans="2:15" ht="15" customHeight="1">
      <c r="B109" s="192"/>
      <c r="C109" s="192"/>
      <c r="D109" s="192"/>
      <c r="E109" s="192"/>
      <c r="F109" s="192"/>
      <c r="G109" s="192"/>
      <c r="H109" s="192"/>
      <c r="I109" s="192"/>
      <c r="J109" s="193"/>
      <c r="K109" s="181"/>
      <c r="L109" s="181"/>
      <c r="M109" s="193"/>
      <c r="N109" s="193"/>
    </row>
    <row r="110" spans="2:15" ht="15" customHeight="1">
      <c r="B110" s="192"/>
      <c r="C110" s="192"/>
      <c r="D110" s="192"/>
      <c r="E110" s="192"/>
      <c r="F110" s="192"/>
      <c r="G110" s="192"/>
      <c r="H110" s="192"/>
      <c r="I110" s="192"/>
      <c r="J110" s="193"/>
      <c r="K110" s="181"/>
      <c r="L110" s="181"/>
      <c r="M110" s="193"/>
      <c r="N110" s="193"/>
    </row>
    <row r="111" spans="2:15" ht="15" customHeight="1">
      <c r="B111" s="192"/>
      <c r="C111" s="192"/>
      <c r="D111" s="192"/>
      <c r="E111" s="192"/>
      <c r="F111" s="192"/>
      <c r="G111" s="192"/>
      <c r="H111" s="192"/>
      <c r="I111" s="192"/>
      <c r="J111" s="193"/>
      <c r="K111" s="181"/>
      <c r="L111" s="181"/>
      <c r="M111" s="193"/>
      <c r="N111" s="193"/>
    </row>
    <row r="112" spans="2:15" ht="15" customHeight="1">
      <c r="B112" s="192"/>
      <c r="C112" s="192"/>
      <c r="D112" s="192"/>
      <c r="E112" s="192"/>
      <c r="F112" s="192"/>
      <c r="G112" s="192"/>
      <c r="H112" s="192"/>
      <c r="I112" s="192"/>
      <c r="J112" s="193"/>
      <c r="K112" s="181"/>
      <c r="L112" s="181"/>
      <c r="M112" s="193"/>
      <c r="N112" s="193"/>
    </row>
    <row r="113" spans="2:14" ht="15" customHeight="1">
      <c r="B113" s="192"/>
      <c r="C113" s="192"/>
      <c r="D113" s="192"/>
      <c r="E113" s="192"/>
      <c r="F113" s="192"/>
      <c r="G113" s="192"/>
      <c r="H113" s="192"/>
      <c r="I113" s="192"/>
      <c r="J113" s="193"/>
      <c r="K113" s="181"/>
      <c r="L113" s="181"/>
      <c r="M113" s="193"/>
      <c r="N113" s="193"/>
    </row>
    <row r="114" spans="2:14" ht="15" customHeight="1">
      <c r="B114" s="192"/>
      <c r="C114" s="192"/>
      <c r="D114" s="192"/>
      <c r="E114" s="192"/>
      <c r="F114" s="192"/>
      <c r="G114" s="192"/>
      <c r="H114" s="192"/>
      <c r="I114" s="192"/>
      <c r="J114" s="193"/>
      <c r="K114" s="181"/>
      <c r="L114" s="181"/>
      <c r="M114" s="193"/>
      <c r="N114" s="193"/>
    </row>
    <row r="115" spans="2:14" ht="15" customHeight="1">
      <c r="B115" s="192"/>
      <c r="C115" s="192"/>
      <c r="D115" s="192"/>
      <c r="E115" s="192"/>
      <c r="F115" s="192"/>
      <c r="G115" s="192"/>
      <c r="H115" s="192"/>
      <c r="I115" s="192"/>
      <c r="J115" s="193"/>
      <c r="K115" s="181"/>
      <c r="L115" s="181"/>
      <c r="M115" s="193"/>
      <c r="N115" s="193"/>
    </row>
    <row r="116" spans="2:14" ht="15" customHeight="1">
      <c r="B116" s="192"/>
      <c r="C116" s="192"/>
      <c r="D116" s="192"/>
      <c r="E116" s="192"/>
      <c r="F116" s="192"/>
      <c r="G116" s="192"/>
      <c r="H116" s="192"/>
      <c r="I116" s="192"/>
      <c r="J116" s="193"/>
      <c r="K116" s="181"/>
      <c r="L116" s="181"/>
      <c r="M116" s="193"/>
      <c r="N116" s="193"/>
    </row>
    <row r="117" spans="2:14" ht="15" customHeight="1">
      <c r="B117" s="192"/>
      <c r="C117" s="192"/>
      <c r="D117" s="192"/>
      <c r="E117" s="192"/>
      <c r="F117" s="192"/>
      <c r="G117" s="192"/>
      <c r="H117" s="192"/>
      <c r="I117" s="192"/>
      <c r="J117" s="193"/>
      <c r="K117" s="181"/>
      <c r="L117" s="181"/>
      <c r="M117" s="193"/>
      <c r="N117" s="193"/>
    </row>
    <row r="118" spans="2:14" ht="15" customHeight="1">
      <c r="B118" s="192"/>
      <c r="C118" s="192"/>
      <c r="D118" s="192"/>
      <c r="E118" s="192"/>
      <c r="F118" s="192"/>
      <c r="G118" s="192"/>
      <c r="H118" s="192"/>
      <c r="I118" s="192"/>
      <c r="J118" s="193"/>
      <c r="K118" s="181"/>
      <c r="L118" s="181"/>
      <c r="M118" s="193"/>
      <c r="N118" s="193"/>
    </row>
    <row r="119" spans="2:14" ht="15" customHeight="1">
      <c r="B119" s="192"/>
      <c r="C119" s="192"/>
      <c r="D119" s="192"/>
      <c r="E119" s="192"/>
      <c r="F119" s="192"/>
      <c r="G119" s="192"/>
      <c r="H119" s="192"/>
      <c r="I119" s="192"/>
      <c r="J119" s="193"/>
      <c r="K119" s="181"/>
      <c r="L119" s="181"/>
      <c r="M119" s="193"/>
      <c r="N119" s="193"/>
    </row>
    <row r="120" spans="2:14" ht="15" customHeight="1">
      <c r="B120" s="192"/>
      <c r="C120" s="192"/>
      <c r="D120" s="192"/>
      <c r="E120" s="192"/>
      <c r="F120" s="192"/>
      <c r="G120" s="192"/>
      <c r="H120" s="192"/>
      <c r="I120" s="192"/>
      <c r="J120" s="193"/>
      <c r="K120" s="181"/>
      <c r="L120" s="181"/>
      <c r="M120" s="193"/>
      <c r="N120" s="193"/>
    </row>
    <row r="121" spans="2:14" ht="15" customHeight="1">
      <c r="B121" s="192"/>
      <c r="C121" s="192"/>
      <c r="D121" s="192"/>
      <c r="E121" s="192"/>
      <c r="F121" s="192"/>
      <c r="G121" s="192"/>
      <c r="H121" s="192"/>
      <c r="I121" s="192"/>
      <c r="J121" s="193"/>
      <c r="K121" s="181"/>
      <c r="L121" s="181"/>
      <c r="M121" s="193"/>
      <c r="N121" s="193"/>
    </row>
    <row r="122" spans="2:14" ht="15" customHeight="1">
      <c r="B122" s="192"/>
      <c r="C122" s="192"/>
      <c r="D122" s="192"/>
      <c r="E122" s="192"/>
      <c r="F122" s="192"/>
      <c r="G122" s="192"/>
      <c r="H122" s="192"/>
      <c r="I122" s="192"/>
      <c r="J122" s="193"/>
      <c r="K122" s="181"/>
      <c r="L122" s="181"/>
      <c r="M122" s="193"/>
      <c r="N122" s="193"/>
    </row>
    <row r="123" spans="2:14" ht="15" customHeight="1">
      <c r="B123" s="192"/>
      <c r="C123" s="192"/>
      <c r="D123" s="192"/>
      <c r="E123" s="192"/>
      <c r="F123" s="192"/>
      <c r="G123" s="192"/>
      <c r="H123" s="192"/>
      <c r="I123" s="192"/>
      <c r="J123" s="193"/>
      <c r="K123" s="181"/>
      <c r="L123" s="181"/>
      <c r="M123" s="193"/>
      <c r="N123" s="193"/>
    </row>
    <row r="124" spans="2:14" ht="15" customHeight="1">
      <c r="B124" s="192"/>
      <c r="C124" s="192"/>
      <c r="D124" s="192"/>
      <c r="E124" s="192"/>
      <c r="F124" s="192"/>
      <c r="G124" s="192"/>
      <c r="H124" s="192"/>
      <c r="I124" s="192"/>
      <c r="J124" s="193"/>
      <c r="K124" s="181"/>
      <c r="L124" s="181"/>
      <c r="M124" s="193"/>
      <c r="N124" s="193"/>
    </row>
    <row r="125" spans="2:14" ht="15" customHeight="1">
      <c r="B125" s="192"/>
      <c r="C125" s="192"/>
      <c r="D125" s="192"/>
      <c r="E125" s="192"/>
      <c r="F125" s="192"/>
      <c r="G125" s="192"/>
      <c r="H125" s="192"/>
      <c r="I125" s="192"/>
      <c r="J125" s="193"/>
      <c r="K125" s="181"/>
      <c r="L125" s="181"/>
      <c r="M125" s="193"/>
      <c r="N125" s="193"/>
    </row>
    <row r="126" spans="2:14" ht="15" customHeight="1">
      <c r="B126" s="192"/>
      <c r="C126" s="192"/>
      <c r="D126" s="192"/>
      <c r="E126" s="192"/>
      <c r="F126" s="192"/>
      <c r="G126" s="192"/>
      <c r="H126" s="192"/>
      <c r="I126" s="192"/>
      <c r="J126" s="193"/>
      <c r="K126" s="181"/>
      <c r="L126" s="181"/>
      <c r="M126" s="193"/>
      <c r="N126" s="193"/>
    </row>
    <row r="127" spans="2:14" ht="15" customHeight="1">
      <c r="B127" s="192"/>
      <c r="C127" s="192"/>
      <c r="D127" s="192"/>
      <c r="E127" s="192"/>
      <c r="F127" s="192"/>
      <c r="G127" s="192"/>
      <c r="H127" s="192"/>
      <c r="I127" s="192"/>
      <c r="J127" s="193"/>
      <c r="K127" s="181"/>
      <c r="L127" s="181"/>
      <c r="M127" s="193"/>
      <c r="N127" s="193"/>
    </row>
    <row r="128" spans="2:14" ht="15" customHeight="1">
      <c r="B128" s="192"/>
      <c r="C128" s="192"/>
      <c r="D128" s="192"/>
      <c r="E128" s="192"/>
      <c r="F128" s="192"/>
      <c r="G128" s="192"/>
      <c r="H128" s="192"/>
      <c r="I128" s="192"/>
      <c r="J128" s="193"/>
      <c r="K128" s="181"/>
      <c r="L128" s="181"/>
      <c r="M128" s="193"/>
      <c r="N128" s="193"/>
    </row>
    <row r="129" spans="2:14" ht="15" customHeight="1">
      <c r="B129" s="192"/>
      <c r="C129" s="192"/>
      <c r="D129" s="192"/>
      <c r="E129" s="192"/>
      <c r="F129" s="192"/>
      <c r="G129" s="192"/>
      <c r="H129" s="192"/>
      <c r="I129" s="192"/>
      <c r="J129" s="193"/>
      <c r="K129" s="181"/>
      <c r="L129" s="181"/>
      <c r="M129" s="193"/>
      <c r="N129" s="193"/>
    </row>
    <row r="130" spans="2:14" ht="15" customHeight="1">
      <c r="B130" s="192"/>
      <c r="C130" s="192"/>
      <c r="D130" s="192"/>
      <c r="E130" s="192"/>
      <c r="F130" s="192"/>
      <c r="G130" s="192"/>
      <c r="H130" s="192"/>
      <c r="I130" s="192"/>
      <c r="J130" s="193"/>
      <c r="K130" s="181"/>
      <c r="L130" s="181"/>
      <c r="M130" s="193"/>
      <c r="N130" s="193"/>
    </row>
    <row r="131" spans="2:14" ht="15" customHeight="1">
      <c r="B131" s="192"/>
      <c r="C131" s="192"/>
      <c r="D131" s="192"/>
      <c r="E131" s="192"/>
      <c r="F131" s="192"/>
      <c r="G131" s="192"/>
      <c r="H131" s="192"/>
      <c r="I131" s="192"/>
      <c r="J131" s="193"/>
      <c r="K131" s="181"/>
      <c r="L131" s="181"/>
      <c r="M131" s="193"/>
      <c r="N131" s="193"/>
    </row>
    <row r="132" spans="2:14" ht="15" customHeight="1">
      <c r="B132" s="192"/>
      <c r="C132" s="192"/>
      <c r="D132" s="192"/>
      <c r="E132" s="192"/>
      <c r="F132" s="192"/>
      <c r="G132" s="192"/>
      <c r="H132" s="192"/>
      <c r="I132" s="192"/>
      <c r="J132" s="193"/>
      <c r="K132" s="181"/>
      <c r="L132" s="181"/>
      <c r="M132" s="193"/>
      <c r="N132" s="193"/>
    </row>
    <row r="133" spans="2:14" ht="15" customHeight="1">
      <c r="B133" s="192"/>
      <c r="C133" s="192"/>
      <c r="D133" s="192"/>
      <c r="E133" s="192"/>
      <c r="F133" s="192"/>
      <c r="G133" s="192"/>
      <c r="H133" s="192"/>
      <c r="I133" s="192"/>
      <c r="J133" s="193"/>
      <c r="K133" s="181"/>
      <c r="L133" s="181"/>
      <c r="M133" s="193"/>
      <c r="N133" s="193"/>
    </row>
    <row r="134" spans="2:14" ht="15" customHeight="1">
      <c r="B134" s="192"/>
      <c r="C134" s="192"/>
      <c r="D134" s="192"/>
      <c r="E134" s="192"/>
      <c r="F134" s="192"/>
      <c r="G134" s="192"/>
      <c r="H134" s="192"/>
      <c r="I134" s="192"/>
      <c r="J134" s="193"/>
      <c r="K134" s="181"/>
      <c r="L134" s="181"/>
      <c r="M134" s="193"/>
      <c r="N134" s="193"/>
    </row>
    <row r="135" spans="2:14" ht="15" customHeight="1">
      <c r="B135" s="192"/>
      <c r="C135" s="192"/>
      <c r="D135" s="192"/>
      <c r="E135" s="192"/>
      <c r="F135" s="192"/>
      <c r="G135" s="192"/>
      <c r="H135" s="192"/>
      <c r="I135" s="192"/>
      <c r="J135" s="193"/>
      <c r="K135" s="181"/>
      <c r="L135" s="181"/>
      <c r="M135" s="193"/>
      <c r="N135" s="193"/>
    </row>
    <row r="136" spans="2:14" ht="15" customHeight="1">
      <c r="B136" s="192"/>
      <c r="C136" s="192"/>
      <c r="D136" s="192"/>
      <c r="E136" s="192"/>
      <c r="F136" s="192"/>
      <c r="G136" s="192"/>
      <c r="H136" s="192"/>
      <c r="I136" s="192"/>
      <c r="J136" s="193"/>
      <c r="K136" s="181"/>
      <c r="L136" s="181"/>
      <c r="M136" s="193"/>
      <c r="N136" s="193"/>
    </row>
    <row r="137" spans="2:14" ht="15" customHeight="1">
      <c r="B137" s="192"/>
      <c r="C137" s="192"/>
      <c r="D137" s="192"/>
      <c r="E137" s="192"/>
      <c r="F137" s="192"/>
      <c r="G137" s="192"/>
      <c r="H137" s="192"/>
      <c r="I137" s="192"/>
      <c r="J137" s="193"/>
      <c r="K137" s="181"/>
      <c r="L137" s="181"/>
      <c r="M137" s="193"/>
      <c r="N137" s="193"/>
    </row>
    <row r="138" spans="2:14" ht="15" customHeight="1">
      <c r="B138" s="192"/>
      <c r="C138" s="192"/>
      <c r="D138" s="192"/>
      <c r="E138" s="192"/>
      <c r="F138" s="192"/>
      <c r="G138" s="192"/>
      <c r="H138" s="192"/>
      <c r="I138" s="192"/>
      <c r="J138" s="193"/>
      <c r="K138" s="181"/>
      <c r="L138" s="181"/>
      <c r="M138" s="193"/>
      <c r="N138" s="193"/>
    </row>
    <row r="139" spans="2:14" ht="15" customHeight="1">
      <c r="B139" s="192"/>
      <c r="C139" s="192"/>
      <c r="D139" s="192"/>
      <c r="E139" s="192"/>
      <c r="F139" s="192"/>
      <c r="G139" s="192"/>
      <c r="H139" s="192"/>
      <c r="I139" s="192"/>
      <c r="J139" s="193"/>
      <c r="K139" s="181"/>
      <c r="L139" s="181"/>
      <c r="M139" s="193"/>
      <c r="N139" s="193"/>
    </row>
    <row r="140" spans="2:14" ht="15" customHeight="1">
      <c r="B140" s="192"/>
      <c r="C140" s="192"/>
      <c r="D140" s="192"/>
      <c r="E140" s="192"/>
      <c r="F140" s="192"/>
      <c r="G140" s="192"/>
      <c r="H140" s="192"/>
      <c r="I140" s="192"/>
      <c r="J140" s="193"/>
      <c r="K140" s="181"/>
      <c r="L140" s="181"/>
      <c r="M140" s="193"/>
      <c r="N140" s="193"/>
    </row>
    <row r="141" spans="2:14" ht="15" customHeight="1">
      <c r="B141" s="192"/>
      <c r="C141" s="192"/>
      <c r="D141" s="192"/>
      <c r="E141" s="192"/>
      <c r="F141" s="192"/>
      <c r="G141" s="192"/>
      <c r="H141" s="192"/>
      <c r="I141" s="192"/>
      <c r="J141" s="193"/>
      <c r="K141" s="181"/>
      <c r="L141" s="181"/>
      <c r="M141" s="193"/>
      <c r="N141" s="193"/>
    </row>
    <row r="142" spans="2:14" ht="15" customHeight="1">
      <c r="B142" s="192"/>
      <c r="C142" s="192"/>
      <c r="D142" s="192"/>
      <c r="E142" s="192"/>
      <c r="F142" s="192"/>
      <c r="G142" s="192"/>
      <c r="H142" s="192"/>
      <c r="I142" s="192"/>
      <c r="J142" s="193"/>
      <c r="K142" s="181"/>
      <c r="L142" s="181"/>
      <c r="M142" s="193"/>
      <c r="N142" s="193"/>
    </row>
    <row r="143" spans="2:14" ht="15" customHeight="1">
      <c r="B143" s="192"/>
      <c r="C143" s="192"/>
      <c r="D143" s="192"/>
      <c r="E143" s="192"/>
      <c r="F143" s="192"/>
      <c r="G143" s="192"/>
      <c r="H143" s="192"/>
      <c r="I143" s="192"/>
      <c r="J143" s="193"/>
      <c r="K143" s="181"/>
      <c r="L143" s="181"/>
      <c r="M143" s="193"/>
      <c r="N143" s="193"/>
    </row>
    <row r="144" spans="2:14" ht="15" customHeight="1">
      <c r="B144" s="192"/>
      <c r="C144" s="192"/>
      <c r="D144" s="192"/>
      <c r="E144" s="192"/>
      <c r="F144" s="192"/>
      <c r="G144" s="192"/>
      <c r="H144" s="192"/>
      <c r="I144" s="192"/>
      <c r="J144" s="193"/>
      <c r="K144" s="181"/>
      <c r="L144" s="181"/>
      <c r="M144" s="193"/>
      <c r="N144" s="193"/>
    </row>
    <row r="145" spans="2:14" ht="15" customHeight="1">
      <c r="B145" s="192"/>
      <c r="C145" s="192"/>
      <c r="D145" s="192"/>
      <c r="E145" s="192"/>
      <c r="F145" s="192"/>
      <c r="G145" s="192"/>
      <c r="H145" s="192"/>
      <c r="I145" s="192"/>
      <c r="J145" s="193"/>
      <c r="K145" s="181"/>
      <c r="L145" s="181"/>
      <c r="M145" s="193"/>
      <c r="N145" s="193"/>
    </row>
    <row r="146" spans="2:14" ht="15" customHeight="1">
      <c r="B146" s="192"/>
      <c r="C146" s="192"/>
      <c r="D146" s="192"/>
      <c r="E146" s="192"/>
      <c r="F146" s="192"/>
      <c r="G146" s="192"/>
      <c r="H146" s="192"/>
      <c r="I146" s="192"/>
      <c r="J146" s="193"/>
      <c r="K146" s="181"/>
      <c r="L146" s="181"/>
      <c r="M146" s="193"/>
      <c r="N146" s="193"/>
    </row>
    <row r="147" spans="2:14" ht="15" customHeight="1">
      <c r="B147" s="192"/>
      <c r="C147" s="192"/>
      <c r="D147" s="192"/>
      <c r="E147" s="192"/>
      <c r="F147" s="192"/>
      <c r="G147" s="192"/>
      <c r="H147" s="192"/>
      <c r="I147" s="192"/>
      <c r="J147" s="193"/>
      <c r="K147" s="181"/>
      <c r="L147" s="181"/>
      <c r="M147" s="193"/>
      <c r="N147" s="193"/>
    </row>
    <row r="148" spans="2:14" ht="15" customHeight="1">
      <c r="B148" s="192"/>
      <c r="C148" s="192"/>
      <c r="D148" s="192"/>
      <c r="E148" s="192"/>
      <c r="F148" s="192"/>
      <c r="G148" s="192"/>
      <c r="H148" s="192"/>
      <c r="I148" s="192"/>
      <c r="J148" s="193"/>
      <c r="K148" s="181"/>
      <c r="L148" s="181"/>
      <c r="M148" s="193"/>
      <c r="N148" s="193"/>
    </row>
    <row r="149" spans="2:14" ht="15" customHeight="1">
      <c r="B149" s="192"/>
      <c r="C149" s="192"/>
      <c r="D149" s="192"/>
      <c r="E149" s="192"/>
      <c r="F149" s="192"/>
      <c r="G149" s="192"/>
      <c r="H149" s="192"/>
      <c r="I149" s="192"/>
      <c r="J149" s="193"/>
      <c r="K149" s="181"/>
      <c r="L149" s="181"/>
      <c r="M149" s="193"/>
      <c r="N149" s="193"/>
    </row>
    <row r="150" spans="2:14" ht="15" customHeight="1">
      <c r="B150" s="192"/>
      <c r="C150" s="192"/>
      <c r="D150" s="192"/>
      <c r="E150" s="192"/>
      <c r="F150" s="192"/>
      <c r="G150" s="192"/>
      <c r="H150" s="192"/>
      <c r="I150" s="192"/>
      <c r="J150" s="193"/>
      <c r="K150" s="181"/>
      <c r="L150" s="181"/>
      <c r="M150" s="193"/>
      <c r="N150" s="193"/>
    </row>
    <row r="151" spans="2:14" ht="15" customHeight="1">
      <c r="B151" s="192"/>
      <c r="C151" s="192"/>
      <c r="D151" s="192"/>
      <c r="E151" s="192"/>
      <c r="F151" s="192"/>
      <c r="G151" s="192"/>
      <c r="H151" s="192"/>
      <c r="I151" s="192"/>
      <c r="J151" s="193"/>
      <c r="K151" s="181"/>
      <c r="L151" s="181"/>
      <c r="M151" s="193"/>
      <c r="N151" s="193"/>
    </row>
    <row r="152" spans="2:14" ht="15" customHeight="1">
      <c r="B152" s="192"/>
      <c r="C152" s="192"/>
      <c r="D152" s="192"/>
      <c r="E152" s="192"/>
      <c r="F152" s="192"/>
      <c r="G152" s="192"/>
      <c r="H152" s="192"/>
      <c r="I152" s="192"/>
      <c r="J152" s="193"/>
      <c r="K152" s="181"/>
      <c r="L152" s="181"/>
    </row>
    <row r="153" spans="2:14" ht="15" customHeight="1">
      <c r="B153" s="192"/>
      <c r="C153" s="192"/>
      <c r="D153" s="192"/>
      <c r="E153" s="192"/>
      <c r="F153" s="192"/>
      <c r="G153" s="192"/>
      <c r="H153" s="192"/>
      <c r="I153" s="192"/>
      <c r="J153" s="193"/>
      <c r="K153" s="181"/>
      <c r="L153" s="181"/>
    </row>
    <row r="154" spans="2:14" ht="15" customHeight="1">
      <c r="B154" s="192"/>
      <c r="C154" s="192"/>
      <c r="D154" s="192"/>
      <c r="E154" s="192"/>
      <c r="F154" s="192"/>
      <c r="G154" s="192"/>
      <c r="H154" s="192"/>
      <c r="I154" s="192"/>
      <c r="J154" s="193"/>
      <c r="K154" s="181"/>
      <c r="L154" s="181"/>
    </row>
    <row r="155" spans="2:14" ht="15" customHeight="1">
      <c r="B155" s="192"/>
      <c r="C155" s="192"/>
      <c r="D155" s="192"/>
      <c r="E155" s="192"/>
      <c r="F155" s="192"/>
      <c r="G155" s="192"/>
      <c r="H155" s="192"/>
      <c r="I155" s="192"/>
      <c r="J155" s="193"/>
      <c r="K155" s="181"/>
      <c r="L155" s="181"/>
    </row>
    <row r="156" spans="2:14" ht="15" customHeight="1">
      <c r="B156" s="192"/>
      <c r="C156" s="192"/>
      <c r="D156" s="192"/>
      <c r="E156" s="192"/>
      <c r="F156" s="192"/>
      <c r="G156" s="192"/>
      <c r="H156" s="192"/>
      <c r="I156" s="192"/>
      <c r="J156" s="193"/>
      <c r="K156" s="181"/>
      <c r="L156" s="181"/>
    </row>
    <row r="157" spans="2:14" ht="15" customHeight="1">
      <c r="B157" s="192"/>
      <c r="C157" s="192"/>
      <c r="D157" s="192"/>
      <c r="E157" s="192"/>
      <c r="F157" s="192"/>
      <c r="G157" s="192"/>
      <c r="H157" s="192"/>
      <c r="I157" s="192"/>
      <c r="J157" s="193"/>
      <c r="K157" s="181"/>
      <c r="L157" s="181"/>
    </row>
    <row r="158" spans="2:14" ht="15" customHeight="1">
      <c r="B158" s="192"/>
      <c r="C158" s="192"/>
      <c r="D158" s="192"/>
      <c r="E158" s="192"/>
      <c r="F158" s="192"/>
      <c r="G158" s="192"/>
      <c r="H158" s="192"/>
      <c r="I158" s="192"/>
      <c r="J158" s="193"/>
      <c r="K158" s="181"/>
      <c r="L158" s="181"/>
    </row>
    <row r="159" spans="2:14" ht="15" customHeight="1">
      <c r="B159" s="192"/>
      <c r="C159" s="192"/>
      <c r="D159" s="192"/>
      <c r="E159" s="192"/>
      <c r="F159" s="192"/>
      <c r="G159" s="192"/>
      <c r="H159" s="192"/>
      <c r="I159" s="192"/>
      <c r="J159" s="193"/>
      <c r="K159" s="181"/>
      <c r="L159" s="181"/>
    </row>
    <row r="160" spans="2:14" ht="15" customHeight="1">
      <c r="B160" s="192"/>
      <c r="C160" s="192"/>
      <c r="D160" s="192"/>
      <c r="E160" s="192"/>
      <c r="F160" s="192"/>
      <c r="G160" s="192"/>
      <c r="H160" s="192"/>
      <c r="I160" s="192"/>
      <c r="J160" s="193"/>
      <c r="K160" s="181"/>
      <c r="L160" s="181"/>
    </row>
    <row r="161" spans="2:12" ht="15" customHeight="1">
      <c r="B161" s="192"/>
      <c r="C161" s="192"/>
      <c r="D161" s="192"/>
      <c r="E161" s="192"/>
      <c r="F161" s="192"/>
      <c r="G161" s="192"/>
      <c r="H161" s="192"/>
      <c r="I161" s="192"/>
      <c r="J161" s="193"/>
      <c r="K161" s="181"/>
      <c r="L161" s="181"/>
    </row>
    <row r="162" spans="2:12" ht="15" customHeight="1">
      <c r="B162" s="192"/>
      <c r="C162" s="192"/>
      <c r="D162" s="192"/>
      <c r="E162" s="192"/>
      <c r="F162" s="192"/>
      <c r="G162" s="192"/>
      <c r="H162" s="192"/>
      <c r="I162" s="192"/>
      <c r="J162" s="193"/>
      <c r="K162" s="181"/>
      <c r="L162" s="181"/>
    </row>
    <row r="163" spans="2:12" ht="15" customHeight="1">
      <c r="B163" s="192"/>
      <c r="C163" s="192"/>
      <c r="D163" s="192"/>
      <c r="E163" s="192"/>
      <c r="F163" s="192"/>
      <c r="G163" s="192"/>
      <c r="H163" s="192"/>
      <c r="I163" s="192"/>
      <c r="J163" s="193"/>
      <c r="K163" s="181"/>
      <c r="L163" s="181"/>
    </row>
    <row r="164" spans="2:12" ht="15" customHeight="1">
      <c r="B164" s="192"/>
      <c r="C164" s="192"/>
      <c r="D164" s="192"/>
      <c r="E164" s="192"/>
      <c r="F164" s="192"/>
      <c r="G164" s="192"/>
      <c r="H164" s="192"/>
      <c r="I164" s="192"/>
      <c r="J164" s="193"/>
      <c r="K164" s="181"/>
      <c r="L164" s="181"/>
    </row>
    <row r="165" spans="2:12" ht="15" customHeight="1">
      <c r="B165" s="192"/>
      <c r="C165" s="192"/>
      <c r="D165" s="192"/>
      <c r="E165" s="192"/>
      <c r="F165" s="192"/>
      <c r="G165" s="192"/>
      <c r="H165" s="192"/>
      <c r="I165" s="192"/>
      <c r="J165" s="193"/>
      <c r="K165" s="181"/>
      <c r="L165" s="181"/>
    </row>
    <row r="166" spans="2:12" ht="15" customHeight="1">
      <c r="B166" s="192"/>
      <c r="C166" s="192"/>
      <c r="D166" s="192"/>
      <c r="E166" s="192"/>
      <c r="F166" s="192"/>
      <c r="G166" s="192"/>
      <c r="H166" s="192"/>
      <c r="I166" s="192"/>
      <c r="J166" s="193"/>
      <c r="K166" s="181"/>
      <c r="L166" s="181"/>
    </row>
    <row r="167" spans="2:12" ht="15" customHeight="1">
      <c r="B167" s="192"/>
      <c r="C167" s="192"/>
      <c r="D167" s="192"/>
      <c r="E167" s="192"/>
      <c r="F167" s="192"/>
      <c r="G167" s="192"/>
      <c r="H167" s="192"/>
      <c r="I167" s="192"/>
      <c r="J167" s="193"/>
      <c r="K167" s="181"/>
      <c r="L167" s="181"/>
    </row>
    <row r="168" spans="2:12" ht="15" customHeight="1">
      <c r="B168" s="192"/>
      <c r="C168" s="192"/>
      <c r="D168" s="192"/>
      <c r="E168" s="192"/>
      <c r="F168" s="192"/>
      <c r="G168" s="192"/>
      <c r="H168" s="192"/>
      <c r="I168" s="192"/>
      <c r="J168" s="193"/>
      <c r="K168" s="181"/>
      <c r="L168" s="181"/>
    </row>
    <row r="169" spans="2:12" ht="15" customHeight="1">
      <c r="B169" s="192"/>
      <c r="C169" s="192"/>
      <c r="D169" s="192"/>
      <c r="E169" s="192"/>
      <c r="F169" s="192"/>
      <c r="G169" s="192"/>
      <c r="H169" s="192"/>
      <c r="I169" s="192"/>
      <c r="J169" s="193"/>
      <c r="K169" s="181"/>
      <c r="L169" s="181"/>
    </row>
    <row r="170" spans="2:12" ht="15" customHeight="1">
      <c r="B170" s="192"/>
      <c r="C170" s="192"/>
      <c r="D170" s="192"/>
      <c r="E170" s="192"/>
      <c r="F170" s="192"/>
      <c r="G170" s="192"/>
      <c r="H170" s="192"/>
      <c r="I170" s="192"/>
      <c r="J170" s="193"/>
      <c r="K170" s="181"/>
      <c r="L170" s="181"/>
    </row>
    <row r="171" spans="2:12" ht="15" customHeight="1">
      <c r="B171" s="192"/>
      <c r="C171" s="192"/>
      <c r="D171" s="192"/>
      <c r="E171" s="192"/>
      <c r="F171" s="192"/>
      <c r="G171" s="192"/>
      <c r="H171" s="192"/>
      <c r="I171" s="192"/>
      <c r="J171" s="193"/>
      <c r="K171" s="181"/>
      <c r="L171" s="181"/>
    </row>
    <row r="172" spans="2:12" ht="15" customHeight="1">
      <c r="B172" s="192"/>
      <c r="C172" s="192"/>
      <c r="D172" s="192"/>
      <c r="E172" s="192"/>
      <c r="F172" s="192"/>
      <c r="G172" s="192"/>
      <c r="H172" s="192"/>
      <c r="I172" s="192"/>
      <c r="J172" s="193"/>
      <c r="K172" s="181"/>
      <c r="L172" s="181"/>
    </row>
    <row r="173" spans="2:12" ht="15" customHeight="1">
      <c r="B173" s="192"/>
      <c r="C173" s="192"/>
      <c r="D173" s="192"/>
      <c r="E173" s="192"/>
      <c r="F173" s="192"/>
      <c r="G173" s="192"/>
      <c r="H173" s="192"/>
      <c r="I173" s="192"/>
      <c r="J173" s="193"/>
      <c r="K173" s="181"/>
      <c r="L173" s="181"/>
    </row>
    <row r="174" spans="2:12" ht="15" customHeight="1">
      <c r="B174" s="192"/>
      <c r="C174" s="192"/>
      <c r="D174" s="192"/>
      <c r="E174" s="192"/>
      <c r="F174" s="192"/>
      <c r="G174" s="192"/>
      <c r="H174" s="192"/>
      <c r="I174" s="192"/>
      <c r="J174" s="193"/>
      <c r="K174" s="181"/>
      <c r="L174" s="181"/>
    </row>
    <row r="175" spans="2:12" ht="15" customHeight="1">
      <c r="B175" s="192"/>
      <c r="C175" s="192"/>
      <c r="D175" s="192"/>
      <c r="E175" s="192"/>
      <c r="F175" s="192"/>
      <c r="G175" s="192"/>
      <c r="H175" s="192"/>
      <c r="I175" s="192"/>
      <c r="J175" s="193"/>
      <c r="K175" s="181"/>
      <c r="L175" s="181"/>
    </row>
    <row r="176" spans="2:12" ht="15" customHeight="1">
      <c r="B176" s="192"/>
      <c r="C176" s="192"/>
      <c r="D176" s="192"/>
      <c r="E176" s="192"/>
      <c r="F176" s="192"/>
      <c r="G176" s="192"/>
      <c r="H176" s="192"/>
      <c r="I176" s="192"/>
      <c r="J176" s="193"/>
      <c r="K176" s="181"/>
      <c r="L176" s="181"/>
    </row>
    <row r="177" spans="2:12" ht="15" customHeight="1">
      <c r="B177" s="192"/>
      <c r="C177" s="192"/>
      <c r="D177" s="192"/>
      <c r="E177" s="192"/>
      <c r="F177" s="192"/>
      <c r="G177" s="192"/>
      <c r="H177" s="192"/>
      <c r="I177" s="192"/>
      <c r="J177" s="193"/>
      <c r="K177" s="181"/>
      <c r="L177" s="181"/>
    </row>
    <row r="178" spans="2:12" ht="15" customHeight="1">
      <c r="B178" s="192"/>
      <c r="C178" s="192"/>
      <c r="D178" s="192"/>
      <c r="E178" s="192"/>
      <c r="F178" s="192"/>
      <c r="G178" s="192"/>
      <c r="H178" s="192"/>
      <c r="I178" s="192"/>
      <c r="J178" s="193"/>
      <c r="K178" s="181"/>
      <c r="L178" s="181"/>
    </row>
    <row r="179" spans="2:12" ht="15" customHeight="1">
      <c r="B179" s="192"/>
      <c r="C179" s="192"/>
      <c r="D179" s="192"/>
      <c r="E179" s="192"/>
      <c r="F179" s="192"/>
      <c r="G179" s="192"/>
      <c r="H179" s="192"/>
      <c r="I179" s="192"/>
      <c r="J179" s="193"/>
      <c r="K179" s="181"/>
      <c r="L179" s="181"/>
    </row>
    <row r="180" spans="2:12" ht="15" customHeight="1">
      <c r="B180" s="192"/>
      <c r="C180" s="192"/>
      <c r="D180" s="192"/>
      <c r="E180" s="192"/>
      <c r="F180" s="192"/>
      <c r="G180" s="192"/>
      <c r="H180" s="192"/>
      <c r="I180" s="192"/>
      <c r="J180" s="193"/>
      <c r="K180" s="181"/>
      <c r="L180" s="181"/>
    </row>
    <row r="181" spans="2:12" ht="15" customHeight="1">
      <c r="B181" s="192"/>
      <c r="C181" s="192"/>
      <c r="D181" s="192"/>
      <c r="E181" s="192"/>
      <c r="F181" s="192"/>
      <c r="G181" s="192"/>
      <c r="H181" s="192"/>
      <c r="I181" s="192"/>
      <c r="J181" s="193"/>
      <c r="K181" s="181"/>
      <c r="L181" s="181"/>
    </row>
    <row r="182" spans="2:12" ht="15" customHeight="1">
      <c r="B182" s="192"/>
      <c r="C182" s="192"/>
      <c r="D182" s="192"/>
      <c r="E182" s="192"/>
      <c r="F182" s="192"/>
      <c r="G182" s="192"/>
      <c r="H182" s="192"/>
      <c r="I182" s="192"/>
      <c r="J182" s="193"/>
      <c r="K182" s="181"/>
      <c r="L182" s="181"/>
    </row>
    <row r="183" spans="2:12" ht="15" customHeight="1">
      <c r="B183" s="192"/>
      <c r="C183" s="192"/>
      <c r="D183" s="192"/>
      <c r="E183" s="192"/>
      <c r="F183" s="192"/>
      <c r="G183" s="192"/>
      <c r="H183" s="192"/>
      <c r="I183" s="192"/>
      <c r="J183" s="193"/>
      <c r="K183" s="181"/>
      <c r="L183" s="181"/>
    </row>
    <row r="184" spans="2:12" ht="15" customHeight="1">
      <c r="B184" s="192"/>
      <c r="C184" s="192"/>
      <c r="D184" s="192"/>
      <c r="E184" s="192"/>
      <c r="F184" s="192"/>
      <c r="G184" s="192"/>
      <c r="H184" s="192"/>
      <c r="I184" s="192"/>
      <c r="J184" s="193"/>
      <c r="K184" s="181"/>
      <c r="L184" s="181"/>
    </row>
    <row r="185" spans="2:12" ht="15" customHeight="1">
      <c r="B185" s="192"/>
      <c r="C185" s="192"/>
      <c r="D185" s="192"/>
      <c r="E185" s="192"/>
      <c r="F185" s="192"/>
      <c r="G185" s="192"/>
      <c r="H185" s="192"/>
      <c r="I185" s="192"/>
      <c r="J185" s="193"/>
      <c r="K185" s="181"/>
      <c r="L185" s="181"/>
    </row>
    <row r="186" spans="2:12" ht="15" customHeight="1">
      <c r="B186" s="192"/>
      <c r="C186" s="192"/>
      <c r="D186" s="192"/>
      <c r="E186" s="192"/>
      <c r="F186" s="192"/>
      <c r="G186" s="192"/>
      <c r="H186" s="192"/>
      <c r="I186" s="192"/>
      <c r="J186" s="193"/>
      <c r="K186" s="181"/>
      <c r="L186" s="181"/>
    </row>
    <row r="187" spans="2:12" ht="15" customHeight="1">
      <c r="B187" s="192"/>
      <c r="C187" s="192"/>
      <c r="D187" s="192"/>
      <c r="E187" s="192"/>
      <c r="F187" s="192"/>
      <c r="G187" s="192"/>
      <c r="H187" s="192"/>
      <c r="I187" s="192"/>
      <c r="J187" s="193"/>
      <c r="K187" s="181"/>
      <c r="L187" s="181"/>
    </row>
    <row r="188" spans="2:12" ht="15" customHeight="1">
      <c r="B188" s="192"/>
      <c r="C188" s="192"/>
      <c r="D188" s="192"/>
      <c r="E188" s="192"/>
      <c r="F188" s="192"/>
      <c r="G188" s="192"/>
      <c r="H188" s="192"/>
      <c r="I188" s="192"/>
      <c r="J188" s="193"/>
      <c r="K188" s="181"/>
      <c r="L188" s="181"/>
    </row>
    <row r="189" spans="2:12" ht="15" customHeight="1">
      <c r="B189" s="192"/>
      <c r="C189" s="192"/>
      <c r="D189" s="192"/>
      <c r="E189" s="192"/>
      <c r="F189" s="192"/>
      <c r="G189" s="192"/>
      <c r="H189" s="192"/>
      <c r="I189" s="192"/>
      <c r="J189" s="193"/>
      <c r="K189" s="181"/>
      <c r="L189" s="181"/>
    </row>
    <row r="190" spans="2:12" ht="15" customHeight="1">
      <c r="B190" s="192"/>
      <c r="C190" s="192"/>
      <c r="D190" s="192"/>
      <c r="E190" s="192"/>
      <c r="F190" s="192"/>
      <c r="G190" s="192"/>
      <c r="H190" s="192"/>
      <c r="I190" s="192"/>
      <c r="J190" s="193"/>
      <c r="K190" s="181"/>
      <c r="L190" s="181"/>
    </row>
    <row r="191" spans="2:12" ht="15" customHeight="1">
      <c r="B191" s="192"/>
      <c r="C191" s="192"/>
      <c r="D191" s="192"/>
      <c r="E191" s="192"/>
      <c r="F191" s="192"/>
      <c r="G191" s="192"/>
      <c r="H191" s="192"/>
      <c r="I191" s="192"/>
      <c r="J191" s="193"/>
      <c r="K191" s="181"/>
      <c r="L191" s="181"/>
    </row>
    <row r="192" spans="2:12" ht="15" customHeight="1">
      <c r="B192" s="192"/>
      <c r="C192" s="192"/>
      <c r="D192" s="192"/>
      <c r="E192" s="192"/>
      <c r="F192" s="192"/>
      <c r="G192" s="192"/>
      <c r="H192" s="192"/>
      <c r="I192" s="192"/>
      <c r="J192" s="193"/>
      <c r="K192" s="181"/>
      <c r="L192" s="181"/>
    </row>
    <row r="193" spans="2:12" ht="15" customHeight="1">
      <c r="B193" s="192"/>
      <c r="C193" s="192"/>
      <c r="D193" s="192"/>
      <c r="E193" s="192"/>
      <c r="F193" s="192"/>
      <c r="G193" s="192"/>
      <c r="H193" s="192"/>
      <c r="I193" s="192"/>
      <c r="J193" s="193"/>
      <c r="K193" s="181"/>
      <c r="L193" s="181"/>
    </row>
    <row r="194" spans="2:12" ht="15" customHeight="1">
      <c r="B194" s="192"/>
      <c r="C194" s="192"/>
      <c r="D194" s="192"/>
      <c r="E194" s="192"/>
      <c r="F194" s="192"/>
      <c r="G194" s="192"/>
      <c r="H194" s="192"/>
      <c r="I194" s="192"/>
      <c r="J194" s="193"/>
      <c r="K194" s="181"/>
      <c r="L194" s="181"/>
    </row>
    <row r="195" spans="2:12" ht="15" customHeight="1">
      <c r="B195" s="192"/>
      <c r="C195" s="192"/>
      <c r="D195" s="192"/>
      <c r="E195" s="192"/>
      <c r="F195" s="192"/>
      <c r="G195" s="192"/>
      <c r="H195" s="192"/>
      <c r="I195" s="192"/>
      <c r="J195" s="193"/>
      <c r="K195" s="181"/>
      <c r="L195" s="181"/>
    </row>
    <row r="196" spans="2:12" ht="15" customHeight="1">
      <c r="B196" s="192"/>
      <c r="C196" s="192"/>
      <c r="D196" s="192"/>
      <c r="E196" s="192"/>
      <c r="F196" s="192"/>
      <c r="G196" s="192"/>
      <c r="H196" s="192"/>
      <c r="I196" s="192"/>
      <c r="J196" s="193"/>
      <c r="K196" s="181"/>
      <c r="L196" s="181"/>
    </row>
    <row r="197" spans="2:12" ht="15" customHeight="1">
      <c r="B197" s="192"/>
      <c r="C197" s="192"/>
      <c r="D197" s="192"/>
      <c r="E197" s="192"/>
      <c r="F197" s="192"/>
      <c r="G197" s="192"/>
      <c r="H197" s="192"/>
      <c r="I197" s="192"/>
      <c r="J197" s="193"/>
      <c r="K197" s="181"/>
      <c r="L197" s="181"/>
    </row>
    <row r="198" spans="2:12" ht="15" customHeight="1">
      <c r="B198" s="192"/>
      <c r="C198" s="192"/>
      <c r="D198" s="192"/>
      <c r="E198" s="192"/>
      <c r="F198" s="192"/>
      <c r="G198" s="192"/>
      <c r="H198" s="192"/>
      <c r="I198" s="192"/>
      <c r="J198" s="193"/>
      <c r="K198" s="181"/>
      <c r="L198" s="181"/>
    </row>
    <row r="199" spans="2:12" ht="15" customHeight="1">
      <c r="B199" s="192"/>
      <c r="C199" s="192"/>
      <c r="D199" s="192"/>
      <c r="E199" s="192"/>
      <c r="F199" s="192"/>
      <c r="G199" s="192"/>
      <c r="H199" s="192"/>
      <c r="I199" s="192"/>
      <c r="J199" s="193"/>
      <c r="K199" s="181"/>
      <c r="L199" s="181"/>
    </row>
    <row r="200" spans="2:12" ht="15" customHeight="1">
      <c r="B200" s="192"/>
      <c r="C200" s="192"/>
      <c r="D200" s="192"/>
      <c r="E200" s="192"/>
      <c r="F200" s="192"/>
      <c r="G200" s="192"/>
      <c r="H200" s="192"/>
      <c r="I200" s="192"/>
      <c r="J200" s="193"/>
      <c r="K200" s="181"/>
      <c r="L200" s="181"/>
    </row>
    <row r="201" spans="2:12" ht="15" customHeight="1">
      <c r="B201" s="192"/>
      <c r="C201" s="192"/>
      <c r="D201" s="192"/>
      <c r="E201" s="192"/>
      <c r="F201" s="192"/>
      <c r="G201" s="192"/>
      <c r="H201" s="192"/>
      <c r="I201" s="192"/>
      <c r="J201" s="193"/>
      <c r="K201" s="181"/>
      <c r="L201" s="181"/>
    </row>
    <row r="202" spans="2:12" ht="15" customHeight="1">
      <c r="B202" s="192"/>
      <c r="C202" s="192"/>
      <c r="D202" s="192"/>
      <c r="E202" s="192"/>
      <c r="F202" s="192"/>
      <c r="G202" s="192"/>
      <c r="H202" s="192"/>
      <c r="I202" s="192"/>
      <c r="J202" s="193"/>
      <c r="K202" s="181"/>
      <c r="L202" s="181"/>
    </row>
    <row r="203" spans="2:12" ht="15" customHeight="1">
      <c r="B203" s="192"/>
      <c r="C203" s="192"/>
      <c r="D203" s="192"/>
      <c r="E203" s="192"/>
      <c r="F203" s="192"/>
      <c r="G203" s="192"/>
      <c r="H203" s="192"/>
      <c r="I203" s="192"/>
      <c r="J203" s="193"/>
      <c r="K203" s="181"/>
      <c r="L203" s="181"/>
    </row>
    <row r="204" spans="2:12" ht="15" customHeight="1">
      <c r="B204" s="192"/>
      <c r="C204" s="192"/>
      <c r="D204" s="192"/>
      <c r="E204" s="192"/>
      <c r="F204" s="192"/>
      <c r="G204" s="192"/>
      <c r="H204" s="192"/>
      <c r="I204" s="192"/>
      <c r="J204" s="193"/>
      <c r="K204" s="181"/>
      <c r="L204" s="181"/>
    </row>
    <row r="205" spans="2:12" ht="15" customHeight="1">
      <c r="B205" s="192"/>
      <c r="C205" s="192"/>
      <c r="D205" s="192"/>
      <c r="E205" s="192"/>
      <c r="F205" s="192"/>
      <c r="G205" s="192"/>
      <c r="H205" s="192"/>
      <c r="I205" s="192"/>
      <c r="J205" s="193"/>
      <c r="K205" s="181"/>
      <c r="L205" s="181"/>
    </row>
    <row r="206" spans="2:12" ht="15" customHeight="1">
      <c r="B206" s="192"/>
      <c r="C206" s="192"/>
      <c r="D206" s="192"/>
      <c r="E206" s="192"/>
      <c r="F206" s="192"/>
      <c r="G206" s="192"/>
      <c r="H206" s="192"/>
      <c r="I206" s="192"/>
      <c r="J206" s="193"/>
      <c r="K206" s="181"/>
      <c r="L206" s="181"/>
    </row>
    <row r="207" spans="2:12" ht="15" customHeight="1">
      <c r="B207" s="192"/>
      <c r="C207" s="192"/>
      <c r="D207" s="192"/>
      <c r="E207" s="192"/>
      <c r="F207" s="192"/>
      <c r="G207" s="192"/>
      <c r="H207" s="192"/>
      <c r="I207" s="192"/>
      <c r="J207" s="193"/>
      <c r="K207" s="181"/>
      <c r="L207" s="181"/>
    </row>
    <row r="208" spans="2:12" ht="15" customHeight="1">
      <c r="B208" s="192"/>
      <c r="C208" s="192"/>
      <c r="D208" s="192"/>
      <c r="E208" s="192"/>
      <c r="F208" s="192"/>
      <c r="G208" s="192"/>
      <c r="H208" s="192"/>
      <c r="I208" s="192"/>
      <c r="J208" s="193"/>
      <c r="K208" s="181"/>
      <c r="L208" s="181"/>
    </row>
    <row r="209" spans="2:12" ht="15" customHeight="1">
      <c r="B209" s="192"/>
      <c r="C209" s="192"/>
      <c r="D209" s="192"/>
      <c r="E209" s="192"/>
      <c r="F209" s="192"/>
      <c r="G209" s="192"/>
      <c r="H209" s="192"/>
      <c r="I209" s="192"/>
      <c r="J209" s="193"/>
      <c r="K209" s="181"/>
      <c r="L209" s="181"/>
    </row>
    <row r="210" spans="2:12" ht="15" customHeight="1">
      <c r="B210" s="192"/>
      <c r="C210" s="192"/>
      <c r="D210" s="192"/>
      <c r="E210" s="192"/>
      <c r="F210" s="192"/>
      <c r="G210" s="192"/>
      <c r="H210" s="192"/>
      <c r="I210" s="192"/>
      <c r="J210" s="193"/>
      <c r="K210" s="181"/>
      <c r="L210" s="181"/>
    </row>
    <row r="211" spans="2:12" ht="15" customHeight="1">
      <c r="B211" s="192"/>
      <c r="C211" s="192"/>
      <c r="D211" s="192"/>
      <c r="E211" s="192"/>
      <c r="F211" s="192"/>
      <c r="G211" s="192"/>
      <c r="H211" s="192"/>
      <c r="I211" s="192"/>
      <c r="J211" s="193"/>
      <c r="K211" s="181"/>
      <c r="L211" s="181"/>
    </row>
    <row r="212" spans="2:12" ht="15" customHeight="1">
      <c r="B212" s="192"/>
      <c r="C212" s="192"/>
      <c r="D212" s="192"/>
      <c r="E212" s="192"/>
      <c r="F212" s="192"/>
      <c r="G212" s="192"/>
      <c r="H212" s="192"/>
      <c r="I212" s="192"/>
      <c r="J212" s="193"/>
      <c r="K212" s="181"/>
      <c r="L212" s="181"/>
    </row>
    <row r="213" spans="2:12" ht="15" customHeight="1">
      <c r="B213" s="192"/>
      <c r="C213" s="192"/>
      <c r="D213" s="192"/>
      <c r="E213" s="192"/>
      <c r="F213" s="192"/>
      <c r="G213" s="192"/>
      <c r="H213" s="192"/>
      <c r="I213" s="192"/>
      <c r="J213" s="193"/>
      <c r="K213" s="181"/>
      <c r="L213" s="181"/>
    </row>
    <row r="214" spans="2:12" ht="15" customHeight="1">
      <c r="B214" s="192"/>
      <c r="C214" s="192"/>
      <c r="D214" s="192"/>
      <c r="E214" s="192"/>
      <c r="F214" s="192"/>
      <c r="G214" s="192"/>
      <c r="H214" s="192"/>
      <c r="I214" s="192"/>
      <c r="J214" s="193"/>
      <c r="K214" s="181"/>
      <c r="L214" s="181"/>
    </row>
    <row r="215" spans="2:12" ht="15" customHeight="1">
      <c r="B215" s="192"/>
      <c r="C215" s="192"/>
      <c r="D215" s="192"/>
      <c r="E215" s="192"/>
      <c r="F215" s="192"/>
      <c r="G215" s="192"/>
      <c r="H215" s="192"/>
      <c r="I215" s="192"/>
      <c r="J215" s="193"/>
      <c r="K215" s="181"/>
      <c r="L215" s="181"/>
    </row>
    <row r="216" spans="2:12" ht="15" customHeight="1">
      <c r="B216" s="192"/>
      <c r="C216" s="192"/>
      <c r="D216" s="192"/>
      <c r="E216" s="192"/>
      <c r="F216" s="192"/>
      <c r="G216" s="192"/>
      <c r="H216" s="192"/>
      <c r="I216" s="192"/>
      <c r="J216" s="193"/>
      <c r="K216" s="181"/>
      <c r="L216" s="181"/>
    </row>
    <row r="217" spans="2:12" ht="15" customHeight="1">
      <c r="B217" s="192"/>
      <c r="C217" s="192"/>
      <c r="D217" s="192"/>
      <c r="E217" s="192"/>
      <c r="F217" s="192"/>
      <c r="G217" s="192"/>
      <c r="H217" s="192"/>
      <c r="I217" s="192"/>
      <c r="J217" s="193"/>
      <c r="K217" s="181"/>
      <c r="L217" s="181"/>
    </row>
    <row r="218" spans="2:12" ht="15" customHeight="1">
      <c r="B218" s="192"/>
      <c r="C218" s="192"/>
      <c r="D218" s="192"/>
      <c r="E218" s="192"/>
      <c r="F218" s="192"/>
      <c r="G218" s="192"/>
      <c r="H218" s="192"/>
      <c r="I218" s="192"/>
      <c r="J218" s="193"/>
      <c r="K218" s="181"/>
      <c r="L218" s="181"/>
    </row>
    <row r="219" spans="2:12" ht="15" customHeight="1">
      <c r="B219" s="192"/>
      <c r="C219" s="192"/>
      <c r="D219" s="192"/>
      <c r="E219" s="192"/>
      <c r="F219" s="192"/>
      <c r="G219" s="192"/>
      <c r="H219" s="192"/>
      <c r="I219" s="192"/>
      <c r="J219" s="193"/>
      <c r="K219" s="181"/>
      <c r="L219" s="181"/>
    </row>
    <row r="220" spans="2:12" ht="15" customHeight="1">
      <c r="B220" s="192"/>
      <c r="C220" s="192"/>
      <c r="D220" s="192"/>
      <c r="E220" s="192"/>
      <c r="F220" s="192"/>
      <c r="G220" s="192"/>
      <c r="H220" s="192"/>
      <c r="I220" s="192"/>
      <c r="J220" s="193"/>
      <c r="K220" s="181"/>
      <c r="L220" s="181"/>
    </row>
    <row r="221" spans="2:12" ht="15" customHeight="1">
      <c r="B221" s="192"/>
      <c r="C221" s="192"/>
      <c r="D221" s="192"/>
      <c r="E221" s="192"/>
      <c r="F221" s="192"/>
      <c r="G221" s="192"/>
      <c r="H221" s="192"/>
      <c r="I221" s="192"/>
      <c r="J221" s="193"/>
      <c r="K221" s="181"/>
      <c r="L221" s="181"/>
    </row>
    <row r="222" spans="2:12" ht="15" customHeight="1">
      <c r="B222" s="192"/>
      <c r="C222" s="192"/>
      <c r="D222" s="192"/>
      <c r="E222" s="192"/>
      <c r="F222" s="192"/>
      <c r="G222" s="192"/>
      <c r="H222" s="192"/>
      <c r="I222" s="192"/>
      <c r="J222" s="193"/>
      <c r="K222" s="181"/>
      <c r="L222" s="181"/>
    </row>
    <row r="223" spans="2:12" ht="15" customHeight="1">
      <c r="B223" s="192"/>
      <c r="C223" s="192"/>
      <c r="D223" s="192"/>
      <c r="E223" s="192"/>
      <c r="F223" s="192"/>
      <c r="G223" s="192"/>
      <c r="H223" s="192"/>
      <c r="I223" s="192"/>
      <c r="J223" s="193"/>
      <c r="K223" s="181"/>
      <c r="L223" s="181"/>
    </row>
    <row r="224" spans="2:12" ht="15" customHeight="1">
      <c r="B224" s="192"/>
      <c r="C224" s="192"/>
      <c r="D224" s="192"/>
      <c r="E224" s="192"/>
      <c r="F224" s="192"/>
      <c r="G224" s="192"/>
      <c r="H224" s="192"/>
      <c r="I224" s="192"/>
      <c r="J224" s="193"/>
      <c r="K224" s="181"/>
      <c r="L224" s="181"/>
    </row>
    <row r="225" spans="2:12" ht="15" customHeight="1">
      <c r="B225" s="192"/>
      <c r="C225" s="192"/>
      <c r="D225" s="192"/>
      <c r="E225" s="192"/>
      <c r="F225" s="192"/>
      <c r="G225" s="192"/>
      <c r="H225" s="192"/>
      <c r="I225" s="192"/>
      <c r="J225" s="193"/>
      <c r="K225" s="181"/>
      <c r="L225" s="181"/>
    </row>
    <row r="226" spans="2:12" ht="15" customHeight="1">
      <c r="B226" s="192"/>
      <c r="C226" s="192"/>
      <c r="D226" s="192"/>
      <c r="E226" s="192"/>
      <c r="F226" s="192"/>
      <c r="G226" s="192"/>
      <c r="H226" s="192"/>
      <c r="I226" s="192"/>
      <c r="J226" s="193"/>
      <c r="K226" s="181"/>
      <c r="L226" s="181"/>
    </row>
    <row r="227" spans="2:12" ht="15" customHeight="1">
      <c r="B227" s="192"/>
      <c r="C227" s="192"/>
      <c r="D227" s="192"/>
      <c r="E227" s="192"/>
      <c r="F227" s="192"/>
      <c r="G227" s="192"/>
      <c r="H227" s="192"/>
      <c r="I227" s="192"/>
      <c r="J227" s="193"/>
      <c r="K227" s="181"/>
      <c r="L227" s="181"/>
    </row>
    <row r="228" spans="2:12" ht="15" customHeight="1">
      <c r="B228" s="192"/>
      <c r="C228" s="192"/>
      <c r="D228" s="192"/>
      <c r="E228" s="192"/>
      <c r="F228" s="192"/>
      <c r="G228" s="192"/>
      <c r="H228" s="192"/>
      <c r="I228" s="192"/>
      <c r="J228" s="193"/>
      <c r="K228" s="181"/>
      <c r="L228" s="181"/>
    </row>
    <row r="229" spans="2:12" ht="15" customHeight="1">
      <c r="B229" s="192"/>
      <c r="C229" s="192"/>
      <c r="D229" s="192"/>
      <c r="E229" s="192"/>
      <c r="F229" s="192"/>
      <c r="G229" s="192"/>
      <c r="H229" s="192"/>
      <c r="I229" s="192"/>
      <c r="J229" s="193"/>
      <c r="K229" s="181"/>
      <c r="L229" s="181"/>
    </row>
    <row r="230" spans="2:12" ht="15" customHeight="1">
      <c r="B230" s="192"/>
      <c r="C230" s="192"/>
      <c r="D230" s="192"/>
      <c r="E230" s="192"/>
      <c r="F230" s="192"/>
      <c r="G230" s="192"/>
      <c r="H230" s="192"/>
      <c r="I230" s="192"/>
      <c r="J230" s="193"/>
      <c r="K230" s="181"/>
      <c r="L230" s="181"/>
    </row>
    <row r="231" spans="2:12" ht="15" customHeight="1">
      <c r="B231" s="192"/>
      <c r="C231" s="192"/>
      <c r="D231" s="192"/>
      <c r="E231" s="192"/>
      <c r="F231" s="192"/>
      <c r="G231" s="192"/>
      <c r="H231" s="192"/>
      <c r="I231" s="192"/>
      <c r="J231" s="193"/>
      <c r="K231" s="181"/>
      <c r="L231" s="181"/>
    </row>
    <row r="232" spans="2:12" ht="15" customHeight="1">
      <c r="B232" s="192"/>
      <c r="C232" s="192"/>
      <c r="D232" s="192"/>
      <c r="E232" s="192"/>
      <c r="F232" s="192"/>
      <c r="G232" s="192"/>
      <c r="H232" s="192"/>
      <c r="I232" s="192"/>
      <c r="J232" s="193"/>
      <c r="K232" s="181"/>
      <c r="L232" s="181"/>
    </row>
    <row r="233" spans="2:12" ht="15" customHeight="1">
      <c r="B233" s="192"/>
      <c r="C233" s="192"/>
      <c r="D233" s="192"/>
      <c r="E233" s="192"/>
      <c r="F233" s="192"/>
      <c r="G233" s="192"/>
      <c r="H233" s="192"/>
      <c r="I233" s="192"/>
      <c r="J233" s="193"/>
      <c r="K233" s="181"/>
      <c r="L233" s="181"/>
    </row>
    <row r="234" spans="2:12" ht="15" customHeight="1">
      <c r="B234" s="192"/>
      <c r="C234" s="192"/>
      <c r="D234" s="192"/>
      <c r="E234" s="192"/>
      <c r="F234" s="192"/>
      <c r="G234" s="192"/>
      <c r="H234" s="192"/>
      <c r="I234" s="192"/>
      <c r="J234" s="193"/>
      <c r="K234" s="181"/>
      <c r="L234" s="181"/>
    </row>
    <row r="235" spans="2:12" ht="15" customHeight="1">
      <c r="B235" s="192"/>
      <c r="C235" s="192"/>
      <c r="D235" s="192"/>
      <c r="E235" s="192"/>
      <c r="F235" s="192"/>
      <c r="G235" s="192"/>
      <c r="H235" s="192"/>
      <c r="I235" s="192"/>
      <c r="J235" s="193"/>
      <c r="K235" s="181"/>
      <c r="L235" s="181"/>
    </row>
    <row r="236" spans="2:12" ht="15" customHeight="1">
      <c r="B236" s="192"/>
      <c r="C236" s="192"/>
      <c r="D236" s="192"/>
      <c r="E236" s="192"/>
      <c r="F236" s="192"/>
      <c r="G236" s="192"/>
      <c r="H236" s="192"/>
      <c r="I236" s="192"/>
      <c r="J236" s="193"/>
      <c r="K236" s="181"/>
      <c r="L236" s="181"/>
    </row>
    <row r="237" spans="2:12" ht="15" customHeight="1">
      <c r="B237" s="192"/>
      <c r="C237" s="192"/>
      <c r="D237" s="192"/>
      <c r="E237" s="192"/>
      <c r="F237" s="192"/>
      <c r="G237" s="192"/>
      <c r="H237" s="192"/>
      <c r="I237" s="192"/>
      <c r="J237" s="193"/>
      <c r="K237" s="181"/>
      <c r="L237" s="181"/>
    </row>
    <row r="238" spans="2:12" ht="15" customHeight="1">
      <c r="B238" s="192"/>
      <c r="C238" s="192"/>
      <c r="D238" s="192"/>
      <c r="E238" s="192"/>
      <c r="F238" s="192"/>
      <c r="G238" s="192"/>
      <c r="H238" s="192"/>
      <c r="I238" s="192"/>
      <c r="J238" s="193"/>
      <c r="K238" s="181"/>
      <c r="L238" s="181"/>
    </row>
    <row r="239" spans="2:12" ht="15" customHeight="1">
      <c r="B239" s="192"/>
      <c r="C239" s="192"/>
      <c r="D239" s="192"/>
      <c r="E239" s="192"/>
      <c r="F239" s="192"/>
      <c r="G239" s="192"/>
      <c r="H239" s="192"/>
      <c r="I239" s="192"/>
      <c r="J239" s="193"/>
      <c r="K239" s="181"/>
      <c r="L239" s="181"/>
    </row>
    <row r="240" spans="2:12" ht="15" customHeight="1">
      <c r="B240" s="192"/>
      <c r="C240" s="192"/>
      <c r="D240" s="192"/>
      <c r="E240" s="192"/>
      <c r="F240" s="192"/>
      <c r="G240" s="192"/>
      <c r="H240" s="192"/>
      <c r="I240" s="192"/>
      <c r="J240" s="193"/>
      <c r="K240" s="181"/>
      <c r="L240" s="181"/>
    </row>
    <row r="241" spans="2:12" ht="15" customHeight="1">
      <c r="B241" s="192"/>
      <c r="C241" s="192"/>
      <c r="D241" s="192"/>
      <c r="E241" s="192"/>
      <c r="F241" s="192"/>
      <c r="G241" s="192"/>
      <c r="H241" s="192"/>
      <c r="I241" s="192"/>
      <c r="J241" s="193"/>
      <c r="K241" s="181"/>
      <c r="L241" s="181"/>
    </row>
    <row r="242" spans="2:12" ht="15" customHeight="1">
      <c r="B242" s="192"/>
      <c r="C242" s="192"/>
      <c r="D242" s="192"/>
      <c r="E242" s="192"/>
      <c r="F242" s="192"/>
      <c r="G242" s="192"/>
      <c r="H242" s="192"/>
      <c r="I242" s="192"/>
      <c r="J242" s="193"/>
      <c r="K242" s="181"/>
      <c r="L242" s="181"/>
    </row>
    <row r="243" spans="2:12" ht="15" customHeight="1">
      <c r="B243" s="192"/>
      <c r="C243" s="192"/>
      <c r="D243" s="192"/>
      <c r="E243" s="192"/>
      <c r="F243" s="192"/>
      <c r="G243" s="192"/>
      <c r="H243" s="192"/>
      <c r="I243" s="192"/>
      <c r="J243" s="193"/>
      <c r="K243" s="181"/>
      <c r="L243" s="181"/>
    </row>
    <row r="244" spans="2:12" ht="15" customHeight="1">
      <c r="B244" s="192"/>
      <c r="C244" s="192"/>
      <c r="D244" s="192"/>
      <c r="E244" s="192"/>
      <c r="F244" s="192"/>
      <c r="G244" s="192"/>
      <c r="H244" s="192"/>
      <c r="I244" s="192"/>
      <c r="J244" s="193"/>
      <c r="K244" s="181"/>
      <c r="L244" s="181"/>
    </row>
    <row r="245" spans="2:12" ht="15" customHeight="1">
      <c r="B245" s="192"/>
      <c r="C245" s="192"/>
      <c r="D245" s="192"/>
      <c r="E245" s="192"/>
      <c r="F245" s="192"/>
      <c r="G245" s="192"/>
      <c r="H245" s="192"/>
      <c r="I245" s="192"/>
      <c r="J245" s="193"/>
      <c r="K245" s="181"/>
      <c r="L245" s="181"/>
    </row>
    <row r="246" spans="2:12" ht="15" customHeight="1">
      <c r="B246" s="192"/>
      <c r="C246" s="192"/>
      <c r="D246" s="192"/>
      <c r="E246" s="192"/>
      <c r="F246" s="192"/>
      <c r="G246" s="192"/>
      <c r="H246" s="192"/>
      <c r="I246" s="192"/>
      <c r="J246" s="193"/>
      <c r="K246" s="181"/>
      <c r="L246" s="181"/>
    </row>
    <row r="247" spans="2:12" ht="15" customHeight="1">
      <c r="B247" s="192"/>
      <c r="C247" s="192"/>
      <c r="D247" s="192"/>
      <c r="E247" s="192"/>
      <c r="F247" s="192"/>
      <c r="G247" s="192"/>
      <c r="H247" s="192"/>
      <c r="I247" s="192"/>
      <c r="J247" s="193"/>
      <c r="K247" s="181"/>
      <c r="L247" s="181"/>
    </row>
    <row r="248" spans="2:12" ht="15" customHeight="1">
      <c r="B248" s="192"/>
      <c r="C248" s="192"/>
      <c r="D248" s="192"/>
      <c r="E248" s="192"/>
      <c r="F248" s="192"/>
      <c r="G248" s="192"/>
      <c r="H248" s="192"/>
      <c r="I248" s="192"/>
      <c r="J248" s="193"/>
      <c r="K248" s="181"/>
      <c r="L248" s="181"/>
    </row>
    <row r="249" spans="2:12" ht="15" customHeight="1">
      <c r="B249" s="192"/>
      <c r="C249" s="192"/>
      <c r="D249" s="192"/>
      <c r="E249" s="192"/>
      <c r="F249" s="192"/>
      <c r="G249" s="192"/>
      <c r="H249" s="192"/>
      <c r="I249" s="192"/>
      <c r="J249" s="193"/>
      <c r="K249" s="181"/>
      <c r="L249" s="181"/>
    </row>
    <row r="250" spans="2:12" ht="15" customHeight="1">
      <c r="B250" s="192"/>
      <c r="C250" s="192"/>
      <c r="D250" s="192"/>
      <c r="E250" s="192"/>
      <c r="F250" s="192"/>
      <c r="G250" s="192"/>
      <c r="H250" s="192"/>
      <c r="I250" s="192"/>
      <c r="J250" s="193"/>
      <c r="K250" s="181"/>
      <c r="L250" s="181"/>
    </row>
    <row r="251" spans="2:12" ht="15" customHeight="1">
      <c r="B251" s="192"/>
      <c r="C251" s="192"/>
      <c r="D251" s="192"/>
      <c r="E251" s="192"/>
      <c r="F251" s="192"/>
      <c r="G251" s="192"/>
      <c r="H251" s="192"/>
      <c r="I251" s="192"/>
      <c r="J251" s="193"/>
      <c r="K251" s="181"/>
      <c r="L251" s="181"/>
    </row>
    <row r="252" spans="2:12" ht="15" customHeight="1">
      <c r="B252" s="192"/>
      <c r="C252" s="192"/>
      <c r="D252" s="192"/>
      <c r="E252" s="192"/>
      <c r="F252" s="192"/>
      <c r="G252" s="192"/>
      <c r="H252" s="192"/>
      <c r="I252" s="192"/>
      <c r="J252" s="193"/>
      <c r="K252" s="181"/>
      <c r="L252" s="181"/>
    </row>
    <row r="253" spans="2:12" ht="15" customHeight="1">
      <c r="B253" s="192"/>
      <c r="C253" s="192"/>
      <c r="D253" s="192"/>
      <c r="E253" s="192"/>
      <c r="F253" s="192"/>
      <c r="G253" s="192"/>
      <c r="H253" s="192"/>
      <c r="I253" s="192"/>
      <c r="J253" s="193"/>
      <c r="K253" s="181"/>
      <c r="L253" s="181"/>
    </row>
    <row r="254" spans="2:12" ht="15" customHeight="1">
      <c r="B254" s="192"/>
      <c r="C254" s="192"/>
      <c r="D254" s="192"/>
      <c r="E254" s="192"/>
      <c r="F254" s="192"/>
      <c r="G254" s="192"/>
      <c r="H254" s="192"/>
      <c r="I254" s="192"/>
      <c r="J254" s="193"/>
      <c r="K254" s="181"/>
      <c r="L254" s="181"/>
    </row>
    <row r="255" spans="2:12" ht="15" customHeight="1">
      <c r="B255" s="192"/>
      <c r="C255" s="192"/>
      <c r="D255" s="192"/>
      <c r="E255" s="192"/>
      <c r="F255" s="192"/>
      <c r="G255" s="192"/>
      <c r="H255" s="192"/>
      <c r="I255" s="192"/>
      <c r="J255" s="193"/>
      <c r="K255" s="181"/>
      <c r="L255" s="181"/>
    </row>
    <row r="256" spans="2:12" ht="15" customHeight="1">
      <c r="B256" s="192"/>
      <c r="C256" s="192"/>
      <c r="D256" s="192"/>
      <c r="E256" s="192"/>
      <c r="F256" s="192"/>
      <c r="G256" s="192"/>
      <c r="H256" s="192"/>
      <c r="I256" s="192"/>
      <c r="J256" s="193"/>
      <c r="K256" s="181"/>
      <c r="L256" s="181"/>
    </row>
    <row r="257" spans="2:12" ht="15" customHeight="1">
      <c r="B257" s="192"/>
      <c r="C257" s="192"/>
      <c r="D257" s="192"/>
      <c r="E257" s="192"/>
      <c r="F257" s="192"/>
      <c r="G257" s="192"/>
      <c r="H257" s="192"/>
      <c r="I257" s="192"/>
      <c r="J257" s="193"/>
      <c r="K257" s="181"/>
      <c r="L257" s="181"/>
    </row>
    <row r="258" spans="2:12" ht="15" customHeight="1">
      <c r="B258" s="192"/>
      <c r="C258" s="192"/>
      <c r="D258" s="192"/>
      <c r="E258" s="192"/>
      <c r="F258" s="192"/>
      <c r="G258" s="192"/>
      <c r="H258" s="192"/>
      <c r="I258" s="192"/>
      <c r="J258" s="193"/>
      <c r="K258" s="181"/>
      <c r="L258" s="181"/>
    </row>
    <row r="259" spans="2:12" ht="15" customHeight="1">
      <c r="B259" s="192"/>
      <c r="C259" s="192"/>
      <c r="D259" s="192"/>
      <c r="E259" s="192"/>
      <c r="F259" s="192"/>
      <c r="G259" s="192"/>
      <c r="H259" s="192"/>
      <c r="I259" s="192"/>
      <c r="J259" s="193"/>
      <c r="K259" s="181"/>
      <c r="L259" s="181"/>
    </row>
    <row r="260" spans="2:12" ht="15" customHeight="1">
      <c r="B260" s="192"/>
      <c r="C260" s="192"/>
      <c r="D260" s="192"/>
      <c r="E260" s="192"/>
      <c r="F260" s="192"/>
      <c r="G260" s="192"/>
      <c r="H260" s="192"/>
      <c r="I260" s="192"/>
      <c r="J260" s="193"/>
      <c r="K260" s="181"/>
      <c r="L260" s="181"/>
    </row>
    <row r="261" spans="2:12" ht="15" customHeight="1">
      <c r="B261" s="192"/>
      <c r="C261" s="192"/>
      <c r="D261" s="192"/>
      <c r="E261" s="192"/>
      <c r="F261" s="192"/>
      <c r="G261" s="192"/>
      <c r="H261" s="192"/>
      <c r="I261" s="192"/>
      <c r="J261" s="193"/>
      <c r="K261" s="181"/>
      <c r="L261" s="181"/>
    </row>
    <row r="262" spans="2:12" ht="15" customHeight="1">
      <c r="B262" s="192"/>
      <c r="C262" s="192"/>
      <c r="D262" s="192"/>
      <c r="E262" s="192"/>
      <c r="F262" s="192"/>
      <c r="G262" s="192"/>
      <c r="H262" s="192"/>
      <c r="I262" s="192"/>
      <c r="J262" s="193"/>
      <c r="K262" s="181"/>
      <c r="L262" s="181"/>
    </row>
    <row r="263" spans="2:12" ht="15" customHeight="1">
      <c r="B263" s="192"/>
      <c r="C263" s="192"/>
      <c r="D263" s="192"/>
      <c r="E263" s="192"/>
      <c r="F263" s="192"/>
      <c r="G263" s="192"/>
      <c r="H263" s="192"/>
      <c r="I263" s="192"/>
      <c r="J263" s="193"/>
      <c r="K263" s="181"/>
      <c r="L263" s="181"/>
    </row>
    <row r="264" spans="2:12" ht="15" customHeight="1">
      <c r="B264" s="192"/>
      <c r="C264" s="192"/>
      <c r="D264" s="192"/>
      <c r="E264" s="192"/>
      <c r="F264" s="192"/>
      <c r="G264" s="192"/>
      <c r="H264" s="192"/>
      <c r="I264" s="192"/>
      <c r="J264" s="193"/>
      <c r="K264" s="181"/>
      <c r="L264" s="181"/>
    </row>
    <row r="265" spans="2:12" ht="15" customHeight="1">
      <c r="B265" s="192"/>
      <c r="C265" s="192"/>
      <c r="D265" s="192"/>
      <c r="E265" s="192"/>
      <c r="F265" s="192"/>
      <c r="G265" s="192"/>
      <c r="H265" s="192"/>
      <c r="I265" s="192"/>
      <c r="J265" s="193"/>
      <c r="K265" s="181"/>
      <c r="L265" s="181"/>
    </row>
    <row r="266" spans="2:12" ht="15" customHeight="1">
      <c r="B266" s="192"/>
      <c r="C266" s="192"/>
      <c r="D266" s="192"/>
      <c r="E266" s="192"/>
      <c r="F266" s="192"/>
      <c r="G266" s="192"/>
      <c r="H266" s="192"/>
      <c r="I266" s="192"/>
      <c r="J266" s="193"/>
      <c r="K266" s="181"/>
      <c r="L266" s="181"/>
    </row>
    <row r="267" spans="2:12" ht="15" customHeight="1">
      <c r="B267" s="192"/>
      <c r="C267" s="192"/>
      <c r="D267" s="192"/>
      <c r="E267" s="192"/>
      <c r="F267" s="192"/>
      <c r="G267" s="192"/>
      <c r="H267" s="192"/>
      <c r="I267" s="192"/>
      <c r="J267" s="193"/>
      <c r="K267" s="181"/>
      <c r="L267" s="181"/>
    </row>
    <row r="268" spans="2:12" ht="15" customHeight="1">
      <c r="B268" s="192"/>
      <c r="C268" s="192"/>
      <c r="D268" s="192"/>
      <c r="E268" s="192"/>
      <c r="F268" s="192"/>
      <c r="G268" s="192"/>
      <c r="H268" s="192"/>
      <c r="I268" s="192"/>
      <c r="J268" s="193"/>
      <c r="K268" s="181"/>
      <c r="L268" s="181"/>
    </row>
    <row r="269" spans="2:12" ht="15" customHeight="1">
      <c r="B269" s="192"/>
      <c r="C269" s="192"/>
      <c r="D269" s="192"/>
      <c r="E269" s="192"/>
      <c r="F269" s="192"/>
      <c r="G269" s="192"/>
      <c r="H269" s="192"/>
      <c r="I269" s="192"/>
      <c r="J269" s="193"/>
      <c r="K269" s="181"/>
      <c r="L269" s="181"/>
    </row>
    <row r="270" spans="2:12" ht="15" customHeight="1">
      <c r="B270" s="192"/>
      <c r="C270" s="192"/>
      <c r="D270" s="192"/>
      <c r="E270" s="192"/>
      <c r="F270" s="192"/>
      <c r="G270" s="192"/>
      <c r="H270" s="192"/>
      <c r="I270" s="192"/>
      <c r="J270" s="193"/>
      <c r="K270" s="181"/>
      <c r="L270" s="181"/>
    </row>
    <row r="271" spans="2:12" ht="15" customHeight="1">
      <c r="B271" s="192"/>
      <c r="C271" s="192"/>
      <c r="D271" s="192"/>
      <c r="E271" s="192"/>
      <c r="F271" s="192"/>
      <c r="G271" s="192"/>
      <c r="H271" s="192"/>
      <c r="I271" s="192"/>
      <c r="J271" s="193"/>
      <c r="K271" s="181"/>
      <c r="L271" s="181"/>
    </row>
    <row r="272" spans="2:12" ht="15" customHeight="1">
      <c r="B272" s="192"/>
      <c r="C272" s="192"/>
      <c r="D272" s="192"/>
      <c r="E272" s="192"/>
      <c r="F272" s="192"/>
      <c r="G272" s="192"/>
      <c r="H272" s="192"/>
      <c r="I272" s="192"/>
      <c r="J272" s="193"/>
      <c r="K272" s="181"/>
      <c r="L272" s="181"/>
    </row>
    <row r="273" spans="2:12" ht="15" customHeight="1">
      <c r="B273" s="192"/>
      <c r="C273" s="192"/>
      <c r="D273" s="192"/>
      <c r="E273" s="192"/>
      <c r="F273" s="192"/>
      <c r="G273" s="192"/>
      <c r="H273" s="192"/>
      <c r="I273" s="192"/>
      <c r="J273" s="193"/>
      <c r="K273" s="181"/>
      <c r="L273" s="181"/>
    </row>
    <row r="274" spans="2:12" ht="15" customHeight="1">
      <c r="B274" s="192"/>
      <c r="C274" s="192"/>
      <c r="D274" s="192"/>
      <c r="E274" s="192"/>
      <c r="F274" s="192"/>
      <c r="G274" s="192"/>
      <c r="H274" s="192"/>
      <c r="I274" s="192"/>
      <c r="J274" s="193"/>
      <c r="K274" s="181"/>
      <c r="L274" s="181"/>
    </row>
    <row r="275" spans="2:12" ht="15" customHeight="1">
      <c r="B275" s="192"/>
      <c r="C275" s="192"/>
      <c r="D275" s="192"/>
      <c r="E275" s="192"/>
      <c r="F275" s="192"/>
      <c r="G275" s="192"/>
      <c r="H275" s="192"/>
      <c r="I275" s="192"/>
      <c r="J275" s="193"/>
      <c r="K275" s="181"/>
      <c r="L275" s="181"/>
    </row>
    <row r="276" spans="2:12" ht="15" customHeight="1">
      <c r="B276" s="192"/>
      <c r="C276" s="192"/>
      <c r="D276" s="192"/>
      <c r="E276" s="192"/>
      <c r="F276" s="192"/>
      <c r="G276" s="192"/>
      <c r="H276" s="192"/>
      <c r="I276" s="192"/>
      <c r="J276" s="193"/>
      <c r="K276" s="181"/>
      <c r="L276" s="181"/>
    </row>
    <row r="277" spans="2:12" ht="15" customHeight="1">
      <c r="B277" s="192"/>
      <c r="C277" s="192"/>
      <c r="D277" s="192"/>
      <c r="E277" s="192"/>
      <c r="F277" s="192"/>
      <c r="G277" s="192"/>
      <c r="H277" s="192"/>
      <c r="I277" s="192"/>
      <c r="J277" s="193"/>
      <c r="K277" s="181"/>
      <c r="L277" s="181"/>
    </row>
    <row r="278" spans="2:12" ht="15" customHeight="1">
      <c r="B278" s="192"/>
      <c r="C278" s="192"/>
      <c r="D278" s="192"/>
      <c r="E278" s="192"/>
      <c r="F278" s="192"/>
      <c r="G278" s="192"/>
      <c r="H278" s="192"/>
      <c r="I278" s="192"/>
      <c r="J278" s="193"/>
      <c r="K278" s="181"/>
      <c r="L278" s="181"/>
    </row>
    <row r="279" spans="2:12" ht="15" customHeight="1">
      <c r="B279" s="192"/>
      <c r="C279" s="192"/>
      <c r="D279" s="192"/>
      <c r="E279" s="192"/>
      <c r="F279" s="192"/>
      <c r="G279" s="192"/>
      <c r="H279" s="192"/>
      <c r="I279" s="192"/>
      <c r="J279" s="193"/>
      <c r="K279" s="181"/>
      <c r="L279" s="181"/>
    </row>
    <row r="280" spans="2:12" ht="15" customHeight="1">
      <c r="B280" s="192"/>
      <c r="C280" s="192"/>
      <c r="D280" s="192"/>
      <c r="E280" s="192"/>
      <c r="F280" s="192"/>
      <c r="G280" s="192"/>
      <c r="H280" s="192"/>
      <c r="I280" s="192"/>
      <c r="J280" s="193"/>
      <c r="K280" s="181"/>
      <c r="L280" s="181"/>
    </row>
    <row r="281" spans="2:12" ht="15" customHeight="1">
      <c r="B281" s="192"/>
      <c r="C281" s="192"/>
      <c r="D281" s="192"/>
      <c r="E281" s="192"/>
      <c r="F281" s="192"/>
      <c r="G281" s="192"/>
      <c r="H281" s="192"/>
      <c r="I281" s="192"/>
      <c r="J281" s="193"/>
      <c r="K281" s="181"/>
      <c r="L281" s="181"/>
    </row>
    <row r="282" spans="2:12" ht="15" customHeight="1">
      <c r="B282" s="192"/>
      <c r="C282" s="192"/>
      <c r="D282" s="192"/>
      <c r="E282" s="192"/>
      <c r="F282" s="192"/>
      <c r="G282" s="192"/>
      <c r="H282" s="192"/>
      <c r="I282" s="192"/>
      <c r="J282" s="193"/>
      <c r="K282" s="181"/>
      <c r="L282" s="181"/>
    </row>
    <row r="283" spans="2:12" ht="15" customHeight="1">
      <c r="B283" s="192"/>
      <c r="C283" s="192"/>
      <c r="D283" s="192"/>
      <c r="E283" s="192"/>
      <c r="F283" s="192"/>
      <c r="G283" s="192"/>
      <c r="H283" s="192"/>
      <c r="I283" s="192"/>
      <c r="J283" s="193"/>
      <c r="K283" s="181"/>
      <c r="L283" s="181"/>
    </row>
    <row r="284" spans="2:12" ht="15" customHeight="1">
      <c r="B284" s="192"/>
      <c r="C284" s="192"/>
      <c r="D284" s="192"/>
      <c r="E284" s="192"/>
      <c r="F284" s="192"/>
      <c r="G284" s="192"/>
      <c r="H284" s="192"/>
      <c r="I284" s="192"/>
      <c r="J284" s="193"/>
      <c r="K284" s="181"/>
      <c r="L284" s="181"/>
    </row>
    <row r="285" spans="2:12" ht="15" customHeight="1">
      <c r="B285" s="192"/>
      <c r="C285" s="192"/>
      <c r="D285" s="192"/>
      <c r="E285" s="192"/>
      <c r="F285" s="192"/>
      <c r="G285" s="192"/>
      <c r="H285" s="192"/>
      <c r="I285" s="192"/>
      <c r="J285" s="193"/>
      <c r="K285" s="181"/>
      <c r="L285" s="181"/>
    </row>
    <row r="286" spans="2:12" ht="15" customHeight="1">
      <c r="B286" s="192"/>
      <c r="C286" s="192"/>
      <c r="D286" s="192"/>
      <c r="E286" s="192"/>
      <c r="F286" s="192"/>
      <c r="G286" s="192"/>
      <c r="H286" s="192"/>
      <c r="I286" s="192"/>
      <c r="J286" s="193"/>
      <c r="K286" s="181"/>
      <c r="L286" s="181"/>
    </row>
    <row r="287" spans="2:12" ht="15" customHeight="1">
      <c r="B287" s="192"/>
      <c r="C287" s="192"/>
      <c r="D287" s="192"/>
      <c r="E287" s="192"/>
      <c r="F287" s="192"/>
      <c r="G287" s="192"/>
      <c r="H287" s="192"/>
      <c r="I287" s="192"/>
      <c r="J287" s="193"/>
      <c r="K287" s="181"/>
      <c r="L287" s="181"/>
    </row>
    <row r="288" spans="2:12" ht="15" customHeight="1">
      <c r="B288" s="192"/>
      <c r="C288" s="192"/>
      <c r="D288" s="192"/>
      <c r="E288" s="192"/>
      <c r="F288" s="192"/>
      <c r="G288" s="192"/>
      <c r="H288" s="192"/>
      <c r="I288" s="192"/>
      <c r="J288" s="193"/>
      <c r="K288" s="181"/>
      <c r="L288" s="181"/>
    </row>
    <row r="289" spans="2:12" ht="15" customHeight="1">
      <c r="B289" s="192"/>
      <c r="C289" s="192"/>
      <c r="D289" s="192"/>
      <c r="E289" s="192"/>
      <c r="F289" s="192"/>
      <c r="G289" s="192"/>
      <c r="H289" s="192"/>
      <c r="I289" s="192"/>
      <c r="J289" s="193"/>
      <c r="K289" s="181"/>
      <c r="L289" s="181"/>
    </row>
    <row r="290" spans="2:12" ht="15" customHeight="1">
      <c r="B290" s="192"/>
      <c r="C290" s="192"/>
      <c r="D290" s="192"/>
      <c r="E290" s="192"/>
      <c r="F290" s="192"/>
      <c r="G290" s="192"/>
      <c r="H290" s="192"/>
      <c r="I290" s="192"/>
      <c r="J290" s="193"/>
      <c r="K290" s="181"/>
      <c r="L290" s="181"/>
    </row>
    <row r="291" spans="2:12" ht="15" customHeight="1">
      <c r="B291" s="192"/>
      <c r="C291" s="192"/>
      <c r="D291" s="192"/>
      <c r="E291" s="192"/>
      <c r="F291" s="192"/>
      <c r="G291" s="192"/>
      <c r="H291" s="192"/>
      <c r="I291" s="192"/>
      <c r="J291" s="193"/>
      <c r="K291" s="181"/>
      <c r="L291" s="181"/>
    </row>
    <row r="292" spans="2:12" ht="15" customHeight="1">
      <c r="B292" s="192"/>
      <c r="C292" s="192"/>
      <c r="D292" s="192"/>
      <c r="E292" s="192"/>
      <c r="F292" s="192"/>
      <c r="G292" s="192"/>
      <c r="H292" s="192"/>
      <c r="I292" s="192"/>
      <c r="J292" s="193"/>
      <c r="K292" s="181"/>
      <c r="L292" s="181"/>
    </row>
    <row r="293" spans="2:12" ht="15" customHeight="1">
      <c r="B293" s="192"/>
      <c r="C293" s="192"/>
      <c r="D293" s="192"/>
      <c r="E293" s="192"/>
      <c r="F293" s="192"/>
      <c r="G293" s="192"/>
      <c r="H293" s="192"/>
      <c r="I293" s="192"/>
      <c r="J293" s="193"/>
      <c r="K293" s="181"/>
      <c r="L293" s="181"/>
    </row>
    <row r="294" spans="2:12" ht="15" customHeight="1">
      <c r="B294" s="192"/>
      <c r="C294" s="192"/>
      <c r="D294" s="192"/>
      <c r="E294" s="192"/>
      <c r="F294" s="192"/>
      <c r="G294" s="192"/>
      <c r="H294" s="192"/>
      <c r="I294" s="192"/>
      <c r="J294" s="193"/>
      <c r="K294" s="181"/>
      <c r="L294" s="181"/>
    </row>
    <row r="295" spans="2:12" ht="15" customHeight="1">
      <c r="B295" s="192"/>
      <c r="C295" s="192"/>
      <c r="D295" s="192"/>
      <c r="E295" s="192"/>
      <c r="F295" s="192"/>
      <c r="G295" s="192"/>
      <c r="H295" s="192"/>
      <c r="I295" s="192"/>
      <c r="J295" s="193"/>
      <c r="K295" s="181"/>
      <c r="L295" s="181"/>
    </row>
    <row r="296" spans="2:12" ht="15" customHeight="1">
      <c r="B296" s="192"/>
      <c r="C296" s="192"/>
      <c r="D296" s="192"/>
      <c r="E296" s="192"/>
      <c r="F296" s="192"/>
      <c r="G296" s="192"/>
      <c r="H296" s="192"/>
      <c r="I296" s="192"/>
      <c r="J296" s="193"/>
      <c r="K296" s="181"/>
      <c r="L296" s="181"/>
    </row>
    <row r="297" spans="2:12" ht="15" customHeight="1">
      <c r="B297" s="192"/>
      <c r="C297" s="192"/>
      <c r="D297" s="192"/>
      <c r="E297" s="192"/>
      <c r="F297" s="192"/>
      <c r="G297" s="192"/>
      <c r="H297" s="192"/>
      <c r="I297" s="192"/>
      <c r="J297" s="193"/>
      <c r="K297" s="181"/>
      <c r="L297" s="181"/>
    </row>
    <row r="298" spans="2:12" ht="15" customHeight="1">
      <c r="B298" s="192"/>
      <c r="C298" s="192"/>
      <c r="D298" s="192"/>
      <c r="E298" s="192"/>
      <c r="F298" s="192"/>
      <c r="G298" s="192"/>
      <c r="H298" s="192"/>
      <c r="I298" s="192"/>
      <c r="J298" s="193"/>
      <c r="K298" s="181"/>
      <c r="L298" s="181"/>
    </row>
    <row r="299" spans="2:12" ht="15" customHeight="1">
      <c r="B299" s="192"/>
      <c r="C299" s="192"/>
      <c r="D299" s="192"/>
      <c r="E299" s="192"/>
      <c r="F299" s="192"/>
      <c r="G299" s="192"/>
      <c r="H299" s="192"/>
      <c r="I299" s="192"/>
      <c r="J299" s="193"/>
      <c r="K299" s="181"/>
      <c r="L299" s="181"/>
    </row>
    <row r="300" spans="2:12" ht="15" customHeight="1">
      <c r="B300" s="192"/>
      <c r="C300" s="192"/>
      <c r="D300" s="192"/>
      <c r="E300" s="192"/>
      <c r="F300" s="192"/>
      <c r="G300" s="192"/>
      <c r="H300" s="192"/>
      <c r="I300" s="192"/>
      <c r="J300" s="193"/>
      <c r="K300" s="181"/>
      <c r="L300" s="181"/>
    </row>
    <row r="301" spans="2:12" ht="15" customHeight="1">
      <c r="B301" s="192"/>
      <c r="C301" s="192"/>
      <c r="D301" s="192"/>
      <c r="E301" s="192"/>
      <c r="F301" s="192"/>
      <c r="G301" s="192"/>
      <c r="H301" s="192"/>
      <c r="I301" s="192"/>
      <c r="J301" s="193"/>
      <c r="K301" s="181"/>
      <c r="L301" s="181"/>
    </row>
    <row r="302" spans="2:12" ht="15" customHeight="1">
      <c r="B302" s="192"/>
      <c r="C302" s="192"/>
      <c r="D302" s="192"/>
      <c r="E302" s="192"/>
      <c r="F302" s="192"/>
      <c r="G302" s="192"/>
      <c r="H302" s="192"/>
      <c r="I302" s="192"/>
      <c r="J302" s="193"/>
      <c r="K302" s="181"/>
      <c r="L302" s="181"/>
    </row>
    <row r="303" spans="2:12" ht="15" customHeight="1">
      <c r="B303" s="192"/>
      <c r="C303" s="192"/>
      <c r="D303" s="192"/>
      <c r="E303" s="192"/>
      <c r="F303" s="192"/>
      <c r="G303" s="192"/>
      <c r="H303" s="192"/>
      <c r="I303" s="192"/>
      <c r="J303" s="193"/>
      <c r="K303" s="181"/>
      <c r="L303" s="181"/>
    </row>
    <row r="304" spans="2:12" ht="15" customHeight="1">
      <c r="B304" s="192"/>
      <c r="C304" s="192"/>
      <c r="D304" s="192"/>
      <c r="E304" s="192"/>
      <c r="F304" s="192"/>
      <c r="G304" s="192"/>
      <c r="H304" s="192"/>
      <c r="I304" s="192"/>
      <c r="J304" s="193"/>
      <c r="K304" s="181"/>
      <c r="L304" s="181"/>
    </row>
    <row r="305" spans="2:12" ht="15" customHeight="1">
      <c r="B305" s="192"/>
      <c r="C305" s="192"/>
      <c r="D305" s="192"/>
      <c r="E305" s="192"/>
      <c r="F305" s="192"/>
      <c r="G305" s="192"/>
      <c r="H305" s="192"/>
      <c r="I305" s="192"/>
      <c r="J305" s="193"/>
      <c r="K305" s="181"/>
      <c r="L305" s="181"/>
    </row>
    <row r="306" spans="2:12" ht="15" customHeight="1">
      <c r="B306" s="192"/>
      <c r="C306" s="192"/>
      <c r="D306" s="192"/>
      <c r="E306" s="192"/>
      <c r="F306" s="192"/>
      <c r="G306" s="192"/>
      <c r="H306" s="192"/>
      <c r="I306" s="192"/>
      <c r="J306" s="193"/>
      <c r="K306" s="181"/>
      <c r="L306" s="181"/>
    </row>
    <row r="307" spans="2:12" ht="15" customHeight="1">
      <c r="B307" s="192"/>
      <c r="C307" s="192"/>
      <c r="D307" s="192"/>
      <c r="E307" s="192"/>
      <c r="F307" s="192"/>
      <c r="G307" s="192"/>
      <c r="H307" s="192"/>
      <c r="I307" s="192"/>
      <c r="J307" s="193"/>
      <c r="K307" s="181"/>
      <c r="L307" s="181"/>
    </row>
    <row r="308" spans="2:12" ht="15" customHeight="1">
      <c r="B308" s="192"/>
      <c r="C308" s="192"/>
      <c r="D308" s="192"/>
      <c r="E308" s="192"/>
      <c r="F308" s="192"/>
      <c r="G308" s="192"/>
      <c r="H308" s="192"/>
      <c r="I308" s="192"/>
      <c r="J308" s="193"/>
      <c r="K308" s="181"/>
      <c r="L308" s="181"/>
    </row>
    <row r="309" spans="2:12" ht="15" customHeight="1">
      <c r="B309" s="192"/>
      <c r="C309" s="192"/>
      <c r="D309" s="192"/>
      <c r="E309" s="192"/>
      <c r="F309" s="192"/>
      <c r="G309" s="192"/>
      <c r="H309" s="192"/>
      <c r="I309" s="192"/>
      <c r="J309" s="193"/>
      <c r="K309" s="181"/>
      <c r="L309" s="181"/>
    </row>
    <row r="310" spans="2:12" ht="15" customHeight="1">
      <c r="B310" s="192"/>
      <c r="C310" s="192"/>
      <c r="D310" s="192"/>
      <c r="E310" s="192"/>
      <c r="F310" s="192"/>
      <c r="G310" s="192"/>
      <c r="H310" s="192"/>
      <c r="I310" s="192"/>
      <c r="J310" s="193"/>
      <c r="K310" s="181"/>
      <c r="L310" s="181"/>
    </row>
    <row r="311" spans="2:12" ht="15" customHeight="1">
      <c r="B311" s="192"/>
      <c r="C311" s="192"/>
      <c r="D311" s="192"/>
      <c r="E311" s="192"/>
      <c r="F311" s="192"/>
      <c r="G311" s="192"/>
      <c r="H311" s="192"/>
      <c r="I311" s="192"/>
      <c r="J311" s="193"/>
      <c r="K311" s="181"/>
      <c r="L311" s="181"/>
    </row>
    <row r="312" spans="2:12" ht="15" customHeight="1">
      <c r="B312" s="192"/>
      <c r="C312" s="192"/>
      <c r="D312" s="192"/>
      <c r="E312" s="192"/>
      <c r="F312" s="192"/>
      <c r="G312" s="192"/>
      <c r="H312" s="192"/>
      <c r="I312" s="192"/>
      <c r="J312" s="193"/>
      <c r="K312" s="181"/>
      <c r="L312" s="181"/>
    </row>
    <row r="313" spans="2:12" ht="15" customHeight="1">
      <c r="B313" s="192"/>
      <c r="C313" s="192"/>
      <c r="D313" s="192"/>
      <c r="E313" s="192"/>
      <c r="F313" s="192"/>
      <c r="G313" s="192"/>
      <c r="H313" s="192"/>
      <c r="I313" s="192"/>
      <c r="J313" s="193"/>
      <c r="K313" s="181"/>
      <c r="L313" s="181"/>
    </row>
    <row r="314" spans="2:12" ht="15" customHeight="1">
      <c r="B314" s="192"/>
      <c r="C314" s="192"/>
      <c r="D314" s="192"/>
      <c r="E314" s="192"/>
      <c r="F314" s="192"/>
      <c r="G314" s="192"/>
      <c r="H314" s="192"/>
      <c r="I314" s="192"/>
      <c r="J314" s="193"/>
      <c r="K314" s="181"/>
      <c r="L314" s="181"/>
    </row>
    <row r="315" spans="2:12" ht="15" customHeight="1">
      <c r="B315" s="192"/>
      <c r="C315" s="192"/>
      <c r="D315" s="192"/>
      <c r="E315" s="192"/>
      <c r="F315" s="192"/>
      <c r="G315" s="192"/>
      <c r="H315" s="192"/>
      <c r="I315" s="192"/>
      <c r="J315" s="193"/>
      <c r="K315" s="181"/>
      <c r="L315" s="181"/>
    </row>
    <row r="316" spans="2:12" ht="15" customHeight="1">
      <c r="B316" s="192"/>
      <c r="C316" s="192"/>
      <c r="D316" s="192"/>
      <c r="E316" s="192"/>
      <c r="F316" s="192"/>
      <c r="G316" s="192"/>
      <c r="H316" s="192"/>
      <c r="I316" s="192"/>
      <c r="J316" s="193"/>
      <c r="K316" s="181"/>
      <c r="L316" s="181"/>
    </row>
    <row r="317" spans="2:12" ht="15" customHeight="1">
      <c r="B317" s="192"/>
      <c r="C317" s="192"/>
      <c r="D317" s="192"/>
      <c r="E317" s="192"/>
      <c r="F317" s="192"/>
      <c r="G317" s="192"/>
      <c r="H317" s="192"/>
      <c r="I317" s="192"/>
      <c r="J317" s="193"/>
      <c r="K317" s="181"/>
      <c r="L317" s="181"/>
    </row>
    <row r="318" spans="2:12" ht="15" customHeight="1">
      <c r="B318" s="192"/>
      <c r="C318" s="192"/>
      <c r="D318" s="192"/>
      <c r="E318" s="192"/>
      <c r="F318" s="192"/>
      <c r="G318" s="192"/>
      <c r="H318" s="192"/>
      <c r="I318" s="192"/>
      <c r="J318" s="193"/>
      <c r="K318" s="181"/>
      <c r="L318" s="181"/>
    </row>
    <row r="319" spans="2:12" ht="15" customHeight="1">
      <c r="B319" s="192"/>
      <c r="C319" s="192"/>
      <c r="D319" s="192"/>
      <c r="E319" s="192"/>
      <c r="F319" s="192"/>
      <c r="G319" s="192"/>
      <c r="H319" s="192"/>
      <c r="I319" s="192"/>
      <c r="J319" s="193"/>
      <c r="K319" s="181"/>
      <c r="L319" s="181"/>
    </row>
    <row r="320" spans="2:12" ht="15" customHeight="1">
      <c r="B320" s="192"/>
      <c r="C320" s="192"/>
      <c r="D320" s="192"/>
      <c r="E320" s="192"/>
      <c r="F320" s="192"/>
      <c r="G320" s="192"/>
      <c r="H320" s="192"/>
      <c r="I320" s="192"/>
      <c r="J320" s="193"/>
      <c r="K320" s="181"/>
      <c r="L320" s="181"/>
    </row>
    <row r="321" spans="2:12" ht="15" customHeight="1">
      <c r="B321" s="192"/>
      <c r="C321" s="192"/>
      <c r="D321" s="192"/>
      <c r="E321" s="192"/>
      <c r="F321" s="192"/>
      <c r="G321" s="192"/>
      <c r="H321" s="192"/>
      <c r="I321" s="192"/>
      <c r="J321" s="193"/>
      <c r="K321" s="181"/>
      <c r="L321" s="181"/>
    </row>
    <row r="322" spans="2:12" ht="15" customHeight="1">
      <c r="B322" s="192"/>
      <c r="C322" s="192"/>
      <c r="D322" s="192"/>
      <c r="E322" s="192"/>
      <c r="F322" s="192"/>
      <c r="G322" s="192"/>
      <c r="H322" s="192"/>
      <c r="I322" s="192"/>
      <c r="J322" s="193"/>
      <c r="K322" s="181"/>
      <c r="L322" s="181"/>
    </row>
    <row r="323" spans="2:12" ht="15" customHeight="1">
      <c r="B323" s="192"/>
      <c r="C323" s="192"/>
      <c r="D323" s="192"/>
      <c r="E323" s="192"/>
      <c r="F323" s="192"/>
      <c r="G323" s="192"/>
      <c r="H323" s="192"/>
      <c r="I323" s="192"/>
      <c r="J323" s="193"/>
      <c r="K323" s="181"/>
      <c r="L323" s="181"/>
    </row>
    <row r="324" spans="2:12" ht="15" customHeight="1">
      <c r="B324" s="192"/>
      <c r="C324" s="192"/>
      <c r="D324" s="192"/>
      <c r="E324" s="192"/>
      <c r="F324" s="192"/>
      <c r="G324" s="192"/>
      <c r="H324" s="192"/>
      <c r="I324" s="192"/>
      <c r="J324" s="193"/>
      <c r="K324" s="181"/>
      <c r="L324" s="181"/>
    </row>
    <row r="325" spans="2:12" ht="15" customHeight="1">
      <c r="B325" s="192"/>
      <c r="C325" s="192"/>
      <c r="D325" s="192"/>
      <c r="E325" s="192"/>
      <c r="F325" s="192"/>
      <c r="G325" s="192"/>
      <c r="H325" s="192"/>
      <c r="I325" s="192"/>
      <c r="J325" s="193"/>
      <c r="K325" s="181"/>
      <c r="L325" s="181"/>
    </row>
    <row r="326" spans="2:12" ht="15" customHeight="1">
      <c r="B326" s="192"/>
      <c r="C326" s="192"/>
      <c r="D326" s="192"/>
      <c r="E326" s="192"/>
      <c r="F326" s="192"/>
      <c r="G326" s="192"/>
      <c r="H326" s="192"/>
      <c r="I326" s="192"/>
      <c r="J326" s="193"/>
      <c r="K326" s="181"/>
      <c r="L326" s="181"/>
    </row>
    <row r="327" spans="2:12" ht="15" customHeight="1">
      <c r="B327" s="192"/>
      <c r="C327" s="192"/>
      <c r="D327" s="192"/>
      <c r="E327" s="192"/>
      <c r="F327" s="192"/>
      <c r="G327" s="192"/>
      <c r="H327" s="192"/>
      <c r="I327" s="192"/>
      <c r="J327" s="193"/>
      <c r="K327" s="181"/>
      <c r="L327" s="181"/>
    </row>
    <row r="328" spans="2:12" ht="15" customHeight="1">
      <c r="B328" s="192"/>
      <c r="C328" s="192"/>
      <c r="D328" s="192"/>
      <c r="E328" s="192"/>
      <c r="F328" s="192"/>
      <c r="G328" s="192"/>
      <c r="H328" s="192"/>
      <c r="I328" s="192"/>
      <c r="J328" s="193"/>
      <c r="K328" s="181"/>
      <c r="L328" s="181"/>
    </row>
    <row r="329" spans="2:12" ht="15" customHeight="1">
      <c r="B329" s="192"/>
      <c r="C329" s="192"/>
      <c r="D329" s="192"/>
      <c r="E329" s="192"/>
      <c r="F329" s="192"/>
      <c r="G329" s="192"/>
      <c r="H329" s="192"/>
      <c r="I329" s="192"/>
      <c r="J329" s="193"/>
      <c r="K329" s="181"/>
      <c r="L329" s="181"/>
    </row>
    <row r="330" spans="2:12" ht="15" customHeight="1">
      <c r="B330" s="192"/>
      <c r="C330" s="192"/>
      <c r="D330" s="192"/>
      <c r="E330" s="192"/>
      <c r="F330" s="192"/>
      <c r="G330" s="192"/>
      <c r="H330" s="192"/>
      <c r="I330" s="192"/>
      <c r="J330" s="193"/>
      <c r="K330" s="181"/>
      <c r="L330" s="181"/>
    </row>
    <row r="331" spans="2:12" ht="15" customHeight="1">
      <c r="B331" s="192"/>
      <c r="C331" s="192"/>
      <c r="D331" s="192"/>
      <c r="E331" s="192"/>
      <c r="F331" s="192"/>
      <c r="G331" s="192"/>
      <c r="H331" s="192"/>
      <c r="I331" s="192"/>
      <c r="J331" s="193"/>
      <c r="K331" s="181"/>
      <c r="L331" s="181"/>
    </row>
    <row r="332" spans="2:12" ht="15" customHeight="1">
      <c r="B332" s="192"/>
      <c r="C332" s="192"/>
      <c r="D332" s="192"/>
      <c r="E332" s="192"/>
      <c r="F332" s="192"/>
      <c r="G332" s="192"/>
      <c r="H332" s="192"/>
      <c r="I332" s="192"/>
      <c r="J332" s="193"/>
      <c r="K332" s="181"/>
      <c r="L332" s="181"/>
    </row>
    <row r="333" spans="2:12" ht="15" customHeight="1">
      <c r="B333" s="192"/>
      <c r="C333" s="192"/>
      <c r="D333" s="192"/>
      <c r="E333" s="192"/>
      <c r="F333" s="192"/>
      <c r="G333" s="192"/>
      <c r="H333" s="192"/>
      <c r="I333" s="192"/>
      <c r="J333" s="193"/>
      <c r="K333" s="181"/>
      <c r="L333" s="181"/>
    </row>
    <row r="334" spans="2:12" ht="15" customHeight="1">
      <c r="B334" s="192"/>
      <c r="C334" s="192"/>
      <c r="D334" s="192"/>
      <c r="E334" s="192"/>
      <c r="F334" s="192"/>
      <c r="G334" s="192"/>
      <c r="H334" s="192"/>
      <c r="I334" s="192"/>
      <c r="J334" s="193"/>
      <c r="K334" s="181"/>
      <c r="L334" s="181"/>
    </row>
    <row r="335" spans="2:12" ht="15" customHeight="1">
      <c r="B335" s="192"/>
      <c r="C335" s="192"/>
      <c r="D335" s="192"/>
      <c r="E335" s="192"/>
      <c r="F335" s="192"/>
      <c r="G335" s="192"/>
      <c r="H335" s="192"/>
      <c r="I335" s="192"/>
      <c r="J335" s="193"/>
      <c r="K335" s="181"/>
      <c r="L335" s="181"/>
    </row>
    <row r="336" spans="2:12" ht="15" customHeight="1">
      <c r="B336" s="192"/>
      <c r="C336" s="192"/>
      <c r="D336" s="192"/>
      <c r="E336" s="192"/>
      <c r="F336" s="192"/>
      <c r="G336" s="192"/>
      <c r="H336" s="192"/>
      <c r="I336" s="192"/>
      <c r="J336" s="193"/>
      <c r="K336" s="181"/>
      <c r="L336" s="181"/>
    </row>
    <row r="337" spans="2:12" ht="15" customHeight="1">
      <c r="B337" s="192"/>
      <c r="C337" s="192"/>
      <c r="D337" s="192"/>
      <c r="E337" s="192"/>
      <c r="F337" s="192"/>
      <c r="G337" s="192"/>
      <c r="H337" s="192"/>
      <c r="I337" s="192"/>
      <c r="J337" s="193"/>
      <c r="K337" s="181"/>
      <c r="L337" s="181"/>
    </row>
    <row r="338" spans="2:12" ht="15" customHeight="1">
      <c r="B338" s="192"/>
      <c r="C338" s="192"/>
      <c r="D338" s="192"/>
      <c r="E338" s="192"/>
      <c r="F338" s="192"/>
      <c r="G338" s="192"/>
      <c r="H338" s="192"/>
      <c r="I338" s="192"/>
      <c r="J338" s="193"/>
      <c r="K338" s="181"/>
      <c r="L338" s="181"/>
    </row>
    <row r="339" spans="2:12" ht="15" customHeight="1">
      <c r="B339" s="192"/>
      <c r="C339" s="192"/>
      <c r="D339" s="192"/>
      <c r="E339" s="192"/>
      <c r="F339" s="192"/>
      <c r="G339" s="192"/>
      <c r="H339" s="192"/>
      <c r="I339" s="192"/>
      <c r="J339" s="193"/>
      <c r="K339" s="181"/>
      <c r="L339" s="181"/>
    </row>
    <row r="340" spans="2:12" ht="15" customHeight="1">
      <c r="B340" s="192"/>
      <c r="C340" s="192"/>
      <c r="D340" s="192"/>
      <c r="E340" s="192"/>
      <c r="F340" s="192"/>
      <c r="G340" s="192"/>
      <c r="H340" s="192"/>
      <c r="I340" s="192"/>
      <c r="J340" s="193"/>
      <c r="K340" s="181"/>
      <c r="L340" s="181"/>
    </row>
    <row r="341" spans="2:12" ht="15" customHeight="1">
      <c r="B341" s="192"/>
      <c r="C341" s="192"/>
      <c r="D341" s="192"/>
      <c r="E341" s="192"/>
      <c r="F341" s="192"/>
      <c r="G341" s="192"/>
      <c r="H341" s="192"/>
      <c r="I341" s="192"/>
      <c r="J341" s="193"/>
      <c r="K341" s="181"/>
      <c r="L341" s="181"/>
    </row>
    <row r="342" spans="2:12" ht="15" customHeight="1">
      <c r="B342" s="192"/>
      <c r="C342" s="192"/>
      <c r="D342" s="192"/>
      <c r="E342" s="192"/>
      <c r="F342" s="192"/>
      <c r="G342" s="192"/>
      <c r="H342" s="192"/>
      <c r="I342" s="192"/>
      <c r="J342" s="193"/>
      <c r="K342" s="181"/>
      <c r="L342" s="181"/>
    </row>
    <row r="343" spans="2:12" ht="15" customHeight="1">
      <c r="B343" s="192"/>
      <c r="C343" s="192"/>
      <c r="D343" s="192"/>
      <c r="E343" s="192"/>
      <c r="F343" s="192"/>
      <c r="G343" s="192"/>
      <c r="H343" s="192"/>
      <c r="I343" s="192"/>
      <c r="J343" s="193"/>
      <c r="K343" s="181"/>
      <c r="L343" s="181"/>
    </row>
    <row r="344" spans="2:12" ht="15" customHeight="1">
      <c r="B344" s="192"/>
      <c r="C344" s="192"/>
      <c r="D344" s="192"/>
      <c r="E344" s="192"/>
      <c r="F344" s="192"/>
      <c r="G344" s="192"/>
      <c r="H344" s="192"/>
      <c r="I344" s="192"/>
      <c r="J344" s="193"/>
      <c r="K344" s="181"/>
      <c r="L344" s="181"/>
    </row>
    <row r="345" spans="2:12" ht="15" customHeight="1">
      <c r="B345" s="192"/>
      <c r="C345" s="192"/>
      <c r="D345" s="192"/>
      <c r="E345" s="192"/>
      <c r="F345" s="192"/>
      <c r="G345" s="192"/>
      <c r="H345" s="192"/>
      <c r="I345" s="192"/>
      <c r="J345" s="193"/>
      <c r="K345" s="181"/>
      <c r="L345" s="181"/>
    </row>
    <row r="346" spans="2:12" ht="15" customHeight="1">
      <c r="B346" s="192"/>
      <c r="C346" s="192"/>
      <c r="D346" s="192"/>
      <c r="E346" s="192"/>
      <c r="F346" s="192"/>
      <c r="G346" s="192"/>
      <c r="H346" s="192"/>
      <c r="I346" s="192"/>
      <c r="J346" s="193"/>
      <c r="K346" s="181"/>
      <c r="L346" s="181"/>
    </row>
    <row r="347" spans="2:12" ht="15" customHeight="1">
      <c r="B347" s="192"/>
      <c r="C347" s="192"/>
      <c r="D347" s="192"/>
      <c r="E347" s="192"/>
      <c r="F347" s="192"/>
      <c r="G347" s="192"/>
      <c r="H347" s="192"/>
      <c r="I347" s="192"/>
      <c r="J347" s="193"/>
      <c r="K347" s="181"/>
      <c r="L347" s="181"/>
    </row>
    <row r="348" spans="2:12" ht="15" customHeight="1">
      <c r="B348" s="192"/>
      <c r="C348" s="192"/>
      <c r="D348" s="192"/>
      <c r="E348" s="192"/>
      <c r="F348" s="192"/>
      <c r="G348" s="192"/>
      <c r="H348" s="192"/>
      <c r="I348" s="192"/>
      <c r="J348" s="193"/>
      <c r="K348" s="181"/>
      <c r="L348" s="181"/>
    </row>
    <row r="349" spans="2:12" ht="15" customHeight="1">
      <c r="B349" s="192"/>
      <c r="C349" s="192"/>
      <c r="D349" s="192"/>
      <c r="E349" s="192"/>
      <c r="F349" s="192"/>
      <c r="G349" s="192"/>
      <c r="H349" s="192"/>
      <c r="I349" s="192"/>
      <c r="J349" s="193"/>
      <c r="K349" s="181"/>
      <c r="L349" s="181"/>
    </row>
    <row r="350" spans="2:12" ht="15" customHeight="1">
      <c r="B350" s="192"/>
      <c r="C350" s="192"/>
      <c r="D350" s="192"/>
      <c r="E350" s="192"/>
      <c r="F350" s="192"/>
      <c r="G350" s="192"/>
      <c r="H350" s="192"/>
      <c r="I350" s="192"/>
      <c r="J350" s="193"/>
      <c r="K350" s="181"/>
      <c r="L350" s="181"/>
    </row>
    <row r="351" spans="2:12" ht="15" customHeight="1">
      <c r="B351" s="192"/>
      <c r="C351" s="192"/>
      <c r="D351" s="192"/>
      <c r="E351" s="192"/>
      <c r="F351" s="192"/>
      <c r="G351" s="192"/>
      <c r="H351" s="192"/>
      <c r="I351" s="192"/>
      <c r="J351" s="193"/>
      <c r="K351" s="181"/>
      <c r="L351" s="181"/>
    </row>
    <row r="352" spans="2:12" ht="15" customHeight="1">
      <c r="B352" s="192"/>
      <c r="C352" s="192"/>
      <c r="D352" s="192"/>
      <c r="E352" s="192"/>
      <c r="F352" s="192"/>
      <c r="G352" s="192"/>
      <c r="H352" s="192"/>
      <c r="I352" s="192"/>
      <c r="J352" s="193"/>
      <c r="K352" s="181"/>
      <c r="L352" s="181"/>
    </row>
    <row r="353" spans="2:12" ht="15" customHeight="1">
      <c r="B353" s="192"/>
      <c r="C353" s="192"/>
      <c r="D353" s="192"/>
      <c r="E353" s="192"/>
      <c r="F353" s="192"/>
      <c r="G353" s="192"/>
      <c r="H353" s="192"/>
      <c r="I353" s="192"/>
      <c r="J353" s="193"/>
      <c r="K353" s="181"/>
      <c r="L353" s="181"/>
    </row>
    <row r="354" spans="2:12" ht="15" customHeight="1">
      <c r="B354" s="192"/>
      <c r="C354" s="192"/>
      <c r="D354" s="192"/>
      <c r="E354" s="192"/>
      <c r="F354" s="192"/>
      <c r="G354" s="192"/>
      <c r="H354" s="192"/>
      <c r="I354" s="192"/>
      <c r="J354" s="193"/>
      <c r="K354" s="181"/>
      <c r="L354" s="181"/>
    </row>
    <row r="355" spans="2:12" ht="15" customHeight="1">
      <c r="B355" s="192"/>
      <c r="C355" s="192"/>
      <c r="D355" s="192"/>
      <c r="E355" s="192"/>
      <c r="F355" s="192"/>
      <c r="G355" s="192"/>
      <c r="H355" s="192"/>
      <c r="I355" s="192"/>
      <c r="J355" s="193"/>
      <c r="K355" s="181"/>
      <c r="L355" s="181"/>
    </row>
    <row r="356" spans="2:12" ht="15" customHeight="1">
      <c r="B356" s="192"/>
      <c r="C356" s="192"/>
      <c r="D356" s="192"/>
      <c r="E356" s="192"/>
      <c r="F356" s="192"/>
      <c r="G356" s="192"/>
      <c r="H356" s="192"/>
      <c r="I356" s="192"/>
      <c r="J356" s="193"/>
      <c r="K356" s="181"/>
      <c r="L356" s="181"/>
    </row>
    <row r="357" spans="2:12" ht="15" customHeight="1">
      <c r="B357" s="192"/>
      <c r="C357" s="192"/>
      <c r="D357" s="192"/>
      <c r="E357" s="192"/>
      <c r="F357" s="192"/>
      <c r="G357" s="192"/>
      <c r="H357" s="192"/>
      <c r="I357" s="192"/>
      <c r="J357" s="193"/>
      <c r="K357" s="181"/>
      <c r="L357" s="181"/>
    </row>
    <row r="358" spans="2:12" ht="15" customHeight="1">
      <c r="B358" s="192"/>
      <c r="C358" s="192"/>
      <c r="D358" s="192"/>
      <c r="E358" s="192"/>
      <c r="F358" s="192"/>
      <c r="G358" s="192"/>
      <c r="H358" s="192"/>
      <c r="I358" s="192"/>
      <c r="J358" s="193"/>
      <c r="K358" s="181"/>
      <c r="L358" s="181"/>
    </row>
    <row r="359" spans="2:12" ht="15" customHeight="1">
      <c r="B359" s="192"/>
      <c r="C359" s="192"/>
      <c r="D359" s="192"/>
      <c r="E359" s="192"/>
      <c r="F359" s="192"/>
      <c r="G359" s="192"/>
      <c r="H359" s="192"/>
      <c r="I359" s="192"/>
      <c r="J359" s="193"/>
      <c r="K359" s="181"/>
      <c r="L359" s="181"/>
    </row>
    <row r="360" spans="2:12" ht="15" customHeight="1">
      <c r="B360" s="192"/>
      <c r="C360" s="192"/>
      <c r="D360" s="192"/>
      <c r="E360" s="192"/>
      <c r="F360" s="192"/>
      <c r="G360" s="192"/>
      <c r="H360" s="192"/>
      <c r="I360" s="192"/>
      <c r="J360" s="193"/>
      <c r="K360" s="181"/>
      <c r="L360" s="181"/>
    </row>
    <row r="361" spans="2:12" ht="15" customHeight="1">
      <c r="B361" s="192"/>
      <c r="C361" s="192"/>
      <c r="D361" s="192"/>
      <c r="E361" s="192"/>
      <c r="F361" s="192"/>
      <c r="G361" s="192"/>
      <c r="H361" s="192"/>
      <c r="I361" s="192"/>
      <c r="J361" s="193"/>
      <c r="K361" s="181"/>
      <c r="L361" s="181"/>
    </row>
    <row r="362" spans="2:12" ht="15" customHeight="1">
      <c r="B362" s="192"/>
      <c r="C362" s="192"/>
      <c r="D362" s="192"/>
      <c r="E362" s="192"/>
      <c r="F362" s="192"/>
      <c r="G362" s="192"/>
      <c r="H362" s="192"/>
      <c r="I362" s="192"/>
      <c r="J362" s="193"/>
      <c r="K362" s="181"/>
      <c r="L362" s="181"/>
    </row>
    <row r="363" spans="2:12" ht="15" customHeight="1">
      <c r="B363" s="192"/>
      <c r="C363" s="192"/>
      <c r="D363" s="192"/>
      <c r="E363" s="192"/>
      <c r="F363" s="192"/>
      <c r="G363" s="192"/>
      <c r="H363" s="192"/>
      <c r="I363" s="192"/>
      <c r="J363" s="193"/>
      <c r="K363" s="181"/>
      <c r="L363" s="181"/>
    </row>
    <row r="364" spans="2:12" ht="15" customHeight="1">
      <c r="B364" s="192"/>
      <c r="C364" s="192"/>
      <c r="D364" s="192"/>
      <c r="E364" s="192"/>
      <c r="F364" s="192"/>
      <c r="G364" s="192"/>
      <c r="H364" s="192"/>
      <c r="I364" s="192"/>
      <c r="J364" s="193"/>
      <c r="K364" s="181"/>
      <c r="L364" s="181"/>
    </row>
    <row r="365" spans="2:12" ht="15" customHeight="1">
      <c r="B365" s="192"/>
      <c r="C365" s="192"/>
      <c r="D365" s="192"/>
      <c r="E365" s="192"/>
      <c r="F365" s="192"/>
      <c r="G365" s="192"/>
      <c r="H365" s="192"/>
      <c r="I365" s="192"/>
      <c r="J365" s="193"/>
      <c r="K365" s="181"/>
      <c r="L365" s="181"/>
    </row>
    <row r="366" spans="2:12" ht="15" customHeight="1">
      <c r="B366" s="192"/>
      <c r="C366" s="192"/>
      <c r="D366" s="192"/>
      <c r="E366" s="192"/>
      <c r="F366" s="192"/>
      <c r="G366" s="192"/>
      <c r="H366" s="192"/>
      <c r="I366" s="192"/>
      <c r="J366" s="193"/>
      <c r="K366" s="181"/>
      <c r="L366" s="181"/>
    </row>
    <row r="367" spans="2:12" ht="15" customHeight="1">
      <c r="B367" s="192"/>
      <c r="C367" s="192"/>
      <c r="D367" s="192"/>
      <c r="E367" s="192"/>
      <c r="F367" s="192"/>
      <c r="G367" s="192"/>
      <c r="H367" s="192"/>
      <c r="I367" s="192"/>
      <c r="J367" s="193"/>
      <c r="K367" s="181"/>
      <c r="L367" s="181"/>
    </row>
    <row r="368" spans="2:12" ht="15" customHeight="1">
      <c r="B368" s="192"/>
      <c r="C368" s="192"/>
      <c r="D368" s="192"/>
      <c r="E368" s="192"/>
      <c r="F368" s="192"/>
      <c r="G368" s="192"/>
      <c r="H368" s="192"/>
      <c r="I368" s="192"/>
      <c r="J368" s="193"/>
      <c r="K368" s="181"/>
      <c r="L368" s="181"/>
    </row>
    <row r="369" spans="2:12" ht="15" customHeight="1">
      <c r="B369" s="192"/>
      <c r="C369" s="192"/>
      <c r="D369" s="192"/>
      <c r="E369" s="192"/>
      <c r="F369" s="192"/>
      <c r="G369" s="192"/>
      <c r="H369" s="192"/>
      <c r="I369" s="192"/>
      <c r="J369" s="193"/>
      <c r="K369" s="181"/>
      <c r="L369" s="181"/>
    </row>
    <row r="370" spans="2:12" ht="15" customHeight="1">
      <c r="B370" s="192"/>
      <c r="C370" s="192"/>
      <c r="D370" s="192"/>
      <c r="E370" s="192"/>
      <c r="F370" s="192"/>
      <c r="G370" s="192"/>
      <c r="H370" s="192"/>
      <c r="I370" s="192"/>
      <c r="J370" s="193"/>
      <c r="K370" s="181"/>
      <c r="L370" s="181"/>
    </row>
    <row r="371" spans="2:12" ht="15" customHeight="1">
      <c r="B371" s="192"/>
      <c r="C371" s="192"/>
      <c r="D371" s="192"/>
      <c r="E371" s="192"/>
      <c r="F371" s="192"/>
      <c r="G371" s="192"/>
      <c r="H371" s="192"/>
      <c r="I371" s="192"/>
      <c r="J371" s="193"/>
      <c r="K371" s="181"/>
      <c r="L371" s="181"/>
    </row>
    <row r="372" spans="2:12" ht="15" customHeight="1">
      <c r="B372" s="192"/>
      <c r="C372" s="192"/>
      <c r="D372" s="192"/>
      <c r="E372" s="192"/>
      <c r="F372" s="192"/>
      <c r="G372" s="192"/>
      <c r="H372" s="192"/>
      <c r="I372" s="192"/>
      <c r="J372" s="193"/>
      <c r="K372" s="181"/>
      <c r="L372" s="181"/>
    </row>
    <row r="373" spans="2:12" ht="15" customHeight="1">
      <c r="B373" s="192"/>
      <c r="C373" s="192"/>
      <c r="D373" s="192"/>
      <c r="E373" s="192"/>
      <c r="F373" s="192"/>
      <c r="G373" s="192"/>
      <c r="H373" s="192"/>
      <c r="I373" s="192"/>
      <c r="J373" s="193"/>
      <c r="K373" s="181"/>
      <c r="L373" s="181"/>
    </row>
    <row r="374" spans="2:12" ht="15" customHeight="1">
      <c r="B374" s="192"/>
      <c r="C374" s="192"/>
      <c r="D374" s="192"/>
      <c r="E374" s="192"/>
      <c r="F374" s="192"/>
      <c r="G374" s="192"/>
      <c r="H374" s="192"/>
      <c r="I374" s="192"/>
      <c r="J374" s="193"/>
      <c r="K374" s="181"/>
      <c r="L374" s="181"/>
    </row>
    <row r="375" spans="2:12" ht="15" customHeight="1">
      <c r="B375" s="192"/>
      <c r="C375" s="192"/>
      <c r="D375" s="192"/>
      <c r="E375" s="192"/>
      <c r="F375" s="192"/>
      <c r="G375" s="192"/>
      <c r="H375" s="192"/>
      <c r="I375" s="192"/>
      <c r="J375" s="193"/>
      <c r="K375" s="181"/>
      <c r="L375" s="181"/>
    </row>
    <row r="376" spans="2:12" ht="15" customHeight="1">
      <c r="B376" s="192"/>
      <c r="C376" s="192"/>
      <c r="D376" s="192"/>
      <c r="E376" s="192"/>
      <c r="F376" s="192"/>
      <c r="G376" s="192"/>
      <c r="H376" s="192"/>
      <c r="I376" s="192"/>
      <c r="J376" s="193"/>
      <c r="K376" s="181"/>
      <c r="L376" s="181"/>
    </row>
    <row r="377" spans="2:12" ht="15" customHeight="1">
      <c r="B377" s="192"/>
      <c r="C377" s="192"/>
      <c r="D377" s="192"/>
      <c r="E377" s="192"/>
      <c r="F377" s="192"/>
      <c r="G377" s="192"/>
      <c r="H377" s="192"/>
      <c r="I377" s="192"/>
      <c r="J377" s="193"/>
      <c r="K377" s="181"/>
      <c r="L377" s="181"/>
    </row>
    <row r="378" spans="2:12" ht="15" customHeight="1">
      <c r="B378" s="192"/>
      <c r="C378" s="192"/>
      <c r="D378" s="192"/>
      <c r="E378" s="192"/>
      <c r="F378" s="192"/>
      <c r="G378" s="192"/>
      <c r="H378" s="192"/>
      <c r="I378" s="192"/>
      <c r="J378" s="193"/>
      <c r="K378" s="181"/>
      <c r="L378" s="181"/>
    </row>
    <row r="379" spans="2:12" ht="15" customHeight="1">
      <c r="B379" s="192"/>
      <c r="C379" s="192"/>
      <c r="D379" s="192"/>
      <c r="E379" s="192"/>
      <c r="F379" s="192"/>
      <c r="G379" s="192"/>
      <c r="H379" s="192"/>
      <c r="I379" s="192"/>
      <c r="J379" s="193"/>
      <c r="K379" s="181"/>
      <c r="L379" s="181"/>
    </row>
    <row r="380" spans="2:12" ht="15" customHeight="1">
      <c r="B380" s="192"/>
      <c r="C380" s="192"/>
      <c r="D380" s="192"/>
      <c r="E380" s="192"/>
      <c r="F380" s="192"/>
      <c r="G380" s="192"/>
      <c r="H380" s="192"/>
      <c r="I380" s="192"/>
      <c r="J380" s="193"/>
      <c r="K380" s="181"/>
      <c r="L380" s="181"/>
    </row>
    <row r="381" spans="2:12" ht="15" customHeight="1">
      <c r="B381" s="192"/>
      <c r="C381" s="192"/>
      <c r="D381" s="192"/>
      <c r="E381" s="192"/>
      <c r="F381" s="192"/>
      <c r="G381" s="192"/>
      <c r="H381" s="192"/>
      <c r="I381" s="192"/>
      <c r="J381" s="193"/>
      <c r="K381" s="181"/>
      <c r="L381" s="181"/>
    </row>
    <row r="382" spans="2:12" ht="15" customHeight="1">
      <c r="B382" s="192"/>
      <c r="C382" s="192"/>
      <c r="D382" s="192"/>
      <c r="E382" s="192"/>
      <c r="F382" s="192"/>
      <c r="G382" s="192"/>
      <c r="H382" s="192"/>
      <c r="I382" s="192"/>
      <c r="J382" s="193"/>
      <c r="K382" s="181"/>
      <c r="L382" s="181"/>
    </row>
    <row r="383" spans="2:12" ht="15" customHeight="1">
      <c r="B383" s="192"/>
      <c r="C383" s="192"/>
      <c r="D383" s="192"/>
      <c r="E383" s="192"/>
      <c r="F383" s="192"/>
      <c r="G383" s="192"/>
      <c r="H383" s="192"/>
      <c r="I383" s="192"/>
      <c r="J383" s="193"/>
      <c r="K383" s="181"/>
      <c r="L383" s="181"/>
    </row>
    <row r="384" spans="2:12" ht="15" customHeight="1">
      <c r="B384" s="192"/>
      <c r="C384" s="192"/>
      <c r="D384" s="192"/>
      <c r="E384" s="192"/>
      <c r="F384" s="192"/>
      <c r="G384" s="192"/>
      <c r="H384" s="192"/>
      <c r="I384" s="192"/>
      <c r="J384" s="193"/>
      <c r="K384" s="181"/>
      <c r="L384" s="181"/>
    </row>
    <row r="385" spans="2:12" ht="15" customHeight="1">
      <c r="B385" s="192"/>
      <c r="C385" s="192"/>
      <c r="D385" s="192"/>
      <c r="E385" s="192"/>
      <c r="F385" s="192"/>
      <c r="G385" s="192"/>
      <c r="H385" s="192"/>
      <c r="I385" s="192"/>
      <c r="J385" s="193"/>
      <c r="K385" s="181"/>
      <c r="L385" s="181"/>
    </row>
    <row r="386" spans="2:12" ht="15" customHeight="1">
      <c r="B386" s="192"/>
      <c r="C386" s="192"/>
      <c r="D386" s="192"/>
      <c r="E386" s="192"/>
      <c r="F386" s="192"/>
      <c r="G386" s="192"/>
      <c r="H386" s="192"/>
      <c r="I386" s="192"/>
      <c r="J386" s="193"/>
      <c r="K386" s="181"/>
      <c r="L386" s="181"/>
    </row>
    <row r="387" spans="2:12" ht="15" customHeight="1">
      <c r="B387" s="192"/>
      <c r="C387" s="192"/>
      <c r="D387" s="192"/>
      <c r="E387" s="192"/>
      <c r="F387" s="192"/>
      <c r="G387" s="192"/>
      <c r="H387" s="192"/>
      <c r="I387" s="192"/>
      <c r="J387" s="193"/>
      <c r="K387" s="181"/>
      <c r="L387" s="181"/>
    </row>
    <row r="388" spans="2:12" ht="15" customHeight="1">
      <c r="B388" s="192"/>
      <c r="C388" s="192"/>
      <c r="D388" s="192"/>
      <c r="E388" s="192"/>
      <c r="F388" s="192"/>
      <c r="G388" s="192"/>
      <c r="H388" s="192"/>
      <c r="I388" s="192"/>
      <c r="J388" s="193"/>
      <c r="K388" s="181"/>
      <c r="L388" s="181"/>
    </row>
    <row r="389" spans="2:12" ht="15" customHeight="1">
      <c r="B389" s="192"/>
      <c r="C389" s="192"/>
      <c r="D389" s="192"/>
      <c r="E389" s="192"/>
      <c r="F389" s="192"/>
      <c r="G389" s="192"/>
      <c r="H389" s="192"/>
      <c r="I389" s="192"/>
      <c r="J389" s="193"/>
      <c r="K389" s="181"/>
      <c r="L389" s="181"/>
    </row>
    <row r="390" spans="2:12" ht="15" customHeight="1">
      <c r="B390" s="192"/>
      <c r="C390" s="192"/>
      <c r="D390" s="192"/>
      <c r="E390" s="192"/>
      <c r="F390" s="192"/>
      <c r="G390" s="192"/>
      <c r="H390" s="192"/>
      <c r="I390" s="192"/>
      <c r="J390" s="193"/>
      <c r="K390" s="181"/>
      <c r="L390" s="181"/>
    </row>
    <row r="391" spans="2:12" ht="15" customHeight="1">
      <c r="B391" s="192"/>
      <c r="C391" s="192"/>
      <c r="D391" s="192"/>
      <c r="E391" s="192"/>
      <c r="F391" s="192"/>
      <c r="G391" s="192"/>
      <c r="H391" s="192"/>
      <c r="I391" s="192"/>
      <c r="J391" s="193"/>
      <c r="K391" s="181"/>
      <c r="L391" s="181"/>
    </row>
    <row r="392" spans="2:12" ht="15" customHeight="1">
      <c r="B392" s="192"/>
      <c r="C392" s="192"/>
      <c r="D392" s="192"/>
      <c r="E392" s="192"/>
      <c r="F392" s="192"/>
      <c r="G392" s="192"/>
      <c r="H392" s="192"/>
      <c r="I392" s="192"/>
      <c r="J392" s="193"/>
      <c r="K392" s="181"/>
      <c r="L392" s="181"/>
    </row>
    <row r="393" spans="2:12" ht="15" customHeight="1">
      <c r="B393" s="192"/>
      <c r="C393" s="192"/>
      <c r="D393" s="192"/>
      <c r="E393" s="192"/>
      <c r="F393" s="192"/>
      <c r="G393" s="192"/>
      <c r="H393" s="192"/>
      <c r="I393" s="192"/>
      <c r="J393" s="193"/>
      <c r="K393" s="181"/>
      <c r="L393" s="181"/>
    </row>
    <row r="394" spans="2:12" ht="15" customHeight="1">
      <c r="B394" s="192"/>
      <c r="C394" s="192"/>
      <c r="D394" s="192"/>
      <c r="E394" s="192"/>
      <c r="F394" s="192"/>
      <c r="G394" s="192"/>
      <c r="H394" s="192"/>
      <c r="I394" s="192"/>
      <c r="J394" s="193"/>
      <c r="K394" s="181"/>
      <c r="L394" s="181"/>
    </row>
    <row r="395" spans="2:12" ht="15" customHeight="1">
      <c r="B395" s="192"/>
      <c r="C395" s="192"/>
      <c r="D395" s="192"/>
      <c r="E395" s="192"/>
      <c r="F395" s="192"/>
      <c r="G395" s="192"/>
      <c r="H395" s="192"/>
      <c r="I395" s="192"/>
      <c r="J395" s="193"/>
      <c r="K395" s="181"/>
      <c r="L395" s="181"/>
    </row>
    <row r="396" spans="2:12" ht="15" customHeight="1">
      <c r="B396" s="192"/>
      <c r="C396" s="192"/>
      <c r="D396" s="192"/>
      <c r="E396" s="192"/>
      <c r="F396" s="192"/>
      <c r="G396" s="192"/>
      <c r="H396" s="192"/>
      <c r="I396" s="192"/>
      <c r="J396" s="193"/>
      <c r="K396" s="181"/>
      <c r="L396" s="181"/>
    </row>
    <row r="397" spans="2:12" ht="15" customHeight="1">
      <c r="B397" s="192"/>
      <c r="C397" s="192"/>
      <c r="D397" s="192"/>
      <c r="E397" s="192"/>
      <c r="F397" s="192"/>
      <c r="G397" s="192"/>
      <c r="H397" s="192"/>
      <c r="I397" s="192"/>
      <c r="J397" s="193"/>
      <c r="K397" s="181"/>
      <c r="L397" s="181"/>
    </row>
    <row r="398" spans="2:12" ht="15" customHeight="1">
      <c r="B398" s="192"/>
      <c r="C398" s="192"/>
      <c r="D398" s="192"/>
      <c r="E398" s="192"/>
      <c r="F398" s="192"/>
      <c r="G398" s="192"/>
      <c r="H398" s="192"/>
      <c r="I398" s="192"/>
      <c r="J398" s="193"/>
      <c r="K398" s="181"/>
      <c r="L398" s="181"/>
    </row>
    <row r="399" spans="2:12" ht="15" customHeight="1">
      <c r="B399" s="192"/>
      <c r="C399" s="192"/>
      <c r="D399" s="192"/>
      <c r="E399" s="192"/>
      <c r="F399" s="192"/>
      <c r="G399" s="192"/>
      <c r="H399" s="192"/>
      <c r="I399" s="192"/>
      <c r="J399" s="193"/>
      <c r="K399" s="181"/>
      <c r="L399" s="181"/>
    </row>
    <row r="400" spans="2:12" ht="15" customHeight="1">
      <c r="B400" s="192"/>
      <c r="C400" s="192"/>
      <c r="D400" s="192"/>
      <c r="E400" s="192"/>
      <c r="F400" s="192"/>
      <c r="G400" s="192"/>
      <c r="H400" s="192"/>
      <c r="I400" s="192"/>
      <c r="J400" s="193"/>
    </row>
    <row r="401" spans="2:10" ht="15" customHeight="1">
      <c r="B401" s="192"/>
      <c r="C401" s="192"/>
      <c r="D401" s="192"/>
      <c r="E401" s="192"/>
      <c r="F401" s="192"/>
      <c r="G401" s="192"/>
      <c r="H401" s="192"/>
      <c r="I401" s="192"/>
      <c r="J401" s="193"/>
    </row>
    <row r="402" spans="2:10" ht="15" customHeight="1">
      <c r="B402" s="192"/>
      <c r="C402" s="192"/>
      <c r="D402" s="192"/>
      <c r="E402" s="192"/>
      <c r="F402" s="192"/>
      <c r="G402" s="192"/>
      <c r="H402" s="192"/>
      <c r="I402" s="192"/>
      <c r="J402" s="193"/>
    </row>
    <row r="403" spans="2:10" ht="15" customHeight="1">
      <c r="B403" s="192"/>
      <c r="C403" s="192"/>
      <c r="D403" s="192"/>
      <c r="E403" s="192"/>
      <c r="F403" s="192"/>
      <c r="G403" s="192"/>
      <c r="H403" s="192"/>
      <c r="I403" s="192"/>
      <c r="J403" s="193"/>
    </row>
    <row r="404" spans="2:10" ht="15" customHeight="1">
      <c r="B404" s="192"/>
      <c r="C404" s="192"/>
      <c r="D404" s="192"/>
      <c r="E404" s="192"/>
      <c r="F404" s="192"/>
      <c r="G404" s="192"/>
      <c r="H404" s="192"/>
      <c r="I404" s="192"/>
      <c r="J404" s="193"/>
    </row>
    <row r="405" spans="2:10" ht="15" customHeight="1">
      <c r="B405" s="192"/>
      <c r="C405" s="192"/>
      <c r="D405" s="192"/>
      <c r="E405" s="192"/>
      <c r="F405" s="192"/>
      <c r="G405" s="192"/>
      <c r="H405" s="192"/>
      <c r="I405" s="192"/>
      <c r="J405" s="193"/>
    </row>
    <row r="406" spans="2:10" ht="15" customHeight="1">
      <c r="B406" s="192"/>
      <c r="C406" s="192"/>
      <c r="D406" s="192"/>
      <c r="E406" s="192"/>
      <c r="F406" s="192"/>
      <c r="G406" s="192"/>
      <c r="H406" s="192"/>
      <c r="I406" s="192"/>
      <c r="J406" s="193"/>
    </row>
    <row r="407" spans="2:10" ht="15" customHeight="1">
      <c r="B407" s="192"/>
      <c r="C407" s="192"/>
      <c r="D407" s="192"/>
      <c r="E407" s="192"/>
      <c r="F407" s="192"/>
      <c r="G407" s="192"/>
      <c r="H407" s="192"/>
      <c r="I407" s="192"/>
      <c r="J407" s="193"/>
    </row>
    <row r="408" spans="2:10" ht="15" customHeight="1">
      <c r="B408" s="192"/>
      <c r="C408" s="192"/>
      <c r="D408" s="192"/>
      <c r="E408" s="192"/>
      <c r="F408" s="192"/>
      <c r="G408" s="192"/>
      <c r="H408" s="192"/>
      <c r="I408" s="192"/>
      <c r="J408" s="193"/>
    </row>
    <row r="409" spans="2:10" ht="15" customHeight="1">
      <c r="B409" s="192"/>
      <c r="C409" s="192"/>
      <c r="D409" s="192"/>
      <c r="E409" s="192"/>
      <c r="F409" s="192"/>
      <c r="G409" s="192"/>
      <c r="H409" s="192"/>
      <c r="I409" s="192"/>
      <c r="J409" s="193"/>
    </row>
    <row r="410" spans="2:10" ht="15" customHeight="1">
      <c r="B410" s="192"/>
      <c r="C410" s="192"/>
      <c r="D410" s="192"/>
      <c r="E410" s="192"/>
      <c r="F410" s="192"/>
      <c r="G410" s="192"/>
      <c r="H410" s="192"/>
      <c r="I410" s="192"/>
      <c r="J410" s="193"/>
    </row>
    <row r="411" spans="2:10" ht="15" customHeight="1">
      <c r="B411" s="192"/>
      <c r="C411" s="192"/>
      <c r="D411" s="192"/>
      <c r="E411" s="192"/>
      <c r="F411" s="192"/>
      <c r="G411" s="192"/>
      <c r="H411" s="192"/>
      <c r="I411" s="192"/>
      <c r="J411" s="193"/>
    </row>
    <row r="412" spans="2:10" ht="15" customHeight="1">
      <c r="B412" s="192"/>
      <c r="C412" s="192"/>
      <c r="D412" s="192"/>
      <c r="E412" s="192"/>
      <c r="F412" s="192"/>
      <c r="G412" s="192"/>
      <c r="H412" s="192"/>
      <c r="I412" s="192"/>
      <c r="J412" s="193"/>
    </row>
    <row r="413" spans="2:10" ht="15" customHeight="1">
      <c r="B413" s="192"/>
      <c r="C413" s="192"/>
      <c r="D413" s="192"/>
      <c r="E413" s="192"/>
      <c r="F413" s="192"/>
      <c r="G413" s="192"/>
      <c r="H413" s="192"/>
      <c r="I413" s="192"/>
      <c r="J413" s="193"/>
    </row>
    <row r="414" spans="2:10" ht="15" customHeight="1">
      <c r="B414" s="192"/>
      <c r="C414" s="192"/>
      <c r="D414" s="192"/>
      <c r="E414" s="192"/>
      <c r="F414" s="192"/>
      <c r="G414" s="192"/>
      <c r="H414" s="192"/>
      <c r="I414" s="192"/>
      <c r="J414" s="193"/>
    </row>
    <row r="415" spans="2:10" ht="15" customHeight="1">
      <c r="B415" s="192"/>
      <c r="C415" s="192"/>
      <c r="D415" s="192"/>
      <c r="E415" s="192"/>
      <c r="F415" s="192"/>
      <c r="G415" s="192"/>
      <c r="H415" s="192"/>
      <c r="I415" s="192"/>
      <c r="J415" s="193"/>
    </row>
    <row r="416" spans="2:10" ht="15" customHeight="1">
      <c r="B416" s="192"/>
      <c r="C416" s="192"/>
      <c r="D416" s="192"/>
      <c r="E416" s="192"/>
      <c r="F416" s="192"/>
      <c r="G416" s="192"/>
      <c r="H416" s="192"/>
      <c r="I416" s="192"/>
      <c r="J416" s="193"/>
    </row>
    <row r="417" spans="2:10" ht="15" customHeight="1">
      <c r="B417" s="192"/>
      <c r="C417" s="192"/>
      <c r="D417" s="192"/>
      <c r="E417" s="192"/>
      <c r="F417" s="192"/>
      <c r="G417" s="192"/>
      <c r="H417" s="192"/>
      <c r="I417" s="192"/>
      <c r="J417" s="193"/>
    </row>
    <row r="418" spans="2:10" ht="15" customHeight="1">
      <c r="B418" s="192"/>
      <c r="C418" s="192"/>
      <c r="D418" s="192"/>
      <c r="E418" s="192"/>
      <c r="F418" s="192"/>
      <c r="G418" s="192"/>
      <c r="H418" s="192"/>
      <c r="I418" s="192"/>
      <c r="J418" s="193"/>
    </row>
    <row r="419" spans="2:10" ht="15" customHeight="1">
      <c r="B419" s="192"/>
      <c r="C419" s="192"/>
      <c r="D419" s="192"/>
      <c r="E419" s="192"/>
      <c r="F419" s="192"/>
      <c r="G419" s="192"/>
      <c r="H419" s="192"/>
      <c r="I419" s="192"/>
      <c r="J419" s="193"/>
    </row>
    <row r="420" spans="2:10" ht="15" customHeight="1">
      <c r="B420" s="192"/>
      <c r="C420" s="192"/>
      <c r="D420" s="192"/>
      <c r="E420" s="192"/>
      <c r="F420" s="192"/>
      <c r="G420" s="192"/>
      <c r="H420" s="192"/>
      <c r="I420" s="192"/>
      <c r="J420" s="193"/>
    </row>
    <row r="421" spans="2:10" ht="15" customHeight="1">
      <c r="B421" s="192"/>
      <c r="C421" s="192"/>
      <c r="D421" s="192"/>
      <c r="E421" s="192"/>
      <c r="F421" s="192"/>
      <c r="G421" s="192"/>
      <c r="H421" s="192"/>
      <c r="I421" s="192"/>
      <c r="J421" s="193"/>
    </row>
    <row r="422" spans="2:10" ht="15" customHeight="1">
      <c r="B422" s="192"/>
      <c r="C422" s="192"/>
      <c r="D422" s="192"/>
      <c r="E422" s="192"/>
      <c r="F422" s="192"/>
      <c r="G422" s="192"/>
      <c r="H422" s="192"/>
      <c r="I422" s="192"/>
      <c r="J422" s="193"/>
    </row>
    <row r="423" spans="2:10" ht="15" customHeight="1">
      <c r="B423" s="192"/>
      <c r="C423" s="192"/>
      <c r="D423" s="192"/>
      <c r="E423" s="192"/>
      <c r="F423" s="192"/>
      <c r="G423" s="192"/>
      <c r="H423" s="192"/>
      <c r="I423" s="192"/>
      <c r="J423" s="193"/>
    </row>
    <row r="424" spans="2:10" ht="15" customHeight="1">
      <c r="B424" s="192"/>
      <c r="C424" s="192"/>
      <c r="D424" s="192"/>
      <c r="E424" s="192"/>
      <c r="F424" s="192"/>
      <c r="G424" s="192"/>
      <c r="H424" s="192"/>
      <c r="I424" s="192"/>
      <c r="J424" s="193"/>
    </row>
    <row r="425" spans="2:10" ht="15" customHeight="1">
      <c r="B425" s="192"/>
      <c r="C425" s="192"/>
      <c r="D425" s="192"/>
      <c r="E425" s="192"/>
      <c r="F425" s="192"/>
      <c r="G425" s="192"/>
      <c r="H425" s="192"/>
      <c r="I425" s="192"/>
      <c r="J425" s="193"/>
    </row>
    <row r="426" spans="2:10" ht="15" customHeight="1">
      <c r="B426" s="192"/>
      <c r="C426" s="192"/>
      <c r="D426" s="192"/>
      <c r="E426" s="192"/>
      <c r="F426" s="192"/>
      <c r="G426" s="192"/>
      <c r="H426" s="192"/>
      <c r="I426" s="192"/>
      <c r="J426" s="193"/>
    </row>
    <row r="427" spans="2:10" ht="15" customHeight="1">
      <c r="B427" s="192"/>
      <c r="C427" s="192"/>
      <c r="D427" s="192"/>
      <c r="E427" s="192"/>
      <c r="F427" s="192"/>
      <c r="G427" s="192"/>
      <c r="H427" s="192"/>
      <c r="I427" s="192"/>
      <c r="J427" s="193"/>
    </row>
    <row r="428" spans="2:10" ht="15" customHeight="1">
      <c r="B428" s="192"/>
      <c r="C428" s="192"/>
      <c r="D428" s="192"/>
      <c r="E428" s="192"/>
      <c r="F428" s="192"/>
      <c r="G428" s="192"/>
      <c r="H428" s="192"/>
      <c r="I428" s="192"/>
      <c r="J428" s="193"/>
    </row>
    <row r="429" spans="2:10" ht="15" customHeight="1">
      <c r="B429" s="192"/>
      <c r="C429" s="192"/>
      <c r="D429" s="192"/>
      <c r="E429" s="192"/>
      <c r="F429" s="192"/>
      <c r="G429" s="192"/>
      <c r="H429" s="192"/>
      <c r="I429" s="192"/>
      <c r="J429" s="193"/>
    </row>
    <row r="430" spans="2:10" ht="15" customHeight="1">
      <c r="B430" s="192"/>
      <c r="C430" s="192"/>
      <c r="D430" s="192"/>
      <c r="E430" s="192"/>
      <c r="F430" s="192"/>
      <c r="G430" s="192"/>
      <c r="H430" s="192"/>
      <c r="I430" s="192"/>
      <c r="J430" s="193"/>
    </row>
    <row r="431" spans="2:10" ht="15" customHeight="1">
      <c r="B431" s="192"/>
      <c r="C431" s="192"/>
      <c r="D431" s="192"/>
      <c r="E431" s="192"/>
      <c r="F431" s="192"/>
      <c r="G431" s="192"/>
      <c r="H431" s="192"/>
      <c r="I431" s="192"/>
      <c r="J431" s="193"/>
    </row>
    <row r="432" spans="2:10" ht="15" customHeight="1">
      <c r="B432" s="192"/>
      <c r="C432" s="192"/>
      <c r="D432" s="192"/>
      <c r="E432" s="192"/>
      <c r="F432" s="192"/>
      <c r="G432" s="192"/>
      <c r="H432" s="192"/>
      <c r="I432" s="192"/>
      <c r="J432" s="193"/>
    </row>
    <row r="433" spans="2:10" ht="15" customHeight="1">
      <c r="B433" s="192"/>
      <c r="C433" s="192"/>
      <c r="D433" s="192"/>
      <c r="E433" s="192"/>
      <c r="F433" s="192"/>
      <c r="G433" s="192"/>
      <c r="H433" s="192"/>
      <c r="I433" s="192"/>
      <c r="J433" s="193"/>
    </row>
    <row r="434" spans="2:10" ht="15" customHeight="1">
      <c r="B434" s="192"/>
      <c r="C434" s="192"/>
      <c r="D434" s="192"/>
      <c r="E434" s="192"/>
      <c r="F434" s="192"/>
      <c r="G434" s="192"/>
      <c r="H434" s="192"/>
      <c r="I434" s="192"/>
      <c r="J434" s="193"/>
    </row>
    <row r="435" spans="2:10" ht="15" customHeight="1">
      <c r="B435" s="192"/>
      <c r="C435" s="192"/>
      <c r="D435" s="192"/>
      <c r="E435" s="192"/>
      <c r="F435" s="192"/>
      <c r="G435" s="192"/>
      <c r="H435" s="192"/>
      <c r="I435" s="192"/>
      <c r="J435" s="193"/>
    </row>
    <row r="436" spans="2:10" ht="15" customHeight="1">
      <c r="B436" s="192"/>
      <c r="C436" s="192"/>
      <c r="D436" s="192"/>
      <c r="E436" s="192"/>
      <c r="F436" s="192"/>
      <c r="G436" s="192"/>
      <c r="H436" s="192"/>
      <c r="I436" s="192"/>
      <c r="J436" s="193"/>
    </row>
    <row r="437" spans="2:10" ht="15" customHeight="1">
      <c r="B437" s="192"/>
      <c r="C437" s="192"/>
      <c r="D437" s="192"/>
      <c r="E437" s="192"/>
      <c r="F437" s="192"/>
      <c r="G437" s="192"/>
      <c r="H437" s="192"/>
      <c r="I437" s="192"/>
      <c r="J437" s="193"/>
    </row>
    <row r="438" spans="2:10" ht="15" customHeight="1">
      <c r="B438" s="192"/>
      <c r="C438" s="192"/>
      <c r="D438" s="192"/>
      <c r="E438" s="192"/>
      <c r="F438" s="192"/>
      <c r="G438" s="192"/>
      <c r="H438" s="192"/>
      <c r="I438" s="192"/>
      <c r="J438" s="193"/>
    </row>
    <row r="439" spans="2:10" ht="15" customHeight="1">
      <c r="B439" s="192"/>
      <c r="C439" s="192"/>
      <c r="D439" s="192"/>
      <c r="E439" s="192"/>
      <c r="F439" s="192"/>
      <c r="G439" s="192"/>
      <c r="H439" s="192"/>
      <c r="I439" s="192"/>
      <c r="J439" s="193"/>
    </row>
    <row r="440" spans="2:10" ht="15" customHeight="1">
      <c r="B440" s="192"/>
      <c r="C440" s="192"/>
      <c r="D440" s="192"/>
      <c r="E440" s="192"/>
      <c r="F440" s="192"/>
      <c r="G440" s="192"/>
      <c r="H440" s="192"/>
      <c r="I440" s="192"/>
      <c r="J440" s="193"/>
    </row>
    <row r="441" spans="2:10" ht="15" customHeight="1">
      <c r="B441" s="192"/>
      <c r="C441" s="192"/>
      <c r="D441" s="192"/>
      <c r="E441" s="192"/>
      <c r="F441" s="192"/>
      <c r="G441" s="192"/>
      <c r="H441" s="192"/>
      <c r="I441" s="192"/>
      <c r="J441" s="193"/>
    </row>
    <row r="442" spans="2:10" ht="15" customHeight="1">
      <c r="B442" s="192"/>
      <c r="C442" s="192"/>
      <c r="D442" s="192"/>
      <c r="E442" s="192"/>
      <c r="F442" s="192"/>
      <c r="G442" s="192"/>
      <c r="H442" s="192"/>
      <c r="I442" s="192"/>
      <c r="J442" s="193"/>
    </row>
    <row r="443" spans="2:10" ht="15" customHeight="1">
      <c r="B443" s="192"/>
      <c r="C443" s="192"/>
      <c r="D443" s="192"/>
      <c r="E443" s="192"/>
      <c r="F443" s="192"/>
      <c r="G443" s="192"/>
      <c r="H443" s="192"/>
      <c r="I443" s="192"/>
      <c r="J443" s="193"/>
    </row>
    <row r="444" spans="2:10" ht="15" customHeight="1">
      <c r="B444" s="192"/>
      <c r="C444" s="192"/>
      <c r="D444" s="192"/>
      <c r="E444" s="192"/>
      <c r="F444" s="192"/>
      <c r="G444" s="192"/>
      <c r="H444" s="192"/>
      <c r="I444" s="192"/>
      <c r="J444" s="193"/>
    </row>
    <row r="445" spans="2:10" ht="15" customHeight="1">
      <c r="B445" s="192"/>
      <c r="C445" s="192"/>
      <c r="D445" s="192"/>
      <c r="E445" s="192"/>
      <c r="F445" s="192"/>
      <c r="G445" s="192"/>
      <c r="H445" s="192"/>
      <c r="I445" s="192"/>
      <c r="J445" s="193"/>
    </row>
    <row r="446" spans="2:10" ht="15" customHeight="1">
      <c r="B446" s="192"/>
      <c r="C446" s="192"/>
      <c r="D446" s="192"/>
      <c r="E446" s="192"/>
      <c r="F446" s="192"/>
      <c r="G446" s="192"/>
      <c r="H446" s="192"/>
      <c r="I446" s="192"/>
      <c r="J446" s="193"/>
    </row>
    <row r="447" spans="2:10" ht="15" customHeight="1">
      <c r="B447" s="192"/>
      <c r="C447" s="192"/>
      <c r="D447" s="192"/>
      <c r="E447" s="192"/>
      <c r="F447" s="192"/>
      <c r="G447" s="192"/>
      <c r="H447" s="192"/>
      <c r="I447" s="192"/>
      <c r="J447" s="193"/>
    </row>
    <row r="448" spans="2:10" ht="15" customHeight="1">
      <c r="B448" s="192"/>
      <c r="C448" s="192"/>
      <c r="D448" s="192"/>
      <c r="E448" s="192"/>
      <c r="F448" s="192"/>
      <c r="G448" s="192"/>
      <c r="H448" s="192"/>
      <c r="I448" s="192"/>
      <c r="J448" s="193"/>
    </row>
    <row r="449" spans="2:10" ht="15" customHeight="1">
      <c r="B449" s="192"/>
      <c r="C449" s="192"/>
      <c r="D449" s="192"/>
      <c r="E449" s="192"/>
      <c r="F449" s="192"/>
      <c r="G449" s="192"/>
      <c r="H449" s="192"/>
      <c r="I449" s="192"/>
      <c r="J449" s="193"/>
    </row>
    <row r="450" spans="2:10" ht="15" customHeight="1">
      <c r="B450" s="192"/>
      <c r="C450" s="192"/>
      <c r="D450" s="192"/>
      <c r="E450" s="192"/>
      <c r="F450" s="192"/>
      <c r="G450" s="192"/>
      <c r="H450" s="192"/>
      <c r="I450" s="192"/>
      <c r="J450" s="193"/>
    </row>
    <row r="451" spans="2:10" ht="15" customHeight="1">
      <c r="B451" s="192"/>
      <c r="C451" s="192"/>
      <c r="D451" s="192"/>
      <c r="E451" s="192"/>
      <c r="F451" s="192"/>
      <c r="G451" s="192"/>
      <c r="H451" s="192"/>
      <c r="I451" s="192"/>
      <c r="J451" s="193"/>
    </row>
    <row r="452" spans="2:10" ht="15" customHeight="1">
      <c r="B452" s="192"/>
      <c r="C452" s="192"/>
      <c r="D452" s="192"/>
      <c r="E452" s="192"/>
      <c r="F452" s="192"/>
      <c r="G452" s="192"/>
      <c r="H452" s="192"/>
      <c r="I452" s="192"/>
      <c r="J452" s="193"/>
    </row>
    <row r="453" spans="2:10" ht="15" customHeight="1">
      <c r="B453" s="192"/>
      <c r="C453" s="192"/>
      <c r="D453" s="192"/>
      <c r="E453" s="192"/>
      <c r="F453" s="192"/>
      <c r="G453" s="192"/>
      <c r="H453" s="192"/>
      <c r="I453" s="192"/>
      <c r="J453" s="193"/>
    </row>
    <row r="454" spans="2:10" ht="15" customHeight="1">
      <c r="B454" s="192"/>
      <c r="C454" s="192"/>
      <c r="D454" s="192"/>
      <c r="E454" s="192"/>
      <c r="F454" s="192"/>
      <c r="G454" s="192"/>
      <c r="H454" s="192"/>
      <c r="I454" s="192"/>
      <c r="J454" s="193"/>
    </row>
    <row r="455" spans="2:10" ht="15" customHeight="1">
      <c r="B455" s="192"/>
      <c r="C455" s="192"/>
      <c r="D455" s="192"/>
      <c r="E455" s="192"/>
      <c r="F455" s="192"/>
      <c r="G455" s="192"/>
      <c r="H455" s="192"/>
      <c r="I455" s="192"/>
      <c r="J455" s="193"/>
    </row>
    <row r="456" spans="2:10" ht="15" customHeight="1">
      <c r="B456" s="192"/>
      <c r="C456" s="192"/>
      <c r="D456" s="192"/>
      <c r="E456" s="192"/>
      <c r="F456" s="192"/>
      <c r="G456" s="192"/>
      <c r="H456" s="192"/>
      <c r="I456" s="192"/>
      <c r="J456" s="193"/>
    </row>
    <row r="457" spans="2:10" ht="15" customHeight="1">
      <c r="B457" s="192"/>
      <c r="C457" s="192"/>
      <c r="D457" s="192"/>
      <c r="E457" s="192"/>
      <c r="F457" s="192"/>
      <c r="G457" s="192"/>
      <c r="H457" s="192"/>
      <c r="I457" s="192"/>
      <c r="J457" s="193"/>
    </row>
    <row r="458" spans="2:10" ht="15" customHeight="1">
      <c r="B458" s="192"/>
      <c r="C458" s="192"/>
      <c r="D458" s="192"/>
      <c r="E458" s="192"/>
      <c r="F458" s="192"/>
      <c r="G458" s="192"/>
      <c r="H458" s="192"/>
      <c r="I458" s="192"/>
      <c r="J458" s="193"/>
    </row>
    <row r="459" spans="2:10" ht="15" customHeight="1">
      <c r="B459" s="192"/>
      <c r="C459" s="192"/>
      <c r="D459" s="192"/>
      <c r="E459" s="192"/>
      <c r="F459" s="192"/>
      <c r="G459" s="192"/>
      <c r="H459" s="192"/>
      <c r="I459" s="192"/>
      <c r="J459" s="193"/>
    </row>
    <row r="460" spans="2:10" ht="15" customHeight="1">
      <c r="B460" s="192"/>
      <c r="C460" s="192"/>
      <c r="D460" s="192"/>
      <c r="E460" s="192"/>
      <c r="F460" s="192"/>
      <c r="G460" s="192"/>
      <c r="H460" s="192"/>
      <c r="I460" s="192"/>
      <c r="J460" s="193"/>
    </row>
    <row r="461" spans="2:10" ht="15" customHeight="1">
      <c r="B461" s="192"/>
      <c r="C461" s="192"/>
      <c r="D461" s="192"/>
      <c r="E461" s="192"/>
      <c r="F461" s="192"/>
      <c r="G461" s="192"/>
      <c r="H461" s="192"/>
      <c r="I461" s="192"/>
      <c r="J461" s="193"/>
    </row>
    <row r="462" spans="2:10" ht="15" customHeight="1">
      <c r="B462" s="192"/>
      <c r="C462" s="192"/>
      <c r="D462" s="192"/>
      <c r="E462" s="192"/>
      <c r="F462" s="192"/>
      <c r="G462" s="192"/>
      <c r="H462" s="192"/>
      <c r="I462" s="192"/>
      <c r="J462" s="193"/>
    </row>
    <row r="463" spans="2:10" ht="15" customHeight="1">
      <c r="B463" s="192"/>
      <c r="C463" s="192"/>
      <c r="D463" s="192"/>
      <c r="E463" s="192"/>
      <c r="F463" s="192"/>
      <c r="G463" s="192"/>
      <c r="H463" s="192"/>
      <c r="I463" s="192"/>
      <c r="J463" s="193"/>
    </row>
    <row r="464" spans="2:10" ht="15" customHeight="1">
      <c r="B464" s="192"/>
      <c r="C464" s="192"/>
      <c r="D464" s="192"/>
      <c r="E464" s="192"/>
      <c r="F464" s="192"/>
      <c r="G464" s="192"/>
      <c r="H464" s="192"/>
      <c r="I464" s="192"/>
      <c r="J464" s="193"/>
    </row>
    <row r="465" spans="2:10" ht="15" customHeight="1">
      <c r="B465" s="192"/>
      <c r="C465" s="192"/>
      <c r="D465" s="192"/>
      <c r="E465" s="192"/>
      <c r="F465" s="192"/>
      <c r="G465" s="192"/>
      <c r="H465" s="192"/>
      <c r="I465" s="192"/>
      <c r="J465" s="193"/>
    </row>
    <row r="466" spans="2:10" ht="15" customHeight="1">
      <c r="B466" s="192"/>
      <c r="C466" s="192"/>
      <c r="D466" s="192"/>
      <c r="E466" s="192"/>
      <c r="F466" s="192"/>
      <c r="G466" s="192"/>
      <c r="H466" s="192"/>
      <c r="I466" s="192"/>
      <c r="J466" s="193"/>
    </row>
    <row r="467" spans="2:10" ht="15" customHeight="1">
      <c r="B467" s="192"/>
      <c r="C467" s="192"/>
      <c r="D467" s="192"/>
      <c r="E467" s="192"/>
      <c r="F467" s="192"/>
      <c r="G467" s="192"/>
      <c r="H467" s="192"/>
      <c r="I467" s="192"/>
      <c r="J467" s="193"/>
    </row>
    <row r="468" spans="2:10" ht="15" customHeight="1">
      <c r="B468" s="192"/>
      <c r="C468" s="192"/>
      <c r="D468" s="192"/>
      <c r="E468" s="192"/>
      <c r="F468" s="192"/>
      <c r="G468" s="192"/>
      <c r="H468" s="192"/>
      <c r="I468" s="192"/>
      <c r="J468" s="193"/>
    </row>
    <row r="469" spans="2:10" ht="15" customHeight="1">
      <c r="B469" s="192"/>
      <c r="C469" s="192"/>
      <c r="D469" s="192"/>
      <c r="E469" s="192"/>
      <c r="F469" s="192"/>
      <c r="G469" s="192"/>
      <c r="H469" s="192"/>
      <c r="I469" s="192"/>
      <c r="J469" s="193"/>
    </row>
    <row r="470" spans="2:10" ht="15" customHeight="1">
      <c r="B470" s="192"/>
      <c r="C470" s="192"/>
      <c r="D470" s="192"/>
      <c r="E470" s="192"/>
      <c r="F470" s="192"/>
      <c r="G470" s="192"/>
      <c r="H470" s="192"/>
      <c r="I470" s="192"/>
      <c r="J470" s="193"/>
    </row>
    <row r="471" spans="2:10" ht="15" customHeight="1">
      <c r="B471" s="192"/>
      <c r="C471" s="192"/>
      <c r="D471" s="192"/>
      <c r="E471" s="192"/>
      <c r="F471" s="192"/>
      <c r="G471" s="192"/>
      <c r="H471" s="192"/>
      <c r="I471" s="192"/>
      <c r="J471" s="193"/>
    </row>
    <row r="472" spans="2:10" ht="15" customHeight="1">
      <c r="B472" s="192"/>
      <c r="C472" s="192"/>
      <c r="D472" s="192"/>
      <c r="E472" s="192"/>
      <c r="F472" s="192"/>
      <c r="G472" s="192"/>
      <c r="H472" s="192"/>
      <c r="I472" s="192"/>
      <c r="J472" s="193"/>
    </row>
    <row r="473" spans="2:10" ht="15" customHeight="1">
      <c r="B473" s="192"/>
      <c r="C473" s="192"/>
      <c r="D473" s="192"/>
      <c r="E473" s="192"/>
      <c r="F473" s="192"/>
      <c r="G473" s="192"/>
      <c r="H473" s="192"/>
      <c r="I473" s="192"/>
      <c r="J473" s="193"/>
    </row>
    <row r="474" spans="2:10" ht="15" customHeight="1">
      <c r="B474" s="192"/>
      <c r="C474" s="192"/>
      <c r="D474" s="192"/>
      <c r="E474" s="192"/>
      <c r="F474" s="192"/>
      <c r="G474" s="192"/>
      <c r="H474" s="192"/>
      <c r="I474" s="192"/>
      <c r="J474" s="193"/>
    </row>
    <row r="475" spans="2:10" ht="15" customHeight="1">
      <c r="B475" s="192"/>
      <c r="C475" s="192"/>
      <c r="D475" s="192"/>
      <c r="E475" s="192"/>
      <c r="F475" s="192"/>
      <c r="G475" s="192"/>
      <c r="H475" s="192"/>
      <c r="I475" s="192"/>
      <c r="J475" s="193"/>
    </row>
    <row r="476" spans="2:10" ht="15" customHeight="1">
      <c r="B476" s="192"/>
      <c r="C476" s="192"/>
      <c r="D476" s="192"/>
      <c r="E476" s="192"/>
      <c r="F476" s="192"/>
      <c r="G476" s="192"/>
      <c r="H476" s="192"/>
      <c r="I476" s="192"/>
      <c r="J476" s="193"/>
    </row>
    <row r="477" spans="2:10" ht="15" customHeight="1">
      <c r="B477" s="192"/>
      <c r="C477" s="192"/>
      <c r="D477" s="192"/>
      <c r="E477" s="192"/>
      <c r="F477" s="192"/>
      <c r="G477" s="192"/>
      <c r="H477" s="192"/>
      <c r="I477" s="192"/>
      <c r="J477" s="193"/>
    </row>
    <row r="478" spans="2:10" ht="15" customHeight="1">
      <c r="B478" s="192"/>
      <c r="C478" s="192"/>
      <c r="D478" s="192"/>
      <c r="E478" s="192"/>
      <c r="F478" s="192"/>
      <c r="G478" s="192"/>
      <c r="H478" s="192"/>
      <c r="I478" s="192"/>
      <c r="J478" s="193"/>
    </row>
    <row r="479" spans="2:10" ht="15" customHeight="1">
      <c r="B479" s="192"/>
      <c r="C479" s="192"/>
      <c r="D479" s="192"/>
      <c r="E479" s="192"/>
      <c r="F479" s="192"/>
      <c r="G479" s="192"/>
      <c r="H479" s="192"/>
      <c r="I479" s="192"/>
      <c r="J479" s="193"/>
    </row>
    <row r="480" spans="2:10" ht="15" customHeight="1">
      <c r="B480" s="192"/>
      <c r="C480" s="192"/>
      <c r="D480" s="192"/>
      <c r="E480" s="192"/>
      <c r="F480" s="192"/>
      <c r="G480" s="192"/>
      <c r="H480" s="192"/>
      <c r="I480" s="192"/>
      <c r="J480" s="193"/>
    </row>
    <row r="481" spans="2:10" ht="15" customHeight="1">
      <c r="B481" s="192"/>
      <c r="C481" s="192"/>
      <c r="D481" s="192"/>
      <c r="E481" s="192"/>
      <c r="F481" s="192"/>
      <c r="G481" s="192"/>
      <c r="H481" s="192"/>
      <c r="I481" s="192"/>
      <c r="J481" s="193"/>
    </row>
    <row r="482" spans="2:10" ht="15" customHeight="1">
      <c r="B482" s="192"/>
      <c r="C482" s="192"/>
      <c r="D482" s="192"/>
      <c r="E482" s="192"/>
      <c r="F482" s="192"/>
      <c r="G482" s="192"/>
      <c r="H482" s="192"/>
      <c r="I482" s="192"/>
      <c r="J482" s="193"/>
    </row>
    <row r="483" spans="2:10" ht="15" customHeight="1">
      <c r="B483" s="192"/>
      <c r="C483" s="192"/>
      <c r="D483" s="192"/>
      <c r="E483" s="192"/>
      <c r="F483" s="192"/>
      <c r="G483" s="192"/>
      <c r="H483" s="192"/>
      <c r="I483" s="192"/>
      <c r="J483" s="193"/>
    </row>
    <row r="484" spans="2:10" ht="15" customHeight="1">
      <c r="B484" s="192"/>
      <c r="C484" s="192"/>
      <c r="D484" s="192"/>
      <c r="E484" s="192"/>
      <c r="F484" s="192"/>
      <c r="G484" s="192"/>
      <c r="H484" s="192"/>
      <c r="I484" s="192"/>
      <c r="J484" s="193"/>
    </row>
    <row r="485" spans="2:10" ht="15" customHeight="1">
      <c r="B485" s="192"/>
      <c r="C485" s="192"/>
      <c r="D485" s="192"/>
      <c r="E485" s="192"/>
      <c r="F485" s="192"/>
      <c r="G485" s="192"/>
      <c r="H485" s="192"/>
      <c r="I485" s="192"/>
      <c r="J485" s="193"/>
    </row>
    <row r="486" spans="2:10" ht="15" customHeight="1">
      <c r="B486" s="192"/>
      <c r="C486" s="192"/>
      <c r="D486" s="192"/>
      <c r="E486" s="192"/>
      <c r="F486" s="192"/>
      <c r="G486" s="192"/>
      <c r="H486" s="192"/>
      <c r="I486" s="192"/>
      <c r="J486" s="193"/>
    </row>
    <row r="487" spans="2:10" ht="15" customHeight="1">
      <c r="B487" s="192"/>
      <c r="C487" s="192"/>
      <c r="D487" s="192"/>
      <c r="E487" s="192"/>
      <c r="F487" s="192"/>
      <c r="G487" s="192"/>
      <c r="H487" s="192"/>
      <c r="I487" s="192"/>
      <c r="J487" s="193"/>
    </row>
    <row r="488" spans="2:10" ht="15" customHeight="1">
      <c r="B488" s="192"/>
      <c r="C488" s="192"/>
      <c r="D488" s="192"/>
      <c r="E488" s="192"/>
      <c r="F488" s="192"/>
      <c r="G488" s="192"/>
      <c r="H488" s="192"/>
      <c r="I488" s="192"/>
      <c r="J488" s="193"/>
    </row>
    <row r="489" spans="2:10" ht="15" customHeight="1">
      <c r="B489" s="192"/>
      <c r="C489" s="192"/>
      <c r="D489" s="192"/>
      <c r="E489" s="192"/>
      <c r="F489" s="192"/>
      <c r="G489" s="192"/>
      <c r="H489" s="192"/>
      <c r="I489" s="192"/>
      <c r="J489" s="193"/>
    </row>
    <row r="490" spans="2:10" ht="15" customHeight="1">
      <c r="B490" s="192"/>
      <c r="C490" s="192"/>
      <c r="D490" s="192"/>
      <c r="E490" s="192"/>
      <c r="F490" s="192"/>
      <c r="G490" s="192"/>
      <c r="H490" s="192"/>
      <c r="I490" s="192"/>
      <c r="J490" s="193"/>
    </row>
    <row r="491" spans="2:10" ht="15" customHeight="1">
      <c r="B491" s="192"/>
      <c r="C491" s="192"/>
      <c r="D491" s="192"/>
      <c r="E491" s="192"/>
      <c r="F491" s="192"/>
      <c r="G491" s="192"/>
      <c r="H491" s="192"/>
      <c r="I491" s="192"/>
      <c r="J491" s="193"/>
    </row>
    <row r="492" spans="2:10" ht="15" customHeight="1">
      <c r="B492" s="192"/>
      <c r="C492" s="192"/>
      <c r="D492" s="192"/>
      <c r="E492" s="192"/>
      <c r="F492" s="192"/>
      <c r="G492" s="192"/>
      <c r="H492" s="192"/>
      <c r="I492" s="192"/>
      <c r="J492" s="193"/>
    </row>
    <row r="493" spans="2:10" ht="15" customHeight="1">
      <c r="B493" s="192"/>
      <c r="C493" s="192"/>
      <c r="D493" s="192"/>
      <c r="E493" s="192"/>
      <c r="F493" s="192"/>
      <c r="G493" s="192"/>
      <c r="H493" s="192"/>
      <c r="I493" s="192"/>
      <c r="J493" s="193"/>
    </row>
    <row r="494" spans="2:10" ht="15" customHeight="1">
      <c r="B494" s="192"/>
      <c r="C494" s="192"/>
      <c r="D494" s="192"/>
      <c r="E494" s="192"/>
      <c r="F494" s="192"/>
      <c r="G494" s="192"/>
      <c r="H494" s="192"/>
      <c r="I494" s="192"/>
      <c r="J494" s="193"/>
    </row>
    <row r="495" spans="2:10" ht="15" customHeight="1">
      <c r="B495" s="192"/>
      <c r="C495" s="192"/>
      <c r="D495" s="192"/>
      <c r="E495" s="192"/>
      <c r="F495" s="192"/>
      <c r="G495" s="192"/>
      <c r="H495" s="192"/>
      <c r="I495" s="192"/>
      <c r="J495" s="193"/>
    </row>
    <row r="496" spans="2:10" ht="15" customHeight="1">
      <c r="B496" s="192"/>
      <c r="C496" s="192"/>
      <c r="D496" s="192"/>
      <c r="E496" s="192"/>
      <c r="F496" s="192"/>
      <c r="G496" s="192"/>
      <c r="H496" s="192"/>
      <c r="I496" s="192"/>
      <c r="J496" s="193"/>
    </row>
    <row r="497" spans="2:10" ht="15" customHeight="1">
      <c r="B497" s="192"/>
      <c r="C497" s="192"/>
      <c r="D497" s="192"/>
      <c r="E497" s="192"/>
      <c r="F497" s="192"/>
      <c r="G497" s="192"/>
      <c r="H497" s="192"/>
      <c r="I497" s="192"/>
      <c r="J497" s="193"/>
    </row>
    <row r="498" spans="2:10" ht="15" customHeight="1">
      <c r="B498" s="192"/>
      <c r="C498" s="192"/>
      <c r="D498" s="192"/>
      <c r="E498" s="192"/>
      <c r="F498" s="192"/>
      <c r="G498" s="192"/>
      <c r="H498" s="192"/>
      <c r="I498" s="192"/>
      <c r="J498" s="193"/>
    </row>
    <row r="499" spans="2:10" ht="15" customHeight="1">
      <c r="B499" s="192"/>
      <c r="C499" s="192"/>
      <c r="D499" s="192"/>
      <c r="E499" s="192"/>
      <c r="F499" s="192"/>
      <c r="G499" s="192"/>
      <c r="H499" s="192"/>
      <c r="I499" s="192"/>
      <c r="J499" s="193"/>
    </row>
    <row r="500" spans="2:10" ht="15" customHeight="1">
      <c r="B500" s="192"/>
      <c r="C500" s="192"/>
      <c r="D500" s="192"/>
      <c r="E500" s="192"/>
      <c r="F500" s="192"/>
      <c r="G500" s="192"/>
      <c r="H500" s="192"/>
      <c r="I500" s="192"/>
      <c r="J500" s="193"/>
    </row>
    <row r="501" spans="2:10" ht="15" customHeight="1">
      <c r="B501" s="192"/>
      <c r="C501" s="192"/>
      <c r="D501" s="192"/>
      <c r="E501" s="192"/>
      <c r="F501" s="192"/>
      <c r="G501" s="192"/>
      <c r="H501" s="192"/>
      <c r="I501" s="192"/>
      <c r="J501" s="193"/>
    </row>
    <row r="502" spans="2:10" ht="15" customHeight="1">
      <c r="B502" s="192"/>
      <c r="C502" s="192"/>
      <c r="D502" s="192"/>
      <c r="E502" s="192"/>
      <c r="F502" s="192"/>
      <c r="G502" s="192"/>
      <c r="H502" s="192"/>
      <c r="I502" s="192"/>
      <c r="J502" s="193"/>
    </row>
    <row r="503" spans="2:10" ht="15" customHeight="1">
      <c r="B503" s="192"/>
      <c r="C503" s="192"/>
      <c r="D503" s="192"/>
      <c r="E503" s="192"/>
      <c r="F503" s="192"/>
      <c r="G503" s="192"/>
      <c r="H503" s="192"/>
      <c r="I503" s="192"/>
      <c r="J503" s="193"/>
    </row>
    <row r="504" spans="2:10" ht="15" customHeight="1">
      <c r="B504" s="192"/>
      <c r="C504" s="192"/>
      <c r="D504" s="192"/>
      <c r="E504" s="192"/>
      <c r="F504" s="192"/>
      <c r="G504" s="192"/>
      <c r="H504" s="192"/>
      <c r="I504" s="192"/>
      <c r="J504" s="193"/>
    </row>
    <row r="505" spans="2:10" ht="15" customHeight="1">
      <c r="B505" s="192"/>
      <c r="C505" s="192"/>
      <c r="D505" s="192"/>
      <c r="E505" s="192"/>
      <c r="F505" s="192"/>
      <c r="G505" s="192"/>
      <c r="H505" s="192"/>
      <c r="I505" s="192"/>
      <c r="J505" s="193"/>
    </row>
    <row r="506" spans="2:10" ht="15" customHeight="1">
      <c r="B506" s="192"/>
      <c r="C506" s="192"/>
      <c r="D506" s="192"/>
      <c r="E506" s="192"/>
      <c r="F506" s="192"/>
      <c r="G506" s="192"/>
      <c r="H506" s="192"/>
      <c r="I506" s="192"/>
      <c r="J506" s="193"/>
    </row>
    <row r="507" spans="2:10" ht="15" customHeight="1">
      <c r="B507" s="192"/>
      <c r="C507" s="192"/>
      <c r="D507" s="192"/>
      <c r="E507" s="192"/>
      <c r="F507" s="192"/>
      <c r="G507" s="192"/>
      <c r="H507" s="192"/>
      <c r="I507" s="192"/>
      <c r="J507" s="193"/>
    </row>
    <row r="508" spans="2:10" ht="15" customHeight="1">
      <c r="B508" s="192"/>
      <c r="C508" s="192"/>
      <c r="D508" s="192"/>
      <c r="E508" s="192"/>
      <c r="F508" s="192"/>
      <c r="G508" s="192"/>
      <c r="H508" s="192"/>
      <c r="I508" s="192"/>
      <c r="J508" s="193"/>
    </row>
    <row r="509" spans="2:10" ht="15" customHeight="1">
      <c r="B509" s="192"/>
      <c r="C509" s="192"/>
      <c r="D509" s="192"/>
      <c r="E509" s="192"/>
      <c r="F509" s="192"/>
      <c r="G509" s="192"/>
      <c r="H509" s="192"/>
      <c r="I509" s="192"/>
      <c r="J509" s="193"/>
    </row>
    <row r="510" spans="2:10" ht="15" customHeight="1">
      <c r="B510" s="192"/>
      <c r="C510" s="192"/>
      <c r="D510" s="192"/>
      <c r="E510" s="192"/>
      <c r="F510" s="192"/>
      <c r="G510" s="192"/>
      <c r="H510" s="192"/>
      <c r="I510" s="192"/>
      <c r="J510" s="193"/>
    </row>
    <row r="511" spans="2:10" ht="15" customHeight="1">
      <c r="B511" s="192"/>
      <c r="C511" s="192"/>
      <c r="D511" s="192"/>
      <c r="E511" s="192"/>
      <c r="F511" s="192"/>
      <c r="G511" s="192"/>
      <c r="H511" s="192"/>
      <c r="I511" s="192"/>
      <c r="J511" s="193"/>
    </row>
    <row r="512" spans="2:10" ht="15" customHeight="1">
      <c r="B512" s="192"/>
      <c r="C512" s="192"/>
      <c r="D512" s="192"/>
      <c r="E512" s="192"/>
      <c r="F512" s="192"/>
      <c r="G512" s="192"/>
      <c r="H512" s="192"/>
      <c r="I512" s="192"/>
      <c r="J512" s="193"/>
    </row>
    <row r="513" spans="2:10" ht="15" customHeight="1">
      <c r="B513" s="192"/>
      <c r="C513" s="192"/>
      <c r="D513" s="192"/>
      <c r="E513" s="192"/>
      <c r="F513" s="192"/>
      <c r="G513" s="192"/>
      <c r="H513" s="192"/>
      <c r="I513" s="192"/>
      <c r="J513" s="193"/>
    </row>
    <row r="514" spans="2:10" ht="15" customHeight="1">
      <c r="B514" s="192"/>
      <c r="C514" s="192"/>
      <c r="D514" s="192"/>
      <c r="E514" s="192"/>
      <c r="F514" s="192"/>
      <c r="G514" s="192"/>
      <c r="H514" s="192"/>
      <c r="I514" s="192"/>
      <c r="J514" s="193"/>
    </row>
    <row r="515" spans="2:10" ht="15" customHeight="1">
      <c r="B515" s="192"/>
      <c r="C515" s="192"/>
      <c r="D515" s="192"/>
      <c r="E515" s="192"/>
      <c r="F515" s="192"/>
      <c r="G515" s="192"/>
      <c r="H515" s="192"/>
      <c r="I515" s="192"/>
      <c r="J515" s="193"/>
    </row>
    <row r="516" spans="2:10" ht="15" customHeight="1">
      <c r="B516" s="192"/>
      <c r="C516" s="192"/>
      <c r="D516" s="192"/>
      <c r="E516" s="192"/>
      <c r="F516" s="192"/>
      <c r="G516" s="192"/>
      <c r="H516" s="192"/>
      <c r="I516" s="192"/>
      <c r="J516" s="193"/>
    </row>
    <row r="517" spans="2:10" ht="15" customHeight="1">
      <c r="B517" s="192"/>
      <c r="C517" s="192"/>
      <c r="D517" s="192"/>
      <c r="E517" s="192"/>
      <c r="F517" s="192"/>
      <c r="G517" s="192"/>
      <c r="H517" s="192"/>
      <c r="I517" s="192"/>
      <c r="J517" s="193"/>
    </row>
    <row r="518" spans="2:10" ht="15" customHeight="1">
      <c r="B518" s="192"/>
      <c r="C518" s="192"/>
      <c r="D518" s="192"/>
      <c r="E518" s="192"/>
      <c r="F518" s="192"/>
      <c r="G518" s="192"/>
      <c r="H518" s="192"/>
      <c r="I518" s="192"/>
      <c r="J518" s="193"/>
    </row>
    <row r="519" spans="2:10" ht="15" customHeight="1">
      <c r="B519" s="192"/>
      <c r="C519" s="192"/>
      <c r="D519" s="192"/>
      <c r="E519" s="192"/>
      <c r="F519" s="192"/>
      <c r="G519" s="192"/>
      <c r="H519" s="192"/>
      <c r="I519" s="192"/>
      <c r="J519" s="193"/>
    </row>
    <row r="520" spans="2:10" ht="15" customHeight="1">
      <c r="B520" s="192"/>
      <c r="C520" s="192"/>
      <c r="D520" s="192"/>
      <c r="E520" s="192"/>
      <c r="F520" s="192"/>
      <c r="G520" s="192"/>
      <c r="H520" s="192"/>
      <c r="I520" s="192"/>
      <c r="J520" s="193"/>
    </row>
    <row r="521" spans="2:10" ht="15" customHeight="1">
      <c r="B521" s="192"/>
      <c r="C521" s="192"/>
      <c r="D521" s="192"/>
      <c r="E521" s="192"/>
      <c r="F521" s="192"/>
      <c r="G521" s="192"/>
      <c r="H521" s="192"/>
      <c r="I521" s="192"/>
      <c r="J521" s="193"/>
    </row>
    <row r="522" spans="2:10" ht="15" customHeight="1">
      <c r="B522" s="192"/>
      <c r="C522" s="192"/>
      <c r="D522" s="192"/>
      <c r="E522" s="192"/>
      <c r="F522" s="192"/>
      <c r="G522" s="192"/>
      <c r="H522" s="192"/>
      <c r="I522" s="192"/>
      <c r="J522" s="193"/>
    </row>
    <row r="523" spans="2:10" ht="15" customHeight="1">
      <c r="B523" s="192"/>
      <c r="C523" s="192"/>
      <c r="D523" s="192"/>
      <c r="E523" s="192"/>
      <c r="F523" s="192"/>
      <c r="G523" s="192"/>
      <c r="H523" s="192"/>
      <c r="I523" s="192"/>
      <c r="J523" s="193"/>
    </row>
    <row r="524" spans="2:10" ht="15" customHeight="1">
      <c r="B524" s="192"/>
      <c r="C524" s="192"/>
      <c r="D524" s="192"/>
      <c r="E524" s="192"/>
      <c r="F524" s="192"/>
      <c r="G524" s="192"/>
      <c r="H524" s="192"/>
      <c r="I524" s="192"/>
      <c r="J524" s="193"/>
    </row>
    <row r="525" spans="2:10" ht="15" customHeight="1">
      <c r="B525" s="192"/>
      <c r="C525" s="192"/>
      <c r="D525" s="192"/>
      <c r="E525" s="192"/>
      <c r="F525" s="192"/>
      <c r="G525" s="192"/>
      <c r="H525" s="192"/>
      <c r="I525" s="192"/>
      <c r="J525" s="193"/>
    </row>
    <row r="526" spans="2:10" ht="15" customHeight="1">
      <c r="B526" s="192"/>
      <c r="C526" s="192"/>
      <c r="D526" s="192"/>
      <c r="E526" s="192"/>
      <c r="F526" s="192"/>
      <c r="G526" s="192"/>
      <c r="H526" s="192"/>
      <c r="I526" s="192"/>
      <c r="J526" s="193"/>
    </row>
    <row r="527" spans="2:10" ht="15" customHeight="1">
      <c r="B527" s="192"/>
      <c r="C527" s="192"/>
      <c r="D527" s="192"/>
      <c r="E527" s="192"/>
      <c r="F527" s="192"/>
      <c r="G527" s="192"/>
      <c r="H527" s="192"/>
      <c r="I527" s="192"/>
      <c r="J527" s="193"/>
    </row>
    <row r="528" spans="2:10" ht="15" customHeight="1">
      <c r="B528" s="192"/>
      <c r="C528" s="192"/>
      <c r="D528" s="192"/>
      <c r="E528" s="192"/>
      <c r="F528" s="192"/>
      <c r="G528" s="192"/>
      <c r="H528" s="192"/>
      <c r="I528" s="192"/>
      <c r="J528" s="193"/>
    </row>
    <row r="529" spans="2:10" ht="15" customHeight="1">
      <c r="B529" s="192"/>
      <c r="C529" s="192"/>
      <c r="D529" s="192"/>
      <c r="E529" s="192"/>
      <c r="F529" s="192"/>
      <c r="G529" s="192"/>
      <c r="H529" s="192"/>
      <c r="I529" s="192"/>
      <c r="J529" s="193"/>
    </row>
    <row r="530" spans="2:10" ht="15" customHeight="1">
      <c r="B530" s="192"/>
      <c r="C530" s="192"/>
      <c r="D530" s="192"/>
      <c r="E530" s="192"/>
      <c r="F530" s="192"/>
      <c r="G530" s="192"/>
      <c r="H530" s="192"/>
      <c r="I530" s="192"/>
      <c r="J530" s="193"/>
    </row>
    <row r="531" spans="2:10" ht="15" customHeight="1">
      <c r="B531" s="192"/>
      <c r="C531" s="192"/>
      <c r="D531" s="192"/>
      <c r="E531" s="192"/>
      <c r="F531" s="192"/>
      <c r="G531" s="192"/>
      <c r="H531" s="192"/>
      <c r="I531" s="192"/>
      <c r="J531" s="193"/>
    </row>
    <row r="532" spans="2:10" ht="15" customHeight="1">
      <c r="B532" s="192"/>
      <c r="C532" s="192"/>
      <c r="D532" s="192"/>
      <c r="E532" s="192"/>
      <c r="F532" s="192"/>
      <c r="G532" s="192"/>
      <c r="H532" s="192"/>
      <c r="I532" s="192"/>
      <c r="J532" s="193"/>
    </row>
    <row r="533" spans="2:10" ht="15" customHeight="1">
      <c r="B533" s="192"/>
      <c r="C533" s="192"/>
      <c r="D533" s="192"/>
      <c r="E533" s="192"/>
      <c r="F533" s="192"/>
      <c r="G533" s="192"/>
      <c r="H533" s="192"/>
      <c r="I533" s="192"/>
      <c r="J533" s="193"/>
    </row>
    <row r="534" spans="2:10" ht="15" customHeight="1">
      <c r="B534" s="192"/>
      <c r="C534" s="192"/>
      <c r="D534" s="192"/>
      <c r="E534" s="192"/>
      <c r="F534" s="192"/>
      <c r="G534" s="192"/>
      <c r="H534" s="192"/>
      <c r="I534" s="192"/>
      <c r="J534" s="193"/>
    </row>
    <row r="535" spans="2:10" ht="15" customHeight="1">
      <c r="B535" s="192"/>
      <c r="C535" s="192"/>
      <c r="D535" s="192"/>
      <c r="E535" s="192"/>
      <c r="F535" s="192"/>
      <c r="G535" s="192"/>
      <c r="H535" s="192"/>
      <c r="I535" s="192"/>
      <c r="J535" s="193"/>
    </row>
    <row r="536" spans="2:10" ht="15" customHeight="1">
      <c r="B536" s="192"/>
      <c r="C536" s="192"/>
      <c r="D536" s="192"/>
      <c r="E536" s="192"/>
      <c r="F536" s="192"/>
      <c r="G536" s="192"/>
      <c r="H536" s="192"/>
      <c r="I536" s="192"/>
      <c r="J536" s="193"/>
    </row>
    <row r="537" spans="2:10" ht="15" customHeight="1">
      <c r="B537" s="192"/>
      <c r="C537" s="192"/>
      <c r="D537" s="192"/>
      <c r="E537" s="192"/>
      <c r="F537" s="192"/>
      <c r="G537" s="192"/>
      <c r="H537" s="192"/>
      <c r="I537" s="192"/>
      <c r="J537" s="193"/>
    </row>
    <row r="538" spans="2:10" ht="15" customHeight="1">
      <c r="B538" s="192"/>
      <c r="C538" s="192"/>
      <c r="D538" s="192"/>
      <c r="E538" s="192"/>
      <c r="F538" s="192"/>
      <c r="G538" s="192"/>
      <c r="H538" s="192"/>
      <c r="I538" s="192"/>
      <c r="J538" s="193"/>
    </row>
    <row r="539" spans="2:10" ht="15" customHeight="1">
      <c r="B539" s="192"/>
      <c r="C539" s="192"/>
      <c r="D539" s="192"/>
      <c r="E539" s="192"/>
      <c r="F539" s="192"/>
      <c r="G539" s="192"/>
      <c r="H539" s="192"/>
      <c r="I539" s="192"/>
      <c r="J539" s="193"/>
    </row>
    <row r="540" spans="2:10" ht="15" customHeight="1">
      <c r="B540" s="192"/>
      <c r="C540" s="192"/>
      <c r="D540" s="192"/>
      <c r="E540" s="192"/>
      <c r="F540" s="192"/>
      <c r="G540" s="192"/>
      <c r="H540" s="192"/>
      <c r="I540" s="192"/>
      <c r="J540" s="193"/>
    </row>
    <row r="541" spans="2:10" ht="15" customHeight="1">
      <c r="B541" s="192"/>
      <c r="C541" s="192"/>
      <c r="D541" s="192"/>
      <c r="E541" s="192"/>
      <c r="F541" s="192"/>
      <c r="G541" s="192"/>
      <c r="H541" s="192"/>
      <c r="I541" s="192"/>
      <c r="J541" s="193"/>
    </row>
    <row r="542" spans="2:10" ht="15" customHeight="1">
      <c r="B542" s="192"/>
      <c r="C542" s="192"/>
      <c r="D542" s="192"/>
      <c r="E542" s="192"/>
      <c r="F542" s="192"/>
      <c r="G542" s="192"/>
      <c r="H542" s="192"/>
      <c r="I542" s="192"/>
      <c r="J542" s="193"/>
    </row>
    <row r="543" spans="2:10" ht="15" customHeight="1">
      <c r="B543" s="192"/>
      <c r="C543" s="192"/>
      <c r="D543" s="192"/>
      <c r="E543" s="192"/>
      <c r="F543" s="192"/>
      <c r="G543" s="192"/>
      <c r="H543" s="192"/>
      <c r="I543" s="192"/>
      <c r="J543" s="193"/>
    </row>
    <row r="544" spans="2:10" ht="15" customHeight="1">
      <c r="B544" s="192"/>
      <c r="C544" s="192"/>
      <c r="D544" s="192"/>
      <c r="E544" s="192"/>
      <c r="F544" s="192"/>
      <c r="G544" s="192"/>
      <c r="H544" s="192"/>
      <c r="I544" s="192"/>
      <c r="J544" s="193"/>
    </row>
    <row r="545" spans="2:10" ht="15" customHeight="1">
      <c r="B545" s="192"/>
      <c r="C545" s="192"/>
      <c r="D545" s="192"/>
      <c r="E545" s="192"/>
      <c r="F545" s="192"/>
      <c r="G545" s="192"/>
      <c r="H545" s="192"/>
      <c r="I545" s="192"/>
      <c r="J545" s="193"/>
    </row>
    <row r="546" spans="2:10" ht="15" customHeight="1">
      <c r="B546" s="192"/>
      <c r="C546" s="192"/>
      <c r="D546" s="192"/>
      <c r="E546" s="192"/>
      <c r="F546" s="192"/>
      <c r="G546" s="192"/>
      <c r="H546" s="192"/>
      <c r="I546" s="192"/>
      <c r="J546" s="193"/>
    </row>
    <row r="547" spans="2:10" ht="15" customHeight="1">
      <c r="B547" s="192"/>
      <c r="C547" s="192"/>
      <c r="D547" s="192"/>
      <c r="E547" s="192"/>
      <c r="F547" s="192"/>
      <c r="G547" s="192"/>
      <c r="H547" s="192"/>
      <c r="I547" s="192"/>
      <c r="J547" s="193"/>
    </row>
    <row r="548" spans="2:10" ht="15" customHeight="1">
      <c r="B548" s="192"/>
      <c r="C548" s="192"/>
      <c r="D548" s="192"/>
      <c r="E548" s="192"/>
      <c r="F548" s="192"/>
      <c r="G548" s="192"/>
      <c r="H548" s="192"/>
      <c r="I548" s="192"/>
      <c r="J548" s="193"/>
    </row>
    <row r="549" spans="2:10" ht="15" customHeight="1">
      <c r="B549" s="192"/>
      <c r="C549" s="192"/>
      <c r="D549" s="192"/>
      <c r="E549" s="192"/>
      <c r="F549" s="192"/>
      <c r="G549" s="192"/>
      <c r="H549" s="192"/>
      <c r="I549" s="192"/>
      <c r="J549" s="193"/>
    </row>
    <row r="550" spans="2:10" ht="15" customHeight="1">
      <c r="B550" s="192"/>
      <c r="C550" s="192"/>
      <c r="D550" s="192"/>
      <c r="E550" s="192"/>
      <c r="F550" s="192"/>
      <c r="G550" s="192"/>
      <c r="H550" s="192"/>
      <c r="I550" s="192"/>
      <c r="J550" s="193"/>
    </row>
    <row r="551" spans="2:10" ht="15" customHeight="1">
      <c r="B551" s="192"/>
      <c r="C551" s="192"/>
      <c r="D551" s="192"/>
      <c r="E551" s="192"/>
      <c r="F551" s="192"/>
      <c r="G551" s="192"/>
      <c r="H551" s="192"/>
      <c r="I551" s="192"/>
      <c r="J551" s="193"/>
    </row>
    <row r="552" spans="2:10" ht="15" customHeight="1">
      <c r="B552" s="192"/>
      <c r="C552" s="192"/>
      <c r="D552" s="192"/>
      <c r="E552" s="192"/>
      <c r="F552" s="192"/>
      <c r="G552" s="192"/>
      <c r="H552" s="192"/>
      <c r="I552" s="192"/>
      <c r="J552" s="193"/>
    </row>
    <row r="553" spans="2:10" ht="15" customHeight="1">
      <c r="B553" s="192"/>
      <c r="C553" s="192"/>
      <c r="D553" s="192"/>
      <c r="E553" s="192"/>
      <c r="F553" s="192"/>
      <c r="G553" s="192"/>
      <c r="H553" s="192"/>
      <c r="I553" s="192"/>
      <c r="J553" s="193"/>
    </row>
    <row r="554" spans="2:10" ht="15" customHeight="1">
      <c r="B554" s="192"/>
      <c r="C554" s="192"/>
      <c r="D554" s="192"/>
      <c r="E554" s="192"/>
      <c r="F554" s="192"/>
      <c r="G554" s="192"/>
      <c r="H554" s="192"/>
      <c r="I554" s="192"/>
      <c r="J554" s="193"/>
    </row>
    <row r="555" spans="2:10" ht="15" customHeight="1">
      <c r="B555" s="192"/>
      <c r="C555" s="192"/>
      <c r="D555" s="192"/>
      <c r="E555" s="192"/>
      <c r="F555" s="192"/>
      <c r="G555" s="192"/>
      <c r="H555" s="192"/>
      <c r="I555" s="192"/>
      <c r="J555" s="193"/>
    </row>
    <row r="556" spans="2:10" ht="15" customHeight="1">
      <c r="B556" s="192"/>
      <c r="C556" s="192"/>
      <c r="D556" s="192"/>
      <c r="E556" s="192"/>
      <c r="F556" s="192"/>
      <c r="G556" s="192"/>
      <c r="H556" s="192"/>
      <c r="I556" s="192"/>
      <c r="J556" s="193"/>
    </row>
    <row r="557" spans="2:10" ht="15" customHeight="1">
      <c r="B557" s="192"/>
      <c r="C557" s="192"/>
      <c r="D557" s="192"/>
      <c r="E557" s="192"/>
      <c r="F557" s="192"/>
      <c r="G557" s="192"/>
      <c r="H557" s="192"/>
      <c r="I557" s="192"/>
      <c r="J557" s="193"/>
    </row>
    <row r="558" spans="2:10" ht="15" customHeight="1">
      <c r="B558" s="192"/>
      <c r="C558" s="192"/>
      <c r="D558" s="192"/>
      <c r="E558" s="192"/>
      <c r="F558" s="192"/>
      <c r="G558" s="192"/>
      <c r="H558" s="192"/>
      <c r="I558" s="192"/>
      <c r="J558" s="193"/>
    </row>
    <row r="559" spans="2:10" ht="15" customHeight="1">
      <c r="B559" s="192"/>
      <c r="C559" s="192"/>
      <c r="D559" s="192"/>
      <c r="E559" s="192"/>
      <c r="F559" s="192"/>
      <c r="G559" s="192"/>
      <c r="H559" s="192"/>
      <c r="I559" s="192"/>
      <c r="J559" s="193"/>
    </row>
    <row r="560" spans="2:10" ht="15" customHeight="1">
      <c r="B560" s="192"/>
      <c r="C560" s="192"/>
      <c r="D560" s="192"/>
      <c r="E560" s="192"/>
      <c r="F560" s="192"/>
      <c r="G560" s="192"/>
      <c r="H560" s="192"/>
      <c r="I560" s="192"/>
      <c r="J560" s="193"/>
    </row>
    <row r="561" spans="2:10" ht="15" customHeight="1">
      <c r="B561" s="192"/>
      <c r="C561" s="192"/>
      <c r="D561" s="192"/>
      <c r="E561" s="192"/>
      <c r="F561" s="192"/>
      <c r="G561" s="192"/>
      <c r="H561" s="192"/>
      <c r="I561" s="192"/>
      <c r="J561" s="193"/>
    </row>
    <row r="562" spans="2:10" ht="15" customHeight="1">
      <c r="B562" s="192"/>
      <c r="C562" s="192"/>
      <c r="D562" s="192"/>
      <c r="E562" s="192"/>
      <c r="F562" s="192"/>
      <c r="G562" s="192"/>
      <c r="H562" s="192"/>
      <c r="I562" s="192"/>
      <c r="J562" s="193"/>
    </row>
    <row r="563" spans="2:10" ht="15" customHeight="1">
      <c r="B563" s="192"/>
      <c r="C563" s="192"/>
      <c r="D563" s="192"/>
      <c r="E563" s="192"/>
      <c r="F563" s="192"/>
      <c r="G563" s="192"/>
      <c r="H563" s="192"/>
      <c r="I563" s="192"/>
      <c r="J563" s="193"/>
    </row>
    <row r="564" spans="2:10" ht="15" customHeight="1">
      <c r="B564" s="192"/>
      <c r="C564" s="192"/>
      <c r="D564" s="192"/>
      <c r="E564" s="192"/>
      <c r="F564" s="192"/>
      <c r="G564" s="192"/>
      <c r="H564" s="192"/>
      <c r="I564" s="192"/>
      <c r="J564" s="193"/>
    </row>
    <row r="565" spans="2:10" ht="15" customHeight="1">
      <c r="B565" s="192"/>
      <c r="C565" s="192"/>
      <c r="D565" s="192"/>
      <c r="E565" s="192"/>
      <c r="F565" s="192"/>
      <c r="G565" s="192"/>
      <c r="H565" s="192"/>
      <c r="I565" s="192"/>
      <c r="J565" s="193"/>
    </row>
    <row r="566" spans="2:10" ht="15" customHeight="1">
      <c r="B566" s="192"/>
      <c r="C566" s="192"/>
      <c r="D566" s="192"/>
      <c r="E566" s="192"/>
      <c r="F566" s="192"/>
      <c r="G566" s="192"/>
      <c r="H566" s="192"/>
      <c r="I566" s="192"/>
      <c r="J566" s="193"/>
    </row>
    <row r="567" spans="2:10" ht="15" customHeight="1">
      <c r="B567" s="192"/>
      <c r="C567" s="192"/>
      <c r="D567" s="192"/>
      <c r="E567" s="192"/>
      <c r="F567" s="192"/>
      <c r="G567" s="192"/>
      <c r="H567" s="192"/>
      <c r="I567" s="192"/>
      <c r="J567" s="193"/>
    </row>
    <row r="568" spans="2:10" ht="15" customHeight="1">
      <c r="B568" s="192"/>
      <c r="C568" s="192"/>
      <c r="D568" s="192"/>
      <c r="E568" s="192"/>
      <c r="F568" s="192"/>
      <c r="G568" s="192"/>
      <c r="H568" s="192"/>
      <c r="I568" s="192"/>
      <c r="J568" s="193"/>
    </row>
    <row r="569" spans="2:10" ht="15" customHeight="1">
      <c r="B569" s="192"/>
      <c r="C569" s="192"/>
      <c r="D569" s="192"/>
      <c r="E569" s="192"/>
      <c r="F569" s="192"/>
      <c r="G569" s="192"/>
      <c r="H569" s="192"/>
      <c r="I569" s="192"/>
      <c r="J569" s="193"/>
    </row>
    <row r="570" spans="2:10" ht="15" customHeight="1">
      <c r="B570" s="192"/>
      <c r="C570" s="192"/>
      <c r="D570" s="192"/>
      <c r="E570" s="192"/>
      <c r="F570" s="192"/>
      <c r="G570" s="192"/>
      <c r="H570" s="192"/>
      <c r="I570" s="192"/>
      <c r="J570" s="193"/>
    </row>
    <row r="571" spans="2:10" ht="15" customHeight="1">
      <c r="B571" s="192"/>
      <c r="C571" s="192"/>
      <c r="D571" s="192"/>
      <c r="E571" s="192"/>
      <c r="F571" s="192"/>
      <c r="G571" s="192"/>
      <c r="H571" s="192"/>
      <c r="I571" s="192"/>
      <c r="J571" s="193"/>
    </row>
    <row r="572" spans="2:10" ht="15" customHeight="1">
      <c r="B572" s="192"/>
      <c r="C572" s="192"/>
      <c r="D572" s="192"/>
      <c r="E572" s="192"/>
      <c r="F572" s="192"/>
      <c r="G572" s="192"/>
      <c r="H572" s="192"/>
      <c r="I572" s="192"/>
      <c r="J572" s="193"/>
    </row>
    <row r="573" spans="2:10" ht="15" customHeight="1">
      <c r="B573" s="192"/>
      <c r="C573" s="192"/>
      <c r="D573" s="192"/>
      <c r="E573" s="192"/>
      <c r="F573" s="192"/>
      <c r="G573" s="192"/>
      <c r="H573" s="192"/>
      <c r="I573" s="192"/>
      <c r="J573" s="193"/>
    </row>
    <row r="574" spans="2:10" ht="15" customHeight="1">
      <c r="B574" s="192"/>
      <c r="C574" s="192"/>
      <c r="D574" s="192"/>
      <c r="E574" s="192"/>
      <c r="F574" s="192"/>
      <c r="G574" s="192"/>
      <c r="H574" s="192"/>
      <c r="I574" s="192"/>
      <c r="J574" s="193"/>
    </row>
    <row r="575" spans="2:10" ht="15" customHeight="1">
      <c r="B575" s="192"/>
      <c r="C575" s="192"/>
      <c r="D575" s="192"/>
      <c r="E575" s="192"/>
      <c r="F575" s="192"/>
      <c r="G575" s="192"/>
      <c r="H575" s="192"/>
      <c r="I575" s="192"/>
      <c r="J575" s="193"/>
    </row>
    <row r="576" spans="2:10" ht="15" customHeight="1">
      <c r="B576" s="192"/>
      <c r="C576" s="192"/>
      <c r="D576" s="192"/>
      <c r="E576" s="192"/>
      <c r="F576" s="192"/>
      <c r="G576" s="192"/>
      <c r="H576" s="192"/>
      <c r="I576" s="192"/>
      <c r="J576" s="193"/>
    </row>
    <row r="577" spans="2:10" ht="15" customHeight="1">
      <c r="B577" s="192"/>
      <c r="C577" s="192"/>
      <c r="D577" s="192"/>
      <c r="E577" s="192"/>
      <c r="F577" s="192"/>
      <c r="G577" s="192"/>
      <c r="H577" s="192"/>
      <c r="I577" s="192"/>
      <c r="J577" s="193"/>
    </row>
    <row r="578" spans="2:10" ht="15" customHeight="1">
      <c r="B578" s="192"/>
      <c r="C578" s="192"/>
      <c r="D578" s="192"/>
      <c r="E578" s="192"/>
      <c r="F578" s="192"/>
      <c r="G578" s="192"/>
      <c r="H578" s="192"/>
      <c r="I578" s="192"/>
      <c r="J578" s="193"/>
    </row>
    <row r="579" spans="2:10" ht="15" customHeight="1">
      <c r="B579" s="192"/>
      <c r="C579" s="192"/>
      <c r="D579" s="192"/>
      <c r="E579" s="192"/>
      <c r="F579" s="192"/>
      <c r="G579" s="192"/>
      <c r="H579" s="192"/>
      <c r="I579" s="192"/>
      <c r="J579" s="193"/>
    </row>
    <row r="580" spans="2:10" ht="15" customHeight="1">
      <c r="B580" s="192"/>
      <c r="C580" s="192"/>
      <c r="D580" s="192"/>
      <c r="E580" s="192"/>
      <c r="F580" s="192"/>
      <c r="G580" s="192"/>
      <c r="H580" s="192"/>
      <c r="I580" s="192"/>
      <c r="J580" s="193"/>
    </row>
    <row r="581" spans="2:10" ht="15" customHeight="1">
      <c r="B581" s="192"/>
      <c r="C581" s="192"/>
      <c r="D581" s="192"/>
      <c r="E581" s="192"/>
      <c r="F581" s="192"/>
      <c r="G581" s="192"/>
      <c r="H581" s="192"/>
      <c r="I581" s="192"/>
      <c r="J581" s="193"/>
    </row>
    <row r="582" spans="2:10" ht="15" customHeight="1">
      <c r="B582" s="192"/>
      <c r="C582" s="192"/>
      <c r="D582" s="192"/>
      <c r="E582" s="192"/>
      <c r="F582" s="192"/>
      <c r="G582" s="192"/>
      <c r="H582" s="192"/>
      <c r="I582" s="192"/>
      <c r="J582" s="193"/>
    </row>
    <row r="583" spans="2:10" ht="15" customHeight="1">
      <c r="B583" s="192"/>
      <c r="C583" s="192"/>
      <c r="D583" s="192"/>
      <c r="E583" s="192"/>
      <c r="F583" s="192"/>
      <c r="G583" s="192"/>
      <c r="H583" s="192"/>
      <c r="I583" s="192"/>
      <c r="J583" s="193"/>
    </row>
    <row r="584" spans="2:10" ht="15" customHeight="1">
      <c r="B584" s="192"/>
      <c r="C584" s="192"/>
      <c r="D584" s="192"/>
      <c r="E584" s="192"/>
      <c r="F584" s="192"/>
      <c r="G584" s="192"/>
      <c r="H584" s="192"/>
      <c r="I584" s="192"/>
      <c r="J584" s="193"/>
    </row>
    <row r="585" spans="2:10" ht="15" customHeight="1">
      <c r="B585" s="192"/>
      <c r="C585" s="192"/>
      <c r="D585" s="192"/>
      <c r="E585" s="192"/>
      <c r="F585" s="192"/>
      <c r="G585" s="192"/>
      <c r="H585" s="192"/>
      <c r="I585" s="192"/>
      <c r="J585" s="193"/>
    </row>
    <row r="586" spans="2:10" ht="15" customHeight="1">
      <c r="B586" s="192"/>
      <c r="C586" s="192"/>
      <c r="D586" s="192"/>
      <c r="E586" s="192"/>
      <c r="F586" s="192"/>
      <c r="G586" s="192"/>
      <c r="H586" s="192"/>
      <c r="I586" s="192"/>
      <c r="J586" s="193"/>
    </row>
    <row r="587" spans="2:10" ht="15" customHeight="1">
      <c r="B587" s="192"/>
      <c r="C587" s="192"/>
      <c r="D587" s="192"/>
      <c r="E587" s="192"/>
      <c r="F587" s="192"/>
      <c r="G587" s="192"/>
      <c r="H587" s="192"/>
      <c r="I587" s="192"/>
      <c r="J587" s="193"/>
    </row>
    <row r="588" spans="2:10" ht="15" customHeight="1">
      <c r="B588" s="192"/>
      <c r="C588" s="192"/>
      <c r="D588" s="192"/>
      <c r="E588" s="192"/>
      <c r="F588" s="192"/>
      <c r="G588" s="192"/>
      <c r="H588" s="192"/>
      <c r="I588" s="192"/>
      <c r="J588" s="193"/>
    </row>
    <row r="589" spans="2:10" ht="15" customHeight="1">
      <c r="B589" s="192"/>
      <c r="C589" s="192"/>
      <c r="D589" s="192"/>
      <c r="E589" s="192"/>
      <c r="F589" s="192"/>
      <c r="G589" s="192"/>
      <c r="H589" s="192"/>
      <c r="I589" s="192"/>
      <c r="J589" s="193"/>
    </row>
    <row r="590" spans="2:10" ht="15" customHeight="1">
      <c r="B590" s="192"/>
      <c r="C590" s="192"/>
      <c r="D590" s="192"/>
      <c r="E590" s="192"/>
      <c r="F590" s="192"/>
      <c r="G590" s="192"/>
      <c r="H590" s="192"/>
      <c r="I590" s="192"/>
      <c r="J590" s="193"/>
    </row>
    <row r="591" spans="2:10" ht="15" customHeight="1">
      <c r="B591" s="192"/>
      <c r="C591" s="192"/>
      <c r="D591" s="192"/>
      <c r="E591" s="192"/>
      <c r="F591" s="192"/>
      <c r="G591" s="192"/>
      <c r="H591" s="192"/>
      <c r="I591" s="192"/>
      <c r="J591" s="193"/>
    </row>
    <row r="592" spans="2:10" ht="15" customHeight="1">
      <c r="B592" s="192"/>
      <c r="C592" s="192"/>
      <c r="D592" s="192"/>
      <c r="E592" s="192"/>
      <c r="F592" s="192"/>
      <c r="G592" s="192"/>
      <c r="H592" s="192"/>
      <c r="I592" s="192"/>
      <c r="J592" s="193"/>
    </row>
    <row r="593" spans="2:10" ht="15" customHeight="1">
      <c r="B593" s="192"/>
      <c r="C593" s="192"/>
      <c r="D593" s="192"/>
      <c r="E593" s="192"/>
      <c r="F593" s="192"/>
      <c r="G593" s="192"/>
      <c r="H593" s="192"/>
      <c r="I593" s="192"/>
      <c r="J593" s="193"/>
    </row>
    <row r="594" spans="2:10" ht="15" customHeight="1">
      <c r="B594" s="192"/>
      <c r="C594" s="192"/>
      <c r="D594" s="192"/>
      <c r="E594" s="192"/>
      <c r="F594" s="192"/>
      <c r="G594" s="192"/>
      <c r="H594" s="192"/>
      <c r="I594" s="192"/>
      <c r="J594" s="193"/>
    </row>
    <row r="595" spans="2:10" ht="15" customHeight="1">
      <c r="B595" s="192"/>
      <c r="C595" s="192"/>
      <c r="D595" s="192"/>
      <c r="E595" s="192"/>
      <c r="F595" s="192"/>
      <c r="G595" s="192"/>
      <c r="H595" s="192"/>
      <c r="I595" s="192"/>
      <c r="J595" s="193"/>
    </row>
    <row r="596" spans="2:10" ht="15" customHeight="1">
      <c r="B596" s="192"/>
      <c r="C596" s="192"/>
      <c r="D596" s="192"/>
      <c r="E596" s="192"/>
      <c r="F596" s="192"/>
      <c r="G596" s="192"/>
      <c r="H596" s="192"/>
      <c r="I596" s="192"/>
      <c r="J596" s="193"/>
    </row>
    <row r="597" spans="2:10" ht="15" customHeight="1">
      <c r="B597" s="192"/>
      <c r="C597" s="192"/>
      <c r="D597" s="192"/>
      <c r="E597" s="192"/>
      <c r="F597" s="192"/>
      <c r="G597" s="192"/>
      <c r="H597" s="192"/>
      <c r="I597" s="192"/>
      <c r="J597" s="193"/>
    </row>
    <row r="598" spans="2:10" ht="15" customHeight="1">
      <c r="B598" s="192"/>
      <c r="C598" s="192"/>
      <c r="D598" s="192"/>
      <c r="E598" s="192"/>
      <c r="F598" s="192"/>
      <c r="G598" s="192"/>
      <c r="H598" s="192"/>
      <c r="I598" s="192"/>
      <c r="J598" s="193"/>
    </row>
    <row r="599" spans="2:10" ht="15" customHeight="1">
      <c r="B599" s="192"/>
      <c r="C599" s="192"/>
      <c r="D599" s="192"/>
      <c r="E599" s="192"/>
      <c r="F599" s="192"/>
      <c r="G599" s="192"/>
      <c r="H599" s="192"/>
      <c r="I599" s="192"/>
      <c r="J599" s="193"/>
    </row>
    <row r="600" spans="2:10" ht="15" customHeight="1">
      <c r="B600" s="192"/>
      <c r="C600" s="192"/>
      <c r="D600" s="192"/>
      <c r="E600" s="192"/>
      <c r="F600" s="192"/>
      <c r="G600" s="192"/>
      <c r="H600" s="192"/>
      <c r="I600" s="192"/>
      <c r="J600" s="193"/>
    </row>
    <row r="601" spans="2:10" ht="15" customHeight="1">
      <c r="B601" s="192"/>
      <c r="C601" s="192"/>
      <c r="D601" s="192"/>
      <c r="E601" s="192"/>
      <c r="F601" s="192"/>
      <c r="G601" s="192"/>
      <c r="H601" s="192"/>
      <c r="I601" s="192"/>
      <c r="J601" s="193"/>
    </row>
    <row r="602" spans="2:10" ht="15" customHeight="1">
      <c r="B602" s="192"/>
      <c r="C602" s="192"/>
      <c r="D602" s="192"/>
      <c r="E602" s="192"/>
      <c r="F602" s="192"/>
      <c r="G602" s="192"/>
      <c r="H602" s="192"/>
      <c r="I602" s="192"/>
      <c r="J602" s="193"/>
    </row>
    <row r="603" spans="2:10" ht="15" customHeight="1">
      <c r="B603" s="192"/>
      <c r="C603" s="192"/>
      <c r="D603" s="192"/>
      <c r="E603" s="192"/>
      <c r="F603" s="192"/>
      <c r="G603" s="192"/>
      <c r="H603" s="192"/>
      <c r="I603" s="192"/>
      <c r="J603" s="193"/>
    </row>
    <row r="604" spans="2:10" ht="15" customHeight="1">
      <c r="B604" s="192"/>
      <c r="C604" s="192"/>
      <c r="D604" s="192"/>
      <c r="E604" s="192"/>
      <c r="F604" s="192"/>
      <c r="G604" s="192"/>
      <c r="H604" s="192"/>
      <c r="I604" s="192"/>
      <c r="J604" s="193"/>
    </row>
    <row r="605" spans="2:10" ht="15" customHeight="1">
      <c r="B605" s="192"/>
      <c r="C605" s="192"/>
      <c r="D605" s="192"/>
      <c r="E605" s="192"/>
      <c r="F605" s="192"/>
      <c r="G605" s="192"/>
      <c r="H605" s="192"/>
      <c r="I605" s="192"/>
      <c r="J605" s="193"/>
    </row>
    <row r="606" spans="2:10" ht="15" customHeight="1">
      <c r="B606" s="192"/>
      <c r="C606" s="192"/>
      <c r="D606" s="192"/>
      <c r="E606" s="192"/>
      <c r="F606" s="192"/>
      <c r="G606" s="192"/>
      <c r="H606" s="192"/>
      <c r="I606" s="192"/>
      <c r="J606" s="193"/>
    </row>
    <row r="607" spans="2:10" ht="15" customHeight="1">
      <c r="B607" s="192"/>
      <c r="C607" s="192"/>
      <c r="D607" s="192"/>
      <c r="E607" s="192"/>
      <c r="F607" s="192"/>
      <c r="G607" s="192"/>
      <c r="H607" s="192"/>
      <c r="I607" s="192"/>
      <c r="J607" s="193"/>
    </row>
    <row r="608" spans="2:10" ht="15" customHeight="1">
      <c r="B608" s="192"/>
      <c r="C608" s="192"/>
      <c r="D608" s="192"/>
      <c r="E608" s="192"/>
      <c r="F608" s="192"/>
      <c r="G608" s="192"/>
      <c r="H608" s="192"/>
      <c r="I608" s="192"/>
      <c r="J608" s="193"/>
    </row>
    <row r="609" spans="2:10" ht="15" customHeight="1">
      <c r="B609" s="192"/>
      <c r="C609" s="192"/>
      <c r="D609" s="192"/>
      <c r="E609" s="192"/>
      <c r="F609" s="192"/>
      <c r="G609" s="192"/>
      <c r="H609" s="192"/>
      <c r="I609" s="192"/>
      <c r="J609" s="193"/>
    </row>
    <row r="610" spans="2:10" ht="15" customHeight="1">
      <c r="B610" s="192"/>
      <c r="C610" s="192"/>
      <c r="D610" s="192"/>
      <c r="E610" s="192"/>
      <c r="F610" s="192"/>
      <c r="G610" s="192"/>
      <c r="H610" s="192"/>
      <c r="I610" s="192"/>
      <c r="J610" s="193"/>
    </row>
    <row r="611" spans="2:10" ht="15" customHeight="1">
      <c r="B611" s="192"/>
      <c r="C611" s="192"/>
      <c r="D611" s="192"/>
      <c r="E611" s="192"/>
      <c r="F611" s="192"/>
      <c r="G611" s="192"/>
      <c r="H611" s="192"/>
      <c r="I611" s="192"/>
      <c r="J611" s="193"/>
    </row>
    <row r="612" spans="2:10" ht="15" customHeight="1">
      <c r="B612" s="192"/>
      <c r="C612" s="192"/>
      <c r="D612" s="192"/>
      <c r="E612" s="192"/>
      <c r="F612" s="192"/>
      <c r="G612" s="192"/>
      <c r="H612" s="192"/>
      <c r="I612" s="192"/>
      <c r="J612" s="193"/>
    </row>
    <row r="613" spans="2:10" ht="15" customHeight="1">
      <c r="B613" s="192"/>
      <c r="C613" s="192"/>
      <c r="D613" s="192"/>
      <c r="E613" s="192"/>
      <c r="F613" s="192"/>
      <c r="G613" s="192"/>
      <c r="H613" s="192"/>
      <c r="I613" s="192"/>
      <c r="J613" s="193"/>
    </row>
    <row r="614" spans="2:10" ht="15" customHeight="1">
      <c r="B614" s="192"/>
      <c r="C614" s="192"/>
      <c r="D614" s="192"/>
      <c r="E614" s="192"/>
      <c r="F614" s="192"/>
      <c r="G614" s="192"/>
      <c r="H614" s="192"/>
      <c r="I614" s="192"/>
      <c r="J614" s="193"/>
    </row>
    <row r="615" spans="2:10" ht="15" customHeight="1">
      <c r="B615" s="192"/>
      <c r="C615" s="192"/>
      <c r="D615" s="192"/>
      <c r="E615" s="192"/>
      <c r="F615" s="192"/>
      <c r="G615" s="192"/>
      <c r="H615" s="192"/>
      <c r="I615" s="192"/>
      <c r="J615" s="193"/>
    </row>
    <row r="616" spans="2:10" ht="15" customHeight="1">
      <c r="B616" s="192"/>
      <c r="C616" s="192"/>
      <c r="D616" s="192"/>
      <c r="E616" s="192"/>
      <c r="F616" s="192"/>
      <c r="G616" s="192"/>
      <c r="H616" s="192"/>
      <c r="I616" s="192"/>
      <c r="J616" s="193"/>
    </row>
    <row r="617" spans="2:10" ht="15" customHeight="1">
      <c r="B617" s="192"/>
      <c r="C617" s="192"/>
      <c r="D617" s="192"/>
      <c r="E617" s="192"/>
      <c r="F617" s="192"/>
      <c r="G617" s="192"/>
      <c r="H617" s="192"/>
      <c r="I617" s="192"/>
      <c r="J617" s="193"/>
    </row>
    <row r="618" spans="2:10" ht="15" customHeight="1">
      <c r="B618" s="192"/>
      <c r="C618" s="192"/>
      <c r="D618" s="192"/>
      <c r="E618" s="192"/>
      <c r="F618" s="192"/>
      <c r="G618" s="192"/>
      <c r="H618" s="192"/>
      <c r="I618" s="192"/>
      <c r="J618" s="193"/>
    </row>
    <row r="619" spans="2:10" ht="15" customHeight="1">
      <c r="B619" s="192"/>
      <c r="C619" s="192"/>
      <c r="D619" s="192"/>
      <c r="E619" s="192"/>
      <c r="F619" s="192"/>
      <c r="G619" s="192"/>
      <c r="H619" s="192"/>
      <c r="I619" s="192"/>
      <c r="J619" s="193"/>
    </row>
    <row r="620" spans="2:10" ht="15" customHeight="1">
      <c r="B620" s="192"/>
      <c r="C620" s="192"/>
      <c r="D620" s="192"/>
      <c r="E620" s="192"/>
      <c r="F620" s="192"/>
      <c r="G620" s="192"/>
      <c r="H620" s="192"/>
      <c r="I620" s="192"/>
      <c r="J620" s="193"/>
    </row>
    <row r="621" spans="2:10" ht="15" customHeight="1">
      <c r="B621" s="192"/>
      <c r="C621" s="192"/>
      <c r="D621" s="192"/>
      <c r="E621" s="192"/>
      <c r="F621" s="192"/>
      <c r="G621" s="192"/>
      <c r="H621" s="192"/>
      <c r="I621" s="192"/>
      <c r="J621" s="193"/>
    </row>
    <row r="622" spans="2:10" ht="15" customHeight="1">
      <c r="B622" s="192"/>
      <c r="C622" s="192"/>
      <c r="D622" s="192"/>
      <c r="E622" s="192"/>
      <c r="F622" s="192"/>
      <c r="G622" s="192"/>
      <c r="H622" s="192"/>
      <c r="I622" s="192"/>
      <c r="J622" s="193"/>
    </row>
    <row r="623" spans="2:10" ht="15" customHeight="1">
      <c r="B623" s="192"/>
      <c r="C623" s="192"/>
      <c r="D623" s="192"/>
      <c r="E623" s="192"/>
      <c r="F623" s="192"/>
      <c r="G623" s="192"/>
      <c r="H623" s="192"/>
      <c r="I623" s="192"/>
      <c r="J623" s="193"/>
    </row>
    <row r="624" spans="2:10" ht="15" customHeight="1">
      <c r="B624" s="192"/>
      <c r="C624" s="192"/>
      <c r="D624" s="192"/>
      <c r="E624" s="192"/>
      <c r="F624" s="192"/>
      <c r="G624" s="192"/>
      <c r="H624" s="192"/>
      <c r="I624" s="192"/>
      <c r="J624" s="193"/>
    </row>
    <row r="625" spans="2:10" ht="15" customHeight="1">
      <c r="B625" s="192"/>
      <c r="C625" s="192"/>
      <c r="D625" s="192"/>
      <c r="E625" s="192"/>
      <c r="F625" s="192"/>
      <c r="G625" s="192"/>
      <c r="H625" s="192"/>
      <c r="I625" s="192"/>
      <c r="J625" s="193"/>
    </row>
    <row r="626" spans="2:10" ht="15" customHeight="1">
      <c r="B626" s="192"/>
      <c r="C626" s="192"/>
      <c r="D626" s="192"/>
      <c r="E626" s="192"/>
      <c r="F626" s="192"/>
      <c r="G626" s="192"/>
      <c r="H626" s="192"/>
      <c r="I626" s="192"/>
      <c r="J626" s="193"/>
    </row>
    <row r="627" spans="2:10" ht="15" customHeight="1">
      <c r="B627" s="192"/>
      <c r="C627" s="192"/>
      <c r="D627" s="192"/>
      <c r="E627" s="192"/>
      <c r="F627" s="192"/>
      <c r="G627" s="192"/>
      <c r="H627" s="192"/>
      <c r="I627" s="192"/>
      <c r="J627" s="193"/>
    </row>
    <row r="628" spans="2:10" ht="15" customHeight="1">
      <c r="B628" s="192"/>
      <c r="C628" s="192"/>
      <c r="D628" s="192"/>
      <c r="E628" s="192"/>
      <c r="F628" s="192"/>
      <c r="G628" s="192"/>
      <c r="H628" s="192"/>
      <c r="I628" s="192"/>
      <c r="J628" s="193"/>
    </row>
    <row r="629" spans="2:10" ht="15" customHeight="1">
      <c r="B629" s="192"/>
      <c r="C629" s="192"/>
      <c r="D629" s="192"/>
      <c r="E629" s="192"/>
      <c r="F629" s="192"/>
      <c r="G629" s="192"/>
      <c r="H629" s="192"/>
      <c r="I629" s="192"/>
      <c r="J629" s="193"/>
    </row>
    <row r="630" spans="2:10" ht="15" customHeight="1">
      <c r="B630" s="192"/>
      <c r="C630" s="192"/>
      <c r="D630" s="192"/>
      <c r="E630" s="192"/>
      <c r="F630" s="192"/>
      <c r="G630" s="192"/>
      <c r="H630" s="192"/>
      <c r="I630" s="192"/>
      <c r="J630" s="193"/>
    </row>
    <row r="631" spans="2:10" ht="15" customHeight="1">
      <c r="B631" s="192"/>
      <c r="C631" s="192"/>
      <c r="D631" s="192"/>
      <c r="E631" s="192"/>
      <c r="F631" s="192"/>
      <c r="G631" s="192"/>
      <c r="H631" s="192"/>
      <c r="I631" s="192"/>
      <c r="J631" s="193"/>
    </row>
    <row r="632" spans="2:10" ht="15" customHeight="1">
      <c r="B632" s="192"/>
      <c r="C632" s="192"/>
      <c r="D632" s="192"/>
      <c r="E632" s="192"/>
      <c r="F632" s="192"/>
      <c r="G632" s="192"/>
      <c r="H632" s="192"/>
      <c r="I632" s="192"/>
      <c r="J632" s="193"/>
    </row>
    <row r="633" spans="2:10" ht="15" customHeight="1">
      <c r="B633" s="192"/>
      <c r="C633" s="192"/>
      <c r="D633" s="192"/>
      <c r="E633" s="192"/>
      <c r="F633" s="192"/>
      <c r="G633" s="192"/>
      <c r="H633" s="192"/>
      <c r="I633" s="192"/>
      <c r="J633" s="193"/>
    </row>
    <row r="634" spans="2:10" ht="15" customHeight="1">
      <c r="B634" s="192"/>
      <c r="C634" s="192"/>
      <c r="D634" s="192"/>
      <c r="E634" s="192"/>
      <c r="F634" s="192"/>
      <c r="G634" s="192"/>
      <c r="H634" s="192"/>
      <c r="I634" s="192"/>
      <c r="J634" s="193"/>
    </row>
    <row r="635" spans="2:10" ht="15" customHeight="1">
      <c r="B635" s="192"/>
      <c r="C635" s="192"/>
      <c r="D635" s="192"/>
      <c r="E635" s="192"/>
      <c r="F635" s="192"/>
      <c r="G635" s="192"/>
      <c r="H635" s="192"/>
      <c r="I635" s="192"/>
      <c r="J635" s="193"/>
    </row>
    <row r="636" spans="2:10" ht="15" customHeight="1">
      <c r="B636" s="192"/>
      <c r="C636" s="192"/>
      <c r="D636" s="192"/>
      <c r="E636" s="192"/>
      <c r="F636" s="192"/>
      <c r="G636" s="192"/>
      <c r="H636" s="192"/>
      <c r="I636" s="192"/>
      <c r="J636" s="193"/>
    </row>
    <row r="637" spans="2:10" ht="15" customHeight="1">
      <c r="B637" s="192"/>
      <c r="C637" s="192"/>
      <c r="D637" s="192"/>
      <c r="E637" s="192"/>
      <c r="F637" s="192"/>
      <c r="G637" s="192"/>
      <c r="H637" s="192"/>
      <c r="I637" s="192"/>
      <c r="J637" s="193"/>
    </row>
    <row r="638" spans="2:10" ht="15" customHeight="1">
      <c r="B638" s="192"/>
      <c r="C638" s="192"/>
      <c r="D638" s="192"/>
      <c r="E638" s="192"/>
      <c r="F638" s="192"/>
      <c r="G638" s="192"/>
      <c r="H638" s="192"/>
      <c r="I638" s="192"/>
      <c r="J638" s="193"/>
    </row>
    <row r="639" spans="2:10" ht="15" customHeight="1">
      <c r="B639" s="192"/>
      <c r="C639" s="192"/>
      <c r="D639" s="192"/>
      <c r="E639" s="192"/>
      <c r="F639" s="192"/>
      <c r="G639" s="192"/>
      <c r="H639" s="192"/>
      <c r="I639" s="192"/>
      <c r="J639" s="193"/>
    </row>
    <row r="640" spans="2:10" ht="15" customHeight="1">
      <c r="B640" s="192"/>
      <c r="C640" s="192"/>
      <c r="D640" s="192"/>
      <c r="E640" s="192"/>
      <c r="F640" s="192"/>
      <c r="G640" s="192"/>
      <c r="H640" s="192"/>
      <c r="I640" s="192"/>
      <c r="J640" s="193"/>
    </row>
    <row r="641" spans="2:10" ht="15" customHeight="1">
      <c r="B641" s="192"/>
      <c r="C641" s="192"/>
      <c r="D641" s="192"/>
      <c r="E641" s="192"/>
      <c r="F641" s="192"/>
      <c r="G641" s="192"/>
      <c r="H641" s="192"/>
      <c r="I641" s="192"/>
      <c r="J641" s="193"/>
    </row>
    <row r="642" spans="2:10" ht="15" customHeight="1">
      <c r="B642" s="192"/>
      <c r="C642" s="192"/>
      <c r="D642" s="192"/>
      <c r="E642" s="192"/>
      <c r="F642" s="192"/>
      <c r="G642" s="192"/>
      <c r="H642" s="192"/>
      <c r="I642" s="192"/>
      <c r="J642" s="193"/>
    </row>
    <row r="643" spans="2:10" ht="15" customHeight="1">
      <c r="B643" s="192"/>
      <c r="C643" s="192"/>
      <c r="D643" s="192"/>
      <c r="E643" s="192"/>
      <c r="F643" s="192"/>
      <c r="G643" s="192"/>
      <c r="H643" s="192"/>
      <c r="I643" s="192"/>
      <c r="J643" s="193"/>
    </row>
    <row r="644" spans="2:10" ht="15" customHeight="1">
      <c r="B644" s="192"/>
      <c r="C644" s="192"/>
      <c r="D644" s="192"/>
      <c r="E644" s="192"/>
      <c r="F644" s="192"/>
      <c r="G644" s="192"/>
      <c r="H644" s="192"/>
      <c r="I644" s="192"/>
      <c r="J644" s="193"/>
    </row>
    <row r="645" spans="2:10" ht="15" customHeight="1">
      <c r="B645" s="192"/>
      <c r="C645" s="192"/>
      <c r="D645" s="192"/>
      <c r="E645" s="192"/>
      <c r="F645" s="192"/>
      <c r="G645" s="192"/>
      <c r="H645" s="192"/>
      <c r="I645" s="192"/>
      <c r="J645" s="193"/>
    </row>
    <row r="646" spans="2:10" ht="15" customHeight="1">
      <c r="B646" s="192"/>
      <c r="C646" s="192"/>
      <c r="D646" s="192"/>
      <c r="E646" s="192"/>
      <c r="F646" s="192"/>
      <c r="G646" s="192"/>
      <c r="H646" s="192"/>
      <c r="I646" s="192"/>
      <c r="J646" s="193"/>
    </row>
    <row r="647" spans="2:10" ht="15" customHeight="1">
      <c r="B647" s="192"/>
      <c r="C647" s="192"/>
      <c r="D647" s="192"/>
      <c r="E647" s="192"/>
      <c r="F647" s="192"/>
      <c r="G647" s="192"/>
      <c r="H647" s="192"/>
      <c r="I647" s="192"/>
      <c r="J647" s="193"/>
    </row>
    <row r="648" spans="2:10" ht="15" customHeight="1">
      <c r="B648" s="192"/>
      <c r="C648" s="192"/>
      <c r="D648" s="192"/>
      <c r="E648" s="192"/>
      <c r="F648" s="192"/>
      <c r="G648" s="192"/>
      <c r="H648" s="192"/>
      <c r="I648" s="192"/>
      <c r="J648" s="193"/>
    </row>
    <row r="649" spans="2:10" ht="15" customHeight="1">
      <c r="B649" s="192"/>
      <c r="C649" s="192"/>
      <c r="D649" s="192"/>
      <c r="E649" s="192"/>
      <c r="F649" s="192"/>
      <c r="G649" s="192"/>
      <c r="H649" s="192"/>
      <c r="I649" s="192"/>
      <c r="J649" s="193"/>
    </row>
    <row r="650" spans="2:10" ht="15" customHeight="1">
      <c r="B650" s="192"/>
      <c r="C650" s="192"/>
      <c r="D650" s="192"/>
      <c r="E650" s="192"/>
      <c r="F650" s="192"/>
      <c r="G650" s="192"/>
      <c r="H650" s="192"/>
      <c r="I650" s="192"/>
      <c r="J650" s="193"/>
    </row>
    <row r="651" spans="2:10" ht="15" customHeight="1">
      <c r="B651" s="192"/>
      <c r="C651" s="192"/>
      <c r="D651" s="192"/>
      <c r="E651" s="192"/>
      <c r="F651" s="192"/>
      <c r="G651" s="192"/>
      <c r="H651" s="192"/>
      <c r="I651" s="192"/>
      <c r="J651" s="193"/>
    </row>
    <row r="652" spans="2:10" ht="15" customHeight="1">
      <c r="B652" s="192"/>
      <c r="C652" s="192"/>
      <c r="D652" s="192"/>
      <c r="E652" s="192"/>
      <c r="F652" s="192"/>
      <c r="G652" s="192"/>
      <c r="H652" s="192"/>
      <c r="I652" s="192"/>
      <c r="J652" s="193"/>
    </row>
    <row r="653" spans="2:10" ht="15" customHeight="1">
      <c r="B653" s="192"/>
      <c r="C653" s="192"/>
      <c r="D653" s="192"/>
      <c r="E653" s="192"/>
      <c r="F653" s="192"/>
      <c r="G653" s="192"/>
      <c r="H653" s="192"/>
      <c r="I653" s="192"/>
      <c r="J653" s="193"/>
    </row>
    <row r="654" spans="2:10" ht="15" customHeight="1">
      <c r="B654" s="192"/>
      <c r="C654" s="192"/>
      <c r="D654" s="192"/>
      <c r="E654" s="192"/>
      <c r="F654" s="192"/>
      <c r="G654" s="192"/>
      <c r="H654" s="192"/>
      <c r="I654" s="192"/>
      <c r="J654" s="193"/>
    </row>
    <row r="655" spans="2:10" ht="15" customHeight="1">
      <c r="B655" s="192"/>
      <c r="C655" s="192"/>
      <c r="D655" s="192"/>
      <c r="E655" s="192"/>
      <c r="F655" s="192"/>
      <c r="G655" s="192"/>
      <c r="H655" s="192"/>
      <c r="I655" s="192"/>
      <c r="J655" s="193"/>
    </row>
    <row r="656" spans="2:10" ht="15" customHeight="1">
      <c r="B656" s="192"/>
      <c r="C656" s="192"/>
      <c r="D656" s="192"/>
      <c r="E656" s="192"/>
      <c r="F656" s="192"/>
      <c r="G656" s="192"/>
      <c r="H656" s="192"/>
      <c r="I656" s="192"/>
      <c r="J656" s="193"/>
    </row>
    <row r="657" spans="2:10" ht="15" customHeight="1">
      <c r="B657" s="192"/>
      <c r="C657" s="192"/>
      <c r="D657" s="192"/>
      <c r="E657" s="192"/>
      <c r="F657" s="192"/>
      <c r="G657" s="192"/>
      <c r="H657" s="192"/>
      <c r="I657" s="192"/>
      <c r="J657" s="193"/>
    </row>
    <row r="658" spans="2:10" ht="15" customHeight="1">
      <c r="B658" s="192"/>
      <c r="C658" s="192"/>
      <c r="D658" s="192"/>
      <c r="E658" s="192"/>
      <c r="F658" s="192"/>
      <c r="G658" s="192"/>
      <c r="H658" s="192"/>
      <c r="I658" s="192"/>
      <c r="J658" s="193"/>
    </row>
    <row r="659" spans="2:10" ht="15" customHeight="1">
      <c r="B659" s="192"/>
      <c r="C659" s="192"/>
      <c r="D659" s="192"/>
      <c r="E659" s="192"/>
      <c r="F659" s="192"/>
      <c r="G659" s="192"/>
      <c r="H659" s="192"/>
      <c r="I659" s="192"/>
      <c r="J659" s="193"/>
    </row>
    <row r="660" spans="2:10" ht="15" customHeight="1">
      <c r="B660" s="192"/>
      <c r="C660" s="192"/>
      <c r="D660" s="192"/>
      <c r="E660" s="192"/>
      <c r="F660" s="192"/>
      <c r="G660" s="192"/>
      <c r="H660" s="192"/>
      <c r="I660" s="192"/>
      <c r="J660" s="193"/>
    </row>
    <row r="661" spans="2:10" ht="15" customHeight="1">
      <c r="B661" s="192"/>
      <c r="C661" s="192"/>
      <c r="D661" s="192"/>
      <c r="E661" s="192"/>
      <c r="F661" s="192"/>
      <c r="G661" s="192"/>
      <c r="H661" s="192"/>
      <c r="I661" s="192"/>
      <c r="J661" s="193"/>
    </row>
    <row r="662" spans="2:10" ht="15" customHeight="1">
      <c r="B662" s="192"/>
      <c r="C662" s="192"/>
      <c r="D662" s="192"/>
      <c r="E662" s="192"/>
      <c r="F662" s="192"/>
      <c r="G662" s="192"/>
      <c r="H662" s="192"/>
      <c r="I662" s="192"/>
      <c r="J662" s="193"/>
    </row>
    <row r="663" spans="2:10" ht="15" customHeight="1">
      <c r="B663" s="192"/>
      <c r="C663" s="192"/>
      <c r="D663" s="192"/>
      <c r="E663" s="192"/>
      <c r="F663" s="192"/>
      <c r="G663" s="192"/>
      <c r="H663" s="192"/>
      <c r="I663" s="192"/>
      <c r="J663" s="193"/>
    </row>
    <row r="664" spans="2:10" ht="15" customHeight="1">
      <c r="B664" s="192"/>
      <c r="C664" s="192"/>
      <c r="D664" s="192"/>
      <c r="E664" s="192"/>
      <c r="F664" s="192"/>
      <c r="G664" s="192"/>
      <c r="H664" s="192"/>
      <c r="I664" s="192"/>
      <c r="J664" s="193"/>
    </row>
    <row r="665" spans="2:10" ht="15" customHeight="1">
      <c r="B665" s="192"/>
      <c r="C665" s="192"/>
      <c r="D665" s="192"/>
      <c r="E665" s="192"/>
      <c r="F665" s="192"/>
      <c r="G665" s="192"/>
      <c r="H665" s="192"/>
      <c r="I665" s="192"/>
      <c r="J665" s="193"/>
    </row>
    <row r="666" spans="2:10" ht="15" customHeight="1">
      <c r="B666" s="192"/>
      <c r="C666" s="192"/>
      <c r="D666" s="192"/>
      <c r="E666" s="192"/>
      <c r="F666" s="192"/>
      <c r="G666" s="192"/>
      <c r="H666" s="192"/>
      <c r="I666" s="192"/>
      <c r="J666" s="193"/>
    </row>
    <row r="667" spans="2:10" ht="15" customHeight="1">
      <c r="B667" s="192"/>
      <c r="C667" s="192"/>
      <c r="D667" s="192"/>
      <c r="E667" s="192"/>
      <c r="F667" s="192"/>
      <c r="G667" s="192"/>
      <c r="H667" s="192"/>
      <c r="I667" s="192"/>
      <c r="J667" s="193"/>
    </row>
    <row r="668" spans="2:10" ht="15" customHeight="1">
      <c r="B668" s="192"/>
      <c r="C668" s="192"/>
      <c r="D668" s="192"/>
      <c r="E668" s="192"/>
      <c r="F668" s="192"/>
      <c r="G668" s="192"/>
      <c r="H668" s="192"/>
      <c r="I668" s="192"/>
      <c r="J668" s="193"/>
    </row>
    <row r="669" spans="2:10" ht="15" customHeight="1">
      <c r="B669" s="192"/>
      <c r="C669" s="192"/>
      <c r="D669" s="192"/>
      <c r="E669" s="192"/>
      <c r="F669" s="192"/>
      <c r="G669" s="192"/>
      <c r="H669" s="192"/>
      <c r="I669" s="192"/>
      <c r="J669" s="193"/>
    </row>
    <row r="670" spans="2:10" ht="15" customHeight="1">
      <c r="B670" s="192"/>
      <c r="C670" s="192"/>
      <c r="D670" s="192"/>
      <c r="E670" s="192"/>
      <c r="F670" s="192"/>
      <c r="G670" s="192"/>
      <c r="H670" s="192"/>
      <c r="I670" s="192"/>
      <c r="J670" s="193"/>
    </row>
    <row r="671" spans="2:10" ht="15" customHeight="1">
      <c r="B671" s="192"/>
      <c r="C671" s="192"/>
      <c r="D671" s="192"/>
      <c r="E671" s="192"/>
      <c r="F671" s="192"/>
      <c r="G671" s="192"/>
      <c r="H671" s="192"/>
      <c r="I671" s="192"/>
      <c r="J671" s="193"/>
    </row>
    <row r="672" spans="2:10" ht="15" customHeight="1">
      <c r="B672" s="192"/>
      <c r="C672" s="192"/>
      <c r="D672" s="192"/>
      <c r="E672" s="192"/>
      <c r="F672" s="192"/>
      <c r="G672" s="192"/>
      <c r="H672" s="192"/>
      <c r="I672" s="192"/>
      <c r="J672" s="193"/>
    </row>
    <row r="673" spans="2:10" ht="15" customHeight="1">
      <c r="B673" s="192"/>
      <c r="C673" s="192"/>
      <c r="D673" s="192"/>
      <c r="E673" s="192"/>
      <c r="F673" s="192"/>
      <c r="G673" s="192"/>
      <c r="H673" s="192"/>
      <c r="I673" s="192"/>
      <c r="J673" s="193"/>
    </row>
    <row r="674" spans="2:10" ht="15" customHeight="1">
      <c r="B674" s="192"/>
      <c r="C674" s="192"/>
      <c r="D674" s="192"/>
      <c r="E674" s="192"/>
      <c r="F674" s="192"/>
      <c r="G674" s="192"/>
      <c r="H674" s="192"/>
      <c r="I674" s="192"/>
      <c r="J674" s="193"/>
    </row>
    <row r="675" spans="2:10" ht="15" customHeight="1">
      <c r="B675" s="192"/>
      <c r="C675" s="192"/>
      <c r="D675" s="192"/>
      <c r="E675" s="192"/>
      <c r="F675" s="192"/>
      <c r="G675" s="192"/>
      <c r="H675" s="192"/>
      <c r="I675" s="192"/>
      <c r="J675" s="193"/>
    </row>
    <row r="676" spans="2:10" ht="15" customHeight="1">
      <c r="B676" s="192"/>
      <c r="C676" s="192"/>
      <c r="D676" s="192"/>
      <c r="E676" s="192"/>
      <c r="F676" s="192"/>
      <c r="G676" s="192"/>
      <c r="H676" s="192"/>
      <c r="I676" s="192"/>
      <c r="J676" s="193"/>
    </row>
    <row r="677" spans="2:10" ht="15" customHeight="1">
      <c r="B677" s="192"/>
      <c r="C677" s="192"/>
      <c r="D677" s="192"/>
      <c r="E677" s="192"/>
      <c r="F677" s="192"/>
      <c r="G677" s="192"/>
      <c r="H677" s="192"/>
      <c r="I677" s="192"/>
      <c r="J677" s="193"/>
    </row>
    <row r="678" spans="2:10" ht="15" customHeight="1">
      <c r="B678" s="187"/>
      <c r="C678" s="187"/>
      <c r="D678" s="187"/>
      <c r="E678" s="187"/>
      <c r="F678" s="187"/>
      <c r="G678" s="187"/>
      <c r="H678" s="187"/>
      <c r="I678" s="187"/>
    </row>
    <row r="679" spans="2:10" ht="15" customHeight="1">
      <c r="B679" s="187"/>
      <c r="C679" s="187"/>
      <c r="D679" s="187"/>
      <c r="E679" s="187"/>
      <c r="F679" s="187"/>
      <c r="G679" s="187"/>
      <c r="H679" s="187"/>
      <c r="I679" s="187"/>
    </row>
    <row r="680" spans="2:10" ht="15" customHeight="1">
      <c r="B680" s="187"/>
      <c r="C680" s="187"/>
      <c r="D680" s="187"/>
      <c r="E680" s="187"/>
      <c r="F680" s="187"/>
      <c r="G680" s="187"/>
      <c r="H680" s="187"/>
      <c r="I680" s="187"/>
    </row>
    <row r="681" spans="2:10" ht="15" customHeight="1">
      <c r="B681" s="187"/>
      <c r="C681" s="187"/>
      <c r="D681" s="187"/>
      <c r="E681" s="187"/>
      <c r="F681" s="187"/>
      <c r="G681" s="187"/>
      <c r="H681" s="187"/>
      <c r="I681" s="187"/>
    </row>
    <row r="682" spans="2:10" ht="15" customHeight="1">
      <c r="B682" s="187"/>
      <c r="C682" s="187"/>
      <c r="D682" s="187"/>
      <c r="E682" s="187"/>
      <c r="F682" s="187"/>
      <c r="G682" s="187"/>
      <c r="H682" s="187"/>
      <c r="I682" s="187"/>
    </row>
    <row r="683" spans="2:10" ht="15" customHeight="1">
      <c r="B683" s="187"/>
      <c r="C683" s="187"/>
      <c r="D683" s="187"/>
      <c r="E683" s="187"/>
      <c r="F683" s="187"/>
      <c r="G683" s="187"/>
      <c r="H683" s="187"/>
      <c r="I683" s="187"/>
    </row>
    <row r="684" spans="2:10" ht="15" customHeight="1">
      <c r="B684" s="187"/>
      <c r="C684" s="187"/>
      <c r="D684" s="187"/>
      <c r="E684" s="187"/>
      <c r="F684" s="187"/>
      <c r="G684" s="187"/>
      <c r="H684" s="187"/>
      <c r="I684" s="187"/>
    </row>
    <row r="685" spans="2:10" ht="15" customHeight="1">
      <c r="B685" s="187"/>
      <c r="C685" s="187"/>
      <c r="D685" s="187"/>
      <c r="E685" s="187"/>
      <c r="F685" s="187"/>
      <c r="G685" s="187"/>
      <c r="H685" s="187"/>
      <c r="I685" s="187"/>
    </row>
    <row r="686" spans="2:10" ht="15" customHeight="1">
      <c r="B686" s="187"/>
      <c r="C686" s="187"/>
      <c r="D686" s="187"/>
      <c r="E686" s="187"/>
      <c r="F686" s="187"/>
      <c r="G686" s="187"/>
      <c r="H686" s="187"/>
      <c r="I686" s="187"/>
    </row>
    <row r="687" spans="2:10" ht="15" customHeight="1">
      <c r="B687" s="187"/>
      <c r="C687" s="187"/>
      <c r="D687" s="187"/>
      <c r="E687" s="187"/>
      <c r="F687" s="187"/>
      <c r="G687" s="187"/>
      <c r="H687" s="187"/>
      <c r="I687" s="187"/>
    </row>
    <row r="688" spans="2:10" ht="15" customHeight="1">
      <c r="B688" s="187"/>
      <c r="C688" s="187"/>
      <c r="D688" s="187"/>
      <c r="E688" s="187"/>
      <c r="F688" s="187"/>
      <c r="G688" s="187"/>
      <c r="H688" s="187"/>
      <c r="I688" s="187"/>
    </row>
    <row r="689" spans="2:9" ht="15" customHeight="1">
      <c r="B689" s="187"/>
      <c r="C689" s="187"/>
      <c r="D689" s="187"/>
      <c r="E689" s="187"/>
      <c r="F689" s="187"/>
      <c r="G689" s="187"/>
      <c r="H689" s="187"/>
      <c r="I689" s="187"/>
    </row>
    <row r="690" spans="2:9" ht="15" customHeight="1">
      <c r="B690" s="187"/>
      <c r="C690" s="187"/>
      <c r="D690" s="187"/>
      <c r="E690" s="187"/>
      <c r="F690" s="187"/>
      <c r="G690" s="187"/>
      <c r="H690" s="187"/>
      <c r="I690" s="187"/>
    </row>
    <row r="691" spans="2:9" ht="15" customHeight="1">
      <c r="B691" s="187"/>
      <c r="C691" s="187"/>
      <c r="D691" s="187"/>
      <c r="E691" s="187"/>
      <c r="F691" s="187"/>
      <c r="G691" s="187"/>
      <c r="H691" s="187"/>
      <c r="I691" s="187"/>
    </row>
    <row r="692" spans="2:9" ht="15" customHeight="1">
      <c r="B692" s="187"/>
      <c r="C692" s="187"/>
      <c r="D692" s="187"/>
      <c r="E692" s="187"/>
      <c r="F692" s="187"/>
      <c r="G692" s="187"/>
      <c r="H692" s="187"/>
      <c r="I692" s="187"/>
    </row>
    <row r="693" spans="2:9" ht="15" customHeight="1">
      <c r="B693" s="187"/>
      <c r="C693" s="187"/>
      <c r="D693" s="187"/>
      <c r="E693" s="187"/>
      <c r="F693" s="187"/>
      <c r="G693" s="187"/>
      <c r="H693" s="187"/>
      <c r="I693" s="187"/>
    </row>
    <row r="694" spans="2:9" ht="15" customHeight="1">
      <c r="B694" s="187"/>
      <c r="C694" s="187"/>
      <c r="D694" s="187"/>
      <c r="E694" s="187"/>
      <c r="F694" s="187"/>
      <c r="G694" s="187"/>
      <c r="H694" s="187"/>
      <c r="I694" s="187"/>
    </row>
    <row r="695" spans="2:9" ht="15" customHeight="1">
      <c r="B695" s="187"/>
      <c r="C695" s="187"/>
      <c r="D695" s="187"/>
      <c r="E695" s="187"/>
      <c r="F695" s="187"/>
      <c r="G695" s="187"/>
      <c r="H695" s="187"/>
      <c r="I695" s="187"/>
    </row>
    <row r="696" spans="2:9" ht="15" customHeight="1">
      <c r="B696" s="187"/>
      <c r="C696" s="187"/>
      <c r="D696" s="187"/>
      <c r="E696" s="187"/>
      <c r="F696" s="187"/>
      <c r="G696" s="187"/>
      <c r="H696" s="187"/>
      <c r="I696" s="187"/>
    </row>
    <row r="697" spans="2:9" ht="15" customHeight="1">
      <c r="B697" s="187"/>
      <c r="C697" s="187"/>
      <c r="D697" s="187"/>
      <c r="E697" s="187"/>
      <c r="F697" s="187"/>
      <c r="G697" s="187"/>
      <c r="H697" s="187"/>
      <c r="I697" s="187"/>
    </row>
    <row r="698" spans="2:9" ht="15" customHeight="1">
      <c r="B698" s="187"/>
      <c r="C698" s="187"/>
      <c r="D698" s="187"/>
      <c r="E698" s="187"/>
      <c r="F698" s="187"/>
      <c r="G698" s="187"/>
      <c r="H698" s="187"/>
      <c r="I698" s="187"/>
    </row>
    <row r="699" spans="2:9" ht="15" customHeight="1">
      <c r="B699" s="187"/>
      <c r="C699" s="187"/>
      <c r="D699" s="187"/>
      <c r="E699" s="187"/>
      <c r="F699" s="187"/>
      <c r="G699" s="187"/>
      <c r="H699" s="187"/>
      <c r="I699" s="187"/>
    </row>
    <row r="700" spans="2:9" ht="15" customHeight="1">
      <c r="B700" s="187"/>
      <c r="C700" s="187"/>
      <c r="D700" s="187"/>
      <c r="E700" s="187"/>
      <c r="F700" s="187"/>
      <c r="G700" s="187"/>
      <c r="H700" s="187"/>
      <c r="I700" s="187"/>
    </row>
    <row r="701" spans="2:9" ht="15" customHeight="1">
      <c r="B701" s="187"/>
      <c r="C701" s="187"/>
      <c r="D701" s="187"/>
      <c r="E701" s="187"/>
      <c r="F701" s="187"/>
      <c r="G701" s="187"/>
      <c r="H701" s="187"/>
      <c r="I701" s="187"/>
    </row>
    <row r="702" spans="2:9" ht="15" customHeight="1">
      <c r="B702" s="187"/>
      <c r="C702" s="187"/>
      <c r="D702" s="187"/>
      <c r="E702" s="187"/>
      <c r="F702" s="187"/>
      <c r="G702" s="187"/>
      <c r="H702" s="187"/>
      <c r="I702" s="187"/>
    </row>
    <row r="703" spans="2:9" ht="15" customHeight="1">
      <c r="B703" s="187"/>
      <c r="C703" s="187"/>
      <c r="D703" s="187"/>
      <c r="E703" s="187"/>
      <c r="F703" s="187"/>
      <c r="G703" s="187"/>
      <c r="H703" s="187"/>
      <c r="I703" s="187"/>
    </row>
    <row r="704" spans="2:9" ht="15" customHeight="1">
      <c r="B704" s="187"/>
      <c r="C704" s="187"/>
      <c r="D704" s="187"/>
      <c r="E704" s="187"/>
      <c r="F704" s="187"/>
      <c r="G704" s="187"/>
      <c r="H704" s="187"/>
      <c r="I704" s="187"/>
    </row>
    <row r="705" spans="2:9" ht="15" customHeight="1">
      <c r="B705" s="187"/>
      <c r="C705" s="187"/>
      <c r="D705" s="187"/>
      <c r="E705" s="187"/>
      <c r="F705" s="187"/>
      <c r="G705" s="187"/>
      <c r="H705" s="187"/>
      <c r="I705" s="187"/>
    </row>
    <row r="706" spans="2:9" ht="15" customHeight="1">
      <c r="B706" s="187"/>
      <c r="C706" s="187"/>
      <c r="D706" s="187"/>
      <c r="E706" s="187"/>
      <c r="F706" s="187"/>
      <c r="G706" s="187"/>
      <c r="H706" s="187"/>
      <c r="I706" s="187"/>
    </row>
    <row r="707" spans="2:9" ht="15" customHeight="1">
      <c r="B707" s="187"/>
      <c r="C707" s="187"/>
      <c r="D707" s="187"/>
      <c r="E707" s="187"/>
      <c r="F707" s="187"/>
      <c r="G707" s="187"/>
      <c r="H707" s="187"/>
      <c r="I707" s="187"/>
    </row>
    <row r="708" spans="2:9" ht="15" customHeight="1">
      <c r="B708" s="187"/>
      <c r="C708" s="187"/>
      <c r="D708" s="187"/>
      <c r="E708" s="187"/>
      <c r="F708" s="187"/>
      <c r="G708" s="187"/>
      <c r="H708" s="187"/>
      <c r="I708" s="187"/>
    </row>
    <row r="709" spans="2:9" ht="15" customHeight="1">
      <c r="B709" s="187"/>
      <c r="C709" s="187"/>
      <c r="D709" s="187"/>
      <c r="E709" s="187"/>
      <c r="F709" s="187"/>
      <c r="G709" s="187"/>
      <c r="H709" s="187"/>
      <c r="I709" s="187"/>
    </row>
    <row r="710" spans="2:9" ht="15" customHeight="1">
      <c r="B710" s="187"/>
      <c r="C710" s="187"/>
      <c r="D710" s="187"/>
      <c r="E710" s="187"/>
      <c r="F710" s="187"/>
      <c r="G710" s="187"/>
      <c r="H710" s="187"/>
      <c r="I710" s="187"/>
    </row>
    <row r="711" spans="2:9" ht="15" customHeight="1">
      <c r="B711" s="187"/>
      <c r="C711" s="187"/>
      <c r="D711" s="187"/>
      <c r="E711" s="187"/>
      <c r="F711" s="187"/>
      <c r="G711" s="187"/>
      <c r="H711" s="187"/>
      <c r="I711" s="187"/>
    </row>
    <row r="712" spans="2:9" ht="15" customHeight="1">
      <c r="B712" s="187"/>
      <c r="C712" s="187"/>
      <c r="D712" s="187"/>
      <c r="E712" s="187"/>
      <c r="F712" s="187"/>
      <c r="G712" s="187"/>
      <c r="H712" s="187"/>
      <c r="I712" s="187"/>
    </row>
    <row r="713" spans="2:9" ht="15" customHeight="1">
      <c r="B713" s="187"/>
      <c r="C713" s="187"/>
      <c r="D713" s="187"/>
      <c r="E713" s="187"/>
      <c r="F713" s="187"/>
      <c r="G713" s="187"/>
      <c r="H713" s="187"/>
      <c r="I713" s="187"/>
    </row>
    <row r="714" spans="2:9" ht="15" customHeight="1">
      <c r="B714" s="187"/>
      <c r="C714" s="187"/>
      <c r="D714" s="187"/>
      <c r="E714" s="187"/>
      <c r="F714" s="187"/>
      <c r="G714" s="187"/>
      <c r="H714" s="187"/>
      <c r="I714" s="187"/>
    </row>
    <row r="715" spans="2:9" ht="15" customHeight="1">
      <c r="B715" s="187"/>
      <c r="C715" s="187"/>
      <c r="D715" s="187"/>
      <c r="E715" s="187"/>
      <c r="F715" s="187"/>
      <c r="G715" s="187"/>
      <c r="H715" s="187"/>
      <c r="I715" s="187"/>
    </row>
    <row r="716" spans="2:9" ht="15" customHeight="1">
      <c r="B716" s="187"/>
      <c r="C716" s="187"/>
      <c r="D716" s="187"/>
      <c r="E716" s="187"/>
      <c r="F716" s="187"/>
      <c r="G716" s="187"/>
      <c r="H716" s="187"/>
      <c r="I716" s="187"/>
    </row>
    <row r="717" spans="2:9" ht="15" customHeight="1">
      <c r="B717" s="187"/>
      <c r="C717" s="187"/>
      <c r="D717" s="187"/>
      <c r="E717" s="187"/>
      <c r="F717" s="187"/>
      <c r="G717" s="187"/>
      <c r="H717" s="187"/>
      <c r="I717" s="187"/>
    </row>
    <row r="718" spans="2:9" ht="15" customHeight="1">
      <c r="B718" s="187"/>
      <c r="C718" s="187"/>
      <c r="D718" s="187"/>
      <c r="E718" s="187"/>
      <c r="F718" s="187"/>
      <c r="G718" s="187"/>
      <c r="H718" s="187"/>
      <c r="I718" s="187"/>
    </row>
    <row r="719" spans="2:9" ht="15" customHeight="1">
      <c r="B719" s="187"/>
      <c r="C719" s="187"/>
      <c r="D719" s="187"/>
      <c r="E719" s="187"/>
      <c r="F719" s="187"/>
      <c r="G719" s="187"/>
      <c r="H719" s="187"/>
      <c r="I719" s="187"/>
    </row>
    <row r="720" spans="2:9" ht="15" customHeight="1">
      <c r="B720" s="187"/>
      <c r="C720" s="187"/>
      <c r="D720" s="187"/>
      <c r="E720" s="187"/>
      <c r="F720" s="187"/>
      <c r="G720" s="187"/>
      <c r="H720" s="187"/>
      <c r="I720" s="187"/>
    </row>
    <row r="721" spans="2:9" ht="15" customHeight="1">
      <c r="B721" s="187"/>
      <c r="C721" s="187"/>
      <c r="D721" s="187"/>
      <c r="E721" s="187"/>
      <c r="F721" s="187"/>
      <c r="G721" s="187"/>
      <c r="H721" s="187"/>
      <c r="I721" s="187"/>
    </row>
    <row r="722" spans="2:9" ht="15" customHeight="1">
      <c r="B722" s="187"/>
      <c r="C722" s="187"/>
      <c r="D722" s="187"/>
      <c r="E722" s="187"/>
      <c r="F722" s="187"/>
      <c r="G722" s="187"/>
      <c r="H722" s="187"/>
      <c r="I722" s="187"/>
    </row>
    <row r="723" spans="2:9" ht="15" customHeight="1">
      <c r="B723" s="187"/>
      <c r="C723" s="187"/>
      <c r="D723" s="187"/>
      <c r="E723" s="187"/>
      <c r="F723" s="187"/>
      <c r="G723" s="187"/>
      <c r="H723" s="187"/>
      <c r="I723" s="187"/>
    </row>
    <row r="724" spans="2:9" ht="15" customHeight="1">
      <c r="B724" s="187"/>
      <c r="C724" s="187"/>
      <c r="D724" s="187"/>
      <c r="E724" s="187"/>
      <c r="F724" s="187"/>
      <c r="G724" s="187"/>
      <c r="H724" s="187"/>
      <c r="I724" s="187"/>
    </row>
    <row r="725" spans="2:9" ht="15" customHeight="1">
      <c r="B725" s="187"/>
      <c r="C725" s="187"/>
      <c r="D725" s="187"/>
      <c r="E725" s="187"/>
      <c r="F725" s="187"/>
      <c r="G725" s="187"/>
      <c r="H725" s="187"/>
      <c r="I725" s="187"/>
    </row>
    <row r="726" spans="2:9" ht="15" customHeight="1">
      <c r="B726" s="187"/>
      <c r="C726" s="187"/>
      <c r="D726" s="187"/>
      <c r="E726" s="187"/>
      <c r="F726" s="187"/>
      <c r="G726" s="187"/>
      <c r="H726" s="187"/>
      <c r="I726" s="187"/>
    </row>
    <row r="727" spans="2:9" ht="15" customHeight="1">
      <c r="B727" s="187"/>
      <c r="C727" s="187"/>
      <c r="D727" s="187"/>
      <c r="E727" s="187"/>
      <c r="F727" s="187"/>
      <c r="G727" s="187"/>
      <c r="H727" s="187"/>
      <c r="I727" s="187"/>
    </row>
    <row r="728" spans="2:9" ht="15" customHeight="1">
      <c r="B728" s="187"/>
      <c r="C728" s="187"/>
      <c r="D728" s="187"/>
      <c r="E728" s="187"/>
      <c r="F728" s="187"/>
      <c r="G728" s="187"/>
      <c r="H728" s="187"/>
      <c r="I728" s="187"/>
    </row>
    <row r="729" spans="2:9" ht="15" customHeight="1">
      <c r="B729" s="187"/>
      <c r="C729" s="187"/>
      <c r="D729" s="187"/>
      <c r="E729" s="187"/>
      <c r="F729" s="187"/>
      <c r="G729" s="187"/>
      <c r="H729" s="187"/>
      <c r="I729" s="187"/>
    </row>
    <row r="730" spans="2:9" ht="15" customHeight="1">
      <c r="B730" s="187"/>
      <c r="C730" s="187"/>
      <c r="D730" s="187"/>
      <c r="E730" s="187"/>
      <c r="F730" s="187"/>
      <c r="G730" s="187"/>
      <c r="H730" s="187"/>
      <c r="I730" s="187"/>
    </row>
    <row r="731" spans="2:9" ht="15" customHeight="1">
      <c r="B731" s="187"/>
      <c r="C731" s="187"/>
      <c r="D731" s="187"/>
      <c r="E731" s="187"/>
      <c r="F731" s="187"/>
      <c r="G731" s="187"/>
      <c r="H731" s="187"/>
      <c r="I731" s="187"/>
    </row>
    <row r="732" spans="2:9" ht="15" customHeight="1">
      <c r="B732" s="187"/>
      <c r="C732" s="187"/>
      <c r="D732" s="187"/>
      <c r="E732" s="187"/>
      <c r="F732" s="187"/>
      <c r="G732" s="187"/>
      <c r="H732" s="187"/>
      <c r="I732" s="187"/>
    </row>
    <row r="733" spans="2:9" ht="15" customHeight="1">
      <c r="B733" s="187"/>
      <c r="C733" s="187"/>
      <c r="D733" s="187"/>
      <c r="E733" s="187"/>
      <c r="F733" s="187"/>
      <c r="G733" s="187"/>
      <c r="H733" s="187"/>
      <c r="I733" s="187"/>
    </row>
    <row r="734" spans="2:9" ht="15" customHeight="1">
      <c r="B734" s="187"/>
      <c r="C734" s="187"/>
      <c r="D734" s="187"/>
      <c r="E734" s="187"/>
      <c r="F734" s="187"/>
      <c r="G734" s="187"/>
      <c r="H734" s="187"/>
      <c r="I734" s="187"/>
    </row>
    <row r="735" spans="2:9" ht="15" customHeight="1">
      <c r="B735" s="187"/>
      <c r="C735" s="187"/>
      <c r="D735" s="187"/>
      <c r="E735" s="187"/>
      <c r="F735" s="187"/>
      <c r="G735" s="187"/>
      <c r="H735" s="187"/>
      <c r="I735" s="187"/>
    </row>
    <row r="736" spans="2:9" ht="15" customHeight="1">
      <c r="B736" s="187"/>
      <c r="C736" s="187"/>
      <c r="D736" s="187"/>
      <c r="E736" s="187"/>
      <c r="F736" s="187"/>
      <c r="G736" s="187"/>
      <c r="H736" s="187"/>
      <c r="I736" s="187"/>
    </row>
    <row r="737" spans="2:9" ht="15" customHeight="1">
      <c r="B737" s="187"/>
      <c r="C737" s="187"/>
      <c r="D737" s="187"/>
      <c r="E737" s="187"/>
      <c r="F737" s="187"/>
      <c r="G737" s="187"/>
      <c r="H737" s="187"/>
      <c r="I737" s="187"/>
    </row>
    <row r="738" spans="2:9" ht="15" customHeight="1">
      <c r="B738" s="187"/>
      <c r="C738" s="187"/>
      <c r="D738" s="187"/>
      <c r="E738" s="187"/>
      <c r="F738" s="187"/>
      <c r="G738" s="187"/>
      <c r="H738" s="187"/>
      <c r="I738" s="187"/>
    </row>
    <row r="739" spans="2:9" ht="15" customHeight="1">
      <c r="B739" s="187"/>
      <c r="C739" s="187"/>
      <c r="D739" s="187"/>
      <c r="E739" s="187"/>
      <c r="F739" s="187"/>
      <c r="G739" s="187"/>
      <c r="H739" s="187"/>
      <c r="I739" s="187"/>
    </row>
    <row r="740" spans="2:9" ht="15" customHeight="1">
      <c r="B740" s="187"/>
      <c r="C740" s="187"/>
      <c r="D740" s="187"/>
      <c r="E740" s="187"/>
      <c r="F740" s="187"/>
      <c r="G740" s="187"/>
      <c r="H740" s="187"/>
      <c r="I740" s="187"/>
    </row>
    <row r="741" spans="2:9" ht="15" customHeight="1">
      <c r="B741" s="187"/>
      <c r="C741" s="187"/>
      <c r="D741" s="187"/>
      <c r="E741" s="187"/>
      <c r="F741" s="187"/>
      <c r="G741" s="187"/>
      <c r="H741" s="187"/>
      <c r="I741" s="187"/>
    </row>
    <row r="742" spans="2:9" ht="15" customHeight="1">
      <c r="B742" s="187"/>
      <c r="C742" s="187"/>
      <c r="D742" s="187"/>
      <c r="E742" s="187"/>
      <c r="F742" s="187"/>
      <c r="G742" s="187"/>
      <c r="H742" s="187"/>
      <c r="I742" s="187"/>
    </row>
    <row r="743" spans="2:9" ht="15" customHeight="1">
      <c r="B743" s="187"/>
      <c r="C743" s="187"/>
      <c r="D743" s="187"/>
      <c r="E743" s="187"/>
      <c r="F743" s="187"/>
      <c r="G743" s="187"/>
      <c r="H743" s="187"/>
      <c r="I743" s="187"/>
    </row>
    <row r="744" spans="2:9" ht="15" customHeight="1">
      <c r="B744" s="187"/>
      <c r="C744" s="187"/>
      <c r="D744" s="187"/>
      <c r="E744" s="187"/>
      <c r="F744" s="187"/>
      <c r="G744" s="187"/>
      <c r="H744" s="187"/>
      <c r="I744" s="187"/>
    </row>
    <row r="745" spans="2:9" ht="15" customHeight="1">
      <c r="B745" s="187"/>
      <c r="C745" s="187"/>
      <c r="D745" s="187"/>
      <c r="E745" s="187"/>
      <c r="F745" s="187"/>
      <c r="G745" s="187"/>
      <c r="H745" s="187"/>
      <c r="I745" s="187"/>
    </row>
    <row r="746" spans="2:9" ht="15" customHeight="1">
      <c r="B746" s="187"/>
      <c r="C746" s="187"/>
      <c r="D746" s="187"/>
      <c r="E746" s="187"/>
      <c r="F746" s="187"/>
      <c r="G746" s="187"/>
      <c r="H746" s="187"/>
      <c r="I746" s="187"/>
    </row>
    <row r="747" spans="2:9" ht="15" customHeight="1">
      <c r="B747" s="187"/>
      <c r="C747" s="187"/>
      <c r="D747" s="187"/>
      <c r="E747" s="187"/>
      <c r="F747" s="187"/>
      <c r="G747" s="187"/>
      <c r="H747" s="187"/>
      <c r="I747" s="187"/>
    </row>
    <row r="748" spans="2:9" ht="15" customHeight="1">
      <c r="B748" s="187"/>
      <c r="C748" s="187"/>
      <c r="D748" s="187"/>
      <c r="E748" s="187"/>
      <c r="F748" s="187"/>
      <c r="G748" s="187"/>
      <c r="H748" s="187"/>
      <c r="I748" s="187"/>
    </row>
    <row r="749" spans="2:9" ht="15" customHeight="1">
      <c r="B749" s="187"/>
      <c r="C749" s="187"/>
      <c r="D749" s="187"/>
      <c r="E749" s="187"/>
      <c r="F749" s="187"/>
      <c r="G749" s="187"/>
      <c r="H749" s="187"/>
      <c r="I749" s="187"/>
    </row>
    <row r="750" spans="2:9" ht="15" customHeight="1">
      <c r="B750" s="187"/>
      <c r="C750" s="187"/>
      <c r="D750" s="187"/>
      <c r="E750" s="187"/>
      <c r="F750" s="187"/>
      <c r="G750" s="187"/>
      <c r="H750" s="187"/>
      <c r="I750" s="187"/>
    </row>
    <row r="751" spans="2:9" ht="15" customHeight="1">
      <c r="B751" s="187"/>
      <c r="C751" s="187"/>
      <c r="D751" s="187"/>
      <c r="E751" s="187"/>
      <c r="F751" s="187"/>
      <c r="G751" s="187"/>
      <c r="H751" s="187"/>
      <c r="I751" s="187"/>
    </row>
    <row r="752" spans="2:9" ht="15" customHeight="1">
      <c r="B752" s="187"/>
      <c r="C752" s="187"/>
      <c r="D752" s="187"/>
      <c r="E752" s="187"/>
      <c r="F752" s="187"/>
      <c r="G752" s="187"/>
      <c r="H752" s="187"/>
      <c r="I752" s="187"/>
    </row>
    <row r="753" spans="2:9" ht="15" customHeight="1">
      <c r="B753" s="187"/>
      <c r="C753" s="187"/>
      <c r="D753" s="187"/>
      <c r="E753" s="187"/>
      <c r="F753" s="187"/>
      <c r="G753" s="187"/>
      <c r="H753" s="187"/>
      <c r="I753" s="187"/>
    </row>
    <row r="754" spans="2:9" ht="15" customHeight="1">
      <c r="B754" s="187"/>
      <c r="C754" s="187"/>
      <c r="D754" s="187"/>
      <c r="E754" s="187"/>
      <c r="F754" s="187"/>
      <c r="G754" s="187"/>
      <c r="H754" s="187"/>
      <c r="I754" s="187"/>
    </row>
    <row r="755" spans="2:9" ht="15" customHeight="1">
      <c r="B755" s="187"/>
      <c r="C755" s="187"/>
      <c r="D755" s="187"/>
      <c r="E755" s="187"/>
      <c r="F755" s="187"/>
      <c r="G755" s="187"/>
      <c r="H755" s="187"/>
      <c r="I755" s="187"/>
    </row>
    <row r="756" spans="2:9" ht="15" customHeight="1">
      <c r="B756" s="187"/>
      <c r="C756" s="187"/>
      <c r="D756" s="187"/>
      <c r="E756" s="187"/>
      <c r="F756" s="187"/>
      <c r="G756" s="187"/>
      <c r="H756" s="187"/>
      <c r="I756" s="187"/>
    </row>
    <row r="757" spans="2:9" ht="15" customHeight="1">
      <c r="B757" s="187"/>
      <c r="C757" s="187"/>
      <c r="D757" s="187"/>
      <c r="E757" s="187"/>
      <c r="F757" s="187"/>
      <c r="G757" s="187"/>
      <c r="H757" s="187"/>
      <c r="I757" s="187"/>
    </row>
    <row r="758" spans="2:9" ht="15" customHeight="1">
      <c r="B758" s="187"/>
      <c r="C758" s="187"/>
      <c r="D758" s="187"/>
      <c r="E758" s="187"/>
      <c r="F758" s="187"/>
      <c r="G758" s="187"/>
      <c r="H758" s="187"/>
      <c r="I758" s="187"/>
    </row>
    <row r="759" spans="2:9" ht="15" customHeight="1">
      <c r="B759" s="187"/>
      <c r="C759" s="187"/>
      <c r="D759" s="187"/>
      <c r="E759" s="187"/>
      <c r="F759" s="187"/>
      <c r="G759" s="187"/>
      <c r="H759" s="187"/>
      <c r="I759" s="187"/>
    </row>
    <row r="760" spans="2:9" ht="15" customHeight="1">
      <c r="B760" s="187"/>
      <c r="C760" s="187"/>
      <c r="D760" s="187"/>
      <c r="E760" s="187"/>
      <c r="F760" s="187"/>
      <c r="G760" s="187"/>
      <c r="H760" s="187"/>
      <c r="I760" s="187"/>
    </row>
    <row r="761" spans="2:9" ht="15" customHeight="1">
      <c r="B761" s="187"/>
      <c r="C761" s="187"/>
      <c r="D761" s="187"/>
      <c r="E761" s="187"/>
      <c r="F761" s="187"/>
      <c r="G761" s="187"/>
      <c r="H761" s="187"/>
      <c r="I761" s="187"/>
    </row>
    <row r="762" spans="2:9" ht="15" customHeight="1">
      <c r="B762" s="187"/>
      <c r="C762" s="187"/>
      <c r="D762" s="187"/>
      <c r="E762" s="187"/>
      <c r="F762" s="187"/>
      <c r="G762" s="187"/>
      <c r="H762" s="187"/>
      <c r="I762" s="187"/>
    </row>
    <row r="763" spans="2:9" ht="15" customHeight="1">
      <c r="B763" s="187"/>
      <c r="C763" s="187"/>
      <c r="D763" s="187"/>
      <c r="E763" s="187"/>
      <c r="F763" s="187"/>
      <c r="G763" s="187"/>
      <c r="H763" s="187"/>
      <c r="I763" s="187"/>
    </row>
    <row r="764" spans="2:9" ht="15" customHeight="1">
      <c r="B764" s="187"/>
      <c r="C764" s="187"/>
      <c r="D764" s="187"/>
      <c r="E764" s="187"/>
      <c r="F764" s="187"/>
      <c r="G764" s="187"/>
      <c r="H764" s="187"/>
      <c r="I764" s="187"/>
    </row>
    <row r="765" spans="2:9" ht="15" customHeight="1">
      <c r="B765" s="187"/>
      <c r="C765" s="187"/>
      <c r="D765" s="187"/>
      <c r="E765" s="187"/>
      <c r="F765" s="187"/>
      <c r="G765" s="187"/>
      <c r="H765" s="187"/>
      <c r="I765" s="187"/>
    </row>
    <row r="766" spans="2:9" ht="15" customHeight="1">
      <c r="B766" s="187"/>
      <c r="C766" s="187"/>
      <c r="D766" s="187"/>
      <c r="E766" s="187"/>
      <c r="F766" s="187"/>
      <c r="G766" s="187"/>
      <c r="H766" s="187"/>
      <c r="I766" s="187"/>
    </row>
    <row r="767" spans="2:9" ht="15" customHeight="1">
      <c r="B767" s="187"/>
      <c r="C767" s="187"/>
      <c r="D767" s="187"/>
      <c r="E767" s="187"/>
      <c r="F767" s="187"/>
      <c r="G767" s="187"/>
      <c r="H767" s="187"/>
      <c r="I767" s="187"/>
    </row>
    <row r="768" spans="2:9" ht="15" customHeight="1">
      <c r="B768" s="187"/>
      <c r="C768" s="187"/>
      <c r="D768" s="187"/>
      <c r="E768" s="187"/>
      <c r="F768" s="187"/>
      <c r="G768" s="187"/>
      <c r="H768" s="187"/>
      <c r="I768" s="187"/>
    </row>
    <row r="769" spans="2:9" ht="15" customHeight="1">
      <c r="B769" s="187"/>
      <c r="C769" s="187"/>
      <c r="D769" s="187"/>
      <c r="E769" s="187"/>
      <c r="F769" s="187"/>
      <c r="G769" s="187"/>
      <c r="H769" s="187"/>
      <c r="I769" s="187"/>
    </row>
    <row r="770" spans="2:9" ht="15" customHeight="1">
      <c r="B770" s="187"/>
      <c r="C770" s="187"/>
      <c r="D770" s="187"/>
      <c r="E770" s="187"/>
      <c r="F770" s="187"/>
      <c r="G770" s="187"/>
      <c r="H770" s="187"/>
      <c r="I770" s="187"/>
    </row>
    <row r="771" spans="2:9" ht="15" customHeight="1">
      <c r="B771" s="187"/>
      <c r="C771" s="187"/>
      <c r="D771" s="187"/>
      <c r="E771" s="187"/>
      <c r="F771" s="187"/>
      <c r="G771" s="187"/>
      <c r="H771" s="187"/>
      <c r="I771" s="187"/>
    </row>
    <row r="772" spans="2:9" ht="15" customHeight="1">
      <c r="B772" s="187"/>
      <c r="C772" s="187"/>
      <c r="D772" s="187"/>
      <c r="E772" s="187"/>
      <c r="F772" s="187"/>
      <c r="G772" s="187"/>
      <c r="H772" s="187"/>
      <c r="I772" s="187"/>
    </row>
    <row r="773" spans="2:9" ht="15" customHeight="1">
      <c r="B773" s="187"/>
      <c r="C773" s="187"/>
      <c r="D773" s="187"/>
      <c r="E773" s="187"/>
      <c r="F773" s="187"/>
      <c r="G773" s="187"/>
      <c r="H773" s="187"/>
      <c r="I773" s="187"/>
    </row>
    <row r="774" spans="2:9" ht="15" customHeight="1">
      <c r="B774" s="187"/>
      <c r="C774" s="187"/>
      <c r="D774" s="187"/>
      <c r="E774" s="187"/>
      <c r="F774" s="187"/>
      <c r="G774" s="187"/>
      <c r="H774" s="187"/>
      <c r="I774" s="187"/>
    </row>
    <row r="775" spans="2:9" ht="15" customHeight="1">
      <c r="B775" s="187"/>
      <c r="C775" s="187"/>
      <c r="D775" s="187"/>
      <c r="E775" s="187"/>
      <c r="F775" s="187"/>
      <c r="G775" s="187"/>
      <c r="H775" s="187"/>
      <c r="I775" s="187"/>
    </row>
    <row r="776" spans="2:9" ht="15" customHeight="1">
      <c r="B776" s="187"/>
      <c r="C776" s="187"/>
      <c r="D776" s="187"/>
      <c r="E776" s="187"/>
      <c r="F776" s="187"/>
      <c r="G776" s="187"/>
      <c r="H776" s="187"/>
      <c r="I776" s="187"/>
    </row>
    <row r="777" spans="2:9" ht="15" customHeight="1">
      <c r="B777" s="187"/>
      <c r="C777" s="187"/>
      <c r="D777" s="187"/>
      <c r="E777" s="187"/>
      <c r="F777" s="187"/>
      <c r="G777" s="187"/>
      <c r="H777" s="187"/>
      <c r="I777" s="187"/>
    </row>
    <row r="778" spans="2:9" ht="15" customHeight="1">
      <c r="B778" s="187"/>
      <c r="C778" s="187"/>
      <c r="D778" s="187"/>
      <c r="E778" s="187"/>
      <c r="F778" s="187"/>
      <c r="G778" s="187"/>
      <c r="H778" s="187"/>
      <c r="I778" s="187"/>
    </row>
    <row r="779" spans="2:9" ht="15" customHeight="1">
      <c r="B779" s="187"/>
      <c r="C779" s="187"/>
      <c r="D779" s="187"/>
      <c r="E779" s="187"/>
      <c r="F779" s="187"/>
      <c r="G779" s="187"/>
      <c r="H779" s="187"/>
      <c r="I779" s="187"/>
    </row>
    <row r="780" spans="2:9" ht="15" customHeight="1">
      <c r="B780" s="187"/>
      <c r="C780" s="187"/>
      <c r="D780" s="187"/>
      <c r="E780" s="187"/>
      <c r="F780" s="187"/>
      <c r="G780" s="187"/>
      <c r="H780" s="187"/>
      <c r="I780" s="187"/>
    </row>
    <row r="781" spans="2:9" ht="15" customHeight="1">
      <c r="B781" s="187"/>
      <c r="C781" s="187"/>
      <c r="D781" s="187"/>
      <c r="E781" s="187"/>
      <c r="F781" s="187"/>
      <c r="G781" s="187"/>
      <c r="H781" s="187"/>
      <c r="I781" s="187"/>
    </row>
    <row r="782" spans="2:9" ht="15" customHeight="1">
      <c r="B782" s="187"/>
      <c r="C782" s="187"/>
      <c r="D782" s="187"/>
      <c r="E782" s="187"/>
      <c r="F782" s="187"/>
      <c r="G782" s="187"/>
      <c r="H782" s="187"/>
      <c r="I782" s="187"/>
    </row>
    <row r="783" spans="2:9" ht="15" customHeight="1">
      <c r="B783" s="187"/>
      <c r="C783" s="187"/>
      <c r="D783" s="187"/>
      <c r="E783" s="187"/>
      <c r="F783" s="187"/>
      <c r="G783" s="187"/>
      <c r="H783" s="187"/>
      <c r="I783" s="187"/>
    </row>
    <row r="784" spans="2:9" ht="15" customHeight="1">
      <c r="B784" s="187"/>
      <c r="C784" s="187"/>
      <c r="D784" s="187"/>
      <c r="E784" s="187"/>
      <c r="F784" s="187"/>
      <c r="G784" s="187"/>
      <c r="H784" s="187"/>
      <c r="I784" s="187"/>
    </row>
    <row r="785" spans="2:9" ht="15" customHeight="1">
      <c r="B785" s="187"/>
      <c r="C785" s="187"/>
      <c r="D785" s="187"/>
      <c r="E785" s="187"/>
      <c r="F785" s="187"/>
      <c r="G785" s="187"/>
      <c r="H785" s="187"/>
      <c r="I785" s="187"/>
    </row>
    <row r="786" spans="2:9" ht="15" customHeight="1">
      <c r="B786" s="187"/>
      <c r="C786" s="187"/>
      <c r="D786" s="187"/>
      <c r="E786" s="187"/>
      <c r="F786" s="187"/>
      <c r="G786" s="187"/>
      <c r="H786" s="187"/>
      <c r="I786" s="187"/>
    </row>
    <row r="787" spans="2:9" ht="15" customHeight="1">
      <c r="B787" s="187"/>
      <c r="C787" s="187"/>
      <c r="D787" s="187"/>
      <c r="E787" s="187"/>
      <c r="F787" s="187"/>
      <c r="G787" s="187"/>
      <c r="H787" s="187"/>
      <c r="I787" s="187"/>
    </row>
    <row r="788" spans="2:9" ht="15" customHeight="1">
      <c r="B788" s="187"/>
      <c r="C788" s="187"/>
      <c r="D788" s="187"/>
      <c r="E788" s="187"/>
      <c r="F788" s="187"/>
      <c r="G788" s="187"/>
      <c r="H788" s="187"/>
      <c r="I788" s="187"/>
    </row>
    <row r="789" spans="2:9" ht="15" customHeight="1">
      <c r="B789" s="187"/>
      <c r="C789" s="187"/>
      <c r="D789" s="187"/>
      <c r="E789" s="187"/>
      <c r="F789" s="187"/>
      <c r="G789" s="187"/>
      <c r="H789" s="187"/>
      <c r="I789" s="187"/>
    </row>
    <row r="790" spans="2:9" ht="15" customHeight="1">
      <c r="B790" s="187"/>
      <c r="C790" s="187"/>
      <c r="D790" s="187"/>
      <c r="E790" s="187"/>
      <c r="F790" s="187"/>
      <c r="G790" s="187"/>
      <c r="H790" s="187"/>
      <c r="I790" s="187"/>
    </row>
    <row r="791" spans="2:9" ht="15" customHeight="1">
      <c r="B791" s="187"/>
      <c r="C791" s="187"/>
      <c r="D791" s="187"/>
      <c r="E791" s="187"/>
      <c r="F791" s="187"/>
      <c r="G791" s="187"/>
      <c r="H791" s="187"/>
      <c r="I791" s="187"/>
    </row>
    <row r="792" spans="2:9" ht="15" customHeight="1">
      <c r="B792" s="187"/>
      <c r="C792" s="187"/>
      <c r="D792" s="187"/>
      <c r="E792" s="187"/>
      <c r="F792" s="187"/>
      <c r="G792" s="187"/>
      <c r="H792" s="187"/>
      <c r="I792" s="187"/>
    </row>
    <row r="793" spans="2:9" ht="15" customHeight="1">
      <c r="B793" s="187"/>
      <c r="C793" s="187"/>
      <c r="D793" s="187"/>
      <c r="E793" s="187"/>
      <c r="F793" s="187"/>
      <c r="G793" s="187"/>
      <c r="H793" s="187"/>
      <c r="I793" s="187"/>
    </row>
    <row r="794" spans="2:9" ht="15" customHeight="1">
      <c r="B794" s="187"/>
      <c r="C794" s="187"/>
      <c r="D794" s="187"/>
      <c r="E794" s="187"/>
      <c r="F794" s="187"/>
      <c r="G794" s="187"/>
      <c r="H794" s="187"/>
      <c r="I794" s="187"/>
    </row>
    <row r="795" spans="2:9" ht="15" customHeight="1">
      <c r="B795" s="187"/>
      <c r="C795" s="187"/>
      <c r="D795" s="187"/>
      <c r="E795" s="187"/>
      <c r="F795" s="187"/>
      <c r="G795" s="187"/>
      <c r="H795" s="187"/>
      <c r="I795" s="187"/>
    </row>
    <row r="796" spans="2:9" ht="15" customHeight="1">
      <c r="B796" s="187"/>
      <c r="C796" s="187"/>
      <c r="D796" s="187"/>
      <c r="E796" s="187"/>
      <c r="F796" s="187"/>
      <c r="G796" s="187"/>
      <c r="H796" s="187"/>
      <c r="I796" s="187"/>
    </row>
    <row r="797" spans="2:9" ht="15" customHeight="1">
      <c r="B797" s="187"/>
      <c r="C797" s="187"/>
      <c r="D797" s="187"/>
      <c r="E797" s="187"/>
      <c r="F797" s="187"/>
      <c r="G797" s="187"/>
      <c r="H797" s="187"/>
      <c r="I797" s="187"/>
    </row>
    <row r="798" spans="2:9" ht="15" customHeight="1">
      <c r="B798" s="187"/>
      <c r="C798" s="187"/>
      <c r="D798" s="187"/>
      <c r="E798" s="187"/>
      <c r="F798" s="187"/>
      <c r="G798" s="187"/>
      <c r="H798" s="187"/>
      <c r="I798" s="187"/>
    </row>
    <row r="799" spans="2:9" ht="15" customHeight="1">
      <c r="B799" s="187"/>
      <c r="C799" s="187"/>
      <c r="D799" s="187"/>
      <c r="E799" s="187"/>
      <c r="F799" s="187"/>
      <c r="G799" s="187"/>
      <c r="H799" s="187"/>
      <c r="I799" s="187"/>
    </row>
    <row r="800" spans="2:9" ht="15" customHeight="1">
      <c r="B800" s="187"/>
      <c r="C800" s="187"/>
      <c r="D800" s="187"/>
      <c r="E800" s="187"/>
      <c r="F800" s="187"/>
      <c r="G800" s="187"/>
      <c r="H800" s="187"/>
      <c r="I800" s="187"/>
    </row>
    <row r="801" spans="2:9" ht="15" customHeight="1">
      <c r="B801" s="187"/>
      <c r="C801" s="187"/>
      <c r="D801" s="187"/>
      <c r="E801" s="187"/>
      <c r="F801" s="187"/>
      <c r="G801" s="187"/>
      <c r="H801" s="187"/>
      <c r="I801" s="187"/>
    </row>
    <row r="802" spans="2:9" ht="15" customHeight="1">
      <c r="B802" s="187"/>
      <c r="C802" s="187"/>
      <c r="D802" s="187"/>
      <c r="E802" s="187"/>
      <c r="F802" s="187"/>
      <c r="G802" s="187"/>
      <c r="H802" s="187"/>
      <c r="I802" s="187"/>
    </row>
    <row r="803" spans="2:9" ht="15" customHeight="1">
      <c r="B803" s="187"/>
      <c r="C803" s="187"/>
      <c r="D803" s="187"/>
      <c r="E803" s="187"/>
      <c r="F803" s="187"/>
      <c r="G803" s="187"/>
      <c r="H803" s="187"/>
      <c r="I803" s="187"/>
    </row>
    <row r="804" spans="2:9" ht="15" customHeight="1">
      <c r="B804" s="187"/>
      <c r="C804" s="187"/>
      <c r="D804" s="187"/>
      <c r="E804" s="187"/>
      <c r="F804" s="187"/>
      <c r="G804" s="187"/>
      <c r="H804" s="187"/>
      <c r="I804" s="187"/>
    </row>
    <row r="805" spans="2:9" ht="15" customHeight="1">
      <c r="B805" s="187"/>
      <c r="C805" s="187"/>
      <c r="D805" s="187"/>
      <c r="E805" s="187"/>
      <c r="F805" s="187"/>
      <c r="G805" s="187"/>
      <c r="H805" s="187"/>
      <c r="I805" s="187"/>
    </row>
    <row r="806" spans="2:9" ht="15" customHeight="1">
      <c r="B806" s="187"/>
      <c r="C806" s="187"/>
      <c r="D806" s="187"/>
      <c r="E806" s="187"/>
      <c r="F806" s="187"/>
      <c r="G806" s="187"/>
      <c r="H806" s="187"/>
      <c r="I806" s="187"/>
    </row>
    <row r="807" spans="2:9" ht="15" customHeight="1">
      <c r="B807" s="187"/>
      <c r="C807" s="187"/>
      <c r="D807" s="187"/>
      <c r="E807" s="187"/>
      <c r="F807" s="187"/>
      <c r="G807" s="187"/>
      <c r="H807" s="187"/>
      <c r="I807" s="187"/>
    </row>
    <row r="808" spans="2:9" ht="15" customHeight="1">
      <c r="B808" s="187"/>
      <c r="C808" s="187"/>
      <c r="D808" s="187"/>
      <c r="E808" s="187"/>
      <c r="F808" s="187"/>
      <c r="G808" s="187"/>
      <c r="H808" s="187"/>
      <c r="I808" s="187"/>
    </row>
    <row r="809" spans="2:9" ht="15" customHeight="1">
      <c r="B809" s="187"/>
      <c r="C809" s="187"/>
      <c r="D809" s="187"/>
      <c r="E809" s="187"/>
      <c r="F809" s="187"/>
      <c r="G809" s="187"/>
      <c r="H809" s="187"/>
      <c r="I809" s="187"/>
    </row>
    <row r="810" spans="2:9" ht="15" customHeight="1">
      <c r="B810" s="187"/>
      <c r="C810" s="187"/>
      <c r="D810" s="187"/>
      <c r="E810" s="187"/>
      <c r="F810" s="187"/>
      <c r="G810" s="187"/>
      <c r="H810" s="187"/>
      <c r="I810" s="187"/>
    </row>
    <row r="811" spans="2:9" ht="15" customHeight="1">
      <c r="B811" s="187"/>
      <c r="C811" s="187"/>
      <c r="D811" s="187"/>
      <c r="E811" s="187"/>
      <c r="F811" s="187"/>
      <c r="G811" s="187"/>
      <c r="H811" s="187"/>
      <c r="I811" s="187"/>
    </row>
    <row r="812" spans="2:9" ht="15" customHeight="1">
      <c r="B812" s="187"/>
      <c r="C812" s="187"/>
      <c r="D812" s="187"/>
      <c r="E812" s="187"/>
      <c r="F812" s="187"/>
      <c r="G812" s="187"/>
      <c r="H812" s="187"/>
      <c r="I812" s="187"/>
    </row>
    <row r="813" spans="2:9" ht="15" customHeight="1">
      <c r="B813" s="187"/>
      <c r="C813" s="187"/>
      <c r="D813" s="187"/>
      <c r="E813" s="187"/>
      <c r="F813" s="187"/>
      <c r="G813" s="187"/>
      <c r="H813" s="187"/>
      <c r="I813" s="187"/>
    </row>
    <row r="814" spans="2:9" ht="15" customHeight="1">
      <c r="B814" s="187"/>
      <c r="C814" s="187"/>
      <c r="D814" s="187"/>
      <c r="E814" s="187"/>
      <c r="F814" s="187"/>
      <c r="G814" s="187"/>
      <c r="H814" s="187"/>
      <c r="I814" s="187"/>
    </row>
    <row r="815" spans="2:9" ht="15" customHeight="1">
      <c r="B815" s="187"/>
      <c r="C815" s="187"/>
      <c r="D815" s="187"/>
      <c r="E815" s="187"/>
      <c r="F815" s="187"/>
      <c r="G815" s="187"/>
      <c r="H815" s="187"/>
      <c r="I815" s="187"/>
    </row>
    <row r="816" spans="2:9" ht="15" customHeight="1">
      <c r="B816" s="187"/>
      <c r="C816" s="187"/>
      <c r="D816" s="187"/>
      <c r="E816" s="187"/>
      <c r="F816" s="187"/>
      <c r="G816" s="187"/>
      <c r="H816" s="187"/>
      <c r="I816" s="187"/>
    </row>
    <row r="817" spans="2:9" ht="15" customHeight="1">
      <c r="B817" s="187"/>
      <c r="C817" s="187"/>
      <c r="D817" s="187"/>
      <c r="E817" s="187"/>
      <c r="F817" s="187"/>
      <c r="G817" s="187"/>
      <c r="H817" s="187"/>
      <c r="I817" s="187"/>
    </row>
    <row r="818" spans="2:9" ht="15" customHeight="1">
      <c r="B818" s="187"/>
      <c r="C818" s="187"/>
      <c r="D818" s="187"/>
      <c r="E818" s="187"/>
      <c r="F818" s="187"/>
      <c r="G818" s="187"/>
      <c r="H818" s="187"/>
      <c r="I818" s="187"/>
    </row>
    <row r="819" spans="2:9" ht="15" customHeight="1">
      <c r="B819" s="187"/>
      <c r="C819" s="187"/>
      <c r="D819" s="187"/>
      <c r="E819" s="187"/>
      <c r="F819" s="187"/>
      <c r="G819" s="187"/>
      <c r="H819" s="187"/>
      <c r="I819" s="187"/>
    </row>
    <row r="820" spans="2:9" ht="15" customHeight="1">
      <c r="B820" s="187"/>
      <c r="C820" s="187"/>
      <c r="D820" s="187"/>
      <c r="E820" s="187"/>
      <c r="F820" s="187"/>
      <c r="G820" s="187"/>
      <c r="H820" s="187"/>
      <c r="I820" s="187"/>
    </row>
    <row r="821" spans="2:9" ht="15" customHeight="1">
      <c r="B821" s="187"/>
      <c r="C821" s="187"/>
      <c r="D821" s="187"/>
      <c r="E821" s="187"/>
      <c r="F821" s="187"/>
      <c r="G821" s="187"/>
      <c r="H821" s="187"/>
      <c r="I821" s="187"/>
    </row>
    <row r="822" spans="2:9" ht="15" customHeight="1">
      <c r="B822" s="187"/>
      <c r="C822" s="187"/>
      <c r="D822" s="187"/>
      <c r="E822" s="187"/>
      <c r="F822" s="187"/>
      <c r="G822" s="187"/>
      <c r="H822" s="187"/>
      <c r="I822" s="187"/>
    </row>
    <row r="823" spans="2:9" ht="15" customHeight="1">
      <c r="B823" s="187"/>
      <c r="C823" s="187"/>
      <c r="D823" s="187"/>
      <c r="E823" s="187"/>
      <c r="F823" s="187"/>
      <c r="G823" s="187"/>
      <c r="H823" s="187"/>
      <c r="I823" s="187"/>
    </row>
    <row r="824" spans="2:9" ht="15" customHeight="1">
      <c r="B824" s="187"/>
      <c r="C824" s="187"/>
      <c r="D824" s="187"/>
      <c r="E824" s="187"/>
      <c r="F824" s="187"/>
      <c r="G824" s="187"/>
      <c r="H824" s="187"/>
      <c r="I824" s="187"/>
    </row>
    <row r="825" spans="2:9" ht="15" customHeight="1">
      <c r="B825" s="187"/>
      <c r="C825" s="187"/>
      <c r="D825" s="187"/>
      <c r="E825" s="187"/>
      <c r="F825" s="187"/>
      <c r="G825" s="187"/>
      <c r="H825" s="187"/>
      <c r="I825" s="187"/>
    </row>
    <row r="826" spans="2:9" ht="15" customHeight="1">
      <c r="B826" s="187"/>
      <c r="C826" s="187"/>
      <c r="D826" s="187"/>
      <c r="E826" s="187"/>
      <c r="F826" s="187"/>
      <c r="G826" s="187"/>
      <c r="H826" s="187"/>
      <c r="I826" s="187"/>
    </row>
    <row r="827" spans="2:9" ht="15" customHeight="1">
      <c r="B827" s="187"/>
      <c r="C827" s="187"/>
      <c r="D827" s="187"/>
      <c r="E827" s="187"/>
      <c r="F827" s="187"/>
      <c r="G827" s="187"/>
      <c r="H827" s="187"/>
      <c r="I827" s="187"/>
    </row>
    <row r="828" spans="2:9" ht="15" customHeight="1">
      <c r="B828" s="187"/>
      <c r="C828" s="187"/>
      <c r="D828" s="187"/>
      <c r="E828" s="187"/>
      <c r="F828" s="187"/>
      <c r="G828" s="187"/>
      <c r="H828" s="187"/>
      <c r="I828" s="187"/>
    </row>
    <row r="829" spans="2:9" ht="15" customHeight="1">
      <c r="B829" s="187"/>
      <c r="C829" s="187"/>
      <c r="D829" s="187"/>
      <c r="E829" s="187"/>
      <c r="F829" s="187"/>
      <c r="G829" s="187"/>
      <c r="H829" s="187"/>
      <c r="I829" s="187"/>
    </row>
    <row r="830" spans="2:9" ht="15" customHeight="1">
      <c r="B830" s="187"/>
      <c r="C830" s="187"/>
      <c r="D830" s="187"/>
      <c r="E830" s="187"/>
      <c r="F830" s="187"/>
      <c r="G830" s="187"/>
      <c r="H830" s="187"/>
      <c r="I830" s="187"/>
    </row>
    <row r="831" spans="2:9" ht="15" customHeight="1">
      <c r="B831" s="187"/>
      <c r="C831" s="187"/>
      <c r="D831" s="187"/>
      <c r="E831" s="187"/>
      <c r="F831" s="187"/>
      <c r="G831" s="187"/>
      <c r="H831" s="187"/>
      <c r="I831" s="187"/>
    </row>
    <row r="832" spans="2:9" ht="15" customHeight="1">
      <c r="B832" s="187"/>
      <c r="C832" s="187"/>
      <c r="D832" s="187"/>
      <c r="E832" s="187"/>
      <c r="F832" s="187"/>
      <c r="G832" s="187"/>
      <c r="H832" s="187"/>
      <c r="I832" s="187"/>
    </row>
    <row r="833" spans="2:9" ht="15" customHeight="1">
      <c r="B833" s="187"/>
      <c r="C833" s="187"/>
      <c r="D833" s="187"/>
      <c r="E833" s="187"/>
      <c r="F833" s="187"/>
      <c r="G833" s="187"/>
      <c r="H833" s="187"/>
      <c r="I833" s="187"/>
    </row>
    <row r="834" spans="2:9" ht="15" customHeight="1">
      <c r="B834" s="187"/>
      <c r="C834" s="187"/>
      <c r="D834" s="187"/>
      <c r="E834" s="187"/>
      <c r="F834" s="187"/>
      <c r="G834" s="187"/>
      <c r="H834" s="187"/>
      <c r="I834" s="187"/>
    </row>
    <row r="835" spans="2:9" ht="15" customHeight="1">
      <c r="B835" s="187"/>
      <c r="C835" s="187"/>
      <c r="D835" s="187"/>
      <c r="E835" s="187"/>
      <c r="F835" s="187"/>
      <c r="G835" s="187"/>
      <c r="H835" s="187"/>
      <c r="I835" s="187"/>
    </row>
    <row r="836" spans="2:9" ht="15" customHeight="1">
      <c r="B836" s="187"/>
      <c r="C836" s="187"/>
      <c r="D836" s="187"/>
      <c r="E836" s="187"/>
      <c r="F836" s="187"/>
      <c r="G836" s="187"/>
      <c r="H836" s="187"/>
      <c r="I836" s="187"/>
    </row>
    <row r="837" spans="2:9" ht="15" customHeight="1">
      <c r="B837" s="187"/>
      <c r="C837" s="187"/>
      <c r="D837" s="187"/>
      <c r="E837" s="187"/>
      <c r="F837" s="187"/>
      <c r="G837" s="187"/>
      <c r="H837" s="187"/>
      <c r="I837" s="187"/>
    </row>
    <row r="838" spans="2:9" ht="15" customHeight="1">
      <c r="B838" s="187"/>
      <c r="C838" s="187"/>
      <c r="D838" s="187"/>
      <c r="E838" s="187"/>
      <c r="F838" s="187"/>
      <c r="G838" s="187"/>
      <c r="H838" s="187"/>
      <c r="I838" s="187"/>
    </row>
    <row r="839" spans="2:9" ht="15" customHeight="1">
      <c r="B839" s="187"/>
      <c r="C839" s="187"/>
      <c r="D839" s="187"/>
      <c r="E839" s="187"/>
      <c r="F839" s="187"/>
      <c r="G839" s="187"/>
      <c r="H839" s="187"/>
      <c r="I839" s="187"/>
    </row>
    <row r="840" spans="2:9" ht="15" customHeight="1">
      <c r="B840" s="187"/>
      <c r="C840" s="187"/>
      <c r="D840" s="187"/>
      <c r="E840" s="187"/>
      <c r="F840" s="187"/>
      <c r="G840" s="187"/>
      <c r="H840" s="187"/>
      <c r="I840" s="187"/>
    </row>
    <row r="841" spans="2:9" ht="15" customHeight="1">
      <c r="B841" s="187"/>
      <c r="C841" s="187"/>
      <c r="D841" s="187"/>
      <c r="E841" s="187"/>
      <c r="F841" s="187"/>
      <c r="G841" s="187"/>
      <c r="H841" s="187"/>
      <c r="I841" s="187"/>
    </row>
    <row r="842" spans="2:9" ht="15" customHeight="1">
      <c r="B842" s="187"/>
      <c r="C842" s="187"/>
      <c r="D842" s="187"/>
      <c r="E842" s="187"/>
      <c r="F842" s="187"/>
      <c r="G842" s="187"/>
      <c r="H842" s="187"/>
      <c r="I842" s="187"/>
    </row>
    <row r="843" spans="2:9" ht="15" customHeight="1">
      <c r="B843" s="187"/>
      <c r="C843" s="187"/>
      <c r="D843" s="187"/>
      <c r="E843" s="187"/>
      <c r="F843" s="187"/>
      <c r="G843" s="187"/>
      <c r="H843" s="187"/>
      <c r="I843" s="187"/>
    </row>
    <row r="844" spans="2:9" ht="15" customHeight="1">
      <c r="B844" s="187"/>
      <c r="C844" s="187"/>
      <c r="D844" s="187"/>
      <c r="E844" s="187"/>
      <c r="F844" s="187"/>
      <c r="G844" s="187"/>
      <c r="H844" s="187"/>
      <c r="I844" s="187"/>
    </row>
    <row r="845" spans="2:9" ht="15" customHeight="1">
      <c r="B845" s="187"/>
      <c r="C845" s="187"/>
      <c r="D845" s="187"/>
      <c r="E845" s="187"/>
      <c r="F845" s="187"/>
      <c r="G845" s="187"/>
      <c r="H845" s="187"/>
      <c r="I845" s="187"/>
    </row>
    <row r="846" spans="2:9" ht="15" customHeight="1">
      <c r="B846" s="187"/>
      <c r="C846" s="187"/>
      <c r="D846" s="187"/>
      <c r="E846" s="187"/>
      <c r="F846" s="187"/>
      <c r="G846" s="187"/>
      <c r="H846" s="187"/>
      <c r="I846" s="187"/>
    </row>
    <row r="847" spans="2:9" ht="15" customHeight="1">
      <c r="B847" s="187"/>
      <c r="C847" s="187"/>
      <c r="D847" s="187"/>
      <c r="E847" s="187"/>
      <c r="F847" s="187"/>
      <c r="G847" s="187"/>
      <c r="H847" s="187"/>
      <c r="I847" s="187"/>
    </row>
    <row r="848" spans="2:9" ht="15" customHeight="1">
      <c r="B848" s="187"/>
      <c r="C848" s="187"/>
      <c r="D848" s="187"/>
      <c r="E848" s="187"/>
      <c r="F848" s="187"/>
      <c r="G848" s="187"/>
      <c r="H848" s="187"/>
      <c r="I848" s="187"/>
    </row>
    <row r="849" spans="2:9" ht="15" customHeight="1">
      <c r="B849" s="187"/>
      <c r="C849" s="187"/>
      <c r="D849" s="187"/>
      <c r="E849" s="187"/>
      <c r="F849" s="187"/>
      <c r="G849" s="187"/>
      <c r="H849" s="187"/>
      <c r="I849" s="187"/>
    </row>
    <row r="850" spans="2:9" ht="15" customHeight="1">
      <c r="B850" s="187"/>
      <c r="C850" s="187"/>
      <c r="D850" s="187"/>
      <c r="E850" s="187"/>
      <c r="F850" s="187"/>
      <c r="G850" s="187"/>
      <c r="H850" s="187"/>
      <c r="I850" s="187"/>
    </row>
    <row r="851" spans="2:9" ht="15" customHeight="1">
      <c r="B851" s="187"/>
      <c r="C851" s="187"/>
      <c r="D851" s="187"/>
      <c r="E851" s="187"/>
      <c r="F851" s="187"/>
      <c r="G851" s="187"/>
      <c r="H851" s="187"/>
      <c r="I851" s="187"/>
    </row>
    <row r="852" spans="2:9" ht="15" customHeight="1">
      <c r="B852" s="187"/>
      <c r="C852" s="187"/>
      <c r="D852" s="187"/>
      <c r="E852" s="187"/>
      <c r="F852" s="187"/>
      <c r="G852" s="187"/>
      <c r="H852" s="187"/>
      <c r="I852" s="187"/>
    </row>
    <row r="853" spans="2:9" ht="15" customHeight="1">
      <c r="B853" s="187"/>
      <c r="C853" s="187"/>
      <c r="D853" s="187"/>
      <c r="E853" s="187"/>
      <c r="F853" s="187"/>
      <c r="G853" s="187"/>
      <c r="H853" s="187"/>
      <c r="I853" s="187"/>
    </row>
    <row r="854" spans="2:9" ht="15" customHeight="1">
      <c r="B854" s="187"/>
      <c r="C854" s="187"/>
      <c r="D854" s="187"/>
      <c r="E854" s="187"/>
      <c r="F854" s="187"/>
      <c r="G854" s="187"/>
      <c r="H854" s="187"/>
      <c r="I854" s="187"/>
    </row>
    <row r="855" spans="2:9" ht="15" customHeight="1">
      <c r="B855" s="187"/>
      <c r="C855" s="187"/>
      <c r="D855" s="187"/>
      <c r="E855" s="187"/>
      <c r="F855" s="187"/>
      <c r="G855" s="187"/>
      <c r="H855" s="187"/>
      <c r="I855" s="187"/>
    </row>
    <row r="856" spans="2:9" ht="15" customHeight="1">
      <c r="B856" s="187"/>
      <c r="C856" s="187"/>
      <c r="D856" s="187"/>
      <c r="E856" s="187"/>
      <c r="F856" s="187"/>
      <c r="G856" s="187"/>
      <c r="H856" s="187"/>
      <c r="I856" s="187"/>
    </row>
    <row r="857" spans="2:9" ht="15" customHeight="1">
      <c r="B857" s="187"/>
      <c r="C857" s="187"/>
      <c r="D857" s="187"/>
      <c r="E857" s="187"/>
      <c r="F857" s="187"/>
      <c r="G857" s="187"/>
      <c r="H857" s="187"/>
      <c r="I857" s="187"/>
    </row>
    <row r="858" spans="2:9" ht="15" customHeight="1">
      <c r="B858" s="187"/>
      <c r="C858" s="187"/>
      <c r="D858" s="187"/>
      <c r="E858" s="187"/>
      <c r="F858" s="187"/>
      <c r="G858" s="187"/>
      <c r="H858" s="187"/>
      <c r="I858" s="187"/>
    </row>
    <row r="859" spans="2:9" ht="15" customHeight="1">
      <c r="B859" s="187"/>
      <c r="C859" s="187"/>
      <c r="D859" s="187"/>
      <c r="E859" s="187"/>
      <c r="F859" s="187"/>
      <c r="G859" s="187"/>
      <c r="H859" s="187"/>
      <c r="I859" s="187"/>
    </row>
    <row r="860" spans="2:9" ht="15" customHeight="1">
      <c r="B860" s="187"/>
      <c r="C860" s="187"/>
      <c r="D860" s="187"/>
      <c r="E860" s="187"/>
      <c r="F860" s="187"/>
      <c r="G860" s="187"/>
      <c r="H860" s="187"/>
      <c r="I860" s="187"/>
    </row>
    <row r="861" spans="2:9" ht="15" customHeight="1">
      <c r="B861" s="187"/>
      <c r="C861" s="187"/>
      <c r="D861" s="187"/>
      <c r="E861" s="187"/>
      <c r="F861" s="187"/>
      <c r="G861" s="187"/>
      <c r="H861" s="187"/>
      <c r="I861" s="187"/>
    </row>
    <row r="862" spans="2:9" ht="15" customHeight="1">
      <c r="B862" s="187"/>
      <c r="C862" s="187"/>
      <c r="D862" s="187"/>
      <c r="E862" s="187"/>
      <c r="F862" s="187"/>
      <c r="G862" s="187"/>
      <c r="H862" s="187"/>
      <c r="I862" s="187"/>
    </row>
    <row r="863" spans="2:9" ht="15" customHeight="1">
      <c r="B863" s="187"/>
      <c r="C863" s="187"/>
      <c r="D863" s="187"/>
      <c r="E863" s="187"/>
      <c r="F863" s="187"/>
      <c r="G863" s="187"/>
      <c r="H863" s="187"/>
      <c r="I863" s="187"/>
    </row>
    <row r="864" spans="2:9" ht="15" customHeight="1">
      <c r="B864" s="187"/>
      <c r="C864" s="187"/>
      <c r="D864" s="187"/>
      <c r="E864" s="187"/>
      <c r="F864" s="187"/>
      <c r="G864" s="187"/>
      <c r="H864" s="187"/>
      <c r="I864" s="187"/>
    </row>
    <row r="865" spans="2:9" ht="15" customHeight="1">
      <c r="B865" s="187"/>
      <c r="C865" s="187"/>
      <c r="D865" s="187"/>
      <c r="E865" s="187"/>
      <c r="F865" s="187"/>
      <c r="G865" s="187"/>
      <c r="H865" s="187"/>
      <c r="I865" s="187"/>
    </row>
    <row r="866" spans="2:9" ht="15" customHeight="1">
      <c r="B866" s="187"/>
      <c r="C866" s="187"/>
      <c r="D866" s="187"/>
      <c r="E866" s="187"/>
      <c r="F866" s="187"/>
      <c r="G866" s="187"/>
      <c r="H866" s="187"/>
      <c r="I866" s="187"/>
    </row>
    <row r="867" spans="2:9" ht="15" customHeight="1">
      <c r="B867" s="187"/>
      <c r="C867" s="187"/>
      <c r="D867" s="187"/>
      <c r="E867" s="187"/>
      <c r="F867" s="187"/>
      <c r="G867" s="187"/>
      <c r="H867" s="187"/>
      <c r="I867" s="187"/>
    </row>
    <row r="868" spans="2:9" ht="15" customHeight="1">
      <c r="B868" s="187"/>
      <c r="C868" s="187"/>
      <c r="D868" s="187"/>
      <c r="E868" s="187"/>
      <c r="F868" s="187"/>
      <c r="G868" s="187"/>
      <c r="H868" s="187"/>
      <c r="I868" s="187"/>
    </row>
    <row r="869" spans="2:9" ht="15" customHeight="1">
      <c r="B869" s="187"/>
      <c r="C869" s="187"/>
      <c r="D869" s="187"/>
      <c r="E869" s="187"/>
      <c r="F869" s="187"/>
      <c r="G869" s="187"/>
      <c r="H869" s="187"/>
      <c r="I869" s="187"/>
    </row>
    <row r="870" spans="2:9" ht="15" customHeight="1">
      <c r="B870" s="187"/>
      <c r="C870" s="187"/>
      <c r="D870" s="187"/>
      <c r="E870" s="187"/>
      <c r="F870" s="187"/>
      <c r="G870" s="187"/>
      <c r="H870" s="187"/>
      <c r="I870" s="187"/>
    </row>
    <row r="871" spans="2:9" ht="15" customHeight="1">
      <c r="B871" s="187"/>
      <c r="C871" s="187"/>
      <c r="D871" s="187"/>
      <c r="E871" s="187"/>
      <c r="F871" s="187"/>
      <c r="G871" s="187"/>
      <c r="H871" s="187"/>
      <c r="I871" s="187"/>
    </row>
    <row r="872" spans="2:9" ht="15" customHeight="1">
      <c r="B872" s="187"/>
      <c r="C872" s="187"/>
      <c r="D872" s="187"/>
      <c r="E872" s="187"/>
      <c r="F872" s="187"/>
      <c r="G872" s="187"/>
      <c r="H872" s="187"/>
      <c r="I872" s="187"/>
    </row>
    <row r="873" spans="2:9" ht="15" customHeight="1">
      <c r="B873" s="187"/>
      <c r="C873" s="187"/>
      <c r="D873" s="187"/>
      <c r="E873" s="187"/>
      <c r="F873" s="187"/>
      <c r="G873" s="187"/>
      <c r="H873" s="187"/>
      <c r="I873" s="187"/>
    </row>
    <row r="874" spans="2:9" ht="15" customHeight="1">
      <c r="B874" s="187"/>
      <c r="C874" s="187"/>
      <c r="D874" s="187"/>
      <c r="E874" s="187"/>
      <c r="F874" s="187"/>
      <c r="G874" s="187"/>
      <c r="H874" s="187"/>
      <c r="I874" s="187"/>
    </row>
    <row r="875" spans="2:9" ht="15" customHeight="1">
      <c r="B875" s="187"/>
      <c r="C875" s="187"/>
      <c r="D875" s="187"/>
      <c r="E875" s="187"/>
      <c r="F875" s="187"/>
      <c r="G875" s="187"/>
      <c r="H875" s="187"/>
      <c r="I875" s="187"/>
    </row>
    <row r="876" spans="2:9" ht="15" customHeight="1">
      <c r="B876" s="187"/>
      <c r="C876" s="187"/>
      <c r="D876" s="187"/>
      <c r="E876" s="187"/>
      <c r="F876" s="187"/>
      <c r="G876" s="187"/>
      <c r="H876" s="187"/>
      <c r="I876" s="187"/>
    </row>
    <row r="877" spans="2:9" ht="15" customHeight="1">
      <c r="B877" s="187"/>
      <c r="C877" s="187"/>
      <c r="D877" s="187"/>
      <c r="E877" s="187"/>
      <c r="F877" s="187"/>
      <c r="G877" s="187"/>
      <c r="H877" s="187"/>
      <c r="I877" s="187"/>
    </row>
    <row r="878" spans="2:9" ht="15" customHeight="1">
      <c r="B878" s="187"/>
      <c r="C878" s="187"/>
      <c r="D878" s="187"/>
      <c r="E878" s="187"/>
      <c r="F878" s="187"/>
      <c r="G878" s="187"/>
      <c r="H878" s="187"/>
      <c r="I878" s="187"/>
    </row>
    <row r="879" spans="2:9" ht="15" customHeight="1">
      <c r="B879" s="187"/>
      <c r="C879" s="187"/>
      <c r="D879" s="187"/>
      <c r="E879" s="187"/>
      <c r="F879" s="187"/>
      <c r="G879" s="187"/>
      <c r="H879" s="187"/>
      <c r="I879" s="187"/>
    </row>
    <row r="880" spans="2:9" ht="15" customHeight="1">
      <c r="B880" s="187"/>
      <c r="C880" s="187"/>
      <c r="D880" s="187"/>
      <c r="E880" s="187"/>
      <c r="F880" s="187"/>
      <c r="G880" s="187"/>
      <c r="H880" s="187"/>
      <c r="I880" s="187"/>
    </row>
    <row r="881" spans="2:16" ht="15" customHeight="1">
      <c r="B881" s="187"/>
      <c r="C881" s="187"/>
      <c r="D881" s="187"/>
      <c r="E881" s="187"/>
      <c r="F881" s="187"/>
      <c r="G881" s="187"/>
      <c r="H881" s="187"/>
      <c r="I881" s="187"/>
    </row>
    <row r="882" spans="2:16" ht="15" customHeight="1">
      <c r="B882" s="187"/>
      <c r="C882" s="187"/>
      <c r="D882" s="187"/>
      <c r="E882" s="187"/>
      <c r="F882" s="187"/>
      <c r="G882" s="187"/>
      <c r="H882" s="187"/>
      <c r="I882" s="187"/>
    </row>
    <row r="883" spans="2:16" ht="15" customHeight="1">
      <c r="B883" s="187"/>
      <c r="C883" s="187"/>
      <c r="D883" s="187"/>
      <c r="E883" s="187"/>
      <c r="F883" s="187"/>
      <c r="G883" s="187"/>
      <c r="H883" s="187"/>
    </row>
    <row r="884" spans="2:16" ht="15" customHeight="1">
      <c r="B884" s="187"/>
      <c r="C884" s="187"/>
      <c r="D884" s="187"/>
      <c r="E884" s="187"/>
      <c r="F884" s="187"/>
      <c r="G884" s="187"/>
      <c r="H884" s="187"/>
    </row>
    <row r="885" spans="2:16" ht="15" customHeight="1">
      <c r="B885" s="187"/>
      <c r="C885" s="187"/>
      <c r="D885" s="187"/>
      <c r="E885" s="187"/>
      <c r="F885" s="187"/>
      <c r="G885" s="187"/>
      <c r="H885" s="187"/>
    </row>
    <row r="886" spans="2:16" ht="15" customHeight="1">
      <c r="B886" s="187"/>
      <c r="C886" s="187"/>
      <c r="D886" s="187"/>
      <c r="E886" s="187"/>
      <c r="F886" s="187"/>
      <c r="G886" s="187"/>
      <c r="H886" s="187"/>
    </row>
    <row r="887" spans="2:16" ht="15" customHeight="1">
      <c r="B887" s="187"/>
      <c r="C887" s="187"/>
      <c r="D887" s="187"/>
      <c r="E887" s="187"/>
      <c r="F887" s="187"/>
      <c r="G887" s="187"/>
      <c r="H887" s="187"/>
    </row>
    <row r="888" spans="2:16" ht="15" customHeight="1">
      <c r="B888" s="187"/>
      <c r="C888" s="187"/>
      <c r="D888" s="187"/>
      <c r="E888" s="187"/>
      <c r="F888" s="187"/>
      <c r="G888" s="187"/>
      <c r="H888" s="187"/>
    </row>
    <row r="889" spans="2:16" ht="15" customHeight="1">
      <c r="B889" s="187"/>
      <c r="C889" s="187"/>
      <c r="D889" s="187"/>
      <c r="E889" s="187"/>
      <c r="F889" s="187"/>
      <c r="G889" s="187"/>
      <c r="H889" s="187"/>
    </row>
    <row r="890" spans="2:16" ht="15" customHeight="1">
      <c r="B890" s="187"/>
      <c r="C890" s="187"/>
      <c r="D890" s="187"/>
      <c r="E890" s="187"/>
      <c r="F890" s="187"/>
      <c r="G890" s="187"/>
      <c r="H890" s="187"/>
    </row>
    <row r="891" spans="2:16" ht="15" customHeight="1">
      <c r="B891" s="187"/>
      <c r="C891" s="187"/>
      <c r="D891" s="187"/>
      <c r="E891" s="187"/>
      <c r="F891" s="187"/>
      <c r="G891" s="187"/>
      <c r="H891" s="187"/>
    </row>
    <row r="892" spans="2:16" ht="15" customHeight="1">
      <c r="B892" s="187"/>
      <c r="C892" s="187"/>
      <c r="D892" s="187"/>
      <c r="E892" s="187"/>
      <c r="F892" s="187"/>
      <c r="G892" s="187"/>
      <c r="H892" s="187"/>
    </row>
    <row r="893" spans="2:16" ht="15" customHeight="1">
      <c r="B893" s="187"/>
      <c r="C893" s="187"/>
      <c r="D893" s="187"/>
      <c r="E893" s="187"/>
      <c r="F893" s="187"/>
      <c r="G893" s="187"/>
      <c r="H893" s="187"/>
    </row>
    <row r="894" spans="2:16" ht="15" customHeight="1">
      <c r="B894" s="187"/>
      <c r="C894" s="187"/>
      <c r="D894" s="187"/>
      <c r="E894" s="187"/>
      <c r="F894" s="187"/>
      <c r="G894" s="187"/>
      <c r="H894" s="187"/>
    </row>
    <row r="895" spans="2:16" s="188" customFormat="1" ht="15" customHeight="1">
      <c r="B895" s="187"/>
      <c r="C895" s="187"/>
      <c r="D895" s="187"/>
      <c r="E895" s="187"/>
      <c r="F895" s="187"/>
      <c r="G895" s="187"/>
      <c r="H895" s="187"/>
      <c r="J895" s="189"/>
      <c r="K895" s="190"/>
      <c r="L895" s="190"/>
      <c r="M895" s="189"/>
      <c r="N895" s="189"/>
      <c r="O895" s="187"/>
      <c r="P895" s="187"/>
    </row>
    <row r="896" spans="2:16" s="188" customFormat="1" ht="15" customHeight="1">
      <c r="B896" s="187"/>
      <c r="C896" s="187"/>
      <c r="D896" s="187"/>
      <c r="E896" s="187"/>
      <c r="F896" s="187"/>
      <c r="G896" s="187"/>
      <c r="H896" s="187"/>
      <c r="J896" s="186"/>
      <c r="K896" s="180"/>
      <c r="L896" s="180"/>
      <c r="M896" s="186"/>
      <c r="N896" s="186"/>
    </row>
    <row r="897" spans="2:14" s="188" customFormat="1" ht="15" customHeight="1">
      <c r="B897" s="187"/>
      <c r="C897" s="187"/>
      <c r="D897" s="187"/>
      <c r="E897" s="187"/>
      <c r="F897" s="187"/>
      <c r="G897" s="187"/>
      <c r="H897" s="187"/>
      <c r="J897" s="186"/>
      <c r="K897" s="180"/>
      <c r="L897" s="180"/>
      <c r="M897" s="186"/>
      <c r="N897" s="186"/>
    </row>
    <row r="898" spans="2:14" s="188" customFormat="1" ht="15" customHeight="1">
      <c r="B898" s="187"/>
      <c r="C898" s="187"/>
      <c r="D898" s="187"/>
      <c r="E898" s="187"/>
      <c r="F898" s="187"/>
      <c r="G898" s="187"/>
      <c r="H898" s="187"/>
      <c r="J898" s="186"/>
      <c r="K898" s="180"/>
      <c r="L898" s="180"/>
      <c r="M898" s="186"/>
      <c r="N898" s="186"/>
    </row>
    <row r="899" spans="2:14" s="188" customFormat="1" ht="15" customHeight="1">
      <c r="B899" s="187"/>
      <c r="C899" s="187"/>
      <c r="D899" s="187"/>
      <c r="E899" s="187"/>
      <c r="F899" s="187"/>
      <c r="G899" s="187"/>
      <c r="H899" s="187"/>
      <c r="J899" s="186"/>
      <c r="K899" s="180"/>
      <c r="L899" s="180"/>
      <c r="M899" s="186"/>
      <c r="N899" s="186"/>
    </row>
    <row r="900" spans="2:14" s="188" customFormat="1" ht="15" customHeight="1">
      <c r="B900" s="187"/>
      <c r="C900" s="187"/>
      <c r="D900" s="187"/>
      <c r="E900" s="187"/>
      <c r="F900" s="187"/>
      <c r="G900" s="187"/>
      <c r="H900" s="187"/>
      <c r="J900" s="186"/>
      <c r="K900" s="180"/>
      <c r="L900" s="180"/>
      <c r="M900" s="186"/>
      <c r="N900" s="186"/>
    </row>
    <row r="901" spans="2:14" s="188" customFormat="1" ht="15" customHeight="1">
      <c r="B901" s="187"/>
      <c r="C901" s="187"/>
      <c r="D901" s="187"/>
      <c r="E901" s="187"/>
      <c r="F901" s="187"/>
      <c r="G901" s="187"/>
      <c r="H901" s="187"/>
      <c r="J901" s="186"/>
      <c r="K901" s="180"/>
      <c r="L901" s="180"/>
      <c r="M901" s="186"/>
      <c r="N901" s="186"/>
    </row>
    <row r="902" spans="2:14" s="188" customFormat="1" ht="15" customHeight="1">
      <c r="B902" s="187"/>
      <c r="C902" s="187"/>
      <c r="D902" s="187"/>
      <c r="E902" s="187"/>
      <c r="F902" s="187"/>
      <c r="G902" s="187"/>
      <c r="H902" s="187"/>
      <c r="J902" s="186"/>
      <c r="K902" s="180"/>
      <c r="L902" s="180"/>
      <c r="M902" s="186"/>
      <c r="N902" s="186"/>
    </row>
    <row r="903" spans="2:14" s="188" customFormat="1" ht="15" customHeight="1">
      <c r="B903" s="187"/>
      <c r="C903" s="187"/>
      <c r="D903" s="187"/>
      <c r="E903" s="187"/>
      <c r="F903" s="187"/>
      <c r="G903" s="187"/>
      <c r="H903" s="187"/>
      <c r="J903" s="186"/>
      <c r="K903" s="180"/>
      <c r="L903" s="180"/>
      <c r="M903" s="186"/>
      <c r="N903" s="186"/>
    </row>
    <row r="904" spans="2:14" s="188" customFormat="1" ht="15" customHeight="1">
      <c r="B904" s="187"/>
      <c r="C904" s="187"/>
      <c r="D904" s="187"/>
      <c r="E904" s="187"/>
      <c r="F904" s="187"/>
      <c r="G904" s="187"/>
      <c r="H904" s="187"/>
      <c r="J904" s="186"/>
      <c r="K904" s="180"/>
      <c r="L904" s="180"/>
      <c r="M904" s="186"/>
      <c r="N904" s="186"/>
    </row>
    <row r="905" spans="2:14" s="188" customFormat="1" ht="15" customHeight="1">
      <c r="B905" s="187"/>
      <c r="C905" s="187"/>
      <c r="D905" s="187"/>
      <c r="E905" s="187"/>
      <c r="F905" s="187"/>
      <c r="G905" s="187"/>
      <c r="H905" s="187"/>
      <c r="J905" s="186"/>
      <c r="K905" s="180"/>
      <c r="L905" s="180"/>
      <c r="M905" s="186"/>
      <c r="N905" s="186"/>
    </row>
    <row r="906" spans="2:14" s="188" customFormat="1" ht="15" customHeight="1">
      <c r="B906" s="187"/>
      <c r="C906" s="187"/>
      <c r="D906" s="187"/>
      <c r="E906" s="187"/>
      <c r="F906" s="187"/>
      <c r="G906" s="187"/>
      <c r="H906" s="187"/>
      <c r="J906" s="186"/>
      <c r="K906" s="180"/>
      <c r="L906" s="180"/>
      <c r="M906" s="186"/>
      <c r="N906" s="186"/>
    </row>
    <row r="907" spans="2:14" s="188" customFormat="1" ht="15" customHeight="1">
      <c r="B907" s="187"/>
      <c r="C907" s="187"/>
      <c r="D907" s="187"/>
      <c r="E907" s="187"/>
      <c r="F907" s="187"/>
      <c r="G907" s="187"/>
      <c r="H907" s="187"/>
      <c r="J907" s="186"/>
      <c r="K907" s="180"/>
      <c r="L907" s="180"/>
      <c r="M907" s="186"/>
      <c r="N907" s="186"/>
    </row>
    <row r="908" spans="2:14" s="188" customFormat="1" ht="15" customHeight="1">
      <c r="B908" s="187"/>
      <c r="C908" s="187"/>
      <c r="D908" s="187"/>
      <c r="E908" s="187"/>
      <c r="F908" s="187"/>
      <c r="G908" s="187"/>
      <c r="H908" s="187"/>
      <c r="J908" s="186"/>
      <c r="K908" s="180"/>
      <c r="L908" s="180"/>
      <c r="M908" s="186"/>
      <c r="N908" s="186"/>
    </row>
    <row r="909" spans="2:14" s="188" customFormat="1" ht="15" customHeight="1">
      <c r="B909" s="187"/>
      <c r="C909" s="187"/>
      <c r="D909" s="187"/>
      <c r="E909" s="187"/>
      <c r="F909" s="187"/>
      <c r="G909" s="187"/>
      <c r="H909" s="187"/>
      <c r="J909" s="186"/>
      <c r="K909" s="180"/>
      <c r="L909" s="180"/>
      <c r="M909" s="186"/>
      <c r="N909" s="186"/>
    </row>
    <row r="910" spans="2:14" s="188" customFormat="1" ht="15" customHeight="1">
      <c r="B910" s="187"/>
      <c r="C910" s="187"/>
      <c r="D910" s="187"/>
      <c r="E910" s="187"/>
      <c r="F910" s="187"/>
      <c r="G910" s="187"/>
      <c r="H910" s="187"/>
      <c r="J910" s="186"/>
      <c r="K910" s="180"/>
      <c r="L910" s="180"/>
      <c r="M910" s="186"/>
      <c r="N910" s="186"/>
    </row>
    <row r="911" spans="2:14" s="188" customFormat="1" ht="15" customHeight="1">
      <c r="B911" s="187"/>
      <c r="C911" s="187"/>
      <c r="D911" s="187"/>
      <c r="E911" s="187"/>
      <c r="F911" s="187"/>
      <c r="G911" s="187"/>
      <c r="H911" s="187"/>
      <c r="J911" s="186"/>
      <c r="K911" s="180"/>
      <c r="L911" s="180"/>
      <c r="M911" s="186"/>
      <c r="N911" s="186"/>
    </row>
    <row r="912" spans="2:14" s="188" customFormat="1" ht="15" customHeight="1">
      <c r="B912" s="187"/>
      <c r="C912" s="187"/>
      <c r="D912" s="187"/>
      <c r="E912" s="187"/>
      <c r="F912" s="187"/>
      <c r="G912" s="187"/>
      <c r="H912" s="187"/>
      <c r="J912" s="186"/>
      <c r="K912" s="180"/>
      <c r="L912" s="180"/>
      <c r="M912" s="186"/>
      <c r="N912" s="186"/>
    </row>
    <row r="913" spans="2:14" s="188" customFormat="1" ht="15" customHeight="1">
      <c r="B913" s="187"/>
      <c r="C913" s="187"/>
      <c r="D913" s="187"/>
      <c r="E913" s="187"/>
      <c r="F913" s="187"/>
      <c r="G913" s="187"/>
      <c r="H913" s="187"/>
      <c r="J913" s="186"/>
      <c r="K913" s="180"/>
      <c r="L913" s="180"/>
      <c r="M913" s="186"/>
      <c r="N913" s="186"/>
    </row>
    <row r="914" spans="2:14" s="188" customFormat="1" ht="15" customHeight="1">
      <c r="B914" s="187"/>
      <c r="C914" s="187"/>
      <c r="D914" s="187"/>
      <c r="E914" s="187"/>
      <c r="F914" s="187"/>
      <c r="G914" s="187"/>
      <c r="H914" s="187"/>
      <c r="J914" s="186"/>
      <c r="K914" s="180"/>
      <c r="L914" s="180"/>
      <c r="M914" s="186"/>
      <c r="N914" s="186"/>
    </row>
    <row r="915" spans="2:14" s="188" customFormat="1" ht="15" customHeight="1">
      <c r="B915" s="187"/>
      <c r="C915" s="187"/>
      <c r="D915" s="187"/>
      <c r="E915" s="187"/>
      <c r="F915" s="187"/>
      <c r="G915" s="187"/>
      <c r="H915" s="187"/>
      <c r="J915" s="186"/>
      <c r="K915" s="180"/>
      <c r="L915" s="180"/>
      <c r="M915" s="186"/>
      <c r="N915" s="186"/>
    </row>
    <row r="916" spans="2:14" s="188" customFormat="1" ht="15" customHeight="1">
      <c r="B916" s="187"/>
      <c r="C916" s="187"/>
      <c r="D916" s="187"/>
      <c r="E916" s="187"/>
      <c r="F916" s="187"/>
      <c r="G916" s="187"/>
      <c r="H916" s="187"/>
      <c r="J916" s="186"/>
      <c r="K916" s="180"/>
      <c r="L916" s="180"/>
      <c r="M916" s="186"/>
      <c r="N916" s="186"/>
    </row>
    <row r="917" spans="2:14" s="188" customFormat="1" ht="15" customHeight="1">
      <c r="B917" s="187"/>
      <c r="C917" s="187"/>
      <c r="D917" s="187"/>
      <c r="E917" s="187"/>
      <c r="F917" s="187"/>
      <c r="G917" s="187"/>
      <c r="H917" s="187"/>
      <c r="J917" s="186"/>
      <c r="K917" s="180"/>
      <c r="L917" s="180"/>
      <c r="M917" s="186"/>
      <c r="N917" s="186"/>
    </row>
    <row r="918" spans="2:14" s="188" customFormat="1" ht="15" customHeight="1">
      <c r="B918" s="187"/>
      <c r="C918" s="187"/>
      <c r="D918" s="187"/>
      <c r="E918" s="187"/>
      <c r="F918" s="187"/>
      <c r="G918" s="187"/>
      <c r="H918" s="187"/>
      <c r="J918" s="186"/>
      <c r="K918" s="180"/>
      <c r="L918" s="180"/>
      <c r="M918" s="186"/>
      <c r="N918" s="186"/>
    </row>
    <row r="919" spans="2:14" s="188" customFormat="1" ht="15" customHeight="1">
      <c r="B919" s="187"/>
      <c r="C919" s="187"/>
      <c r="D919" s="187"/>
      <c r="E919" s="187"/>
      <c r="F919" s="187"/>
      <c r="G919" s="187"/>
      <c r="H919" s="187"/>
      <c r="J919" s="186"/>
      <c r="K919" s="180"/>
      <c r="L919" s="180"/>
      <c r="M919" s="186"/>
      <c r="N919" s="186"/>
    </row>
    <row r="920" spans="2:14" s="188" customFormat="1" ht="15" customHeight="1">
      <c r="B920" s="187"/>
      <c r="C920" s="187"/>
      <c r="D920" s="187"/>
      <c r="E920" s="187"/>
      <c r="F920" s="187"/>
      <c r="G920" s="187"/>
      <c r="H920" s="187"/>
      <c r="J920" s="186"/>
      <c r="K920" s="180"/>
      <c r="L920" s="180"/>
      <c r="M920" s="186"/>
      <c r="N920" s="186"/>
    </row>
    <row r="921" spans="2:14" s="188" customFormat="1" ht="15" customHeight="1">
      <c r="B921" s="187"/>
      <c r="C921" s="187"/>
      <c r="D921" s="187"/>
      <c r="E921" s="187"/>
      <c r="F921" s="187"/>
      <c r="G921" s="187"/>
      <c r="H921" s="187"/>
      <c r="J921" s="186"/>
      <c r="K921" s="180"/>
      <c r="L921" s="180"/>
      <c r="M921" s="186"/>
      <c r="N921" s="186"/>
    </row>
    <row r="922" spans="2:14" s="188" customFormat="1" ht="15" customHeight="1">
      <c r="B922" s="187"/>
      <c r="C922" s="187"/>
      <c r="D922" s="187"/>
      <c r="E922" s="187"/>
      <c r="F922" s="187"/>
      <c r="G922" s="187"/>
      <c r="H922" s="187"/>
      <c r="J922" s="186"/>
      <c r="K922" s="180"/>
      <c r="L922" s="180"/>
      <c r="M922" s="186"/>
      <c r="N922" s="186"/>
    </row>
    <row r="923" spans="2:14" s="188" customFormat="1" ht="15" customHeight="1">
      <c r="B923" s="187"/>
      <c r="C923" s="187"/>
      <c r="D923" s="187"/>
      <c r="E923" s="187"/>
      <c r="F923" s="187"/>
      <c r="G923" s="187"/>
      <c r="H923" s="187"/>
      <c r="J923" s="186"/>
      <c r="K923" s="180"/>
      <c r="L923" s="180"/>
      <c r="M923" s="186"/>
      <c r="N923" s="186"/>
    </row>
    <row r="924" spans="2:14" s="188" customFormat="1" ht="15" customHeight="1">
      <c r="B924" s="187"/>
      <c r="C924" s="187"/>
      <c r="D924" s="187"/>
      <c r="E924" s="187"/>
      <c r="F924" s="187"/>
      <c r="G924" s="187"/>
      <c r="H924" s="187"/>
      <c r="J924" s="186"/>
      <c r="K924" s="180"/>
      <c r="L924" s="180"/>
      <c r="M924" s="186"/>
      <c r="N924" s="186"/>
    </row>
    <row r="925" spans="2:14" s="188" customFormat="1" ht="15" customHeight="1">
      <c r="B925" s="187"/>
      <c r="C925" s="187"/>
      <c r="D925" s="187"/>
      <c r="E925" s="187"/>
      <c r="F925" s="187"/>
      <c r="G925" s="187"/>
      <c r="H925" s="187"/>
      <c r="J925" s="186"/>
      <c r="K925" s="180"/>
      <c r="L925" s="180"/>
      <c r="M925" s="186"/>
      <c r="N925" s="186"/>
    </row>
    <row r="926" spans="2:14" s="188" customFormat="1" ht="15" customHeight="1">
      <c r="B926" s="187"/>
      <c r="C926" s="187"/>
      <c r="D926" s="187"/>
      <c r="E926" s="187"/>
      <c r="F926" s="187"/>
      <c r="G926" s="187"/>
      <c r="H926" s="187"/>
      <c r="J926" s="186"/>
      <c r="K926" s="180"/>
      <c r="L926" s="180"/>
      <c r="M926" s="186"/>
      <c r="N926" s="186"/>
    </row>
    <row r="927" spans="2:14" s="188" customFormat="1" ht="15" customHeight="1">
      <c r="B927" s="187"/>
      <c r="C927" s="187"/>
      <c r="D927" s="187"/>
      <c r="E927" s="187"/>
      <c r="F927" s="187"/>
      <c r="G927" s="187"/>
      <c r="H927" s="187"/>
      <c r="J927" s="186"/>
      <c r="K927" s="180"/>
      <c r="L927" s="180"/>
      <c r="M927" s="186"/>
      <c r="N927" s="186"/>
    </row>
    <row r="928" spans="2:14" s="188" customFormat="1" ht="15" customHeight="1">
      <c r="B928" s="187"/>
      <c r="C928" s="187"/>
      <c r="D928" s="187"/>
      <c r="E928" s="187"/>
      <c r="F928" s="187"/>
      <c r="G928" s="187"/>
      <c r="H928" s="187"/>
      <c r="J928" s="186"/>
      <c r="K928" s="180"/>
      <c r="L928" s="180"/>
      <c r="M928" s="186"/>
      <c r="N928" s="186"/>
    </row>
    <row r="929" spans="2:14" s="188" customFormat="1" ht="15" customHeight="1">
      <c r="B929" s="187"/>
      <c r="C929" s="187"/>
      <c r="D929" s="187"/>
      <c r="E929" s="187"/>
      <c r="F929" s="187"/>
      <c r="G929" s="187"/>
      <c r="H929" s="187"/>
      <c r="J929" s="186"/>
      <c r="K929" s="180"/>
      <c r="L929" s="180"/>
      <c r="M929" s="186"/>
      <c r="N929" s="186"/>
    </row>
    <row r="930" spans="2:14" s="188" customFormat="1" ht="15" customHeight="1">
      <c r="B930" s="187"/>
      <c r="C930" s="187"/>
      <c r="D930" s="187"/>
      <c r="E930" s="187"/>
      <c r="F930" s="187"/>
      <c r="G930" s="187"/>
      <c r="H930" s="187"/>
      <c r="J930" s="186"/>
      <c r="K930" s="180"/>
      <c r="L930" s="180"/>
      <c r="M930" s="186"/>
      <c r="N930" s="186"/>
    </row>
    <row r="931" spans="2:14" s="188" customFormat="1" ht="15" customHeight="1">
      <c r="B931" s="187"/>
      <c r="C931" s="187"/>
      <c r="D931" s="187"/>
      <c r="E931" s="187"/>
      <c r="F931" s="187"/>
      <c r="G931" s="187"/>
      <c r="H931" s="187"/>
      <c r="J931" s="186"/>
      <c r="K931" s="180"/>
      <c r="L931" s="180"/>
      <c r="M931" s="186"/>
      <c r="N931" s="186"/>
    </row>
    <row r="932" spans="2:14" s="188" customFormat="1" ht="15" customHeight="1">
      <c r="B932" s="187"/>
      <c r="C932" s="187"/>
      <c r="D932" s="187"/>
      <c r="E932" s="187"/>
      <c r="F932" s="187"/>
      <c r="G932" s="187"/>
      <c r="H932" s="187"/>
      <c r="J932" s="186"/>
      <c r="K932" s="180"/>
      <c r="L932" s="180"/>
      <c r="M932" s="186"/>
      <c r="N932" s="186"/>
    </row>
    <row r="933" spans="2:14" s="188" customFormat="1" ht="15" customHeight="1">
      <c r="B933" s="187"/>
      <c r="C933" s="187"/>
      <c r="D933" s="187"/>
      <c r="E933" s="187"/>
      <c r="F933" s="187"/>
      <c r="G933" s="187"/>
      <c r="H933" s="187"/>
      <c r="J933" s="186"/>
      <c r="K933" s="180"/>
      <c r="L933" s="180"/>
      <c r="M933" s="186"/>
      <c r="N933" s="186"/>
    </row>
    <row r="934" spans="2:14" s="188" customFormat="1" ht="15" customHeight="1">
      <c r="B934" s="187"/>
      <c r="C934" s="187"/>
      <c r="D934" s="187"/>
      <c r="E934" s="187"/>
      <c r="F934" s="187"/>
      <c r="G934" s="187"/>
      <c r="H934" s="187"/>
      <c r="J934" s="186"/>
      <c r="K934" s="180"/>
      <c r="L934" s="180"/>
      <c r="M934" s="186"/>
      <c r="N934" s="186"/>
    </row>
    <row r="935" spans="2:14" s="188" customFormat="1" ht="15" customHeight="1">
      <c r="B935" s="187"/>
      <c r="C935" s="187"/>
      <c r="D935" s="187"/>
      <c r="E935" s="187"/>
      <c r="F935" s="187"/>
      <c r="G935" s="187"/>
      <c r="H935" s="187"/>
      <c r="J935" s="186"/>
      <c r="K935" s="180"/>
      <c r="L935" s="180"/>
      <c r="M935" s="186"/>
      <c r="N935" s="186"/>
    </row>
    <row r="936" spans="2:14" s="188" customFormat="1" ht="15" customHeight="1">
      <c r="B936" s="187"/>
      <c r="C936" s="187"/>
      <c r="D936" s="187"/>
      <c r="E936" s="187"/>
      <c r="F936" s="187"/>
      <c r="G936" s="187"/>
      <c r="H936" s="187"/>
      <c r="J936" s="186"/>
      <c r="K936" s="180"/>
      <c r="L936" s="180"/>
      <c r="M936" s="186"/>
      <c r="N936" s="186"/>
    </row>
    <row r="937" spans="2:14" s="188" customFormat="1" ht="15" customHeight="1">
      <c r="B937" s="187"/>
      <c r="C937" s="187"/>
      <c r="D937" s="187"/>
      <c r="E937" s="187"/>
      <c r="F937" s="187"/>
      <c r="G937" s="187"/>
      <c r="H937" s="187"/>
      <c r="J937" s="186"/>
      <c r="K937" s="180"/>
      <c r="L937" s="180"/>
      <c r="M937" s="186"/>
      <c r="N937" s="186"/>
    </row>
    <row r="938" spans="2:14" s="188" customFormat="1" ht="15" customHeight="1">
      <c r="B938" s="187"/>
      <c r="C938" s="187"/>
      <c r="D938" s="187"/>
      <c r="E938" s="187"/>
      <c r="F938" s="187"/>
      <c r="G938" s="187"/>
      <c r="H938" s="187"/>
      <c r="J938" s="186"/>
      <c r="K938" s="180"/>
      <c r="L938" s="180"/>
      <c r="M938" s="186"/>
      <c r="N938" s="186"/>
    </row>
    <row r="939" spans="2:14" s="188" customFormat="1" ht="15" customHeight="1">
      <c r="B939" s="187"/>
      <c r="C939" s="187"/>
      <c r="D939" s="187"/>
      <c r="E939" s="187"/>
      <c r="F939" s="187"/>
      <c r="G939" s="187"/>
      <c r="H939" s="187"/>
      <c r="J939" s="186"/>
      <c r="K939" s="180"/>
      <c r="L939" s="180"/>
      <c r="M939" s="186"/>
      <c r="N939" s="186"/>
    </row>
    <row r="940" spans="2:14" s="188" customFormat="1" ht="15" customHeight="1">
      <c r="B940" s="187"/>
      <c r="C940" s="187"/>
      <c r="D940" s="187"/>
      <c r="E940" s="187"/>
      <c r="F940" s="187"/>
      <c r="G940" s="187"/>
      <c r="H940" s="187"/>
      <c r="J940" s="186"/>
      <c r="K940" s="180"/>
      <c r="L940" s="180"/>
      <c r="M940" s="186"/>
      <c r="N940" s="186"/>
    </row>
    <row r="941" spans="2:14" s="188" customFormat="1" ht="15" customHeight="1">
      <c r="B941" s="187"/>
      <c r="C941" s="187"/>
      <c r="D941" s="187"/>
      <c r="E941" s="187"/>
      <c r="F941" s="187"/>
      <c r="G941" s="187"/>
      <c r="H941" s="187"/>
      <c r="J941" s="186"/>
      <c r="K941" s="180"/>
      <c r="L941" s="180"/>
      <c r="M941" s="186"/>
      <c r="N941" s="186"/>
    </row>
    <row r="942" spans="2:14" s="188" customFormat="1" ht="15" customHeight="1">
      <c r="B942" s="187"/>
      <c r="C942" s="187"/>
      <c r="D942" s="187"/>
      <c r="E942" s="187"/>
      <c r="F942" s="187"/>
      <c r="G942" s="187"/>
      <c r="H942" s="187"/>
      <c r="J942" s="186"/>
      <c r="K942" s="180"/>
      <c r="L942" s="180"/>
      <c r="M942" s="186"/>
      <c r="N942" s="186"/>
    </row>
    <row r="943" spans="2:14" s="188" customFormat="1" ht="15" customHeight="1">
      <c r="B943" s="187"/>
      <c r="C943" s="187"/>
      <c r="D943" s="187"/>
      <c r="E943" s="187"/>
      <c r="F943" s="187"/>
      <c r="G943" s="187"/>
      <c r="H943" s="187"/>
      <c r="J943" s="186"/>
      <c r="K943" s="180"/>
      <c r="L943" s="180"/>
      <c r="M943" s="186"/>
      <c r="N943" s="186"/>
    </row>
    <row r="944" spans="2:14" s="188" customFormat="1" ht="15" customHeight="1">
      <c r="B944" s="187"/>
      <c r="C944" s="187"/>
      <c r="D944" s="187"/>
      <c r="E944" s="187"/>
      <c r="F944" s="187"/>
      <c r="G944" s="187"/>
      <c r="H944" s="187"/>
      <c r="J944" s="186"/>
      <c r="K944" s="180"/>
      <c r="L944" s="180"/>
      <c r="M944" s="186"/>
      <c r="N944" s="186"/>
    </row>
    <row r="945" spans="2:14" s="188" customFormat="1" ht="15" customHeight="1">
      <c r="B945" s="187"/>
      <c r="C945" s="187"/>
      <c r="D945" s="187"/>
      <c r="E945" s="187"/>
      <c r="F945" s="187"/>
      <c r="G945" s="187"/>
      <c r="H945" s="187"/>
      <c r="J945" s="186"/>
      <c r="K945" s="180"/>
      <c r="L945" s="180"/>
      <c r="M945" s="186"/>
      <c r="N945" s="186"/>
    </row>
    <row r="946" spans="2:14" s="188" customFormat="1" ht="15" customHeight="1">
      <c r="B946" s="187"/>
      <c r="C946" s="187"/>
      <c r="D946" s="187"/>
      <c r="E946" s="187"/>
      <c r="F946" s="187"/>
      <c r="G946" s="187"/>
      <c r="H946" s="187"/>
      <c r="J946" s="186"/>
      <c r="K946" s="180"/>
      <c r="L946" s="180"/>
      <c r="M946" s="186"/>
      <c r="N946" s="186"/>
    </row>
    <row r="947" spans="2:14" s="188" customFormat="1" ht="15" customHeight="1">
      <c r="B947" s="187"/>
      <c r="C947" s="187"/>
      <c r="D947" s="187"/>
      <c r="E947" s="187"/>
      <c r="F947" s="187"/>
      <c r="G947" s="187"/>
      <c r="H947" s="187"/>
      <c r="J947" s="186"/>
      <c r="K947" s="180"/>
      <c r="L947" s="180"/>
      <c r="M947" s="186"/>
      <c r="N947" s="186"/>
    </row>
    <row r="948" spans="2:14" s="188" customFormat="1" ht="15" customHeight="1">
      <c r="B948" s="187"/>
      <c r="C948" s="187"/>
      <c r="D948" s="187"/>
      <c r="E948" s="187"/>
      <c r="F948" s="187"/>
      <c r="G948" s="187"/>
      <c r="H948" s="187"/>
      <c r="J948" s="186"/>
      <c r="K948" s="180"/>
      <c r="L948" s="180"/>
      <c r="M948" s="186"/>
      <c r="N948" s="186"/>
    </row>
    <row r="949" spans="2:14" s="188" customFormat="1" ht="15" customHeight="1">
      <c r="B949" s="187"/>
      <c r="C949" s="187"/>
      <c r="D949" s="187"/>
      <c r="E949" s="187"/>
      <c r="F949" s="187"/>
      <c r="G949" s="187"/>
      <c r="H949" s="187"/>
      <c r="J949" s="186"/>
      <c r="K949" s="180"/>
      <c r="L949" s="180"/>
      <c r="M949" s="186"/>
      <c r="N949" s="186"/>
    </row>
    <row r="950" spans="2:14" s="188" customFormat="1" ht="15" customHeight="1">
      <c r="B950" s="187"/>
      <c r="C950" s="187"/>
      <c r="D950" s="187"/>
      <c r="E950" s="187"/>
      <c r="F950" s="187"/>
      <c r="G950" s="187"/>
      <c r="H950" s="187"/>
      <c r="J950" s="186"/>
      <c r="K950" s="180"/>
      <c r="L950" s="180"/>
      <c r="M950" s="186"/>
      <c r="N950" s="186"/>
    </row>
    <row r="951" spans="2:14" s="188" customFormat="1" ht="15" customHeight="1">
      <c r="B951" s="187"/>
      <c r="C951" s="187"/>
      <c r="D951" s="187"/>
      <c r="E951" s="187"/>
      <c r="F951" s="187"/>
      <c r="G951" s="187"/>
      <c r="H951" s="187"/>
      <c r="J951" s="186"/>
      <c r="K951" s="180"/>
      <c r="L951" s="180"/>
      <c r="M951" s="186"/>
      <c r="N951" s="186"/>
    </row>
    <row r="952" spans="2:14" s="188" customFormat="1" ht="15" customHeight="1">
      <c r="B952" s="187"/>
      <c r="C952" s="187"/>
      <c r="D952" s="187"/>
      <c r="E952" s="187"/>
      <c r="F952" s="187"/>
      <c r="G952" s="187"/>
      <c r="H952" s="187"/>
      <c r="J952" s="186"/>
      <c r="K952" s="180"/>
      <c r="L952" s="180"/>
      <c r="M952" s="186"/>
      <c r="N952" s="186"/>
    </row>
    <row r="953" spans="2:14" s="188" customFormat="1" ht="15" customHeight="1">
      <c r="B953" s="187"/>
      <c r="C953" s="187"/>
      <c r="D953" s="187"/>
      <c r="E953" s="187"/>
      <c r="F953" s="187"/>
      <c r="G953" s="187"/>
      <c r="H953" s="187"/>
      <c r="J953" s="186"/>
      <c r="K953" s="180"/>
      <c r="L953" s="180"/>
      <c r="M953" s="186"/>
      <c r="N953" s="186"/>
    </row>
    <row r="954" spans="2:14" s="188" customFormat="1" ht="15" customHeight="1">
      <c r="B954" s="187"/>
      <c r="C954" s="187"/>
      <c r="D954" s="187"/>
      <c r="E954" s="187"/>
      <c r="F954" s="187"/>
      <c r="G954" s="187"/>
      <c r="H954" s="187"/>
      <c r="J954" s="186"/>
      <c r="K954" s="180"/>
      <c r="L954" s="180"/>
      <c r="M954" s="186"/>
      <c r="N954" s="186"/>
    </row>
    <row r="955" spans="2:14" s="188" customFormat="1" ht="15" customHeight="1">
      <c r="B955" s="187"/>
      <c r="C955" s="187"/>
      <c r="D955" s="187"/>
      <c r="E955" s="187"/>
      <c r="F955" s="187"/>
      <c r="G955" s="187"/>
      <c r="H955" s="187"/>
      <c r="J955" s="186"/>
      <c r="K955" s="180"/>
      <c r="L955" s="180"/>
      <c r="M955" s="186"/>
      <c r="N955" s="186"/>
    </row>
    <row r="956" spans="2:14" s="188" customFormat="1" ht="15" customHeight="1">
      <c r="B956" s="187"/>
      <c r="C956" s="187"/>
      <c r="D956" s="187"/>
      <c r="E956" s="187"/>
      <c r="F956" s="187"/>
      <c r="G956" s="187"/>
      <c r="H956" s="187"/>
      <c r="J956" s="186"/>
      <c r="K956" s="180"/>
      <c r="L956" s="180"/>
      <c r="M956" s="186"/>
      <c r="N956" s="186"/>
    </row>
    <row r="957" spans="2:14" s="188" customFormat="1" ht="15" customHeight="1">
      <c r="B957" s="187"/>
      <c r="C957" s="187"/>
      <c r="D957" s="187"/>
      <c r="E957" s="187"/>
      <c r="F957" s="187"/>
      <c r="G957" s="187"/>
      <c r="H957" s="187"/>
      <c r="J957" s="186"/>
      <c r="K957" s="180"/>
      <c r="L957" s="180"/>
      <c r="M957" s="186"/>
      <c r="N957" s="186"/>
    </row>
    <row r="958" spans="2:14" s="188" customFormat="1" ht="15" customHeight="1">
      <c r="B958" s="187"/>
      <c r="C958" s="187"/>
      <c r="D958" s="187"/>
      <c r="E958" s="187"/>
      <c r="F958" s="187"/>
      <c r="G958" s="187"/>
      <c r="H958" s="187"/>
      <c r="J958" s="186"/>
      <c r="K958" s="180"/>
      <c r="L958" s="180"/>
      <c r="M958" s="186"/>
      <c r="N958" s="186"/>
    </row>
    <row r="959" spans="2:14" s="188" customFormat="1" ht="15" customHeight="1">
      <c r="B959" s="187"/>
      <c r="C959" s="187"/>
      <c r="D959" s="187"/>
      <c r="E959" s="187"/>
      <c r="F959" s="187"/>
      <c r="G959" s="187"/>
      <c r="H959" s="187"/>
      <c r="J959" s="186"/>
      <c r="K959" s="180"/>
      <c r="L959" s="180"/>
      <c r="M959" s="186"/>
      <c r="N959" s="186"/>
    </row>
    <row r="960" spans="2:14" s="188" customFormat="1" ht="15" customHeight="1">
      <c r="B960" s="187"/>
      <c r="C960" s="187"/>
      <c r="D960" s="187"/>
      <c r="E960" s="187"/>
      <c r="F960" s="187"/>
      <c r="G960" s="187"/>
      <c r="H960" s="187"/>
      <c r="J960" s="186"/>
      <c r="K960" s="180"/>
      <c r="L960" s="180"/>
      <c r="M960" s="186"/>
      <c r="N960" s="186"/>
    </row>
    <row r="961" spans="2:14" s="188" customFormat="1" ht="15" customHeight="1">
      <c r="B961" s="187"/>
      <c r="C961" s="187"/>
      <c r="D961" s="187"/>
      <c r="E961" s="187"/>
      <c r="F961" s="187"/>
      <c r="G961" s="187"/>
      <c r="H961" s="187"/>
      <c r="J961" s="186"/>
      <c r="K961" s="180"/>
      <c r="L961" s="180"/>
      <c r="M961" s="186"/>
      <c r="N961" s="186"/>
    </row>
    <row r="962" spans="2:14" s="188" customFormat="1" ht="15" customHeight="1">
      <c r="B962" s="187"/>
      <c r="C962" s="187"/>
      <c r="D962" s="187"/>
      <c r="E962" s="187"/>
      <c r="F962" s="187"/>
      <c r="G962" s="187"/>
      <c r="H962" s="187"/>
      <c r="J962" s="186"/>
      <c r="K962" s="180"/>
      <c r="L962" s="180"/>
      <c r="M962" s="186"/>
      <c r="N962" s="186"/>
    </row>
    <row r="963" spans="2:14" s="188" customFormat="1" ht="15" customHeight="1">
      <c r="B963" s="187"/>
      <c r="C963" s="187"/>
      <c r="D963" s="187"/>
      <c r="E963" s="187"/>
      <c r="F963" s="187"/>
      <c r="G963" s="187"/>
      <c r="H963" s="187"/>
      <c r="J963" s="186"/>
      <c r="K963" s="180"/>
      <c r="L963" s="180"/>
      <c r="M963" s="186"/>
      <c r="N963" s="186"/>
    </row>
    <row r="964" spans="2:14" s="188" customFormat="1" ht="15" customHeight="1">
      <c r="B964" s="187"/>
      <c r="C964" s="187"/>
      <c r="D964" s="187"/>
      <c r="E964" s="187"/>
      <c r="F964" s="187"/>
      <c r="G964" s="187"/>
      <c r="H964" s="187"/>
      <c r="J964" s="186"/>
      <c r="K964" s="180"/>
      <c r="L964" s="180"/>
      <c r="M964" s="186"/>
      <c r="N964" s="186"/>
    </row>
    <row r="965" spans="2:14" s="188" customFormat="1" ht="15" customHeight="1">
      <c r="B965" s="187"/>
      <c r="C965" s="187"/>
      <c r="D965" s="187"/>
      <c r="E965" s="187"/>
      <c r="F965" s="187"/>
      <c r="G965" s="187"/>
      <c r="H965" s="187"/>
      <c r="J965" s="186"/>
      <c r="K965" s="180"/>
      <c r="L965" s="180"/>
      <c r="M965" s="186"/>
      <c r="N965" s="186"/>
    </row>
    <row r="966" spans="2:14" s="188" customFormat="1" ht="15" customHeight="1">
      <c r="B966" s="187"/>
      <c r="C966" s="187"/>
      <c r="D966" s="187"/>
      <c r="E966" s="187"/>
      <c r="F966" s="187"/>
      <c r="G966" s="187"/>
      <c r="H966" s="187"/>
      <c r="J966" s="186"/>
      <c r="K966" s="180"/>
      <c r="L966" s="180"/>
      <c r="M966" s="186"/>
      <c r="N966" s="186"/>
    </row>
    <row r="967" spans="2:14" s="188" customFormat="1" ht="15" customHeight="1">
      <c r="B967" s="187"/>
      <c r="C967" s="187"/>
      <c r="D967" s="187"/>
      <c r="E967" s="187"/>
      <c r="F967" s="187"/>
      <c r="G967" s="187"/>
      <c r="H967" s="187"/>
      <c r="J967" s="186"/>
      <c r="K967" s="180"/>
      <c r="L967" s="180"/>
      <c r="M967" s="186"/>
      <c r="N967" s="186"/>
    </row>
    <row r="968" spans="2:14" s="188" customFormat="1" ht="15" customHeight="1">
      <c r="B968" s="187"/>
      <c r="C968" s="187"/>
      <c r="D968" s="187"/>
      <c r="E968" s="187"/>
      <c r="F968" s="187"/>
      <c r="G968" s="187"/>
      <c r="H968" s="187"/>
      <c r="J968" s="186"/>
      <c r="K968" s="180"/>
      <c r="L968" s="180"/>
      <c r="M968" s="186"/>
      <c r="N968" s="186"/>
    </row>
    <row r="969" spans="2:14" s="188" customFormat="1" ht="15" customHeight="1">
      <c r="B969" s="187"/>
      <c r="C969" s="187"/>
      <c r="D969" s="187"/>
      <c r="E969" s="187"/>
      <c r="F969" s="187"/>
      <c r="G969" s="187"/>
      <c r="H969" s="187"/>
      <c r="J969" s="186"/>
      <c r="K969" s="180"/>
      <c r="L969" s="180"/>
      <c r="M969" s="186"/>
      <c r="N969" s="186"/>
    </row>
    <row r="970" spans="2:14" s="188" customFormat="1" ht="15" customHeight="1">
      <c r="B970" s="187"/>
      <c r="C970" s="187"/>
      <c r="D970" s="187"/>
      <c r="E970" s="187"/>
      <c r="F970" s="187"/>
      <c r="G970" s="187"/>
      <c r="H970" s="187"/>
      <c r="J970" s="186"/>
      <c r="K970" s="180"/>
      <c r="L970" s="180"/>
      <c r="M970" s="186"/>
      <c r="N970" s="186"/>
    </row>
    <row r="971" spans="2:14" s="188" customFormat="1" ht="15" customHeight="1">
      <c r="B971" s="187"/>
      <c r="C971" s="187"/>
      <c r="D971" s="187"/>
      <c r="E971" s="187"/>
      <c r="F971" s="187"/>
      <c r="G971" s="187"/>
      <c r="H971" s="187"/>
      <c r="J971" s="186"/>
      <c r="K971" s="180"/>
      <c r="L971" s="180"/>
      <c r="M971" s="186"/>
      <c r="N971" s="186"/>
    </row>
    <row r="972" spans="2:14" s="188" customFormat="1" ht="15" customHeight="1">
      <c r="B972" s="187"/>
      <c r="C972" s="187"/>
      <c r="D972" s="187"/>
      <c r="E972" s="187"/>
      <c r="F972" s="187"/>
      <c r="G972" s="187"/>
      <c r="H972" s="187"/>
      <c r="J972" s="186"/>
      <c r="K972" s="180"/>
      <c r="L972" s="180"/>
      <c r="M972" s="186"/>
      <c r="N972" s="186"/>
    </row>
    <row r="973" spans="2:14" s="188" customFormat="1" ht="15" customHeight="1">
      <c r="B973" s="187"/>
      <c r="C973" s="187"/>
      <c r="D973" s="187"/>
      <c r="E973" s="187"/>
      <c r="F973" s="187"/>
      <c r="G973" s="187"/>
      <c r="H973" s="187"/>
      <c r="J973" s="186"/>
      <c r="K973" s="180"/>
      <c r="L973" s="180"/>
      <c r="M973" s="186"/>
      <c r="N973" s="186"/>
    </row>
    <row r="974" spans="2:14" s="188" customFormat="1" ht="15" customHeight="1">
      <c r="B974" s="187"/>
      <c r="C974" s="187"/>
      <c r="D974" s="187"/>
      <c r="E974" s="187"/>
      <c r="F974" s="187"/>
      <c r="G974" s="187"/>
      <c r="H974" s="187"/>
      <c r="J974" s="186"/>
      <c r="K974" s="180"/>
      <c r="L974" s="180"/>
      <c r="M974" s="186"/>
      <c r="N974" s="186"/>
    </row>
    <row r="975" spans="2:14" s="188" customFormat="1" ht="15" customHeight="1">
      <c r="B975" s="187"/>
      <c r="C975" s="187"/>
      <c r="D975" s="187"/>
      <c r="E975" s="187"/>
      <c r="F975" s="187"/>
      <c r="G975" s="187"/>
      <c r="H975" s="187"/>
      <c r="J975" s="186"/>
      <c r="K975" s="180"/>
      <c r="L975" s="180"/>
      <c r="M975" s="186"/>
      <c r="N975" s="186"/>
    </row>
    <row r="976" spans="2:14" s="188" customFormat="1" ht="15" customHeight="1">
      <c r="B976" s="187"/>
      <c r="C976" s="187"/>
      <c r="D976" s="187"/>
      <c r="E976" s="187"/>
      <c r="F976" s="187"/>
      <c r="G976" s="187"/>
      <c r="H976" s="187"/>
      <c r="J976" s="186"/>
      <c r="K976" s="180"/>
      <c r="L976" s="180"/>
      <c r="M976" s="186"/>
      <c r="N976" s="186"/>
    </row>
    <row r="977" spans="2:14" s="188" customFormat="1" ht="15" customHeight="1">
      <c r="B977" s="187"/>
      <c r="C977" s="187"/>
      <c r="D977" s="187"/>
      <c r="E977" s="187"/>
      <c r="F977" s="187"/>
      <c r="G977" s="187"/>
      <c r="H977" s="187"/>
      <c r="J977" s="186"/>
      <c r="K977" s="180"/>
      <c r="L977" s="180"/>
      <c r="M977" s="186"/>
      <c r="N977" s="186"/>
    </row>
    <row r="978" spans="2:14" s="188" customFormat="1" ht="15" customHeight="1">
      <c r="B978" s="187"/>
      <c r="C978" s="187"/>
      <c r="D978" s="187"/>
      <c r="E978" s="187"/>
      <c r="F978" s="187"/>
      <c r="G978" s="187"/>
      <c r="H978" s="187"/>
      <c r="J978" s="186"/>
      <c r="K978" s="180"/>
      <c r="L978" s="180"/>
      <c r="M978" s="186"/>
      <c r="N978" s="186"/>
    </row>
    <row r="979" spans="2:14" s="188" customFormat="1" ht="15" customHeight="1">
      <c r="B979" s="187"/>
      <c r="C979" s="187"/>
      <c r="D979" s="187"/>
      <c r="E979" s="187"/>
      <c r="F979" s="187"/>
      <c r="G979" s="187"/>
      <c r="H979" s="187"/>
      <c r="J979" s="186"/>
      <c r="K979" s="180"/>
      <c r="L979" s="180"/>
      <c r="M979" s="186"/>
      <c r="N979" s="186"/>
    </row>
    <row r="980" spans="2:14" s="188" customFormat="1" ht="15" customHeight="1">
      <c r="B980" s="187"/>
      <c r="C980" s="187"/>
      <c r="D980" s="187"/>
      <c r="E980" s="187"/>
      <c r="F980" s="187"/>
      <c r="G980" s="187"/>
      <c r="H980" s="187"/>
      <c r="J980" s="186"/>
      <c r="K980" s="180"/>
      <c r="L980" s="180"/>
      <c r="M980" s="186"/>
      <c r="N980" s="186"/>
    </row>
    <row r="981" spans="2:14" s="188" customFormat="1" ht="15" customHeight="1">
      <c r="B981" s="187"/>
      <c r="C981" s="187"/>
      <c r="D981" s="187"/>
      <c r="E981" s="187"/>
      <c r="F981" s="187"/>
      <c r="G981" s="187"/>
      <c r="H981" s="187"/>
      <c r="J981" s="186"/>
      <c r="K981" s="180"/>
      <c r="L981" s="180"/>
      <c r="M981" s="186"/>
      <c r="N981" s="186"/>
    </row>
    <row r="982" spans="2:14" s="188" customFormat="1" ht="15" customHeight="1">
      <c r="B982" s="187"/>
      <c r="C982" s="187"/>
      <c r="D982" s="187"/>
      <c r="E982" s="187"/>
      <c r="F982" s="187"/>
      <c r="G982" s="187"/>
      <c r="H982" s="187"/>
      <c r="J982" s="186"/>
      <c r="K982" s="180"/>
      <c r="L982" s="180"/>
      <c r="M982" s="186"/>
      <c r="N982" s="186"/>
    </row>
    <row r="983" spans="2:14" s="188" customFormat="1" ht="15" customHeight="1">
      <c r="B983" s="187"/>
      <c r="C983" s="187"/>
      <c r="D983" s="187"/>
      <c r="E983" s="187"/>
      <c r="F983" s="187"/>
      <c r="G983" s="187"/>
      <c r="H983" s="187"/>
      <c r="J983" s="186"/>
      <c r="K983" s="180"/>
      <c r="L983" s="180"/>
      <c r="M983" s="186"/>
      <c r="N983" s="186"/>
    </row>
    <row r="984" spans="2:14" s="188" customFormat="1" ht="15" customHeight="1">
      <c r="B984" s="187"/>
      <c r="C984" s="187"/>
      <c r="D984" s="187"/>
      <c r="E984" s="187"/>
      <c r="F984" s="187"/>
      <c r="G984" s="187"/>
      <c r="H984" s="187"/>
      <c r="J984" s="186"/>
      <c r="K984" s="180"/>
      <c r="L984" s="180"/>
      <c r="M984" s="186"/>
      <c r="N984" s="186"/>
    </row>
    <row r="985" spans="2:14" s="188" customFormat="1" ht="15" customHeight="1">
      <c r="B985" s="187"/>
      <c r="C985" s="187"/>
      <c r="D985" s="187"/>
      <c r="E985" s="187"/>
      <c r="F985" s="187"/>
      <c r="G985" s="187"/>
      <c r="H985" s="187"/>
      <c r="J985" s="186"/>
      <c r="K985" s="180"/>
      <c r="L985" s="180"/>
      <c r="M985" s="186"/>
      <c r="N985" s="186"/>
    </row>
    <row r="986" spans="2:14" s="188" customFormat="1" ht="15" customHeight="1">
      <c r="B986" s="187"/>
      <c r="C986" s="187"/>
      <c r="D986" s="187"/>
      <c r="E986" s="187"/>
      <c r="F986" s="187"/>
      <c r="G986" s="187"/>
      <c r="H986" s="187"/>
      <c r="J986" s="186"/>
      <c r="K986" s="180"/>
      <c r="L986" s="180"/>
      <c r="M986" s="186"/>
      <c r="N986" s="186"/>
    </row>
    <row r="987" spans="2:14" s="188" customFormat="1" ht="15" customHeight="1">
      <c r="B987" s="187"/>
      <c r="C987" s="187"/>
      <c r="D987" s="187"/>
      <c r="E987" s="187"/>
      <c r="F987" s="187"/>
      <c r="G987" s="187"/>
      <c r="H987" s="187"/>
      <c r="J987" s="186"/>
      <c r="K987" s="180"/>
      <c r="L987" s="180"/>
      <c r="M987" s="186"/>
      <c r="N987" s="186"/>
    </row>
    <row r="988" spans="2:14" s="188" customFormat="1" ht="15" customHeight="1">
      <c r="B988" s="187"/>
      <c r="C988" s="187"/>
      <c r="D988" s="187"/>
      <c r="E988" s="187"/>
      <c r="F988" s="187"/>
      <c r="G988" s="187"/>
      <c r="H988" s="187"/>
      <c r="J988" s="186"/>
      <c r="K988" s="180"/>
      <c r="L988" s="180"/>
      <c r="M988" s="186"/>
      <c r="N988" s="186"/>
    </row>
    <row r="989" spans="2:14" s="188" customFormat="1" ht="15" customHeight="1">
      <c r="B989" s="187"/>
      <c r="C989" s="187"/>
      <c r="D989" s="187"/>
      <c r="E989" s="187"/>
      <c r="F989" s="187"/>
      <c r="G989" s="187"/>
      <c r="H989" s="187"/>
      <c r="J989" s="186"/>
      <c r="K989" s="180"/>
      <c r="L989" s="180"/>
      <c r="M989" s="186"/>
      <c r="N989" s="186"/>
    </row>
    <row r="990" spans="2:14" s="188" customFormat="1" ht="15" customHeight="1">
      <c r="B990" s="187"/>
      <c r="C990" s="187"/>
      <c r="D990" s="187"/>
      <c r="E990" s="187"/>
      <c r="F990" s="187"/>
      <c r="G990" s="187"/>
      <c r="H990" s="187"/>
      <c r="J990" s="186"/>
      <c r="K990" s="180"/>
      <c r="L990" s="180"/>
      <c r="M990" s="186"/>
      <c r="N990" s="186"/>
    </row>
    <row r="991" spans="2:14" s="188" customFormat="1" ht="15" customHeight="1">
      <c r="B991" s="187"/>
      <c r="C991" s="187"/>
      <c r="D991" s="187"/>
      <c r="E991" s="187"/>
      <c r="F991" s="187"/>
      <c r="G991" s="187"/>
      <c r="H991" s="187"/>
      <c r="J991" s="186"/>
      <c r="K991" s="180"/>
      <c r="L991" s="180"/>
      <c r="M991" s="186"/>
      <c r="N991" s="186"/>
    </row>
    <row r="992" spans="2:14" s="188" customFormat="1" ht="15" customHeight="1">
      <c r="B992" s="187"/>
      <c r="C992" s="187"/>
      <c r="D992" s="187"/>
      <c r="E992" s="187"/>
      <c r="F992" s="187"/>
      <c r="G992" s="187"/>
      <c r="H992" s="187"/>
      <c r="J992" s="186"/>
      <c r="K992" s="180"/>
      <c r="L992" s="180"/>
      <c r="M992" s="186"/>
      <c r="N992" s="186"/>
    </row>
    <row r="993" spans="2:14" s="188" customFormat="1" ht="15" customHeight="1">
      <c r="B993" s="187"/>
      <c r="C993" s="187"/>
      <c r="D993" s="187"/>
      <c r="E993" s="187"/>
      <c r="F993" s="187"/>
      <c r="G993" s="187"/>
      <c r="H993" s="187"/>
      <c r="J993" s="186"/>
      <c r="K993" s="180"/>
      <c r="L993" s="180"/>
      <c r="M993" s="186"/>
      <c r="N993" s="186"/>
    </row>
    <row r="994" spans="2:14" s="188" customFormat="1" ht="15" customHeight="1">
      <c r="B994" s="187"/>
      <c r="C994" s="187"/>
      <c r="D994" s="187"/>
      <c r="E994" s="187"/>
      <c r="F994" s="187"/>
      <c r="G994" s="187"/>
      <c r="H994" s="187"/>
      <c r="J994" s="186"/>
      <c r="K994" s="180"/>
      <c r="L994" s="180"/>
      <c r="M994" s="186"/>
      <c r="N994" s="186"/>
    </row>
    <row r="995" spans="2:14" s="188" customFormat="1" ht="15" customHeight="1">
      <c r="B995" s="187"/>
      <c r="C995" s="187"/>
      <c r="D995" s="187"/>
      <c r="E995" s="187"/>
      <c r="F995" s="187"/>
      <c r="G995" s="187"/>
      <c r="H995" s="187"/>
      <c r="J995" s="186"/>
      <c r="K995" s="180"/>
      <c r="L995" s="180"/>
      <c r="M995" s="186"/>
      <c r="N995" s="186"/>
    </row>
    <row r="996" spans="2:14" s="188" customFormat="1" ht="15" customHeight="1">
      <c r="B996" s="187"/>
      <c r="C996" s="187"/>
      <c r="D996" s="187"/>
      <c r="E996" s="187"/>
      <c r="F996" s="187"/>
      <c r="G996" s="187"/>
      <c r="H996" s="187"/>
      <c r="J996" s="186"/>
      <c r="K996" s="180"/>
      <c r="L996" s="180"/>
      <c r="M996" s="186"/>
      <c r="N996" s="186"/>
    </row>
    <row r="997" spans="2:14" s="188" customFormat="1" ht="15" customHeight="1">
      <c r="B997" s="187"/>
      <c r="C997" s="187"/>
      <c r="D997" s="187"/>
      <c r="E997" s="187"/>
      <c r="F997" s="187"/>
      <c r="G997" s="187"/>
      <c r="H997" s="187"/>
      <c r="J997" s="186"/>
      <c r="K997" s="180"/>
      <c r="L997" s="180"/>
      <c r="M997" s="186"/>
      <c r="N997" s="186"/>
    </row>
    <row r="998" spans="2:14" s="188" customFormat="1" ht="15" customHeight="1">
      <c r="B998" s="187"/>
      <c r="C998" s="187"/>
      <c r="D998" s="187"/>
      <c r="E998" s="187"/>
      <c r="F998" s="187"/>
      <c r="G998" s="187"/>
      <c r="H998" s="187"/>
      <c r="J998" s="186"/>
      <c r="K998" s="180"/>
      <c r="L998" s="180"/>
      <c r="M998" s="186"/>
      <c r="N998" s="186"/>
    </row>
    <row r="999" spans="2:14" s="188" customFormat="1" ht="15" customHeight="1">
      <c r="B999" s="187"/>
      <c r="C999" s="187"/>
      <c r="D999" s="187"/>
      <c r="E999" s="187"/>
      <c r="F999" s="187"/>
      <c r="G999" s="187"/>
      <c r="H999" s="187"/>
      <c r="J999" s="186"/>
      <c r="K999" s="180"/>
      <c r="L999" s="180"/>
      <c r="M999" s="186"/>
      <c r="N999" s="186"/>
    </row>
    <row r="1000" spans="2:14" s="188" customFormat="1" ht="15" customHeight="1">
      <c r="B1000" s="187"/>
      <c r="C1000" s="187"/>
      <c r="D1000" s="187"/>
      <c r="E1000" s="187"/>
      <c r="F1000" s="187"/>
      <c r="G1000" s="187"/>
      <c r="H1000" s="187"/>
      <c r="J1000" s="186"/>
      <c r="K1000" s="180"/>
      <c r="L1000" s="180"/>
      <c r="M1000" s="186"/>
      <c r="N1000" s="186"/>
    </row>
    <row r="1001" spans="2:14" s="188" customFormat="1" ht="15" customHeight="1">
      <c r="B1001" s="187"/>
      <c r="C1001" s="187"/>
      <c r="D1001" s="187"/>
      <c r="E1001" s="187"/>
      <c r="F1001" s="187"/>
      <c r="G1001" s="187"/>
      <c r="H1001" s="187"/>
      <c r="J1001" s="186"/>
      <c r="K1001" s="180"/>
      <c r="L1001" s="180"/>
      <c r="M1001" s="186"/>
      <c r="N1001" s="186"/>
    </row>
    <row r="1002" spans="2:14" s="188" customFormat="1" ht="15" customHeight="1">
      <c r="B1002" s="187"/>
      <c r="C1002" s="187"/>
      <c r="D1002" s="187"/>
      <c r="E1002" s="187"/>
      <c r="F1002" s="187"/>
      <c r="G1002" s="187"/>
      <c r="H1002" s="187"/>
      <c r="J1002" s="186"/>
      <c r="K1002" s="180"/>
      <c r="L1002" s="180"/>
      <c r="M1002" s="186"/>
      <c r="N1002" s="186"/>
    </row>
    <row r="1003" spans="2:14" s="188" customFormat="1" ht="15" customHeight="1">
      <c r="B1003" s="187"/>
      <c r="C1003" s="187"/>
      <c r="D1003" s="187"/>
      <c r="E1003" s="187"/>
      <c r="F1003" s="187"/>
      <c r="G1003" s="187"/>
      <c r="H1003" s="187"/>
      <c r="J1003" s="186"/>
      <c r="K1003" s="180"/>
      <c r="L1003" s="180"/>
      <c r="M1003" s="186"/>
      <c r="N1003" s="186"/>
    </row>
    <row r="1004" spans="2:14" s="188" customFormat="1" ht="15" customHeight="1">
      <c r="B1004" s="187"/>
      <c r="C1004" s="187"/>
      <c r="D1004" s="187"/>
      <c r="E1004" s="187"/>
      <c r="F1004" s="187"/>
      <c r="G1004" s="187"/>
      <c r="H1004" s="187"/>
      <c r="J1004" s="186"/>
      <c r="K1004" s="180"/>
      <c r="L1004" s="180"/>
      <c r="M1004" s="186"/>
      <c r="N1004" s="186"/>
    </row>
    <row r="1005" spans="2:14" s="188" customFormat="1" ht="15" customHeight="1">
      <c r="B1005" s="187"/>
      <c r="C1005" s="187"/>
      <c r="D1005" s="187"/>
      <c r="E1005" s="187"/>
      <c r="F1005" s="187"/>
      <c r="G1005" s="187"/>
      <c r="H1005" s="187"/>
      <c r="J1005" s="186"/>
      <c r="K1005" s="180"/>
      <c r="L1005" s="180"/>
      <c r="M1005" s="186"/>
      <c r="N1005" s="186"/>
    </row>
    <row r="1006" spans="2:14" s="188" customFormat="1" ht="15" customHeight="1">
      <c r="B1006" s="187"/>
      <c r="C1006" s="187"/>
      <c r="D1006" s="187"/>
      <c r="E1006" s="187"/>
      <c r="F1006" s="187"/>
      <c r="G1006" s="187"/>
      <c r="H1006" s="187"/>
      <c r="J1006" s="186"/>
      <c r="K1006" s="180"/>
      <c r="L1006" s="180"/>
      <c r="M1006" s="186"/>
      <c r="N1006" s="186"/>
    </row>
    <row r="1007" spans="2:14" s="188" customFormat="1" ht="15" customHeight="1">
      <c r="B1007" s="187"/>
      <c r="C1007" s="187"/>
      <c r="D1007" s="187"/>
      <c r="E1007" s="187"/>
      <c r="F1007" s="187"/>
      <c r="G1007" s="187"/>
      <c r="H1007" s="187"/>
      <c r="J1007" s="186"/>
      <c r="K1007" s="180"/>
      <c r="L1007" s="180"/>
      <c r="M1007" s="186"/>
      <c r="N1007" s="186"/>
    </row>
    <row r="1008" spans="2:14" s="188" customFormat="1" ht="15" customHeight="1">
      <c r="B1008" s="187"/>
      <c r="C1008" s="187"/>
      <c r="D1008" s="187"/>
      <c r="E1008" s="187"/>
      <c r="F1008" s="187"/>
      <c r="G1008" s="187"/>
      <c r="H1008" s="187"/>
      <c r="J1008" s="186"/>
      <c r="K1008" s="180"/>
      <c r="L1008" s="180"/>
      <c r="M1008" s="186"/>
      <c r="N1008" s="186"/>
    </row>
    <row r="1009" spans="2:14" s="188" customFormat="1" ht="15" customHeight="1">
      <c r="B1009" s="187"/>
      <c r="C1009" s="187"/>
      <c r="D1009" s="187"/>
      <c r="E1009" s="187"/>
      <c r="F1009" s="187"/>
      <c r="G1009" s="187"/>
      <c r="H1009" s="187"/>
      <c r="J1009" s="186"/>
      <c r="K1009" s="180"/>
      <c r="L1009" s="180"/>
      <c r="M1009" s="186"/>
      <c r="N1009" s="186"/>
    </row>
    <row r="1010" spans="2:14" s="188" customFormat="1" ht="15" customHeight="1">
      <c r="B1010" s="187"/>
      <c r="C1010" s="187"/>
      <c r="D1010" s="187"/>
      <c r="E1010" s="187"/>
      <c r="F1010" s="187"/>
      <c r="G1010" s="187"/>
      <c r="H1010" s="187"/>
      <c r="J1010" s="186"/>
      <c r="K1010" s="180"/>
      <c r="L1010" s="180"/>
      <c r="M1010" s="186"/>
      <c r="N1010" s="186"/>
    </row>
    <row r="1011" spans="2:14" s="188" customFormat="1" ht="15" customHeight="1">
      <c r="B1011" s="187"/>
      <c r="C1011" s="187"/>
      <c r="D1011" s="187"/>
      <c r="E1011" s="187"/>
      <c r="F1011" s="187"/>
      <c r="G1011" s="187"/>
      <c r="H1011" s="187"/>
      <c r="J1011" s="186"/>
      <c r="K1011" s="180"/>
      <c r="L1011" s="180"/>
      <c r="M1011" s="186"/>
      <c r="N1011" s="186"/>
    </row>
    <row r="1012" spans="2:14" s="188" customFormat="1" ht="15" customHeight="1">
      <c r="B1012" s="187"/>
      <c r="C1012" s="187"/>
      <c r="D1012" s="187"/>
      <c r="E1012" s="187"/>
      <c r="F1012" s="187"/>
      <c r="G1012" s="187"/>
      <c r="H1012" s="187"/>
      <c r="J1012" s="186"/>
      <c r="K1012" s="180"/>
      <c r="L1012" s="180"/>
      <c r="M1012" s="186"/>
      <c r="N1012" s="186"/>
    </row>
    <row r="1013" spans="2:14" s="188" customFormat="1" ht="15" customHeight="1">
      <c r="B1013" s="187"/>
      <c r="C1013" s="187"/>
      <c r="D1013" s="187"/>
      <c r="E1013" s="187"/>
      <c r="F1013" s="187"/>
      <c r="G1013" s="187"/>
      <c r="H1013" s="187"/>
      <c r="J1013" s="186"/>
      <c r="K1013" s="180"/>
      <c r="L1013" s="180"/>
      <c r="M1013" s="186"/>
      <c r="N1013" s="186"/>
    </row>
    <row r="1014" spans="2:14" s="188" customFormat="1" ht="15" customHeight="1">
      <c r="B1014" s="187"/>
      <c r="C1014" s="187"/>
      <c r="D1014" s="187"/>
      <c r="E1014" s="187"/>
      <c r="F1014" s="187"/>
      <c r="G1014" s="187"/>
      <c r="H1014" s="187"/>
      <c r="J1014" s="186"/>
      <c r="K1014" s="180"/>
      <c r="L1014" s="180"/>
      <c r="M1014" s="186"/>
      <c r="N1014" s="186"/>
    </row>
    <row r="1015" spans="2:14" s="188" customFormat="1" ht="15" customHeight="1">
      <c r="B1015" s="187"/>
      <c r="C1015" s="187"/>
      <c r="D1015" s="187"/>
      <c r="E1015" s="187"/>
      <c r="F1015" s="187"/>
      <c r="G1015" s="187"/>
      <c r="H1015" s="187"/>
      <c r="J1015" s="186"/>
      <c r="K1015" s="180"/>
      <c r="L1015" s="180"/>
      <c r="M1015" s="186"/>
      <c r="N1015" s="186"/>
    </row>
    <row r="1016" spans="2:14" s="188" customFormat="1" ht="15" customHeight="1">
      <c r="B1016" s="187"/>
      <c r="C1016" s="187"/>
      <c r="D1016" s="187"/>
      <c r="E1016" s="187"/>
      <c r="F1016" s="187"/>
      <c r="G1016" s="187"/>
      <c r="H1016" s="187"/>
      <c r="J1016" s="186"/>
      <c r="K1016" s="180"/>
      <c r="L1016" s="180"/>
      <c r="M1016" s="186"/>
      <c r="N1016" s="186"/>
    </row>
    <row r="1017" spans="2:14" s="188" customFormat="1" ht="15" customHeight="1">
      <c r="B1017" s="187"/>
      <c r="C1017" s="187"/>
      <c r="D1017" s="187"/>
      <c r="E1017" s="187"/>
      <c r="F1017" s="187"/>
      <c r="G1017" s="187"/>
      <c r="H1017" s="187"/>
      <c r="J1017" s="186"/>
      <c r="K1017" s="180"/>
      <c r="L1017" s="180"/>
      <c r="M1017" s="186"/>
      <c r="N1017" s="186"/>
    </row>
    <row r="1018" spans="2:14" s="188" customFormat="1" ht="15" customHeight="1">
      <c r="B1018" s="187"/>
      <c r="C1018" s="187"/>
      <c r="D1018" s="187"/>
      <c r="E1018" s="187"/>
      <c r="F1018" s="187"/>
      <c r="G1018" s="187"/>
      <c r="H1018" s="187"/>
      <c r="J1018" s="186"/>
      <c r="K1018" s="180"/>
      <c r="L1018" s="180"/>
      <c r="M1018" s="186"/>
      <c r="N1018" s="186"/>
    </row>
    <row r="1019" spans="2:14" s="188" customFormat="1" ht="15" customHeight="1">
      <c r="B1019" s="187"/>
      <c r="C1019" s="187"/>
      <c r="D1019" s="187"/>
      <c r="E1019" s="187"/>
      <c r="F1019" s="187"/>
      <c r="G1019" s="187"/>
      <c r="H1019" s="187"/>
      <c r="J1019" s="186"/>
      <c r="K1019" s="180"/>
      <c r="L1019" s="180"/>
      <c r="M1019" s="186"/>
      <c r="N1019" s="186"/>
    </row>
    <row r="1020" spans="2:14" s="188" customFormat="1" ht="15" customHeight="1">
      <c r="B1020" s="187"/>
      <c r="C1020" s="187"/>
      <c r="D1020" s="187"/>
      <c r="E1020" s="187"/>
      <c r="F1020" s="187"/>
      <c r="G1020" s="187"/>
      <c r="H1020" s="187"/>
      <c r="J1020" s="186"/>
      <c r="K1020" s="180"/>
      <c r="L1020" s="180"/>
      <c r="M1020" s="186"/>
      <c r="N1020" s="186"/>
    </row>
    <row r="1021" spans="2:14" s="188" customFormat="1" ht="15" customHeight="1">
      <c r="B1021" s="187"/>
      <c r="C1021" s="187"/>
      <c r="D1021" s="187"/>
      <c r="E1021" s="187"/>
      <c r="F1021" s="187"/>
      <c r="G1021" s="187"/>
      <c r="H1021" s="187"/>
      <c r="J1021" s="186"/>
      <c r="K1021" s="180"/>
      <c r="L1021" s="180"/>
      <c r="M1021" s="186"/>
      <c r="N1021" s="186"/>
    </row>
    <row r="1022" spans="2:14" s="188" customFormat="1" ht="15" customHeight="1">
      <c r="B1022" s="187"/>
      <c r="C1022" s="187"/>
      <c r="D1022" s="187"/>
      <c r="E1022" s="187"/>
      <c r="F1022" s="187"/>
      <c r="G1022" s="187"/>
      <c r="H1022" s="187"/>
      <c r="J1022" s="186"/>
      <c r="K1022" s="180"/>
      <c r="L1022" s="180"/>
      <c r="M1022" s="186"/>
      <c r="N1022" s="186"/>
    </row>
    <row r="1023" spans="2:14" s="188" customFormat="1" ht="15" customHeight="1">
      <c r="B1023" s="187"/>
      <c r="C1023" s="187"/>
      <c r="D1023" s="187"/>
      <c r="E1023" s="187"/>
      <c r="F1023" s="187"/>
      <c r="G1023" s="187"/>
      <c r="H1023" s="187"/>
      <c r="J1023" s="186"/>
      <c r="K1023" s="180"/>
      <c r="L1023" s="180"/>
      <c r="M1023" s="186"/>
      <c r="N1023" s="186"/>
    </row>
    <row r="1024" spans="2:14" s="188" customFormat="1" ht="15" customHeight="1">
      <c r="B1024" s="187"/>
      <c r="C1024" s="187"/>
      <c r="D1024" s="187"/>
      <c r="E1024" s="187"/>
      <c r="F1024" s="187"/>
      <c r="G1024" s="187"/>
      <c r="H1024" s="187"/>
      <c r="J1024" s="186"/>
      <c r="K1024" s="180"/>
      <c r="L1024" s="180"/>
      <c r="M1024" s="186"/>
      <c r="N1024" s="186"/>
    </row>
    <row r="1025" spans="2:14" s="188" customFormat="1" ht="15" customHeight="1">
      <c r="B1025" s="187"/>
      <c r="C1025" s="187"/>
      <c r="D1025" s="187"/>
      <c r="E1025" s="187"/>
      <c r="F1025" s="187"/>
      <c r="G1025" s="187"/>
      <c r="H1025" s="187"/>
      <c r="J1025" s="186"/>
      <c r="K1025" s="180"/>
      <c r="L1025" s="180"/>
      <c r="M1025" s="186"/>
      <c r="N1025" s="186"/>
    </row>
    <row r="1026" spans="2:14" s="188" customFormat="1" ht="15" customHeight="1">
      <c r="B1026" s="187"/>
      <c r="C1026" s="187"/>
      <c r="D1026" s="187"/>
      <c r="E1026" s="187"/>
      <c r="F1026" s="187"/>
      <c r="G1026" s="187"/>
      <c r="H1026" s="187"/>
      <c r="J1026" s="186"/>
      <c r="K1026" s="180"/>
      <c r="L1026" s="180"/>
      <c r="M1026" s="186"/>
      <c r="N1026" s="186"/>
    </row>
    <row r="1027" spans="2:14" s="188" customFormat="1" ht="15" customHeight="1">
      <c r="B1027" s="187"/>
      <c r="C1027" s="187"/>
      <c r="D1027" s="187"/>
      <c r="E1027" s="187"/>
      <c r="F1027" s="187"/>
      <c r="G1027" s="187"/>
      <c r="H1027" s="187"/>
      <c r="J1027" s="186"/>
      <c r="K1027" s="180"/>
      <c r="L1027" s="180"/>
      <c r="M1027" s="186"/>
      <c r="N1027" s="186"/>
    </row>
    <row r="1028" spans="2:14" s="188" customFormat="1" ht="15" customHeight="1">
      <c r="B1028" s="187"/>
      <c r="C1028" s="187"/>
      <c r="D1028" s="187"/>
      <c r="E1028" s="187"/>
      <c r="F1028" s="187"/>
      <c r="G1028" s="187"/>
      <c r="H1028" s="187"/>
      <c r="J1028" s="186"/>
      <c r="K1028" s="180"/>
      <c r="L1028" s="180"/>
      <c r="M1028" s="186"/>
      <c r="N1028" s="186"/>
    </row>
    <row r="1029" spans="2:14" s="188" customFormat="1" ht="15" customHeight="1">
      <c r="B1029" s="187"/>
      <c r="C1029" s="187"/>
      <c r="D1029" s="187"/>
      <c r="E1029" s="187"/>
      <c r="F1029" s="187"/>
      <c r="G1029" s="187"/>
      <c r="H1029" s="187"/>
      <c r="J1029" s="186"/>
      <c r="K1029" s="180"/>
      <c r="L1029" s="180"/>
      <c r="M1029" s="186"/>
      <c r="N1029" s="186"/>
    </row>
    <row r="1030" spans="2:14" s="188" customFormat="1" ht="15" customHeight="1">
      <c r="B1030" s="187"/>
      <c r="C1030" s="187"/>
      <c r="D1030" s="187"/>
      <c r="E1030" s="187"/>
      <c r="F1030" s="187"/>
      <c r="G1030" s="187"/>
      <c r="H1030" s="187"/>
      <c r="J1030" s="186"/>
      <c r="K1030" s="180"/>
      <c r="L1030" s="180"/>
      <c r="M1030" s="186"/>
      <c r="N1030" s="186"/>
    </row>
    <row r="1031" spans="2:14" s="188" customFormat="1" ht="15" customHeight="1">
      <c r="B1031" s="187"/>
      <c r="C1031" s="187"/>
      <c r="D1031" s="187"/>
      <c r="E1031" s="187"/>
      <c r="F1031" s="187"/>
      <c r="G1031" s="187"/>
      <c r="H1031" s="187"/>
      <c r="J1031" s="186"/>
      <c r="K1031" s="180"/>
      <c r="L1031" s="180"/>
      <c r="M1031" s="186"/>
      <c r="N1031" s="186"/>
    </row>
    <row r="1032" spans="2:14" s="188" customFormat="1" ht="15" customHeight="1">
      <c r="B1032" s="187"/>
      <c r="C1032" s="187"/>
      <c r="D1032" s="187"/>
      <c r="E1032" s="187"/>
      <c r="F1032" s="187"/>
      <c r="G1032" s="187"/>
      <c r="H1032" s="187"/>
      <c r="J1032" s="186"/>
      <c r="K1032" s="180"/>
      <c r="L1032" s="180"/>
      <c r="M1032" s="186"/>
      <c r="N1032" s="186"/>
    </row>
    <row r="1033" spans="2:14" s="188" customFormat="1" ht="15" customHeight="1">
      <c r="B1033" s="187"/>
      <c r="C1033" s="187"/>
      <c r="D1033" s="187"/>
      <c r="E1033" s="187"/>
      <c r="F1033" s="187"/>
      <c r="G1033" s="187"/>
      <c r="H1033" s="187"/>
      <c r="J1033" s="186"/>
      <c r="K1033" s="180"/>
      <c r="L1033" s="180"/>
      <c r="M1033" s="186"/>
      <c r="N1033" s="186"/>
    </row>
    <row r="1034" spans="2:14" s="188" customFormat="1" ht="15" customHeight="1">
      <c r="B1034" s="187"/>
      <c r="C1034" s="187"/>
      <c r="D1034" s="187"/>
      <c r="E1034" s="187"/>
      <c r="F1034" s="187"/>
      <c r="G1034" s="187"/>
      <c r="H1034" s="187"/>
      <c r="J1034" s="186"/>
      <c r="K1034" s="180"/>
      <c r="L1034" s="180"/>
      <c r="M1034" s="186"/>
      <c r="N1034" s="186"/>
    </row>
    <row r="1035" spans="2:14" s="188" customFormat="1" ht="15" customHeight="1">
      <c r="B1035" s="187"/>
      <c r="C1035" s="187"/>
      <c r="D1035" s="187"/>
      <c r="E1035" s="187"/>
      <c r="F1035" s="187"/>
      <c r="G1035" s="187"/>
      <c r="H1035" s="187"/>
      <c r="J1035" s="186"/>
      <c r="K1035" s="180"/>
      <c r="L1035" s="180"/>
      <c r="M1035" s="186"/>
      <c r="N1035" s="186"/>
    </row>
    <row r="1036" spans="2:14" s="188" customFormat="1" ht="15" customHeight="1">
      <c r="B1036" s="187"/>
      <c r="C1036" s="187"/>
      <c r="D1036" s="187"/>
      <c r="E1036" s="187"/>
      <c r="F1036" s="187"/>
      <c r="G1036" s="187"/>
      <c r="H1036" s="187"/>
      <c r="J1036" s="186"/>
      <c r="K1036" s="180"/>
      <c r="L1036" s="180"/>
      <c r="M1036" s="186"/>
      <c r="N1036" s="186"/>
    </row>
    <row r="1037" spans="2:14" s="188" customFormat="1" ht="15" customHeight="1">
      <c r="B1037" s="187"/>
      <c r="C1037" s="187"/>
      <c r="D1037" s="187"/>
      <c r="E1037" s="187"/>
      <c r="F1037" s="187"/>
      <c r="G1037" s="187"/>
      <c r="H1037" s="187"/>
      <c r="J1037" s="186"/>
      <c r="K1037" s="180"/>
      <c r="L1037" s="180"/>
      <c r="M1037" s="186"/>
      <c r="N1037" s="186"/>
    </row>
    <row r="1038" spans="2:14" s="188" customFormat="1" ht="15" customHeight="1">
      <c r="B1038" s="187"/>
      <c r="C1038" s="187"/>
      <c r="D1038" s="187"/>
      <c r="E1038" s="187"/>
      <c r="F1038" s="187"/>
      <c r="G1038" s="187"/>
      <c r="H1038" s="187"/>
      <c r="J1038" s="186"/>
      <c r="K1038" s="180"/>
      <c r="L1038" s="180"/>
      <c r="M1038" s="186"/>
      <c r="N1038" s="186"/>
    </row>
    <row r="1039" spans="2:14" s="188" customFormat="1" ht="15" customHeight="1">
      <c r="B1039" s="187"/>
      <c r="C1039" s="187"/>
      <c r="D1039" s="187"/>
      <c r="E1039" s="187"/>
      <c r="F1039" s="187"/>
      <c r="G1039" s="187"/>
      <c r="H1039" s="187"/>
      <c r="J1039" s="186"/>
      <c r="K1039" s="180"/>
      <c r="L1039" s="180"/>
      <c r="M1039" s="186"/>
      <c r="N1039" s="186"/>
    </row>
    <row r="1040" spans="2:14" s="188" customFormat="1" ht="15" customHeight="1">
      <c r="B1040" s="187"/>
      <c r="C1040" s="187"/>
      <c r="D1040" s="187"/>
      <c r="E1040" s="187"/>
      <c r="F1040" s="187"/>
      <c r="G1040" s="187"/>
      <c r="H1040" s="187"/>
      <c r="J1040" s="186"/>
      <c r="K1040" s="180"/>
      <c r="L1040" s="180"/>
      <c r="M1040" s="186"/>
      <c r="N1040" s="186"/>
    </row>
    <row r="1041" spans="2:14" s="188" customFormat="1" ht="15" customHeight="1">
      <c r="B1041" s="187"/>
      <c r="C1041" s="187"/>
      <c r="D1041" s="187"/>
      <c r="E1041" s="187"/>
      <c r="F1041" s="187"/>
      <c r="G1041" s="187"/>
      <c r="H1041" s="187"/>
      <c r="J1041" s="186"/>
      <c r="K1041" s="180"/>
      <c r="L1041" s="180"/>
      <c r="M1041" s="186"/>
      <c r="N1041" s="186"/>
    </row>
    <row r="1042" spans="2:14" s="188" customFormat="1" ht="15" customHeight="1">
      <c r="B1042" s="187"/>
      <c r="C1042" s="187"/>
      <c r="D1042" s="187"/>
      <c r="E1042" s="187"/>
      <c r="F1042" s="187"/>
      <c r="G1042" s="187"/>
      <c r="H1042" s="187"/>
      <c r="J1042" s="186"/>
      <c r="K1042" s="180"/>
      <c r="L1042" s="180"/>
      <c r="M1042" s="186"/>
      <c r="N1042" s="186"/>
    </row>
    <row r="1043" spans="2:14" s="188" customFormat="1" ht="15" customHeight="1">
      <c r="B1043" s="187"/>
      <c r="C1043" s="187"/>
      <c r="D1043" s="187"/>
      <c r="E1043" s="187"/>
      <c r="F1043" s="187"/>
      <c r="G1043" s="187"/>
      <c r="H1043" s="187"/>
      <c r="J1043" s="186"/>
      <c r="K1043" s="180"/>
      <c r="L1043" s="180"/>
      <c r="M1043" s="186"/>
      <c r="N1043" s="186"/>
    </row>
    <row r="1044" spans="2:14" s="188" customFormat="1" ht="15" customHeight="1">
      <c r="B1044" s="187"/>
      <c r="C1044" s="187"/>
      <c r="D1044" s="187"/>
      <c r="E1044" s="187"/>
      <c r="F1044" s="187"/>
      <c r="G1044" s="187"/>
      <c r="H1044" s="187"/>
      <c r="J1044" s="186"/>
      <c r="K1044" s="180"/>
      <c r="L1044" s="180"/>
      <c r="M1044" s="186"/>
      <c r="N1044" s="186"/>
    </row>
    <row r="1045" spans="2:14" s="188" customFormat="1" ht="15" customHeight="1">
      <c r="B1045" s="187"/>
      <c r="C1045" s="187"/>
      <c r="D1045" s="187"/>
      <c r="E1045" s="187"/>
      <c r="F1045" s="187"/>
      <c r="G1045" s="187"/>
      <c r="H1045" s="187"/>
      <c r="J1045" s="186"/>
      <c r="K1045" s="180"/>
      <c r="L1045" s="180"/>
      <c r="M1045" s="186"/>
      <c r="N1045" s="186"/>
    </row>
    <row r="1046" spans="2:14" s="188" customFormat="1" ht="15" customHeight="1">
      <c r="B1046" s="187"/>
      <c r="C1046" s="187"/>
      <c r="D1046" s="187"/>
      <c r="E1046" s="187"/>
      <c r="F1046" s="187"/>
      <c r="G1046" s="187"/>
      <c r="H1046" s="187"/>
      <c r="J1046" s="186"/>
      <c r="K1046" s="180"/>
      <c r="L1046" s="180"/>
      <c r="M1046" s="186"/>
      <c r="N1046" s="186"/>
    </row>
    <row r="1047" spans="2:14" s="188" customFormat="1" ht="15" customHeight="1">
      <c r="B1047" s="187"/>
      <c r="C1047" s="187"/>
      <c r="D1047" s="187"/>
      <c r="E1047" s="187"/>
      <c r="F1047" s="187"/>
      <c r="G1047" s="187"/>
      <c r="H1047" s="187"/>
      <c r="J1047" s="186"/>
      <c r="K1047" s="180"/>
      <c r="L1047" s="180"/>
      <c r="M1047" s="186"/>
      <c r="N1047" s="186"/>
    </row>
    <row r="1048" spans="2:14" s="188" customFormat="1" ht="15" customHeight="1">
      <c r="B1048" s="187"/>
      <c r="C1048" s="187"/>
      <c r="D1048" s="187"/>
      <c r="E1048" s="187"/>
      <c r="F1048" s="187"/>
      <c r="G1048" s="187"/>
      <c r="H1048" s="187"/>
      <c r="J1048" s="186"/>
      <c r="K1048" s="180"/>
      <c r="L1048" s="180"/>
      <c r="M1048" s="186"/>
      <c r="N1048" s="186"/>
    </row>
    <row r="1049" spans="2:14" s="188" customFormat="1" ht="15" customHeight="1">
      <c r="B1049" s="187"/>
      <c r="C1049" s="187"/>
      <c r="D1049" s="187"/>
      <c r="E1049" s="187"/>
      <c r="F1049" s="187"/>
      <c r="G1049" s="187"/>
      <c r="H1049" s="187"/>
      <c r="J1049" s="186"/>
      <c r="K1049" s="180"/>
      <c r="L1049" s="180"/>
      <c r="M1049" s="186"/>
      <c r="N1049" s="186"/>
    </row>
    <row r="1050" spans="2:14" s="188" customFormat="1" ht="15" customHeight="1">
      <c r="B1050" s="187"/>
      <c r="C1050" s="187"/>
      <c r="D1050" s="187"/>
      <c r="E1050" s="187"/>
      <c r="F1050" s="187"/>
      <c r="G1050" s="187"/>
      <c r="H1050" s="187"/>
      <c r="J1050" s="186"/>
      <c r="K1050" s="180"/>
      <c r="L1050" s="180"/>
      <c r="M1050" s="186"/>
      <c r="N1050" s="186"/>
    </row>
    <row r="1051" spans="2:14" s="188" customFormat="1" ht="15" customHeight="1">
      <c r="B1051" s="187"/>
      <c r="C1051" s="187"/>
      <c r="D1051" s="187"/>
      <c r="E1051" s="187"/>
      <c r="F1051" s="187"/>
      <c r="G1051" s="187"/>
      <c r="H1051" s="187"/>
      <c r="J1051" s="186"/>
      <c r="K1051" s="180"/>
      <c r="L1051" s="180"/>
      <c r="M1051" s="186"/>
      <c r="N1051" s="186"/>
    </row>
    <row r="1052" spans="2:14" s="188" customFormat="1" ht="15" customHeight="1">
      <c r="B1052" s="187"/>
      <c r="C1052" s="187"/>
      <c r="D1052" s="187"/>
      <c r="E1052" s="187"/>
      <c r="F1052" s="187"/>
      <c r="G1052" s="187"/>
      <c r="H1052" s="187"/>
      <c r="J1052" s="186"/>
      <c r="K1052" s="180"/>
      <c r="L1052" s="180"/>
      <c r="M1052" s="186"/>
      <c r="N1052" s="186"/>
    </row>
    <row r="1053" spans="2:14" s="188" customFormat="1" ht="15" customHeight="1">
      <c r="B1053" s="187"/>
      <c r="C1053" s="187"/>
      <c r="D1053" s="187"/>
      <c r="E1053" s="187"/>
      <c r="F1053" s="187"/>
      <c r="G1053" s="187"/>
      <c r="H1053" s="187"/>
      <c r="J1053" s="186"/>
      <c r="K1053" s="180"/>
      <c r="L1053" s="180"/>
      <c r="M1053" s="186"/>
      <c r="N1053" s="186"/>
    </row>
    <row r="1054" spans="2:14" s="188" customFormat="1" ht="15" customHeight="1">
      <c r="B1054" s="187"/>
      <c r="C1054" s="187"/>
      <c r="D1054" s="187"/>
      <c r="E1054" s="187"/>
      <c r="F1054" s="187"/>
      <c r="G1054" s="187"/>
      <c r="H1054" s="187"/>
      <c r="J1054" s="186"/>
      <c r="K1054" s="180"/>
      <c r="L1054" s="180"/>
      <c r="M1054" s="186"/>
      <c r="N1054" s="186"/>
    </row>
    <row r="1055" spans="2:14" s="188" customFormat="1" ht="15" customHeight="1">
      <c r="B1055" s="187"/>
      <c r="C1055" s="187"/>
      <c r="D1055" s="187"/>
      <c r="E1055" s="187"/>
      <c r="F1055" s="187"/>
      <c r="G1055" s="187"/>
      <c r="H1055" s="187"/>
      <c r="J1055" s="186"/>
      <c r="K1055" s="180"/>
      <c r="L1055" s="180"/>
      <c r="M1055" s="186"/>
      <c r="N1055" s="186"/>
    </row>
    <row r="1056" spans="2:14" s="188" customFormat="1" ht="15" customHeight="1">
      <c r="B1056" s="187"/>
      <c r="C1056" s="187"/>
      <c r="D1056" s="187"/>
      <c r="E1056" s="187"/>
      <c r="F1056" s="187"/>
      <c r="G1056" s="187"/>
      <c r="H1056" s="187"/>
      <c r="J1056" s="186"/>
      <c r="K1056" s="180"/>
      <c r="L1056" s="180"/>
      <c r="M1056" s="186"/>
      <c r="N1056" s="186"/>
    </row>
    <row r="1057" spans="2:14" s="188" customFormat="1" ht="15" customHeight="1">
      <c r="B1057" s="187"/>
      <c r="C1057" s="187"/>
      <c r="D1057" s="187"/>
      <c r="E1057" s="187"/>
      <c r="F1057" s="187"/>
      <c r="G1057" s="187"/>
      <c r="H1057" s="187"/>
      <c r="J1057" s="186"/>
      <c r="K1057" s="180"/>
      <c r="L1057" s="180"/>
      <c r="M1057" s="186"/>
      <c r="N1057" s="186"/>
    </row>
    <row r="1058" spans="2:14" s="188" customFormat="1" ht="15" customHeight="1">
      <c r="B1058" s="187"/>
      <c r="C1058" s="187"/>
      <c r="D1058" s="187"/>
      <c r="E1058" s="187"/>
      <c r="F1058" s="187"/>
      <c r="G1058" s="187"/>
      <c r="H1058" s="187"/>
      <c r="J1058" s="186"/>
      <c r="K1058" s="180"/>
      <c r="L1058" s="180"/>
      <c r="M1058" s="186"/>
      <c r="N1058" s="186"/>
    </row>
    <row r="1059" spans="2:14" s="188" customFormat="1" ht="15" customHeight="1">
      <c r="B1059" s="187"/>
      <c r="C1059" s="187"/>
      <c r="D1059" s="187"/>
      <c r="E1059" s="187"/>
      <c r="F1059" s="187"/>
      <c r="G1059" s="187"/>
      <c r="H1059" s="187"/>
      <c r="J1059" s="186"/>
      <c r="K1059" s="180"/>
      <c r="L1059" s="180"/>
      <c r="M1059" s="186"/>
      <c r="N1059" s="186"/>
    </row>
    <row r="1060" spans="2:14" s="188" customFormat="1" ht="15" customHeight="1">
      <c r="B1060" s="187"/>
      <c r="C1060" s="187"/>
      <c r="D1060" s="187"/>
      <c r="E1060" s="187"/>
      <c r="F1060" s="187"/>
      <c r="G1060" s="187"/>
      <c r="H1060" s="187"/>
      <c r="J1060" s="186"/>
      <c r="K1060" s="180"/>
      <c r="L1060" s="180"/>
      <c r="M1060" s="186"/>
      <c r="N1060" s="186"/>
    </row>
    <row r="1061" spans="2:14" s="188" customFormat="1" ht="15" customHeight="1">
      <c r="B1061" s="187"/>
      <c r="C1061" s="187"/>
      <c r="D1061" s="187"/>
      <c r="E1061" s="187"/>
      <c r="F1061" s="187"/>
      <c r="G1061" s="187"/>
      <c r="H1061" s="187"/>
      <c r="J1061" s="186"/>
      <c r="K1061" s="180"/>
      <c r="L1061" s="180"/>
      <c r="M1061" s="186"/>
      <c r="N1061" s="186"/>
    </row>
    <row r="1062" spans="2:14" s="188" customFormat="1" ht="15" customHeight="1">
      <c r="B1062" s="187"/>
      <c r="C1062" s="187"/>
      <c r="D1062" s="187"/>
      <c r="E1062" s="187"/>
      <c r="F1062" s="187"/>
      <c r="G1062" s="187"/>
      <c r="H1062" s="187"/>
      <c r="J1062" s="186"/>
      <c r="K1062" s="180"/>
      <c r="L1062" s="180"/>
      <c r="M1062" s="186"/>
      <c r="N1062" s="186"/>
    </row>
    <row r="1063" spans="2:14" s="188" customFormat="1" ht="15" customHeight="1">
      <c r="B1063" s="187"/>
      <c r="C1063" s="187"/>
      <c r="D1063" s="187"/>
      <c r="E1063" s="187"/>
      <c r="F1063" s="187"/>
      <c r="G1063" s="187"/>
      <c r="H1063" s="187"/>
      <c r="J1063" s="186"/>
      <c r="K1063" s="180"/>
      <c r="L1063" s="180"/>
      <c r="M1063" s="186"/>
      <c r="N1063" s="186"/>
    </row>
    <row r="1064" spans="2:14" s="188" customFormat="1" ht="15" customHeight="1">
      <c r="B1064" s="187"/>
      <c r="C1064" s="187"/>
      <c r="D1064" s="187"/>
      <c r="E1064" s="187"/>
      <c r="F1064" s="187"/>
      <c r="G1064" s="187"/>
      <c r="H1064" s="187"/>
      <c r="J1064" s="186"/>
      <c r="K1064" s="180"/>
      <c r="L1064" s="180"/>
      <c r="M1064" s="186"/>
      <c r="N1064" s="186"/>
    </row>
    <row r="1065" spans="2:14" s="188" customFormat="1" ht="15" customHeight="1">
      <c r="B1065" s="187"/>
      <c r="C1065" s="187"/>
      <c r="D1065" s="187"/>
      <c r="E1065" s="187"/>
      <c r="F1065" s="187"/>
      <c r="G1065" s="187"/>
      <c r="H1065" s="187"/>
      <c r="J1065" s="186"/>
      <c r="K1065" s="180"/>
      <c r="L1065" s="180"/>
      <c r="M1065" s="186"/>
      <c r="N1065" s="186"/>
    </row>
    <row r="1066" spans="2:14" s="188" customFormat="1" ht="15" customHeight="1">
      <c r="B1066" s="187"/>
      <c r="C1066" s="187"/>
      <c r="D1066" s="187"/>
      <c r="E1066" s="187"/>
      <c r="F1066" s="187"/>
      <c r="G1066" s="187"/>
      <c r="H1066" s="187"/>
      <c r="J1066" s="186"/>
      <c r="K1066" s="180"/>
      <c r="L1066" s="180"/>
      <c r="M1066" s="186"/>
      <c r="N1066" s="186"/>
    </row>
    <row r="1067" spans="2:14" s="188" customFormat="1" ht="15" customHeight="1">
      <c r="B1067" s="187"/>
      <c r="C1067" s="187"/>
      <c r="D1067" s="187"/>
      <c r="E1067" s="187"/>
      <c r="F1067" s="187"/>
      <c r="G1067" s="187"/>
      <c r="H1067" s="187"/>
      <c r="J1067" s="186"/>
      <c r="K1067" s="180"/>
      <c r="L1067" s="180"/>
      <c r="M1067" s="186"/>
      <c r="N1067" s="186"/>
    </row>
    <row r="1068" spans="2:14" s="188" customFormat="1" ht="15" customHeight="1">
      <c r="B1068" s="187"/>
      <c r="C1068" s="187"/>
      <c r="D1068" s="187"/>
      <c r="E1068" s="187"/>
      <c r="F1068" s="187"/>
      <c r="G1068" s="187"/>
      <c r="H1068" s="187"/>
      <c r="J1068" s="186"/>
      <c r="K1068" s="180"/>
      <c r="L1068" s="180"/>
      <c r="M1068" s="186"/>
      <c r="N1068" s="186"/>
    </row>
    <row r="1069" spans="2:14" s="188" customFormat="1" ht="15" customHeight="1">
      <c r="B1069" s="187"/>
      <c r="C1069" s="187"/>
      <c r="D1069" s="187"/>
      <c r="E1069" s="187"/>
      <c r="F1069" s="187"/>
      <c r="G1069" s="187"/>
      <c r="H1069" s="187"/>
      <c r="J1069" s="186"/>
      <c r="K1069" s="180"/>
      <c r="L1069" s="180"/>
      <c r="M1069" s="186"/>
      <c r="N1069" s="186"/>
    </row>
    <row r="1070" spans="2:14" s="188" customFormat="1" ht="15" customHeight="1">
      <c r="B1070" s="187"/>
      <c r="C1070" s="187"/>
      <c r="D1070" s="187"/>
      <c r="E1070" s="187"/>
      <c r="F1070" s="187"/>
      <c r="G1070" s="187"/>
      <c r="H1070" s="187"/>
      <c r="J1070" s="186"/>
      <c r="K1070" s="180"/>
      <c r="L1070" s="180"/>
      <c r="M1070" s="186"/>
      <c r="N1070" s="186"/>
    </row>
    <row r="1071" spans="2:14" s="188" customFormat="1" ht="15" customHeight="1">
      <c r="B1071" s="187"/>
      <c r="C1071" s="187"/>
      <c r="D1071" s="187"/>
      <c r="E1071" s="187"/>
      <c r="F1071" s="187"/>
      <c r="G1071" s="187"/>
      <c r="H1071" s="187"/>
      <c r="J1071" s="186"/>
      <c r="K1071" s="180"/>
      <c r="L1071" s="180"/>
      <c r="M1071" s="186"/>
      <c r="N1071" s="186"/>
    </row>
    <row r="1072" spans="2:14" s="188" customFormat="1" ht="15" customHeight="1">
      <c r="B1072" s="187"/>
      <c r="C1072" s="187"/>
      <c r="D1072" s="187"/>
      <c r="E1072" s="187"/>
      <c r="F1072" s="187"/>
      <c r="G1072" s="187"/>
      <c r="H1072" s="187"/>
      <c r="J1072" s="186"/>
      <c r="K1072" s="180"/>
      <c r="L1072" s="180"/>
      <c r="M1072" s="186"/>
      <c r="N1072" s="186"/>
    </row>
    <row r="1073" spans="2:14" s="188" customFormat="1" ht="15" customHeight="1">
      <c r="B1073" s="187"/>
      <c r="C1073" s="187"/>
      <c r="D1073" s="187"/>
      <c r="E1073" s="187"/>
      <c r="F1073" s="187"/>
      <c r="G1073" s="187"/>
      <c r="H1073" s="187"/>
      <c r="J1073" s="186"/>
      <c r="K1073" s="180"/>
      <c r="L1073" s="180"/>
      <c r="M1073" s="186"/>
      <c r="N1073" s="186"/>
    </row>
    <row r="1074" spans="2:14" s="188" customFormat="1" ht="15" customHeight="1">
      <c r="B1074" s="187"/>
      <c r="C1074" s="187"/>
      <c r="D1074" s="187"/>
      <c r="E1074" s="187"/>
      <c r="F1074" s="187"/>
      <c r="G1074" s="187"/>
      <c r="H1074" s="187"/>
      <c r="J1074" s="186"/>
      <c r="K1074" s="180"/>
      <c r="L1074" s="180"/>
      <c r="M1074" s="186"/>
      <c r="N1074" s="186"/>
    </row>
    <row r="1075" spans="2:14" s="188" customFormat="1" ht="15" customHeight="1">
      <c r="B1075" s="187"/>
      <c r="C1075" s="187"/>
      <c r="D1075" s="187"/>
      <c r="E1075" s="187"/>
      <c r="F1075" s="187"/>
      <c r="G1075" s="187"/>
      <c r="H1075" s="187"/>
      <c r="J1075" s="186"/>
      <c r="K1075" s="180"/>
      <c r="L1075" s="180"/>
      <c r="M1075" s="186"/>
      <c r="N1075" s="186"/>
    </row>
    <row r="1076" spans="2:14" s="188" customFormat="1" ht="15" customHeight="1">
      <c r="B1076" s="187"/>
      <c r="C1076" s="187"/>
      <c r="D1076" s="187"/>
      <c r="E1076" s="187"/>
      <c r="F1076" s="187"/>
      <c r="G1076" s="187"/>
      <c r="H1076" s="187"/>
      <c r="J1076" s="186"/>
      <c r="K1076" s="180"/>
      <c r="L1076" s="180"/>
      <c r="M1076" s="186"/>
      <c r="N1076" s="186"/>
    </row>
    <row r="1077" spans="2:14" s="188" customFormat="1" ht="15" customHeight="1">
      <c r="B1077" s="187"/>
      <c r="C1077" s="187"/>
      <c r="D1077" s="187"/>
      <c r="E1077" s="187"/>
      <c r="F1077" s="187"/>
      <c r="G1077" s="187"/>
      <c r="H1077" s="187"/>
      <c r="J1077" s="186"/>
      <c r="K1077" s="180"/>
      <c r="L1077" s="180"/>
      <c r="M1077" s="186"/>
      <c r="N1077" s="186"/>
    </row>
    <row r="1078" spans="2:14" s="188" customFormat="1" ht="15" customHeight="1">
      <c r="B1078" s="187"/>
      <c r="C1078" s="187"/>
      <c r="D1078" s="187"/>
      <c r="E1078" s="187"/>
      <c r="F1078" s="187"/>
      <c r="G1078" s="187"/>
      <c r="H1078" s="187"/>
      <c r="J1078" s="186"/>
      <c r="K1078" s="180"/>
      <c r="L1078" s="180"/>
      <c r="M1078" s="186"/>
      <c r="N1078" s="186"/>
    </row>
    <row r="1079" spans="2:14" s="188" customFormat="1" ht="15" customHeight="1">
      <c r="B1079" s="187"/>
      <c r="C1079" s="187"/>
      <c r="D1079" s="187"/>
      <c r="E1079" s="187"/>
      <c r="F1079" s="187"/>
      <c r="G1079" s="187"/>
      <c r="H1079" s="187"/>
      <c r="J1079" s="186"/>
      <c r="K1079" s="180"/>
      <c r="L1079" s="180"/>
      <c r="M1079" s="186"/>
      <c r="N1079" s="186"/>
    </row>
    <row r="1080" spans="2:14" s="188" customFormat="1" ht="15" customHeight="1">
      <c r="B1080" s="187"/>
      <c r="C1080" s="187"/>
      <c r="D1080" s="187"/>
      <c r="E1080" s="187"/>
      <c r="F1080" s="187"/>
      <c r="G1080" s="187"/>
      <c r="H1080" s="187"/>
      <c r="J1080" s="186"/>
      <c r="K1080" s="180"/>
      <c r="L1080" s="180"/>
      <c r="M1080" s="186"/>
      <c r="N1080" s="186"/>
    </row>
    <row r="1081" spans="2:14" s="188" customFormat="1" ht="15" customHeight="1">
      <c r="B1081" s="187"/>
      <c r="C1081" s="187"/>
      <c r="D1081" s="187"/>
      <c r="E1081" s="187"/>
      <c r="F1081" s="187"/>
      <c r="G1081" s="187"/>
      <c r="H1081" s="187"/>
      <c r="J1081" s="186"/>
      <c r="K1081" s="180"/>
      <c r="L1081" s="180"/>
      <c r="M1081" s="186"/>
      <c r="N1081" s="186"/>
    </row>
    <row r="1082" spans="2:14" s="188" customFormat="1" ht="15" customHeight="1">
      <c r="B1082" s="187"/>
      <c r="C1082" s="187"/>
      <c r="D1082" s="187"/>
      <c r="E1082" s="187"/>
      <c r="F1082" s="187"/>
      <c r="G1082" s="187"/>
      <c r="H1082" s="187"/>
      <c r="J1082" s="186"/>
      <c r="K1082" s="180"/>
      <c r="L1082" s="180"/>
      <c r="M1082" s="186"/>
      <c r="N1082" s="186"/>
    </row>
    <row r="1083" spans="2:14" s="188" customFormat="1" ht="15" customHeight="1">
      <c r="B1083" s="187"/>
      <c r="C1083" s="187"/>
      <c r="D1083" s="187"/>
      <c r="E1083" s="187"/>
      <c r="F1083" s="187"/>
      <c r="G1083" s="187"/>
      <c r="H1083" s="187"/>
      <c r="J1083" s="186"/>
      <c r="K1083" s="180"/>
      <c r="L1083" s="180"/>
      <c r="M1083" s="186"/>
      <c r="N1083" s="186"/>
    </row>
    <row r="1084" spans="2:14" s="188" customFormat="1" ht="15" customHeight="1">
      <c r="B1084" s="187"/>
      <c r="C1084" s="187"/>
      <c r="D1084" s="187"/>
      <c r="E1084" s="187"/>
      <c r="F1084" s="187"/>
      <c r="G1084" s="187"/>
      <c r="H1084" s="187"/>
      <c r="J1084" s="186"/>
      <c r="K1084" s="180"/>
      <c r="L1084" s="180"/>
      <c r="M1084" s="186"/>
      <c r="N1084" s="186"/>
    </row>
    <row r="1085" spans="2:14" s="188" customFormat="1" ht="15" customHeight="1">
      <c r="B1085" s="187"/>
      <c r="C1085" s="187"/>
      <c r="D1085" s="187"/>
      <c r="E1085" s="187"/>
      <c r="F1085" s="187"/>
      <c r="G1085" s="187"/>
      <c r="H1085" s="187"/>
      <c r="J1085" s="186"/>
      <c r="K1085" s="180"/>
      <c r="L1085" s="180"/>
      <c r="M1085" s="186"/>
      <c r="N1085" s="186"/>
    </row>
    <row r="1086" spans="2:14" s="188" customFormat="1" ht="15" customHeight="1">
      <c r="B1086" s="187"/>
      <c r="C1086" s="187"/>
      <c r="D1086" s="187"/>
      <c r="E1086" s="187"/>
      <c r="F1086" s="187"/>
      <c r="G1086" s="187"/>
      <c r="H1086" s="187"/>
      <c r="J1086" s="186"/>
      <c r="K1086" s="180"/>
      <c r="L1086" s="180"/>
      <c r="M1086" s="186"/>
      <c r="N1086" s="186"/>
    </row>
    <row r="1087" spans="2:14" s="188" customFormat="1" ht="15" customHeight="1">
      <c r="B1087" s="187"/>
      <c r="C1087" s="187"/>
      <c r="D1087" s="187"/>
      <c r="E1087" s="187"/>
      <c r="F1087" s="187"/>
      <c r="G1087" s="187"/>
      <c r="H1087" s="187"/>
      <c r="J1087" s="186"/>
      <c r="K1087" s="180"/>
      <c r="L1087" s="180"/>
      <c r="M1087" s="186"/>
      <c r="N1087" s="186"/>
    </row>
    <row r="1088" spans="2:14" s="188" customFormat="1" ht="15" customHeight="1">
      <c r="B1088" s="187"/>
      <c r="C1088" s="187"/>
      <c r="D1088" s="187"/>
      <c r="E1088" s="187"/>
      <c r="F1088" s="187"/>
      <c r="G1088" s="187"/>
      <c r="H1088" s="187"/>
      <c r="J1088" s="186"/>
      <c r="K1088" s="180"/>
      <c r="L1088" s="180"/>
      <c r="M1088" s="186"/>
      <c r="N1088" s="186"/>
    </row>
    <row r="1089" spans="2:14" s="188" customFormat="1" ht="15" customHeight="1">
      <c r="B1089" s="187"/>
      <c r="C1089" s="187"/>
      <c r="D1089" s="187"/>
      <c r="E1089" s="187"/>
      <c r="F1089" s="187"/>
      <c r="G1089" s="187"/>
      <c r="H1089" s="187"/>
      <c r="J1089" s="186"/>
      <c r="K1089" s="180"/>
      <c r="L1089" s="180"/>
      <c r="M1089" s="186"/>
      <c r="N1089" s="186"/>
    </row>
    <row r="1090" spans="2:14" s="188" customFormat="1" ht="15" customHeight="1">
      <c r="B1090" s="187"/>
      <c r="C1090" s="187"/>
      <c r="D1090" s="187"/>
      <c r="E1090" s="187"/>
      <c r="F1090" s="187"/>
      <c r="G1090" s="187"/>
      <c r="H1090" s="187"/>
      <c r="J1090" s="186"/>
      <c r="K1090" s="180"/>
      <c r="L1090" s="180"/>
      <c r="M1090" s="186"/>
      <c r="N1090" s="186"/>
    </row>
    <row r="1091" spans="2:14" s="188" customFormat="1" ht="15" customHeight="1">
      <c r="B1091" s="187"/>
      <c r="C1091" s="187"/>
      <c r="D1091" s="187"/>
      <c r="E1091" s="187"/>
      <c r="F1091" s="187"/>
      <c r="G1091" s="187"/>
      <c r="H1091" s="187"/>
      <c r="J1091" s="186"/>
      <c r="K1091" s="180"/>
      <c r="L1091" s="180"/>
      <c r="M1091" s="186"/>
      <c r="N1091" s="186"/>
    </row>
    <row r="1092" spans="2:14" s="188" customFormat="1" ht="15" customHeight="1">
      <c r="B1092" s="187"/>
      <c r="C1092" s="187"/>
      <c r="D1092" s="187"/>
      <c r="E1092" s="187"/>
      <c r="F1092" s="187"/>
      <c r="G1092" s="187"/>
      <c r="H1092" s="187"/>
      <c r="J1092" s="186"/>
      <c r="K1092" s="180"/>
      <c r="L1092" s="180"/>
      <c r="M1092" s="186"/>
      <c r="N1092" s="186"/>
    </row>
    <row r="1093" spans="2:14" s="188" customFormat="1" ht="15" customHeight="1">
      <c r="B1093" s="187"/>
      <c r="C1093" s="187"/>
      <c r="D1093" s="187"/>
      <c r="E1093" s="187"/>
      <c r="F1093" s="187"/>
      <c r="G1093" s="187"/>
      <c r="H1093" s="187"/>
      <c r="J1093" s="186"/>
      <c r="K1093" s="180"/>
      <c r="L1093" s="180"/>
      <c r="M1093" s="186"/>
      <c r="N1093" s="186"/>
    </row>
    <row r="1094" spans="2:14" s="188" customFormat="1" ht="15" customHeight="1">
      <c r="B1094" s="187"/>
      <c r="C1094" s="187"/>
      <c r="D1094" s="187"/>
      <c r="E1094" s="187"/>
      <c r="F1094" s="187"/>
      <c r="G1094" s="187"/>
      <c r="H1094" s="187"/>
      <c r="J1094" s="186"/>
      <c r="K1094" s="180"/>
      <c r="L1094" s="180"/>
      <c r="M1094" s="186"/>
      <c r="N1094" s="186"/>
    </row>
    <row r="1095" spans="2:14" s="188" customFormat="1" ht="15" customHeight="1">
      <c r="B1095" s="187"/>
      <c r="C1095" s="187"/>
      <c r="D1095" s="187"/>
      <c r="E1095" s="187"/>
      <c r="F1095" s="187"/>
      <c r="G1095" s="187"/>
      <c r="H1095" s="187"/>
      <c r="J1095" s="186"/>
      <c r="K1095" s="180"/>
      <c r="L1095" s="180"/>
      <c r="M1095" s="186"/>
      <c r="N1095" s="186"/>
    </row>
    <row r="1096" spans="2:14" s="188" customFormat="1" ht="15" customHeight="1">
      <c r="B1096" s="187"/>
      <c r="C1096" s="187"/>
      <c r="D1096" s="187"/>
      <c r="E1096" s="187"/>
      <c r="F1096" s="187"/>
      <c r="G1096" s="187"/>
      <c r="H1096" s="187"/>
      <c r="J1096" s="186"/>
      <c r="K1096" s="180"/>
      <c r="L1096" s="180"/>
      <c r="M1096" s="186"/>
      <c r="N1096" s="186"/>
    </row>
    <row r="1097" spans="2:14" s="188" customFormat="1" ht="15" customHeight="1">
      <c r="B1097" s="187"/>
      <c r="C1097" s="187"/>
      <c r="D1097" s="187"/>
      <c r="E1097" s="187"/>
      <c r="F1097" s="187"/>
      <c r="G1097" s="187"/>
      <c r="H1097" s="187"/>
      <c r="J1097" s="186"/>
      <c r="K1097" s="180"/>
      <c r="L1097" s="180"/>
      <c r="M1097" s="186"/>
      <c r="N1097" s="186"/>
    </row>
    <row r="1098" spans="2:14" s="188" customFormat="1" ht="15" customHeight="1">
      <c r="B1098" s="187"/>
      <c r="C1098" s="187"/>
      <c r="D1098" s="187"/>
      <c r="E1098" s="187"/>
      <c r="F1098" s="187"/>
      <c r="G1098" s="187"/>
      <c r="H1098" s="187"/>
      <c r="J1098" s="186"/>
      <c r="K1098" s="180"/>
      <c r="L1098" s="180"/>
      <c r="M1098" s="186"/>
      <c r="N1098" s="186"/>
    </row>
    <row r="1099" spans="2:14" s="188" customFormat="1" ht="15" customHeight="1">
      <c r="B1099" s="187"/>
      <c r="C1099" s="187"/>
      <c r="D1099" s="187"/>
      <c r="E1099" s="187"/>
      <c r="F1099" s="187"/>
      <c r="G1099" s="187"/>
      <c r="H1099" s="187"/>
      <c r="J1099" s="186"/>
      <c r="K1099" s="180"/>
      <c r="L1099" s="180"/>
      <c r="M1099" s="186"/>
      <c r="N1099" s="186"/>
    </row>
    <row r="1100" spans="2:14" s="188" customFormat="1" ht="15" customHeight="1">
      <c r="B1100" s="187"/>
      <c r="C1100" s="187"/>
      <c r="D1100" s="187"/>
      <c r="E1100" s="187"/>
      <c r="F1100" s="187"/>
      <c r="G1100" s="187"/>
      <c r="H1100" s="187"/>
      <c r="J1100" s="186"/>
      <c r="K1100" s="180"/>
      <c r="L1100" s="180"/>
      <c r="M1100" s="186"/>
      <c r="N1100" s="186"/>
    </row>
    <row r="1101" spans="2:14" s="188" customFormat="1" ht="15" customHeight="1">
      <c r="B1101" s="187"/>
      <c r="C1101" s="187"/>
      <c r="D1101" s="187"/>
      <c r="E1101" s="187"/>
      <c r="F1101" s="187"/>
      <c r="G1101" s="187"/>
      <c r="H1101" s="187"/>
      <c r="J1101" s="186"/>
      <c r="K1101" s="180"/>
      <c r="L1101" s="180"/>
      <c r="M1101" s="186"/>
      <c r="N1101" s="186"/>
    </row>
    <row r="1102" spans="2:14" s="188" customFormat="1" ht="15" customHeight="1">
      <c r="B1102" s="187"/>
      <c r="C1102" s="187"/>
      <c r="D1102" s="187"/>
      <c r="E1102" s="187"/>
      <c r="F1102" s="187"/>
      <c r="G1102" s="187"/>
      <c r="H1102" s="187"/>
      <c r="J1102" s="186"/>
      <c r="K1102" s="180"/>
      <c r="L1102" s="180"/>
      <c r="M1102" s="186"/>
      <c r="N1102" s="186"/>
    </row>
    <row r="1103" spans="2:14" s="188" customFormat="1" ht="15" customHeight="1">
      <c r="B1103" s="187"/>
      <c r="C1103" s="187"/>
      <c r="D1103" s="187"/>
      <c r="E1103" s="187"/>
      <c r="F1103" s="187"/>
      <c r="G1103" s="187"/>
      <c r="H1103" s="187"/>
      <c r="J1103" s="186"/>
      <c r="K1103" s="180"/>
      <c r="L1103" s="180"/>
      <c r="M1103" s="186"/>
      <c r="N1103" s="186"/>
    </row>
    <row r="1104" spans="2:14" s="188" customFormat="1" ht="15" customHeight="1">
      <c r="B1104" s="187"/>
      <c r="C1104" s="187"/>
      <c r="D1104" s="187"/>
      <c r="E1104" s="187"/>
      <c r="F1104" s="187"/>
      <c r="G1104" s="187"/>
      <c r="H1104" s="187"/>
      <c r="J1104" s="186"/>
      <c r="K1104" s="180"/>
      <c r="L1104" s="180"/>
      <c r="M1104" s="186"/>
      <c r="N1104" s="186"/>
    </row>
    <row r="1105" spans="2:14" s="188" customFormat="1" ht="15" customHeight="1">
      <c r="B1105" s="187"/>
      <c r="C1105" s="187"/>
      <c r="D1105" s="187"/>
      <c r="E1105" s="187"/>
      <c r="F1105" s="187"/>
      <c r="G1105" s="187"/>
      <c r="H1105" s="187"/>
      <c r="J1105" s="186"/>
      <c r="K1105" s="180"/>
      <c r="L1105" s="180"/>
      <c r="M1105" s="186"/>
      <c r="N1105" s="186"/>
    </row>
    <row r="1106" spans="2:14" s="188" customFormat="1" ht="15" customHeight="1">
      <c r="B1106" s="187"/>
      <c r="C1106" s="187"/>
      <c r="D1106" s="187"/>
      <c r="E1106" s="187"/>
      <c r="F1106" s="187"/>
      <c r="G1106" s="187"/>
      <c r="H1106" s="187"/>
      <c r="J1106" s="186"/>
      <c r="K1106" s="180"/>
      <c r="L1106" s="180"/>
      <c r="M1106" s="186"/>
      <c r="N1106" s="186"/>
    </row>
    <row r="1107" spans="2:14" s="188" customFormat="1" ht="15" customHeight="1">
      <c r="B1107" s="187"/>
      <c r="C1107" s="187"/>
      <c r="D1107" s="187"/>
      <c r="E1107" s="187"/>
      <c r="F1107" s="187"/>
      <c r="G1107" s="187"/>
      <c r="H1107" s="187"/>
      <c r="J1107" s="186"/>
      <c r="K1107" s="180"/>
      <c r="L1107" s="180"/>
      <c r="M1107" s="186"/>
      <c r="N1107" s="186"/>
    </row>
    <row r="1108" spans="2:14" s="188" customFormat="1" ht="15" customHeight="1">
      <c r="B1108" s="187"/>
      <c r="C1108" s="187"/>
      <c r="D1108" s="187"/>
      <c r="E1108" s="187"/>
      <c r="F1108" s="187"/>
      <c r="G1108" s="187"/>
      <c r="H1108" s="187"/>
      <c r="J1108" s="186"/>
      <c r="K1108" s="180"/>
      <c r="L1108" s="180"/>
      <c r="M1108" s="186"/>
      <c r="N1108" s="186"/>
    </row>
    <row r="1109" spans="2:14" s="188" customFormat="1" ht="15" customHeight="1">
      <c r="B1109" s="187"/>
      <c r="C1109" s="187"/>
      <c r="D1109" s="187"/>
      <c r="E1109" s="187"/>
      <c r="F1109" s="187"/>
      <c r="G1109" s="187"/>
      <c r="H1109" s="187"/>
      <c r="J1109" s="186"/>
      <c r="K1109" s="180"/>
      <c r="L1109" s="180"/>
      <c r="M1109" s="186"/>
      <c r="N1109" s="186"/>
    </row>
    <row r="1110" spans="2:14" s="188" customFormat="1" ht="15" customHeight="1">
      <c r="B1110" s="187"/>
      <c r="C1110" s="187"/>
      <c r="D1110" s="187"/>
      <c r="E1110" s="187"/>
      <c r="F1110" s="187"/>
      <c r="G1110" s="187"/>
      <c r="H1110" s="187"/>
      <c r="J1110" s="186"/>
      <c r="K1110" s="180"/>
      <c r="L1110" s="180"/>
      <c r="M1110" s="186"/>
      <c r="N1110" s="186"/>
    </row>
    <row r="1111" spans="2:14" s="188" customFormat="1" ht="15" customHeight="1">
      <c r="B1111" s="187"/>
      <c r="C1111" s="187"/>
      <c r="D1111" s="187"/>
      <c r="E1111" s="187"/>
      <c r="F1111" s="187"/>
      <c r="G1111" s="187"/>
      <c r="H1111" s="187"/>
      <c r="J1111" s="186"/>
      <c r="K1111" s="180"/>
      <c r="L1111" s="180"/>
      <c r="M1111" s="186"/>
      <c r="N1111" s="186"/>
    </row>
    <row r="1112" spans="2:14" s="188" customFormat="1" ht="15" customHeight="1">
      <c r="B1112" s="187"/>
      <c r="C1112" s="187"/>
      <c r="D1112" s="187"/>
      <c r="E1112" s="187"/>
      <c r="F1112" s="187"/>
      <c r="G1112" s="187"/>
      <c r="H1112" s="187"/>
      <c r="J1112" s="186"/>
      <c r="K1112" s="180"/>
      <c r="L1112" s="180"/>
      <c r="M1112" s="186"/>
      <c r="N1112" s="186"/>
    </row>
    <row r="1113" spans="2:14" s="188" customFormat="1" ht="15" customHeight="1">
      <c r="B1113" s="187"/>
      <c r="C1113" s="187"/>
      <c r="D1113" s="187"/>
      <c r="E1113" s="187"/>
      <c r="F1113" s="187"/>
      <c r="G1113" s="187"/>
      <c r="H1113" s="187"/>
      <c r="J1113" s="186"/>
      <c r="K1113" s="180"/>
      <c r="L1113" s="180"/>
      <c r="M1113" s="186"/>
      <c r="N1113" s="186"/>
    </row>
    <row r="1114" spans="2:14" s="188" customFormat="1" ht="15" customHeight="1">
      <c r="B1114" s="187"/>
      <c r="C1114" s="187"/>
      <c r="D1114" s="187"/>
      <c r="E1114" s="187"/>
      <c r="F1114" s="187"/>
      <c r="G1114" s="187"/>
      <c r="H1114" s="187"/>
      <c r="J1114" s="186"/>
      <c r="K1114" s="180"/>
      <c r="L1114" s="180"/>
      <c r="M1114" s="186"/>
      <c r="N1114" s="186"/>
    </row>
    <row r="1115" spans="2:14" s="188" customFormat="1" ht="15" customHeight="1">
      <c r="B1115" s="187"/>
      <c r="C1115" s="187"/>
      <c r="D1115" s="187"/>
      <c r="E1115" s="187"/>
      <c r="F1115" s="187"/>
      <c r="G1115" s="187"/>
      <c r="H1115" s="187"/>
      <c r="J1115" s="186"/>
      <c r="K1115" s="180"/>
      <c r="L1115" s="180"/>
      <c r="M1115" s="186"/>
      <c r="N1115" s="186"/>
    </row>
    <row r="1116" spans="2:14" s="188" customFormat="1" ht="15" customHeight="1">
      <c r="B1116" s="187"/>
      <c r="C1116" s="187"/>
      <c r="D1116" s="187"/>
      <c r="E1116" s="187"/>
      <c r="F1116" s="187"/>
      <c r="G1116" s="187"/>
      <c r="H1116" s="187"/>
      <c r="J1116" s="186"/>
      <c r="K1116" s="180"/>
      <c r="L1116" s="180"/>
      <c r="M1116" s="186"/>
      <c r="N1116" s="186"/>
    </row>
    <row r="1117" spans="2:14" s="188" customFormat="1" ht="15" customHeight="1">
      <c r="B1117" s="187"/>
      <c r="C1117" s="187"/>
      <c r="D1117" s="187"/>
      <c r="E1117" s="187"/>
      <c r="F1117" s="187"/>
      <c r="G1117" s="187"/>
      <c r="H1117" s="187"/>
      <c r="J1117" s="186"/>
      <c r="K1117" s="180"/>
      <c r="L1117" s="180"/>
      <c r="M1117" s="186"/>
      <c r="N1117" s="186"/>
    </row>
    <row r="1118" spans="2:14" s="188" customFormat="1" ht="15" customHeight="1">
      <c r="B1118" s="187"/>
      <c r="C1118" s="187"/>
      <c r="D1118" s="187"/>
      <c r="E1118" s="187"/>
      <c r="F1118" s="187"/>
      <c r="G1118" s="187"/>
      <c r="H1118" s="187"/>
      <c r="J1118" s="186"/>
      <c r="K1118" s="180"/>
      <c r="L1118" s="180"/>
      <c r="M1118" s="186"/>
      <c r="N1118" s="186"/>
    </row>
    <row r="1119" spans="2:14" s="188" customFormat="1" ht="15" customHeight="1">
      <c r="B1119" s="187"/>
      <c r="C1119" s="187"/>
      <c r="D1119" s="187"/>
      <c r="E1119" s="187"/>
      <c r="F1119" s="187"/>
      <c r="G1119" s="187"/>
      <c r="H1119" s="187"/>
      <c r="J1119" s="186"/>
      <c r="K1119" s="180"/>
      <c r="L1119" s="180"/>
      <c r="M1119" s="186"/>
      <c r="N1119" s="186"/>
    </row>
    <row r="1120" spans="2:14" s="188" customFormat="1" ht="15" customHeight="1">
      <c r="B1120" s="187"/>
      <c r="C1120" s="187"/>
      <c r="D1120" s="187"/>
      <c r="E1120" s="187"/>
      <c r="F1120" s="187"/>
      <c r="G1120" s="187"/>
      <c r="H1120" s="187"/>
      <c r="J1120" s="186"/>
      <c r="K1120" s="180"/>
      <c r="L1120" s="180"/>
      <c r="M1120" s="186"/>
      <c r="N1120" s="186"/>
    </row>
    <row r="1121" spans="2:14" s="188" customFormat="1" ht="15" customHeight="1">
      <c r="B1121" s="187"/>
      <c r="C1121" s="187"/>
      <c r="D1121" s="187"/>
      <c r="E1121" s="187"/>
      <c r="F1121" s="187"/>
      <c r="G1121" s="187"/>
      <c r="H1121" s="187"/>
      <c r="J1121" s="186"/>
      <c r="K1121" s="180"/>
      <c r="L1121" s="180"/>
      <c r="M1121" s="186"/>
      <c r="N1121" s="186"/>
    </row>
    <row r="1122" spans="2:14" s="188" customFormat="1" ht="15" customHeight="1">
      <c r="B1122" s="187"/>
      <c r="C1122" s="187"/>
      <c r="D1122" s="187"/>
      <c r="E1122" s="187"/>
      <c r="F1122" s="187"/>
      <c r="G1122" s="187"/>
      <c r="H1122" s="187"/>
      <c r="J1122" s="186"/>
      <c r="K1122" s="180"/>
      <c r="L1122" s="180"/>
      <c r="M1122" s="186"/>
      <c r="N1122" s="186"/>
    </row>
    <row r="1123" spans="2:14" s="188" customFormat="1" ht="15" customHeight="1">
      <c r="B1123" s="187"/>
      <c r="C1123" s="187"/>
      <c r="D1123" s="187"/>
      <c r="E1123" s="187"/>
      <c r="F1123" s="187"/>
      <c r="G1123" s="187"/>
      <c r="H1123" s="187"/>
      <c r="J1123" s="186"/>
      <c r="K1123" s="180"/>
      <c r="L1123" s="180"/>
      <c r="M1123" s="186"/>
      <c r="N1123" s="186"/>
    </row>
    <row r="1124" spans="2:14" s="188" customFormat="1" ht="15" customHeight="1">
      <c r="B1124" s="187"/>
      <c r="C1124" s="187"/>
      <c r="D1124" s="187"/>
      <c r="E1124" s="187"/>
      <c r="F1124" s="187"/>
      <c r="G1124" s="187"/>
      <c r="H1124" s="187"/>
      <c r="J1124" s="186"/>
      <c r="K1124" s="180"/>
      <c r="L1124" s="180"/>
      <c r="M1124" s="186"/>
      <c r="N1124" s="186"/>
    </row>
    <row r="1125" spans="2:14" s="188" customFormat="1" ht="15" customHeight="1">
      <c r="B1125" s="187"/>
      <c r="C1125" s="187"/>
      <c r="D1125" s="187"/>
      <c r="E1125" s="187"/>
      <c r="F1125" s="187"/>
      <c r="G1125" s="187"/>
      <c r="H1125" s="187"/>
      <c r="J1125" s="186"/>
      <c r="K1125" s="180"/>
      <c r="L1125" s="180"/>
      <c r="M1125" s="186"/>
      <c r="N1125" s="186"/>
    </row>
    <row r="1126" spans="2:14" s="188" customFormat="1" ht="15" customHeight="1">
      <c r="B1126" s="187"/>
      <c r="C1126" s="187"/>
      <c r="D1126" s="187"/>
      <c r="E1126" s="187"/>
      <c r="F1126" s="187"/>
      <c r="G1126" s="187"/>
      <c r="H1126" s="187"/>
      <c r="J1126" s="186"/>
      <c r="K1126" s="180"/>
      <c r="L1126" s="180"/>
      <c r="M1126" s="186"/>
      <c r="N1126" s="186"/>
    </row>
    <row r="1127" spans="2:14" s="188" customFormat="1" ht="15" customHeight="1">
      <c r="B1127" s="187"/>
      <c r="C1127" s="187"/>
      <c r="D1127" s="187"/>
      <c r="E1127" s="187"/>
      <c r="F1127" s="187"/>
      <c r="G1127" s="187"/>
      <c r="H1127" s="187"/>
      <c r="J1127" s="186"/>
      <c r="K1127" s="180"/>
      <c r="L1127" s="180"/>
      <c r="M1127" s="186"/>
      <c r="N1127" s="186"/>
    </row>
    <row r="1128" spans="2:14" s="188" customFormat="1" ht="15" customHeight="1">
      <c r="B1128" s="187"/>
      <c r="C1128" s="187"/>
      <c r="D1128" s="187"/>
      <c r="E1128" s="187"/>
      <c r="F1128" s="187"/>
      <c r="G1128" s="187"/>
      <c r="H1128" s="187"/>
      <c r="J1128" s="186"/>
      <c r="K1128" s="180"/>
      <c r="L1128" s="180"/>
      <c r="M1128" s="186"/>
      <c r="N1128" s="186"/>
    </row>
    <row r="1129" spans="2:14" s="188" customFormat="1" ht="15" customHeight="1">
      <c r="B1129" s="187"/>
      <c r="C1129" s="187"/>
      <c r="D1129" s="187"/>
      <c r="E1129" s="187"/>
      <c r="F1129" s="187"/>
      <c r="G1129" s="187"/>
      <c r="H1129" s="187"/>
      <c r="J1129" s="186"/>
      <c r="K1129" s="180"/>
      <c r="L1129" s="180"/>
      <c r="M1129" s="186"/>
      <c r="N1129" s="186"/>
    </row>
    <row r="1130" spans="2:14" s="188" customFormat="1" ht="15" customHeight="1">
      <c r="B1130" s="187"/>
      <c r="C1130" s="187"/>
      <c r="D1130" s="187"/>
      <c r="E1130" s="187"/>
      <c r="F1130" s="187"/>
      <c r="G1130" s="187"/>
      <c r="H1130" s="187"/>
      <c r="J1130" s="186"/>
      <c r="K1130" s="180"/>
      <c r="L1130" s="180"/>
      <c r="M1130" s="186"/>
      <c r="N1130" s="186"/>
    </row>
    <row r="1131" spans="2:14" s="188" customFormat="1" ht="15" customHeight="1">
      <c r="B1131" s="187"/>
      <c r="C1131" s="187"/>
      <c r="D1131" s="187"/>
      <c r="E1131" s="187"/>
      <c r="F1131" s="187"/>
      <c r="G1131" s="187"/>
      <c r="H1131" s="187"/>
      <c r="J1131" s="186"/>
      <c r="K1131" s="180"/>
      <c r="L1131" s="180"/>
      <c r="M1131" s="186"/>
      <c r="N1131" s="186"/>
    </row>
    <row r="1132" spans="2:14" s="188" customFormat="1" ht="15" customHeight="1">
      <c r="B1132" s="187"/>
      <c r="C1132" s="187"/>
      <c r="D1132" s="187"/>
      <c r="E1132" s="187"/>
      <c r="F1132" s="187"/>
      <c r="G1132" s="187"/>
      <c r="H1132" s="187"/>
      <c r="J1132" s="186"/>
      <c r="K1132" s="180"/>
      <c r="L1132" s="180"/>
      <c r="M1132" s="186"/>
      <c r="N1132" s="186"/>
    </row>
    <row r="1133" spans="2:14" s="188" customFormat="1" ht="15" customHeight="1">
      <c r="B1133" s="187"/>
      <c r="C1133" s="187"/>
      <c r="D1133" s="187"/>
      <c r="E1133" s="187"/>
      <c r="F1133" s="187"/>
      <c r="G1133" s="187"/>
      <c r="H1133" s="187"/>
      <c r="J1133" s="186"/>
      <c r="K1133" s="180"/>
      <c r="L1133" s="180"/>
      <c r="M1133" s="186"/>
      <c r="N1133" s="186"/>
    </row>
    <row r="1134" spans="2:14" s="188" customFormat="1" ht="15" customHeight="1">
      <c r="B1134" s="187"/>
      <c r="C1134" s="187"/>
      <c r="D1134" s="187"/>
      <c r="E1134" s="187"/>
      <c r="F1134" s="187"/>
      <c r="G1134" s="187"/>
      <c r="H1134" s="187"/>
      <c r="J1134" s="186"/>
      <c r="K1134" s="180"/>
      <c r="L1134" s="180"/>
      <c r="M1134" s="186"/>
      <c r="N1134" s="186"/>
    </row>
    <row r="1135" spans="2:14" s="188" customFormat="1" ht="15" customHeight="1">
      <c r="B1135" s="187"/>
      <c r="C1135" s="187"/>
      <c r="D1135" s="187"/>
      <c r="E1135" s="187"/>
      <c r="F1135" s="187"/>
      <c r="G1135" s="187"/>
      <c r="H1135" s="187"/>
      <c r="J1135" s="186"/>
      <c r="K1135" s="180"/>
      <c r="L1135" s="180"/>
      <c r="M1135" s="186"/>
      <c r="N1135" s="186"/>
    </row>
    <row r="1136" spans="2:14" s="188" customFormat="1" ht="15" customHeight="1">
      <c r="B1136" s="187"/>
      <c r="C1136" s="187"/>
      <c r="D1136" s="187"/>
      <c r="E1136" s="187"/>
      <c r="F1136" s="187"/>
      <c r="G1136" s="187"/>
      <c r="H1136" s="187"/>
      <c r="J1136" s="186"/>
      <c r="K1136" s="180"/>
      <c r="L1136" s="180"/>
      <c r="M1136" s="186"/>
      <c r="N1136" s="186"/>
    </row>
    <row r="1137" spans="2:14" s="188" customFormat="1" ht="15" customHeight="1">
      <c r="B1137" s="187"/>
      <c r="C1137" s="187"/>
      <c r="D1137" s="187"/>
      <c r="E1137" s="187"/>
      <c r="F1137" s="187"/>
      <c r="G1137" s="187"/>
      <c r="H1137" s="187"/>
      <c r="J1137" s="186"/>
      <c r="K1137" s="180"/>
      <c r="L1137" s="180"/>
      <c r="M1137" s="186"/>
      <c r="N1137" s="186"/>
    </row>
    <row r="1138" spans="2:14" s="188" customFormat="1" ht="15" customHeight="1">
      <c r="B1138" s="187"/>
      <c r="C1138" s="187"/>
      <c r="D1138" s="187"/>
      <c r="E1138" s="187"/>
      <c r="F1138" s="187"/>
      <c r="G1138" s="187"/>
      <c r="H1138" s="187"/>
      <c r="J1138" s="186"/>
      <c r="K1138" s="180"/>
      <c r="L1138" s="180"/>
      <c r="M1138" s="186"/>
      <c r="N1138" s="186"/>
    </row>
    <row r="1139" spans="2:14" s="188" customFormat="1" ht="15" customHeight="1">
      <c r="B1139" s="187"/>
      <c r="C1139" s="187"/>
      <c r="D1139" s="187"/>
      <c r="E1139" s="187"/>
      <c r="F1139" s="187"/>
      <c r="G1139" s="187"/>
      <c r="H1139" s="187"/>
      <c r="J1139" s="186"/>
      <c r="K1139" s="180"/>
      <c r="L1139" s="180"/>
      <c r="M1139" s="186"/>
      <c r="N1139" s="186"/>
    </row>
    <row r="1140" spans="2:14" s="188" customFormat="1" ht="15" customHeight="1">
      <c r="B1140" s="187"/>
      <c r="C1140" s="187"/>
      <c r="D1140" s="187"/>
      <c r="E1140" s="187"/>
      <c r="F1140" s="187"/>
      <c r="G1140" s="187"/>
      <c r="H1140" s="187"/>
      <c r="J1140" s="186"/>
      <c r="K1140" s="180"/>
      <c r="L1140" s="180"/>
      <c r="M1140" s="186"/>
      <c r="N1140" s="186"/>
    </row>
    <row r="1141" spans="2:14" s="188" customFormat="1" ht="15" customHeight="1">
      <c r="B1141" s="187"/>
      <c r="C1141" s="187"/>
      <c r="D1141" s="187"/>
      <c r="E1141" s="187"/>
      <c r="F1141" s="187"/>
      <c r="G1141" s="187"/>
      <c r="H1141" s="187"/>
      <c r="J1141" s="186"/>
      <c r="K1141" s="180"/>
      <c r="L1141" s="180"/>
      <c r="M1141" s="186"/>
      <c r="N1141" s="186"/>
    </row>
    <row r="1142" spans="2:14" s="188" customFormat="1" ht="15" customHeight="1">
      <c r="B1142" s="187"/>
      <c r="C1142" s="187"/>
      <c r="D1142" s="187"/>
      <c r="E1142" s="187"/>
      <c r="F1142" s="187"/>
      <c r="G1142" s="187"/>
      <c r="H1142" s="187"/>
      <c r="J1142" s="186"/>
      <c r="K1142" s="180"/>
      <c r="L1142" s="180"/>
      <c r="M1142" s="186"/>
      <c r="N1142" s="186"/>
    </row>
    <row r="1143" spans="2:14" s="188" customFormat="1" ht="15" customHeight="1">
      <c r="B1143" s="187"/>
      <c r="C1143" s="187"/>
      <c r="D1143" s="187"/>
      <c r="E1143" s="187"/>
      <c r="F1143" s="187"/>
      <c r="G1143" s="187"/>
      <c r="H1143" s="187"/>
      <c r="J1143" s="186"/>
      <c r="K1143" s="180"/>
      <c r="L1143" s="180"/>
      <c r="M1143" s="186"/>
      <c r="N1143" s="186"/>
    </row>
    <row r="1144" spans="2:14" s="188" customFormat="1" ht="15" customHeight="1">
      <c r="B1144" s="187"/>
      <c r="C1144" s="187"/>
      <c r="D1144" s="187"/>
      <c r="E1144" s="187"/>
      <c r="F1144" s="187"/>
      <c r="G1144" s="187"/>
      <c r="H1144" s="187"/>
      <c r="J1144" s="186"/>
      <c r="K1144" s="180"/>
      <c r="L1144" s="180"/>
      <c r="M1144" s="186"/>
      <c r="N1144" s="186"/>
    </row>
    <row r="1145" spans="2:14" s="188" customFormat="1" ht="15" customHeight="1">
      <c r="B1145" s="187"/>
      <c r="C1145" s="187"/>
      <c r="D1145" s="187"/>
      <c r="E1145" s="187"/>
      <c r="F1145" s="187"/>
      <c r="G1145" s="187"/>
      <c r="H1145" s="187"/>
      <c r="J1145" s="186"/>
      <c r="K1145" s="180"/>
      <c r="L1145" s="180"/>
      <c r="M1145" s="186"/>
      <c r="N1145" s="186"/>
    </row>
    <row r="1146" spans="2:14" s="188" customFormat="1" ht="15" customHeight="1">
      <c r="B1146" s="187"/>
      <c r="C1146" s="187"/>
      <c r="D1146" s="187"/>
      <c r="E1146" s="187"/>
      <c r="F1146" s="187"/>
      <c r="G1146" s="187"/>
      <c r="H1146" s="187"/>
      <c r="J1146" s="186"/>
      <c r="K1146" s="180"/>
      <c r="L1146" s="180"/>
      <c r="M1146" s="186"/>
      <c r="N1146" s="186"/>
    </row>
    <row r="1147" spans="2:14" s="188" customFormat="1" ht="15" customHeight="1">
      <c r="B1147" s="187"/>
      <c r="C1147" s="187"/>
      <c r="D1147" s="187"/>
      <c r="E1147" s="187"/>
      <c r="F1147" s="187"/>
      <c r="G1147" s="187"/>
      <c r="H1147" s="187"/>
      <c r="J1147" s="186"/>
      <c r="K1147" s="180"/>
      <c r="L1147" s="180"/>
      <c r="M1147" s="186"/>
      <c r="N1147" s="186"/>
    </row>
    <row r="1148" spans="2:14" s="188" customFormat="1" ht="15" customHeight="1">
      <c r="B1148" s="187"/>
      <c r="C1148" s="187"/>
      <c r="D1148" s="187"/>
      <c r="E1148" s="187"/>
      <c r="F1148" s="187"/>
      <c r="G1148" s="187"/>
      <c r="H1148" s="187"/>
      <c r="J1148" s="186"/>
      <c r="K1148" s="180"/>
      <c r="L1148" s="180"/>
      <c r="M1148" s="186"/>
      <c r="N1148" s="186"/>
    </row>
    <row r="1149" spans="2:14" s="188" customFormat="1" ht="15" customHeight="1">
      <c r="B1149" s="187"/>
      <c r="C1149" s="187"/>
      <c r="D1149" s="187"/>
      <c r="E1149" s="187"/>
      <c r="F1149" s="187"/>
      <c r="G1149" s="187"/>
      <c r="H1149" s="187"/>
      <c r="J1149" s="186"/>
      <c r="K1149" s="180"/>
      <c r="L1149" s="180"/>
      <c r="M1149" s="186"/>
      <c r="N1149" s="186"/>
    </row>
    <row r="1150" spans="2:14" s="188" customFormat="1" ht="15" customHeight="1">
      <c r="B1150" s="187"/>
      <c r="C1150" s="187"/>
      <c r="D1150" s="187"/>
      <c r="E1150" s="187"/>
      <c r="F1150" s="187"/>
      <c r="G1150" s="187"/>
      <c r="H1150" s="187"/>
      <c r="J1150" s="186"/>
      <c r="K1150" s="180"/>
      <c r="L1150" s="180"/>
      <c r="M1150" s="186"/>
      <c r="N1150" s="186"/>
    </row>
    <row r="1151" spans="2:14" s="188" customFormat="1" ht="15" customHeight="1">
      <c r="B1151" s="187"/>
      <c r="C1151" s="187"/>
      <c r="D1151" s="187"/>
      <c r="E1151" s="187"/>
      <c r="F1151" s="187"/>
      <c r="G1151" s="187"/>
      <c r="H1151" s="187"/>
      <c r="J1151" s="186"/>
      <c r="K1151" s="180"/>
      <c r="L1151" s="180"/>
      <c r="M1151" s="186"/>
      <c r="N1151" s="186"/>
    </row>
    <row r="1152" spans="2:14" s="188" customFormat="1" ht="15" customHeight="1">
      <c r="B1152" s="187"/>
      <c r="C1152" s="187"/>
      <c r="D1152" s="187"/>
      <c r="E1152" s="187"/>
      <c r="F1152" s="187"/>
      <c r="G1152" s="187"/>
      <c r="H1152" s="187"/>
      <c r="J1152" s="186"/>
      <c r="K1152" s="180"/>
      <c r="L1152" s="180"/>
      <c r="M1152" s="186"/>
      <c r="N1152" s="186"/>
    </row>
    <row r="1153" spans="2:14" s="188" customFormat="1" ht="15" customHeight="1">
      <c r="B1153" s="187"/>
      <c r="C1153" s="187"/>
      <c r="D1153" s="187"/>
      <c r="E1153" s="187"/>
      <c r="F1153" s="187"/>
      <c r="G1153" s="187"/>
      <c r="H1153" s="187"/>
      <c r="J1153" s="186"/>
      <c r="K1153" s="180"/>
      <c r="L1153" s="180"/>
      <c r="M1153" s="186"/>
      <c r="N1153" s="186"/>
    </row>
    <row r="1154" spans="2:14" s="188" customFormat="1" ht="15" customHeight="1">
      <c r="B1154" s="187"/>
      <c r="C1154" s="187"/>
      <c r="D1154" s="187"/>
      <c r="E1154" s="187"/>
      <c r="F1154" s="187"/>
      <c r="G1154" s="187"/>
      <c r="H1154" s="187"/>
      <c r="J1154" s="186"/>
      <c r="K1154" s="180"/>
      <c r="L1154" s="180"/>
      <c r="M1154" s="186"/>
      <c r="N1154" s="186"/>
    </row>
    <row r="1155" spans="2:14" s="188" customFormat="1" ht="15" customHeight="1">
      <c r="B1155" s="187"/>
      <c r="C1155" s="187"/>
      <c r="D1155" s="187"/>
      <c r="E1155" s="187"/>
      <c r="F1155" s="187"/>
      <c r="G1155" s="187"/>
      <c r="H1155" s="187"/>
      <c r="J1155" s="186"/>
      <c r="K1155" s="180"/>
      <c r="L1155" s="180"/>
      <c r="M1155" s="186"/>
      <c r="N1155" s="186"/>
    </row>
    <row r="1156" spans="2:14" s="188" customFormat="1" ht="15" customHeight="1">
      <c r="B1156" s="187"/>
      <c r="C1156" s="187"/>
      <c r="D1156" s="187"/>
      <c r="E1156" s="187"/>
      <c r="F1156" s="187"/>
      <c r="G1156" s="187"/>
      <c r="H1156" s="187"/>
      <c r="J1156" s="186"/>
      <c r="K1156" s="180"/>
      <c r="L1156" s="180"/>
      <c r="M1156" s="186"/>
      <c r="N1156" s="186"/>
    </row>
    <row r="1157" spans="2:14" s="188" customFormat="1" ht="15" customHeight="1">
      <c r="B1157" s="187"/>
      <c r="C1157" s="187"/>
      <c r="D1157" s="187"/>
      <c r="E1157" s="187"/>
      <c r="F1157" s="187"/>
      <c r="G1157" s="187"/>
      <c r="H1157" s="187"/>
      <c r="J1157" s="186"/>
      <c r="K1157" s="180"/>
      <c r="L1157" s="180"/>
      <c r="M1157" s="186"/>
      <c r="N1157" s="186"/>
    </row>
    <row r="1158" spans="2:14" s="188" customFormat="1" ht="15" customHeight="1">
      <c r="B1158" s="187"/>
      <c r="C1158" s="187"/>
      <c r="D1158" s="187"/>
      <c r="E1158" s="187"/>
      <c r="F1158" s="187"/>
      <c r="G1158" s="187"/>
      <c r="H1158" s="187"/>
      <c r="J1158" s="186"/>
      <c r="K1158" s="180"/>
      <c r="L1158" s="180"/>
      <c r="M1158" s="186"/>
      <c r="N1158" s="186"/>
    </row>
    <row r="1159" spans="2:14" s="188" customFormat="1" ht="15" customHeight="1">
      <c r="B1159" s="187"/>
      <c r="C1159" s="187"/>
      <c r="D1159" s="187"/>
      <c r="E1159" s="187"/>
      <c r="F1159" s="187"/>
      <c r="G1159" s="187"/>
      <c r="H1159" s="187"/>
      <c r="J1159" s="186"/>
      <c r="K1159" s="180"/>
      <c r="L1159" s="180"/>
      <c r="M1159" s="186"/>
      <c r="N1159" s="186"/>
    </row>
    <row r="1160" spans="2:14" s="188" customFormat="1" ht="15" customHeight="1">
      <c r="B1160" s="187"/>
      <c r="C1160" s="187"/>
      <c r="D1160" s="187"/>
      <c r="E1160" s="187"/>
      <c r="F1160" s="187"/>
      <c r="G1160" s="187"/>
      <c r="H1160" s="187"/>
      <c r="J1160" s="186"/>
      <c r="K1160" s="180"/>
      <c r="L1160" s="180"/>
      <c r="M1160" s="186"/>
      <c r="N1160" s="186"/>
    </row>
    <row r="1161" spans="2:14" s="188" customFormat="1" ht="15" customHeight="1">
      <c r="B1161" s="187"/>
      <c r="C1161" s="187"/>
      <c r="D1161" s="187"/>
      <c r="E1161" s="187"/>
      <c r="F1161" s="187"/>
      <c r="G1161" s="187"/>
      <c r="H1161" s="187"/>
      <c r="J1161" s="186"/>
      <c r="K1161" s="180"/>
      <c r="L1161" s="180"/>
      <c r="M1161" s="186"/>
      <c r="N1161" s="186"/>
    </row>
    <row r="1162" spans="2:14" s="188" customFormat="1" ht="15" customHeight="1">
      <c r="B1162" s="187"/>
      <c r="C1162" s="187"/>
      <c r="D1162" s="187"/>
      <c r="E1162" s="187"/>
      <c r="F1162" s="187"/>
      <c r="G1162" s="187"/>
      <c r="H1162" s="187"/>
      <c r="J1162" s="186"/>
      <c r="K1162" s="180"/>
      <c r="L1162" s="180"/>
      <c r="M1162" s="186"/>
      <c r="N1162" s="186"/>
    </row>
    <row r="1163" spans="2:14" s="188" customFormat="1" ht="15" customHeight="1">
      <c r="B1163" s="187"/>
      <c r="C1163" s="187"/>
      <c r="D1163" s="187"/>
      <c r="E1163" s="187"/>
      <c r="F1163" s="187"/>
      <c r="G1163" s="187"/>
      <c r="H1163" s="187"/>
      <c r="J1163" s="186"/>
      <c r="K1163" s="180"/>
      <c r="L1163" s="180"/>
      <c r="M1163" s="186"/>
      <c r="N1163" s="186"/>
    </row>
    <row r="1164" spans="2:14" s="188" customFormat="1" ht="15" customHeight="1">
      <c r="B1164" s="187"/>
      <c r="C1164" s="187"/>
      <c r="D1164" s="187"/>
      <c r="E1164" s="187"/>
      <c r="F1164" s="187"/>
      <c r="G1164" s="187"/>
      <c r="H1164" s="187"/>
      <c r="J1164" s="186"/>
      <c r="K1164" s="180"/>
      <c r="L1164" s="180"/>
      <c r="M1164" s="186"/>
      <c r="N1164" s="186"/>
    </row>
    <row r="1165" spans="2:14" s="188" customFormat="1" ht="15" customHeight="1">
      <c r="B1165" s="187"/>
      <c r="C1165" s="187"/>
      <c r="D1165" s="187"/>
      <c r="E1165" s="187"/>
      <c r="F1165" s="187"/>
      <c r="G1165" s="187"/>
      <c r="H1165" s="187"/>
      <c r="J1165" s="186"/>
      <c r="K1165" s="180"/>
      <c r="L1165" s="180"/>
      <c r="M1165" s="186"/>
      <c r="N1165" s="186"/>
    </row>
    <row r="1166" spans="2:14" s="188" customFormat="1" ht="15" customHeight="1">
      <c r="B1166" s="187"/>
      <c r="C1166" s="187"/>
      <c r="D1166" s="187"/>
      <c r="E1166" s="187"/>
      <c r="F1166" s="187"/>
      <c r="G1166" s="187"/>
      <c r="H1166" s="187"/>
      <c r="J1166" s="186"/>
      <c r="K1166" s="180"/>
      <c r="L1166" s="180"/>
      <c r="M1166" s="186"/>
      <c r="N1166" s="186"/>
    </row>
    <row r="1167" spans="2:14" s="188" customFormat="1" ht="15" customHeight="1">
      <c r="B1167" s="187"/>
      <c r="C1167" s="187"/>
      <c r="D1167" s="187"/>
      <c r="E1167" s="187"/>
      <c r="F1167" s="187"/>
      <c r="G1167" s="187"/>
      <c r="H1167" s="187"/>
      <c r="J1167" s="186"/>
      <c r="K1167" s="180"/>
      <c r="L1167" s="180"/>
      <c r="M1167" s="186"/>
      <c r="N1167" s="186"/>
    </row>
    <row r="1168" spans="2:14" s="188" customFormat="1" ht="15" customHeight="1">
      <c r="B1168" s="187"/>
      <c r="C1168" s="187"/>
      <c r="D1168" s="187"/>
      <c r="E1168" s="187"/>
      <c r="F1168" s="187"/>
      <c r="G1168" s="187"/>
      <c r="H1168" s="187"/>
      <c r="J1168" s="186"/>
      <c r="K1168" s="180"/>
      <c r="L1168" s="180"/>
      <c r="M1168" s="186"/>
      <c r="N1168" s="186"/>
    </row>
    <row r="1169" spans="2:14" s="188" customFormat="1" ht="15" customHeight="1">
      <c r="B1169" s="187"/>
      <c r="C1169" s="187"/>
      <c r="D1169" s="187"/>
      <c r="E1169" s="187"/>
      <c r="F1169" s="187"/>
      <c r="G1169" s="187"/>
      <c r="H1169" s="187"/>
      <c r="J1169" s="186"/>
      <c r="K1169" s="180"/>
      <c r="L1169" s="180"/>
      <c r="M1169" s="186"/>
      <c r="N1169" s="186"/>
    </row>
    <row r="1170" spans="2:14" s="188" customFormat="1" ht="15" customHeight="1">
      <c r="B1170" s="187"/>
      <c r="C1170" s="187"/>
      <c r="D1170" s="187"/>
      <c r="E1170" s="187"/>
      <c r="F1170" s="187"/>
      <c r="G1170" s="187"/>
      <c r="H1170" s="187"/>
      <c r="J1170" s="186"/>
      <c r="K1170" s="180"/>
      <c r="L1170" s="180"/>
      <c r="M1170" s="186"/>
      <c r="N1170" s="186"/>
    </row>
    <row r="1171" spans="2:14" s="188" customFormat="1" ht="15" customHeight="1">
      <c r="B1171" s="187"/>
      <c r="C1171" s="187"/>
      <c r="D1171" s="187"/>
      <c r="E1171" s="187"/>
      <c r="F1171" s="187"/>
      <c r="G1171" s="187"/>
      <c r="H1171" s="187"/>
      <c r="J1171" s="186"/>
      <c r="K1171" s="180"/>
      <c r="L1171" s="180"/>
      <c r="M1171" s="186"/>
      <c r="N1171" s="186"/>
    </row>
    <row r="1172" spans="2:14" s="188" customFormat="1" ht="15" customHeight="1">
      <c r="B1172" s="187"/>
      <c r="C1172" s="187"/>
      <c r="D1172" s="187"/>
      <c r="E1172" s="187"/>
      <c r="F1172" s="187"/>
      <c r="G1172" s="187"/>
      <c r="H1172" s="187"/>
      <c r="J1172" s="186"/>
      <c r="K1172" s="180"/>
      <c r="L1172" s="180"/>
      <c r="M1172" s="186"/>
      <c r="N1172" s="186"/>
    </row>
    <row r="1173" spans="2:14" s="188" customFormat="1" ht="15" customHeight="1">
      <c r="B1173" s="187"/>
      <c r="C1173" s="187"/>
      <c r="D1173" s="187"/>
      <c r="E1173" s="187"/>
      <c r="F1173" s="187"/>
      <c r="G1173" s="187"/>
      <c r="H1173" s="187"/>
      <c r="J1173" s="186"/>
      <c r="K1173" s="180"/>
      <c r="L1173" s="180"/>
      <c r="M1173" s="186"/>
      <c r="N1173" s="186"/>
    </row>
    <row r="1174" spans="2:14" s="188" customFormat="1" ht="15" customHeight="1">
      <c r="B1174" s="187"/>
      <c r="C1174" s="187"/>
      <c r="D1174" s="187"/>
      <c r="E1174" s="187"/>
      <c r="F1174" s="187"/>
      <c r="G1174" s="187"/>
      <c r="H1174" s="187"/>
      <c r="J1174" s="186"/>
      <c r="K1174" s="180"/>
      <c r="L1174" s="180"/>
      <c r="M1174" s="186"/>
      <c r="N1174" s="186"/>
    </row>
    <row r="1175" spans="2:14" s="188" customFormat="1" ht="15" customHeight="1">
      <c r="B1175" s="187"/>
      <c r="C1175" s="187"/>
      <c r="D1175" s="187"/>
      <c r="E1175" s="187"/>
      <c r="F1175" s="187"/>
      <c r="G1175" s="187"/>
      <c r="H1175" s="187"/>
      <c r="J1175" s="186"/>
      <c r="K1175" s="180"/>
      <c r="L1175" s="180"/>
      <c r="M1175" s="186"/>
      <c r="N1175" s="186"/>
    </row>
    <row r="1176" spans="2:14" s="188" customFormat="1" ht="15" customHeight="1">
      <c r="B1176" s="187"/>
      <c r="C1176" s="187"/>
      <c r="D1176" s="187"/>
      <c r="E1176" s="187"/>
      <c r="F1176" s="187"/>
      <c r="G1176" s="187"/>
      <c r="H1176" s="187"/>
      <c r="J1176" s="186"/>
      <c r="K1176" s="180"/>
      <c r="L1176" s="180"/>
      <c r="M1176" s="186"/>
      <c r="N1176" s="186"/>
    </row>
    <row r="1177" spans="2:14" s="188" customFormat="1" ht="15" customHeight="1">
      <c r="B1177" s="187"/>
      <c r="C1177" s="187"/>
      <c r="D1177" s="187"/>
      <c r="E1177" s="187"/>
      <c r="F1177" s="187"/>
      <c r="G1177" s="187"/>
      <c r="H1177" s="187"/>
      <c r="J1177" s="186"/>
      <c r="K1177" s="180"/>
      <c r="L1177" s="180"/>
      <c r="M1177" s="186"/>
      <c r="N1177" s="186"/>
    </row>
    <row r="1178" spans="2:14" s="188" customFormat="1" ht="15" customHeight="1">
      <c r="B1178" s="187"/>
      <c r="C1178" s="187"/>
      <c r="D1178" s="187"/>
      <c r="E1178" s="187"/>
      <c r="F1178" s="187"/>
      <c r="G1178" s="187"/>
      <c r="H1178" s="187"/>
      <c r="J1178" s="186"/>
      <c r="K1178" s="180"/>
      <c r="L1178" s="180"/>
      <c r="M1178" s="186"/>
      <c r="N1178" s="186"/>
    </row>
    <row r="1179" spans="2:14" s="188" customFormat="1" ht="15" customHeight="1">
      <c r="B1179" s="187"/>
      <c r="C1179" s="187"/>
      <c r="D1179" s="187"/>
      <c r="E1179" s="187"/>
      <c r="F1179" s="187"/>
      <c r="G1179" s="187"/>
      <c r="H1179" s="187"/>
      <c r="J1179" s="186"/>
      <c r="K1179" s="180"/>
      <c r="L1179" s="180"/>
      <c r="M1179" s="186"/>
      <c r="N1179" s="186"/>
    </row>
    <row r="1180" spans="2:14" s="188" customFormat="1" ht="15" customHeight="1">
      <c r="B1180" s="187"/>
      <c r="C1180" s="187"/>
      <c r="D1180" s="187"/>
      <c r="E1180" s="187"/>
      <c r="F1180" s="187"/>
      <c r="G1180" s="187"/>
      <c r="H1180" s="187"/>
      <c r="J1180" s="186"/>
      <c r="K1180" s="180"/>
      <c r="L1180" s="180"/>
      <c r="M1180" s="186"/>
      <c r="N1180" s="186"/>
    </row>
    <row r="1181" spans="2:14" s="188" customFormat="1" ht="15" customHeight="1">
      <c r="B1181" s="187"/>
      <c r="C1181" s="187"/>
      <c r="D1181" s="187"/>
      <c r="E1181" s="187"/>
      <c r="F1181" s="187"/>
      <c r="G1181" s="187"/>
      <c r="H1181" s="187"/>
      <c r="J1181" s="186"/>
      <c r="K1181" s="180"/>
      <c r="L1181" s="180"/>
      <c r="M1181" s="186"/>
      <c r="N1181" s="186"/>
    </row>
    <row r="1182" spans="2:14" s="188" customFormat="1" ht="15" customHeight="1">
      <c r="B1182" s="187"/>
      <c r="C1182" s="187"/>
      <c r="D1182" s="187"/>
      <c r="E1182" s="187"/>
      <c r="F1182" s="187"/>
      <c r="G1182" s="187"/>
      <c r="H1182" s="187"/>
      <c r="J1182" s="186"/>
      <c r="K1182" s="180"/>
      <c r="L1182" s="180"/>
      <c r="M1182" s="186"/>
      <c r="N1182" s="186"/>
    </row>
    <row r="1183" spans="2:14" s="188" customFormat="1" ht="15" customHeight="1">
      <c r="B1183" s="187"/>
      <c r="C1183" s="187"/>
      <c r="D1183" s="187"/>
      <c r="E1183" s="187"/>
      <c r="F1183" s="187"/>
      <c r="G1183" s="187"/>
      <c r="H1183" s="187"/>
      <c r="J1183" s="186"/>
      <c r="K1183" s="180"/>
      <c r="L1183" s="180"/>
      <c r="M1183" s="186"/>
      <c r="N1183" s="186"/>
    </row>
    <row r="1184" spans="2:14" s="188" customFormat="1" ht="15" customHeight="1">
      <c r="B1184" s="187"/>
      <c r="C1184" s="187"/>
      <c r="D1184" s="187"/>
      <c r="E1184" s="187"/>
      <c r="F1184" s="187"/>
      <c r="G1184" s="187"/>
      <c r="H1184" s="187"/>
      <c r="J1184" s="186"/>
      <c r="K1184" s="180"/>
      <c r="L1184" s="180"/>
      <c r="M1184" s="186"/>
      <c r="N1184" s="186"/>
    </row>
    <row r="1185" spans="2:14" s="188" customFormat="1" ht="15" customHeight="1">
      <c r="B1185" s="187"/>
      <c r="C1185" s="187"/>
      <c r="D1185" s="187"/>
      <c r="E1185" s="187"/>
      <c r="F1185" s="187"/>
      <c r="G1185" s="187"/>
      <c r="H1185" s="187"/>
      <c r="J1185" s="186"/>
      <c r="K1185" s="180"/>
      <c r="L1185" s="180"/>
      <c r="M1185" s="186"/>
      <c r="N1185" s="186"/>
    </row>
    <row r="1186" spans="2:14" s="188" customFormat="1" ht="15" customHeight="1">
      <c r="B1186" s="187"/>
      <c r="C1186" s="187"/>
      <c r="D1186" s="187"/>
      <c r="E1186" s="187"/>
      <c r="F1186" s="187"/>
      <c r="G1186" s="187"/>
      <c r="H1186" s="187"/>
      <c r="J1186" s="186"/>
      <c r="K1186" s="180"/>
      <c r="L1186" s="180"/>
      <c r="M1186" s="186"/>
      <c r="N1186" s="186"/>
    </row>
    <row r="1187" spans="2:14" s="188" customFormat="1" ht="15" customHeight="1">
      <c r="B1187" s="187"/>
      <c r="C1187" s="187"/>
      <c r="D1187" s="187"/>
      <c r="E1187" s="187"/>
      <c r="F1187" s="187"/>
      <c r="G1187" s="187"/>
      <c r="H1187" s="187"/>
      <c r="J1187" s="186"/>
      <c r="K1187" s="180"/>
      <c r="L1187" s="180"/>
      <c r="M1187" s="186"/>
      <c r="N1187" s="186"/>
    </row>
    <row r="1188" spans="2:14" s="188" customFormat="1" ht="15" customHeight="1">
      <c r="B1188" s="187"/>
      <c r="C1188" s="187"/>
      <c r="D1188" s="187"/>
      <c r="E1188" s="187"/>
      <c r="F1188" s="187"/>
      <c r="G1188" s="187"/>
      <c r="H1188" s="187"/>
      <c r="J1188" s="186"/>
      <c r="K1188" s="180"/>
      <c r="L1188" s="180"/>
      <c r="M1188" s="186"/>
      <c r="N1188" s="186"/>
    </row>
    <row r="1189" spans="2:14" s="188" customFormat="1" ht="15" customHeight="1">
      <c r="B1189" s="187"/>
      <c r="C1189" s="187"/>
      <c r="D1189" s="187"/>
      <c r="E1189" s="187"/>
      <c r="F1189" s="187"/>
      <c r="G1189" s="187"/>
      <c r="H1189" s="187"/>
      <c r="J1189" s="186"/>
      <c r="K1189" s="180"/>
      <c r="L1189" s="180"/>
      <c r="M1189" s="186"/>
      <c r="N1189" s="186"/>
    </row>
    <row r="1190" spans="2:14" s="188" customFormat="1" ht="15" customHeight="1">
      <c r="B1190" s="187"/>
      <c r="C1190" s="187"/>
      <c r="D1190" s="187"/>
      <c r="E1190" s="187"/>
      <c r="F1190" s="187"/>
      <c r="G1190" s="187"/>
      <c r="H1190" s="187"/>
      <c r="J1190" s="186"/>
      <c r="K1190" s="180"/>
      <c r="L1190" s="180"/>
      <c r="M1190" s="186"/>
      <c r="N1190" s="186"/>
    </row>
    <row r="1191" spans="2:14" s="188" customFormat="1" ht="15" customHeight="1">
      <c r="B1191" s="187"/>
      <c r="C1191" s="187"/>
      <c r="D1191" s="187"/>
      <c r="E1191" s="187"/>
      <c r="F1191" s="187"/>
      <c r="G1191" s="187"/>
      <c r="H1191" s="187"/>
      <c r="J1191" s="186"/>
      <c r="K1191" s="180"/>
      <c r="L1191" s="180"/>
      <c r="M1191" s="186"/>
      <c r="N1191" s="186"/>
    </row>
    <row r="1192" spans="2:14" s="188" customFormat="1" ht="15" customHeight="1">
      <c r="B1192" s="187"/>
      <c r="C1192" s="187"/>
      <c r="D1192" s="187"/>
      <c r="E1192" s="187"/>
      <c r="F1192" s="187"/>
      <c r="G1192" s="187"/>
      <c r="H1192" s="187"/>
      <c r="J1192" s="186"/>
      <c r="K1192" s="180"/>
      <c r="L1192" s="180"/>
      <c r="M1192" s="186"/>
      <c r="N1192" s="186"/>
    </row>
    <row r="1193" spans="2:14" s="188" customFormat="1" ht="15" customHeight="1">
      <c r="B1193" s="187"/>
      <c r="C1193" s="187"/>
      <c r="D1193" s="187"/>
      <c r="E1193" s="187"/>
      <c r="F1193" s="187"/>
      <c r="G1193" s="187"/>
      <c r="H1193" s="187"/>
      <c r="J1193" s="186"/>
      <c r="K1193" s="180"/>
      <c r="L1193" s="180"/>
      <c r="M1193" s="186"/>
      <c r="N1193" s="186"/>
    </row>
    <row r="1194" spans="2:14" s="188" customFormat="1" ht="15" customHeight="1">
      <c r="B1194" s="187"/>
      <c r="C1194" s="187"/>
      <c r="D1194" s="187"/>
      <c r="E1194" s="187"/>
      <c r="F1194" s="187"/>
      <c r="G1194" s="187"/>
      <c r="H1194" s="187"/>
      <c r="J1194" s="186"/>
      <c r="K1194" s="180"/>
      <c r="L1194" s="180"/>
      <c r="M1194" s="186"/>
      <c r="N1194" s="186"/>
    </row>
    <row r="1195" spans="2:14" s="188" customFormat="1" ht="15" customHeight="1">
      <c r="B1195" s="187"/>
      <c r="C1195" s="187"/>
      <c r="D1195" s="187"/>
      <c r="E1195" s="187"/>
      <c r="F1195" s="187"/>
      <c r="G1195" s="187"/>
      <c r="H1195" s="187"/>
      <c r="J1195" s="186"/>
      <c r="K1195" s="180"/>
      <c r="L1195" s="180"/>
      <c r="M1195" s="186"/>
      <c r="N1195" s="186"/>
    </row>
    <row r="1196" spans="2:14" s="188" customFormat="1" ht="15" customHeight="1">
      <c r="B1196" s="187"/>
      <c r="C1196" s="187"/>
      <c r="D1196" s="187"/>
      <c r="E1196" s="187"/>
      <c r="F1196" s="187"/>
      <c r="G1196" s="187"/>
      <c r="H1196" s="187"/>
      <c r="J1196" s="186"/>
      <c r="K1196" s="180"/>
      <c r="L1196" s="180"/>
      <c r="M1196" s="186"/>
      <c r="N1196" s="186"/>
    </row>
    <row r="1197" spans="2:14" s="188" customFormat="1" ht="15" customHeight="1">
      <c r="B1197" s="187"/>
      <c r="C1197" s="187"/>
      <c r="D1197" s="187"/>
      <c r="E1197" s="187"/>
      <c r="F1197" s="187"/>
      <c r="G1197" s="187"/>
      <c r="H1197" s="187"/>
      <c r="J1197" s="186"/>
      <c r="K1197" s="180"/>
      <c r="L1197" s="180"/>
      <c r="M1197" s="186"/>
      <c r="N1197" s="186"/>
    </row>
    <row r="1198" spans="2:14" s="188" customFormat="1" ht="15" customHeight="1">
      <c r="B1198" s="187"/>
      <c r="C1198" s="187"/>
      <c r="D1198" s="187"/>
      <c r="E1198" s="187"/>
      <c r="F1198" s="187"/>
      <c r="G1198" s="187"/>
      <c r="H1198" s="187"/>
      <c r="J1198" s="186"/>
      <c r="K1198" s="180"/>
      <c r="L1198" s="180"/>
      <c r="M1198" s="186"/>
      <c r="N1198" s="186"/>
    </row>
    <row r="1199" spans="2:14" s="188" customFormat="1" ht="15" customHeight="1">
      <c r="B1199" s="187"/>
      <c r="C1199" s="187"/>
      <c r="D1199" s="187"/>
      <c r="E1199" s="187"/>
      <c r="F1199" s="187"/>
      <c r="G1199" s="187"/>
      <c r="H1199" s="187"/>
      <c r="J1199" s="186"/>
      <c r="K1199" s="180"/>
      <c r="L1199" s="180"/>
      <c r="M1199" s="186"/>
      <c r="N1199" s="186"/>
    </row>
    <row r="1200" spans="2:14" s="188" customFormat="1" ht="15" customHeight="1">
      <c r="B1200" s="187"/>
      <c r="C1200" s="187"/>
      <c r="D1200" s="187"/>
      <c r="E1200" s="187"/>
      <c r="F1200" s="187"/>
      <c r="G1200" s="187"/>
      <c r="H1200" s="187"/>
      <c r="J1200" s="186"/>
      <c r="K1200" s="180"/>
      <c r="L1200" s="180"/>
      <c r="M1200" s="186"/>
      <c r="N1200" s="186"/>
    </row>
    <row r="1201" spans="2:14" s="188" customFormat="1" ht="15" customHeight="1">
      <c r="B1201" s="187"/>
      <c r="C1201" s="187"/>
      <c r="D1201" s="187"/>
      <c r="E1201" s="187"/>
      <c r="F1201" s="187"/>
      <c r="G1201" s="187"/>
      <c r="H1201" s="187"/>
      <c r="J1201" s="186"/>
      <c r="K1201" s="180"/>
      <c r="L1201" s="180"/>
      <c r="M1201" s="186"/>
      <c r="N1201" s="186"/>
    </row>
    <row r="1202" spans="2:14" s="188" customFormat="1" ht="15" customHeight="1">
      <c r="B1202" s="187"/>
      <c r="C1202" s="187"/>
      <c r="D1202" s="187"/>
      <c r="E1202" s="187"/>
      <c r="F1202" s="187"/>
      <c r="G1202" s="187"/>
      <c r="H1202" s="187"/>
      <c r="J1202" s="186"/>
      <c r="K1202" s="180"/>
      <c r="L1202" s="180"/>
      <c r="M1202" s="186"/>
      <c r="N1202" s="186"/>
    </row>
    <row r="1203" spans="2:14" s="188" customFormat="1" ht="15" customHeight="1">
      <c r="B1203" s="187"/>
      <c r="C1203" s="187"/>
      <c r="D1203" s="187"/>
      <c r="E1203" s="187"/>
      <c r="F1203" s="187"/>
      <c r="G1203" s="187"/>
      <c r="H1203" s="187"/>
      <c r="J1203" s="186"/>
      <c r="K1203" s="180"/>
      <c r="L1203" s="180"/>
      <c r="M1203" s="186"/>
      <c r="N1203" s="186"/>
    </row>
    <row r="1204" spans="2:14" s="188" customFormat="1" ht="15" customHeight="1">
      <c r="B1204" s="187"/>
      <c r="C1204" s="187"/>
      <c r="D1204" s="187"/>
      <c r="E1204" s="187"/>
      <c r="F1204" s="187"/>
      <c r="G1204" s="187"/>
      <c r="H1204" s="187"/>
      <c r="J1204" s="186"/>
      <c r="K1204" s="180"/>
      <c r="L1204" s="180"/>
      <c r="M1204" s="186"/>
      <c r="N1204" s="186"/>
    </row>
    <row r="1205" spans="2:14" s="188" customFormat="1" ht="15" customHeight="1">
      <c r="B1205" s="187"/>
      <c r="C1205" s="187"/>
      <c r="D1205" s="187"/>
      <c r="E1205" s="187"/>
      <c r="F1205" s="187"/>
      <c r="G1205" s="187"/>
      <c r="H1205" s="187"/>
      <c r="J1205" s="186"/>
      <c r="K1205" s="180"/>
      <c r="L1205" s="180"/>
      <c r="M1205" s="186"/>
      <c r="N1205" s="186"/>
    </row>
    <row r="1206" spans="2:14" s="188" customFormat="1" ht="15" customHeight="1">
      <c r="B1206" s="187"/>
      <c r="C1206" s="187"/>
      <c r="D1206" s="187"/>
      <c r="E1206" s="187"/>
      <c r="F1206" s="187"/>
      <c r="G1206" s="187"/>
      <c r="H1206" s="187"/>
      <c r="J1206" s="186"/>
      <c r="K1206" s="180"/>
      <c r="L1206" s="180"/>
      <c r="M1206" s="186"/>
      <c r="N1206" s="186"/>
    </row>
    <row r="1207" spans="2:14" s="188" customFormat="1" ht="15" customHeight="1">
      <c r="B1207" s="187"/>
      <c r="C1207" s="187"/>
      <c r="D1207" s="187"/>
      <c r="E1207" s="187"/>
      <c r="F1207" s="187"/>
      <c r="G1207" s="187"/>
      <c r="H1207" s="187"/>
      <c r="J1207" s="186"/>
      <c r="K1207" s="180"/>
      <c r="L1207" s="180"/>
      <c r="M1207" s="186"/>
      <c r="N1207" s="186"/>
    </row>
    <row r="1208" spans="2:14" s="188" customFormat="1" ht="15" customHeight="1">
      <c r="B1208" s="187"/>
      <c r="C1208" s="187"/>
      <c r="D1208" s="187"/>
      <c r="E1208" s="187"/>
      <c r="F1208" s="187"/>
      <c r="G1208" s="187"/>
      <c r="H1208" s="187"/>
      <c r="J1208" s="186"/>
      <c r="K1208" s="180"/>
      <c r="L1208" s="180"/>
      <c r="M1208" s="186"/>
      <c r="N1208" s="186"/>
    </row>
    <row r="1209" spans="2:14" s="188" customFormat="1" ht="15" customHeight="1">
      <c r="B1209" s="187"/>
      <c r="C1209" s="187"/>
      <c r="D1209" s="187"/>
      <c r="E1209" s="187"/>
      <c r="F1209" s="187"/>
      <c r="G1209" s="187"/>
      <c r="H1209" s="187"/>
      <c r="J1209" s="186"/>
      <c r="K1209" s="180"/>
      <c r="L1209" s="180"/>
      <c r="M1209" s="186"/>
      <c r="N1209" s="186"/>
    </row>
    <row r="1210" spans="2:14" s="188" customFormat="1" ht="15" customHeight="1">
      <c r="B1210" s="187"/>
      <c r="C1210" s="187"/>
      <c r="D1210" s="187"/>
      <c r="E1210" s="187"/>
      <c r="F1210" s="187"/>
      <c r="G1210" s="187"/>
      <c r="H1210" s="187"/>
      <c r="J1210" s="186"/>
      <c r="K1210" s="180"/>
      <c r="L1210" s="180"/>
      <c r="M1210" s="186"/>
      <c r="N1210" s="186"/>
    </row>
    <row r="1211" spans="2:14" s="188" customFormat="1" ht="15" customHeight="1">
      <c r="B1211" s="187"/>
      <c r="C1211" s="187"/>
      <c r="D1211" s="187"/>
      <c r="E1211" s="187"/>
      <c r="F1211" s="187"/>
      <c r="G1211" s="187"/>
      <c r="H1211" s="187"/>
      <c r="J1211" s="186"/>
      <c r="K1211" s="180"/>
      <c r="L1211" s="180"/>
      <c r="M1211" s="186"/>
      <c r="N1211" s="186"/>
    </row>
    <row r="1212" spans="2:14" s="188" customFormat="1" ht="15" customHeight="1">
      <c r="B1212" s="187"/>
      <c r="C1212" s="187"/>
      <c r="D1212" s="187"/>
      <c r="E1212" s="187"/>
      <c r="F1212" s="187"/>
      <c r="G1212" s="187"/>
      <c r="H1212" s="187"/>
      <c r="J1212" s="186"/>
      <c r="K1212" s="180"/>
      <c r="L1212" s="180"/>
      <c r="M1212" s="186"/>
      <c r="N1212" s="186"/>
    </row>
    <row r="1213" spans="2:14" s="188" customFormat="1" ht="15" customHeight="1">
      <c r="B1213" s="187"/>
      <c r="C1213" s="187"/>
      <c r="D1213" s="187"/>
      <c r="E1213" s="187"/>
      <c r="F1213" s="187"/>
      <c r="G1213" s="187"/>
      <c r="H1213" s="187"/>
      <c r="J1213" s="186"/>
      <c r="K1213" s="180"/>
      <c r="L1213" s="180"/>
      <c r="M1213" s="186"/>
      <c r="N1213" s="186"/>
    </row>
    <row r="1214" spans="2:14" s="188" customFormat="1" ht="15" customHeight="1">
      <c r="B1214" s="187"/>
      <c r="C1214" s="187"/>
      <c r="D1214" s="187"/>
      <c r="E1214" s="187"/>
      <c r="F1214" s="187"/>
      <c r="G1214" s="187"/>
      <c r="H1214" s="187"/>
      <c r="J1214" s="186"/>
      <c r="K1214" s="180"/>
      <c r="L1214" s="180"/>
      <c r="M1214" s="186"/>
      <c r="N1214" s="186"/>
    </row>
    <row r="1215" spans="2:14" s="188" customFormat="1" ht="15" customHeight="1">
      <c r="B1215" s="187"/>
      <c r="C1215" s="187"/>
      <c r="D1215" s="187"/>
      <c r="E1215" s="187"/>
      <c r="F1215" s="187"/>
      <c r="G1215" s="187"/>
      <c r="H1215" s="187"/>
      <c r="J1215" s="186"/>
      <c r="K1215" s="180"/>
      <c r="L1215" s="180"/>
      <c r="M1215" s="186"/>
      <c r="N1215" s="186"/>
    </row>
    <row r="1216" spans="2:14" s="188" customFormat="1" ht="15" customHeight="1">
      <c r="B1216" s="187"/>
      <c r="C1216" s="187"/>
      <c r="D1216" s="187"/>
      <c r="E1216" s="187"/>
      <c r="F1216" s="187"/>
      <c r="G1216" s="187"/>
      <c r="H1216" s="187"/>
      <c r="J1216" s="186"/>
      <c r="K1216" s="180"/>
      <c r="L1216" s="180"/>
      <c r="M1216" s="186"/>
      <c r="N1216" s="186"/>
    </row>
    <row r="1217" spans="2:14" s="188" customFormat="1" ht="15" customHeight="1">
      <c r="B1217" s="187"/>
      <c r="C1217" s="187"/>
      <c r="D1217" s="187"/>
      <c r="E1217" s="187"/>
      <c r="F1217" s="187"/>
      <c r="G1217" s="187"/>
      <c r="H1217" s="187"/>
      <c r="J1217" s="186"/>
      <c r="K1217" s="180"/>
      <c r="L1217" s="180"/>
      <c r="M1217" s="186"/>
      <c r="N1217" s="186"/>
    </row>
    <row r="1218" spans="2:14" s="188" customFormat="1" ht="15" customHeight="1">
      <c r="B1218" s="187"/>
      <c r="C1218" s="187"/>
      <c r="D1218" s="187"/>
      <c r="E1218" s="187"/>
      <c r="F1218" s="187"/>
      <c r="G1218" s="187"/>
      <c r="H1218" s="187"/>
      <c r="J1218" s="186"/>
      <c r="K1218" s="180"/>
      <c r="L1218" s="180"/>
      <c r="M1218" s="186"/>
      <c r="N1218" s="186"/>
    </row>
    <row r="1219" spans="2:14" s="188" customFormat="1" ht="15" customHeight="1">
      <c r="B1219" s="187"/>
      <c r="C1219" s="187"/>
      <c r="D1219" s="187"/>
      <c r="E1219" s="187"/>
      <c r="F1219" s="187"/>
      <c r="G1219" s="187"/>
      <c r="H1219" s="187"/>
      <c r="J1219" s="186"/>
      <c r="K1219" s="180"/>
      <c r="L1219" s="180"/>
      <c r="M1219" s="186"/>
      <c r="N1219" s="186"/>
    </row>
    <row r="1220" spans="2:14" s="188" customFormat="1" ht="15" customHeight="1">
      <c r="B1220" s="187"/>
      <c r="C1220" s="187"/>
      <c r="D1220" s="187"/>
      <c r="E1220" s="187"/>
      <c r="F1220" s="187"/>
      <c r="G1220" s="187"/>
      <c r="H1220" s="187"/>
      <c r="J1220" s="186"/>
      <c r="K1220" s="180"/>
      <c r="L1220" s="180"/>
      <c r="M1220" s="186"/>
      <c r="N1220" s="186"/>
    </row>
    <row r="1221" spans="2:14" s="188" customFormat="1" ht="15" customHeight="1">
      <c r="B1221" s="187"/>
      <c r="C1221" s="187"/>
      <c r="D1221" s="187"/>
      <c r="E1221" s="187"/>
      <c r="F1221" s="187"/>
      <c r="G1221" s="187"/>
      <c r="H1221" s="187"/>
      <c r="J1221" s="186"/>
      <c r="K1221" s="180"/>
      <c r="L1221" s="180"/>
      <c r="M1221" s="186"/>
      <c r="N1221" s="186"/>
    </row>
    <row r="1222" spans="2:14" s="188" customFormat="1" ht="15" customHeight="1">
      <c r="B1222" s="187"/>
      <c r="C1222" s="187"/>
      <c r="D1222" s="187"/>
      <c r="E1222" s="187"/>
      <c r="F1222" s="187"/>
      <c r="G1222" s="187"/>
      <c r="H1222" s="187"/>
      <c r="J1222" s="186"/>
      <c r="K1222" s="180"/>
      <c r="L1222" s="180"/>
      <c r="M1222" s="186"/>
      <c r="N1222" s="186"/>
    </row>
    <row r="1223" spans="2:14" s="188" customFormat="1" ht="15" customHeight="1">
      <c r="B1223" s="187"/>
      <c r="C1223" s="187"/>
      <c r="D1223" s="187"/>
      <c r="E1223" s="187"/>
      <c r="F1223" s="187"/>
      <c r="G1223" s="187"/>
      <c r="H1223" s="187"/>
      <c r="J1223" s="186"/>
      <c r="K1223" s="180"/>
      <c r="L1223" s="180"/>
      <c r="M1223" s="186"/>
      <c r="N1223" s="186"/>
    </row>
    <row r="1224" spans="2:14" s="188" customFormat="1" ht="15" customHeight="1">
      <c r="B1224" s="187"/>
      <c r="C1224" s="187"/>
      <c r="D1224" s="187"/>
      <c r="E1224" s="187"/>
      <c r="F1224" s="187"/>
      <c r="G1224" s="187"/>
      <c r="H1224" s="187"/>
      <c r="J1224" s="186"/>
      <c r="K1224" s="180"/>
      <c r="L1224" s="180"/>
      <c r="M1224" s="186"/>
      <c r="N1224" s="186"/>
    </row>
    <row r="1225" spans="2:14" s="188" customFormat="1" ht="15" customHeight="1">
      <c r="B1225" s="187"/>
      <c r="C1225" s="187"/>
      <c r="D1225" s="187"/>
      <c r="E1225" s="187"/>
      <c r="F1225" s="187"/>
      <c r="G1225" s="187"/>
      <c r="H1225" s="187"/>
      <c r="J1225" s="186"/>
      <c r="K1225" s="180"/>
      <c r="L1225" s="180"/>
      <c r="M1225" s="186"/>
      <c r="N1225" s="186"/>
    </row>
    <row r="1226" spans="2:14" s="188" customFormat="1" ht="15" customHeight="1">
      <c r="B1226" s="187"/>
      <c r="C1226" s="187"/>
      <c r="D1226" s="187"/>
      <c r="E1226" s="187"/>
      <c r="F1226" s="187"/>
      <c r="G1226" s="187"/>
      <c r="H1226" s="187"/>
      <c r="J1226" s="186"/>
      <c r="K1226" s="180"/>
      <c r="L1226" s="180"/>
      <c r="M1226" s="186"/>
      <c r="N1226" s="186"/>
    </row>
    <row r="1227" spans="2:14" s="188" customFormat="1" ht="15" customHeight="1">
      <c r="B1227" s="187"/>
      <c r="C1227" s="187"/>
      <c r="D1227" s="187"/>
      <c r="E1227" s="187"/>
      <c r="F1227" s="187"/>
      <c r="G1227" s="187"/>
      <c r="H1227" s="187"/>
      <c r="J1227" s="186"/>
      <c r="K1227" s="180"/>
      <c r="L1227" s="180"/>
      <c r="M1227" s="186"/>
      <c r="N1227" s="186"/>
    </row>
    <row r="1228" spans="2:14" s="188" customFormat="1" ht="15" customHeight="1">
      <c r="B1228" s="187"/>
      <c r="C1228" s="187"/>
      <c r="D1228" s="187"/>
      <c r="E1228" s="187"/>
      <c r="F1228" s="187"/>
      <c r="G1228" s="187"/>
      <c r="H1228" s="187"/>
      <c r="J1228" s="186"/>
      <c r="K1228" s="180"/>
      <c r="L1228" s="180"/>
      <c r="M1228" s="186"/>
      <c r="N1228" s="186"/>
    </row>
    <row r="1229" spans="2:14" s="188" customFormat="1" ht="15" customHeight="1">
      <c r="B1229" s="187"/>
      <c r="C1229" s="187"/>
      <c r="D1229" s="187"/>
      <c r="E1229" s="187"/>
      <c r="F1229" s="187"/>
      <c r="G1229" s="187"/>
      <c r="H1229" s="187"/>
      <c r="J1229" s="186"/>
      <c r="K1229" s="180"/>
      <c r="L1229" s="180"/>
      <c r="M1229" s="186"/>
      <c r="N1229" s="186"/>
    </row>
    <row r="1230" spans="2:14" s="188" customFormat="1" ht="15" customHeight="1">
      <c r="B1230" s="187"/>
      <c r="C1230" s="187"/>
      <c r="D1230" s="187"/>
      <c r="E1230" s="187"/>
      <c r="F1230" s="187"/>
      <c r="G1230" s="187"/>
      <c r="H1230" s="187"/>
      <c r="J1230" s="186"/>
      <c r="K1230" s="180"/>
      <c r="L1230" s="180"/>
      <c r="M1230" s="186"/>
      <c r="N1230" s="186"/>
    </row>
    <row r="1231" spans="2:14" s="188" customFormat="1" ht="15" customHeight="1">
      <c r="B1231" s="187"/>
      <c r="C1231" s="187"/>
      <c r="D1231" s="187"/>
      <c r="E1231" s="187"/>
      <c r="F1231" s="187"/>
      <c r="G1231" s="187"/>
      <c r="H1231" s="187"/>
      <c r="J1231" s="186"/>
      <c r="K1231" s="180"/>
      <c r="L1231" s="180"/>
      <c r="M1231" s="186"/>
      <c r="N1231" s="186"/>
    </row>
    <row r="1232" spans="2:14" s="188" customFormat="1" ht="15" customHeight="1">
      <c r="B1232" s="187"/>
      <c r="C1232" s="187"/>
      <c r="D1232" s="187"/>
      <c r="E1232" s="187"/>
      <c r="F1232" s="187"/>
      <c r="G1232" s="187"/>
      <c r="H1232" s="187"/>
      <c r="J1232" s="186"/>
      <c r="K1232" s="180"/>
      <c r="L1232" s="180"/>
      <c r="M1232" s="186"/>
      <c r="N1232" s="186"/>
    </row>
    <row r="1233" spans="2:14" s="188" customFormat="1" ht="15" customHeight="1">
      <c r="B1233" s="187"/>
      <c r="C1233" s="187"/>
      <c r="D1233" s="187"/>
      <c r="E1233" s="187"/>
      <c r="F1233" s="187"/>
      <c r="G1233" s="187"/>
      <c r="H1233" s="187"/>
      <c r="J1233" s="186"/>
      <c r="K1233" s="180"/>
      <c r="L1233" s="180"/>
      <c r="M1233" s="186"/>
      <c r="N1233" s="186"/>
    </row>
    <row r="1234" spans="2:14" s="188" customFormat="1" ht="15" customHeight="1">
      <c r="B1234" s="187"/>
      <c r="C1234" s="187"/>
      <c r="D1234" s="187"/>
      <c r="E1234" s="187"/>
      <c r="F1234" s="187"/>
      <c r="G1234" s="187"/>
      <c r="H1234" s="187"/>
      <c r="J1234" s="186"/>
      <c r="K1234" s="180"/>
      <c r="L1234" s="180"/>
      <c r="M1234" s="186"/>
      <c r="N1234" s="186"/>
    </row>
    <row r="1235" spans="2:14" s="188" customFormat="1" ht="15" customHeight="1">
      <c r="B1235" s="187"/>
      <c r="C1235" s="187"/>
      <c r="D1235" s="187"/>
      <c r="E1235" s="187"/>
      <c r="F1235" s="187"/>
      <c r="G1235" s="187"/>
      <c r="H1235" s="187"/>
      <c r="J1235" s="186"/>
      <c r="K1235" s="180"/>
      <c r="L1235" s="180"/>
      <c r="M1235" s="186"/>
      <c r="N1235" s="186"/>
    </row>
    <row r="1236" spans="2:14" s="188" customFormat="1" ht="15" customHeight="1">
      <c r="B1236" s="187"/>
      <c r="C1236" s="187"/>
      <c r="D1236" s="187"/>
      <c r="E1236" s="187"/>
      <c r="F1236" s="187"/>
      <c r="G1236" s="187"/>
      <c r="H1236" s="187"/>
      <c r="J1236" s="186"/>
      <c r="K1236" s="180"/>
      <c r="L1236" s="180"/>
      <c r="M1236" s="186"/>
      <c r="N1236" s="186"/>
    </row>
    <row r="1237" spans="2:14" s="188" customFormat="1" ht="15" customHeight="1">
      <c r="B1237" s="187"/>
      <c r="C1237" s="187"/>
      <c r="D1237" s="187"/>
      <c r="E1237" s="187"/>
      <c r="F1237" s="187"/>
      <c r="G1237" s="187"/>
      <c r="H1237" s="187"/>
      <c r="J1237" s="186"/>
      <c r="K1237" s="180"/>
      <c r="L1237" s="180"/>
      <c r="M1237" s="186"/>
      <c r="N1237" s="186"/>
    </row>
    <row r="1238" spans="2:14" s="188" customFormat="1" ht="15" customHeight="1">
      <c r="B1238" s="187"/>
      <c r="C1238" s="187"/>
      <c r="D1238" s="187"/>
      <c r="E1238" s="187"/>
      <c r="F1238" s="187"/>
      <c r="G1238" s="187"/>
      <c r="H1238" s="187"/>
      <c r="J1238" s="186"/>
      <c r="K1238" s="180"/>
      <c r="L1238" s="180"/>
      <c r="M1238" s="186"/>
      <c r="N1238" s="186"/>
    </row>
    <row r="1239" spans="2:14" s="188" customFormat="1" ht="15" customHeight="1">
      <c r="B1239" s="187"/>
      <c r="C1239" s="187"/>
      <c r="D1239" s="187"/>
      <c r="E1239" s="187"/>
      <c r="F1239" s="187"/>
      <c r="G1239" s="187"/>
      <c r="H1239" s="187"/>
      <c r="J1239" s="186"/>
      <c r="K1239" s="180"/>
      <c r="L1239" s="180"/>
      <c r="M1239" s="186"/>
      <c r="N1239" s="186"/>
    </row>
    <row r="1240" spans="2:14" s="188" customFormat="1" ht="15" customHeight="1">
      <c r="B1240" s="187"/>
      <c r="C1240" s="187"/>
      <c r="D1240" s="187"/>
      <c r="E1240" s="187"/>
      <c r="F1240" s="187"/>
      <c r="G1240" s="187"/>
      <c r="H1240" s="187"/>
      <c r="J1240" s="186"/>
      <c r="K1240" s="180"/>
      <c r="L1240" s="180"/>
      <c r="M1240" s="186"/>
      <c r="N1240" s="186"/>
    </row>
    <row r="1241" spans="2:14" s="188" customFormat="1" ht="15" customHeight="1">
      <c r="B1241" s="187"/>
      <c r="C1241" s="187"/>
      <c r="D1241" s="187"/>
      <c r="E1241" s="187"/>
      <c r="F1241" s="187"/>
      <c r="G1241" s="187"/>
      <c r="H1241" s="187"/>
      <c r="J1241" s="186"/>
      <c r="K1241" s="180"/>
      <c r="L1241" s="180"/>
      <c r="M1241" s="186"/>
      <c r="N1241" s="186"/>
    </row>
    <row r="1242" spans="2:14" s="188" customFormat="1" ht="15" customHeight="1">
      <c r="B1242" s="187"/>
      <c r="C1242" s="187"/>
      <c r="D1242" s="187"/>
      <c r="E1242" s="187"/>
      <c r="F1242" s="187"/>
      <c r="G1242" s="187"/>
      <c r="H1242" s="187"/>
      <c r="J1242" s="186"/>
      <c r="K1242" s="180"/>
      <c r="L1242" s="180"/>
      <c r="M1242" s="186"/>
      <c r="N1242" s="186"/>
    </row>
    <row r="1243" spans="2:14" s="188" customFormat="1" ht="15" customHeight="1">
      <c r="B1243" s="187"/>
      <c r="C1243" s="187"/>
      <c r="D1243" s="187"/>
      <c r="E1243" s="187"/>
      <c r="F1243" s="187"/>
      <c r="G1243" s="187"/>
      <c r="H1243" s="187"/>
      <c r="J1243" s="186"/>
      <c r="K1243" s="180"/>
      <c r="L1243" s="180"/>
      <c r="M1243" s="186"/>
      <c r="N1243" s="186"/>
    </row>
    <row r="1244" spans="2:14" s="188" customFormat="1" ht="15" customHeight="1">
      <c r="B1244" s="187"/>
      <c r="C1244" s="187"/>
      <c r="D1244" s="187"/>
      <c r="E1244" s="187"/>
      <c r="F1244" s="187"/>
      <c r="G1244" s="187"/>
      <c r="H1244" s="187"/>
      <c r="J1244" s="186"/>
      <c r="K1244" s="180"/>
      <c r="L1244" s="180"/>
      <c r="M1244" s="186"/>
      <c r="N1244" s="186"/>
    </row>
    <row r="1245" spans="2:14" s="188" customFormat="1" ht="15" customHeight="1">
      <c r="B1245" s="187"/>
      <c r="C1245" s="187"/>
      <c r="D1245" s="187"/>
      <c r="E1245" s="187"/>
      <c r="F1245" s="187"/>
      <c r="G1245" s="187"/>
      <c r="H1245" s="187"/>
      <c r="J1245" s="186"/>
      <c r="K1245" s="180"/>
      <c r="L1245" s="180"/>
      <c r="M1245" s="186"/>
      <c r="N1245" s="186"/>
    </row>
    <row r="1246" spans="2:14" s="188" customFormat="1" ht="15" customHeight="1">
      <c r="B1246" s="187"/>
      <c r="C1246" s="187"/>
      <c r="D1246" s="187"/>
      <c r="E1246" s="187"/>
      <c r="F1246" s="187"/>
      <c r="G1246" s="187"/>
      <c r="H1246" s="187"/>
      <c r="J1246" s="186"/>
      <c r="K1246" s="180"/>
      <c r="L1246" s="180"/>
      <c r="M1246" s="186"/>
      <c r="N1246" s="186"/>
    </row>
    <row r="1247" spans="2:14" s="188" customFormat="1" ht="15" customHeight="1">
      <c r="B1247" s="187"/>
      <c r="C1247" s="187"/>
      <c r="D1247" s="187"/>
      <c r="E1247" s="187"/>
      <c r="F1247" s="187"/>
      <c r="G1247" s="187"/>
      <c r="H1247" s="187"/>
      <c r="J1247" s="186"/>
      <c r="K1247" s="180"/>
      <c r="L1247" s="180"/>
      <c r="M1247" s="186"/>
      <c r="N1247" s="186"/>
    </row>
    <row r="1248" spans="2:14" s="188" customFormat="1" ht="15" customHeight="1">
      <c r="B1248" s="187"/>
      <c r="C1248" s="187"/>
      <c r="D1248" s="187"/>
      <c r="E1248" s="187"/>
      <c r="F1248" s="187"/>
      <c r="G1248" s="187"/>
      <c r="H1248" s="187"/>
      <c r="J1248" s="186"/>
      <c r="K1248" s="180"/>
      <c r="L1248" s="180"/>
      <c r="M1248" s="186"/>
      <c r="N1248" s="186"/>
    </row>
    <row r="1249" spans="2:14" s="188" customFormat="1" ht="15" customHeight="1">
      <c r="B1249" s="187"/>
      <c r="C1249" s="187"/>
      <c r="D1249" s="187"/>
      <c r="E1249" s="187"/>
      <c r="F1249" s="187"/>
      <c r="G1249" s="187"/>
      <c r="H1249" s="187"/>
      <c r="J1249" s="186"/>
      <c r="K1249" s="180"/>
      <c r="L1249" s="180"/>
      <c r="M1249" s="186"/>
      <c r="N1249" s="186"/>
    </row>
    <row r="1250" spans="2:14" s="188" customFormat="1" ht="15" customHeight="1">
      <c r="B1250" s="187"/>
      <c r="C1250" s="187"/>
      <c r="D1250" s="187"/>
      <c r="E1250" s="187"/>
      <c r="F1250" s="187"/>
      <c r="G1250" s="187"/>
      <c r="H1250" s="187"/>
      <c r="J1250" s="186"/>
      <c r="K1250" s="180"/>
      <c r="L1250" s="180"/>
      <c r="M1250" s="186"/>
      <c r="N1250" s="186"/>
    </row>
    <row r="1251" spans="2:14" s="188" customFormat="1" ht="15" customHeight="1">
      <c r="B1251" s="187"/>
      <c r="C1251" s="187"/>
      <c r="D1251" s="187"/>
      <c r="E1251" s="187"/>
      <c r="F1251" s="187"/>
      <c r="G1251" s="187"/>
      <c r="H1251" s="187"/>
      <c r="J1251" s="186"/>
      <c r="K1251" s="180"/>
      <c r="L1251" s="180"/>
      <c r="M1251" s="186"/>
      <c r="N1251" s="186"/>
    </row>
    <row r="1252" spans="2:14" s="188" customFormat="1" ht="15" customHeight="1">
      <c r="B1252" s="187"/>
      <c r="C1252" s="187"/>
      <c r="D1252" s="187"/>
      <c r="E1252" s="187"/>
      <c r="F1252" s="187"/>
      <c r="G1252" s="187"/>
      <c r="H1252" s="187"/>
      <c r="J1252" s="186"/>
      <c r="K1252" s="180"/>
      <c r="L1252" s="180"/>
      <c r="M1252" s="186"/>
      <c r="N1252" s="186"/>
    </row>
    <row r="1253" spans="2:14" s="188" customFormat="1" ht="15" customHeight="1">
      <c r="B1253" s="187"/>
      <c r="C1253" s="187"/>
      <c r="D1253" s="187"/>
      <c r="E1253" s="187"/>
      <c r="F1253" s="187"/>
      <c r="G1253" s="187"/>
      <c r="H1253" s="187"/>
      <c r="J1253" s="186"/>
      <c r="K1253" s="180"/>
      <c r="L1253" s="180"/>
      <c r="M1253" s="186"/>
      <c r="N1253" s="186"/>
    </row>
    <row r="1254" spans="2:14" s="188" customFormat="1" ht="15" customHeight="1">
      <c r="B1254" s="187"/>
      <c r="C1254" s="187"/>
      <c r="D1254" s="187"/>
      <c r="E1254" s="187"/>
      <c r="F1254" s="187"/>
      <c r="G1254" s="187"/>
      <c r="H1254" s="187"/>
      <c r="J1254" s="186"/>
      <c r="K1254" s="180"/>
      <c r="L1254" s="180"/>
      <c r="M1254" s="186"/>
      <c r="N1254" s="186"/>
    </row>
    <row r="1255" spans="2:14" s="188" customFormat="1" ht="15" customHeight="1">
      <c r="B1255" s="187"/>
      <c r="C1255" s="187"/>
      <c r="D1255" s="187"/>
      <c r="E1255" s="187"/>
      <c r="F1255" s="187"/>
      <c r="G1255" s="187"/>
      <c r="H1255" s="187"/>
      <c r="J1255" s="186"/>
      <c r="K1255" s="180"/>
      <c r="L1255" s="180"/>
      <c r="M1255" s="186"/>
      <c r="N1255" s="186"/>
    </row>
    <row r="1256" spans="2:14" s="188" customFormat="1" ht="15" customHeight="1">
      <c r="B1256" s="187"/>
      <c r="C1256" s="187"/>
      <c r="D1256" s="187"/>
      <c r="E1256" s="187"/>
      <c r="F1256" s="187"/>
      <c r="G1256" s="187"/>
      <c r="H1256" s="187"/>
      <c r="J1256" s="186"/>
      <c r="K1256" s="180"/>
      <c r="L1256" s="180"/>
      <c r="M1256" s="186"/>
      <c r="N1256" s="186"/>
    </row>
    <row r="1257" spans="2:14" s="188" customFormat="1" ht="15" customHeight="1">
      <c r="B1257" s="187"/>
      <c r="C1257" s="187"/>
      <c r="D1257" s="187"/>
      <c r="E1257" s="187"/>
      <c r="F1257" s="187"/>
      <c r="G1257" s="187"/>
      <c r="H1257" s="187"/>
      <c r="J1257" s="186"/>
      <c r="K1257" s="180"/>
      <c r="L1257" s="180"/>
      <c r="M1257" s="186"/>
      <c r="N1257" s="186"/>
    </row>
    <row r="1258" spans="2:14" s="188" customFormat="1" ht="15" customHeight="1">
      <c r="B1258" s="187"/>
      <c r="C1258" s="187"/>
      <c r="D1258" s="187"/>
      <c r="E1258" s="187"/>
      <c r="F1258" s="187"/>
      <c r="G1258" s="187"/>
      <c r="H1258" s="187"/>
      <c r="J1258" s="186"/>
      <c r="K1258" s="180"/>
      <c r="L1258" s="180"/>
      <c r="M1258" s="186"/>
      <c r="N1258" s="186"/>
    </row>
    <row r="1259" spans="2:14" s="188" customFormat="1" ht="15" customHeight="1">
      <c r="B1259" s="187"/>
      <c r="C1259" s="187"/>
      <c r="D1259" s="187"/>
      <c r="E1259" s="187"/>
      <c r="F1259" s="187"/>
      <c r="G1259" s="187"/>
      <c r="H1259" s="187"/>
      <c r="J1259" s="186"/>
      <c r="K1259" s="180"/>
      <c r="L1259" s="180"/>
      <c r="M1259" s="186"/>
      <c r="N1259" s="186"/>
    </row>
    <row r="1260" spans="2:14" s="188" customFormat="1" ht="15" customHeight="1">
      <c r="B1260" s="187"/>
      <c r="C1260" s="187"/>
      <c r="D1260" s="187"/>
      <c r="E1260" s="187"/>
      <c r="F1260" s="187"/>
      <c r="G1260" s="187"/>
      <c r="H1260" s="187"/>
      <c r="J1260" s="186"/>
      <c r="K1260" s="180"/>
      <c r="L1260" s="180"/>
      <c r="M1260" s="186"/>
      <c r="N1260" s="186"/>
    </row>
    <row r="1261" spans="2:14" s="188" customFormat="1" ht="15" customHeight="1">
      <c r="B1261" s="187"/>
      <c r="C1261" s="187"/>
      <c r="D1261" s="187"/>
      <c r="E1261" s="187"/>
      <c r="F1261" s="187"/>
      <c r="G1261" s="187"/>
      <c r="H1261" s="187"/>
      <c r="J1261" s="186"/>
      <c r="K1261" s="180"/>
      <c r="L1261" s="180"/>
      <c r="M1261" s="186"/>
      <c r="N1261" s="186"/>
    </row>
    <row r="1262" spans="2:14" s="188" customFormat="1" ht="15" customHeight="1">
      <c r="B1262" s="187"/>
      <c r="C1262" s="187"/>
      <c r="D1262" s="187"/>
      <c r="E1262" s="187"/>
      <c r="F1262" s="187"/>
      <c r="G1262" s="187"/>
      <c r="H1262" s="187"/>
      <c r="J1262" s="186"/>
      <c r="K1262" s="180"/>
      <c r="L1262" s="180"/>
      <c r="M1262" s="186"/>
      <c r="N1262" s="186"/>
    </row>
    <row r="1263" spans="2:14" s="188" customFormat="1" ht="15" customHeight="1">
      <c r="B1263" s="187"/>
      <c r="C1263" s="187"/>
      <c r="D1263" s="187"/>
      <c r="E1263" s="187"/>
      <c r="F1263" s="187"/>
      <c r="G1263" s="187"/>
      <c r="H1263" s="187"/>
      <c r="J1263" s="186"/>
      <c r="K1263" s="180"/>
      <c r="L1263" s="180"/>
      <c r="M1263" s="186"/>
      <c r="N1263" s="186"/>
    </row>
    <row r="1264" spans="2:14" s="188" customFormat="1" ht="15" customHeight="1">
      <c r="B1264" s="187"/>
      <c r="C1264" s="187"/>
      <c r="D1264" s="187"/>
      <c r="E1264" s="187"/>
      <c r="F1264" s="187"/>
      <c r="G1264" s="187"/>
      <c r="H1264" s="187"/>
      <c r="J1264" s="186"/>
      <c r="K1264" s="180"/>
      <c r="L1264" s="180"/>
      <c r="M1264" s="186"/>
      <c r="N1264" s="186"/>
    </row>
    <row r="1265" spans="2:14" s="188" customFormat="1" ht="15" customHeight="1">
      <c r="B1265" s="187"/>
      <c r="C1265" s="187"/>
      <c r="D1265" s="187"/>
      <c r="E1265" s="187"/>
      <c r="F1265" s="187"/>
      <c r="G1265" s="187"/>
      <c r="H1265" s="187"/>
      <c r="J1265" s="186"/>
      <c r="K1265" s="180"/>
      <c r="L1265" s="180"/>
      <c r="M1265" s="186"/>
      <c r="N1265" s="186"/>
    </row>
    <row r="1266" spans="2:14" s="188" customFormat="1" ht="15" customHeight="1">
      <c r="B1266" s="187"/>
      <c r="C1266" s="187"/>
      <c r="D1266" s="187"/>
      <c r="E1266" s="187"/>
      <c r="F1266" s="187"/>
      <c r="G1266" s="187"/>
      <c r="H1266" s="187"/>
      <c r="J1266" s="186"/>
      <c r="K1266" s="180"/>
      <c r="L1266" s="180"/>
      <c r="M1266" s="186"/>
      <c r="N1266" s="186"/>
    </row>
    <row r="1267" spans="2:14" s="188" customFormat="1" ht="15" customHeight="1">
      <c r="B1267" s="187"/>
      <c r="C1267" s="187"/>
      <c r="D1267" s="187"/>
      <c r="E1267" s="187"/>
      <c r="F1267" s="187"/>
      <c r="G1267" s="187"/>
      <c r="H1267" s="187"/>
      <c r="J1267" s="186"/>
      <c r="K1267" s="180"/>
      <c r="L1267" s="180"/>
      <c r="M1267" s="186"/>
      <c r="N1267" s="186"/>
    </row>
    <row r="1268" spans="2:14" s="188" customFormat="1" ht="15" customHeight="1">
      <c r="B1268" s="187"/>
      <c r="C1268" s="187"/>
      <c r="D1268" s="187"/>
      <c r="E1268" s="187"/>
      <c r="F1268" s="187"/>
      <c r="G1268" s="187"/>
      <c r="H1268" s="187"/>
      <c r="J1268" s="186"/>
      <c r="K1268" s="180"/>
      <c r="L1268" s="180"/>
      <c r="M1268" s="186"/>
      <c r="N1268" s="186"/>
    </row>
    <row r="1269" spans="2:14" s="188" customFormat="1" ht="15" customHeight="1">
      <c r="B1269" s="187"/>
      <c r="C1269" s="187"/>
      <c r="D1269" s="187"/>
      <c r="E1269" s="187"/>
      <c r="F1269" s="187"/>
      <c r="G1269" s="187"/>
      <c r="H1269" s="187"/>
      <c r="J1269" s="186"/>
      <c r="K1269" s="180"/>
      <c r="L1269" s="180"/>
      <c r="M1269" s="186"/>
      <c r="N1269" s="186"/>
    </row>
    <row r="1270" spans="2:14" s="188" customFormat="1" ht="15" customHeight="1">
      <c r="B1270" s="187"/>
      <c r="C1270" s="187"/>
      <c r="D1270" s="187"/>
      <c r="E1270" s="187"/>
      <c r="F1270" s="187"/>
      <c r="G1270" s="187"/>
      <c r="H1270" s="187"/>
      <c r="J1270" s="186"/>
      <c r="K1270" s="180"/>
      <c r="L1270" s="180"/>
      <c r="M1270" s="186"/>
      <c r="N1270" s="186"/>
    </row>
    <row r="1271" spans="2:14" s="188" customFormat="1" ht="15" customHeight="1">
      <c r="B1271" s="187"/>
      <c r="C1271" s="187"/>
      <c r="D1271" s="187"/>
      <c r="E1271" s="187"/>
      <c r="F1271" s="187"/>
      <c r="G1271" s="187"/>
      <c r="H1271" s="187"/>
      <c r="J1271" s="186"/>
      <c r="K1271" s="180"/>
      <c r="L1271" s="180"/>
      <c r="M1271" s="186"/>
      <c r="N1271" s="186"/>
    </row>
    <row r="1272" spans="2:14" s="188" customFormat="1" ht="15" customHeight="1">
      <c r="B1272" s="187"/>
      <c r="C1272" s="187"/>
      <c r="D1272" s="187"/>
      <c r="E1272" s="187"/>
      <c r="F1272" s="187"/>
      <c r="G1272" s="187"/>
      <c r="H1272" s="187"/>
      <c r="J1272" s="186"/>
      <c r="K1272" s="180"/>
      <c r="L1272" s="180"/>
      <c r="M1272" s="186"/>
      <c r="N1272" s="186"/>
    </row>
    <row r="1273" spans="2:14" s="188" customFormat="1" ht="15" customHeight="1">
      <c r="B1273" s="187"/>
      <c r="C1273" s="187"/>
      <c r="D1273" s="187"/>
      <c r="E1273" s="187"/>
      <c r="F1273" s="187"/>
      <c r="G1273" s="187"/>
      <c r="H1273" s="187"/>
      <c r="J1273" s="186"/>
      <c r="K1273" s="180"/>
      <c r="L1273" s="180"/>
      <c r="M1273" s="186"/>
      <c r="N1273" s="186"/>
    </row>
    <row r="1274" spans="2:14" s="188" customFormat="1" ht="15" customHeight="1">
      <c r="B1274" s="187"/>
      <c r="C1274" s="187"/>
      <c r="D1274" s="187"/>
      <c r="E1274" s="187"/>
      <c r="F1274" s="187"/>
      <c r="G1274" s="187"/>
      <c r="H1274" s="187"/>
      <c r="J1274" s="186"/>
      <c r="K1274" s="180"/>
      <c r="L1274" s="180"/>
      <c r="M1274" s="186"/>
      <c r="N1274" s="186"/>
    </row>
    <row r="1275" spans="2:14" s="188" customFormat="1" ht="15" customHeight="1">
      <c r="B1275" s="187"/>
      <c r="C1275" s="187"/>
      <c r="D1275" s="187"/>
      <c r="E1275" s="187"/>
      <c r="F1275" s="187"/>
      <c r="G1275" s="187"/>
      <c r="H1275" s="187"/>
      <c r="J1275" s="186"/>
      <c r="K1275" s="180"/>
      <c r="L1275" s="180"/>
      <c r="M1275" s="186"/>
      <c r="N1275" s="186"/>
    </row>
    <row r="1276" spans="2:14" s="188" customFormat="1" ht="15" customHeight="1">
      <c r="B1276" s="187"/>
      <c r="C1276" s="187"/>
      <c r="D1276" s="187"/>
      <c r="E1276" s="187"/>
      <c r="F1276" s="187"/>
      <c r="G1276" s="187"/>
      <c r="H1276" s="187"/>
      <c r="J1276" s="186"/>
      <c r="K1276" s="180"/>
      <c r="L1276" s="180"/>
      <c r="M1276" s="186"/>
      <c r="N1276" s="186"/>
    </row>
    <row r="1277" spans="2:14" s="188" customFormat="1" ht="15" customHeight="1">
      <c r="B1277" s="187"/>
      <c r="C1277" s="187"/>
      <c r="D1277" s="187"/>
      <c r="E1277" s="187"/>
      <c r="F1277" s="187"/>
      <c r="G1277" s="187"/>
      <c r="H1277" s="187"/>
      <c r="J1277" s="186"/>
      <c r="K1277" s="180"/>
      <c r="L1277" s="180"/>
      <c r="M1277" s="186"/>
      <c r="N1277" s="186"/>
    </row>
    <row r="1278" spans="2:14" s="188" customFormat="1" ht="15" customHeight="1">
      <c r="B1278" s="187"/>
      <c r="C1278" s="187"/>
      <c r="D1278" s="187"/>
      <c r="E1278" s="187"/>
      <c r="F1278" s="187"/>
      <c r="G1278" s="187"/>
      <c r="H1278" s="187"/>
      <c r="J1278" s="186"/>
      <c r="K1278" s="180"/>
      <c r="L1278" s="180"/>
      <c r="M1278" s="186"/>
      <c r="N1278" s="186"/>
    </row>
    <row r="1279" spans="2:14" s="188" customFormat="1" ht="15" customHeight="1">
      <c r="B1279" s="187"/>
      <c r="C1279" s="187"/>
      <c r="D1279" s="187"/>
      <c r="E1279" s="187"/>
      <c r="F1279" s="187"/>
      <c r="G1279" s="187"/>
      <c r="H1279" s="187"/>
      <c r="J1279" s="186"/>
      <c r="K1279" s="180"/>
      <c r="L1279" s="180"/>
      <c r="M1279" s="186"/>
      <c r="N1279" s="186"/>
    </row>
    <row r="1280" spans="2:14" s="188" customFormat="1" ht="15" customHeight="1">
      <c r="B1280" s="187"/>
      <c r="C1280" s="187"/>
      <c r="D1280" s="187"/>
      <c r="E1280" s="187"/>
      <c r="F1280" s="187"/>
      <c r="G1280" s="187"/>
      <c r="H1280" s="187"/>
      <c r="J1280" s="186"/>
      <c r="K1280" s="180"/>
      <c r="L1280" s="180"/>
      <c r="M1280" s="186"/>
      <c r="N1280" s="186"/>
    </row>
    <row r="1281" spans="2:14" s="188" customFormat="1" ht="15" customHeight="1">
      <c r="B1281" s="187"/>
      <c r="C1281" s="187"/>
      <c r="D1281" s="187"/>
      <c r="E1281" s="187"/>
      <c r="F1281" s="187"/>
      <c r="G1281" s="187"/>
      <c r="H1281" s="187"/>
      <c r="J1281" s="186"/>
      <c r="K1281" s="180"/>
      <c r="L1281" s="180"/>
      <c r="M1281" s="186"/>
      <c r="N1281" s="186"/>
    </row>
    <row r="1282" spans="2:14" s="188" customFormat="1" ht="15" customHeight="1">
      <c r="B1282" s="187"/>
      <c r="C1282" s="187"/>
      <c r="D1282" s="187"/>
      <c r="E1282" s="187"/>
      <c r="F1282" s="187"/>
      <c r="G1282" s="187"/>
      <c r="H1282" s="187"/>
      <c r="J1282" s="186"/>
      <c r="K1282" s="180"/>
      <c r="L1282" s="180"/>
      <c r="M1282" s="186"/>
      <c r="N1282" s="186"/>
    </row>
    <row r="1283" spans="2:14" s="188" customFormat="1" ht="15" customHeight="1">
      <c r="B1283" s="187"/>
      <c r="C1283" s="187"/>
      <c r="D1283" s="187"/>
      <c r="E1283" s="187"/>
      <c r="F1283" s="187"/>
      <c r="G1283" s="187"/>
      <c r="H1283" s="187"/>
      <c r="J1283" s="186"/>
      <c r="K1283" s="180"/>
      <c r="L1283" s="180"/>
      <c r="M1283" s="186"/>
      <c r="N1283" s="186"/>
    </row>
    <row r="1284" spans="2:14" s="188" customFormat="1" ht="15" customHeight="1">
      <c r="B1284" s="187"/>
      <c r="C1284" s="187"/>
      <c r="D1284" s="187"/>
      <c r="E1284" s="187"/>
      <c r="F1284" s="187"/>
      <c r="G1284" s="187"/>
      <c r="H1284" s="187"/>
      <c r="J1284" s="186"/>
      <c r="K1284" s="180"/>
      <c r="L1284" s="180"/>
      <c r="M1284" s="186"/>
      <c r="N1284" s="186"/>
    </row>
    <row r="1285" spans="2:14" s="188" customFormat="1" ht="15" customHeight="1">
      <c r="B1285" s="187"/>
      <c r="C1285" s="187"/>
      <c r="D1285" s="187"/>
      <c r="E1285" s="187"/>
      <c r="F1285" s="187"/>
      <c r="G1285" s="187"/>
      <c r="H1285" s="187"/>
      <c r="J1285" s="186"/>
      <c r="K1285" s="180"/>
      <c r="L1285" s="180"/>
      <c r="M1285" s="186"/>
      <c r="N1285" s="186"/>
    </row>
    <row r="1286" spans="2:14" s="188" customFormat="1" ht="15" customHeight="1">
      <c r="B1286" s="187"/>
      <c r="C1286" s="187"/>
      <c r="D1286" s="187"/>
      <c r="E1286" s="187"/>
      <c r="F1286" s="187"/>
      <c r="G1286" s="187"/>
      <c r="H1286" s="187"/>
      <c r="J1286" s="186"/>
      <c r="K1286" s="180"/>
      <c r="L1286" s="180"/>
      <c r="M1286" s="186"/>
      <c r="N1286" s="186"/>
    </row>
    <row r="1287" spans="2:14" s="188" customFormat="1" ht="15" customHeight="1">
      <c r="B1287" s="187"/>
      <c r="C1287" s="187"/>
      <c r="D1287" s="187"/>
      <c r="E1287" s="187"/>
      <c r="F1287" s="187"/>
      <c r="G1287" s="187"/>
      <c r="H1287" s="187"/>
      <c r="J1287" s="186"/>
      <c r="K1287" s="180"/>
      <c r="L1287" s="180"/>
      <c r="M1287" s="186"/>
      <c r="N1287" s="186"/>
    </row>
    <row r="1288" spans="2:14" s="188" customFormat="1" ht="15" customHeight="1">
      <c r="B1288" s="187"/>
      <c r="C1288" s="187"/>
      <c r="D1288" s="187"/>
      <c r="E1288" s="187"/>
      <c r="F1288" s="187"/>
      <c r="G1288" s="187"/>
      <c r="H1288" s="187"/>
      <c r="J1288" s="186"/>
      <c r="K1288" s="180"/>
      <c r="L1288" s="180"/>
      <c r="M1288" s="186"/>
      <c r="N1288" s="186"/>
    </row>
    <row r="1289" spans="2:14" s="188" customFormat="1" ht="15" customHeight="1">
      <c r="B1289" s="187"/>
      <c r="C1289" s="187"/>
      <c r="D1289" s="187"/>
      <c r="E1289" s="187"/>
      <c r="F1289" s="187"/>
      <c r="G1289" s="187"/>
      <c r="H1289" s="187"/>
      <c r="J1289" s="186"/>
      <c r="K1289" s="180"/>
      <c r="L1289" s="180"/>
      <c r="M1289" s="186"/>
      <c r="N1289" s="186"/>
    </row>
    <row r="1290" spans="2:14" s="188" customFormat="1" ht="15" customHeight="1">
      <c r="B1290" s="187"/>
      <c r="C1290" s="187"/>
      <c r="D1290" s="187"/>
      <c r="E1290" s="187"/>
      <c r="F1290" s="187"/>
      <c r="G1290" s="187"/>
      <c r="H1290" s="187"/>
      <c r="J1290" s="186"/>
      <c r="K1290" s="180"/>
      <c r="L1290" s="180"/>
      <c r="M1290" s="186"/>
      <c r="N1290" s="186"/>
    </row>
    <row r="1291" spans="2:14" s="188" customFormat="1" ht="15" customHeight="1">
      <c r="B1291" s="187"/>
      <c r="C1291" s="187"/>
      <c r="D1291" s="187"/>
      <c r="E1291" s="187"/>
      <c r="F1291" s="187"/>
      <c r="G1291" s="187"/>
      <c r="H1291" s="187"/>
      <c r="J1291" s="186"/>
      <c r="K1291" s="180"/>
      <c r="L1291" s="180"/>
      <c r="M1291" s="186"/>
      <c r="N1291" s="186"/>
    </row>
    <row r="1292" spans="2:14" s="188" customFormat="1" ht="15" customHeight="1">
      <c r="B1292" s="187"/>
      <c r="C1292" s="187"/>
      <c r="D1292" s="187"/>
      <c r="E1292" s="187"/>
      <c r="F1292" s="187"/>
      <c r="G1292" s="187"/>
      <c r="H1292" s="187"/>
      <c r="J1292" s="186"/>
      <c r="K1292" s="180"/>
      <c r="L1292" s="180"/>
      <c r="M1292" s="186"/>
      <c r="N1292" s="186"/>
    </row>
    <row r="1293" spans="2:14" s="188" customFormat="1" ht="15" customHeight="1">
      <c r="B1293" s="187"/>
      <c r="C1293" s="187"/>
      <c r="D1293" s="187"/>
      <c r="E1293" s="187"/>
      <c r="F1293" s="187"/>
      <c r="G1293" s="187"/>
      <c r="H1293" s="187"/>
      <c r="J1293" s="186"/>
      <c r="K1293" s="180"/>
      <c r="L1293" s="180"/>
      <c r="M1293" s="186"/>
      <c r="N1293" s="186"/>
    </row>
    <row r="1294" spans="2:14" s="188" customFormat="1" ht="15" customHeight="1">
      <c r="B1294" s="187"/>
      <c r="C1294" s="187"/>
      <c r="D1294" s="187"/>
      <c r="E1294" s="187"/>
      <c r="F1294" s="187"/>
      <c r="G1294" s="187"/>
      <c r="H1294" s="187"/>
      <c r="J1294" s="186"/>
      <c r="K1294" s="180"/>
      <c r="L1294" s="180"/>
      <c r="M1294" s="186"/>
      <c r="N1294" s="186"/>
    </row>
    <row r="1295" spans="2:14" s="188" customFormat="1" ht="15" customHeight="1">
      <c r="B1295" s="187"/>
      <c r="C1295" s="187"/>
      <c r="D1295" s="187"/>
      <c r="E1295" s="187"/>
      <c r="F1295" s="187"/>
      <c r="G1295" s="187"/>
      <c r="H1295" s="187"/>
      <c r="J1295" s="186"/>
      <c r="K1295" s="180"/>
      <c r="L1295" s="180"/>
      <c r="M1295" s="186"/>
      <c r="N1295" s="186"/>
    </row>
    <row r="1296" spans="2:14" s="188" customFormat="1" ht="15" customHeight="1">
      <c r="B1296" s="187"/>
      <c r="C1296" s="187"/>
      <c r="D1296" s="187"/>
      <c r="E1296" s="187"/>
      <c r="F1296" s="187"/>
      <c r="G1296" s="187"/>
      <c r="H1296" s="187"/>
      <c r="J1296" s="186"/>
      <c r="K1296" s="180"/>
      <c r="L1296" s="180"/>
      <c r="M1296" s="186"/>
      <c r="N1296" s="186"/>
    </row>
    <row r="1297" spans="2:14" s="188" customFormat="1" ht="15" customHeight="1">
      <c r="B1297" s="187"/>
      <c r="C1297" s="187"/>
      <c r="D1297" s="187"/>
      <c r="E1297" s="187"/>
      <c r="F1297" s="187"/>
      <c r="G1297" s="187"/>
      <c r="H1297" s="187"/>
      <c r="J1297" s="186"/>
      <c r="K1297" s="180"/>
      <c r="L1297" s="180"/>
      <c r="M1297" s="186"/>
      <c r="N1297" s="186"/>
    </row>
    <row r="1298" spans="2:14" s="188" customFormat="1" ht="15" customHeight="1">
      <c r="B1298" s="187"/>
      <c r="C1298" s="187"/>
      <c r="D1298" s="187"/>
      <c r="E1298" s="187"/>
      <c r="F1298" s="187"/>
      <c r="G1298" s="187"/>
      <c r="H1298" s="187"/>
      <c r="J1298" s="186"/>
      <c r="K1298" s="180"/>
      <c r="L1298" s="180"/>
      <c r="M1298" s="186"/>
      <c r="N1298" s="186"/>
    </row>
    <row r="1299" spans="2:14" s="188" customFormat="1" ht="15" customHeight="1">
      <c r="B1299" s="187"/>
      <c r="C1299" s="187"/>
      <c r="D1299" s="187"/>
      <c r="E1299" s="187"/>
      <c r="F1299" s="187"/>
      <c r="G1299" s="187"/>
      <c r="H1299" s="187"/>
      <c r="J1299" s="186"/>
      <c r="K1299" s="180"/>
      <c r="L1299" s="180"/>
      <c r="M1299" s="186"/>
      <c r="N1299" s="186"/>
    </row>
    <row r="1300" spans="2:14" s="188" customFormat="1" ht="15" customHeight="1">
      <c r="B1300" s="187"/>
      <c r="C1300" s="187"/>
      <c r="D1300" s="187"/>
      <c r="E1300" s="187"/>
      <c r="F1300" s="187"/>
      <c r="G1300" s="187"/>
      <c r="H1300" s="187"/>
      <c r="J1300" s="186"/>
      <c r="K1300" s="180"/>
      <c r="L1300" s="180"/>
      <c r="M1300" s="186"/>
      <c r="N1300" s="186"/>
    </row>
    <row r="1301" spans="2:14" s="188" customFormat="1" ht="15" customHeight="1">
      <c r="B1301" s="187"/>
      <c r="C1301" s="187"/>
      <c r="D1301" s="187"/>
      <c r="E1301" s="187"/>
      <c r="F1301" s="187"/>
      <c r="G1301" s="187"/>
      <c r="H1301" s="187"/>
      <c r="J1301" s="186"/>
      <c r="K1301" s="180"/>
      <c r="L1301" s="180"/>
      <c r="M1301" s="186"/>
      <c r="N1301" s="186"/>
    </row>
    <row r="1302" spans="2:14" s="188" customFormat="1" ht="15" customHeight="1">
      <c r="B1302" s="187"/>
      <c r="C1302" s="187"/>
      <c r="D1302" s="187"/>
      <c r="E1302" s="187"/>
      <c r="F1302" s="187"/>
      <c r="G1302" s="187"/>
      <c r="H1302" s="187"/>
      <c r="J1302" s="186"/>
      <c r="K1302" s="180"/>
      <c r="L1302" s="180"/>
      <c r="M1302" s="186"/>
      <c r="N1302" s="186"/>
    </row>
    <row r="1303" spans="2:14" s="188" customFormat="1" ht="15" customHeight="1">
      <c r="B1303" s="187"/>
      <c r="C1303" s="187"/>
      <c r="D1303" s="187"/>
      <c r="E1303" s="187"/>
      <c r="F1303" s="187"/>
      <c r="G1303" s="187"/>
      <c r="H1303" s="187"/>
      <c r="J1303" s="186"/>
      <c r="K1303" s="180"/>
      <c r="L1303" s="180"/>
      <c r="M1303" s="186"/>
      <c r="N1303" s="186"/>
    </row>
    <row r="1304" spans="2:14" s="188" customFormat="1" ht="15" customHeight="1">
      <c r="B1304" s="187"/>
      <c r="C1304" s="187"/>
      <c r="D1304" s="187"/>
      <c r="E1304" s="187"/>
      <c r="F1304" s="187"/>
      <c r="G1304" s="187"/>
      <c r="H1304" s="187"/>
      <c r="J1304" s="186"/>
      <c r="K1304" s="180"/>
      <c r="L1304" s="180"/>
      <c r="M1304" s="186"/>
      <c r="N1304" s="186"/>
    </row>
    <row r="1305" spans="2:14" s="188" customFormat="1" ht="15" customHeight="1">
      <c r="B1305" s="187"/>
      <c r="C1305" s="187"/>
      <c r="D1305" s="187"/>
      <c r="E1305" s="187"/>
      <c r="F1305" s="187"/>
      <c r="G1305" s="187"/>
      <c r="H1305" s="187"/>
      <c r="J1305" s="186"/>
      <c r="K1305" s="180"/>
      <c r="L1305" s="180"/>
      <c r="M1305" s="186"/>
      <c r="N1305" s="186"/>
    </row>
    <row r="1306" spans="2:14" s="188" customFormat="1" ht="15" customHeight="1">
      <c r="B1306" s="187"/>
      <c r="C1306" s="187"/>
      <c r="D1306" s="187"/>
      <c r="E1306" s="187"/>
      <c r="F1306" s="187"/>
      <c r="G1306" s="187"/>
      <c r="H1306" s="187"/>
      <c r="J1306" s="186"/>
      <c r="K1306" s="180"/>
      <c r="L1306" s="180"/>
      <c r="M1306" s="186"/>
      <c r="N1306" s="186"/>
    </row>
    <row r="1307" spans="2:14" s="188" customFormat="1" ht="15" customHeight="1">
      <c r="B1307" s="187"/>
      <c r="C1307" s="187"/>
      <c r="D1307" s="187"/>
      <c r="E1307" s="187"/>
      <c r="F1307" s="187"/>
      <c r="G1307" s="187"/>
      <c r="H1307" s="187"/>
      <c r="J1307" s="186"/>
      <c r="K1307" s="180"/>
      <c r="L1307" s="180"/>
      <c r="M1307" s="186"/>
      <c r="N1307" s="186"/>
    </row>
    <row r="1308" spans="2:14" s="188" customFormat="1" ht="15" customHeight="1">
      <c r="B1308" s="187"/>
      <c r="C1308" s="187"/>
      <c r="D1308" s="187"/>
      <c r="E1308" s="187"/>
      <c r="F1308" s="187"/>
      <c r="G1308" s="187"/>
      <c r="H1308" s="187"/>
      <c r="J1308" s="186"/>
      <c r="K1308" s="180"/>
      <c r="L1308" s="180"/>
      <c r="M1308" s="186"/>
      <c r="N1308" s="186"/>
    </row>
    <row r="1309" spans="2:14" s="188" customFormat="1" ht="15" customHeight="1">
      <c r="B1309" s="187"/>
      <c r="C1309" s="187"/>
      <c r="D1309" s="187"/>
      <c r="E1309" s="187"/>
      <c r="F1309" s="187"/>
      <c r="G1309" s="187"/>
      <c r="H1309" s="187"/>
      <c r="J1309" s="186"/>
      <c r="K1309" s="180"/>
      <c r="L1309" s="180"/>
      <c r="M1309" s="186"/>
      <c r="N1309" s="186"/>
    </row>
    <row r="1310" spans="2:14" s="188" customFormat="1" ht="15" customHeight="1">
      <c r="B1310" s="187"/>
      <c r="C1310" s="187"/>
      <c r="D1310" s="187"/>
      <c r="E1310" s="187"/>
      <c r="F1310" s="187"/>
      <c r="G1310" s="187"/>
      <c r="H1310" s="187"/>
      <c r="J1310" s="186"/>
      <c r="K1310" s="180"/>
      <c r="L1310" s="180"/>
      <c r="M1310" s="186"/>
      <c r="N1310" s="186"/>
    </row>
    <row r="1311" spans="2:14" s="188" customFormat="1" ht="15" customHeight="1">
      <c r="B1311" s="187"/>
      <c r="C1311" s="187"/>
      <c r="D1311" s="187"/>
      <c r="E1311" s="187"/>
      <c r="F1311" s="187"/>
      <c r="G1311" s="187"/>
      <c r="H1311" s="187"/>
      <c r="J1311" s="186"/>
      <c r="K1311" s="180"/>
      <c r="L1311" s="180"/>
      <c r="M1311" s="186"/>
      <c r="N1311" s="186"/>
    </row>
    <row r="1312" spans="2:14" s="188" customFormat="1" ht="15" customHeight="1">
      <c r="B1312" s="187"/>
      <c r="C1312" s="187"/>
      <c r="D1312" s="187"/>
      <c r="E1312" s="187"/>
      <c r="F1312" s="187"/>
      <c r="G1312" s="187"/>
      <c r="H1312" s="187"/>
      <c r="J1312" s="186"/>
      <c r="K1312" s="180"/>
      <c r="L1312" s="180"/>
      <c r="M1312" s="186"/>
      <c r="N1312" s="186"/>
    </row>
    <row r="1313" spans="2:14" s="188" customFormat="1" ht="15" customHeight="1">
      <c r="B1313" s="187"/>
      <c r="C1313" s="187"/>
      <c r="D1313" s="187"/>
      <c r="E1313" s="187"/>
      <c r="F1313" s="187"/>
      <c r="G1313" s="187"/>
      <c r="H1313" s="187"/>
      <c r="J1313" s="186"/>
      <c r="K1313" s="180"/>
      <c r="L1313" s="180"/>
      <c r="M1313" s="186"/>
      <c r="N1313" s="186"/>
    </row>
    <row r="1314" spans="2:14" s="188" customFormat="1" ht="15" customHeight="1">
      <c r="B1314" s="187"/>
      <c r="C1314" s="187"/>
      <c r="D1314" s="187"/>
      <c r="E1314" s="187"/>
      <c r="F1314" s="187"/>
      <c r="G1314" s="187"/>
      <c r="H1314" s="187"/>
      <c r="J1314" s="186"/>
      <c r="K1314" s="180"/>
      <c r="L1314" s="180"/>
      <c r="M1314" s="186"/>
      <c r="N1314" s="186"/>
    </row>
    <row r="1315" spans="2:14" s="188" customFormat="1" ht="15" customHeight="1">
      <c r="B1315" s="187"/>
      <c r="C1315" s="187"/>
      <c r="D1315" s="187"/>
      <c r="E1315" s="187"/>
      <c r="F1315" s="187"/>
      <c r="G1315" s="187"/>
      <c r="H1315" s="187"/>
      <c r="J1315" s="186"/>
      <c r="K1315" s="180"/>
      <c r="L1315" s="180"/>
      <c r="M1315" s="186"/>
      <c r="N1315" s="186"/>
    </row>
    <row r="1316" spans="2:14" s="188" customFormat="1" ht="15" customHeight="1">
      <c r="B1316" s="187"/>
      <c r="C1316" s="187"/>
      <c r="D1316" s="187"/>
      <c r="E1316" s="187"/>
      <c r="F1316" s="187"/>
      <c r="G1316" s="187"/>
      <c r="H1316" s="187"/>
      <c r="J1316" s="186"/>
      <c r="K1316" s="180"/>
      <c r="L1316" s="180"/>
      <c r="M1316" s="186"/>
      <c r="N1316" s="186"/>
    </row>
    <row r="1317" spans="2:14" s="188" customFormat="1" ht="15" customHeight="1">
      <c r="B1317" s="187"/>
      <c r="C1317" s="187"/>
      <c r="D1317" s="187"/>
      <c r="E1317" s="187"/>
      <c r="F1317" s="187"/>
      <c r="G1317" s="187"/>
      <c r="H1317" s="187"/>
      <c r="J1317" s="186"/>
      <c r="K1317" s="180"/>
      <c r="L1317" s="180"/>
      <c r="M1317" s="186"/>
      <c r="N1317" s="186"/>
    </row>
    <row r="1318" spans="2:14" s="188" customFormat="1" ht="15" customHeight="1">
      <c r="B1318" s="187"/>
      <c r="C1318" s="187"/>
      <c r="D1318" s="187"/>
      <c r="E1318" s="187"/>
      <c r="F1318" s="187"/>
      <c r="G1318" s="187"/>
      <c r="H1318" s="187"/>
      <c r="J1318" s="186"/>
      <c r="K1318" s="180"/>
      <c r="L1318" s="180"/>
      <c r="M1318" s="186"/>
      <c r="N1318" s="186"/>
    </row>
    <row r="1319" spans="2:14" s="188" customFormat="1" ht="15" customHeight="1">
      <c r="B1319" s="187"/>
      <c r="C1319" s="187"/>
      <c r="D1319" s="187"/>
      <c r="E1319" s="187"/>
      <c r="F1319" s="187"/>
      <c r="G1319" s="187"/>
      <c r="H1319" s="187"/>
      <c r="J1319" s="186"/>
      <c r="K1319" s="180"/>
      <c r="L1319" s="180"/>
      <c r="M1319" s="186"/>
      <c r="N1319" s="186"/>
    </row>
    <row r="1320" spans="2:14" s="188" customFormat="1" ht="15" customHeight="1">
      <c r="B1320" s="187"/>
      <c r="C1320" s="187"/>
      <c r="D1320" s="187"/>
      <c r="E1320" s="187"/>
      <c r="F1320" s="187"/>
      <c r="G1320" s="187"/>
      <c r="H1320" s="187"/>
      <c r="J1320" s="186"/>
      <c r="K1320" s="180"/>
      <c r="L1320" s="180"/>
      <c r="M1320" s="186"/>
      <c r="N1320" s="186"/>
    </row>
    <row r="1321" spans="2:14" s="188" customFormat="1" ht="15" customHeight="1">
      <c r="B1321" s="187"/>
      <c r="C1321" s="187"/>
      <c r="D1321" s="187"/>
      <c r="E1321" s="187"/>
      <c r="F1321" s="187"/>
      <c r="G1321" s="187"/>
      <c r="H1321" s="187"/>
      <c r="J1321" s="186"/>
      <c r="K1321" s="180"/>
      <c r="L1321" s="180"/>
      <c r="M1321" s="186"/>
      <c r="N1321" s="186"/>
    </row>
    <row r="1322" spans="2:14" s="188" customFormat="1" ht="15" customHeight="1">
      <c r="B1322" s="187"/>
      <c r="C1322" s="187"/>
      <c r="D1322" s="187"/>
      <c r="E1322" s="187"/>
      <c r="F1322" s="187"/>
      <c r="G1322" s="187"/>
      <c r="H1322" s="187"/>
      <c r="J1322" s="186"/>
      <c r="K1322" s="180"/>
      <c r="L1322" s="180"/>
      <c r="M1322" s="186"/>
      <c r="N1322" s="186"/>
    </row>
    <row r="1323" spans="2:14" s="188" customFormat="1" ht="15" customHeight="1">
      <c r="B1323" s="187"/>
      <c r="C1323" s="187"/>
      <c r="D1323" s="187"/>
      <c r="E1323" s="187"/>
      <c r="F1323" s="187"/>
      <c r="G1323" s="187"/>
      <c r="H1323" s="187"/>
      <c r="J1323" s="186"/>
      <c r="K1323" s="180"/>
      <c r="L1323" s="180"/>
      <c r="M1323" s="186"/>
      <c r="N1323" s="186"/>
    </row>
    <row r="1324" spans="2:14" s="188" customFormat="1" ht="15" customHeight="1">
      <c r="B1324" s="187"/>
      <c r="C1324" s="187"/>
      <c r="D1324" s="187"/>
      <c r="E1324" s="187"/>
      <c r="F1324" s="187"/>
      <c r="G1324" s="187"/>
      <c r="H1324" s="187"/>
      <c r="J1324" s="186"/>
      <c r="K1324" s="180"/>
      <c r="L1324" s="180"/>
      <c r="M1324" s="186"/>
      <c r="N1324" s="186"/>
    </row>
    <row r="1325" spans="2:14" s="188" customFormat="1" ht="15" customHeight="1">
      <c r="B1325" s="187"/>
      <c r="C1325" s="187"/>
      <c r="D1325" s="187"/>
      <c r="E1325" s="187"/>
      <c r="F1325" s="187"/>
      <c r="G1325" s="187"/>
      <c r="H1325" s="187"/>
      <c r="J1325" s="186"/>
      <c r="K1325" s="180"/>
      <c r="L1325" s="180"/>
      <c r="M1325" s="186"/>
      <c r="N1325" s="186"/>
    </row>
    <row r="1326" spans="2:14" s="188" customFormat="1" ht="15" customHeight="1">
      <c r="B1326" s="187"/>
      <c r="C1326" s="187"/>
      <c r="D1326" s="187"/>
      <c r="E1326" s="187"/>
      <c r="F1326" s="187"/>
      <c r="G1326" s="187"/>
      <c r="H1326" s="187"/>
      <c r="J1326" s="186"/>
      <c r="K1326" s="180"/>
      <c r="L1326" s="180"/>
      <c r="M1326" s="186"/>
      <c r="N1326" s="186"/>
    </row>
    <row r="1327" spans="2:14" s="188" customFormat="1" ht="15" customHeight="1">
      <c r="B1327" s="187"/>
      <c r="C1327" s="187"/>
      <c r="D1327" s="187"/>
      <c r="E1327" s="187"/>
      <c r="F1327" s="187"/>
      <c r="G1327" s="187"/>
      <c r="H1327" s="187"/>
      <c r="J1327" s="186"/>
      <c r="K1327" s="180"/>
      <c r="L1327" s="180"/>
      <c r="M1327" s="186"/>
      <c r="N1327" s="186"/>
    </row>
    <row r="1328" spans="2:14" s="188" customFormat="1" ht="15" customHeight="1">
      <c r="B1328" s="187"/>
      <c r="C1328" s="187"/>
      <c r="D1328" s="187"/>
      <c r="E1328" s="187"/>
      <c r="F1328" s="187"/>
      <c r="G1328" s="187"/>
      <c r="H1328" s="187"/>
      <c r="J1328" s="186"/>
      <c r="K1328" s="180"/>
      <c r="L1328" s="180"/>
      <c r="M1328" s="186"/>
      <c r="N1328" s="186"/>
    </row>
    <row r="1329" spans="2:14" s="188" customFormat="1" ht="15" customHeight="1">
      <c r="B1329" s="187"/>
      <c r="C1329" s="187"/>
      <c r="D1329" s="187"/>
      <c r="E1329" s="187"/>
      <c r="F1329" s="187"/>
      <c r="G1329" s="187"/>
      <c r="H1329" s="187"/>
      <c r="J1329" s="186"/>
      <c r="K1329" s="180"/>
      <c r="L1329" s="180"/>
      <c r="M1329" s="186"/>
      <c r="N1329" s="186"/>
    </row>
    <row r="1330" spans="2:14" s="188" customFormat="1" ht="15" customHeight="1">
      <c r="B1330" s="187"/>
      <c r="C1330" s="187"/>
      <c r="D1330" s="187"/>
      <c r="E1330" s="187"/>
      <c r="F1330" s="187"/>
      <c r="G1330" s="187"/>
      <c r="H1330" s="187"/>
      <c r="J1330" s="186"/>
      <c r="K1330" s="180"/>
      <c r="L1330" s="180"/>
      <c r="M1330" s="186"/>
      <c r="N1330" s="186"/>
    </row>
    <row r="1331" spans="2:14" s="188" customFormat="1" ht="15" customHeight="1">
      <c r="B1331" s="187"/>
      <c r="C1331" s="187"/>
      <c r="D1331" s="187"/>
      <c r="E1331" s="187"/>
      <c r="F1331" s="187"/>
      <c r="G1331" s="187"/>
      <c r="H1331" s="187"/>
      <c r="J1331" s="186"/>
      <c r="K1331" s="180"/>
      <c r="L1331" s="180"/>
      <c r="M1331" s="186"/>
      <c r="N1331" s="186"/>
    </row>
    <row r="1332" spans="2:14" s="188" customFormat="1" ht="15" customHeight="1">
      <c r="B1332" s="187"/>
      <c r="C1332" s="187"/>
      <c r="D1332" s="187"/>
      <c r="E1332" s="187"/>
      <c r="F1332" s="187"/>
      <c r="G1332" s="187"/>
      <c r="H1332" s="187"/>
      <c r="J1332" s="186"/>
      <c r="K1332" s="180"/>
      <c r="L1332" s="180"/>
      <c r="M1332" s="186"/>
      <c r="N1332" s="186"/>
    </row>
    <row r="1333" spans="2:14" s="188" customFormat="1" ht="15" customHeight="1">
      <c r="B1333" s="187"/>
      <c r="C1333" s="187"/>
      <c r="D1333" s="187"/>
      <c r="E1333" s="187"/>
      <c r="F1333" s="187"/>
      <c r="G1333" s="187"/>
      <c r="H1333" s="187"/>
      <c r="J1333" s="186"/>
      <c r="K1333" s="180"/>
      <c r="L1333" s="180"/>
      <c r="M1333" s="186"/>
      <c r="N1333" s="186"/>
    </row>
    <row r="1334" spans="2:14" s="188" customFormat="1" ht="15" customHeight="1">
      <c r="B1334" s="187"/>
      <c r="C1334" s="187"/>
      <c r="D1334" s="187"/>
      <c r="E1334" s="187"/>
      <c r="F1334" s="187"/>
      <c r="G1334" s="187"/>
      <c r="H1334" s="187"/>
      <c r="J1334" s="186"/>
      <c r="K1334" s="180"/>
      <c r="L1334" s="180"/>
      <c r="M1334" s="186"/>
      <c r="N1334" s="186"/>
    </row>
    <row r="1335" spans="2:14" s="188" customFormat="1" ht="15" customHeight="1">
      <c r="B1335" s="187"/>
      <c r="C1335" s="187"/>
      <c r="D1335" s="187"/>
      <c r="E1335" s="187"/>
      <c r="F1335" s="187"/>
      <c r="G1335" s="187"/>
      <c r="H1335" s="187"/>
      <c r="J1335" s="186"/>
      <c r="K1335" s="180"/>
      <c r="L1335" s="180"/>
      <c r="M1335" s="186"/>
      <c r="N1335" s="186"/>
    </row>
    <row r="1336" spans="2:14" s="188" customFormat="1" ht="15" customHeight="1">
      <c r="B1336" s="187"/>
      <c r="C1336" s="187"/>
      <c r="D1336" s="187"/>
      <c r="E1336" s="187"/>
      <c r="F1336" s="187"/>
      <c r="G1336" s="187"/>
      <c r="H1336" s="187"/>
      <c r="J1336" s="186"/>
      <c r="K1336" s="180"/>
      <c r="L1336" s="180"/>
      <c r="M1336" s="186"/>
      <c r="N1336" s="186"/>
    </row>
    <row r="1337" spans="2:14" s="188" customFormat="1" ht="15" customHeight="1">
      <c r="B1337" s="187"/>
      <c r="C1337" s="187"/>
      <c r="D1337" s="187"/>
      <c r="E1337" s="187"/>
      <c r="F1337" s="187"/>
      <c r="G1337" s="187"/>
      <c r="H1337" s="187"/>
      <c r="J1337" s="186"/>
      <c r="K1337" s="180"/>
      <c r="L1337" s="180"/>
      <c r="M1337" s="186"/>
      <c r="N1337" s="186"/>
    </row>
    <row r="1338" spans="2:14" s="188" customFormat="1" ht="15" customHeight="1">
      <c r="B1338" s="187"/>
      <c r="C1338" s="187"/>
      <c r="D1338" s="187"/>
      <c r="E1338" s="187"/>
      <c r="F1338" s="187"/>
      <c r="G1338" s="187"/>
      <c r="H1338" s="187"/>
      <c r="J1338" s="186"/>
      <c r="K1338" s="180"/>
      <c r="L1338" s="180"/>
      <c r="M1338" s="186"/>
      <c r="N1338" s="186"/>
    </row>
    <row r="1339" spans="2:14" s="188" customFormat="1" ht="15" customHeight="1">
      <c r="B1339" s="187"/>
      <c r="C1339" s="187"/>
      <c r="D1339" s="187"/>
      <c r="E1339" s="187"/>
      <c r="F1339" s="187"/>
      <c r="G1339" s="187"/>
      <c r="H1339" s="187"/>
      <c r="J1339" s="186"/>
      <c r="K1339" s="180"/>
      <c r="L1339" s="180"/>
      <c r="M1339" s="186"/>
      <c r="N1339" s="186"/>
    </row>
    <row r="1340" spans="2:14" s="188" customFormat="1" ht="15" customHeight="1">
      <c r="B1340" s="187"/>
      <c r="C1340" s="187"/>
      <c r="D1340" s="187"/>
      <c r="E1340" s="187"/>
      <c r="F1340" s="187"/>
      <c r="G1340" s="187"/>
      <c r="H1340" s="187"/>
      <c r="J1340" s="186"/>
      <c r="K1340" s="180"/>
      <c r="L1340" s="180"/>
      <c r="M1340" s="186"/>
      <c r="N1340" s="186"/>
    </row>
    <row r="1341" spans="2:14" s="188" customFormat="1" ht="15" customHeight="1">
      <c r="B1341" s="187"/>
      <c r="C1341" s="187"/>
      <c r="D1341" s="187"/>
      <c r="E1341" s="187"/>
      <c r="F1341" s="187"/>
      <c r="G1341" s="187"/>
      <c r="H1341" s="187"/>
      <c r="J1341" s="186"/>
      <c r="K1341" s="180"/>
      <c r="L1341" s="180"/>
      <c r="M1341" s="186"/>
      <c r="N1341" s="186"/>
    </row>
    <row r="1342" spans="2:14" s="188" customFormat="1" ht="15" customHeight="1">
      <c r="B1342" s="187"/>
      <c r="C1342" s="187"/>
      <c r="D1342" s="187"/>
      <c r="E1342" s="187"/>
      <c r="F1342" s="187"/>
      <c r="G1342" s="187"/>
      <c r="H1342" s="187"/>
      <c r="J1342" s="186"/>
      <c r="K1342" s="180"/>
      <c r="L1342" s="180"/>
      <c r="M1342" s="186"/>
      <c r="N1342" s="186"/>
    </row>
    <row r="1343" spans="2:14" s="188" customFormat="1" ht="15" customHeight="1">
      <c r="B1343" s="187"/>
      <c r="C1343" s="187"/>
      <c r="D1343" s="187"/>
      <c r="E1343" s="187"/>
      <c r="F1343" s="187"/>
      <c r="G1343" s="187"/>
      <c r="H1343" s="187"/>
      <c r="J1343" s="186"/>
      <c r="K1343" s="180"/>
      <c r="L1343" s="180"/>
      <c r="M1343" s="186"/>
      <c r="N1343" s="186"/>
    </row>
    <row r="1344" spans="2:14" s="188" customFormat="1" ht="15" customHeight="1">
      <c r="B1344" s="187"/>
      <c r="C1344" s="187"/>
      <c r="D1344" s="187"/>
      <c r="E1344" s="187"/>
      <c r="F1344" s="187"/>
      <c r="G1344" s="187"/>
      <c r="H1344" s="187"/>
      <c r="J1344" s="186"/>
      <c r="K1344" s="180"/>
      <c r="L1344" s="180"/>
      <c r="M1344" s="186"/>
      <c r="N1344" s="186"/>
    </row>
    <row r="1345" spans="2:14" s="188" customFormat="1" ht="15" customHeight="1">
      <c r="B1345" s="187"/>
      <c r="C1345" s="187"/>
      <c r="D1345" s="187"/>
      <c r="E1345" s="187"/>
      <c r="F1345" s="187"/>
      <c r="G1345" s="187"/>
      <c r="H1345" s="187"/>
      <c r="J1345" s="186"/>
      <c r="K1345" s="180"/>
      <c r="L1345" s="180"/>
      <c r="M1345" s="186"/>
      <c r="N1345" s="186"/>
    </row>
    <row r="1346" spans="2:14" s="188" customFormat="1" ht="15" customHeight="1">
      <c r="B1346" s="187"/>
      <c r="C1346" s="187"/>
      <c r="D1346" s="187"/>
      <c r="E1346" s="187"/>
      <c r="F1346" s="187"/>
      <c r="G1346" s="187"/>
      <c r="H1346" s="187"/>
      <c r="J1346" s="186"/>
      <c r="K1346" s="180"/>
      <c r="L1346" s="180"/>
      <c r="M1346" s="186"/>
      <c r="N1346" s="186"/>
    </row>
    <row r="1347" spans="2:14" s="188" customFormat="1" ht="15" customHeight="1">
      <c r="B1347" s="187"/>
      <c r="C1347" s="187"/>
      <c r="D1347" s="187"/>
      <c r="E1347" s="187"/>
      <c r="F1347" s="187"/>
      <c r="G1347" s="187"/>
      <c r="H1347" s="187"/>
      <c r="J1347" s="186"/>
      <c r="K1347" s="180"/>
      <c r="L1347" s="180"/>
      <c r="M1347" s="186"/>
      <c r="N1347" s="186"/>
    </row>
    <row r="1348" spans="2:14" s="188" customFormat="1" ht="15" customHeight="1">
      <c r="B1348" s="187"/>
      <c r="C1348" s="187"/>
      <c r="D1348" s="187"/>
      <c r="E1348" s="187"/>
      <c r="F1348" s="187"/>
      <c r="G1348" s="187"/>
      <c r="H1348" s="187"/>
      <c r="J1348" s="186"/>
      <c r="K1348" s="180"/>
      <c r="L1348" s="180"/>
      <c r="M1348" s="186"/>
      <c r="N1348" s="186"/>
    </row>
    <row r="1349" spans="2:14" s="188" customFormat="1" ht="15" customHeight="1">
      <c r="B1349" s="187"/>
      <c r="C1349" s="187"/>
      <c r="D1349" s="187"/>
      <c r="E1349" s="187"/>
      <c r="F1349" s="187"/>
      <c r="G1349" s="187"/>
      <c r="H1349" s="187"/>
      <c r="J1349" s="186"/>
      <c r="K1349" s="180"/>
      <c r="L1349" s="180"/>
      <c r="M1349" s="186"/>
      <c r="N1349" s="186"/>
    </row>
    <row r="1350" spans="2:14" s="188" customFormat="1" ht="15" customHeight="1">
      <c r="B1350" s="187"/>
      <c r="C1350" s="187"/>
      <c r="D1350" s="187"/>
      <c r="E1350" s="187"/>
      <c r="F1350" s="187"/>
      <c r="G1350" s="187"/>
      <c r="H1350" s="187"/>
      <c r="J1350" s="186"/>
      <c r="K1350" s="180"/>
      <c r="L1350" s="180"/>
      <c r="M1350" s="186"/>
      <c r="N1350" s="186"/>
    </row>
    <row r="1351" spans="2:14" s="188" customFormat="1" ht="15" customHeight="1">
      <c r="B1351" s="187"/>
      <c r="C1351" s="187"/>
      <c r="D1351" s="187"/>
      <c r="E1351" s="187"/>
      <c r="F1351" s="187"/>
      <c r="G1351" s="187"/>
      <c r="H1351" s="187"/>
      <c r="J1351" s="186"/>
      <c r="K1351" s="180"/>
      <c r="L1351" s="180"/>
      <c r="M1351" s="186"/>
      <c r="N1351" s="186"/>
    </row>
    <row r="1352" spans="2:14" s="188" customFormat="1" ht="15" customHeight="1">
      <c r="B1352" s="187"/>
      <c r="C1352" s="187"/>
      <c r="D1352" s="187"/>
      <c r="E1352" s="187"/>
      <c r="F1352" s="187"/>
      <c r="G1352" s="187"/>
      <c r="H1352" s="187"/>
      <c r="J1352" s="186"/>
      <c r="K1352" s="180"/>
      <c r="L1352" s="180"/>
      <c r="M1352" s="186"/>
      <c r="N1352" s="186"/>
    </row>
    <row r="1353" spans="2:14" s="188" customFormat="1" ht="15" customHeight="1">
      <c r="B1353" s="187"/>
      <c r="C1353" s="187"/>
      <c r="D1353" s="187"/>
      <c r="E1353" s="187"/>
      <c r="F1353" s="187"/>
      <c r="G1353" s="187"/>
      <c r="H1353" s="187"/>
      <c r="J1353" s="186"/>
      <c r="K1353" s="180"/>
      <c r="L1353" s="180"/>
      <c r="M1353" s="186"/>
      <c r="N1353" s="186"/>
    </row>
    <row r="1354" spans="2:14" s="188" customFormat="1" ht="15" customHeight="1">
      <c r="B1354" s="187"/>
      <c r="C1354" s="187"/>
      <c r="D1354" s="187"/>
      <c r="E1354" s="187"/>
      <c r="F1354" s="187"/>
      <c r="G1354" s="187"/>
      <c r="H1354" s="187"/>
      <c r="J1354" s="186"/>
      <c r="K1354" s="180"/>
      <c r="L1354" s="180"/>
      <c r="M1354" s="186"/>
      <c r="N1354" s="186"/>
    </row>
    <row r="1355" spans="2:14" s="188" customFormat="1" ht="15" customHeight="1">
      <c r="B1355" s="187"/>
      <c r="C1355" s="187"/>
      <c r="D1355" s="187"/>
      <c r="E1355" s="187"/>
      <c r="F1355" s="187"/>
      <c r="G1355" s="187"/>
      <c r="H1355" s="187"/>
      <c r="J1355" s="186"/>
      <c r="K1355" s="180"/>
      <c r="L1355" s="180"/>
      <c r="M1355" s="186"/>
      <c r="N1355" s="186"/>
    </row>
    <row r="1356" spans="2:14" s="188" customFormat="1" ht="15" customHeight="1">
      <c r="B1356" s="187"/>
      <c r="C1356" s="187"/>
      <c r="D1356" s="187"/>
      <c r="E1356" s="187"/>
      <c r="F1356" s="187"/>
      <c r="G1356" s="187"/>
      <c r="H1356" s="187"/>
      <c r="J1356" s="186"/>
      <c r="K1356" s="180"/>
      <c r="L1356" s="180"/>
      <c r="M1356" s="186"/>
      <c r="N1356" s="186"/>
    </row>
    <row r="1357" spans="2:14" s="188" customFormat="1" ht="15" customHeight="1">
      <c r="B1357" s="187"/>
      <c r="C1357" s="187"/>
      <c r="D1357" s="187"/>
      <c r="E1357" s="187"/>
      <c r="F1357" s="187"/>
      <c r="G1357" s="187"/>
      <c r="H1357" s="187"/>
      <c r="J1357" s="186"/>
      <c r="K1357" s="180"/>
      <c r="L1357" s="180"/>
      <c r="M1357" s="186"/>
      <c r="N1357" s="186"/>
    </row>
    <row r="1358" spans="2:14" s="188" customFormat="1" ht="15" customHeight="1">
      <c r="B1358" s="187"/>
      <c r="C1358" s="187"/>
      <c r="D1358" s="187"/>
      <c r="E1358" s="187"/>
      <c r="F1358" s="187"/>
      <c r="G1358" s="187"/>
      <c r="H1358" s="187"/>
      <c r="J1358" s="186"/>
      <c r="K1358" s="180"/>
      <c r="L1358" s="180"/>
      <c r="M1358" s="186"/>
      <c r="N1358" s="186"/>
    </row>
    <row r="1359" spans="2:14" s="188" customFormat="1" ht="15" customHeight="1">
      <c r="B1359" s="187"/>
      <c r="C1359" s="187"/>
      <c r="D1359" s="187"/>
      <c r="E1359" s="187"/>
      <c r="F1359" s="187"/>
      <c r="G1359" s="187"/>
      <c r="H1359" s="187"/>
      <c r="J1359" s="186"/>
      <c r="K1359" s="180"/>
      <c r="L1359" s="180"/>
      <c r="M1359" s="186"/>
      <c r="N1359" s="186"/>
    </row>
    <row r="1360" spans="2:14" s="188" customFormat="1" ht="15" customHeight="1">
      <c r="B1360" s="187"/>
      <c r="C1360" s="187"/>
      <c r="D1360" s="187"/>
      <c r="E1360" s="187"/>
      <c r="F1360" s="187"/>
      <c r="G1360" s="187"/>
      <c r="H1360" s="187"/>
      <c r="J1360" s="186"/>
      <c r="K1360" s="180"/>
      <c r="L1360" s="180"/>
      <c r="M1360" s="186"/>
      <c r="N1360" s="186"/>
    </row>
    <row r="1361" spans="2:14" s="188" customFormat="1" ht="15" customHeight="1">
      <c r="B1361" s="187"/>
      <c r="C1361" s="187"/>
      <c r="D1361" s="187"/>
      <c r="E1361" s="187"/>
      <c r="F1361" s="187"/>
      <c r="G1361" s="187"/>
      <c r="H1361" s="187"/>
      <c r="J1361" s="186"/>
      <c r="K1361" s="180"/>
      <c r="L1361" s="180"/>
      <c r="M1361" s="186"/>
      <c r="N1361" s="186"/>
    </row>
    <row r="1362" spans="2:14" s="188" customFormat="1" ht="15" customHeight="1">
      <c r="B1362" s="187"/>
      <c r="C1362" s="187"/>
      <c r="D1362" s="187"/>
      <c r="E1362" s="187"/>
      <c r="F1362" s="187"/>
      <c r="G1362" s="187"/>
      <c r="H1362" s="187"/>
      <c r="J1362" s="186"/>
      <c r="K1362" s="180"/>
      <c r="L1362" s="180"/>
      <c r="M1362" s="186"/>
      <c r="N1362" s="186"/>
    </row>
    <row r="1363" spans="2:14" s="188" customFormat="1" ht="15" customHeight="1">
      <c r="B1363" s="187"/>
      <c r="C1363" s="187"/>
      <c r="D1363" s="187"/>
      <c r="E1363" s="187"/>
      <c r="F1363" s="187"/>
      <c r="G1363" s="187"/>
      <c r="H1363" s="187"/>
      <c r="J1363" s="186"/>
      <c r="K1363" s="180"/>
      <c r="L1363" s="180"/>
      <c r="M1363" s="186"/>
      <c r="N1363" s="186"/>
    </row>
    <row r="1364" spans="2:14" s="188" customFormat="1" ht="15" customHeight="1">
      <c r="B1364" s="187"/>
      <c r="C1364" s="187"/>
      <c r="D1364" s="187"/>
      <c r="E1364" s="187"/>
      <c r="F1364" s="187"/>
      <c r="G1364" s="187"/>
      <c r="H1364" s="187"/>
      <c r="J1364" s="186"/>
      <c r="K1364" s="180"/>
      <c r="L1364" s="180"/>
      <c r="M1364" s="186"/>
      <c r="N1364" s="186"/>
    </row>
    <row r="1365" spans="2:14" s="188" customFormat="1" ht="15" customHeight="1">
      <c r="B1365" s="187"/>
      <c r="C1365" s="187"/>
      <c r="D1365" s="187"/>
      <c r="E1365" s="187"/>
      <c r="F1365" s="187"/>
      <c r="G1365" s="187"/>
      <c r="H1365" s="187"/>
      <c r="J1365" s="186"/>
      <c r="K1365" s="180"/>
      <c r="L1365" s="180"/>
      <c r="M1365" s="186"/>
      <c r="N1365" s="186"/>
    </row>
    <row r="1366" spans="2:14" s="188" customFormat="1" ht="15" customHeight="1">
      <c r="B1366" s="187"/>
      <c r="C1366" s="187"/>
      <c r="D1366" s="187"/>
      <c r="E1366" s="187"/>
      <c r="F1366" s="187"/>
      <c r="G1366" s="187"/>
      <c r="H1366" s="187"/>
      <c r="J1366" s="186"/>
      <c r="K1366" s="180"/>
      <c r="L1366" s="180"/>
      <c r="M1366" s="186"/>
      <c r="N1366" s="186"/>
    </row>
    <row r="1367" spans="2:14" s="188" customFormat="1" ht="15" customHeight="1">
      <c r="B1367" s="187"/>
      <c r="C1367" s="187"/>
      <c r="D1367" s="187"/>
      <c r="E1367" s="187"/>
      <c r="F1367" s="187"/>
      <c r="G1367" s="187"/>
      <c r="H1367" s="187"/>
      <c r="J1367" s="186"/>
      <c r="K1367" s="180"/>
      <c r="L1367" s="180"/>
      <c r="M1367" s="186"/>
      <c r="N1367" s="186"/>
    </row>
    <row r="1368" spans="2:14" s="188" customFormat="1" ht="15" customHeight="1">
      <c r="B1368" s="187"/>
      <c r="C1368" s="187"/>
      <c r="D1368" s="187"/>
      <c r="E1368" s="187"/>
      <c r="F1368" s="187"/>
      <c r="G1368" s="187"/>
      <c r="H1368" s="187"/>
      <c r="J1368" s="186"/>
      <c r="K1368" s="180"/>
      <c r="L1368" s="180"/>
      <c r="M1368" s="186"/>
      <c r="N1368" s="186"/>
    </row>
    <row r="1369" spans="2:14" s="188" customFormat="1" ht="15" customHeight="1">
      <c r="B1369" s="187"/>
      <c r="C1369" s="187"/>
      <c r="D1369" s="187"/>
      <c r="E1369" s="187"/>
      <c r="F1369" s="187"/>
      <c r="G1369" s="187"/>
      <c r="H1369" s="187"/>
      <c r="J1369" s="186"/>
      <c r="K1369" s="180"/>
      <c r="L1369" s="180"/>
      <c r="M1369" s="186"/>
      <c r="N1369" s="186"/>
    </row>
    <row r="1370" spans="2:14" s="188" customFormat="1" ht="15" customHeight="1">
      <c r="B1370" s="187"/>
      <c r="C1370" s="187"/>
      <c r="D1370" s="187"/>
      <c r="E1370" s="187"/>
      <c r="F1370" s="187"/>
      <c r="G1370" s="187"/>
      <c r="H1370" s="187"/>
      <c r="J1370" s="186"/>
      <c r="K1370" s="180"/>
      <c r="L1370" s="180"/>
      <c r="M1370" s="186"/>
      <c r="N1370" s="186"/>
    </row>
    <row r="1371" spans="2:14" s="188" customFormat="1" ht="15" customHeight="1">
      <c r="B1371" s="187"/>
      <c r="C1371" s="187"/>
      <c r="D1371" s="187"/>
      <c r="E1371" s="187"/>
      <c r="F1371" s="187"/>
      <c r="G1371" s="187"/>
      <c r="H1371" s="187"/>
      <c r="J1371" s="186"/>
      <c r="K1371" s="180"/>
      <c r="L1371" s="180"/>
      <c r="M1371" s="186"/>
      <c r="N1371" s="186"/>
    </row>
    <row r="1372" spans="2:14" s="188" customFormat="1" ht="15" customHeight="1">
      <c r="B1372" s="187"/>
      <c r="C1372" s="187"/>
      <c r="D1372" s="187"/>
      <c r="E1372" s="187"/>
      <c r="F1372" s="187"/>
      <c r="G1372" s="187"/>
      <c r="H1372" s="187"/>
      <c r="J1372" s="186"/>
      <c r="K1372" s="180"/>
      <c r="L1372" s="180"/>
      <c r="M1372" s="186"/>
      <c r="N1372" s="186"/>
    </row>
    <row r="1373" spans="2:14" s="188" customFormat="1" ht="15" customHeight="1">
      <c r="B1373" s="187"/>
      <c r="C1373" s="187"/>
      <c r="D1373" s="187"/>
      <c r="E1373" s="187"/>
      <c r="F1373" s="187"/>
      <c r="G1373" s="187"/>
      <c r="H1373" s="187"/>
      <c r="J1373" s="186"/>
      <c r="K1373" s="180"/>
      <c r="L1373" s="180"/>
      <c r="M1373" s="186"/>
      <c r="N1373" s="186"/>
    </row>
    <row r="1374" spans="2:14" s="188" customFormat="1" ht="15" customHeight="1">
      <c r="B1374" s="187"/>
      <c r="C1374" s="187"/>
      <c r="D1374" s="187"/>
      <c r="E1374" s="187"/>
      <c r="F1374" s="187"/>
      <c r="G1374" s="187"/>
      <c r="H1374" s="187"/>
      <c r="J1374" s="186"/>
      <c r="K1374" s="180"/>
      <c r="L1374" s="180"/>
      <c r="M1374" s="186"/>
      <c r="N1374" s="186"/>
    </row>
    <row r="1375" spans="2:14" s="188" customFormat="1" ht="15" customHeight="1">
      <c r="B1375" s="187"/>
      <c r="C1375" s="187"/>
      <c r="D1375" s="187"/>
      <c r="E1375" s="187"/>
      <c r="F1375" s="187"/>
      <c r="G1375" s="187"/>
      <c r="H1375" s="187"/>
      <c r="J1375" s="186"/>
      <c r="K1375" s="180"/>
      <c r="L1375" s="180"/>
      <c r="M1375" s="186"/>
      <c r="N1375" s="186"/>
    </row>
    <row r="1376" spans="2:14" s="188" customFormat="1" ht="15" customHeight="1">
      <c r="B1376" s="187"/>
      <c r="C1376" s="187"/>
      <c r="D1376" s="187"/>
      <c r="E1376" s="187"/>
      <c r="F1376" s="187"/>
      <c r="G1376" s="187"/>
      <c r="H1376" s="187"/>
      <c r="J1376" s="186"/>
      <c r="K1376" s="180"/>
      <c r="L1376" s="180"/>
      <c r="M1376" s="186"/>
      <c r="N1376" s="186"/>
    </row>
    <row r="1377" spans="2:16" s="188" customFormat="1" ht="15" customHeight="1">
      <c r="B1377" s="187"/>
      <c r="C1377" s="187"/>
      <c r="D1377" s="187"/>
      <c r="E1377" s="187"/>
      <c r="F1377" s="187"/>
      <c r="G1377" s="187"/>
      <c r="H1377" s="187"/>
      <c r="J1377" s="186"/>
      <c r="K1377" s="180"/>
      <c r="L1377" s="180"/>
      <c r="M1377" s="186"/>
      <c r="N1377" s="186"/>
    </row>
    <row r="1378" spans="2:16" s="188" customFormat="1" ht="15" customHeight="1">
      <c r="B1378" s="187"/>
      <c r="C1378" s="187"/>
      <c r="D1378" s="187"/>
      <c r="E1378" s="187"/>
      <c r="F1378" s="187"/>
      <c r="G1378" s="187"/>
      <c r="H1378" s="187"/>
      <c r="J1378" s="186"/>
      <c r="K1378" s="180"/>
      <c r="L1378" s="180"/>
      <c r="M1378" s="186"/>
      <c r="N1378" s="186"/>
    </row>
    <row r="1379" spans="2:16" s="188" customFormat="1" ht="15" customHeight="1">
      <c r="B1379" s="187"/>
      <c r="C1379" s="187"/>
      <c r="D1379" s="187"/>
      <c r="E1379" s="187"/>
      <c r="F1379" s="187"/>
      <c r="G1379" s="187"/>
      <c r="H1379" s="187"/>
      <c r="J1379" s="186"/>
      <c r="K1379" s="180"/>
      <c r="L1379" s="180"/>
      <c r="M1379" s="186"/>
      <c r="N1379" s="186"/>
    </row>
    <row r="1380" spans="2:16" s="188" customFormat="1" ht="15" customHeight="1">
      <c r="B1380" s="187"/>
      <c r="C1380" s="187"/>
      <c r="D1380" s="187"/>
      <c r="E1380" s="187"/>
      <c r="F1380" s="187"/>
      <c r="G1380" s="187"/>
      <c r="H1380" s="187"/>
      <c r="J1380" s="186"/>
      <c r="K1380" s="180"/>
      <c r="L1380" s="180"/>
      <c r="M1380" s="186"/>
      <c r="N1380" s="186"/>
    </row>
    <row r="1381" spans="2:16" s="188" customFormat="1" ht="15" customHeight="1">
      <c r="B1381" s="187"/>
      <c r="C1381" s="187"/>
      <c r="D1381" s="187"/>
      <c r="E1381" s="187"/>
      <c r="F1381" s="187"/>
      <c r="G1381" s="187"/>
      <c r="H1381" s="187"/>
      <c r="J1381" s="186"/>
      <c r="K1381" s="180"/>
      <c r="L1381" s="180"/>
      <c r="M1381" s="186"/>
      <c r="N1381" s="186"/>
    </row>
    <row r="1382" spans="2:16" s="188" customFormat="1" ht="15" customHeight="1">
      <c r="B1382" s="187"/>
      <c r="C1382" s="187"/>
      <c r="D1382" s="187"/>
      <c r="E1382" s="187"/>
      <c r="F1382" s="187"/>
      <c r="G1382" s="187"/>
      <c r="H1382" s="187"/>
      <c r="J1382" s="186"/>
      <c r="K1382" s="180"/>
      <c r="L1382" s="180"/>
      <c r="M1382" s="186"/>
      <c r="N1382" s="186"/>
    </row>
    <row r="1383" spans="2:16" s="188" customFormat="1" ht="15" customHeight="1">
      <c r="B1383" s="187"/>
      <c r="C1383" s="187"/>
      <c r="D1383" s="187"/>
      <c r="E1383" s="187"/>
      <c r="F1383" s="187"/>
      <c r="G1383" s="187"/>
      <c r="H1383" s="187"/>
      <c r="J1383" s="186"/>
      <c r="K1383" s="180"/>
      <c r="L1383" s="180"/>
      <c r="M1383" s="186"/>
      <c r="N1383" s="186"/>
    </row>
    <row r="1384" spans="2:16" s="188" customFormat="1" ht="15" customHeight="1">
      <c r="B1384" s="187"/>
      <c r="C1384" s="187"/>
      <c r="D1384" s="187"/>
      <c r="E1384" s="187"/>
      <c r="F1384" s="187"/>
      <c r="G1384" s="187"/>
      <c r="H1384" s="187"/>
      <c r="J1384" s="186"/>
      <c r="K1384" s="180"/>
      <c r="L1384" s="180"/>
      <c r="M1384" s="186"/>
      <c r="N1384" s="186"/>
    </row>
    <row r="1385" spans="2:16" s="188" customFormat="1" ht="15" customHeight="1">
      <c r="B1385" s="187"/>
      <c r="C1385" s="187"/>
      <c r="D1385" s="187"/>
      <c r="E1385" s="187"/>
      <c r="F1385" s="187"/>
      <c r="G1385" s="187"/>
      <c r="H1385" s="187"/>
      <c r="J1385" s="186"/>
      <c r="K1385" s="180"/>
      <c r="L1385" s="180"/>
      <c r="M1385" s="186"/>
      <c r="N1385" s="186"/>
    </row>
    <row r="1386" spans="2:16" s="188" customFormat="1" ht="15" customHeight="1">
      <c r="B1386" s="187"/>
      <c r="C1386" s="187"/>
      <c r="D1386" s="187"/>
      <c r="E1386" s="187"/>
      <c r="F1386" s="187"/>
      <c r="G1386" s="187"/>
      <c r="H1386" s="187"/>
      <c r="J1386" s="186"/>
      <c r="K1386" s="180"/>
      <c r="L1386" s="180"/>
      <c r="M1386" s="186"/>
      <c r="N1386" s="186"/>
    </row>
    <row r="1387" spans="2:16" s="188" customFormat="1" ht="15" customHeight="1">
      <c r="B1387" s="187"/>
      <c r="C1387" s="187"/>
      <c r="D1387" s="187"/>
      <c r="E1387" s="187"/>
      <c r="F1387" s="187"/>
      <c r="G1387" s="187"/>
      <c r="H1387" s="187"/>
      <c r="J1387" s="186"/>
      <c r="K1387" s="180"/>
      <c r="L1387" s="180"/>
      <c r="M1387" s="186"/>
      <c r="N1387" s="186"/>
    </row>
    <row r="1388" spans="2:16" s="188" customFormat="1" ht="15" customHeight="1">
      <c r="B1388" s="187"/>
      <c r="C1388" s="187"/>
      <c r="D1388" s="187"/>
      <c r="E1388" s="187"/>
      <c r="F1388" s="187"/>
      <c r="G1388" s="187"/>
      <c r="H1388" s="187"/>
      <c r="J1388" s="186"/>
      <c r="K1388" s="180"/>
      <c r="L1388" s="180"/>
      <c r="M1388" s="186"/>
      <c r="N1388" s="186"/>
    </row>
    <row r="1389" spans="2:16" s="188" customFormat="1" ht="15" customHeight="1">
      <c r="B1389" s="187"/>
      <c r="C1389" s="187"/>
      <c r="D1389" s="187"/>
      <c r="E1389" s="187"/>
      <c r="F1389" s="187"/>
      <c r="G1389" s="187"/>
      <c r="H1389" s="187"/>
      <c r="J1389" s="186"/>
      <c r="K1389" s="180"/>
      <c r="L1389" s="180"/>
      <c r="M1389" s="186"/>
      <c r="N1389" s="186"/>
    </row>
    <row r="1390" spans="2:16" s="188" customFormat="1" ht="15" customHeight="1">
      <c r="B1390" s="187"/>
      <c r="C1390" s="187"/>
      <c r="D1390" s="187"/>
      <c r="E1390" s="187"/>
      <c r="F1390" s="187"/>
      <c r="G1390" s="187"/>
      <c r="H1390" s="187"/>
      <c r="J1390" s="186"/>
      <c r="K1390" s="180"/>
      <c r="L1390" s="180"/>
      <c r="M1390" s="186"/>
      <c r="N1390" s="186"/>
    </row>
    <row r="1391" spans="2:16" ht="15" customHeight="1">
      <c r="B1391" s="187"/>
      <c r="C1391" s="187"/>
      <c r="D1391" s="187"/>
      <c r="E1391" s="187"/>
      <c r="F1391" s="187"/>
      <c r="G1391" s="187"/>
      <c r="H1391" s="187"/>
      <c r="J1391" s="186"/>
      <c r="K1391" s="180"/>
      <c r="L1391" s="180"/>
      <c r="M1391" s="186"/>
      <c r="N1391" s="186"/>
      <c r="O1391" s="188"/>
      <c r="P1391" s="188"/>
    </row>
    <row r="1392" spans="2:16" ht="15" customHeight="1">
      <c r="B1392" s="187"/>
      <c r="C1392" s="187"/>
      <c r="D1392" s="187"/>
      <c r="E1392" s="187"/>
      <c r="F1392" s="187"/>
      <c r="G1392" s="187"/>
      <c r="H1392" s="187"/>
      <c r="J1392" s="186"/>
      <c r="K1392" s="180"/>
      <c r="L1392" s="180"/>
      <c r="M1392" s="186"/>
      <c r="N1392" s="186"/>
      <c r="O1392" s="188"/>
      <c r="P1392" s="188"/>
    </row>
    <row r="1393" spans="2:16" ht="15" customHeight="1">
      <c r="B1393" s="187"/>
      <c r="C1393" s="187"/>
      <c r="D1393" s="187"/>
      <c r="E1393" s="187"/>
      <c r="F1393" s="187"/>
      <c r="G1393" s="187"/>
      <c r="H1393" s="187"/>
      <c r="J1393" s="186"/>
      <c r="K1393" s="180"/>
      <c r="L1393" s="180"/>
      <c r="M1393" s="186"/>
      <c r="N1393" s="186"/>
      <c r="O1393" s="188"/>
      <c r="P1393" s="188"/>
    </row>
    <row r="1394" spans="2:16" s="188" customFormat="1" ht="15" customHeight="1">
      <c r="B1394" s="187"/>
      <c r="C1394" s="187"/>
      <c r="D1394" s="187"/>
      <c r="E1394" s="187"/>
      <c r="F1394" s="187"/>
      <c r="G1394" s="187"/>
      <c r="H1394" s="187"/>
      <c r="J1394" s="186"/>
      <c r="K1394" s="180"/>
      <c r="L1394" s="180"/>
      <c r="M1394" s="186"/>
      <c r="N1394" s="186"/>
    </row>
    <row r="1395" spans="2:16" s="188" customFormat="1" ht="15" customHeight="1">
      <c r="B1395" s="187"/>
      <c r="C1395" s="187"/>
      <c r="D1395" s="187"/>
      <c r="E1395" s="187"/>
      <c r="F1395" s="187"/>
      <c r="G1395" s="187"/>
      <c r="H1395" s="187"/>
      <c r="J1395" s="186"/>
      <c r="K1395" s="180"/>
      <c r="L1395" s="180"/>
      <c r="M1395" s="186"/>
      <c r="N1395" s="186"/>
    </row>
    <row r="1396" spans="2:16" s="188" customFormat="1" ht="15" customHeight="1">
      <c r="B1396" s="187"/>
      <c r="C1396" s="187"/>
      <c r="D1396" s="187"/>
      <c r="E1396" s="187"/>
      <c r="F1396" s="187"/>
      <c r="G1396" s="187"/>
      <c r="H1396" s="187"/>
      <c r="J1396" s="186"/>
      <c r="K1396" s="180"/>
      <c r="L1396" s="180"/>
      <c r="M1396" s="186"/>
      <c r="N1396" s="186"/>
    </row>
    <row r="1397" spans="2:16" s="188" customFormat="1" ht="15" customHeight="1">
      <c r="B1397" s="187"/>
      <c r="C1397" s="187"/>
      <c r="D1397" s="187"/>
      <c r="E1397" s="187"/>
      <c r="F1397" s="187"/>
      <c r="G1397" s="187"/>
      <c r="H1397" s="187"/>
      <c r="J1397" s="186"/>
      <c r="K1397" s="180"/>
      <c r="L1397" s="180"/>
      <c r="M1397" s="186"/>
      <c r="N1397" s="186"/>
    </row>
    <row r="1398" spans="2:16" s="188" customFormat="1" ht="15" customHeight="1">
      <c r="B1398" s="187"/>
      <c r="C1398" s="187"/>
      <c r="D1398" s="187"/>
      <c r="E1398" s="187"/>
      <c r="F1398" s="187"/>
      <c r="G1398" s="187"/>
      <c r="H1398" s="187"/>
      <c r="J1398" s="186"/>
      <c r="K1398" s="180"/>
      <c r="L1398" s="180"/>
      <c r="M1398" s="186"/>
      <c r="N1398" s="186"/>
    </row>
    <row r="1399" spans="2:16" s="188" customFormat="1" ht="15" customHeight="1">
      <c r="B1399" s="187"/>
      <c r="C1399" s="187"/>
      <c r="D1399" s="187"/>
      <c r="E1399" s="187"/>
      <c r="F1399" s="187"/>
      <c r="G1399" s="187"/>
      <c r="H1399" s="187"/>
      <c r="J1399" s="186"/>
      <c r="K1399" s="180"/>
      <c r="L1399" s="180"/>
      <c r="M1399" s="186"/>
      <c r="N1399" s="186"/>
    </row>
    <row r="1400" spans="2:16" s="188" customFormat="1" ht="15" customHeight="1">
      <c r="B1400" s="187"/>
      <c r="C1400" s="187"/>
      <c r="D1400" s="187"/>
      <c r="E1400" s="187"/>
      <c r="F1400" s="187"/>
      <c r="G1400" s="187"/>
      <c r="H1400" s="187"/>
      <c r="J1400" s="186"/>
      <c r="K1400" s="180"/>
      <c r="L1400" s="180"/>
      <c r="M1400" s="186"/>
      <c r="N1400" s="186"/>
    </row>
    <row r="1401" spans="2:16" s="188" customFormat="1" ht="15" customHeight="1">
      <c r="B1401" s="187"/>
      <c r="C1401" s="187"/>
      <c r="D1401" s="187"/>
      <c r="E1401" s="187"/>
      <c r="F1401" s="187"/>
      <c r="G1401" s="187"/>
      <c r="H1401" s="187"/>
      <c r="J1401" s="186"/>
      <c r="K1401" s="180"/>
      <c r="L1401" s="180"/>
      <c r="M1401" s="186"/>
      <c r="N1401" s="186"/>
    </row>
    <row r="1402" spans="2:16" s="188" customFormat="1" ht="15" customHeight="1">
      <c r="B1402" s="187"/>
      <c r="C1402" s="187"/>
      <c r="D1402" s="187"/>
      <c r="E1402" s="187"/>
      <c r="F1402" s="187"/>
      <c r="G1402" s="187"/>
      <c r="H1402" s="187"/>
      <c r="J1402" s="186"/>
      <c r="K1402" s="180"/>
      <c r="L1402" s="180"/>
      <c r="M1402" s="186"/>
      <c r="N1402" s="186"/>
    </row>
    <row r="1403" spans="2:16" s="188" customFormat="1" ht="15" customHeight="1">
      <c r="B1403" s="187"/>
      <c r="C1403" s="187"/>
      <c r="D1403" s="187"/>
      <c r="E1403" s="187"/>
      <c r="F1403" s="187"/>
      <c r="G1403" s="187"/>
      <c r="H1403" s="187"/>
      <c r="J1403" s="186"/>
      <c r="K1403" s="180"/>
      <c r="L1403" s="180"/>
      <c r="M1403" s="186"/>
      <c r="N1403" s="186"/>
    </row>
    <row r="1404" spans="2:16" s="188" customFormat="1" ht="15" customHeight="1">
      <c r="B1404" s="187"/>
      <c r="C1404" s="187"/>
      <c r="D1404" s="187"/>
      <c r="E1404" s="187"/>
      <c r="F1404" s="187"/>
      <c r="G1404" s="187"/>
      <c r="H1404" s="187"/>
      <c r="J1404" s="186"/>
      <c r="K1404" s="180"/>
      <c r="L1404" s="180"/>
      <c r="M1404" s="186"/>
      <c r="N1404" s="186"/>
    </row>
    <row r="1405" spans="2:16" s="188" customFormat="1" ht="15" customHeight="1">
      <c r="B1405" s="187"/>
      <c r="C1405" s="187"/>
      <c r="D1405" s="187"/>
      <c r="E1405" s="187"/>
      <c r="F1405" s="187"/>
      <c r="G1405" s="187"/>
      <c r="H1405" s="187"/>
      <c r="J1405" s="186"/>
      <c r="K1405" s="180"/>
      <c r="L1405" s="180"/>
      <c r="M1405" s="186"/>
      <c r="N1405" s="186"/>
    </row>
    <row r="1406" spans="2:16" s="188" customFormat="1" ht="15" customHeight="1">
      <c r="B1406" s="187"/>
      <c r="C1406" s="187"/>
      <c r="D1406" s="187"/>
      <c r="E1406" s="187"/>
      <c r="F1406" s="187"/>
      <c r="G1406" s="187"/>
      <c r="H1406" s="187"/>
      <c r="J1406" s="186"/>
      <c r="K1406" s="180"/>
      <c r="L1406" s="180"/>
      <c r="M1406" s="186"/>
      <c r="N1406" s="186"/>
    </row>
    <row r="1407" spans="2:16" s="188" customFormat="1" ht="15" customHeight="1">
      <c r="B1407" s="187"/>
      <c r="C1407" s="187"/>
      <c r="D1407" s="187"/>
      <c r="E1407" s="187"/>
      <c r="F1407" s="187"/>
      <c r="G1407" s="187"/>
      <c r="H1407" s="187"/>
      <c r="J1407" s="186"/>
      <c r="K1407" s="180"/>
      <c r="L1407" s="180"/>
      <c r="M1407" s="186"/>
      <c r="N1407" s="186"/>
    </row>
    <row r="1408" spans="2:16" s="188" customFormat="1" ht="15" customHeight="1">
      <c r="B1408" s="187"/>
      <c r="C1408" s="187"/>
      <c r="D1408" s="187"/>
      <c r="E1408" s="187"/>
      <c r="F1408" s="187"/>
      <c r="G1408" s="187"/>
      <c r="H1408" s="187"/>
      <c r="J1408" s="186"/>
      <c r="K1408" s="180"/>
      <c r="L1408" s="180"/>
      <c r="M1408" s="186"/>
      <c r="N1408" s="186"/>
    </row>
    <row r="1409" spans="2:14" s="188" customFormat="1" ht="15" customHeight="1">
      <c r="B1409" s="187"/>
      <c r="C1409" s="187"/>
      <c r="D1409" s="187"/>
      <c r="E1409" s="187"/>
      <c r="F1409" s="187"/>
      <c r="G1409" s="187"/>
      <c r="H1409" s="187"/>
      <c r="J1409" s="186"/>
      <c r="K1409" s="180"/>
      <c r="L1409" s="180"/>
      <c r="M1409" s="186"/>
      <c r="N1409" s="186"/>
    </row>
    <row r="1410" spans="2:14" s="188" customFormat="1" ht="15" customHeight="1">
      <c r="B1410" s="187"/>
      <c r="C1410" s="187"/>
      <c r="D1410" s="187"/>
      <c r="E1410" s="187"/>
      <c r="F1410" s="187"/>
      <c r="G1410" s="187"/>
      <c r="H1410" s="187"/>
      <c r="J1410" s="186"/>
      <c r="K1410" s="180"/>
      <c r="L1410" s="180"/>
      <c r="M1410" s="186"/>
      <c r="N1410" s="186"/>
    </row>
    <row r="1411" spans="2:14" s="188" customFormat="1" ht="15" customHeight="1">
      <c r="B1411" s="187"/>
      <c r="C1411" s="187"/>
      <c r="D1411" s="187"/>
      <c r="E1411" s="187"/>
      <c r="F1411" s="187"/>
      <c r="G1411" s="187"/>
      <c r="H1411" s="187"/>
      <c r="J1411" s="186"/>
      <c r="K1411" s="180"/>
      <c r="L1411" s="180"/>
      <c r="M1411" s="186"/>
      <c r="N1411" s="186"/>
    </row>
    <row r="1412" spans="2:14" s="188" customFormat="1" ht="15" customHeight="1">
      <c r="B1412" s="187"/>
      <c r="C1412" s="187"/>
      <c r="D1412" s="187"/>
      <c r="E1412" s="187"/>
      <c r="F1412" s="187"/>
      <c r="G1412" s="187"/>
      <c r="H1412" s="187"/>
      <c r="J1412" s="186"/>
      <c r="K1412" s="180"/>
      <c r="L1412" s="180"/>
      <c r="M1412" s="186"/>
      <c r="N1412" s="186"/>
    </row>
    <row r="1413" spans="2:14" s="188" customFormat="1" ht="15" customHeight="1">
      <c r="B1413" s="187"/>
      <c r="C1413" s="187"/>
      <c r="D1413" s="187"/>
      <c r="E1413" s="187"/>
      <c r="F1413" s="187"/>
      <c r="G1413" s="187"/>
      <c r="H1413" s="187"/>
      <c r="J1413" s="186"/>
      <c r="K1413" s="180"/>
      <c r="L1413" s="180"/>
      <c r="M1413" s="186"/>
      <c r="N1413" s="186"/>
    </row>
    <row r="1414" spans="2:14" s="188" customFormat="1" ht="15" customHeight="1">
      <c r="B1414" s="187"/>
      <c r="C1414" s="187"/>
      <c r="D1414" s="187"/>
      <c r="E1414" s="187"/>
      <c r="F1414" s="187"/>
      <c r="G1414" s="187"/>
      <c r="H1414" s="187"/>
      <c r="J1414" s="186"/>
      <c r="K1414" s="180"/>
      <c r="L1414" s="180"/>
      <c r="M1414" s="186"/>
      <c r="N1414" s="186"/>
    </row>
    <row r="1415" spans="2:14" s="188" customFormat="1" ht="15" customHeight="1">
      <c r="B1415" s="187"/>
      <c r="C1415" s="187"/>
      <c r="D1415" s="187"/>
      <c r="E1415" s="187"/>
      <c r="F1415" s="187"/>
      <c r="G1415" s="187"/>
      <c r="H1415" s="187"/>
      <c r="J1415" s="186"/>
      <c r="K1415" s="180"/>
      <c r="L1415" s="180"/>
      <c r="M1415" s="186"/>
      <c r="N1415" s="186"/>
    </row>
    <row r="1416" spans="2:14" s="188" customFormat="1" ht="15" customHeight="1">
      <c r="B1416" s="187"/>
      <c r="C1416" s="187"/>
      <c r="D1416" s="187"/>
      <c r="E1416" s="187"/>
      <c r="F1416" s="187"/>
      <c r="G1416" s="187"/>
      <c r="H1416" s="187"/>
      <c r="J1416" s="186"/>
      <c r="K1416" s="180"/>
      <c r="L1416" s="180"/>
      <c r="M1416" s="186"/>
      <c r="N1416" s="186"/>
    </row>
    <row r="1417" spans="2:14" s="188" customFormat="1" ht="15" customHeight="1">
      <c r="B1417" s="187"/>
      <c r="C1417" s="187"/>
      <c r="D1417" s="187"/>
      <c r="E1417" s="187"/>
      <c r="F1417" s="187"/>
      <c r="G1417" s="187"/>
      <c r="H1417" s="187"/>
      <c r="J1417" s="186"/>
      <c r="K1417" s="180"/>
      <c r="L1417" s="180"/>
      <c r="M1417" s="186"/>
      <c r="N1417" s="186"/>
    </row>
    <row r="1418" spans="2:14" s="188" customFormat="1" ht="15" customHeight="1">
      <c r="B1418" s="187"/>
      <c r="C1418" s="187"/>
      <c r="D1418" s="187"/>
      <c r="E1418" s="187"/>
      <c r="F1418" s="187"/>
      <c r="G1418" s="187"/>
      <c r="H1418" s="187"/>
      <c r="J1418" s="186"/>
      <c r="K1418" s="180"/>
      <c r="L1418" s="180"/>
      <c r="M1418" s="186"/>
      <c r="N1418" s="186"/>
    </row>
    <row r="1419" spans="2:14" s="188" customFormat="1" ht="15" customHeight="1">
      <c r="B1419" s="187"/>
      <c r="C1419" s="187"/>
      <c r="D1419" s="187"/>
      <c r="E1419" s="187"/>
      <c r="F1419" s="187"/>
      <c r="G1419" s="187"/>
      <c r="H1419" s="187"/>
      <c r="J1419" s="186"/>
      <c r="K1419" s="180"/>
      <c r="L1419" s="180"/>
      <c r="M1419" s="186"/>
      <c r="N1419" s="186"/>
    </row>
    <row r="1420" spans="2:14" s="188" customFormat="1" ht="15" customHeight="1">
      <c r="B1420" s="187"/>
      <c r="C1420" s="187"/>
      <c r="D1420" s="187"/>
      <c r="E1420" s="187"/>
      <c r="F1420" s="187"/>
      <c r="G1420" s="187"/>
      <c r="H1420" s="187"/>
      <c r="J1420" s="186"/>
      <c r="K1420" s="180"/>
      <c r="L1420" s="180"/>
      <c r="M1420" s="186"/>
      <c r="N1420" s="186"/>
    </row>
    <row r="1421" spans="2:14" s="188" customFormat="1" ht="15" customHeight="1">
      <c r="B1421" s="187"/>
      <c r="C1421" s="187"/>
      <c r="D1421" s="187"/>
      <c r="E1421" s="187"/>
      <c r="F1421" s="187"/>
      <c r="G1421" s="187"/>
      <c r="H1421" s="187"/>
      <c r="J1421" s="186"/>
      <c r="K1421" s="180"/>
      <c r="L1421" s="180"/>
      <c r="M1421" s="186"/>
      <c r="N1421" s="186"/>
    </row>
    <row r="1422" spans="2:14" s="188" customFormat="1" ht="15" customHeight="1">
      <c r="B1422" s="187"/>
      <c r="C1422" s="187"/>
      <c r="D1422" s="187"/>
      <c r="E1422" s="187"/>
      <c r="F1422" s="187"/>
      <c r="G1422" s="187"/>
      <c r="H1422" s="187"/>
      <c r="J1422" s="186"/>
      <c r="K1422" s="180"/>
      <c r="L1422" s="180"/>
      <c r="M1422" s="186"/>
      <c r="N1422" s="186"/>
    </row>
    <row r="1423" spans="2:14" s="188" customFormat="1" ht="15" customHeight="1">
      <c r="B1423" s="187"/>
      <c r="C1423" s="187"/>
      <c r="D1423" s="187"/>
      <c r="E1423" s="187"/>
      <c r="F1423" s="187"/>
      <c r="G1423" s="187"/>
      <c r="H1423" s="187"/>
      <c r="J1423" s="186"/>
      <c r="K1423" s="180"/>
      <c r="L1423" s="180"/>
      <c r="M1423" s="186"/>
      <c r="N1423" s="186"/>
    </row>
    <row r="1424" spans="2:14" s="188" customFormat="1" ht="15" customHeight="1">
      <c r="B1424" s="187"/>
      <c r="C1424" s="187"/>
      <c r="D1424" s="187"/>
      <c r="E1424" s="187"/>
      <c r="F1424" s="187"/>
      <c r="G1424" s="187"/>
      <c r="H1424" s="187"/>
      <c r="J1424" s="186"/>
      <c r="K1424" s="180"/>
      <c r="L1424" s="180"/>
      <c r="M1424" s="186"/>
      <c r="N1424" s="186"/>
    </row>
    <row r="1425" spans="2:14" s="188" customFormat="1" ht="15" customHeight="1">
      <c r="B1425" s="187"/>
      <c r="C1425" s="187"/>
      <c r="D1425" s="187"/>
      <c r="E1425" s="187"/>
      <c r="F1425" s="187"/>
      <c r="G1425" s="187"/>
      <c r="H1425" s="187"/>
      <c r="J1425" s="186"/>
      <c r="K1425" s="180"/>
      <c r="L1425" s="180"/>
      <c r="M1425" s="186"/>
      <c r="N1425" s="186"/>
    </row>
    <row r="1426" spans="2:14" s="188" customFormat="1" ht="15" customHeight="1">
      <c r="B1426" s="187"/>
      <c r="C1426" s="187"/>
      <c r="D1426" s="187"/>
      <c r="E1426" s="187"/>
      <c r="F1426" s="187"/>
      <c r="G1426" s="187"/>
      <c r="H1426" s="187"/>
      <c r="J1426" s="186"/>
      <c r="K1426" s="180"/>
      <c r="L1426" s="180"/>
      <c r="M1426" s="186"/>
      <c r="N1426" s="186"/>
    </row>
    <row r="1427" spans="2:14" s="188" customFormat="1" ht="15" customHeight="1">
      <c r="B1427" s="187"/>
      <c r="C1427" s="187"/>
      <c r="D1427" s="187"/>
      <c r="E1427" s="187"/>
      <c r="F1427" s="187"/>
      <c r="G1427" s="187"/>
      <c r="H1427" s="187"/>
      <c r="J1427" s="186"/>
      <c r="K1427" s="180"/>
      <c r="L1427" s="180"/>
      <c r="M1427" s="186"/>
      <c r="N1427" s="186"/>
    </row>
    <row r="1428" spans="2:14" s="188" customFormat="1" ht="15" customHeight="1">
      <c r="B1428" s="187"/>
      <c r="C1428" s="187"/>
      <c r="D1428" s="187"/>
      <c r="E1428" s="187"/>
      <c r="F1428" s="187"/>
      <c r="G1428" s="187"/>
      <c r="H1428" s="187"/>
      <c r="J1428" s="186"/>
      <c r="K1428" s="180"/>
      <c r="L1428" s="180"/>
      <c r="M1428" s="186"/>
      <c r="N1428" s="186"/>
    </row>
    <row r="1429" spans="2:14" s="188" customFormat="1" ht="15" customHeight="1">
      <c r="B1429" s="187"/>
      <c r="C1429" s="187"/>
      <c r="D1429" s="187"/>
      <c r="E1429" s="187"/>
      <c r="F1429" s="187"/>
      <c r="G1429" s="187"/>
      <c r="H1429" s="187"/>
      <c r="J1429" s="186"/>
      <c r="K1429" s="180"/>
      <c r="L1429" s="180"/>
      <c r="M1429" s="186"/>
      <c r="N1429" s="186"/>
    </row>
    <row r="1430" spans="2:14" s="188" customFormat="1" ht="15" customHeight="1">
      <c r="B1430" s="187"/>
      <c r="C1430" s="187"/>
      <c r="D1430" s="187"/>
      <c r="E1430" s="187"/>
      <c r="F1430" s="187"/>
      <c r="G1430" s="187"/>
      <c r="H1430" s="187"/>
      <c r="J1430" s="186"/>
      <c r="K1430" s="180"/>
      <c r="L1430" s="180"/>
      <c r="M1430" s="186"/>
      <c r="N1430" s="186"/>
    </row>
    <row r="1431" spans="2:14" s="188" customFormat="1" ht="15" customHeight="1">
      <c r="B1431" s="187"/>
      <c r="C1431" s="187"/>
      <c r="D1431" s="187"/>
      <c r="E1431" s="187"/>
      <c r="F1431" s="187"/>
      <c r="G1431" s="187"/>
      <c r="H1431" s="187"/>
      <c r="J1431" s="186"/>
      <c r="K1431" s="180"/>
      <c r="L1431" s="180"/>
      <c r="M1431" s="186"/>
      <c r="N1431" s="186"/>
    </row>
    <row r="1432" spans="2:14" s="188" customFormat="1" ht="15" customHeight="1">
      <c r="B1432" s="187"/>
      <c r="C1432" s="187"/>
      <c r="D1432" s="187"/>
      <c r="E1432" s="187"/>
      <c r="F1432" s="187"/>
      <c r="G1432" s="187"/>
      <c r="H1432" s="187"/>
      <c r="J1432" s="186"/>
      <c r="K1432" s="180"/>
      <c r="L1432" s="180"/>
      <c r="M1432" s="186"/>
      <c r="N1432" s="186"/>
    </row>
    <row r="1433" spans="2:14" s="188" customFormat="1" ht="15" customHeight="1">
      <c r="B1433" s="187"/>
      <c r="C1433" s="187"/>
      <c r="D1433" s="187"/>
      <c r="E1433" s="187"/>
      <c r="F1433" s="187"/>
      <c r="G1433" s="187"/>
      <c r="H1433" s="187"/>
      <c r="J1433" s="186"/>
      <c r="K1433" s="180"/>
      <c r="L1433" s="180"/>
      <c r="M1433" s="186"/>
      <c r="N1433" s="186"/>
    </row>
    <row r="1434" spans="2:14" s="188" customFormat="1" ht="15" customHeight="1">
      <c r="B1434" s="187"/>
      <c r="C1434" s="187"/>
      <c r="D1434" s="187"/>
      <c r="E1434" s="187"/>
      <c r="F1434" s="187"/>
      <c r="G1434" s="187"/>
      <c r="H1434" s="187"/>
      <c r="J1434" s="186"/>
      <c r="K1434" s="180"/>
      <c r="L1434" s="180"/>
      <c r="M1434" s="186"/>
      <c r="N1434" s="186"/>
    </row>
    <row r="1435" spans="2:14" s="188" customFormat="1" ht="15" customHeight="1">
      <c r="B1435" s="187"/>
      <c r="C1435" s="187"/>
      <c r="D1435" s="187"/>
      <c r="E1435" s="187"/>
      <c r="F1435" s="187"/>
      <c r="G1435" s="187"/>
      <c r="H1435" s="187"/>
      <c r="J1435" s="186"/>
      <c r="K1435" s="180"/>
      <c r="L1435" s="180"/>
      <c r="M1435" s="186"/>
      <c r="N1435" s="186"/>
    </row>
    <row r="1436" spans="2:14" s="188" customFormat="1" ht="15" customHeight="1">
      <c r="B1436" s="187"/>
      <c r="C1436" s="187"/>
      <c r="D1436" s="187"/>
      <c r="E1436" s="187"/>
      <c r="F1436" s="187"/>
      <c r="G1436" s="187"/>
      <c r="H1436" s="187"/>
      <c r="J1436" s="186"/>
      <c r="K1436" s="180"/>
      <c r="L1436" s="180"/>
      <c r="M1436" s="186"/>
      <c r="N1436" s="186"/>
    </row>
    <row r="1437" spans="2:14" s="188" customFormat="1" ht="15" customHeight="1">
      <c r="B1437" s="187"/>
      <c r="C1437" s="187"/>
      <c r="D1437" s="187"/>
      <c r="E1437" s="187"/>
      <c r="F1437" s="187"/>
      <c r="G1437" s="187"/>
      <c r="H1437" s="187"/>
      <c r="J1437" s="186"/>
      <c r="K1437" s="180"/>
      <c r="L1437" s="180"/>
      <c r="M1437" s="186"/>
      <c r="N1437" s="186"/>
    </row>
    <row r="1438" spans="2:14" s="188" customFormat="1" ht="15" customHeight="1">
      <c r="B1438" s="187"/>
      <c r="C1438" s="187"/>
      <c r="D1438" s="187"/>
      <c r="E1438" s="187"/>
      <c r="F1438" s="187"/>
      <c r="G1438" s="187"/>
      <c r="H1438" s="187"/>
      <c r="J1438" s="186"/>
      <c r="K1438" s="180"/>
      <c r="L1438" s="180"/>
      <c r="M1438" s="186"/>
      <c r="N1438" s="186"/>
    </row>
    <row r="1439" spans="2:14" s="188" customFormat="1" ht="15" customHeight="1">
      <c r="B1439" s="187"/>
      <c r="C1439" s="187"/>
      <c r="D1439" s="187"/>
      <c r="E1439" s="187"/>
      <c r="F1439" s="187"/>
      <c r="G1439" s="187"/>
      <c r="H1439" s="187"/>
      <c r="J1439" s="186"/>
      <c r="K1439" s="180"/>
      <c r="L1439" s="180"/>
      <c r="M1439" s="186"/>
      <c r="N1439" s="186"/>
    </row>
    <row r="1440" spans="2:14" s="188" customFormat="1" ht="15" customHeight="1">
      <c r="B1440" s="187"/>
      <c r="C1440" s="187"/>
      <c r="D1440" s="187"/>
      <c r="E1440" s="187"/>
      <c r="F1440" s="187"/>
      <c r="G1440" s="187"/>
      <c r="H1440" s="187"/>
      <c r="J1440" s="186"/>
      <c r="K1440" s="180"/>
      <c r="L1440" s="180"/>
      <c r="M1440" s="186"/>
      <c r="N1440" s="186"/>
    </row>
    <row r="1441" spans="2:14" s="188" customFormat="1" ht="15" customHeight="1">
      <c r="B1441" s="187"/>
      <c r="C1441" s="187"/>
      <c r="D1441" s="187"/>
      <c r="E1441" s="187"/>
      <c r="F1441" s="187"/>
      <c r="G1441" s="187"/>
      <c r="H1441" s="187"/>
      <c r="J1441" s="186"/>
      <c r="K1441" s="180"/>
      <c r="L1441" s="180"/>
      <c r="M1441" s="186"/>
      <c r="N1441" s="186"/>
    </row>
    <row r="1442" spans="2:14" s="188" customFormat="1" ht="15" customHeight="1">
      <c r="B1442" s="187"/>
      <c r="C1442" s="187"/>
      <c r="D1442" s="187"/>
      <c r="E1442" s="187"/>
      <c r="F1442" s="187"/>
      <c r="G1442" s="187"/>
      <c r="H1442" s="187"/>
      <c r="J1442" s="186"/>
      <c r="K1442" s="180"/>
      <c r="L1442" s="180"/>
      <c r="M1442" s="186"/>
      <c r="N1442" s="186"/>
    </row>
    <row r="1443" spans="2:14" s="188" customFormat="1" ht="15" customHeight="1">
      <c r="B1443" s="187"/>
      <c r="C1443" s="187"/>
      <c r="D1443" s="187"/>
      <c r="E1443" s="187"/>
      <c r="F1443" s="187"/>
      <c r="G1443" s="187"/>
      <c r="H1443" s="187"/>
      <c r="J1443" s="186"/>
      <c r="K1443" s="180"/>
      <c r="L1443" s="180"/>
      <c r="M1443" s="186"/>
      <c r="N1443" s="186"/>
    </row>
    <row r="1444" spans="2:14" s="188" customFormat="1" ht="15" customHeight="1">
      <c r="B1444" s="187"/>
      <c r="C1444" s="187"/>
      <c r="D1444" s="187"/>
      <c r="E1444" s="187"/>
      <c r="F1444" s="187"/>
      <c r="G1444" s="187"/>
      <c r="H1444" s="187"/>
      <c r="J1444" s="186"/>
      <c r="K1444" s="180"/>
      <c r="L1444" s="180"/>
      <c r="M1444" s="186"/>
      <c r="N1444" s="186"/>
    </row>
    <row r="1445" spans="2:14" s="188" customFormat="1" ht="15" customHeight="1">
      <c r="B1445" s="187"/>
      <c r="C1445" s="187"/>
      <c r="D1445" s="187"/>
      <c r="E1445" s="187"/>
      <c r="F1445" s="187"/>
      <c r="G1445" s="187"/>
      <c r="H1445" s="187"/>
      <c r="J1445" s="186"/>
      <c r="K1445" s="180"/>
      <c r="L1445" s="180"/>
      <c r="M1445" s="186"/>
      <c r="N1445" s="186"/>
    </row>
    <row r="1446" spans="2:14" s="188" customFormat="1" ht="15" customHeight="1">
      <c r="B1446" s="187"/>
      <c r="C1446" s="187"/>
      <c r="D1446" s="187"/>
      <c r="E1446" s="187"/>
      <c r="F1446" s="187"/>
      <c r="G1446" s="187"/>
      <c r="H1446" s="187"/>
      <c r="J1446" s="186"/>
      <c r="K1446" s="180"/>
      <c r="L1446" s="180"/>
      <c r="M1446" s="186"/>
      <c r="N1446" s="186"/>
    </row>
    <row r="1447" spans="2:14" s="188" customFormat="1" ht="15" customHeight="1">
      <c r="B1447" s="187"/>
      <c r="C1447" s="187"/>
      <c r="D1447" s="187"/>
      <c r="E1447" s="187"/>
      <c r="F1447" s="187"/>
      <c r="G1447" s="187"/>
      <c r="H1447" s="187"/>
      <c r="J1447" s="186"/>
      <c r="K1447" s="180"/>
      <c r="L1447" s="180"/>
      <c r="M1447" s="186"/>
      <c r="N1447" s="186"/>
    </row>
    <row r="1448" spans="2:14" s="188" customFormat="1" ht="15" customHeight="1">
      <c r="B1448" s="187"/>
      <c r="C1448" s="187"/>
      <c r="D1448" s="187"/>
      <c r="E1448" s="187"/>
      <c r="F1448" s="187"/>
      <c r="G1448" s="187"/>
      <c r="H1448" s="187"/>
      <c r="J1448" s="186"/>
      <c r="K1448" s="180"/>
      <c r="L1448" s="180"/>
      <c r="M1448" s="186"/>
      <c r="N1448" s="186"/>
    </row>
    <row r="1449" spans="2:14" s="188" customFormat="1" ht="15" customHeight="1">
      <c r="B1449" s="187"/>
      <c r="C1449" s="187"/>
      <c r="D1449" s="187"/>
      <c r="E1449" s="187"/>
      <c r="F1449" s="187"/>
      <c r="G1449" s="187"/>
      <c r="H1449" s="187"/>
      <c r="J1449" s="186"/>
      <c r="K1449" s="180"/>
      <c r="L1449" s="180"/>
      <c r="M1449" s="186"/>
      <c r="N1449" s="186"/>
    </row>
    <row r="1450" spans="2:14" s="188" customFormat="1" ht="15" customHeight="1">
      <c r="B1450" s="187"/>
      <c r="C1450" s="187"/>
      <c r="D1450" s="187"/>
      <c r="E1450" s="187"/>
      <c r="F1450" s="187"/>
      <c r="G1450" s="187"/>
      <c r="H1450" s="187"/>
      <c r="J1450" s="186"/>
      <c r="K1450" s="180"/>
      <c r="L1450" s="180"/>
      <c r="M1450" s="186"/>
      <c r="N1450" s="186"/>
    </row>
    <row r="1451" spans="2:14" s="188" customFormat="1" ht="15" customHeight="1">
      <c r="B1451" s="187"/>
      <c r="C1451" s="187"/>
      <c r="D1451" s="187"/>
      <c r="E1451" s="187"/>
      <c r="F1451" s="187"/>
      <c r="G1451" s="187"/>
      <c r="H1451" s="187"/>
      <c r="J1451" s="186"/>
      <c r="K1451" s="180"/>
      <c r="L1451" s="180"/>
      <c r="M1451" s="186"/>
      <c r="N1451" s="186"/>
    </row>
    <row r="1452" spans="2:14" s="188" customFormat="1" ht="15" customHeight="1">
      <c r="B1452" s="187"/>
      <c r="C1452" s="187"/>
      <c r="D1452" s="187"/>
      <c r="E1452" s="187"/>
      <c r="F1452" s="187"/>
      <c r="G1452" s="187"/>
      <c r="H1452" s="187"/>
      <c r="J1452" s="186"/>
      <c r="K1452" s="180"/>
      <c r="L1452" s="180"/>
      <c r="M1452" s="186"/>
      <c r="N1452" s="186"/>
    </row>
    <row r="1453" spans="2:14" s="188" customFormat="1" ht="15" customHeight="1">
      <c r="B1453" s="187"/>
      <c r="C1453" s="187"/>
      <c r="D1453" s="187"/>
      <c r="E1453" s="187"/>
      <c r="F1453" s="187"/>
      <c r="G1453" s="187"/>
      <c r="H1453" s="187"/>
      <c r="J1453" s="186"/>
      <c r="K1453" s="180"/>
      <c r="L1453" s="180"/>
      <c r="M1453" s="186"/>
      <c r="N1453" s="186"/>
    </row>
    <row r="1454" spans="2:14" s="188" customFormat="1" ht="15" customHeight="1">
      <c r="B1454" s="187"/>
      <c r="C1454" s="187"/>
      <c r="D1454" s="187"/>
      <c r="E1454" s="187"/>
      <c r="F1454" s="187"/>
      <c r="G1454" s="187"/>
      <c r="H1454" s="187"/>
      <c r="J1454" s="186"/>
      <c r="K1454" s="180"/>
      <c r="L1454" s="180"/>
      <c r="M1454" s="186"/>
      <c r="N1454" s="186"/>
    </row>
    <row r="1455" spans="2:14" s="188" customFormat="1" ht="15" customHeight="1">
      <c r="B1455" s="187"/>
      <c r="C1455" s="187"/>
      <c r="D1455" s="187"/>
      <c r="E1455" s="187"/>
      <c r="F1455" s="187"/>
      <c r="G1455" s="187"/>
      <c r="H1455" s="187"/>
      <c r="J1455" s="186"/>
      <c r="K1455" s="180"/>
      <c r="L1455" s="180"/>
      <c r="M1455" s="186"/>
      <c r="N1455" s="186"/>
    </row>
    <row r="1456" spans="2:14" s="188" customFormat="1" ht="15" customHeight="1">
      <c r="B1456" s="187"/>
      <c r="C1456" s="187"/>
      <c r="D1456" s="187"/>
      <c r="E1456" s="187"/>
      <c r="F1456" s="187"/>
      <c r="G1456" s="187"/>
      <c r="H1456" s="187"/>
      <c r="J1456" s="186"/>
      <c r="K1456" s="180"/>
      <c r="L1456" s="180"/>
      <c r="M1456" s="186"/>
      <c r="N1456" s="186"/>
    </row>
    <row r="1457" spans="2:14" s="188" customFormat="1" ht="15" customHeight="1">
      <c r="B1457" s="187"/>
      <c r="C1457" s="187"/>
      <c r="D1457" s="187"/>
      <c r="E1457" s="187"/>
      <c r="F1457" s="187"/>
      <c r="G1457" s="187"/>
      <c r="H1457" s="187"/>
      <c r="J1457" s="186"/>
      <c r="K1457" s="180"/>
      <c r="L1457" s="180"/>
      <c r="M1457" s="186"/>
      <c r="N1457" s="186"/>
    </row>
    <row r="1458" spans="2:14" s="188" customFormat="1" ht="15" customHeight="1">
      <c r="B1458" s="187"/>
      <c r="C1458" s="187"/>
      <c r="D1458" s="187"/>
      <c r="E1458" s="187"/>
      <c r="F1458" s="187"/>
      <c r="G1458" s="187"/>
      <c r="H1458" s="187"/>
      <c r="J1458" s="186"/>
      <c r="K1458" s="180"/>
      <c r="L1458" s="180"/>
      <c r="M1458" s="186"/>
      <c r="N1458" s="186"/>
    </row>
    <row r="1459" spans="2:14" s="188" customFormat="1" ht="15" customHeight="1">
      <c r="B1459" s="187"/>
      <c r="C1459" s="187"/>
      <c r="D1459" s="187"/>
      <c r="E1459" s="187"/>
      <c r="F1459" s="187"/>
      <c r="G1459" s="187"/>
      <c r="H1459" s="187"/>
      <c r="J1459" s="186"/>
      <c r="K1459" s="180"/>
      <c r="L1459" s="180"/>
      <c r="M1459" s="186"/>
      <c r="N1459" s="186"/>
    </row>
    <row r="1460" spans="2:14" s="188" customFormat="1" ht="15" customHeight="1">
      <c r="B1460" s="187"/>
      <c r="C1460" s="187"/>
      <c r="D1460" s="187"/>
      <c r="E1460" s="187"/>
      <c r="F1460" s="187"/>
      <c r="G1460" s="187"/>
      <c r="H1460" s="187"/>
      <c r="J1460" s="186"/>
      <c r="K1460" s="180"/>
      <c r="L1460" s="180"/>
      <c r="M1460" s="186"/>
      <c r="N1460" s="186"/>
    </row>
    <row r="1461" spans="2:14" s="188" customFormat="1" ht="15" customHeight="1">
      <c r="B1461" s="187"/>
      <c r="C1461" s="187"/>
      <c r="D1461" s="187"/>
      <c r="E1461" s="187"/>
      <c r="F1461" s="187"/>
      <c r="G1461" s="187"/>
      <c r="H1461" s="187"/>
      <c r="J1461" s="186"/>
      <c r="K1461" s="180"/>
      <c r="L1461" s="180"/>
      <c r="M1461" s="186"/>
      <c r="N1461" s="186"/>
    </row>
    <row r="1462" spans="2:14" s="188" customFormat="1" ht="15" customHeight="1">
      <c r="B1462" s="187"/>
      <c r="C1462" s="187"/>
      <c r="D1462" s="187"/>
      <c r="E1462" s="187"/>
      <c r="F1462" s="187"/>
      <c r="G1462" s="187"/>
      <c r="H1462" s="187"/>
      <c r="J1462" s="186"/>
      <c r="K1462" s="180"/>
      <c r="L1462" s="180"/>
      <c r="M1462" s="186"/>
      <c r="N1462" s="186"/>
    </row>
    <row r="1463" spans="2:14" s="188" customFormat="1" ht="15" customHeight="1">
      <c r="B1463" s="187"/>
      <c r="C1463" s="187"/>
      <c r="D1463" s="187"/>
      <c r="E1463" s="187"/>
      <c r="F1463" s="187"/>
      <c r="G1463" s="187"/>
      <c r="H1463" s="187"/>
      <c r="J1463" s="186"/>
      <c r="K1463" s="180"/>
      <c r="L1463" s="180"/>
      <c r="M1463" s="186"/>
      <c r="N1463" s="186"/>
    </row>
    <row r="1464" spans="2:14" s="188" customFormat="1" ht="15" customHeight="1">
      <c r="B1464" s="187"/>
      <c r="C1464" s="187"/>
      <c r="D1464" s="187"/>
      <c r="E1464" s="187"/>
      <c r="F1464" s="187"/>
      <c r="G1464" s="187"/>
      <c r="H1464" s="187"/>
      <c r="J1464" s="186"/>
      <c r="K1464" s="180"/>
      <c r="L1464" s="180"/>
      <c r="M1464" s="186"/>
      <c r="N1464" s="186"/>
    </row>
    <row r="1465" spans="2:14" s="188" customFormat="1" ht="15" customHeight="1">
      <c r="B1465" s="187"/>
      <c r="C1465" s="187"/>
      <c r="D1465" s="187"/>
      <c r="E1465" s="187"/>
      <c r="F1465" s="187"/>
      <c r="G1465" s="187"/>
      <c r="H1465" s="187"/>
      <c r="J1465" s="186"/>
      <c r="K1465" s="180"/>
      <c r="L1465" s="180"/>
      <c r="M1465" s="186"/>
      <c r="N1465" s="186"/>
    </row>
    <row r="1466" spans="2:14" s="188" customFormat="1" ht="15" customHeight="1">
      <c r="B1466" s="187"/>
      <c r="C1466" s="187"/>
      <c r="D1466" s="187"/>
      <c r="E1466" s="187"/>
      <c r="F1466" s="187"/>
      <c r="G1466" s="187"/>
      <c r="H1466" s="187"/>
      <c r="J1466" s="186"/>
      <c r="K1466" s="180"/>
      <c r="L1466" s="180"/>
      <c r="M1466" s="186"/>
      <c r="N1466" s="186"/>
    </row>
    <row r="1467" spans="2:14" s="188" customFormat="1" ht="15" customHeight="1">
      <c r="B1467" s="187"/>
      <c r="C1467" s="187"/>
      <c r="D1467" s="187"/>
      <c r="E1467" s="187"/>
      <c r="F1467" s="187"/>
      <c r="G1467" s="187"/>
      <c r="H1467" s="187"/>
      <c r="J1467" s="186"/>
      <c r="K1467" s="180"/>
      <c r="L1467" s="180"/>
      <c r="M1467" s="186"/>
      <c r="N1467" s="186"/>
    </row>
    <row r="1468" spans="2:14" s="188" customFormat="1" ht="15" customHeight="1">
      <c r="B1468" s="187"/>
      <c r="C1468" s="187"/>
      <c r="D1468" s="187"/>
      <c r="E1468" s="187"/>
      <c r="F1468" s="187"/>
      <c r="G1468" s="187"/>
      <c r="H1468" s="187"/>
      <c r="J1468" s="186"/>
      <c r="K1468" s="180"/>
      <c r="L1468" s="180"/>
      <c r="M1468" s="186"/>
      <c r="N1468" s="186"/>
    </row>
    <row r="1469" spans="2:14" s="188" customFormat="1" ht="15" customHeight="1">
      <c r="B1469" s="187"/>
      <c r="C1469" s="187"/>
      <c r="D1469" s="187"/>
      <c r="E1469" s="187"/>
      <c r="F1469" s="187"/>
      <c r="G1469" s="187"/>
      <c r="H1469" s="187"/>
      <c r="J1469" s="186"/>
      <c r="K1469" s="180"/>
      <c r="L1469" s="180"/>
      <c r="M1469" s="186"/>
      <c r="N1469" s="186"/>
    </row>
    <row r="1470" spans="2:14" s="188" customFormat="1" ht="15" customHeight="1">
      <c r="B1470" s="187"/>
      <c r="C1470" s="187"/>
      <c r="D1470" s="187"/>
      <c r="E1470" s="187"/>
      <c r="F1470" s="187"/>
      <c r="G1470" s="187"/>
      <c r="H1470" s="187"/>
      <c r="J1470" s="186"/>
      <c r="K1470" s="180"/>
      <c r="L1470" s="180"/>
      <c r="M1470" s="186"/>
      <c r="N1470" s="186"/>
    </row>
    <row r="1471" spans="2:14" s="188" customFormat="1" ht="15" customHeight="1">
      <c r="B1471" s="187"/>
      <c r="C1471" s="187"/>
      <c r="D1471" s="187"/>
      <c r="E1471" s="187"/>
      <c r="F1471" s="187"/>
      <c r="G1471" s="187"/>
      <c r="H1471" s="187"/>
      <c r="J1471" s="186"/>
      <c r="K1471" s="180"/>
      <c r="L1471" s="180"/>
      <c r="M1471" s="186"/>
      <c r="N1471" s="186"/>
    </row>
    <row r="1472" spans="2:14" s="188" customFormat="1" ht="15" customHeight="1">
      <c r="B1472" s="187"/>
      <c r="C1472" s="187"/>
      <c r="D1472" s="187"/>
      <c r="E1472" s="187"/>
      <c r="F1472" s="187"/>
      <c r="G1472" s="187"/>
      <c r="H1472" s="187"/>
      <c r="J1472" s="186"/>
      <c r="K1472" s="180"/>
      <c r="L1472" s="180"/>
      <c r="M1472" s="186"/>
      <c r="N1472" s="186"/>
    </row>
    <row r="1473" spans="2:14" s="188" customFormat="1" ht="15" customHeight="1">
      <c r="B1473" s="187"/>
      <c r="C1473" s="187"/>
      <c r="D1473" s="187"/>
      <c r="E1473" s="187"/>
      <c r="F1473" s="187"/>
      <c r="G1473" s="187"/>
      <c r="H1473" s="187"/>
      <c r="J1473" s="186"/>
      <c r="K1473" s="180"/>
      <c r="L1473" s="180"/>
      <c r="M1473" s="186"/>
      <c r="N1473" s="186"/>
    </row>
    <row r="1474" spans="2:14" s="188" customFormat="1" ht="15" customHeight="1">
      <c r="B1474" s="187"/>
      <c r="C1474" s="187"/>
      <c r="D1474" s="187"/>
      <c r="E1474" s="187"/>
      <c r="F1474" s="187"/>
      <c r="G1474" s="187"/>
      <c r="H1474" s="187"/>
      <c r="J1474" s="186"/>
      <c r="K1474" s="180"/>
      <c r="L1474" s="180"/>
      <c r="M1474" s="186"/>
      <c r="N1474" s="186"/>
    </row>
    <row r="1475" spans="2:14" s="188" customFormat="1" ht="15" customHeight="1">
      <c r="B1475" s="187"/>
      <c r="C1475" s="187"/>
      <c r="D1475" s="187"/>
      <c r="E1475" s="187"/>
      <c r="F1475" s="187"/>
      <c r="G1475" s="187"/>
      <c r="H1475" s="187"/>
      <c r="J1475" s="186"/>
      <c r="K1475" s="180"/>
      <c r="L1475" s="180"/>
      <c r="M1475" s="186"/>
      <c r="N1475" s="186"/>
    </row>
    <row r="1476" spans="2:14" s="188" customFormat="1" ht="15" customHeight="1">
      <c r="B1476" s="187"/>
      <c r="C1476" s="187"/>
      <c r="D1476" s="187"/>
      <c r="E1476" s="187"/>
      <c r="F1476" s="187"/>
      <c r="G1476" s="187"/>
      <c r="H1476" s="187"/>
      <c r="J1476" s="186"/>
      <c r="K1476" s="180"/>
      <c r="L1476" s="180"/>
      <c r="M1476" s="186"/>
      <c r="N1476" s="186"/>
    </row>
    <row r="1477" spans="2:14" s="188" customFormat="1" ht="15" customHeight="1">
      <c r="B1477" s="187"/>
      <c r="C1477" s="187"/>
      <c r="D1477" s="187"/>
      <c r="E1477" s="187"/>
      <c r="F1477" s="187"/>
      <c r="G1477" s="187"/>
      <c r="H1477" s="187"/>
      <c r="J1477" s="186"/>
      <c r="K1477" s="180"/>
      <c r="L1477" s="180"/>
      <c r="M1477" s="186"/>
      <c r="N1477" s="186"/>
    </row>
    <row r="1478" spans="2:14" s="188" customFormat="1" ht="15" customHeight="1">
      <c r="B1478" s="187"/>
      <c r="C1478" s="187"/>
      <c r="D1478" s="187"/>
      <c r="E1478" s="187"/>
      <c r="F1478" s="187"/>
      <c r="G1478" s="187"/>
      <c r="H1478" s="187"/>
      <c r="J1478" s="186"/>
      <c r="K1478" s="180"/>
      <c r="L1478" s="180"/>
      <c r="M1478" s="186"/>
      <c r="N1478" s="186"/>
    </row>
    <row r="1479" spans="2:14" s="188" customFormat="1" ht="15" customHeight="1">
      <c r="B1479" s="187"/>
      <c r="C1479" s="187"/>
      <c r="D1479" s="187"/>
      <c r="E1479" s="187"/>
      <c r="F1479" s="187"/>
      <c r="G1479" s="187"/>
      <c r="H1479" s="187"/>
      <c r="J1479" s="186"/>
      <c r="K1479" s="180"/>
      <c r="L1479" s="180"/>
      <c r="M1479" s="186"/>
      <c r="N1479" s="186"/>
    </row>
    <row r="1480" spans="2:14" s="188" customFormat="1" ht="15" customHeight="1">
      <c r="B1480" s="187"/>
      <c r="C1480" s="187"/>
      <c r="D1480" s="187"/>
      <c r="E1480" s="187"/>
      <c r="F1480" s="187"/>
      <c r="G1480" s="187"/>
      <c r="H1480" s="187"/>
      <c r="J1480" s="186"/>
      <c r="K1480" s="180"/>
      <c r="L1480" s="180"/>
      <c r="M1480" s="186"/>
      <c r="N1480" s="186"/>
    </row>
    <row r="1481" spans="2:14" s="188" customFormat="1" ht="15" customHeight="1">
      <c r="B1481" s="187"/>
      <c r="C1481" s="187"/>
      <c r="D1481" s="187"/>
      <c r="E1481" s="187"/>
      <c r="F1481" s="187"/>
      <c r="G1481" s="187"/>
      <c r="H1481" s="187"/>
      <c r="J1481" s="186"/>
      <c r="K1481" s="180"/>
      <c r="L1481" s="180"/>
      <c r="M1481" s="186"/>
      <c r="N1481" s="186"/>
    </row>
    <row r="1482" spans="2:14" s="188" customFormat="1" ht="15" customHeight="1">
      <c r="B1482" s="187"/>
      <c r="C1482" s="187"/>
      <c r="D1482" s="187"/>
      <c r="E1482" s="187"/>
      <c r="F1482" s="187"/>
      <c r="G1482" s="187"/>
      <c r="H1482" s="187"/>
      <c r="J1482" s="186"/>
      <c r="K1482" s="180"/>
      <c r="L1482" s="180"/>
      <c r="M1482" s="186"/>
      <c r="N1482" s="186"/>
    </row>
    <row r="1483" spans="2:14" s="188" customFormat="1" ht="15" customHeight="1">
      <c r="B1483" s="187"/>
      <c r="C1483" s="187"/>
      <c r="D1483" s="187"/>
      <c r="E1483" s="187"/>
      <c r="F1483" s="187"/>
      <c r="G1483" s="187"/>
      <c r="H1483" s="187"/>
      <c r="J1483" s="186"/>
      <c r="K1483" s="180"/>
      <c r="L1483" s="180"/>
      <c r="M1483" s="186"/>
      <c r="N1483" s="186"/>
    </row>
    <row r="1484" spans="2:14" s="188" customFormat="1" ht="15" customHeight="1">
      <c r="B1484" s="187"/>
      <c r="C1484" s="187"/>
      <c r="D1484" s="187"/>
      <c r="E1484" s="187"/>
      <c r="F1484" s="187"/>
      <c r="G1484" s="187"/>
      <c r="H1484" s="187"/>
      <c r="J1484" s="186"/>
      <c r="K1484" s="180"/>
      <c r="L1484" s="180"/>
      <c r="M1484" s="186"/>
      <c r="N1484" s="186"/>
    </row>
    <row r="1485" spans="2:14" s="188" customFormat="1" ht="15" customHeight="1">
      <c r="B1485" s="187"/>
      <c r="C1485" s="187"/>
      <c r="D1485" s="187"/>
      <c r="E1485" s="187"/>
      <c r="F1485" s="187"/>
      <c r="G1485" s="187"/>
      <c r="H1485" s="187"/>
      <c r="J1485" s="186"/>
      <c r="K1485" s="180"/>
      <c r="L1485" s="180"/>
      <c r="M1485" s="186"/>
      <c r="N1485" s="186"/>
    </row>
    <row r="1486" spans="2:14" s="188" customFormat="1" ht="15" customHeight="1">
      <c r="B1486" s="187"/>
      <c r="C1486" s="187"/>
      <c r="D1486" s="187"/>
      <c r="E1486" s="187"/>
      <c r="F1486" s="187"/>
      <c r="G1486" s="187"/>
      <c r="H1486" s="187"/>
      <c r="J1486" s="186"/>
      <c r="K1486" s="180"/>
      <c r="L1486" s="180"/>
      <c r="M1486" s="186"/>
      <c r="N1486" s="186"/>
    </row>
    <row r="1487" spans="2:14" s="188" customFormat="1" ht="15" customHeight="1">
      <c r="B1487" s="187"/>
      <c r="C1487" s="187"/>
      <c r="D1487" s="187"/>
      <c r="E1487" s="187"/>
      <c r="F1487" s="187"/>
      <c r="G1487" s="187"/>
      <c r="H1487" s="187"/>
      <c r="J1487" s="186"/>
      <c r="K1487" s="180"/>
      <c r="L1487" s="180"/>
      <c r="M1487" s="186"/>
      <c r="N1487" s="186"/>
    </row>
    <row r="1488" spans="2:14" s="188" customFormat="1" ht="15" customHeight="1">
      <c r="B1488" s="187"/>
      <c r="C1488" s="187"/>
      <c r="D1488" s="187"/>
      <c r="E1488" s="187"/>
      <c r="F1488" s="187"/>
      <c r="G1488" s="187"/>
      <c r="H1488" s="187"/>
      <c r="J1488" s="186"/>
      <c r="K1488" s="180"/>
      <c r="L1488" s="180"/>
      <c r="M1488" s="186"/>
      <c r="N1488" s="186"/>
    </row>
    <row r="1489" spans="2:14" s="188" customFormat="1" ht="15" customHeight="1">
      <c r="B1489" s="187"/>
      <c r="C1489" s="187"/>
      <c r="D1489" s="187"/>
      <c r="E1489" s="187"/>
      <c r="F1489" s="187"/>
      <c r="G1489" s="187"/>
      <c r="H1489" s="187"/>
      <c r="J1489" s="186"/>
      <c r="K1489" s="180"/>
      <c r="L1489" s="180"/>
      <c r="M1489" s="186"/>
      <c r="N1489" s="186"/>
    </row>
    <row r="1490" spans="2:14" s="188" customFormat="1" ht="15" customHeight="1">
      <c r="B1490" s="187"/>
      <c r="C1490" s="187"/>
      <c r="D1490" s="187"/>
      <c r="E1490" s="187"/>
      <c r="F1490" s="187"/>
      <c r="G1490" s="187"/>
      <c r="H1490" s="187"/>
      <c r="J1490" s="186"/>
      <c r="K1490" s="180"/>
      <c r="L1490" s="180"/>
      <c r="M1490" s="186"/>
      <c r="N1490" s="186"/>
    </row>
    <row r="1491" spans="2:14" s="188" customFormat="1" ht="15" customHeight="1">
      <c r="B1491" s="187"/>
      <c r="C1491" s="187"/>
      <c r="D1491" s="187"/>
      <c r="E1491" s="187"/>
      <c r="F1491" s="187"/>
      <c r="G1491" s="187"/>
      <c r="H1491" s="187"/>
      <c r="J1491" s="186"/>
      <c r="K1491" s="180"/>
      <c r="L1491" s="180"/>
      <c r="M1491" s="186"/>
      <c r="N1491" s="186"/>
    </row>
    <row r="1492" spans="2:14" s="188" customFormat="1" ht="15" customHeight="1">
      <c r="B1492" s="187"/>
      <c r="C1492" s="187"/>
      <c r="D1492" s="187"/>
      <c r="E1492" s="187"/>
      <c r="F1492" s="187"/>
      <c r="G1492" s="187"/>
      <c r="H1492" s="187"/>
      <c r="J1492" s="186"/>
      <c r="K1492" s="180"/>
      <c r="L1492" s="180"/>
      <c r="M1492" s="186"/>
      <c r="N1492" s="186"/>
    </row>
    <row r="1493" spans="2:14" s="188" customFormat="1" ht="15" customHeight="1">
      <c r="B1493" s="187"/>
      <c r="C1493" s="187"/>
      <c r="D1493" s="187"/>
      <c r="E1493" s="187"/>
      <c r="F1493" s="187"/>
      <c r="G1493" s="187"/>
      <c r="H1493" s="187"/>
      <c r="J1493" s="186"/>
      <c r="K1493" s="180"/>
      <c r="L1493" s="180"/>
      <c r="M1493" s="186"/>
      <c r="N1493" s="186"/>
    </row>
    <row r="1494" spans="2:14" s="188" customFormat="1" ht="15" customHeight="1">
      <c r="B1494" s="187"/>
      <c r="C1494" s="187"/>
      <c r="D1494" s="187"/>
      <c r="E1494" s="187"/>
      <c r="F1494" s="187"/>
      <c r="G1494" s="187"/>
      <c r="H1494" s="187"/>
      <c r="J1494" s="186"/>
      <c r="K1494" s="180"/>
      <c r="L1494" s="180"/>
      <c r="M1494" s="186"/>
      <c r="N1494" s="186"/>
    </row>
    <row r="1495" spans="2:14" s="188" customFormat="1" ht="15" customHeight="1">
      <c r="B1495" s="187"/>
      <c r="C1495" s="187"/>
      <c r="D1495" s="187"/>
      <c r="E1495" s="187"/>
      <c r="F1495" s="187"/>
      <c r="G1495" s="187"/>
      <c r="H1495" s="187"/>
      <c r="J1495" s="186"/>
      <c r="K1495" s="180"/>
      <c r="L1495" s="180"/>
      <c r="M1495" s="186"/>
      <c r="N1495" s="186"/>
    </row>
    <row r="1496" spans="2:14" s="188" customFormat="1" ht="15" customHeight="1">
      <c r="B1496" s="187"/>
      <c r="C1496" s="187"/>
      <c r="D1496" s="187"/>
      <c r="E1496" s="187"/>
      <c r="F1496" s="187"/>
      <c r="G1496" s="187"/>
      <c r="H1496" s="187"/>
      <c r="J1496" s="186"/>
      <c r="K1496" s="180"/>
      <c r="L1496" s="180"/>
      <c r="M1496" s="186"/>
      <c r="N1496" s="186"/>
    </row>
    <row r="1497" spans="2:14" s="188" customFormat="1" ht="15" customHeight="1">
      <c r="B1497" s="187"/>
      <c r="C1497" s="187"/>
      <c r="D1497" s="187"/>
      <c r="E1497" s="187"/>
      <c r="F1497" s="187"/>
      <c r="G1497" s="187"/>
      <c r="H1497" s="187"/>
      <c r="J1497" s="186"/>
      <c r="K1497" s="180"/>
      <c r="L1497" s="180"/>
      <c r="M1497" s="186"/>
      <c r="N1497" s="186"/>
    </row>
    <row r="1498" spans="2:14" s="188" customFormat="1" ht="15" customHeight="1">
      <c r="B1498" s="187"/>
      <c r="C1498" s="187"/>
      <c r="D1498" s="187"/>
      <c r="E1498" s="187"/>
      <c r="F1498" s="187"/>
      <c r="G1498" s="187"/>
      <c r="H1498" s="187"/>
      <c r="J1498" s="186"/>
      <c r="K1498" s="180"/>
      <c r="L1498" s="180"/>
      <c r="M1498" s="186"/>
      <c r="N1498" s="186"/>
    </row>
    <row r="1499" spans="2:14" s="188" customFormat="1" ht="15" customHeight="1">
      <c r="B1499" s="187"/>
      <c r="C1499" s="187"/>
      <c r="D1499" s="187"/>
      <c r="E1499" s="187"/>
      <c r="F1499" s="187"/>
      <c r="G1499" s="187"/>
      <c r="H1499" s="187"/>
      <c r="J1499" s="186"/>
      <c r="K1499" s="180"/>
      <c r="L1499" s="180"/>
      <c r="M1499" s="186"/>
      <c r="N1499" s="186"/>
    </row>
    <row r="1500" spans="2:14" s="188" customFormat="1" ht="15" customHeight="1">
      <c r="B1500" s="187"/>
      <c r="C1500" s="187"/>
      <c r="D1500" s="187"/>
      <c r="E1500" s="187"/>
      <c r="F1500" s="187"/>
      <c r="G1500" s="187"/>
      <c r="H1500" s="187"/>
      <c r="J1500" s="186"/>
      <c r="K1500" s="180"/>
      <c r="L1500" s="180"/>
      <c r="M1500" s="186"/>
      <c r="N1500" s="186"/>
    </row>
    <row r="1501" spans="2:14" s="188" customFormat="1" ht="15" customHeight="1">
      <c r="B1501" s="187"/>
      <c r="C1501" s="187"/>
      <c r="D1501" s="187"/>
      <c r="E1501" s="187"/>
      <c r="F1501" s="187"/>
      <c r="G1501" s="187"/>
      <c r="H1501" s="187"/>
      <c r="J1501" s="186"/>
      <c r="K1501" s="180"/>
      <c r="L1501" s="180"/>
      <c r="M1501" s="186"/>
      <c r="N1501" s="186"/>
    </row>
    <row r="1502" spans="2:14" s="188" customFormat="1" ht="15" customHeight="1">
      <c r="B1502" s="187"/>
      <c r="C1502" s="187"/>
      <c r="D1502" s="187"/>
      <c r="E1502" s="187"/>
      <c r="F1502" s="187"/>
      <c r="G1502" s="187"/>
      <c r="H1502" s="187"/>
      <c r="J1502" s="186"/>
      <c r="K1502" s="180"/>
      <c r="L1502" s="180"/>
      <c r="M1502" s="186"/>
      <c r="N1502" s="186"/>
    </row>
    <row r="1503" spans="2:14" s="188" customFormat="1" ht="15" customHeight="1">
      <c r="B1503" s="187"/>
      <c r="C1503" s="187"/>
      <c r="D1503" s="187"/>
      <c r="E1503" s="187"/>
      <c r="F1503" s="187"/>
      <c r="G1503" s="187"/>
      <c r="H1503" s="187"/>
      <c r="J1503" s="186"/>
      <c r="K1503" s="180"/>
      <c r="L1503" s="180"/>
      <c r="M1503" s="186"/>
      <c r="N1503" s="186"/>
    </row>
    <row r="1504" spans="2:14" s="188" customFormat="1" ht="15" customHeight="1">
      <c r="B1504" s="187"/>
      <c r="C1504" s="187"/>
      <c r="D1504" s="187"/>
      <c r="E1504" s="187"/>
      <c r="F1504" s="187"/>
      <c r="G1504" s="187"/>
      <c r="H1504" s="187"/>
      <c r="J1504" s="186"/>
      <c r="K1504" s="180"/>
      <c r="L1504" s="180"/>
      <c r="M1504" s="186"/>
      <c r="N1504" s="186"/>
    </row>
    <row r="1505" spans="2:14" s="188" customFormat="1" ht="15" customHeight="1">
      <c r="B1505" s="187"/>
      <c r="C1505" s="187"/>
      <c r="D1505" s="187"/>
      <c r="E1505" s="187"/>
      <c r="F1505" s="187"/>
      <c r="G1505" s="187"/>
      <c r="H1505" s="187"/>
      <c r="J1505" s="186"/>
      <c r="K1505" s="180"/>
      <c r="L1505" s="180"/>
      <c r="M1505" s="186"/>
      <c r="N1505" s="186"/>
    </row>
    <row r="1506" spans="2:14" s="188" customFormat="1" ht="15" customHeight="1">
      <c r="B1506" s="187"/>
      <c r="C1506" s="187"/>
      <c r="D1506" s="187"/>
      <c r="E1506" s="187"/>
      <c r="F1506" s="187"/>
      <c r="G1506" s="187"/>
      <c r="H1506" s="187"/>
      <c r="J1506" s="186"/>
      <c r="K1506" s="180"/>
      <c r="L1506" s="180"/>
      <c r="M1506" s="186"/>
      <c r="N1506" s="186"/>
    </row>
    <row r="1507" spans="2:14" s="188" customFormat="1" ht="15" customHeight="1">
      <c r="B1507" s="187"/>
      <c r="C1507" s="187"/>
      <c r="D1507" s="187"/>
      <c r="E1507" s="187"/>
      <c r="F1507" s="187"/>
      <c r="G1507" s="187"/>
      <c r="H1507" s="187"/>
      <c r="J1507" s="186"/>
      <c r="K1507" s="180"/>
      <c r="L1507" s="180"/>
      <c r="M1507" s="186"/>
      <c r="N1507" s="186"/>
    </row>
    <row r="1508" spans="2:14" s="188" customFormat="1" ht="15" customHeight="1">
      <c r="B1508" s="187"/>
      <c r="C1508" s="187"/>
      <c r="D1508" s="187"/>
      <c r="E1508" s="187"/>
      <c r="F1508" s="187"/>
      <c r="G1508" s="187"/>
      <c r="H1508" s="187"/>
      <c r="J1508" s="186"/>
      <c r="K1508" s="180"/>
      <c r="L1508" s="180"/>
      <c r="M1508" s="186"/>
      <c r="N1508" s="186"/>
    </row>
    <row r="1509" spans="2:14" s="188" customFormat="1" ht="15" customHeight="1">
      <c r="B1509" s="187"/>
      <c r="C1509" s="187"/>
      <c r="D1509" s="187"/>
      <c r="E1509" s="187"/>
      <c r="F1509" s="187"/>
      <c r="G1509" s="187"/>
      <c r="H1509" s="187"/>
      <c r="J1509" s="186"/>
      <c r="K1509" s="180"/>
      <c r="L1509" s="180"/>
      <c r="M1509" s="186"/>
      <c r="N1509" s="186"/>
    </row>
    <row r="1510" spans="2:14" s="188" customFormat="1" ht="15" customHeight="1">
      <c r="B1510" s="187"/>
      <c r="C1510" s="187"/>
      <c r="D1510" s="187"/>
      <c r="E1510" s="187"/>
      <c r="F1510" s="187"/>
      <c r="G1510" s="187"/>
      <c r="H1510" s="187"/>
      <c r="J1510" s="186"/>
      <c r="K1510" s="180"/>
      <c r="L1510" s="180"/>
      <c r="M1510" s="186"/>
      <c r="N1510" s="186"/>
    </row>
    <row r="1511" spans="2:14" s="188" customFormat="1" ht="15" customHeight="1">
      <c r="B1511" s="187"/>
      <c r="C1511" s="187"/>
      <c r="D1511" s="187"/>
      <c r="E1511" s="187"/>
      <c r="F1511" s="187"/>
      <c r="G1511" s="187"/>
      <c r="H1511" s="187"/>
      <c r="J1511" s="186"/>
      <c r="K1511" s="180"/>
      <c r="L1511" s="180"/>
      <c r="M1511" s="186"/>
      <c r="N1511" s="186"/>
    </row>
    <row r="1512" spans="2:14" s="188" customFormat="1" ht="15" customHeight="1">
      <c r="B1512" s="187"/>
      <c r="C1512" s="187"/>
      <c r="D1512" s="187"/>
      <c r="E1512" s="187"/>
      <c r="F1512" s="187"/>
      <c r="G1512" s="187"/>
      <c r="H1512" s="187"/>
      <c r="J1512" s="186"/>
      <c r="K1512" s="180"/>
      <c r="L1512" s="180"/>
      <c r="M1512" s="186"/>
      <c r="N1512" s="186"/>
    </row>
    <row r="1513" spans="2:14" s="188" customFormat="1" ht="15" customHeight="1">
      <c r="B1513" s="187"/>
      <c r="C1513" s="187"/>
      <c r="D1513" s="187"/>
      <c r="E1513" s="187"/>
      <c r="F1513" s="187"/>
      <c r="G1513" s="187"/>
      <c r="H1513" s="187"/>
      <c r="J1513" s="186"/>
      <c r="K1513" s="180"/>
      <c r="L1513" s="180"/>
      <c r="M1513" s="186"/>
      <c r="N1513" s="186"/>
    </row>
    <row r="1514" spans="2:14" s="188" customFormat="1" ht="15" customHeight="1">
      <c r="B1514" s="187"/>
      <c r="C1514" s="187"/>
      <c r="D1514" s="187"/>
      <c r="E1514" s="187"/>
      <c r="F1514" s="187"/>
      <c r="G1514" s="187"/>
      <c r="H1514" s="187"/>
      <c r="J1514" s="186"/>
      <c r="K1514" s="180"/>
      <c r="L1514" s="180"/>
      <c r="M1514" s="186"/>
      <c r="N1514" s="186"/>
    </row>
    <row r="1515" spans="2:14" s="188" customFormat="1" ht="15" customHeight="1">
      <c r="B1515" s="187"/>
      <c r="C1515" s="187"/>
      <c r="D1515" s="187"/>
      <c r="E1515" s="187"/>
      <c r="F1515" s="187"/>
      <c r="G1515" s="187"/>
      <c r="H1515" s="187"/>
      <c r="J1515" s="186"/>
      <c r="K1515" s="180"/>
      <c r="L1515" s="180"/>
      <c r="M1515" s="186"/>
      <c r="N1515" s="186"/>
    </row>
    <row r="1516" spans="2:14" s="188" customFormat="1" ht="15" customHeight="1">
      <c r="B1516" s="187"/>
      <c r="C1516" s="187"/>
      <c r="D1516" s="187"/>
      <c r="E1516" s="187"/>
      <c r="F1516" s="187"/>
      <c r="G1516" s="187"/>
      <c r="H1516" s="187"/>
      <c r="J1516" s="186"/>
      <c r="K1516" s="180"/>
      <c r="L1516" s="180"/>
      <c r="M1516" s="186"/>
      <c r="N1516" s="186"/>
    </row>
    <row r="1517" spans="2:14" s="188" customFormat="1" ht="15" customHeight="1">
      <c r="B1517" s="187"/>
      <c r="C1517" s="187"/>
      <c r="D1517" s="187"/>
      <c r="E1517" s="187"/>
      <c r="F1517" s="187"/>
      <c r="G1517" s="187"/>
      <c r="H1517" s="187"/>
      <c r="J1517" s="186"/>
      <c r="K1517" s="180"/>
      <c r="L1517" s="180"/>
      <c r="M1517" s="186"/>
      <c r="N1517" s="186"/>
    </row>
    <row r="1518" spans="2:14" s="188" customFormat="1" ht="15" customHeight="1">
      <c r="B1518" s="187"/>
      <c r="C1518" s="187"/>
      <c r="D1518" s="187"/>
      <c r="E1518" s="187"/>
      <c r="F1518" s="187"/>
      <c r="G1518" s="187"/>
      <c r="H1518" s="187"/>
      <c r="J1518" s="186"/>
      <c r="K1518" s="180"/>
      <c r="L1518" s="180"/>
      <c r="M1518" s="186"/>
      <c r="N1518" s="186"/>
    </row>
    <row r="1519" spans="2:14" s="188" customFormat="1" ht="15" customHeight="1">
      <c r="B1519" s="187"/>
      <c r="C1519" s="187"/>
      <c r="D1519" s="187"/>
      <c r="E1519" s="187"/>
      <c r="F1519" s="187"/>
      <c r="G1519" s="187"/>
      <c r="H1519" s="187"/>
      <c r="J1519" s="186"/>
      <c r="K1519" s="180"/>
      <c r="L1519" s="180"/>
      <c r="M1519" s="186"/>
      <c r="N1519" s="186"/>
    </row>
    <row r="1520" spans="2:14" s="188" customFormat="1" ht="15" customHeight="1">
      <c r="B1520" s="187"/>
      <c r="C1520" s="187"/>
      <c r="D1520" s="187"/>
      <c r="E1520" s="187"/>
      <c r="F1520" s="187"/>
      <c r="G1520" s="187"/>
      <c r="H1520" s="187"/>
      <c r="J1520" s="186"/>
      <c r="K1520" s="180"/>
      <c r="L1520" s="180"/>
      <c r="M1520" s="186"/>
      <c r="N1520" s="186"/>
    </row>
    <row r="1521" spans="2:14" s="188" customFormat="1" ht="15" customHeight="1">
      <c r="B1521" s="187"/>
      <c r="C1521" s="187"/>
      <c r="D1521" s="187"/>
      <c r="E1521" s="187"/>
      <c r="F1521" s="187"/>
      <c r="G1521" s="187"/>
      <c r="H1521" s="187"/>
      <c r="J1521" s="186"/>
      <c r="K1521" s="180"/>
      <c r="L1521" s="180"/>
      <c r="M1521" s="186"/>
      <c r="N1521" s="186"/>
    </row>
    <row r="1522" spans="2:14" s="188" customFormat="1" ht="15" customHeight="1">
      <c r="B1522" s="187"/>
      <c r="C1522" s="187"/>
      <c r="D1522" s="187"/>
      <c r="E1522" s="187"/>
      <c r="F1522" s="187"/>
      <c r="G1522" s="187"/>
      <c r="H1522" s="187"/>
      <c r="J1522" s="186"/>
      <c r="K1522" s="180"/>
      <c r="L1522" s="180"/>
      <c r="M1522" s="186"/>
      <c r="N1522" s="186"/>
    </row>
    <row r="1523" spans="2:14" s="188" customFormat="1" ht="15" customHeight="1">
      <c r="B1523" s="187"/>
      <c r="C1523" s="187"/>
      <c r="D1523" s="187"/>
      <c r="E1523" s="187"/>
      <c r="F1523" s="187"/>
      <c r="G1523" s="187"/>
      <c r="H1523" s="187"/>
      <c r="J1523" s="186"/>
      <c r="K1523" s="180"/>
      <c r="L1523" s="180"/>
      <c r="M1523" s="186"/>
      <c r="N1523" s="186"/>
    </row>
    <row r="1524" spans="2:14" s="188" customFormat="1" ht="15" customHeight="1">
      <c r="B1524" s="187"/>
      <c r="C1524" s="187"/>
      <c r="D1524" s="187"/>
      <c r="E1524" s="187"/>
      <c r="F1524" s="187"/>
      <c r="G1524" s="187"/>
      <c r="H1524" s="187"/>
      <c r="J1524" s="186"/>
      <c r="K1524" s="180"/>
      <c r="L1524" s="180"/>
      <c r="M1524" s="186"/>
      <c r="N1524" s="186"/>
    </row>
    <row r="1525" spans="2:14" s="188" customFormat="1" ht="15" customHeight="1">
      <c r="B1525" s="187"/>
      <c r="C1525" s="187"/>
      <c r="D1525" s="187"/>
      <c r="E1525" s="187"/>
      <c r="F1525" s="187"/>
      <c r="G1525" s="187"/>
      <c r="H1525" s="187"/>
      <c r="J1525" s="186"/>
      <c r="K1525" s="180"/>
      <c r="L1525" s="180"/>
      <c r="M1525" s="186"/>
      <c r="N1525" s="186"/>
    </row>
    <row r="1526" spans="2:14" s="188" customFormat="1" ht="15" customHeight="1">
      <c r="B1526" s="187"/>
      <c r="C1526" s="187"/>
      <c r="D1526" s="187"/>
      <c r="E1526" s="187"/>
      <c r="F1526" s="187"/>
      <c r="G1526" s="187"/>
      <c r="H1526" s="187"/>
      <c r="J1526" s="186"/>
      <c r="K1526" s="180"/>
      <c r="L1526" s="180"/>
      <c r="M1526" s="186"/>
      <c r="N1526" s="186"/>
    </row>
    <row r="1527" spans="2:14" s="188" customFormat="1" ht="15" customHeight="1">
      <c r="B1527" s="187"/>
      <c r="C1527" s="187"/>
      <c r="D1527" s="187"/>
      <c r="E1527" s="187"/>
      <c r="F1527" s="187"/>
      <c r="G1527" s="187"/>
      <c r="H1527" s="187"/>
      <c r="J1527" s="186"/>
      <c r="K1527" s="180"/>
      <c r="L1527" s="180"/>
      <c r="M1527" s="186"/>
      <c r="N1527" s="186"/>
    </row>
    <row r="1528" spans="2:14" s="188" customFormat="1" ht="15" customHeight="1">
      <c r="B1528" s="187"/>
      <c r="C1528" s="187"/>
      <c r="D1528" s="187"/>
      <c r="E1528" s="187"/>
      <c r="F1528" s="187"/>
      <c r="G1528" s="187"/>
      <c r="H1528" s="187"/>
      <c r="J1528" s="186"/>
      <c r="K1528" s="180"/>
      <c r="L1528" s="180"/>
      <c r="M1528" s="186"/>
      <c r="N1528" s="186"/>
    </row>
    <row r="1529" spans="2:14" s="188" customFormat="1" ht="15" customHeight="1">
      <c r="B1529" s="187"/>
      <c r="C1529" s="187"/>
      <c r="D1529" s="187"/>
      <c r="E1529" s="187"/>
      <c r="F1529" s="187"/>
      <c r="G1529" s="187"/>
      <c r="H1529" s="187"/>
      <c r="J1529" s="186"/>
      <c r="K1529" s="180"/>
      <c r="L1529" s="180"/>
      <c r="M1529" s="186"/>
      <c r="N1529" s="186"/>
    </row>
    <row r="1530" spans="2:14" s="188" customFormat="1" ht="15" customHeight="1">
      <c r="B1530" s="187"/>
      <c r="C1530" s="187"/>
      <c r="D1530" s="187"/>
      <c r="E1530" s="187"/>
      <c r="F1530" s="187"/>
      <c r="G1530" s="187"/>
      <c r="H1530" s="187"/>
      <c r="J1530" s="186"/>
      <c r="K1530" s="180"/>
      <c r="L1530" s="180"/>
      <c r="M1530" s="186"/>
      <c r="N1530" s="186"/>
    </row>
    <row r="1531" spans="2:14" s="188" customFormat="1" ht="15" customHeight="1">
      <c r="B1531" s="187"/>
      <c r="C1531" s="187"/>
      <c r="D1531" s="187"/>
      <c r="E1531" s="187"/>
      <c r="F1531" s="187"/>
      <c r="G1531" s="187"/>
      <c r="H1531" s="187"/>
      <c r="J1531" s="186"/>
      <c r="K1531" s="180"/>
      <c r="L1531" s="180"/>
      <c r="M1531" s="186"/>
      <c r="N1531" s="186"/>
    </row>
    <row r="1532" spans="2:14" s="188" customFormat="1" ht="15" customHeight="1">
      <c r="B1532" s="187"/>
      <c r="C1532" s="187"/>
      <c r="D1532" s="187"/>
      <c r="E1532" s="187"/>
      <c r="F1532" s="187"/>
      <c r="G1532" s="187"/>
      <c r="H1532" s="187"/>
      <c r="J1532" s="186"/>
      <c r="K1532" s="180"/>
      <c r="L1532" s="180"/>
      <c r="M1532" s="186"/>
      <c r="N1532" s="186"/>
    </row>
    <row r="1533" spans="2:14" s="188" customFormat="1" ht="15" customHeight="1">
      <c r="B1533" s="187"/>
      <c r="C1533" s="187"/>
      <c r="D1533" s="187"/>
      <c r="E1533" s="187"/>
      <c r="F1533" s="187"/>
      <c r="G1533" s="187"/>
      <c r="H1533" s="187"/>
      <c r="J1533" s="186"/>
      <c r="K1533" s="180"/>
      <c r="L1533" s="180"/>
      <c r="M1533" s="186"/>
      <c r="N1533" s="186"/>
    </row>
    <row r="1534" spans="2:14" s="188" customFormat="1" ht="15" customHeight="1">
      <c r="B1534" s="187"/>
      <c r="C1534" s="187"/>
      <c r="D1534" s="187"/>
      <c r="E1534" s="187"/>
      <c r="F1534" s="187"/>
      <c r="G1534" s="187"/>
      <c r="H1534" s="187"/>
      <c r="J1534" s="186"/>
      <c r="K1534" s="180"/>
      <c r="L1534" s="180"/>
      <c r="M1534" s="186"/>
      <c r="N1534" s="186"/>
    </row>
    <row r="1535" spans="2:14" s="188" customFormat="1" ht="15" customHeight="1">
      <c r="B1535" s="187"/>
      <c r="C1535" s="187"/>
      <c r="D1535" s="187"/>
      <c r="E1535" s="187"/>
      <c r="F1535" s="187"/>
      <c r="G1535" s="187"/>
      <c r="H1535" s="187"/>
      <c r="J1535" s="186"/>
      <c r="K1535" s="180"/>
      <c r="L1535" s="180"/>
      <c r="M1535" s="186"/>
      <c r="N1535" s="186"/>
    </row>
    <row r="1536" spans="2:14" s="188" customFormat="1" ht="15" customHeight="1">
      <c r="B1536" s="187"/>
      <c r="C1536" s="187"/>
      <c r="D1536" s="187"/>
      <c r="E1536" s="187"/>
      <c r="F1536" s="187"/>
      <c r="G1536" s="187"/>
      <c r="H1536" s="187"/>
      <c r="J1536" s="186"/>
      <c r="K1536" s="180"/>
      <c r="L1536" s="180"/>
      <c r="M1536" s="186"/>
      <c r="N1536" s="186"/>
    </row>
    <row r="1537" spans="2:14" s="188" customFormat="1" ht="15" customHeight="1">
      <c r="B1537" s="187"/>
      <c r="C1537" s="187"/>
      <c r="D1537" s="187"/>
      <c r="E1537" s="187"/>
      <c r="F1537" s="187"/>
      <c r="G1537" s="187"/>
      <c r="H1537" s="187"/>
      <c r="J1537" s="186"/>
      <c r="K1537" s="180"/>
      <c r="L1537" s="180"/>
      <c r="M1537" s="186"/>
      <c r="N1537" s="186"/>
    </row>
    <row r="1538" spans="2:14" s="188" customFormat="1" ht="15" customHeight="1">
      <c r="B1538" s="187"/>
      <c r="C1538" s="187"/>
      <c r="D1538" s="187"/>
      <c r="E1538" s="187"/>
      <c r="F1538" s="187"/>
      <c r="G1538" s="187"/>
      <c r="H1538" s="187"/>
      <c r="J1538" s="186"/>
      <c r="K1538" s="180"/>
      <c r="L1538" s="180"/>
      <c r="M1538" s="186"/>
      <c r="N1538" s="186"/>
    </row>
    <row r="1539" spans="2:14" s="188" customFormat="1" ht="15" customHeight="1">
      <c r="B1539" s="187"/>
      <c r="C1539" s="187"/>
      <c r="D1539" s="187"/>
      <c r="E1539" s="187"/>
      <c r="F1539" s="187"/>
      <c r="G1539" s="187"/>
      <c r="H1539" s="187"/>
      <c r="J1539" s="186"/>
      <c r="K1539" s="180"/>
      <c r="L1539" s="180"/>
      <c r="M1539" s="186"/>
      <c r="N1539" s="186"/>
    </row>
    <row r="1540" spans="2:14" s="188" customFormat="1" ht="15" customHeight="1">
      <c r="B1540" s="187"/>
      <c r="C1540" s="187"/>
      <c r="D1540" s="187"/>
      <c r="E1540" s="187"/>
      <c r="F1540" s="187"/>
      <c r="G1540" s="187"/>
      <c r="H1540" s="187"/>
      <c r="J1540" s="186"/>
      <c r="K1540" s="180"/>
      <c r="L1540" s="180"/>
      <c r="M1540" s="186"/>
      <c r="N1540" s="186"/>
    </row>
    <row r="1541" spans="2:14" s="188" customFormat="1" ht="15" customHeight="1">
      <c r="B1541" s="187"/>
      <c r="C1541" s="187"/>
      <c r="D1541" s="187"/>
      <c r="E1541" s="187"/>
      <c r="F1541" s="187"/>
      <c r="G1541" s="187"/>
      <c r="H1541" s="187"/>
      <c r="J1541" s="186"/>
      <c r="K1541" s="180"/>
      <c r="L1541" s="180"/>
      <c r="M1541" s="186"/>
      <c r="N1541" s="186"/>
    </row>
    <row r="1542" spans="2:14" s="188" customFormat="1" ht="15" customHeight="1">
      <c r="B1542" s="187"/>
      <c r="C1542" s="187"/>
      <c r="D1542" s="187"/>
      <c r="E1542" s="187"/>
      <c r="F1542" s="187"/>
      <c r="G1542" s="187"/>
      <c r="H1542" s="187"/>
      <c r="J1542" s="186"/>
      <c r="K1542" s="180"/>
      <c r="L1542" s="180"/>
      <c r="M1542" s="186"/>
      <c r="N1542" s="186"/>
    </row>
    <row r="1543" spans="2:14" s="188" customFormat="1" ht="15" customHeight="1">
      <c r="B1543" s="187"/>
      <c r="C1543" s="187"/>
      <c r="D1543" s="187"/>
      <c r="E1543" s="187"/>
      <c r="F1543" s="187"/>
      <c r="G1543" s="187"/>
      <c r="H1543" s="187"/>
      <c r="J1543" s="186"/>
      <c r="K1543" s="180"/>
      <c r="L1543" s="180"/>
      <c r="M1543" s="186"/>
      <c r="N1543" s="186"/>
    </row>
    <row r="1544" spans="2:14" s="188" customFormat="1" ht="15" customHeight="1">
      <c r="B1544" s="187"/>
      <c r="C1544" s="187"/>
      <c r="D1544" s="187"/>
      <c r="E1544" s="187"/>
      <c r="F1544" s="187"/>
      <c r="G1544" s="187"/>
      <c r="H1544" s="187"/>
      <c r="J1544" s="186"/>
      <c r="K1544" s="180"/>
      <c r="L1544" s="180"/>
      <c r="M1544" s="186"/>
      <c r="N1544" s="186"/>
    </row>
    <row r="1545" spans="2:14" s="188" customFormat="1" ht="15" customHeight="1">
      <c r="B1545" s="187"/>
      <c r="C1545" s="187"/>
      <c r="D1545" s="187"/>
      <c r="E1545" s="187"/>
      <c r="F1545" s="187"/>
      <c r="G1545" s="187"/>
      <c r="H1545" s="187"/>
      <c r="J1545" s="186"/>
      <c r="K1545" s="180"/>
      <c r="L1545" s="180"/>
      <c r="M1545" s="186"/>
      <c r="N1545" s="186"/>
    </row>
    <row r="1546" spans="2:14" s="188" customFormat="1" ht="15" customHeight="1">
      <c r="B1546" s="187"/>
      <c r="C1546" s="187"/>
      <c r="D1546" s="187"/>
      <c r="E1546" s="187"/>
      <c r="F1546" s="187"/>
      <c r="G1546" s="187"/>
      <c r="H1546" s="187"/>
      <c r="J1546" s="186"/>
      <c r="K1546" s="180"/>
      <c r="L1546" s="180"/>
      <c r="M1546" s="186"/>
      <c r="N1546" s="186"/>
    </row>
    <row r="1547" spans="2:14" s="188" customFormat="1" ht="15" customHeight="1">
      <c r="B1547" s="187"/>
      <c r="C1547" s="187"/>
      <c r="D1547" s="187"/>
      <c r="E1547" s="187"/>
      <c r="F1547" s="187"/>
      <c r="G1547" s="187"/>
      <c r="H1547" s="187"/>
      <c r="J1547" s="186"/>
      <c r="K1547" s="180"/>
      <c r="L1547" s="180"/>
      <c r="M1547" s="186"/>
      <c r="N1547" s="186"/>
    </row>
    <row r="1548" spans="2:14" s="188" customFormat="1" ht="15" customHeight="1">
      <c r="B1548" s="187"/>
      <c r="C1548" s="187"/>
      <c r="D1548" s="187"/>
      <c r="E1548" s="187"/>
      <c r="F1548" s="187"/>
      <c r="G1548" s="187"/>
      <c r="H1548" s="187"/>
      <c r="J1548" s="186"/>
      <c r="K1548" s="180"/>
      <c r="L1548" s="180"/>
      <c r="M1548" s="186"/>
      <c r="N1548" s="186"/>
    </row>
    <row r="1549" spans="2:14" s="188" customFormat="1" ht="15" customHeight="1">
      <c r="B1549" s="187"/>
      <c r="C1549" s="187"/>
      <c r="D1549" s="187"/>
      <c r="E1549" s="187"/>
      <c r="F1549" s="187"/>
      <c r="G1549" s="187"/>
      <c r="H1549" s="187"/>
      <c r="J1549" s="186"/>
      <c r="K1549" s="180"/>
      <c r="L1549" s="180"/>
      <c r="M1549" s="186"/>
      <c r="N1549" s="186"/>
    </row>
    <row r="1550" spans="2:14" s="188" customFormat="1" ht="15" customHeight="1">
      <c r="B1550" s="187"/>
      <c r="C1550" s="187"/>
      <c r="D1550" s="187"/>
      <c r="E1550" s="187"/>
      <c r="F1550" s="187"/>
      <c r="G1550" s="187"/>
      <c r="H1550" s="187"/>
      <c r="J1550" s="186"/>
      <c r="K1550" s="180"/>
      <c r="L1550" s="180"/>
      <c r="M1550" s="186"/>
      <c r="N1550" s="186"/>
    </row>
    <row r="1551" spans="2:14" s="188" customFormat="1" ht="15" customHeight="1">
      <c r="B1551" s="187"/>
      <c r="C1551" s="187"/>
      <c r="D1551" s="187"/>
      <c r="E1551" s="187"/>
      <c r="F1551" s="187"/>
      <c r="G1551" s="187"/>
      <c r="H1551" s="187"/>
      <c r="J1551" s="186"/>
      <c r="K1551" s="180"/>
      <c r="L1551" s="180"/>
      <c r="M1551" s="186"/>
      <c r="N1551" s="186"/>
    </row>
    <row r="1552" spans="2:14" s="188" customFormat="1" ht="15" customHeight="1">
      <c r="B1552" s="187"/>
      <c r="C1552" s="187"/>
      <c r="D1552" s="187"/>
      <c r="E1552" s="187"/>
      <c r="F1552" s="187"/>
      <c r="G1552" s="187"/>
      <c r="H1552" s="187"/>
      <c r="J1552" s="186"/>
      <c r="K1552" s="180"/>
      <c r="L1552" s="180"/>
      <c r="M1552" s="186"/>
      <c r="N1552" s="186"/>
    </row>
    <row r="1553" spans="2:14" s="188" customFormat="1" ht="15" customHeight="1">
      <c r="B1553" s="187"/>
      <c r="C1553" s="187"/>
      <c r="D1553" s="187"/>
      <c r="E1553" s="187"/>
      <c r="F1553" s="187"/>
      <c r="G1553" s="187"/>
      <c r="H1553" s="187"/>
      <c r="J1553" s="186"/>
      <c r="K1553" s="180"/>
      <c r="L1553" s="180"/>
      <c r="M1553" s="186"/>
      <c r="N1553" s="186"/>
    </row>
    <row r="1554" spans="2:14" s="188" customFormat="1" ht="15" customHeight="1">
      <c r="B1554" s="187"/>
      <c r="C1554" s="187"/>
      <c r="D1554" s="187"/>
      <c r="E1554" s="187"/>
      <c r="F1554" s="187"/>
      <c r="G1554" s="187"/>
      <c r="H1554" s="187"/>
      <c r="J1554" s="186"/>
      <c r="K1554" s="180"/>
      <c r="L1554" s="180"/>
      <c r="M1554" s="186"/>
      <c r="N1554" s="186"/>
    </row>
    <row r="1555" spans="2:14" s="188" customFormat="1" ht="15" customHeight="1">
      <c r="B1555" s="187"/>
      <c r="C1555" s="187"/>
      <c r="D1555" s="187"/>
      <c r="E1555" s="187"/>
      <c r="F1555" s="187"/>
      <c r="G1555" s="187"/>
      <c r="H1555" s="187"/>
      <c r="J1555" s="186"/>
      <c r="K1555" s="180"/>
      <c r="L1555" s="180"/>
      <c r="M1555" s="186"/>
      <c r="N1555" s="186"/>
    </row>
    <row r="1556" spans="2:14" s="188" customFormat="1" ht="15" customHeight="1">
      <c r="B1556" s="187"/>
      <c r="C1556" s="187"/>
      <c r="D1556" s="187"/>
      <c r="E1556" s="187"/>
      <c r="F1556" s="187"/>
      <c r="G1556" s="187"/>
      <c r="H1556" s="187"/>
      <c r="J1556" s="186"/>
      <c r="K1556" s="180"/>
      <c r="L1556" s="180"/>
      <c r="M1556" s="186"/>
      <c r="N1556" s="186"/>
    </row>
    <row r="1557" spans="2:14" s="188" customFormat="1" ht="15" customHeight="1">
      <c r="B1557" s="187"/>
      <c r="C1557" s="187"/>
      <c r="D1557" s="187"/>
      <c r="E1557" s="187"/>
      <c r="F1557" s="187"/>
      <c r="G1557" s="187"/>
      <c r="H1557" s="187"/>
      <c r="J1557" s="186"/>
      <c r="K1557" s="180"/>
      <c r="L1557" s="180"/>
      <c r="M1557" s="186"/>
      <c r="N1557" s="186"/>
    </row>
    <row r="1558" spans="2:14" s="188" customFormat="1" ht="15" customHeight="1">
      <c r="B1558" s="187"/>
      <c r="C1558" s="187"/>
      <c r="D1558" s="187"/>
      <c r="E1558" s="187"/>
      <c r="F1558" s="187"/>
      <c r="G1558" s="187"/>
      <c r="H1558" s="187"/>
      <c r="J1558" s="186"/>
      <c r="K1558" s="180"/>
      <c r="L1558" s="180"/>
      <c r="M1558" s="186"/>
      <c r="N1558" s="186"/>
    </row>
    <row r="1559" spans="2:14" s="188" customFormat="1" ht="15" customHeight="1">
      <c r="B1559" s="187"/>
      <c r="C1559" s="187"/>
      <c r="D1559" s="187"/>
      <c r="E1559" s="187"/>
      <c r="F1559" s="187"/>
      <c r="G1559" s="187"/>
      <c r="H1559" s="187"/>
      <c r="J1559" s="186"/>
      <c r="K1559" s="180"/>
      <c r="L1559" s="180"/>
      <c r="M1559" s="186"/>
      <c r="N1559" s="186"/>
    </row>
    <row r="1560" spans="2:14" s="188" customFormat="1" ht="15" customHeight="1">
      <c r="B1560" s="187"/>
      <c r="C1560" s="187"/>
      <c r="D1560" s="187"/>
      <c r="E1560" s="187"/>
      <c r="F1560" s="187"/>
      <c r="G1560" s="187"/>
      <c r="H1560" s="187"/>
      <c r="J1560" s="186"/>
      <c r="K1560" s="180"/>
      <c r="L1560" s="180"/>
      <c r="M1560" s="186"/>
      <c r="N1560" s="186"/>
    </row>
    <row r="1561" spans="2:14" s="188" customFormat="1" ht="15" customHeight="1">
      <c r="B1561" s="187"/>
      <c r="C1561" s="187"/>
      <c r="D1561" s="187"/>
      <c r="E1561" s="187"/>
      <c r="F1561" s="187"/>
      <c r="G1561" s="187"/>
      <c r="H1561" s="187"/>
      <c r="J1561" s="186"/>
      <c r="K1561" s="180"/>
      <c r="L1561" s="180"/>
      <c r="M1561" s="186"/>
      <c r="N1561" s="186"/>
    </row>
    <row r="1562" spans="2:14" s="188" customFormat="1" ht="15" customHeight="1">
      <c r="B1562" s="187"/>
      <c r="C1562" s="187"/>
      <c r="D1562" s="187"/>
      <c r="E1562" s="187"/>
      <c r="F1562" s="187"/>
      <c r="G1562" s="187"/>
      <c r="H1562" s="187"/>
      <c r="J1562" s="186"/>
      <c r="K1562" s="180"/>
      <c r="L1562" s="180"/>
      <c r="M1562" s="186"/>
      <c r="N1562" s="186"/>
    </row>
    <row r="1563" spans="2:14" s="188" customFormat="1" ht="15" customHeight="1">
      <c r="B1563" s="187"/>
      <c r="C1563" s="187"/>
      <c r="D1563" s="187"/>
      <c r="E1563" s="187"/>
      <c r="F1563" s="187"/>
      <c r="G1563" s="187"/>
      <c r="H1563" s="187"/>
      <c r="J1563" s="186"/>
      <c r="K1563" s="180"/>
      <c r="L1563" s="180"/>
      <c r="M1563" s="186"/>
      <c r="N1563" s="186"/>
    </row>
    <row r="1564" spans="2:14" s="188" customFormat="1" ht="15" customHeight="1">
      <c r="B1564" s="187"/>
      <c r="C1564" s="187"/>
      <c r="D1564" s="187"/>
      <c r="E1564" s="187"/>
      <c r="F1564" s="187"/>
      <c r="G1564" s="187"/>
      <c r="H1564" s="187"/>
      <c r="J1564" s="186"/>
      <c r="K1564" s="180"/>
      <c r="L1564" s="180"/>
      <c r="M1564" s="186"/>
      <c r="N1564" s="186"/>
    </row>
    <row r="1565" spans="2:14" s="188" customFormat="1" ht="15" customHeight="1">
      <c r="B1565" s="187"/>
      <c r="C1565" s="187"/>
      <c r="D1565" s="187"/>
      <c r="E1565" s="187"/>
      <c r="F1565" s="187"/>
      <c r="G1565" s="187"/>
      <c r="H1565" s="187"/>
      <c r="J1565" s="186"/>
      <c r="K1565" s="180"/>
      <c r="L1565" s="180"/>
      <c r="M1565" s="186"/>
      <c r="N1565" s="186"/>
    </row>
    <row r="1566" spans="2:14" s="188" customFormat="1" ht="15" customHeight="1">
      <c r="B1566" s="187"/>
      <c r="C1566" s="187"/>
      <c r="D1566" s="187"/>
      <c r="E1566" s="187"/>
      <c r="F1566" s="187"/>
      <c r="G1566" s="187"/>
      <c r="H1566" s="187"/>
      <c r="J1566" s="186"/>
      <c r="K1566" s="180"/>
      <c r="L1566" s="180"/>
      <c r="M1566" s="186"/>
      <c r="N1566" s="186"/>
    </row>
    <row r="1567" spans="2:14" s="188" customFormat="1" ht="15" customHeight="1">
      <c r="B1567" s="187"/>
      <c r="C1567" s="187"/>
      <c r="D1567" s="187"/>
      <c r="E1567" s="187"/>
      <c r="F1567" s="187"/>
      <c r="G1567" s="187"/>
      <c r="H1567" s="187"/>
      <c r="J1567" s="186"/>
      <c r="K1567" s="180"/>
      <c r="L1567" s="180"/>
      <c r="M1567" s="186"/>
      <c r="N1567" s="186"/>
    </row>
    <row r="1568" spans="2:14" s="188" customFormat="1" ht="15" customHeight="1">
      <c r="B1568" s="187"/>
      <c r="C1568" s="187"/>
      <c r="D1568" s="187"/>
      <c r="E1568" s="187"/>
      <c r="F1568" s="187"/>
      <c r="G1568" s="187"/>
      <c r="H1568" s="187"/>
      <c r="J1568" s="186"/>
      <c r="K1568" s="180"/>
      <c r="L1568" s="180"/>
      <c r="M1568" s="186"/>
      <c r="N1568" s="186"/>
    </row>
    <row r="1569" spans="2:14" s="188" customFormat="1" ht="15" customHeight="1">
      <c r="B1569" s="187"/>
      <c r="C1569" s="187"/>
      <c r="D1569" s="187"/>
      <c r="E1569" s="187"/>
      <c r="F1569" s="187"/>
      <c r="G1569" s="187"/>
      <c r="H1569" s="187"/>
      <c r="J1569" s="186"/>
      <c r="K1569" s="180"/>
      <c r="L1569" s="180"/>
      <c r="M1569" s="186"/>
      <c r="N1569" s="186"/>
    </row>
    <row r="1570" spans="2:14" s="188" customFormat="1" ht="15" customHeight="1">
      <c r="B1570" s="187"/>
      <c r="C1570" s="187"/>
      <c r="D1570" s="187"/>
      <c r="E1570" s="187"/>
      <c r="F1570" s="187"/>
      <c r="G1570" s="187"/>
      <c r="H1570" s="187"/>
      <c r="J1570" s="186"/>
      <c r="K1570" s="180"/>
      <c r="L1570" s="180"/>
      <c r="M1570" s="186"/>
      <c r="N1570" s="186"/>
    </row>
    <row r="1571" spans="2:14" s="188" customFormat="1" ht="15" customHeight="1">
      <c r="B1571" s="187"/>
      <c r="C1571" s="187"/>
      <c r="D1571" s="187"/>
      <c r="E1571" s="187"/>
      <c r="F1571" s="187"/>
      <c r="G1571" s="187"/>
      <c r="H1571" s="187"/>
      <c r="J1571" s="186"/>
      <c r="K1571" s="180"/>
      <c r="L1571" s="180"/>
      <c r="M1571" s="186"/>
      <c r="N1571" s="186"/>
    </row>
    <row r="1572" spans="2:14" s="188" customFormat="1" ht="15" customHeight="1">
      <c r="B1572" s="187"/>
      <c r="C1572" s="187"/>
      <c r="D1572" s="187"/>
      <c r="E1572" s="187"/>
      <c r="F1572" s="187"/>
      <c r="G1572" s="187"/>
      <c r="H1572" s="187"/>
      <c r="J1572" s="186"/>
      <c r="K1572" s="180"/>
      <c r="L1572" s="180"/>
      <c r="M1572" s="186"/>
      <c r="N1572" s="186"/>
    </row>
    <row r="1573" spans="2:14" s="188" customFormat="1" ht="15" customHeight="1">
      <c r="B1573" s="187"/>
      <c r="C1573" s="187"/>
      <c r="D1573" s="187"/>
      <c r="E1573" s="187"/>
      <c r="F1573" s="187"/>
      <c r="G1573" s="187"/>
      <c r="H1573" s="187"/>
      <c r="J1573" s="186"/>
      <c r="K1573" s="180"/>
      <c r="L1573" s="180"/>
      <c r="M1573" s="186"/>
      <c r="N1573" s="186"/>
    </row>
    <row r="1574" spans="2:14" s="188" customFormat="1" ht="15" customHeight="1">
      <c r="B1574" s="187"/>
      <c r="C1574" s="187"/>
      <c r="D1574" s="187"/>
      <c r="E1574" s="187"/>
      <c r="F1574" s="187"/>
      <c r="G1574" s="187"/>
      <c r="H1574" s="187"/>
      <c r="J1574" s="186"/>
      <c r="K1574" s="180"/>
      <c r="L1574" s="180"/>
      <c r="M1574" s="186"/>
      <c r="N1574" s="186"/>
    </row>
    <row r="1575" spans="2:14" s="188" customFormat="1" ht="15" customHeight="1">
      <c r="B1575" s="187"/>
      <c r="C1575" s="187"/>
      <c r="D1575" s="187"/>
      <c r="E1575" s="187"/>
      <c r="F1575" s="187"/>
      <c r="G1575" s="187"/>
      <c r="H1575" s="187"/>
      <c r="J1575" s="186"/>
      <c r="K1575" s="180"/>
      <c r="L1575" s="180"/>
      <c r="M1575" s="186"/>
      <c r="N1575" s="186"/>
    </row>
    <row r="1576" spans="2:14" s="188" customFormat="1" ht="15" customHeight="1">
      <c r="B1576" s="187"/>
      <c r="C1576" s="187"/>
      <c r="D1576" s="187"/>
      <c r="E1576" s="187"/>
      <c r="F1576" s="187"/>
      <c r="G1576" s="187"/>
      <c r="H1576" s="187"/>
      <c r="J1576" s="186"/>
      <c r="K1576" s="180"/>
      <c r="L1576" s="180"/>
      <c r="M1576" s="186"/>
      <c r="N1576" s="186"/>
    </row>
    <row r="1577" spans="2:14" s="188" customFormat="1" ht="15" customHeight="1">
      <c r="B1577" s="187"/>
      <c r="C1577" s="187"/>
      <c r="D1577" s="187"/>
      <c r="E1577" s="187"/>
      <c r="F1577" s="187"/>
      <c r="G1577" s="187"/>
      <c r="H1577" s="187"/>
      <c r="J1577" s="186"/>
      <c r="K1577" s="180"/>
      <c r="L1577" s="180"/>
      <c r="M1577" s="186"/>
      <c r="N1577" s="186"/>
    </row>
    <row r="1578" spans="2:14" s="188" customFormat="1" ht="15" customHeight="1">
      <c r="B1578" s="187"/>
      <c r="C1578" s="187"/>
      <c r="D1578" s="187"/>
      <c r="E1578" s="187"/>
      <c r="F1578" s="187"/>
      <c r="G1578" s="187"/>
      <c r="H1578" s="187"/>
      <c r="J1578" s="186"/>
      <c r="K1578" s="180"/>
      <c r="L1578" s="180"/>
      <c r="M1578" s="186"/>
      <c r="N1578" s="186"/>
    </row>
    <row r="1579" spans="2:14" s="188" customFormat="1" ht="15" customHeight="1">
      <c r="B1579" s="187"/>
      <c r="C1579" s="187"/>
      <c r="D1579" s="187"/>
      <c r="E1579" s="187"/>
      <c r="F1579" s="187"/>
      <c r="G1579" s="187"/>
      <c r="H1579" s="187"/>
      <c r="J1579" s="186"/>
      <c r="K1579" s="180"/>
      <c r="L1579" s="180"/>
      <c r="M1579" s="186"/>
      <c r="N1579" s="186"/>
    </row>
    <row r="1580" spans="2:14" s="188" customFormat="1" ht="15" customHeight="1">
      <c r="B1580" s="187"/>
      <c r="C1580" s="187"/>
      <c r="D1580" s="187"/>
      <c r="E1580" s="187"/>
      <c r="F1580" s="187"/>
      <c r="G1580" s="187"/>
      <c r="H1580" s="187"/>
      <c r="J1580" s="186"/>
      <c r="K1580" s="180"/>
      <c r="L1580" s="180"/>
      <c r="M1580" s="186"/>
      <c r="N1580" s="186"/>
    </row>
    <row r="1581" spans="2:14" s="188" customFormat="1" ht="15" customHeight="1">
      <c r="B1581" s="187"/>
      <c r="C1581" s="187"/>
      <c r="D1581" s="187"/>
      <c r="E1581" s="187"/>
      <c r="F1581" s="187"/>
      <c r="G1581" s="187"/>
      <c r="H1581" s="187"/>
      <c r="J1581" s="186"/>
      <c r="K1581" s="180"/>
      <c r="L1581" s="180"/>
      <c r="M1581" s="186"/>
      <c r="N1581" s="186"/>
    </row>
    <row r="1582" spans="2:14" s="188" customFormat="1" ht="15" customHeight="1">
      <c r="B1582" s="187"/>
      <c r="C1582" s="187"/>
      <c r="D1582" s="187"/>
      <c r="E1582" s="187"/>
      <c r="F1582" s="187"/>
      <c r="G1582" s="187"/>
      <c r="H1582" s="187"/>
      <c r="J1582" s="186"/>
      <c r="K1582" s="180"/>
      <c r="L1582" s="180"/>
      <c r="M1582" s="186"/>
      <c r="N1582" s="186"/>
    </row>
    <row r="1583" spans="2:14" s="188" customFormat="1" ht="15" customHeight="1">
      <c r="B1583" s="187"/>
      <c r="C1583" s="187"/>
      <c r="D1583" s="187"/>
      <c r="E1583" s="187"/>
      <c r="F1583" s="187"/>
      <c r="G1583" s="187"/>
      <c r="H1583" s="187"/>
      <c r="J1583" s="186"/>
      <c r="K1583" s="180"/>
      <c r="L1583" s="180"/>
      <c r="M1583" s="186"/>
      <c r="N1583" s="186"/>
    </row>
    <row r="1584" spans="2:14" s="188" customFormat="1" ht="15" customHeight="1">
      <c r="B1584" s="187"/>
      <c r="C1584" s="187"/>
      <c r="D1584" s="187"/>
      <c r="E1584" s="187"/>
      <c r="F1584" s="187"/>
      <c r="G1584" s="187"/>
      <c r="H1584" s="187"/>
      <c r="J1584" s="186"/>
      <c r="K1584" s="180"/>
      <c r="L1584" s="180"/>
      <c r="M1584" s="186"/>
      <c r="N1584" s="186"/>
    </row>
    <row r="1585" spans="2:14" s="188" customFormat="1" ht="15" customHeight="1">
      <c r="B1585" s="187"/>
      <c r="C1585" s="187"/>
      <c r="D1585" s="187"/>
      <c r="E1585" s="187"/>
      <c r="F1585" s="187"/>
      <c r="G1585" s="187"/>
      <c r="H1585" s="187"/>
      <c r="J1585" s="186"/>
      <c r="K1585" s="180"/>
      <c r="L1585" s="180"/>
      <c r="M1585" s="186"/>
      <c r="N1585" s="186"/>
    </row>
    <row r="1586" spans="2:14" s="188" customFormat="1" ht="15" customHeight="1">
      <c r="B1586" s="187"/>
      <c r="C1586" s="187"/>
      <c r="D1586" s="187"/>
      <c r="E1586" s="187"/>
      <c r="F1586" s="187"/>
      <c r="G1586" s="187"/>
      <c r="H1586" s="187"/>
      <c r="J1586" s="186"/>
      <c r="K1586" s="180"/>
      <c r="L1586" s="180"/>
      <c r="M1586" s="186"/>
      <c r="N1586" s="186"/>
    </row>
    <row r="1587" spans="2:14" s="188" customFormat="1" ht="15" customHeight="1">
      <c r="B1587" s="187"/>
      <c r="C1587" s="187"/>
      <c r="D1587" s="187"/>
      <c r="E1587" s="187"/>
      <c r="F1587" s="187"/>
      <c r="G1587" s="187"/>
      <c r="H1587" s="187"/>
      <c r="J1587" s="186"/>
      <c r="K1587" s="180"/>
      <c r="L1587" s="180"/>
      <c r="M1587" s="186"/>
      <c r="N1587" s="186"/>
    </row>
    <row r="1588" spans="2:14" s="188" customFormat="1" ht="15" customHeight="1">
      <c r="B1588" s="187"/>
      <c r="C1588" s="187"/>
      <c r="D1588" s="187"/>
      <c r="E1588" s="187"/>
      <c r="F1588" s="187"/>
      <c r="G1588" s="187"/>
      <c r="H1588" s="187"/>
      <c r="J1588" s="186"/>
      <c r="K1588" s="180"/>
      <c r="L1588" s="180"/>
      <c r="M1588" s="186"/>
      <c r="N1588" s="186"/>
    </row>
    <row r="1589" spans="2:14" s="188" customFormat="1" ht="15" customHeight="1">
      <c r="B1589" s="187"/>
      <c r="C1589" s="187"/>
      <c r="D1589" s="187"/>
      <c r="E1589" s="187"/>
      <c r="F1589" s="187"/>
      <c r="G1589" s="187"/>
      <c r="H1589" s="187"/>
      <c r="J1589" s="186"/>
      <c r="K1589" s="180"/>
      <c r="L1589" s="180"/>
      <c r="M1589" s="186"/>
      <c r="N1589" s="186"/>
    </row>
    <row r="1590" spans="2:14" s="188" customFormat="1" ht="15" customHeight="1">
      <c r="B1590" s="187"/>
      <c r="C1590" s="187"/>
      <c r="D1590" s="187"/>
      <c r="E1590" s="187"/>
      <c r="F1590" s="187"/>
      <c r="G1590" s="187"/>
      <c r="H1590" s="187"/>
      <c r="J1590" s="186"/>
      <c r="K1590" s="180"/>
      <c r="L1590" s="180"/>
      <c r="M1590" s="186"/>
      <c r="N1590" s="186"/>
    </row>
    <row r="1591" spans="2:14" s="188" customFormat="1" ht="15" customHeight="1">
      <c r="B1591" s="187"/>
      <c r="C1591" s="187"/>
      <c r="D1591" s="187"/>
      <c r="E1591" s="187"/>
      <c r="F1591" s="187"/>
      <c r="G1591" s="187"/>
      <c r="H1591" s="187"/>
      <c r="J1591" s="186"/>
      <c r="K1591" s="180"/>
      <c r="L1591" s="180"/>
      <c r="M1591" s="186"/>
      <c r="N1591" s="186"/>
    </row>
    <row r="1592" spans="2:14" s="188" customFormat="1" ht="15" customHeight="1">
      <c r="B1592" s="187"/>
      <c r="C1592" s="187"/>
      <c r="D1592" s="187"/>
      <c r="E1592" s="187"/>
      <c r="F1592" s="187"/>
      <c r="G1592" s="187"/>
      <c r="H1592" s="187"/>
      <c r="J1592" s="186"/>
      <c r="K1592" s="180"/>
      <c r="L1592" s="180"/>
      <c r="M1592" s="186"/>
      <c r="N1592" s="186"/>
    </row>
    <row r="1593" spans="2:14" s="188" customFormat="1" ht="15" customHeight="1">
      <c r="B1593" s="187"/>
      <c r="C1593" s="187"/>
      <c r="D1593" s="187"/>
      <c r="E1593" s="187"/>
      <c r="F1593" s="187"/>
      <c r="G1593" s="187"/>
      <c r="H1593" s="187"/>
      <c r="J1593" s="186"/>
      <c r="K1593" s="180"/>
      <c r="L1593" s="180"/>
      <c r="M1593" s="186"/>
      <c r="N1593" s="186"/>
    </row>
    <row r="1594" spans="2:14" s="188" customFormat="1" ht="15" customHeight="1">
      <c r="B1594" s="187"/>
      <c r="C1594" s="187"/>
      <c r="D1594" s="187"/>
      <c r="E1594" s="187"/>
      <c r="F1594" s="187"/>
      <c r="G1594" s="187"/>
      <c r="H1594" s="187"/>
      <c r="J1594" s="186"/>
      <c r="K1594" s="180"/>
      <c r="L1594" s="180"/>
      <c r="M1594" s="186"/>
      <c r="N1594" s="186"/>
    </row>
    <row r="1595" spans="2:14" s="188" customFormat="1" ht="15" customHeight="1">
      <c r="B1595" s="187"/>
      <c r="C1595" s="187"/>
      <c r="D1595" s="187"/>
      <c r="E1595" s="187"/>
      <c r="F1595" s="187"/>
      <c r="G1595" s="187"/>
      <c r="H1595" s="187"/>
      <c r="J1595" s="186"/>
      <c r="K1595" s="180"/>
      <c r="L1595" s="180"/>
      <c r="M1595" s="186"/>
      <c r="N1595" s="186"/>
    </row>
    <row r="1596" spans="2:14" s="188" customFormat="1" ht="15" customHeight="1">
      <c r="B1596" s="187"/>
      <c r="C1596" s="187"/>
      <c r="D1596" s="187"/>
      <c r="E1596" s="187"/>
      <c r="F1596" s="187"/>
      <c r="G1596" s="187"/>
      <c r="H1596" s="187"/>
      <c r="J1596" s="186"/>
      <c r="K1596" s="180"/>
      <c r="L1596" s="180"/>
      <c r="M1596" s="186"/>
      <c r="N1596" s="186"/>
    </row>
    <row r="1597" spans="2:14" s="188" customFormat="1" ht="15" customHeight="1">
      <c r="B1597" s="187"/>
      <c r="C1597" s="187"/>
      <c r="D1597" s="187"/>
      <c r="E1597" s="187"/>
      <c r="F1597" s="187"/>
      <c r="G1597" s="187"/>
      <c r="H1597" s="187"/>
      <c r="J1597" s="186"/>
      <c r="K1597" s="180"/>
      <c r="L1597" s="180"/>
      <c r="M1597" s="186"/>
      <c r="N1597" s="186"/>
    </row>
    <row r="1598" spans="2:14" s="188" customFormat="1" ht="15" customHeight="1">
      <c r="B1598" s="187"/>
      <c r="C1598" s="187"/>
      <c r="D1598" s="187"/>
      <c r="E1598" s="187"/>
      <c r="F1598" s="187"/>
      <c r="G1598" s="187"/>
      <c r="H1598" s="187"/>
      <c r="J1598" s="186"/>
      <c r="K1598" s="180"/>
      <c r="L1598" s="180"/>
      <c r="M1598" s="186"/>
      <c r="N1598" s="186"/>
    </row>
    <row r="1599" spans="2:14" s="188" customFormat="1" ht="15" customHeight="1">
      <c r="B1599" s="187"/>
      <c r="C1599" s="187"/>
      <c r="D1599" s="187"/>
      <c r="E1599" s="187"/>
      <c r="F1599" s="187"/>
      <c r="G1599" s="187"/>
      <c r="H1599" s="187"/>
      <c r="J1599" s="186"/>
      <c r="K1599" s="180"/>
      <c r="L1599" s="180"/>
      <c r="M1599" s="186"/>
      <c r="N1599" s="186"/>
    </row>
    <row r="1600" spans="2:14" s="188" customFormat="1" ht="15" customHeight="1">
      <c r="B1600" s="187"/>
      <c r="C1600" s="187"/>
      <c r="D1600" s="187"/>
      <c r="E1600" s="187"/>
      <c r="F1600" s="187"/>
      <c r="G1600" s="187"/>
      <c r="H1600" s="187"/>
      <c r="J1600" s="186"/>
      <c r="K1600" s="180"/>
      <c r="L1600" s="180"/>
      <c r="M1600" s="186"/>
      <c r="N1600" s="186"/>
    </row>
    <row r="1601" spans="2:14" s="188" customFormat="1" ht="15" customHeight="1">
      <c r="B1601" s="187"/>
      <c r="C1601" s="187"/>
      <c r="D1601" s="187"/>
      <c r="E1601" s="187"/>
      <c r="F1601" s="187"/>
      <c r="G1601" s="187"/>
      <c r="H1601" s="187"/>
      <c r="J1601" s="186"/>
      <c r="K1601" s="180"/>
      <c r="L1601" s="180"/>
      <c r="M1601" s="186"/>
      <c r="N1601" s="186"/>
    </row>
    <row r="1602" spans="2:14" s="188" customFormat="1" ht="15" customHeight="1">
      <c r="B1602" s="187"/>
      <c r="C1602" s="187"/>
      <c r="D1602" s="187"/>
      <c r="E1602" s="187"/>
      <c r="F1602" s="187"/>
      <c r="G1602" s="187"/>
      <c r="H1602" s="187"/>
      <c r="J1602" s="186"/>
      <c r="K1602" s="180"/>
      <c r="L1602" s="180"/>
      <c r="M1602" s="186"/>
      <c r="N1602" s="186"/>
    </row>
    <row r="1603" spans="2:14" s="188" customFormat="1" ht="15" customHeight="1">
      <c r="B1603" s="187"/>
      <c r="C1603" s="187"/>
      <c r="D1603" s="187"/>
      <c r="E1603" s="187"/>
      <c r="F1603" s="187"/>
      <c r="G1603" s="187"/>
      <c r="H1603" s="187"/>
      <c r="J1603" s="186"/>
      <c r="K1603" s="180"/>
      <c r="L1603" s="180"/>
      <c r="M1603" s="186"/>
      <c r="N1603" s="186"/>
    </row>
    <row r="1604" spans="2:14" s="188" customFormat="1" ht="15" customHeight="1">
      <c r="B1604" s="187"/>
      <c r="C1604" s="187"/>
      <c r="D1604" s="187"/>
      <c r="E1604" s="187"/>
      <c r="F1604" s="187"/>
      <c r="G1604" s="187"/>
      <c r="H1604" s="187"/>
      <c r="J1604" s="186"/>
      <c r="K1604" s="180"/>
      <c r="L1604" s="180"/>
      <c r="M1604" s="186"/>
      <c r="N1604" s="186"/>
    </row>
    <row r="1605" spans="2:14" s="188" customFormat="1" ht="15" customHeight="1">
      <c r="B1605" s="187"/>
      <c r="C1605" s="187"/>
      <c r="D1605" s="187"/>
      <c r="E1605" s="187"/>
      <c r="F1605" s="187"/>
      <c r="G1605" s="187"/>
      <c r="H1605" s="187"/>
      <c r="J1605" s="186"/>
      <c r="K1605" s="180"/>
      <c r="L1605" s="180"/>
      <c r="M1605" s="186"/>
      <c r="N1605" s="186"/>
    </row>
    <row r="1606" spans="2:14" s="188" customFormat="1" ht="15" customHeight="1">
      <c r="B1606" s="187"/>
      <c r="C1606" s="187"/>
      <c r="D1606" s="187"/>
      <c r="E1606" s="187"/>
      <c r="F1606" s="187"/>
      <c r="G1606" s="187"/>
      <c r="H1606" s="187"/>
      <c r="J1606" s="186"/>
      <c r="K1606" s="180"/>
      <c r="L1606" s="180"/>
      <c r="M1606" s="186"/>
      <c r="N1606" s="186"/>
    </row>
    <row r="1607" spans="2:14" s="188" customFormat="1" ht="15" customHeight="1">
      <c r="B1607" s="187"/>
      <c r="C1607" s="187"/>
      <c r="D1607" s="187"/>
      <c r="E1607" s="187"/>
      <c r="F1607" s="187"/>
      <c r="G1607" s="187"/>
      <c r="H1607" s="187"/>
      <c r="J1607" s="186"/>
      <c r="K1607" s="180"/>
      <c r="L1607" s="180"/>
      <c r="M1607" s="186"/>
      <c r="N1607" s="186"/>
    </row>
    <row r="1608" spans="2:14" s="188" customFormat="1" ht="15" customHeight="1">
      <c r="B1608" s="187"/>
      <c r="C1608" s="187"/>
      <c r="D1608" s="187"/>
      <c r="E1608" s="187"/>
      <c r="F1608" s="187"/>
      <c r="G1608" s="187"/>
      <c r="H1608" s="187"/>
      <c r="J1608" s="186"/>
      <c r="K1608" s="180"/>
      <c r="L1608" s="180"/>
      <c r="M1608" s="186"/>
      <c r="N1608" s="186"/>
    </row>
    <row r="1609" spans="2:14" s="188" customFormat="1" ht="15" customHeight="1">
      <c r="B1609" s="187"/>
      <c r="C1609" s="187"/>
      <c r="D1609" s="187"/>
      <c r="E1609" s="187"/>
      <c r="F1609" s="187"/>
      <c r="G1609" s="187"/>
      <c r="H1609" s="187"/>
      <c r="J1609" s="186"/>
      <c r="K1609" s="180"/>
      <c r="L1609" s="180"/>
      <c r="M1609" s="186"/>
      <c r="N1609" s="186"/>
    </row>
    <row r="1610" spans="2:14" s="188" customFormat="1" ht="15" customHeight="1">
      <c r="B1610" s="187"/>
      <c r="C1610" s="187"/>
      <c r="D1610" s="187"/>
      <c r="E1610" s="187"/>
      <c r="F1610" s="187"/>
      <c r="G1610" s="187"/>
      <c r="H1610" s="187"/>
      <c r="J1610" s="186"/>
      <c r="K1610" s="180"/>
      <c r="L1610" s="180"/>
      <c r="M1610" s="186"/>
      <c r="N1610" s="186"/>
    </row>
    <row r="1611" spans="2:14" s="188" customFormat="1" ht="15" customHeight="1">
      <c r="B1611" s="187"/>
      <c r="C1611" s="187"/>
      <c r="D1611" s="187"/>
      <c r="E1611" s="187"/>
      <c r="F1611" s="187"/>
      <c r="G1611" s="187"/>
      <c r="H1611" s="187"/>
      <c r="J1611" s="186"/>
      <c r="K1611" s="180"/>
      <c r="L1611" s="180"/>
      <c r="M1611" s="186"/>
      <c r="N1611" s="186"/>
    </row>
    <row r="1612" spans="2:14" s="188" customFormat="1" ht="15" customHeight="1">
      <c r="B1612" s="187"/>
      <c r="C1612" s="187"/>
      <c r="D1612" s="187"/>
      <c r="E1612" s="187"/>
      <c r="F1612" s="187"/>
      <c r="G1612" s="187"/>
      <c r="H1612" s="187"/>
      <c r="J1612" s="186"/>
      <c r="K1612" s="180"/>
      <c r="L1612" s="180"/>
      <c r="M1612" s="186"/>
      <c r="N1612" s="186"/>
    </row>
    <row r="1613" spans="2:14" s="188" customFormat="1" ht="15" customHeight="1">
      <c r="B1613" s="187"/>
      <c r="C1613" s="187"/>
      <c r="D1613" s="187"/>
      <c r="E1613" s="187"/>
      <c r="F1613" s="187"/>
      <c r="G1613" s="187"/>
      <c r="H1613" s="187"/>
      <c r="J1613" s="186"/>
      <c r="K1613" s="180"/>
      <c r="L1613" s="180"/>
      <c r="M1613" s="186"/>
      <c r="N1613" s="186"/>
    </row>
    <row r="1614" spans="2:14" s="188" customFormat="1" ht="15" customHeight="1">
      <c r="B1614" s="187"/>
      <c r="C1614" s="187"/>
      <c r="D1614" s="187"/>
      <c r="E1614" s="187"/>
      <c r="F1614" s="187"/>
      <c r="G1614" s="187"/>
      <c r="H1614" s="187"/>
      <c r="J1614" s="186"/>
      <c r="K1614" s="180"/>
      <c r="L1614" s="180"/>
      <c r="M1614" s="186"/>
      <c r="N1614" s="186"/>
    </row>
    <row r="1615" spans="2:14" s="188" customFormat="1" ht="15" customHeight="1">
      <c r="B1615" s="187"/>
      <c r="C1615" s="187"/>
      <c r="D1615" s="187"/>
      <c r="E1615" s="187"/>
      <c r="F1615" s="187"/>
      <c r="G1615" s="187"/>
      <c r="H1615" s="187"/>
      <c r="J1615" s="186"/>
      <c r="K1615" s="180"/>
      <c r="L1615" s="180"/>
      <c r="M1615" s="186"/>
      <c r="N1615" s="186"/>
    </row>
    <row r="1616" spans="2:14" s="188" customFormat="1" ht="15" customHeight="1">
      <c r="B1616" s="187"/>
      <c r="C1616" s="187"/>
      <c r="D1616" s="187"/>
      <c r="E1616" s="187"/>
      <c r="F1616" s="187"/>
      <c r="G1616" s="187"/>
      <c r="H1616" s="187"/>
      <c r="J1616" s="186"/>
      <c r="K1616" s="180"/>
      <c r="L1616" s="180"/>
      <c r="M1616" s="186"/>
      <c r="N1616" s="186"/>
    </row>
    <row r="1617" spans="2:14" s="188" customFormat="1" ht="15" customHeight="1">
      <c r="B1617" s="187"/>
      <c r="C1617" s="187"/>
      <c r="D1617" s="187"/>
      <c r="E1617" s="187"/>
      <c r="F1617" s="187"/>
      <c r="G1617" s="187"/>
      <c r="H1617" s="187"/>
      <c r="J1617" s="186"/>
      <c r="K1617" s="180"/>
      <c r="L1617" s="180"/>
      <c r="M1617" s="186"/>
      <c r="N1617" s="186"/>
    </row>
    <row r="1618" spans="2:14" s="188" customFormat="1" ht="15" customHeight="1">
      <c r="B1618" s="187"/>
      <c r="C1618" s="187"/>
      <c r="D1618" s="187"/>
      <c r="E1618" s="187"/>
      <c r="F1618" s="187"/>
      <c r="G1618" s="187"/>
      <c r="H1618" s="187"/>
      <c r="J1618" s="186"/>
      <c r="K1618" s="180"/>
      <c r="L1618" s="180"/>
      <c r="M1618" s="186"/>
      <c r="N1618" s="186"/>
    </row>
    <row r="1619" spans="2:14" s="188" customFormat="1" ht="15" customHeight="1">
      <c r="B1619" s="187"/>
      <c r="C1619" s="187"/>
      <c r="D1619" s="187"/>
      <c r="E1619" s="187"/>
      <c r="F1619" s="187"/>
      <c r="G1619" s="187"/>
      <c r="H1619" s="187"/>
      <c r="J1619" s="186"/>
      <c r="K1619" s="180"/>
      <c r="L1619" s="180"/>
      <c r="M1619" s="186"/>
      <c r="N1619" s="186"/>
    </row>
    <row r="1620" spans="2:14" s="188" customFormat="1" ht="15" customHeight="1">
      <c r="B1620" s="187"/>
      <c r="C1620" s="187"/>
      <c r="D1620" s="187"/>
      <c r="E1620" s="187"/>
      <c r="F1620" s="187"/>
      <c r="G1620" s="187"/>
      <c r="H1620" s="187"/>
      <c r="J1620" s="186"/>
      <c r="K1620" s="180"/>
      <c r="L1620" s="180"/>
      <c r="M1620" s="186"/>
      <c r="N1620" s="186"/>
    </row>
    <row r="1621" spans="2:14" s="188" customFormat="1" ht="15" customHeight="1">
      <c r="B1621" s="187"/>
      <c r="C1621" s="187"/>
      <c r="D1621" s="187"/>
      <c r="E1621" s="187"/>
      <c r="F1621" s="187"/>
      <c r="G1621" s="187"/>
      <c r="H1621" s="187"/>
      <c r="J1621" s="186"/>
      <c r="K1621" s="180"/>
      <c r="L1621" s="180"/>
      <c r="M1621" s="186"/>
      <c r="N1621" s="186"/>
    </row>
    <row r="1622" spans="2:14" s="188" customFormat="1" ht="15" customHeight="1">
      <c r="B1622" s="187"/>
      <c r="C1622" s="187"/>
      <c r="D1622" s="187"/>
      <c r="E1622" s="187"/>
      <c r="F1622" s="187"/>
      <c r="G1622" s="187"/>
      <c r="H1622" s="187"/>
      <c r="J1622" s="186"/>
      <c r="K1622" s="180"/>
      <c r="L1622" s="180"/>
      <c r="M1622" s="186"/>
      <c r="N1622" s="186"/>
    </row>
    <row r="1623" spans="2:14" s="188" customFormat="1" ht="15" customHeight="1">
      <c r="B1623" s="187"/>
      <c r="C1623" s="187"/>
      <c r="D1623" s="187"/>
      <c r="E1623" s="187"/>
      <c r="F1623" s="187"/>
      <c r="G1623" s="187"/>
      <c r="H1623" s="187"/>
      <c r="J1623" s="186"/>
      <c r="K1623" s="180"/>
      <c r="L1623" s="180"/>
      <c r="M1623" s="186"/>
      <c r="N1623" s="186"/>
    </row>
    <row r="1624" spans="2:14" s="188" customFormat="1" ht="15" customHeight="1">
      <c r="B1624" s="187"/>
      <c r="C1624" s="187"/>
      <c r="D1624" s="187"/>
      <c r="E1624" s="187"/>
      <c r="F1624" s="187"/>
      <c r="G1624" s="187"/>
      <c r="H1624" s="187"/>
      <c r="J1624" s="186"/>
      <c r="K1624" s="180"/>
      <c r="L1624" s="180"/>
      <c r="M1624" s="186"/>
      <c r="N1624" s="186"/>
    </row>
    <row r="1625" spans="2:14" s="188" customFormat="1" ht="15" customHeight="1">
      <c r="B1625" s="187"/>
      <c r="C1625" s="187"/>
      <c r="D1625" s="187"/>
      <c r="E1625" s="187"/>
      <c r="F1625" s="187"/>
      <c r="G1625" s="187"/>
      <c r="H1625" s="187"/>
      <c r="J1625" s="186"/>
      <c r="K1625" s="180"/>
      <c r="L1625" s="180"/>
      <c r="M1625" s="186"/>
      <c r="N1625" s="186"/>
    </row>
    <row r="1626" spans="2:14" s="188" customFormat="1" ht="15" customHeight="1">
      <c r="B1626" s="187"/>
      <c r="C1626" s="187"/>
      <c r="D1626" s="187"/>
      <c r="E1626" s="187"/>
      <c r="F1626" s="187"/>
      <c r="G1626" s="187"/>
      <c r="H1626" s="187"/>
      <c r="J1626" s="186"/>
      <c r="K1626" s="180"/>
      <c r="L1626" s="180"/>
      <c r="M1626" s="186"/>
      <c r="N1626" s="186"/>
    </row>
    <row r="1627" spans="2:14" s="188" customFormat="1" ht="15" customHeight="1">
      <c r="B1627" s="187"/>
      <c r="C1627" s="187"/>
      <c r="D1627" s="187"/>
      <c r="E1627" s="187"/>
      <c r="F1627" s="187"/>
      <c r="G1627" s="187"/>
      <c r="H1627" s="187"/>
      <c r="J1627" s="186"/>
      <c r="K1627" s="180"/>
      <c r="L1627" s="180"/>
      <c r="M1627" s="186"/>
      <c r="N1627" s="186"/>
    </row>
    <row r="1628" spans="2:14" s="188" customFormat="1" ht="15" customHeight="1">
      <c r="B1628" s="187"/>
      <c r="C1628" s="187"/>
      <c r="D1628" s="187"/>
      <c r="E1628" s="187"/>
      <c r="F1628" s="187"/>
      <c r="G1628" s="187"/>
      <c r="H1628" s="187"/>
      <c r="J1628" s="186"/>
      <c r="K1628" s="180"/>
      <c r="L1628" s="180"/>
      <c r="M1628" s="186"/>
      <c r="N1628" s="186"/>
    </row>
    <row r="1629" spans="2:14" s="188" customFormat="1" ht="15" customHeight="1">
      <c r="B1629" s="187"/>
      <c r="C1629" s="187"/>
      <c r="D1629" s="187"/>
      <c r="E1629" s="187"/>
      <c r="F1629" s="187"/>
      <c r="G1629" s="187"/>
      <c r="H1629" s="187"/>
      <c r="J1629" s="186"/>
      <c r="K1629" s="180"/>
      <c r="L1629" s="180"/>
      <c r="M1629" s="186"/>
      <c r="N1629" s="186"/>
    </row>
    <row r="1630" spans="2:14" s="188" customFormat="1" ht="15" customHeight="1">
      <c r="B1630" s="187"/>
      <c r="C1630" s="187"/>
      <c r="D1630" s="187"/>
      <c r="E1630" s="187"/>
      <c r="F1630" s="187"/>
      <c r="G1630" s="187"/>
      <c r="H1630" s="187"/>
      <c r="J1630" s="186"/>
      <c r="K1630" s="180"/>
      <c r="L1630" s="180"/>
      <c r="M1630" s="186"/>
      <c r="N1630" s="186"/>
    </row>
    <row r="1631" spans="2:14" s="188" customFormat="1" ht="15" customHeight="1">
      <c r="B1631" s="187"/>
      <c r="C1631" s="187"/>
      <c r="D1631" s="187"/>
      <c r="E1631" s="187"/>
      <c r="F1631" s="187"/>
      <c r="G1631" s="187"/>
      <c r="H1631" s="187"/>
      <c r="J1631" s="186"/>
      <c r="K1631" s="180"/>
      <c r="L1631" s="180"/>
      <c r="M1631" s="186"/>
      <c r="N1631" s="186"/>
    </row>
    <row r="1632" spans="2:14" s="188" customFormat="1" ht="15" customHeight="1">
      <c r="B1632" s="187"/>
      <c r="C1632" s="187"/>
      <c r="D1632" s="187"/>
      <c r="E1632" s="187"/>
      <c r="F1632" s="187"/>
      <c r="G1632" s="187"/>
      <c r="H1632" s="187"/>
      <c r="J1632" s="186"/>
      <c r="K1632" s="180"/>
      <c r="L1632" s="180"/>
      <c r="M1632" s="186"/>
      <c r="N1632" s="186"/>
    </row>
    <row r="1633" spans="2:14" s="188" customFormat="1" ht="15" customHeight="1">
      <c r="B1633" s="187"/>
      <c r="C1633" s="187"/>
      <c r="D1633" s="187"/>
      <c r="E1633" s="187"/>
      <c r="F1633" s="187"/>
      <c r="G1633" s="187"/>
      <c r="H1633" s="187"/>
      <c r="J1633" s="186"/>
      <c r="K1633" s="180"/>
      <c r="L1633" s="180"/>
      <c r="M1633" s="186"/>
      <c r="N1633" s="186"/>
    </row>
    <row r="1634" spans="2:14" s="188" customFormat="1" ht="15" customHeight="1">
      <c r="B1634" s="187"/>
      <c r="C1634" s="187"/>
      <c r="D1634" s="187"/>
      <c r="E1634" s="187"/>
      <c r="F1634" s="187"/>
      <c r="G1634" s="187"/>
      <c r="H1634" s="187"/>
      <c r="J1634" s="186"/>
      <c r="K1634" s="180"/>
      <c r="L1634" s="180"/>
      <c r="M1634" s="186"/>
      <c r="N1634" s="186"/>
    </row>
    <row r="1635" spans="2:14" s="188" customFormat="1" ht="15" customHeight="1">
      <c r="B1635" s="187"/>
      <c r="C1635" s="187"/>
      <c r="D1635" s="187"/>
      <c r="E1635" s="187"/>
      <c r="F1635" s="187"/>
      <c r="G1635" s="187"/>
      <c r="H1635" s="187"/>
      <c r="J1635" s="186"/>
      <c r="K1635" s="180"/>
      <c r="L1635" s="180"/>
      <c r="M1635" s="186"/>
      <c r="N1635" s="186"/>
    </row>
    <row r="1636" spans="2:14" s="188" customFormat="1" ht="15" customHeight="1">
      <c r="B1636" s="187"/>
      <c r="C1636" s="187"/>
      <c r="D1636" s="187"/>
      <c r="E1636" s="187"/>
      <c r="F1636" s="187"/>
      <c r="G1636" s="187"/>
      <c r="H1636" s="187"/>
      <c r="J1636" s="186"/>
      <c r="K1636" s="180"/>
      <c r="L1636" s="180"/>
      <c r="M1636" s="186"/>
      <c r="N1636" s="186"/>
    </row>
    <row r="1637" spans="2:14" s="188" customFormat="1" ht="15" customHeight="1">
      <c r="B1637" s="187"/>
      <c r="C1637" s="187"/>
      <c r="D1637" s="187"/>
      <c r="E1637" s="187"/>
      <c r="F1637" s="187"/>
      <c r="G1637" s="187"/>
      <c r="H1637" s="187"/>
      <c r="J1637" s="186"/>
      <c r="K1637" s="180"/>
      <c r="L1637" s="180"/>
      <c r="M1637" s="186"/>
      <c r="N1637" s="186"/>
    </row>
    <row r="1638" spans="2:14" s="188" customFormat="1" ht="15" customHeight="1">
      <c r="B1638" s="187"/>
      <c r="C1638" s="187"/>
      <c r="D1638" s="187"/>
      <c r="E1638" s="187"/>
      <c r="F1638" s="187"/>
      <c r="G1638" s="187"/>
      <c r="H1638" s="187"/>
      <c r="J1638" s="186"/>
      <c r="K1638" s="180"/>
      <c r="L1638" s="180"/>
      <c r="M1638" s="186"/>
      <c r="N1638" s="186"/>
    </row>
    <row r="1639" spans="2:14" s="188" customFormat="1" ht="15" customHeight="1">
      <c r="B1639" s="187"/>
      <c r="C1639" s="187"/>
      <c r="D1639" s="187"/>
      <c r="E1639" s="187"/>
      <c r="F1639" s="187"/>
      <c r="G1639" s="187"/>
      <c r="H1639" s="187"/>
      <c r="J1639" s="186"/>
      <c r="K1639" s="180"/>
      <c r="L1639" s="180"/>
      <c r="M1639" s="186"/>
      <c r="N1639" s="186"/>
    </row>
    <row r="1640" spans="2:14" s="188" customFormat="1" ht="15" customHeight="1">
      <c r="B1640" s="187"/>
      <c r="C1640" s="187"/>
      <c r="D1640" s="187"/>
      <c r="E1640" s="187"/>
      <c r="F1640" s="187"/>
      <c r="G1640" s="187"/>
      <c r="H1640" s="187"/>
      <c r="J1640" s="186"/>
      <c r="K1640" s="180"/>
      <c r="L1640" s="180"/>
      <c r="M1640" s="186"/>
      <c r="N1640" s="186"/>
    </row>
    <row r="1641" spans="2:14" s="188" customFormat="1" ht="15" customHeight="1">
      <c r="B1641" s="187"/>
      <c r="C1641" s="187"/>
      <c r="D1641" s="187"/>
      <c r="E1641" s="187"/>
      <c r="F1641" s="187"/>
      <c r="G1641" s="187"/>
      <c r="H1641" s="187"/>
      <c r="J1641" s="186"/>
      <c r="K1641" s="180"/>
      <c r="L1641" s="180"/>
      <c r="M1641" s="186"/>
      <c r="N1641" s="186"/>
    </row>
    <row r="1642" spans="2:14" s="188" customFormat="1" ht="15" customHeight="1">
      <c r="B1642" s="187"/>
      <c r="C1642" s="187"/>
      <c r="D1642" s="187"/>
      <c r="E1642" s="187"/>
      <c r="F1642" s="187"/>
      <c r="G1642" s="187"/>
      <c r="H1642" s="187"/>
      <c r="J1642" s="186"/>
      <c r="K1642" s="180"/>
      <c r="L1642" s="180"/>
      <c r="M1642" s="186"/>
      <c r="N1642" s="186"/>
    </row>
    <row r="1643" spans="2:14" s="188" customFormat="1" ht="15" customHeight="1">
      <c r="B1643" s="187"/>
      <c r="C1643" s="187"/>
      <c r="D1643" s="187"/>
      <c r="E1643" s="187"/>
      <c r="F1643" s="187"/>
      <c r="G1643" s="187"/>
      <c r="H1643" s="187"/>
      <c r="J1643" s="186"/>
      <c r="K1643" s="180"/>
      <c r="L1643" s="180"/>
      <c r="M1643" s="186"/>
      <c r="N1643" s="186"/>
    </row>
    <row r="1644" spans="2:14" s="188" customFormat="1" ht="15" customHeight="1">
      <c r="B1644" s="187"/>
      <c r="C1644" s="187"/>
      <c r="D1644" s="187"/>
      <c r="E1644" s="187"/>
      <c r="F1644" s="187"/>
      <c r="G1644" s="187"/>
      <c r="H1644" s="187"/>
      <c r="J1644" s="186"/>
      <c r="K1644" s="180"/>
      <c r="L1644" s="180"/>
      <c r="M1644" s="186"/>
      <c r="N1644" s="186"/>
    </row>
    <row r="1645" spans="2:14" s="188" customFormat="1" ht="15" customHeight="1">
      <c r="B1645" s="187"/>
      <c r="C1645" s="187"/>
      <c r="D1645" s="187"/>
      <c r="E1645" s="187"/>
      <c r="F1645" s="187"/>
      <c r="G1645" s="187"/>
      <c r="H1645" s="187"/>
      <c r="J1645" s="186"/>
      <c r="K1645" s="180"/>
      <c r="L1645" s="180"/>
      <c r="M1645" s="186"/>
      <c r="N1645" s="186"/>
    </row>
    <row r="1646" spans="2:14" s="188" customFormat="1" ht="15" customHeight="1">
      <c r="B1646" s="187"/>
      <c r="C1646" s="187"/>
      <c r="D1646" s="187"/>
      <c r="E1646" s="187"/>
      <c r="F1646" s="187"/>
      <c r="G1646" s="187"/>
      <c r="H1646" s="187"/>
      <c r="J1646" s="186"/>
      <c r="K1646" s="180"/>
      <c r="L1646" s="180"/>
      <c r="M1646" s="186"/>
      <c r="N1646" s="186"/>
    </row>
    <row r="1647" spans="2:14" s="188" customFormat="1" ht="15" customHeight="1">
      <c r="B1647" s="187"/>
      <c r="C1647" s="187"/>
      <c r="D1647" s="187"/>
      <c r="E1647" s="187"/>
      <c r="F1647" s="187"/>
      <c r="G1647" s="187"/>
      <c r="H1647" s="187"/>
      <c r="J1647" s="186"/>
      <c r="K1647" s="180"/>
      <c r="L1647" s="180"/>
      <c r="M1647" s="186"/>
      <c r="N1647" s="186"/>
    </row>
    <row r="1648" spans="2:14" s="188" customFormat="1" ht="15" customHeight="1">
      <c r="B1648" s="187"/>
      <c r="C1648" s="187"/>
      <c r="D1648" s="187"/>
      <c r="E1648" s="187"/>
      <c r="F1648" s="187"/>
      <c r="G1648" s="187"/>
      <c r="H1648" s="187"/>
      <c r="J1648" s="186"/>
      <c r="K1648" s="180"/>
      <c r="L1648" s="180"/>
      <c r="M1648" s="186"/>
      <c r="N1648" s="186"/>
    </row>
    <row r="1649" spans="2:14" s="188" customFormat="1" ht="15" customHeight="1">
      <c r="B1649" s="187"/>
      <c r="C1649" s="187"/>
      <c r="D1649" s="187"/>
      <c r="E1649" s="187"/>
      <c r="F1649" s="187"/>
      <c r="G1649" s="187"/>
      <c r="H1649" s="187"/>
      <c r="J1649" s="186"/>
      <c r="K1649" s="180"/>
      <c r="L1649" s="180"/>
      <c r="M1649" s="186"/>
      <c r="N1649" s="186"/>
    </row>
    <row r="1650" spans="2:14" s="188" customFormat="1" ht="15" customHeight="1">
      <c r="B1650" s="187"/>
      <c r="C1650" s="187"/>
      <c r="D1650" s="187"/>
      <c r="E1650" s="187"/>
      <c r="F1650" s="187"/>
      <c r="G1650" s="187"/>
      <c r="H1650" s="187"/>
      <c r="J1650" s="186"/>
      <c r="K1650" s="180"/>
      <c r="L1650" s="180"/>
      <c r="M1650" s="186"/>
      <c r="N1650" s="186"/>
    </row>
    <row r="1651" spans="2:14" s="188" customFormat="1" ht="15" customHeight="1">
      <c r="B1651" s="187"/>
      <c r="C1651" s="187"/>
      <c r="D1651" s="187"/>
      <c r="E1651" s="187"/>
      <c r="F1651" s="187"/>
      <c r="G1651" s="187"/>
      <c r="H1651" s="187"/>
      <c r="J1651" s="186"/>
      <c r="K1651" s="180"/>
      <c r="L1651" s="180"/>
      <c r="M1651" s="186"/>
      <c r="N1651" s="186"/>
    </row>
    <row r="1652" spans="2:14" s="188" customFormat="1" ht="15" customHeight="1">
      <c r="B1652" s="187"/>
      <c r="C1652" s="187"/>
      <c r="D1652" s="187"/>
      <c r="E1652" s="187"/>
      <c r="F1652" s="187"/>
      <c r="G1652" s="187"/>
      <c r="H1652" s="187"/>
      <c r="J1652" s="186"/>
      <c r="K1652" s="180"/>
      <c r="L1652" s="180"/>
      <c r="M1652" s="186"/>
      <c r="N1652" s="186"/>
    </row>
    <row r="1653" spans="2:14" s="188" customFormat="1" ht="15" customHeight="1">
      <c r="B1653" s="187"/>
      <c r="C1653" s="187"/>
      <c r="D1653" s="187"/>
      <c r="E1653" s="187"/>
      <c r="F1653" s="187"/>
      <c r="G1653" s="187"/>
      <c r="H1653" s="187"/>
      <c r="J1653" s="186"/>
      <c r="K1653" s="180"/>
      <c r="L1653" s="180"/>
      <c r="M1653" s="186"/>
      <c r="N1653" s="186"/>
    </row>
    <row r="1654" spans="2:14" s="188" customFormat="1" ht="15" customHeight="1">
      <c r="B1654" s="187"/>
      <c r="C1654" s="187"/>
      <c r="D1654" s="187"/>
      <c r="E1654" s="187"/>
      <c r="F1654" s="187"/>
      <c r="G1654" s="187"/>
      <c r="H1654" s="187"/>
      <c r="J1654" s="186"/>
      <c r="K1654" s="180"/>
      <c r="L1654" s="180"/>
      <c r="M1654" s="186"/>
      <c r="N1654" s="186"/>
    </row>
    <row r="1655" spans="2:14" s="188" customFormat="1" ht="15" customHeight="1">
      <c r="B1655" s="187"/>
      <c r="C1655" s="187"/>
      <c r="D1655" s="187"/>
      <c r="E1655" s="187"/>
      <c r="F1655" s="187"/>
      <c r="G1655" s="187"/>
      <c r="H1655" s="187"/>
      <c r="J1655" s="186"/>
      <c r="K1655" s="180"/>
      <c r="L1655" s="180"/>
      <c r="M1655" s="186"/>
      <c r="N1655" s="186"/>
    </row>
    <row r="1656" spans="2:14" s="188" customFormat="1" ht="15" customHeight="1">
      <c r="B1656" s="187"/>
      <c r="C1656" s="187"/>
      <c r="D1656" s="187"/>
      <c r="E1656" s="187"/>
      <c r="F1656" s="187"/>
      <c r="G1656" s="187"/>
      <c r="H1656" s="187"/>
      <c r="J1656" s="186"/>
      <c r="K1656" s="180"/>
      <c r="L1656" s="180"/>
      <c r="M1656" s="186"/>
      <c r="N1656" s="186"/>
    </row>
    <row r="1657" spans="2:14" s="188" customFormat="1" ht="15" customHeight="1">
      <c r="B1657" s="187"/>
      <c r="C1657" s="187"/>
      <c r="D1657" s="187"/>
      <c r="E1657" s="187"/>
      <c r="F1657" s="187"/>
      <c r="G1657" s="187"/>
      <c r="H1657" s="187"/>
      <c r="J1657" s="186"/>
      <c r="K1657" s="180"/>
      <c r="L1657" s="180"/>
      <c r="M1657" s="186"/>
      <c r="N1657" s="186"/>
    </row>
    <row r="1658" spans="2:14" s="188" customFormat="1" ht="15" customHeight="1">
      <c r="B1658" s="187"/>
      <c r="C1658" s="187"/>
      <c r="D1658" s="187"/>
      <c r="E1658" s="187"/>
      <c r="F1658" s="187"/>
      <c r="G1658" s="187"/>
      <c r="H1658" s="187"/>
      <c r="J1658" s="186"/>
      <c r="K1658" s="180"/>
      <c r="L1658" s="180"/>
      <c r="M1658" s="186"/>
      <c r="N1658" s="186"/>
    </row>
    <row r="1659" spans="2:14" s="188" customFormat="1" ht="15" customHeight="1">
      <c r="B1659" s="187"/>
      <c r="C1659" s="187"/>
      <c r="D1659" s="187"/>
      <c r="E1659" s="187"/>
      <c r="F1659" s="187"/>
      <c r="G1659" s="187"/>
      <c r="H1659" s="187"/>
      <c r="J1659" s="186"/>
      <c r="K1659" s="180"/>
      <c r="L1659" s="180"/>
      <c r="M1659" s="186"/>
      <c r="N1659" s="186"/>
    </row>
    <row r="1660" spans="2:14" s="188" customFormat="1" ht="15" customHeight="1">
      <c r="B1660" s="187"/>
      <c r="C1660" s="187"/>
      <c r="D1660" s="187"/>
      <c r="E1660" s="187"/>
      <c r="F1660" s="187"/>
      <c r="G1660" s="187"/>
      <c r="H1660" s="187"/>
      <c r="J1660" s="186"/>
      <c r="K1660" s="180"/>
      <c r="L1660" s="180"/>
      <c r="M1660" s="186"/>
      <c r="N1660" s="186"/>
    </row>
    <row r="1661" spans="2:14" s="188" customFormat="1" ht="15" customHeight="1">
      <c r="B1661" s="187"/>
      <c r="C1661" s="187"/>
      <c r="D1661" s="187"/>
      <c r="E1661" s="187"/>
      <c r="F1661" s="187"/>
      <c r="G1661" s="187"/>
      <c r="H1661" s="187"/>
      <c r="J1661" s="186"/>
      <c r="K1661" s="180"/>
      <c r="L1661" s="180"/>
      <c r="M1661" s="186"/>
      <c r="N1661" s="186"/>
    </row>
    <row r="1662" spans="2:14" s="188" customFormat="1" ht="15" customHeight="1">
      <c r="B1662" s="187"/>
      <c r="C1662" s="187"/>
      <c r="D1662" s="187"/>
      <c r="E1662" s="187"/>
      <c r="F1662" s="187"/>
      <c r="G1662" s="187"/>
      <c r="H1662" s="187"/>
      <c r="J1662" s="186"/>
      <c r="K1662" s="180"/>
      <c r="L1662" s="180"/>
      <c r="M1662" s="186"/>
      <c r="N1662" s="186"/>
    </row>
    <row r="1663" spans="2:14" s="188" customFormat="1" ht="15" customHeight="1">
      <c r="B1663" s="187"/>
      <c r="C1663" s="187"/>
      <c r="D1663" s="187"/>
      <c r="E1663" s="187"/>
      <c r="F1663" s="187"/>
      <c r="G1663" s="187"/>
      <c r="H1663" s="187"/>
      <c r="J1663" s="186"/>
      <c r="K1663" s="180"/>
      <c r="L1663" s="180"/>
      <c r="M1663" s="186"/>
      <c r="N1663" s="186"/>
    </row>
    <row r="1664" spans="2:14" s="188" customFormat="1" ht="15" customHeight="1">
      <c r="B1664" s="187"/>
      <c r="C1664" s="187"/>
      <c r="D1664" s="187"/>
      <c r="E1664" s="187"/>
      <c r="F1664" s="187"/>
      <c r="G1664" s="187"/>
      <c r="H1664" s="187"/>
      <c r="J1664" s="186"/>
      <c r="K1664" s="180"/>
      <c r="L1664" s="180"/>
      <c r="M1664" s="186"/>
      <c r="N1664" s="186"/>
    </row>
    <row r="1665" spans="2:14" s="188" customFormat="1" ht="15" customHeight="1">
      <c r="B1665" s="187"/>
      <c r="C1665" s="187"/>
      <c r="D1665" s="187"/>
      <c r="E1665" s="187"/>
      <c r="F1665" s="187"/>
      <c r="G1665" s="187"/>
      <c r="H1665" s="187"/>
      <c r="J1665" s="186"/>
      <c r="K1665" s="180"/>
      <c r="L1665" s="180"/>
      <c r="M1665" s="186"/>
      <c r="N1665" s="186"/>
    </row>
    <row r="1666" spans="2:14" s="188" customFormat="1" ht="15" customHeight="1">
      <c r="B1666" s="187"/>
      <c r="C1666" s="187"/>
      <c r="D1666" s="187"/>
      <c r="E1666" s="187"/>
      <c r="F1666" s="187"/>
      <c r="G1666" s="187"/>
      <c r="H1666" s="187"/>
      <c r="J1666" s="186"/>
      <c r="K1666" s="180"/>
      <c r="L1666" s="180"/>
      <c r="M1666" s="186"/>
      <c r="N1666" s="186"/>
    </row>
    <row r="1667" spans="2:14" s="188" customFormat="1" ht="15" customHeight="1">
      <c r="B1667" s="187"/>
      <c r="C1667" s="187"/>
      <c r="D1667" s="187"/>
      <c r="E1667" s="187"/>
      <c r="F1667" s="187"/>
      <c r="G1667" s="187"/>
      <c r="H1667" s="187"/>
      <c r="J1667" s="186"/>
      <c r="K1667" s="180"/>
      <c r="L1667" s="180"/>
      <c r="M1667" s="186"/>
      <c r="N1667" s="186"/>
    </row>
    <row r="1668" spans="2:14" s="188" customFormat="1" ht="15" customHeight="1">
      <c r="B1668" s="187"/>
      <c r="C1668" s="187"/>
      <c r="D1668" s="187"/>
      <c r="E1668" s="187"/>
      <c r="F1668" s="187"/>
      <c r="G1668" s="187"/>
      <c r="H1668" s="187"/>
      <c r="J1668" s="186"/>
      <c r="K1668" s="180"/>
      <c r="L1668" s="180"/>
      <c r="M1668" s="186"/>
      <c r="N1668" s="186"/>
    </row>
    <row r="1669" spans="2:14" s="188" customFormat="1" ht="15" customHeight="1">
      <c r="B1669" s="187"/>
      <c r="C1669" s="187"/>
      <c r="D1669" s="187"/>
      <c r="E1669" s="187"/>
      <c r="F1669" s="187"/>
      <c r="G1669" s="187"/>
      <c r="H1669" s="187"/>
      <c r="J1669" s="186"/>
      <c r="K1669" s="180"/>
      <c r="L1669" s="180"/>
      <c r="M1669" s="186"/>
      <c r="N1669" s="186"/>
    </row>
    <row r="1670" spans="2:14" s="188" customFormat="1" ht="15" customHeight="1">
      <c r="B1670" s="187"/>
      <c r="C1670" s="187"/>
      <c r="D1670" s="187"/>
      <c r="E1670" s="187"/>
      <c r="F1670" s="187"/>
      <c r="G1670" s="187"/>
      <c r="H1670" s="187"/>
      <c r="J1670" s="186"/>
      <c r="K1670" s="180"/>
      <c r="L1670" s="180"/>
      <c r="M1670" s="186"/>
      <c r="N1670" s="186"/>
    </row>
    <row r="1671" spans="2:14" s="188" customFormat="1" ht="15" customHeight="1">
      <c r="B1671" s="187"/>
      <c r="C1671" s="187"/>
      <c r="D1671" s="187"/>
      <c r="E1671" s="187"/>
      <c r="F1671" s="187"/>
      <c r="G1671" s="187"/>
      <c r="H1671" s="187"/>
      <c r="J1671" s="186"/>
      <c r="K1671" s="180"/>
      <c r="L1671" s="180"/>
      <c r="M1671" s="186"/>
      <c r="N1671" s="186"/>
    </row>
    <row r="1672" spans="2:14" s="188" customFormat="1" ht="15" customHeight="1">
      <c r="B1672" s="187"/>
      <c r="C1672" s="187"/>
      <c r="D1672" s="187"/>
      <c r="E1672" s="187"/>
      <c r="F1672" s="187"/>
      <c r="G1672" s="187"/>
      <c r="H1672" s="187"/>
      <c r="J1672" s="186"/>
      <c r="K1672" s="180"/>
      <c r="L1672" s="180"/>
      <c r="M1672" s="186"/>
      <c r="N1672" s="186"/>
    </row>
    <row r="1673" spans="2:14" s="188" customFormat="1" ht="15" customHeight="1">
      <c r="B1673" s="187"/>
      <c r="C1673" s="187"/>
      <c r="D1673" s="187"/>
      <c r="E1673" s="187"/>
      <c r="F1673" s="187"/>
      <c r="G1673" s="187"/>
      <c r="H1673" s="187"/>
      <c r="J1673" s="186"/>
      <c r="K1673" s="180"/>
      <c r="L1673" s="180"/>
      <c r="M1673" s="186"/>
      <c r="N1673" s="186"/>
    </row>
    <row r="1674" spans="2:14" s="188" customFormat="1" ht="15" customHeight="1">
      <c r="B1674" s="187"/>
      <c r="C1674" s="187"/>
      <c r="D1674" s="187"/>
      <c r="E1674" s="187"/>
      <c r="F1674" s="187"/>
      <c r="G1674" s="187"/>
      <c r="H1674" s="187"/>
      <c r="J1674" s="186"/>
      <c r="K1674" s="180"/>
      <c r="L1674" s="180"/>
      <c r="M1674" s="186"/>
      <c r="N1674" s="186"/>
    </row>
    <row r="1675" spans="2:14" s="188" customFormat="1" ht="15" customHeight="1">
      <c r="B1675" s="187"/>
      <c r="C1675" s="187"/>
      <c r="D1675" s="187"/>
      <c r="E1675" s="187"/>
      <c r="F1675" s="187"/>
      <c r="G1675" s="187"/>
      <c r="H1675" s="187"/>
      <c r="J1675" s="186"/>
      <c r="K1675" s="180"/>
      <c r="L1675" s="180"/>
      <c r="M1675" s="186"/>
      <c r="N1675" s="186"/>
    </row>
    <row r="1676" spans="2:14" s="188" customFormat="1" ht="15" customHeight="1">
      <c r="B1676" s="187"/>
      <c r="C1676" s="187"/>
      <c r="D1676" s="187"/>
      <c r="E1676" s="187"/>
      <c r="F1676" s="187"/>
      <c r="G1676" s="187"/>
      <c r="H1676" s="187"/>
      <c r="J1676" s="186"/>
      <c r="K1676" s="180"/>
      <c r="L1676" s="180"/>
      <c r="M1676" s="186"/>
      <c r="N1676" s="186"/>
    </row>
    <row r="1677" spans="2:14" s="188" customFormat="1" ht="15" customHeight="1">
      <c r="B1677" s="187"/>
      <c r="C1677" s="187"/>
      <c r="D1677" s="187"/>
      <c r="E1677" s="187"/>
      <c r="F1677" s="187"/>
      <c r="G1677" s="187"/>
      <c r="H1677" s="187"/>
      <c r="J1677" s="186"/>
      <c r="K1677" s="180"/>
      <c r="L1677" s="180"/>
      <c r="M1677" s="186"/>
      <c r="N1677" s="186"/>
    </row>
    <row r="1678" spans="2:14" s="188" customFormat="1" ht="15" customHeight="1">
      <c r="B1678" s="187"/>
      <c r="C1678" s="187"/>
      <c r="D1678" s="187"/>
      <c r="E1678" s="187"/>
      <c r="F1678" s="187"/>
      <c r="G1678" s="187"/>
      <c r="H1678" s="187"/>
      <c r="J1678" s="186"/>
      <c r="K1678" s="180"/>
      <c r="L1678" s="180"/>
      <c r="M1678" s="186"/>
      <c r="N1678" s="186"/>
    </row>
    <row r="1679" spans="2:14" s="188" customFormat="1" ht="15" customHeight="1">
      <c r="B1679" s="187"/>
      <c r="C1679" s="187"/>
      <c r="D1679" s="187"/>
      <c r="E1679" s="187"/>
      <c r="F1679" s="187"/>
      <c r="G1679" s="187"/>
      <c r="H1679" s="187"/>
      <c r="J1679" s="186"/>
      <c r="K1679" s="180"/>
      <c r="L1679" s="180"/>
      <c r="M1679" s="186"/>
      <c r="N1679" s="186"/>
    </row>
    <row r="1680" spans="2:14" s="188" customFormat="1" ht="15" customHeight="1">
      <c r="B1680" s="187"/>
      <c r="C1680" s="187"/>
      <c r="D1680" s="187"/>
      <c r="E1680" s="187"/>
      <c r="F1680" s="187"/>
      <c r="G1680" s="187"/>
      <c r="H1680" s="187"/>
      <c r="J1680" s="186"/>
      <c r="K1680" s="180"/>
      <c r="L1680" s="180"/>
      <c r="M1680" s="186"/>
      <c r="N1680" s="186"/>
    </row>
    <row r="1681" spans="2:14" s="188" customFormat="1" ht="15" customHeight="1">
      <c r="B1681" s="187"/>
      <c r="C1681" s="187"/>
      <c r="D1681" s="187"/>
      <c r="E1681" s="187"/>
      <c r="F1681" s="187"/>
      <c r="G1681" s="187"/>
      <c r="H1681" s="187"/>
      <c r="J1681" s="186"/>
      <c r="K1681" s="180"/>
      <c r="L1681" s="180"/>
      <c r="M1681" s="186"/>
      <c r="N1681" s="186"/>
    </row>
    <row r="1682" spans="2:14" s="188" customFormat="1" ht="15" customHeight="1">
      <c r="B1682" s="187"/>
      <c r="C1682" s="187"/>
      <c r="D1682" s="187"/>
      <c r="E1682" s="187"/>
      <c r="F1682" s="187"/>
      <c r="G1682" s="187"/>
      <c r="H1682" s="187"/>
      <c r="J1682" s="186"/>
      <c r="K1682" s="180"/>
      <c r="L1682" s="180"/>
      <c r="M1682" s="186"/>
      <c r="N1682" s="186"/>
    </row>
    <row r="1683" spans="2:14" s="188" customFormat="1" ht="15" customHeight="1">
      <c r="B1683" s="187"/>
      <c r="C1683" s="187"/>
      <c r="D1683" s="187"/>
      <c r="E1683" s="187"/>
      <c r="F1683" s="187"/>
      <c r="G1683" s="187"/>
      <c r="H1683" s="187"/>
      <c r="J1683" s="186"/>
      <c r="K1683" s="180"/>
      <c r="L1683" s="180"/>
      <c r="M1683" s="186"/>
      <c r="N1683" s="186"/>
    </row>
    <row r="1684" spans="2:14" s="188" customFormat="1" ht="15" customHeight="1">
      <c r="B1684" s="187"/>
      <c r="C1684" s="187"/>
      <c r="D1684" s="187"/>
      <c r="E1684" s="187"/>
      <c r="F1684" s="187"/>
      <c r="G1684" s="187"/>
      <c r="H1684" s="187"/>
      <c r="J1684" s="186"/>
      <c r="K1684" s="180"/>
      <c r="L1684" s="180"/>
      <c r="M1684" s="186"/>
      <c r="N1684" s="186"/>
    </row>
    <row r="1685" spans="2:14" s="188" customFormat="1" ht="15" customHeight="1">
      <c r="B1685" s="187"/>
      <c r="C1685" s="187"/>
      <c r="D1685" s="187"/>
      <c r="E1685" s="187"/>
      <c r="F1685" s="187"/>
      <c r="G1685" s="187"/>
      <c r="H1685" s="187"/>
      <c r="J1685" s="186"/>
      <c r="K1685" s="180"/>
      <c r="L1685" s="180"/>
      <c r="M1685" s="186"/>
      <c r="N1685" s="186"/>
    </row>
    <row r="1686" spans="2:14" s="188" customFormat="1" ht="15" customHeight="1">
      <c r="B1686" s="187"/>
      <c r="C1686" s="187"/>
      <c r="D1686" s="187"/>
      <c r="E1686" s="187"/>
      <c r="F1686" s="187"/>
      <c r="G1686" s="187"/>
      <c r="H1686" s="187"/>
      <c r="J1686" s="186"/>
      <c r="K1686" s="180"/>
      <c r="L1686" s="180"/>
      <c r="M1686" s="186"/>
      <c r="N1686" s="186"/>
    </row>
    <row r="1687" spans="2:14" s="188" customFormat="1" ht="15" customHeight="1">
      <c r="B1687" s="187"/>
      <c r="C1687" s="187"/>
      <c r="D1687" s="187"/>
      <c r="E1687" s="187"/>
      <c r="F1687" s="187"/>
      <c r="G1687" s="187"/>
      <c r="H1687" s="187"/>
      <c r="J1687" s="186"/>
      <c r="K1687" s="180"/>
      <c r="L1687" s="180"/>
      <c r="M1687" s="186"/>
      <c r="N1687" s="186"/>
    </row>
    <row r="1688" spans="2:14" s="188" customFormat="1" ht="15" customHeight="1">
      <c r="B1688" s="187"/>
      <c r="C1688" s="187"/>
      <c r="D1688" s="187"/>
      <c r="E1688" s="187"/>
      <c r="F1688" s="187"/>
      <c r="G1688" s="187"/>
      <c r="H1688" s="187"/>
      <c r="J1688" s="186"/>
      <c r="K1688" s="180"/>
      <c r="L1688" s="180"/>
      <c r="M1688" s="186"/>
      <c r="N1688" s="186"/>
    </row>
    <row r="1689" spans="2:14" s="188" customFormat="1" ht="15" customHeight="1">
      <c r="B1689" s="187"/>
      <c r="C1689" s="187"/>
      <c r="D1689" s="187"/>
      <c r="E1689" s="187"/>
      <c r="F1689" s="187"/>
      <c r="G1689" s="187"/>
      <c r="H1689" s="187"/>
      <c r="J1689" s="186"/>
      <c r="K1689" s="180"/>
      <c r="L1689" s="180"/>
      <c r="M1689" s="186"/>
      <c r="N1689" s="186"/>
    </row>
    <row r="1690" spans="2:14" s="188" customFormat="1" ht="15" customHeight="1">
      <c r="B1690" s="187"/>
      <c r="C1690" s="187"/>
      <c r="D1690" s="187"/>
      <c r="E1690" s="187"/>
      <c r="F1690" s="187"/>
      <c r="G1690" s="187"/>
      <c r="H1690" s="187"/>
      <c r="J1690" s="186"/>
      <c r="K1690" s="180"/>
      <c r="L1690" s="180"/>
      <c r="M1690" s="186"/>
      <c r="N1690" s="186"/>
    </row>
    <row r="1691" spans="2:14" s="188" customFormat="1" ht="15" customHeight="1">
      <c r="B1691" s="187"/>
      <c r="C1691" s="187"/>
      <c r="D1691" s="187"/>
      <c r="E1691" s="187"/>
      <c r="F1691" s="187"/>
      <c r="G1691" s="187"/>
      <c r="H1691" s="187"/>
      <c r="J1691" s="186"/>
      <c r="K1691" s="180"/>
      <c r="L1691" s="180"/>
      <c r="M1691" s="186"/>
      <c r="N1691" s="186"/>
    </row>
    <row r="1692" spans="2:14" s="188" customFormat="1" ht="15" customHeight="1">
      <c r="B1692" s="187"/>
      <c r="C1692" s="187"/>
      <c r="D1692" s="187"/>
      <c r="E1692" s="187"/>
      <c r="F1692" s="187"/>
      <c r="G1692" s="187"/>
      <c r="H1692" s="187"/>
      <c r="J1692" s="186"/>
      <c r="K1692" s="180"/>
      <c r="L1692" s="180"/>
      <c r="M1692" s="186"/>
      <c r="N1692" s="186"/>
    </row>
    <row r="1693" spans="2:14" s="188" customFormat="1" ht="15" customHeight="1">
      <c r="B1693" s="187"/>
      <c r="C1693" s="187"/>
      <c r="D1693" s="187"/>
      <c r="E1693" s="187"/>
      <c r="F1693" s="187"/>
      <c r="G1693" s="187"/>
      <c r="H1693" s="187"/>
      <c r="J1693" s="186"/>
      <c r="K1693" s="180"/>
      <c r="L1693" s="180"/>
      <c r="M1693" s="186"/>
      <c r="N1693" s="186"/>
    </row>
    <row r="1694" spans="2:14" s="188" customFormat="1" ht="15" customHeight="1">
      <c r="B1694" s="187"/>
      <c r="C1694" s="187"/>
      <c r="D1694" s="187"/>
      <c r="E1694" s="187"/>
      <c r="F1694" s="187"/>
      <c r="G1694" s="187"/>
      <c r="H1694" s="187"/>
      <c r="J1694" s="186"/>
      <c r="K1694" s="180"/>
      <c r="L1694" s="180"/>
      <c r="M1694" s="186"/>
      <c r="N1694" s="186"/>
    </row>
    <row r="1695" spans="2:14" s="188" customFormat="1" ht="15" customHeight="1">
      <c r="B1695" s="187"/>
      <c r="C1695" s="187"/>
      <c r="D1695" s="187"/>
      <c r="E1695" s="187"/>
      <c r="F1695" s="187"/>
      <c r="G1695" s="187"/>
      <c r="H1695" s="187"/>
      <c r="J1695" s="186"/>
      <c r="K1695" s="180"/>
      <c r="L1695" s="180"/>
      <c r="M1695" s="186"/>
      <c r="N1695" s="186"/>
    </row>
    <row r="1696" spans="2:14" s="188" customFormat="1" ht="15" customHeight="1">
      <c r="B1696" s="187"/>
      <c r="C1696" s="187"/>
      <c r="D1696" s="187"/>
      <c r="E1696" s="187"/>
      <c r="F1696" s="187"/>
      <c r="G1696" s="187"/>
      <c r="H1696" s="187"/>
      <c r="J1696" s="186"/>
      <c r="K1696" s="180"/>
      <c r="L1696" s="180"/>
      <c r="M1696" s="186"/>
      <c r="N1696" s="186"/>
    </row>
    <row r="1697" spans="2:14" s="188" customFormat="1" ht="15" customHeight="1">
      <c r="B1697" s="187"/>
      <c r="C1697" s="187"/>
      <c r="D1697" s="187"/>
      <c r="E1697" s="187"/>
      <c r="F1697" s="187"/>
      <c r="G1697" s="187"/>
      <c r="H1697" s="187"/>
      <c r="J1697" s="186"/>
      <c r="K1697" s="180"/>
      <c r="L1697" s="180"/>
      <c r="M1697" s="186"/>
      <c r="N1697" s="186"/>
    </row>
    <row r="1698" spans="2:14" s="188" customFormat="1" ht="15" customHeight="1">
      <c r="B1698" s="187"/>
      <c r="C1698" s="187"/>
      <c r="D1698" s="187"/>
      <c r="E1698" s="187"/>
      <c r="F1698" s="187"/>
      <c r="G1698" s="187"/>
      <c r="H1698" s="187"/>
      <c r="J1698" s="186"/>
      <c r="K1698" s="180"/>
      <c r="L1698" s="180"/>
      <c r="M1698" s="186"/>
      <c r="N1698" s="186"/>
    </row>
    <row r="1699" spans="2:14" s="188" customFormat="1" ht="15" customHeight="1">
      <c r="B1699" s="187"/>
      <c r="C1699" s="187"/>
      <c r="D1699" s="187"/>
      <c r="E1699" s="187"/>
      <c r="F1699" s="187"/>
      <c r="G1699" s="187"/>
      <c r="H1699" s="187"/>
      <c r="J1699" s="186"/>
      <c r="K1699" s="180"/>
      <c r="L1699" s="180"/>
      <c r="M1699" s="186"/>
      <c r="N1699" s="186"/>
    </row>
    <row r="1700" spans="2:14" s="188" customFormat="1" ht="15" customHeight="1">
      <c r="B1700" s="187"/>
      <c r="C1700" s="187"/>
      <c r="D1700" s="187"/>
      <c r="E1700" s="187"/>
      <c r="F1700" s="187"/>
      <c r="G1700" s="187"/>
      <c r="H1700" s="187"/>
      <c r="J1700" s="186"/>
      <c r="K1700" s="180"/>
      <c r="L1700" s="180"/>
      <c r="M1700" s="186"/>
      <c r="N1700" s="186"/>
    </row>
    <row r="1701" spans="2:14" s="188" customFormat="1" ht="15" customHeight="1">
      <c r="B1701" s="187"/>
      <c r="C1701" s="187"/>
      <c r="D1701" s="187"/>
      <c r="E1701" s="187"/>
      <c r="F1701" s="187"/>
      <c r="G1701" s="187"/>
      <c r="H1701" s="187"/>
      <c r="J1701" s="186"/>
      <c r="K1701" s="180"/>
      <c r="L1701" s="180"/>
      <c r="M1701" s="186"/>
      <c r="N1701" s="186"/>
    </row>
    <row r="1702" spans="2:14" s="188" customFormat="1" ht="15" customHeight="1">
      <c r="B1702" s="187"/>
      <c r="C1702" s="187"/>
      <c r="D1702" s="187"/>
      <c r="E1702" s="187"/>
      <c r="F1702" s="187"/>
      <c r="G1702" s="187"/>
      <c r="H1702" s="187"/>
      <c r="J1702" s="186"/>
      <c r="K1702" s="180"/>
      <c r="L1702" s="180"/>
      <c r="M1702" s="186"/>
      <c r="N1702" s="186"/>
    </row>
    <row r="1703" spans="2:14" s="188" customFormat="1" ht="15" customHeight="1">
      <c r="B1703" s="187"/>
      <c r="C1703" s="187"/>
      <c r="D1703" s="187"/>
      <c r="E1703" s="187"/>
      <c r="F1703" s="187"/>
      <c r="G1703" s="187"/>
      <c r="H1703" s="187"/>
      <c r="J1703" s="186"/>
      <c r="K1703" s="180"/>
      <c r="L1703" s="180"/>
      <c r="M1703" s="186"/>
      <c r="N1703" s="186"/>
    </row>
    <row r="1704" spans="2:14" s="188" customFormat="1" ht="15" customHeight="1">
      <c r="B1704" s="187"/>
      <c r="C1704" s="187"/>
      <c r="D1704" s="187"/>
      <c r="E1704" s="187"/>
      <c r="F1704" s="187"/>
      <c r="G1704" s="187"/>
      <c r="H1704" s="187"/>
      <c r="J1704" s="186"/>
      <c r="K1704" s="180"/>
      <c r="L1704" s="180"/>
      <c r="M1704" s="186"/>
      <c r="N1704" s="186"/>
    </row>
    <row r="1705" spans="2:14" s="188" customFormat="1" ht="15" customHeight="1">
      <c r="B1705" s="187"/>
      <c r="C1705" s="187"/>
      <c r="D1705" s="187"/>
      <c r="E1705" s="187"/>
      <c r="F1705" s="187"/>
      <c r="G1705" s="187"/>
      <c r="H1705" s="187"/>
      <c r="J1705" s="186"/>
      <c r="K1705" s="180"/>
      <c r="L1705" s="180"/>
      <c r="M1705" s="186"/>
      <c r="N1705" s="186"/>
    </row>
    <row r="1706" spans="2:14" s="188" customFormat="1" ht="15" customHeight="1">
      <c r="B1706" s="187"/>
      <c r="C1706" s="187"/>
      <c r="D1706" s="187"/>
      <c r="E1706" s="187"/>
      <c r="F1706" s="187"/>
      <c r="G1706" s="187"/>
      <c r="H1706" s="187"/>
      <c r="J1706" s="186"/>
      <c r="K1706" s="180"/>
      <c r="L1706" s="180"/>
      <c r="M1706" s="186"/>
      <c r="N1706" s="186"/>
    </row>
    <row r="1707" spans="2:14" s="188" customFormat="1" ht="15" customHeight="1">
      <c r="B1707" s="187"/>
      <c r="C1707" s="187"/>
      <c r="D1707" s="187"/>
      <c r="E1707" s="187"/>
      <c r="F1707" s="187"/>
      <c r="G1707" s="187"/>
      <c r="H1707" s="187"/>
      <c r="J1707" s="186"/>
      <c r="K1707" s="180"/>
      <c r="L1707" s="180"/>
      <c r="M1707" s="186"/>
      <c r="N1707" s="186"/>
    </row>
    <row r="1708" spans="2:14" s="188" customFormat="1" ht="15" customHeight="1">
      <c r="B1708" s="187"/>
      <c r="C1708" s="187"/>
      <c r="D1708" s="187"/>
      <c r="E1708" s="187"/>
      <c r="F1708" s="187"/>
      <c r="G1708" s="187"/>
      <c r="H1708" s="187"/>
      <c r="J1708" s="186"/>
      <c r="K1708" s="180"/>
      <c r="L1708" s="180"/>
      <c r="M1708" s="186"/>
      <c r="N1708" s="186"/>
    </row>
    <row r="1709" spans="2:14" s="188" customFormat="1" ht="15" customHeight="1">
      <c r="B1709" s="187"/>
      <c r="C1709" s="187"/>
      <c r="D1709" s="187"/>
      <c r="E1709" s="187"/>
      <c r="F1709" s="187"/>
      <c r="G1709" s="187"/>
      <c r="H1709" s="187"/>
      <c r="J1709" s="186"/>
      <c r="K1709" s="180"/>
      <c r="L1709" s="180"/>
      <c r="M1709" s="186"/>
      <c r="N1709" s="186"/>
    </row>
    <row r="1710" spans="2:14" s="188" customFormat="1" ht="15" customHeight="1">
      <c r="B1710" s="187"/>
      <c r="C1710" s="187"/>
      <c r="D1710" s="187"/>
      <c r="E1710" s="187"/>
      <c r="F1710" s="187"/>
      <c r="G1710" s="187"/>
      <c r="H1710" s="187"/>
      <c r="J1710" s="186"/>
      <c r="K1710" s="180"/>
      <c r="L1710" s="180"/>
      <c r="M1710" s="186"/>
      <c r="N1710" s="186"/>
    </row>
    <row r="1711" spans="2:14" s="188" customFormat="1" ht="15" customHeight="1">
      <c r="B1711" s="187"/>
      <c r="C1711" s="187"/>
      <c r="D1711" s="187"/>
      <c r="E1711" s="187"/>
      <c r="F1711" s="187"/>
      <c r="G1711" s="187"/>
      <c r="H1711" s="187"/>
      <c r="J1711" s="186"/>
      <c r="K1711" s="180"/>
      <c r="L1711" s="180"/>
      <c r="M1711" s="186"/>
      <c r="N1711" s="186"/>
    </row>
    <row r="1712" spans="2:14" s="188" customFormat="1" ht="15" customHeight="1">
      <c r="B1712" s="187"/>
      <c r="C1712" s="187"/>
      <c r="D1712" s="187"/>
      <c r="E1712" s="187"/>
      <c r="F1712" s="187"/>
      <c r="G1712" s="187"/>
      <c r="H1712" s="187"/>
      <c r="J1712" s="186"/>
      <c r="K1712" s="180"/>
      <c r="L1712" s="180"/>
      <c r="M1712" s="186"/>
      <c r="N1712" s="186"/>
    </row>
    <row r="1713" spans="2:14" s="188" customFormat="1" ht="15" customHeight="1">
      <c r="B1713" s="187"/>
      <c r="C1713" s="187"/>
      <c r="D1713" s="187"/>
      <c r="E1713" s="187"/>
      <c r="F1713" s="187"/>
      <c r="G1713" s="187"/>
      <c r="H1713" s="187"/>
      <c r="J1713" s="186"/>
      <c r="K1713" s="180"/>
      <c r="L1713" s="180"/>
      <c r="M1713" s="186"/>
      <c r="N1713" s="186"/>
    </row>
    <row r="1714" spans="2:14" s="188" customFormat="1" ht="15" customHeight="1">
      <c r="B1714" s="187"/>
      <c r="C1714" s="187"/>
      <c r="D1714" s="187"/>
      <c r="E1714" s="187"/>
      <c r="F1714" s="187"/>
      <c r="G1714" s="187"/>
      <c r="H1714" s="187"/>
      <c r="J1714" s="186"/>
      <c r="K1714" s="180"/>
      <c r="L1714" s="180"/>
      <c r="M1714" s="186"/>
      <c r="N1714" s="186"/>
    </row>
    <row r="1715" spans="2:14" s="188" customFormat="1" ht="15" customHeight="1">
      <c r="B1715" s="187"/>
      <c r="C1715" s="187"/>
      <c r="D1715" s="187"/>
      <c r="E1715" s="187"/>
      <c r="F1715" s="187"/>
      <c r="G1715" s="187"/>
      <c r="H1715" s="187"/>
      <c r="J1715" s="186"/>
      <c r="K1715" s="180"/>
      <c r="L1715" s="180"/>
      <c r="M1715" s="186"/>
      <c r="N1715" s="186"/>
    </row>
    <row r="1716" spans="2:14" s="188" customFormat="1" ht="15" customHeight="1">
      <c r="B1716" s="187"/>
      <c r="C1716" s="187"/>
      <c r="D1716" s="187"/>
      <c r="E1716" s="187"/>
      <c r="F1716" s="187"/>
      <c r="G1716" s="187"/>
      <c r="H1716" s="187"/>
      <c r="J1716" s="186"/>
      <c r="K1716" s="180"/>
      <c r="L1716" s="180"/>
      <c r="M1716" s="186"/>
      <c r="N1716" s="186"/>
    </row>
    <row r="1717" spans="2:14" s="188" customFormat="1" ht="15" customHeight="1">
      <c r="B1717" s="187"/>
      <c r="C1717" s="187"/>
      <c r="D1717" s="187"/>
      <c r="E1717" s="187"/>
      <c r="F1717" s="187"/>
      <c r="G1717" s="187"/>
      <c r="H1717" s="187"/>
      <c r="J1717" s="186"/>
      <c r="K1717" s="180"/>
      <c r="L1717" s="180"/>
      <c r="M1717" s="186"/>
      <c r="N1717" s="186"/>
    </row>
    <row r="1718" spans="2:14" s="188" customFormat="1" ht="15" customHeight="1">
      <c r="B1718" s="187"/>
      <c r="C1718" s="187"/>
      <c r="D1718" s="187"/>
      <c r="E1718" s="187"/>
      <c r="F1718" s="187"/>
      <c r="G1718" s="187"/>
      <c r="H1718" s="187"/>
      <c r="J1718" s="186"/>
      <c r="K1718" s="180"/>
      <c r="L1718" s="180"/>
      <c r="M1718" s="186"/>
      <c r="N1718" s="186"/>
    </row>
    <row r="1719" spans="2:14" s="188" customFormat="1" ht="15" customHeight="1">
      <c r="B1719" s="187"/>
      <c r="C1719" s="187"/>
      <c r="D1719" s="187"/>
      <c r="E1719" s="187"/>
      <c r="F1719" s="187"/>
      <c r="G1719" s="187"/>
      <c r="H1719" s="187"/>
      <c r="J1719" s="186"/>
      <c r="K1719" s="180"/>
      <c r="L1719" s="180"/>
      <c r="M1719" s="186"/>
      <c r="N1719" s="186"/>
    </row>
    <row r="1720" spans="2:14" s="188" customFormat="1" ht="15" customHeight="1">
      <c r="B1720" s="187"/>
      <c r="C1720" s="187"/>
      <c r="D1720" s="187"/>
      <c r="E1720" s="187"/>
      <c r="F1720" s="187"/>
      <c r="G1720" s="187"/>
      <c r="H1720" s="187"/>
      <c r="J1720" s="186"/>
      <c r="K1720" s="180"/>
      <c r="L1720" s="180"/>
      <c r="M1720" s="186"/>
      <c r="N1720" s="186"/>
    </row>
    <row r="1721" spans="2:14" s="188" customFormat="1" ht="15" customHeight="1">
      <c r="B1721" s="187"/>
      <c r="C1721" s="187"/>
      <c r="D1721" s="187"/>
      <c r="E1721" s="187"/>
      <c r="F1721" s="187"/>
      <c r="G1721" s="187"/>
      <c r="H1721" s="187"/>
      <c r="J1721" s="186"/>
      <c r="K1721" s="180"/>
      <c r="L1721" s="180"/>
      <c r="M1721" s="186"/>
      <c r="N1721" s="186"/>
    </row>
    <row r="1722" spans="2:14" s="188" customFormat="1" ht="15" customHeight="1">
      <c r="B1722" s="187"/>
      <c r="C1722" s="187"/>
      <c r="D1722" s="187"/>
      <c r="E1722" s="187"/>
      <c r="F1722" s="187"/>
      <c r="G1722" s="187"/>
      <c r="H1722" s="187"/>
      <c r="J1722" s="186"/>
      <c r="K1722" s="180"/>
      <c r="L1722" s="180"/>
      <c r="M1722" s="186"/>
      <c r="N1722" s="186"/>
    </row>
    <row r="1723" spans="2:14" s="188" customFormat="1" ht="15" customHeight="1">
      <c r="B1723" s="187"/>
      <c r="C1723" s="187"/>
      <c r="D1723" s="187"/>
      <c r="E1723" s="187"/>
      <c r="F1723" s="187"/>
      <c r="G1723" s="187"/>
      <c r="H1723" s="187"/>
      <c r="J1723" s="186"/>
      <c r="K1723" s="180"/>
      <c r="L1723" s="180"/>
      <c r="M1723" s="186"/>
      <c r="N1723" s="186"/>
    </row>
    <row r="1724" spans="2:14" s="188" customFormat="1" ht="15" customHeight="1">
      <c r="B1724" s="187"/>
      <c r="C1724" s="187"/>
      <c r="D1724" s="187"/>
      <c r="E1724" s="187"/>
      <c r="F1724" s="187"/>
      <c r="G1724" s="187"/>
      <c r="H1724" s="187"/>
      <c r="J1724" s="186"/>
      <c r="K1724" s="180"/>
      <c r="L1724" s="180"/>
      <c r="M1724" s="186"/>
      <c r="N1724" s="186"/>
    </row>
    <row r="1725" spans="2:14" s="188" customFormat="1" ht="15" customHeight="1">
      <c r="B1725" s="187"/>
      <c r="C1725" s="187"/>
      <c r="D1725" s="187"/>
      <c r="E1725" s="187"/>
      <c r="F1725" s="187"/>
      <c r="G1725" s="187"/>
      <c r="H1725" s="187"/>
      <c r="J1725" s="186"/>
      <c r="K1725" s="180"/>
      <c r="L1725" s="180"/>
      <c r="M1725" s="186"/>
      <c r="N1725" s="186"/>
    </row>
    <row r="1726" spans="2:14" s="188" customFormat="1" ht="15" customHeight="1">
      <c r="B1726" s="187"/>
      <c r="C1726" s="187"/>
      <c r="D1726" s="187"/>
      <c r="E1726" s="187"/>
      <c r="F1726" s="187"/>
      <c r="G1726" s="187"/>
      <c r="H1726" s="187"/>
      <c r="J1726" s="186"/>
      <c r="K1726" s="180"/>
      <c r="L1726" s="180"/>
      <c r="M1726" s="186"/>
      <c r="N1726" s="186"/>
    </row>
    <row r="1727" spans="2:14" s="188" customFormat="1" ht="15" customHeight="1">
      <c r="B1727" s="187"/>
      <c r="C1727" s="187"/>
      <c r="D1727" s="187"/>
      <c r="E1727" s="187"/>
      <c r="F1727" s="187"/>
      <c r="G1727" s="187"/>
      <c r="H1727" s="187"/>
      <c r="J1727" s="186"/>
      <c r="K1727" s="180"/>
      <c r="L1727" s="180"/>
      <c r="M1727" s="186"/>
      <c r="N1727" s="186"/>
    </row>
    <row r="1728" spans="2:14" s="188" customFormat="1" ht="15" customHeight="1">
      <c r="B1728" s="187"/>
      <c r="C1728" s="187"/>
      <c r="D1728" s="187"/>
      <c r="E1728" s="187"/>
      <c r="F1728" s="187"/>
      <c r="G1728" s="187"/>
      <c r="H1728" s="187"/>
      <c r="J1728" s="186"/>
      <c r="K1728" s="180"/>
      <c r="L1728" s="180"/>
      <c r="M1728" s="186"/>
      <c r="N1728" s="186"/>
    </row>
    <row r="1729" spans="2:14" s="188" customFormat="1" ht="15" customHeight="1">
      <c r="B1729" s="187"/>
      <c r="C1729" s="187"/>
      <c r="D1729" s="187"/>
      <c r="E1729" s="187"/>
      <c r="F1729" s="187"/>
      <c r="G1729" s="187"/>
      <c r="H1729" s="187"/>
      <c r="J1729" s="186"/>
      <c r="K1729" s="180"/>
      <c r="L1729" s="180"/>
      <c r="M1729" s="186"/>
      <c r="N1729" s="186"/>
    </row>
    <row r="1730" spans="2:14" s="188" customFormat="1" ht="15" customHeight="1">
      <c r="B1730" s="187"/>
      <c r="C1730" s="187"/>
      <c r="D1730" s="187"/>
      <c r="E1730" s="187"/>
      <c r="F1730" s="187"/>
      <c r="G1730" s="187"/>
      <c r="H1730" s="187"/>
      <c r="J1730" s="186"/>
      <c r="K1730" s="180"/>
      <c r="L1730" s="180"/>
      <c r="M1730" s="186"/>
      <c r="N1730" s="186"/>
    </row>
    <row r="1731" spans="2:14" s="188" customFormat="1" ht="15" customHeight="1">
      <c r="B1731" s="187"/>
      <c r="C1731" s="187"/>
      <c r="D1731" s="187"/>
      <c r="E1731" s="187"/>
      <c r="F1731" s="187"/>
      <c r="G1731" s="187"/>
      <c r="H1731" s="187"/>
      <c r="J1731" s="186"/>
      <c r="K1731" s="180"/>
      <c r="L1731" s="180"/>
      <c r="M1731" s="186"/>
      <c r="N1731" s="186"/>
    </row>
    <row r="1732" spans="2:14" s="188" customFormat="1" ht="15" customHeight="1">
      <c r="B1732" s="187"/>
      <c r="C1732" s="187"/>
      <c r="D1732" s="187"/>
      <c r="E1732" s="187"/>
      <c r="F1732" s="187"/>
      <c r="G1732" s="187"/>
      <c r="H1732" s="187"/>
      <c r="J1732" s="186"/>
      <c r="K1732" s="180"/>
      <c r="L1732" s="180"/>
      <c r="M1732" s="186"/>
      <c r="N1732" s="186"/>
    </row>
    <row r="1733" spans="2:14" s="188" customFormat="1" ht="15" customHeight="1">
      <c r="B1733" s="187"/>
      <c r="C1733" s="187"/>
      <c r="D1733" s="187"/>
      <c r="E1733" s="187"/>
      <c r="F1733" s="187"/>
      <c r="G1733" s="187"/>
      <c r="H1733" s="187"/>
      <c r="J1733" s="186"/>
      <c r="K1733" s="180"/>
      <c r="L1733" s="180"/>
      <c r="M1733" s="186"/>
      <c r="N1733" s="186"/>
    </row>
    <row r="1734" spans="2:14" s="188" customFormat="1" ht="15" customHeight="1">
      <c r="B1734" s="187"/>
      <c r="C1734" s="187"/>
      <c r="D1734" s="187"/>
      <c r="E1734" s="187"/>
      <c r="F1734" s="187"/>
      <c r="G1734" s="187"/>
      <c r="H1734" s="187"/>
      <c r="J1734" s="186"/>
      <c r="K1734" s="180"/>
      <c r="L1734" s="180"/>
      <c r="M1734" s="186"/>
      <c r="N1734" s="186"/>
    </row>
    <row r="1735" spans="2:14" s="188" customFormat="1" ht="15" customHeight="1">
      <c r="B1735" s="187"/>
      <c r="C1735" s="187"/>
      <c r="D1735" s="187"/>
      <c r="E1735" s="187"/>
      <c r="F1735" s="187"/>
      <c r="G1735" s="187"/>
      <c r="H1735" s="187"/>
      <c r="J1735" s="186"/>
      <c r="K1735" s="180"/>
      <c r="L1735" s="180"/>
      <c r="M1735" s="186"/>
      <c r="N1735" s="186"/>
    </row>
    <row r="1736" spans="2:14" s="188" customFormat="1" ht="15" customHeight="1">
      <c r="B1736" s="187"/>
      <c r="C1736" s="187"/>
      <c r="D1736" s="187"/>
      <c r="E1736" s="187"/>
      <c r="F1736" s="187"/>
      <c r="G1736" s="187"/>
      <c r="H1736" s="187"/>
      <c r="J1736" s="186"/>
      <c r="K1736" s="180"/>
      <c r="L1736" s="180"/>
      <c r="M1736" s="186"/>
      <c r="N1736" s="186"/>
    </row>
    <row r="1737" spans="2:14" s="188" customFormat="1" ht="15" customHeight="1">
      <c r="B1737" s="187"/>
      <c r="C1737" s="187"/>
      <c r="D1737" s="187"/>
      <c r="E1737" s="187"/>
      <c r="F1737" s="187"/>
      <c r="G1737" s="187"/>
      <c r="H1737" s="187"/>
      <c r="J1737" s="186"/>
      <c r="K1737" s="180"/>
      <c r="L1737" s="180"/>
      <c r="M1737" s="186"/>
      <c r="N1737" s="186"/>
    </row>
    <row r="1738" spans="2:14" s="188" customFormat="1" ht="15" customHeight="1">
      <c r="B1738" s="187"/>
      <c r="C1738" s="187"/>
      <c r="D1738" s="187"/>
      <c r="E1738" s="187"/>
      <c r="F1738" s="187"/>
      <c r="G1738" s="187"/>
      <c r="H1738" s="187"/>
      <c r="J1738" s="186"/>
      <c r="K1738" s="180"/>
      <c r="L1738" s="180"/>
      <c r="M1738" s="186"/>
      <c r="N1738" s="186"/>
    </row>
    <row r="1739" spans="2:14" s="188" customFormat="1" ht="15" customHeight="1">
      <c r="B1739" s="187"/>
      <c r="C1739" s="187"/>
      <c r="D1739" s="187"/>
      <c r="E1739" s="187"/>
      <c r="F1739" s="187"/>
      <c r="G1739" s="187"/>
      <c r="H1739" s="187"/>
      <c r="J1739" s="186"/>
      <c r="K1739" s="180"/>
      <c r="L1739" s="180"/>
      <c r="M1739" s="186"/>
      <c r="N1739" s="186"/>
    </row>
    <row r="1740" spans="2:14" s="188" customFormat="1" ht="15" customHeight="1">
      <c r="B1740" s="187"/>
      <c r="C1740" s="187"/>
      <c r="D1740" s="187"/>
      <c r="E1740" s="187"/>
      <c r="F1740" s="187"/>
      <c r="G1740" s="187"/>
      <c r="H1740" s="187"/>
      <c r="J1740" s="186"/>
      <c r="K1740" s="180"/>
      <c r="L1740" s="180"/>
      <c r="M1740" s="186"/>
      <c r="N1740" s="186"/>
    </row>
    <row r="1741" spans="2:14" s="188" customFormat="1" ht="15" customHeight="1">
      <c r="B1741" s="187"/>
      <c r="C1741" s="187"/>
      <c r="D1741" s="187"/>
      <c r="E1741" s="187"/>
      <c r="F1741" s="187"/>
      <c r="G1741" s="187"/>
      <c r="H1741" s="187"/>
      <c r="J1741" s="186"/>
      <c r="K1741" s="180"/>
      <c r="L1741" s="180"/>
      <c r="M1741" s="186"/>
      <c r="N1741" s="186"/>
    </row>
    <row r="1742" spans="2:14" s="188" customFormat="1" ht="15" customHeight="1">
      <c r="B1742" s="187"/>
      <c r="C1742" s="187"/>
      <c r="D1742" s="187"/>
      <c r="E1742" s="187"/>
      <c r="F1742" s="187"/>
      <c r="G1742" s="187"/>
      <c r="H1742" s="187"/>
      <c r="J1742" s="186"/>
      <c r="K1742" s="180"/>
      <c r="L1742" s="180"/>
      <c r="M1742" s="186"/>
      <c r="N1742" s="186"/>
    </row>
    <row r="1743" spans="2:14" s="188" customFormat="1" ht="15" customHeight="1">
      <c r="B1743" s="187"/>
      <c r="C1743" s="187"/>
      <c r="D1743" s="187"/>
      <c r="E1743" s="187"/>
      <c r="F1743" s="187"/>
      <c r="G1743" s="187"/>
      <c r="H1743" s="187"/>
      <c r="J1743" s="186"/>
      <c r="K1743" s="180"/>
      <c r="L1743" s="180"/>
      <c r="M1743" s="186"/>
      <c r="N1743" s="186"/>
    </row>
    <row r="1744" spans="2:14" s="188" customFormat="1" ht="15" customHeight="1">
      <c r="B1744" s="187"/>
      <c r="C1744" s="187"/>
      <c r="D1744" s="187"/>
      <c r="E1744" s="187"/>
      <c r="F1744" s="187"/>
      <c r="G1744" s="187"/>
      <c r="H1744" s="187"/>
      <c r="J1744" s="186"/>
      <c r="K1744" s="180"/>
      <c r="L1744" s="180"/>
      <c r="M1744" s="186"/>
      <c r="N1744" s="186"/>
    </row>
    <row r="1745" spans="2:14" s="188" customFormat="1" ht="15" customHeight="1">
      <c r="B1745" s="187"/>
      <c r="C1745" s="187"/>
      <c r="D1745" s="187"/>
      <c r="E1745" s="187"/>
      <c r="F1745" s="187"/>
      <c r="G1745" s="187"/>
      <c r="H1745" s="187"/>
      <c r="J1745" s="186"/>
      <c r="K1745" s="180"/>
      <c r="L1745" s="180"/>
      <c r="M1745" s="186"/>
      <c r="N1745" s="186"/>
    </row>
    <row r="1746" spans="2:14" s="188" customFormat="1" ht="15" customHeight="1">
      <c r="B1746" s="187"/>
      <c r="C1746" s="187"/>
      <c r="D1746" s="187"/>
      <c r="E1746" s="187"/>
      <c r="F1746" s="187"/>
      <c r="G1746" s="187"/>
      <c r="H1746" s="187"/>
      <c r="J1746" s="186"/>
      <c r="K1746" s="180"/>
      <c r="L1746" s="180"/>
      <c r="M1746" s="186"/>
      <c r="N1746" s="186"/>
    </row>
    <row r="1747" spans="2:14" s="188" customFormat="1" ht="15" customHeight="1">
      <c r="B1747" s="187"/>
      <c r="C1747" s="187"/>
      <c r="D1747" s="187"/>
      <c r="E1747" s="187"/>
      <c r="F1747" s="187"/>
      <c r="G1747" s="187"/>
      <c r="H1747" s="187"/>
      <c r="J1747" s="186"/>
      <c r="K1747" s="180"/>
      <c r="L1747" s="180"/>
      <c r="M1747" s="186"/>
      <c r="N1747" s="186"/>
    </row>
    <row r="1748" spans="2:14" s="188" customFormat="1" ht="15" customHeight="1">
      <c r="B1748" s="187"/>
      <c r="C1748" s="187"/>
      <c r="D1748" s="187"/>
      <c r="E1748" s="187"/>
      <c r="F1748" s="187"/>
      <c r="G1748" s="187"/>
      <c r="H1748" s="187"/>
      <c r="J1748" s="186"/>
      <c r="K1748" s="180"/>
      <c r="L1748" s="180"/>
      <c r="M1748" s="186"/>
      <c r="N1748" s="186"/>
    </row>
    <row r="1749" spans="2:14" s="188" customFormat="1" ht="15" customHeight="1">
      <c r="B1749" s="187"/>
      <c r="C1749" s="187"/>
      <c r="D1749" s="187"/>
      <c r="E1749" s="187"/>
      <c r="F1749" s="187"/>
      <c r="G1749" s="187"/>
      <c r="H1749" s="187"/>
      <c r="J1749" s="186"/>
      <c r="K1749" s="180"/>
      <c r="L1749" s="180"/>
      <c r="M1749" s="186"/>
      <c r="N1749" s="186"/>
    </row>
    <row r="1750" spans="2:14" s="188" customFormat="1" ht="15" customHeight="1">
      <c r="B1750" s="187"/>
      <c r="C1750" s="187"/>
      <c r="D1750" s="187"/>
      <c r="E1750" s="187"/>
      <c r="F1750" s="187"/>
      <c r="G1750" s="187"/>
      <c r="H1750" s="187"/>
      <c r="J1750" s="186"/>
      <c r="K1750" s="180"/>
      <c r="L1750" s="180"/>
      <c r="M1750" s="186"/>
      <c r="N1750" s="186"/>
    </row>
    <row r="1751" spans="2:14" s="188" customFormat="1" ht="15" customHeight="1">
      <c r="B1751" s="187"/>
      <c r="C1751" s="187"/>
      <c r="D1751" s="187"/>
      <c r="E1751" s="187"/>
      <c r="F1751" s="187"/>
      <c r="G1751" s="187"/>
      <c r="H1751" s="187"/>
      <c r="J1751" s="186"/>
      <c r="K1751" s="180"/>
      <c r="L1751" s="180"/>
      <c r="M1751" s="186"/>
      <c r="N1751" s="186"/>
    </row>
    <row r="1752" spans="2:14" s="188" customFormat="1" ht="15" customHeight="1">
      <c r="B1752" s="187"/>
      <c r="C1752" s="187"/>
      <c r="D1752" s="187"/>
      <c r="E1752" s="187"/>
      <c r="F1752" s="187"/>
      <c r="G1752" s="187"/>
      <c r="H1752" s="187"/>
      <c r="J1752" s="186"/>
      <c r="K1752" s="180"/>
      <c r="L1752" s="180"/>
      <c r="M1752" s="186"/>
      <c r="N1752" s="186"/>
    </row>
    <row r="1753" spans="2:14" s="188" customFormat="1" ht="15" customHeight="1">
      <c r="B1753" s="187"/>
      <c r="C1753" s="187"/>
      <c r="D1753" s="187"/>
      <c r="E1753" s="187"/>
      <c r="F1753" s="187"/>
      <c r="G1753" s="187"/>
      <c r="H1753" s="187"/>
      <c r="J1753" s="186"/>
      <c r="K1753" s="180"/>
      <c r="L1753" s="180"/>
      <c r="M1753" s="186"/>
      <c r="N1753" s="186"/>
    </row>
    <row r="1754" spans="2:14" s="188" customFormat="1" ht="15" customHeight="1">
      <c r="B1754" s="187"/>
      <c r="C1754" s="187"/>
      <c r="D1754" s="187"/>
      <c r="E1754" s="187"/>
      <c r="F1754" s="187"/>
      <c r="G1754" s="187"/>
      <c r="H1754" s="187"/>
      <c r="J1754" s="186"/>
      <c r="K1754" s="180"/>
      <c r="L1754" s="180"/>
      <c r="M1754" s="186"/>
      <c r="N1754" s="186"/>
    </row>
    <row r="1755" spans="2:14" s="188" customFormat="1" ht="15" customHeight="1">
      <c r="B1755" s="187"/>
      <c r="C1755" s="187"/>
      <c r="D1755" s="187"/>
      <c r="E1755" s="187"/>
      <c r="F1755" s="187"/>
      <c r="G1755" s="187"/>
      <c r="H1755" s="187"/>
      <c r="J1755" s="186"/>
      <c r="K1755" s="180"/>
      <c r="L1755" s="180"/>
      <c r="M1755" s="186"/>
      <c r="N1755" s="186"/>
    </row>
    <row r="1756" spans="2:14" s="188" customFormat="1" ht="15" customHeight="1">
      <c r="B1756" s="187"/>
      <c r="C1756" s="187"/>
      <c r="D1756" s="187"/>
      <c r="E1756" s="187"/>
      <c r="F1756" s="187"/>
      <c r="G1756" s="187"/>
      <c r="H1756" s="187"/>
      <c r="J1756" s="186"/>
      <c r="K1756" s="180"/>
      <c r="L1756" s="180"/>
      <c r="M1756" s="186"/>
      <c r="N1756" s="186"/>
    </row>
    <row r="1757" spans="2:14" s="188" customFormat="1" ht="15" customHeight="1">
      <c r="B1757" s="187"/>
      <c r="C1757" s="187"/>
      <c r="D1757" s="187"/>
      <c r="E1757" s="187"/>
      <c r="F1757" s="187"/>
      <c r="G1757" s="187"/>
      <c r="H1757" s="187"/>
      <c r="J1757" s="186"/>
      <c r="K1757" s="180"/>
      <c r="L1757" s="180"/>
      <c r="M1757" s="186"/>
      <c r="N1757" s="186"/>
    </row>
    <row r="1758" spans="2:14" s="188" customFormat="1" ht="15" customHeight="1">
      <c r="B1758" s="187"/>
      <c r="C1758" s="187"/>
      <c r="D1758" s="187"/>
      <c r="E1758" s="187"/>
      <c r="F1758" s="187"/>
      <c r="G1758" s="187"/>
      <c r="H1758" s="187"/>
      <c r="J1758" s="186"/>
      <c r="K1758" s="180"/>
      <c r="L1758" s="180"/>
      <c r="M1758" s="186"/>
      <c r="N1758" s="186"/>
    </row>
    <row r="1759" spans="2:14" s="188" customFormat="1" ht="15" customHeight="1">
      <c r="B1759" s="187"/>
      <c r="C1759" s="187"/>
      <c r="D1759" s="187"/>
      <c r="E1759" s="187"/>
      <c r="F1759" s="187"/>
      <c r="G1759" s="187"/>
      <c r="H1759" s="187"/>
      <c r="J1759" s="186"/>
      <c r="K1759" s="180"/>
      <c r="L1759" s="180"/>
      <c r="M1759" s="186"/>
      <c r="N1759" s="186"/>
    </row>
    <row r="1760" spans="2:14" s="188" customFormat="1" ht="15" customHeight="1">
      <c r="B1760" s="187"/>
      <c r="C1760" s="187"/>
      <c r="D1760" s="187"/>
      <c r="E1760" s="187"/>
      <c r="F1760" s="187"/>
      <c r="G1760" s="187"/>
      <c r="H1760" s="187"/>
      <c r="J1760" s="186"/>
      <c r="K1760" s="180"/>
      <c r="L1760" s="180"/>
      <c r="M1760" s="186"/>
      <c r="N1760" s="186"/>
    </row>
    <row r="1761" spans="2:14" s="188" customFormat="1" ht="15" customHeight="1">
      <c r="B1761" s="187"/>
      <c r="C1761" s="187"/>
      <c r="D1761" s="187"/>
      <c r="E1761" s="187"/>
      <c r="F1761" s="187"/>
      <c r="G1761" s="187"/>
      <c r="H1761" s="187"/>
      <c r="J1761" s="186"/>
      <c r="K1761" s="180"/>
      <c r="L1761" s="180"/>
      <c r="M1761" s="186"/>
      <c r="N1761" s="186"/>
    </row>
    <row r="1762" spans="2:14" s="188" customFormat="1" ht="15" customHeight="1">
      <c r="B1762" s="187"/>
      <c r="C1762" s="187"/>
      <c r="D1762" s="187"/>
      <c r="E1762" s="187"/>
      <c r="F1762" s="187"/>
      <c r="G1762" s="187"/>
      <c r="H1762" s="187"/>
      <c r="J1762" s="186"/>
      <c r="K1762" s="180"/>
      <c r="L1762" s="180"/>
      <c r="M1762" s="186"/>
      <c r="N1762" s="186"/>
    </row>
    <row r="1763" spans="2:14" s="188" customFormat="1" ht="15" customHeight="1">
      <c r="B1763" s="187"/>
      <c r="C1763" s="187"/>
      <c r="D1763" s="187"/>
      <c r="E1763" s="187"/>
      <c r="F1763" s="187"/>
      <c r="G1763" s="187"/>
      <c r="H1763" s="187"/>
      <c r="J1763" s="186"/>
      <c r="K1763" s="180"/>
      <c r="L1763" s="180"/>
      <c r="M1763" s="186"/>
      <c r="N1763" s="186"/>
    </row>
    <row r="1764" spans="2:14" s="188" customFormat="1" ht="15" customHeight="1">
      <c r="B1764" s="187"/>
      <c r="C1764" s="187"/>
      <c r="D1764" s="187"/>
      <c r="E1764" s="187"/>
      <c r="F1764" s="187"/>
      <c r="G1764" s="187"/>
      <c r="H1764" s="187"/>
      <c r="J1764" s="186"/>
      <c r="K1764" s="180"/>
      <c r="L1764" s="180"/>
      <c r="M1764" s="186"/>
      <c r="N1764" s="186"/>
    </row>
    <row r="1765" spans="2:14" s="188" customFormat="1" ht="15" customHeight="1">
      <c r="B1765" s="187"/>
      <c r="C1765" s="187"/>
      <c r="D1765" s="187"/>
      <c r="E1765" s="187"/>
      <c r="F1765" s="187"/>
      <c r="G1765" s="187"/>
      <c r="H1765" s="187"/>
      <c r="J1765" s="186"/>
      <c r="K1765" s="180"/>
      <c r="L1765" s="180"/>
      <c r="M1765" s="186"/>
      <c r="N1765" s="186"/>
    </row>
    <row r="1766" spans="2:14" s="188" customFormat="1" ht="15" customHeight="1">
      <c r="B1766" s="187"/>
      <c r="C1766" s="187"/>
      <c r="D1766" s="187"/>
      <c r="E1766" s="187"/>
      <c r="F1766" s="187"/>
      <c r="G1766" s="187"/>
      <c r="H1766" s="187"/>
      <c r="J1766" s="186"/>
      <c r="K1766" s="180"/>
      <c r="L1766" s="180"/>
      <c r="M1766" s="186"/>
      <c r="N1766" s="186"/>
    </row>
    <row r="1767" spans="2:14" s="188" customFormat="1" ht="15" customHeight="1">
      <c r="B1767" s="187"/>
      <c r="C1767" s="187"/>
      <c r="D1767" s="187"/>
      <c r="E1767" s="187"/>
      <c r="F1767" s="187"/>
      <c r="G1767" s="187"/>
      <c r="H1767" s="187"/>
      <c r="J1767" s="186"/>
      <c r="K1767" s="180"/>
      <c r="L1767" s="180"/>
      <c r="M1767" s="186"/>
      <c r="N1767" s="186"/>
    </row>
    <row r="1768" spans="2:14" s="188" customFormat="1" ht="15" customHeight="1">
      <c r="B1768" s="187"/>
      <c r="C1768" s="187"/>
      <c r="D1768" s="187"/>
      <c r="E1768" s="187"/>
      <c r="F1768" s="187"/>
      <c r="G1768" s="187"/>
      <c r="H1768" s="187"/>
      <c r="J1768" s="186"/>
      <c r="K1768" s="180"/>
      <c r="L1768" s="180"/>
      <c r="M1768" s="186"/>
      <c r="N1768" s="186"/>
    </row>
    <row r="1769" spans="2:14" s="188" customFormat="1" ht="15" customHeight="1">
      <c r="B1769" s="187"/>
      <c r="C1769" s="187"/>
      <c r="D1769" s="187"/>
      <c r="E1769" s="187"/>
      <c r="F1769" s="187"/>
      <c r="G1769" s="187"/>
      <c r="H1769" s="187"/>
      <c r="J1769" s="186"/>
      <c r="K1769" s="180"/>
      <c r="L1769" s="180"/>
      <c r="M1769" s="186"/>
      <c r="N1769" s="186"/>
    </row>
    <row r="1770" spans="2:14" s="188" customFormat="1" ht="15" customHeight="1">
      <c r="B1770" s="187"/>
      <c r="C1770" s="187"/>
      <c r="D1770" s="187"/>
      <c r="E1770" s="187"/>
      <c r="F1770" s="187"/>
      <c r="G1770" s="187"/>
      <c r="H1770" s="187"/>
      <c r="J1770" s="186"/>
      <c r="K1770" s="180"/>
      <c r="L1770" s="180"/>
      <c r="M1770" s="186"/>
      <c r="N1770" s="186"/>
    </row>
    <row r="1771" spans="2:14" s="188" customFormat="1" ht="15" customHeight="1">
      <c r="B1771" s="187"/>
      <c r="C1771" s="187"/>
      <c r="D1771" s="187"/>
      <c r="E1771" s="187"/>
      <c r="F1771" s="187"/>
      <c r="G1771" s="187"/>
      <c r="H1771" s="187"/>
      <c r="J1771" s="186"/>
      <c r="K1771" s="180"/>
      <c r="L1771" s="180"/>
      <c r="M1771" s="186"/>
      <c r="N1771" s="186"/>
    </row>
    <row r="1772" spans="2:14" s="188" customFormat="1" ht="15" customHeight="1">
      <c r="B1772" s="187"/>
      <c r="C1772" s="187"/>
      <c r="D1772" s="187"/>
      <c r="E1772" s="187"/>
      <c r="F1772" s="187"/>
      <c r="G1772" s="187"/>
      <c r="H1772" s="187"/>
      <c r="J1772" s="186"/>
      <c r="K1772" s="180"/>
      <c r="L1772" s="180"/>
      <c r="M1772" s="186"/>
      <c r="N1772" s="186"/>
    </row>
    <row r="1773" spans="2:14" s="188" customFormat="1" ht="15" customHeight="1">
      <c r="B1773" s="187"/>
      <c r="C1773" s="187"/>
      <c r="D1773" s="187"/>
      <c r="E1773" s="187"/>
      <c r="F1773" s="187"/>
      <c r="G1773" s="187"/>
      <c r="H1773" s="187"/>
      <c r="J1773" s="186"/>
      <c r="K1773" s="180"/>
      <c r="L1773" s="180"/>
      <c r="M1773" s="186"/>
      <c r="N1773" s="186"/>
    </row>
    <row r="1774" spans="2:14" s="188" customFormat="1" ht="15" customHeight="1">
      <c r="B1774" s="187"/>
      <c r="C1774" s="187"/>
      <c r="D1774" s="187"/>
      <c r="E1774" s="187"/>
      <c r="F1774" s="187"/>
      <c r="G1774" s="187"/>
      <c r="H1774" s="187"/>
      <c r="J1774" s="186"/>
      <c r="K1774" s="180"/>
      <c r="L1774" s="180"/>
      <c r="M1774" s="186"/>
      <c r="N1774" s="186"/>
    </row>
    <row r="1775" spans="2:14" s="188" customFormat="1" ht="15" customHeight="1">
      <c r="B1775" s="187"/>
      <c r="C1775" s="187"/>
      <c r="D1775" s="187"/>
      <c r="E1775" s="187"/>
      <c r="F1775" s="187"/>
      <c r="G1775" s="187"/>
      <c r="H1775" s="187"/>
      <c r="J1775" s="186"/>
      <c r="K1775" s="180"/>
      <c r="L1775" s="180"/>
      <c r="M1775" s="186"/>
      <c r="N1775" s="186"/>
    </row>
    <row r="1776" spans="2:14" s="188" customFormat="1" ht="15" customHeight="1">
      <c r="B1776" s="187"/>
      <c r="C1776" s="187"/>
      <c r="D1776" s="187"/>
      <c r="E1776" s="187"/>
      <c r="F1776" s="187"/>
      <c r="G1776" s="187"/>
      <c r="H1776" s="187"/>
      <c r="J1776" s="186"/>
      <c r="K1776" s="180"/>
      <c r="L1776" s="180"/>
      <c r="M1776" s="186"/>
      <c r="N1776" s="186"/>
    </row>
    <row r="1777" spans="2:14" s="188" customFormat="1" ht="15" customHeight="1">
      <c r="B1777" s="187"/>
      <c r="C1777" s="187"/>
      <c r="D1777" s="187"/>
      <c r="E1777" s="187"/>
      <c r="F1777" s="187"/>
      <c r="G1777" s="187"/>
      <c r="H1777" s="187"/>
      <c r="J1777" s="186"/>
      <c r="K1777" s="180"/>
      <c r="L1777" s="180"/>
      <c r="M1777" s="186"/>
      <c r="N1777" s="186"/>
    </row>
    <row r="1778" spans="2:14" s="188" customFormat="1" ht="15" customHeight="1">
      <c r="B1778" s="187"/>
      <c r="C1778" s="187"/>
      <c r="D1778" s="187"/>
      <c r="E1778" s="187"/>
      <c r="F1778" s="187"/>
      <c r="G1778" s="187"/>
      <c r="H1778" s="187"/>
      <c r="J1778" s="186"/>
      <c r="K1778" s="180"/>
      <c r="L1778" s="180"/>
      <c r="M1778" s="186"/>
      <c r="N1778" s="186"/>
    </row>
    <row r="1779" spans="2:14" s="188" customFormat="1" ht="15" customHeight="1">
      <c r="B1779" s="187"/>
      <c r="C1779" s="187"/>
      <c r="D1779" s="187"/>
      <c r="E1779" s="187"/>
      <c r="F1779" s="187"/>
      <c r="G1779" s="187"/>
      <c r="H1779" s="187"/>
      <c r="J1779" s="186"/>
      <c r="K1779" s="180"/>
      <c r="L1779" s="180"/>
      <c r="M1779" s="186"/>
      <c r="N1779" s="186"/>
    </row>
    <row r="1780" spans="2:14" s="188" customFormat="1" ht="15" customHeight="1">
      <c r="B1780" s="187"/>
      <c r="C1780" s="187"/>
      <c r="D1780" s="187"/>
      <c r="E1780" s="187"/>
      <c r="F1780" s="187"/>
      <c r="G1780" s="187"/>
      <c r="H1780" s="187"/>
      <c r="J1780" s="186"/>
      <c r="K1780" s="180"/>
      <c r="L1780" s="180"/>
      <c r="M1780" s="186"/>
      <c r="N1780" s="186"/>
    </row>
    <row r="1781" spans="2:14" s="188" customFormat="1" ht="15" customHeight="1">
      <c r="B1781" s="187"/>
      <c r="C1781" s="187"/>
      <c r="D1781" s="187"/>
      <c r="E1781" s="187"/>
      <c r="F1781" s="187"/>
      <c r="G1781" s="187"/>
      <c r="H1781" s="187"/>
      <c r="J1781" s="186"/>
      <c r="K1781" s="180"/>
      <c r="L1781" s="180"/>
      <c r="M1781" s="186"/>
      <c r="N1781" s="186"/>
    </row>
    <row r="1782" spans="2:14" s="188" customFormat="1" ht="15" customHeight="1">
      <c r="B1782" s="187"/>
      <c r="C1782" s="187"/>
      <c r="D1782" s="187"/>
      <c r="E1782" s="187"/>
      <c r="F1782" s="187"/>
      <c r="G1782" s="187"/>
      <c r="H1782" s="187"/>
      <c r="J1782" s="186"/>
      <c r="K1782" s="180"/>
      <c r="L1782" s="180"/>
      <c r="M1782" s="186"/>
      <c r="N1782" s="186"/>
    </row>
    <row r="1783" spans="2:14" s="188" customFormat="1" ht="15" customHeight="1">
      <c r="B1783" s="187"/>
      <c r="C1783" s="187"/>
      <c r="D1783" s="187"/>
      <c r="E1783" s="187"/>
      <c r="F1783" s="187"/>
      <c r="G1783" s="187"/>
      <c r="H1783" s="187"/>
      <c r="J1783" s="186"/>
      <c r="K1783" s="180"/>
      <c r="L1783" s="180"/>
      <c r="M1783" s="186"/>
      <c r="N1783" s="186"/>
    </row>
    <row r="1784" spans="2:14" s="188" customFormat="1" ht="15" customHeight="1">
      <c r="B1784" s="187"/>
      <c r="C1784" s="187"/>
      <c r="D1784" s="187"/>
      <c r="E1784" s="187"/>
      <c r="F1784" s="187"/>
      <c r="G1784" s="187"/>
      <c r="H1784" s="187"/>
      <c r="J1784" s="186"/>
      <c r="K1784" s="180"/>
      <c r="L1784" s="180"/>
      <c r="M1784" s="186"/>
      <c r="N1784" s="186"/>
    </row>
    <row r="1785" spans="2:14" s="188" customFormat="1" ht="15" customHeight="1">
      <c r="B1785" s="187"/>
      <c r="C1785" s="187"/>
      <c r="D1785" s="187"/>
      <c r="E1785" s="187"/>
      <c r="F1785" s="187"/>
      <c r="G1785" s="187"/>
      <c r="H1785" s="187"/>
      <c r="J1785" s="186"/>
      <c r="K1785" s="180"/>
      <c r="L1785" s="180"/>
      <c r="M1785" s="186"/>
      <c r="N1785" s="186"/>
    </row>
    <row r="1786" spans="2:14" s="188" customFormat="1" ht="15" customHeight="1">
      <c r="B1786" s="187"/>
      <c r="C1786" s="187"/>
      <c r="D1786" s="187"/>
      <c r="E1786" s="187"/>
      <c r="F1786" s="187"/>
      <c r="G1786" s="187"/>
      <c r="H1786" s="187"/>
      <c r="J1786" s="186"/>
      <c r="K1786" s="180"/>
      <c r="L1786" s="180"/>
      <c r="M1786" s="186"/>
      <c r="N1786" s="186"/>
    </row>
    <row r="1787" spans="2:14" s="188" customFormat="1" ht="15" customHeight="1">
      <c r="B1787" s="187"/>
      <c r="C1787" s="187"/>
      <c r="D1787" s="187"/>
      <c r="E1787" s="187"/>
      <c r="F1787" s="187"/>
      <c r="G1787" s="187"/>
      <c r="H1787" s="187"/>
      <c r="J1787" s="186"/>
      <c r="K1787" s="180"/>
      <c r="L1787" s="180"/>
      <c r="M1787" s="186"/>
      <c r="N1787" s="186"/>
    </row>
    <row r="1788" spans="2:14" s="188" customFormat="1" ht="15" customHeight="1">
      <c r="B1788" s="187"/>
      <c r="C1788" s="187"/>
      <c r="D1788" s="187"/>
      <c r="E1788" s="187"/>
      <c r="F1788" s="187"/>
      <c r="G1788" s="187"/>
      <c r="H1788" s="187"/>
      <c r="J1788" s="186"/>
      <c r="K1788" s="180"/>
      <c r="L1788" s="180"/>
      <c r="M1788" s="186"/>
      <c r="N1788" s="186"/>
    </row>
    <row r="1789" spans="2:14" s="188" customFormat="1" ht="15" customHeight="1">
      <c r="B1789" s="187"/>
      <c r="C1789" s="187"/>
      <c r="D1789" s="187"/>
      <c r="E1789" s="187"/>
      <c r="F1789" s="187"/>
      <c r="G1789" s="187"/>
      <c r="H1789" s="187"/>
      <c r="J1789" s="186"/>
      <c r="K1789" s="180"/>
      <c r="L1789" s="180"/>
      <c r="M1789" s="186"/>
      <c r="N1789" s="186"/>
    </row>
    <row r="1790" spans="2:14" s="188" customFormat="1" ht="15" customHeight="1">
      <c r="B1790" s="187"/>
      <c r="C1790" s="187"/>
      <c r="D1790" s="187"/>
      <c r="E1790" s="187"/>
      <c r="F1790" s="187"/>
      <c r="G1790" s="187"/>
      <c r="H1790" s="187"/>
      <c r="J1790" s="186"/>
      <c r="K1790" s="180"/>
      <c r="L1790" s="180"/>
      <c r="M1790" s="186"/>
      <c r="N1790" s="186"/>
    </row>
    <row r="1791" spans="2:14" s="188" customFormat="1" ht="15" customHeight="1">
      <c r="B1791" s="187"/>
      <c r="C1791" s="187"/>
      <c r="D1791" s="187"/>
      <c r="E1791" s="187"/>
      <c r="F1791" s="187"/>
      <c r="G1791" s="187"/>
      <c r="H1791" s="187"/>
      <c r="J1791" s="186"/>
      <c r="K1791" s="180"/>
      <c r="L1791" s="180"/>
      <c r="M1791" s="186"/>
      <c r="N1791" s="186"/>
    </row>
    <row r="1792" spans="2:14" s="188" customFormat="1" ht="15" customHeight="1">
      <c r="B1792" s="187"/>
      <c r="C1792" s="187"/>
      <c r="D1792" s="187"/>
      <c r="E1792" s="187"/>
      <c r="F1792" s="187"/>
      <c r="G1792" s="187"/>
      <c r="H1792" s="187"/>
      <c r="J1792" s="186"/>
      <c r="K1792" s="180"/>
      <c r="L1792" s="180"/>
      <c r="M1792" s="186"/>
      <c r="N1792" s="186"/>
    </row>
    <row r="1793" spans="2:14" s="188" customFormat="1" ht="15" customHeight="1">
      <c r="B1793" s="187"/>
      <c r="C1793" s="187"/>
      <c r="D1793" s="187"/>
      <c r="E1793" s="187"/>
      <c r="F1793" s="187"/>
      <c r="G1793" s="187"/>
      <c r="H1793" s="187"/>
      <c r="J1793" s="186"/>
      <c r="K1793" s="180"/>
      <c r="L1793" s="180"/>
      <c r="M1793" s="186"/>
      <c r="N1793" s="186"/>
    </row>
    <row r="1794" spans="2:14" s="188" customFormat="1" ht="15" customHeight="1">
      <c r="B1794" s="187"/>
      <c r="C1794" s="187"/>
      <c r="D1794" s="187"/>
      <c r="E1794" s="187"/>
      <c r="F1794" s="187"/>
      <c r="G1794" s="187"/>
      <c r="H1794" s="187"/>
      <c r="J1794" s="186"/>
      <c r="K1794" s="180"/>
      <c r="L1794" s="180"/>
      <c r="M1794" s="186"/>
      <c r="N1794" s="186"/>
    </row>
    <row r="1795" spans="2:14" s="188" customFormat="1" ht="15" customHeight="1">
      <c r="B1795" s="187"/>
      <c r="C1795" s="187"/>
      <c r="D1795" s="187"/>
      <c r="E1795" s="187"/>
      <c r="F1795" s="187"/>
      <c r="G1795" s="187"/>
      <c r="H1795" s="187"/>
      <c r="J1795" s="186"/>
      <c r="K1795" s="180"/>
      <c r="L1795" s="180"/>
      <c r="M1795" s="186"/>
      <c r="N1795" s="186"/>
    </row>
    <row r="1796" spans="2:14" s="188" customFormat="1" ht="15" customHeight="1">
      <c r="B1796" s="187"/>
      <c r="C1796" s="187"/>
      <c r="D1796" s="187"/>
      <c r="E1796" s="187"/>
      <c r="F1796" s="187"/>
      <c r="G1796" s="187"/>
      <c r="H1796" s="187"/>
      <c r="J1796" s="186"/>
      <c r="K1796" s="180"/>
      <c r="L1796" s="180"/>
      <c r="M1796" s="186"/>
      <c r="N1796" s="186"/>
    </row>
    <row r="1797" spans="2:14" s="188" customFormat="1" ht="15" customHeight="1">
      <c r="B1797" s="187"/>
      <c r="C1797" s="187"/>
      <c r="D1797" s="187"/>
      <c r="E1797" s="187"/>
      <c r="F1797" s="187"/>
      <c r="G1797" s="187"/>
      <c r="H1797" s="187"/>
      <c r="J1797" s="186"/>
      <c r="K1797" s="180"/>
      <c r="L1797" s="180"/>
      <c r="M1797" s="186"/>
      <c r="N1797" s="186"/>
    </row>
    <row r="1798" spans="2:14" s="188" customFormat="1" ht="15" customHeight="1">
      <c r="B1798" s="187"/>
      <c r="C1798" s="187"/>
      <c r="D1798" s="187"/>
      <c r="E1798" s="187"/>
      <c r="F1798" s="187"/>
      <c r="G1798" s="187"/>
      <c r="H1798" s="187"/>
      <c r="J1798" s="186"/>
      <c r="K1798" s="180"/>
      <c r="L1798" s="180"/>
      <c r="M1798" s="186"/>
      <c r="N1798" s="186"/>
    </row>
    <row r="1799" spans="2:14" s="188" customFormat="1" ht="15" customHeight="1">
      <c r="B1799" s="187"/>
      <c r="C1799" s="187"/>
      <c r="D1799" s="187"/>
      <c r="E1799" s="187"/>
      <c r="F1799" s="187"/>
      <c r="G1799" s="187"/>
      <c r="H1799" s="187"/>
      <c r="J1799" s="186"/>
      <c r="K1799" s="180"/>
      <c r="L1799" s="180"/>
      <c r="M1799" s="186"/>
      <c r="N1799" s="186"/>
    </row>
    <row r="1800" spans="2:14" s="188" customFormat="1" ht="15" customHeight="1">
      <c r="B1800" s="187"/>
      <c r="C1800" s="187"/>
      <c r="D1800" s="187"/>
      <c r="E1800" s="187"/>
      <c r="F1800" s="187"/>
      <c r="G1800" s="187"/>
      <c r="H1800" s="187"/>
      <c r="J1800" s="186"/>
      <c r="K1800" s="180"/>
      <c r="L1800" s="180"/>
      <c r="M1800" s="186"/>
      <c r="N1800" s="186"/>
    </row>
    <row r="1801" spans="2:14" s="188" customFormat="1" ht="15" customHeight="1">
      <c r="B1801" s="187"/>
      <c r="C1801" s="187"/>
      <c r="D1801" s="187"/>
      <c r="E1801" s="187"/>
      <c r="F1801" s="187"/>
      <c r="G1801" s="187"/>
      <c r="H1801" s="187"/>
      <c r="J1801" s="186"/>
      <c r="K1801" s="180"/>
      <c r="L1801" s="180"/>
      <c r="M1801" s="186"/>
      <c r="N1801" s="186"/>
    </row>
    <row r="1802" spans="2:14" s="188" customFormat="1" ht="15" customHeight="1">
      <c r="B1802" s="187"/>
      <c r="C1802" s="187"/>
      <c r="D1802" s="187"/>
      <c r="E1802" s="187"/>
      <c r="F1802" s="187"/>
      <c r="G1802" s="187"/>
      <c r="H1802" s="187"/>
      <c r="J1802" s="186"/>
      <c r="K1802" s="180"/>
      <c r="L1802" s="180"/>
      <c r="M1802" s="186"/>
      <c r="N1802" s="186"/>
    </row>
    <row r="1803" spans="2:14" s="188" customFormat="1" ht="15" customHeight="1">
      <c r="B1803" s="187"/>
      <c r="C1803" s="187"/>
      <c r="D1803" s="187"/>
      <c r="E1803" s="187"/>
      <c r="F1803" s="187"/>
      <c r="G1803" s="187"/>
      <c r="H1803" s="187"/>
      <c r="J1803" s="186"/>
      <c r="K1803" s="180"/>
      <c r="L1803" s="180"/>
      <c r="M1803" s="186"/>
      <c r="N1803" s="186"/>
    </row>
    <row r="1804" spans="2:14" s="188" customFormat="1" ht="15" customHeight="1">
      <c r="B1804" s="187"/>
      <c r="C1804" s="187"/>
      <c r="D1804" s="187"/>
      <c r="E1804" s="187"/>
      <c r="F1804" s="187"/>
      <c r="G1804" s="187"/>
      <c r="H1804" s="187"/>
      <c r="J1804" s="186"/>
      <c r="K1804" s="180"/>
      <c r="L1804" s="180"/>
      <c r="M1804" s="186"/>
      <c r="N1804" s="186"/>
    </row>
    <row r="1805" spans="2:14" s="188" customFormat="1" ht="15" customHeight="1">
      <c r="B1805" s="187"/>
      <c r="C1805" s="187"/>
      <c r="D1805" s="187"/>
      <c r="E1805" s="187"/>
      <c r="F1805" s="187"/>
      <c r="G1805" s="187"/>
      <c r="H1805" s="187"/>
      <c r="J1805" s="186"/>
      <c r="K1805" s="180"/>
      <c r="L1805" s="180"/>
      <c r="M1805" s="186"/>
      <c r="N1805" s="186"/>
    </row>
    <row r="1806" spans="2:14" s="188" customFormat="1" ht="15" customHeight="1">
      <c r="B1806" s="187"/>
      <c r="C1806" s="187"/>
      <c r="D1806" s="187"/>
      <c r="E1806" s="187"/>
      <c r="F1806" s="187"/>
      <c r="G1806" s="187"/>
      <c r="H1806" s="187"/>
      <c r="J1806" s="186"/>
      <c r="K1806" s="180"/>
      <c r="L1806" s="180"/>
      <c r="M1806" s="186"/>
      <c r="N1806" s="186"/>
    </row>
    <row r="1807" spans="2:14" s="188" customFormat="1" ht="15" customHeight="1">
      <c r="B1807" s="187"/>
      <c r="C1807" s="187"/>
      <c r="D1807" s="187"/>
      <c r="E1807" s="187"/>
      <c r="F1807" s="187"/>
      <c r="G1807" s="187"/>
      <c r="H1807" s="187"/>
      <c r="J1807" s="186"/>
      <c r="K1807" s="180"/>
      <c r="L1807" s="180"/>
      <c r="M1807" s="186"/>
      <c r="N1807" s="186"/>
    </row>
    <row r="1808" spans="2:14" s="188" customFormat="1" ht="15" customHeight="1">
      <c r="B1808" s="187"/>
      <c r="C1808" s="187"/>
      <c r="D1808" s="187"/>
      <c r="E1808" s="187"/>
      <c r="F1808" s="187"/>
      <c r="G1808" s="187"/>
      <c r="H1808" s="187"/>
      <c r="J1808" s="186"/>
      <c r="K1808" s="180"/>
      <c r="L1808" s="180"/>
      <c r="M1808" s="186"/>
      <c r="N1808" s="186"/>
    </row>
    <row r="1809" spans="2:14" s="188" customFormat="1" ht="15" customHeight="1">
      <c r="B1809" s="187"/>
      <c r="C1809" s="187"/>
      <c r="D1809" s="187"/>
      <c r="E1809" s="187"/>
      <c r="F1809" s="187"/>
      <c r="G1809" s="187"/>
      <c r="H1809" s="187"/>
      <c r="J1809" s="186"/>
      <c r="K1809" s="180"/>
      <c r="L1809" s="180"/>
      <c r="M1809" s="186"/>
      <c r="N1809" s="186"/>
    </row>
    <row r="1810" spans="2:14" s="188" customFormat="1" ht="15" customHeight="1">
      <c r="B1810" s="187"/>
      <c r="C1810" s="187"/>
      <c r="D1810" s="187"/>
      <c r="E1810" s="187"/>
      <c r="F1810" s="187"/>
      <c r="G1810" s="187"/>
      <c r="H1810" s="187"/>
      <c r="J1810" s="186"/>
      <c r="K1810" s="180"/>
      <c r="L1810" s="180"/>
      <c r="M1810" s="186"/>
      <c r="N1810" s="186"/>
    </row>
    <row r="1811" spans="2:14" s="188" customFormat="1" ht="15" customHeight="1">
      <c r="B1811" s="187"/>
      <c r="C1811" s="187"/>
      <c r="D1811" s="187"/>
      <c r="E1811" s="187"/>
      <c r="F1811" s="187"/>
      <c r="G1811" s="187"/>
      <c r="H1811" s="187"/>
      <c r="J1811" s="186"/>
      <c r="K1811" s="180"/>
      <c r="L1811" s="180"/>
      <c r="M1811" s="186"/>
      <c r="N1811" s="186"/>
    </row>
    <row r="1812" spans="2:14" s="188" customFormat="1" ht="15" customHeight="1">
      <c r="B1812" s="187"/>
      <c r="C1812" s="187"/>
      <c r="D1812" s="187"/>
      <c r="E1812" s="187"/>
      <c r="F1812" s="187"/>
      <c r="G1812" s="187"/>
      <c r="H1812" s="187"/>
      <c r="J1812" s="186"/>
      <c r="K1812" s="180"/>
      <c r="L1812" s="180"/>
      <c r="M1812" s="186"/>
      <c r="N1812" s="186"/>
    </row>
    <row r="1813" spans="2:14" s="188" customFormat="1" ht="15" customHeight="1">
      <c r="B1813" s="187"/>
      <c r="C1813" s="187"/>
      <c r="D1813" s="187"/>
      <c r="E1813" s="187"/>
      <c r="F1813" s="187"/>
      <c r="G1813" s="187"/>
      <c r="H1813" s="187"/>
      <c r="J1813" s="186"/>
      <c r="K1813" s="180"/>
      <c r="L1813" s="180"/>
      <c r="M1813" s="186"/>
      <c r="N1813" s="186"/>
    </row>
    <row r="1814" spans="2:14" s="188" customFormat="1" ht="15" customHeight="1">
      <c r="B1814" s="187"/>
      <c r="C1814" s="187"/>
      <c r="D1814" s="187"/>
      <c r="E1814" s="187"/>
      <c r="F1814" s="187"/>
      <c r="G1814" s="187"/>
      <c r="H1814" s="187"/>
      <c r="J1814" s="186"/>
      <c r="K1814" s="180"/>
      <c r="L1814" s="180"/>
      <c r="M1814" s="186"/>
      <c r="N1814" s="186"/>
    </row>
    <row r="1815" spans="2:14" s="188" customFormat="1" ht="15" customHeight="1">
      <c r="B1815" s="187"/>
      <c r="C1815" s="187"/>
      <c r="D1815" s="187"/>
      <c r="E1815" s="187"/>
      <c r="F1815" s="187"/>
      <c r="G1815" s="187"/>
      <c r="H1815" s="187"/>
      <c r="J1815" s="186"/>
      <c r="K1815" s="180"/>
      <c r="L1815" s="180"/>
      <c r="M1815" s="186"/>
      <c r="N1815" s="186"/>
    </row>
    <row r="1816" spans="2:14" s="188" customFormat="1" ht="15" customHeight="1">
      <c r="B1816" s="187"/>
      <c r="C1816" s="187"/>
      <c r="D1816" s="187"/>
      <c r="E1816" s="187"/>
      <c r="F1816" s="187"/>
      <c r="G1816" s="187"/>
      <c r="H1816" s="187"/>
      <c r="J1816" s="186"/>
      <c r="K1816" s="180"/>
      <c r="L1816" s="180"/>
      <c r="M1816" s="186"/>
      <c r="N1816" s="186"/>
    </row>
    <row r="1817" spans="2:14" s="188" customFormat="1" ht="15" customHeight="1">
      <c r="B1817" s="187"/>
      <c r="C1817" s="187"/>
      <c r="D1817" s="187"/>
      <c r="E1817" s="187"/>
      <c r="F1817" s="187"/>
      <c r="G1817" s="187"/>
      <c r="H1817" s="187"/>
      <c r="J1817" s="186"/>
      <c r="K1817" s="180"/>
      <c r="L1817" s="180"/>
      <c r="M1817" s="186"/>
      <c r="N1817" s="186"/>
    </row>
    <row r="1818" spans="2:14" s="188" customFormat="1" ht="15" customHeight="1">
      <c r="B1818" s="187"/>
      <c r="C1818" s="187"/>
      <c r="D1818" s="187"/>
      <c r="E1818" s="187"/>
      <c r="F1818" s="187"/>
      <c r="G1818" s="187"/>
      <c r="H1818" s="187"/>
      <c r="J1818" s="186"/>
      <c r="K1818" s="180"/>
      <c r="L1818" s="180"/>
      <c r="M1818" s="186"/>
      <c r="N1818" s="186"/>
    </row>
    <row r="1819" spans="2:14" s="188" customFormat="1" ht="15" customHeight="1">
      <c r="B1819" s="187"/>
      <c r="C1819" s="187"/>
      <c r="D1819" s="187"/>
      <c r="E1819" s="187"/>
      <c r="F1819" s="187"/>
      <c r="G1819" s="187"/>
      <c r="H1819" s="187"/>
      <c r="J1819" s="186"/>
      <c r="K1819" s="180"/>
      <c r="L1819" s="180"/>
      <c r="M1819" s="186"/>
      <c r="N1819" s="186"/>
    </row>
    <row r="1820" spans="2:14" s="188" customFormat="1" ht="15" customHeight="1">
      <c r="B1820" s="187"/>
      <c r="C1820" s="187"/>
      <c r="D1820" s="187"/>
      <c r="E1820" s="187"/>
      <c r="F1820" s="187"/>
      <c r="G1820" s="187"/>
      <c r="H1820" s="187"/>
      <c r="J1820" s="186"/>
      <c r="K1820" s="180"/>
      <c r="L1820" s="180"/>
      <c r="M1820" s="186"/>
      <c r="N1820" s="186"/>
    </row>
    <row r="1821" spans="2:14" s="188" customFormat="1" ht="15" customHeight="1">
      <c r="B1821" s="187"/>
      <c r="C1821" s="187"/>
      <c r="D1821" s="187"/>
      <c r="E1821" s="187"/>
      <c r="F1821" s="187"/>
      <c r="G1821" s="187"/>
      <c r="H1821" s="187"/>
      <c r="J1821" s="186"/>
      <c r="K1821" s="180"/>
      <c r="L1821" s="180"/>
      <c r="M1821" s="186"/>
      <c r="N1821" s="186"/>
    </row>
    <row r="1822" spans="2:14" s="188" customFormat="1" ht="15" customHeight="1">
      <c r="B1822" s="187"/>
      <c r="C1822" s="187"/>
      <c r="D1822" s="187"/>
      <c r="E1822" s="187"/>
      <c r="F1822" s="187"/>
      <c r="G1822" s="187"/>
      <c r="H1822" s="187"/>
      <c r="J1822" s="186"/>
      <c r="K1822" s="180"/>
      <c r="L1822" s="180"/>
      <c r="M1822" s="186"/>
      <c r="N1822" s="186"/>
    </row>
    <row r="1823" spans="2:14" s="188" customFormat="1" ht="15" customHeight="1">
      <c r="B1823" s="187"/>
      <c r="C1823" s="187"/>
      <c r="D1823" s="187"/>
      <c r="E1823" s="187"/>
      <c r="F1823" s="187"/>
      <c r="G1823" s="187"/>
      <c r="H1823" s="187"/>
      <c r="J1823" s="186"/>
      <c r="K1823" s="180"/>
      <c r="L1823" s="180"/>
      <c r="M1823" s="186"/>
      <c r="N1823" s="186"/>
    </row>
    <row r="1824" spans="2:14" s="188" customFormat="1" ht="15" customHeight="1">
      <c r="B1824" s="187"/>
      <c r="C1824" s="187"/>
      <c r="D1824" s="187"/>
      <c r="E1824" s="187"/>
      <c r="F1824" s="187"/>
      <c r="G1824" s="187"/>
      <c r="H1824" s="187"/>
      <c r="J1824" s="186"/>
      <c r="K1824" s="180"/>
      <c r="L1824" s="180"/>
      <c r="M1824" s="186"/>
      <c r="N1824" s="186"/>
    </row>
    <row r="1825" spans="2:14" s="188" customFormat="1" ht="15" customHeight="1">
      <c r="B1825" s="187"/>
      <c r="C1825" s="187"/>
      <c r="D1825" s="187"/>
      <c r="E1825" s="187"/>
      <c r="F1825" s="187"/>
      <c r="G1825" s="187"/>
      <c r="H1825" s="187"/>
      <c r="J1825" s="186"/>
      <c r="K1825" s="180"/>
      <c r="L1825" s="180"/>
      <c r="M1825" s="186"/>
      <c r="N1825" s="186"/>
    </row>
    <row r="1826" spans="2:14" s="188" customFormat="1" ht="15" customHeight="1">
      <c r="B1826" s="187"/>
      <c r="C1826" s="187"/>
      <c r="D1826" s="187"/>
      <c r="E1826" s="187"/>
      <c r="F1826" s="187"/>
      <c r="G1826" s="187"/>
      <c r="H1826" s="187"/>
      <c r="J1826" s="186"/>
      <c r="K1826" s="180"/>
      <c r="L1826" s="180"/>
      <c r="M1826" s="186"/>
      <c r="N1826" s="186"/>
    </row>
    <row r="1827" spans="2:14" s="188" customFormat="1" ht="15" customHeight="1">
      <c r="B1827" s="187"/>
      <c r="C1827" s="187"/>
      <c r="D1827" s="187"/>
      <c r="E1827" s="187"/>
      <c r="F1827" s="187"/>
      <c r="G1827" s="187"/>
      <c r="H1827" s="187"/>
      <c r="J1827" s="186"/>
      <c r="K1827" s="180"/>
      <c r="L1827" s="180"/>
      <c r="M1827" s="186"/>
      <c r="N1827" s="186"/>
    </row>
    <row r="1828" spans="2:14" s="188" customFormat="1" ht="15" customHeight="1">
      <c r="B1828" s="187"/>
      <c r="C1828" s="187"/>
      <c r="D1828" s="187"/>
      <c r="E1828" s="187"/>
      <c r="F1828" s="187"/>
      <c r="G1828" s="187"/>
      <c r="H1828" s="187"/>
      <c r="J1828" s="186"/>
      <c r="K1828" s="180"/>
      <c r="L1828" s="180"/>
      <c r="M1828" s="186"/>
      <c r="N1828" s="186"/>
    </row>
    <row r="1829" spans="2:14" s="188" customFormat="1" ht="15" customHeight="1">
      <c r="B1829" s="187"/>
      <c r="C1829" s="187"/>
      <c r="D1829" s="187"/>
      <c r="E1829" s="187"/>
      <c r="F1829" s="187"/>
      <c r="G1829" s="187"/>
      <c r="H1829" s="187"/>
      <c r="J1829" s="186"/>
      <c r="K1829" s="180"/>
      <c r="L1829" s="180"/>
      <c r="M1829" s="186"/>
      <c r="N1829" s="186"/>
    </row>
    <row r="1830" spans="2:14" s="188" customFormat="1" ht="15" customHeight="1">
      <c r="B1830" s="187"/>
      <c r="C1830" s="187"/>
      <c r="D1830" s="187"/>
      <c r="E1830" s="187"/>
      <c r="F1830" s="187"/>
      <c r="G1830" s="187"/>
      <c r="H1830" s="187"/>
      <c r="J1830" s="186"/>
      <c r="K1830" s="180"/>
      <c r="L1830" s="180"/>
      <c r="M1830" s="186"/>
      <c r="N1830" s="186"/>
    </row>
    <row r="1831" spans="2:14" s="188" customFormat="1" ht="15" customHeight="1">
      <c r="B1831" s="187"/>
      <c r="C1831" s="187"/>
      <c r="D1831" s="187"/>
      <c r="E1831" s="187"/>
      <c r="F1831" s="187"/>
      <c r="G1831" s="187"/>
      <c r="H1831" s="187"/>
      <c r="J1831" s="186"/>
      <c r="K1831" s="180"/>
      <c r="L1831" s="180"/>
      <c r="M1831" s="186"/>
      <c r="N1831" s="186"/>
    </row>
    <row r="1832" spans="2:14" s="188" customFormat="1" ht="15" customHeight="1">
      <c r="B1832" s="187"/>
      <c r="C1832" s="187"/>
      <c r="D1832" s="187"/>
      <c r="E1832" s="187"/>
      <c r="F1832" s="187"/>
      <c r="G1832" s="187"/>
      <c r="H1832" s="187"/>
      <c r="J1832" s="186"/>
      <c r="K1832" s="180"/>
      <c r="L1832" s="180"/>
      <c r="M1832" s="186"/>
      <c r="N1832" s="186"/>
    </row>
    <row r="1833" spans="2:14" s="188" customFormat="1" ht="15" customHeight="1">
      <c r="B1833" s="187"/>
      <c r="C1833" s="187"/>
      <c r="D1833" s="187"/>
      <c r="E1833" s="187"/>
      <c r="F1833" s="187"/>
      <c r="G1833" s="187"/>
      <c r="H1833" s="187"/>
      <c r="J1833" s="186"/>
      <c r="K1833" s="180"/>
      <c r="L1833" s="180"/>
      <c r="M1833" s="186"/>
      <c r="N1833" s="186"/>
    </row>
    <row r="1834" spans="2:14" s="188" customFormat="1" ht="15" customHeight="1">
      <c r="B1834" s="187"/>
      <c r="C1834" s="187"/>
      <c r="D1834" s="187"/>
      <c r="E1834" s="187"/>
      <c r="F1834" s="187"/>
      <c r="G1834" s="187"/>
      <c r="H1834" s="187"/>
      <c r="J1834" s="186"/>
      <c r="K1834" s="180"/>
      <c r="L1834" s="180"/>
      <c r="M1834" s="186"/>
      <c r="N1834" s="186"/>
    </row>
    <row r="1835" spans="2:14" s="188" customFormat="1" ht="15" customHeight="1">
      <c r="B1835" s="187"/>
      <c r="C1835" s="187"/>
      <c r="D1835" s="187"/>
      <c r="E1835" s="187"/>
      <c r="F1835" s="187"/>
      <c r="G1835" s="187"/>
      <c r="H1835" s="187"/>
      <c r="J1835" s="186"/>
      <c r="K1835" s="180"/>
      <c r="L1835" s="180"/>
      <c r="M1835" s="186"/>
      <c r="N1835" s="186"/>
    </row>
    <row r="1836" spans="2:14" s="188" customFormat="1" ht="15" customHeight="1">
      <c r="B1836" s="187"/>
      <c r="C1836" s="187"/>
      <c r="D1836" s="187"/>
      <c r="E1836" s="187"/>
      <c r="F1836" s="187"/>
      <c r="G1836" s="187"/>
      <c r="H1836" s="187"/>
      <c r="J1836" s="186"/>
      <c r="K1836" s="180"/>
      <c r="L1836" s="180"/>
      <c r="M1836" s="186"/>
      <c r="N1836" s="186"/>
    </row>
    <row r="1837" spans="2:14" s="188" customFormat="1" ht="15" customHeight="1">
      <c r="B1837" s="187"/>
      <c r="C1837" s="187"/>
      <c r="D1837" s="187"/>
      <c r="E1837" s="187"/>
      <c r="F1837" s="187"/>
      <c r="G1837" s="187"/>
      <c r="H1837" s="187"/>
      <c r="J1837" s="186"/>
      <c r="K1837" s="180"/>
      <c r="L1837" s="180"/>
      <c r="M1837" s="186"/>
      <c r="N1837" s="186"/>
    </row>
    <row r="1838" spans="2:14" s="188" customFormat="1" ht="15" customHeight="1">
      <c r="B1838" s="187"/>
      <c r="C1838" s="187"/>
      <c r="D1838" s="187"/>
      <c r="E1838" s="187"/>
      <c r="F1838" s="187"/>
      <c r="G1838" s="187"/>
      <c r="H1838" s="187"/>
      <c r="J1838" s="186"/>
      <c r="K1838" s="180"/>
      <c r="L1838" s="180"/>
      <c r="M1838" s="186"/>
      <c r="N1838" s="186"/>
    </row>
    <row r="1839" spans="2:14" s="188" customFormat="1" ht="15" customHeight="1">
      <c r="B1839" s="187"/>
      <c r="C1839" s="187"/>
      <c r="D1839" s="187"/>
      <c r="E1839" s="187"/>
      <c r="F1839" s="187"/>
      <c r="G1839" s="187"/>
      <c r="H1839" s="187"/>
      <c r="J1839" s="186"/>
      <c r="K1839" s="180"/>
      <c r="L1839" s="180"/>
      <c r="M1839" s="186"/>
      <c r="N1839" s="186"/>
    </row>
    <row r="1840" spans="2:14" s="188" customFormat="1" ht="15" customHeight="1">
      <c r="B1840" s="187"/>
      <c r="C1840" s="187"/>
      <c r="D1840" s="187"/>
      <c r="E1840" s="187"/>
      <c r="F1840" s="187"/>
      <c r="G1840" s="187"/>
      <c r="H1840" s="187"/>
      <c r="J1840" s="186"/>
      <c r="K1840" s="180"/>
      <c r="L1840" s="180"/>
      <c r="M1840" s="186"/>
      <c r="N1840" s="186"/>
    </row>
    <row r="1841" spans="2:14" s="188" customFormat="1" ht="15" customHeight="1">
      <c r="B1841" s="187"/>
      <c r="C1841" s="187"/>
      <c r="D1841" s="187"/>
      <c r="E1841" s="187"/>
      <c r="F1841" s="187"/>
      <c r="G1841" s="187"/>
      <c r="H1841" s="187"/>
      <c r="J1841" s="186"/>
      <c r="K1841" s="180"/>
      <c r="L1841" s="180"/>
      <c r="M1841" s="186"/>
      <c r="N1841" s="186"/>
    </row>
    <row r="1842" spans="2:14" s="188" customFormat="1" ht="15" customHeight="1">
      <c r="B1842" s="187"/>
      <c r="C1842" s="187"/>
      <c r="D1842" s="187"/>
      <c r="E1842" s="187"/>
      <c r="F1842" s="187"/>
      <c r="G1842" s="187"/>
      <c r="H1842" s="187"/>
      <c r="J1842" s="186"/>
      <c r="K1842" s="180"/>
      <c r="L1842" s="180"/>
      <c r="M1842" s="186"/>
      <c r="N1842" s="186"/>
    </row>
    <row r="1843" spans="2:14" s="188" customFormat="1" ht="15" customHeight="1">
      <c r="B1843" s="187"/>
      <c r="C1843" s="187"/>
      <c r="D1843" s="187"/>
      <c r="E1843" s="187"/>
      <c r="F1843" s="187"/>
      <c r="G1843" s="187"/>
      <c r="H1843" s="187"/>
      <c r="J1843" s="186"/>
      <c r="K1843" s="180"/>
      <c r="L1843" s="180"/>
      <c r="M1843" s="186"/>
      <c r="N1843" s="186"/>
    </row>
    <row r="1844" spans="2:14" s="188" customFormat="1" ht="15" customHeight="1">
      <c r="B1844" s="187"/>
      <c r="C1844" s="187"/>
      <c r="D1844" s="187"/>
      <c r="E1844" s="187"/>
      <c r="F1844" s="187"/>
      <c r="G1844" s="187"/>
      <c r="H1844" s="187"/>
      <c r="J1844" s="186"/>
      <c r="K1844" s="180"/>
      <c r="L1844" s="180"/>
      <c r="M1844" s="186"/>
      <c r="N1844" s="186"/>
    </row>
    <row r="1845" spans="2:14" s="188" customFormat="1" ht="15" customHeight="1">
      <c r="B1845" s="187"/>
      <c r="C1845" s="187"/>
      <c r="D1845" s="187"/>
      <c r="E1845" s="187"/>
      <c r="F1845" s="187"/>
      <c r="G1845" s="187"/>
      <c r="H1845" s="187"/>
      <c r="J1845" s="186"/>
      <c r="K1845" s="180"/>
      <c r="L1845" s="180"/>
      <c r="M1845" s="186"/>
      <c r="N1845" s="186"/>
    </row>
    <row r="1846" spans="2:14" s="188" customFormat="1" ht="15" customHeight="1">
      <c r="B1846" s="187"/>
      <c r="C1846" s="187"/>
      <c r="D1846" s="187"/>
      <c r="E1846" s="187"/>
      <c r="F1846" s="187"/>
      <c r="G1846" s="187"/>
      <c r="H1846" s="187"/>
      <c r="J1846" s="186"/>
      <c r="K1846" s="180"/>
      <c r="L1846" s="180"/>
      <c r="M1846" s="186"/>
      <c r="N1846" s="186"/>
    </row>
    <row r="1847" spans="2:14" s="188" customFormat="1" ht="15" customHeight="1">
      <c r="B1847" s="187"/>
      <c r="C1847" s="187"/>
      <c r="D1847" s="187"/>
      <c r="E1847" s="187"/>
      <c r="F1847" s="187"/>
      <c r="G1847" s="187"/>
      <c r="H1847" s="187"/>
      <c r="J1847" s="186"/>
      <c r="K1847" s="180"/>
      <c r="L1847" s="180"/>
      <c r="M1847" s="186"/>
      <c r="N1847" s="186"/>
    </row>
    <row r="1848" spans="2:14" s="188" customFormat="1" ht="15" customHeight="1">
      <c r="B1848" s="187"/>
      <c r="C1848" s="187"/>
      <c r="D1848" s="187"/>
      <c r="E1848" s="187"/>
      <c r="F1848" s="187"/>
      <c r="G1848" s="187"/>
      <c r="H1848" s="187"/>
      <c r="J1848" s="186"/>
      <c r="K1848" s="180"/>
      <c r="L1848" s="180"/>
      <c r="M1848" s="186"/>
      <c r="N1848" s="186"/>
    </row>
    <row r="1849" spans="2:14" s="188" customFormat="1" ht="15" customHeight="1">
      <c r="B1849" s="187"/>
      <c r="C1849" s="187"/>
      <c r="D1849" s="187"/>
      <c r="E1849" s="187"/>
      <c r="F1849" s="187"/>
      <c r="G1849" s="187"/>
      <c r="H1849" s="187"/>
      <c r="J1849" s="186"/>
      <c r="K1849" s="180"/>
      <c r="L1849" s="180"/>
      <c r="M1849" s="186"/>
      <c r="N1849" s="186"/>
    </row>
    <row r="1850" spans="2:14" s="188" customFormat="1" ht="15" customHeight="1">
      <c r="B1850" s="187"/>
      <c r="C1850" s="187"/>
      <c r="D1850" s="187"/>
      <c r="E1850" s="187"/>
      <c r="F1850" s="187"/>
      <c r="G1850" s="187"/>
      <c r="H1850" s="187"/>
      <c r="J1850" s="186"/>
      <c r="K1850" s="180"/>
      <c r="L1850" s="180"/>
      <c r="M1850" s="186"/>
      <c r="N1850" s="186"/>
    </row>
    <row r="1851" spans="2:14" s="188" customFormat="1" ht="15" customHeight="1">
      <c r="B1851" s="187"/>
      <c r="C1851" s="187"/>
      <c r="D1851" s="187"/>
      <c r="E1851" s="187"/>
      <c r="F1851" s="187"/>
      <c r="G1851" s="187"/>
      <c r="H1851" s="187"/>
      <c r="J1851" s="186"/>
      <c r="K1851" s="180"/>
      <c r="L1851" s="180"/>
      <c r="M1851" s="186"/>
      <c r="N1851" s="186"/>
    </row>
    <row r="1852" spans="2:14" s="188" customFormat="1" ht="15" customHeight="1">
      <c r="B1852" s="187"/>
      <c r="C1852" s="187"/>
      <c r="D1852" s="187"/>
      <c r="E1852" s="187"/>
      <c r="F1852" s="187"/>
      <c r="G1852" s="187"/>
      <c r="H1852" s="187"/>
      <c r="J1852" s="186"/>
      <c r="K1852" s="180"/>
      <c r="L1852" s="180"/>
      <c r="M1852" s="186"/>
      <c r="N1852" s="186"/>
    </row>
    <row r="1853" spans="2:14" s="188" customFormat="1" ht="15" customHeight="1">
      <c r="B1853" s="187"/>
      <c r="C1853" s="187"/>
      <c r="D1853" s="187"/>
      <c r="E1853" s="187"/>
      <c r="F1853" s="187"/>
      <c r="G1853" s="187"/>
      <c r="J1853" s="186"/>
      <c r="K1853" s="180"/>
      <c r="L1853" s="180"/>
      <c r="M1853" s="186"/>
      <c r="N1853" s="186"/>
    </row>
    <row r="1854" spans="2:14" s="188" customFormat="1" ht="15" customHeight="1">
      <c r="B1854" s="187"/>
      <c r="C1854" s="187"/>
      <c r="D1854" s="187"/>
      <c r="E1854" s="187"/>
      <c r="F1854" s="187"/>
      <c r="G1854" s="187"/>
      <c r="J1854" s="186"/>
      <c r="K1854" s="180"/>
      <c r="L1854" s="180"/>
      <c r="M1854" s="186"/>
      <c r="N1854" s="186"/>
    </row>
    <row r="1855" spans="2:14" s="188" customFormat="1" ht="15" customHeight="1">
      <c r="B1855" s="187"/>
      <c r="C1855" s="187"/>
      <c r="D1855" s="187"/>
      <c r="E1855" s="187"/>
      <c r="F1855" s="187"/>
      <c r="G1855" s="187"/>
      <c r="J1855" s="186"/>
      <c r="K1855" s="180"/>
      <c r="L1855" s="180"/>
      <c r="M1855" s="186"/>
      <c r="N1855" s="186"/>
    </row>
    <row r="1856" spans="2:14" s="188" customFormat="1" ht="15" customHeight="1">
      <c r="B1856" s="187"/>
      <c r="C1856" s="187"/>
      <c r="D1856" s="187"/>
      <c r="E1856" s="187"/>
      <c r="F1856" s="187"/>
      <c r="G1856" s="187"/>
      <c r="J1856" s="186"/>
      <c r="K1856" s="180"/>
      <c r="L1856" s="180"/>
      <c r="M1856" s="186"/>
      <c r="N1856" s="186"/>
    </row>
    <row r="1857" spans="2:14" s="188" customFormat="1" ht="15" customHeight="1">
      <c r="B1857" s="187"/>
      <c r="C1857" s="187"/>
      <c r="D1857" s="187"/>
      <c r="E1857" s="187"/>
      <c r="F1857" s="187"/>
      <c r="G1857" s="187"/>
      <c r="J1857" s="186"/>
      <c r="K1857" s="180"/>
      <c r="L1857" s="180"/>
      <c r="M1857" s="186"/>
      <c r="N1857" s="186"/>
    </row>
    <row r="1858" spans="2:14" s="188" customFormat="1" ht="15" customHeight="1">
      <c r="B1858" s="187"/>
      <c r="C1858" s="187"/>
      <c r="D1858" s="187"/>
      <c r="E1858" s="187"/>
      <c r="F1858" s="187"/>
      <c r="G1858" s="187"/>
      <c r="J1858" s="186"/>
      <c r="K1858" s="180"/>
      <c r="L1858" s="180"/>
      <c r="M1858" s="186"/>
      <c r="N1858" s="186"/>
    </row>
    <row r="1859" spans="2:14" s="188" customFormat="1" ht="15" customHeight="1">
      <c r="B1859" s="187"/>
      <c r="C1859" s="187"/>
      <c r="D1859" s="187"/>
      <c r="E1859" s="187"/>
      <c r="F1859" s="187"/>
      <c r="G1859" s="187"/>
      <c r="J1859" s="186"/>
      <c r="K1859" s="180"/>
      <c r="L1859" s="180"/>
      <c r="M1859" s="186"/>
      <c r="N1859" s="186"/>
    </row>
    <row r="1860" spans="2:14" s="188" customFormat="1" ht="15" customHeight="1">
      <c r="B1860" s="187"/>
      <c r="C1860" s="187"/>
      <c r="D1860" s="187"/>
      <c r="E1860" s="187"/>
      <c r="F1860" s="187"/>
      <c r="G1860" s="187"/>
      <c r="J1860" s="186"/>
      <c r="K1860" s="180"/>
      <c r="L1860" s="180"/>
      <c r="M1860" s="186"/>
      <c r="N1860" s="186"/>
    </row>
    <row r="1861" spans="2:14" s="188" customFormat="1" ht="15" customHeight="1">
      <c r="B1861" s="187"/>
      <c r="C1861" s="187"/>
      <c r="D1861" s="187"/>
      <c r="E1861" s="187"/>
      <c r="F1861" s="187"/>
      <c r="G1861" s="187"/>
      <c r="J1861" s="186"/>
      <c r="K1861" s="180"/>
      <c r="L1861" s="180"/>
      <c r="M1861" s="186"/>
      <c r="N1861" s="186"/>
    </row>
    <row r="1862" spans="2:14" s="188" customFormat="1" ht="15" customHeight="1">
      <c r="B1862" s="187"/>
      <c r="C1862" s="187"/>
      <c r="D1862" s="187"/>
      <c r="E1862" s="187"/>
      <c r="F1862" s="187"/>
      <c r="G1862" s="187"/>
      <c r="J1862" s="186"/>
      <c r="K1862" s="180"/>
      <c r="L1862" s="180"/>
      <c r="M1862" s="186"/>
      <c r="N1862" s="186"/>
    </row>
    <row r="1863" spans="2:14" s="188" customFormat="1" ht="15" customHeight="1">
      <c r="B1863" s="187"/>
      <c r="C1863" s="187"/>
      <c r="D1863" s="187"/>
      <c r="E1863" s="187"/>
      <c r="F1863" s="187"/>
      <c r="G1863" s="187"/>
      <c r="J1863" s="186"/>
      <c r="K1863" s="180"/>
      <c r="L1863" s="180"/>
      <c r="M1863" s="186"/>
      <c r="N1863" s="186"/>
    </row>
    <row r="1864" spans="2:14" s="188" customFormat="1" ht="15" customHeight="1">
      <c r="B1864" s="187"/>
      <c r="C1864" s="187"/>
      <c r="D1864" s="187"/>
      <c r="E1864" s="187"/>
      <c r="F1864" s="187"/>
      <c r="G1864" s="187"/>
      <c r="J1864" s="186"/>
      <c r="K1864" s="180"/>
      <c r="L1864" s="180"/>
      <c r="M1864" s="186"/>
      <c r="N1864" s="186"/>
    </row>
    <row r="1865" spans="2:14" s="188" customFormat="1" ht="15" customHeight="1">
      <c r="B1865" s="187"/>
      <c r="C1865" s="187"/>
      <c r="D1865" s="187"/>
      <c r="E1865" s="187"/>
      <c r="F1865" s="187"/>
      <c r="G1865" s="187"/>
      <c r="J1865" s="186"/>
      <c r="K1865" s="180"/>
      <c r="L1865" s="180"/>
      <c r="M1865" s="186"/>
      <c r="N1865" s="186"/>
    </row>
    <row r="1866" spans="2:14" s="188" customFormat="1" ht="15" customHeight="1">
      <c r="B1866" s="187"/>
      <c r="C1866" s="187"/>
      <c r="D1866" s="187"/>
      <c r="E1866" s="187"/>
      <c r="F1866" s="187"/>
      <c r="G1866" s="187"/>
      <c r="J1866" s="186"/>
      <c r="K1866" s="180"/>
      <c r="L1866" s="180"/>
      <c r="M1866" s="186"/>
      <c r="N1866" s="186"/>
    </row>
    <row r="1867" spans="2:14" s="188" customFormat="1" ht="15" customHeight="1">
      <c r="B1867" s="187"/>
      <c r="C1867" s="187"/>
      <c r="D1867" s="187"/>
      <c r="E1867" s="187"/>
      <c r="F1867" s="187"/>
      <c r="G1867" s="187"/>
      <c r="J1867" s="186"/>
      <c r="K1867" s="180"/>
      <c r="L1867" s="180"/>
      <c r="M1867" s="186"/>
      <c r="N1867" s="186"/>
    </row>
    <row r="1868" spans="2:14" s="188" customFormat="1" ht="15" customHeight="1">
      <c r="B1868" s="187"/>
      <c r="C1868" s="187"/>
      <c r="D1868" s="187"/>
      <c r="E1868" s="187"/>
      <c r="F1868" s="187"/>
      <c r="G1868" s="187"/>
      <c r="J1868" s="186"/>
      <c r="K1868" s="180"/>
      <c r="L1868" s="180"/>
      <c r="M1868" s="186"/>
      <c r="N1868" s="186"/>
    </row>
    <row r="1869" spans="2:14" s="188" customFormat="1" ht="15" customHeight="1">
      <c r="B1869" s="187"/>
      <c r="C1869" s="187"/>
      <c r="D1869" s="187"/>
      <c r="E1869" s="187"/>
      <c r="F1869" s="187"/>
      <c r="G1869" s="187"/>
      <c r="J1869" s="186"/>
      <c r="K1869" s="180"/>
      <c r="L1869" s="180"/>
      <c r="M1869" s="186"/>
      <c r="N1869" s="186"/>
    </row>
    <row r="1870" spans="2:14" s="188" customFormat="1" ht="15" customHeight="1">
      <c r="B1870" s="187"/>
      <c r="C1870" s="187"/>
      <c r="D1870" s="187"/>
      <c r="E1870" s="187"/>
      <c r="F1870" s="187"/>
      <c r="G1870" s="187"/>
      <c r="J1870" s="186"/>
      <c r="K1870" s="180"/>
      <c r="L1870" s="180"/>
      <c r="M1870" s="186"/>
      <c r="N1870" s="186"/>
    </row>
    <row r="1871" spans="2:14" s="188" customFormat="1" ht="15" customHeight="1">
      <c r="B1871" s="187"/>
      <c r="C1871" s="187"/>
      <c r="D1871" s="187"/>
      <c r="E1871" s="187"/>
      <c r="F1871" s="187"/>
      <c r="G1871" s="187"/>
      <c r="J1871" s="186"/>
      <c r="K1871" s="180"/>
      <c r="L1871" s="180"/>
      <c r="M1871" s="186"/>
      <c r="N1871" s="186"/>
    </row>
    <row r="1872" spans="2:14" s="188" customFormat="1" ht="15" customHeight="1">
      <c r="B1872" s="187"/>
      <c r="C1872" s="187"/>
      <c r="D1872" s="187"/>
      <c r="E1872" s="187"/>
      <c r="F1872" s="187"/>
      <c r="G1872" s="187"/>
      <c r="J1872" s="186"/>
      <c r="K1872" s="180"/>
      <c r="L1872" s="180"/>
      <c r="M1872" s="186"/>
      <c r="N1872" s="186"/>
    </row>
    <row r="1873" spans="2:14" s="188" customFormat="1" ht="15" customHeight="1">
      <c r="B1873" s="187"/>
      <c r="C1873" s="187"/>
      <c r="D1873" s="187"/>
      <c r="E1873" s="187"/>
      <c r="F1873" s="187"/>
      <c r="G1873" s="187"/>
      <c r="J1873" s="186"/>
      <c r="K1873" s="180"/>
      <c r="L1873" s="180"/>
      <c r="M1873" s="186"/>
      <c r="N1873" s="186"/>
    </row>
    <row r="1874" spans="2:14" s="188" customFormat="1" ht="15" customHeight="1">
      <c r="B1874" s="187"/>
      <c r="C1874" s="187"/>
      <c r="D1874" s="187"/>
      <c r="E1874" s="187"/>
      <c r="F1874" s="187"/>
      <c r="G1874" s="187"/>
      <c r="J1874" s="186"/>
      <c r="K1874" s="180"/>
      <c r="L1874" s="180"/>
      <c r="M1874" s="186"/>
      <c r="N1874" s="186"/>
    </row>
    <row r="1875" spans="2:14" s="188" customFormat="1" ht="15" customHeight="1">
      <c r="B1875" s="187"/>
      <c r="C1875" s="187"/>
      <c r="D1875" s="187"/>
      <c r="E1875" s="187"/>
      <c r="F1875" s="187"/>
      <c r="G1875" s="187"/>
      <c r="J1875" s="186"/>
      <c r="K1875" s="180"/>
      <c r="L1875" s="180"/>
      <c r="M1875" s="186"/>
      <c r="N1875" s="186"/>
    </row>
    <row r="1876" spans="2:14" s="188" customFormat="1" ht="15" customHeight="1">
      <c r="B1876" s="187"/>
      <c r="C1876" s="187"/>
      <c r="D1876" s="187"/>
      <c r="E1876" s="187"/>
      <c r="F1876" s="187"/>
      <c r="G1876" s="187"/>
      <c r="J1876" s="186"/>
      <c r="K1876" s="180"/>
      <c r="L1876" s="180"/>
      <c r="M1876" s="186"/>
      <c r="N1876" s="186"/>
    </row>
    <row r="1877" spans="2:14" s="188" customFormat="1" ht="15" customHeight="1">
      <c r="B1877" s="187"/>
      <c r="C1877" s="187"/>
      <c r="D1877" s="187"/>
      <c r="E1877" s="187"/>
      <c r="F1877" s="187"/>
      <c r="G1877" s="187"/>
      <c r="J1877" s="186"/>
      <c r="K1877" s="180"/>
      <c r="L1877" s="180"/>
      <c r="M1877" s="186"/>
      <c r="N1877" s="186"/>
    </row>
    <row r="1878" spans="2:14" s="188" customFormat="1" ht="15" customHeight="1">
      <c r="B1878" s="187"/>
      <c r="C1878" s="187"/>
      <c r="D1878" s="187"/>
      <c r="E1878" s="187"/>
      <c r="F1878" s="187"/>
      <c r="G1878" s="187"/>
      <c r="J1878" s="186"/>
      <c r="K1878" s="180"/>
      <c r="L1878" s="180"/>
      <c r="M1878" s="186"/>
      <c r="N1878" s="186"/>
    </row>
    <row r="1879" spans="2:14" s="188" customFormat="1" ht="15" customHeight="1">
      <c r="B1879" s="187"/>
      <c r="C1879" s="187"/>
      <c r="D1879" s="187"/>
      <c r="E1879" s="187"/>
      <c r="F1879" s="187"/>
      <c r="G1879" s="187"/>
      <c r="J1879" s="186"/>
      <c r="K1879" s="180"/>
      <c r="L1879" s="180"/>
      <c r="M1879" s="186"/>
      <c r="N1879" s="186"/>
    </row>
    <row r="1880" spans="2:14" s="188" customFormat="1" ht="15" customHeight="1">
      <c r="B1880" s="187"/>
      <c r="C1880" s="187"/>
      <c r="D1880" s="187"/>
      <c r="E1880" s="187"/>
      <c r="F1880" s="187"/>
      <c r="G1880" s="187"/>
      <c r="J1880" s="186"/>
      <c r="K1880" s="180"/>
      <c r="L1880" s="180"/>
      <c r="M1880" s="186"/>
      <c r="N1880" s="186"/>
    </row>
    <row r="1881" spans="2:14" s="188" customFormat="1" ht="15" customHeight="1">
      <c r="B1881" s="187"/>
      <c r="C1881" s="187"/>
      <c r="D1881" s="187"/>
      <c r="E1881" s="187"/>
      <c r="F1881" s="187"/>
      <c r="G1881" s="187"/>
      <c r="J1881" s="186"/>
      <c r="K1881" s="180"/>
      <c r="L1881" s="180"/>
      <c r="M1881" s="186"/>
      <c r="N1881" s="186"/>
    </row>
    <row r="1882" spans="2:14" s="188" customFormat="1" ht="15" customHeight="1">
      <c r="B1882" s="187"/>
      <c r="C1882" s="187"/>
      <c r="D1882" s="187"/>
      <c r="E1882" s="187"/>
      <c r="F1882" s="187"/>
      <c r="G1882" s="187"/>
      <c r="J1882" s="186"/>
      <c r="K1882" s="180"/>
      <c r="L1882" s="180"/>
      <c r="M1882" s="186"/>
      <c r="N1882" s="186"/>
    </row>
    <row r="1883" spans="2:14" s="188" customFormat="1" ht="15" customHeight="1">
      <c r="B1883" s="187"/>
      <c r="C1883" s="187"/>
      <c r="D1883" s="187"/>
      <c r="E1883" s="187"/>
      <c r="F1883" s="187"/>
      <c r="G1883" s="187"/>
      <c r="J1883" s="186"/>
      <c r="K1883" s="180"/>
      <c r="L1883" s="180"/>
      <c r="M1883" s="186"/>
      <c r="N1883" s="186"/>
    </row>
    <row r="1884" spans="2:14" s="188" customFormat="1" ht="15" customHeight="1">
      <c r="B1884" s="187"/>
      <c r="C1884" s="187"/>
      <c r="D1884" s="187"/>
      <c r="E1884" s="187"/>
      <c r="F1884" s="187"/>
      <c r="G1884" s="187"/>
      <c r="J1884" s="186"/>
      <c r="K1884" s="180"/>
      <c r="L1884" s="180"/>
      <c r="M1884" s="186"/>
      <c r="N1884" s="186"/>
    </row>
    <row r="1885" spans="2:14" s="188" customFormat="1" ht="15" customHeight="1">
      <c r="B1885" s="187"/>
      <c r="C1885" s="187"/>
      <c r="D1885" s="187"/>
      <c r="E1885" s="187"/>
      <c r="F1885" s="187"/>
      <c r="G1885" s="187"/>
      <c r="J1885" s="186"/>
      <c r="K1885" s="180"/>
      <c r="L1885" s="180"/>
      <c r="M1885" s="186"/>
      <c r="N1885" s="186"/>
    </row>
    <row r="1886" spans="2:14" s="188" customFormat="1" ht="15" customHeight="1">
      <c r="B1886" s="187"/>
      <c r="C1886" s="187"/>
      <c r="D1886" s="187"/>
      <c r="E1886" s="187"/>
      <c r="F1886" s="187"/>
      <c r="G1886" s="187"/>
      <c r="J1886" s="186"/>
      <c r="K1886" s="180"/>
      <c r="L1886" s="180"/>
      <c r="M1886" s="186"/>
      <c r="N1886" s="186"/>
    </row>
    <row r="1887" spans="2:14" s="188" customFormat="1" ht="15" customHeight="1">
      <c r="B1887" s="187"/>
      <c r="C1887" s="187"/>
      <c r="D1887" s="187"/>
      <c r="E1887" s="187"/>
      <c r="F1887" s="187"/>
      <c r="G1887" s="187"/>
      <c r="J1887" s="186"/>
      <c r="K1887" s="180"/>
      <c r="L1887" s="180"/>
      <c r="M1887" s="186"/>
      <c r="N1887" s="186"/>
    </row>
    <row r="1888" spans="2:14" s="188" customFormat="1" ht="15" customHeight="1">
      <c r="B1888" s="187"/>
      <c r="C1888" s="187"/>
      <c r="D1888" s="187"/>
      <c r="E1888" s="187"/>
      <c r="F1888" s="187"/>
      <c r="G1888" s="187"/>
      <c r="J1888" s="186"/>
      <c r="K1888" s="180"/>
      <c r="L1888" s="180"/>
      <c r="M1888" s="186"/>
      <c r="N1888" s="186"/>
    </row>
    <row r="1889" spans="2:14" s="188" customFormat="1" ht="15" customHeight="1">
      <c r="B1889" s="187"/>
      <c r="C1889" s="187"/>
      <c r="D1889" s="187"/>
      <c r="E1889" s="187"/>
      <c r="F1889" s="187"/>
      <c r="G1889" s="187"/>
      <c r="J1889" s="186"/>
      <c r="K1889" s="180"/>
      <c r="L1889" s="180"/>
      <c r="M1889" s="186"/>
      <c r="N1889" s="186"/>
    </row>
    <row r="1890" spans="2:14" s="188" customFormat="1" ht="15" customHeight="1">
      <c r="B1890" s="187"/>
      <c r="C1890" s="187"/>
      <c r="D1890" s="187"/>
      <c r="E1890" s="187"/>
      <c r="F1890" s="187"/>
      <c r="G1890" s="187"/>
      <c r="J1890" s="186"/>
      <c r="K1890" s="180"/>
      <c r="L1890" s="180"/>
      <c r="M1890" s="186"/>
      <c r="N1890" s="186"/>
    </row>
    <row r="1891" spans="2:14" s="188" customFormat="1" ht="15" customHeight="1">
      <c r="B1891" s="187"/>
      <c r="C1891" s="187"/>
      <c r="D1891" s="187"/>
      <c r="E1891" s="187"/>
      <c r="F1891" s="187"/>
      <c r="G1891" s="187"/>
      <c r="J1891" s="186"/>
      <c r="K1891" s="180"/>
      <c r="L1891" s="180"/>
      <c r="M1891" s="186"/>
      <c r="N1891" s="186"/>
    </row>
    <row r="1892" spans="2:14" s="188" customFormat="1" ht="15" customHeight="1">
      <c r="B1892" s="187"/>
      <c r="C1892" s="187"/>
      <c r="D1892" s="187"/>
      <c r="E1892" s="187"/>
      <c r="F1892" s="187"/>
      <c r="G1892" s="187"/>
      <c r="J1892" s="186"/>
      <c r="K1892" s="180"/>
      <c r="L1892" s="180"/>
      <c r="M1892" s="186"/>
      <c r="N1892" s="186"/>
    </row>
    <row r="1893" spans="2:14" s="188" customFormat="1" ht="15" customHeight="1">
      <c r="B1893" s="187"/>
      <c r="C1893" s="187"/>
      <c r="D1893" s="187"/>
      <c r="E1893" s="187"/>
      <c r="F1893" s="187"/>
      <c r="G1893" s="187"/>
      <c r="J1893" s="186"/>
      <c r="K1893" s="180"/>
      <c r="L1893" s="180"/>
      <c r="M1893" s="186"/>
      <c r="N1893" s="186"/>
    </row>
    <row r="1894" spans="2:14" s="188" customFormat="1" ht="15" customHeight="1">
      <c r="B1894" s="187"/>
      <c r="C1894" s="187"/>
      <c r="D1894" s="187"/>
      <c r="E1894" s="187"/>
      <c r="F1894" s="187"/>
      <c r="G1894" s="187"/>
      <c r="J1894" s="186"/>
      <c r="K1894" s="180"/>
      <c r="L1894" s="180"/>
      <c r="M1894" s="186"/>
      <c r="N1894" s="186"/>
    </row>
    <row r="1895" spans="2:14" s="188" customFormat="1" ht="15" customHeight="1">
      <c r="B1895" s="187"/>
      <c r="C1895" s="187"/>
      <c r="D1895" s="187"/>
      <c r="E1895" s="187"/>
      <c r="F1895" s="187"/>
      <c r="G1895" s="187"/>
      <c r="J1895" s="186"/>
      <c r="K1895" s="180"/>
      <c r="L1895" s="180"/>
      <c r="M1895" s="186"/>
      <c r="N1895" s="186"/>
    </row>
    <row r="1896" spans="2:14" s="188" customFormat="1" ht="15" customHeight="1">
      <c r="B1896" s="187"/>
      <c r="C1896" s="187"/>
      <c r="D1896" s="187"/>
      <c r="E1896" s="187"/>
      <c r="F1896" s="187"/>
      <c r="G1896" s="187"/>
      <c r="J1896" s="186"/>
      <c r="K1896" s="180"/>
      <c r="L1896" s="180"/>
      <c r="M1896" s="186"/>
      <c r="N1896" s="186"/>
    </row>
    <row r="1897" spans="2:14" s="188" customFormat="1" ht="15" customHeight="1">
      <c r="B1897" s="187"/>
      <c r="C1897" s="187"/>
      <c r="D1897" s="187"/>
      <c r="E1897" s="187"/>
      <c r="F1897" s="187"/>
      <c r="G1897" s="187"/>
      <c r="J1897" s="186"/>
      <c r="K1897" s="180"/>
      <c r="L1897" s="180"/>
      <c r="M1897" s="186"/>
      <c r="N1897" s="186"/>
    </row>
    <row r="1898" spans="2:14" s="188" customFormat="1" ht="15" customHeight="1">
      <c r="B1898" s="187"/>
      <c r="C1898" s="187"/>
      <c r="D1898" s="187"/>
      <c r="E1898" s="187"/>
      <c r="F1898" s="187"/>
      <c r="G1898" s="187"/>
      <c r="J1898" s="186"/>
      <c r="K1898" s="180"/>
      <c r="L1898" s="180"/>
      <c r="M1898" s="186"/>
      <c r="N1898" s="186"/>
    </row>
    <row r="1899" spans="2:14" s="188" customFormat="1" ht="15" customHeight="1">
      <c r="B1899" s="187"/>
      <c r="C1899" s="187"/>
      <c r="D1899" s="187"/>
      <c r="E1899" s="187"/>
      <c r="F1899" s="187"/>
      <c r="G1899" s="187"/>
      <c r="J1899" s="186"/>
      <c r="K1899" s="180"/>
      <c r="L1899" s="180"/>
      <c r="M1899" s="186"/>
      <c r="N1899" s="186"/>
    </row>
    <row r="1900" spans="2:14" s="188" customFormat="1" ht="15" customHeight="1">
      <c r="B1900" s="187"/>
      <c r="C1900" s="187"/>
      <c r="D1900" s="187"/>
      <c r="E1900" s="187"/>
      <c r="F1900" s="187"/>
      <c r="G1900" s="187"/>
      <c r="J1900" s="186"/>
      <c r="K1900" s="180"/>
      <c r="L1900" s="180"/>
      <c r="M1900" s="186"/>
      <c r="N1900" s="186"/>
    </row>
    <row r="1901" spans="2:14" s="188" customFormat="1" ht="15" customHeight="1">
      <c r="B1901" s="187"/>
      <c r="C1901" s="187"/>
      <c r="D1901" s="187"/>
      <c r="E1901" s="187"/>
      <c r="F1901" s="187"/>
      <c r="G1901" s="187"/>
      <c r="J1901" s="186"/>
      <c r="K1901" s="180"/>
      <c r="L1901" s="180"/>
      <c r="M1901" s="186"/>
      <c r="N1901" s="186"/>
    </row>
    <row r="1902" spans="2:14" s="188" customFormat="1" ht="15" customHeight="1">
      <c r="B1902" s="187"/>
      <c r="C1902" s="187"/>
      <c r="D1902" s="187"/>
      <c r="E1902" s="187"/>
      <c r="F1902" s="187"/>
      <c r="G1902" s="187"/>
      <c r="J1902" s="186"/>
      <c r="K1902" s="180"/>
      <c r="L1902" s="180"/>
      <c r="M1902" s="186"/>
      <c r="N1902" s="186"/>
    </row>
    <row r="1903" spans="2:14" s="188" customFormat="1" ht="15" customHeight="1">
      <c r="B1903" s="187"/>
      <c r="C1903" s="187"/>
      <c r="D1903" s="187"/>
      <c r="E1903" s="187"/>
      <c r="F1903" s="187"/>
      <c r="G1903" s="187"/>
      <c r="J1903" s="186"/>
      <c r="K1903" s="180"/>
      <c r="L1903" s="180"/>
      <c r="M1903" s="186"/>
      <c r="N1903" s="186"/>
    </row>
    <row r="1904" spans="2:14" s="188" customFormat="1" ht="15" customHeight="1">
      <c r="B1904" s="187"/>
      <c r="C1904" s="187"/>
      <c r="D1904" s="187"/>
      <c r="E1904" s="187"/>
      <c r="F1904" s="187"/>
      <c r="G1904" s="187"/>
      <c r="J1904" s="186"/>
      <c r="K1904" s="180"/>
      <c r="L1904" s="180"/>
      <c r="M1904" s="186"/>
      <c r="N1904" s="186"/>
    </row>
    <row r="1905" spans="2:14" s="188" customFormat="1" ht="15" customHeight="1">
      <c r="B1905" s="187"/>
      <c r="C1905" s="187"/>
      <c r="D1905" s="187"/>
      <c r="E1905" s="187"/>
      <c r="F1905" s="187"/>
      <c r="G1905" s="187"/>
      <c r="J1905" s="186"/>
      <c r="K1905" s="180"/>
      <c r="L1905" s="180"/>
      <c r="M1905" s="186"/>
      <c r="N1905" s="186"/>
    </row>
    <row r="1906" spans="2:14" s="188" customFormat="1" ht="15" customHeight="1">
      <c r="B1906" s="187"/>
      <c r="C1906" s="187"/>
      <c r="D1906" s="187"/>
      <c r="E1906" s="187"/>
      <c r="F1906" s="187"/>
      <c r="G1906" s="187"/>
      <c r="J1906" s="186"/>
      <c r="K1906" s="180"/>
      <c r="L1906" s="180"/>
      <c r="M1906" s="186"/>
      <c r="N1906" s="186"/>
    </row>
    <row r="1907" spans="2:14" s="188" customFormat="1" ht="15" customHeight="1">
      <c r="B1907" s="187"/>
      <c r="C1907" s="187"/>
      <c r="D1907" s="187"/>
      <c r="E1907" s="187"/>
      <c r="F1907" s="187"/>
      <c r="G1907" s="187"/>
      <c r="J1907" s="186"/>
      <c r="K1907" s="180"/>
      <c r="L1907" s="180"/>
      <c r="M1907" s="186"/>
      <c r="N1907" s="186"/>
    </row>
    <row r="1908" spans="2:14" s="188" customFormat="1" ht="15" customHeight="1">
      <c r="B1908" s="187"/>
      <c r="C1908" s="187"/>
      <c r="D1908" s="187"/>
      <c r="E1908" s="187"/>
      <c r="F1908" s="187"/>
      <c r="G1908" s="187"/>
      <c r="J1908" s="186"/>
      <c r="K1908" s="180"/>
      <c r="L1908" s="180"/>
      <c r="M1908" s="186"/>
      <c r="N1908" s="186"/>
    </row>
    <row r="1909" spans="2:14" s="188" customFormat="1" ht="15" customHeight="1">
      <c r="B1909" s="187"/>
      <c r="C1909" s="187"/>
      <c r="D1909" s="187"/>
      <c r="E1909" s="187"/>
      <c r="F1909" s="187"/>
      <c r="G1909" s="187"/>
      <c r="J1909" s="186"/>
      <c r="K1909" s="180"/>
      <c r="L1909" s="180"/>
      <c r="M1909" s="186"/>
      <c r="N1909" s="186"/>
    </row>
    <row r="1910" spans="2:14" s="188" customFormat="1" ht="15" customHeight="1">
      <c r="B1910" s="187"/>
      <c r="C1910" s="187"/>
      <c r="D1910" s="187"/>
      <c r="E1910" s="187"/>
      <c r="F1910" s="187"/>
      <c r="G1910" s="187"/>
      <c r="J1910" s="186"/>
      <c r="K1910" s="180"/>
      <c r="L1910" s="180"/>
      <c r="M1910" s="186"/>
      <c r="N1910" s="186"/>
    </row>
    <row r="1911" spans="2:14" s="188" customFormat="1" ht="15" customHeight="1">
      <c r="B1911" s="187"/>
      <c r="C1911" s="187"/>
      <c r="D1911" s="187"/>
      <c r="E1911" s="187"/>
      <c r="F1911" s="187"/>
      <c r="G1911" s="187"/>
      <c r="J1911" s="186"/>
      <c r="K1911" s="180"/>
      <c r="L1911" s="180"/>
      <c r="M1911" s="186"/>
      <c r="N1911" s="186"/>
    </row>
    <row r="1912" spans="2:14" s="188" customFormat="1" ht="15" customHeight="1">
      <c r="B1912" s="187"/>
      <c r="C1912" s="187"/>
      <c r="D1912" s="187"/>
      <c r="E1912" s="187"/>
      <c r="F1912" s="187"/>
      <c r="G1912" s="187"/>
      <c r="J1912" s="186"/>
      <c r="K1912" s="180"/>
      <c r="L1912" s="180"/>
      <c r="M1912" s="186"/>
      <c r="N1912" s="186"/>
    </row>
    <row r="1913" spans="2:14" s="188" customFormat="1" ht="15" customHeight="1">
      <c r="B1913" s="187"/>
      <c r="C1913" s="187"/>
      <c r="D1913" s="187"/>
      <c r="E1913" s="187"/>
      <c r="F1913" s="187"/>
      <c r="G1913" s="187"/>
      <c r="J1913" s="186"/>
      <c r="K1913" s="180"/>
      <c r="L1913" s="180"/>
      <c r="M1913" s="186"/>
      <c r="N1913" s="186"/>
    </row>
    <row r="1914" spans="2:14" s="188" customFormat="1" ht="15" customHeight="1">
      <c r="B1914" s="187"/>
      <c r="C1914" s="187"/>
      <c r="D1914" s="187"/>
      <c r="E1914" s="187"/>
      <c r="F1914" s="187"/>
      <c r="G1914" s="187"/>
      <c r="J1914" s="186"/>
      <c r="K1914" s="180"/>
      <c r="L1914" s="180"/>
      <c r="M1914" s="186"/>
      <c r="N1914" s="186"/>
    </row>
    <row r="1915" spans="2:14" s="188" customFormat="1" ht="15" customHeight="1">
      <c r="B1915" s="187"/>
      <c r="C1915" s="187"/>
      <c r="D1915" s="187"/>
      <c r="E1915" s="187"/>
      <c r="F1915" s="187"/>
      <c r="G1915" s="187"/>
      <c r="J1915" s="186"/>
      <c r="K1915" s="180"/>
      <c r="L1915" s="180"/>
      <c r="M1915" s="186"/>
      <c r="N1915" s="186"/>
    </row>
    <row r="1916" spans="2:14" s="188" customFormat="1" ht="15" customHeight="1">
      <c r="B1916" s="187"/>
      <c r="C1916" s="187"/>
      <c r="D1916" s="187"/>
      <c r="E1916" s="187"/>
      <c r="F1916" s="187"/>
      <c r="G1916" s="187"/>
      <c r="J1916" s="186"/>
      <c r="K1916" s="180"/>
      <c r="L1916" s="180"/>
      <c r="M1916" s="186"/>
      <c r="N1916" s="186"/>
    </row>
    <row r="1917" spans="2:14" s="188" customFormat="1" ht="15" customHeight="1">
      <c r="B1917" s="187"/>
      <c r="C1917" s="187"/>
      <c r="D1917" s="187"/>
      <c r="E1917" s="187"/>
      <c r="F1917" s="187"/>
      <c r="G1917" s="187"/>
      <c r="J1917" s="186"/>
      <c r="K1917" s="180"/>
      <c r="L1917" s="180"/>
      <c r="M1917" s="186"/>
      <c r="N1917" s="186"/>
    </row>
    <row r="1918" spans="2:14" s="188" customFormat="1" ht="15" customHeight="1">
      <c r="B1918" s="187"/>
      <c r="C1918" s="187"/>
      <c r="D1918" s="187"/>
      <c r="E1918" s="187"/>
      <c r="F1918" s="187"/>
      <c r="G1918" s="187"/>
      <c r="J1918" s="186"/>
      <c r="K1918" s="180"/>
      <c r="L1918" s="180"/>
      <c r="M1918" s="186"/>
      <c r="N1918" s="186"/>
    </row>
    <row r="1919" spans="2:14" s="188" customFormat="1" ht="15" customHeight="1">
      <c r="B1919" s="187"/>
      <c r="C1919" s="187"/>
      <c r="D1919" s="187"/>
      <c r="E1919" s="187"/>
      <c r="F1919" s="187"/>
      <c r="G1919" s="187"/>
      <c r="J1919" s="186"/>
      <c r="K1919" s="180"/>
      <c r="L1919" s="180"/>
      <c r="M1919" s="186"/>
      <c r="N1919" s="186"/>
    </row>
    <row r="1920" spans="2:14" s="188" customFormat="1" ht="15" customHeight="1">
      <c r="B1920" s="187"/>
      <c r="C1920" s="187"/>
      <c r="D1920" s="187"/>
      <c r="E1920" s="187"/>
      <c r="F1920" s="187"/>
      <c r="G1920" s="187"/>
      <c r="J1920" s="186"/>
      <c r="K1920" s="180"/>
      <c r="L1920" s="180"/>
      <c r="M1920" s="186"/>
      <c r="N1920" s="186"/>
    </row>
    <row r="1921" spans="2:14" s="188" customFormat="1" ht="15" customHeight="1">
      <c r="B1921" s="187"/>
      <c r="C1921" s="187"/>
      <c r="D1921" s="187"/>
      <c r="E1921" s="187"/>
      <c r="F1921" s="187"/>
      <c r="G1921" s="187"/>
      <c r="J1921" s="186"/>
      <c r="K1921" s="180"/>
      <c r="L1921" s="180"/>
      <c r="M1921" s="186"/>
      <c r="N1921" s="186"/>
    </row>
    <row r="1922" spans="2:14" s="188" customFormat="1" ht="15" customHeight="1">
      <c r="B1922" s="187"/>
      <c r="C1922" s="187"/>
      <c r="D1922" s="187"/>
      <c r="E1922" s="187"/>
      <c r="F1922" s="187"/>
      <c r="G1922" s="187"/>
      <c r="J1922" s="186"/>
      <c r="K1922" s="180"/>
      <c r="L1922" s="180"/>
      <c r="M1922" s="186"/>
      <c r="N1922" s="186"/>
    </row>
    <row r="1923" spans="2:14" s="188" customFormat="1" ht="15" customHeight="1">
      <c r="B1923" s="187"/>
      <c r="C1923" s="187"/>
      <c r="D1923" s="187"/>
      <c r="E1923" s="187"/>
      <c r="F1923" s="187"/>
      <c r="G1923" s="187"/>
      <c r="J1923" s="186"/>
      <c r="K1923" s="180"/>
      <c r="L1923" s="180"/>
      <c r="M1923" s="186"/>
      <c r="N1923" s="186"/>
    </row>
    <row r="1924" spans="2:14" s="188" customFormat="1" ht="15" customHeight="1">
      <c r="B1924" s="187"/>
      <c r="C1924" s="187"/>
      <c r="D1924" s="187"/>
      <c r="E1924" s="187"/>
      <c r="F1924" s="187"/>
      <c r="G1924" s="187"/>
      <c r="J1924" s="186"/>
      <c r="K1924" s="180"/>
      <c r="L1924" s="180"/>
      <c r="M1924" s="186"/>
      <c r="N1924" s="186"/>
    </row>
    <row r="1925" spans="2:14" s="188" customFormat="1" ht="15" customHeight="1">
      <c r="B1925" s="187"/>
      <c r="C1925" s="187"/>
      <c r="D1925" s="187"/>
      <c r="E1925" s="187"/>
      <c r="F1925" s="187"/>
      <c r="G1925" s="187"/>
      <c r="J1925" s="186"/>
      <c r="K1925" s="180"/>
      <c r="L1925" s="180"/>
      <c r="M1925" s="186"/>
      <c r="N1925" s="186"/>
    </row>
    <row r="1926" spans="2:14" s="188" customFormat="1" ht="15" customHeight="1">
      <c r="B1926" s="187"/>
      <c r="C1926" s="187"/>
      <c r="D1926" s="187"/>
      <c r="E1926" s="187"/>
      <c r="F1926" s="187"/>
      <c r="G1926" s="187"/>
      <c r="J1926" s="186"/>
      <c r="K1926" s="180"/>
      <c r="L1926" s="180"/>
      <c r="M1926" s="186"/>
      <c r="N1926" s="186"/>
    </row>
    <row r="1927" spans="2:14" s="188" customFormat="1" ht="15" customHeight="1">
      <c r="B1927" s="187"/>
      <c r="C1927" s="187"/>
      <c r="D1927" s="187"/>
      <c r="E1927" s="187"/>
      <c r="F1927" s="187"/>
      <c r="G1927" s="187"/>
      <c r="J1927" s="186"/>
      <c r="K1927" s="180"/>
      <c r="L1927" s="180"/>
      <c r="M1927" s="186"/>
      <c r="N1927" s="186"/>
    </row>
    <row r="1928" spans="2:14" s="188" customFormat="1" ht="15" customHeight="1">
      <c r="B1928" s="187"/>
      <c r="C1928" s="187"/>
      <c r="D1928" s="187"/>
      <c r="E1928" s="187"/>
      <c r="F1928" s="187"/>
      <c r="G1928" s="187"/>
      <c r="J1928" s="186"/>
      <c r="K1928" s="180"/>
      <c r="L1928" s="180"/>
      <c r="M1928" s="186"/>
      <c r="N1928" s="186"/>
    </row>
    <row r="1929" spans="2:14" s="188" customFormat="1" ht="15" customHeight="1">
      <c r="B1929" s="187"/>
      <c r="C1929" s="187"/>
      <c r="D1929" s="187"/>
      <c r="E1929" s="187"/>
      <c r="F1929" s="187"/>
      <c r="G1929" s="187"/>
      <c r="J1929" s="186"/>
      <c r="K1929" s="180"/>
      <c r="L1929" s="180"/>
      <c r="M1929" s="186"/>
      <c r="N1929" s="186"/>
    </row>
    <row r="1930" spans="2:14" s="188" customFormat="1" ht="15" customHeight="1">
      <c r="B1930" s="187"/>
      <c r="C1930" s="187"/>
      <c r="D1930" s="187"/>
      <c r="E1930" s="187"/>
      <c r="F1930" s="187"/>
      <c r="G1930" s="187"/>
      <c r="J1930" s="186"/>
      <c r="K1930" s="180"/>
      <c r="L1930" s="180"/>
      <c r="M1930" s="186"/>
      <c r="N1930" s="186"/>
    </row>
    <row r="1931" spans="2:14" s="188" customFormat="1" ht="15" customHeight="1">
      <c r="B1931" s="187"/>
      <c r="C1931" s="187"/>
      <c r="D1931" s="187"/>
      <c r="E1931" s="187"/>
      <c r="F1931" s="187"/>
      <c r="G1931" s="187"/>
      <c r="J1931" s="186"/>
      <c r="K1931" s="180"/>
      <c r="L1931" s="180"/>
      <c r="M1931" s="186"/>
      <c r="N1931" s="186"/>
    </row>
    <row r="1932" spans="2:14" s="188" customFormat="1" ht="15" customHeight="1">
      <c r="B1932" s="187"/>
      <c r="C1932" s="187"/>
      <c r="D1932" s="187"/>
      <c r="E1932" s="187"/>
      <c r="F1932" s="187"/>
      <c r="G1932" s="187"/>
      <c r="J1932" s="186"/>
      <c r="K1932" s="180"/>
      <c r="L1932" s="180"/>
      <c r="M1932" s="186"/>
      <c r="N1932" s="186"/>
    </row>
    <row r="1933" spans="2:14" s="188" customFormat="1" ht="15" customHeight="1">
      <c r="B1933" s="187"/>
      <c r="C1933" s="187"/>
      <c r="D1933" s="187"/>
      <c r="E1933" s="187"/>
      <c r="F1933" s="187"/>
      <c r="G1933" s="187"/>
      <c r="J1933" s="186"/>
      <c r="K1933" s="180"/>
      <c r="L1933" s="180"/>
      <c r="M1933" s="186"/>
      <c r="N1933" s="186"/>
    </row>
    <row r="1934" spans="2:14" s="188" customFormat="1" ht="15" customHeight="1">
      <c r="B1934" s="187"/>
      <c r="C1934" s="187"/>
      <c r="D1934" s="187"/>
      <c r="E1934" s="187"/>
      <c r="F1934" s="187"/>
      <c r="G1934" s="187"/>
      <c r="J1934" s="186"/>
      <c r="K1934" s="180"/>
      <c r="L1934" s="180"/>
      <c r="M1934" s="186"/>
      <c r="N1934" s="186"/>
    </row>
    <row r="1935" spans="2:14" s="188" customFormat="1" ht="15" customHeight="1">
      <c r="B1935" s="187"/>
      <c r="C1935" s="187"/>
      <c r="D1935" s="187"/>
      <c r="E1935" s="187"/>
      <c r="F1935" s="187"/>
      <c r="G1935" s="187"/>
      <c r="J1935" s="186"/>
      <c r="K1935" s="180"/>
      <c r="L1935" s="180"/>
      <c r="M1935" s="186"/>
      <c r="N1935" s="186"/>
    </row>
    <row r="1936" spans="2:14" s="188" customFormat="1" ht="15" customHeight="1">
      <c r="B1936" s="187"/>
      <c r="C1936" s="187"/>
      <c r="D1936" s="187"/>
      <c r="E1936" s="187"/>
      <c r="F1936" s="187"/>
      <c r="G1936" s="187"/>
      <c r="J1936" s="186"/>
      <c r="K1936" s="180"/>
      <c r="L1936" s="180"/>
      <c r="M1936" s="186"/>
      <c r="N1936" s="186"/>
    </row>
    <row r="1937" spans="2:14" s="188" customFormat="1" ht="15" customHeight="1">
      <c r="B1937" s="187"/>
      <c r="C1937" s="187"/>
      <c r="D1937" s="187"/>
      <c r="E1937" s="187"/>
      <c r="F1937" s="187"/>
      <c r="G1937" s="187"/>
      <c r="J1937" s="186"/>
      <c r="K1937" s="180"/>
      <c r="L1937" s="180"/>
      <c r="M1937" s="186"/>
      <c r="N1937" s="186"/>
    </row>
    <row r="1938" spans="2:14" s="188" customFormat="1" ht="15" customHeight="1">
      <c r="B1938" s="187"/>
      <c r="C1938" s="187"/>
      <c r="D1938" s="187"/>
      <c r="E1938" s="187"/>
      <c r="F1938" s="187"/>
      <c r="G1938" s="187"/>
      <c r="J1938" s="186"/>
      <c r="K1938" s="180"/>
      <c r="L1938" s="180"/>
      <c r="M1938" s="186"/>
      <c r="N1938" s="186"/>
    </row>
    <row r="1939" spans="2:14" s="188" customFormat="1" ht="15" customHeight="1">
      <c r="B1939" s="187"/>
      <c r="C1939" s="187"/>
      <c r="D1939" s="187"/>
      <c r="E1939" s="187"/>
      <c r="F1939" s="187"/>
      <c r="G1939" s="187"/>
      <c r="J1939" s="186"/>
      <c r="K1939" s="180"/>
      <c r="L1939" s="180"/>
      <c r="M1939" s="186"/>
      <c r="N1939" s="186"/>
    </row>
    <row r="1940" spans="2:14" s="188" customFormat="1" ht="15" customHeight="1">
      <c r="B1940" s="187"/>
      <c r="C1940" s="187"/>
      <c r="D1940" s="187"/>
      <c r="E1940" s="187"/>
      <c r="F1940" s="187"/>
      <c r="G1940" s="187"/>
      <c r="J1940" s="186"/>
      <c r="K1940" s="180"/>
      <c r="L1940" s="180"/>
      <c r="M1940" s="186"/>
      <c r="N1940" s="186"/>
    </row>
    <row r="1941" spans="2:14" s="188" customFormat="1" ht="15" customHeight="1">
      <c r="B1941" s="187"/>
      <c r="C1941" s="187"/>
      <c r="D1941" s="187"/>
      <c r="E1941" s="187"/>
      <c r="F1941" s="187"/>
      <c r="G1941" s="187"/>
      <c r="J1941" s="186"/>
      <c r="K1941" s="180"/>
      <c r="L1941" s="180"/>
      <c r="M1941" s="186"/>
      <c r="N1941" s="186"/>
    </row>
    <row r="1942" spans="2:14" s="188" customFormat="1" ht="15" customHeight="1">
      <c r="B1942" s="187"/>
      <c r="C1942" s="187"/>
      <c r="D1942" s="187"/>
      <c r="E1942" s="187"/>
      <c r="F1942" s="187"/>
      <c r="G1942" s="187"/>
      <c r="J1942" s="186"/>
      <c r="K1942" s="180"/>
      <c r="L1942" s="180"/>
      <c r="M1942" s="186"/>
      <c r="N1942" s="186"/>
    </row>
    <row r="1943" spans="2:14" s="188" customFormat="1" ht="15" customHeight="1">
      <c r="B1943" s="187"/>
      <c r="C1943" s="187"/>
      <c r="D1943" s="187"/>
      <c r="E1943" s="187"/>
      <c r="F1943" s="187"/>
      <c r="G1943" s="187"/>
      <c r="J1943" s="186"/>
      <c r="K1943" s="180"/>
      <c r="L1943" s="180"/>
      <c r="M1943" s="186"/>
      <c r="N1943" s="186"/>
    </row>
    <row r="1944" spans="2:14" s="188" customFormat="1" ht="15" customHeight="1">
      <c r="B1944" s="187"/>
      <c r="C1944" s="187"/>
      <c r="D1944" s="187"/>
      <c r="E1944" s="187"/>
      <c r="F1944" s="187"/>
      <c r="G1944" s="187"/>
      <c r="J1944" s="186"/>
      <c r="K1944" s="180"/>
      <c r="L1944" s="180"/>
      <c r="M1944" s="186"/>
      <c r="N1944" s="186"/>
    </row>
    <row r="1945" spans="2:14" s="188" customFormat="1" ht="15" customHeight="1">
      <c r="B1945" s="187"/>
      <c r="C1945" s="187"/>
      <c r="D1945" s="187"/>
      <c r="E1945" s="187"/>
      <c r="F1945" s="187"/>
      <c r="G1945" s="187"/>
      <c r="J1945" s="186"/>
      <c r="K1945" s="180"/>
      <c r="L1945" s="180"/>
      <c r="M1945" s="186"/>
      <c r="N1945" s="186"/>
    </row>
    <row r="1946" spans="2:14" s="188" customFormat="1" ht="15" customHeight="1">
      <c r="B1946" s="187"/>
      <c r="C1946" s="187"/>
      <c r="D1946" s="187"/>
      <c r="E1946" s="187"/>
      <c r="F1946" s="187"/>
      <c r="G1946" s="187"/>
      <c r="J1946" s="186"/>
      <c r="K1946" s="180"/>
      <c r="L1946" s="180"/>
      <c r="M1946" s="186"/>
      <c r="N1946" s="186"/>
    </row>
    <row r="1947" spans="2:14" s="188" customFormat="1" ht="15" customHeight="1">
      <c r="B1947" s="187"/>
      <c r="C1947" s="187"/>
      <c r="D1947" s="187"/>
      <c r="E1947" s="187"/>
      <c r="F1947" s="187"/>
      <c r="G1947" s="187"/>
      <c r="J1947" s="186"/>
      <c r="K1947" s="180"/>
      <c r="L1947" s="180"/>
      <c r="M1947" s="186"/>
      <c r="N1947" s="186"/>
    </row>
    <row r="1948" spans="2:14" s="188" customFormat="1" ht="15" customHeight="1">
      <c r="B1948" s="187"/>
      <c r="C1948" s="187"/>
      <c r="D1948" s="187"/>
      <c r="E1948" s="187"/>
      <c r="F1948" s="187"/>
      <c r="G1948" s="187"/>
      <c r="J1948" s="186"/>
      <c r="K1948" s="180"/>
      <c r="L1948" s="180"/>
      <c r="M1948" s="186"/>
      <c r="N1948" s="186"/>
    </row>
    <row r="1949" spans="2:14" s="188" customFormat="1" ht="15" customHeight="1">
      <c r="B1949" s="187"/>
      <c r="C1949" s="187"/>
      <c r="D1949" s="187"/>
      <c r="E1949" s="187"/>
      <c r="F1949" s="187"/>
      <c r="G1949" s="187"/>
      <c r="J1949" s="186"/>
      <c r="K1949" s="180"/>
      <c r="L1949" s="180"/>
      <c r="M1949" s="186"/>
      <c r="N1949" s="186"/>
    </row>
    <row r="1950" spans="2:14" s="188" customFormat="1" ht="15" customHeight="1">
      <c r="B1950" s="187"/>
      <c r="C1950" s="187"/>
      <c r="D1950" s="187"/>
      <c r="E1950" s="187"/>
      <c r="F1950" s="187"/>
      <c r="G1950" s="187"/>
      <c r="J1950" s="186"/>
      <c r="K1950" s="180"/>
      <c r="L1950" s="180"/>
      <c r="M1950" s="186"/>
      <c r="N1950" s="186"/>
    </row>
    <row r="1951" spans="2:14" s="188" customFormat="1" ht="15" customHeight="1">
      <c r="B1951" s="187"/>
      <c r="C1951" s="187"/>
      <c r="D1951" s="187"/>
      <c r="E1951" s="187"/>
      <c r="F1951" s="187"/>
      <c r="G1951" s="187"/>
      <c r="J1951" s="186"/>
      <c r="K1951" s="180"/>
      <c r="L1951" s="180"/>
      <c r="M1951" s="186"/>
      <c r="N1951" s="186"/>
    </row>
    <row r="1952" spans="2:14" s="188" customFormat="1" ht="15" customHeight="1">
      <c r="B1952" s="187"/>
      <c r="C1952" s="187"/>
      <c r="D1952" s="187"/>
      <c r="E1952" s="187"/>
      <c r="F1952" s="187"/>
      <c r="G1952" s="187"/>
      <c r="J1952" s="186"/>
      <c r="K1952" s="180"/>
      <c r="L1952" s="180"/>
      <c r="M1952" s="186"/>
      <c r="N1952" s="186"/>
    </row>
    <row r="1953" spans="2:14" s="188" customFormat="1" ht="15" customHeight="1">
      <c r="B1953" s="187"/>
      <c r="C1953" s="187"/>
      <c r="D1953" s="187"/>
      <c r="E1953" s="187"/>
      <c r="F1953" s="187"/>
      <c r="G1953" s="187"/>
      <c r="J1953" s="186"/>
      <c r="K1953" s="180"/>
      <c r="L1953" s="180"/>
      <c r="M1953" s="186"/>
      <c r="N1953" s="186"/>
    </row>
    <row r="1954" spans="2:14" s="188" customFormat="1" ht="15" customHeight="1">
      <c r="B1954" s="187"/>
      <c r="C1954" s="187"/>
      <c r="D1954" s="187"/>
      <c r="E1954" s="187"/>
      <c r="F1954" s="187"/>
      <c r="G1954" s="187"/>
      <c r="J1954" s="186"/>
      <c r="K1954" s="180"/>
      <c r="L1954" s="180"/>
      <c r="M1954" s="186"/>
      <c r="N1954" s="186"/>
    </row>
    <row r="1955" spans="2:14" s="188" customFormat="1" ht="15" customHeight="1">
      <c r="B1955" s="187"/>
      <c r="C1955" s="187"/>
      <c r="D1955" s="187"/>
      <c r="E1955" s="187"/>
      <c r="F1955" s="187"/>
      <c r="G1955" s="187"/>
      <c r="J1955" s="186"/>
      <c r="K1955" s="180"/>
      <c r="L1955" s="180"/>
      <c r="M1955" s="186"/>
      <c r="N1955" s="186"/>
    </row>
    <row r="1956" spans="2:14" s="188" customFormat="1" ht="15" customHeight="1">
      <c r="B1956" s="187"/>
      <c r="C1956" s="187"/>
      <c r="D1956" s="187"/>
      <c r="E1956" s="187"/>
      <c r="F1956" s="187"/>
      <c r="G1956" s="187"/>
      <c r="J1956" s="186"/>
      <c r="K1956" s="180"/>
      <c r="L1956" s="180"/>
      <c r="M1956" s="186"/>
      <c r="N1956" s="186"/>
    </row>
    <row r="1957" spans="2:14" s="188" customFormat="1" ht="15" customHeight="1">
      <c r="B1957" s="187"/>
      <c r="C1957" s="187"/>
      <c r="D1957" s="187"/>
      <c r="E1957" s="187"/>
      <c r="F1957" s="187"/>
      <c r="G1957" s="187"/>
      <c r="J1957" s="186"/>
      <c r="K1957" s="180"/>
      <c r="L1957" s="180"/>
      <c r="M1957" s="186"/>
      <c r="N1957" s="186"/>
    </row>
    <row r="1958" spans="2:14" s="188" customFormat="1" ht="15" customHeight="1">
      <c r="B1958" s="187"/>
      <c r="C1958" s="187"/>
      <c r="D1958" s="187"/>
      <c r="E1958" s="187"/>
      <c r="F1958" s="187"/>
      <c r="G1958" s="187"/>
      <c r="J1958" s="186"/>
      <c r="K1958" s="180"/>
      <c r="L1958" s="180"/>
      <c r="M1958" s="186"/>
      <c r="N1958" s="186"/>
    </row>
    <row r="1959" spans="2:14" s="188" customFormat="1" ht="15" customHeight="1">
      <c r="B1959" s="187"/>
      <c r="C1959" s="187"/>
      <c r="D1959" s="187"/>
      <c r="E1959" s="187"/>
      <c r="F1959" s="187"/>
      <c r="G1959" s="187"/>
      <c r="J1959" s="186"/>
      <c r="K1959" s="180"/>
      <c r="L1959" s="180"/>
      <c r="M1959" s="186"/>
      <c r="N1959" s="186"/>
    </row>
    <row r="1960" spans="2:14" s="188" customFormat="1" ht="15" customHeight="1">
      <c r="B1960" s="187"/>
      <c r="C1960" s="187"/>
      <c r="D1960" s="187"/>
      <c r="E1960" s="187"/>
      <c r="F1960" s="187"/>
      <c r="G1960" s="187"/>
      <c r="J1960" s="186"/>
      <c r="K1960" s="180"/>
      <c r="L1960" s="180"/>
      <c r="M1960" s="186"/>
      <c r="N1960" s="186"/>
    </row>
    <row r="1961" spans="2:14" s="188" customFormat="1" ht="15" customHeight="1">
      <c r="B1961" s="187"/>
      <c r="C1961" s="187"/>
      <c r="D1961" s="187"/>
      <c r="E1961" s="187"/>
      <c r="F1961" s="187"/>
      <c r="G1961" s="187"/>
      <c r="J1961" s="186"/>
      <c r="K1961" s="180"/>
      <c r="L1961" s="180"/>
      <c r="M1961" s="186"/>
      <c r="N1961" s="186"/>
    </row>
    <row r="1962" spans="2:14" s="188" customFormat="1" ht="15" customHeight="1">
      <c r="B1962" s="187"/>
      <c r="C1962" s="187"/>
      <c r="D1962" s="187"/>
      <c r="E1962" s="187"/>
      <c r="F1962" s="187"/>
      <c r="G1962" s="187"/>
      <c r="J1962" s="186"/>
      <c r="K1962" s="180"/>
      <c r="L1962" s="180"/>
      <c r="M1962" s="186"/>
      <c r="N1962" s="186"/>
    </row>
    <row r="1963" spans="2:14" s="188" customFormat="1" ht="15" customHeight="1">
      <c r="B1963" s="187"/>
      <c r="C1963" s="187"/>
      <c r="D1963" s="187"/>
      <c r="E1963" s="187"/>
      <c r="F1963" s="187"/>
      <c r="G1963" s="187"/>
      <c r="J1963" s="186"/>
      <c r="K1963" s="180"/>
      <c r="L1963" s="180"/>
      <c r="M1963" s="186"/>
      <c r="N1963" s="186"/>
    </row>
    <row r="1964" spans="2:14" s="188" customFormat="1" ht="15" customHeight="1">
      <c r="B1964" s="187"/>
      <c r="C1964" s="187"/>
      <c r="D1964" s="187"/>
      <c r="E1964" s="187"/>
      <c r="F1964" s="187"/>
      <c r="G1964" s="187"/>
      <c r="J1964" s="186"/>
      <c r="K1964" s="180"/>
      <c r="L1964" s="180"/>
      <c r="M1964" s="186"/>
      <c r="N1964" s="186"/>
    </row>
    <row r="1965" spans="2:14" s="188" customFormat="1" ht="15" customHeight="1">
      <c r="B1965" s="187"/>
      <c r="C1965" s="187"/>
      <c r="D1965" s="187"/>
      <c r="E1965" s="187"/>
      <c r="F1965" s="187"/>
      <c r="G1965" s="187"/>
      <c r="J1965" s="186"/>
      <c r="K1965" s="180"/>
      <c r="L1965" s="180"/>
      <c r="M1965" s="186"/>
      <c r="N1965" s="186"/>
    </row>
    <row r="1966" spans="2:14" s="188" customFormat="1" ht="15" customHeight="1">
      <c r="B1966" s="187"/>
      <c r="C1966" s="187"/>
      <c r="D1966" s="187"/>
      <c r="E1966" s="187"/>
      <c r="F1966" s="187"/>
      <c r="G1966" s="187"/>
      <c r="J1966" s="186"/>
      <c r="K1966" s="180"/>
      <c r="L1966" s="180"/>
      <c r="M1966" s="186"/>
      <c r="N1966" s="186"/>
    </row>
    <row r="1967" spans="2:14" s="188" customFormat="1" ht="15" customHeight="1">
      <c r="B1967" s="187"/>
      <c r="C1967" s="187"/>
      <c r="D1967" s="187"/>
      <c r="E1967" s="187"/>
      <c r="F1967" s="187"/>
      <c r="G1967" s="187"/>
      <c r="J1967" s="186"/>
      <c r="K1967" s="180"/>
      <c r="L1967" s="180"/>
      <c r="M1967" s="186"/>
      <c r="N1967" s="186"/>
    </row>
    <row r="1968" spans="2:14" s="188" customFormat="1" ht="15" customHeight="1">
      <c r="B1968" s="187"/>
      <c r="C1968" s="187"/>
      <c r="D1968" s="187"/>
      <c r="E1968" s="187"/>
      <c r="F1968" s="187"/>
      <c r="G1968" s="187"/>
      <c r="J1968" s="186"/>
      <c r="K1968" s="180"/>
      <c r="L1968" s="180"/>
      <c r="M1968" s="186"/>
      <c r="N1968" s="186"/>
    </row>
    <row r="1969" spans="2:14" s="188" customFormat="1" ht="15" customHeight="1">
      <c r="B1969" s="187"/>
      <c r="C1969" s="187"/>
      <c r="D1969" s="187"/>
      <c r="E1969" s="187"/>
      <c r="F1969" s="187"/>
      <c r="G1969" s="187"/>
      <c r="J1969" s="186"/>
      <c r="K1969" s="180"/>
      <c r="L1969" s="180"/>
      <c r="M1969" s="186"/>
      <c r="N1969" s="186"/>
    </row>
    <row r="1970" spans="2:14" s="188" customFormat="1" ht="15" customHeight="1">
      <c r="B1970" s="187"/>
      <c r="C1970" s="187"/>
      <c r="D1970" s="187"/>
      <c r="E1970" s="187"/>
      <c r="F1970" s="187"/>
      <c r="G1970" s="187"/>
      <c r="J1970" s="186"/>
      <c r="K1970" s="180"/>
      <c r="L1970" s="180"/>
      <c r="M1970" s="186"/>
      <c r="N1970" s="186"/>
    </row>
    <row r="1971" spans="2:14" s="188" customFormat="1" ht="15" customHeight="1">
      <c r="B1971" s="187"/>
      <c r="C1971" s="187"/>
      <c r="D1971" s="187"/>
      <c r="E1971" s="187"/>
      <c r="F1971" s="187"/>
      <c r="G1971" s="187"/>
      <c r="J1971" s="186"/>
      <c r="K1971" s="180"/>
      <c r="L1971" s="180"/>
      <c r="M1971" s="186"/>
      <c r="N1971" s="186"/>
    </row>
    <row r="1972" spans="2:14" s="188" customFormat="1" ht="15" customHeight="1">
      <c r="B1972" s="187"/>
      <c r="C1972" s="187"/>
      <c r="D1972" s="187"/>
      <c r="E1972" s="187"/>
      <c r="F1972" s="187"/>
      <c r="G1972" s="187"/>
      <c r="J1972" s="186"/>
      <c r="K1972" s="180"/>
      <c r="L1972" s="180"/>
      <c r="M1972" s="186"/>
      <c r="N1972" s="186"/>
    </row>
    <row r="1973" spans="2:14" s="188" customFormat="1" ht="15" customHeight="1">
      <c r="B1973" s="187"/>
      <c r="C1973" s="187"/>
      <c r="D1973" s="187"/>
      <c r="E1973" s="187"/>
      <c r="F1973" s="187"/>
      <c r="G1973" s="187"/>
      <c r="J1973" s="186"/>
      <c r="K1973" s="180"/>
      <c r="L1973" s="180"/>
      <c r="M1973" s="186"/>
      <c r="N1973" s="186"/>
    </row>
    <row r="1974" spans="2:14" s="188" customFormat="1" ht="15" customHeight="1">
      <c r="B1974" s="187"/>
      <c r="C1974" s="187"/>
      <c r="D1974" s="187"/>
      <c r="E1974" s="187"/>
      <c r="F1974" s="187"/>
      <c r="G1974" s="187"/>
      <c r="J1974" s="186"/>
      <c r="K1974" s="180"/>
      <c r="L1974" s="180"/>
      <c r="M1974" s="186"/>
      <c r="N1974" s="186"/>
    </row>
    <row r="1975" spans="2:14" s="188" customFormat="1" ht="15" customHeight="1">
      <c r="B1975" s="187"/>
      <c r="C1975" s="187"/>
      <c r="D1975" s="187"/>
      <c r="E1975" s="187"/>
      <c r="F1975" s="187"/>
      <c r="G1975" s="187"/>
      <c r="J1975" s="186"/>
      <c r="K1975" s="180"/>
      <c r="L1975" s="180"/>
      <c r="M1975" s="186"/>
      <c r="N1975" s="186"/>
    </row>
    <row r="1976" spans="2:14" s="188" customFormat="1" ht="15" customHeight="1">
      <c r="B1976" s="187"/>
      <c r="C1976" s="187"/>
      <c r="D1976" s="187"/>
      <c r="E1976" s="187"/>
      <c r="F1976" s="187"/>
      <c r="G1976" s="187"/>
      <c r="J1976" s="186"/>
      <c r="K1976" s="180"/>
      <c r="L1976" s="180"/>
      <c r="M1976" s="186"/>
      <c r="N1976" s="186"/>
    </row>
    <row r="1977" spans="2:14" s="188" customFormat="1" ht="15" customHeight="1">
      <c r="B1977" s="187"/>
      <c r="C1977" s="187"/>
      <c r="D1977" s="187"/>
      <c r="E1977" s="187"/>
      <c r="F1977" s="187"/>
      <c r="G1977" s="187"/>
      <c r="J1977" s="186"/>
      <c r="K1977" s="180"/>
      <c r="L1977" s="180"/>
      <c r="M1977" s="186"/>
      <c r="N1977" s="186"/>
    </row>
    <row r="1978" spans="2:14" s="188" customFormat="1" ht="15" customHeight="1">
      <c r="B1978" s="187"/>
      <c r="C1978" s="187"/>
      <c r="D1978" s="187"/>
      <c r="E1978" s="187"/>
      <c r="F1978" s="187"/>
      <c r="G1978" s="187"/>
      <c r="J1978" s="186"/>
      <c r="K1978" s="180"/>
      <c r="L1978" s="180"/>
      <c r="M1978" s="186"/>
      <c r="N1978" s="186"/>
    </row>
    <row r="1979" spans="2:14" s="188" customFormat="1" ht="15" customHeight="1">
      <c r="B1979" s="187"/>
      <c r="C1979" s="187"/>
      <c r="D1979" s="187"/>
      <c r="E1979" s="187"/>
      <c r="F1979" s="187"/>
      <c r="G1979" s="187"/>
      <c r="J1979" s="186"/>
      <c r="K1979" s="180"/>
      <c r="L1979" s="180"/>
      <c r="M1979" s="186"/>
      <c r="N1979" s="186"/>
    </row>
    <row r="1980" spans="2:14" s="188" customFormat="1" ht="15" customHeight="1">
      <c r="B1980" s="187"/>
      <c r="C1980" s="187"/>
      <c r="D1980" s="187"/>
      <c r="E1980" s="187"/>
      <c r="F1980" s="187"/>
      <c r="G1980" s="187"/>
      <c r="J1980" s="186"/>
      <c r="K1980" s="180"/>
      <c r="L1980" s="180"/>
      <c r="M1980" s="186"/>
      <c r="N1980" s="186"/>
    </row>
    <row r="1981" spans="2:14" s="188" customFormat="1" ht="15" customHeight="1">
      <c r="B1981" s="187"/>
      <c r="C1981" s="187"/>
      <c r="D1981" s="187"/>
      <c r="E1981" s="187"/>
      <c r="F1981" s="187"/>
      <c r="G1981" s="187"/>
      <c r="J1981" s="186"/>
      <c r="K1981" s="180"/>
      <c r="L1981" s="180"/>
      <c r="M1981" s="186"/>
      <c r="N1981" s="186"/>
    </row>
    <row r="1982" spans="2:14" s="188" customFormat="1" ht="15" customHeight="1">
      <c r="B1982" s="187"/>
      <c r="C1982" s="187"/>
      <c r="D1982" s="187"/>
      <c r="E1982" s="187"/>
      <c r="F1982" s="187"/>
      <c r="G1982" s="187"/>
      <c r="J1982" s="186"/>
      <c r="K1982" s="180"/>
      <c r="L1982" s="180"/>
      <c r="M1982" s="186"/>
      <c r="N1982" s="186"/>
    </row>
    <row r="1983" spans="2:14" s="188" customFormat="1" ht="15" customHeight="1">
      <c r="B1983" s="187"/>
      <c r="C1983" s="187"/>
      <c r="D1983" s="187"/>
      <c r="E1983" s="187"/>
      <c r="F1983" s="187"/>
      <c r="G1983" s="187"/>
      <c r="J1983" s="186"/>
      <c r="K1983" s="180"/>
      <c r="L1983" s="180"/>
      <c r="M1983" s="186"/>
      <c r="N1983" s="186"/>
    </row>
    <row r="1984" spans="2:14" s="188" customFormat="1" ht="15" customHeight="1">
      <c r="B1984" s="187"/>
      <c r="C1984" s="187"/>
      <c r="D1984" s="187"/>
      <c r="E1984" s="187"/>
      <c r="F1984" s="187"/>
      <c r="G1984" s="187"/>
      <c r="J1984" s="186"/>
      <c r="K1984" s="180"/>
      <c r="L1984" s="180"/>
      <c r="M1984" s="186"/>
      <c r="N1984" s="186"/>
    </row>
    <row r="1985" spans="2:14" s="188" customFormat="1" ht="15" customHeight="1">
      <c r="B1985" s="187"/>
      <c r="C1985" s="187"/>
      <c r="D1985" s="187"/>
      <c r="E1985" s="187"/>
      <c r="F1985" s="187"/>
      <c r="G1985" s="187"/>
      <c r="J1985" s="186"/>
      <c r="K1985" s="180"/>
      <c r="L1985" s="180"/>
      <c r="M1985" s="186"/>
      <c r="N1985" s="186"/>
    </row>
    <row r="1986" spans="2:14" s="188" customFormat="1" ht="15" customHeight="1">
      <c r="B1986" s="187"/>
      <c r="C1986" s="187"/>
      <c r="D1986" s="187"/>
      <c r="E1986" s="187"/>
      <c r="F1986" s="187"/>
      <c r="G1986" s="187"/>
      <c r="J1986" s="186"/>
      <c r="K1986" s="180"/>
      <c r="L1986" s="180"/>
      <c r="M1986" s="186"/>
      <c r="N1986" s="186"/>
    </row>
    <row r="1987" spans="2:14" s="188" customFormat="1" ht="15" customHeight="1">
      <c r="B1987" s="187"/>
      <c r="C1987" s="187"/>
      <c r="D1987" s="187"/>
      <c r="E1987" s="187"/>
      <c r="F1987" s="187"/>
      <c r="G1987" s="187"/>
      <c r="J1987" s="186"/>
      <c r="K1987" s="180"/>
      <c r="L1987" s="180"/>
      <c r="M1987" s="186"/>
      <c r="N1987" s="186"/>
    </row>
    <row r="1988" spans="2:14" s="188" customFormat="1" ht="15" customHeight="1">
      <c r="B1988" s="187"/>
      <c r="C1988" s="187"/>
      <c r="D1988" s="187"/>
      <c r="E1988" s="187"/>
      <c r="F1988" s="187"/>
      <c r="G1988" s="187"/>
      <c r="J1988" s="186"/>
      <c r="K1988" s="180"/>
      <c r="L1988" s="180"/>
      <c r="M1988" s="186"/>
      <c r="N1988" s="186"/>
    </row>
    <row r="1989" spans="2:14" s="188" customFormat="1" ht="15" customHeight="1">
      <c r="B1989" s="187"/>
      <c r="C1989" s="187"/>
      <c r="D1989" s="187"/>
      <c r="E1989" s="187"/>
      <c r="F1989" s="187"/>
      <c r="G1989" s="187"/>
      <c r="J1989" s="186"/>
      <c r="K1989" s="180"/>
      <c r="L1989" s="180"/>
      <c r="M1989" s="186"/>
      <c r="N1989" s="186"/>
    </row>
    <row r="1990" spans="2:14" s="188" customFormat="1" ht="15" customHeight="1">
      <c r="B1990" s="187"/>
      <c r="C1990" s="187"/>
      <c r="D1990" s="187"/>
      <c r="E1990" s="187"/>
      <c r="F1990" s="187"/>
      <c r="G1990" s="187"/>
      <c r="J1990" s="186"/>
      <c r="K1990" s="180"/>
      <c r="L1990" s="180"/>
      <c r="M1990" s="186"/>
      <c r="N1990" s="186"/>
    </row>
    <row r="1991" spans="2:14" s="188" customFormat="1" ht="15" customHeight="1">
      <c r="B1991" s="187"/>
      <c r="C1991" s="187"/>
      <c r="D1991" s="187"/>
      <c r="E1991" s="187"/>
      <c r="F1991" s="187"/>
      <c r="G1991" s="187"/>
      <c r="J1991" s="186"/>
      <c r="K1991" s="180"/>
      <c r="L1991" s="180"/>
      <c r="M1991" s="186"/>
      <c r="N1991" s="186"/>
    </row>
    <row r="1992" spans="2:14" s="188" customFormat="1" ht="15" customHeight="1">
      <c r="B1992" s="187"/>
      <c r="C1992" s="187"/>
      <c r="D1992" s="187"/>
      <c r="E1992" s="187"/>
      <c r="F1992" s="187"/>
      <c r="G1992" s="187"/>
      <c r="J1992" s="186"/>
      <c r="K1992" s="180"/>
      <c r="L1992" s="180"/>
      <c r="M1992" s="186"/>
      <c r="N1992" s="186"/>
    </row>
    <row r="1993" spans="2:14" s="188" customFormat="1" ht="15" customHeight="1">
      <c r="B1993" s="187"/>
      <c r="C1993" s="187"/>
      <c r="D1993" s="187"/>
      <c r="E1993" s="187"/>
      <c r="F1993" s="187"/>
      <c r="G1993" s="187"/>
      <c r="J1993" s="186"/>
      <c r="K1993" s="180"/>
      <c r="L1993" s="180"/>
      <c r="M1993" s="186"/>
      <c r="N1993" s="186"/>
    </row>
    <row r="1994" spans="2:14" s="188" customFormat="1" ht="15" customHeight="1">
      <c r="B1994" s="187"/>
      <c r="C1994" s="187"/>
      <c r="D1994" s="187"/>
      <c r="E1994" s="187"/>
      <c r="F1994" s="187"/>
      <c r="G1994" s="187"/>
      <c r="J1994" s="186"/>
      <c r="K1994" s="180"/>
      <c r="L1994" s="180"/>
      <c r="M1994" s="186"/>
      <c r="N1994" s="186"/>
    </row>
    <row r="1995" spans="2:14" s="188" customFormat="1" ht="15" customHeight="1">
      <c r="B1995" s="187"/>
      <c r="C1995" s="187"/>
      <c r="D1995" s="187"/>
      <c r="E1995" s="187"/>
      <c r="F1995" s="187"/>
      <c r="G1995" s="187"/>
      <c r="J1995" s="186"/>
      <c r="K1995" s="180"/>
      <c r="L1995" s="180"/>
      <c r="M1995" s="186"/>
      <c r="N1995" s="186"/>
    </row>
    <row r="1996" spans="2:14" s="188" customFormat="1" ht="15" customHeight="1">
      <c r="B1996" s="187"/>
      <c r="C1996" s="187"/>
      <c r="D1996" s="187"/>
      <c r="E1996" s="187"/>
      <c r="F1996" s="187"/>
      <c r="G1996" s="187"/>
      <c r="J1996" s="186"/>
      <c r="K1996" s="180"/>
      <c r="L1996" s="180"/>
      <c r="M1996" s="186"/>
      <c r="N1996" s="186"/>
    </row>
    <row r="1997" spans="2:14" s="188" customFormat="1" ht="15" customHeight="1">
      <c r="B1997" s="187"/>
      <c r="C1997" s="187"/>
      <c r="D1997" s="187"/>
      <c r="E1997" s="187"/>
      <c r="F1997" s="187"/>
      <c r="G1997" s="187"/>
      <c r="J1997" s="186"/>
      <c r="K1997" s="180"/>
      <c r="L1997" s="180"/>
      <c r="M1997" s="186"/>
      <c r="N1997" s="186"/>
    </row>
    <row r="1998" spans="2:14" s="188" customFormat="1" ht="15" customHeight="1">
      <c r="B1998" s="187"/>
      <c r="C1998" s="187"/>
      <c r="D1998" s="187"/>
      <c r="E1998" s="187"/>
      <c r="F1998" s="187"/>
      <c r="G1998" s="187"/>
      <c r="J1998" s="186"/>
      <c r="K1998" s="180"/>
      <c r="L1998" s="180"/>
      <c r="M1998" s="186"/>
      <c r="N1998" s="186"/>
    </row>
    <row r="1999" spans="2:14" s="188" customFormat="1" ht="15" customHeight="1">
      <c r="B1999" s="187"/>
      <c r="C1999" s="187"/>
      <c r="D1999" s="187"/>
      <c r="E1999" s="187"/>
      <c r="F1999" s="187"/>
      <c r="G1999" s="187"/>
      <c r="J1999" s="186"/>
      <c r="K1999" s="180"/>
      <c r="L1999" s="180"/>
      <c r="M1999" s="186"/>
      <c r="N1999" s="186"/>
    </row>
    <row r="2000" spans="2:14" s="188" customFormat="1" ht="15" customHeight="1">
      <c r="B2000" s="187"/>
      <c r="C2000" s="187"/>
      <c r="D2000" s="187"/>
      <c r="E2000" s="187"/>
      <c r="F2000" s="187"/>
      <c r="G2000" s="187"/>
      <c r="J2000" s="186"/>
      <c r="K2000" s="180"/>
      <c r="L2000" s="180"/>
      <c r="M2000" s="186"/>
      <c r="N2000" s="186"/>
    </row>
    <row r="2001" spans="2:14" s="188" customFormat="1" ht="15" customHeight="1">
      <c r="B2001" s="187"/>
      <c r="C2001" s="187"/>
      <c r="D2001" s="187"/>
      <c r="E2001" s="187"/>
      <c r="F2001" s="187"/>
      <c r="G2001" s="187"/>
      <c r="J2001" s="186"/>
      <c r="K2001" s="180"/>
      <c r="L2001" s="180"/>
      <c r="M2001" s="186"/>
      <c r="N2001" s="186"/>
    </row>
    <row r="2002" spans="2:14" s="188" customFormat="1" ht="15" customHeight="1">
      <c r="B2002" s="187"/>
      <c r="C2002" s="187"/>
      <c r="D2002" s="187"/>
      <c r="E2002" s="187"/>
      <c r="F2002" s="187"/>
      <c r="G2002" s="187"/>
      <c r="J2002" s="186"/>
      <c r="K2002" s="180"/>
      <c r="L2002" s="180"/>
      <c r="M2002" s="186"/>
      <c r="N2002" s="186"/>
    </row>
    <row r="2003" spans="2:14" s="188" customFormat="1" ht="15" customHeight="1">
      <c r="B2003" s="187"/>
      <c r="C2003" s="187"/>
      <c r="D2003" s="187"/>
      <c r="E2003" s="187"/>
      <c r="F2003" s="187"/>
      <c r="G2003" s="187"/>
      <c r="J2003" s="186"/>
      <c r="K2003" s="180"/>
      <c r="L2003" s="180"/>
      <c r="M2003" s="186"/>
      <c r="N2003" s="186"/>
    </row>
    <row r="2004" spans="2:14" s="188" customFormat="1" ht="15" customHeight="1">
      <c r="B2004" s="187"/>
      <c r="C2004" s="187"/>
      <c r="D2004" s="187"/>
      <c r="E2004" s="187"/>
      <c r="F2004" s="187"/>
      <c r="G2004" s="187"/>
      <c r="J2004" s="186"/>
      <c r="K2004" s="180"/>
      <c r="L2004" s="180"/>
      <c r="M2004" s="186"/>
      <c r="N2004" s="186"/>
    </row>
    <row r="2005" spans="2:14" s="188" customFormat="1" ht="15" customHeight="1">
      <c r="B2005" s="187"/>
      <c r="C2005" s="187"/>
      <c r="D2005" s="187"/>
      <c r="E2005" s="187"/>
      <c r="F2005" s="187"/>
      <c r="G2005" s="187"/>
      <c r="J2005" s="186"/>
      <c r="K2005" s="180"/>
      <c r="L2005" s="180"/>
      <c r="M2005" s="186"/>
      <c r="N2005" s="186"/>
    </row>
    <row r="2006" spans="2:14" s="188" customFormat="1" ht="15" customHeight="1">
      <c r="B2006" s="187"/>
      <c r="C2006" s="187"/>
      <c r="D2006" s="187"/>
      <c r="E2006" s="187"/>
      <c r="F2006" s="187"/>
      <c r="G2006" s="187"/>
      <c r="J2006" s="186"/>
      <c r="K2006" s="180"/>
      <c r="L2006" s="180"/>
      <c r="M2006" s="186"/>
      <c r="N2006" s="186"/>
    </row>
    <row r="2007" spans="2:14" s="188" customFormat="1" ht="15" customHeight="1">
      <c r="B2007" s="187"/>
      <c r="C2007" s="187"/>
      <c r="D2007" s="187"/>
      <c r="E2007" s="187"/>
      <c r="F2007" s="187"/>
      <c r="G2007" s="187"/>
      <c r="J2007" s="186"/>
      <c r="K2007" s="180"/>
      <c r="L2007" s="180"/>
      <c r="M2007" s="186"/>
      <c r="N2007" s="186"/>
    </row>
    <row r="2008" spans="2:14" s="188" customFormat="1" ht="15" customHeight="1">
      <c r="B2008" s="187"/>
      <c r="C2008" s="187"/>
      <c r="D2008" s="187"/>
      <c r="E2008" s="187"/>
      <c r="F2008" s="187"/>
      <c r="G2008" s="187"/>
      <c r="J2008" s="186"/>
      <c r="K2008" s="180"/>
      <c r="L2008" s="180"/>
      <c r="M2008" s="186"/>
      <c r="N2008" s="186"/>
    </row>
    <row r="2009" spans="2:14" s="188" customFormat="1" ht="15" customHeight="1">
      <c r="B2009" s="187"/>
      <c r="C2009" s="187"/>
      <c r="D2009" s="187"/>
      <c r="E2009" s="187"/>
      <c r="F2009" s="187"/>
      <c r="G2009" s="187"/>
      <c r="J2009" s="186"/>
      <c r="K2009" s="180"/>
      <c r="L2009" s="180"/>
      <c r="M2009" s="186"/>
      <c r="N2009" s="186"/>
    </row>
    <row r="2010" spans="2:14" s="188" customFormat="1" ht="15" customHeight="1">
      <c r="B2010" s="187"/>
      <c r="C2010" s="187"/>
      <c r="D2010" s="187"/>
      <c r="E2010" s="187"/>
      <c r="F2010" s="187"/>
      <c r="G2010" s="187"/>
      <c r="J2010" s="186"/>
      <c r="K2010" s="180"/>
      <c r="L2010" s="180"/>
      <c r="M2010" s="186"/>
      <c r="N2010" s="186"/>
    </row>
    <row r="2011" spans="2:14" s="188" customFormat="1" ht="15" customHeight="1">
      <c r="B2011" s="187"/>
      <c r="C2011" s="187"/>
      <c r="D2011" s="187"/>
      <c r="E2011" s="187"/>
      <c r="F2011" s="187"/>
      <c r="G2011" s="187"/>
      <c r="J2011" s="186"/>
      <c r="K2011" s="180"/>
      <c r="L2011" s="180"/>
      <c r="M2011" s="186"/>
      <c r="N2011" s="186"/>
    </row>
    <row r="2012" spans="2:14" s="188" customFormat="1" ht="15" customHeight="1">
      <c r="B2012" s="187"/>
      <c r="C2012" s="187"/>
      <c r="D2012" s="187"/>
      <c r="E2012" s="187"/>
      <c r="F2012" s="187"/>
      <c r="G2012" s="187"/>
      <c r="J2012" s="186"/>
      <c r="K2012" s="180"/>
      <c r="L2012" s="180"/>
      <c r="M2012" s="186"/>
      <c r="N2012" s="186"/>
    </row>
    <row r="2013" spans="2:14" s="188" customFormat="1" ht="15" customHeight="1">
      <c r="B2013" s="187"/>
      <c r="C2013" s="187"/>
      <c r="D2013" s="187"/>
      <c r="E2013" s="187"/>
      <c r="F2013" s="187"/>
      <c r="G2013" s="187"/>
      <c r="J2013" s="186"/>
      <c r="K2013" s="180"/>
      <c r="L2013" s="180"/>
      <c r="M2013" s="186"/>
      <c r="N2013" s="186"/>
    </row>
    <row r="2014" spans="2:14" s="188" customFormat="1" ht="15" customHeight="1">
      <c r="B2014" s="187"/>
      <c r="C2014" s="187"/>
      <c r="D2014" s="187"/>
      <c r="E2014" s="187"/>
      <c r="F2014" s="187"/>
      <c r="G2014" s="187"/>
      <c r="J2014" s="186"/>
      <c r="K2014" s="180"/>
      <c r="L2014" s="180"/>
      <c r="M2014" s="186"/>
      <c r="N2014" s="186"/>
    </row>
    <row r="2015" spans="2:14" s="188" customFormat="1" ht="15" customHeight="1">
      <c r="B2015" s="187"/>
      <c r="C2015" s="187"/>
      <c r="D2015" s="187"/>
      <c r="E2015" s="187"/>
      <c r="F2015" s="187"/>
      <c r="G2015" s="187"/>
      <c r="J2015" s="186"/>
      <c r="K2015" s="180"/>
      <c r="L2015" s="180"/>
      <c r="M2015" s="186"/>
      <c r="N2015" s="186"/>
    </row>
    <row r="2016" spans="2:14" s="188" customFormat="1" ht="15" customHeight="1">
      <c r="B2016" s="187"/>
      <c r="C2016" s="187"/>
      <c r="D2016" s="187"/>
      <c r="E2016" s="187"/>
      <c r="F2016" s="187"/>
      <c r="G2016" s="187"/>
      <c r="J2016" s="186"/>
      <c r="K2016" s="180"/>
      <c r="L2016" s="180"/>
      <c r="M2016" s="186"/>
      <c r="N2016" s="186"/>
    </row>
    <row r="2017" spans="2:14" s="188" customFormat="1" ht="15" customHeight="1">
      <c r="B2017" s="187"/>
      <c r="C2017" s="187"/>
      <c r="D2017" s="187"/>
      <c r="E2017" s="187"/>
      <c r="F2017" s="187"/>
      <c r="G2017" s="187"/>
      <c r="J2017" s="186"/>
      <c r="K2017" s="180"/>
      <c r="L2017" s="180"/>
      <c r="M2017" s="186"/>
      <c r="N2017" s="186"/>
    </row>
    <row r="2018" spans="2:14" s="188" customFormat="1" ht="15" customHeight="1">
      <c r="B2018" s="187"/>
      <c r="C2018" s="187"/>
      <c r="D2018" s="187"/>
      <c r="E2018" s="187"/>
      <c r="F2018" s="187"/>
      <c r="G2018" s="187"/>
      <c r="J2018" s="186"/>
      <c r="K2018" s="180"/>
      <c r="L2018" s="180"/>
      <c r="M2018" s="186"/>
      <c r="N2018" s="186"/>
    </row>
    <row r="2019" spans="2:14" s="188" customFormat="1" ht="15" customHeight="1">
      <c r="B2019" s="187"/>
      <c r="C2019" s="187"/>
      <c r="D2019" s="187"/>
      <c r="E2019" s="187"/>
      <c r="F2019" s="187"/>
      <c r="G2019" s="187"/>
      <c r="J2019" s="186"/>
      <c r="K2019" s="180"/>
      <c r="L2019" s="180"/>
      <c r="M2019" s="186"/>
      <c r="N2019" s="186"/>
    </row>
    <row r="2020" spans="2:14" s="188" customFormat="1" ht="15" customHeight="1">
      <c r="B2020" s="187"/>
      <c r="C2020" s="187"/>
      <c r="D2020" s="187"/>
      <c r="E2020" s="187"/>
      <c r="F2020" s="187"/>
      <c r="G2020" s="187"/>
      <c r="J2020" s="186"/>
      <c r="K2020" s="180"/>
      <c r="L2020" s="180"/>
      <c r="M2020" s="186"/>
      <c r="N2020" s="186"/>
    </row>
    <row r="2021" spans="2:14" s="188" customFormat="1" ht="15" customHeight="1">
      <c r="B2021" s="187"/>
      <c r="C2021" s="187"/>
      <c r="D2021" s="187"/>
      <c r="E2021" s="187"/>
      <c r="F2021" s="187"/>
      <c r="G2021" s="187"/>
      <c r="J2021" s="186"/>
      <c r="K2021" s="180"/>
      <c r="L2021" s="180"/>
      <c r="M2021" s="186"/>
      <c r="N2021" s="186"/>
    </row>
    <row r="2022" spans="2:14" s="188" customFormat="1" ht="15" customHeight="1">
      <c r="B2022" s="187"/>
      <c r="C2022" s="187"/>
      <c r="D2022" s="187"/>
      <c r="E2022" s="187"/>
      <c r="F2022" s="187"/>
      <c r="G2022" s="187"/>
      <c r="J2022" s="186"/>
      <c r="K2022" s="180"/>
      <c r="L2022" s="180"/>
      <c r="M2022" s="186"/>
      <c r="N2022" s="186"/>
    </row>
    <row r="2023" spans="2:14" s="188" customFormat="1" ht="15" customHeight="1">
      <c r="B2023" s="187"/>
      <c r="C2023" s="187"/>
      <c r="D2023" s="187"/>
      <c r="E2023" s="187"/>
      <c r="F2023" s="187"/>
      <c r="G2023" s="187"/>
      <c r="J2023" s="186"/>
      <c r="K2023" s="180"/>
      <c r="L2023" s="180"/>
      <c r="M2023" s="186"/>
      <c r="N2023" s="186"/>
    </row>
    <row r="2024" spans="2:14" s="188" customFormat="1" ht="15" customHeight="1">
      <c r="B2024" s="187"/>
      <c r="C2024" s="187"/>
      <c r="D2024" s="187"/>
      <c r="E2024" s="187"/>
      <c r="F2024" s="187"/>
      <c r="G2024" s="187"/>
      <c r="J2024" s="186"/>
      <c r="K2024" s="180"/>
      <c r="L2024" s="180"/>
      <c r="M2024" s="186"/>
      <c r="N2024" s="186"/>
    </row>
    <row r="2025" spans="2:14" s="188" customFormat="1" ht="15" customHeight="1">
      <c r="B2025" s="187"/>
      <c r="C2025" s="187"/>
      <c r="D2025" s="187"/>
      <c r="E2025" s="187"/>
      <c r="F2025" s="187"/>
      <c r="G2025" s="187"/>
      <c r="J2025" s="186"/>
      <c r="K2025" s="180"/>
      <c r="L2025" s="180"/>
      <c r="M2025" s="186"/>
      <c r="N2025" s="186"/>
    </row>
    <row r="2026" spans="2:14" s="188" customFormat="1" ht="15" customHeight="1">
      <c r="B2026" s="187"/>
      <c r="C2026" s="187"/>
      <c r="D2026" s="187"/>
      <c r="E2026" s="187"/>
      <c r="F2026" s="187"/>
      <c r="G2026" s="187"/>
      <c r="J2026" s="186"/>
      <c r="K2026" s="180"/>
      <c r="L2026" s="180"/>
      <c r="M2026" s="186"/>
      <c r="N2026" s="186"/>
    </row>
    <row r="2027" spans="2:14" s="188" customFormat="1" ht="15" customHeight="1">
      <c r="B2027" s="187"/>
      <c r="C2027" s="187"/>
      <c r="D2027" s="187"/>
      <c r="E2027" s="187"/>
      <c r="F2027" s="187"/>
      <c r="G2027" s="187"/>
      <c r="J2027" s="186"/>
      <c r="K2027" s="180"/>
      <c r="L2027" s="180"/>
      <c r="M2027" s="186"/>
      <c r="N2027" s="186"/>
    </row>
    <row r="2028" spans="2:14" s="188" customFormat="1" ht="15" customHeight="1">
      <c r="B2028" s="187"/>
      <c r="C2028" s="187"/>
      <c r="D2028" s="187"/>
      <c r="E2028" s="187"/>
      <c r="F2028" s="187"/>
      <c r="G2028" s="187"/>
      <c r="J2028" s="186"/>
      <c r="K2028" s="180"/>
      <c r="L2028" s="180"/>
      <c r="M2028" s="186"/>
      <c r="N2028" s="186"/>
    </row>
    <row r="2029" spans="2:14" s="188" customFormat="1" ht="15" customHeight="1">
      <c r="B2029" s="187"/>
      <c r="C2029" s="187"/>
      <c r="D2029" s="187"/>
      <c r="E2029" s="187"/>
      <c r="F2029" s="187"/>
      <c r="G2029" s="187"/>
      <c r="J2029" s="186"/>
      <c r="K2029" s="180"/>
      <c r="L2029" s="180"/>
      <c r="M2029" s="186"/>
      <c r="N2029" s="186"/>
    </row>
    <row r="2030" spans="2:14" s="188" customFormat="1" ht="15" customHeight="1">
      <c r="B2030" s="187"/>
      <c r="C2030" s="187"/>
      <c r="D2030" s="187"/>
      <c r="E2030" s="187"/>
      <c r="F2030" s="187"/>
      <c r="G2030" s="187"/>
      <c r="J2030" s="186"/>
      <c r="K2030" s="180"/>
      <c r="L2030" s="180"/>
      <c r="M2030" s="186"/>
      <c r="N2030" s="186"/>
    </row>
    <row r="2031" spans="2:14" s="188" customFormat="1" ht="15" customHeight="1">
      <c r="B2031" s="187"/>
      <c r="C2031" s="187"/>
      <c r="D2031" s="187"/>
      <c r="E2031" s="187"/>
      <c r="F2031" s="187"/>
      <c r="G2031" s="187"/>
      <c r="J2031" s="186"/>
      <c r="K2031" s="180"/>
      <c r="L2031" s="180"/>
      <c r="M2031" s="186"/>
      <c r="N2031" s="186"/>
    </row>
    <row r="2032" spans="2:14" s="188" customFormat="1" ht="15" customHeight="1">
      <c r="B2032" s="187"/>
      <c r="C2032" s="187"/>
      <c r="D2032" s="187"/>
      <c r="E2032" s="187"/>
      <c r="F2032" s="187"/>
      <c r="G2032" s="187"/>
      <c r="J2032" s="186"/>
      <c r="K2032" s="180"/>
      <c r="L2032" s="180"/>
      <c r="M2032" s="186"/>
      <c r="N2032" s="186"/>
    </row>
    <row r="2033" spans="2:14" s="188" customFormat="1" ht="15" customHeight="1">
      <c r="B2033" s="187"/>
      <c r="C2033" s="187"/>
      <c r="D2033" s="187"/>
      <c r="E2033" s="187"/>
      <c r="F2033" s="187"/>
      <c r="G2033" s="187"/>
      <c r="J2033" s="186"/>
      <c r="K2033" s="180"/>
      <c r="L2033" s="180"/>
      <c r="M2033" s="186"/>
      <c r="N2033" s="186"/>
    </row>
    <row r="2034" spans="2:14" s="188" customFormat="1" ht="15" customHeight="1">
      <c r="B2034" s="187"/>
      <c r="C2034" s="187"/>
      <c r="D2034" s="187"/>
      <c r="E2034" s="187"/>
      <c r="F2034" s="187"/>
      <c r="G2034" s="187"/>
      <c r="J2034" s="186"/>
      <c r="K2034" s="180"/>
      <c r="L2034" s="180"/>
      <c r="M2034" s="186"/>
      <c r="N2034" s="186"/>
    </row>
    <row r="2035" spans="2:14" s="188" customFormat="1" ht="15" customHeight="1">
      <c r="B2035" s="187"/>
      <c r="C2035" s="187"/>
      <c r="D2035" s="187"/>
      <c r="E2035" s="187"/>
      <c r="F2035" s="187"/>
      <c r="G2035" s="187"/>
      <c r="J2035" s="186"/>
      <c r="K2035" s="180"/>
      <c r="L2035" s="180"/>
      <c r="M2035" s="186"/>
      <c r="N2035" s="186"/>
    </row>
    <row r="2036" spans="2:14" s="188" customFormat="1" ht="15" customHeight="1">
      <c r="B2036" s="187"/>
      <c r="C2036" s="187"/>
      <c r="D2036" s="187"/>
      <c r="E2036" s="187"/>
      <c r="F2036" s="187"/>
      <c r="G2036" s="187"/>
      <c r="J2036" s="186"/>
      <c r="K2036" s="180"/>
      <c r="L2036" s="180"/>
      <c r="M2036" s="186"/>
      <c r="N2036" s="186"/>
    </row>
    <row r="2037" spans="2:14" s="188" customFormat="1" ht="15" customHeight="1">
      <c r="B2037" s="187"/>
      <c r="C2037" s="187"/>
      <c r="D2037" s="187"/>
      <c r="E2037" s="187"/>
      <c r="F2037" s="187"/>
      <c r="G2037" s="187"/>
      <c r="J2037" s="186"/>
      <c r="K2037" s="180"/>
      <c r="L2037" s="180"/>
      <c r="M2037" s="186"/>
      <c r="N2037" s="186"/>
    </row>
    <row r="2038" spans="2:14" s="188" customFormat="1" ht="15" customHeight="1">
      <c r="B2038" s="187"/>
      <c r="C2038" s="187"/>
      <c r="D2038" s="187"/>
      <c r="E2038" s="187"/>
      <c r="F2038" s="187"/>
      <c r="G2038" s="187"/>
      <c r="J2038" s="186"/>
      <c r="K2038" s="180"/>
      <c r="L2038" s="180"/>
      <c r="M2038" s="186"/>
      <c r="N2038" s="186"/>
    </row>
    <row r="2039" spans="2:14" s="188" customFormat="1" ht="15" customHeight="1">
      <c r="B2039" s="187"/>
      <c r="C2039" s="187"/>
      <c r="D2039" s="187"/>
      <c r="E2039" s="187"/>
      <c r="F2039" s="187"/>
      <c r="G2039" s="187"/>
      <c r="J2039" s="186"/>
      <c r="K2039" s="180"/>
      <c r="L2039" s="180"/>
      <c r="M2039" s="186"/>
      <c r="N2039" s="186"/>
    </row>
    <row r="2040" spans="2:14" s="188" customFormat="1" ht="15" customHeight="1">
      <c r="B2040" s="187"/>
      <c r="C2040" s="187"/>
      <c r="D2040" s="187"/>
      <c r="E2040" s="187"/>
      <c r="F2040" s="187"/>
      <c r="G2040" s="187"/>
      <c r="J2040" s="186"/>
      <c r="K2040" s="180"/>
      <c r="L2040" s="180"/>
      <c r="M2040" s="186"/>
      <c r="N2040" s="186"/>
    </row>
    <row r="2041" spans="2:14" s="188" customFormat="1" ht="15" customHeight="1">
      <c r="B2041" s="187"/>
      <c r="C2041" s="187"/>
      <c r="D2041" s="187"/>
      <c r="E2041" s="187"/>
      <c r="F2041" s="187"/>
      <c r="G2041" s="187"/>
      <c r="J2041" s="186"/>
      <c r="K2041" s="180"/>
      <c r="L2041" s="180"/>
      <c r="M2041" s="186"/>
      <c r="N2041" s="186"/>
    </row>
    <row r="2042" spans="2:14" s="188" customFormat="1" ht="15" customHeight="1">
      <c r="B2042" s="187"/>
      <c r="C2042" s="187"/>
      <c r="D2042" s="187"/>
      <c r="E2042" s="187"/>
      <c r="F2042" s="187"/>
      <c r="G2042" s="187"/>
      <c r="J2042" s="186"/>
      <c r="K2042" s="180"/>
      <c r="L2042" s="180"/>
      <c r="M2042" s="186"/>
      <c r="N2042" s="186"/>
    </row>
    <row r="2043" spans="2:14" s="188" customFormat="1" ht="15" customHeight="1">
      <c r="B2043" s="187"/>
      <c r="C2043" s="187"/>
      <c r="D2043" s="187"/>
      <c r="E2043" s="187"/>
      <c r="F2043" s="187"/>
      <c r="G2043" s="187"/>
      <c r="J2043" s="186"/>
      <c r="K2043" s="180"/>
      <c r="L2043" s="180"/>
      <c r="M2043" s="186"/>
      <c r="N2043" s="186"/>
    </row>
    <row r="2044" spans="2:14" s="188" customFormat="1" ht="15" customHeight="1">
      <c r="B2044" s="187"/>
      <c r="C2044" s="187"/>
      <c r="D2044" s="187"/>
      <c r="E2044" s="187"/>
      <c r="F2044" s="187"/>
      <c r="G2044" s="187"/>
      <c r="J2044" s="186"/>
      <c r="K2044" s="180"/>
      <c r="L2044" s="180"/>
      <c r="M2044" s="186"/>
      <c r="N2044" s="186"/>
    </row>
    <row r="2045" spans="2:14" s="188" customFormat="1" ht="15" customHeight="1">
      <c r="B2045" s="187"/>
      <c r="C2045" s="187"/>
      <c r="D2045" s="187"/>
      <c r="E2045" s="187"/>
      <c r="F2045" s="187"/>
      <c r="G2045" s="187"/>
      <c r="J2045" s="186"/>
      <c r="K2045" s="180"/>
      <c r="L2045" s="180"/>
      <c r="M2045" s="186"/>
      <c r="N2045" s="186"/>
    </row>
    <row r="2046" spans="2:14" s="188" customFormat="1" ht="15" customHeight="1">
      <c r="B2046" s="187"/>
      <c r="C2046" s="187"/>
      <c r="D2046" s="187"/>
      <c r="E2046" s="187"/>
      <c r="F2046" s="187"/>
      <c r="G2046" s="187"/>
      <c r="J2046" s="186"/>
      <c r="K2046" s="180"/>
      <c r="L2046" s="180"/>
      <c r="M2046" s="186"/>
      <c r="N2046" s="186"/>
    </row>
    <row r="2047" spans="2:14" s="188" customFormat="1" ht="15" customHeight="1">
      <c r="B2047" s="187"/>
      <c r="C2047" s="187"/>
      <c r="D2047" s="187"/>
      <c r="E2047" s="187"/>
      <c r="F2047" s="187"/>
      <c r="G2047" s="187"/>
      <c r="J2047" s="186"/>
      <c r="K2047" s="180"/>
      <c r="L2047" s="180"/>
      <c r="M2047" s="186"/>
      <c r="N2047" s="186"/>
    </row>
    <row r="2048" spans="2:14" s="188" customFormat="1" ht="15" customHeight="1">
      <c r="B2048" s="187"/>
      <c r="C2048" s="187"/>
      <c r="D2048" s="187"/>
      <c r="E2048" s="187"/>
      <c r="F2048" s="187"/>
      <c r="G2048" s="187"/>
      <c r="J2048" s="186"/>
      <c r="K2048" s="180"/>
      <c r="L2048" s="180"/>
      <c r="M2048" s="186"/>
      <c r="N2048" s="186"/>
    </row>
    <row r="2049" spans="2:14" s="188" customFormat="1" ht="15" customHeight="1">
      <c r="B2049" s="187"/>
      <c r="C2049" s="187"/>
      <c r="D2049" s="187"/>
      <c r="E2049" s="187"/>
      <c r="F2049" s="187"/>
      <c r="G2049" s="187"/>
      <c r="J2049" s="186"/>
      <c r="K2049" s="180"/>
      <c r="L2049" s="180"/>
      <c r="M2049" s="186"/>
      <c r="N2049" s="186"/>
    </row>
    <row r="2050" spans="2:14" s="188" customFormat="1" ht="15" customHeight="1">
      <c r="B2050" s="187"/>
      <c r="C2050" s="187"/>
      <c r="D2050" s="187"/>
      <c r="E2050" s="187"/>
      <c r="F2050" s="187"/>
      <c r="G2050" s="187"/>
      <c r="J2050" s="186"/>
      <c r="K2050" s="180"/>
      <c r="L2050" s="180"/>
      <c r="M2050" s="186"/>
      <c r="N2050" s="186"/>
    </row>
    <row r="2051" spans="2:14" s="188" customFormat="1" ht="15" customHeight="1">
      <c r="B2051" s="187"/>
      <c r="C2051" s="187"/>
      <c r="D2051" s="187"/>
      <c r="E2051" s="187"/>
      <c r="F2051" s="187"/>
      <c r="G2051" s="187"/>
      <c r="J2051" s="186"/>
      <c r="K2051" s="180"/>
      <c r="L2051" s="180"/>
      <c r="M2051" s="186"/>
      <c r="N2051" s="186"/>
    </row>
    <row r="2052" spans="2:14" s="188" customFormat="1" ht="15" customHeight="1">
      <c r="B2052" s="187"/>
      <c r="C2052" s="187"/>
      <c r="D2052" s="187"/>
      <c r="E2052" s="187"/>
      <c r="F2052" s="187"/>
      <c r="G2052" s="187"/>
      <c r="J2052" s="186"/>
      <c r="K2052" s="180"/>
      <c r="L2052" s="180"/>
      <c r="M2052" s="186"/>
      <c r="N2052" s="186"/>
    </row>
    <row r="2053" spans="2:14" s="188" customFormat="1" ht="15" customHeight="1">
      <c r="B2053" s="187"/>
      <c r="C2053" s="187"/>
      <c r="D2053" s="187"/>
      <c r="E2053" s="187"/>
      <c r="F2053" s="187"/>
      <c r="G2053" s="187"/>
      <c r="J2053" s="186"/>
      <c r="K2053" s="180"/>
      <c r="L2053" s="180"/>
      <c r="M2053" s="186"/>
      <c r="N2053" s="186"/>
    </row>
    <row r="2054" spans="2:14" s="188" customFormat="1" ht="15" customHeight="1">
      <c r="B2054" s="187"/>
      <c r="C2054" s="187"/>
      <c r="D2054" s="187"/>
      <c r="E2054" s="187"/>
      <c r="F2054" s="187"/>
      <c r="G2054" s="187"/>
      <c r="J2054" s="186"/>
      <c r="K2054" s="180"/>
      <c r="L2054" s="180"/>
      <c r="M2054" s="186"/>
      <c r="N2054" s="186"/>
    </row>
    <row r="2055" spans="2:14" s="188" customFormat="1" ht="15" customHeight="1">
      <c r="B2055" s="187"/>
      <c r="C2055" s="187"/>
      <c r="D2055" s="187"/>
      <c r="E2055" s="187"/>
      <c r="F2055" s="187"/>
      <c r="G2055" s="187"/>
      <c r="J2055" s="186"/>
      <c r="K2055" s="180"/>
      <c r="L2055" s="180"/>
      <c r="M2055" s="186"/>
      <c r="N2055" s="186"/>
    </row>
    <row r="2056" spans="2:14" s="188" customFormat="1" ht="15" customHeight="1">
      <c r="B2056" s="187"/>
      <c r="C2056" s="187"/>
      <c r="D2056" s="187"/>
      <c r="E2056" s="187"/>
      <c r="F2056" s="187"/>
      <c r="G2056" s="187"/>
      <c r="J2056" s="186"/>
      <c r="K2056" s="180"/>
      <c r="L2056" s="180"/>
      <c r="M2056" s="186"/>
      <c r="N2056" s="186"/>
    </row>
    <row r="2057" spans="2:14" s="188" customFormat="1" ht="15" customHeight="1">
      <c r="B2057" s="187"/>
      <c r="C2057" s="187"/>
      <c r="D2057" s="187"/>
      <c r="E2057" s="187"/>
      <c r="F2057" s="187"/>
      <c r="G2057" s="187"/>
      <c r="J2057" s="186"/>
      <c r="K2057" s="180"/>
      <c r="L2057" s="180"/>
      <c r="M2057" s="186"/>
      <c r="N2057" s="186"/>
    </row>
    <row r="2058" spans="2:14" s="188" customFormat="1" ht="15" customHeight="1">
      <c r="B2058" s="187"/>
      <c r="C2058" s="187"/>
      <c r="D2058" s="187"/>
      <c r="E2058" s="187"/>
      <c r="F2058" s="187"/>
      <c r="G2058" s="187"/>
      <c r="J2058" s="186"/>
      <c r="K2058" s="180"/>
      <c r="L2058" s="180"/>
      <c r="M2058" s="186"/>
      <c r="N2058" s="186"/>
    </row>
    <row r="2059" spans="2:14" s="188" customFormat="1" ht="15" customHeight="1">
      <c r="B2059" s="187"/>
      <c r="C2059" s="187"/>
      <c r="D2059" s="187"/>
      <c r="E2059" s="187"/>
      <c r="F2059" s="187"/>
      <c r="G2059" s="187"/>
      <c r="J2059" s="186"/>
      <c r="K2059" s="180"/>
      <c r="L2059" s="180"/>
      <c r="M2059" s="186"/>
      <c r="N2059" s="186"/>
    </row>
    <row r="2060" spans="2:14" s="188" customFormat="1" ht="15" customHeight="1">
      <c r="B2060" s="187"/>
      <c r="C2060" s="187"/>
      <c r="D2060" s="187"/>
      <c r="E2060" s="187"/>
      <c r="F2060" s="187"/>
      <c r="G2060" s="187"/>
      <c r="J2060" s="186"/>
      <c r="K2060" s="180"/>
      <c r="L2060" s="180"/>
      <c r="M2060" s="186"/>
      <c r="N2060" s="186"/>
    </row>
    <row r="2061" spans="2:14" s="188" customFormat="1" ht="15" customHeight="1">
      <c r="B2061" s="187"/>
      <c r="C2061" s="187"/>
      <c r="D2061" s="187"/>
      <c r="E2061" s="187"/>
      <c r="F2061" s="187"/>
      <c r="G2061" s="187"/>
      <c r="J2061" s="186"/>
      <c r="K2061" s="180"/>
      <c r="L2061" s="180"/>
      <c r="M2061" s="186"/>
      <c r="N2061" s="186"/>
    </row>
    <row r="2062" spans="2:14" s="188" customFormat="1" ht="15" customHeight="1">
      <c r="B2062" s="187"/>
      <c r="C2062" s="187"/>
      <c r="D2062" s="187"/>
      <c r="E2062" s="187"/>
      <c r="F2062" s="187"/>
      <c r="G2062" s="187"/>
      <c r="J2062" s="186"/>
      <c r="K2062" s="180"/>
      <c r="L2062" s="180"/>
      <c r="M2062" s="186"/>
      <c r="N2062" s="186"/>
    </row>
    <row r="2063" spans="2:14" s="188" customFormat="1" ht="15" customHeight="1">
      <c r="B2063" s="187"/>
      <c r="C2063" s="187"/>
      <c r="D2063" s="187"/>
      <c r="E2063" s="187"/>
      <c r="F2063" s="187"/>
      <c r="G2063" s="187"/>
      <c r="J2063" s="186"/>
      <c r="K2063" s="180"/>
      <c r="L2063" s="180"/>
      <c r="M2063" s="186"/>
      <c r="N2063" s="186"/>
    </row>
    <row r="2064" spans="2:14" s="188" customFormat="1" ht="15" customHeight="1">
      <c r="B2064" s="187"/>
      <c r="C2064" s="187"/>
      <c r="D2064" s="187"/>
      <c r="E2064" s="187"/>
      <c r="F2064" s="187"/>
      <c r="G2064" s="187"/>
      <c r="J2064" s="186"/>
      <c r="K2064" s="180"/>
      <c r="L2064" s="180"/>
      <c r="M2064" s="186"/>
      <c r="N2064" s="186"/>
    </row>
    <row r="2065" spans="2:14" s="188" customFormat="1" ht="15" customHeight="1">
      <c r="B2065" s="187"/>
      <c r="C2065" s="187"/>
      <c r="D2065" s="187"/>
      <c r="E2065" s="187"/>
      <c r="F2065" s="187"/>
      <c r="G2065" s="187"/>
      <c r="J2065" s="186"/>
      <c r="K2065" s="180"/>
      <c r="L2065" s="180"/>
      <c r="M2065" s="186"/>
      <c r="N2065" s="186"/>
    </row>
    <row r="2066" spans="2:14" s="188" customFormat="1" ht="15" customHeight="1">
      <c r="B2066" s="187"/>
      <c r="C2066" s="187"/>
      <c r="D2066" s="187"/>
      <c r="E2066" s="187"/>
      <c r="F2066" s="187"/>
      <c r="G2066" s="187"/>
      <c r="J2066" s="186"/>
      <c r="K2066" s="180"/>
      <c r="L2066" s="180"/>
      <c r="M2066" s="186"/>
      <c r="N2066" s="186"/>
    </row>
    <row r="2067" spans="2:14" s="188" customFormat="1" ht="15" customHeight="1">
      <c r="B2067" s="187"/>
      <c r="C2067" s="187"/>
      <c r="D2067" s="187"/>
      <c r="E2067" s="187"/>
      <c r="F2067" s="187"/>
      <c r="G2067" s="187"/>
      <c r="J2067" s="186"/>
      <c r="K2067" s="180"/>
      <c r="L2067" s="180"/>
      <c r="M2067" s="186"/>
      <c r="N2067" s="186"/>
    </row>
    <row r="2068" spans="2:14" s="188" customFormat="1" ht="15" customHeight="1">
      <c r="B2068" s="187"/>
      <c r="C2068" s="187"/>
      <c r="D2068" s="187"/>
      <c r="E2068" s="187"/>
      <c r="F2068" s="187"/>
      <c r="G2068" s="187"/>
      <c r="J2068" s="186"/>
      <c r="K2068" s="180"/>
      <c r="L2068" s="180"/>
      <c r="M2068" s="186"/>
      <c r="N2068" s="186"/>
    </row>
    <row r="2069" spans="2:14" s="188" customFormat="1" ht="15" customHeight="1">
      <c r="B2069" s="187"/>
      <c r="C2069" s="187"/>
      <c r="D2069" s="187"/>
      <c r="E2069" s="187"/>
      <c r="F2069" s="187"/>
      <c r="G2069" s="187"/>
      <c r="J2069" s="186"/>
      <c r="K2069" s="180"/>
      <c r="L2069" s="180"/>
      <c r="M2069" s="186"/>
      <c r="N2069" s="186"/>
    </row>
    <row r="2070" spans="2:14" s="188" customFormat="1" ht="15" customHeight="1">
      <c r="B2070" s="187"/>
      <c r="C2070" s="187"/>
      <c r="D2070" s="187"/>
      <c r="E2070" s="187"/>
      <c r="F2070" s="187"/>
      <c r="G2070" s="187"/>
      <c r="J2070" s="186"/>
      <c r="K2070" s="180"/>
      <c r="L2070" s="180"/>
      <c r="M2070" s="186"/>
      <c r="N2070" s="186"/>
    </row>
    <row r="2071" spans="2:14" s="188" customFormat="1" ht="15" customHeight="1">
      <c r="B2071" s="187"/>
      <c r="C2071" s="187"/>
      <c r="D2071" s="187"/>
      <c r="E2071" s="187"/>
      <c r="F2071" s="187"/>
      <c r="G2071" s="187"/>
      <c r="J2071" s="186"/>
      <c r="K2071" s="180"/>
      <c r="L2071" s="180"/>
      <c r="M2071" s="186"/>
      <c r="N2071" s="186"/>
    </row>
    <row r="2072" spans="2:14" s="188" customFormat="1" ht="15" customHeight="1">
      <c r="B2072" s="187"/>
      <c r="C2072" s="187"/>
      <c r="D2072" s="187"/>
      <c r="E2072" s="187"/>
      <c r="F2072" s="187"/>
      <c r="G2072" s="187"/>
      <c r="J2072" s="186"/>
      <c r="K2072" s="180"/>
      <c r="L2072" s="180"/>
      <c r="M2072" s="186"/>
      <c r="N2072" s="186"/>
    </row>
    <row r="2073" spans="2:14" s="188" customFormat="1" ht="15" customHeight="1">
      <c r="B2073" s="187"/>
      <c r="C2073" s="187"/>
      <c r="D2073" s="187"/>
      <c r="E2073" s="187"/>
      <c r="F2073" s="187"/>
      <c r="G2073" s="187"/>
      <c r="J2073" s="186"/>
      <c r="K2073" s="180"/>
      <c r="L2073" s="180"/>
      <c r="M2073" s="186"/>
      <c r="N2073" s="186"/>
    </row>
    <row r="2074" spans="2:14" s="188" customFormat="1" ht="15" customHeight="1">
      <c r="B2074" s="187"/>
      <c r="C2074" s="187"/>
      <c r="D2074" s="187"/>
      <c r="E2074" s="187"/>
      <c r="F2074" s="187"/>
      <c r="G2074" s="187"/>
      <c r="J2074" s="186"/>
      <c r="K2074" s="180"/>
      <c r="L2074" s="180"/>
      <c r="M2074" s="186"/>
      <c r="N2074" s="186"/>
    </row>
    <row r="2075" spans="2:14" s="188" customFormat="1" ht="15" customHeight="1">
      <c r="B2075" s="187"/>
      <c r="C2075" s="187"/>
      <c r="D2075" s="187"/>
      <c r="E2075" s="187"/>
      <c r="F2075" s="187"/>
      <c r="G2075" s="187"/>
      <c r="J2075" s="186"/>
      <c r="K2075" s="180"/>
      <c r="L2075" s="180"/>
      <c r="M2075" s="186"/>
      <c r="N2075" s="186"/>
    </row>
    <row r="2076" spans="2:14" s="188" customFormat="1" ht="15" customHeight="1">
      <c r="B2076" s="187"/>
      <c r="C2076" s="187"/>
      <c r="D2076" s="187"/>
      <c r="E2076" s="187"/>
      <c r="F2076" s="187"/>
      <c r="G2076" s="187"/>
      <c r="J2076" s="186"/>
      <c r="K2076" s="180"/>
      <c r="L2076" s="180"/>
      <c r="M2076" s="186"/>
      <c r="N2076" s="186"/>
    </row>
    <row r="2077" spans="2:14" s="188" customFormat="1" ht="15" customHeight="1">
      <c r="B2077" s="187"/>
      <c r="C2077" s="187"/>
      <c r="D2077" s="187"/>
      <c r="E2077" s="187"/>
      <c r="F2077" s="187"/>
      <c r="G2077" s="187"/>
      <c r="J2077" s="186"/>
      <c r="K2077" s="180"/>
      <c r="L2077" s="180"/>
      <c r="M2077" s="186"/>
      <c r="N2077" s="186"/>
    </row>
    <row r="2078" spans="2:14" s="188" customFormat="1" ht="15" customHeight="1">
      <c r="B2078" s="187"/>
      <c r="C2078" s="187"/>
      <c r="D2078" s="187"/>
      <c r="E2078" s="187"/>
      <c r="F2078" s="187"/>
      <c r="G2078" s="187"/>
      <c r="J2078" s="186"/>
      <c r="K2078" s="180"/>
      <c r="L2078" s="180"/>
      <c r="M2078" s="186"/>
      <c r="N2078" s="186"/>
    </row>
    <row r="2079" spans="2:14" s="188" customFormat="1" ht="15" customHeight="1">
      <c r="B2079" s="187"/>
      <c r="C2079" s="187"/>
      <c r="D2079" s="187"/>
      <c r="E2079" s="187"/>
      <c r="F2079" s="187"/>
      <c r="G2079" s="187"/>
      <c r="J2079" s="186"/>
      <c r="K2079" s="180"/>
      <c r="L2079" s="180"/>
      <c r="M2079" s="186"/>
      <c r="N2079" s="186"/>
    </row>
    <row r="2080" spans="2:14" s="188" customFormat="1" ht="15" customHeight="1">
      <c r="B2080" s="187"/>
      <c r="C2080" s="187"/>
      <c r="D2080" s="187"/>
      <c r="E2080" s="187"/>
      <c r="F2080" s="187"/>
      <c r="G2080" s="187"/>
      <c r="J2080" s="186"/>
      <c r="K2080" s="180"/>
      <c r="L2080" s="180"/>
      <c r="M2080" s="186"/>
      <c r="N2080" s="186"/>
    </row>
    <row r="2081" spans="2:14" s="188" customFormat="1" ht="15" customHeight="1">
      <c r="B2081" s="187"/>
      <c r="C2081" s="187"/>
      <c r="D2081" s="187"/>
      <c r="E2081" s="187"/>
      <c r="F2081" s="187"/>
      <c r="G2081" s="187"/>
      <c r="J2081" s="186"/>
      <c r="K2081" s="180"/>
      <c r="L2081" s="180"/>
      <c r="M2081" s="186"/>
      <c r="N2081" s="186"/>
    </row>
    <row r="2082" spans="2:14" s="188" customFormat="1" ht="15" customHeight="1">
      <c r="B2082" s="187"/>
      <c r="C2082" s="187"/>
      <c r="D2082" s="187"/>
      <c r="E2082" s="187"/>
      <c r="F2082" s="187"/>
      <c r="G2082" s="187"/>
      <c r="J2082" s="186"/>
      <c r="K2082" s="180"/>
      <c r="L2082" s="180"/>
      <c r="M2082" s="186"/>
      <c r="N2082" s="186"/>
    </row>
    <row r="2083" spans="2:14" s="188" customFormat="1" ht="15" customHeight="1">
      <c r="B2083" s="187"/>
      <c r="C2083" s="187"/>
      <c r="D2083" s="187"/>
      <c r="E2083" s="187"/>
      <c r="F2083" s="187"/>
      <c r="G2083" s="187"/>
      <c r="J2083" s="186"/>
      <c r="K2083" s="180"/>
      <c r="L2083" s="180"/>
      <c r="M2083" s="186"/>
      <c r="N2083" s="186"/>
    </row>
    <row r="2084" spans="2:14" s="188" customFormat="1" ht="15" customHeight="1">
      <c r="B2084" s="187"/>
      <c r="C2084" s="187"/>
      <c r="D2084" s="187"/>
      <c r="E2084" s="187"/>
      <c r="F2084" s="187"/>
      <c r="G2084" s="187"/>
      <c r="J2084" s="186"/>
      <c r="K2084" s="180"/>
      <c r="L2084" s="180"/>
      <c r="M2084" s="186"/>
      <c r="N2084" s="186"/>
    </row>
    <row r="2085" spans="2:14" s="188" customFormat="1" ht="15" customHeight="1">
      <c r="B2085" s="187"/>
      <c r="C2085" s="187"/>
      <c r="D2085" s="187"/>
      <c r="E2085" s="187"/>
      <c r="F2085" s="187"/>
      <c r="G2085" s="187"/>
      <c r="J2085" s="186"/>
      <c r="K2085" s="180"/>
      <c r="L2085" s="180"/>
      <c r="M2085" s="186"/>
      <c r="N2085" s="186"/>
    </row>
    <row r="2086" spans="2:14" s="188" customFormat="1" ht="15" customHeight="1">
      <c r="B2086" s="187"/>
      <c r="C2086" s="187"/>
      <c r="D2086" s="187"/>
      <c r="E2086" s="187"/>
      <c r="F2086" s="187"/>
      <c r="G2086" s="187"/>
      <c r="J2086" s="186"/>
      <c r="K2086" s="180"/>
      <c r="L2086" s="180"/>
      <c r="M2086" s="186"/>
      <c r="N2086" s="186"/>
    </row>
    <row r="2087" spans="2:14" s="188" customFormat="1" ht="15" customHeight="1">
      <c r="B2087" s="187"/>
      <c r="C2087" s="187"/>
      <c r="D2087" s="187"/>
      <c r="E2087" s="187"/>
      <c r="F2087" s="187"/>
      <c r="G2087" s="187"/>
      <c r="J2087" s="186"/>
      <c r="K2087" s="180"/>
      <c r="L2087" s="180"/>
      <c r="M2087" s="186"/>
      <c r="N2087" s="186"/>
    </row>
    <row r="2088" spans="2:14" s="188" customFormat="1" ht="15" customHeight="1">
      <c r="B2088" s="187"/>
      <c r="C2088" s="187"/>
      <c r="D2088" s="187"/>
      <c r="E2088" s="187"/>
      <c r="F2088" s="187"/>
      <c r="G2088" s="187"/>
      <c r="J2088" s="186"/>
      <c r="K2088" s="180"/>
      <c r="L2088" s="180"/>
      <c r="M2088" s="186"/>
      <c r="N2088" s="186"/>
    </row>
    <row r="2089" spans="2:14" s="188" customFormat="1" ht="15" customHeight="1">
      <c r="B2089" s="187"/>
      <c r="C2089" s="187"/>
      <c r="D2089" s="187"/>
      <c r="E2089" s="187"/>
      <c r="F2089" s="187"/>
      <c r="G2089" s="187"/>
      <c r="J2089" s="186"/>
      <c r="K2089" s="180"/>
      <c r="L2089" s="180"/>
      <c r="M2089" s="186"/>
      <c r="N2089" s="186"/>
    </row>
    <row r="2090" spans="2:14" s="188" customFormat="1" ht="15" customHeight="1">
      <c r="B2090" s="187"/>
      <c r="C2090" s="187"/>
      <c r="D2090" s="187"/>
      <c r="E2090" s="187"/>
      <c r="F2090" s="187"/>
      <c r="G2090" s="187"/>
      <c r="J2090" s="186"/>
      <c r="K2090" s="180"/>
      <c r="L2090" s="180"/>
      <c r="M2090" s="186"/>
      <c r="N2090" s="186"/>
    </row>
    <row r="2091" spans="2:14" s="188" customFormat="1" ht="15" customHeight="1">
      <c r="B2091" s="187"/>
      <c r="C2091" s="187"/>
      <c r="D2091" s="187"/>
      <c r="E2091" s="187"/>
      <c r="F2091" s="187"/>
      <c r="G2091" s="187"/>
      <c r="J2091" s="186"/>
      <c r="K2091" s="180"/>
      <c r="L2091" s="180"/>
      <c r="M2091" s="186"/>
      <c r="N2091" s="186"/>
    </row>
    <row r="2092" spans="2:14" s="188" customFormat="1" ht="15" customHeight="1">
      <c r="B2092" s="187"/>
      <c r="C2092" s="187"/>
      <c r="D2092" s="187"/>
      <c r="E2092" s="187"/>
      <c r="F2092" s="187"/>
      <c r="G2092" s="187"/>
      <c r="J2092" s="186"/>
      <c r="K2092" s="180"/>
      <c r="L2092" s="180"/>
      <c r="M2092" s="186"/>
      <c r="N2092" s="186"/>
    </row>
    <row r="2093" spans="2:14" s="188" customFormat="1" ht="15" customHeight="1">
      <c r="B2093" s="187"/>
      <c r="C2093" s="187"/>
      <c r="D2093" s="187"/>
      <c r="E2093" s="187"/>
      <c r="F2093" s="187"/>
      <c r="G2093" s="187"/>
      <c r="J2093" s="186"/>
      <c r="K2093" s="180"/>
      <c r="L2093" s="180"/>
      <c r="M2093" s="186"/>
      <c r="N2093" s="186"/>
    </row>
    <row r="2094" spans="2:14" s="188" customFormat="1" ht="15" customHeight="1">
      <c r="B2094" s="187"/>
      <c r="C2094" s="187"/>
      <c r="D2094" s="187"/>
      <c r="E2094" s="187"/>
      <c r="F2094" s="187"/>
      <c r="G2094" s="187"/>
      <c r="J2094" s="186"/>
      <c r="K2094" s="180"/>
      <c r="L2094" s="180"/>
      <c r="M2094" s="186"/>
      <c r="N2094" s="186"/>
    </row>
    <row r="2095" spans="2:14" s="188" customFormat="1" ht="15" customHeight="1">
      <c r="B2095" s="187"/>
      <c r="C2095" s="187"/>
      <c r="D2095" s="187"/>
      <c r="E2095" s="187"/>
      <c r="F2095" s="187"/>
      <c r="G2095" s="187"/>
      <c r="J2095" s="186"/>
      <c r="K2095" s="180"/>
      <c r="L2095" s="180"/>
      <c r="M2095" s="186"/>
      <c r="N2095" s="186"/>
    </row>
    <row r="2096" spans="2:14" s="188" customFormat="1" ht="15" customHeight="1">
      <c r="B2096" s="187"/>
      <c r="C2096" s="187"/>
      <c r="D2096" s="187"/>
      <c r="E2096" s="187"/>
      <c r="F2096" s="187"/>
      <c r="G2096" s="187"/>
      <c r="J2096" s="186"/>
      <c r="K2096" s="180"/>
      <c r="L2096" s="180"/>
      <c r="M2096" s="186"/>
      <c r="N2096" s="186"/>
    </row>
    <row r="2097" spans="2:14" s="188" customFormat="1" ht="15" customHeight="1">
      <c r="B2097" s="187"/>
      <c r="C2097" s="187"/>
      <c r="D2097" s="187"/>
      <c r="E2097" s="187"/>
      <c r="F2097" s="187"/>
      <c r="G2097" s="187"/>
      <c r="J2097" s="186"/>
      <c r="K2097" s="180"/>
      <c r="L2097" s="180"/>
      <c r="M2097" s="186"/>
      <c r="N2097" s="186"/>
    </row>
    <row r="2098" spans="2:14" s="188" customFormat="1" ht="15" customHeight="1">
      <c r="B2098" s="187"/>
      <c r="C2098" s="187"/>
      <c r="D2098" s="187"/>
      <c r="E2098" s="187"/>
      <c r="F2098" s="187"/>
      <c r="G2098" s="187"/>
      <c r="J2098" s="186"/>
      <c r="K2098" s="180"/>
      <c r="L2098" s="180"/>
      <c r="M2098" s="186"/>
      <c r="N2098" s="186"/>
    </row>
    <row r="2099" spans="2:14" s="188" customFormat="1" ht="15" customHeight="1">
      <c r="B2099" s="187"/>
      <c r="C2099" s="187"/>
      <c r="D2099" s="187"/>
      <c r="E2099" s="187"/>
      <c r="F2099" s="187"/>
      <c r="G2099" s="187"/>
      <c r="J2099" s="186"/>
      <c r="K2099" s="180"/>
      <c r="L2099" s="180"/>
      <c r="M2099" s="186"/>
      <c r="N2099" s="186"/>
    </row>
    <row r="2100" spans="2:14" s="188" customFormat="1" ht="15" customHeight="1">
      <c r="B2100" s="187"/>
      <c r="C2100" s="187"/>
      <c r="D2100" s="187"/>
      <c r="E2100" s="187"/>
      <c r="F2100" s="187"/>
      <c r="G2100" s="187"/>
      <c r="J2100" s="186"/>
      <c r="K2100" s="180"/>
      <c r="L2100" s="180"/>
      <c r="M2100" s="186"/>
      <c r="N2100" s="186"/>
    </row>
    <row r="2101" spans="2:14" s="188" customFormat="1" ht="15" customHeight="1">
      <c r="B2101" s="187"/>
      <c r="C2101" s="187"/>
      <c r="D2101" s="187"/>
      <c r="E2101" s="187"/>
      <c r="F2101" s="187"/>
      <c r="G2101" s="187"/>
      <c r="J2101" s="186"/>
      <c r="K2101" s="180"/>
      <c r="L2101" s="180"/>
      <c r="M2101" s="186"/>
      <c r="N2101" s="186"/>
    </row>
    <row r="2102" spans="2:14" s="188" customFormat="1" ht="15" customHeight="1">
      <c r="B2102" s="187"/>
      <c r="C2102" s="187"/>
      <c r="D2102" s="187"/>
      <c r="E2102" s="187"/>
      <c r="F2102" s="187"/>
      <c r="G2102" s="187"/>
      <c r="J2102" s="186"/>
      <c r="K2102" s="180"/>
      <c r="L2102" s="180"/>
      <c r="M2102" s="186"/>
      <c r="N2102" s="186"/>
    </row>
    <row r="2103" spans="2:14" s="188" customFormat="1" ht="15" customHeight="1">
      <c r="B2103" s="187"/>
      <c r="C2103" s="187"/>
      <c r="D2103" s="187"/>
      <c r="E2103" s="187"/>
      <c r="F2103" s="187"/>
      <c r="G2103" s="187"/>
      <c r="J2103" s="186"/>
      <c r="K2103" s="180"/>
      <c r="L2103" s="180"/>
      <c r="M2103" s="186"/>
      <c r="N2103" s="186"/>
    </row>
    <row r="2104" spans="2:14" s="188" customFormat="1" ht="15" customHeight="1">
      <c r="B2104" s="187"/>
      <c r="C2104" s="187"/>
      <c r="D2104" s="187"/>
      <c r="E2104" s="187"/>
      <c r="F2104" s="187"/>
      <c r="G2104" s="187"/>
      <c r="J2104" s="186"/>
      <c r="K2104" s="180"/>
      <c r="L2104" s="180"/>
      <c r="M2104" s="186"/>
      <c r="N2104" s="186"/>
    </row>
    <row r="2105" spans="2:14" s="188" customFormat="1" ht="15" customHeight="1">
      <c r="B2105" s="187"/>
      <c r="C2105" s="187"/>
      <c r="D2105" s="187"/>
      <c r="E2105" s="187"/>
      <c r="F2105" s="187"/>
      <c r="G2105" s="187"/>
      <c r="J2105" s="186"/>
      <c r="K2105" s="180"/>
      <c r="L2105" s="180"/>
      <c r="M2105" s="186"/>
      <c r="N2105" s="186"/>
    </row>
    <row r="2106" spans="2:14" s="188" customFormat="1" ht="15" customHeight="1">
      <c r="B2106" s="187"/>
      <c r="C2106" s="187"/>
      <c r="D2106" s="187"/>
      <c r="E2106" s="187"/>
      <c r="F2106" s="187"/>
      <c r="G2106" s="187"/>
      <c r="J2106" s="186"/>
      <c r="K2106" s="180"/>
      <c r="L2106" s="180"/>
      <c r="M2106" s="186"/>
      <c r="N2106" s="186"/>
    </row>
    <row r="2107" spans="2:14" s="188" customFormat="1" ht="15" customHeight="1">
      <c r="B2107" s="187"/>
      <c r="C2107" s="187"/>
      <c r="D2107" s="187"/>
      <c r="E2107" s="187"/>
      <c r="F2107" s="187"/>
      <c r="G2107" s="187"/>
      <c r="J2107" s="186"/>
      <c r="K2107" s="180"/>
      <c r="L2107" s="180"/>
      <c r="M2107" s="186"/>
      <c r="N2107" s="186"/>
    </row>
    <row r="2108" spans="2:14" s="188" customFormat="1" ht="15" customHeight="1">
      <c r="B2108" s="187"/>
      <c r="C2108" s="187"/>
      <c r="D2108" s="187"/>
      <c r="E2108" s="187"/>
      <c r="F2108" s="187"/>
      <c r="G2108" s="187"/>
      <c r="J2108" s="186"/>
      <c r="K2108" s="180"/>
      <c r="L2108" s="180"/>
      <c r="M2108" s="186"/>
      <c r="N2108" s="186"/>
    </row>
    <row r="2109" spans="2:14" s="188" customFormat="1" ht="15" customHeight="1">
      <c r="B2109" s="187"/>
      <c r="C2109" s="187"/>
      <c r="D2109" s="187"/>
      <c r="E2109" s="187"/>
      <c r="F2109" s="187"/>
      <c r="G2109" s="187"/>
      <c r="J2109" s="186"/>
      <c r="K2109" s="180"/>
      <c r="L2109" s="180"/>
      <c r="M2109" s="186"/>
      <c r="N2109" s="186"/>
    </row>
    <row r="2110" spans="2:14" s="188" customFormat="1" ht="15" customHeight="1">
      <c r="B2110" s="187"/>
      <c r="C2110" s="187"/>
      <c r="D2110" s="187"/>
      <c r="E2110" s="187"/>
      <c r="F2110" s="187"/>
      <c r="G2110" s="187"/>
      <c r="J2110" s="186"/>
      <c r="K2110" s="180"/>
      <c r="L2110" s="180"/>
      <c r="M2110" s="186"/>
      <c r="N2110" s="186"/>
    </row>
    <row r="2111" spans="2:14" s="188" customFormat="1" ht="15" customHeight="1">
      <c r="B2111" s="187"/>
      <c r="C2111" s="187"/>
      <c r="D2111" s="187"/>
      <c r="E2111" s="187"/>
      <c r="F2111" s="187"/>
      <c r="G2111" s="187"/>
      <c r="J2111" s="186"/>
      <c r="K2111" s="180"/>
      <c r="L2111" s="180"/>
      <c r="M2111" s="186"/>
      <c r="N2111" s="186"/>
    </row>
    <row r="2112" spans="2:14" s="188" customFormat="1" ht="15" customHeight="1">
      <c r="B2112" s="187"/>
      <c r="C2112" s="187"/>
      <c r="D2112" s="187"/>
      <c r="E2112" s="187"/>
      <c r="F2112" s="187"/>
      <c r="G2112" s="187"/>
      <c r="J2112" s="186"/>
      <c r="K2112" s="180"/>
      <c r="L2112" s="180"/>
      <c r="M2112" s="186"/>
      <c r="N2112" s="186"/>
    </row>
    <row r="2113" spans="2:14" s="188" customFormat="1" ht="15" customHeight="1">
      <c r="B2113" s="187"/>
      <c r="C2113" s="187"/>
      <c r="D2113" s="187"/>
      <c r="E2113" s="187"/>
      <c r="F2113" s="187"/>
      <c r="G2113" s="187"/>
      <c r="J2113" s="186"/>
      <c r="K2113" s="180"/>
      <c r="L2113" s="180"/>
      <c r="M2113" s="186"/>
      <c r="N2113" s="186"/>
    </row>
    <row r="2114" spans="2:14" s="188" customFormat="1" ht="15" customHeight="1">
      <c r="B2114" s="187"/>
      <c r="C2114" s="187"/>
      <c r="D2114" s="187"/>
      <c r="E2114" s="187"/>
      <c r="F2114" s="187"/>
      <c r="G2114" s="187"/>
      <c r="J2114" s="186"/>
      <c r="K2114" s="180"/>
      <c r="L2114" s="180"/>
      <c r="M2114" s="186"/>
      <c r="N2114" s="186"/>
    </row>
    <row r="2115" spans="2:14" s="188" customFormat="1" ht="15" customHeight="1">
      <c r="B2115" s="187"/>
      <c r="C2115" s="187"/>
      <c r="D2115" s="187"/>
      <c r="E2115" s="187"/>
      <c r="F2115" s="187"/>
      <c r="G2115" s="187"/>
      <c r="J2115" s="186"/>
      <c r="K2115" s="180"/>
      <c r="L2115" s="180"/>
      <c r="M2115" s="186"/>
      <c r="N2115" s="186"/>
    </row>
    <row r="2116" spans="2:14" s="188" customFormat="1" ht="15" customHeight="1">
      <c r="B2116" s="187"/>
      <c r="C2116" s="187"/>
      <c r="D2116" s="187"/>
      <c r="E2116" s="187"/>
      <c r="F2116" s="187"/>
      <c r="G2116" s="187"/>
      <c r="J2116" s="186"/>
      <c r="K2116" s="180"/>
      <c r="L2116" s="180"/>
      <c r="M2116" s="186"/>
      <c r="N2116" s="186"/>
    </row>
    <row r="2117" spans="2:14" s="188" customFormat="1" ht="15" customHeight="1">
      <c r="B2117" s="187"/>
      <c r="C2117" s="187"/>
      <c r="D2117" s="187"/>
      <c r="E2117" s="187"/>
      <c r="F2117" s="187"/>
      <c r="G2117" s="187"/>
      <c r="J2117" s="186"/>
      <c r="K2117" s="180"/>
      <c r="L2117" s="180"/>
      <c r="M2117" s="186"/>
      <c r="N2117" s="186"/>
    </row>
    <row r="2118" spans="2:14" s="188" customFormat="1" ht="15" customHeight="1">
      <c r="B2118" s="187"/>
      <c r="C2118" s="187"/>
      <c r="D2118" s="187"/>
      <c r="E2118" s="187"/>
      <c r="F2118" s="187"/>
      <c r="G2118" s="187"/>
      <c r="J2118" s="186"/>
      <c r="K2118" s="180"/>
      <c r="L2118" s="180"/>
      <c r="M2118" s="186"/>
      <c r="N2118" s="186"/>
    </row>
    <row r="2119" spans="2:14" s="188" customFormat="1" ht="15" customHeight="1">
      <c r="B2119" s="187"/>
      <c r="C2119" s="187"/>
      <c r="D2119" s="187"/>
      <c r="E2119" s="187"/>
      <c r="F2119" s="187"/>
      <c r="G2119" s="187"/>
      <c r="J2119" s="186"/>
      <c r="K2119" s="180"/>
      <c r="L2119" s="180"/>
      <c r="M2119" s="186"/>
      <c r="N2119" s="186"/>
    </row>
    <row r="2120" spans="2:14" s="188" customFormat="1" ht="15" customHeight="1">
      <c r="B2120" s="187"/>
      <c r="C2120" s="187"/>
      <c r="D2120" s="187"/>
      <c r="E2120" s="187"/>
      <c r="F2120" s="187"/>
      <c r="G2120" s="187"/>
      <c r="J2120" s="186"/>
      <c r="K2120" s="180"/>
      <c r="L2120" s="180"/>
      <c r="M2120" s="186"/>
      <c r="N2120" s="186"/>
    </row>
    <row r="2121" spans="2:14" s="188" customFormat="1" ht="15" customHeight="1">
      <c r="B2121" s="187"/>
      <c r="C2121" s="187"/>
      <c r="D2121" s="187"/>
      <c r="E2121" s="187"/>
      <c r="F2121" s="187"/>
      <c r="G2121" s="187"/>
      <c r="J2121" s="186"/>
      <c r="K2121" s="180"/>
      <c r="L2121" s="180"/>
      <c r="M2121" s="186"/>
      <c r="N2121" s="186"/>
    </row>
    <row r="2122" spans="2:14" s="188" customFormat="1" ht="15" customHeight="1">
      <c r="B2122" s="187"/>
      <c r="C2122" s="187"/>
      <c r="D2122" s="187"/>
      <c r="E2122" s="187"/>
      <c r="F2122" s="187"/>
      <c r="G2122" s="187"/>
      <c r="J2122" s="186"/>
      <c r="K2122" s="180"/>
      <c r="L2122" s="180"/>
      <c r="M2122" s="186"/>
      <c r="N2122" s="186"/>
    </row>
    <row r="2123" spans="2:14" s="188" customFormat="1" ht="15" customHeight="1">
      <c r="B2123" s="187"/>
      <c r="C2123" s="187"/>
      <c r="D2123" s="187"/>
      <c r="E2123" s="187"/>
      <c r="F2123" s="187"/>
      <c r="G2123" s="187"/>
      <c r="J2123" s="186"/>
      <c r="K2123" s="180"/>
      <c r="L2123" s="180"/>
      <c r="M2123" s="186"/>
      <c r="N2123" s="186"/>
    </row>
    <row r="2124" spans="2:14" s="188" customFormat="1" ht="15" customHeight="1">
      <c r="B2124" s="187"/>
      <c r="C2124" s="187"/>
      <c r="D2124" s="187"/>
      <c r="E2124" s="187"/>
      <c r="F2124" s="187"/>
      <c r="G2124" s="187"/>
      <c r="J2124" s="186"/>
      <c r="K2124" s="180"/>
      <c r="L2124" s="180"/>
      <c r="M2124" s="186"/>
      <c r="N2124" s="186"/>
    </row>
    <row r="2125" spans="2:14" s="188" customFormat="1" ht="15" customHeight="1">
      <c r="B2125" s="187"/>
      <c r="C2125" s="187"/>
      <c r="D2125" s="187"/>
      <c r="E2125" s="187"/>
      <c r="F2125" s="187"/>
      <c r="G2125" s="187"/>
      <c r="J2125" s="186"/>
      <c r="K2125" s="180"/>
      <c r="L2125" s="180"/>
      <c r="M2125" s="186"/>
      <c r="N2125" s="186"/>
    </row>
    <row r="2126" spans="2:14" s="188" customFormat="1" ht="15" customHeight="1">
      <c r="B2126" s="187"/>
      <c r="C2126" s="187"/>
      <c r="D2126" s="187"/>
      <c r="E2126" s="187"/>
      <c r="F2126" s="187"/>
      <c r="G2126" s="187"/>
      <c r="J2126" s="186"/>
      <c r="K2126" s="180"/>
      <c r="L2126" s="180"/>
      <c r="M2126" s="186"/>
      <c r="N2126" s="186"/>
    </row>
    <row r="2127" spans="2:14" s="188" customFormat="1" ht="15" customHeight="1">
      <c r="B2127" s="187"/>
      <c r="C2127" s="187"/>
      <c r="D2127" s="187"/>
      <c r="E2127" s="187"/>
      <c r="F2127" s="187"/>
      <c r="G2127" s="187"/>
      <c r="J2127" s="186"/>
      <c r="K2127" s="180"/>
      <c r="L2127" s="180"/>
      <c r="M2127" s="186"/>
      <c r="N2127" s="186"/>
    </row>
    <row r="2128" spans="2:14" s="188" customFormat="1" ht="15" customHeight="1">
      <c r="B2128" s="187"/>
      <c r="C2128" s="187"/>
      <c r="D2128" s="187"/>
      <c r="E2128" s="187"/>
      <c r="F2128" s="187"/>
      <c r="G2128" s="187"/>
      <c r="J2128" s="186"/>
      <c r="K2128" s="180"/>
      <c r="L2128" s="180"/>
      <c r="M2128" s="186"/>
      <c r="N2128" s="186"/>
    </row>
    <row r="2129" spans="2:14" s="188" customFormat="1" ht="15" customHeight="1">
      <c r="B2129" s="187"/>
      <c r="C2129" s="187"/>
      <c r="D2129" s="187"/>
      <c r="E2129" s="187"/>
      <c r="F2129" s="187"/>
      <c r="G2129" s="187"/>
      <c r="J2129" s="186"/>
      <c r="K2129" s="180"/>
      <c r="L2129" s="180"/>
      <c r="M2129" s="186"/>
      <c r="N2129" s="186"/>
    </row>
    <row r="2130" spans="2:14" s="188" customFormat="1" ht="15" customHeight="1">
      <c r="B2130" s="187"/>
      <c r="C2130" s="187"/>
      <c r="D2130" s="187"/>
      <c r="E2130" s="187"/>
      <c r="F2130" s="187"/>
      <c r="G2130" s="187"/>
      <c r="J2130" s="186"/>
      <c r="K2130" s="180"/>
      <c r="L2130" s="180"/>
      <c r="M2130" s="186"/>
      <c r="N2130" s="186"/>
    </row>
    <row r="2131" spans="2:14" s="188" customFormat="1" ht="15" customHeight="1">
      <c r="B2131" s="187"/>
      <c r="C2131" s="187"/>
      <c r="D2131" s="187"/>
      <c r="E2131" s="187"/>
      <c r="F2131" s="187"/>
      <c r="G2131" s="187"/>
      <c r="J2131" s="186"/>
      <c r="K2131" s="180"/>
      <c r="L2131" s="180"/>
      <c r="M2131" s="186"/>
      <c r="N2131" s="186"/>
    </row>
    <row r="2132" spans="2:14" s="188" customFormat="1" ht="15" customHeight="1">
      <c r="B2132" s="187"/>
      <c r="C2132" s="187"/>
      <c r="D2132" s="187"/>
      <c r="E2132" s="187"/>
      <c r="F2132" s="187"/>
      <c r="G2132" s="187"/>
      <c r="J2132" s="186"/>
      <c r="K2132" s="180"/>
      <c r="L2132" s="180"/>
      <c r="M2132" s="186"/>
      <c r="N2132" s="186"/>
    </row>
    <row r="2133" spans="2:14" s="188" customFormat="1" ht="15" customHeight="1">
      <c r="B2133" s="187"/>
      <c r="C2133" s="187"/>
      <c r="D2133" s="187"/>
      <c r="E2133" s="187"/>
      <c r="F2133" s="187"/>
      <c r="G2133" s="187"/>
      <c r="J2133" s="186"/>
      <c r="K2133" s="180"/>
      <c r="L2133" s="180"/>
      <c r="M2133" s="186"/>
      <c r="N2133" s="186"/>
    </row>
    <row r="2134" spans="2:14" s="188" customFormat="1" ht="15" customHeight="1">
      <c r="B2134" s="187"/>
      <c r="C2134" s="187"/>
      <c r="D2134" s="187"/>
      <c r="E2134" s="187"/>
      <c r="F2134" s="187"/>
      <c r="G2134" s="187"/>
      <c r="J2134" s="186"/>
      <c r="K2134" s="180"/>
      <c r="L2134" s="180"/>
      <c r="M2134" s="186"/>
      <c r="N2134" s="186"/>
    </row>
    <row r="2135" spans="2:14" s="188" customFormat="1" ht="15" customHeight="1">
      <c r="B2135" s="187"/>
      <c r="C2135" s="187"/>
      <c r="D2135" s="187"/>
      <c r="E2135" s="187"/>
      <c r="F2135" s="187"/>
      <c r="G2135" s="187"/>
      <c r="J2135" s="186"/>
      <c r="K2135" s="180"/>
      <c r="L2135" s="180"/>
      <c r="M2135" s="186"/>
      <c r="N2135" s="186"/>
    </row>
    <row r="2136" spans="2:14" s="188" customFormat="1" ht="15" customHeight="1">
      <c r="B2136" s="187"/>
      <c r="C2136" s="187"/>
      <c r="D2136" s="187"/>
      <c r="E2136" s="187"/>
      <c r="F2136" s="187"/>
      <c r="G2136" s="187"/>
      <c r="J2136" s="186"/>
      <c r="K2136" s="180"/>
      <c r="L2136" s="180"/>
      <c r="M2136" s="186"/>
      <c r="N2136" s="186"/>
    </row>
    <row r="2137" spans="2:14" s="188" customFormat="1" ht="15" customHeight="1">
      <c r="B2137" s="187"/>
      <c r="C2137" s="187"/>
      <c r="D2137" s="187"/>
      <c r="E2137" s="187"/>
      <c r="F2137" s="187"/>
      <c r="G2137" s="187"/>
      <c r="J2137" s="186"/>
      <c r="K2137" s="180"/>
      <c r="L2137" s="180"/>
      <c r="M2137" s="186"/>
      <c r="N2137" s="186"/>
    </row>
    <row r="2138" spans="2:14" s="188" customFormat="1" ht="15" customHeight="1">
      <c r="B2138" s="187"/>
      <c r="C2138" s="187"/>
      <c r="D2138" s="187"/>
      <c r="E2138" s="187"/>
      <c r="F2138" s="187"/>
      <c r="G2138" s="187"/>
      <c r="J2138" s="186"/>
      <c r="K2138" s="180"/>
      <c r="L2138" s="180"/>
      <c r="M2138" s="186"/>
      <c r="N2138" s="186"/>
    </row>
    <row r="2139" spans="2:14" s="188" customFormat="1" ht="15" customHeight="1">
      <c r="B2139" s="187"/>
      <c r="C2139" s="187"/>
      <c r="D2139" s="187"/>
      <c r="E2139" s="187"/>
      <c r="F2139" s="187"/>
      <c r="G2139" s="187"/>
      <c r="J2139" s="186"/>
      <c r="K2139" s="180"/>
      <c r="L2139" s="180"/>
      <c r="M2139" s="186"/>
      <c r="N2139" s="186"/>
    </row>
    <row r="2140" spans="2:14" s="188" customFormat="1" ht="15" customHeight="1">
      <c r="B2140" s="187"/>
      <c r="C2140" s="187"/>
      <c r="D2140" s="187"/>
      <c r="E2140" s="187"/>
      <c r="F2140" s="187"/>
      <c r="G2140" s="187"/>
      <c r="J2140" s="186"/>
      <c r="K2140" s="180"/>
      <c r="L2140" s="180"/>
      <c r="M2140" s="186"/>
      <c r="N2140" s="186"/>
    </row>
    <row r="2141" spans="2:14" s="188" customFormat="1" ht="15" customHeight="1">
      <c r="B2141" s="187"/>
      <c r="C2141" s="187"/>
      <c r="D2141" s="187"/>
      <c r="E2141" s="187"/>
      <c r="F2141" s="187"/>
      <c r="G2141" s="187"/>
      <c r="J2141" s="186"/>
      <c r="K2141" s="180"/>
      <c r="L2141" s="180"/>
      <c r="M2141" s="186"/>
      <c r="N2141" s="186"/>
    </row>
    <row r="2142" spans="2:14" s="188" customFormat="1" ht="15" customHeight="1">
      <c r="B2142" s="187"/>
      <c r="C2142" s="187"/>
      <c r="D2142" s="187"/>
      <c r="E2142" s="187"/>
      <c r="F2142" s="187"/>
      <c r="G2142" s="187"/>
      <c r="J2142" s="186"/>
      <c r="K2142" s="180"/>
      <c r="L2142" s="180"/>
      <c r="M2142" s="186"/>
      <c r="N2142" s="186"/>
    </row>
    <row r="2143" spans="2:14" s="188" customFormat="1" ht="15" customHeight="1">
      <c r="B2143" s="187"/>
      <c r="C2143" s="187"/>
      <c r="D2143" s="187"/>
      <c r="E2143" s="187"/>
      <c r="F2143" s="187"/>
      <c r="G2143" s="187"/>
      <c r="J2143" s="186"/>
      <c r="K2143" s="180"/>
      <c r="L2143" s="180"/>
      <c r="M2143" s="186"/>
      <c r="N2143" s="186"/>
    </row>
    <row r="2144" spans="2:14" s="188" customFormat="1" ht="15" customHeight="1">
      <c r="B2144" s="187"/>
      <c r="C2144" s="187"/>
      <c r="D2144" s="187"/>
      <c r="E2144" s="187"/>
      <c r="F2144" s="187"/>
      <c r="G2144" s="187"/>
      <c r="J2144" s="186"/>
      <c r="K2144" s="180"/>
      <c r="L2144" s="180"/>
      <c r="M2144" s="186"/>
      <c r="N2144" s="186"/>
    </row>
    <row r="2145" spans="2:14" s="188" customFormat="1" ht="15" customHeight="1">
      <c r="B2145" s="187"/>
      <c r="C2145" s="187"/>
      <c r="D2145" s="187"/>
      <c r="E2145" s="187"/>
      <c r="F2145" s="187"/>
      <c r="G2145" s="187"/>
      <c r="J2145" s="186"/>
      <c r="K2145" s="180"/>
      <c r="L2145" s="180"/>
      <c r="M2145" s="186"/>
      <c r="N2145" s="186"/>
    </row>
    <row r="2146" spans="2:14" s="188" customFormat="1" ht="15" customHeight="1">
      <c r="B2146" s="187"/>
      <c r="C2146" s="187"/>
      <c r="D2146" s="187"/>
      <c r="E2146" s="187"/>
      <c r="F2146" s="187"/>
      <c r="G2146" s="187"/>
      <c r="J2146" s="186"/>
      <c r="K2146" s="180"/>
      <c r="L2146" s="180"/>
      <c r="M2146" s="186"/>
      <c r="N2146" s="186"/>
    </row>
    <row r="2147" spans="2:14" s="188" customFormat="1" ht="15" customHeight="1">
      <c r="B2147" s="187"/>
      <c r="C2147" s="187"/>
      <c r="D2147" s="187"/>
      <c r="E2147" s="187"/>
      <c r="F2147" s="187"/>
      <c r="G2147" s="187"/>
      <c r="J2147" s="186"/>
      <c r="K2147" s="180"/>
      <c r="L2147" s="180"/>
      <c r="M2147" s="186"/>
      <c r="N2147" s="186"/>
    </row>
    <row r="2148" spans="2:14" s="188" customFormat="1" ht="15" customHeight="1">
      <c r="B2148" s="187"/>
      <c r="C2148" s="187"/>
      <c r="D2148" s="187"/>
      <c r="E2148" s="187"/>
      <c r="F2148" s="187"/>
      <c r="G2148" s="187"/>
      <c r="J2148" s="186"/>
      <c r="K2148" s="180"/>
      <c r="L2148" s="180"/>
      <c r="M2148" s="186"/>
      <c r="N2148" s="186"/>
    </row>
    <row r="2149" spans="2:14" s="188" customFormat="1" ht="15" customHeight="1">
      <c r="B2149" s="187"/>
      <c r="C2149" s="187"/>
      <c r="D2149" s="187"/>
      <c r="E2149" s="187"/>
      <c r="F2149" s="187"/>
      <c r="G2149" s="187"/>
      <c r="J2149" s="186"/>
      <c r="K2149" s="180"/>
      <c r="L2149" s="180"/>
      <c r="M2149" s="186"/>
      <c r="N2149" s="186"/>
    </row>
    <row r="2150" spans="2:14" s="188" customFormat="1" ht="15" customHeight="1">
      <c r="B2150" s="187"/>
      <c r="C2150" s="187"/>
      <c r="D2150" s="187"/>
      <c r="E2150" s="187"/>
      <c r="F2150" s="187"/>
      <c r="G2150" s="187"/>
      <c r="J2150" s="186"/>
      <c r="K2150" s="180"/>
      <c r="L2150" s="180"/>
      <c r="M2150" s="186"/>
      <c r="N2150" s="186"/>
    </row>
    <row r="2151" spans="2:14" s="188" customFormat="1" ht="15" customHeight="1">
      <c r="B2151" s="187"/>
      <c r="C2151" s="187"/>
      <c r="D2151" s="187"/>
      <c r="E2151" s="187"/>
      <c r="F2151" s="187"/>
      <c r="G2151" s="187"/>
      <c r="J2151" s="186"/>
      <c r="K2151" s="180"/>
      <c r="L2151" s="180"/>
      <c r="M2151" s="186"/>
      <c r="N2151" s="186"/>
    </row>
    <row r="2152" spans="2:14" s="188" customFormat="1" ht="15" customHeight="1">
      <c r="B2152" s="187"/>
      <c r="C2152" s="187"/>
      <c r="D2152" s="187"/>
      <c r="E2152" s="187"/>
      <c r="F2152" s="187"/>
      <c r="G2152" s="187"/>
      <c r="J2152" s="186"/>
      <c r="K2152" s="180"/>
      <c r="L2152" s="180"/>
      <c r="M2152" s="186"/>
      <c r="N2152" s="186"/>
    </row>
    <row r="2153" spans="2:14" s="188" customFormat="1" ht="15" customHeight="1">
      <c r="B2153" s="187"/>
      <c r="C2153" s="187"/>
      <c r="D2153" s="187"/>
      <c r="E2153" s="187"/>
      <c r="F2153" s="187"/>
      <c r="G2153" s="187"/>
      <c r="J2153" s="186"/>
      <c r="K2153" s="180"/>
      <c r="L2153" s="180"/>
      <c r="M2153" s="186"/>
      <c r="N2153" s="186"/>
    </row>
    <row r="2154" spans="2:14" s="188" customFormat="1" ht="15" customHeight="1">
      <c r="B2154" s="187"/>
      <c r="C2154" s="187"/>
      <c r="D2154" s="187"/>
      <c r="E2154" s="187"/>
      <c r="F2154" s="187"/>
      <c r="G2154" s="187"/>
      <c r="J2154" s="186"/>
      <c r="K2154" s="180"/>
      <c r="L2154" s="180"/>
      <c r="M2154" s="186"/>
      <c r="N2154" s="186"/>
    </row>
    <row r="2155" spans="2:14" s="188" customFormat="1" ht="15" customHeight="1">
      <c r="B2155" s="187"/>
      <c r="C2155" s="187"/>
      <c r="D2155" s="187"/>
      <c r="E2155" s="187"/>
      <c r="F2155" s="187"/>
      <c r="G2155" s="187"/>
      <c r="J2155" s="186"/>
      <c r="K2155" s="180"/>
      <c r="L2155" s="180"/>
      <c r="M2155" s="186"/>
      <c r="N2155" s="186"/>
    </row>
    <row r="2156" spans="2:14" s="188" customFormat="1" ht="15" customHeight="1">
      <c r="B2156" s="187"/>
      <c r="C2156" s="187"/>
      <c r="D2156" s="187"/>
      <c r="E2156" s="187"/>
      <c r="F2156" s="187"/>
      <c r="G2156" s="187"/>
      <c r="J2156" s="186"/>
      <c r="K2156" s="180"/>
      <c r="L2156" s="180"/>
      <c r="M2156" s="186"/>
      <c r="N2156" s="186"/>
    </row>
    <row r="2157" spans="2:14" s="188" customFormat="1" ht="15" customHeight="1">
      <c r="B2157" s="187"/>
      <c r="C2157" s="187"/>
      <c r="D2157" s="187"/>
      <c r="E2157" s="187"/>
      <c r="F2157" s="187"/>
      <c r="G2157" s="187"/>
      <c r="J2157" s="186"/>
      <c r="K2157" s="180"/>
      <c r="L2157" s="180"/>
      <c r="M2157" s="186"/>
      <c r="N2157" s="186"/>
    </row>
    <row r="2158" spans="2:14" s="188" customFormat="1" ht="15" customHeight="1">
      <c r="B2158" s="187"/>
      <c r="C2158" s="187"/>
      <c r="D2158" s="187"/>
      <c r="E2158" s="187"/>
      <c r="F2158" s="187"/>
      <c r="G2158" s="187"/>
      <c r="J2158" s="186"/>
      <c r="K2158" s="180"/>
      <c r="L2158" s="180"/>
      <c r="M2158" s="186"/>
      <c r="N2158" s="186"/>
    </row>
    <row r="2159" spans="2:14" s="188" customFormat="1" ht="15" customHeight="1">
      <c r="B2159" s="187"/>
      <c r="C2159" s="187"/>
      <c r="D2159" s="187"/>
      <c r="E2159" s="187"/>
      <c r="F2159" s="187"/>
      <c r="G2159" s="187"/>
      <c r="J2159" s="186"/>
      <c r="K2159" s="180"/>
      <c r="L2159" s="180"/>
      <c r="M2159" s="186"/>
      <c r="N2159" s="186"/>
    </row>
    <row r="2160" spans="2:14" s="188" customFormat="1" ht="15" customHeight="1">
      <c r="B2160" s="187"/>
      <c r="C2160" s="187"/>
      <c r="D2160" s="187"/>
      <c r="E2160" s="187"/>
      <c r="F2160" s="187"/>
      <c r="G2160" s="187"/>
      <c r="J2160" s="186"/>
      <c r="K2160" s="180"/>
      <c r="L2160" s="180"/>
      <c r="M2160" s="186"/>
      <c r="N2160" s="186"/>
    </row>
    <row r="2161" spans="2:14" s="188" customFormat="1" ht="15" customHeight="1">
      <c r="B2161" s="187"/>
      <c r="C2161" s="187"/>
      <c r="D2161" s="187"/>
      <c r="E2161" s="187"/>
      <c r="F2161" s="187"/>
      <c r="G2161" s="187"/>
      <c r="J2161" s="186"/>
      <c r="K2161" s="180"/>
      <c r="L2161" s="180"/>
      <c r="M2161" s="186"/>
      <c r="N2161" s="186"/>
    </row>
    <row r="2162" spans="2:14" s="188" customFormat="1" ht="15" customHeight="1">
      <c r="B2162" s="187"/>
      <c r="C2162" s="187"/>
      <c r="D2162" s="187"/>
      <c r="E2162" s="187"/>
      <c r="F2162" s="187"/>
      <c r="G2162" s="187"/>
      <c r="J2162" s="186"/>
      <c r="K2162" s="180"/>
      <c r="L2162" s="180"/>
      <c r="M2162" s="186"/>
      <c r="N2162" s="186"/>
    </row>
    <row r="2163" spans="2:14" s="188" customFormat="1" ht="15" customHeight="1">
      <c r="B2163" s="187"/>
      <c r="C2163" s="187"/>
      <c r="D2163" s="187"/>
      <c r="E2163" s="187"/>
      <c r="F2163" s="187"/>
      <c r="G2163" s="187"/>
      <c r="J2163" s="186"/>
      <c r="K2163" s="180"/>
      <c r="L2163" s="180"/>
      <c r="M2163" s="186"/>
      <c r="N2163" s="186"/>
    </row>
    <row r="2164" spans="2:14" s="188" customFormat="1" ht="15" customHeight="1">
      <c r="B2164" s="187"/>
      <c r="C2164" s="187"/>
      <c r="D2164" s="187"/>
      <c r="E2164" s="187"/>
      <c r="F2164" s="187"/>
      <c r="G2164" s="187"/>
      <c r="J2164" s="186"/>
      <c r="K2164" s="180"/>
      <c r="L2164" s="180"/>
      <c r="M2164" s="186"/>
      <c r="N2164" s="186"/>
    </row>
    <row r="2165" spans="2:14" s="188" customFormat="1" ht="15" customHeight="1">
      <c r="B2165" s="187"/>
      <c r="C2165" s="187"/>
      <c r="D2165" s="187"/>
      <c r="E2165" s="187"/>
      <c r="F2165" s="187"/>
      <c r="G2165" s="187"/>
      <c r="J2165" s="186"/>
      <c r="K2165" s="180"/>
      <c r="L2165" s="180"/>
      <c r="M2165" s="186"/>
      <c r="N2165" s="186"/>
    </row>
    <row r="2166" spans="2:14" s="188" customFormat="1" ht="15" customHeight="1">
      <c r="B2166" s="187"/>
      <c r="C2166" s="187"/>
      <c r="D2166" s="187"/>
      <c r="E2166" s="187"/>
      <c r="F2166" s="187"/>
      <c r="G2166" s="187"/>
      <c r="J2166" s="186"/>
      <c r="K2166" s="180"/>
      <c r="L2166" s="180"/>
      <c r="M2166" s="186"/>
      <c r="N2166" s="186"/>
    </row>
    <row r="2167" spans="2:14" s="188" customFormat="1" ht="15" customHeight="1">
      <c r="B2167" s="187"/>
      <c r="C2167" s="187"/>
      <c r="D2167" s="187"/>
      <c r="E2167" s="187"/>
      <c r="F2167" s="187"/>
      <c r="G2167" s="187"/>
      <c r="J2167" s="186"/>
      <c r="K2167" s="180"/>
      <c r="L2167" s="180"/>
      <c r="M2167" s="186"/>
      <c r="N2167" s="186"/>
    </row>
    <row r="2168" spans="2:14" s="188" customFormat="1" ht="15" customHeight="1">
      <c r="B2168" s="187"/>
      <c r="C2168" s="187"/>
      <c r="D2168" s="187"/>
      <c r="E2168" s="187"/>
      <c r="F2168" s="187"/>
      <c r="G2168" s="187"/>
      <c r="J2168" s="186"/>
      <c r="K2168" s="180"/>
      <c r="L2168" s="180"/>
      <c r="M2168" s="186"/>
      <c r="N2168" s="186"/>
    </row>
    <row r="2169" spans="2:14" s="188" customFormat="1" ht="15" customHeight="1">
      <c r="B2169" s="187"/>
      <c r="C2169" s="187"/>
      <c r="D2169" s="187"/>
      <c r="E2169" s="187"/>
      <c r="F2169" s="187"/>
      <c r="G2169" s="187"/>
      <c r="J2169" s="186"/>
      <c r="K2169" s="180"/>
      <c r="L2169" s="180"/>
      <c r="M2169" s="186"/>
      <c r="N2169" s="186"/>
    </row>
    <row r="2170" spans="2:14" s="188" customFormat="1" ht="15" customHeight="1">
      <c r="B2170" s="187"/>
      <c r="C2170" s="187"/>
      <c r="D2170" s="187"/>
      <c r="E2170" s="187"/>
      <c r="F2170" s="187"/>
      <c r="G2170" s="187"/>
      <c r="J2170" s="186"/>
      <c r="K2170" s="180"/>
      <c r="L2170" s="180"/>
      <c r="M2170" s="186"/>
      <c r="N2170" s="186"/>
    </row>
    <row r="2171" spans="2:14" s="188" customFormat="1" ht="15" customHeight="1">
      <c r="B2171" s="187"/>
      <c r="C2171" s="187"/>
      <c r="D2171" s="187"/>
      <c r="E2171" s="187"/>
      <c r="F2171" s="187"/>
      <c r="G2171" s="187"/>
      <c r="J2171" s="186"/>
      <c r="K2171" s="180"/>
      <c r="L2171" s="180"/>
      <c r="M2171" s="186"/>
      <c r="N2171" s="186"/>
    </row>
    <row r="2172" spans="2:14" s="188" customFormat="1" ht="15" customHeight="1">
      <c r="B2172" s="187"/>
      <c r="C2172" s="187"/>
      <c r="D2172" s="187"/>
      <c r="E2172" s="187"/>
      <c r="F2172" s="187"/>
      <c r="G2172" s="187"/>
      <c r="J2172" s="186"/>
      <c r="K2172" s="180"/>
      <c r="L2172" s="180"/>
      <c r="M2172" s="186"/>
      <c r="N2172" s="186"/>
    </row>
    <row r="2173" spans="2:14" s="188" customFormat="1" ht="15" customHeight="1">
      <c r="B2173" s="187"/>
      <c r="C2173" s="187"/>
      <c r="D2173" s="187"/>
      <c r="E2173" s="187"/>
      <c r="F2173" s="187"/>
      <c r="G2173" s="187"/>
      <c r="J2173" s="186"/>
      <c r="K2173" s="180"/>
      <c r="L2173" s="180"/>
      <c r="M2173" s="186"/>
      <c r="N2173" s="186"/>
    </row>
    <row r="2174" spans="2:14" s="188" customFormat="1" ht="15" customHeight="1">
      <c r="B2174" s="187"/>
      <c r="C2174" s="187"/>
      <c r="D2174" s="187"/>
      <c r="E2174" s="187"/>
      <c r="F2174" s="187"/>
      <c r="G2174" s="187"/>
      <c r="J2174" s="186"/>
      <c r="K2174" s="180"/>
      <c r="L2174" s="180"/>
      <c r="M2174" s="186"/>
      <c r="N2174" s="186"/>
    </row>
    <row r="2175" spans="2:14" s="188" customFormat="1" ht="15" customHeight="1">
      <c r="B2175" s="187"/>
      <c r="C2175" s="187"/>
      <c r="D2175" s="187"/>
      <c r="E2175" s="187"/>
      <c r="F2175" s="187"/>
      <c r="G2175" s="187"/>
      <c r="J2175" s="186"/>
      <c r="K2175" s="180"/>
      <c r="L2175" s="180"/>
      <c r="M2175" s="186"/>
      <c r="N2175" s="186"/>
    </row>
    <row r="2176" spans="2:14" s="188" customFormat="1" ht="15" customHeight="1">
      <c r="B2176" s="187"/>
      <c r="C2176" s="187"/>
      <c r="D2176" s="187"/>
      <c r="E2176" s="187"/>
      <c r="F2176" s="187"/>
      <c r="G2176" s="187"/>
      <c r="J2176" s="186"/>
      <c r="K2176" s="180"/>
      <c r="L2176" s="180"/>
      <c r="M2176" s="186"/>
      <c r="N2176" s="186"/>
    </row>
    <row r="2177" spans="2:14" s="188" customFormat="1" ht="15" customHeight="1">
      <c r="B2177" s="187"/>
      <c r="C2177" s="187"/>
      <c r="D2177" s="187"/>
      <c r="E2177" s="187"/>
      <c r="F2177" s="187"/>
      <c r="G2177" s="187"/>
      <c r="J2177" s="186"/>
      <c r="K2177" s="180"/>
      <c r="L2177" s="180"/>
      <c r="M2177" s="186"/>
      <c r="N2177" s="186"/>
    </row>
    <row r="2178" spans="2:14" s="188" customFormat="1" ht="15" customHeight="1">
      <c r="B2178" s="187"/>
      <c r="C2178" s="187"/>
      <c r="D2178" s="187"/>
      <c r="E2178" s="187"/>
      <c r="F2178" s="187"/>
      <c r="G2178" s="187"/>
      <c r="J2178" s="186"/>
      <c r="K2178" s="180"/>
      <c r="L2178" s="180"/>
      <c r="M2178" s="186"/>
      <c r="N2178" s="186"/>
    </row>
    <row r="2179" spans="2:14" s="188" customFormat="1" ht="15" customHeight="1">
      <c r="B2179" s="187"/>
      <c r="C2179" s="187"/>
      <c r="D2179" s="187"/>
      <c r="E2179" s="187"/>
      <c r="F2179" s="187"/>
      <c r="G2179" s="187"/>
      <c r="J2179" s="186"/>
      <c r="K2179" s="180"/>
      <c r="L2179" s="180"/>
      <c r="M2179" s="186"/>
      <c r="N2179" s="186"/>
    </row>
    <row r="2180" spans="2:14" s="188" customFormat="1" ht="15" customHeight="1">
      <c r="B2180" s="187"/>
      <c r="C2180" s="187"/>
      <c r="D2180" s="187"/>
      <c r="E2180" s="187"/>
      <c r="F2180" s="187"/>
      <c r="G2180" s="187"/>
      <c r="J2180" s="186"/>
      <c r="K2180" s="180"/>
      <c r="L2180" s="180"/>
      <c r="M2180" s="186"/>
      <c r="N2180" s="186"/>
    </row>
    <row r="2181" spans="2:14" s="188" customFormat="1" ht="15" customHeight="1">
      <c r="B2181" s="187"/>
      <c r="C2181" s="187"/>
      <c r="D2181" s="187"/>
      <c r="E2181" s="187"/>
      <c r="F2181" s="187"/>
      <c r="G2181" s="187"/>
      <c r="J2181" s="186"/>
      <c r="K2181" s="180"/>
      <c r="L2181" s="180"/>
      <c r="M2181" s="186"/>
      <c r="N2181" s="186"/>
    </row>
    <row r="2182" spans="2:14" s="188" customFormat="1" ht="15" customHeight="1">
      <c r="B2182" s="187"/>
      <c r="C2182" s="187"/>
      <c r="D2182" s="187"/>
      <c r="E2182" s="187"/>
      <c r="F2182" s="187"/>
      <c r="G2182" s="187"/>
      <c r="J2182" s="186"/>
      <c r="K2182" s="180"/>
      <c r="L2182" s="180"/>
      <c r="M2182" s="186"/>
      <c r="N2182" s="186"/>
    </row>
    <row r="2183" spans="2:14" s="188" customFormat="1" ht="15" customHeight="1">
      <c r="B2183" s="187"/>
      <c r="C2183" s="187"/>
      <c r="D2183" s="187"/>
      <c r="E2183" s="187"/>
      <c r="F2183" s="187"/>
      <c r="G2183" s="187"/>
      <c r="J2183" s="186"/>
      <c r="K2183" s="180"/>
      <c r="L2183" s="180"/>
      <c r="M2183" s="186"/>
      <c r="N2183" s="186"/>
    </row>
    <row r="2184" spans="2:14" s="188" customFormat="1" ht="15" customHeight="1">
      <c r="B2184" s="187"/>
      <c r="C2184" s="187"/>
      <c r="D2184" s="187"/>
      <c r="E2184" s="187"/>
      <c r="F2184" s="187"/>
      <c r="G2184" s="187"/>
      <c r="J2184" s="186"/>
      <c r="K2184" s="180"/>
      <c r="L2184" s="180"/>
      <c r="M2184" s="186"/>
      <c r="N2184" s="186"/>
    </row>
    <row r="2185" spans="2:14" s="188" customFormat="1" ht="15" customHeight="1">
      <c r="B2185" s="187"/>
      <c r="C2185" s="187"/>
      <c r="D2185" s="187"/>
      <c r="E2185" s="187"/>
      <c r="F2185" s="187"/>
      <c r="G2185" s="187"/>
      <c r="J2185" s="186"/>
      <c r="K2185" s="180"/>
      <c r="L2185" s="180"/>
      <c r="M2185" s="186"/>
      <c r="N2185" s="186"/>
    </row>
    <row r="2186" spans="2:14" s="188" customFormat="1" ht="15" customHeight="1">
      <c r="B2186" s="187"/>
      <c r="C2186" s="187"/>
      <c r="D2186" s="187"/>
      <c r="E2186" s="187"/>
      <c r="F2186" s="187"/>
      <c r="G2186" s="187"/>
      <c r="J2186" s="186"/>
      <c r="K2186" s="180"/>
      <c r="L2186" s="180"/>
      <c r="M2186" s="186"/>
      <c r="N2186" s="186"/>
    </row>
    <row r="2187" spans="2:14" s="188" customFormat="1" ht="15" customHeight="1">
      <c r="B2187" s="187"/>
      <c r="C2187" s="187"/>
      <c r="D2187" s="187"/>
      <c r="E2187" s="187"/>
      <c r="F2187" s="187"/>
      <c r="G2187" s="187"/>
      <c r="J2187" s="186"/>
      <c r="K2187" s="180"/>
      <c r="L2187" s="180"/>
      <c r="M2187" s="186"/>
      <c r="N2187" s="186"/>
    </row>
    <row r="2188" spans="2:14" s="188" customFormat="1" ht="15" customHeight="1">
      <c r="B2188" s="187"/>
      <c r="C2188" s="187"/>
      <c r="D2188" s="187"/>
      <c r="E2188" s="187"/>
      <c r="F2188" s="187"/>
      <c r="G2188" s="187"/>
      <c r="J2188" s="186"/>
      <c r="K2188" s="180"/>
      <c r="L2188" s="180"/>
      <c r="M2188" s="186"/>
      <c r="N2188" s="186"/>
    </row>
    <row r="2189" spans="2:14" s="188" customFormat="1" ht="15" customHeight="1">
      <c r="B2189" s="187"/>
      <c r="C2189" s="187"/>
      <c r="D2189" s="187"/>
      <c r="E2189" s="187"/>
      <c r="F2189" s="187"/>
      <c r="G2189" s="187"/>
      <c r="J2189" s="186"/>
      <c r="K2189" s="180"/>
      <c r="L2189" s="180"/>
      <c r="M2189" s="186"/>
      <c r="N2189" s="186"/>
    </row>
    <row r="2190" spans="2:14" s="188" customFormat="1" ht="15" customHeight="1">
      <c r="B2190" s="187"/>
      <c r="C2190" s="187"/>
      <c r="D2190" s="187"/>
      <c r="E2190" s="187"/>
      <c r="F2190" s="187"/>
      <c r="G2190" s="187"/>
      <c r="J2190" s="186"/>
      <c r="K2190" s="180"/>
      <c r="L2190" s="180"/>
      <c r="M2190" s="186"/>
      <c r="N2190" s="186"/>
    </row>
    <row r="2191" spans="2:14" s="188" customFormat="1" ht="15" customHeight="1">
      <c r="B2191" s="187"/>
      <c r="C2191" s="187"/>
      <c r="D2191" s="187"/>
      <c r="E2191" s="187"/>
      <c r="F2191" s="187"/>
      <c r="G2191" s="187"/>
      <c r="J2191" s="186"/>
      <c r="K2191" s="180"/>
      <c r="L2191" s="180"/>
      <c r="M2191" s="186"/>
      <c r="N2191" s="186"/>
    </row>
    <row r="2192" spans="2:14" s="188" customFormat="1" ht="15" customHeight="1">
      <c r="B2192" s="187"/>
      <c r="C2192" s="187"/>
      <c r="D2192" s="187"/>
      <c r="E2192" s="187"/>
      <c r="F2192" s="187"/>
      <c r="G2192" s="187"/>
      <c r="J2192" s="186"/>
      <c r="K2192" s="180"/>
      <c r="L2192" s="180"/>
      <c r="M2192" s="186"/>
      <c r="N2192" s="186"/>
    </row>
    <row r="2193" spans="2:14" s="188" customFormat="1" ht="15" customHeight="1">
      <c r="B2193" s="187"/>
      <c r="C2193" s="187"/>
      <c r="D2193" s="187"/>
      <c r="E2193" s="187"/>
      <c r="F2193" s="187"/>
      <c r="G2193" s="187"/>
      <c r="J2193" s="186"/>
      <c r="K2193" s="180"/>
      <c r="L2193" s="180"/>
      <c r="M2193" s="186"/>
      <c r="N2193" s="186"/>
    </row>
    <row r="2194" spans="2:14" s="188" customFormat="1" ht="15" customHeight="1">
      <c r="B2194" s="187"/>
      <c r="C2194" s="187"/>
      <c r="D2194" s="187"/>
      <c r="E2194" s="187"/>
      <c r="F2194" s="187"/>
      <c r="G2194" s="187"/>
      <c r="J2194" s="186"/>
      <c r="K2194" s="180"/>
      <c r="L2194" s="180"/>
      <c r="M2194" s="186"/>
      <c r="N2194" s="186"/>
    </row>
    <row r="2195" spans="2:14" s="188" customFormat="1" ht="15" customHeight="1">
      <c r="B2195" s="187"/>
      <c r="C2195" s="187"/>
      <c r="D2195" s="187"/>
      <c r="E2195" s="187"/>
      <c r="F2195" s="187"/>
      <c r="G2195" s="187"/>
      <c r="J2195" s="186"/>
      <c r="K2195" s="180"/>
      <c r="L2195" s="180"/>
      <c r="M2195" s="186"/>
      <c r="N2195" s="186"/>
    </row>
    <row r="2196" spans="2:14" s="188" customFormat="1" ht="15" customHeight="1">
      <c r="B2196" s="187"/>
      <c r="C2196" s="187"/>
      <c r="D2196" s="187"/>
      <c r="E2196" s="187"/>
      <c r="F2196" s="187"/>
      <c r="G2196" s="187"/>
      <c r="J2196" s="186"/>
      <c r="K2196" s="180"/>
      <c r="L2196" s="180"/>
      <c r="M2196" s="186"/>
      <c r="N2196" s="186"/>
    </row>
    <row r="2197" spans="2:14" s="188" customFormat="1" ht="15" customHeight="1">
      <c r="B2197" s="187"/>
      <c r="C2197" s="187"/>
      <c r="D2197" s="187"/>
      <c r="E2197" s="187"/>
      <c r="F2197" s="187"/>
      <c r="G2197" s="187"/>
      <c r="J2197" s="186"/>
      <c r="K2197" s="180"/>
      <c r="L2197" s="180"/>
      <c r="M2197" s="186"/>
      <c r="N2197" s="186"/>
    </row>
    <row r="2198" spans="2:14" s="188" customFormat="1" ht="15" customHeight="1">
      <c r="B2198" s="187"/>
      <c r="C2198" s="187"/>
      <c r="D2198" s="187"/>
      <c r="E2198" s="187"/>
      <c r="F2198" s="187"/>
      <c r="G2198" s="187"/>
      <c r="J2198" s="186"/>
      <c r="K2198" s="180"/>
      <c r="L2198" s="180"/>
      <c r="M2198" s="186"/>
      <c r="N2198" s="186"/>
    </row>
    <row r="2199" spans="2:14" s="188" customFormat="1" ht="15" customHeight="1">
      <c r="B2199" s="187"/>
      <c r="C2199" s="187"/>
      <c r="D2199" s="187"/>
      <c r="E2199" s="187"/>
      <c r="F2199" s="187"/>
      <c r="G2199" s="187"/>
      <c r="J2199" s="186"/>
      <c r="K2199" s="180"/>
      <c r="L2199" s="180"/>
      <c r="M2199" s="186"/>
      <c r="N2199" s="186"/>
    </row>
    <row r="2200" spans="2:14" s="188" customFormat="1" ht="15" customHeight="1">
      <c r="B2200" s="187"/>
      <c r="C2200" s="187"/>
      <c r="D2200" s="187"/>
      <c r="E2200" s="187"/>
      <c r="F2200" s="187"/>
      <c r="G2200" s="187"/>
      <c r="J2200" s="186"/>
      <c r="K2200" s="180"/>
      <c r="L2200" s="180"/>
      <c r="M2200" s="186"/>
      <c r="N2200" s="186"/>
    </row>
    <row r="2201" spans="2:14" s="188" customFormat="1" ht="15" customHeight="1">
      <c r="B2201" s="187"/>
      <c r="C2201" s="187"/>
      <c r="D2201" s="187"/>
      <c r="E2201" s="187"/>
      <c r="F2201" s="187"/>
      <c r="G2201" s="187"/>
      <c r="J2201" s="186"/>
      <c r="K2201" s="180"/>
      <c r="L2201" s="180"/>
      <c r="M2201" s="186"/>
      <c r="N2201" s="186"/>
    </row>
    <row r="2202" spans="2:14" s="188" customFormat="1" ht="15" customHeight="1">
      <c r="B2202" s="187"/>
      <c r="C2202" s="187"/>
      <c r="D2202" s="187"/>
      <c r="E2202" s="187"/>
      <c r="F2202" s="187"/>
      <c r="G2202" s="187"/>
      <c r="J2202" s="186"/>
      <c r="K2202" s="180"/>
      <c r="L2202" s="180"/>
      <c r="M2202" s="186"/>
      <c r="N2202" s="186"/>
    </row>
    <row r="2203" spans="2:14" s="188" customFormat="1" ht="15" customHeight="1">
      <c r="B2203" s="187"/>
      <c r="C2203" s="187"/>
      <c r="D2203" s="187"/>
      <c r="E2203" s="187"/>
      <c r="F2203" s="187"/>
      <c r="G2203" s="187"/>
      <c r="J2203" s="186"/>
      <c r="K2203" s="180"/>
      <c r="L2203" s="180"/>
      <c r="M2203" s="186"/>
      <c r="N2203" s="186"/>
    </row>
    <row r="2204" spans="2:14" s="188" customFormat="1" ht="15" customHeight="1">
      <c r="B2204" s="187"/>
      <c r="C2204" s="187"/>
      <c r="D2204" s="187"/>
      <c r="E2204" s="187"/>
      <c r="F2204" s="187"/>
      <c r="G2204" s="187"/>
      <c r="J2204" s="186"/>
      <c r="K2204" s="180"/>
      <c r="L2204" s="180"/>
      <c r="M2204" s="186"/>
      <c r="N2204" s="186"/>
    </row>
    <row r="2205" spans="2:14" s="188" customFormat="1" ht="15" customHeight="1">
      <c r="B2205" s="187"/>
      <c r="C2205" s="187"/>
      <c r="D2205" s="187"/>
      <c r="E2205" s="187"/>
      <c r="F2205" s="187"/>
      <c r="G2205" s="187"/>
      <c r="J2205" s="186"/>
      <c r="K2205" s="180"/>
      <c r="L2205" s="180"/>
      <c r="M2205" s="186"/>
      <c r="N2205" s="186"/>
    </row>
    <row r="2206" spans="2:14" s="188" customFormat="1" ht="15" customHeight="1">
      <c r="B2206" s="187"/>
      <c r="C2206" s="187"/>
      <c r="D2206" s="187"/>
      <c r="E2206" s="187"/>
      <c r="F2206" s="187"/>
      <c r="G2206" s="187"/>
      <c r="J2206" s="186"/>
      <c r="K2206" s="180"/>
      <c r="L2206" s="180"/>
      <c r="M2206" s="186"/>
      <c r="N2206" s="186"/>
    </row>
    <row r="2207" spans="2:14" s="188" customFormat="1" ht="15" customHeight="1">
      <c r="B2207" s="187"/>
      <c r="C2207" s="187"/>
      <c r="D2207" s="187"/>
      <c r="E2207" s="187"/>
      <c r="F2207" s="187"/>
      <c r="G2207" s="187"/>
      <c r="J2207" s="186"/>
      <c r="K2207" s="180"/>
      <c r="L2207" s="180"/>
      <c r="M2207" s="186"/>
      <c r="N2207" s="186"/>
    </row>
    <row r="2208" spans="2:14" s="188" customFormat="1" ht="15" customHeight="1">
      <c r="B2208" s="187"/>
      <c r="C2208" s="187"/>
      <c r="D2208" s="187"/>
      <c r="E2208" s="187"/>
      <c r="F2208" s="187"/>
      <c r="G2208" s="187"/>
      <c r="J2208" s="186"/>
      <c r="K2208" s="180"/>
      <c r="L2208" s="180"/>
      <c r="M2208" s="186"/>
      <c r="N2208" s="186"/>
    </row>
    <row r="2209" spans="2:14" s="188" customFormat="1" ht="15" customHeight="1">
      <c r="B2209" s="187"/>
      <c r="C2209" s="187"/>
      <c r="D2209" s="187"/>
      <c r="E2209" s="187"/>
      <c r="F2209" s="187"/>
      <c r="G2209" s="187"/>
      <c r="J2209" s="186"/>
      <c r="K2209" s="180"/>
      <c r="L2209" s="180"/>
      <c r="M2209" s="186"/>
      <c r="N2209" s="186"/>
    </row>
    <row r="2210" spans="2:14" s="188" customFormat="1" ht="15" customHeight="1">
      <c r="B2210" s="187"/>
      <c r="C2210" s="187"/>
      <c r="D2210" s="187"/>
      <c r="E2210" s="187"/>
      <c r="F2210" s="187"/>
      <c r="G2210" s="187"/>
      <c r="J2210" s="186"/>
      <c r="K2210" s="180"/>
      <c r="L2210" s="180"/>
      <c r="M2210" s="186"/>
      <c r="N2210" s="186"/>
    </row>
    <row r="2211" spans="2:14" s="188" customFormat="1" ht="15" customHeight="1">
      <c r="B2211" s="187"/>
      <c r="C2211" s="187"/>
      <c r="D2211" s="187"/>
      <c r="E2211" s="187"/>
      <c r="F2211" s="187"/>
      <c r="G2211" s="187"/>
      <c r="J2211" s="186"/>
      <c r="K2211" s="180"/>
      <c r="L2211" s="180"/>
      <c r="M2211" s="186"/>
      <c r="N2211" s="186"/>
    </row>
    <row r="2212" spans="2:14" s="188" customFormat="1" ht="15" customHeight="1">
      <c r="B2212" s="187"/>
      <c r="C2212" s="187"/>
      <c r="D2212" s="187"/>
      <c r="E2212" s="187"/>
      <c r="F2212" s="187"/>
      <c r="G2212" s="187"/>
      <c r="J2212" s="186"/>
      <c r="K2212" s="180"/>
      <c r="L2212" s="180"/>
      <c r="M2212" s="186"/>
      <c r="N2212" s="186"/>
    </row>
    <row r="2213" spans="2:14" s="188" customFormat="1" ht="15" customHeight="1">
      <c r="B2213" s="187"/>
      <c r="C2213" s="187"/>
      <c r="D2213" s="187"/>
      <c r="E2213" s="187"/>
      <c r="F2213" s="187"/>
      <c r="G2213" s="187"/>
      <c r="J2213" s="186"/>
      <c r="K2213" s="180"/>
      <c r="L2213" s="180"/>
      <c r="M2213" s="186"/>
      <c r="N2213" s="186"/>
    </row>
    <row r="2214" spans="2:14" s="188" customFormat="1" ht="15" customHeight="1">
      <c r="B2214" s="187"/>
      <c r="C2214" s="187"/>
      <c r="D2214" s="187"/>
      <c r="E2214" s="187"/>
      <c r="F2214" s="187"/>
      <c r="G2214" s="187"/>
      <c r="J2214" s="186"/>
      <c r="K2214" s="180"/>
      <c r="L2214" s="180"/>
      <c r="M2214" s="186"/>
      <c r="N2214" s="186"/>
    </row>
    <row r="2215" spans="2:14" s="188" customFormat="1" ht="15" customHeight="1">
      <c r="B2215" s="187"/>
      <c r="C2215" s="187"/>
      <c r="D2215" s="187"/>
      <c r="E2215" s="187"/>
      <c r="F2215" s="187"/>
      <c r="G2215" s="187"/>
      <c r="J2215" s="186"/>
      <c r="K2215" s="180"/>
      <c r="L2215" s="180"/>
      <c r="M2215" s="186"/>
      <c r="N2215" s="186"/>
    </row>
    <row r="2216" spans="2:14" s="188" customFormat="1" ht="15" customHeight="1">
      <c r="B2216" s="187"/>
      <c r="C2216" s="187"/>
      <c r="D2216" s="187"/>
      <c r="E2216" s="187"/>
      <c r="F2216" s="187"/>
      <c r="G2216" s="187"/>
      <c r="J2216" s="186"/>
      <c r="K2216" s="180"/>
      <c r="L2216" s="180"/>
      <c r="M2216" s="186"/>
      <c r="N2216" s="186"/>
    </row>
    <row r="2217" spans="2:14" s="188" customFormat="1" ht="15" customHeight="1">
      <c r="B2217" s="187"/>
      <c r="C2217" s="187"/>
      <c r="D2217" s="187"/>
      <c r="E2217" s="187"/>
      <c r="F2217" s="187"/>
      <c r="G2217" s="187"/>
      <c r="J2217" s="186"/>
      <c r="K2217" s="180"/>
      <c r="L2217" s="180"/>
      <c r="M2217" s="186"/>
      <c r="N2217" s="186"/>
    </row>
    <row r="2218" spans="2:14" s="188" customFormat="1" ht="15" customHeight="1">
      <c r="B2218" s="187"/>
      <c r="C2218" s="187"/>
      <c r="D2218" s="187"/>
      <c r="E2218" s="187"/>
      <c r="F2218" s="187"/>
      <c r="G2218" s="187"/>
      <c r="J2218" s="186"/>
      <c r="K2218" s="180"/>
      <c r="L2218" s="180"/>
      <c r="M2218" s="186"/>
      <c r="N2218" s="186"/>
    </row>
    <row r="2219" spans="2:14" s="188" customFormat="1" ht="15" customHeight="1">
      <c r="B2219" s="187"/>
      <c r="C2219" s="187"/>
      <c r="D2219" s="187"/>
      <c r="E2219" s="187"/>
      <c r="F2219" s="187"/>
      <c r="G2219" s="187"/>
      <c r="J2219" s="186"/>
      <c r="K2219" s="180"/>
      <c r="L2219" s="180"/>
      <c r="M2219" s="186"/>
      <c r="N2219" s="186"/>
    </row>
    <row r="2220" spans="2:14" s="188" customFormat="1" ht="15" customHeight="1">
      <c r="B2220" s="187"/>
      <c r="C2220" s="187"/>
      <c r="D2220" s="187"/>
      <c r="E2220" s="187"/>
      <c r="F2220" s="187"/>
      <c r="G2220" s="187"/>
      <c r="J2220" s="186"/>
      <c r="K2220" s="180"/>
      <c r="L2220" s="180"/>
      <c r="M2220" s="186"/>
      <c r="N2220" s="186"/>
    </row>
    <row r="2221" spans="2:14" s="188" customFormat="1" ht="15" customHeight="1">
      <c r="B2221" s="187"/>
      <c r="C2221" s="187"/>
      <c r="D2221" s="187"/>
      <c r="E2221" s="187"/>
      <c r="F2221" s="187"/>
      <c r="G2221" s="187"/>
      <c r="J2221" s="186"/>
      <c r="K2221" s="180"/>
      <c r="L2221" s="180"/>
      <c r="M2221" s="186"/>
      <c r="N2221" s="186"/>
    </row>
    <row r="2222" spans="2:14" s="188" customFormat="1" ht="15" customHeight="1">
      <c r="B2222" s="187"/>
      <c r="C2222" s="187"/>
      <c r="D2222" s="187"/>
      <c r="E2222" s="187"/>
      <c r="F2222" s="187"/>
      <c r="G2222" s="187"/>
      <c r="J2222" s="186"/>
      <c r="K2222" s="180"/>
      <c r="L2222" s="180"/>
      <c r="M2222" s="186"/>
      <c r="N2222" s="186"/>
    </row>
    <row r="2223" spans="2:14" s="188" customFormat="1" ht="15" customHeight="1">
      <c r="B2223" s="187"/>
      <c r="C2223" s="187"/>
      <c r="D2223" s="187"/>
      <c r="E2223" s="187"/>
      <c r="F2223" s="187"/>
      <c r="G2223" s="187"/>
      <c r="J2223" s="186"/>
      <c r="K2223" s="180"/>
      <c r="L2223" s="180"/>
      <c r="M2223" s="186"/>
      <c r="N2223" s="186"/>
    </row>
    <row r="2224" spans="2:14" s="188" customFormat="1" ht="15" customHeight="1">
      <c r="B2224" s="187"/>
      <c r="C2224" s="187"/>
      <c r="D2224" s="187"/>
      <c r="E2224" s="187"/>
      <c r="F2224" s="187"/>
      <c r="G2224" s="187"/>
      <c r="J2224" s="186"/>
      <c r="K2224" s="180"/>
      <c r="L2224" s="180"/>
      <c r="M2224" s="186"/>
      <c r="N2224" s="186"/>
    </row>
    <row r="2225" spans="2:14" s="188" customFormat="1" ht="15" customHeight="1">
      <c r="B2225" s="187"/>
      <c r="C2225" s="187"/>
      <c r="D2225" s="187"/>
      <c r="E2225" s="187"/>
      <c r="F2225" s="187"/>
      <c r="G2225" s="187"/>
      <c r="J2225" s="186"/>
      <c r="K2225" s="180"/>
      <c r="L2225" s="180"/>
      <c r="M2225" s="186"/>
      <c r="N2225" s="186"/>
    </row>
    <row r="2226" spans="2:14" s="188" customFormat="1" ht="15" customHeight="1">
      <c r="B2226" s="187"/>
      <c r="C2226" s="187"/>
      <c r="D2226" s="187"/>
      <c r="E2226" s="187"/>
      <c r="F2226" s="187"/>
      <c r="G2226" s="187"/>
      <c r="J2226" s="186"/>
      <c r="K2226" s="180"/>
      <c r="L2226" s="180"/>
      <c r="M2226" s="186"/>
      <c r="N2226" s="186"/>
    </row>
    <row r="2227" spans="2:14" s="188" customFormat="1" ht="15" customHeight="1">
      <c r="B2227" s="187"/>
      <c r="C2227" s="187"/>
      <c r="D2227" s="187"/>
      <c r="E2227" s="187"/>
      <c r="F2227" s="187"/>
      <c r="G2227" s="187"/>
      <c r="J2227" s="186"/>
      <c r="K2227" s="180"/>
      <c r="L2227" s="180"/>
      <c r="M2227" s="186"/>
      <c r="N2227" s="186"/>
    </row>
    <row r="2228" spans="2:14" s="188" customFormat="1" ht="15" customHeight="1">
      <c r="B2228" s="187"/>
      <c r="C2228" s="187"/>
      <c r="D2228" s="187"/>
      <c r="E2228" s="187"/>
      <c r="F2228" s="187"/>
      <c r="G2228" s="187"/>
      <c r="J2228" s="186"/>
      <c r="K2228" s="180"/>
      <c r="L2228" s="180"/>
      <c r="M2228" s="186"/>
      <c r="N2228" s="186"/>
    </row>
    <row r="2229" spans="2:14" s="188" customFormat="1" ht="15" customHeight="1">
      <c r="B2229" s="187"/>
      <c r="C2229" s="187"/>
      <c r="D2229" s="187"/>
      <c r="E2229" s="187"/>
      <c r="F2229" s="187"/>
      <c r="G2229" s="187"/>
      <c r="J2229" s="186"/>
      <c r="K2229" s="180"/>
      <c r="L2229" s="180"/>
      <c r="M2229" s="186"/>
      <c r="N2229" s="186"/>
    </row>
    <row r="2230" spans="2:14" s="188" customFormat="1" ht="15" customHeight="1">
      <c r="B2230" s="187"/>
      <c r="C2230" s="187"/>
      <c r="D2230" s="187"/>
      <c r="E2230" s="187"/>
      <c r="F2230" s="187"/>
      <c r="G2230" s="187"/>
      <c r="J2230" s="186"/>
      <c r="K2230" s="180"/>
      <c r="L2230" s="180"/>
      <c r="M2230" s="186"/>
      <c r="N2230" s="186"/>
    </row>
    <row r="2231" spans="2:14" s="188" customFormat="1" ht="15" customHeight="1">
      <c r="B2231" s="187"/>
      <c r="C2231" s="187"/>
      <c r="D2231" s="187"/>
      <c r="E2231" s="187"/>
      <c r="F2231" s="187"/>
      <c r="G2231" s="187"/>
      <c r="J2231" s="186"/>
      <c r="K2231" s="180"/>
      <c r="L2231" s="180"/>
      <c r="M2231" s="186"/>
      <c r="N2231" s="186"/>
    </row>
    <row r="2232" spans="2:14" s="188" customFormat="1" ht="15" customHeight="1">
      <c r="B2232" s="187"/>
      <c r="C2232" s="187"/>
      <c r="D2232" s="187"/>
      <c r="E2232" s="187"/>
      <c r="F2232" s="187"/>
      <c r="G2232" s="187"/>
      <c r="J2232" s="186"/>
      <c r="K2232" s="180"/>
      <c r="L2232" s="180"/>
      <c r="M2232" s="186"/>
      <c r="N2232" s="186"/>
    </row>
    <row r="2233" spans="2:14" s="188" customFormat="1" ht="15" customHeight="1">
      <c r="B2233" s="187"/>
      <c r="C2233" s="187"/>
      <c r="D2233" s="187"/>
      <c r="E2233" s="187"/>
      <c r="F2233" s="187"/>
      <c r="G2233" s="187"/>
      <c r="J2233" s="186"/>
      <c r="K2233" s="180"/>
      <c r="L2233" s="180"/>
      <c r="M2233" s="186"/>
      <c r="N2233" s="186"/>
    </row>
    <row r="2234" spans="2:14" s="188" customFormat="1" ht="15" customHeight="1">
      <c r="B2234" s="187"/>
      <c r="C2234" s="187"/>
      <c r="D2234" s="187"/>
      <c r="E2234" s="187"/>
      <c r="F2234" s="187"/>
      <c r="G2234" s="187"/>
      <c r="J2234" s="186"/>
      <c r="K2234" s="180"/>
      <c r="L2234" s="180"/>
      <c r="M2234" s="186"/>
      <c r="N2234" s="186"/>
    </row>
    <row r="2235" spans="2:14" s="188" customFormat="1" ht="15" customHeight="1">
      <c r="B2235" s="187"/>
      <c r="C2235" s="187"/>
      <c r="D2235" s="187"/>
      <c r="E2235" s="187"/>
      <c r="F2235" s="187"/>
      <c r="G2235" s="187"/>
      <c r="J2235" s="186"/>
      <c r="K2235" s="180"/>
      <c r="L2235" s="180"/>
      <c r="M2235" s="186"/>
      <c r="N2235" s="186"/>
    </row>
    <row r="2236" spans="2:14" s="188" customFormat="1" ht="15" customHeight="1">
      <c r="B2236" s="187"/>
      <c r="C2236" s="187"/>
      <c r="D2236" s="187"/>
      <c r="E2236" s="187"/>
      <c r="F2236" s="187"/>
      <c r="G2236" s="187"/>
      <c r="J2236" s="186"/>
      <c r="K2236" s="180"/>
      <c r="L2236" s="180"/>
      <c r="M2236" s="186"/>
      <c r="N2236" s="186"/>
    </row>
    <row r="2237" spans="2:14" s="188" customFormat="1" ht="15" customHeight="1">
      <c r="B2237" s="187"/>
      <c r="C2237" s="187"/>
      <c r="D2237" s="187"/>
      <c r="E2237" s="187"/>
      <c r="F2237" s="187"/>
      <c r="G2237" s="187"/>
      <c r="J2237" s="186"/>
      <c r="K2237" s="180"/>
      <c r="L2237" s="180"/>
      <c r="M2237" s="186"/>
      <c r="N2237" s="186"/>
    </row>
    <row r="2238" spans="2:14" s="188" customFormat="1" ht="15" customHeight="1">
      <c r="B2238" s="187"/>
      <c r="C2238" s="187"/>
      <c r="D2238" s="187"/>
      <c r="E2238" s="187"/>
      <c r="F2238" s="187"/>
      <c r="G2238" s="187"/>
      <c r="J2238" s="186"/>
      <c r="K2238" s="180"/>
      <c r="L2238" s="180"/>
      <c r="M2238" s="186"/>
      <c r="N2238" s="186"/>
    </row>
    <row r="2239" spans="2:14" s="188" customFormat="1" ht="15" customHeight="1">
      <c r="B2239" s="187"/>
      <c r="C2239" s="187"/>
      <c r="D2239" s="187"/>
      <c r="E2239" s="187"/>
      <c r="F2239" s="187"/>
      <c r="G2239" s="187"/>
      <c r="J2239" s="186"/>
      <c r="K2239" s="180"/>
      <c r="L2239" s="180"/>
      <c r="M2239" s="186"/>
      <c r="N2239" s="186"/>
    </row>
    <row r="2240" spans="2:14" s="188" customFormat="1" ht="15" customHeight="1">
      <c r="B2240" s="187"/>
      <c r="C2240" s="187"/>
      <c r="D2240" s="187"/>
      <c r="E2240" s="187"/>
      <c r="F2240" s="187"/>
      <c r="G2240" s="187"/>
      <c r="J2240" s="186"/>
      <c r="K2240" s="180"/>
      <c r="L2240" s="180"/>
      <c r="M2240" s="186"/>
      <c r="N2240" s="186"/>
    </row>
    <row r="2241" spans="2:14" s="188" customFormat="1" ht="15" customHeight="1">
      <c r="B2241" s="187"/>
      <c r="C2241" s="187"/>
      <c r="D2241" s="187"/>
      <c r="E2241" s="187"/>
      <c r="F2241" s="187"/>
      <c r="G2241" s="187"/>
      <c r="J2241" s="186"/>
      <c r="K2241" s="180"/>
      <c r="L2241" s="180"/>
      <c r="M2241" s="186"/>
      <c r="N2241" s="186"/>
    </row>
    <row r="2242" spans="2:14" s="188" customFormat="1" ht="15" customHeight="1">
      <c r="B2242" s="187"/>
      <c r="C2242" s="187"/>
      <c r="D2242" s="187"/>
      <c r="E2242" s="187"/>
      <c r="F2242" s="187"/>
      <c r="G2242" s="187"/>
      <c r="J2242" s="186"/>
      <c r="K2242" s="180"/>
      <c r="L2242" s="180"/>
      <c r="M2242" s="186"/>
      <c r="N2242" s="186"/>
    </row>
    <row r="2243" spans="2:14" s="188" customFormat="1" ht="15" customHeight="1">
      <c r="B2243" s="187"/>
      <c r="C2243" s="187"/>
      <c r="D2243" s="187"/>
      <c r="E2243" s="187"/>
      <c r="F2243" s="187"/>
      <c r="G2243" s="187"/>
      <c r="J2243" s="186"/>
      <c r="K2243" s="180"/>
      <c r="L2243" s="180"/>
      <c r="M2243" s="186"/>
      <c r="N2243" s="186"/>
    </row>
    <row r="2244" spans="2:14" s="188" customFormat="1" ht="15" customHeight="1">
      <c r="B2244" s="187"/>
      <c r="C2244" s="187"/>
      <c r="D2244" s="187"/>
      <c r="E2244" s="187"/>
      <c r="F2244" s="187"/>
      <c r="G2244" s="187"/>
      <c r="J2244" s="186"/>
      <c r="K2244" s="180"/>
      <c r="L2244" s="180"/>
      <c r="M2244" s="186"/>
      <c r="N2244" s="186"/>
    </row>
    <row r="2245" spans="2:14" s="188" customFormat="1" ht="15" customHeight="1">
      <c r="B2245" s="187"/>
      <c r="C2245" s="187"/>
      <c r="D2245" s="187"/>
      <c r="E2245" s="187"/>
      <c r="F2245" s="187"/>
      <c r="G2245" s="187"/>
      <c r="J2245" s="186"/>
      <c r="K2245" s="180"/>
      <c r="L2245" s="180"/>
      <c r="M2245" s="186"/>
      <c r="N2245" s="186"/>
    </row>
    <row r="2246" spans="2:14" s="188" customFormat="1" ht="15" customHeight="1">
      <c r="B2246" s="187"/>
      <c r="C2246" s="187"/>
      <c r="D2246" s="187"/>
      <c r="E2246" s="187"/>
      <c r="F2246" s="187"/>
      <c r="G2246" s="187"/>
      <c r="J2246" s="186"/>
      <c r="K2246" s="180"/>
      <c r="L2246" s="180"/>
      <c r="M2246" s="186"/>
      <c r="N2246" s="186"/>
    </row>
    <row r="2247" spans="2:14" s="188" customFormat="1" ht="15" customHeight="1">
      <c r="B2247" s="187"/>
      <c r="C2247" s="187"/>
      <c r="D2247" s="187"/>
      <c r="E2247" s="187"/>
      <c r="F2247" s="187"/>
      <c r="G2247" s="187"/>
      <c r="J2247" s="186"/>
      <c r="K2247" s="180"/>
      <c r="L2247" s="180"/>
      <c r="M2247" s="186"/>
      <c r="N2247" s="186"/>
    </row>
    <row r="2248" spans="2:14" s="188" customFormat="1" ht="15" customHeight="1">
      <c r="B2248" s="187"/>
      <c r="C2248" s="187"/>
      <c r="D2248" s="187"/>
      <c r="E2248" s="187"/>
      <c r="F2248" s="187"/>
      <c r="G2248" s="187"/>
      <c r="J2248" s="186"/>
      <c r="K2248" s="180"/>
      <c r="L2248" s="180"/>
      <c r="M2248" s="186"/>
      <c r="N2248" s="186"/>
    </row>
    <row r="2249" spans="2:14" s="188" customFormat="1" ht="15" customHeight="1">
      <c r="B2249" s="187"/>
      <c r="C2249" s="187"/>
      <c r="D2249" s="187"/>
      <c r="E2249" s="187"/>
      <c r="F2249" s="187"/>
      <c r="G2249" s="187"/>
      <c r="J2249" s="186"/>
      <c r="K2249" s="180"/>
      <c r="L2249" s="180"/>
      <c r="M2249" s="186"/>
      <c r="N2249" s="186"/>
    </row>
    <row r="2250" spans="2:14" s="188" customFormat="1" ht="15" customHeight="1">
      <c r="B2250" s="187"/>
      <c r="C2250" s="187"/>
      <c r="D2250" s="187"/>
      <c r="E2250" s="187"/>
      <c r="F2250" s="187"/>
      <c r="G2250" s="187"/>
      <c r="J2250" s="186"/>
      <c r="K2250" s="180"/>
      <c r="L2250" s="180"/>
      <c r="M2250" s="186"/>
      <c r="N2250" s="186"/>
    </row>
    <row r="2251" spans="2:14" s="188" customFormat="1" ht="15" customHeight="1">
      <c r="B2251" s="187"/>
      <c r="C2251" s="187"/>
      <c r="D2251" s="187"/>
      <c r="E2251" s="187"/>
      <c r="F2251" s="187"/>
      <c r="G2251" s="187"/>
      <c r="J2251" s="186"/>
      <c r="K2251" s="180"/>
      <c r="L2251" s="180"/>
      <c r="M2251" s="186"/>
      <c r="N2251" s="186"/>
    </row>
    <row r="2252" spans="2:14" s="188" customFormat="1" ht="15" customHeight="1">
      <c r="B2252" s="187"/>
      <c r="C2252" s="187"/>
      <c r="D2252" s="187"/>
      <c r="E2252" s="187"/>
      <c r="F2252" s="187"/>
      <c r="G2252" s="187"/>
      <c r="J2252" s="186"/>
      <c r="K2252" s="180"/>
      <c r="L2252" s="180"/>
      <c r="M2252" s="186"/>
      <c r="N2252" s="186"/>
    </row>
    <row r="2253" spans="2:14" s="188" customFormat="1" ht="15" customHeight="1">
      <c r="B2253" s="187"/>
      <c r="C2253" s="187"/>
      <c r="D2253" s="187"/>
      <c r="E2253" s="187"/>
      <c r="F2253" s="187"/>
      <c r="G2253" s="187"/>
      <c r="J2253" s="186"/>
      <c r="K2253" s="180"/>
      <c r="L2253" s="180"/>
      <c r="M2253" s="186"/>
      <c r="N2253" s="186"/>
    </row>
    <row r="2254" spans="2:14" s="188" customFormat="1" ht="15" customHeight="1">
      <c r="B2254" s="187"/>
      <c r="C2254" s="187"/>
      <c r="D2254" s="187"/>
      <c r="E2254" s="187"/>
      <c r="F2254" s="187"/>
      <c r="G2254" s="187"/>
      <c r="J2254" s="186"/>
      <c r="K2254" s="180"/>
      <c r="L2254" s="180"/>
      <c r="M2254" s="186"/>
      <c r="N2254" s="186"/>
    </row>
    <row r="2255" spans="2:14" s="188" customFormat="1" ht="15" customHeight="1">
      <c r="B2255" s="187"/>
      <c r="C2255" s="187"/>
      <c r="D2255" s="187"/>
      <c r="E2255" s="187"/>
      <c r="F2255" s="187"/>
      <c r="G2255" s="187"/>
      <c r="J2255" s="186"/>
      <c r="K2255" s="180"/>
      <c r="L2255" s="180"/>
      <c r="M2255" s="186"/>
      <c r="N2255" s="186"/>
    </row>
    <row r="2256" spans="2:14" s="188" customFormat="1" ht="15" customHeight="1">
      <c r="B2256" s="187"/>
      <c r="C2256" s="187"/>
      <c r="D2256" s="187"/>
      <c r="E2256" s="187"/>
      <c r="F2256" s="187"/>
      <c r="G2256" s="187"/>
      <c r="J2256" s="186"/>
      <c r="K2256" s="180"/>
      <c r="L2256" s="180"/>
      <c r="M2256" s="186"/>
      <c r="N2256" s="186"/>
    </row>
    <row r="2257" spans="2:14" s="188" customFormat="1" ht="15" customHeight="1">
      <c r="B2257" s="187"/>
      <c r="C2257" s="187"/>
      <c r="D2257" s="187"/>
      <c r="E2257" s="187"/>
      <c r="F2257" s="187"/>
      <c r="G2257" s="187"/>
      <c r="J2257" s="186"/>
      <c r="K2257" s="180"/>
      <c r="L2257" s="180"/>
      <c r="M2257" s="186"/>
      <c r="N2257" s="186"/>
    </row>
    <row r="2258" spans="2:14" s="188" customFormat="1" ht="15" customHeight="1">
      <c r="B2258" s="187"/>
      <c r="C2258" s="187"/>
      <c r="D2258" s="187"/>
      <c r="E2258" s="187"/>
      <c r="F2258" s="187"/>
      <c r="G2258" s="187"/>
      <c r="J2258" s="186"/>
      <c r="K2258" s="180"/>
      <c r="L2258" s="180"/>
      <c r="M2258" s="186"/>
      <c r="N2258" s="186"/>
    </row>
    <row r="2259" spans="2:14" s="188" customFormat="1" ht="15" customHeight="1">
      <c r="B2259" s="187"/>
      <c r="C2259" s="187"/>
      <c r="D2259" s="187"/>
      <c r="E2259" s="187"/>
      <c r="F2259" s="187"/>
      <c r="G2259" s="187"/>
      <c r="J2259" s="186"/>
      <c r="K2259" s="180"/>
      <c r="L2259" s="180"/>
      <c r="M2259" s="186"/>
      <c r="N2259" s="186"/>
    </row>
    <row r="2260" spans="2:14" s="188" customFormat="1" ht="15" customHeight="1">
      <c r="B2260" s="187"/>
      <c r="C2260" s="187"/>
      <c r="D2260" s="187"/>
      <c r="E2260" s="187"/>
      <c r="F2260" s="187"/>
      <c r="G2260" s="187"/>
      <c r="J2260" s="186"/>
      <c r="K2260" s="180"/>
      <c r="L2260" s="180"/>
      <c r="M2260" s="186"/>
      <c r="N2260" s="186"/>
    </row>
    <row r="2261" spans="2:14" s="188" customFormat="1" ht="15" customHeight="1">
      <c r="B2261" s="187"/>
      <c r="C2261" s="187"/>
      <c r="D2261" s="187"/>
      <c r="E2261" s="187"/>
      <c r="F2261" s="187"/>
      <c r="G2261" s="187"/>
      <c r="J2261" s="186"/>
      <c r="K2261" s="180"/>
      <c r="L2261" s="180"/>
      <c r="M2261" s="186"/>
      <c r="N2261" s="186"/>
    </row>
    <row r="2262" spans="2:14" s="188" customFormat="1" ht="15" customHeight="1">
      <c r="B2262" s="187"/>
      <c r="C2262" s="187"/>
      <c r="D2262" s="187"/>
      <c r="E2262" s="187"/>
      <c r="F2262" s="187"/>
      <c r="G2262" s="187"/>
      <c r="J2262" s="186"/>
      <c r="K2262" s="180"/>
      <c r="L2262" s="180"/>
      <c r="M2262" s="186"/>
      <c r="N2262" s="186"/>
    </row>
    <row r="2263" spans="2:14" s="188" customFormat="1" ht="15" customHeight="1">
      <c r="B2263" s="187"/>
      <c r="C2263" s="187"/>
      <c r="D2263" s="187"/>
      <c r="E2263" s="187"/>
      <c r="F2263" s="187"/>
      <c r="G2263" s="187"/>
      <c r="J2263" s="186"/>
      <c r="K2263" s="180"/>
      <c r="L2263" s="180"/>
      <c r="M2263" s="186"/>
      <c r="N2263" s="186"/>
    </row>
    <row r="2264" spans="2:14" s="188" customFormat="1" ht="15" customHeight="1">
      <c r="B2264" s="187"/>
      <c r="C2264" s="187"/>
      <c r="D2264" s="187"/>
      <c r="E2264" s="187"/>
      <c r="F2264" s="187"/>
      <c r="G2264" s="187"/>
      <c r="J2264" s="186"/>
      <c r="K2264" s="180"/>
      <c r="L2264" s="180"/>
      <c r="M2264" s="186"/>
      <c r="N2264" s="186"/>
    </row>
    <row r="2265" spans="2:14" s="188" customFormat="1" ht="15" customHeight="1">
      <c r="B2265" s="187"/>
      <c r="C2265" s="187"/>
      <c r="D2265" s="187"/>
      <c r="E2265" s="187"/>
      <c r="F2265" s="187"/>
      <c r="G2265" s="187"/>
      <c r="J2265" s="186"/>
      <c r="K2265" s="180"/>
      <c r="L2265" s="180"/>
      <c r="M2265" s="186"/>
      <c r="N2265" s="186"/>
    </row>
    <row r="2266" spans="2:14" s="188" customFormat="1" ht="15" customHeight="1">
      <c r="B2266" s="187"/>
      <c r="C2266" s="187"/>
      <c r="D2266" s="187"/>
      <c r="E2266" s="187"/>
      <c r="F2266" s="187"/>
      <c r="G2266" s="187"/>
      <c r="J2266" s="186"/>
      <c r="K2266" s="180"/>
      <c r="L2266" s="180"/>
      <c r="M2266" s="186"/>
      <c r="N2266" s="186"/>
    </row>
    <row r="2267" spans="2:14" s="188" customFormat="1" ht="15" customHeight="1">
      <c r="B2267" s="187"/>
      <c r="C2267" s="187"/>
      <c r="D2267" s="187"/>
      <c r="E2267" s="187"/>
      <c r="F2267" s="187"/>
      <c r="G2267" s="187"/>
      <c r="J2267" s="186"/>
      <c r="K2267" s="180"/>
      <c r="L2267" s="180"/>
      <c r="M2267" s="186"/>
      <c r="N2267" s="186"/>
    </row>
    <row r="2268" spans="2:14" s="188" customFormat="1" ht="15" customHeight="1">
      <c r="B2268" s="187"/>
      <c r="C2268" s="187"/>
      <c r="D2268" s="187"/>
      <c r="E2268" s="187"/>
      <c r="F2268" s="187"/>
      <c r="G2268" s="187"/>
      <c r="J2268" s="186"/>
      <c r="K2268" s="180"/>
      <c r="L2268" s="180"/>
      <c r="M2268" s="186"/>
      <c r="N2268" s="186"/>
    </row>
    <row r="2269" spans="2:14" s="188" customFormat="1" ht="15" customHeight="1">
      <c r="B2269" s="187"/>
      <c r="C2269" s="187"/>
      <c r="D2269" s="187"/>
      <c r="E2269" s="187"/>
      <c r="F2269" s="187"/>
      <c r="G2269" s="187"/>
      <c r="J2269" s="186"/>
      <c r="K2269" s="180"/>
      <c r="L2269" s="180"/>
      <c r="M2269" s="186"/>
      <c r="N2269" s="186"/>
    </row>
    <row r="2270" spans="2:14" s="188" customFormat="1" ht="15" customHeight="1">
      <c r="B2270" s="187"/>
      <c r="C2270" s="187"/>
      <c r="D2270" s="187"/>
      <c r="E2270" s="187"/>
      <c r="F2270" s="187"/>
      <c r="G2270" s="187"/>
      <c r="J2270" s="186"/>
      <c r="K2270" s="180"/>
      <c r="L2270" s="180"/>
      <c r="M2270" s="186"/>
      <c r="N2270" s="186"/>
    </row>
    <row r="2271" spans="2:14" s="188" customFormat="1" ht="15" customHeight="1">
      <c r="B2271" s="187"/>
      <c r="C2271" s="187"/>
      <c r="D2271" s="187"/>
      <c r="E2271" s="187"/>
      <c r="F2271" s="187"/>
      <c r="G2271" s="187"/>
      <c r="J2271" s="186"/>
      <c r="K2271" s="180"/>
      <c r="L2271" s="180"/>
      <c r="M2271" s="186"/>
      <c r="N2271" s="186"/>
    </row>
    <row r="2272" spans="2:14" s="188" customFormat="1" ht="15" customHeight="1">
      <c r="B2272" s="187"/>
      <c r="C2272" s="187"/>
      <c r="D2272" s="187"/>
      <c r="E2272" s="187"/>
      <c r="F2272" s="187"/>
      <c r="G2272" s="187"/>
      <c r="J2272" s="186"/>
      <c r="K2272" s="180"/>
      <c r="L2272" s="180"/>
      <c r="M2272" s="186"/>
      <c r="N2272" s="186"/>
    </row>
    <row r="2273" spans="2:14" s="188" customFormat="1" ht="15" customHeight="1">
      <c r="B2273" s="187"/>
      <c r="C2273" s="187"/>
      <c r="D2273" s="187"/>
      <c r="E2273" s="187"/>
      <c r="F2273" s="187"/>
      <c r="G2273" s="187"/>
      <c r="J2273" s="186"/>
      <c r="K2273" s="180"/>
      <c r="L2273" s="180"/>
      <c r="M2273" s="186"/>
      <c r="N2273" s="186"/>
    </row>
    <row r="2274" spans="2:14" s="188" customFormat="1" ht="15" customHeight="1">
      <c r="B2274" s="187"/>
      <c r="C2274" s="187"/>
      <c r="D2274" s="187"/>
      <c r="E2274" s="187"/>
      <c r="F2274" s="187"/>
      <c r="G2274" s="187"/>
      <c r="J2274" s="186"/>
      <c r="K2274" s="180"/>
      <c r="L2274" s="180"/>
      <c r="M2274" s="186"/>
      <c r="N2274" s="186"/>
    </row>
    <row r="2275" spans="2:14" s="188" customFormat="1" ht="15" customHeight="1">
      <c r="B2275" s="187"/>
      <c r="C2275" s="187"/>
      <c r="D2275" s="187"/>
      <c r="E2275" s="187"/>
      <c r="F2275" s="187"/>
      <c r="G2275" s="187"/>
      <c r="J2275" s="186"/>
      <c r="K2275" s="180"/>
      <c r="L2275" s="180"/>
      <c r="M2275" s="186"/>
      <c r="N2275" s="186"/>
    </row>
    <row r="2276" spans="2:14" s="188" customFormat="1" ht="15" customHeight="1">
      <c r="B2276" s="187"/>
      <c r="C2276" s="187"/>
      <c r="D2276" s="187"/>
      <c r="E2276" s="187"/>
      <c r="F2276" s="187"/>
      <c r="G2276" s="187"/>
      <c r="J2276" s="186"/>
      <c r="K2276" s="180"/>
      <c r="L2276" s="180"/>
      <c r="M2276" s="186"/>
      <c r="N2276" s="186"/>
    </row>
    <row r="2277" spans="2:14" s="188" customFormat="1" ht="15" customHeight="1">
      <c r="B2277" s="187"/>
      <c r="C2277" s="187"/>
      <c r="D2277" s="187"/>
      <c r="E2277" s="187"/>
      <c r="F2277" s="187"/>
      <c r="G2277" s="187"/>
      <c r="J2277" s="186"/>
      <c r="K2277" s="180"/>
      <c r="L2277" s="180"/>
      <c r="M2277" s="186"/>
      <c r="N2277" s="186"/>
    </row>
    <row r="2278" spans="2:14" s="188" customFormat="1" ht="15" customHeight="1">
      <c r="B2278" s="187"/>
      <c r="C2278" s="187"/>
      <c r="D2278" s="187"/>
      <c r="E2278" s="187"/>
      <c r="F2278" s="187"/>
      <c r="G2278" s="187"/>
      <c r="J2278" s="186"/>
      <c r="K2278" s="180"/>
      <c r="L2278" s="180"/>
      <c r="M2278" s="186"/>
      <c r="N2278" s="186"/>
    </row>
    <row r="2279" spans="2:14" s="188" customFormat="1" ht="15" customHeight="1">
      <c r="B2279" s="187"/>
      <c r="C2279" s="187"/>
      <c r="D2279" s="187"/>
      <c r="E2279" s="187"/>
      <c r="F2279" s="187"/>
      <c r="G2279" s="187"/>
      <c r="J2279" s="186"/>
      <c r="K2279" s="180"/>
      <c r="L2279" s="180"/>
      <c r="M2279" s="186"/>
      <c r="N2279" s="186"/>
    </row>
    <row r="2280" spans="2:14" s="188" customFormat="1" ht="15" customHeight="1">
      <c r="B2280" s="187"/>
      <c r="C2280" s="187"/>
      <c r="D2280" s="187"/>
      <c r="E2280" s="187"/>
      <c r="F2280" s="187"/>
      <c r="G2280" s="187"/>
      <c r="J2280" s="186"/>
      <c r="K2280" s="180"/>
      <c r="L2280" s="180"/>
      <c r="M2280" s="186"/>
      <c r="N2280" s="186"/>
    </row>
    <row r="2281" spans="2:14" s="188" customFormat="1" ht="15" customHeight="1">
      <c r="B2281" s="187"/>
      <c r="C2281" s="187"/>
      <c r="D2281" s="187"/>
      <c r="E2281" s="187"/>
      <c r="F2281" s="187"/>
      <c r="G2281" s="187"/>
      <c r="J2281" s="186"/>
      <c r="K2281" s="180"/>
      <c r="L2281" s="180"/>
      <c r="M2281" s="186"/>
      <c r="N2281" s="186"/>
    </row>
    <row r="2282" spans="2:14" s="188" customFormat="1" ht="15" customHeight="1">
      <c r="B2282" s="187"/>
      <c r="C2282" s="187"/>
      <c r="D2282" s="187"/>
      <c r="E2282" s="187"/>
      <c r="F2282" s="187"/>
      <c r="G2282" s="187"/>
      <c r="J2282" s="186"/>
      <c r="K2282" s="180"/>
      <c r="L2282" s="180"/>
      <c r="M2282" s="186"/>
      <c r="N2282" s="186"/>
    </row>
    <row r="2283" spans="2:14" s="188" customFormat="1" ht="15" customHeight="1">
      <c r="B2283" s="187"/>
      <c r="C2283" s="187"/>
      <c r="D2283" s="187"/>
      <c r="E2283" s="187"/>
      <c r="F2283" s="187"/>
      <c r="G2283" s="187"/>
      <c r="J2283" s="186"/>
      <c r="K2283" s="180"/>
      <c r="L2283" s="180"/>
      <c r="M2283" s="186"/>
      <c r="N2283" s="186"/>
    </row>
    <row r="2284" spans="2:14" s="188" customFormat="1" ht="15" customHeight="1">
      <c r="B2284" s="187"/>
      <c r="C2284" s="187"/>
      <c r="D2284" s="187"/>
      <c r="E2284" s="187"/>
      <c r="F2284" s="187"/>
      <c r="G2284" s="187"/>
      <c r="J2284" s="186"/>
      <c r="K2284" s="180"/>
      <c r="L2284" s="180"/>
      <c r="M2284" s="186"/>
      <c r="N2284" s="186"/>
    </row>
    <row r="2285" spans="2:14" s="188" customFormat="1" ht="15" customHeight="1">
      <c r="B2285" s="187"/>
      <c r="C2285" s="187"/>
      <c r="D2285" s="187"/>
      <c r="E2285" s="187"/>
      <c r="F2285" s="187"/>
      <c r="G2285" s="187"/>
      <c r="J2285" s="186"/>
      <c r="K2285" s="180"/>
      <c r="L2285" s="180"/>
      <c r="M2285" s="186"/>
      <c r="N2285" s="186"/>
    </row>
    <row r="2286" spans="2:14" s="188" customFormat="1" ht="15" customHeight="1">
      <c r="B2286" s="187"/>
      <c r="C2286" s="187"/>
      <c r="D2286" s="187"/>
      <c r="E2286" s="187"/>
      <c r="F2286" s="187"/>
      <c r="G2286" s="187"/>
      <c r="J2286" s="186"/>
      <c r="K2286" s="180"/>
      <c r="L2286" s="180"/>
      <c r="M2286" s="186"/>
      <c r="N2286" s="186"/>
    </row>
    <row r="2287" spans="2:14" s="188" customFormat="1" ht="15" customHeight="1">
      <c r="B2287" s="187"/>
      <c r="C2287" s="187"/>
      <c r="D2287" s="187"/>
      <c r="E2287" s="187"/>
      <c r="F2287" s="187"/>
      <c r="G2287" s="187"/>
      <c r="J2287" s="186"/>
      <c r="K2287" s="180"/>
      <c r="L2287" s="180"/>
      <c r="M2287" s="186"/>
      <c r="N2287" s="186"/>
    </row>
    <row r="2288" spans="2:14" s="188" customFormat="1" ht="15" customHeight="1">
      <c r="B2288" s="187"/>
      <c r="C2288" s="187"/>
      <c r="D2288" s="187"/>
      <c r="E2288" s="187"/>
      <c r="F2288" s="187"/>
      <c r="G2288" s="187"/>
      <c r="J2288" s="186"/>
      <c r="K2288" s="180"/>
      <c r="L2288" s="180"/>
      <c r="M2288" s="186"/>
      <c r="N2288" s="186"/>
    </row>
    <row r="2289" spans="2:14" s="188" customFormat="1" ht="15" customHeight="1">
      <c r="B2289" s="187"/>
      <c r="C2289" s="187"/>
      <c r="D2289" s="187"/>
      <c r="E2289" s="187"/>
      <c r="F2289" s="187"/>
      <c r="G2289" s="187"/>
      <c r="J2289" s="186"/>
      <c r="K2289" s="180"/>
      <c r="L2289" s="180"/>
      <c r="M2289" s="186"/>
      <c r="N2289" s="186"/>
    </row>
    <row r="2290" spans="2:14" s="188" customFormat="1" ht="15" customHeight="1">
      <c r="B2290" s="187"/>
      <c r="C2290" s="187"/>
      <c r="D2290" s="187"/>
      <c r="E2290" s="187"/>
      <c r="F2290" s="187"/>
      <c r="G2290" s="187"/>
      <c r="J2290" s="186"/>
      <c r="K2290" s="180"/>
      <c r="L2290" s="180"/>
      <c r="M2290" s="186"/>
      <c r="N2290" s="186"/>
    </row>
    <row r="2291" spans="2:14" s="188" customFormat="1" ht="15" customHeight="1">
      <c r="B2291" s="187"/>
      <c r="C2291" s="187"/>
      <c r="D2291" s="187"/>
      <c r="E2291" s="187"/>
      <c r="F2291" s="187"/>
      <c r="G2291" s="187"/>
      <c r="J2291" s="186"/>
      <c r="K2291" s="180"/>
      <c r="L2291" s="180"/>
      <c r="M2291" s="186"/>
      <c r="N2291" s="186"/>
    </row>
    <row r="2292" spans="2:14" s="188" customFormat="1" ht="15" customHeight="1">
      <c r="B2292" s="187"/>
      <c r="C2292" s="187"/>
      <c r="D2292" s="187"/>
      <c r="E2292" s="187"/>
      <c r="F2292" s="187"/>
      <c r="G2292" s="187"/>
      <c r="J2292" s="186"/>
      <c r="K2292" s="180"/>
      <c r="L2292" s="180"/>
      <c r="M2292" s="186"/>
      <c r="N2292" s="186"/>
    </row>
    <row r="2293" spans="2:14" s="188" customFormat="1" ht="15" customHeight="1">
      <c r="B2293" s="187"/>
      <c r="C2293" s="187"/>
      <c r="D2293" s="187"/>
      <c r="E2293" s="187"/>
      <c r="F2293" s="187"/>
      <c r="G2293" s="187"/>
      <c r="J2293" s="186"/>
      <c r="K2293" s="180"/>
      <c r="L2293" s="180"/>
      <c r="M2293" s="186"/>
      <c r="N2293" s="186"/>
    </row>
    <row r="2294" spans="2:14" s="188" customFormat="1" ht="15" customHeight="1">
      <c r="B2294" s="187"/>
      <c r="C2294" s="187"/>
      <c r="D2294" s="187"/>
      <c r="E2294" s="187"/>
      <c r="F2294" s="187"/>
      <c r="G2294" s="187"/>
      <c r="J2294" s="186"/>
      <c r="K2294" s="180"/>
      <c r="L2294" s="180"/>
      <c r="M2294" s="186"/>
      <c r="N2294" s="186"/>
    </row>
    <row r="2295" spans="2:14" s="188" customFormat="1" ht="15" customHeight="1">
      <c r="B2295" s="187"/>
      <c r="C2295" s="187"/>
      <c r="D2295" s="187"/>
      <c r="E2295" s="187"/>
      <c r="F2295" s="187"/>
      <c r="G2295" s="187"/>
      <c r="J2295" s="186"/>
      <c r="K2295" s="180"/>
      <c r="L2295" s="180"/>
      <c r="M2295" s="186"/>
      <c r="N2295" s="186"/>
    </row>
    <row r="2296" spans="2:14" s="188" customFormat="1" ht="15" customHeight="1">
      <c r="B2296" s="187"/>
      <c r="C2296" s="187"/>
      <c r="D2296" s="187"/>
      <c r="E2296" s="187"/>
      <c r="F2296" s="187"/>
      <c r="G2296" s="187"/>
      <c r="J2296" s="186"/>
      <c r="K2296" s="180"/>
      <c r="L2296" s="180"/>
      <c r="M2296" s="186"/>
      <c r="N2296" s="186"/>
    </row>
    <row r="2297" spans="2:14" s="188" customFormat="1" ht="15" customHeight="1">
      <c r="B2297" s="187"/>
      <c r="C2297" s="187"/>
      <c r="D2297" s="187"/>
      <c r="E2297" s="187"/>
      <c r="F2297" s="187"/>
      <c r="G2297" s="187"/>
      <c r="J2297" s="186"/>
      <c r="K2297" s="180"/>
      <c r="L2297" s="180"/>
      <c r="M2297" s="186"/>
      <c r="N2297" s="186"/>
    </row>
    <row r="2298" spans="2:14" s="188" customFormat="1" ht="15" customHeight="1">
      <c r="B2298" s="187"/>
      <c r="C2298" s="187"/>
      <c r="D2298" s="187"/>
      <c r="E2298" s="187"/>
      <c r="F2298" s="187"/>
      <c r="G2298" s="187"/>
      <c r="J2298" s="186"/>
      <c r="K2298" s="180"/>
      <c r="L2298" s="180"/>
      <c r="M2298" s="186"/>
      <c r="N2298" s="186"/>
    </row>
    <row r="2299" spans="2:14" s="188" customFormat="1" ht="15" customHeight="1">
      <c r="B2299" s="187"/>
      <c r="C2299" s="187"/>
      <c r="D2299" s="187"/>
      <c r="E2299" s="187"/>
      <c r="F2299" s="187"/>
      <c r="G2299" s="187"/>
      <c r="J2299" s="186"/>
      <c r="K2299" s="180"/>
      <c r="L2299" s="180"/>
      <c r="M2299" s="186"/>
      <c r="N2299" s="186"/>
    </row>
    <row r="2300" spans="2:14" s="188" customFormat="1" ht="15" customHeight="1">
      <c r="B2300" s="187"/>
      <c r="C2300" s="187"/>
      <c r="D2300" s="187"/>
      <c r="E2300" s="187"/>
      <c r="F2300" s="187"/>
      <c r="G2300" s="187"/>
      <c r="J2300" s="186"/>
      <c r="K2300" s="180"/>
      <c r="L2300" s="180"/>
      <c r="M2300" s="186"/>
      <c r="N2300" s="186"/>
    </row>
    <row r="2301" spans="2:14" s="188" customFormat="1" ht="15" customHeight="1">
      <c r="B2301" s="187"/>
      <c r="C2301" s="187"/>
      <c r="D2301" s="187"/>
      <c r="E2301" s="187"/>
      <c r="F2301" s="187"/>
      <c r="G2301" s="187"/>
      <c r="J2301" s="186"/>
      <c r="K2301" s="180"/>
      <c r="L2301" s="180"/>
      <c r="M2301" s="186"/>
      <c r="N2301" s="186"/>
    </row>
    <row r="2302" spans="2:14" s="188" customFormat="1" ht="15" customHeight="1">
      <c r="B2302" s="187"/>
      <c r="C2302" s="187"/>
      <c r="D2302" s="187"/>
      <c r="E2302" s="187"/>
      <c r="F2302" s="187"/>
      <c r="G2302" s="187"/>
      <c r="J2302" s="186"/>
      <c r="K2302" s="180"/>
      <c r="L2302" s="180"/>
      <c r="M2302" s="186"/>
      <c r="N2302" s="186"/>
    </row>
    <row r="2303" spans="2:14" s="188" customFormat="1" ht="15" customHeight="1">
      <c r="B2303" s="187"/>
      <c r="C2303" s="187"/>
      <c r="D2303" s="187"/>
      <c r="E2303" s="187"/>
      <c r="F2303" s="187"/>
      <c r="G2303" s="187"/>
      <c r="J2303" s="186"/>
      <c r="K2303" s="180"/>
      <c r="L2303" s="180"/>
      <c r="M2303" s="186"/>
      <c r="N2303" s="186"/>
    </row>
    <row r="2304" spans="2:14" s="188" customFormat="1" ht="15" customHeight="1">
      <c r="B2304" s="187"/>
      <c r="C2304" s="187"/>
      <c r="D2304" s="187"/>
      <c r="E2304" s="187"/>
      <c r="F2304" s="187"/>
      <c r="G2304" s="187"/>
      <c r="J2304" s="186"/>
      <c r="K2304" s="180"/>
      <c r="L2304" s="180"/>
      <c r="M2304" s="186"/>
      <c r="N2304" s="186"/>
    </row>
    <row r="2305" spans="2:14" s="188" customFormat="1" ht="15" customHeight="1">
      <c r="B2305" s="187"/>
      <c r="C2305" s="187"/>
      <c r="D2305" s="187"/>
      <c r="E2305" s="187"/>
      <c r="F2305" s="187"/>
      <c r="G2305" s="187"/>
      <c r="J2305" s="186"/>
      <c r="K2305" s="180"/>
      <c r="L2305" s="180"/>
      <c r="M2305" s="186"/>
      <c r="N2305" s="186"/>
    </row>
    <row r="2306" spans="2:14" s="188" customFormat="1" ht="15" customHeight="1">
      <c r="B2306" s="187"/>
      <c r="C2306" s="187"/>
      <c r="D2306" s="187"/>
      <c r="E2306" s="187"/>
      <c r="F2306" s="187"/>
      <c r="G2306" s="187"/>
      <c r="J2306" s="186"/>
      <c r="K2306" s="180"/>
      <c r="L2306" s="180"/>
      <c r="M2306" s="186"/>
      <c r="N2306" s="186"/>
    </row>
    <row r="2307" spans="2:14" s="188" customFormat="1" ht="15" customHeight="1">
      <c r="B2307" s="187"/>
      <c r="C2307" s="187"/>
      <c r="D2307" s="187"/>
      <c r="E2307" s="187"/>
      <c r="F2307" s="187"/>
      <c r="G2307" s="187"/>
      <c r="J2307" s="186"/>
      <c r="K2307" s="180"/>
      <c r="L2307" s="180"/>
      <c r="M2307" s="186"/>
      <c r="N2307" s="186"/>
    </row>
    <row r="2308" spans="2:14" s="188" customFormat="1" ht="15" customHeight="1">
      <c r="B2308" s="187"/>
      <c r="C2308" s="187"/>
      <c r="D2308" s="187"/>
      <c r="E2308" s="187"/>
      <c r="F2308" s="187"/>
      <c r="G2308" s="187"/>
      <c r="J2308" s="186"/>
      <c r="K2308" s="180"/>
      <c r="L2308" s="180"/>
      <c r="M2308" s="186"/>
      <c r="N2308" s="186"/>
    </row>
    <row r="2309" spans="2:14" s="188" customFormat="1" ht="15" customHeight="1">
      <c r="B2309" s="187"/>
      <c r="C2309" s="187"/>
      <c r="D2309" s="187"/>
      <c r="E2309" s="187"/>
      <c r="F2309" s="187"/>
      <c r="G2309" s="187"/>
      <c r="J2309" s="186"/>
      <c r="K2309" s="180"/>
      <c r="L2309" s="180"/>
      <c r="M2309" s="186"/>
      <c r="N2309" s="186"/>
    </row>
    <row r="2310" spans="2:14" s="188" customFormat="1" ht="15" customHeight="1">
      <c r="B2310" s="187"/>
      <c r="C2310" s="187"/>
      <c r="D2310" s="187"/>
      <c r="E2310" s="187"/>
      <c r="F2310" s="187"/>
      <c r="G2310" s="187"/>
      <c r="J2310" s="186"/>
      <c r="K2310" s="180"/>
      <c r="L2310" s="180"/>
      <c r="M2310" s="186"/>
      <c r="N2310" s="186"/>
    </row>
    <row r="2311" spans="2:14" s="188" customFormat="1" ht="15" customHeight="1">
      <c r="B2311" s="187"/>
      <c r="C2311" s="187"/>
      <c r="D2311" s="187"/>
      <c r="E2311" s="187"/>
      <c r="F2311" s="187"/>
      <c r="G2311" s="187"/>
      <c r="J2311" s="186"/>
      <c r="K2311" s="180"/>
      <c r="L2311" s="180"/>
      <c r="M2311" s="186"/>
      <c r="N2311" s="186"/>
    </row>
    <row r="2312" spans="2:14" s="188" customFormat="1" ht="15" customHeight="1">
      <c r="B2312" s="187"/>
      <c r="C2312" s="187"/>
      <c r="D2312" s="187"/>
      <c r="E2312" s="187"/>
      <c r="F2312" s="187"/>
      <c r="G2312" s="187"/>
      <c r="J2312" s="186"/>
      <c r="K2312" s="180"/>
      <c r="L2312" s="180"/>
      <c r="M2312" s="186"/>
      <c r="N2312" s="186"/>
    </row>
    <row r="2313" spans="2:14" s="188" customFormat="1" ht="15" customHeight="1">
      <c r="B2313" s="187"/>
      <c r="C2313" s="187"/>
      <c r="D2313" s="187"/>
      <c r="E2313" s="187"/>
      <c r="F2313" s="187"/>
      <c r="G2313" s="187"/>
      <c r="J2313" s="186"/>
      <c r="K2313" s="180"/>
      <c r="L2313" s="180"/>
      <c r="M2313" s="186"/>
      <c r="N2313" s="186"/>
    </row>
    <row r="2314" spans="2:14" s="188" customFormat="1" ht="15" customHeight="1">
      <c r="B2314" s="187"/>
      <c r="C2314" s="187"/>
      <c r="D2314" s="187"/>
      <c r="E2314" s="187"/>
      <c r="F2314" s="187"/>
      <c r="G2314" s="187"/>
      <c r="J2314" s="186"/>
      <c r="K2314" s="180"/>
      <c r="L2314" s="180"/>
      <c r="M2314" s="186"/>
      <c r="N2314" s="186"/>
    </row>
    <row r="2315" spans="2:14" s="188" customFormat="1" ht="15" customHeight="1">
      <c r="B2315" s="187"/>
      <c r="C2315" s="187"/>
      <c r="D2315" s="187"/>
      <c r="E2315" s="187"/>
      <c r="F2315" s="187"/>
      <c r="G2315" s="187"/>
      <c r="J2315" s="186"/>
      <c r="K2315" s="180"/>
      <c r="L2315" s="180"/>
      <c r="M2315" s="186"/>
      <c r="N2315" s="186"/>
    </row>
    <row r="2316" spans="2:14" s="188" customFormat="1" ht="15" customHeight="1">
      <c r="B2316" s="187"/>
      <c r="C2316" s="187"/>
      <c r="D2316" s="187"/>
      <c r="E2316" s="187"/>
      <c r="F2316" s="187"/>
      <c r="G2316" s="187"/>
      <c r="J2316" s="186"/>
      <c r="K2316" s="180"/>
      <c r="L2316" s="180"/>
      <c r="M2316" s="186"/>
      <c r="N2316" s="186"/>
    </row>
    <row r="2317" spans="2:14" s="188" customFormat="1" ht="15" customHeight="1">
      <c r="B2317" s="187"/>
      <c r="C2317" s="187"/>
      <c r="D2317" s="187"/>
      <c r="E2317" s="187"/>
      <c r="F2317" s="187"/>
      <c r="G2317" s="187"/>
      <c r="J2317" s="186"/>
      <c r="K2317" s="180"/>
      <c r="L2317" s="180"/>
      <c r="M2317" s="186"/>
      <c r="N2317" s="186"/>
    </row>
    <row r="2318" spans="2:14" s="188" customFormat="1" ht="15" customHeight="1">
      <c r="B2318" s="187"/>
      <c r="C2318" s="187"/>
      <c r="D2318" s="187"/>
      <c r="E2318" s="187"/>
      <c r="F2318" s="187"/>
      <c r="G2318" s="187"/>
      <c r="J2318" s="186"/>
      <c r="K2318" s="180"/>
      <c r="L2318" s="180"/>
      <c r="M2318" s="186"/>
      <c r="N2318" s="186"/>
    </row>
    <row r="2319" spans="2:14" s="188" customFormat="1" ht="15" customHeight="1">
      <c r="B2319" s="187"/>
      <c r="C2319" s="187"/>
      <c r="D2319" s="187"/>
      <c r="E2319" s="187"/>
      <c r="F2319" s="187"/>
      <c r="G2319" s="187"/>
      <c r="J2319" s="186"/>
      <c r="K2319" s="180"/>
      <c r="L2319" s="180"/>
      <c r="M2319" s="186"/>
      <c r="N2319" s="186"/>
    </row>
    <row r="2320" spans="2:14" s="188" customFormat="1" ht="15" customHeight="1">
      <c r="B2320" s="187"/>
      <c r="C2320" s="187"/>
      <c r="D2320" s="187"/>
      <c r="E2320" s="187"/>
      <c r="F2320" s="187"/>
      <c r="G2320" s="187"/>
      <c r="J2320" s="186"/>
      <c r="K2320" s="180"/>
      <c r="L2320" s="180"/>
      <c r="M2320" s="186"/>
      <c r="N2320" s="186"/>
    </row>
    <row r="2321" spans="2:14" s="188" customFormat="1" ht="15" customHeight="1">
      <c r="B2321" s="187"/>
      <c r="C2321" s="187"/>
      <c r="D2321" s="187"/>
      <c r="E2321" s="187"/>
      <c r="F2321" s="187"/>
      <c r="G2321" s="187"/>
      <c r="J2321" s="186"/>
      <c r="K2321" s="180"/>
      <c r="L2321" s="180"/>
      <c r="M2321" s="186"/>
      <c r="N2321" s="186"/>
    </row>
    <row r="2322" spans="2:14" s="188" customFormat="1" ht="15" customHeight="1">
      <c r="B2322" s="187"/>
      <c r="C2322" s="187"/>
      <c r="D2322" s="187"/>
      <c r="E2322" s="187"/>
      <c r="F2322" s="187"/>
      <c r="G2322" s="187"/>
      <c r="J2322" s="186"/>
      <c r="K2322" s="180"/>
      <c r="L2322" s="180"/>
      <c r="M2322" s="186"/>
      <c r="N2322" s="186"/>
    </row>
    <row r="2323" spans="2:14" s="188" customFormat="1" ht="15" customHeight="1">
      <c r="B2323" s="187"/>
      <c r="C2323" s="187"/>
      <c r="D2323" s="187"/>
      <c r="E2323" s="187"/>
      <c r="F2323" s="187"/>
      <c r="G2323" s="187"/>
      <c r="J2323" s="186"/>
      <c r="K2323" s="180"/>
      <c r="L2323" s="180"/>
      <c r="M2323" s="186"/>
      <c r="N2323" s="186"/>
    </row>
    <row r="2324" spans="2:14" s="188" customFormat="1" ht="15" customHeight="1">
      <c r="B2324" s="187"/>
      <c r="C2324" s="187"/>
      <c r="D2324" s="187"/>
      <c r="E2324" s="187"/>
      <c r="F2324" s="187"/>
      <c r="G2324" s="187"/>
      <c r="J2324" s="186"/>
      <c r="K2324" s="180"/>
      <c r="L2324" s="180"/>
      <c r="M2324" s="186"/>
      <c r="N2324" s="186"/>
    </row>
    <row r="2325" spans="2:14" s="188" customFormat="1" ht="15" customHeight="1">
      <c r="B2325" s="187"/>
      <c r="C2325" s="187"/>
      <c r="D2325" s="187"/>
      <c r="E2325" s="187"/>
      <c r="F2325" s="187"/>
      <c r="G2325" s="187"/>
      <c r="J2325" s="186"/>
      <c r="K2325" s="180"/>
      <c r="L2325" s="180"/>
      <c r="M2325" s="186"/>
      <c r="N2325" s="186"/>
    </row>
    <row r="2326" spans="2:14" s="188" customFormat="1" ht="15" customHeight="1">
      <c r="B2326" s="187"/>
      <c r="C2326" s="187"/>
      <c r="D2326" s="187"/>
      <c r="E2326" s="187"/>
      <c r="F2326" s="187"/>
      <c r="G2326" s="187"/>
      <c r="J2326" s="186"/>
      <c r="K2326" s="180"/>
      <c r="L2326" s="180"/>
      <c r="M2326" s="186"/>
      <c r="N2326" s="186"/>
    </row>
    <row r="2327" spans="2:14" s="188" customFormat="1" ht="15" customHeight="1">
      <c r="B2327" s="187"/>
      <c r="C2327" s="187"/>
      <c r="D2327" s="187"/>
      <c r="E2327" s="187"/>
      <c r="F2327" s="187"/>
      <c r="G2327" s="187"/>
      <c r="J2327" s="186"/>
      <c r="K2327" s="180"/>
      <c r="L2327" s="180"/>
      <c r="M2327" s="186"/>
      <c r="N2327" s="186"/>
    </row>
    <row r="2328" spans="2:14" s="188" customFormat="1" ht="15" customHeight="1">
      <c r="B2328" s="187"/>
      <c r="C2328" s="187"/>
      <c r="D2328" s="187"/>
      <c r="E2328" s="187"/>
      <c r="F2328" s="187"/>
      <c r="G2328" s="187"/>
      <c r="J2328" s="186"/>
      <c r="K2328" s="180"/>
      <c r="L2328" s="180"/>
      <c r="M2328" s="186"/>
      <c r="N2328" s="186"/>
    </row>
    <row r="2329" spans="2:14" s="188" customFormat="1" ht="15" customHeight="1">
      <c r="B2329" s="187"/>
      <c r="C2329" s="187"/>
      <c r="D2329" s="187"/>
      <c r="E2329" s="187"/>
      <c r="F2329" s="187"/>
      <c r="G2329" s="187"/>
      <c r="J2329" s="186"/>
      <c r="K2329" s="180"/>
      <c r="L2329" s="180"/>
      <c r="M2329" s="186"/>
      <c r="N2329" s="186"/>
    </row>
    <row r="2330" spans="2:14" s="188" customFormat="1" ht="15" customHeight="1">
      <c r="B2330" s="187"/>
      <c r="C2330" s="187"/>
      <c r="D2330" s="187"/>
      <c r="E2330" s="187"/>
      <c r="F2330" s="187"/>
      <c r="G2330" s="187"/>
      <c r="J2330" s="186"/>
      <c r="K2330" s="180"/>
      <c r="L2330" s="180"/>
      <c r="M2330" s="186"/>
      <c r="N2330" s="186"/>
    </row>
    <row r="2331" spans="2:14" s="188" customFormat="1" ht="15" customHeight="1">
      <c r="B2331" s="187"/>
      <c r="C2331" s="187"/>
      <c r="D2331" s="187"/>
      <c r="E2331" s="187"/>
      <c r="F2331" s="187"/>
      <c r="G2331" s="187"/>
      <c r="J2331" s="186"/>
      <c r="K2331" s="180"/>
      <c r="L2331" s="180"/>
      <c r="M2331" s="186"/>
      <c r="N2331" s="186"/>
    </row>
    <row r="2332" spans="2:14" s="188" customFormat="1" ht="15" customHeight="1">
      <c r="B2332" s="187"/>
      <c r="C2332" s="187"/>
      <c r="D2332" s="187"/>
      <c r="E2332" s="187"/>
      <c r="F2332" s="187"/>
      <c r="G2332" s="187"/>
      <c r="J2332" s="186"/>
      <c r="K2332" s="180"/>
      <c r="L2332" s="180"/>
      <c r="M2332" s="186"/>
      <c r="N2332" s="186"/>
    </row>
    <row r="2333" spans="2:14" s="188" customFormat="1" ht="15" customHeight="1">
      <c r="B2333" s="187"/>
      <c r="C2333" s="187"/>
      <c r="D2333" s="187"/>
      <c r="E2333" s="187"/>
      <c r="F2333" s="187"/>
      <c r="G2333" s="187"/>
      <c r="J2333" s="186"/>
      <c r="K2333" s="180"/>
      <c r="L2333" s="180"/>
      <c r="M2333" s="186"/>
      <c r="N2333" s="186"/>
    </row>
    <row r="2334" spans="2:14" s="188" customFormat="1" ht="15" customHeight="1">
      <c r="B2334" s="187"/>
      <c r="C2334" s="187"/>
      <c r="D2334" s="187"/>
      <c r="E2334" s="187"/>
      <c r="F2334" s="187"/>
      <c r="G2334" s="187"/>
      <c r="J2334" s="186"/>
      <c r="K2334" s="180"/>
      <c r="L2334" s="180"/>
      <c r="M2334" s="186"/>
      <c r="N2334" s="186"/>
    </row>
    <row r="2335" spans="2:14" s="188" customFormat="1" ht="15" customHeight="1">
      <c r="B2335" s="187"/>
      <c r="C2335" s="187"/>
      <c r="D2335" s="187"/>
      <c r="E2335" s="187"/>
      <c r="F2335" s="187"/>
      <c r="G2335" s="187"/>
      <c r="J2335" s="186"/>
      <c r="K2335" s="180"/>
      <c r="L2335" s="180"/>
      <c r="M2335" s="186"/>
      <c r="N2335" s="186"/>
    </row>
    <row r="2336" spans="2:14" s="188" customFormat="1" ht="15" customHeight="1">
      <c r="B2336" s="187"/>
      <c r="C2336" s="187"/>
      <c r="D2336" s="187"/>
      <c r="E2336" s="187"/>
      <c r="F2336" s="187"/>
      <c r="G2336" s="187"/>
      <c r="J2336" s="186"/>
      <c r="K2336" s="180"/>
      <c r="L2336" s="180"/>
      <c r="M2336" s="186"/>
      <c r="N2336" s="186"/>
    </row>
    <row r="2337" spans="2:14" s="188" customFormat="1" ht="15" customHeight="1">
      <c r="B2337" s="187"/>
      <c r="C2337" s="187"/>
      <c r="D2337" s="187"/>
      <c r="E2337" s="187"/>
      <c r="F2337" s="187"/>
      <c r="G2337" s="187"/>
      <c r="J2337" s="186"/>
      <c r="K2337" s="180"/>
      <c r="L2337" s="180"/>
      <c r="M2337" s="186"/>
      <c r="N2337" s="186"/>
    </row>
    <row r="2338" spans="2:14" s="188" customFormat="1" ht="15" customHeight="1">
      <c r="B2338" s="187"/>
      <c r="C2338" s="187"/>
      <c r="D2338" s="187"/>
      <c r="E2338" s="187"/>
      <c r="F2338" s="187"/>
      <c r="G2338" s="187"/>
      <c r="J2338" s="186"/>
      <c r="K2338" s="180"/>
      <c r="L2338" s="180"/>
      <c r="M2338" s="186"/>
      <c r="N2338" s="186"/>
    </row>
    <row r="2339" spans="2:14" s="188" customFormat="1" ht="15" customHeight="1">
      <c r="B2339" s="187"/>
      <c r="C2339" s="187"/>
      <c r="D2339" s="187"/>
      <c r="E2339" s="187"/>
      <c r="F2339" s="187"/>
      <c r="G2339" s="187"/>
      <c r="J2339" s="186"/>
      <c r="K2339" s="180"/>
      <c r="L2339" s="180"/>
      <c r="M2339" s="186"/>
      <c r="N2339" s="186"/>
    </row>
    <row r="2340" spans="2:14" s="188" customFormat="1" ht="15" customHeight="1">
      <c r="B2340" s="187"/>
      <c r="C2340" s="187"/>
      <c r="D2340" s="187"/>
      <c r="E2340" s="187"/>
      <c r="F2340" s="187"/>
      <c r="G2340" s="187"/>
      <c r="J2340" s="186"/>
      <c r="K2340" s="180"/>
      <c r="L2340" s="180"/>
      <c r="M2340" s="186"/>
      <c r="N2340" s="186"/>
    </row>
    <row r="2341" spans="2:14" s="188" customFormat="1" ht="15" customHeight="1">
      <c r="B2341" s="187"/>
      <c r="C2341" s="187"/>
      <c r="D2341" s="187"/>
      <c r="E2341" s="187"/>
      <c r="F2341" s="187"/>
      <c r="G2341" s="187"/>
      <c r="J2341" s="186"/>
      <c r="K2341" s="180"/>
      <c r="L2341" s="180"/>
      <c r="M2341" s="186"/>
      <c r="N2341" s="186"/>
    </row>
    <row r="2342" spans="2:14" s="188" customFormat="1" ht="15" customHeight="1">
      <c r="B2342" s="187"/>
      <c r="C2342" s="187"/>
      <c r="D2342" s="187"/>
      <c r="E2342" s="187"/>
      <c r="F2342" s="187"/>
      <c r="G2342" s="187"/>
      <c r="J2342" s="186"/>
      <c r="K2342" s="180"/>
      <c r="L2342" s="180"/>
      <c r="M2342" s="186"/>
      <c r="N2342" s="186"/>
    </row>
    <row r="2343" spans="2:14" s="188" customFormat="1" ht="15" customHeight="1">
      <c r="B2343" s="187"/>
      <c r="C2343" s="187"/>
      <c r="D2343" s="187"/>
      <c r="E2343" s="187"/>
      <c r="F2343" s="187"/>
      <c r="G2343" s="187"/>
      <c r="J2343" s="186"/>
      <c r="K2343" s="180"/>
      <c r="L2343" s="180"/>
      <c r="M2343" s="186"/>
      <c r="N2343" s="186"/>
    </row>
    <row r="2344" spans="2:14" s="188" customFormat="1" ht="15" customHeight="1">
      <c r="B2344" s="187"/>
      <c r="C2344" s="187"/>
      <c r="D2344" s="187"/>
      <c r="E2344" s="187"/>
      <c r="F2344" s="187"/>
      <c r="G2344" s="187"/>
      <c r="J2344" s="186"/>
      <c r="K2344" s="180"/>
      <c r="L2344" s="180"/>
      <c r="M2344" s="186"/>
      <c r="N2344" s="186"/>
    </row>
    <row r="2345" spans="2:14" s="188" customFormat="1" ht="15" customHeight="1">
      <c r="B2345" s="187"/>
      <c r="C2345" s="187"/>
      <c r="D2345" s="187"/>
      <c r="E2345" s="187"/>
      <c r="F2345" s="187"/>
      <c r="G2345" s="187"/>
      <c r="J2345" s="186"/>
      <c r="K2345" s="180"/>
      <c r="L2345" s="180"/>
      <c r="M2345" s="186"/>
      <c r="N2345" s="186"/>
    </row>
    <row r="2346" spans="2:14" s="188" customFormat="1" ht="15" customHeight="1">
      <c r="B2346" s="187"/>
      <c r="C2346" s="187"/>
      <c r="D2346" s="187"/>
      <c r="E2346" s="187"/>
      <c r="F2346" s="187"/>
      <c r="G2346" s="187"/>
      <c r="J2346" s="186"/>
      <c r="K2346" s="180"/>
      <c r="L2346" s="180"/>
      <c r="M2346" s="186"/>
      <c r="N2346" s="186"/>
    </row>
    <row r="2347" spans="2:14" s="188" customFormat="1" ht="15" customHeight="1">
      <c r="B2347" s="187"/>
      <c r="C2347" s="187"/>
      <c r="D2347" s="187"/>
      <c r="E2347" s="187"/>
      <c r="F2347" s="187"/>
      <c r="G2347" s="187"/>
      <c r="J2347" s="186"/>
      <c r="K2347" s="180"/>
      <c r="L2347" s="180"/>
      <c r="M2347" s="186"/>
      <c r="N2347" s="186"/>
    </row>
    <row r="2348" spans="2:14" s="188" customFormat="1" ht="15" customHeight="1">
      <c r="B2348" s="187"/>
      <c r="C2348" s="187"/>
      <c r="D2348" s="187"/>
      <c r="E2348" s="187"/>
      <c r="F2348" s="187"/>
      <c r="G2348" s="187"/>
      <c r="J2348" s="186"/>
      <c r="K2348" s="180"/>
      <c r="L2348" s="180"/>
      <c r="M2348" s="186"/>
      <c r="N2348" s="186"/>
    </row>
    <row r="2349" spans="2:14" s="188" customFormat="1" ht="15" customHeight="1">
      <c r="B2349" s="187"/>
      <c r="C2349" s="187"/>
      <c r="D2349" s="187"/>
      <c r="E2349" s="187"/>
      <c r="F2349" s="187"/>
      <c r="G2349" s="187"/>
      <c r="J2349" s="186"/>
      <c r="K2349" s="180"/>
      <c r="L2349" s="180"/>
      <c r="M2349" s="186"/>
      <c r="N2349" s="186"/>
    </row>
    <row r="2350" spans="2:14" s="188" customFormat="1" ht="15" customHeight="1">
      <c r="B2350" s="187"/>
      <c r="C2350" s="187"/>
      <c r="D2350" s="187"/>
      <c r="E2350" s="187"/>
      <c r="F2350" s="187"/>
      <c r="G2350" s="187"/>
      <c r="J2350" s="186"/>
      <c r="K2350" s="180"/>
      <c r="L2350" s="180"/>
      <c r="M2350" s="186"/>
      <c r="N2350" s="186"/>
    </row>
    <row r="2351" spans="2:14" s="188" customFormat="1" ht="15" customHeight="1">
      <c r="B2351" s="187"/>
      <c r="C2351" s="187"/>
      <c r="D2351" s="187"/>
      <c r="E2351" s="187"/>
      <c r="F2351" s="187"/>
      <c r="G2351" s="187"/>
      <c r="J2351" s="186"/>
      <c r="K2351" s="180"/>
      <c r="L2351" s="180"/>
      <c r="M2351" s="186"/>
      <c r="N2351" s="186"/>
    </row>
    <row r="2352" spans="2:14" s="188" customFormat="1" ht="15" customHeight="1">
      <c r="B2352" s="187"/>
      <c r="C2352" s="187"/>
      <c r="D2352" s="187"/>
      <c r="E2352" s="187"/>
      <c r="F2352" s="187"/>
      <c r="G2352" s="187"/>
      <c r="J2352" s="186"/>
      <c r="K2352" s="180"/>
      <c r="L2352" s="180"/>
      <c r="M2352" s="186"/>
      <c r="N2352" s="186"/>
    </row>
    <row r="2353" spans="2:14" s="188" customFormat="1" ht="15" customHeight="1">
      <c r="B2353" s="187"/>
      <c r="C2353" s="187"/>
      <c r="D2353" s="187"/>
      <c r="E2353" s="187"/>
      <c r="F2353" s="187"/>
      <c r="G2353" s="187"/>
      <c r="J2353" s="186"/>
      <c r="K2353" s="180"/>
      <c r="L2353" s="180"/>
      <c r="M2353" s="186"/>
      <c r="N2353" s="186"/>
    </row>
    <row r="2354" spans="2:14" s="188" customFormat="1" ht="15" customHeight="1">
      <c r="B2354" s="187"/>
      <c r="C2354" s="187"/>
      <c r="D2354" s="187"/>
      <c r="E2354" s="187"/>
      <c r="F2354" s="187"/>
      <c r="G2354" s="187"/>
      <c r="J2354" s="186"/>
      <c r="K2354" s="180"/>
      <c r="L2354" s="180"/>
      <c r="M2354" s="186"/>
      <c r="N2354" s="186"/>
    </row>
    <row r="2355" spans="2:14" s="188" customFormat="1" ht="15" customHeight="1">
      <c r="B2355" s="187"/>
      <c r="C2355" s="187"/>
      <c r="D2355" s="187"/>
      <c r="E2355" s="187"/>
      <c r="F2355" s="187"/>
      <c r="G2355" s="187"/>
      <c r="J2355" s="186"/>
      <c r="K2355" s="180"/>
      <c r="L2355" s="180"/>
      <c r="M2355" s="186"/>
      <c r="N2355" s="186"/>
    </row>
    <row r="2356" spans="2:14" s="188" customFormat="1" ht="15" customHeight="1">
      <c r="B2356" s="187"/>
      <c r="C2356" s="187"/>
      <c r="D2356" s="187"/>
      <c r="E2356" s="187"/>
      <c r="F2356" s="187"/>
      <c r="G2356" s="187"/>
      <c r="J2356" s="186"/>
      <c r="K2356" s="180"/>
      <c r="L2356" s="180"/>
      <c r="M2356" s="186"/>
      <c r="N2356" s="186"/>
    </row>
    <row r="2357" spans="2:14" s="188" customFormat="1" ht="15" customHeight="1">
      <c r="B2357" s="187"/>
      <c r="C2357" s="187"/>
      <c r="D2357" s="187"/>
      <c r="E2357" s="187"/>
      <c r="F2357" s="187"/>
      <c r="G2357" s="187"/>
      <c r="J2357" s="186"/>
      <c r="K2357" s="180"/>
      <c r="L2357" s="180"/>
      <c r="M2357" s="186"/>
      <c r="N2357" s="186"/>
    </row>
    <row r="2358" spans="2:14" s="188" customFormat="1" ht="15" customHeight="1">
      <c r="B2358" s="187"/>
      <c r="C2358" s="187"/>
      <c r="D2358" s="187"/>
      <c r="E2358" s="187"/>
      <c r="F2358" s="187"/>
      <c r="G2358" s="187"/>
      <c r="J2358" s="186"/>
      <c r="K2358" s="180"/>
      <c r="L2358" s="180"/>
      <c r="M2358" s="186"/>
      <c r="N2358" s="186"/>
    </row>
    <row r="2359" spans="2:14" s="188" customFormat="1" ht="15" customHeight="1">
      <c r="B2359" s="187"/>
      <c r="C2359" s="187"/>
      <c r="D2359" s="187"/>
      <c r="E2359" s="187"/>
      <c r="F2359" s="187"/>
      <c r="G2359" s="187"/>
      <c r="J2359" s="186"/>
      <c r="K2359" s="180"/>
      <c r="L2359" s="180"/>
      <c r="M2359" s="186"/>
      <c r="N2359" s="186"/>
    </row>
    <row r="2360" spans="2:14" s="188" customFormat="1" ht="15" customHeight="1">
      <c r="B2360" s="187"/>
      <c r="C2360" s="187"/>
      <c r="D2360" s="187"/>
      <c r="E2360" s="187"/>
      <c r="F2360" s="187"/>
      <c r="G2360" s="187"/>
      <c r="J2360" s="186"/>
      <c r="K2360" s="180"/>
      <c r="L2360" s="180"/>
      <c r="M2360" s="186"/>
      <c r="N2360" s="186"/>
    </row>
    <row r="2361" spans="2:14" s="188" customFormat="1" ht="15" customHeight="1">
      <c r="B2361" s="187"/>
      <c r="C2361" s="187"/>
      <c r="D2361" s="187"/>
      <c r="E2361" s="187"/>
      <c r="F2361" s="187"/>
      <c r="G2361" s="187"/>
      <c r="J2361" s="186"/>
      <c r="K2361" s="180"/>
      <c r="L2361" s="180"/>
      <c r="M2361" s="186"/>
      <c r="N2361" s="186"/>
    </row>
    <row r="2362" spans="2:14" s="188" customFormat="1" ht="15" customHeight="1">
      <c r="B2362" s="187"/>
      <c r="C2362" s="187"/>
      <c r="D2362" s="187"/>
      <c r="E2362" s="187"/>
      <c r="F2362" s="187"/>
      <c r="G2362" s="187"/>
      <c r="J2362" s="186"/>
      <c r="K2362" s="180"/>
      <c r="L2362" s="180"/>
      <c r="M2362" s="186"/>
      <c r="N2362" s="186"/>
    </row>
    <row r="2363" spans="2:14" s="188" customFormat="1" ht="15" customHeight="1">
      <c r="B2363" s="187"/>
      <c r="C2363" s="187"/>
      <c r="D2363" s="187"/>
      <c r="E2363" s="187"/>
      <c r="F2363" s="187"/>
      <c r="G2363" s="187"/>
      <c r="J2363" s="186"/>
      <c r="K2363" s="180"/>
      <c r="L2363" s="180"/>
      <c r="M2363" s="186"/>
      <c r="N2363" s="186"/>
    </row>
    <row r="2364" spans="2:14" s="188" customFormat="1" ht="15" customHeight="1">
      <c r="B2364" s="187"/>
      <c r="C2364" s="187"/>
      <c r="D2364" s="187"/>
      <c r="E2364" s="187"/>
      <c r="F2364" s="187"/>
      <c r="G2364" s="187"/>
      <c r="J2364" s="186"/>
      <c r="K2364" s="180"/>
      <c r="L2364" s="180"/>
      <c r="M2364" s="186"/>
      <c r="N2364" s="186"/>
    </row>
    <row r="2365" spans="2:14" s="188" customFormat="1" ht="15" customHeight="1">
      <c r="B2365" s="187"/>
      <c r="C2365" s="187"/>
      <c r="D2365" s="187"/>
      <c r="E2365" s="187"/>
      <c r="F2365" s="187"/>
      <c r="G2365" s="187"/>
      <c r="J2365" s="186"/>
      <c r="K2365" s="180"/>
      <c r="L2365" s="180"/>
      <c r="M2365" s="186"/>
      <c r="N2365" s="186"/>
    </row>
    <row r="2366" spans="2:14" s="188" customFormat="1" ht="15" customHeight="1">
      <c r="B2366" s="187"/>
      <c r="C2366" s="187"/>
      <c r="D2366" s="187"/>
      <c r="E2366" s="187"/>
      <c r="F2366" s="187"/>
      <c r="G2366" s="187"/>
      <c r="J2366" s="186"/>
      <c r="K2366" s="180"/>
      <c r="L2366" s="180"/>
      <c r="M2366" s="186"/>
      <c r="N2366" s="186"/>
    </row>
    <row r="2367" spans="2:14" s="188" customFormat="1" ht="15" customHeight="1">
      <c r="B2367" s="187"/>
      <c r="C2367" s="187"/>
      <c r="D2367" s="187"/>
      <c r="E2367" s="187"/>
      <c r="F2367" s="187"/>
      <c r="G2367" s="187"/>
      <c r="J2367" s="186"/>
      <c r="K2367" s="180"/>
      <c r="L2367" s="180"/>
      <c r="M2367" s="186"/>
      <c r="N2367" s="186"/>
    </row>
    <row r="2368" spans="2:14" s="188" customFormat="1" ht="15" customHeight="1">
      <c r="B2368" s="187"/>
      <c r="C2368" s="187"/>
      <c r="D2368" s="187"/>
      <c r="E2368" s="187"/>
      <c r="F2368" s="187"/>
      <c r="G2368" s="187"/>
      <c r="J2368" s="186"/>
      <c r="K2368" s="180"/>
      <c r="L2368" s="180"/>
      <c r="M2368" s="186"/>
      <c r="N2368" s="186"/>
    </row>
    <row r="2369" spans="2:14" s="188" customFormat="1" ht="15" customHeight="1">
      <c r="B2369" s="187"/>
      <c r="C2369" s="187"/>
      <c r="D2369" s="187"/>
      <c r="E2369" s="187"/>
      <c r="F2369" s="187"/>
      <c r="G2369" s="187"/>
      <c r="J2369" s="186"/>
      <c r="K2369" s="180"/>
      <c r="L2369" s="180"/>
      <c r="M2369" s="186"/>
      <c r="N2369" s="186"/>
    </row>
    <row r="2370" spans="2:14" s="188" customFormat="1" ht="15" customHeight="1">
      <c r="B2370" s="187"/>
      <c r="C2370" s="187"/>
      <c r="D2370" s="187"/>
      <c r="E2370" s="187"/>
      <c r="F2370" s="187"/>
      <c r="G2370" s="187"/>
      <c r="J2370" s="186"/>
      <c r="K2370" s="180"/>
      <c r="L2370" s="180"/>
      <c r="M2370" s="186"/>
      <c r="N2370" s="186"/>
    </row>
    <row r="2371" spans="2:14" s="188" customFormat="1" ht="15" customHeight="1">
      <c r="B2371" s="187"/>
      <c r="C2371" s="187"/>
      <c r="D2371" s="187"/>
      <c r="E2371" s="187"/>
      <c r="F2371" s="187"/>
      <c r="G2371" s="187"/>
      <c r="J2371" s="186"/>
      <c r="K2371" s="180"/>
      <c r="L2371" s="180"/>
      <c r="M2371" s="186"/>
      <c r="N2371" s="186"/>
    </row>
    <row r="2372" spans="2:14" s="188" customFormat="1" ht="15" customHeight="1">
      <c r="B2372" s="187"/>
      <c r="C2372" s="187"/>
      <c r="D2372" s="187"/>
      <c r="E2372" s="187"/>
      <c r="F2372" s="187"/>
      <c r="G2372" s="187"/>
      <c r="J2372" s="186"/>
      <c r="K2372" s="180"/>
      <c r="L2372" s="180"/>
      <c r="M2372" s="186"/>
      <c r="N2372" s="186"/>
    </row>
    <row r="2373" spans="2:14" s="188" customFormat="1" ht="15" customHeight="1">
      <c r="B2373" s="187"/>
      <c r="C2373" s="187"/>
      <c r="D2373" s="187"/>
      <c r="E2373" s="187"/>
      <c r="F2373" s="187"/>
      <c r="G2373" s="187"/>
      <c r="J2373" s="186"/>
      <c r="K2373" s="180"/>
      <c r="L2373" s="180"/>
      <c r="M2373" s="186"/>
      <c r="N2373" s="186"/>
    </row>
    <row r="2374" spans="2:14" s="188" customFormat="1" ht="15" customHeight="1">
      <c r="B2374" s="187"/>
      <c r="C2374" s="187"/>
      <c r="D2374" s="187"/>
      <c r="E2374" s="187"/>
      <c r="F2374" s="187"/>
      <c r="G2374" s="187"/>
      <c r="J2374" s="186"/>
      <c r="K2374" s="180"/>
      <c r="L2374" s="180"/>
      <c r="M2374" s="186"/>
      <c r="N2374" s="186"/>
    </row>
    <row r="2375" spans="2:14" s="188" customFormat="1" ht="15" customHeight="1">
      <c r="B2375" s="187"/>
      <c r="C2375" s="187"/>
      <c r="D2375" s="187"/>
      <c r="E2375" s="187"/>
      <c r="F2375" s="187"/>
      <c r="G2375" s="187"/>
      <c r="J2375" s="186"/>
      <c r="K2375" s="180"/>
      <c r="L2375" s="180"/>
      <c r="M2375" s="186"/>
      <c r="N2375" s="186"/>
    </row>
    <row r="2376" spans="2:14" s="188" customFormat="1" ht="15" customHeight="1">
      <c r="B2376" s="187"/>
      <c r="C2376" s="187"/>
      <c r="D2376" s="187"/>
      <c r="E2376" s="187"/>
      <c r="F2376" s="187"/>
      <c r="G2376" s="187"/>
      <c r="J2376" s="186"/>
      <c r="K2376" s="180"/>
      <c r="L2376" s="180"/>
      <c r="M2376" s="186"/>
      <c r="N2376" s="186"/>
    </row>
    <row r="2377" spans="2:14" s="188" customFormat="1" ht="15" customHeight="1">
      <c r="B2377" s="187"/>
      <c r="C2377" s="187"/>
      <c r="D2377" s="187"/>
      <c r="E2377" s="187"/>
      <c r="F2377" s="187"/>
      <c r="G2377" s="187"/>
      <c r="J2377" s="186"/>
      <c r="K2377" s="180"/>
      <c r="L2377" s="180"/>
      <c r="M2377" s="186"/>
      <c r="N2377" s="186"/>
    </row>
    <row r="2378" spans="2:14" s="188" customFormat="1" ht="15" customHeight="1">
      <c r="B2378" s="187"/>
      <c r="C2378" s="187"/>
      <c r="D2378" s="187"/>
      <c r="E2378" s="187"/>
      <c r="F2378" s="187"/>
      <c r="G2378" s="187"/>
      <c r="J2378" s="186"/>
      <c r="K2378" s="180"/>
      <c r="L2378" s="180"/>
      <c r="M2378" s="186"/>
      <c r="N2378" s="186"/>
    </row>
    <row r="2379" spans="2:14" s="188" customFormat="1" ht="15" customHeight="1">
      <c r="B2379" s="187"/>
      <c r="C2379" s="187"/>
      <c r="D2379" s="187"/>
      <c r="E2379" s="187"/>
      <c r="F2379" s="187"/>
      <c r="G2379" s="187"/>
      <c r="J2379" s="186"/>
      <c r="K2379" s="180"/>
      <c r="L2379" s="180"/>
      <c r="M2379" s="186"/>
      <c r="N2379" s="186"/>
    </row>
    <row r="2380" spans="2:14" s="188" customFormat="1" ht="15" customHeight="1">
      <c r="B2380" s="187"/>
      <c r="C2380" s="187"/>
      <c r="D2380" s="187"/>
      <c r="E2380" s="187"/>
      <c r="F2380" s="187"/>
      <c r="G2380" s="187"/>
      <c r="J2380" s="186"/>
      <c r="K2380" s="180"/>
      <c r="L2380" s="180"/>
      <c r="M2380" s="186"/>
      <c r="N2380" s="186"/>
    </row>
    <row r="2381" spans="2:14" s="188" customFormat="1" ht="15" customHeight="1">
      <c r="B2381" s="187"/>
      <c r="C2381" s="187"/>
      <c r="D2381" s="187"/>
      <c r="E2381" s="187"/>
      <c r="F2381" s="187"/>
      <c r="G2381" s="187"/>
      <c r="J2381" s="186"/>
      <c r="K2381" s="180"/>
      <c r="L2381" s="180"/>
      <c r="M2381" s="186"/>
      <c r="N2381" s="186"/>
    </row>
    <row r="2382" spans="2:14" s="188" customFormat="1" ht="15" customHeight="1">
      <c r="B2382" s="187"/>
      <c r="C2382" s="187"/>
      <c r="D2382" s="187"/>
      <c r="E2382" s="187"/>
      <c r="F2382" s="187"/>
      <c r="G2382" s="187"/>
      <c r="J2382" s="186"/>
      <c r="K2382" s="180"/>
      <c r="L2382" s="180"/>
      <c r="M2382" s="186"/>
      <c r="N2382" s="186"/>
    </row>
    <row r="2383" spans="2:14" s="188" customFormat="1" ht="15" customHeight="1">
      <c r="B2383" s="187"/>
      <c r="C2383" s="187"/>
      <c r="D2383" s="187"/>
      <c r="E2383" s="187"/>
      <c r="F2383" s="187"/>
      <c r="G2383" s="187"/>
      <c r="J2383" s="186"/>
      <c r="K2383" s="180"/>
      <c r="L2383" s="180"/>
      <c r="M2383" s="186"/>
      <c r="N2383" s="186"/>
    </row>
    <row r="2384" spans="2:14" s="188" customFormat="1" ht="15" customHeight="1">
      <c r="B2384" s="187"/>
      <c r="C2384" s="187"/>
      <c r="D2384" s="187"/>
      <c r="E2384" s="187"/>
      <c r="F2384" s="187"/>
      <c r="G2384" s="187"/>
      <c r="J2384" s="186"/>
      <c r="K2384" s="180"/>
      <c r="L2384" s="180"/>
      <c r="M2384" s="186"/>
      <c r="N2384" s="186"/>
    </row>
    <row r="2385" spans="2:14" s="188" customFormat="1" ht="15" customHeight="1">
      <c r="B2385" s="187"/>
      <c r="C2385" s="187"/>
      <c r="D2385" s="187"/>
      <c r="E2385" s="187"/>
      <c r="F2385" s="187"/>
      <c r="G2385" s="187"/>
      <c r="J2385" s="186"/>
      <c r="K2385" s="180"/>
      <c r="L2385" s="180"/>
      <c r="M2385" s="186"/>
      <c r="N2385" s="186"/>
    </row>
    <row r="2386" spans="2:14" s="188" customFormat="1" ht="15" customHeight="1">
      <c r="B2386" s="187"/>
      <c r="C2386" s="187"/>
      <c r="D2386" s="187"/>
      <c r="E2386" s="187"/>
      <c r="F2386" s="187"/>
      <c r="G2386" s="187"/>
      <c r="J2386" s="186"/>
      <c r="K2386" s="180"/>
      <c r="L2386" s="180"/>
      <c r="M2386" s="186"/>
      <c r="N2386" s="186"/>
    </row>
    <row r="2387" spans="2:14" s="188" customFormat="1" ht="15" customHeight="1">
      <c r="B2387" s="187"/>
      <c r="C2387" s="187"/>
      <c r="D2387" s="187"/>
      <c r="E2387" s="187"/>
      <c r="F2387" s="187"/>
      <c r="G2387" s="187"/>
      <c r="J2387" s="186"/>
      <c r="K2387" s="180"/>
      <c r="L2387" s="180"/>
      <c r="M2387" s="186"/>
      <c r="N2387" s="186"/>
    </row>
    <row r="2388" spans="2:14" s="188" customFormat="1" ht="15" customHeight="1">
      <c r="B2388" s="187"/>
      <c r="C2388" s="187"/>
      <c r="D2388" s="187"/>
      <c r="E2388" s="187"/>
      <c r="F2388" s="187"/>
      <c r="G2388" s="187"/>
      <c r="J2388" s="186"/>
      <c r="K2388" s="180"/>
      <c r="L2388" s="180"/>
      <c r="M2388" s="186"/>
      <c r="N2388" s="186"/>
    </row>
    <row r="2389" spans="2:14" s="188" customFormat="1" ht="15" customHeight="1">
      <c r="B2389" s="187"/>
      <c r="C2389" s="187"/>
      <c r="D2389" s="187"/>
      <c r="E2389" s="187"/>
      <c r="F2389" s="187"/>
      <c r="G2389" s="187"/>
      <c r="J2389" s="186"/>
      <c r="K2389" s="180"/>
      <c r="L2389" s="180"/>
      <c r="M2389" s="186"/>
      <c r="N2389" s="186"/>
    </row>
    <row r="2390" spans="2:14" s="188" customFormat="1" ht="15" customHeight="1">
      <c r="B2390" s="187"/>
      <c r="C2390" s="187"/>
      <c r="D2390" s="187"/>
      <c r="E2390" s="187"/>
      <c r="F2390" s="187"/>
      <c r="G2390" s="187"/>
      <c r="J2390" s="186"/>
      <c r="K2390" s="180"/>
      <c r="L2390" s="180"/>
      <c r="M2390" s="186"/>
      <c r="N2390" s="186"/>
    </row>
    <row r="2391" spans="2:14" s="188" customFormat="1" ht="15" customHeight="1">
      <c r="B2391" s="187"/>
      <c r="C2391" s="187"/>
      <c r="D2391" s="187"/>
      <c r="E2391" s="187"/>
      <c r="F2391" s="187"/>
      <c r="G2391" s="187"/>
      <c r="J2391" s="186"/>
      <c r="K2391" s="180"/>
      <c r="L2391" s="180"/>
      <c r="M2391" s="186"/>
      <c r="N2391" s="186"/>
    </row>
    <row r="2392" spans="2:14" s="188" customFormat="1" ht="15" customHeight="1">
      <c r="B2392" s="187"/>
      <c r="C2392" s="187"/>
      <c r="D2392" s="187"/>
      <c r="E2392" s="187"/>
      <c r="F2392" s="187"/>
      <c r="G2392" s="187"/>
      <c r="J2392" s="186"/>
      <c r="K2392" s="180"/>
      <c r="L2392" s="180"/>
      <c r="M2392" s="186"/>
      <c r="N2392" s="186"/>
    </row>
    <row r="2393" spans="2:14" s="188" customFormat="1" ht="15" customHeight="1">
      <c r="B2393" s="187"/>
      <c r="C2393" s="187"/>
      <c r="D2393" s="187"/>
      <c r="E2393" s="187"/>
      <c r="F2393" s="187"/>
      <c r="G2393" s="187"/>
      <c r="J2393" s="186"/>
      <c r="K2393" s="180"/>
      <c r="L2393" s="180"/>
      <c r="M2393" s="186"/>
      <c r="N2393" s="186"/>
    </row>
    <row r="2394" spans="2:14" s="188" customFormat="1" ht="15" customHeight="1">
      <c r="B2394" s="187"/>
      <c r="C2394" s="187"/>
      <c r="D2394" s="187"/>
      <c r="E2394" s="187"/>
      <c r="F2394" s="187"/>
      <c r="G2394" s="187"/>
      <c r="J2394" s="186"/>
      <c r="K2394" s="180"/>
      <c r="L2394" s="180"/>
      <c r="M2394" s="186"/>
      <c r="N2394" s="186"/>
    </row>
    <row r="2395" spans="2:14" s="188" customFormat="1" ht="15" customHeight="1">
      <c r="B2395" s="187"/>
      <c r="C2395" s="187"/>
      <c r="D2395" s="187"/>
      <c r="E2395" s="187"/>
      <c r="F2395" s="187"/>
      <c r="G2395" s="187"/>
      <c r="J2395" s="186"/>
      <c r="K2395" s="180"/>
      <c r="L2395" s="180"/>
      <c r="M2395" s="186"/>
      <c r="N2395" s="186"/>
    </row>
    <row r="2396" spans="2:14" s="188" customFormat="1" ht="15" customHeight="1">
      <c r="B2396" s="187"/>
      <c r="C2396" s="187"/>
      <c r="D2396" s="187"/>
      <c r="E2396" s="187"/>
      <c r="F2396" s="187"/>
      <c r="G2396" s="187"/>
      <c r="J2396" s="186"/>
      <c r="K2396" s="180"/>
      <c r="L2396" s="180"/>
      <c r="M2396" s="186"/>
      <c r="N2396" s="186"/>
    </row>
    <row r="2397" spans="2:14" s="188" customFormat="1" ht="15" customHeight="1">
      <c r="B2397" s="187"/>
      <c r="C2397" s="187"/>
      <c r="D2397" s="187"/>
      <c r="E2397" s="187"/>
      <c r="F2397" s="187"/>
      <c r="G2397" s="187"/>
      <c r="J2397" s="186"/>
      <c r="K2397" s="180"/>
      <c r="L2397" s="180"/>
      <c r="M2397" s="186"/>
      <c r="N2397" s="186"/>
    </row>
    <row r="2398" spans="2:14" s="188" customFormat="1" ht="15" customHeight="1">
      <c r="B2398" s="187"/>
      <c r="C2398" s="187"/>
      <c r="D2398" s="187"/>
      <c r="E2398" s="187"/>
      <c r="F2398" s="187"/>
      <c r="G2398" s="187"/>
      <c r="J2398" s="186"/>
      <c r="K2398" s="180"/>
      <c r="L2398" s="180"/>
      <c r="M2398" s="186"/>
      <c r="N2398" s="186"/>
    </row>
    <row r="2399" spans="2:14" s="188" customFormat="1" ht="15" customHeight="1">
      <c r="B2399" s="187"/>
      <c r="C2399" s="187"/>
      <c r="D2399" s="187"/>
      <c r="E2399" s="187"/>
      <c r="F2399" s="187"/>
      <c r="G2399" s="187"/>
      <c r="J2399" s="186"/>
      <c r="K2399" s="180"/>
      <c r="L2399" s="180"/>
      <c r="M2399" s="186"/>
      <c r="N2399" s="186"/>
    </row>
    <row r="2400" spans="2:14" s="188" customFormat="1" ht="15" customHeight="1">
      <c r="B2400" s="187"/>
      <c r="C2400" s="187"/>
      <c r="D2400" s="187"/>
      <c r="E2400" s="187"/>
      <c r="F2400" s="187"/>
      <c r="G2400" s="187"/>
      <c r="J2400" s="186"/>
      <c r="K2400" s="180"/>
      <c r="L2400" s="180"/>
      <c r="M2400" s="186"/>
      <c r="N2400" s="186"/>
    </row>
    <row r="2401" spans="2:14" s="188" customFormat="1" ht="15" customHeight="1">
      <c r="B2401" s="187"/>
      <c r="C2401" s="187"/>
      <c r="D2401" s="187"/>
      <c r="E2401" s="187"/>
      <c r="F2401" s="187"/>
      <c r="G2401" s="187"/>
      <c r="J2401" s="186"/>
      <c r="K2401" s="180"/>
      <c r="L2401" s="180"/>
      <c r="M2401" s="186"/>
      <c r="N2401" s="186"/>
    </row>
    <row r="2402" spans="2:14" s="188" customFormat="1" ht="15" customHeight="1">
      <c r="B2402" s="187"/>
      <c r="C2402" s="187"/>
      <c r="D2402" s="187"/>
      <c r="E2402" s="187"/>
      <c r="F2402" s="187"/>
      <c r="G2402" s="187"/>
      <c r="J2402" s="186"/>
      <c r="K2402" s="180"/>
      <c r="L2402" s="180"/>
      <c r="M2402" s="186"/>
      <c r="N2402" s="186"/>
    </row>
    <row r="2403" spans="2:14" s="188" customFormat="1" ht="15" customHeight="1">
      <c r="B2403" s="187"/>
      <c r="C2403" s="187"/>
      <c r="D2403" s="187"/>
      <c r="E2403" s="187"/>
      <c r="F2403" s="187"/>
      <c r="G2403" s="187"/>
      <c r="J2403" s="186"/>
      <c r="K2403" s="180"/>
      <c r="L2403" s="180"/>
      <c r="M2403" s="186"/>
      <c r="N2403" s="186"/>
    </row>
    <row r="2404" spans="2:14" s="188" customFormat="1" ht="15" customHeight="1">
      <c r="B2404" s="187"/>
      <c r="C2404" s="187"/>
      <c r="D2404" s="187"/>
      <c r="E2404" s="187"/>
      <c r="F2404" s="187"/>
      <c r="G2404" s="187"/>
      <c r="J2404" s="186"/>
      <c r="K2404" s="180"/>
      <c r="L2404" s="180"/>
      <c r="M2404" s="186"/>
      <c r="N2404" s="186"/>
    </row>
    <row r="2405" spans="2:14" s="188" customFormat="1" ht="15" customHeight="1">
      <c r="B2405" s="187"/>
      <c r="C2405" s="187"/>
      <c r="D2405" s="187"/>
      <c r="E2405" s="187"/>
      <c r="F2405" s="187"/>
      <c r="G2405" s="187"/>
      <c r="J2405" s="186"/>
      <c r="K2405" s="180"/>
      <c r="L2405" s="180"/>
      <c r="M2405" s="186"/>
      <c r="N2405" s="186"/>
    </row>
    <row r="2406" spans="2:14" s="188" customFormat="1" ht="15" customHeight="1">
      <c r="B2406" s="187"/>
      <c r="C2406" s="187"/>
      <c r="D2406" s="187"/>
      <c r="E2406" s="187"/>
      <c r="F2406" s="187"/>
      <c r="G2406" s="187"/>
      <c r="J2406" s="186"/>
      <c r="K2406" s="180"/>
      <c r="L2406" s="180"/>
      <c r="M2406" s="186"/>
      <c r="N2406" s="186"/>
    </row>
    <row r="2407" spans="2:14" s="188" customFormat="1" ht="15" customHeight="1">
      <c r="B2407" s="187"/>
      <c r="C2407" s="187"/>
      <c r="D2407" s="187"/>
      <c r="E2407" s="187"/>
      <c r="F2407" s="187"/>
      <c r="G2407" s="187"/>
      <c r="J2407" s="186"/>
      <c r="K2407" s="180"/>
      <c r="L2407" s="180"/>
      <c r="M2407" s="186"/>
      <c r="N2407" s="186"/>
    </row>
    <row r="2408" spans="2:14" s="188" customFormat="1" ht="15" customHeight="1">
      <c r="B2408" s="187"/>
      <c r="C2408" s="187"/>
      <c r="D2408" s="187"/>
      <c r="E2408" s="187"/>
      <c r="F2408" s="187"/>
      <c r="G2408" s="187"/>
      <c r="J2408" s="186"/>
      <c r="K2408" s="180"/>
      <c r="L2408" s="180"/>
      <c r="M2408" s="186"/>
      <c r="N2408" s="186"/>
    </row>
    <row r="2409" spans="2:14" s="188" customFormat="1" ht="15" customHeight="1">
      <c r="B2409" s="187"/>
      <c r="C2409" s="187"/>
      <c r="D2409" s="187"/>
      <c r="E2409" s="187"/>
      <c r="F2409" s="187"/>
      <c r="G2409" s="187"/>
      <c r="J2409" s="186"/>
      <c r="K2409" s="180"/>
      <c r="L2409" s="180"/>
      <c r="M2409" s="186"/>
      <c r="N2409" s="186"/>
    </row>
    <row r="2410" spans="2:14" s="188" customFormat="1" ht="15" customHeight="1">
      <c r="B2410" s="187"/>
      <c r="C2410" s="187"/>
      <c r="D2410" s="187"/>
      <c r="E2410" s="187"/>
      <c r="F2410" s="187"/>
      <c r="G2410" s="187"/>
      <c r="J2410" s="186"/>
      <c r="K2410" s="180"/>
      <c r="L2410" s="180"/>
      <c r="M2410" s="186"/>
      <c r="N2410" s="186"/>
    </row>
    <row r="2411" spans="2:14" s="188" customFormat="1" ht="15" customHeight="1">
      <c r="B2411" s="187"/>
      <c r="C2411" s="187"/>
      <c r="D2411" s="187"/>
      <c r="E2411" s="187"/>
      <c r="F2411" s="187"/>
      <c r="G2411" s="187"/>
      <c r="J2411" s="186"/>
      <c r="K2411" s="180"/>
      <c r="L2411" s="180"/>
      <c r="M2411" s="186"/>
      <c r="N2411" s="186"/>
    </row>
    <row r="2412" spans="2:14" s="188" customFormat="1" ht="15" customHeight="1">
      <c r="B2412" s="187"/>
      <c r="C2412" s="187"/>
      <c r="D2412" s="187"/>
      <c r="E2412" s="187"/>
      <c r="F2412" s="187"/>
      <c r="G2412" s="187"/>
      <c r="J2412" s="186"/>
      <c r="K2412" s="180"/>
      <c r="L2412" s="180"/>
      <c r="M2412" s="186"/>
      <c r="N2412" s="186"/>
    </row>
    <row r="2413" spans="2:14" s="188" customFormat="1" ht="15" customHeight="1">
      <c r="B2413" s="187"/>
      <c r="C2413" s="187"/>
      <c r="D2413" s="187"/>
      <c r="E2413" s="187"/>
      <c r="F2413" s="187"/>
      <c r="G2413" s="187"/>
      <c r="J2413" s="186"/>
      <c r="K2413" s="180"/>
      <c r="L2413" s="180"/>
      <c r="M2413" s="186"/>
      <c r="N2413" s="186"/>
    </row>
    <row r="2414" spans="2:14" s="188" customFormat="1" ht="15" customHeight="1">
      <c r="B2414" s="187"/>
      <c r="C2414" s="187"/>
      <c r="D2414" s="187"/>
      <c r="E2414" s="187"/>
      <c r="F2414" s="187"/>
      <c r="G2414" s="187"/>
      <c r="J2414" s="186"/>
      <c r="K2414" s="180"/>
      <c r="L2414" s="180"/>
      <c r="M2414" s="186"/>
      <c r="N2414" s="186"/>
    </row>
    <row r="2415" spans="2:14" s="188" customFormat="1" ht="15" customHeight="1">
      <c r="B2415" s="187"/>
      <c r="C2415" s="187"/>
      <c r="D2415" s="187"/>
      <c r="E2415" s="187"/>
      <c r="F2415" s="187"/>
      <c r="G2415" s="187"/>
      <c r="J2415" s="186"/>
      <c r="K2415" s="180"/>
      <c r="L2415" s="180"/>
      <c r="M2415" s="186"/>
      <c r="N2415" s="186"/>
    </row>
    <row r="2416" spans="2:14" s="188" customFormat="1" ht="15" customHeight="1">
      <c r="B2416" s="187"/>
      <c r="C2416" s="187"/>
      <c r="D2416" s="187"/>
      <c r="E2416" s="187"/>
      <c r="F2416" s="187"/>
      <c r="G2416" s="187"/>
      <c r="J2416" s="186"/>
      <c r="K2416" s="180"/>
      <c r="L2416" s="180"/>
      <c r="M2416" s="186"/>
      <c r="N2416" s="186"/>
    </row>
    <row r="2417" spans="2:14" s="188" customFormat="1" ht="15" customHeight="1">
      <c r="B2417" s="187"/>
      <c r="C2417" s="187"/>
      <c r="D2417" s="187"/>
      <c r="E2417" s="187"/>
      <c r="F2417" s="187"/>
      <c r="G2417" s="187"/>
      <c r="J2417" s="186"/>
      <c r="K2417" s="180"/>
      <c r="L2417" s="180"/>
      <c r="M2417" s="186"/>
      <c r="N2417" s="186"/>
    </row>
    <row r="2418" spans="2:14" s="188" customFormat="1" ht="15" customHeight="1">
      <c r="B2418" s="187"/>
      <c r="C2418" s="187"/>
      <c r="D2418" s="187"/>
      <c r="E2418" s="187"/>
      <c r="F2418" s="187"/>
      <c r="G2418" s="187"/>
      <c r="J2418" s="186"/>
      <c r="K2418" s="180"/>
      <c r="L2418" s="180"/>
      <c r="M2418" s="186"/>
      <c r="N2418" s="186"/>
    </row>
    <row r="2419" spans="2:14" s="188" customFormat="1" ht="15" customHeight="1">
      <c r="B2419" s="187"/>
      <c r="C2419" s="187"/>
      <c r="D2419" s="187"/>
      <c r="E2419" s="187"/>
      <c r="F2419" s="187"/>
      <c r="G2419" s="187"/>
      <c r="J2419" s="186"/>
      <c r="K2419" s="180"/>
      <c r="L2419" s="180"/>
      <c r="M2419" s="186"/>
      <c r="N2419" s="186"/>
    </row>
    <row r="2420" spans="2:14" s="188" customFormat="1" ht="15" customHeight="1">
      <c r="B2420" s="187"/>
      <c r="C2420" s="187"/>
      <c r="D2420" s="187"/>
      <c r="E2420" s="187"/>
      <c r="F2420" s="187"/>
      <c r="G2420" s="187"/>
      <c r="J2420" s="186"/>
      <c r="K2420" s="180"/>
      <c r="L2420" s="180"/>
      <c r="M2420" s="186"/>
      <c r="N2420" s="186"/>
    </row>
    <row r="2421" spans="2:14" s="188" customFormat="1" ht="15" customHeight="1">
      <c r="B2421" s="187"/>
      <c r="C2421" s="187"/>
      <c r="D2421" s="187"/>
      <c r="E2421" s="187"/>
      <c r="F2421" s="187"/>
      <c r="G2421" s="187"/>
      <c r="J2421" s="186"/>
      <c r="K2421" s="180"/>
      <c r="L2421" s="180"/>
      <c r="M2421" s="186"/>
      <c r="N2421" s="186"/>
    </row>
    <row r="2422" spans="2:14" s="188" customFormat="1" ht="15" customHeight="1">
      <c r="B2422" s="187"/>
      <c r="C2422" s="187"/>
      <c r="D2422" s="187"/>
      <c r="E2422" s="187"/>
      <c r="F2422" s="187"/>
      <c r="G2422" s="187"/>
      <c r="J2422" s="186"/>
      <c r="K2422" s="180"/>
      <c r="L2422" s="180"/>
      <c r="M2422" s="186"/>
      <c r="N2422" s="186"/>
    </row>
    <row r="2423" spans="2:14" s="188" customFormat="1" ht="15" customHeight="1">
      <c r="B2423" s="187"/>
      <c r="C2423" s="187"/>
      <c r="D2423" s="187"/>
      <c r="E2423" s="187"/>
      <c r="F2423" s="187"/>
      <c r="G2423" s="187"/>
      <c r="J2423" s="186"/>
      <c r="K2423" s="180"/>
      <c r="L2423" s="180"/>
      <c r="M2423" s="186"/>
      <c r="N2423" s="186"/>
    </row>
    <row r="2424" spans="2:14" s="188" customFormat="1" ht="15" customHeight="1">
      <c r="B2424" s="187"/>
      <c r="C2424" s="187"/>
      <c r="D2424" s="187"/>
      <c r="E2424" s="187"/>
      <c r="F2424" s="187"/>
      <c r="G2424" s="187"/>
      <c r="J2424" s="186"/>
      <c r="K2424" s="180"/>
      <c r="L2424" s="180"/>
      <c r="M2424" s="186"/>
      <c r="N2424" s="186"/>
    </row>
    <row r="2425" spans="2:14" s="188" customFormat="1" ht="15" customHeight="1">
      <c r="B2425" s="187"/>
      <c r="C2425" s="187"/>
      <c r="D2425" s="187"/>
      <c r="E2425" s="187"/>
      <c r="F2425" s="187"/>
      <c r="G2425" s="187"/>
      <c r="J2425" s="186"/>
      <c r="K2425" s="180"/>
      <c r="L2425" s="180"/>
      <c r="M2425" s="186"/>
      <c r="N2425" s="186"/>
    </row>
    <row r="2426" spans="2:14" s="188" customFormat="1" ht="15" customHeight="1">
      <c r="B2426" s="187"/>
      <c r="C2426" s="187"/>
      <c r="D2426" s="187"/>
      <c r="E2426" s="187"/>
      <c r="F2426" s="187"/>
      <c r="G2426" s="187"/>
      <c r="J2426" s="186"/>
      <c r="K2426" s="180"/>
      <c r="L2426" s="180"/>
      <c r="M2426" s="186"/>
      <c r="N2426" s="186"/>
    </row>
    <row r="2427" spans="2:14" s="188" customFormat="1" ht="15" customHeight="1">
      <c r="B2427" s="187"/>
      <c r="C2427" s="187"/>
      <c r="D2427" s="187"/>
      <c r="E2427" s="187"/>
      <c r="F2427" s="187"/>
      <c r="G2427" s="187"/>
      <c r="J2427" s="186"/>
      <c r="K2427" s="180"/>
      <c r="L2427" s="180"/>
      <c r="M2427" s="186"/>
      <c r="N2427" s="186"/>
    </row>
    <row r="2428" spans="2:14" s="188" customFormat="1" ht="15" customHeight="1">
      <c r="B2428" s="187"/>
      <c r="C2428" s="187"/>
      <c r="D2428" s="187"/>
      <c r="E2428" s="187"/>
      <c r="F2428" s="187"/>
      <c r="G2428" s="187"/>
      <c r="J2428" s="186"/>
      <c r="K2428" s="180"/>
      <c r="L2428" s="180"/>
      <c r="M2428" s="186"/>
      <c r="N2428" s="186"/>
    </row>
    <row r="2429" spans="2:14" s="188" customFormat="1" ht="15" customHeight="1">
      <c r="B2429" s="187"/>
      <c r="C2429" s="187"/>
      <c r="D2429" s="187"/>
      <c r="E2429" s="187"/>
      <c r="F2429" s="187"/>
      <c r="G2429" s="187"/>
      <c r="J2429" s="186"/>
      <c r="K2429" s="180"/>
      <c r="L2429" s="180"/>
      <c r="M2429" s="186"/>
      <c r="N2429" s="186"/>
    </row>
    <row r="2430" spans="2:14" s="188" customFormat="1" ht="15" customHeight="1">
      <c r="B2430" s="187"/>
      <c r="C2430" s="187"/>
      <c r="D2430" s="187"/>
      <c r="E2430" s="187"/>
      <c r="F2430" s="187"/>
      <c r="G2430" s="187"/>
      <c r="J2430" s="186"/>
      <c r="K2430" s="180"/>
      <c r="L2430" s="180"/>
      <c r="M2430" s="186"/>
      <c r="N2430" s="186"/>
    </row>
    <row r="2431" spans="2:14" s="188" customFormat="1" ht="15" customHeight="1">
      <c r="B2431" s="187"/>
      <c r="C2431" s="187"/>
      <c r="D2431" s="187"/>
      <c r="E2431" s="187"/>
      <c r="F2431" s="187"/>
      <c r="G2431" s="187"/>
      <c r="J2431" s="186"/>
      <c r="K2431" s="180"/>
      <c r="L2431" s="180"/>
      <c r="M2431" s="186"/>
      <c r="N2431" s="186"/>
    </row>
    <row r="2432" spans="2:14" s="188" customFormat="1" ht="15" customHeight="1">
      <c r="B2432" s="187"/>
      <c r="C2432" s="187"/>
      <c r="D2432" s="187"/>
      <c r="E2432" s="187"/>
      <c r="F2432" s="187"/>
      <c r="G2432" s="187"/>
      <c r="J2432" s="186"/>
      <c r="K2432" s="180"/>
      <c r="L2432" s="180"/>
      <c r="M2432" s="186"/>
      <c r="N2432" s="186"/>
    </row>
    <row r="2433" spans="2:14" s="188" customFormat="1" ht="15" customHeight="1">
      <c r="B2433" s="187"/>
      <c r="C2433" s="187"/>
      <c r="D2433" s="187"/>
      <c r="E2433" s="187"/>
      <c r="F2433" s="187"/>
      <c r="G2433" s="187"/>
      <c r="J2433" s="186"/>
      <c r="K2433" s="180"/>
      <c r="L2433" s="180"/>
      <c r="M2433" s="186"/>
      <c r="N2433" s="186"/>
    </row>
    <row r="2434" spans="2:14" s="188" customFormat="1" ht="15" customHeight="1">
      <c r="B2434" s="187"/>
      <c r="C2434" s="187"/>
      <c r="D2434" s="187"/>
      <c r="E2434" s="187"/>
      <c r="F2434" s="187"/>
      <c r="G2434" s="187"/>
      <c r="J2434" s="186"/>
      <c r="K2434" s="180"/>
      <c r="L2434" s="180"/>
      <c r="M2434" s="186"/>
      <c r="N2434" s="186"/>
    </row>
    <row r="2435" spans="2:14" s="188" customFormat="1" ht="15" customHeight="1">
      <c r="B2435" s="187"/>
      <c r="C2435" s="187"/>
      <c r="D2435" s="187"/>
      <c r="E2435" s="187"/>
      <c r="F2435" s="187"/>
      <c r="G2435" s="187"/>
      <c r="J2435" s="186"/>
      <c r="K2435" s="180"/>
      <c r="L2435" s="180"/>
      <c r="M2435" s="186"/>
      <c r="N2435" s="186"/>
    </row>
    <row r="2436" spans="2:14" s="188" customFormat="1" ht="15" customHeight="1">
      <c r="B2436" s="187"/>
      <c r="C2436" s="187"/>
      <c r="D2436" s="187"/>
      <c r="E2436" s="187"/>
      <c r="F2436" s="187"/>
      <c r="G2436" s="187"/>
      <c r="J2436" s="186"/>
      <c r="K2436" s="180"/>
      <c r="L2436" s="180"/>
      <c r="M2436" s="186"/>
      <c r="N2436" s="186"/>
    </row>
    <row r="2437" spans="2:14" s="188" customFormat="1" ht="15" customHeight="1">
      <c r="B2437" s="187"/>
      <c r="C2437" s="187"/>
      <c r="D2437" s="187"/>
      <c r="E2437" s="187"/>
      <c r="F2437" s="187"/>
      <c r="G2437" s="187"/>
      <c r="J2437" s="186"/>
      <c r="K2437" s="180"/>
      <c r="L2437" s="180"/>
      <c r="M2437" s="186"/>
      <c r="N2437" s="186"/>
    </row>
    <row r="2438" spans="2:14" s="188" customFormat="1" ht="15" customHeight="1">
      <c r="B2438" s="187"/>
      <c r="C2438" s="187"/>
      <c r="D2438" s="187"/>
      <c r="E2438" s="187"/>
      <c r="F2438" s="187"/>
      <c r="G2438" s="187"/>
      <c r="J2438" s="186"/>
      <c r="K2438" s="180"/>
      <c r="L2438" s="180"/>
      <c r="M2438" s="186"/>
      <c r="N2438" s="186"/>
    </row>
    <row r="2439" spans="2:14" s="188" customFormat="1" ht="15" customHeight="1">
      <c r="B2439" s="187"/>
      <c r="C2439" s="187"/>
      <c r="D2439" s="187"/>
      <c r="E2439" s="187"/>
      <c r="F2439" s="187"/>
      <c r="G2439" s="187"/>
      <c r="J2439" s="186"/>
      <c r="K2439" s="180"/>
      <c r="L2439" s="180"/>
      <c r="M2439" s="186"/>
      <c r="N2439" s="186"/>
    </row>
    <row r="2440" spans="2:14" s="188" customFormat="1" ht="15" customHeight="1">
      <c r="B2440" s="187"/>
      <c r="C2440" s="187"/>
      <c r="D2440" s="187"/>
      <c r="E2440" s="187"/>
      <c r="F2440" s="187"/>
      <c r="G2440" s="187"/>
      <c r="J2440" s="186"/>
      <c r="K2440" s="180"/>
      <c r="L2440" s="180"/>
      <c r="M2440" s="186"/>
      <c r="N2440" s="186"/>
    </row>
    <row r="2441" spans="2:14" s="188" customFormat="1" ht="15" customHeight="1">
      <c r="B2441" s="187"/>
      <c r="C2441" s="187"/>
      <c r="D2441" s="187"/>
      <c r="E2441" s="187"/>
      <c r="F2441" s="187"/>
      <c r="G2441" s="187"/>
      <c r="J2441" s="186"/>
      <c r="K2441" s="180"/>
      <c r="L2441" s="180"/>
      <c r="M2441" s="186"/>
      <c r="N2441" s="186"/>
    </row>
    <row r="2442" spans="2:14" s="188" customFormat="1" ht="15" customHeight="1">
      <c r="B2442" s="187"/>
      <c r="C2442" s="187"/>
      <c r="D2442" s="187"/>
      <c r="E2442" s="187"/>
      <c r="F2442" s="187"/>
      <c r="G2442" s="187"/>
      <c r="J2442" s="186"/>
      <c r="K2442" s="180"/>
      <c r="L2442" s="180"/>
      <c r="M2442" s="186"/>
      <c r="N2442" s="186"/>
    </row>
    <row r="2443" spans="2:14" s="188" customFormat="1" ht="15" customHeight="1">
      <c r="B2443" s="187"/>
      <c r="C2443" s="187"/>
      <c r="D2443" s="187"/>
      <c r="E2443" s="187"/>
      <c r="F2443" s="187"/>
      <c r="G2443" s="187"/>
      <c r="J2443" s="186"/>
      <c r="K2443" s="180"/>
      <c r="L2443" s="180"/>
      <c r="M2443" s="186"/>
      <c r="N2443" s="186"/>
    </row>
    <row r="2444" spans="2:14" s="188" customFormat="1" ht="15" customHeight="1">
      <c r="B2444" s="187"/>
      <c r="C2444" s="187"/>
      <c r="D2444" s="187"/>
      <c r="E2444" s="187"/>
      <c r="F2444" s="187"/>
      <c r="G2444" s="187"/>
      <c r="J2444" s="186"/>
      <c r="K2444" s="180"/>
      <c r="L2444" s="180"/>
      <c r="M2444" s="186"/>
      <c r="N2444" s="186"/>
    </row>
    <row r="2445" spans="2:14" s="188" customFormat="1" ht="15" customHeight="1">
      <c r="B2445" s="187"/>
      <c r="C2445" s="187"/>
      <c r="D2445" s="187"/>
      <c r="E2445" s="187"/>
      <c r="F2445" s="187"/>
      <c r="G2445" s="187"/>
      <c r="J2445" s="186"/>
      <c r="K2445" s="180"/>
      <c r="L2445" s="180"/>
      <c r="M2445" s="186"/>
      <c r="N2445" s="186"/>
    </row>
    <row r="2446" spans="2:14" s="188" customFormat="1" ht="15" customHeight="1">
      <c r="B2446" s="187"/>
      <c r="C2446" s="187"/>
      <c r="D2446" s="187"/>
      <c r="E2446" s="187"/>
      <c r="F2446" s="187"/>
      <c r="G2446" s="187"/>
      <c r="J2446" s="186"/>
      <c r="K2446" s="180"/>
      <c r="L2446" s="180"/>
      <c r="M2446" s="186"/>
      <c r="N2446" s="186"/>
    </row>
    <row r="2447" spans="2:14" s="188" customFormat="1" ht="15" customHeight="1">
      <c r="B2447" s="187"/>
      <c r="C2447" s="187"/>
      <c r="D2447" s="187"/>
      <c r="E2447" s="187"/>
      <c r="F2447" s="187"/>
      <c r="G2447" s="187"/>
      <c r="J2447" s="186"/>
      <c r="K2447" s="180"/>
      <c r="L2447" s="180"/>
      <c r="M2447" s="186"/>
      <c r="N2447" s="186"/>
    </row>
    <row r="2448" spans="2:14" s="188" customFormat="1" ht="15" customHeight="1">
      <c r="B2448" s="187"/>
      <c r="C2448" s="187"/>
      <c r="D2448" s="187"/>
      <c r="E2448" s="187"/>
      <c r="F2448" s="187"/>
      <c r="G2448" s="187"/>
      <c r="J2448" s="186"/>
      <c r="K2448" s="180"/>
      <c r="L2448" s="180"/>
      <c r="M2448" s="186"/>
      <c r="N2448" s="186"/>
    </row>
    <row r="2449" spans="2:14" s="188" customFormat="1" ht="15" customHeight="1">
      <c r="B2449" s="187"/>
      <c r="C2449" s="187"/>
      <c r="D2449" s="187"/>
      <c r="E2449" s="187"/>
      <c r="F2449" s="187"/>
      <c r="G2449" s="187"/>
      <c r="J2449" s="186"/>
      <c r="K2449" s="180"/>
      <c r="L2449" s="180"/>
      <c r="M2449" s="186"/>
      <c r="N2449" s="186"/>
    </row>
    <row r="2450" spans="2:14" s="188" customFormat="1" ht="15" customHeight="1">
      <c r="B2450" s="187"/>
      <c r="C2450" s="187"/>
      <c r="D2450" s="187"/>
      <c r="E2450" s="187"/>
      <c r="F2450" s="187"/>
      <c r="G2450" s="187"/>
      <c r="J2450" s="186"/>
      <c r="K2450" s="180"/>
      <c r="L2450" s="180"/>
      <c r="M2450" s="186"/>
      <c r="N2450" s="186"/>
    </row>
    <row r="2451" spans="2:14" s="188" customFormat="1" ht="15" customHeight="1">
      <c r="B2451" s="187"/>
      <c r="C2451" s="187"/>
      <c r="D2451" s="187"/>
      <c r="E2451" s="187"/>
      <c r="F2451" s="187"/>
      <c r="G2451" s="187"/>
      <c r="J2451" s="186"/>
      <c r="K2451" s="180"/>
      <c r="L2451" s="180"/>
      <c r="M2451" s="186"/>
      <c r="N2451" s="186"/>
    </row>
    <row r="2452" spans="2:14" s="188" customFormat="1" ht="15" customHeight="1">
      <c r="B2452" s="187"/>
      <c r="C2452" s="187"/>
      <c r="D2452" s="187"/>
      <c r="E2452" s="187"/>
      <c r="F2452" s="187"/>
      <c r="G2452" s="187"/>
      <c r="J2452" s="186"/>
      <c r="K2452" s="180"/>
      <c r="L2452" s="180"/>
      <c r="M2452" s="186"/>
      <c r="N2452" s="186"/>
    </row>
    <row r="2453" spans="2:14" s="188" customFormat="1" ht="15" customHeight="1">
      <c r="B2453" s="187"/>
      <c r="C2453" s="187"/>
      <c r="D2453" s="187"/>
      <c r="E2453" s="187"/>
      <c r="F2453" s="187"/>
      <c r="G2453" s="187"/>
      <c r="J2453" s="186"/>
      <c r="K2453" s="180"/>
      <c r="L2453" s="180"/>
      <c r="M2453" s="186"/>
      <c r="N2453" s="186"/>
    </row>
    <row r="2454" spans="2:14" s="188" customFormat="1" ht="15" customHeight="1">
      <c r="B2454" s="187"/>
      <c r="C2454" s="187"/>
      <c r="D2454" s="187"/>
      <c r="E2454" s="187"/>
      <c r="F2454" s="187"/>
      <c r="G2454" s="187"/>
      <c r="J2454" s="186"/>
      <c r="K2454" s="180"/>
      <c r="L2454" s="180"/>
      <c r="M2454" s="186"/>
      <c r="N2454" s="186"/>
    </row>
    <row r="2455" spans="2:14" s="188" customFormat="1" ht="15" customHeight="1">
      <c r="B2455" s="187"/>
      <c r="C2455" s="187"/>
      <c r="D2455" s="187"/>
      <c r="E2455" s="187"/>
      <c r="F2455" s="187"/>
      <c r="G2455" s="187"/>
      <c r="J2455" s="186"/>
      <c r="K2455" s="180"/>
      <c r="L2455" s="180"/>
      <c r="M2455" s="186"/>
      <c r="N2455" s="186"/>
    </row>
    <row r="2456" spans="2:14" s="188" customFormat="1" ht="15" customHeight="1">
      <c r="B2456" s="187"/>
      <c r="C2456" s="187"/>
      <c r="D2456" s="187"/>
      <c r="E2456" s="187"/>
      <c r="F2456" s="187"/>
      <c r="G2456" s="187"/>
      <c r="J2456" s="186"/>
      <c r="K2456" s="180"/>
      <c r="L2456" s="180"/>
      <c r="M2456" s="186"/>
      <c r="N2456" s="186"/>
    </row>
    <row r="2457" spans="2:14" s="188" customFormat="1" ht="15" customHeight="1">
      <c r="B2457" s="187"/>
      <c r="C2457" s="187"/>
      <c r="D2457" s="187"/>
      <c r="E2457" s="187"/>
      <c r="F2457" s="187"/>
      <c r="G2457" s="187"/>
      <c r="J2457" s="186"/>
      <c r="K2457" s="180"/>
      <c r="L2457" s="180"/>
      <c r="M2457" s="186"/>
      <c r="N2457" s="186"/>
    </row>
    <row r="2458" spans="2:14" s="188" customFormat="1" ht="15" customHeight="1">
      <c r="B2458" s="187"/>
      <c r="C2458" s="187"/>
      <c r="D2458" s="187"/>
      <c r="E2458" s="187"/>
      <c r="F2458" s="187"/>
      <c r="G2458" s="187"/>
      <c r="J2458" s="186"/>
      <c r="K2458" s="180"/>
      <c r="L2458" s="180"/>
      <c r="M2458" s="186"/>
      <c r="N2458" s="186"/>
    </row>
    <row r="2459" spans="2:14" s="188" customFormat="1" ht="15" customHeight="1">
      <c r="B2459" s="187"/>
      <c r="C2459" s="187"/>
      <c r="D2459" s="187"/>
      <c r="E2459" s="187"/>
      <c r="F2459" s="187"/>
      <c r="G2459" s="187"/>
      <c r="J2459" s="186"/>
      <c r="K2459" s="180"/>
      <c r="L2459" s="180"/>
      <c r="M2459" s="186"/>
      <c r="N2459" s="186"/>
    </row>
    <row r="2460" spans="2:14" s="188" customFormat="1" ht="15" customHeight="1">
      <c r="B2460" s="187"/>
      <c r="C2460" s="187"/>
      <c r="D2460" s="187"/>
      <c r="E2460" s="187"/>
      <c r="F2460" s="187"/>
      <c r="G2460" s="187"/>
      <c r="J2460" s="186"/>
      <c r="K2460" s="180"/>
      <c r="L2460" s="180"/>
      <c r="M2460" s="186"/>
      <c r="N2460" s="186"/>
    </row>
    <row r="2461" spans="2:14" s="188" customFormat="1" ht="15" customHeight="1">
      <c r="B2461" s="187"/>
      <c r="C2461" s="187"/>
      <c r="D2461" s="187"/>
      <c r="E2461" s="187"/>
      <c r="F2461" s="187"/>
      <c r="G2461" s="187"/>
      <c r="J2461" s="186"/>
      <c r="K2461" s="180"/>
      <c r="L2461" s="180"/>
      <c r="M2461" s="186"/>
      <c r="N2461" s="186"/>
    </row>
    <row r="2462" spans="2:14" s="188" customFormat="1" ht="15" customHeight="1">
      <c r="B2462" s="187"/>
      <c r="C2462" s="187"/>
      <c r="D2462" s="187"/>
      <c r="E2462" s="187"/>
      <c r="F2462" s="187"/>
      <c r="G2462" s="187"/>
      <c r="J2462" s="186"/>
      <c r="K2462" s="180"/>
      <c r="L2462" s="180"/>
      <c r="M2462" s="186"/>
      <c r="N2462" s="186"/>
    </row>
    <row r="2463" spans="2:14" s="188" customFormat="1" ht="15" customHeight="1">
      <c r="B2463" s="187"/>
      <c r="C2463" s="187"/>
      <c r="D2463" s="187"/>
      <c r="E2463" s="187"/>
      <c r="F2463" s="187"/>
      <c r="G2463" s="187"/>
      <c r="J2463" s="186"/>
      <c r="K2463" s="180"/>
      <c r="L2463" s="180"/>
      <c r="M2463" s="186"/>
      <c r="N2463" s="186"/>
    </row>
    <row r="2464" spans="2:14" s="188" customFormat="1" ht="15" customHeight="1">
      <c r="B2464" s="187"/>
      <c r="C2464" s="187"/>
      <c r="D2464" s="187"/>
      <c r="E2464" s="187"/>
      <c r="F2464" s="187"/>
      <c r="G2464" s="187"/>
      <c r="J2464" s="186"/>
      <c r="K2464" s="180"/>
      <c r="L2464" s="180"/>
      <c r="M2464" s="186"/>
      <c r="N2464" s="186"/>
    </row>
    <row r="2465" spans="2:14" s="188" customFormat="1" ht="15" customHeight="1">
      <c r="B2465" s="187"/>
      <c r="C2465" s="187"/>
      <c r="D2465" s="187"/>
      <c r="E2465" s="187"/>
      <c r="F2465" s="187"/>
      <c r="G2465" s="187"/>
      <c r="J2465" s="186"/>
      <c r="K2465" s="180"/>
      <c r="L2465" s="180"/>
      <c r="M2465" s="186"/>
      <c r="N2465" s="186"/>
    </row>
    <row r="2466" spans="2:14" s="188" customFormat="1" ht="15" customHeight="1">
      <c r="B2466" s="187"/>
      <c r="C2466" s="187"/>
      <c r="D2466" s="187"/>
      <c r="E2466" s="187"/>
      <c r="F2466" s="187"/>
      <c r="G2466" s="187"/>
      <c r="J2466" s="186"/>
      <c r="K2466" s="180"/>
      <c r="L2466" s="180"/>
      <c r="M2466" s="186"/>
      <c r="N2466" s="186"/>
    </row>
    <row r="2467" spans="2:14" s="188" customFormat="1" ht="15" customHeight="1">
      <c r="B2467" s="187"/>
      <c r="C2467" s="187"/>
      <c r="D2467" s="187"/>
      <c r="E2467" s="187"/>
      <c r="F2467" s="187"/>
      <c r="G2467" s="187"/>
      <c r="J2467" s="186"/>
      <c r="K2467" s="180"/>
      <c r="L2467" s="180"/>
      <c r="M2467" s="186"/>
      <c r="N2467" s="186"/>
    </row>
    <row r="2468" spans="2:14" s="188" customFormat="1" ht="15" customHeight="1">
      <c r="B2468" s="187"/>
      <c r="C2468" s="187"/>
      <c r="D2468" s="187"/>
      <c r="E2468" s="187"/>
      <c r="F2468" s="187"/>
      <c r="G2468" s="187"/>
      <c r="J2468" s="186"/>
      <c r="K2468" s="180"/>
      <c r="L2468" s="180"/>
      <c r="M2468" s="186"/>
      <c r="N2468" s="186"/>
    </row>
    <row r="2469" spans="2:14" s="188" customFormat="1" ht="15" customHeight="1">
      <c r="B2469" s="187"/>
      <c r="C2469" s="187"/>
      <c r="D2469" s="187"/>
      <c r="E2469" s="187"/>
      <c r="F2469" s="187"/>
      <c r="G2469" s="187"/>
      <c r="J2469" s="186"/>
      <c r="K2469" s="180"/>
      <c r="L2469" s="180"/>
      <c r="M2469" s="186"/>
      <c r="N2469" s="186"/>
    </row>
    <row r="2470" spans="2:14" s="188" customFormat="1" ht="15" customHeight="1">
      <c r="B2470" s="187"/>
      <c r="C2470" s="187"/>
      <c r="D2470" s="187"/>
      <c r="E2470" s="187"/>
      <c r="F2470" s="187"/>
      <c r="G2470" s="187"/>
      <c r="J2470" s="186"/>
      <c r="K2470" s="180"/>
      <c r="L2470" s="180"/>
      <c r="M2470" s="186"/>
      <c r="N2470" s="186"/>
    </row>
    <row r="2471" spans="2:14" s="188" customFormat="1" ht="15" customHeight="1">
      <c r="B2471" s="187"/>
      <c r="C2471" s="187"/>
      <c r="D2471" s="187"/>
      <c r="E2471" s="187"/>
      <c r="F2471" s="187"/>
      <c r="G2471" s="187"/>
      <c r="J2471" s="186"/>
      <c r="K2471" s="180"/>
      <c r="L2471" s="180"/>
      <c r="M2471" s="186"/>
      <c r="N2471" s="186"/>
    </row>
    <row r="2472" spans="2:14" s="188" customFormat="1" ht="15" customHeight="1">
      <c r="B2472" s="187"/>
      <c r="C2472" s="187"/>
      <c r="D2472" s="187"/>
      <c r="E2472" s="187"/>
      <c r="F2472" s="187"/>
      <c r="G2472" s="187"/>
      <c r="J2472" s="186"/>
      <c r="K2472" s="180"/>
      <c r="L2472" s="180"/>
      <c r="M2472" s="186"/>
      <c r="N2472" s="186"/>
    </row>
    <row r="2473" spans="2:14" s="188" customFormat="1" ht="15" customHeight="1">
      <c r="B2473" s="187"/>
      <c r="C2473" s="187"/>
      <c r="D2473" s="187"/>
      <c r="E2473" s="187"/>
      <c r="F2473" s="187"/>
      <c r="G2473" s="187"/>
      <c r="J2473" s="186"/>
      <c r="K2473" s="180"/>
      <c r="L2473" s="180"/>
      <c r="M2473" s="186"/>
      <c r="N2473" s="186"/>
    </row>
    <row r="2474" spans="2:14" s="188" customFormat="1" ht="15" customHeight="1">
      <c r="B2474" s="187"/>
      <c r="C2474" s="187"/>
      <c r="D2474" s="187"/>
      <c r="E2474" s="187"/>
      <c r="F2474" s="187"/>
      <c r="G2474" s="187"/>
      <c r="J2474" s="186"/>
      <c r="K2474" s="180"/>
      <c r="L2474" s="180"/>
      <c r="M2474" s="186"/>
      <c r="N2474" s="186"/>
    </row>
    <row r="2475" spans="2:14" s="188" customFormat="1" ht="15" customHeight="1">
      <c r="B2475" s="187"/>
      <c r="C2475" s="187"/>
      <c r="D2475" s="187"/>
      <c r="E2475" s="187"/>
      <c r="F2475" s="187"/>
      <c r="G2475" s="187"/>
      <c r="J2475" s="186"/>
      <c r="K2475" s="180"/>
      <c r="L2475" s="180"/>
      <c r="M2475" s="186"/>
      <c r="N2475" s="186"/>
    </row>
    <row r="2476" spans="2:14" s="188" customFormat="1" ht="15" customHeight="1">
      <c r="B2476" s="187"/>
      <c r="C2476" s="187"/>
      <c r="D2476" s="187"/>
      <c r="E2476" s="187"/>
      <c r="F2476" s="187"/>
      <c r="G2476" s="187"/>
      <c r="J2476" s="186"/>
      <c r="K2476" s="180"/>
      <c r="L2476" s="180"/>
      <c r="M2476" s="186"/>
      <c r="N2476" s="186"/>
    </row>
    <row r="2477" spans="2:14" s="188" customFormat="1" ht="15" customHeight="1">
      <c r="B2477" s="187"/>
      <c r="C2477" s="187"/>
      <c r="D2477" s="187"/>
      <c r="E2477" s="187"/>
      <c r="F2477" s="187"/>
      <c r="G2477" s="187"/>
      <c r="J2477" s="186"/>
      <c r="K2477" s="180"/>
      <c r="L2477" s="180"/>
      <c r="M2477" s="186"/>
      <c r="N2477" s="186"/>
    </row>
    <row r="2478" spans="2:14" s="188" customFormat="1" ht="15" customHeight="1">
      <c r="B2478" s="187"/>
      <c r="C2478" s="187"/>
      <c r="D2478" s="187"/>
      <c r="E2478" s="187"/>
      <c r="F2478" s="187"/>
      <c r="G2478" s="187"/>
      <c r="J2478" s="186"/>
      <c r="K2478" s="180"/>
      <c r="L2478" s="180"/>
      <c r="M2478" s="186"/>
      <c r="N2478" s="186"/>
    </row>
    <row r="2479" spans="2:14" s="188" customFormat="1" ht="15" customHeight="1">
      <c r="B2479" s="187"/>
      <c r="C2479" s="187"/>
      <c r="D2479" s="187"/>
      <c r="E2479" s="187"/>
      <c r="F2479" s="187"/>
      <c r="G2479" s="187"/>
      <c r="J2479" s="186"/>
      <c r="K2479" s="180"/>
      <c r="L2479" s="180"/>
      <c r="M2479" s="186"/>
      <c r="N2479" s="186"/>
    </row>
    <row r="2480" spans="2:14" s="188" customFormat="1" ht="15" customHeight="1">
      <c r="B2480" s="187"/>
      <c r="C2480" s="187"/>
      <c r="D2480" s="187"/>
      <c r="E2480" s="187"/>
      <c r="F2480" s="187"/>
      <c r="G2480" s="187"/>
      <c r="J2480" s="186"/>
      <c r="K2480" s="180"/>
      <c r="L2480" s="180"/>
      <c r="M2480" s="186"/>
      <c r="N2480" s="186"/>
    </row>
    <row r="2481" spans="2:14" s="188" customFormat="1" ht="15" customHeight="1">
      <c r="B2481" s="187"/>
      <c r="C2481" s="187"/>
      <c r="D2481" s="187"/>
      <c r="E2481" s="187"/>
      <c r="F2481" s="187"/>
      <c r="G2481" s="187"/>
      <c r="J2481" s="186"/>
      <c r="K2481" s="180"/>
      <c r="L2481" s="180"/>
      <c r="M2481" s="186"/>
      <c r="N2481" s="186"/>
    </row>
    <row r="2482" spans="2:14" s="188" customFormat="1" ht="15" customHeight="1">
      <c r="B2482" s="187"/>
      <c r="C2482" s="187"/>
      <c r="D2482" s="187"/>
      <c r="E2482" s="187"/>
      <c r="F2482" s="187"/>
      <c r="G2482" s="187"/>
      <c r="J2482" s="186"/>
      <c r="K2482" s="180"/>
      <c r="L2482" s="180"/>
      <c r="M2482" s="186"/>
      <c r="N2482" s="186"/>
    </row>
    <row r="2483" spans="2:14" s="188" customFormat="1" ht="15" customHeight="1">
      <c r="B2483" s="187"/>
      <c r="C2483" s="187"/>
      <c r="D2483" s="187"/>
      <c r="E2483" s="187"/>
      <c r="F2483" s="187"/>
      <c r="G2483" s="187"/>
      <c r="J2483" s="186"/>
      <c r="K2483" s="180"/>
      <c r="L2483" s="180"/>
      <c r="M2483" s="186"/>
      <c r="N2483" s="186"/>
    </row>
    <row r="2484" spans="2:14" s="188" customFormat="1" ht="15" customHeight="1">
      <c r="B2484" s="187"/>
      <c r="C2484" s="187"/>
      <c r="D2484" s="187"/>
      <c r="E2484" s="187"/>
      <c r="F2484" s="187"/>
      <c r="G2484" s="187"/>
      <c r="J2484" s="186"/>
      <c r="K2484" s="180"/>
      <c r="L2484" s="180"/>
      <c r="M2484" s="186"/>
      <c r="N2484" s="186"/>
    </row>
    <row r="2485" spans="2:14" s="188" customFormat="1" ht="15" customHeight="1">
      <c r="B2485" s="187"/>
      <c r="C2485" s="187"/>
      <c r="D2485" s="187"/>
      <c r="E2485" s="187"/>
      <c r="F2485" s="187"/>
      <c r="G2485" s="187"/>
      <c r="J2485" s="186"/>
      <c r="K2485" s="180"/>
      <c r="L2485" s="180"/>
      <c r="M2485" s="186"/>
      <c r="N2485" s="186"/>
    </row>
    <row r="2486" spans="2:14" s="188" customFormat="1" ht="15" customHeight="1">
      <c r="B2486" s="187"/>
      <c r="C2486" s="187"/>
      <c r="D2486" s="187"/>
      <c r="E2486" s="187"/>
      <c r="F2486" s="187"/>
      <c r="G2486" s="187"/>
      <c r="J2486" s="186"/>
      <c r="K2486" s="180"/>
      <c r="L2486" s="180"/>
      <c r="M2486" s="186"/>
      <c r="N2486" s="186"/>
    </row>
    <row r="2487" spans="2:14" s="188" customFormat="1" ht="15" customHeight="1">
      <c r="B2487" s="187"/>
      <c r="C2487" s="187"/>
      <c r="D2487" s="187"/>
      <c r="E2487" s="187"/>
      <c r="F2487" s="187"/>
      <c r="G2487" s="187"/>
      <c r="J2487" s="186"/>
      <c r="K2487" s="180"/>
      <c r="L2487" s="180"/>
      <c r="M2487" s="186"/>
      <c r="N2487" s="186"/>
    </row>
    <row r="2488" spans="2:14" s="188" customFormat="1" ht="15" customHeight="1">
      <c r="B2488" s="187"/>
      <c r="C2488" s="187"/>
      <c r="D2488" s="187"/>
      <c r="E2488" s="187"/>
      <c r="F2488" s="187"/>
      <c r="G2488" s="187"/>
      <c r="J2488" s="186"/>
      <c r="K2488" s="180"/>
      <c r="L2488" s="180"/>
      <c r="M2488" s="186"/>
      <c r="N2488" s="186"/>
    </row>
    <row r="2489" spans="2:14" s="188" customFormat="1" ht="15" customHeight="1">
      <c r="B2489" s="187"/>
      <c r="C2489" s="187"/>
      <c r="D2489" s="187"/>
      <c r="E2489" s="187"/>
      <c r="F2489" s="187"/>
      <c r="G2489" s="187"/>
      <c r="J2489" s="186"/>
      <c r="K2489" s="180"/>
      <c r="L2489" s="180"/>
      <c r="M2489" s="186"/>
      <c r="N2489" s="186"/>
    </row>
    <row r="2490" spans="2:14" s="188" customFormat="1" ht="15" customHeight="1">
      <c r="B2490" s="187"/>
      <c r="C2490" s="187"/>
      <c r="D2490" s="187"/>
      <c r="E2490" s="187"/>
      <c r="F2490" s="187"/>
      <c r="G2490" s="187"/>
      <c r="J2490" s="186"/>
      <c r="K2490" s="180"/>
      <c r="L2490" s="180"/>
      <c r="M2490" s="186"/>
      <c r="N2490" s="186"/>
    </row>
    <row r="2491" spans="2:14" s="188" customFormat="1" ht="15" customHeight="1">
      <c r="B2491" s="187"/>
      <c r="C2491" s="187"/>
      <c r="D2491" s="187"/>
      <c r="E2491" s="187"/>
      <c r="F2491" s="187"/>
      <c r="G2491" s="187"/>
      <c r="J2491" s="186"/>
      <c r="K2491" s="180"/>
      <c r="L2491" s="180"/>
      <c r="M2491" s="186"/>
      <c r="N2491" s="186"/>
    </row>
    <row r="2492" spans="2:14" s="188" customFormat="1" ht="15" customHeight="1">
      <c r="B2492" s="187"/>
      <c r="C2492" s="187"/>
      <c r="D2492" s="187"/>
      <c r="E2492" s="187"/>
      <c r="F2492" s="187"/>
      <c r="G2492" s="187"/>
      <c r="J2492" s="186"/>
      <c r="K2492" s="180"/>
      <c r="L2492" s="180"/>
      <c r="M2492" s="186"/>
      <c r="N2492" s="186"/>
    </row>
    <row r="2493" spans="2:14" s="188" customFormat="1" ht="15" customHeight="1">
      <c r="B2493" s="187"/>
      <c r="C2493" s="187"/>
      <c r="D2493" s="187"/>
      <c r="E2493" s="187"/>
      <c r="F2493" s="187"/>
      <c r="G2493" s="187"/>
      <c r="J2493" s="186"/>
      <c r="K2493" s="180"/>
      <c r="L2493" s="180"/>
      <c r="M2493" s="186"/>
      <c r="N2493" s="186"/>
    </row>
    <row r="2494" spans="2:14" s="188" customFormat="1" ht="15" customHeight="1">
      <c r="B2494" s="187"/>
      <c r="C2494" s="187"/>
      <c r="D2494" s="187"/>
      <c r="E2494" s="187"/>
      <c r="F2494" s="187"/>
      <c r="G2494" s="187"/>
      <c r="J2494" s="186"/>
      <c r="K2494" s="180"/>
      <c r="L2494" s="180"/>
      <c r="M2494" s="186"/>
      <c r="N2494" s="186"/>
    </row>
    <row r="2495" spans="2:14" s="188" customFormat="1" ht="15" customHeight="1">
      <c r="B2495" s="187"/>
      <c r="C2495" s="187"/>
      <c r="D2495" s="187"/>
      <c r="E2495" s="187"/>
      <c r="F2495" s="187"/>
      <c r="G2495" s="187"/>
      <c r="J2495" s="186"/>
      <c r="K2495" s="180"/>
      <c r="L2495" s="180"/>
      <c r="M2495" s="186"/>
      <c r="N2495" s="186"/>
    </row>
    <row r="2496" spans="2:14" s="188" customFormat="1" ht="15" customHeight="1">
      <c r="B2496" s="187"/>
      <c r="C2496" s="187"/>
      <c r="D2496" s="187"/>
      <c r="E2496" s="187"/>
      <c r="F2496" s="187"/>
      <c r="G2496" s="187"/>
      <c r="J2496" s="186"/>
      <c r="K2496" s="180"/>
      <c r="L2496" s="180"/>
      <c r="M2496" s="186"/>
      <c r="N2496" s="186"/>
    </row>
    <row r="2497" spans="2:14" s="188" customFormat="1" ht="15" customHeight="1">
      <c r="B2497" s="187"/>
      <c r="C2497" s="187"/>
      <c r="D2497" s="187"/>
      <c r="E2497" s="187"/>
      <c r="F2497" s="187"/>
      <c r="G2497" s="187"/>
      <c r="J2497" s="186"/>
      <c r="K2497" s="180"/>
      <c r="L2497" s="180"/>
      <c r="M2497" s="186"/>
      <c r="N2497" s="186"/>
    </row>
    <row r="2498" spans="2:14" s="188" customFormat="1" ht="15" customHeight="1">
      <c r="B2498" s="187"/>
      <c r="C2498" s="187"/>
      <c r="D2498" s="187"/>
      <c r="E2498" s="187"/>
      <c r="F2498" s="187"/>
      <c r="G2498" s="187"/>
      <c r="J2498" s="186"/>
      <c r="K2498" s="180"/>
      <c r="L2498" s="180"/>
      <c r="M2498" s="186"/>
      <c r="N2498" s="186"/>
    </row>
    <row r="2499" spans="2:14" s="188" customFormat="1" ht="15" customHeight="1">
      <c r="B2499" s="187"/>
      <c r="C2499" s="187"/>
      <c r="D2499" s="187"/>
      <c r="E2499" s="187"/>
      <c r="F2499" s="187"/>
      <c r="G2499" s="187"/>
      <c r="J2499" s="186"/>
      <c r="K2499" s="180"/>
      <c r="L2499" s="180"/>
      <c r="M2499" s="186"/>
      <c r="N2499" s="186"/>
    </row>
    <row r="2500" spans="2:14" s="188" customFormat="1" ht="15" customHeight="1">
      <c r="B2500" s="187"/>
      <c r="C2500" s="187"/>
      <c r="D2500" s="187"/>
      <c r="E2500" s="187"/>
      <c r="F2500" s="187"/>
      <c r="G2500" s="187"/>
      <c r="J2500" s="186"/>
      <c r="K2500" s="180"/>
      <c r="L2500" s="180"/>
      <c r="M2500" s="186"/>
      <c r="N2500" s="186"/>
    </row>
    <row r="2501" spans="2:14" s="188" customFormat="1" ht="15" customHeight="1">
      <c r="B2501" s="187"/>
      <c r="C2501" s="187"/>
      <c r="D2501" s="187"/>
      <c r="E2501" s="187"/>
      <c r="F2501" s="187"/>
      <c r="G2501" s="187"/>
      <c r="J2501" s="186"/>
      <c r="K2501" s="180"/>
      <c r="L2501" s="180"/>
      <c r="M2501" s="186"/>
      <c r="N2501" s="186"/>
    </row>
    <row r="2502" spans="2:14" s="188" customFormat="1" ht="15" customHeight="1">
      <c r="B2502" s="187"/>
      <c r="C2502" s="187"/>
      <c r="D2502" s="187"/>
      <c r="E2502" s="187"/>
      <c r="F2502" s="187"/>
      <c r="G2502" s="187"/>
      <c r="J2502" s="186"/>
      <c r="K2502" s="180"/>
      <c r="L2502" s="180"/>
      <c r="M2502" s="186"/>
      <c r="N2502" s="186"/>
    </row>
    <row r="2503" spans="2:14" s="188" customFormat="1" ht="15" customHeight="1">
      <c r="B2503" s="187"/>
      <c r="C2503" s="187"/>
      <c r="D2503" s="187"/>
      <c r="E2503" s="187"/>
      <c r="F2503" s="187"/>
      <c r="G2503" s="187"/>
      <c r="J2503" s="186"/>
      <c r="K2503" s="180"/>
      <c r="L2503" s="180"/>
      <c r="M2503" s="186"/>
      <c r="N2503" s="186"/>
    </row>
    <row r="2504" spans="2:14" s="188" customFormat="1" ht="15" customHeight="1">
      <c r="B2504" s="187"/>
      <c r="C2504" s="187"/>
      <c r="D2504" s="187"/>
      <c r="E2504" s="187"/>
      <c r="F2504" s="187"/>
      <c r="G2504" s="187"/>
      <c r="J2504" s="186"/>
      <c r="K2504" s="180"/>
      <c r="L2504" s="180"/>
      <c r="M2504" s="186"/>
      <c r="N2504" s="186"/>
    </row>
    <row r="2505" spans="2:14" s="188" customFormat="1" ht="15" customHeight="1">
      <c r="B2505" s="187"/>
      <c r="C2505" s="187"/>
      <c r="D2505" s="187"/>
      <c r="E2505" s="187"/>
      <c r="F2505" s="187"/>
      <c r="G2505" s="187"/>
      <c r="J2505" s="186"/>
      <c r="K2505" s="180"/>
      <c r="L2505" s="180"/>
      <c r="M2505" s="186"/>
      <c r="N2505" s="186"/>
    </row>
    <row r="2506" spans="2:14" s="188" customFormat="1" ht="15" customHeight="1">
      <c r="B2506" s="187"/>
      <c r="C2506" s="187"/>
      <c r="D2506" s="187"/>
      <c r="E2506" s="187"/>
      <c r="F2506" s="187"/>
      <c r="G2506" s="187"/>
      <c r="J2506" s="186"/>
      <c r="K2506" s="180"/>
      <c r="L2506" s="180"/>
      <c r="M2506" s="186"/>
      <c r="N2506" s="186"/>
    </row>
    <row r="2507" spans="2:14" s="188" customFormat="1" ht="15" customHeight="1">
      <c r="B2507" s="187"/>
      <c r="C2507" s="187"/>
      <c r="D2507" s="187"/>
      <c r="E2507" s="187"/>
      <c r="F2507" s="187"/>
      <c r="G2507" s="187"/>
      <c r="J2507" s="186"/>
      <c r="K2507" s="180"/>
      <c r="L2507" s="180"/>
      <c r="M2507" s="186"/>
      <c r="N2507" s="186"/>
    </row>
    <row r="2508" spans="2:14" s="188" customFormat="1" ht="15" customHeight="1">
      <c r="B2508" s="187"/>
      <c r="C2508" s="187"/>
      <c r="D2508" s="187"/>
      <c r="E2508" s="187"/>
      <c r="F2508" s="187"/>
      <c r="G2508" s="187"/>
      <c r="J2508" s="186"/>
      <c r="K2508" s="180"/>
      <c r="L2508" s="180"/>
      <c r="M2508" s="186"/>
      <c r="N2508" s="186"/>
    </row>
    <row r="2509" spans="2:14" s="188" customFormat="1" ht="15" customHeight="1">
      <c r="B2509" s="187"/>
      <c r="C2509" s="187"/>
      <c r="D2509" s="187"/>
      <c r="E2509" s="187"/>
      <c r="F2509" s="187"/>
      <c r="G2509" s="187"/>
      <c r="J2509" s="186"/>
      <c r="K2509" s="180"/>
      <c r="L2509" s="180"/>
      <c r="M2509" s="186"/>
      <c r="N2509" s="186"/>
    </row>
    <row r="2510" spans="2:14" s="188" customFormat="1" ht="15" customHeight="1">
      <c r="B2510" s="187"/>
      <c r="C2510" s="187"/>
      <c r="D2510" s="187"/>
      <c r="E2510" s="187"/>
      <c r="F2510" s="187"/>
      <c r="G2510" s="187"/>
      <c r="J2510" s="186"/>
      <c r="K2510" s="180"/>
      <c r="L2510" s="180"/>
      <c r="M2510" s="186"/>
      <c r="N2510" s="186"/>
    </row>
    <row r="2511" spans="2:14" s="188" customFormat="1" ht="15" customHeight="1">
      <c r="B2511" s="187"/>
      <c r="C2511" s="187"/>
      <c r="D2511" s="187"/>
      <c r="E2511" s="187"/>
      <c r="F2511" s="187"/>
      <c r="G2511" s="187"/>
      <c r="J2511" s="186"/>
      <c r="K2511" s="180"/>
      <c r="L2511" s="180"/>
      <c r="M2511" s="186"/>
      <c r="N2511" s="186"/>
    </row>
    <row r="2512" spans="2:14" s="188" customFormat="1" ht="15" customHeight="1">
      <c r="B2512" s="187"/>
      <c r="C2512" s="187"/>
      <c r="D2512" s="187"/>
      <c r="E2512" s="187"/>
      <c r="F2512" s="187"/>
      <c r="G2512" s="187"/>
      <c r="J2512" s="186"/>
      <c r="K2512" s="180"/>
      <c r="L2512" s="180"/>
      <c r="M2512" s="186"/>
      <c r="N2512" s="186"/>
    </row>
    <row r="2513" spans="2:14" s="188" customFormat="1" ht="15" customHeight="1">
      <c r="B2513" s="187"/>
      <c r="C2513" s="187"/>
      <c r="D2513" s="187"/>
      <c r="E2513" s="187"/>
      <c r="F2513" s="187"/>
      <c r="G2513" s="187"/>
      <c r="J2513" s="186"/>
      <c r="K2513" s="180"/>
      <c r="L2513" s="180"/>
      <c r="M2513" s="186"/>
      <c r="N2513" s="186"/>
    </row>
    <row r="2514" spans="2:14" s="188" customFormat="1" ht="15" customHeight="1">
      <c r="B2514" s="187"/>
      <c r="C2514" s="187"/>
      <c r="D2514" s="187"/>
      <c r="E2514" s="187"/>
      <c r="F2514" s="187"/>
      <c r="G2514" s="187"/>
      <c r="J2514" s="186"/>
      <c r="K2514" s="180"/>
      <c r="L2514" s="180"/>
      <c r="M2514" s="186"/>
      <c r="N2514" s="186"/>
    </row>
    <row r="2515" spans="2:14" s="188" customFormat="1" ht="15" customHeight="1">
      <c r="B2515" s="187"/>
      <c r="C2515" s="187"/>
      <c r="D2515" s="187"/>
      <c r="E2515" s="187"/>
      <c r="F2515" s="187"/>
      <c r="G2515" s="187"/>
      <c r="J2515" s="186"/>
      <c r="K2515" s="180"/>
      <c r="L2515" s="180"/>
      <c r="M2515" s="186"/>
      <c r="N2515" s="186"/>
    </row>
    <row r="2516" spans="2:14" s="188" customFormat="1" ht="15" customHeight="1">
      <c r="B2516" s="187"/>
      <c r="C2516" s="187"/>
      <c r="D2516" s="187"/>
      <c r="E2516" s="187"/>
      <c r="F2516" s="187"/>
      <c r="G2516" s="187"/>
      <c r="J2516" s="186"/>
      <c r="K2516" s="180"/>
      <c r="L2516" s="180"/>
      <c r="M2516" s="186"/>
      <c r="N2516" s="186"/>
    </row>
    <row r="2517" spans="2:14" s="188" customFormat="1" ht="15" customHeight="1">
      <c r="B2517" s="187"/>
      <c r="C2517" s="187"/>
      <c r="D2517" s="187"/>
      <c r="E2517" s="187"/>
      <c r="F2517" s="187"/>
      <c r="G2517" s="187"/>
      <c r="J2517" s="186"/>
      <c r="K2517" s="180"/>
      <c r="L2517" s="180"/>
      <c r="M2517" s="186"/>
      <c r="N2517" s="186"/>
    </row>
    <row r="2518" spans="2:14" s="188" customFormat="1" ht="15" customHeight="1">
      <c r="B2518" s="187"/>
      <c r="C2518" s="187"/>
      <c r="D2518" s="187"/>
      <c r="E2518" s="187"/>
      <c r="F2518" s="187"/>
      <c r="G2518" s="187"/>
      <c r="J2518" s="186"/>
      <c r="K2518" s="180"/>
      <c r="L2518" s="180"/>
      <c r="M2518" s="186"/>
      <c r="N2518" s="186"/>
    </row>
    <row r="2519" spans="2:14" s="188" customFormat="1" ht="15" customHeight="1">
      <c r="B2519" s="187"/>
      <c r="C2519" s="187"/>
      <c r="D2519" s="187"/>
      <c r="E2519" s="187"/>
      <c r="F2519" s="187"/>
      <c r="G2519" s="187"/>
      <c r="J2519" s="186"/>
      <c r="K2519" s="180"/>
      <c r="L2519" s="180"/>
      <c r="M2519" s="186"/>
      <c r="N2519" s="186"/>
    </row>
    <row r="2520" spans="2:14" s="188" customFormat="1" ht="15" customHeight="1">
      <c r="B2520" s="187"/>
      <c r="C2520" s="187"/>
      <c r="D2520" s="187"/>
      <c r="E2520" s="187"/>
      <c r="F2520" s="187"/>
      <c r="G2520" s="187"/>
      <c r="J2520" s="186"/>
      <c r="K2520" s="180"/>
      <c r="L2520" s="180"/>
      <c r="M2520" s="186"/>
      <c r="N2520" s="186"/>
    </row>
    <row r="2521" spans="2:14" s="188" customFormat="1" ht="15" customHeight="1">
      <c r="B2521" s="187"/>
      <c r="C2521" s="187"/>
      <c r="D2521" s="187"/>
      <c r="E2521" s="187"/>
      <c r="F2521" s="187"/>
      <c r="G2521" s="187"/>
      <c r="J2521" s="186"/>
      <c r="K2521" s="180"/>
      <c r="L2521" s="180"/>
      <c r="M2521" s="186"/>
      <c r="N2521" s="186"/>
    </row>
    <row r="2522" spans="2:14" s="188" customFormat="1" ht="15" customHeight="1">
      <c r="B2522" s="187"/>
      <c r="C2522" s="187"/>
      <c r="D2522" s="187"/>
      <c r="E2522" s="187"/>
      <c r="F2522" s="187"/>
      <c r="G2522" s="187"/>
      <c r="J2522" s="186"/>
      <c r="K2522" s="180"/>
      <c r="L2522" s="180"/>
      <c r="M2522" s="186"/>
      <c r="N2522" s="186"/>
    </row>
    <row r="2523" spans="2:14" s="188" customFormat="1" ht="15" customHeight="1">
      <c r="B2523" s="187"/>
      <c r="C2523" s="187"/>
      <c r="D2523" s="187"/>
      <c r="E2523" s="187"/>
      <c r="F2523" s="187"/>
      <c r="G2523" s="187"/>
      <c r="J2523" s="186"/>
      <c r="K2523" s="180"/>
      <c r="L2523" s="180"/>
      <c r="M2523" s="186"/>
      <c r="N2523" s="186"/>
    </row>
    <row r="2524" spans="2:14" s="188" customFormat="1" ht="15" customHeight="1">
      <c r="B2524" s="187"/>
      <c r="C2524" s="187"/>
      <c r="D2524" s="187"/>
      <c r="E2524" s="187"/>
      <c r="F2524" s="187"/>
      <c r="G2524" s="187"/>
      <c r="J2524" s="186"/>
      <c r="K2524" s="180"/>
      <c r="L2524" s="180"/>
      <c r="M2524" s="186"/>
      <c r="N2524" s="186"/>
    </row>
    <row r="2525" spans="2:14" s="188" customFormat="1" ht="15" customHeight="1">
      <c r="B2525" s="187"/>
      <c r="C2525" s="187"/>
      <c r="D2525" s="187"/>
      <c r="E2525" s="187"/>
      <c r="F2525" s="187"/>
      <c r="G2525" s="187"/>
      <c r="J2525" s="186"/>
      <c r="K2525" s="180"/>
      <c r="L2525" s="180"/>
      <c r="M2525" s="186"/>
      <c r="N2525" s="186"/>
    </row>
    <row r="2526" spans="2:14" s="188" customFormat="1" ht="15" customHeight="1">
      <c r="B2526" s="187"/>
      <c r="C2526" s="187"/>
      <c r="D2526" s="187"/>
      <c r="E2526" s="187"/>
      <c r="F2526" s="187"/>
      <c r="G2526" s="187"/>
      <c r="J2526" s="186"/>
      <c r="K2526" s="180"/>
      <c r="L2526" s="180"/>
      <c r="M2526" s="186"/>
      <c r="N2526" s="186"/>
    </row>
    <row r="2527" spans="2:14" s="188" customFormat="1" ht="15" customHeight="1">
      <c r="B2527" s="187"/>
      <c r="C2527" s="187"/>
      <c r="D2527" s="187"/>
      <c r="E2527" s="187"/>
      <c r="F2527" s="187"/>
      <c r="G2527" s="187"/>
      <c r="J2527" s="186"/>
      <c r="K2527" s="180"/>
      <c r="L2527" s="180"/>
      <c r="M2527" s="186"/>
      <c r="N2527" s="186"/>
    </row>
    <row r="2528" spans="2:14" s="188" customFormat="1" ht="15" customHeight="1">
      <c r="B2528" s="187"/>
      <c r="C2528" s="187"/>
      <c r="D2528" s="187"/>
      <c r="E2528" s="187"/>
      <c r="F2528" s="187"/>
      <c r="G2528" s="187"/>
      <c r="J2528" s="186"/>
      <c r="K2528" s="180"/>
      <c r="L2528" s="180"/>
      <c r="M2528" s="186"/>
      <c r="N2528" s="186"/>
    </row>
    <row r="2529" spans="2:14" s="188" customFormat="1" ht="15" customHeight="1">
      <c r="B2529" s="187"/>
      <c r="C2529" s="187"/>
      <c r="D2529" s="187"/>
      <c r="E2529" s="187"/>
      <c r="F2529" s="187"/>
      <c r="G2529" s="187"/>
      <c r="J2529" s="186"/>
      <c r="K2529" s="180"/>
      <c r="L2529" s="180"/>
      <c r="M2529" s="186"/>
      <c r="N2529" s="186"/>
    </row>
    <row r="2530" spans="2:14" s="188" customFormat="1" ht="15" customHeight="1">
      <c r="B2530" s="187"/>
      <c r="C2530" s="187"/>
      <c r="D2530" s="187"/>
      <c r="E2530" s="187"/>
      <c r="F2530" s="187"/>
      <c r="G2530" s="187"/>
      <c r="J2530" s="186"/>
      <c r="K2530" s="180"/>
      <c r="L2530" s="180"/>
      <c r="M2530" s="186"/>
      <c r="N2530" s="186"/>
    </row>
    <row r="2531" spans="2:14" s="188" customFormat="1" ht="15" customHeight="1">
      <c r="B2531" s="187"/>
      <c r="C2531" s="187"/>
      <c r="D2531" s="187"/>
      <c r="E2531" s="187"/>
      <c r="F2531" s="187"/>
      <c r="G2531" s="187"/>
      <c r="J2531" s="186"/>
      <c r="K2531" s="180"/>
      <c r="L2531" s="180"/>
      <c r="M2531" s="186"/>
      <c r="N2531" s="186"/>
    </row>
    <row r="2532" spans="2:14" s="188" customFormat="1" ht="15" customHeight="1">
      <c r="B2532" s="187"/>
      <c r="C2532" s="187"/>
      <c r="D2532" s="187"/>
      <c r="E2532" s="187"/>
      <c r="F2532" s="187"/>
      <c r="G2532" s="187"/>
      <c r="J2532" s="186"/>
      <c r="K2532" s="180"/>
      <c r="L2532" s="180"/>
      <c r="M2532" s="186"/>
      <c r="N2532" s="186"/>
    </row>
    <row r="2533" spans="2:14" s="188" customFormat="1" ht="15" customHeight="1">
      <c r="B2533" s="187"/>
      <c r="C2533" s="187"/>
      <c r="D2533" s="187"/>
      <c r="E2533" s="187"/>
      <c r="F2533" s="187"/>
      <c r="G2533" s="187"/>
      <c r="J2533" s="186"/>
      <c r="K2533" s="180"/>
      <c r="L2533" s="180"/>
      <c r="M2533" s="186"/>
      <c r="N2533" s="186"/>
    </row>
    <row r="2534" spans="2:14" s="188" customFormat="1" ht="15" customHeight="1">
      <c r="B2534" s="187"/>
      <c r="C2534" s="187"/>
      <c r="D2534" s="187"/>
      <c r="E2534" s="187"/>
      <c r="F2534" s="187"/>
      <c r="G2534" s="187"/>
      <c r="J2534" s="186"/>
      <c r="K2534" s="180"/>
      <c r="L2534" s="180"/>
      <c r="M2534" s="186"/>
      <c r="N2534" s="186"/>
    </row>
    <row r="2535" spans="2:14" s="188" customFormat="1" ht="15" customHeight="1">
      <c r="B2535" s="187"/>
      <c r="C2535" s="187"/>
      <c r="D2535" s="187"/>
      <c r="E2535" s="187"/>
      <c r="F2535" s="187"/>
      <c r="G2535" s="187"/>
      <c r="J2535" s="186"/>
      <c r="K2535" s="180"/>
      <c r="L2535" s="180"/>
      <c r="M2535" s="186"/>
      <c r="N2535" s="186"/>
    </row>
    <row r="2536" spans="2:14" s="188" customFormat="1" ht="15" customHeight="1">
      <c r="B2536" s="187"/>
      <c r="C2536" s="187"/>
      <c r="D2536" s="187"/>
      <c r="E2536" s="187"/>
      <c r="F2536" s="187"/>
      <c r="G2536" s="187"/>
      <c r="J2536" s="186"/>
      <c r="K2536" s="180"/>
      <c r="L2536" s="180"/>
      <c r="M2536" s="186"/>
      <c r="N2536" s="186"/>
    </row>
    <row r="2537" spans="2:14" s="188" customFormat="1" ht="15" customHeight="1">
      <c r="B2537" s="187"/>
      <c r="C2537" s="187"/>
      <c r="D2537" s="187"/>
      <c r="E2537" s="187"/>
      <c r="F2537" s="187"/>
      <c r="G2537" s="187"/>
      <c r="J2537" s="186"/>
      <c r="K2537" s="180"/>
      <c r="L2537" s="180"/>
      <c r="M2537" s="186"/>
      <c r="N2537" s="186"/>
    </row>
    <row r="2538" spans="2:14" s="188" customFormat="1" ht="15" customHeight="1">
      <c r="B2538" s="187"/>
      <c r="C2538" s="187"/>
      <c r="D2538" s="187"/>
      <c r="E2538" s="187"/>
      <c r="F2538" s="187"/>
      <c r="G2538" s="187"/>
      <c r="J2538" s="186"/>
      <c r="K2538" s="180"/>
      <c r="L2538" s="180"/>
      <c r="M2538" s="186"/>
      <c r="N2538" s="186"/>
    </row>
    <row r="2539" spans="2:14" s="188" customFormat="1" ht="15" customHeight="1">
      <c r="B2539" s="187"/>
      <c r="C2539" s="187"/>
      <c r="D2539" s="187"/>
      <c r="E2539" s="187"/>
      <c r="F2539" s="187"/>
      <c r="G2539" s="187"/>
      <c r="J2539" s="186"/>
      <c r="K2539" s="180"/>
      <c r="L2539" s="180"/>
      <c r="M2539" s="186"/>
      <c r="N2539" s="186"/>
    </row>
    <row r="2540" spans="2:14" s="188" customFormat="1" ht="15" customHeight="1">
      <c r="B2540" s="187"/>
      <c r="C2540" s="187"/>
      <c r="D2540" s="187"/>
      <c r="E2540" s="187"/>
      <c r="F2540" s="187"/>
      <c r="G2540" s="187"/>
      <c r="J2540" s="186"/>
      <c r="K2540" s="180"/>
      <c r="L2540" s="180"/>
      <c r="M2540" s="186"/>
      <c r="N2540" s="186"/>
    </row>
    <row r="2541" spans="2:14" s="188" customFormat="1" ht="15" customHeight="1">
      <c r="B2541" s="187"/>
      <c r="C2541" s="187"/>
      <c r="D2541" s="187"/>
      <c r="E2541" s="187"/>
      <c r="F2541" s="187"/>
      <c r="G2541" s="187"/>
      <c r="J2541" s="186"/>
      <c r="K2541" s="180"/>
      <c r="L2541" s="180"/>
      <c r="M2541" s="186"/>
      <c r="N2541" s="186"/>
    </row>
    <row r="2542" spans="2:14" s="188" customFormat="1" ht="15" customHeight="1">
      <c r="B2542" s="187"/>
      <c r="C2542" s="187"/>
      <c r="D2542" s="187"/>
      <c r="E2542" s="187"/>
      <c r="F2542" s="187"/>
      <c r="G2542" s="187"/>
      <c r="J2542" s="186"/>
      <c r="K2542" s="180"/>
      <c r="L2542" s="180"/>
      <c r="M2542" s="186"/>
      <c r="N2542" s="186"/>
    </row>
    <row r="2543" spans="2:14" s="188" customFormat="1" ht="15" customHeight="1">
      <c r="B2543" s="187"/>
      <c r="C2543" s="187"/>
      <c r="D2543" s="187"/>
      <c r="E2543" s="187"/>
      <c r="F2543" s="187"/>
      <c r="G2543" s="187"/>
      <c r="J2543" s="186"/>
      <c r="K2543" s="180"/>
      <c r="L2543" s="180"/>
      <c r="M2543" s="186"/>
      <c r="N2543" s="186"/>
    </row>
    <row r="2544" spans="2:14" s="188" customFormat="1" ht="15" customHeight="1">
      <c r="B2544" s="187"/>
      <c r="C2544" s="187"/>
      <c r="D2544" s="187"/>
      <c r="E2544" s="187"/>
      <c r="F2544" s="187"/>
      <c r="G2544" s="187"/>
      <c r="J2544" s="186"/>
      <c r="K2544" s="180"/>
      <c r="L2544" s="180"/>
      <c r="M2544" s="186"/>
      <c r="N2544" s="186"/>
    </row>
    <row r="2545" spans="2:14" s="188" customFormat="1" ht="15" customHeight="1">
      <c r="B2545" s="187"/>
      <c r="C2545" s="187"/>
      <c r="D2545" s="187"/>
      <c r="E2545" s="187"/>
      <c r="F2545" s="187"/>
      <c r="G2545" s="187"/>
      <c r="J2545" s="186"/>
      <c r="K2545" s="180"/>
      <c r="L2545" s="180"/>
      <c r="M2545" s="186"/>
      <c r="N2545" s="186"/>
    </row>
    <row r="2546" spans="2:14" s="188" customFormat="1" ht="15" customHeight="1">
      <c r="B2546" s="187"/>
      <c r="C2546" s="187"/>
      <c r="D2546" s="187"/>
      <c r="E2546" s="187"/>
      <c r="F2546" s="187"/>
      <c r="G2546" s="187"/>
      <c r="J2546" s="186"/>
      <c r="K2546" s="180"/>
      <c r="L2546" s="180"/>
      <c r="M2546" s="186"/>
      <c r="N2546" s="186"/>
    </row>
    <row r="2547" spans="2:14" s="188" customFormat="1" ht="15" customHeight="1">
      <c r="B2547" s="187"/>
      <c r="C2547" s="187"/>
      <c r="D2547" s="187"/>
      <c r="E2547" s="187"/>
      <c r="F2547" s="187"/>
      <c r="G2547" s="187"/>
      <c r="J2547" s="186"/>
      <c r="K2547" s="180"/>
      <c r="L2547" s="180"/>
      <c r="M2547" s="186"/>
      <c r="N2547" s="186"/>
    </row>
    <row r="2548" spans="2:14" s="188" customFormat="1" ht="15" customHeight="1">
      <c r="B2548" s="187"/>
      <c r="C2548" s="187"/>
      <c r="D2548" s="187"/>
      <c r="E2548" s="187"/>
      <c r="F2548" s="187"/>
      <c r="G2548" s="187"/>
      <c r="J2548" s="186"/>
      <c r="K2548" s="180"/>
      <c r="L2548" s="180"/>
      <c r="M2548" s="186"/>
      <c r="N2548" s="186"/>
    </row>
    <row r="2549" spans="2:14" s="188" customFormat="1" ht="15" customHeight="1">
      <c r="B2549" s="187"/>
      <c r="C2549" s="187"/>
      <c r="D2549" s="187"/>
      <c r="E2549" s="187"/>
      <c r="F2549" s="187"/>
      <c r="G2549" s="187"/>
      <c r="J2549" s="186"/>
      <c r="K2549" s="180"/>
      <c r="L2549" s="180"/>
      <c r="M2549" s="186"/>
      <c r="N2549" s="186"/>
    </row>
    <row r="2550" spans="2:14" s="188" customFormat="1" ht="15" customHeight="1">
      <c r="B2550" s="187"/>
      <c r="C2550" s="187"/>
      <c r="D2550" s="187"/>
      <c r="E2550" s="187"/>
      <c r="F2550" s="187"/>
      <c r="G2550" s="187"/>
      <c r="J2550" s="186"/>
      <c r="K2550" s="180"/>
      <c r="L2550" s="180"/>
      <c r="M2550" s="186"/>
      <c r="N2550" s="186"/>
    </row>
    <row r="2551" spans="2:14" s="188" customFormat="1" ht="15" customHeight="1">
      <c r="B2551" s="187"/>
      <c r="C2551" s="187"/>
      <c r="D2551" s="187"/>
      <c r="E2551" s="187"/>
      <c r="F2551" s="187"/>
      <c r="G2551" s="187"/>
      <c r="J2551" s="186"/>
      <c r="K2551" s="180"/>
      <c r="L2551" s="180"/>
      <c r="M2551" s="186"/>
      <c r="N2551" s="186"/>
    </row>
    <row r="2552" spans="2:14" s="188" customFormat="1" ht="15" customHeight="1">
      <c r="B2552" s="187"/>
      <c r="C2552" s="187"/>
      <c r="D2552" s="187"/>
      <c r="E2552" s="187"/>
      <c r="F2552" s="187"/>
      <c r="G2552" s="187"/>
      <c r="J2552" s="186"/>
      <c r="K2552" s="180"/>
      <c r="L2552" s="180"/>
      <c r="M2552" s="186"/>
      <c r="N2552" s="186"/>
    </row>
    <row r="2553" spans="2:14" s="188" customFormat="1" ht="15" customHeight="1">
      <c r="B2553" s="187"/>
      <c r="C2553" s="187"/>
      <c r="D2553" s="187"/>
      <c r="E2553" s="187"/>
      <c r="F2553" s="187"/>
      <c r="G2553" s="187"/>
      <c r="J2553" s="186"/>
      <c r="K2553" s="180"/>
      <c r="L2553" s="180"/>
      <c r="M2553" s="186"/>
      <c r="N2553" s="186"/>
    </row>
    <row r="2554" spans="2:14" s="188" customFormat="1" ht="15" customHeight="1">
      <c r="B2554" s="187"/>
      <c r="C2554" s="187"/>
      <c r="D2554" s="187"/>
      <c r="E2554" s="187"/>
      <c r="F2554" s="187"/>
      <c r="G2554" s="187"/>
      <c r="J2554" s="186"/>
      <c r="K2554" s="180"/>
      <c r="L2554" s="180"/>
      <c r="M2554" s="186"/>
      <c r="N2554" s="186"/>
    </row>
    <row r="2555" spans="2:14" s="188" customFormat="1" ht="15" customHeight="1">
      <c r="B2555" s="187"/>
      <c r="C2555" s="187"/>
      <c r="D2555" s="187"/>
      <c r="E2555" s="187"/>
      <c r="F2555" s="187"/>
      <c r="G2555" s="187"/>
      <c r="J2555" s="186"/>
      <c r="K2555" s="180"/>
      <c r="L2555" s="180"/>
      <c r="M2555" s="186"/>
      <c r="N2555" s="186"/>
    </row>
    <row r="2556" spans="2:14" s="188" customFormat="1" ht="15" customHeight="1">
      <c r="B2556" s="187"/>
      <c r="C2556" s="187"/>
      <c r="D2556" s="187"/>
      <c r="E2556" s="187"/>
      <c r="F2556" s="187"/>
      <c r="G2556" s="187"/>
      <c r="J2556" s="186"/>
      <c r="K2556" s="180"/>
      <c r="L2556" s="180"/>
      <c r="M2556" s="186"/>
      <c r="N2556" s="186"/>
    </row>
    <row r="2557" spans="2:14" s="188" customFormat="1" ht="15" customHeight="1">
      <c r="B2557" s="187"/>
      <c r="C2557" s="187"/>
      <c r="D2557" s="187"/>
      <c r="E2557" s="187"/>
      <c r="F2557" s="187"/>
      <c r="G2557" s="187"/>
      <c r="J2557" s="186"/>
      <c r="K2557" s="180"/>
      <c r="L2557" s="180"/>
      <c r="M2557" s="186"/>
      <c r="N2557" s="186"/>
    </row>
    <row r="2558" spans="2:14" s="188" customFormat="1" ht="15" customHeight="1">
      <c r="B2558" s="187"/>
      <c r="C2558" s="187"/>
      <c r="D2558" s="187"/>
      <c r="E2558" s="187"/>
      <c r="F2558" s="187"/>
      <c r="G2558" s="187"/>
      <c r="J2558" s="186"/>
      <c r="K2558" s="180"/>
      <c r="L2558" s="180"/>
      <c r="M2558" s="186"/>
      <c r="N2558" s="186"/>
    </row>
    <row r="2559" spans="2:14" s="188" customFormat="1" ht="15" customHeight="1">
      <c r="B2559" s="187"/>
      <c r="C2559" s="187"/>
      <c r="D2559" s="187"/>
      <c r="E2559" s="187"/>
      <c r="F2559" s="187"/>
      <c r="G2559" s="187"/>
      <c r="J2559" s="186"/>
      <c r="K2559" s="180"/>
      <c r="L2559" s="180"/>
      <c r="M2559" s="186"/>
      <c r="N2559" s="186"/>
    </row>
    <row r="2560" spans="2:14" s="188" customFormat="1" ht="15" customHeight="1">
      <c r="B2560" s="187"/>
      <c r="C2560" s="187"/>
      <c r="D2560" s="187"/>
      <c r="E2560" s="187"/>
      <c r="F2560" s="187"/>
      <c r="G2560" s="187"/>
      <c r="J2560" s="186"/>
      <c r="K2560" s="180"/>
      <c r="L2560" s="180"/>
      <c r="M2560" s="186"/>
      <c r="N2560" s="186"/>
    </row>
    <row r="2561" spans="2:14" s="188" customFormat="1" ht="15" customHeight="1">
      <c r="B2561" s="187"/>
      <c r="C2561" s="187"/>
      <c r="D2561" s="187"/>
      <c r="E2561" s="187"/>
      <c r="F2561" s="187"/>
      <c r="G2561" s="187"/>
      <c r="J2561" s="186"/>
      <c r="K2561" s="180"/>
      <c r="L2561" s="180"/>
      <c r="M2561" s="186"/>
      <c r="N2561" s="186"/>
    </row>
    <row r="2562" spans="2:14" s="188" customFormat="1" ht="15" customHeight="1">
      <c r="B2562" s="187"/>
      <c r="C2562" s="187"/>
      <c r="D2562" s="187"/>
      <c r="E2562" s="187"/>
      <c r="F2562" s="187"/>
      <c r="G2562" s="187"/>
      <c r="J2562" s="186"/>
      <c r="K2562" s="180"/>
      <c r="L2562" s="180"/>
      <c r="M2562" s="186"/>
      <c r="N2562" s="186"/>
    </row>
    <row r="2563" spans="2:14" s="188" customFormat="1" ht="15" customHeight="1">
      <c r="B2563" s="187"/>
      <c r="C2563" s="187"/>
      <c r="D2563" s="187"/>
      <c r="E2563" s="187"/>
      <c r="F2563" s="187"/>
      <c r="G2563" s="187"/>
      <c r="J2563" s="186"/>
      <c r="K2563" s="180"/>
      <c r="L2563" s="180"/>
      <c r="M2563" s="186"/>
      <c r="N2563" s="186"/>
    </row>
    <row r="2564" spans="2:14" s="188" customFormat="1" ht="15" customHeight="1">
      <c r="B2564" s="187"/>
      <c r="C2564" s="187"/>
      <c r="D2564" s="187"/>
      <c r="E2564" s="187"/>
      <c r="F2564" s="187"/>
      <c r="G2564" s="187"/>
      <c r="J2564" s="186"/>
      <c r="K2564" s="180"/>
      <c r="L2564" s="180"/>
      <c r="M2564" s="186"/>
      <c r="N2564" s="186"/>
    </row>
    <row r="2565" spans="2:14" s="188" customFormat="1" ht="15" customHeight="1">
      <c r="B2565" s="187"/>
      <c r="C2565" s="187"/>
      <c r="D2565" s="187"/>
      <c r="E2565" s="187"/>
      <c r="F2565" s="187"/>
      <c r="G2565" s="187"/>
      <c r="J2565" s="186"/>
      <c r="K2565" s="180"/>
      <c r="L2565" s="180"/>
      <c r="M2565" s="186"/>
      <c r="N2565" s="186"/>
    </row>
    <row r="2566" spans="2:14" s="188" customFormat="1" ht="15" customHeight="1">
      <c r="B2566" s="187"/>
      <c r="C2566" s="187"/>
      <c r="D2566" s="187"/>
      <c r="E2566" s="187"/>
      <c r="F2566" s="187"/>
      <c r="G2566" s="187"/>
      <c r="J2566" s="186"/>
      <c r="K2566" s="180"/>
      <c r="L2566" s="180"/>
      <c r="M2566" s="186"/>
      <c r="N2566" s="186"/>
    </row>
    <row r="2567" spans="2:14" s="188" customFormat="1" ht="15" customHeight="1">
      <c r="B2567" s="187"/>
      <c r="C2567" s="187"/>
      <c r="D2567" s="187"/>
      <c r="E2567" s="187"/>
      <c r="F2567" s="187"/>
      <c r="G2567" s="187"/>
      <c r="J2567" s="186"/>
      <c r="K2567" s="180"/>
      <c r="L2567" s="180"/>
      <c r="M2567" s="186"/>
      <c r="N2567" s="186"/>
    </row>
    <row r="2568" spans="2:14" s="188" customFormat="1" ht="15" customHeight="1">
      <c r="B2568" s="187"/>
      <c r="C2568" s="187"/>
      <c r="D2568" s="187"/>
      <c r="E2568" s="187"/>
      <c r="F2568" s="187"/>
      <c r="G2568" s="187"/>
      <c r="J2568" s="186"/>
      <c r="K2568" s="180"/>
      <c r="L2568" s="180"/>
      <c r="M2568" s="186"/>
      <c r="N2568" s="186"/>
    </row>
    <row r="2569" spans="2:14" s="188" customFormat="1" ht="15" customHeight="1">
      <c r="B2569" s="187"/>
      <c r="C2569" s="187"/>
      <c r="D2569" s="187"/>
      <c r="E2569" s="187"/>
      <c r="F2569" s="187"/>
      <c r="G2569" s="187"/>
      <c r="J2569" s="186"/>
      <c r="K2569" s="180"/>
      <c r="L2569" s="180"/>
      <c r="M2569" s="186"/>
      <c r="N2569" s="186"/>
    </row>
    <row r="2570" spans="2:14" s="188" customFormat="1" ht="15" customHeight="1">
      <c r="B2570" s="187"/>
      <c r="C2570" s="187"/>
      <c r="D2570" s="187"/>
      <c r="E2570" s="187"/>
      <c r="F2570" s="187"/>
      <c r="G2570" s="187"/>
      <c r="J2570" s="186"/>
      <c r="K2570" s="180"/>
      <c r="L2570" s="180"/>
      <c r="M2570" s="186"/>
      <c r="N2570" s="186"/>
    </row>
    <row r="2571" spans="2:14" s="188" customFormat="1" ht="15" customHeight="1">
      <c r="B2571" s="187"/>
      <c r="C2571" s="187"/>
      <c r="D2571" s="187"/>
      <c r="E2571" s="187"/>
      <c r="F2571" s="187"/>
      <c r="G2571" s="187"/>
      <c r="J2571" s="186"/>
      <c r="K2571" s="180"/>
      <c r="L2571" s="180"/>
      <c r="M2571" s="186"/>
      <c r="N2571" s="186"/>
    </row>
    <row r="2572" spans="2:14" s="188" customFormat="1" ht="15" customHeight="1">
      <c r="B2572" s="187"/>
      <c r="C2572" s="187"/>
      <c r="D2572" s="187"/>
      <c r="E2572" s="187"/>
      <c r="F2572" s="187"/>
      <c r="G2572" s="187"/>
      <c r="J2572" s="186"/>
      <c r="K2572" s="180"/>
      <c r="L2572" s="180"/>
      <c r="M2572" s="186"/>
      <c r="N2572" s="186"/>
    </row>
    <row r="2573" spans="2:14" s="188" customFormat="1" ht="15" customHeight="1">
      <c r="B2573" s="187"/>
      <c r="C2573" s="187"/>
      <c r="D2573" s="187"/>
      <c r="E2573" s="187"/>
      <c r="F2573" s="187"/>
      <c r="G2573" s="187"/>
      <c r="J2573" s="186"/>
      <c r="K2573" s="180"/>
      <c r="L2573" s="180"/>
      <c r="M2573" s="186"/>
      <c r="N2573" s="186"/>
    </row>
    <row r="2574" spans="2:14" s="188" customFormat="1" ht="15" customHeight="1">
      <c r="B2574" s="187"/>
      <c r="C2574" s="187"/>
      <c r="D2574" s="187"/>
      <c r="E2574" s="187"/>
      <c r="F2574" s="187"/>
      <c r="G2574" s="187"/>
      <c r="J2574" s="186"/>
      <c r="K2574" s="180"/>
      <c r="L2574" s="180"/>
      <c r="M2574" s="186"/>
      <c r="N2574" s="186"/>
    </row>
    <row r="2575" spans="2:14" s="188" customFormat="1" ht="15" customHeight="1">
      <c r="B2575" s="187"/>
      <c r="C2575" s="187"/>
      <c r="D2575" s="187"/>
      <c r="E2575" s="187"/>
      <c r="F2575" s="187"/>
      <c r="G2575" s="187"/>
      <c r="J2575" s="186"/>
      <c r="K2575" s="180"/>
      <c r="L2575" s="180"/>
      <c r="M2575" s="186"/>
      <c r="N2575" s="186"/>
    </row>
    <row r="2576" spans="2:14" s="188" customFormat="1" ht="15" customHeight="1">
      <c r="B2576" s="187"/>
      <c r="C2576" s="187"/>
      <c r="D2576" s="187"/>
      <c r="E2576" s="187"/>
      <c r="F2576" s="187"/>
      <c r="G2576" s="187"/>
      <c r="J2576" s="186"/>
      <c r="K2576" s="180"/>
      <c r="L2576" s="180"/>
      <c r="M2576" s="186"/>
      <c r="N2576" s="186"/>
    </row>
    <row r="2577" spans="2:14" s="188" customFormat="1" ht="15" customHeight="1">
      <c r="B2577" s="187"/>
      <c r="C2577" s="187"/>
      <c r="D2577" s="187"/>
      <c r="E2577" s="187"/>
      <c r="F2577" s="187"/>
      <c r="G2577" s="187"/>
      <c r="J2577" s="186"/>
      <c r="K2577" s="180"/>
      <c r="L2577" s="180"/>
      <c r="M2577" s="186"/>
      <c r="N2577" s="186"/>
    </row>
    <row r="2578" spans="2:14" s="188" customFormat="1" ht="15" customHeight="1">
      <c r="B2578" s="187"/>
      <c r="C2578" s="187"/>
      <c r="D2578" s="187"/>
      <c r="E2578" s="187"/>
      <c r="F2578" s="187"/>
      <c r="G2578" s="187"/>
      <c r="J2578" s="186"/>
      <c r="K2578" s="180"/>
      <c r="L2578" s="180"/>
      <c r="M2578" s="186"/>
      <c r="N2578" s="186"/>
    </row>
    <row r="2579" spans="2:14" s="188" customFormat="1" ht="15" customHeight="1">
      <c r="B2579" s="187"/>
      <c r="C2579" s="187"/>
      <c r="D2579" s="187"/>
      <c r="E2579" s="187"/>
      <c r="F2579" s="187"/>
      <c r="G2579" s="187"/>
      <c r="J2579" s="186"/>
      <c r="K2579" s="180"/>
      <c r="L2579" s="180"/>
      <c r="M2579" s="186"/>
      <c r="N2579" s="186"/>
    </row>
    <row r="2580" spans="2:14" s="188" customFormat="1" ht="15" customHeight="1">
      <c r="B2580" s="187"/>
      <c r="C2580" s="187"/>
      <c r="D2580" s="187"/>
      <c r="E2580" s="187"/>
      <c r="F2580" s="187"/>
      <c r="G2580" s="187"/>
      <c r="J2580" s="186"/>
      <c r="K2580" s="180"/>
      <c r="L2580" s="180"/>
      <c r="M2580" s="186"/>
      <c r="N2580" s="186"/>
    </row>
    <row r="2581" spans="2:14" s="188" customFormat="1" ht="15" customHeight="1">
      <c r="B2581" s="187"/>
      <c r="C2581" s="187"/>
      <c r="D2581" s="187"/>
      <c r="E2581" s="187"/>
      <c r="F2581" s="187"/>
      <c r="G2581" s="187"/>
      <c r="J2581" s="186"/>
      <c r="K2581" s="180"/>
      <c r="L2581" s="180"/>
      <c r="M2581" s="186"/>
      <c r="N2581" s="186"/>
    </row>
    <row r="2582" spans="2:14" s="188" customFormat="1" ht="15" customHeight="1">
      <c r="B2582" s="187"/>
      <c r="C2582" s="187"/>
      <c r="D2582" s="187"/>
      <c r="E2582" s="187"/>
      <c r="F2582" s="187"/>
      <c r="G2582" s="187"/>
      <c r="J2582" s="186"/>
      <c r="K2582" s="180"/>
      <c r="L2582" s="180"/>
      <c r="M2582" s="186"/>
      <c r="N2582" s="186"/>
    </row>
    <row r="2583" spans="2:14" s="188" customFormat="1" ht="15" customHeight="1">
      <c r="B2583" s="187"/>
      <c r="C2583" s="187"/>
      <c r="D2583" s="187"/>
      <c r="E2583" s="187"/>
      <c r="F2583" s="187"/>
      <c r="G2583" s="187"/>
      <c r="J2583" s="186"/>
      <c r="K2583" s="180"/>
      <c r="L2583" s="180"/>
      <c r="M2583" s="186"/>
      <c r="N2583" s="186"/>
    </row>
    <row r="2584" spans="2:14" s="188" customFormat="1" ht="15" customHeight="1">
      <c r="B2584" s="187"/>
      <c r="C2584" s="187"/>
      <c r="D2584" s="187"/>
      <c r="E2584" s="187"/>
      <c r="F2584" s="187"/>
      <c r="G2584" s="187"/>
      <c r="J2584" s="186"/>
      <c r="K2584" s="180"/>
      <c r="L2584" s="180"/>
      <c r="M2584" s="186"/>
      <c r="N2584" s="186"/>
    </row>
    <row r="2585" spans="2:14" s="188" customFormat="1" ht="15" customHeight="1">
      <c r="B2585" s="187"/>
      <c r="C2585" s="187"/>
      <c r="D2585" s="187"/>
      <c r="E2585" s="187"/>
      <c r="F2585" s="187"/>
      <c r="G2585" s="187"/>
      <c r="J2585" s="186"/>
      <c r="K2585" s="180"/>
      <c r="L2585" s="180"/>
      <c r="M2585" s="186"/>
      <c r="N2585" s="186"/>
    </row>
    <row r="2586" spans="2:14" s="188" customFormat="1" ht="15" customHeight="1">
      <c r="B2586" s="187"/>
      <c r="C2586" s="187"/>
      <c r="D2586" s="187"/>
      <c r="E2586" s="187"/>
      <c r="F2586" s="187"/>
      <c r="G2586" s="187"/>
      <c r="J2586" s="186"/>
      <c r="K2586" s="180"/>
      <c r="L2586" s="180"/>
      <c r="M2586" s="186"/>
      <c r="N2586" s="186"/>
    </row>
    <row r="2587" spans="2:14" s="188" customFormat="1" ht="15" customHeight="1">
      <c r="B2587" s="187"/>
      <c r="C2587" s="187"/>
      <c r="D2587" s="187"/>
      <c r="E2587" s="187"/>
      <c r="F2587" s="187"/>
      <c r="G2587" s="187"/>
      <c r="J2587" s="186"/>
      <c r="K2587" s="180"/>
      <c r="L2587" s="180"/>
      <c r="M2587" s="186"/>
      <c r="N2587" s="186"/>
    </row>
    <row r="2588" spans="2:14" s="188" customFormat="1" ht="15" customHeight="1">
      <c r="B2588" s="187"/>
      <c r="C2588" s="187"/>
      <c r="D2588" s="187"/>
      <c r="E2588" s="187"/>
      <c r="F2588" s="187"/>
      <c r="G2588" s="187"/>
      <c r="J2588" s="186"/>
      <c r="K2588" s="180"/>
      <c r="L2588" s="180"/>
      <c r="M2588" s="186"/>
      <c r="N2588" s="186"/>
    </row>
    <row r="2589" spans="2:14" s="188" customFormat="1" ht="15" customHeight="1">
      <c r="B2589" s="187"/>
      <c r="C2589" s="187"/>
      <c r="D2589" s="187"/>
      <c r="E2589" s="187"/>
      <c r="F2589" s="187"/>
      <c r="G2589" s="187"/>
      <c r="J2589" s="186"/>
      <c r="K2589" s="180"/>
      <c r="L2589" s="180"/>
      <c r="M2589" s="186"/>
      <c r="N2589" s="186"/>
    </row>
    <row r="2590" spans="2:14" s="188" customFormat="1" ht="15" customHeight="1">
      <c r="B2590" s="187"/>
      <c r="C2590" s="187"/>
      <c r="D2590" s="187"/>
      <c r="E2590" s="187"/>
      <c r="F2590" s="187"/>
      <c r="G2590" s="187"/>
      <c r="J2590" s="186"/>
      <c r="K2590" s="180"/>
      <c r="L2590" s="180"/>
      <c r="M2590" s="186"/>
      <c r="N2590" s="186"/>
    </row>
    <row r="2591" spans="2:14" s="188" customFormat="1" ht="15" customHeight="1">
      <c r="B2591" s="187"/>
      <c r="C2591" s="187"/>
      <c r="D2591" s="187"/>
      <c r="E2591" s="187"/>
      <c r="F2591" s="187"/>
      <c r="G2591" s="187"/>
      <c r="J2591" s="186"/>
      <c r="K2591" s="180"/>
      <c r="L2591" s="180"/>
      <c r="M2591" s="186"/>
      <c r="N2591" s="186"/>
    </row>
    <row r="2592" spans="2:14" s="188" customFormat="1" ht="15" customHeight="1">
      <c r="B2592" s="187"/>
      <c r="C2592" s="187"/>
      <c r="D2592" s="187"/>
      <c r="E2592" s="187"/>
      <c r="F2592" s="187"/>
      <c r="G2592" s="187"/>
      <c r="J2592" s="186"/>
      <c r="K2592" s="180"/>
      <c r="L2592" s="180"/>
      <c r="M2592" s="186"/>
      <c r="N2592" s="186"/>
    </row>
    <row r="2593" spans="2:14" s="188" customFormat="1" ht="15" customHeight="1">
      <c r="B2593" s="187"/>
      <c r="C2593" s="187"/>
      <c r="D2593" s="187"/>
      <c r="E2593" s="187"/>
      <c r="F2593" s="187"/>
      <c r="G2593" s="187"/>
      <c r="J2593" s="186"/>
      <c r="K2593" s="180"/>
      <c r="L2593" s="180"/>
      <c r="M2593" s="186"/>
      <c r="N2593" s="186"/>
    </row>
    <row r="2594" spans="2:14" s="188" customFormat="1" ht="15" customHeight="1">
      <c r="B2594" s="187"/>
      <c r="C2594" s="187"/>
      <c r="D2594" s="187"/>
      <c r="E2594" s="187"/>
      <c r="F2594" s="187"/>
      <c r="G2594" s="187"/>
      <c r="J2594" s="186"/>
      <c r="K2594" s="180"/>
      <c r="L2594" s="180"/>
      <c r="M2594" s="186"/>
      <c r="N2594" s="186"/>
    </row>
    <row r="2595" spans="2:14" s="188" customFormat="1" ht="15" customHeight="1">
      <c r="B2595" s="187"/>
      <c r="C2595" s="187"/>
      <c r="D2595" s="187"/>
      <c r="E2595" s="187"/>
      <c r="F2595" s="187"/>
      <c r="G2595" s="187"/>
      <c r="J2595" s="186"/>
      <c r="K2595" s="180"/>
      <c r="L2595" s="180"/>
      <c r="M2595" s="186"/>
      <c r="N2595" s="186"/>
    </row>
    <row r="2596" spans="2:14" s="188" customFormat="1" ht="15" customHeight="1">
      <c r="B2596" s="187"/>
      <c r="C2596" s="187"/>
      <c r="D2596" s="187"/>
      <c r="E2596" s="187"/>
      <c r="F2596" s="187"/>
      <c r="G2596" s="187"/>
      <c r="J2596" s="186"/>
      <c r="K2596" s="180"/>
      <c r="L2596" s="180"/>
      <c r="M2596" s="186"/>
      <c r="N2596" s="186"/>
    </row>
    <row r="2597" spans="2:14" s="188" customFormat="1" ht="15" customHeight="1">
      <c r="B2597" s="187"/>
      <c r="C2597" s="187"/>
      <c r="D2597" s="187"/>
      <c r="E2597" s="187"/>
      <c r="F2597" s="187"/>
      <c r="G2597" s="187"/>
      <c r="J2597" s="186"/>
      <c r="K2597" s="180"/>
      <c r="L2597" s="180"/>
      <c r="M2597" s="186"/>
      <c r="N2597" s="186"/>
    </row>
    <row r="2598" spans="2:14" s="188" customFormat="1" ht="15" customHeight="1">
      <c r="B2598" s="187"/>
      <c r="C2598" s="187"/>
      <c r="D2598" s="187"/>
      <c r="E2598" s="187"/>
      <c r="F2598" s="187"/>
      <c r="G2598" s="187"/>
      <c r="J2598" s="186"/>
      <c r="K2598" s="180"/>
      <c r="L2598" s="180"/>
      <c r="M2598" s="186"/>
      <c r="N2598" s="186"/>
    </row>
    <row r="2599" spans="2:14" s="188" customFormat="1" ht="15" customHeight="1">
      <c r="B2599" s="187"/>
      <c r="C2599" s="187"/>
      <c r="D2599" s="187"/>
      <c r="E2599" s="187"/>
      <c r="F2599" s="187"/>
      <c r="G2599" s="187"/>
      <c r="J2599" s="186"/>
      <c r="K2599" s="180"/>
      <c r="L2599" s="180"/>
      <c r="M2599" s="186"/>
      <c r="N2599" s="186"/>
    </row>
    <row r="2600" spans="2:14" s="188" customFormat="1" ht="15" customHeight="1">
      <c r="B2600" s="187"/>
      <c r="C2600" s="187"/>
      <c r="D2600" s="187"/>
      <c r="E2600" s="187"/>
      <c r="F2600" s="187"/>
      <c r="G2600" s="187"/>
      <c r="J2600" s="186"/>
      <c r="K2600" s="180"/>
      <c r="L2600" s="180"/>
      <c r="M2600" s="186"/>
      <c r="N2600" s="186"/>
    </row>
    <row r="2601" spans="2:14" s="188" customFormat="1" ht="15" customHeight="1">
      <c r="B2601" s="187"/>
      <c r="C2601" s="187"/>
      <c r="D2601" s="187"/>
      <c r="E2601" s="187"/>
      <c r="F2601" s="187"/>
      <c r="G2601" s="187"/>
      <c r="J2601" s="186"/>
      <c r="K2601" s="180"/>
      <c r="L2601" s="180"/>
      <c r="M2601" s="186"/>
      <c r="N2601" s="186"/>
    </row>
    <row r="2602" spans="2:14" s="188" customFormat="1" ht="15" customHeight="1">
      <c r="B2602" s="187"/>
      <c r="C2602" s="187"/>
      <c r="D2602" s="187"/>
      <c r="E2602" s="187"/>
      <c r="F2602" s="187"/>
      <c r="G2602" s="187"/>
      <c r="J2602" s="186"/>
      <c r="K2602" s="180"/>
      <c r="L2602" s="180"/>
      <c r="M2602" s="186"/>
      <c r="N2602" s="186"/>
    </row>
    <row r="2603" spans="2:14" s="188" customFormat="1" ht="15" customHeight="1">
      <c r="B2603" s="187"/>
      <c r="C2603" s="187"/>
      <c r="D2603" s="187"/>
      <c r="E2603" s="187"/>
      <c r="F2603" s="187"/>
      <c r="G2603" s="187"/>
      <c r="J2603" s="186"/>
      <c r="K2603" s="180"/>
      <c r="L2603" s="180"/>
      <c r="M2603" s="186"/>
      <c r="N2603" s="186"/>
    </row>
    <row r="2604" spans="2:14" s="188" customFormat="1" ht="15" customHeight="1">
      <c r="B2604" s="187"/>
      <c r="C2604" s="187"/>
      <c r="D2604" s="187"/>
      <c r="E2604" s="187"/>
      <c r="F2604" s="187"/>
      <c r="G2604" s="187"/>
      <c r="J2604" s="186"/>
      <c r="K2604" s="180"/>
      <c r="L2604" s="180"/>
      <c r="M2604" s="186"/>
      <c r="N2604" s="186"/>
    </row>
    <row r="2605" spans="2:14" s="188" customFormat="1" ht="15" customHeight="1">
      <c r="B2605" s="187"/>
      <c r="C2605" s="187"/>
      <c r="D2605" s="187"/>
      <c r="E2605" s="187"/>
      <c r="F2605" s="187"/>
      <c r="G2605" s="187"/>
      <c r="J2605" s="186"/>
      <c r="K2605" s="180"/>
      <c r="L2605" s="180"/>
      <c r="M2605" s="186"/>
      <c r="N2605" s="186"/>
    </row>
    <row r="2606" spans="2:14" s="188" customFormat="1" ht="15" customHeight="1">
      <c r="B2606" s="187"/>
      <c r="C2606" s="187"/>
      <c r="D2606" s="187"/>
      <c r="E2606" s="187"/>
      <c r="F2606" s="187"/>
      <c r="G2606" s="187"/>
      <c r="J2606" s="186"/>
      <c r="K2606" s="180"/>
      <c r="L2606" s="180"/>
      <c r="M2606" s="186"/>
      <c r="N2606" s="186"/>
    </row>
    <row r="2607" spans="2:14" s="188" customFormat="1" ht="15" customHeight="1">
      <c r="B2607" s="187"/>
      <c r="C2607" s="187"/>
      <c r="D2607" s="187"/>
      <c r="E2607" s="187"/>
      <c r="F2607" s="187"/>
      <c r="G2607" s="187"/>
      <c r="J2607" s="186"/>
      <c r="K2607" s="180"/>
      <c r="L2607" s="180"/>
      <c r="M2607" s="186"/>
      <c r="N2607" s="186"/>
    </row>
    <row r="2608" spans="2:14" s="188" customFormat="1" ht="15" customHeight="1">
      <c r="B2608" s="187"/>
      <c r="C2608" s="187"/>
      <c r="D2608" s="187"/>
      <c r="E2608" s="187"/>
      <c r="F2608" s="187"/>
      <c r="G2608" s="187"/>
      <c r="J2608" s="186"/>
      <c r="K2608" s="180"/>
      <c r="L2608" s="180"/>
      <c r="M2608" s="186"/>
      <c r="N2608" s="186"/>
    </row>
    <row r="2609" spans="2:14" s="188" customFormat="1" ht="15" customHeight="1">
      <c r="B2609" s="187"/>
      <c r="C2609" s="187"/>
      <c r="D2609" s="187"/>
      <c r="E2609" s="187"/>
      <c r="F2609" s="187"/>
      <c r="G2609" s="187"/>
      <c r="J2609" s="186"/>
      <c r="K2609" s="180"/>
      <c r="L2609" s="180"/>
      <c r="M2609" s="186"/>
      <c r="N2609" s="186"/>
    </row>
    <row r="2610" spans="2:14" s="188" customFormat="1" ht="15" customHeight="1">
      <c r="B2610" s="187"/>
      <c r="C2610" s="187"/>
      <c r="D2610" s="187"/>
      <c r="E2610" s="187"/>
      <c r="F2610" s="187"/>
      <c r="G2610" s="187"/>
      <c r="J2610" s="186"/>
      <c r="K2610" s="180"/>
      <c r="L2610" s="180"/>
      <c r="M2610" s="186"/>
      <c r="N2610" s="186"/>
    </row>
    <row r="2611" spans="2:14" s="188" customFormat="1" ht="15" customHeight="1">
      <c r="B2611" s="187"/>
      <c r="C2611" s="187"/>
      <c r="D2611" s="187"/>
      <c r="E2611" s="187"/>
      <c r="F2611" s="187"/>
      <c r="G2611" s="187"/>
      <c r="J2611" s="186"/>
      <c r="K2611" s="180"/>
      <c r="L2611" s="180"/>
      <c r="M2611" s="186"/>
      <c r="N2611" s="186"/>
    </row>
    <row r="2612" spans="2:14" s="188" customFormat="1" ht="15" customHeight="1">
      <c r="B2612" s="187"/>
      <c r="C2612" s="187"/>
      <c r="D2612" s="187"/>
      <c r="E2612" s="187"/>
      <c r="F2612" s="187"/>
      <c r="G2612" s="187"/>
      <c r="J2612" s="186"/>
      <c r="K2612" s="180"/>
      <c r="L2612" s="180"/>
      <c r="M2612" s="186"/>
      <c r="N2612" s="186"/>
    </row>
    <row r="2613" spans="2:14" s="188" customFormat="1" ht="15" customHeight="1">
      <c r="B2613" s="187"/>
      <c r="C2613" s="187"/>
      <c r="D2613" s="187"/>
      <c r="E2613" s="187"/>
      <c r="F2613" s="187"/>
      <c r="G2613" s="187"/>
      <c r="J2613" s="186"/>
      <c r="K2613" s="180"/>
      <c r="L2613" s="180"/>
      <c r="M2613" s="186"/>
      <c r="N2613" s="186"/>
    </row>
    <row r="2614" spans="2:14" s="188" customFormat="1" ht="15" customHeight="1">
      <c r="B2614" s="187"/>
      <c r="C2614" s="187"/>
      <c r="D2614" s="187"/>
      <c r="E2614" s="187"/>
      <c r="F2614" s="187"/>
      <c r="G2614" s="187"/>
      <c r="J2614" s="186"/>
      <c r="K2614" s="180"/>
      <c r="L2614" s="180"/>
      <c r="M2614" s="186"/>
      <c r="N2614" s="186"/>
    </row>
    <row r="2615" spans="2:14" s="188" customFormat="1" ht="15" customHeight="1">
      <c r="B2615" s="187"/>
      <c r="C2615" s="187"/>
      <c r="D2615" s="187"/>
      <c r="E2615" s="187"/>
      <c r="F2615" s="187"/>
      <c r="G2615" s="187"/>
      <c r="J2615" s="186"/>
      <c r="K2615" s="180"/>
      <c r="L2615" s="180"/>
      <c r="M2615" s="186"/>
      <c r="N2615" s="186"/>
    </row>
    <row r="2616" spans="2:14" s="188" customFormat="1" ht="15" customHeight="1">
      <c r="B2616" s="187"/>
      <c r="C2616" s="187"/>
      <c r="D2616" s="187"/>
      <c r="E2616" s="187"/>
      <c r="F2616" s="187"/>
      <c r="G2616" s="187"/>
      <c r="J2616" s="186"/>
      <c r="K2616" s="180"/>
      <c r="L2616" s="180"/>
      <c r="M2616" s="186"/>
      <c r="N2616" s="186"/>
    </row>
    <row r="2617" spans="2:14" s="188" customFormat="1" ht="15" customHeight="1">
      <c r="B2617" s="187"/>
      <c r="C2617" s="187"/>
      <c r="D2617" s="187"/>
      <c r="E2617" s="187"/>
      <c r="F2617" s="187"/>
      <c r="G2617" s="187"/>
      <c r="J2617" s="186"/>
      <c r="K2617" s="180"/>
      <c r="L2617" s="180"/>
      <c r="M2617" s="186"/>
      <c r="N2617" s="186"/>
    </row>
    <row r="2618" spans="2:14" s="188" customFormat="1" ht="15" customHeight="1">
      <c r="B2618" s="187"/>
      <c r="C2618" s="187"/>
      <c r="D2618" s="187"/>
      <c r="E2618" s="187"/>
      <c r="F2618" s="187"/>
      <c r="G2618" s="187"/>
      <c r="J2618" s="186"/>
      <c r="K2618" s="180"/>
      <c r="L2618" s="180"/>
      <c r="M2618" s="186"/>
      <c r="N2618" s="186"/>
    </row>
    <row r="2619" spans="2:14" s="188" customFormat="1" ht="15" customHeight="1">
      <c r="B2619" s="187"/>
      <c r="C2619" s="187"/>
      <c r="D2619" s="187"/>
      <c r="E2619" s="187"/>
      <c r="F2619" s="187"/>
      <c r="G2619" s="187"/>
      <c r="J2619" s="186"/>
      <c r="K2619" s="180"/>
      <c r="L2619" s="180"/>
      <c r="M2619" s="186"/>
      <c r="N2619" s="186"/>
    </row>
    <row r="2620" spans="2:14" s="188" customFormat="1" ht="15" customHeight="1">
      <c r="B2620" s="187"/>
      <c r="C2620" s="187"/>
      <c r="D2620" s="187"/>
      <c r="E2620" s="187"/>
      <c r="F2620" s="187"/>
      <c r="G2620" s="187"/>
      <c r="J2620" s="186"/>
      <c r="K2620" s="180"/>
      <c r="L2620" s="180"/>
      <c r="M2620" s="186"/>
      <c r="N2620" s="186"/>
    </row>
    <row r="2621" spans="2:14" s="188" customFormat="1" ht="15" customHeight="1">
      <c r="B2621" s="187"/>
      <c r="C2621" s="187"/>
      <c r="D2621" s="187"/>
      <c r="E2621" s="187"/>
      <c r="F2621" s="187"/>
      <c r="G2621" s="187"/>
      <c r="J2621" s="186"/>
      <c r="K2621" s="180"/>
      <c r="L2621" s="180"/>
      <c r="M2621" s="186"/>
      <c r="N2621" s="186"/>
    </row>
    <row r="2622" spans="2:14" s="188" customFormat="1" ht="15" customHeight="1">
      <c r="B2622" s="187"/>
      <c r="C2622" s="187"/>
      <c r="D2622" s="187"/>
      <c r="E2622" s="187"/>
      <c r="F2622" s="187"/>
      <c r="G2622" s="187"/>
      <c r="J2622" s="186"/>
      <c r="K2622" s="180"/>
      <c r="L2622" s="180"/>
      <c r="M2622" s="186"/>
      <c r="N2622" s="186"/>
    </row>
    <row r="2623" spans="2:14" s="188" customFormat="1" ht="15" customHeight="1">
      <c r="B2623" s="187"/>
      <c r="C2623" s="187"/>
      <c r="D2623" s="187"/>
      <c r="E2623" s="187"/>
      <c r="F2623" s="187"/>
      <c r="G2623" s="187"/>
      <c r="J2623" s="186"/>
      <c r="K2623" s="180"/>
      <c r="L2623" s="180"/>
      <c r="M2623" s="186"/>
      <c r="N2623" s="186"/>
    </row>
    <row r="2624" spans="2:14" s="188" customFormat="1" ht="15" customHeight="1">
      <c r="B2624" s="187"/>
      <c r="C2624" s="187"/>
      <c r="D2624" s="187"/>
      <c r="E2624" s="187"/>
      <c r="F2624" s="187"/>
      <c r="G2624" s="187"/>
      <c r="J2624" s="186"/>
      <c r="K2624" s="180"/>
      <c r="L2624" s="180"/>
      <c r="M2624" s="186"/>
      <c r="N2624" s="186"/>
    </row>
    <row r="2625" spans="2:14" s="188" customFormat="1" ht="15" customHeight="1">
      <c r="B2625" s="187"/>
      <c r="C2625" s="187"/>
      <c r="D2625" s="187"/>
      <c r="E2625" s="187"/>
      <c r="F2625" s="187"/>
      <c r="G2625" s="187"/>
      <c r="J2625" s="186"/>
      <c r="K2625" s="180"/>
      <c r="L2625" s="180"/>
      <c r="M2625" s="186"/>
      <c r="N2625" s="186"/>
    </row>
    <row r="2626" spans="2:14" s="188" customFormat="1" ht="15" customHeight="1">
      <c r="B2626" s="187"/>
      <c r="C2626" s="187"/>
      <c r="D2626" s="187"/>
      <c r="E2626" s="187"/>
      <c r="F2626" s="187"/>
      <c r="G2626" s="187"/>
      <c r="J2626" s="186"/>
      <c r="K2626" s="180"/>
      <c r="L2626" s="180"/>
      <c r="M2626" s="186"/>
      <c r="N2626" s="186"/>
    </row>
    <row r="2627" spans="2:14" s="188" customFormat="1" ht="15" customHeight="1">
      <c r="B2627" s="187"/>
      <c r="C2627" s="187"/>
      <c r="D2627" s="187"/>
      <c r="E2627" s="187"/>
      <c r="F2627" s="187"/>
      <c r="G2627" s="187"/>
      <c r="J2627" s="186"/>
      <c r="K2627" s="180"/>
      <c r="L2627" s="180"/>
      <c r="M2627" s="186"/>
      <c r="N2627" s="186"/>
    </row>
    <row r="2628" spans="2:14" s="188" customFormat="1" ht="15" customHeight="1">
      <c r="B2628" s="187"/>
      <c r="C2628" s="187"/>
      <c r="D2628" s="187"/>
      <c r="E2628" s="187"/>
      <c r="F2628" s="187"/>
      <c r="G2628" s="187"/>
      <c r="J2628" s="186"/>
      <c r="K2628" s="180"/>
      <c r="L2628" s="180"/>
      <c r="M2628" s="186"/>
      <c r="N2628" s="186"/>
    </row>
    <row r="2629" spans="2:14" s="188" customFormat="1" ht="15" customHeight="1">
      <c r="B2629" s="187"/>
      <c r="C2629" s="187"/>
      <c r="D2629" s="187"/>
      <c r="E2629" s="187"/>
      <c r="F2629" s="187"/>
      <c r="G2629" s="187"/>
      <c r="J2629" s="186"/>
      <c r="K2629" s="180"/>
      <c r="L2629" s="180"/>
      <c r="M2629" s="186"/>
      <c r="N2629" s="186"/>
    </row>
    <row r="2630" spans="2:14" s="188" customFormat="1" ht="15" customHeight="1">
      <c r="B2630" s="187"/>
      <c r="C2630" s="187"/>
      <c r="D2630" s="187"/>
      <c r="E2630" s="187"/>
      <c r="F2630" s="187"/>
      <c r="G2630" s="187"/>
      <c r="J2630" s="186"/>
      <c r="K2630" s="180"/>
      <c r="L2630" s="180"/>
      <c r="M2630" s="186"/>
      <c r="N2630" s="186"/>
    </row>
    <row r="2631" spans="2:14" s="188" customFormat="1" ht="15" customHeight="1">
      <c r="B2631" s="187"/>
      <c r="C2631" s="187"/>
      <c r="D2631" s="187"/>
      <c r="E2631" s="187"/>
      <c r="F2631" s="187"/>
      <c r="G2631" s="187"/>
      <c r="J2631" s="186"/>
      <c r="K2631" s="180"/>
      <c r="L2631" s="180"/>
      <c r="M2631" s="186"/>
      <c r="N2631" s="186"/>
    </row>
    <row r="2632" spans="2:14" s="188" customFormat="1" ht="15" customHeight="1">
      <c r="B2632" s="187"/>
      <c r="C2632" s="187"/>
      <c r="D2632" s="187"/>
      <c r="E2632" s="187"/>
      <c r="F2632" s="187"/>
      <c r="G2632" s="187"/>
      <c r="J2632" s="186"/>
      <c r="K2632" s="180"/>
      <c r="L2632" s="180"/>
      <c r="M2632" s="186"/>
      <c r="N2632" s="186"/>
    </row>
    <row r="2633" spans="2:14" s="188" customFormat="1" ht="15" customHeight="1">
      <c r="B2633" s="187"/>
      <c r="C2633" s="187"/>
      <c r="D2633" s="187"/>
      <c r="E2633" s="187"/>
      <c r="F2633" s="187"/>
      <c r="G2633" s="187"/>
      <c r="J2633" s="186"/>
      <c r="K2633" s="180"/>
      <c r="L2633" s="180"/>
      <c r="M2633" s="186"/>
      <c r="N2633" s="186"/>
    </row>
    <row r="2634" spans="2:14" s="188" customFormat="1" ht="15" customHeight="1">
      <c r="B2634" s="187"/>
      <c r="C2634" s="187"/>
      <c r="D2634" s="187"/>
      <c r="E2634" s="187"/>
      <c r="F2634" s="187"/>
      <c r="G2634" s="187"/>
      <c r="J2634" s="186"/>
      <c r="K2634" s="180"/>
      <c r="L2634" s="180"/>
      <c r="M2634" s="186"/>
      <c r="N2634" s="186"/>
    </row>
    <row r="2635" spans="2:14" s="188" customFormat="1" ht="15" customHeight="1">
      <c r="B2635" s="187"/>
      <c r="C2635" s="187"/>
      <c r="D2635" s="187"/>
      <c r="E2635" s="187"/>
      <c r="F2635" s="187"/>
      <c r="G2635" s="187"/>
      <c r="J2635" s="186"/>
      <c r="K2635" s="180"/>
      <c r="L2635" s="180"/>
      <c r="M2635" s="186"/>
      <c r="N2635" s="186"/>
    </row>
    <row r="2636" spans="2:14" s="188" customFormat="1" ht="15" customHeight="1">
      <c r="B2636" s="187"/>
      <c r="C2636" s="187"/>
      <c r="D2636" s="187"/>
      <c r="E2636" s="187"/>
      <c r="F2636" s="187"/>
      <c r="G2636" s="187"/>
      <c r="J2636" s="186"/>
      <c r="K2636" s="180"/>
      <c r="L2636" s="180"/>
      <c r="M2636" s="186"/>
      <c r="N2636" s="186"/>
    </row>
    <row r="2637" spans="2:14" s="188" customFormat="1" ht="15" customHeight="1">
      <c r="B2637" s="187"/>
      <c r="C2637" s="187"/>
      <c r="D2637" s="187"/>
      <c r="E2637" s="187"/>
      <c r="F2637" s="187"/>
      <c r="G2637" s="187"/>
      <c r="J2637" s="186"/>
      <c r="K2637" s="180"/>
      <c r="L2637" s="180"/>
      <c r="M2637" s="186"/>
      <c r="N2637" s="186"/>
    </row>
    <row r="2638" spans="2:14" s="188" customFormat="1" ht="15" customHeight="1">
      <c r="B2638" s="187"/>
      <c r="C2638" s="187"/>
      <c r="D2638" s="187"/>
      <c r="E2638" s="187"/>
      <c r="F2638" s="187"/>
      <c r="G2638" s="187"/>
      <c r="J2638" s="186"/>
      <c r="K2638" s="180"/>
      <c r="L2638" s="180"/>
      <c r="M2638" s="186"/>
      <c r="N2638" s="186"/>
    </row>
    <row r="2639" spans="2:14" s="188" customFormat="1" ht="15" customHeight="1">
      <c r="B2639" s="187"/>
      <c r="C2639" s="187"/>
      <c r="D2639" s="187"/>
      <c r="E2639" s="187"/>
      <c r="F2639" s="187"/>
      <c r="G2639" s="187"/>
      <c r="J2639" s="186"/>
      <c r="K2639" s="180"/>
      <c r="L2639" s="180"/>
      <c r="M2639" s="186"/>
      <c r="N2639" s="186"/>
    </row>
    <row r="2640" spans="2:14" s="188" customFormat="1" ht="15" customHeight="1">
      <c r="B2640" s="187"/>
      <c r="C2640" s="187"/>
      <c r="D2640" s="187"/>
      <c r="E2640" s="187"/>
      <c r="F2640" s="187"/>
      <c r="G2640" s="187"/>
      <c r="J2640" s="186"/>
      <c r="K2640" s="180"/>
      <c r="L2640" s="180"/>
      <c r="M2640" s="186"/>
      <c r="N2640" s="186"/>
    </row>
    <row r="2641" spans="2:14" s="188" customFormat="1" ht="15" customHeight="1">
      <c r="B2641" s="187"/>
      <c r="C2641" s="187"/>
      <c r="D2641" s="187"/>
      <c r="E2641" s="187"/>
      <c r="F2641" s="187"/>
      <c r="G2641" s="187"/>
      <c r="J2641" s="186"/>
      <c r="K2641" s="180"/>
      <c r="L2641" s="180"/>
      <c r="M2641" s="186"/>
      <c r="N2641" s="186"/>
    </row>
    <row r="2642" spans="2:14" s="188" customFormat="1" ht="15" customHeight="1">
      <c r="B2642" s="187"/>
      <c r="C2642" s="187"/>
      <c r="D2642" s="187"/>
      <c r="E2642" s="187"/>
      <c r="F2642" s="187"/>
      <c r="G2642" s="187"/>
      <c r="J2642" s="186"/>
      <c r="K2642" s="180"/>
      <c r="L2642" s="180"/>
      <c r="M2642" s="186"/>
      <c r="N2642" s="186"/>
    </row>
    <row r="2643" spans="2:14" s="188" customFormat="1" ht="15" customHeight="1">
      <c r="B2643" s="187"/>
      <c r="C2643" s="187"/>
      <c r="D2643" s="187"/>
      <c r="E2643" s="187"/>
      <c r="F2643" s="187"/>
      <c r="G2643" s="187"/>
      <c r="J2643" s="186"/>
      <c r="K2643" s="180"/>
      <c r="L2643" s="180"/>
      <c r="M2643" s="186"/>
      <c r="N2643" s="186"/>
    </row>
    <row r="2644" spans="2:14" s="188" customFormat="1" ht="15" customHeight="1">
      <c r="B2644" s="187"/>
      <c r="C2644" s="187"/>
      <c r="D2644" s="187"/>
      <c r="E2644" s="187"/>
      <c r="F2644" s="187"/>
      <c r="G2644" s="187"/>
      <c r="J2644" s="186"/>
      <c r="K2644" s="180"/>
      <c r="L2644" s="180"/>
      <c r="M2644" s="186"/>
      <c r="N2644" s="186"/>
    </row>
    <row r="2645" spans="2:14" s="188" customFormat="1" ht="15" customHeight="1">
      <c r="B2645" s="187"/>
      <c r="C2645" s="187"/>
      <c r="D2645" s="187"/>
      <c r="E2645" s="187"/>
      <c r="F2645" s="187"/>
      <c r="G2645" s="187"/>
      <c r="J2645" s="186"/>
      <c r="K2645" s="180"/>
      <c r="L2645" s="180"/>
      <c r="M2645" s="186"/>
      <c r="N2645" s="186"/>
    </row>
    <row r="2646" spans="2:14" s="188" customFormat="1" ht="15" customHeight="1">
      <c r="B2646" s="187"/>
      <c r="C2646" s="187"/>
      <c r="D2646" s="187"/>
      <c r="E2646" s="187"/>
      <c r="F2646" s="187"/>
      <c r="G2646" s="187"/>
      <c r="J2646" s="186"/>
      <c r="K2646" s="180"/>
      <c r="L2646" s="180"/>
      <c r="M2646" s="186"/>
      <c r="N2646" s="186"/>
    </row>
    <row r="2647" spans="2:14" s="188" customFormat="1" ht="15" customHeight="1">
      <c r="B2647" s="187"/>
      <c r="C2647" s="187"/>
      <c r="D2647" s="187"/>
      <c r="E2647" s="187"/>
      <c r="F2647" s="187"/>
      <c r="G2647" s="187"/>
      <c r="J2647" s="186"/>
      <c r="K2647" s="180"/>
      <c r="L2647" s="180"/>
      <c r="M2647" s="186"/>
      <c r="N2647" s="186"/>
    </row>
    <row r="2648" spans="2:14" s="188" customFormat="1" ht="15" customHeight="1">
      <c r="B2648" s="187"/>
      <c r="C2648" s="187"/>
      <c r="D2648" s="187"/>
      <c r="E2648" s="187"/>
      <c r="F2648" s="187"/>
      <c r="G2648" s="187"/>
      <c r="J2648" s="186"/>
      <c r="K2648" s="180"/>
      <c r="L2648" s="180"/>
      <c r="M2648" s="186"/>
      <c r="N2648" s="186"/>
    </row>
    <row r="2649" spans="2:14" s="188" customFormat="1" ht="15" customHeight="1">
      <c r="B2649" s="187"/>
      <c r="C2649" s="187"/>
      <c r="D2649" s="187"/>
      <c r="E2649" s="187"/>
      <c r="F2649" s="187"/>
      <c r="G2649" s="187"/>
      <c r="J2649" s="186"/>
      <c r="K2649" s="180"/>
      <c r="L2649" s="180"/>
      <c r="M2649" s="186"/>
      <c r="N2649" s="186"/>
    </row>
    <row r="2650" spans="2:14" s="188" customFormat="1" ht="15" customHeight="1">
      <c r="B2650" s="187"/>
      <c r="C2650" s="187"/>
      <c r="D2650" s="187"/>
      <c r="E2650" s="187"/>
      <c r="F2650" s="187"/>
      <c r="G2650" s="187"/>
      <c r="J2650" s="186"/>
      <c r="K2650" s="180"/>
      <c r="L2650" s="180"/>
      <c r="M2650" s="186"/>
      <c r="N2650" s="186"/>
    </row>
    <row r="2651" spans="2:14" s="188" customFormat="1" ht="15" customHeight="1">
      <c r="B2651" s="187"/>
      <c r="C2651" s="187"/>
      <c r="D2651" s="187"/>
      <c r="E2651" s="187"/>
      <c r="F2651" s="187"/>
      <c r="G2651" s="187"/>
      <c r="J2651" s="186"/>
      <c r="K2651" s="180"/>
      <c r="L2651" s="180"/>
      <c r="M2651" s="186"/>
      <c r="N2651" s="186"/>
    </row>
    <row r="2652" spans="2:14" s="188" customFormat="1" ht="15" customHeight="1">
      <c r="B2652" s="187"/>
      <c r="C2652" s="187"/>
      <c r="D2652" s="187"/>
      <c r="E2652" s="187"/>
      <c r="F2652" s="187"/>
      <c r="G2652" s="187"/>
      <c r="J2652" s="186"/>
      <c r="K2652" s="180"/>
      <c r="L2652" s="180"/>
      <c r="M2652" s="186"/>
      <c r="N2652" s="186"/>
    </row>
    <row r="2653" spans="2:14" s="188" customFormat="1" ht="15" customHeight="1">
      <c r="B2653" s="187"/>
      <c r="C2653" s="187"/>
      <c r="D2653" s="187"/>
      <c r="E2653" s="187"/>
      <c r="F2653" s="187"/>
      <c r="G2653" s="187"/>
      <c r="J2653" s="186"/>
      <c r="K2653" s="180"/>
      <c r="L2653" s="180"/>
      <c r="M2653" s="186"/>
      <c r="N2653" s="186"/>
    </row>
    <row r="2654" spans="2:14" s="188" customFormat="1" ht="15" customHeight="1">
      <c r="B2654" s="187"/>
      <c r="C2654" s="187"/>
      <c r="D2654" s="187"/>
      <c r="E2654" s="187"/>
      <c r="F2654" s="187"/>
      <c r="G2654" s="187"/>
      <c r="J2654" s="186"/>
      <c r="K2654" s="180"/>
      <c r="L2654" s="180"/>
      <c r="M2654" s="186"/>
      <c r="N2654" s="186"/>
    </row>
    <row r="2655" spans="2:14" s="188" customFormat="1" ht="15" customHeight="1">
      <c r="B2655" s="187"/>
      <c r="C2655" s="187"/>
      <c r="D2655" s="187"/>
      <c r="E2655" s="187"/>
      <c r="F2655" s="187"/>
      <c r="G2655" s="187"/>
      <c r="J2655" s="186"/>
      <c r="K2655" s="180"/>
      <c r="L2655" s="180"/>
      <c r="M2655" s="186"/>
      <c r="N2655" s="186"/>
    </row>
    <row r="2656" spans="2:14" s="188" customFormat="1" ht="15" customHeight="1">
      <c r="B2656" s="187"/>
      <c r="C2656" s="187"/>
      <c r="D2656" s="187"/>
      <c r="E2656" s="187"/>
      <c r="F2656" s="187"/>
      <c r="G2656" s="187"/>
      <c r="J2656" s="186"/>
      <c r="K2656" s="180"/>
      <c r="L2656" s="180"/>
      <c r="M2656" s="186"/>
      <c r="N2656" s="186"/>
    </row>
    <row r="2657" spans="2:14" s="188" customFormat="1" ht="15" customHeight="1">
      <c r="B2657" s="187"/>
      <c r="C2657" s="187"/>
      <c r="D2657" s="187"/>
      <c r="E2657" s="187"/>
      <c r="F2657" s="187"/>
      <c r="G2657" s="187"/>
      <c r="J2657" s="186"/>
      <c r="K2657" s="180"/>
      <c r="L2657" s="180"/>
      <c r="M2657" s="186"/>
      <c r="N2657" s="186"/>
    </row>
    <row r="2658" spans="2:14" s="188" customFormat="1" ht="15" customHeight="1">
      <c r="B2658" s="187"/>
      <c r="C2658" s="187"/>
      <c r="D2658" s="187"/>
      <c r="E2658" s="187"/>
      <c r="F2658" s="187"/>
      <c r="G2658" s="187"/>
      <c r="J2658" s="186"/>
      <c r="K2658" s="180"/>
      <c r="L2658" s="180"/>
      <c r="M2658" s="186"/>
      <c r="N2658" s="186"/>
    </row>
    <row r="2659" spans="2:14" s="188" customFormat="1" ht="15" customHeight="1">
      <c r="B2659" s="187"/>
      <c r="C2659" s="187"/>
      <c r="D2659" s="187"/>
      <c r="E2659" s="187"/>
      <c r="F2659" s="187"/>
      <c r="G2659" s="187"/>
      <c r="J2659" s="186"/>
      <c r="K2659" s="180"/>
      <c r="L2659" s="180"/>
      <c r="M2659" s="186"/>
      <c r="N2659" s="186"/>
    </row>
    <row r="2660" spans="2:14" s="188" customFormat="1" ht="15" customHeight="1">
      <c r="B2660" s="187"/>
      <c r="C2660" s="187"/>
      <c r="D2660" s="187"/>
      <c r="E2660" s="187"/>
      <c r="F2660" s="187"/>
      <c r="G2660" s="187"/>
      <c r="J2660" s="186"/>
      <c r="K2660" s="180"/>
      <c r="L2660" s="180"/>
      <c r="M2660" s="186"/>
      <c r="N2660" s="186"/>
    </row>
    <row r="2661" spans="2:14" s="188" customFormat="1" ht="15" customHeight="1">
      <c r="B2661" s="187"/>
      <c r="C2661" s="187"/>
      <c r="D2661" s="187"/>
      <c r="E2661" s="187"/>
      <c r="F2661" s="187"/>
      <c r="G2661" s="187"/>
      <c r="J2661" s="186"/>
      <c r="K2661" s="180"/>
      <c r="L2661" s="180"/>
      <c r="M2661" s="186"/>
      <c r="N2661" s="186"/>
    </row>
    <row r="2662" spans="2:14" s="188" customFormat="1" ht="15" customHeight="1">
      <c r="B2662" s="187"/>
      <c r="C2662" s="187"/>
      <c r="D2662" s="187"/>
      <c r="E2662" s="187"/>
      <c r="F2662" s="187"/>
      <c r="G2662" s="187"/>
      <c r="J2662" s="186"/>
      <c r="K2662" s="180"/>
      <c r="L2662" s="180"/>
      <c r="M2662" s="186"/>
      <c r="N2662" s="186"/>
    </row>
    <row r="2663" spans="2:14" s="188" customFormat="1" ht="15" customHeight="1">
      <c r="B2663" s="187"/>
      <c r="C2663" s="187"/>
      <c r="D2663" s="187"/>
      <c r="E2663" s="187"/>
      <c r="F2663" s="187"/>
      <c r="G2663" s="187"/>
      <c r="J2663" s="186"/>
      <c r="K2663" s="180"/>
      <c r="L2663" s="180"/>
      <c r="M2663" s="186"/>
      <c r="N2663" s="186"/>
    </row>
    <row r="2664" spans="2:14" s="188" customFormat="1" ht="15" customHeight="1">
      <c r="B2664" s="187"/>
      <c r="C2664" s="187"/>
      <c r="D2664" s="187"/>
      <c r="E2664" s="187"/>
      <c r="F2664" s="187"/>
      <c r="G2664" s="187"/>
      <c r="J2664" s="186"/>
      <c r="K2664" s="180"/>
      <c r="L2664" s="180"/>
      <c r="M2664" s="186"/>
      <c r="N2664" s="186"/>
    </row>
    <row r="2665" spans="2:14" s="188" customFormat="1" ht="15" customHeight="1">
      <c r="B2665" s="187"/>
      <c r="C2665" s="187"/>
      <c r="D2665" s="187"/>
      <c r="E2665" s="187"/>
      <c r="F2665" s="187"/>
      <c r="G2665" s="187"/>
      <c r="J2665" s="186"/>
      <c r="K2665" s="180"/>
      <c r="L2665" s="180"/>
      <c r="M2665" s="186"/>
      <c r="N2665" s="186"/>
    </row>
    <row r="2666" spans="2:14" s="188" customFormat="1" ht="15" customHeight="1">
      <c r="B2666" s="187"/>
      <c r="C2666" s="187"/>
      <c r="D2666" s="187"/>
      <c r="E2666" s="187"/>
      <c r="F2666" s="187"/>
      <c r="G2666" s="187"/>
      <c r="J2666" s="186"/>
      <c r="K2666" s="180"/>
      <c r="L2666" s="180"/>
      <c r="M2666" s="186"/>
      <c r="N2666" s="186"/>
    </row>
    <row r="2667" spans="2:14" s="188" customFormat="1" ht="15" customHeight="1">
      <c r="B2667" s="187"/>
      <c r="C2667" s="187"/>
      <c r="D2667" s="187"/>
      <c r="E2667" s="187"/>
      <c r="F2667" s="187"/>
      <c r="G2667" s="187"/>
      <c r="J2667" s="186"/>
      <c r="K2667" s="180"/>
      <c r="L2667" s="180"/>
      <c r="M2667" s="186"/>
      <c r="N2667" s="186"/>
    </row>
    <row r="2668" spans="2:14" s="188" customFormat="1" ht="15" customHeight="1">
      <c r="B2668" s="187"/>
      <c r="C2668" s="187"/>
      <c r="D2668" s="187"/>
      <c r="E2668" s="187"/>
      <c r="F2668" s="187"/>
      <c r="G2668" s="187"/>
      <c r="J2668" s="186"/>
      <c r="K2668" s="180"/>
      <c r="L2668" s="180"/>
      <c r="M2668" s="186"/>
      <c r="N2668" s="186"/>
    </row>
    <row r="2669" spans="2:14" s="188" customFormat="1" ht="15" customHeight="1">
      <c r="B2669" s="187"/>
      <c r="C2669" s="187"/>
      <c r="D2669" s="187"/>
      <c r="E2669" s="187"/>
      <c r="F2669" s="187"/>
      <c r="G2669" s="187"/>
      <c r="J2669" s="186"/>
      <c r="K2669" s="180"/>
      <c r="L2669" s="180"/>
      <c r="M2669" s="186"/>
      <c r="N2669" s="186"/>
    </row>
    <row r="2670" spans="2:14" s="188" customFormat="1" ht="15" customHeight="1">
      <c r="B2670" s="187"/>
      <c r="C2670" s="187"/>
      <c r="D2670" s="187"/>
      <c r="E2670" s="187"/>
      <c r="F2670" s="187"/>
      <c r="G2670" s="187"/>
      <c r="J2670" s="186"/>
      <c r="K2670" s="180"/>
      <c r="L2670" s="180"/>
      <c r="M2670" s="186"/>
      <c r="N2670" s="186"/>
    </row>
    <row r="2671" spans="2:14" s="188" customFormat="1" ht="15" customHeight="1">
      <c r="B2671" s="187"/>
      <c r="C2671" s="187"/>
      <c r="D2671" s="187"/>
      <c r="E2671" s="187"/>
      <c r="F2671" s="187"/>
      <c r="G2671" s="187"/>
      <c r="J2671" s="186"/>
      <c r="K2671" s="180"/>
      <c r="L2671" s="180"/>
      <c r="M2671" s="186"/>
      <c r="N2671" s="186"/>
    </row>
    <row r="2672" spans="2:14" s="188" customFormat="1" ht="15" customHeight="1">
      <c r="B2672" s="187"/>
      <c r="C2672" s="187"/>
      <c r="D2672" s="187"/>
      <c r="E2672" s="187"/>
      <c r="F2672" s="187"/>
      <c r="G2672" s="187"/>
      <c r="J2672" s="186"/>
      <c r="K2672" s="180"/>
      <c r="L2672" s="180"/>
      <c r="M2672" s="186"/>
      <c r="N2672" s="186"/>
    </row>
    <row r="2673" spans="2:14" s="188" customFormat="1" ht="15" customHeight="1">
      <c r="B2673" s="187"/>
      <c r="C2673" s="187"/>
      <c r="D2673" s="187"/>
      <c r="E2673" s="187"/>
      <c r="F2673" s="187"/>
      <c r="G2673" s="187"/>
      <c r="J2673" s="186"/>
      <c r="K2673" s="180"/>
      <c r="L2673" s="180"/>
      <c r="M2673" s="186"/>
      <c r="N2673" s="186"/>
    </row>
    <row r="2674" spans="2:14" s="188" customFormat="1" ht="15" customHeight="1">
      <c r="B2674" s="187"/>
      <c r="C2674" s="187"/>
      <c r="D2674" s="187"/>
      <c r="E2674" s="187"/>
      <c r="F2674" s="187"/>
      <c r="G2674" s="187"/>
      <c r="J2674" s="186"/>
      <c r="K2674" s="180"/>
      <c r="L2674" s="180"/>
      <c r="M2674" s="186"/>
      <c r="N2674" s="186"/>
    </row>
    <row r="2675" spans="2:14" s="188" customFormat="1" ht="15" customHeight="1">
      <c r="B2675" s="187"/>
      <c r="C2675" s="187"/>
      <c r="D2675" s="187"/>
      <c r="E2675" s="187"/>
      <c r="F2675" s="187"/>
      <c r="G2675" s="187"/>
      <c r="J2675" s="186"/>
      <c r="K2675" s="180"/>
      <c r="L2675" s="180"/>
      <c r="M2675" s="186"/>
      <c r="N2675" s="186"/>
    </row>
    <row r="2676" spans="2:14" s="188" customFormat="1" ht="15" customHeight="1">
      <c r="B2676" s="187"/>
      <c r="C2676" s="187"/>
      <c r="D2676" s="187"/>
      <c r="E2676" s="187"/>
      <c r="F2676" s="187"/>
      <c r="G2676" s="187"/>
      <c r="J2676" s="186"/>
      <c r="K2676" s="180"/>
      <c r="L2676" s="180"/>
      <c r="M2676" s="186"/>
      <c r="N2676" s="186"/>
    </row>
    <row r="2677" spans="2:14" s="188" customFormat="1" ht="15" customHeight="1">
      <c r="B2677" s="187"/>
      <c r="C2677" s="187"/>
      <c r="D2677" s="187"/>
      <c r="E2677" s="187"/>
      <c r="F2677" s="187"/>
      <c r="G2677" s="187"/>
      <c r="J2677" s="186"/>
      <c r="K2677" s="180"/>
      <c r="L2677" s="180"/>
      <c r="M2677" s="186"/>
      <c r="N2677" s="186"/>
    </row>
    <row r="2678" spans="2:14" s="188" customFormat="1" ht="15" customHeight="1">
      <c r="B2678" s="187"/>
      <c r="C2678" s="187"/>
      <c r="D2678" s="187"/>
      <c r="E2678" s="187"/>
      <c r="F2678" s="187"/>
      <c r="G2678" s="187"/>
      <c r="J2678" s="186"/>
      <c r="K2678" s="180"/>
      <c r="L2678" s="180"/>
      <c r="M2678" s="186"/>
      <c r="N2678" s="186"/>
    </row>
    <row r="2679" spans="2:14" s="188" customFormat="1" ht="15" customHeight="1">
      <c r="B2679" s="187"/>
      <c r="C2679" s="187"/>
      <c r="D2679" s="187"/>
      <c r="E2679" s="187"/>
      <c r="F2679" s="187"/>
      <c r="G2679" s="187"/>
      <c r="J2679" s="186"/>
      <c r="K2679" s="180"/>
      <c r="L2679" s="180"/>
      <c r="M2679" s="186"/>
      <c r="N2679" s="186"/>
    </row>
    <row r="2680" spans="2:14" s="188" customFormat="1" ht="15" customHeight="1">
      <c r="B2680" s="187"/>
      <c r="C2680" s="187"/>
      <c r="D2680" s="187"/>
      <c r="E2680" s="187"/>
      <c r="F2680" s="187"/>
      <c r="G2680" s="187"/>
      <c r="J2680" s="186"/>
      <c r="K2680" s="180"/>
      <c r="L2680" s="180"/>
      <c r="M2680" s="186"/>
      <c r="N2680" s="186"/>
    </row>
    <row r="2681" spans="2:14" s="188" customFormat="1" ht="15" customHeight="1">
      <c r="B2681" s="187"/>
      <c r="C2681" s="187"/>
      <c r="D2681" s="187"/>
      <c r="E2681" s="187"/>
      <c r="F2681" s="187"/>
      <c r="G2681" s="187"/>
      <c r="J2681" s="186"/>
      <c r="K2681" s="180"/>
      <c r="L2681" s="180"/>
      <c r="M2681" s="186"/>
      <c r="N2681" s="186"/>
    </row>
    <row r="2682" spans="2:14" s="188" customFormat="1" ht="15" customHeight="1">
      <c r="B2682" s="187"/>
      <c r="C2682" s="187"/>
      <c r="D2682" s="187"/>
      <c r="E2682" s="187"/>
      <c r="F2682" s="187"/>
      <c r="G2682" s="187"/>
      <c r="J2682" s="186"/>
      <c r="K2682" s="180"/>
      <c r="L2682" s="180"/>
      <c r="M2682" s="186"/>
      <c r="N2682" s="186"/>
    </row>
    <row r="2683" spans="2:14" s="188" customFormat="1" ht="15" customHeight="1">
      <c r="B2683" s="187"/>
      <c r="C2683" s="187"/>
      <c r="D2683" s="187"/>
      <c r="E2683" s="187"/>
      <c r="F2683" s="187"/>
      <c r="G2683" s="187"/>
      <c r="J2683" s="186"/>
      <c r="K2683" s="180"/>
      <c r="L2683" s="180"/>
      <c r="M2683" s="186"/>
      <c r="N2683" s="186"/>
    </row>
    <row r="2684" spans="2:14" s="188" customFormat="1" ht="15" customHeight="1">
      <c r="B2684" s="187"/>
      <c r="C2684" s="187"/>
      <c r="D2684" s="187"/>
      <c r="E2684" s="187"/>
      <c r="F2684" s="187"/>
      <c r="G2684" s="187"/>
      <c r="J2684" s="186"/>
      <c r="K2684" s="180"/>
      <c r="L2684" s="180"/>
      <c r="M2684" s="186"/>
      <c r="N2684" s="186"/>
    </row>
    <row r="2685" spans="2:14" s="188" customFormat="1" ht="15" customHeight="1">
      <c r="B2685" s="187"/>
      <c r="C2685" s="187"/>
      <c r="D2685" s="187"/>
      <c r="E2685" s="187"/>
      <c r="F2685" s="187"/>
      <c r="G2685" s="187"/>
      <c r="J2685" s="186"/>
      <c r="K2685" s="180"/>
      <c r="L2685" s="180"/>
      <c r="M2685" s="186"/>
      <c r="N2685" s="186"/>
    </row>
    <row r="2686" spans="2:14" s="188" customFormat="1" ht="15" customHeight="1">
      <c r="B2686" s="187"/>
      <c r="C2686" s="187"/>
      <c r="D2686" s="187"/>
      <c r="E2686" s="187"/>
      <c r="F2686" s="187"/>
      <c r="G2686" s="187"/>
      <c r="J2686" s="186"/>
      <c r="K2686" s="180"/>
      <c r="L2686" s="180"/>
      <c r="M2686" s="186"/>
      <c r="N2686" s="186"/>
    </row>
    <row r="2687" spans="2:14" s="188" customFormat="1" ht="15" customHeight="1">
      <c r="B2687" s="187"/>
      <c r="C2687" s="187"/>
      <c r="D2687" s="187"/>
      <c r="E2687" s="187"/>
      <c r="F2687" s="187"/>
      <c r="G2687" s="187"/>
      <c r="J2687" s="186"/>
      <c r="K2687" s="180"/>
      <c r="L2687" s="180"/>
      <c r="M2687" s="186"/>
      <c r="N2687" s="186"/>
    </row>
    <row r="2688" spans="2:14" s="188" customFormat="1" ht="15" customHeight="1">
      <c r="B2688" s="187"/>
      <c r="C2688" s="187"/>
      <c r="D2688" s="187"/>
      <c r="E2688" s="187"/>
      <c r="F2688" s="187"/>
      <c r="G2688" s="187"/>
      <c r="J2688" s="186"/>
      <c r="K2688" s="180"/>
      <c r="L2688" s="180"/>
      <c r="M2688" s="186"/>
      <c r="N2688" s="186"/>
    </row>
    <row r="2689" spans="2:14" s="188" customFormat="1" ht="15" customHeight="1">
      <c r="B2689" s="187"/>
      <c r="C2689" s="187"/>
      <c r="D2689" s="187"/>
      <c r="E2689" s="187"/>
      <c r="F2689" s="187"/>
      <c r="G2689" s="187"/>
      <c r="J2689" s="186"/>
      <c r="K2689" s="180"/>
      <c r="L2689" s="180"/>
      <c r="M2689" s="186"/>
      <c r="N2689" s="186"/>
    </row>
    <row r="2690" spans="2:14" s="188" customFormat="1" ht="15" customHeight="1">
      <c r="B2690" s="187"/>
      <c r="C2690" s="187"/>
      <c r="D2690" s="187"/>
      <c r="E2690" s="187"/>
      <c r="F2690" s="187"/>
      <c r="G2690" s="187"/>
      <c r="J2690" s="186"/>
      <c r="K2690" s="180"/>
      <c r="L2690" s="180"/>
      <c r="M2690" s="186"/>
      <c r="N2690" s="186"/>
    </row>
    <row r="2691" spans="2:14" s="188" customFormat="1" ht="15" customHeight="1">
      <c r="B2691" s="187"/>
      <c r="C2691" s="187"/>
      <c r="D2691" s="187"/>
      <c r="E2691" s="187"/>
      <c r="F2691" s="187"/>
      <c r="G2691" s="187"/>
      <c r="J2691" s="186"/>
      <c r="K2691" s="180"/>
      <c r="L2691" s="180"/>
      <c r="M2691" s="186"/>
      <c r="N2691" s="186"/>
    </row>
    <row r="2692" spans="2:14" s="188" customFormat="1" ht="15" customHeight="1">
      <c r="B2692" s="187"/>
      <c r="C2692" s="187"/>
      <c r="D2692" s="187"/>
      <c r="E2692" s="187"/>
      <c r="F2692" s="187"/>
      <c r="G2692" s="187"/>
      <c r="J2692" s="186"/>
      <c r="K2692" s="180"/>
      <c r="L2692" s="180"/>
      <c r="M2692" s="186"/>
      <c r="N2692" s="186"/>
    </row>
    <row r="2693" spans="2:14" s="188" customFormat="1" ht="15" customHeight="1">
      <c r="B2693" s="187"/>
      <c r="C2693" s="187"/>
      <c r="D2693" s="187"/>
      <c r="E2693" s="187"/>
      <c r="F2693" s="187"/>
      <c r="G2693" s="187"/>
      <c r="J2693" s="186"/>
      <c r="K2693" s="180"/>
      <c r="L2693" s="180"/>
      <c r="M2693" s="186"/>
      <c r="N2693" s="186"/>
    </row>
    <row r="2694" spans="2:14" s="188" customFormat="1" ht="15" customHeight="1">
      <c r="B2694" s="187"/>
      <c r="C2694" s="187"/>
      <c r="D2694" s="187"/>
      <c r="E2694" s="187"/>
      <c r="F2694" s="187"/>
      <c r="G2694" s="187"/>
      <c r="J2694" s="186"/>
      <c r="K2694" s="180"/>
      <c r="L2694" s="180"/>
      <c r="M2694" s="186"/>
      <c r="N2694" s="186"/>
    </row>
    <row r="2695" spans="2:14" s="188" customFormat="1" ht="15" customHeight="1">
      <c r="B2695" s="187"/>
      <c r="C2695" s="187"/>
      <c r="D2695" s="187"/>
      <c r="E2695" s="187"/>
      <c r="F2695" s="187"/>
      <c r="G2695" s="187"/>
      <c r="J2695" s="186"/>
      <c r="K2695" s="180"/>
      <c r="L2695" s="180"/>
      <c r="M2695" s="186"/>
      <c r="N2695" s="186"/>
    </row>
    <row r="2696" spans="2:14" s="188" customFormat="1" ht="15" customHeight="1">
      <c r="B2696" s="187"/>
      <c r="C2696" s="187"/>
      <c r="D2696" s="187"/>
      <c r="E2696" s="187"/>
      <c r="F2696" s="187"/>
      <c r="G2696" s="187"/>
      <c r="J2696" s="186"/>
      <c r="K2696" s="180"/>
      <c r="L2696" s="180"/>
      <c r="M2696" s="186"/>
      <c r="N2696" s="186"/>
    </row>
    <row r="2697" spans="2:14" s="188" customFormat="1" ht="15" customHeight="1">
      <c r="B2697" s="187"/>
      <c r="C2697" s="187"/>
      <c r="D2697" s="187"/>
      <c r="E2697" s="187"/>
      <c r="F2697" s="187"/>
      <c r="G2697" s="187"/>
      <c r="J2697" s="186"/>
      <c r="K2697" s="180"/>
      <c r="L2697" s="180"/>
      <c r="M2697" s="186"/>
      <c r="N2697" s="186"/>
    </row>
    <row r="2698" spans="2:14" s="188" customFormat="1" ht="15" customHeight="1">
      <c r="B2698" s="187"/>
      <c r="C2698" s="187"/>
      <c r="D2698" s="187"/>
      <c r="E2698" s="187"/>
      <c r="F2698" s="187"/>
      <c r="G2698" s="187"/>
      <c r="J2698" s="186"/>
      <c r="K2698" s="180"/>
      <c r="L2698" s="180"/>
      <c r="M2698" s="186"/>
      <c r="N2698" s="186"/>
    </row>
    <row r="2699" spans="2:14" s="188" customFormat="1" ht="15" customHeight="1">
      <c r="B2699" s="187"/>
      <c r="C2699" s="187"/>
      <c r="D2699" s="187"/>
      <c r="E2699" s="187"/>
      <c r="F2699" s="187"/>
      <c r="G2699" s="187"/>
      <c r="J2699" s="186"/>
      <c r="K2699" s="180"/>
      <c r="L2699" s="180"/>
      <c r="M2699" s="186"/>
      <c r="N2699" s="186"/>
    </row>
    <row r="2700" spans="2:14" s="188" customFormat="1" ht="15" customHeight="1">
      <c r="B2700" s="187"/>
      <c r="C2700" s="187"/>
      <c r="D2700" s="187"/>
      <c r="E2700" s="187"/>
      <c r="F2700" s="187"/>
      <c r="G2700" s="187"/>
      <c r="J2700" s="186"/>
      <c r="K2700" s="180"/>
      <c r="L2700" s="180"/>
      <c r="M2700" s="186"/>
      <c r="N2700" s="186"/>
    </row>
    <row r="2701" spans="2:14" s="188" customFormat="1" ht="15" customHeight="1">
      <c r="B2701" s="187"/>
      <c r="C2701" s="187"/>
      <c r="D2701" s="187"/>
      <c r="E2701" s="187"/>
      <c r="F2701" s="187"/>
      <c r="G2701" s="187"/>
      <c r="J2701" s="186"/>
      <c r="K2701" s="180"/>
      <c r="L2701" s="180"/>
      <c r="M2701" s="186"/>
      <c r="N2701" s="186"/>
    </row>
    <row r="2702" spans="2:14" s="188" customFormat="1" ht="15" customHeight="1">
      <c r="B2702" s="187"/>
      <c r="C2702" s="187"/>
      <c r="D2702" s="187"/>
      <c r="E2702" s="187"/>
      <c r="F2702" s="187"/>
      <c r="G2702" s="187"/>
      <c r="J2702" s="186"/>
      <c r="K2702" s="180"/>
      <c r="L2702" s="180"/>
      <c r="M2702" s="186"/>
      <c r="N2702" s="186"/>
    </row>
    <row r="2703" spans="2:14" s="188" customFormat="1" ht="15" customHeight="1">
      <c r="B2703" s="187"/>
      <c r="C2703" s="187"/>
      <c r="D2703" s="187"/>
      <c r="E2703" s="187"/>
      <c r="F2703" s="187"/>
      <c r="G2703" s="187"/>
      <c r="J2703" s="186"/>
      <c r="K2703" s="180"/>
      <c r="L2703" s="180"/>
      <c r="M2703" s="186"/>
      <c r="N2703" s="186"/>
    </row>
    <row r="2704" spans="2:14" s="188" customFormat="1" ht="15" customHeight="1">
      <c r="B2704" s="187"/>
      <c r="C2704" s="187"/>
      <c r="D2704" s="187"/>
      <c r="E2704" s="187"/>
      <c r="F2704" s="187"/>
      <c r="G2704" s="187"/>
      <c r="J2704" s="186"/>
      <c r="K2704" s="180"/>
      <c r="L2704" s="180"/>
      <c r="M2704" s="186"/>
      <c r="N2704" s="186"/>
    </row>
    <row r="2705" spans="2:14" s="188" customFormat="1" ht="15" customHeight="1">
      <c r="B2705" s="187"/>
      <c r="C2705" s="187"/>
      <c r="D2705" s="187"/>
      <c r="E2705" s="187"/>
      <c r="F2705" s="187"/>
      <c r="G2705" s="187"/>
      <c r="J2705" s="186"/>
      <c r="K2705" s="180"/>
      <c r="L2705" s="180"/>
      <c r="M2705" s="186"/>
      <c r="N2705" s="186"/>
    </row>
    <row r="2706" spans="2:14" s="188" customFormat="1" ht="15" customHeight="1">
      <c r="B2706" s="187"/>
      <c r="C2706" s="187"/>
      <c r="D2706" s="187"/>
      <c r="E2706" s="187"/>
      <c r="F2706" s="187"/>
      <c r="G2706" s="187"/>
      <c r="J2706" s="186"/>
      <c r="K2706" s="180"/>
      <c r="L2706" s="180"/>
      <c r="M2706" s="186"/>
      <c r="N2706" s="186"/>
    </row>
    <row r="2707" spans="2:14" s="188" customFormat="1" ht="15" customHeight="1">
      <c r="B2707" s="187"/>
      <c r="C2707" s="187"/>
      <c r="D2707" s="187"/>
      <c r="E2707" s="187"/>
      <c r="F2707" s="187"/>
      <c r="G2707" s="187"/>
      <c r="J2707" s="186"/>
      <c r="K2707" s="180"/>
      <c r="L2707" s="180"/>
      <c r="M2707" s="186"/>
      <c r="N2707" s="186"/>
    </row>
    <row r="2708" spans="2:14" s="188" customFormat="1" ht="15" customHeight="1">
      <c r="B2708" s="187"/>
      <c r="C2708" s="187"/>
      <c r="D2708" s="187"/>
      <c r="E2708" s="187"/>
      <c r="F2708" s="187"/>
      <c r="G2708" s="187"/>
      <c r="J2708" s="186"/>
      <c r="K2708" s="180"/>
      <c r="L2708" s="180"/>
      <c r="M2708" s="186"/>
      <c r="N2708" s="186"/>
    </row>
    <row r="2709" spans="2:14" s="188" customFormat="1" ht="15" customHeight="1">
      <c r="B2709" s="187"/>
      <c r="C2709" s="187"/>
      <c r="D2709" s="187"/>
      <c r="E2709" s="187"/>
      <c r="F2709" s="187"/>
      <c r="G2709" s="187"/>
      <c r="J2709" s="186"/>
      <c r="K2709" s="180"/>
      <c r="L2709" s="180"/>
      <c r="M2709" s="186"/>
      <c r="N2709" s="186"/>
    </row>
    <row r="2710" spans="2:14" s="188" customFormat="1" ht="15" customHeight="1">
      <c r="B2710" s="187"/>
      <c r="C2710" s="187"/>
      <c r="D2710" s="187"/>
      <c r="E2710" s="187"/>
      <c r="F2710" s="187"/>
      <c r="G2710" s="187"/>
      <c r="J2710" s="186"/>
      <c r="K2710" s="180"/>
      <c r="L2710" s="180"/>
      <c r="M2710" s="186"/>
      <c r="N2710" s="186"/>
    </row>
    <row r="2711" spans="2:14" s="188" customFormat="1" ht="15" customHeight="1">
      <c r="B2711" s="187"/>
      <c r="C2711" s="187"/>
      <c r="D2711" s="187"/>
      <c r="E2711" s="187"/>
      <c r="F2711" s="187"/>
      <c r="G2711" s="187"/>
      <c r="J2711" s="186"/>
      <c r="K2711" s="180"/>
      <c r="L2711" s="180"/>
      <c r="M2711" s="186"/>
      <c r="N2711" s="186"/>
    </row>
    <row r="2712" spans="2:14" s="188" customFormat="1" ht="15" customHeight="1">
      <c r="B2712" s="187"/>
      <c r="C2712" s="187"/>
      <c r="D2712" s="187"/>
      <c r="E2712" s="187"/>
      <c r="F2712" s="187"/>
      <c r="G2712" s="187"/>
      <c r="J2712" s="186"/>
      <c r="K2712" s="180"/>
      <c r="L2712" s="180"/>
      <c r="M2712" s="186"/>
      <c r="N2712" s="186"/>
    </row>
    <row r="2713" spans="2:14" s="188" customFormat="1" ht="15" customHeight="1">
      <c r="B2713" s="187"/>
      <c r="C2713" s="187"/>
      <c r="D2713" s="187"/>
      <c r="E2713" s="187"/>
      <c r="F2713" s="187"/>
      <c r="G2713" s="187"/>
      <c r="J2713" s="186"/>
      <c r="K2713" s="180"/>
      <c r="L2713" s="180"/>
      <c r="M2713" s="186"/>
      <c r="N2713" s="186"/>
    </row>
    <row r="2714" spans="2:14" s="188" customFormat="1" ht="15" customHeight="1">
      <c r="B2714" s="187"/>
      <c r="C2714" s="187"/>
      <c r="D2714" s="187"/>
      <c r="E2714" s="187"/>
      <c r="F2714" s="187"/>
      <c r="G2714" s="187"/>
      <c r="J2714" s="186"/>
      <c r="K2714" s="180"/>
      <c r="L2714" s="180"/>
      <c r="M2714" s="186"/>
      <c r="N2714" s="186"/>
    </row>
    <row r="2715" spans="2:14" s="188" customFormat="1" ht="15" customHeight="1">
      <c r="B2715" s="187"/>
      <c r="C2715" s="187"/>
      <c r="D2715" s="187"/>
      <c r="E2715" s="187"/>
      <c r="F2715" s="187"/>
      <c r="G2715" s="187"/>
      <c r="J2715" s="186"/>
      <c r="K2715" s="180"/>
      <c r="L2715" s="180"/>
      <c r="M2715" s="186"/>
      <c r="N2715" s="186"/>
    </row>
    <row r="2716" spans="2:14" s="188" customFormat="1" ht="15" customHeight="1">
      <c r="B2716" s="187"/>
      <c r="C2716" s="187"/>
      <c r="D2716" s="187"/>
      <c r="E2716" s="187"/>
      <c r="F2716" s="187"/>
      <c r="G2716" s="187"/>
      <c r="J2716" s="186"/>
      <c r="K2716" s="180"/>
      <c r="L2716" s="180"/>
      <c r="M2716" s="186"/>
      <c r="N2716" s="186"/>
    </row>
    <row r="2717" spans="2:14" s="188" customFormat="1" ht="15" customHeight="1">
      <c r="B2717" s="187"/>
      <c r="C2717" s="187"/>
      <c r="D2717" s="187"/>
      <c r="E2717" s="187"/>
      <c r="F2717" s="187"/>
      <c r="G2717" s="187"/>
      <c r="J2717" s="186"/>
      <c r="K2717" s="180"/>
      <c r="L2717" s="180"/>
      <c r="M2717" s="186"/>
      <c r="N2717" s="186"/>
    </row>
    <row r="2718" spans="2:14" s="188" customFormat="1" ht="15" customHeight="1">
      <c r="B2718" s="187"/>
      <c r="C2718" s="187"/>
      <c r="D2718" s="187"/>
      <c r="E2718" s="187"/>
      <c r="F2718" s="187"/>
      <c r="G2718" s="187"/>
      <c r="J2718" s="186"/>
      <c r="K2718" s="180"/>
      <c r="L2718" s="180"/>
      <c r="M2718" s="186"/>
      <c r="N2718" s="186"/>
    </row>
    <row r="2719" spans="2:14" s="188" customFormat="1" ht="15" customHeight="1">
      <c r="B2719" s="187"/>
      <c r="C2719" s="187"/>
      <c r="D2719" s="187"/>
      <c r="E2719" s="187"/>
      <c r="F2719" s="187"/>
      <c r="G2719" s="187"/>
      <c r="J2719" s="186"/>
      <c r="K2719" s="180"/>
      <c r="L2719" s="180"/>
      <c r="M2719" s="186"/>
      <c r="N2719" s="186"/>
    </row>
    <row r="2720" spans="2:14" s="188" customFormat="1" ht="15" customHeight="1">
      <c r="B2720" s="187"/>
      <c r="C2720" s="187"/>
      <c r="D2720" s="187"/>
      <c r="E2720" s="187"/>
      <c r="F2720" s="187"/>
      <c r="G2720" s="187"/>
      <c r="J2720" s="186"/>
      <c r="K2720" s="180"/>
      <c r="L2720" s="180"/>
      <c r="M2720" s="186"/>
      <c r="N2720" s="186"/>
    </row>
    <row r="2721" spans="2:14" s="188" customFormat="1" ht="15" customHeight="1">
      <c r="B2721" s="187"/>
      <c r="C2721" s="187"/>
      <c r="D2721" s="187"/>
      <c r="E2721" s="187"/>
      <c r="F2721" s="187"/>
      <c r="G2721" s="187"/>
      <c r="J2721" s="186"/>
      <c r="K2721" s="180"/>
      <c r="L2721" s="180"/>
      <c r="M2721" s="186"/>
      <c r="N2721" s="186"/>
    </row>
    <row r="2722" spans="2:14" s="188" customFormat="1" ht="15" customHeight="1">
      <c r="B2722" s="187"/>
      <c r="C2722" s="187"/>
      <c r="D2722" s="187"/>
      <c r="E2722" s="187"/>
      <c r="F2722" s="187"/>
      <c r="G2722" s="187"/>
      <c r="J2722" s="186"/>
      <c r="K2722" s="180"/>
      <c r="L2722" s="180"/>
      <c r="M2722" s="186"/>
      <c r="N2722" s="186"/>
    </row>
    <row r="2723" spans="2:14" s="188" customFormat="1" ht="15" customHeight="1">
      <c r="B2723" s="187"/>
      <c r="C2723" s="187"/>
      <c r="D2723" s="187"/>
      <c r="E2723" s="187"/>
      <c r="F2723" s="187"/>
      <c r="G2723" s="187"/>
      <c r="J2723" s="186"/>
      <c r="K2723" s="180"/>
      <c r="L2723" s="180"/>
      <c r="M2723" s="186"/>
      <c r="N2723" s="186"/>
    </row>
    <row r="2724" spans="2:14" s="188" customFormat="1" ht="15" customHeight="1">
      <c r="B2724" s="187"/>
      <c r="C2724" s="187"/>
      <c r="D2724" s="187"/>
      <c r="E2724" s="187"/>
      <c r="F2724" s="187"/>
      <c r="G2724" s="187"/>
      <c r="J2724" s="186"/>
      <c r="K2724" s="180"/>
      <c r="L2724" s="180"/>
      <c r="M2724" s="186"/>
      <c r="N2724" s="186"/>
    </row>
    <row r="2725" spans="2:14" s="188" customFormat="1" ht="15" customHeight="1">
      <c r="B2725" s="187"/>
      <c r="C2725" s="187"/>
      <c r="D2725" s="187"/>
      <c r="E2725" s="187"/>
      <c r="F2725" s="187"/>
      <c r="G2725" s="187"/>
      <c r="J2725" s="186"/>
      <c r="K2725" s="180"/>
      <c r="L2725" s="180"/>
      <c r="M2725" s="186"/>
      <c r="N2725" s="186"/>
    </row>
    <row r="2726" spans="2:14" s="188" customFormat="1" ht="15" customHeight="1">
      <c r="B2726" s="187"/>
      <c r="C2726" s="187"/>
      <c r="D2726" s="187"/>
      <c r="E2726" s="187"/>
      <c r="F2726" s="187"/>
      <c r="G2726" s="187"/>
      <c r="J2726" s="186"/>
      <c r="K2726" s="180"/>
      <c r="L2726" s="180"/>
      <c r="M2726" s="186"/>
      <c r="N2726" s="186"/>
    </row>
    <row r="2727" spans="2:14" s="188" customFormat="1" ht="15" customHeight="1">
      <c r="B2727" s="187"/>
      <c r="C2727" s="187"/>
      <c r="D2727" s="187"/>
      <c r="E2727" s="187"/>
      <c r="F2727" s="187"/>
      <c r="G2727" s="187"/>
      <c r="J2727" s="186"/>
      <c r="K2727" s="180"/>
      <c r="L2727" s="180"/>
      <c r="M2727" s="186"/>
      <c r="N2727" s="186"/>
    </row>
    <row r="2728" spans="2:14" s="188" customFormat="1" ht="15" customHeight="1">
      <c r="B2728" s="187"/>
      <c r="C2728" s="187"/>
      <c r="D2728" s="187"/>
      <c r="E2728" s="187"/>
      <c r="F2728" s="187"/>
      <c r="G2728" s="187"/>
      <c r="J2728" s="186"/>
      <c r="K2728" s="180"/>
      <c r="L2728" s="180"/>
      <c r="M2728" s="186"/>
      <c r="N2728" s="186"/>
    </row>
    <row r="2729" spans="2:14" s="188" customFormat="1" ht="15" customHeight="1">
      <c r="B2729" s="187"/>
      <c r="C2729" s="187"/>
      <c r="D2729" s="187"/>
      <c r="E2729" s="187"/>
      <c r="F2729" s="187"/>
      <c r="G2729" s="187"/>
      <c r="J2729" s="186"/>
      <c r="K2729" s="180"/>
      <c r="L2729" s="180"/>
      <c r="M2729" s="186"/>
      <c r="N2729" s="186"/>
    </row>
    <row r="2730" spans="2:14" s="188" customFormat="1" ht="15" customHeight="1">
      <c r="B2730" s="187"/>
      <c r="C2730" s="187"/>
      <c r="D2730" s="187"/>
      <c r="E2730" s="187"/>
      <c r="F2730" s="187"/>
      <c r="G2730" s="187"/>
      <c r="J2730" s="186"/>
      <c r="K2730" s="180"/>
      <c r="L2730" s="180"/>
      <c r="M2730" s="186"/>
      <c r="N2730" s="186"/>
    </row>
    <row r="2731" spans="2:14" s="188" customFormat="1" ht="15" customHeight="1">
      <c r="B2731" s="187"/>
      <c r="C2731" s="187"/>
      <c r="D2731" s="187"/>
      <c r="E2731" s="187"/>
      <c r="F2731" s="187"/>
      <c r="G2731" s="187"/>
      <c r="J2731" s="186"/>
      <c r="K2731" s="180"/>
      <c r="L2731" s="180"/>
      <c r="M2731" s="186"/>
      <c r="N2731" s="186"/>
    </row>
    <row r="2732" spans="2:14" s="188" customFormat="1" ht="15" customHeight="1">
      <c r="B2732" s="187"/>
      <c r="C2732" s="187"/>
      <c r="D2732" s="187"/>
      <c r="E2732" s="187"/>
      <c r="F2732" s="187"/>
      <c r="G2732" s="187"/>
      <c r="J2732" s="186"/>
      <c r="K2732" s="180"/>
      <c r="L2732" s="180"/>
      <c r="M2732" s="186"/>
      <c r="N2732" s="186"/>
    </row>
    <row r="2733" spans="2:14" s="188" customFormat="1" ht="15" customHeight="1">
      <c r="B2733" s="187"/>
      <c r="C2733" s="187"/>
      <c r="D2733" s="187"/>
      <c r="E2733" s="187"/>
      <c r="F2733" s="187"/>
      <c r="G2733" s="187"/>
      <c r="J2733" s="186"/>
      <c r="K2733" s="180"/>
      <c r="L2733" s="180"/>
      <c r="M2733" s="186"/>
      <c r="N2733" s="186"/>
    </row>
    <row r="2734" spans="2:14" s="188" customFormat="1" ht="15" customHeight="1">
      <c r="B2734" s="187"/>
      <c r="C2734" s="187"/>
      <c r="D2734" s="187"/>
      <c r="E2734" s="187"/>
      <c r="F2734" s="187"/>
      <c r="G2734" s="187"/>
      <c r="J2734" s="186"/>
      <c r="K2734" s="180"/>
      <c r="L2734" s="180"/>
      <c r="M2734" s="186"/>
      <c r="N2734" s="186"/>
    </row>
    <row r="2735" spans="2:14" s="188" customFormat="1" ht="15" customHeight="1">
      <c r="B2735" s="187"/>
      <c r="C2735" s="187"/>
      <c r="D2735" s="187"/>
      <c r="E2735" s="187"/>
      <c r="F2735" s="187"/>
      <c r="G2735" s="187"/>
      <c r="J2735" s="186"/>
      <c r="K2735" s="180"/>
      <c r="L2735" s="180"/>
      <c r="M2735" s="186"/>
      <c r="N2735" s="186"/>
    </row>
    <row r="2736" spans="2:14" s="188" customFormat="1" ht="15" customHeight="1">
      <c r="B2736" s="187"/>
      <c r="C2736" s="187"/>
      <c r="D2736" s="187"/>
      <c r="E2736" s="187"/>
      <c r="F2736" s="187"/>
      <c r="G2736" s="187"/>
      <c r="J2736" s="186"/>
      <c r="K2736" s="180"/>
      <c r="L2736" s="180"/>
      <c r="M2736" s="186"/>
      <c r="N2736" s="186"/>
    </row>
    <row r="2737" spans="2:14" s="188" customFormat="1" ht="15" customHeight="1">
      <c r="B2737" s="187"/>
      <c r="C2737" s="187"/>
      <c r="D2737" s="187"/>
      <c r="E2737" s="187"/>
      <c r="F2737" s="187"/>
      <c r="G2737" s="187"/>
      <c r="J2737" s="186"/>
      <c r="K2737" s="180"/>
      <c r="L2737" s="180"/>
      <c r="M2737" s="186"/>
      <c r="N2737" s="186"/>
    </row>
    <row r="2738" spans="2:14" s="188" customFormat="1" ht="15" customHeight="1">
      <c r="B2738" s="187"/>
      <c r="C2738" s="187"/>
      <c r="D2738" s="187"/>
      <c r="E2738" s="187"/>
      <c r="F2738" s="187"/>
      <c r="G2738" s="187"/>
      <c r="J2738" s="186"/>
      <c r="K2738" s="180"/>
      <c r="L2738" s="180"/>
      <c r="M2738" s="186"/>
      <c r="N2738" s="186"/>
    </row>
    <row r="2739" spans="2:14" s="188" customFormat="1" ht="15" customHeight="1">
      <c r="B2739" s="187"/>
      <c r="C2739" s="187"/>
      <c r="D2739" s="187"/>
      <c r="E2739" s="187"/>
      <c r="F2739" s="187"/>
      <c r="G2739" s="187"/>
      <c r="J2739" s="186"/>
      <c r="K2739" s="180"/>
      <c r="L2739" s="180"/>
      <c r="M2739" s="186"/>
      <c r="N2739" s="186"/>
    </row>
    <row r="2740" spans="2:14" s="188" customFormat="1" ht="15" customHeight="1">
      <c r="B2740" s="187"/>
      <c r="C2740" s="187"/>
      <c r="D2740" s="187"/>
      <c r="E2740" s="187"/>
      <c r="F2740" s="187"/>
      <c r="G2740" s="187"/>
      <c r="J2740" s="186"/>
      <c r="K2740" s="180"/>
      <c r="L2740" s="180"/>
      <c r="M2740" s="186"/>
      <c r="N2740" s="186"/>
    </row>
    <row r="2741" spans="2:14" s="188" customFormat="1" ht="15" customHeight="1">
      <c r="B2741" s="187"/>
      <c r="C2741" s="187"/>
      <c r="D2741" s="187"/>
      <c r="E2741" s="187"/>
      <c r="F2741" s="187"/>
      <c r="G2741" s="187"/>
      <c r="J2741" s="186"/>
      <c r="K2741" s="180"/>
      <c r="L2741" s="180"/>
      <c r="M2741" s="186"/>
      <c r="N2741" s="186"/>
    </row>
    <row r="2742" spans="2:14" s="188" customFormat="1" ht="15" customHeight="1">
      <c r="B2742" s="187"/>
      <c r="C2742" s="187"/>
      <c r="D2742" s="187"/>
      <c r="E2742" s="187"/>
      <c r="F2742" s="187"/>
      <c r="G2742" s="187"/>
      <c r="J2742" s="186"/>
      <c r="K2742" s="180"/>
      <c r="L2742" s="180"/>
      <c r="M2742" s="186"/>
      <c r="N2742" s="186"/>
    </row>
    <row r="2743" spans="2:14" s="188" customFormat="1" ht="15" customHeight="1">
      <c r="B2743" s="187"/>
      <c r="C2743" s="187"/>
      <c r="D2743" s="187"/>
      <c r="E2743" s="187"/>
      <c r="F2743" s="187"/>
      <c r="G2743" s="187"/>
      <c r="J2743" s="186"/>
      <c r="K2743" s="180"/>
      <c r="L2743" s="180"/>
      <c r="M2743" s="186"/>
      <c r="N2743" s="186"/>
    </row>
    <row r="2744" spans="2:14" s="188" customFormat="1" ht="15" customHeight="1">
      <c r="B2744" s="187"/>
      <c r="C2744" s="187"/>
      <c r="D2744" s="187"/>
      <c r="E2744" s="187"/>
      <c r="F2744" s="187"/>
      <c r="G2744" s="187"/>
      <c r="J2744" s="186"/>
      <c r="K2744" s="180"/>
      <c r="L2744" s="180"/>
      <c r="M2744" s="186"/>
      <c r="N2744" s="186"/>
    </row>
    <row r="2745" spans="2:14" s="188" customFormat="1" ht="15" customHeight="1">
      <c r="B2745" s="187"/>
      <c r="C2745" s="187"/>
      <c r="D2745" s="187"/>
      <c r="E2745" s="187"/>
      <c r="F2745" s="187"/>
      <c r="G2745" s="187"/>
      <c r="J2745" s="186"/>
      <c r="K2745" s="180"/>
      <c r="L2745" s="180"/>
      <c r="M2745" s="186"/>
      <c r="N2745" s="186"/>
    </row>
    <row r="2746" spans="2:14" s="188" customFormat="1" ht="15" customHeight="1">
      <c r="B2746" s="187"/>
      <c r="C2746" s="187"/>
      <c r="D2746" s="187"/>
      <c r="E2746" s="187"/>
      <c r="F2746" s="187"/>
      <c r="G2746" s="187"/>
      <c r="J2746" s="186"/>
      <c r="K2746" s="180"/>
      <c r="L2746" s="180"/>
      <c r="M2746" s="186"/>
      <c r="N2746" s="186"/>
    </row>
    <row r="2747" spans="2:14" s="188" customFormat="1" ht="15" customHeight="1">
      <c r="B2747" s="187"/>
      <c r="C2747" s="187"/>
      <c r="D2747" s="187"/>
      <c r="E2747" s="187"/>
      <c r="F2747" s="187"/>
      <c r="G2747" s="187"/>
      <c r="J2747" s="186"/>
      <c r="K2747" s="180"/>
      <c r="L2747" s="180"/>
      <c r="M2747" s="186"/>
      <c r="N2747" s="186"/>
    </row>
    <row r="2748" spans="2:14" s="188" customFormat="1" ht="15" customHeight="1">
      <c r="B2748" s="187"/>
      <c r="C2748" s="187"/>
      <c r="D2748" s="187"/>
      <c r="E2748" s="187"/>
      <c r="F2748" s="187"/>
      <c r="G2748" s="187"/>
      <c r="J2748" s="186"/>
      <c r="K2748" s="180"/>
      <c r="L2748" s="180"/>
      <c r="M2748" s="186"/>
      <c r="N2748" s="186"/>
    </row>
    <row r="2749" spans="2:14" s="188" customFormat="1" ht="15" customHeight="1">
      <c r="B2749" s="187"/>
      <c r="C2749" s="187"/>
      <c r="D2749" s="187"/>
      <c r="E2749" s="187"/>
      <c r="F2749" s="187"/>
      <c r="G2749" s="187"/>
      <c r="J2749" s="186"/>
      <c r="K2749" s="180"/>
      <c r="L2749" s="180"/>
      <c r="M2749" s="186"/>
      <c r="N2749" s="186"/>
    </row>
    <row r="2750" spans="2:14" s="188" customFormat="1" ht="15" customHeight="1">
      <c r="B2750" s="187"/>
      <c r="C2750" s="187"/>
      <c r="D2750" s="187"/>
      <c r="E2750" s="187"/>
      <c r="F2750" s="187"/>
      <c r="G2750" s="187"/>
      <c r="J2750" s="186"/>
      <c r="K2750" s="180"/>
      <c r="L2750" s="180"/>
      <c r="M2750" s="186"/>
      <c r="N2750" s="186"/>
    </row>
    <row r="2751" spans="2:14" s="188" customFormat="1" ht="15" customHeight="1">
      <c r="B2751" s="187"/>
      <c r="C2751" s="187"/>
      <c r="D2751" s="187"/>
      <c r="E2751" s="187"/>
      <c r="F2751" s="187"/>
      <c r="G2751" s="187"/>
      <c r="J2751" s="186"/>
      <c r="K2751" s="180"/>
      <c r="L2751" s="180"/>
      <c r="M2751" s="186"/>
      <c r="N2751" s="186"/>
    </row>
    <row r="2752" spans="2:14" s="188" customFormat="1" ht="15" customHeight="1">
      <c r="B2752" s="187"/>
      <c r="C2752" s="187"/>
      <c r="D2752" s="187"/>
      <c r="E2752" s="187"/>
      <c r="F2752" s="187"/>
      <c r="G2752" s="187"/>
      <c r="J2752" s="186"/>
      <c r="K2752" s="180"/>
      <c r="L2752" s="180"/>
      <c r="M2752" s="186"/>
      <c r="N2752" s="186"/>
    </row>
    <row r="2753" spans="2:14" s="188" customFormat="1" ht="15" customHeight="1">
      <c r="B2753" s="187"/>
      <c r="C2753" s="187"/>
      <c r="D2753" s="187"/>
      <c r="E2753" s="187"/>
      <c r="F2753" s="187"/>
      <c r="G2753" s="187"/>
      <c r="J2753" s="186"/>
      <c r="K2753" s="180"/>
      <c r="L2753" s="180"/>
      <c r="M2753" s="186"/>
      <c r="N2753" s="186"/>
    </row>
    <row r="2754" spans="2:14" s="188" customFormat="1" ht="15" customHeight="1">
      <c r="B2754" s="187"/>
      <c r="C2754" s="187"/>
      <c r="D2754" s="187"/>
      <c r="E2754" s="187"/>
      <c r="F2754" s="187"/>
      <c r="G2754" s="187"/>
      <c r="J2754" s="186"/>
      <c r="K2754" s="180"/>
      <c r="L2754" s="180"/>
      <c r="M2754" s="186"/>
      <c r="N2754" s="186"/>
    </row>
    <row r="2755" spans="2:14" s="188" customFormat="1" ht="15" customHeight="1">
      <c r="B2755" s="187"/>
      <c r="C2755" s="187"/>
      <c r="D2755" s="187"/>
      <c r="E2755" s="187"/>
      <c r="F2755" s="187"/>
      <c r="G2755" s="187"/>
      <c r="J2755" s="186"/>
      <c r="K2755" s="180"/>
      <c r="L2755" s="180"/>
      <c r="M2755" s="186"/>
      <c r="N2755" s="186"/>
    </row>
    <row r="2756" spans="2:14" s="188" customFormat="1" ht="15" customHeight="1">
      <c r="B2756" s="187"/>
      <c r="C2756" s="187"/>
      <c r="D2756" s="187"/>
      <c r="E2756" s="187"/>
      <c r="F2756" s="187"/>
      <c r="G2756" s="187"/>
      <c r="J2756" s="186"/>
      <c r="K2756" s="180"/>
      <c r="L2756" s="180"/>
      <c r="M2756" s="186"/>
      <c r="N2756" s="186"/>
    </row>
    <row r="2757" spans="2:14" s="188" customFormat="1" ht="15" customHeight="1">
      <c r="B2757" s="187"/>
      <c r="C2757" s="187"/>
      <c r="D2757" s="187"/>
      <c r="E2757" s="187"/>
      <c r="F2757" s="187"/>
      <c r="G2757" s="187"/>
      <c r="J2757" s="186"/>
      <c r="K2757" s="180"/>
      <c r="L2757" s="180"/>
      <c r="M2757" s="186"/>
      <c r="N2757" s="186"/>
    </row>
    <row r="2758" spans="2:14" s="188" customFormat="1" ht="15" customHeight="1">
      <c r="B2758" s="187"/>
      <c r="C2758" s="187"/>
      <c r="D2758" s="187"/>
      <c r="E2758" s="187"/>
      <c r="F2758" s="187"/>
      <c r="G2758" s="187"/>
      <c r="J2758" s="186"/>
      <c r="K2758" s="180"/>
      <c r="L2758" s="180"/>
      <c r="M2758" s="186"/>
      <c r="N2758" s="186"/>
    </row>
    <row r="2759" spans="2:14" s="188" customFormat="1" ht="15" customHeight="1">
      <c r="B2759" s="187"/>
      <c r="C2759" s="187"/>
      <c r="D2759" s="187"/>
      <c r="E2759" s="187"/>
      <c r="F2759" s="187"/>
      <c r="G2759" s="187"/>
      <c r="J2759" s="186"/>
      <c r="K2759" s="180"/>
      <c r="L2759" s="180"/>
      <c r="M2759" s="186"/>
      <c r="N2759" s="186"/>
    </row>
    <row r="2760" spans="2:14" s="188" customFormat="1" ht="15" customHeight="1">
      <c r="B2760" s="187"/>
      <c r="C2760" s="187"/>
      <c r="D2760" s="187"/>
      <c r="E2760" s="187"/>
      <c r="F2760" s="187"/>
      <c r="G2760" s="187"/>
      <c r="J2760" s="186"/>
      <c r="K2760" s="180"/>
      <c r="L2760" s="180"/>
      <c r="M2760" s="186"/>
      <c r="N2760" s="186"/>
    </row>
    <row r="2761" spans="2:14" s="188" customFormat="1" ht="15" customHeight="1">
      <c r="B2761" s="187"/>
      <c r="C2761" s="187"/>
      <c r="D2761" s="187"/>
      <c r="E2761" s="187"/>
      <c r="F2761" s="187"/>
      <c r="G2761" s="187"/>
      <c r="J2761" s="186"/>
      <c r="K2761" s="180"/>
      <c r="L2761" s="180"/>
      <c r="M2761" s="186"/>
      <c r="N2761" s="186"/>
    </row>
    <row r="2762" spans="2:14" s="188" customFormat="1" ht="15" customHeight="1">
      <c r="B2762" s="187"/>
      <c r="C2762" s="187"/>
      <c r="D2762" s="187"/>
      <c r="E2762" s="187"/>
      <c r="F2762" s="187"/>
      <c r="G2762" s="187"/>
      <c r="J2762" s="186"/>
      <c r="K2762" s="180"/>
      <c r="L2762" s="180"/>
      <c r="M2762" s="186"/>
      <c r="N2762" s="186"/>
    </row>
    <row r="2763" spans="2:14" s="188" customFormat="1" ht="15" customHeight="1">
      <c r="B2763" s="187"/>
      <c r="C2763" s="187"/>
      <c r="D2763" s="187"/>
      <c r="E2763" s="187"/>
      <c r="F2763" s="187"/>
      <c r="G2763" s="187"/>
      <c r="J2763" s="186"/>
      <c r="K2763" s="180"/>
      <c r="L2763" s="180"/>
      <c r="M2763" s="186"/>
      <c r="N2763" s="186"/>
    </row>
    <row r="2764" spans="2:14" s="188" customFormat="1" ht="15" customHeight="1">
      <c r="B2764" s="187"/>
      <c r="C2764" s="187"/>
      <c r="D2764" s="187"/>
      <c r="E2764" s="187"/>
      <c r="F2764" s="187"/>
      <c r="G2764" s="187"/>
      <c r="J2764" s="186"/>
      <c r="K2764" s="180"/>
      <c r="L2764" s="180"/>
      <c r="M2764" s="186"/>
      <c r="N2764" s="186"/>
    </row>
    <row r="2765" spans="2:14" s="188" customFormat="1" ht="15" customHeight="1">
      <c r="B2765" s="187"/>
      <c r="C2765" s="187"/>
      <c r="D2765" s="187"/>
      <c r="E2765" s="187"/>
      <c r="F2765" s="187"/>
      <c r="G2765" s="187"/>
      <c r="J2765" s="186"/>
      <c r="K2765" s="180"/>
      <c r="L2765" s="180"/>
      <c r="M2765" s="186"/>
      <c r="N2765" s="186"/>
    </row>
    <row r="2766" spans="2:14" s="188" customFormat="1" ht="15" customHeight="1">
      <c r="B2766" s="187"/>
      <c r="C2766" s="187"/>
      <c r="D2766" s="187"/>
      <c r="E2766" s="187"/>
      <c r="F2766" s="187"/>
      <c r="G2766" s="187"/>
      <c r="J2766" s="186"/>
      <c r="K2766" s="180"/>
      <c r="L2766" s="180"/>
      <c r="M2766" s="186"/>
      <c r="N2766" s="186"/>
    </row>
    <row r="2767" spans="2:14" s="188" customFormat="1" ht="15" customHeight="1">
      <c r="B2767" s="187"/>
      <c r="C2767" s="187"/>
      <c r="D2767" s="187"/>
      <c r="E2767" s="187"/>
      <c r="F2767" s="187"/>
      <c r="G2767" s="187"/>
      <c r="J2767" s="186"/>
      <c r="K2767" s="180"/>
      <c r="L2767" s="180"/>
      <c r="M2767" s="186"/>
      <c r="N2767" s="186"/>
    </row>
    <row r="2768" spans="2:14" s="188" customFormat="1" ht="15" customHeight="1">
      <c r="B2768" s="187"/>
      <c r="C2768" s="187"/>
      <c r="D2768" s="187"/>
      <c r="E2768" s="187"/>
      <c r="F2768" s="187"/>
      <c r="G2768" s="187"/>
      <c r="J2768" s="186"/>
      <c r="K2768" s="180"/>
      <c r="L2768" s="180"/>
      <c r="M2768" s="186"/>
      <c r="N2768" s="186"/>
    </row>
    <row r="2769" spans="2:14" s="188" customFormat="1" ht="15" customHeight="1">
      <c r="B2769" s="187"/>
      <c r="C2769" s="187"/>
      <c r="D2769" s="187"/>
      <c r="E2769" s="187"/>
      <c r="F2769" s="187"/>
      <c r="G2769" s="187"/>
      <c r="J2769" s="186"/>
      <c r="K2769" s="180"/>
      <c r="L2769" s="180"/>
      <c r="M2769" s="186"/>
      <c r="N2769" s="186"/>
    </row>
    <row r="2770" spans="2:14" s="188" customFormat="1" ht="15" customHeight="1">
      <c r="B2770" s="187"/>
      <c r="C2770" s="187"/>
      <c r="D2770" s="187"/>
      <c r="E2770" s="187"/>
      <c r="F2770" s="187"/>
      <c r="G2770" s="187"/>
      <c r="J2770" s="186"/>
      <c r="K2770" s="180"/>
      <c r="L2770" s="180"/>
      <c r="M2770" s="186"/>
      <c r="N2770" s="186"/>
    </row>
    <row r="2771" spans="2:14" s="188" customFormat="1" ht="15" customHeight="1">
      <c r="B2771" s="187"/>
      <c r="C2771" s="187"/>
      <c r="D2771" s="187"/>
      <c r="E2771" s="187"/>
      <c r="F2771" s="187"/>
      <c r="G2771" s="187"/>
      <c r="J2771" s="186"/>
      <c r="K2771" s="180"/>
      <c r="L2771" s="180"/>
      <c r="M2771" s="186"/>
      <c r="N2771" s="186"/>
    </row>
    <row r="2772" spans="2:14" s="188" customFormat="1" ht="15" customHeight="1">
      <c r="B2772" s="187"/>
      <c r="C2772" s="187"/>
      <c r="D2772" s="187"/>
      <c r="E2772" s="187"/>
      <c r="F2772" s="187"/>
      <c r="G2772" s="187"/>
      <c r="J2772" s="186"/>
      <c r="K2772" s="180"/>
      <c r="L2772" s="180"/>
      <c r="M2772" s="186"/>
      <c r="N2772" s="186"/>
    </row>
    <row r="2773" spans="2:14" s="188" customFormat="1" ht="15" customHeight="1">
      <c r="B2773" s="187"/>
      <c r="C2773" s="187"/>
      <c r="D2773" s="187"/>
      <c r="E2773" s="187"/>
      <c r="F2773" s="187"/>
      <c r="G2773" s="187"/>
      <c r="J2773" s="186"/>
      <c r="K2773" s="180"/>
      <c r="L2773" s="180"/>
      <c r="M2773" s="186"/>
      <c r="N2773" s="186"/>
    </row>
    <row r="2774" spans="2:14" s="188" customFormat="1" ht="15" customHeight="1">
      <c r="B2774" s="187"/>
      <c r="C2774" s="187"/>
      <c r="D2774" s="187"/>
      <c r="E2774" s="187"/>
      <c r="F2774" s="187"/>
      <c r="G2774" s="187"/>
      <c r="J2774" s="186"/>
      <c r="K2774" s="180"/>
      <c r="L2774" s="180"/>
      <c r="M2774" s="186"/>
      <c r="N2774" s="186"/>
    </row>
    <row r="2775" spans="2:14" s="188" customFormat="1" ht="15" customHeight="1">
      <c r="B2775" s="187"/>
      <c r="C2775" s="187"/>
      <c r="D2775" s="187"/>
      <c r="E2775" s="187"/>
      <c r="F2775" s="187"/>
      <c r="G2775" s="187"/>
      <c r="J2775" s="186"/>
      <c r="K2775" s="180"/>
      <c r="L2775" s="180"/>
      <c r="M2775" s="186"/>
      <c r="N2775" s="186"/>
    </row>
    <row r="2776" spans="2:14" s="188" customFormat="1" ht="15" customHeight="1">
      <c r="B2776" s="187"/>
      <c r="C2776" s="187"/>
      <c r="D2776" s="187"/>
      <c r="E2776" s="187"/>
      <c r="F2776" s="187"/>
      <c r="G2776" s="187"/>
      <c r="J2776" s="186"/>
      <c r="K2776" s="180"/>
      <c r="L2776" s="180"/>
      <c r="M2776" s="186"/>
      <c r="N2776" s="186"/>
    </row>
    <row r="2777" spans="2:14" s="188" customFormat="1" ht="15" customHeight="1">
      <c r="B2777" s="187"/>
      <c r="C2777" s="187"/>
      <c r="D2777" s="187"/>
      <c r="E2777" s="187"/>
      <c r="F2777" s="187"/>
      <c r="G2777" s="187"/>
      <c r="J2777" s="186"/>
      <c r="K2777" s="180"/>
      <c r="L2777" s="180"/>
      <c r="M2777" s="186"/>
      <c r="N2777" s="186"/>
    </row>
    <row r="2778" spans="2:14" s="188" customFormat="1" ht="15" customHeight="1">
      <c r="B2778" s="187"/>
      <c r="C2778" s="187"/>
      <c r="D2778" s="187"/>
      <c r="E2778" s="187"/>
      <c r="F2778" s="187"/>
      <c r="G2778" s="187"/>
      <c r="J2778" s="186"/>
      <c r="K2778" s="180"/>
      <c r="L2778" s="180"/>
      <c r="M2778" s="186"/>
      <c r="N2778" s="186"/>
    </row>
    <row r="2779" spans="2:14" s="188" customFormat="1" ht="15" customHeight="1">
      <c r="B2779" s="187"/>
      <c r="C2779" s="187"/>
      <c r="D2779" s="187"/>
      <c r="E2779" s="187"/>
      <c r="F2779" s="187"/>
      <c r="G2779" s="187"/>
      <c r="J2779" s="186"/>
      <c r="K2779" s="180"/>
      <c r="L2779" s="180"/>
      <c r="M2779" s="186"/>
      <c r="N2779" s="186"/>
    </row>
    <row r="2780" spans="2:14" s="188" customFormat="1" ht="15" customHeight="1">
      <c r="B2780" s="187"/>
      <c r="C2780" s="187"/>
      <c r="D2780" s="187"/>
      <c r="E2780" s="187"/>
      <c r="F2780" s="187"/>
      <c r="G2780" s="187"/>
      <c r="J2780" s="186"/>
      <c r="K2780" s="180"/>
      <c r="L2780" s="180"/>
      <c r="M2780" s="186"/>
      <c r="N2780" s="186"/>
    </row>
    <row r="2781" spans="2:14" s="188" customFormat="1" ht="15" customHeight="1">
      <c r="B2781" s="187"/>
      <c r="C2781" s="187"/>
      <c r="D2781" s="187"/>
      <c r="E2781" s="187"/>
      <c r="F2781" s="187"/>
      <c r="G2781" s="187"/>
      <c r="J2781" s="186"/>
      <c r="K2781" s="180"/>
      <c r="L2781" s="180"/>
      <c r="M2781" s="186"/>
      <c r="N2781" s="186"/>
    </row>
    <row r="2782" spans="2:14" s="188" customFormat="1" ht="15" customHeight="1">
      <c r="B2782" s="187"/>
      <c r="C2782" s="187"/>
      <c r="D2782" s="187"/>
      <c r="E2782" s="187"/>
      <c r="F2782" s="187"/>
      <c r="G2782" s="187"/>
      <c r="J2782" s="186"/>
      <c r="K2782" s="180"/>
      <c r="L2782" s="180"/>
      <c r="M2782" s="186"/>
      <c r="N2782" s="186"/>
    </row>
    <row r="2783" spans="2:14" s="188" customFormat="1" ht="15" customHeight="1">
      <c r="B2783" s="187"/>
      <c r="C2783" s="187"/>
      <c r="D2783" s="187"/>
      <c r="E2783" s="187"/>
      <c r="F2783" s="187"/>
      <c r="G2783" s="187"/>
      <c r="J2783" s="186"/>
      <c r="K2783" s="180"/>
      <c r="L2783" s="180"/>
      <c r="M2783" s="186"/>
      <c r="N2783" s="186"/>
    </row>
    <row r="2784" spans="2:14" s="188" customFormat="1" ht="15" customHeight="1">
      <c r="B2784" s="187"/>
      <c r="C2784" s="187"/>
      <c r="D2784" s="187"/>
      <c r="E2784" s="187"/>
      <c r="F2784" s="187"/>
      <c r="G2784" s="187"/>
      <c r="J2784" s="186"/>
      <c r="K2784" s="180"/>
      <c r="L2784" s="180"/>
      <c r="M2784" s="186"/>
      <c r="N2784" s="186"/>
    </row>
    <row r="2785" spans="2:14" s="188" customFormat="1" ht="15" customHeight="1">
      <c r="B2785" s="187"/>
      <c r="C2785" s="187"/>
      <c r="D2785" s="187"/>
      <c r="E2785" s="187"/>
      <c r="F2785" s="187"/>
      <c r="G2785" s="187"/>
      <c r="J2785" s="186"/>
      <c r="K2785" s="180"/>
      <c r="L2785" s="180"/>
      <c r="M2785" s="186"/>
      <c r="N2785" s="186"/>
    </row>
    <row r="2786" spans="2:14" s="188" customFormat="1" ht="15" customHeight="1">
      <c r="B2786" s="187"/>
      <c r="C2786" s="187"/>
      <c r="D2786" s="187"/>
      <c r="E2786" s="187"/>
      <c r="F2786" s="187"/>
      <c r="G2786" s="187"/>
      <c r="J2786" s="186"/>
      <c r="K2786" s="180"/>
      <c r="L2786" s="180"/>
      <c r="M2786" s="186"/>
      <c r="N2786" s="186"/>
    </row>
    <row r="2787" spans="2:14" s="188" customFormat="1" ht="15" customHeight="1">
      <c r="B2787" s="187"/>
      <c r="C2787" s="187"/>
      <c r="D2787" s="187"/>
      <c r="E2787" s="187"/>
      <c r="F2787" s="187"/>
      <c r="G2787" s="187"/>
      <c r="J2787" s="186"/>
      <c r="K2787" s="180"/>
      <c r="L2787" s="180"/>
      <c r="M2787" s="186"/>
      <c r="N2787" s="186"/>
    </row>
    <row r="2788" spans="2:14" s="188" customFormat="1" ht="15" customHeight="1">
      <c r="B2788" s="187"/>
      <c r="C2788" s="187"/>
      <c r="D2788" s="187"/>
      <c r="E2788" s="187"/>
      <c r="F2788" s="187"/>
      <c r="G2788" s="187"/>
      <c r="J2788" s="186"/>
      <c r="K2788" s="180"/>
      <c r="L2788" s="180"/>
      <c r="M2788" s="186"/>
      <c r="N2788" s="186"/>
    </row>
    <row r="2789" spans="2:14" s="188" customFormat="1" ht="15" customHeight="1">
      <c r="B2789" s="187"/>
      <c r="C2789" s="187"/>
      <c r="D2789" s="187"/>
      <c r="E2789" s="187"/>
      <c r="F2789" s="187"/>
      <c r="G2789" s="187"/>
      <c r="J2789" s="186"/>
      <c r="K2789" s="180"/>
      <c r="L2789" s="180"/>
      <c r="M2789" s="186"/>
      <c r="N2789" s="186"/>
    </row>
    <row r="2790" spans="2:14" s="188" customFormat="1" ht="15" customHeight="1">
      <c r="B2790" s="187"/>
      <c r="C2790" s="187"/>
      <c r="D2790" s="187"/>
      <c r="E2790" s="187"/>
      <c r="F2790" s="187"/>
      <c r="G2790" s="187"/>
      <c r="J2790" s="186"/>
      <c r="K2790" s="180"/>
      <c r="L2790" s="180"/>
      <c r="M2790" s="186"/>
      <c r="N2790" s="186"/>
    </row>
    <row r="2791" spans="2:14" s="188" customFormat="1" ht="15" customHeight="1">
      <c r="B2791" s="187"/>
      <c r="C2791" s="187"/>
      <c r="D2791" s="187"/>
      <c r="E2791" s="187"/>
      <c r="F2791" s="187"/>
      <c r="G2791" s="187"/>
      <c r="J2791" s="186"/>
      <c r="K2791" s="180"/>
      <c r="L2791" s="180"/>
      <c r="M2791" s="186"/>
      <c r="N2791" s="186"/>
    </row>
    <row r="2792" spans="2:14" s="188" customFormat="1" ht="15" customHeight="1">
      <c r="B2792" s="187"/>
      <c r="C2792" s="187"/>
      <c r="D2792" s="187"/>
      <c r="E2792" s="187"/>
      <c r="F2792" s="187"/>
      <c r="G2792" s="187"/>
      <c r="J2792" s="186"/>
      <c r="K2792" s="180"/>
      <c r="L2792" s="180"/>
      <c r="M2792" s="186"/>
      <c r="N2792" s="186"/>
    </row>
    <row r="2793" spans="2:14" s="188" customFormat="1" ht="15" customHeight="1">
      <c r="B2793" s="187"/>
      <c r="C2793" s="187"/>
      <c r="D2793" s="187"/>
      <c r="E2793" s="187"/>
      <c r="F2793" s="187"/>
      <c r="G2793" s="187"/>
      <c r="J2793" s="186"/>
      <c r="K2793" s="180"/>
      <c r="L2793" s="180"/>
      <c r="M2793" s="186"/>
      <c r="N2793" s="186"/>
    </row>
    <row r="2794" spans="2:14" s="188" customFormat="1" ht="15" customHeight="1">
      <c r="B2794" s="187"/>
      <c r="C2794" s="187"/>
      <c r="D2794" s="187"/>
      <c r="E2794" s="187"/>
      <c r="F2794" s="187"/>
      <c r="G2794" s="187"/>
      <c r="J2794" s="186"/>
      <c r="K2794" s="180"/>
      <c r="L2794" s="180"/>
      <c r="M2794" s="186"/>
      <c r="N2794" s="186"/>
    </row>
    <row r="2795" spans="2:14" s="188" customFormat="1" ht="15" customHeight="1">
      <c r="B2795" s="187"/>
      <c r="C2795" s="187"/>
      <c r="D2795" s="187"/>
      <c r="E2795" s="187"/>
      <c r="F2795" s="187"/>
      <c r="G2795" s="187"/>
      <c r="J2795" s="186"/>
      <c r="K2795" s="180"/>
      <c r="L2795" s="180"/>
      <c r="M2795" s="186"/>
      <c r="N2795" s="186"/>
    </row>
    <row r="2796" spans="2:14" s="188" customFormat="1" ht="15" customHeight="1">
      <c r="B2796" s="187"/>
      <c r="C2796" s="187"/>
      <c r="D2796" s="187"/>
      <c r="E2796" s="187"/>
      <c r="F2796" s="187"/>
      <c r="G2796" s="187"/>
      <c r="J2796" s="186"/>
      <c r="K2796" s="180"/>
      <c r="L2796" s="180"/>
      <c r="M2796" s="186"/>
      <c r="N2796" s="186"/>
    </row>
    <row r="2797" spans="2:14" s="188" customFormat="1" ht="15" customHeight="1">
      <c r="B2797" s="187"/>
      <c r="C2797" s="187"/>
      <c r="D2797" s="187"/>
      <c r="E2797" s="187"/>
      <c r="F2797" s="187"/>
      <c r="G2797" s="187"/>
      <c r="J2797" s="186"/>
      <c r="K2797" s="180"/>
      <c r="L2797" s="180"/>
      <c r="M2797" s="186"/>
      <c r="N2797" s="186"/>
    </row>
    <row r="2798" spans="2:14" s="188" customFormat="1" ht="15" customHeight="1">
      <c r="B2798" s="187"/>
      <c r="C2798" s="187"/>
      <c r="D2798" s="187"/>
      <c r="E2798" s="187"/>
      <c r="F2798" s="187"/>
      <c r="G2798" s="187"/>
      <c r="J2798" s="186"/>
      <c r="K2798" s="180"/>
      <c r="L2798" s="180"/>
      <c r="M2798" s="186"/>
      <c r="N2798" s="186"/>
    </row>
    <row r="2799" spans="2:14" s="188" customFormat="1" ht="15" customHeight="1">
      <c r="B2799" s="187"/>
      <c r="C2799" s="187"/>
      <c r="D2799" s="187"/>
      <c r="E2799" s="187"/>
      <c r="F2799" s="187"/>
      <c r="G2799" s="187"/>
      <c r="J2799" s="186"/>
      <c r="K2799" s="180"/>
      <c r="L2799" s="180"/>
      <c r="M2799" s="186"/>
      <c r="N2799" s="186"/>
    </row>
    <row r="2800" spans="2:14" s="188" customFormat="1" ht="15" customHeight="1">
      <c r="B2800" s="187"/>
      <c r="C2800" s="187"/>
      <c r="D2800" s="187"/>
      <c r="E2800" s="187"/>
      <c r="F2800" s="187"/>
      <c r="G2800" s="187"/>
      <c r="J2800" s="186"/>
      <c r="K2800" s="180"/>
      <c r="L2800" s="180"/>
      <c r="M2800" s="186"/>
      <c r="N2800" s="186"/>
    </row>
    <row r="2801" spans="2:14" s="188" customFormat="1" ht="15" customHeight="1">
      <c r="B2801" s="187"/>
      <c r="C2801" s="187"/>
      <c r="D2801" s="187"/>
      <c r="E2801" s="187"/>
      <c r="F2801" s="187"/>
      <c r="G2801" s="187"/>
      <c r="J2801" s="186"/>
      <c r="K2801" s="180"/>
      <c r="L2801" s="180"/>
      <c r="M2801" s="186"/>
      <c r="N2801" s="186"/>
    </row>
    <row r="2802" spans="2:14" s="188" customFormat="1" ht="15" customHeight="1">
      <c r="B2802" s="187"/>
      <c r="C2802" s="187"/>
      <c r="D2802" s="187"/>
      <c r="E2802" s="187"/>
      <c r="F2802" s="187"/>
      <c r="G2802" s="187"/>
      <c r="J2802" s="186"/>
      <c r="K2802" s="180"/>
      <c r="L2802" s="180"/>
      <c r="M2802" s="186"/>
      <c r="N2802" s="186"/>
    </row>
    <row r="2803" spans="2:14" s="188" customFormat="1" ht="15" customHeight="1">
      <c r="B2803" s="187"/>
      <c r="C2803" s="187"/>
      <c r="D2803" s="187"/>
      <c r="E2803" s="187"/>
      <c r="F2803" s="187"/>
      <c r="G2803" s="187"/>
      <c r="J2803" s="186"/>
      <c r="K2803" s="180"/>
      <c r="L2803" s="180"/>
      <c r="M2803" s="186"/>
      <c r="N2803" s="186"/>
    </row>
    <row r="2804" spans="2:14" s="188" customFormat="1" ht="15" customHeight="1">
      <c r="B2804" s="187"/>
      <c r="C2804" s="187"/>
      <c r="D2804" s="187"/>
      <c r="E2804" s="187"/>
      <c r="F2804" s="187"/>
      <c r="G2804" s="187"/>
      <c r="J2804" s="186"/>
      <c r="K2804" s="180"/>
      <c r="L2804" s="180"/>
      <c r="M2804" s="186"/>
      <c r="N2804" s="186"/>
    </row>
    <row r="2805" spans="2:14" s="188" customFormat="1" ht="15" customHeight="1">
      <c r="B2805" s="187"/>
      <c r="C2805" s="187"/>
      <c r="D2805" s="187"/>
      <c r="E2805" s="187"/>
      <c r="F2805" s="187"/>
      <c r="G2805" s="187"/>
      <c r="J2805" s="186"/>
      <c r="K2805" s="180"/>
      <c r="L2805" s="180"/>
      <c r="M2805" s="186"/>
      <c r="N2805" s="186"/>
    </row>
    <row r="2806" spans="2:14" s="188" customFormat="1" ht="15" customHeight="1">
      <c r="B2806" s="187"/>
      <c r="C2806" s="187"/>
      <c r="D2806" s="187"/>
      <c r="E2806" s="187"/>
      <c r="F2806" s="187"/>
      <c r="G2806" s="187"/>
      <c r="J2806" s="186"/>
      <c r="K2806" s="180"/>
      <c r="L2806" s="180"/>
      <c r="M2806" s="186"/>
      <c r="N2806" s="186"/>
    </row>
    <row r="2807" spans="2:14" s="188" customFormat="1" ht="15" customHeight="1">
      <c r="B2807" s="187"/>
      <c r="C2807" s="187"/>
      <c r="D2807" s="187"/>
      <c r="E2807" s="187"/>
      <c r="F2807" s="187"/>
      <c r="G2807" s="187"/>
      <c r="J2807" s="186"/>
      <c r="K2807" s="180"/>
      <c r="L2807" s="180"/>
      <c r="M2807" s="186"/>
      <c r="N2807" s="186"/>
    </row>
    <row r="2808" spans="2:14" s="188" customFormat="1" ht="15" customHeight="1">
      <c r="B2808" s="187"/>
      <c r="C2808" s="187"/>
      <c r="D2808" s="187"/>
      <c r="E2808" s="187"/>
      <c r="F2808" s="187"/>
      <c r="G2808" s="187"/>
      <c r="J2808" s="186"/>
      <c r="K2808" s="180"/>
      <c r="L2808" s="180"/>
      <c r="M2808" s="186"/>
      <c r="N2808" s="186"/>
    </row>
    <row r="2809" spans="2:14" s="188" customFormat="1" ht="15" customHeight="1">
      <c r="B2809" s="187"/>
      <c r="C2809" s="187"/>
      <c r="D2809" s="187"/>
      <c r="E2809" s="187"/>
      <c r="F2809" s="187"/>
      <c r="G2809" s="187"/>
      <c r="J2809" s="186"/>
      <c r="K2809" s="180"/>
      <c r="L2809" s="180"/>
      <c r="M2809" s="186"/>
      <c r="N2809" s="186"/>
    </row>
    <row r="2810" spans="2:14" s="188" customFormat="1" ht="15" customHeight="1">
      <c r="B2810" s="187"/>
      <c r="C2810" s="187"/>
      <c r="D2810" s="187"/>
      <c r="E2810" s="187"/>
      <c r="F2810" s="187"/>
      <c r="G2810" s="187"/>
      <c r="J2810" s="186"/>
      <c r="K2810" s="180"/>
      <c r="L2810" s="180"/>
      <c r="M2810" s="186"/>
      <c r="N2810" s="186"/>
    </row>
    <row r="2811" spans="2:14" s="188" customFormat="1" ht="15" customHeight="1">
      <c r="B2811" s="187"/>
      <c r="C2811" s="187"/>
      <c r="D2811" s="187"/>
      <c r="E2811" s="187"/>
      <c r="F2811" s="187"/>
      <c r="G2811" s="187"/>
      <c r="J2811" s="186"/>
      <c r="K2811" s="180"/>
      <c r="L2811" s="180"/>
      <c r="M2811" s="186"/>
      <c r="N2811" s="186"/>
    </row>
    <row r="2812" spans="2:14" s="188" customFormat="1" ht="15" customHeight="1">
      <c r="B2812" s="187"/>
      <c r="C2812" s="187"/>
      <c r="D2812" s="187"/>
      <c r="E2812" s="187"/>
      <c r="F2812" s="187"/>
      <c r="G2812" s="187"/>
      <c r="J2812" s="186"/>
      <c r="K2812" s="180"/>
      <c r="L2812" s="180"/>
      <c r="M2812" s="186"/>
      <c r="N2812" s="186"/>
    </row>
    <row r="2813" spans="2:14" s="188" customFormat="1" ht="15" customHeight="1">
      <c r="B2813" s="187"/>
      <c r="C2813" s="187"/>
      <c r="D2813" s="187"/>
      <c r="E2813" s="187"/>
      <c r="F2813" s="187"/>
      <c r="G2813" s="187"/>
      <c r="J2813" s="186"/>
      <c r="K2813" s="180"/>
      <c r="L2813" s="180"/>
      <c r="M2813" s="186"/>
      <c r="N2813" s="186"/>
    </row>
    <row r="2814" spans="2:14" s="188" customFormat="1" ht="15" customHeight="1">
      <c r="B2814" s="187"/>
      <c r="C2814" s="187"/>
      <c r="D2814" s="187"/>
      <c r="E2814" s="187"/>
      <c r="F2814" s="187"/>
      <c r="G2814" s="187"/>
      <c r="J2814" s="186"/>
      <c r="K2814" s="180"/>
      <c r="L2814" s="180"/>
      <c r="M2814" s="186"/>
      <c r="N2814" s="186"/>
    </row>
    <row r="2815" spans="2:14" s="188" customFormat="1" ht="15" customHeight="1">
      <c r="B2815" s="187"/>
      <c r="C2815" s="187"/>
      <c r="D2815" s="187"/>
      <c r="E2815" s="187"/>
      <c r="F2815" s="187"/>
      <c r="G2815" s="187"/>
      <c r="J2815" s="186"/>
      <c r="K2815" s="180"/>
      <c r="L2815" s="180"/>
      <c r="M2815" s="186"/>
      <c r="N2815" s="186"/>
    </row>
    <row r="2816" spans="2:14" s="188" customFormat="1" ht="15" customHeight="1">
      <c r="B2816" s="187"/>
      <c r="C2816" s="187"/>
      <c r="D2816" s="187"/>
      <c r="E2816" s="187"/>
      <c r="F2816" s="187"/>
      <c r="G2816" s="187"/>
      <c r="J2816" s="186"/>
      <c r="K2816" s="180"/>
      <c r="L2816" s="180"/>
      <c r="M2816" s="186"/>
      <c r="N2816" s="186"/>
    </row>
    <row r="2817" spans="2:14" s="188" customFormat="1" ht="15" customHeight="1">
      <c r="B2817" s="187"/>
      <c r="C2817" s="187"/>
      <c r="D2817" s="187"/>
      <c r="E2817" s="187"/>
      <c r="F2817" s="187"/>
      <c r="G2817" s="187"/>
      <c r="J2817" s="186"/>
      <c r="K2817" s="180"/>
      <c r="L2817" s="180"/>
      <c r="M2817" s="186"/>
      <c r="N2817" s="186"/>
    </row>
    <row r="2818" spans="2:14" s="188" customFormat="1" ht="15" customHeight="1">
      <c r="B2818" s="187"/>
      <c r="C2818" s="187"/>
      <c r="D2818" s="187"/>
      <c r="E2818" s="187"/>
      <c r="F2818" s="187"/>
      <c r="G2818" s="187"/>
      <c r="J2818" s="186"/>
      <c r="K2818" s="180"/>
      <c r="L2818" s="180"/>
      <c r="M2818" s="186"/>
      <c r="N2818" s="186"/>
    </row>
    <row r="2819" spans="2:14" s="188" customFormat="1" ht="15" customHeight="1">
      <c r="B2819" s="187"/>
      <c r="C2819" s="187"/>
      <c r="D2819" s="187"/>
      <c r="E2819" s="187"/>
      <c r="F2819" s="187"/>
      <c r="G2819" s="187"/>
      <c r="J2819" s="186"/>
      <c r="K2819" s="180"/>
      <c r="L2819" s="180"/>
      <c r="M2819" s="186"/>
      <c r="N2819" s="186"/>
    </row>
    <row r="2820" spans="2:14" s="188" customFormat="1" ht="15" customHeight="1">
      <c r="B2820" s="187"/>
      <c r="C2820" s="187"/>
      <c r="D2820" s="187"/>
      <c r="E2820" s="187"/>
      <c r="F2820" s="187"/>
      <c r="G2820" s="187"/>
      <c r="J2820" s="186"/>
      <c r="K2820" s="180"/>
      <c r="L2820" s="180"/>
      <c r="M2820" s="186"/>
      <c r="N2820" s="186"/>
    </row>
    <row r="2821" spans="2:14" s="188" customFormat="1" ht="15" customHeight="1">
      <c r="B2821" s="187"/>
      <c r="C2821" s="187"/>
      <c r="D2821" s="187"/>
      <c r="E2821" s="187"/>
      <c r="F2821" s="187"/>
      <c r="G2821" s="187"/>
      <c r="J2821" s="186"/>
      <c r="K2821" s="180"/>
      <c r="L2821" s="180"/>
      <c r="M2821" s="186"/>
      <c r="N2821" s="186"/>
    </row>
    <row r="2822" spans="2:14" s="188" customFormat="1" ht="15" customHeight="1">
      <c r="B2822" s="187"/>
      <c r="C2822" s="187"/>
      <c r="D2822" s="187"/>
      <c r="E2822" s="187"/>
      <c r="F2822" s="187"/>
      <c r="G2822" s="187"/>
      <c r="J2822" s="186"/>
      <c r="K2822" s="180"/>
      <c r="L2822" s="180"/>
      <c r="M2822" s="186"/>
      <c r="N2822" s="186"/>
    </row>
    <row r="2823" spans="2:14" s="188" customFormat="1" ht="15" customHeight="1">
      <c r="B2823" s="187"/>
      <c r="C2823" s="187"/>
      <c r="D2823" s="187"/>
      <c r="E2823" s="187"/>
      <c r="F2823" s="187"/>
      <c r="G2823" s="187"/>
      <c r="J2823" s="186"/>
      <c r="K2823" s="180"/>
      <c r="L2823" s="180"/>
      <c r="M2823" s="186"/>
      <c r="N2823" s="186"/>
    </row>
    <row r="2824" spans="2:14" s="188" customFormat="1" ht="15" customHeight="1">
      <c r="B2824" s="187"/>
      <c r="C2824" s="187"/>
      <c r="D2824" s="187"/>
      <c r="E2824" s="187"/>
      <c r="F2824" s="187"/>
      <c r="G2824" s="187"/>
      <c r="J2824" s="186"/>
      <c r="K2824" s="180"/>
      <c r="L2824" s="180"/>
      <c r="M2824" s="186"/>
      <c r="N2824" s="186"/>
    </row>
    <row r="2825" spans="2:14" s="188" customFormat="1" ht="15" customHeight="1">
      <c r="B2825" s="187"/>
      <c r="C2825" s="187"/>
      <c r="D2825" s="187"/>
      <c r="E2825" s="187"/>
      <c r="F2825" s="187"/>
      <c r="G2825" s="187"/>
      <c r="J2825" s="186"/>
      <c r="K2825" s="180"/>
      <c r="L2825" s="180"/>
      <c r="M2825" s="186"/>
      <c r="N2825" s="186"/>
    </row>
    <row r="2826" spans="2:14" s="188" customFormat="1" ht="15" customHeight="1">
      <c r="B2826" s="187"/>
      <c r="C2826" s="187"/>
      <c r="D2826" s="187"/>
      <c r="E2826" s="187"/>
      <c r="F2826" s="187"/>
      <c r="G2826" s="187"/>
      <c r="J2826" s="186"/>
      <c r="K2826" s="180"/>
      <c r="L2826" s="180"/>
      <c r="M2826" s="186"/>
      <c r="N2826" s="186"/>
    </row>
    <row r="2827" spans="2:14" s="188" customFormat="1" ht="15" customHeight="1">
      <c r="B2827" s="187"/>
      <c r="C2827" s="187"/>
      <c r="D2827" s="187"/>
      <c r="E2827" s="187"/>
      <c r="F2827" s="187"/>
      <c r="G2827" s="187"/>
      <c r="J2827" s="186"/>
      <c r="K2827" s="180"/>
      <c r="L2827" s="180"/>
      <c r="M2827" s="186"/>
      <c r="N2827" s="186"/>
    </row>
    <row r="2828" spans="2:14" s="188" customFormat="1" ht="15" customHeight="1">
      <c r="B2828" s="187"/>
      <c r="C2828" s="187"/>
      <c r="D2828" s="187"/>
      <c r="E2828" s="187"/>
      <c r="F2828" s="187"/>
      <c r="G2828" s="187"/>
      <c r="J2828" s="186"/>
      <c r="K2828" s="180"/>
      <c r="L2828" s="180"/>
      <c r="M2828" s="186"/>
      <c r="N2828" s="186"/>
    </row>
    <row r="2829" spans="2:14" s="188" customFormat="1" ht="15" customHeight="1">
      <c r="B2829" s="187"/>
      <c r="C2829" s="187"/>
      <c r="D2829" s="187"/>
      <c r="E2829" s="187"/>
      <c r="F2829" s="187"/>
      <c r="G2829" s="187"/>
      <c r="J2829" s="186"/>
      <c r="K2829" s="180"/>
      <c r="L2829" s="180"/>
      <c r="M2829" s="186"/>
      <c r="N2829" s="186"/>
    </row>
    <row r="2830" spans="2:14" s="188" customFormat="1" ht="15" customHeight="1">
      <c r="B2830" s="187"/>
      <c r="C2830" s="187"/>
      <c r="D2830" s="187"/>
      <c r="E2830" s="187"/>
      <c r="F2830" s="187"/>
      <c r="G2830" s="187"/>
      <c r="J2830" s="186"/>
      <c r="K2830" s="180"/>
      <c r="L2830" s="180"/>
      <c r="M2830" s="186"/>
      <c r="N2830" s="186"/>
    </row>
    <row r="2831" spans="2:14" s="188" customFormat="1" ht="15" customHeight="1">
      <c r="B2831" s="187"/>
      <c r="C2831" s="187"/>
      <c r="D2831" s="187"/>
      <c r="E2831" s="187"/>
      <c r="F2831" s="187"/>
      <c r="G2831" s="187"/>
      <c r="J2831" s="186"/>
      <c r="K2831" s="180"/>
      <c r="L2831" s="180"/>
      <c r="M2831" s="186"/>
      <c r="N2831" s="186"/>
    </row>
    <row r="2832" spans="2:14" s="188" customFormat="1" ht="15" customHeight="1">
      <c r="B2832" s="187"/>
      <c r="C2832" s="187"/>
      <c r="D2832" s="187"/>
      <c r="E2832" s="187"/>
      <c r="F2832" s="187"/>
      <c r="G2832" s="187"/>
      <c r="J2832" s="186"/>
      <c r="K2832" s="180"/>
      <c r="L2832" s="180"/>
      <c r="M2832" s="186"/>
      <c r="N2832" s="186"/>
    </row>
    <row r="2833" spans="2:14" s="188" customFormat="1" ht="15" customHeight="1">
      <c r="B2833" s="187"/>
      <c r="C2833" s="187"/>
      <c r="D2833" s="187"/>
      <c r="E2833" s="187"/>
      <c r="F2833" s="187"/>
      <c r="G2833" s="187"/>
      <c r="J2833" s="186"/>
      <c r="K2833" s="180"/>
      <c r="L2833" s="180"/>
      <c r="M2833" s="186"/>
      <c r="N2833" s="186"/>
    </row>
    <row r="2834" spans="2:14" s="188" customFormat="1" ht="15" customHeight="1">
      <c r="B2834" s="187"/>
      <c r="C2834" s="187"/>
      <c r="D2834" s="187"/>
      <c r="E2834" s="187"/>
      <c r="F2834" s="187"/>
      <c r="G2834" s="187"/>
      <c r="J2834" s="186"/>
      <c r="K2834" s="180"/>
      <c r="L2834" s="180"/>
      <c r="M2834" s="186"/>
      <c r="N2834" s="186"/>
    </row>
    <row r="2835" spans="2:14" s="188" customFormat="1" ht="15" customHeight="1">
      <c r="B2835" s="187"/>
      <c r="C2835" s="187"/>
      <c r="D2835" s="187"/>
      <c r="E2835" s="187"/>
      <c r="F2835" s="187"/>
      <c r="G2835" s="187"/>
      <c r="J2835" s="186"/>
      <c r="K2835" s="180"/>
      <c r="L2835" s="180"/>
      <c r="M2835" s="186"/>
      <c r="N2835" s="186"/>
    </row>
    <row r="2836" spans="2:14" s="188" customFormat="1" ht="15" customHeight="1">
      <c r="B2836" s="187"/>
      <c r="C2836" s="187"/>
      <c r="D2836" s="187"/>
      <c r="E2836" s="187"/>
      <c r="F2836" s="187"/>
      <c r="G2836" s="187"/>
      <c r="J2836" s="186"/>
      <c r="K2836" s="180"/>
      <c r="L2836" s="180"/>
      <c r="M2836" s="186"/>
      <c r="N2836" s="186"/>
    </row>
    <row r="2837" spans="2:14" s="188" customFormat="1" ht="15" customHeight="1">
      <c r="B2837" s="187"/>
      <c r="C2837" s="187"/>
      <c r="D2837" s="187"/>
      <c r="E2837" s="187"/>
      <c r="F2837" s="187"/>
      <c r="G2837" s="187"/>
      <c r="J2837" s="186"/>
      <c r="K2837" s="180"/>
      <c r="L2837" s="180"/>
      <c r="M2837" s="186"/>
      <c r="N2837" s="186"/>
    </row>
    <row r="2838" spans="2:14" s="188" customFormat="1" ht="15" customHeight="1">
      <c r="B2838" s="187"/>
      <c r="C2838" s="187"/>
      <c r="D2838" s="187"/>
      <c r="E2838" s="187"/>
      <c r="F2838" s="187"/>
      <c r="G2838" s="187"/>
      <c r="J2838" s="186"/>
      <c r="K2838" s="180"/>
      <c r="L2838" s="180"/>
      <c r="M2838" s="186"/>
      <c r="N2838" s="186"/>
    </row>
    <row r="2839" spans="2:14" s="188" customFormat="1" ht="15" customHeight="1">
      <c r="B2839" s="187"/>
      <c r="C2839" s="187"/>
      <c r="D2839" s="187"/>
      <c r="E2839" s="187"/>
      <c r="F2839" s="187"/>
      <c r="G2839" s="187"/>
      <c r="J2839" s="186"/>
      <c r="K2839" s="180"/>
      <c r="L2839" s="180"/>
      <c r="M2839" s="186"/>
      <c r="N2839" s="186"/>
    </row>
    <row r="2840" spans="2:14" s="188" customFormat="1" ht="15" customHeight="1">
      <c r="B2840" s="187"/>
      <c r="C2840" s="187"/>
      <c r="D2840" s="187"/>
      <c r="E2840" s="187"/>
      <c r="F2840" s="187"/>
      <c r="G2840" s="187"/>
      <c r="J2840" s="186"/>
      <c r="K2840" s="180"/>
      <c r="L2840" s="180"/>
      <c r="M2840" s="186"/>
      <c r="N2840" s="186"/>
    </row>
    <row r="2841" spans="2:14" s="188" customFormat="1" ht="15" customHeight="1">
      <c r="B2841" s="187"/>
      <c r="C2841" s="187"/>
      <c r="D2841" s="187"/>
      <c r="E2841" s="187"/>
      <c r="F2841" s="187"/>
      <c r="G2841" s="187"/>
      <c r="J2841" s="186"/>
      <c r="K2841" s="180"/>
      <c r="L2841" s="180"/>
      <c r="M2841" s="186"/>
      <c r="N2841" s="186"/>
    </row>
    <row r="2842" spans="2:14" s="188" customFormat="1" ht="15" customHeight="1">
      <c r="B2842" s="187"/>
      <c r="C2842" s="187"/>
      <c r="D2842" s="187"/>
      <c r="E2842" s="187"/>
      <c r="F2842" s="187"/>
      <c r="G2842" s="187"/>
      <c r="J2842" s="186"/>
      <c r="K2842" s="180"/>
      <c r="L2842" s="180"/>
      <c r="M2842" s="186"/>
      <c r="N2842" s="186"/>
    </row>
    <row r="2843" spans="2:14" s="188" customFormat="1" ht="15" customHeight="1">
      <c r="B2843" s="187"/>
      <c r="C2843" s="187"/>
      <c r="D2843" s="187"/>
      <c r="E2843" s="187"/>
      <c r="F2843" s="187"/>
      <c r="G2843" s="187"/>
      <c r="J2843" s="186"/>
      <c r="K2843" s="180"/>
      <c r="L2843" s="180"/>
      <c r="M2843" s="186"/>
      <c r="N2843" s="186"/>
    </row>
    <row r="2844" spans="2:14" s="188" customFormat="1" ht="15" customHeight="1">
      <c r="B2844" s="187"/>
      <c r="C2844" s="187"/>
      <c r="D2844" s="187"/>
      <c r="E2844" s="187"/>
      <c r="F2844" s="187"/>
      <c r="G2844" s="187"/>
      <c r="J2844" s="186"/>
      <c r="K2844" s="180"/>
      <c r="L2844" s="180"/>
      <c r="M2844" s="186"/>
      <c r="N2844" s="186"/>
    </row>
    <row r="2845" spans="2:14" s="188" customFormat="1" ht="15" customHeight="1">
      <c r="B2845" s="187"/>
      <c r="C2845" s="187"/>
      <c r="D2845" s="187"/>
      <c r="E2845" s="187"/>
      <c r="F2845" s="187"/>
      <c r="G2845" s="187"/>
      <c r="J2845" s="186"/>
      <c r="K2845" s="180"/>
      <c r="L2845" s="180"/>
      <c r="M2845" s="186"/>
      <c r="N2845" s="186"/>
    </row>
    <row r="2846" spans="2:14" s="188" customFormat="1" ht="15" customHeight="1">
      <c r="B2846" s="187"/>
      <c r="C2846" s="187"/>
      <c r="D2846" s="187"/>
      <c r="E2846" s="187"/>
      <c r="F2846" s="187"/>
      <c r="G2846" s="187"/>
      <c r="J2846" s="186"/>
      <c r="K2846" s="180"/>
      <c r="L2846" s="180"/>
      <c r="M2846" s="186"/>
      <c r="N2846" s="186"/>
    </row>
    <row r="2847" spans="2:14" s="188" customFormat="1" ht="15" customHeight="1">
      <c r="B2847" s="187"/>
      <c r="C2847" s="187"/>
      <c r="D2847" s="187"/>
      <c r="E2847" s="187"/>
      <c r="F2847" s="187"/>
      <c r="G2847" s="187"/>
      <c r="J2847" s="186"/>
      <c r="K2847" s="180"/>
      <c r="L2847" s="180"/>
      <c r="M2847" s="186"/>
      <c r="N2847" s="186"/>
    </row>
    <row r="2848" spans="2:14" s="188" customFormat="1" ht="15" customHeight="1">
      <c r="B2848" s="187"/>
      <c r="C2848" s="187"/>
      <c r="D2848" s="187"/>
      <c r="E2848" s="187"/>
      <c r="F2848" s="187"/>
      <c r="G2848" s="187"/>
      <c r="J2848" s="186"/>
      <c r="K2848" s="180"/>
      <c r="L2848" s="180"/>
      <c r="M2848" s="186"/>
      <c r="N2848" s="186"/>
    </row>
    <row r="2849" spans="2:14" s="188" customFormat="1" ht="15" customHeight="1">
      <c r="B2849" s="187"/>
      <c r="C2849" s="187"/>
      <c r="D2849" s="187"/>
      <c r="E2849" s="187"/>
      <c r="F2849" s="187"/>
      <c r="G2849" s="187"/>
      <c r="J2849" s="186"/>
      <c r="K2849" s="180"/>
      <c r="L2849" s="180"/>
      <c r="M2849" s="186"/>
      <c r="N2849" s="186"/>
    </row>
    <row r="2850" spans="2:14" s="188" customFormat="1" ht="15" customHeight="1">
      <c r="B2850" s="187"/>
      <c r="C2850" s="187"/>
      <c r="D2850" s="187"/>
      <c r="E2850" s="187"/>
      <c r="F2850" s="187"/>
      <c r="G2850" s="187"/>
      <c r="J2850" s="186"/>
      <c r="K2850" s="180"/>
      <c r="L2850" s="180"/>
      <c r="M2850" s="186"/>
      <c r="N2850" s="186"/>
    </row>
    <row r="2851" spans="2:14" s="188" customFormat="1" ht="15" customHeight="1">
      <c r="B2851" s="187"/>
      <c r="C2851" s="187"/>
      <c r="D2851" s="187"/>
      <c r="E2851" s="187"/>
      <c r="F2851" s="187"/>
      <c r="G2851" s="187"/>
      <c r="J2851" s="186"/>
      <c r="K2851" s="180"/>
      <c r="L2851" s="180"/>
      <c r="M2851" s="186"/>
      <c r="N2851" s="186"/>
    </row>
    <row r="2852" spans="2:14" s="188" customFormat="1" ht="15" customHeight="1">
      <c r="B2852" s="187"/>
      <c r="C2852" s="187"/>
      <c r="D2852" s="187"/>
      <c r="E2852" s="187"/>
      <c r="F2852" s="187"/>
      <c r="G2852" s="187"/>
      <c r="J2852" s="186"/>
      <c r="K2852" s="180"/>
      <c r="L2852" s="180"/>
      <c r="M2852" s="186"/>
      <c r="N2852" s="186"/>
    </row>
    <row r="2853" spans="2:14" s="188" customFormat="1" ht="15" customHeight="1">
      <c r="B2853" s="187"/>
      <c r="C2853" s="187"/>
      <c r="D2853" s="187"/>
      <c r="E2853" s="187"/>
      <c r="F2853" s="187"/>
      <c r="G2853" s="187"/>
      <c r="J2853" s="186"/>
      <c r="K2853" s="180"/>
      <c r="L2853" s="180"/>
      <c r="M2853" s="186"/>
      <c r="N2853" s="186"/>
    </row>
    <row r="2854" spans="2:14" s="188" customFormat="1" ht="15" customHeight="1">
      <c r="B2854" s="187"/>
      <c r="C2854" s="187"/>
      <c r="D2854" s="187"/>
      <c r="E2854" s="187"/>
      <c r="F2854" s="187"/>
      <c r="G2854" s="187"/>
      <c r="J2854" s="186"/>
      <c r="K2854" s="180"/>
      <c r="L2854" s="180"/>
      <c r="M2854" s="186"/>
      <c r="N2854" s="186"/>
    </row>
    <row r="2855" spans="2:14" s="188" customFormat="1" ht="15" customHeight="1">
      <c r="B2855" s="187"/>
      <c r="C2855" s="187"/>
      <c r="D2855" s="187"/>
      <c r="E2855" s="187"/>
      <c r="F2855" s="187"/>
      <c r="G2855" s="187"/>
      <c r="J2855" s="186"/>
      <c r="K2855" s="180"/>
      <c r="L2855" s="180"/>
      <c r="M2855" s="186"/>
      <c r="N2855" s="186"/>
    </row>
    <row r="2856" spans="2:14" s="188" customFormat="1" ht="15" customHeight="1">
      <c r="B2856" s="187"/>
      <c r="C2856" s="187"/>
      <c r="D2856" s="187"/>
      <c r="E2856" s="187"/>
      <c r="F2856" s="187"/>
      <c r="G2856" s="187"/>
      <c r="J2856" s="186"/>
      <c r="K2856" s="180"/>
      <c r="L2856" s="180"/>
      <c r="M2856" s="186"/>
      <c r="N2856" s="186"/>
    </row>
    <row r="2857" spans="2:14" s="188" customFormat="1" ht="15" customHeight="1">
      <c r="B2857" s="187"/>
      <c r="C2857" s="187"/>
      <c r="D2857" s="187"/>
      <c r="E2857" s="187"/>
      <c r="F2857" s="187"/>
      <c r="G2857" s="187"/>
      <c r="J2857" s="186"/>
      <c r="K2857" s="180"/>
      <c r="L2857" s="180"/>
      <c r="M2857" s="186"/>
      <c r="N2857" s="186"/>
    </row>
    <row r="2858" spans="2:14" s="188" customFormat="1" ht="15" customHeight="1">
      <c r="B2858" s="187"/>
      <c r="C2858" s="187"/>
      <c r="D2858" s="187"/>
      <c r="E2858" s="187"/>
      <c r="F2858" s="187"/>
      <c r="G2858" s="187"/>
      <c r="J2858" s="186"/>
      <c r="K2858" s="180"/>
      <c r="L2858" s="180"/>
      <c r="M2858" s="186"/>
      <c r="N2858" s="186"/>
    </row>
    <row r="2859" spans="2:14" s="188" customFormat="1" ht="15" customHeight="1">
      <c r="B2859" s="187"/>
      <c r="C2859" s="187"/>
      <c r="D2859" s="187"/>
      <c r="E2859" s="187"/>
      <c r="F2859" s="187"/>
      <c r="G2859" s="187"/>
      <c r="J2859" s="186"/>
      <c r="K2859" s="180"/>
      <c r="L2859" s="180"/>
      <c r="M2859" s="186"/>
      <c r="N2859" s="186"/>
    </row>
    <row r="2860" spans="2:14" s="188" customFormat="1" ht="15" customHeight="1">
      <c r="B2860" s="187"/>
      <c r="C2860" s="187"/>
      <c r="D2860" s="187"/>
      <c r="E2860" s="187"/>
      <c r="F2860" s="187"/>
      <c r="G2860" s="187"/>
      <c r="J2860" s="186"/>
      <c r="K2860" s="180"/>
      <c r="L2860" s="180"/>
      <c r="M2860" s="186"/>
      <c r="N2860" s="186"/>
    </row>
    <row r="2861" spans="2:14" s="188" customFormat="1" ht="15" customHeight="1">
      <c r="B2861" s="187"/>
      <c r="C2861" s="187"/>
      <c r="D2861" s="187"/>
      <c r="E2861" s="187"/>
      <c r="F2861" s="187"/>
      <c r="G2861" s="187"/>
      <c r="J2861" s="186"/>
      <c r="K2861" s="180"/>
      <c r="L2861" s="180"/>
      <c r="M2861" s="186"/>
      <c r="N2861" s="186"/>
    </row>
    <row r="2862" spans="2:14" s="188" customFormat="1" ht="15" customHeight="1">
      <c r="B2862" s="187"/>
      <c r="C2862" s="187"/>
      <c r="D2862" s="187"/>
      <c r="E2862" s="187"/>
      <c r="F2862" s="187"/>
      <c r="G2862" s="187"/>
      <c r="J2862" s="186"/>
      <c r="K2862" s="180"/>
      <c r="L2862" s="180"/>
      <c r="M2862" s="186"/>
      <c r="N2862" s="186"/>
    </row>
    <row r="2863" spans="2:14" s="188" customFormat="1" ht="15" customHeight="1">
      <c r="B2863" s="187"/>
      <c r="C2863" s="187"/>
      <c r="D2863" s="187"/>
      <c r="E2863" s="187"/>
      <c r="F2863" s="187"/>
      <c r="G2863" s="187"/>
      <c r="J2863" s="186"/>
      <c r="K2863" s="180"/>
      <c r="L2863" s="180"/>
      <c r="M2863" s="186"/>
      <c r="N2863" s="186"/>
    </row>
    <row r="2864" spans="2:14" s="188" customFormat="1" ht="15" customHeight="1">
      <c r="B2864" s="187"/>
      <c r="C2864" s="187"/>
      <c r="D2864" s="187"/>
      <c r="E2864" s="187"/>
      <c r="F2864" s="187"/>
      <c r="G2864" s="187"/>
      <c r="J2864" s="186"/>
      <c r="K2864" s="180"/>
      <c r="L2864" s="180"/>
      <c r="M2864" s="186"/>
      <c r="N2864" s="186"/>
    </row>
    <row r="2865" spans="2:14" s="188" customFormat="1" ht="15" customHeight="1">
      <c r="B2865" s="187"/>
      <c r="C2865" s="187"/>
      <c r="D2865" s="187"/>
      <c r="E2865" s="187"/>
      <c r="F2865" s="187"/>
      <c r="G2865" s="187"/>
      <c r="J2865" s="186"/>
      <c r="K2865" s="180"/>
      <c r="L2865" s="180"/>
      <c r="M2865" s="186"/>
      <c r="N2865" s="186"/>
    </row>
    <row r="2866" spans="2:14" s="188" customFormat="1" ht="15" customHeight="1">
      <c r="B2866" s="187"/>
      <c r="C2866" s="187"/>
      <c r="D2866" s="187"/>
      <c r="E2866" s="187"/>
      <c r="F2866" s="187"/>
      <c r="G2866" s="187"/>
      <c r="J2866" s="186"/>
      <c r="K2866" s="180"/>
      <c r="L2866" s="180"/>
      <c r="M2866" s="186"/>
      <c r="N2866" s="186"/>
    </row>
    <row r="2867" spans="2:14" s="188" customFormat="1" ht="15" customHeight="1">
      <c r="B2867" s="187"/>
      <c r="C2867" s="187"/>
      <c r="D2867" s="187"/>
      <c r="E2867" s="187"/>
      <c r="F2867" s="187"/>
      <c r="G2867" s="187"/>
      <c r="J2867" s="186"/>
      <c r="K2867" s="180"/>
      <c r="L2867" s="180"/>
      <c r="M2867" s="186"/>
      <c r="N2867" s="186"/>
    </row>
    <row r="2868" spans="2:14" s="188" customFormat="1" ht="15" customHeight="1">
      <c r="B2868" s="187"/>
      <c r="C2868" s="187"/>
      <c r="D2868" s="187"/>
      <c r="E2868" s="187"/>
      <c r="F2868" s="187"/>
      <c r="G2868" s="187"/>
      <c r="J2868" s="186"/>
      <c r="K2868" s="180"/>
      <c r="L2868" s="180"/>
      <c r="M2868" s="186"/>
      <c r="N2868" s="186"/>
    </row>
    <row r="2869" spans="2:14" s="188" customFormat="1" ht="15" customHeight="1">
      <c r="B2869" s="187"/>
      <c r="C2869" s="187"/>
      <c r="D2869" s="187"/>
      <c r="E2869" s="187"/>
      <c r="F2869" s="187"/>
      <c r="G2869" s="187"/>
      <c r="J2869" s="186"/>
      <c r="K2869" s="180"/>
      <c r="L2869" s="180"/>
      <c r="M2869" s="186"/>
      <c r="N2869" s="186"/>
    </row>
    <row r="2870" spans="2:14" s="188" customFormat="1" ht="15" customHeight="1">
      <c r="B2870" s="187"/>
      <c r="C2870" s="187"/>
      <c r="D2870" s="187"/>
      <c r="E2870" s="187"/>
      <c r="F2870" s="187"/>
      <c r="G2870" s="187"/>
      <c r="J2870" s="186"/>
      <c r="K2870" s="180"/>
      <c r="L2870" s="180"/>
      <c r="M2870" s="186"/>
      <c r="N2870" s="186"/>
    </row>
    <row r="2871" spans="2:14" s="188" customFormat="1" ht="15" customHeight="1">
      <c r="B2871" s="187"/>
      <c r="C2871" s="187"/>
      <c r="D2871" s="187"/>
      <c r="E2871" s="187"/>
      <c r="F2871" s="187"/>
      <c r="G2871" s="187"/>
      <c r="J2871" s="186"/>
      <c r="K2871" s="180"/>
      <c r="L2871" s="180"/>
      <c r="M2871" s="186"/>
      <c r="N2871" s="186"/>
    </row>
    <row r="2872" spans="2:14" s="188" customFormat="1" ht="15" customHeight="1">
      <c r="B2872" s="187"/>
      <c r="C2872" s="187"/>
      <c r="D2872" s="187"/>
      <c r="E2872" s="187"/>
      <c r="F2872" s="187"/>
      <c r="G2872" s="187"/>
      <c r="J2872" s="186"/>
      <c r="K2872" s="180"/>
      <c r="L2872" s="180"/>
      <c r="M2872" s="186"/>
      <c r="N2872" s="186"/>
    </row>
    <row r="2873" spans="2:14" s="188" customFormat="1" ht="15" customHeight="1">
      <c r="B2873" s="187"/>
      <c r="C2873" s="187"/>
      <c r="D2873" s="187"/>
      <c r="E2873" s="187"/>
      <c r="F2873" s="187"/>
      <c r="G2873" s="187"/>
      <c r="J2873" s="186"/>
      <c r="K2873" s="180"/>
      <c r="L2873" s="180"/>
      <c r="M2873" s="186"/>
      <c r="N2873" s="186"/>
    </row>
    <row r="2874" spans="2:14" s="188" customFormat="1" ht="15" customHeight="1">
      <c r="B2874" s="187"/>
      <c r="C2874" s="187"/>
      <c r="D2874" s="187"/>
      <c r="E2874" s="187"/>
      <c r="F2874" s="187"/>
      <c r="G2874" s="187"/>
      <c r="J2874" s="186"/>
      <c r="K2874" s="180"/>
      <c r="L2874" s="180"/>
      <c r="M2874" s="186"/>
      <c r="N2874" s="186"/>
    </row>
    <row r="2875" spans="2:14" s="188" customFormat="1" ht="15" customHeight="1">
      <c r="B2875" s="187"/>
      <c r="C2875" s="187"/>
      <c r="D2875" s="187"/>
      <c r="E2875" s="187"/>
      <c r="F2875" s="187"/>
      <c r="G2875" s="187"/>
      <c r="J2875" s="186"/>
      <c r="K2875" s="180"/>
      <c r="L2875" s="180"/>
      <c r="M2875" s="186"/>
      <c r="N2875" s="186"/>
    </row>
    <row r="2876" spans="2:14" s="188" customFormat="1" ht="15" customHeight="1">
      <c r="B2876" s="187"/>
      <c r="C2876" s="187"/>
      <c r="D2876" s="187"/>
      <c r="E2876" s="187"/>
      <c r="F2876" s="187"/>
      <c r="G2876" s="187"/>
      <c r="J2876" s="186"/>
      <c r="K2876" s="180"/>
      <c r="L2876" s="180"/>
      <c r="M2876" s="186"/>
      <c r="N2876" s="186"/>
    </row>
    <row r="2877" spans="2:14" s="188" customFormat="1" ht="15" customHeight="1">
      <c r="B2877" s="187"/>
      <c r="C2877" s="187"/>
      <c r="D2877" s="187"/>
      <c r="E2877" s="187"/>
      <c r="F2877" s="187"/>
      <c r="G2877" s="187"/>
      <c r="J2877" s="186"/>
      <c r="K2877" s="180"/>
      <c r="L2877" s="180"/>
      <c r="M2877" s="186"/>
      <c r="N2877" s="186"/>
    </row>
    <row r="2878" spans="2:14" s="188" customFormat="1" ht="15" customHeight="1">
      <c r="B2878" s="187"/>
      <c r="C2878" s="187"/>
      <c r="D2878" s="187"/>
      <c r="E2878" s="187"/>
      <c r="F2878" s="187"/>
      <c r="G2878" s="187"/>
      <c r="J2878" s="186"/>
      <c r="K2878" s="180"/>
      <c r="L2878" s="180"/>
      <c r="M2878" s="186"/>
      <c r="N2878" s="186"/>
    </row>
    <row r="2879" spans="2:14" s="188" customFormat="1" ht="15" customHeight="1">
      <c r="B2879" s="187"/>
      <c r="C2879" s="187"/>
      <c r="D2879" s="187"/>
      <c r="E2879" s="187"/>
      <c r="F2879" s="187"/>
      <c r="G2879" s="187"/>
      <c r="J2879" s="186"/>
      <c r="K2879" s="180"/>
      <c r="L2879" s="180"/>
      <c r="M2879" s="186"/>
      <c r="N2879" s="186"/>
    </row>
    <row r="2880" spans="2:14" s="188" customFormat="1" ht="15" customHeight="1">
      <c r="B2880" s="187"/>
      <c r="C2880" s="187"/>
      <c r="D2880" s="187"/>
      <c r="E2880" s="187"/>
      <c r="F2880" s="187"/>
      <c r="G2880" s="187"/>
      <c r="J2880" s="186"/>
      <c r="K2880" s="180"/>
      <c r="L2880" s="180"/>
      <c r="M2880" s="186"/>
      <c r="N2880" s="186"/>
    </row>
    <row r="2881" spans="2:14" s="188" customFormat="1" ht="15" customHeight="1">
      <c r="B2881" s="187"/>
      <c r="C2881" s="187"/>
      <c r="D2881" s="187"/>
      <c r="E2881" s="187"/>
      <c r="F2881" s="187"/>
      <c r="G2881" s="187"/>
      <c r="J2881" s="186"/>
      <c r="K2881" s="180"/>
      <c r="L2881" s="180"/>
      <c r="M2881" s="186"/>
      <c r="N2881" s="186"/>
    </row>
    <row r="2882" spans="2:14" s="188" customFormat="1" ht="15" customHeight="1">
      <c r="B2882" s="187"/>
      <c r="C2882" s="187"/>
      <c r="D2882" s="187"/>
      <c r="E2882" s="187"/>
      <c r="F2882" s="187"/>
      <c r="G2882" s="187"/>
      <c r="J2882" s="186"/>
      <c r="K2882" s="180"/>
      <c r="L2882" s="180"/>
      <c r="M2882" s="186"/>
      <c r="N2882" s="186"/>
    </row>
    <row r="2883" spans="2:14" s="188" customFormat="1" ht="15" customHeight="1">
      <c r="B2883" s="187"/>
      <c r="C2883" s="187"/>
      <c r="D2883" s="187"/>
      <c r="E2883" s="187"/>
      <c r="F2883" s="187"/>
      <c r="G2883" s="187"/>
      <c r="J2883" s="186"/>
      <c r="K2883" s="180"/>
      <c r="L2883" s="180"/>
      <c r="M2883" s="186"/>
      <c r="N2883" s="186"/>
    </row>
    <row r="2884" spans="2:14" s="188" customFormat="1" ht="15" customHeight="1">
      <c r="B2884" s="187"/>
      <c r="C2884" s="187"/>
      <c r="D2884" s="187"/>
      <c r="E2884" s="187"/>
      <c r="F2884" s="187"/>
      <c r="G2884" s="187"/>
      <c r="J2884" s="186"/>
      <c r="K2884" s="180"/>
      <c r="L2884" s="180"/>
      <c r="M2884" s="186"/>
      <c r="N2884" s="186"/>
    </row>
    <row r="2885" spans="2:14" s="188" customFormat="1" ht="15" customHeight="1">
      <c r="B2885" s="187"/>
      <c r="C2885" s="187"/>
      <c r="D2885" s="187"/>
      <c r="E2885" s="187"/>
      <c r="F2885" s="187"/>
      <c r="G2885" s="187"/>
      <c r="J2885" s="186"/>
      <c r="K2885" s="180"/>
      <c r="L2885" s="180"/>
      <c r="M2885" s="186"/>
      <c r="N2885" s="186"/>
    </row>
    <row r="2886" spans="2:14" s="188" customFormat="1" ht="15" customHeight="1">
      <c r="B2886" s="187"/>
      <c r="C2886" s="187"/>
      <c r="D2886" s="187"/>
      <c r="E2886" s="187"/>
      <c r="F2886" s="187"/>
      <c r="G2886" s="187"/>
      <c r="J2886" s="186"/>
      <c r="K2886" s="180"/>
      <c r="L2886" s="180"/>
      <c r="M2886" s="186"/>
      <c r="N2886" s="186"/>
    </row>
    <row r="2887" spans="2:14" s="188" customFormat="1" ht="15" customHeight="1">
      <c r="B2887" s="187"/>
      <c r="C2887" s="187"/>
      <c r="D2887" s="187"/>
      <c r="E2887" s="187"/>
      <c r="F2887" s="187"/>
      <c r="G2887" s="187"/>
      <c r="J2887" s="186"/>
      <c r="K2887" s="180"/>
      <c r="L2887" s="180"/>
      <c r="M2887" s="186"/>
      <c r="N2887" s="186"/>
    </row>
    <row r="2888" spans="2:14" s="188" customFormat="1" ht="15" customHeight="1">
      <c r="B2888" s="187"/>
      <c r="C2888" s="187"/>
      <c r="D2888" s="187"/>
      <c r="E2888" s="187"/>
      <c r="F2888" s="187"/>
      <c r="G2888" s="187"/>
      <c r="J2888" s="186"/>
      <c r="K2888" s="180"/>
      <c r="L2888" s="180"/>
      <c r="M2888" s="186"/>
      <c r="N2888" s="186"/>
    </row>
    <row r="2889" spans="2:14" s="188" customFormat="1" ht="15" customHeight="1">
      <c r="B2889" s="187"/>
      <c r="C2889" s="187"/>
      <c r="D2889" s="187"/>
      <c r="E2889" s="187"/>
      <c r="F2889" s="187"/>
      <c r="G2889" s="187"/>
      <c r="J2889" s="186"/>
      <c r="K2889" s="180"/>
      <c r="L2889" s="180"/>
      <c r="M2889" s="186"/>
      <c r="N2889" s="186"/>
    </row>
    <row r="2890" spans="2:14" s="188" customFormat="1" ht="15" customHeight="1">
      <c r="B2890" s="187"/>
      <c r="C2890" s="187"/>
      <c r="D2890" s="187"/>
      <c r="E2890" s="187"/>
      <c r="F2890" s="187"/>
      <c r="G2890" s="187"/>
      <c r="J2890" s="186"/>
      <c r="K2890" s="180"/>
      <c r="L2890" s="180"/>
      <c r="M2890" s="186"/>
      <c r="N2890" s="186"/>
    </row>
    <row r="2891" spans="2:14" s="188" customFormat="1" ht="15" customHeight="1">
      <c r="B2891" s="187"/>
      <c r="C2891" s="187"/>
      <c r="D2891" s="187"/>
      <c r="E2891" s="187"/>
      <c r="F2891" s="187"/>
      <c r="G2891" s="187"/>
      <c r="J2891" s="186"/>
      <c r="K2891" s="180"/>
      <c r="L2891" s="180"/>
      <c r="M2891" s="186"/>
      <c r="N2891" s="186"/>
    </row>
    <row r="2892" spans="2:14" s="188" customFormat="1" ht="15" customHeight="1">
      <c r="B2892" s="187"/>
      <c r="C2892" s="187"/>
      <c r="D2892" s="187"/>
      <c r="E2892" s="187"/>
      <c r="F2892" s="187"/>
      <c r="G2892" s="187"/>
      <c r="J2892" s="186"/>
      <c r="K2892" s="180"/>
      <c r="L2892" s="180"/>
      <c r="M2892" s="186"/>
      <c r="N2892" s="186"/>
    </row>
    <row r="2893" spans="2:14" s="188" customFormat="1" ht="15" customHeight="1">
      <c r="B2893" s="187"/>
      <c r="C2893" s="187"/>
      <c r="D2893" s="187"/>
      <c r="E2893" s="187"/>
      <c r="F2893" s="187"/>
      <c r="G2893" s="187"/>
      <c r="J2893" s="186"/>
      <c r="K2893" s="180"/>
      <c r="L2893" s="180"/>
      <c r="M2893" s="186"/>
      <c r="N2893" s="186"/>
    </row>
    <row r="2894" spans="2:14" s="188" customFormat="1" ht="15" customHeight="1">
      <c r="B2894" s="187"/>
      <c r="C2894" s="187"/>
      <c r="D2894" s="187"/>
      <c r="E2894" s="187"/>
      <c r="F2894" s="187"/>
      <c r="G2894" s="187"/>
      <c r="J2894" s="186"/>
      <c r="K2894" s="180"/>
      <c r="L2894" s="180"/>
      <c r="M2894" s="186"/>
      <c r="N2894" s="186"/>
    </row>
    <row r="2895" spans="2:14" s="188" customFormat="1" ht="15" customHeight="1">
      <c r="B2895" s="187"/>
      <c r="C2895" s="187"/>
      <c r="D2895" s="187"/>
      <c r="E2895" s="187"/>
      <c r="F2895" s="187"/>
      <c r="G2895" s="187"/>
      <c r="J2895" s="186"/>
      <c r="K2895" s="180"/>
      <c r="L2895" s="180"/>
      <c r="M2895" s="186"/>
      <c r="N2895" s="186"/>
    </row>
    <row r="2896" spans="2:14" s="188" customFormat="1" ht="15" customHeight="1">
      <c r="B2896" s="187"/>
      <c r="C2896" s="187"/>
      <c r="D2896" s="187"/>
      <c r="E2896" s="187"/>
      <c r="F2896" s="187"/>
      <c r="G2896" s="187"/>
      <c r="J2896" s="186"/>
      <c r="K2896" s="180"/>
      <c r="L2896" s="180"/>
      <c r="M2896" s="186"/>
      <c r="N2896" s="186"/>
    </row>
    <row r="2897" spans="2:14" s="188" customFormat="1" ht="15" customHeight="1">
      <c r="B2897" s="187"/>
      <c r="C2897" s="187"/>
      <c r="D2897" s="187"/>
      <c r="E2897" s="187"/>
      <c r="F2897" s="187"/>
      <c r="G2897" s="187"/>
      <c r="J2897" s="186"/>
      <c r="K2897" s="180"/>
      <c r="L2897" s="180"/>
      <c r="M2897" s="186"/>
      <c r="N2897" s="186"/>
    </row>
    <row r="2898" spans="2:14" s="188" customFormat="1" ht="15" customHeight="1">
      <c r="B2898" s="187"/>
      <c r="C2898" s="187"/>
      <c r="D2898" s="187"/>
      <c r="E2898" s="187"/>
      <c r="F2898" s="187"/>
      <c r="G2898" s="187"/>
      <c r="J2898" s="186"/>
      <c r="K2898" s="180"/>
      <c r="L2898" s="180"/>
      <c r="M2898" s="186"/>
      <c r="N2898" s="186"/>
    </row>
    <row r="2899" spans="2:14" s="188" customFormat="1" ht="15" customHeight="1">
      <c r="B2899" s="187"/>
      <c r="C2899" s="187"/>
      <c r="D2899" s="187"/>
      <c r="E2899" s="187"/>
      <c r="F2899" s="187"/>
      <c r="G2899" s="187"/>
      <c r="J2899" s="186"/>
      <c r="K2899" s="180"/>
      <c r="L2899" s="180"/>
      <c r="M2899" s="186"/>
      <c r="N2899" s="186"/>
    </row>
    <row r="2900" spans="2:14" s="188" customFormat="1" ht="15" customHeight="1">
      <c r="B2900" s="187"/>
      <c r="C2900" s="187"/>
      <c r="D2900" s="187"/>
      <c r="E2900" s="187"/>
      <c r="F2900" s="187"/>
      <c r="G2900" s="187"/>
      <c r="J2900" s="186"/>
      <c r="K2900" s="180"/>
      <c r="L2900" s="180"/>
      <c r="M2900" s="186"/>
      <c r="N2900" s="186"/>
    </row>
    <row r="2901" spans="2:14" s="188" customFormat="1" ht="15" customHeight="1">
      <c r="B2901" s="187"/>
      <c r="C2901" s="187"/>
      <c r="D2901" s="187"/>
      <c r="E2901" s="187"/>
      <c r="F2901" s="187"/>
      <c r="G2901" s="187"/>
      <c r="J2901" s="186"/>
      <c r="K2901" s="180"/>
      <c r="L2901" s="180"/>
      <c r="M2901" s="186"/>
      <c r="N2901" s="186"/>
    </row>
    <row r="2902" spans="2:14" s="188" customFormat="1" ht="15" customHeight="1">
      <c r="B2902" s="187"/>
      <c r="C2902" s="187"/>
      <c r="D2902" s="187"/>
      <c r="E2902" s="187"/>
      <c r="F2902" s="187"/>
      <c r="G2902" s="187"/>
      <c r="J2902" s="186"/>
      <c r="K2902" s="180"/>
      <c r="L2902" s="180"/>
      <c r="M2902" s="186"/>
      <c r="N2902" s="186"/>
    </row>
    <row r="2903" spans="2:14" s="188" customFormat="1" ht="15" customHeight="1">
      <c r="B2903" s="187"/>
      <c r="C2903" s="187"/>
      <c r="D2903" s="187"/>
      <c r="E2903" s="187"/>
      <c r="F2903" s="187"/>
      <c r="G2903" s="187"/>
      <c r="J2903" s="186"/>
      <c r="K2903" s="180"/>
      <c r="L2903" s="180"/>
      <c r="M2903" s="186"/>
      <c r="N2903" s="186"/>
    </row>
    <row r="2904" spans="2:14" s="188" customFormat="1" ht="15" customHeight="1">
      <c r="B2904" s="187"/>
      <c r="C2904" s="187"/>
      <c r="D2904" s="187"/>
      <c r="E2904" s="187"/>
      <c r="F2904" s="187"/>
      <c r="G2904" s="187"/>
      <c r="J2904" s="186"/>
      <c r="K2904" s="180"/>
      <c r="L2904" s="180"/>
      <c r="M2904" s="186"/>
      <c r="N2904" s="186"/>
    </row>
    <row r="2905" spans="2:14" s="188" customFormat="1" ht="15" customHeight="1">
      <c r="B2905" s="187"/>
      <c r="C2905" s="187"/>
      <c r="D2905" s="187"/>
      <c r="E2905" s="187"/>
      <c r="F2905" s="187"/>
      <c r="G2905" s="187"/>
      <c r="J2905" s="186"/>
      <c r="K2905" s="180"/>
      <c r="L2905" s="180"/>
      <c r="M2905" s="186"/>
      <c r="N2905" s="186"/>
    </row>
    <row r="2906" spans="2:14" s="188" customFormat="1" ht="15" customHeight="1">
      <c r="B2906" s="187"/>
      <c r="C2906" s="187"/>
      <c r="D2906" s="187"/>
      <c r="E2906" s="187"/>
      <c r="F2906" s="187"/>
      <c r="G2906" s="187"/>
      <c r="J2906" s="186"/>
      <c r="K2906" s="180"/>
      <c r="L2906" s="180"/>
      <c r="M2906" s="186"/>
      <c r="N2906" s="186"/>
    </row>
    <row r="2907" spans="2:14" s="188" customFormat="1" ht="15" customHeight="1">
      <c r="B2907" s="187"/>
      <c r="C2907" s="187"/>
      <c r="D2907" s="187"/>
      <c r="E2907" s="187"/>
      <c r="F2907" s="187"/>
      <c r="G2907" s="187"/>
      <c r="J2907" s="186"/>
      <c r="K2907" s="180"/>
      <c r="L2907" s="180"/>
      <c r="M2907" s="186"/>
      <c r="N2907" s="186"/>
    </row>
    <row r="2908" spans="2:14" s="188" customFormat="1" ht="15" customHeight="1">
      <c r="B2908" s="187"/>
      <c r="C2908" s="187"/>
      <c r="D2908" s="187"/>
      <c r="E2908" s="187"/>
      <c r="F2908" s="187"/>
      <c r="G2908" s="187"/>
      <c r="J2908" s="186"/>
      <c r="K2908" s="180"/>
      <c r="L2908" s="180"/>
      <c r="M2908" s="186"/>
      <c r="N2908" s="186"/>
    </row>
    <row r="2909" spans="2:14" s="188" customFormat="1" ht="15" customHeight="1">
      <c r="B2909" s="187"/>
      <c r="C2909" s="187"/>
      <c r="D2909" s="187"/>
      <c r="E2909" s="187"/>
      <c r="F2909" s="187"/>
      <c r="G2909" s="187"/>
      <c r="J2909" s="186"/>
      <c r="K2909" s="180"/>
      <c r="L2909" s="180"/>
      <c r="M2909" s="186"/>
      <c r="N2909" s="186"/>
    </row>
    <row r="2910" spans="2:14" s="188" customFormat="1" ht="15" customHeight="1">
      <c r="B2910" s="187"/>
      <c r="C2910" s="187"/>
      <c r="D2910" s="187"/>
      <c r="E2910" s="187"/>
      <c r="F2910" s="187"/>
      <c r="G2910" s="187"/>
      <c r="J2910" s="186"/>
      <c r="K2910" s="180"/>
      <c r="L2910" s="180"/>
      <c r="M2910" s="186"/>
      <c r="N2910" s="186"/>
    </row>
    <row r="2911" spans="2:14" s="188" customFormat="1" ht="15" customHeight="1">
      <c r="B2911" s="187"/>
      <c r="C2911" s="187"/>
      <c r="D2911" s="187"/>
      <c r="E2911" s="187"/>
      <c r="F2911" s="187"/>
      <c r="G2911" s="187"/>
      <c r="J2911" s="186"/>
      <c r="K2911" s="180"/>
      <c r="L2911" s="180"/>
      <c r="M2911" s="186"/>
      <c r="N2911" s="186"/>
    </row>
    <row r="2912" spans="2:14" s="188" customFormat="1" ht="15" customHeight="1">
      <c r="B2912" s="187"/>
      <c r="C2912" s="187"/>
      <c r="D2912" s="187"/>
      <c r="E2912" s="187"/>
      <c r="F2912" s="187"/>
      <c r="G2912" s="187"/>
      <c r="J2912" s="186"/>
      <c r="K2912" s="180"/>
      <c r="L2912" s="180"/>
      <c r="M2912" s="186"/>
      <c r="N2912" s="186"/>
    </row>
    <row r="2913" spans="2:14" s="188" customFormat="1" ht="15" customHeight="1">
      <c r="B2913" s="187"/>
      <c r="C2913" s="187"/>
      <c r="D2913" s="187"/>
      <c r="E2913" s="187"/>
      <c r="F2913" s="187"/>
      <c r="G2913" s="187"/>
      <c r="J2913" s="186"/>
      <c r="K2913" s="180"/>
      <c r="L2913" s="180"/>
      <c r="M2913" s="186"/>
      <c r="N2913" s="186"/>
    </row>
    <row r="2914" spans="2:14" s="188" customFormat="1" ht="15" customHeight="1">
      <c r="B2914" s="187"/>
      <c r="C2914" s="187"/>
      <c r="D2914" s="187"/>
      <c r="E2914" s="187"/>
      <c r="F2914" s="187"/>
      <c r="G2914" s="187"/>
      <c r="J2914" s="186"/>
      <c r="K2914" s="180"/>
      <c r="L2914" s="180"/>
      <c r="M2914" s="186"/>
      <c r="N2914" s="186"/>
    </row>
    <row r="2915" spans="2:14" s="188" customFormat="1" ht="15" customHeight="1">
      <c r="B2915" s="187"/>
      <c r="C2915" s="187"/>
      <c r="D2915" s="187"/>
      <c r="E2915" s="187"/>
      <c r="F2915" s="187"/>
      <c r="G2915" s="187"/>
      <c r="J2915" s="186"/>
      <c r="K2915" s="180"/>
      <c r="L2915" s="180"/>
      <c r="M2915" s="186"/>
      <c r="N2915" s="186"/>
    </row>
    <row r="2916" spans="2:14" s="188" customFormat="1" ht="15" customHeight="1">
      <c r="B2916" s="187"/>
      <c r="C2916" s="187"/>
      <c r="D2916" s="187"/>
      <c r="E2916" s="187"/>
      <c r="F2916" s="187"/>
      <c r="G2916" s="187"/>
      <c r="J2916" s="186"/>
      <c r="K2916" s="180"/>
      <c r="L2916" s="180"/>
      <c r="M2916" s="186"/>
      <c r="N2916" s="186"/>
    </row>
    <row r="2917" spans="2:14" s="188" customFormat="1" ht="15" customHeight="1">
      <c r="B2917" s="187"/>
      <c r="C2917" s="187"/>
      <c r="D2917" s="187"/>
      <c r="E2917" s="187"/>
      <c r="F2917" s="187"/>
      <c r="G2917" s="187"/>
      <c r="J2917" s="186"/>
      <c r="K2917" s="180"/>
      <c r="L2917" s="180"/>
      <c r="M2917" s="186"/>
      <c r="N2917" s="186"/>
    </row>
    <row r="2918" spans="2:14" s="188" customFormat="1" ht="15" customHeight="1">
      <c r="B2918" s="187"/>
      <c r="C2918" s="187"/>
      <c r="D2918" s="187"/>
      <c r="E2918" s="187"/>
      <c r="F2918" s="187"/>
      <c r="G2918" s="187"/>
      <c r="J2918" s="186"/>
      <c r="K2918" s="180"/>
      <c r="L2918" s="180"/>
      <c r="M2918" s="186"/>
      <c r="N2918" s="186"/>
    </row>
    <row r="2919" spans="2:14" s="188" customFormat="1" ht="15" customHeight="1">
      <c r="B2919" s="187"/>
      <c r="C2919" s="187"/>
      <c r="D2919" s="187"/>
      <c r="E2919" s="187"/>
      <c r="F2919" s="187"/>
      <c r="G2919" s="187"/>
      <c r="J2919" s="186"/>
      <c r="K2919" s="180"/>
      <c r="L2919" s="180"/>
      <c r="M2919" s="186"/>
      <c r="N2919" s="186"/>
    </row>
    <row r="2920" spans="2:14" s="188" customFormat="1" ht="15" customHeight="1">
      <c r="B2920" s="187"/>
      <c r="C2920" s="187"/>
      <c r="D2920" s="187"/>
      <c r="E2920" s="187"/>
      <c r="F2920" s="187"/>
      <c r="G2920" s="187"/>
      <c r="J2920" s="186"/>
      <c r="K2920" s="180"/>
      <c r="L2920" s="180"/>
      <c r="M2920" s="186"/>
      <c r="N2920" s="186"/>
    </row>
    <row r="2921" spans="2:14" s="188" customFormat="1" ht="15" customHeight="1">
      <c r="B2921" s="187"/>
      <c r="C2921" s="187"/>
      <c r="D2921" s="187"/>
      <c r="E2921" s="187"/>
      <c r="F2921" s="187"/>
      <c r="G2921" s="187"/>
      <c r="J2921" s="186"/>
      <c r="K2921" s="180"/>
      <c r="L2921" s="180"/>
      <c r="M2921" s="186"/>
      <c r="N2921" s="186"/>
    </row>
    <row r="2922" spans="2:14" s="188" customFormat="1" ht="15" customHeight="1">
      <c r="B2922" s="187"/>
      <c r="C2922" s="187"/>
      <c r="D2922" s="187"/>
      <c r="E2922" s="187"/>
      <c r="F2922" s="187"/>
      <c r="G2922" s="187"/>
      <c r="J2922" s="186"/>
      <c r="K2922" s="180"/>
      <c r="L2922" s="180"/>
      <c r="M2922" s="186"/>
      <c r="N2922" s="186"/>
    </row>
    <row r="2923" spans="2:14" s="188" customFormat="1" ht="15" customHeight="1">
      <c r="B2923" s="187"/>
      <c r="C2923" s="187"/>
      <c r="D2923" s="187"/>
      <c r="E2923" s="187"/>
      <c r="F2923" s="187"/>
      <c r="G2923" s="187"/>
      <c r="J2923" s="186"/>
      <c r="K2923" s="180"/>
      <c r="L2923" s="180"/>
      <c r="M2923" s="186"/>
      <c r="N2923" s="186"/>
    </row>
    <row r="2924" spans="2:14" s="188" customFormat="1" ht="15" customHeight="1">
      <c r="B2924" s="187"/>
      <c r="C2924" s="187"/>
      <c r="D2924" s="187"/>
      <c r="E2924" s="187"/>
      <c r="F2924" s="187"/>
      <c r="G2924" s="187"/>
      <c r="J2924" s="186"/>
      <c r="K2924" s="180"/>
      <c r="L2924" s="180"/>
      <c r="M2924" s="186"/>
      <c r="N2924" s="186"/>
    </row>
    <row r="2925" spans="2:14" s="188" customFormat="1" ht="15" customHeight="1">
      <c r="B2925" s="187"/>
      <c r="C2925" s="187"/>
      <c r="D2925" s="187"/>
      <c r="E2925" s="187"/>
      <c r="F2925" s="187"/>
      <c r="G2925" s="187"/>
      <c r="J2925" s="186"/>
      <c r="K2925" s="180"/>
      <c r="L2925" s="180"/>
      <c r="M2925" s="186"/>
      <c r="N2925" s="186"/>
    </row>
    <row r="2926" spans="2:14" s="188" customFormat="1" ht="15" customHeight="1">
      <c r="B2926" s="187"/>
      <c r="C2926" s="187"/>
      <c r="D2926" s="187"/>
      <c r="E2926" s="187"/>
      <c r="F2926" s="187"/>
      <c r="G2926" s="187"/>
      <c r="J2926" s="186"/>
      <c r="K2926" s="180"/>
      <c r="L2926" s="180"/>
      <c r="M2926" s="186"/>
      <c r="N2926" s="186"/>
    </row>
    <row r="2927" spans="2:14" s="188" customFormat="1" ht="15" customHeight="1">
      <c r="B2927" s="187"/>
      <c r="C2927" s="187"/>
      <c r="D2927" s="187"/>
      <c r="E2927" s="187"/>
      <c r="F2927" s="187"/>
      <c r="G2927" s="187"/>
      <c r="J2927" s="186"/>
      <c r="K2927" s="180"/>
      <c r="L2927" s="180"/>
      <c r="M2927" s="186"/>
      <c r="N2927" s="186"/>
    </row>
    <row r="2928" spans="2:14" s="188" customFormat="1" ht="15" customHeight="1">
      <c r="B2928" s="187"/>
      <c r="C2928" s="187"/>
      <c r="D2928" s="187"/>
      <c r="E2928" s="187"/>
      <c r="F2928" s="187"/>
      <c r="G2928" s="187"/>
      <c r="J2928" s="186"/>
      <c r="K2928" s="180"/>
      <c r="L2928" s="180"/>
      <c r="M2928" s="186"/>
      <c r="N2928" s="186"/>
    </row>
    <row r="2929" spans="2:14" s="188" customFormat="1" ht="15" customHeight="1">
      <c r="B2929" s="187"/>
      <c r="C2929" s="187"/>
      <c r="D2929" s="187"/>
      <c r="E2929" s="187"/>
      <c r="F2929" s="187"/>
      <c r="G2929" s="187"/>
      <c r="J2929" s="186"/>
      <c r="K2929" s="180"/>
      <c r="L2929" s="180"/>
      <c r="M2929" s="186"/>
      <c r="N2929" s="186"/>
    </row>
    <row r="2930" spans="2:14" s="188" customFormat="1" ht="15" customHeight="1">
      <c r="B2930" s="187"/>
      <c r="C2930" s="187"/>
      <c r="D2930" s="187"/>
      <c r="E2930" s="187"/>
      <c r="F2930" s="187"/>
      <c r="G2930" s="187"/>
      <c r="J2930" s="186"/>
      <c r="K2930" s="180"/>
      <c r="L2930" s="180"/>
      <c r="M2930" s="186"/>
      <c r="N2930" s="186"/>
    </row>
    <row r="2931" spans="2:14" s="188" customFormat="1" ht="15" customHeight="1">
      <c r="B2931" s="187"/>
      <c r="C2931" s="187"/>
      <c r="D2931" s="187"/>
      <c r="E2931" s="187"/>
      <c r="F2931" s="187"/>
      <c r="G2931" s="187"/>
      <c r="J2931" s="186"/>
      <c r="K2931" s="180"/>
      <c r="L2931" s="180"/>
      <c r="M2931" s="186"/>
      <c r="N2931" s="186"/>
    </row>
    <row r="2932" spans="2:14" s="188" customFormat="1" ht="15" customHeight="1">
      <c r="B2932" s="187"/>
      <c r="C2932" s="187"/>
      <c r="D2932" s="187"/>
      <c r="E2932" s="187"/>
      <c r="F2932" s="187"/>
      <c r="G2932" s="187"/>
      <c r="J2932" s="186"/>
      <c r="K2932" s="180"/>
      <c r="L2932" s="180"/>
      <c r="M2932" s="186"/>
      <c r="N2932" s="186"/>
    </row>
    <row r="2933" spans="2:14" s="188" customFormat="1" ht="15" customHeight="1">
      <c r="B2933" s="187"/>
      <c r="C2933" s="187"/>
      <c r="D2933" s="187"/>
      <c r="E2933" s="187"/>
      <c r="F2933" s="187"/>
      <c r="G2933" s="187"/>
      <c r="J2933" s="186"/>
      <c r="K2933" s="180"/>
      <c r="L2933" s="180"/>
      <c r="M2933" s="186"/>
      <c r="N2933" s="186"/>
    </row>
    <row r="2934" spans="2:14" s="188" customFormat="1" ht="15" customHeight="1">
      <c r="B2934" s="187"/>
      <c r="C2934" s="187"/>
      <c r="D2934" s="187"/>
      <c r="E2934" s="187"/>
      <c r="F2934" s="187"/>
      <c r="G2934" s="187"/>
      <c r="J2934" s="186"/>
      <c r="K2934" s="180"/>
      <c r="L2934" s="180"/>
      <c r="M2934" s="186"/>
      <c r="N2934" s="186"/>
    </row>
    <row r="2935" spans="2:14" s="188" customFormat="1" ht="15" customHeight="1">
      <c r="B2935" s="187"/>
      <c r="C2935" s="187"/>
      <c r="D2935" s="187"/>
      <c r="E2935" s="187"/>
      <c r="F2935" s="187"/>
      <c r="G2935" s="187"/>
      <c r="J2935" s="186"/>
      <c r="K2935" s="180"/>
      <c r="L2935" s="180"/>
      <c r="M2935" s="186"/>
      <c r="N2935" s="186"/>
    </row>
    <row r="2936" spans="2:14" s="188" customFormat="1" ht="15" customHeight="1">
      <c r="B2936" s="187"/>
      <c r="C2936" s="187"/>
      <c r="D2936" s="187"/>
      <c r="E2936" s="187"/>
      <c r="F2936" s="187"/>
      <c r="G2936" s="187"/>
      <c r="J2936" s="186"/>
      <c r="K2936" s="180"/>
      <c r="L2936" s="180"/>
      <c r="M2936" s="186"/>
      <c r="N2936" s="186"/>
    </row>
    <row r="2937" spans="2:14" s="188" customFormat="1" ht="15" customHeight="1">
      <c r="B2937" s="187"/>
      <c r="C2937" s="187"/>
      <c r="D2937" s="187"/>
      <c r="E2937" s="187"/>
      <c r="F2937" s="187"/>
      <c r="G2937" s="187"/>
      <c r="J2937" s="186"/>
      <c r="K2937" s="180"/>
      <c r="L2937" s="180"/>
      <c r="M2937" s="186"/>
      <c r="N2937" s="186"/>
    </row>
    <row r="2938" spans="2:14" s="188" customFormat="1" ht="15" customHeight="1">
      <c r="B2938" s="187"/>
      <c r="C2938" s="187"/>
      <c r="D2938" s="187"/>
      <c r="E2938" s="187"/>
      <c r="F2938" s="187"/>
      <c r="G2938" s="187"/>
      <c r="J2938" s="186"/>
      <c r="K2938" s="180"/>
      <c r="L2938" s="180"/>
      <c r="M2938" s="186"/>
      <c r="N2938" s="186"/>
    </row>
    <row r="2939" spans="2:14" s="188" customFormat="1" ht="15" customHeight="1">
      <c r="B2939" s="187"/>
      <c r="C2939" s="187"/>
      <c r="D2939" s="187"/>
      <c r="E2939" s="187"/>
      <c r="F2939" s="187"/>
      <c r="G2939" s="187"/>
      <c r="J2939" s="186"/>
      <c r="K2939" s="180"/>
      <c r="L2939" s="180"/>
      <c r="M2939" s="186"/>
      <c r="N2939" s="186"/>
    </row>
    <row r="2940" spans="2:14" s="188" customFormat="1" ht="15" customHeight="1">
      <c r="B2940" s="187"/>
      <c r="C2940" s="187"/>
      <c r="D2940" s="187"/>
      <c r="E2940" s="187"/>
      <c r="F2940" s="187"/>
      <c r="G2940" s="187"/>
      <c r="J2940" s="186"/>
      <c r="K2940" s="180"/>
      <c r="L2940" s="180"/>
      <c r="M2940" s="186"/>
      <c r="N2940" s="186"/>
    </row>
    <row r="2941" spans="2:14" s="188" customFormat="1" ht="15" customHeight="1">
      <c r="B2941" s="187"/>
      <c r="C2941" s="187"/>
      <c r="D2941" s="187"/>
      <c r="E2941" s="187"/>
      <c r="F2941" s="187"/>
      <c r="G2941" s="187"/>
      <c r="J2941" s="186"/>
      <c r="K2941" s="180"/>
      <c r="L2941" s="180"/>
      <c r="M2941" s="186"/>
      <c r="N2941" s="186"/>
    </row>
    <row r="2942" spans="2:14" s="188" customFormat="1" ht="15" customHeight="1">
      <c r="B2942" s="187"/>
      <c r="C2942" s="187"/>
      <c r="D2942" s="187"/>
      <c r="E2942" s="187"/>
      <c r="F2942" s="187"/>
      <c r="G2942" s="187"/>
      <c r="J2942" s="186"/>
      <c r="K2942" s="180"/>
      <c r="L2942" s="180"/>
      <c r="M2942" s="186"/>
      <c r="N2942" s="186"/>
    </row>
    <row r="2943" spans="2:14" s="188" customFormat="1" ht="15" customHeight="1">
      <c r="B2943" s="187"/>
      <c r="C2943" s="187"/>
      <c r="D2943" s="187"/>
      <c r="E2943" s="187"/>
      <c r="F2943" s="187"/>
      <c r="G2943" s="187"/>
      <c r="J2943" s="186"/>
      <c r="K2943" s="180"/>
      <c r="L2943" s="180"/>
      <c r="M2943" s="186"/>
      <c r="N2943" s="186"/>
    </row>
    <row r="2944" spans="2:14" s="188" customFormat="1" ht="15" customHeight="1">
      <c r="B2944" s="187"/>
      <c r="C2944" s="187"/>
      <c r="D2944" s="187"/>
      <c r="E2944" s="187"/>
      <c r="F2944" s="187"/>
      <c r="G2944" s="187"/>
      <c r="J2944" s="186"/>
      <c r="K2944" s="180"/>
      <c r="L2944" s="180"/>
      <c r="M2944" s="186"/>
      <c r="N2944" s="186"/>
    </row>
    <row r="2945" spans="2:14" s="188" customFormat="1" ht="15" customHeight="1">
      <c r="B2945" s="187"/>
      <c r="C2945" s="187"/>
      <c r="D2945" s="187"/>
      <c r="E2945" s="187"/>
      <c r="F2945" s="187"/>
      <c r="G2945" s="187"/>
      <c r="J2945" s="186"/>
      <c r="K2945" s="180"/>
      <c r="L2945" s="180"/>
      <c r="M2945" s="186"/>
      <c r="N2945" s="186"/>
    </row>
    <row r="2946" spans="2:14" s="188" customFormat="1" ht="15" customHeight="1">
      <c r="B2946" s="187"/>
      <c r="C2946" s="187"/>
      <c r="D2946" s="187"/>
      <c r="E2946" s="187"/>
      <c r="F2946" s="187"/>
      <c r="G2946" s="187"/>
      <c r="J2946" s="186"/>
      <c r="K2946" s="180"/>
      <c r="L2946" s="180"/>
      <c r="M2946" s="186"/>
      <c r="N2946" s="186"/>
    </row>
    <row r="2947" spans="2:14" s="188" customFormat="1" ht="15" customHeight="1">
      <c r="B2947" s="187"/>
      <c r="C2947" s="187"/>
      <c r="D2947" s="187"/>
      <c r="E2947" s="187"/>
      <c r="F2947" s="187"/>
      <c r="G2947" s="187"/>
      <c r="J2947" s="186"/>
      <c r="K2947" s="180"/>
      <c r="L2947" s="180"/>
      <c r="M2947" s="186"/>
      <c r="N2947" s="186"/>
    </row>
    <row r="2948" spans="2:14" s="188" customFormat="1" ht="15" customHeight="1">
      <c r="B2948" s="187"/>
      <c r="C2948" s="187"/>
      <c r="D2948" s="187"/>
      <c r="E2948" s="187"/>
      <c r="F2948" s="187"/>
      <c r="G2948" s="187"/>
      <c r="J2948" s="186"/>
      <c r="K2948" s="180"/>
      <c r="L2948" s="180"/>
      <c r="M2948" s="186"/>
      <c r="N2948" s="186"/>
    </row>
    <row r="2949" spans="2:14" s="188" customFormat="1" ht="15" customHeight="1">
      <c r="B2949" s="187"/>
      <c r="C2949" s="187"/>
      <c r="D2949" s="187"/>
      <c r="E2949" s="187"/>
      <c r="F2949" s="187"/>
      <c r="G2949" s="187"/>
      <c r="J2949" s="186"/>
      <c r="K2949" s="180"/>
      <c r="L2949" s="180"/>
      <c r="M2949" s="186"/>
      <c r="N2949" s="186"/>
    </row>
    <row r="2950" spans="2:14" s="188" customFormat="1" ht="15" customHeight="1">
      <c r="B2950" s="187"/>
      <c r="C2950" s="187"/>
      <c r="D2950" s="187"/>
      <c r="E2950" s="187"/>
      <c r="F2950" s="187"/>
      <c r="G2950" s="187"/>
      <c r="J2950" s="186"/>
      <c r="K2950" s="180"/>
      <c r="L2950" s="180"/>
      <c r="M2950" s="186"/>
      <c r="N2950" s="186"/>
    </row>
    <row r="2951" spans="2:14" s="188" customFormat="1" ht="15" customHeight="1">
      <c r="B2951" s="187"/>
      <c r="C2951" s="187"/>
      <c r="D2951" s="187"/>
      <c r="E2951" s="187"/>
      <c r="F2951" s="187"/>
      <c r="G2951" s="187"/>
      <c r="J2951" s="186"/>
      <c r="K2951" s="180"/>
      <c r="L2951" s="180"/>
      <c r="M2951" s="186"/>
      <c r="N2951" s="186"/>
    </row>
    <row r="2952" spans="2:14" s="188" customFormat="1" ht="15" customHeight="1">
      <c r="B2952" s="187"/>
      <c r="C2952" s="187"/>
      <c r="D2952" s="187"/>
      <c r="E2952" s="187"/>
      <c r="F2952" s="187"/>
      <c r="G2952" s="187"/>
      <c r="J2952" s="186"/>
      <c r="K2952" s="180"/>
      <c r="L2952" s="180"/>
      <c r="M2952" s="186"/>
      <c r="N2952" s="186"/>
    </row>
    <row r="2953" spans="2:14" s="188" customFormat="1" ht="15" customHeight="1">
      <c r="B2953" s="187"/>
      <c r="C2953" s="187"/>
      <c r="D2953" s="187"/>
      <c r="E2953" s="187"/>
      <c r="F2953" s="187"/>
      <c r="G2953" s="187"/>
      <c r="J2953" s="186"/>
      <c r="K2953" s="180"/>
      <c r="L2953" s="180"/>
      <c r="M2953" s="186"/>
      <c r="N2953" s="186"/>
    </row>
    <row r="2954" spans="2:14" s="188" customFormat="1" ht="15" customHeight="1">
      <c r="B2954" s="187"/>
      <c r="C2954" s="187"/>
      <c r="D2954" s="187"/>
      <c r="E2954" s="187"/>
      <c r="F2954" s="187"/>
      <c r="G2954" s="187"/>
      <c r="J2954" s="186"/>
      <c r="K2954" s="180"/>
      <c r="L2954" s="180"/>
      <c r="M2954" s="186"/>
      <c r="N2954" s="186"/>
    </row>
    <row r="2955" spans="2:14" s="188" customFormat="1" ht="15" customHeight="1">
      <c r="B2955" s="187"/>
      <c r="C2955" s="187"/>
      <c r="D2955" s="187"/>
      <c r="E2955" s="187"/>
      <c r="F2955" s="187"/>
      <c r="G2955" s="187"/>
      <c r="J2955" s="186"/>
      <c r="K2955" s="180"/>
      <c r="L2955" s="180"/>
      <c r="M2955" s="186"/>
      <c r="N2955" s="186"/>
    </row>
    <row r="2956" spans="2:14" s="188" customFormat="1" ht="15" customHeight="1">
      <c r="B2956" s="187"/>
      <c r="C2956" s="187"/>
      <c r="D2956" s="187"/>
      <c r="E2956" s="187"/>
      <c r="F2956" s="187"/>
      <c r="G2956" s="187"/>
      <c r="J2956" s="186"/>
      <c r="K2956" s="180"/>
      <c r="L2956" s="180"/>
      <c r="M2956" s="186"/>
      <c r="N2956" s="186"/>
    </row>
    <row r="2957" spans="2:14" s="188" customFormat="1" ht="15" customHeight="1">
      <c r="B2957" s="187"/>
      <c r="C2957" s="187"/>
      <c r="D2957" s="187"/>
      <c r="E2957" s="187"/>
      <c r="F2957" s="187"/>
      <c r="G2957" s="187"/>
      <c r="J2957" s="186"/>
      <c r="K2957" s="180"/>
      <c r="L2957" s="180"/>
      <c r="M2957" s="186"/>
      <c r="N2957" s="186"/>
    </row>
    <row r="2958" spans="2:14" s="188" customFormat="1" ht="15" customHeight="1">
      <c r="B2958" s="187"/>
      <c r="C2958" s="187"/>
      <c r="D2958" s="187"/>
      <c r="E2958" s="187"/>
      <c r="F2958" s="187"/>
      <c r="G2958" s="187"/>
      <c r="J2958" s="186"/>
      <c r="K2958" s="180"/>
      <c r="L2958" s="180"/>
      <c r="M2958" s="186"/>
      <c r="N2958" s="186"/>
    </row>
    <row r="2959" spans="2:14" s="188" customFormat="1" ht="15" customHeight="1">
      <c r="B2959" s="187"/>
      <c r="C2959" s="187"/>
      <c r="D2959" s="187"/>
      <c r="E2959" s="187"/>
      <c r="F2959" s="187"/>
      <c r="G2959" s="187"/>
      <c r="J2959" s="186"/>
      <c r="K2959" s="180"/>
      <c r="L2959" s="180"/>
      <c r="M2959" s="186"/>
      <c r="N2959" s="186"/>
    </row>
    <row r="2960" spans="2:14" s="188" customFormat="1" ht="15" customHeight="1">
      <c r="B2960" s="187"/>
      <c r="C2960" s="187"/>
      <c r="D2960" s="187"/>
      <c r="E2960" s="187"/>
      <c r="F2960" s="187"/>
      <c r="G2960" s="187"/>
      <c r="J2960" s="186"/>
      <c r="K2960" s="180"/>
      <c r="L2960" s="180"/>
      <c r="M2960" s="186"/>
      <c r="N2960" s="186"/>
    </row>
    <row r="2961" spans="2:14" s="188" customFormat="1" ht="15" customHeight="1">
      <c r="B2961" s="187"/>
      <c r="C2961" s="187"/>
      <c r="D2961" s="187"/>
      <c r="E2961" s="187"/>
      <c r="F2961" s="187"/>
      <c r="G2961" s="187"/>
      <c r="J2961" s="186"/>
      <c r="K2961" s="180"/>
      <c r="L2961" s="180"/>
      <c r="M2961" s="186"/>
      <c r="N2961" s="186"/>
    </row>
    <row r="2962" spans="2:14" s="188" customFormat="1" ht="15" customHeight="1">
      <c r="B2962" s="187"/>
      <c r="C2962" s="187"/>
      <c r="D2962" s="187"/>
      <c r="E2962" s="187"/>
      <c r="F2962" s="187"/>
      <c r="G2962" s="187"/>
      <c r="J2962" s="186"/>
      <c r="K2962" s="180"/>
      <c r="L2962" s="180"/>
      <c r="M2962" s="186"/>
      <c r="N2962" s="186"/>
    </row>
    <row r="2963" spans="2:14" s="188" customFormat="1" ht="15" customHeight="1">
      <c r="B2963" s="187"/>
      <c r="C2963" s="187"/>
      <c r="D2963" s="187"/>
      <c r="E2963" s="187"/>
      <c r="F2963" s="187"/>
      <c r="G2963" s="187"/>
      <c r="J2963" s="186"/>
      <c r="K2963" s="180"/>
      <c r="L2963" s="180"/>
      <c r="M2963" s="186"/>
      <c r="N2963" s="186"/>
    </row>
    <row r="2964" spans="2:14" s="188" customFormat="1" ht="15" customHeight="1">
      <c r="B2964" s="187"/>
      <c r="C2964" s="187"/>
      <c r="D2964" s="187"/>
      <c r="E2964" s="187"/>
      <c r="F2964" s="187"/>
      <c r="G2964" s="187"/>
      <c r="J2964" s="186"/>
      <c r="K2964" s="180"/>
      <c r="L2964" s="180"/>
      <c r="M2964" s="186"/>
      <c r="N2964" s="186"/>
    </row>
    <row r="2965" spans="2:14" s="188" customFormat="1" ht="15" customHeight="1">
      <c r="B2965" s="187"/>
      <c r="C2965" s="187"/>
      <c r="D2965" s="187"/>
      <c r="E2965" s="187"/>
      <c r="F2965" s="187"/>
      <c r="G2965" s="187"/>
      <c r="J2965" s="186"/>
      <c r="K2965" s="180"/>
      <c r="L2965" s="180"/>
      <c r="M2965" s="186"/>
      <c r="N2965" s="186"/>
    </row>
    <row r="2966" spans="2:14" s="188" customFormat="1" ht="15" customHeight="1">
      <c r="B2966" s="187"/>
      <c r="C2966" s="187"/>
      <c r="D2966" s="187"/>
      <c r="E2966" s="187"/>
      <c r="F2966" s="187"/>
      <c r="G2966" s="187"/>
      <c r="J2966" s="186"/>
      <c r="K2966" s="180"/>
      <c r="L2966" s="180"/>
      <c r="M2966" s="186"/>
      <c r="N2966" s="186"/>
    </row>
    <row r="2967" spans="2:14" s="188" customFormat="1" ht="15" customHeight="1">
      <c r="B2967" s="187"/>
      <c r="C2967" s="187"/>
      <c r="D2967" s="187"/>
      <c r="E2967" s="187"/>
      <c r="F2967" s="187"/>
      <c r="G2967" s="187"/>
      <c r="J2967" s="186"/>
      <c r="K2967" s="180"/>
      <c r="L2967" s="180"/>
      <c r="M2967" s="186"/>
      <c r="N2967" s="186"/>
    </row>
    <row r="2968" spans="2:14" s="188" customFormat="1" ht="15" customHeight="1">
      <c r="B2968" s="187"/>
      <c r="C2968" s="187"/>
      <c r="D2968" s="187"/>
      <c r="E2968" s="187"/>
      <c r="F2968" s="187"/>
      <c r="G2968" s="187"/>
      <c r="J2968" s="186"/>
      <c r="K2968" s="180"/>
      <c r="L2968" s="180"/>
      <c r="M2968" s="186"/>
      <c r="N2968" s="186"/>
    </row>
    <row r="2969" spans="2:14" s="188" customFormat="1" ht="15" customHeight="1">
      <c r="B2969" s="187"/>
      <c r="C2969" s="187"/>
      <c r="D2969" s="187"/>
      <c r="E2969" s="187"/>
      <c r="F2969" s="187"/>
      <c r="G2969" s="187"/>
      <c r="J2969" s="186"/>
      <c r="K2969" s="180"/>
      <c r="L2969" s="180"/>
      <c r="M2969" s="186"/>
      <c r="N2969" s="186"/>
    </row>
    <row r="2970" spans="2:14" s="188" customFormat="1" ht="15" customHeight="1">
      <c r="B2970" s="187"/>
      <c r="C2970" s="187"/>
      <c r="D2970" s="187"/>
      <c r="E2970" s="187"/>
      <c r="F2970" s="187"/>
      <c r="G2970" s="187"/>
      <c r="J2970" s="186"/>
      <c r="K2970" s="180"/>
      <c r="L2970" s="180"/>
      <c r="M2970" s="186"/>
      <c r="N2970" s="186"/>
    </row>
    <row r="2971" spans="2:14" s="188" customFormat="1" ht="15" customHeight="1">
      <c r="B2971" s="187"/>
      <c r="C2971" s="187"/>
      <c r="D2971" s="187"/>
      <c r="E2971" s="187"/>
      <c r="F2971" s="187"/>
      <c r="G2971" s="187"/>
      <c r="J2971" s="186"/>
      <c r="K2971" s="180"/>
      <c r="L2971" s="180"/>
      <c r="M2971" s="186"/>
      <c r="N2971" s="186"/>
    </row>
    <row r="2972" spans="2:14" s="188" customFormat="1" ht="15" customHeight="1">
      <c r="B2972" s="187"/>
      <c r="C2972" s="187"/>
      <c r="D2972" s="187"/>
      <c r="E2972" s="187"/>
      <c r="F2972" s="187"/>
      <c r="G2972" s="187"/>
      <c r="J2972" s="186"/>
      <c r="K2972" s="180"/>
      <c r="L2972" s="180"/>
      <c r="M2972" s="186"/>
      <c r="N2972" s="186"/>
    </row>
    <row r="2973" spans="2:14" s="188" customFormat="1" ht="15" customHeight="1">
      <c r="B2973" s="187"/>
      <c r="C2973" s="187"/>
      <c r="D2973" s="187"/>
      <c r="E2973" s="187"/>
      <c r="F2973" s="187"/>
      <c r="G2973" s="187"/>
      <c r="J2973" s="186"/>
      <c r="K2973" s="180"/>
      <c r="L2973" s="180"/>
      <c r="M2973" s="186"/>
      <c r="N2973" s="186"/>
    </row>
    <row r="2974" spans="2:14" s="188" customFormat="1" ht="15" customHeight="1">
      <c r="B2974" s="187"/>
      <c r="C2974" s="187"/>
      <c r="D2974" s="187"/>
      <c r="E2974" s="187"/>
      <c r="F2974" s="187"/>
      <c r="G2974" s="187"/>
      <c r="J2974" s="186"/>
      <c r="K2974" s="180"/>
      <c r="L2974" s="180"/>
      <c r="M2974" s="186"/>
      <c r="N2974" s="186"/>
    </row>
    <row r="2975" spans="2:14" s="188" customFormat="1" ht="15" customHeight="1">
      <c r="B2975" s="187"/>
      <c r="C2975" s="187"/>
      <c r="D2975" s="187"/>
      <c r="E2975" s="187"/>
      <c r="F2975" s="187"/>
      <c r="G2975" s="187"/>
      <c r="J2975" s="186"/>
      <c r="K2975" s="180"/>
      <c r="L2975" s="180"/>
      <c r="M2975" s="186"/>
      <c r="N2975" s="186"/>
    </row>
    <row r="2976" spans="2:14" s="188" customFormat="1" ht="15" customHeight="1">
      <c r="B2976" s="187"/>
      <c r="C2976" s="187"/>
      <c r="D2976" s="187"/>
      <c r="E2976" s="187"/>
      <c r="F2976" s="187"/>
      <c r="G2976" s="187"/>
      <c r="J2976" s="186"/>
      <c r="K2976" s="180"/>
      <c r="L2976" s="180"/>
      <c r="M2976" s="186"/>
      <c r="N2976" s="186"/>
    </row>
    <row r="2977" spans="2:14" s="188" customFormat="1" ht="15" customHeight="1">
      <c r="B2977" s="187"/>
      <c r="C2977" s="187"/>
      <c r="D2977" s="187"/>
      <c r="E2977" s="187"/>
      <c r="F2977" s="187"/>
      <c r="G2977" s="187"/>
      <c r="J2977" s="186"/>
      <c r="K2977" s="180"/>
      <c r="L2977" s="180"/>
      <c r="M2977" s="186"/>
      <c r="N2977" s="186"/>
    </row>
    <row r="2978" spans="2:14" s="188" customFormat="1" ht="15" customHeight="1">
      <c r="B2978" s="187"/>
      <c r="C2978" s="187"/>
      <c r="D2978" s="187"/>
      <c r="E2978" s="187"/>
      <c r="F2978" s="187"/>
      <c r="G2978" s="187"/>
      <c r="J2978" s="186"/>
      <c r="K2978" s="180"/>
      <c r="L2978" s="180"/>
      <c r="M2978" s="186"/>
      <c r="N2978" s="186"/>
    </row>
    <row r="2979" spans="2:14" s="188" customFormat="1" ht="15" customHeight="1">
      <c r="B2979" s="187"/>
      <c r="C2979" s="187"/>
      <c r="D2979" s="187"/>
      <c r="E2979" s="187"/>
      <c r="F2979" s="187"/>
      <c r="G2979" s="187"/>
      <c r="J2979" s="186"/>
      <c r="K2979" s="180"/>
      <c r="L2979" s="180"/>
      <c r="M2979" s="186"/>
      <c r="N2979" s="186"/>
    </row>
    <row r="2980" spans="2:14" s="188" customFormat="1" ht="15" customHeight="1">
      <c r="B2980" s="187"/>
      <c r="C2980" s="187"/>
      <c r="D2980" s="187"/>
      <c r="E2980" s="187"/>
      <c r="F2980" s="187"/>
      <c r="G2980" s="187"/>
      <c r="J2980" s="186"/>
      <c r="K2980" s="180"/>
      <c r="L2980" s="180"/>
      <c r="M2980" s="186"/>
      <c r="N2980" s="186"/>
    </row>
    <row r="2981" spans="2:14" s="188" customFormat="1" ht="15" customHeight="1">
      <c r="B2981" s="187"/>
      <c r="C2981" s="187"/>
      <c r="D2981" s="187"/>
      <c r="E2981" s="187"/>
      <c r="F2981" s="187"/>
      <c r="G2981" s="187"/>
      <c r="J2981" s="186"/>
      <c r="K2981" s="180"/>
      <c r="L2981" s="180"/>
      <c r="M2981" s="186"/>
      <c r="N2981" s="186"/>
    </row>
    <row r="2982" spans="2:14" s="188" customFormat="1" ht="15" customHeight="1">
      <c r="B2982" s="187"/>
      <c r="C2982" s="187"/>
      <c r="D2982" s="187"/>
      <c r="E2982" s="187"/>
      <c r="F2982" s="187"/>
      <c r="G2982" s="187"/>
      <c r="J2982" s="186"/>
      <c r="K2982" s="180"/>
      <c r="L2982" s="180"/>
      <c r="M2982" s="186"/>
      <c r="N2982" s="186"/>
    </row>
    <row r="2983" spans="2:14" s="188" customFormat="1" ht="15" customHeight="1">
      <c r="B2983" s="187"/>
      <c r="C2983" s="187"/>
      <c r="D2983" s="187"/>
      <c r="E2983" s="187"/>
      <c r="F2983" s="187"/>
      <c r="G2983" s="187"/>
      <c r="J2983" s="186"/>
      <c r="K2983" s="180"/>
      <c r="L2983" s="180"/>
      <c r="M2983" s="186"/>
      <c r="N2983" s="186"/>
    </row>
    <row r="2984" spans="2:14" s="188" customFormat="1" ht="15" customHeight="1">
      <c r="B2984" s="187"/>
      <c r="C2984" s="187"/>
      <c r="D2984" s="187"/>
      <c r="E2984" s="187"/>
      <c r="F2984" s="187"/>
      <c r="G2984" s="187"/>
      <c r="J2984" s="186"/>
      <c r="K2984" s="180"/>
      <c r="L2984" s="180"/>
      <c r="M2984" s="186"/>
      <c r="N2984" s="186"/>
    </row>
    <row r="2985" spans="2:14" s="188" customFormat="1" ht="15" customHeight="1">
      <c r="B2985" s="187"/>
      <c r="C2985" s="187"/>
      <c r="D2985" s="187"/>
      <c r="E2985" s="187"/>
      <c r="F2985" s="187"/>
      <c r="G2985" s="187"/>
      <c r="J2985" s="186"/>
      <c r="K2985" s="180"/>
      <c r="L2985" s="180"/>
      <c r="M2985" s="186"/>
      <c r="N2985" s="186"/>
    </row>
    <row r="2986" spans="2:14" s="188" customFormat="1" ht="15" customHeight="1">
      <c r="B2986" s="187"/>
      <c r="C2986" s="187"/>
      <c r="D2986" s="187"/>
      <c r="E2986" s="187"/>
      <c r="F2986" s="187"/>
      <c r="G2986" s="187"/>
      <c r="J2986" s="186"/>
      <c r="K2986" s="180"/>
      <c r="L2986" s="180"/>
      <c r="M2986" s="186"/>
      <c r="N2986" s="186"/>
    </row>
    <row r="2987" spans="2:14" s="188" customFormat="1" ht="15" customHeight="1">
      <c r="B2987" s="187"/>
      <c r="C2987" s="187"/>
      <c r="D2987" s="187"/>
      <c r="E2987" s="187"/>
      <c r="F2987" s="187"/>
      <c r="G2987" s="187"/>
      <c r="J2987" s="186"/>
      <c r="K2987" s="180"/>
      <c r="L2987" s="180"/>
      <c r="M2987" s="186"/>
      <c r="N2987" s="186"/>
    </row>
    <row r="2988" spans="2:14" s="188" customFormat="1" ht="15" customHeight="1">
      <c r="B2988" s="187"/>
      <c r="C2988" s="187"/>
      <c r="D2988" s="187"/>
      <c r="E2988" s="187"/>
      <c r="F2988" s="187"/>
      <c r="G2988" s="187"/>
      <c r="J2988" s="186"/>
      <c r="K2988" s="180"/>
      <c r="L2988" s="180"/>
      <c r="M2988" s="186"/>
      <c r="N2988" s="186"/>
    </row>
    <row r="2989" spans="2:14" s="188" customFormat="1" ht="15" customHeight="1">
      <c r="B2989" s="187"/>
      <c r="C2989" s="187"/>
      <c r="D2989" s="187"/>
      <c r="E2989" s="187"/>
      <c r="F2989" s="187"/>
      <c r="G2989" s="187"/>
      <c r="J2989" s="186"/>
      <c r="K2989" s="180"/>
      <c r="L2989" s="180"/>
      <c r="M2989" s="186"/>
      <c r="N2989" s="186"/>
    </row>
    <row r="2990" spans="2:14" s="188" customFormat="1" ht="15" customHeight="1">
      <c r="B2990" s="187"/>
      <c r="C2990" s="187"/>
      <c r="D2990" s="187"/>
      <c r="E2990" s="187"/>
      <c r="F2990" s="187"/>
      <c r="G2990" s="187"/>
      <c r="J2990" s="186"/>
      <c r="K2990" s="180"/>
      <c r="L2990" s="180"/>
      <c r="M2990" s="186"/>
      <c r="N2990" s="186"/>
    </row>
    <row r="2991" spans="2:14" s="188" customFormat="1" ht="15" customHeight="1">
      <c r="B2991" s="187"/>
      <c r="C2991" s="187"/>
      <c r="D2991" s="187"/>
      <c r="E2991" s="187"/>
      <c r="F2991" s="187"/>
      <c r="G2991" s="187"/>
      <c r="J2991" s="186"/>
      <c r="K2991" s="180"/>
      <c r="L2991" s="180"/>
      <c r="M2991" s="186"/>
      <c r="N2991" s="186"/>
    </row>
    <row r="2992" spans="2:14" s="188" customFormat="1" ht="15" customHeight="1">
      <c r="B2992" s="187"/>
      <c r="C2992" s="187"/>
      <c r="D2992" s="187"/>
      <c r="E2992" s="187"/>
      <c r="F2992" s="187"/>
      <c r="G2992" s="187"/>
      <c r="J2992" s="186"/>
      <c r="K2992" s="180"/>
      <c r="L2992" s="180"/>
      <c r="M2992" s="186"/>
      <c r="N2992" s="186"/>
    </row>
    <row r="2993" spans="2:14" s="188" customFormat="1" ht="15" customHeight="1">
      <c r="B2993" s="187"/>
      <c r="C2993" s="187"/>
      <c r="D2993" s="187"/>
      <c r="E2993" s="187"/>
      <c r="F2993" s="187"/>
      <c r="G2993" s="187"/>
      <c r="J2993" s="186"/>
      <c r="K2993" s="180"/>
      <c r="L2993" s="180"/>
      <c r="M2993" s="186"/>
      <c r="N2993" s="186"/>
    </row>
    <row r="2994" spans="2:14" s="188" customFormat="1" ht="15" customHeight="1">
      <c r="B2994" s="187"/>
      <c r="C2994" s="187"/>
      <c r="D2994" s="187"/>
      <c r="E2994" s="187"/>
      <c r="F2994" s="187"/>
      <c r="G2994" s="187"/>
      <c r="J2994" s="186"/>
      <c r="K2994" s="180"/>
      <c r="L2994" s="180"/>
      <c r="M2994" s="186"/>
      <c r="N2994" s="186"/>
    </row>
    <row r="2995" spans="2:14" s="188" customFormat="1" ht="15" customHeight="1">
      <c r="B2995" s="187"/>
      <c r="C2995" s="187"/>
      <c r="D2995" s="187"/>
      <c r="E2995" s="187"/>
      <c r="F2995" s="187"/>
      <c r="G2995" s="187"/>
      <c r="J2995" s="186"/>
      <c r="K2995" s="180"/>
      <c r="L2995" s="180"/>
      <c r="M2995" s="186"/>
      <c r="N2995" s="186"/>
    </row>
    <row r="2996" spans="2:14" s="188" customFormat="1" ht="15" customHeight="1">
      <c r="B2996" s="187"/>
      <c r="C2996" s="187"/>
      <c r="D2996" s="187"/>
      <c r="E2996" s="187"/>
      <c r="F2996" s="187"/>
      <c r="G2996" s="187"/>
      <c r="J2996" s="186"/>
      <c r="K2996" s="180"/>
      <c r="L2996" s="180"/>
      <c r="M2996" s="186"/>
      <c r="N2996" s="186"/>
    </row>
    <row r="2997" spans="2:14" s="188" customFormat="1" ht="15" customHeight="1">
      <c r="B2997" s="187"/>
      <c r="C2997" s="187"/>
      <c r="D2997" s="187"/>
      <c r="E2997" s="187"/>
      <c r="F2997" s="187"/>
      <c r="G2997" s="187"/>
      <c r="J2997" s="186"/>
      <c r="K2997" s="180"/>
      <c r="L2997" s="180"/>
      <c r="M2997" s="186"/>
      <c r="N2997" s="186"/>
    </row>
    <row r="2998" spans="2:14" s="188" customFormat="1" ht="15" customHeight="1">
      <c r="B2998" s="187"/>
      <c r="C2998" s="187"/>
      <c r="D2998" s="187"/>
      <c r="E2998" s="187"/>
      <c r="F2998" s="187"/>
      <c r="G2998" s="187"/>
      <c r="J2998" s="186"/>
      <c r="K2998" s="180"/>
      <c r="L2998" s="180"/>
      <c r="M2998" s="186"/>
      <c r="N2998" s="186"/>
    </row>
    <row r="2999" spans="2:14" s="188" customFormat="1" ht="15" customHeight="1">
      <c r="B2999" s="187"/>
      <c r="C2999" s="187"/>
      <c r="D2999" s="187"/>
      <c r="E2999" s="187"/>
      <c r="F2999" s="187"/>
      <c r="G2999" s="187"/>
      <c r="J2999" s="186"/>
      <c r="K2999" s="180"/>
      <c r="L2999" s="180"/>
      <c r="M2999" s="186"/>
      <c r="N2999" s="186"/>
    </row>
    <row r="3000" spans="2:14" s="188" customFormat="1" ht="15" customHeight="1">
      <c r="B3000" s="187"/>
      <c r="C3000" s="187"/>
      <c r="D3000" s="187"/>
      <c r="E3000" s="187"/>
      <c r="F3000" s="187"/>
      <c r="G3000" s="187"/>
      <c r="J3000" s="186"/>
      <c r="K3000" s="180"/>
      <c r="L3000" s="180"/>
      <c r="M3000" s="186"/>
      <c r="N3000" s="186"/>
    </row>
    <row r="3001" spans="2:14" s="188" customFormat="1" ht="15" customHeight="1">
      <c r="B3001" s="187"/>
      <c r="C3001" s="187"/>
      <c r="D3001" s="187"/>
      <c r="E3001" s="187"/>
      <c r="F3001" s="187"/>
      <c r="G3001" s="187"/>
      <c r="J3001" s="186"/>
      <c r="K3001" s="180"/>
      <c r="L3001" s="180"/>
      <c r="M3001" s="186"/>
      <c r="N3001" s="186"/>
    </row>
    <row r="3002" spans="2:14" s="188" customFormat="1" ht="15" customHeight="1">
      <c r="B3002" s="187"/>
      <c r="C3002" s="187"/>
      <c r="D3002" s="187"/>
      <c r="E3002" s="187"/>
      <c r="F3002" s="187"/>
      <c r="G3002" s="187"/>
      <c r="J3002" s="186"/>
      <c r="K3002" s="180"/>
      <c r="L3002" s="180"/>
      <c r="M3002" s="186"/>
      <c r="N3002" s="186"/>
    </row>
    <row r="3003" spans="2:14" s="188" customFormat="1" ht="15" customHeight="1">
      <c r="B3003" s="187"/>
      <c r="C3003" s="187"/>
      <c r="D3003" s="187"/>
      <c r="E3003" s="187"/>
      <c r="F3003" s="187"/>
      <c r="G3003" s="187"/>
      <c r="J3003" s="186"/>
      <c r="K3003" s="180"/>
      <c r="L3003" s="180"/>
      <c r="M3003" s="186"/>
      <c r="N3003" s="186"/>
    </row>
    <row r="3004" spans="2:14" s="188" customFormat="1" ht="15" customHeight="1">
      <c r="B3004" s="187"/>
      <c r="C3004" s="187"/>
      <c r="D3004" s="187"/>
      <c r="E3004" s="187"/>
      <c r="F3004" s="187"/>
      <c r="G3004" s="187"/>
      <c r="J3004" s="186"/>
      <c r="K3004" s="180"/>
      <c r="L3004" s="180"/>
      <c r="M3004" s="186"/>
      <c r="N3004" s="186"/>
    </row>
    <row r="3005" spans="2:14" s="188" customFormat="1" ht="15" customHeight="1">
      <c r="B3005" s="187"/>
      <c r="C3005" s="187"/>
      <c r="D3005" s="187"/>
      <c r="E3005" s="187"/>
      <c r="F3005" s="187"/>
      <c r="G3005" s="187"/>
      <c r="J3005" s="186"/>
      <c r="K3005" s="180"/>
      <c r="L3005" s="180"/>
      <c r="M3005" s="186"/>
      <c r="N3005" s="186"/>
    </row>
    <row r="3006" spans="2:14" s="188" customFormat="1" ht="15" customHeight="1">
      <c r="B3006" s="187"/>
      <c r="C3006" s="187"/>
      <c r="D3006" s="187"/>
      <c r="E3006" s="187"/>
      <c r="F3006" s="187"/>
      <c r="G3006" s="187"/>
      <c r="J3006" s="186"/>
      <c r="K3006" s="180"/>
      <c r="L3006" s="180"/>
      <c r="M3006" s="186"/>
      <c r="N3006" s="186"/>
    </row>
    <row r="3007" spans="2:14" s="188" customFormat="1" ht="15" customHeight="1">
      <c r="B3007" s="187"/>
      <c r="C3007" s="187"/>
      <c r="D3007" s="187"/>
      <c r="E3007" s="187"/>
      <c r="F3007" s="187"/>
      <c r="G3007" s="187"/>
      <c r="J3007" s="186"/>
      <c r="K3007" s="180"/>
      <c r="L3007" s="180"/>
      <c r="M3007" s="186"/>
      <c r="N3007" s="186"/>
    </row>
    <row r="3008" spans="2:14" s="188" customFormat="1" ht="15" customHeight="1">
      <c r="B3008" s="187"/>
      <c r="C3008" s="187"/>
      <c r="D3008" s="187"/>
      <c r="E3008" s="187"/>
      <c r="F3008" s="187"/>
      <c r="G3008" s="187"/>
      <c r="J3008" s="186"/>
      <c r="K3008" s="180"/>
      <c r="L3008" s="180"/>
      <c r="M3008" s="186"/>
      <c r="N3008" s="186"/>
    </row>
    <row r="3009" spans="2:14" s="188" customFormat="1" ht="15" customHeight="1">
      <c r="B3009" s="187"/>
      <c r="C3009" s="187"/>
      <c r="D3009" s="187"/>
      <c r="E3009" s="187"/>
      <c r="F3009" s="187"/>
      <c r="G3009" s="187"/>
      <c r="J3009" s="186"/>
      <c r="K3009" s="180"/>
      <c r="L3009" s="180"/>
      <c r="M3009" s="186"/>
      <c r="N3009" s="186"/>
    </row>
    <row r="3010" spans="2:14" s="188" customFormat="1" ht="15" customHeight="1">
      <c r="B3010" s="187"/>
      <c r="C3010" s="187"/>
      <c r="D3010" s="187"/>
      <c r="E3010" s="187"/>
      <c r="F3010" s="187"/>
      <c r="G3010" s="187"/>
      <c r="J3010" s="186"/>
      <c r="K3010" s="180"/>
      <c r="L3010" s="180"/>
      <c r="M3010" s="186"/>
      <c r="N3010" s="186"/>
    </row>
    <row r="3011" spans="2:14" s="188" customFormat="1" ht="15" customHeight="1">
      <c r="B3011" s="187"/>
      <c r="C3011" s="187"/>
      <c r="D3011" s="187"/>
      <c r="E3011" s="187"/>
      <c r="F3011" s="187"/>
      <c r="G3011" s="187"/>
      <c r="J3011" s="186"/>
      <c r="K3011" s="180"/>
      <c r="L3011" s="180"/>
      <c r="M3011" s="186"/>
      <c r="N3011" s="186"/>
    </row>
    <row r="3012" spans="2:14" s="188" customFormat="1" ht="15" customHeight="1">
      <c r="B3012" s="187"/>
      <c r="C3012" s="187"/>
      <c r="D3012" s="187"/>
      <c r="E3012" s="187"/>
      <c r="F3012" s="187"/>
      <c r="G3012" s="187"/>
      <c r="J3012" s="186"/>
      <c r="K3012" s="180"/>
      <c r="L3012" s="180"/>
      <c r="M3012" s="186"/>
      <c r="N3012" s="186"/>
    </row>
    <row r="3013" spans="2:14" s="188" customFormat="1" ht="15" customHeight="1">
      <c r="B3013" s="187"/>
      <c r="C3013" s="187"/>
      <c r="D3013" s="187"/>
      <c r="E3013" s="187"/>
      <c r="F3013" s="187"/>
      <c r="G3013" s="187"/>
      <c r="J3013" s="186"/>
      <c r="K3013" s="180"/>
      <c r="L3013" s="180"/>
      <c r="M3013" s="186"/>
      <c r="N3013" s="186"/>
    </row>
    <row r="3014" spans="2:14" s="188" customFormat="1" ht="15" customHeight="1">
      <c r="B3014" s="187"/>
      <c r="C3014" s="187"/>
      <c r="D3014" s="187"/>
      <c r="E3014" s="187"/>
      <c r="F3014" s="187"/>
      <c r="G3014" s="187"/>
      <c r="J3014" s="186"/>
      <c r="K3014" s="180"/>
      <c r="L3014" s="180"/>
      <c r="M3014" s="186"/>
      <c r="N3014" s="186"/>
    </row>
    <row r="3015" spans="2:14" s="188" customFormat="1" ht="15" customHeight="1">
      <c r="B3015" s="187"/>
      <c r="C3015" s="187"/>
      <c r="D3015" s="187"/>
      <c r="E3015" s="187"/>
      <c r="F3015" s="187"/>
      <c r="G3015" s="187"/>
      <c r="J3015" s="186"/>
      <c r="K3015" s="180"/>
      <c r="L3015" s="180"/>
      <c r="M3015" s="186"/>
      <c r="N3015" s="186"/>
    </row>
    <row r="3016" spans="2:14" s="188" customFormat="1" ht="15" customHeight="1">
      <c r="B3016" s="187"/>
      <c r="C3016" s="187"/>
      <c r="D3016" s="187"/>
      <c r="E3016" s="187"/>
      <c r="F3016" s="187"/>
      <c r="G3016" s="187"/>
      <c r="J3016" s="186"/>
      <c r="K3016" s="180"/>
      <c r="L3016" s="180"/>
      <c r="M3016" s="186"/>
      <c r="N3016" s="186"/>
    </row>
    <row r="3017" spans="2:14" s="188" customFormat="1" ht="15" customHeight="1">
      <c r="B3017" s="187"/>
      <c r="C3017" s="187"/>
      <c r="D3017" s="187"/>
      <c r="E3017" s="187"/>
      <c r="F3017" s="187"/>
      <c r="G3017" s="187"/>
      <c r="J3017" s="186"/>
      <c r="K3017" s="180"/>
      <c r="L3017" s="180"/>
      <c r="M3017" s="186"/>
      <c r="N3017" s="186"/>
    </row>
    <row r="3018" spans="2:14" s="188" customFormat="1" ht="15" customHeight="1">
      <c r="B3018" s="187"/>
      <c r="C3018" s="187"/>
      <c r="D3018" s="187"/>
      <c r="E3018" s="187"/>
      <c r="F3018" s="187"/>
      <c r="G3018" s="187"/>
      <c r="J3018" s="186"/>
      <c r="K3018" s="180"/>
      <c r="L3018" s="180"/>
      <c r="M3018" s="186"/>
      <c r="N3018" s="186"/>
    </row>
    <row r="3019" spans="2:14" s="188" customFormat="1" ht="15" customHeight="1">
      <c r="B3019" s="187"/>
      <c r="C3019" s="187"/>
      <c r="D3019" s="187"/>
      <c r="E3019" s="187"/>
      <c r="F3019" s="187"/>
      <c r="G3019" s="187"/>
      <c r="J3019" s="186"/>
      <c r="K3019" s="180"/>
      <c r="L3019" s="180"/>
      <c r="M3019" s="186"/>
      <c r="N3019" s="186"/>
    </row>
    <row r="3020" spans="2:14" s="188" customFormat="1" ht="15" customHeight="1">
      <c r="B3020" s="187"/>
      <c r="C3020" s="187"/>
      <c r="D3020" s="187"/>
      <c r="E3020" s="187"/>
      <c r="F3020" s="187"/>
      <c r="G3020" s="187"/>
      <c r="J3020" s="186"/>
      <c r="K3020" s="180"/>
      <c r="L3020" s="180"/>
      <c r="M3020" s="186"/>
      <c r="N3020" s="186"/>
    </row>
    <row r="3021" spans="2:14" s="188" customFormat="1" ht="15" customHeight="1">
      <c r="B3021" s="187"/>
      <c r="C3021" s="187"/>
      <c r="D3021" s="187"/>
      <c r="E3021" s="187"/>
      <c r="F3021" s="187"/>
      <c r="G3021" s="187"/>
      <c r="J3021" s="186"/>
      <c r="K3021" s="180"/>
      <c r="L3021" s="180"/>
      <c r="M3021" s="186"/>
      <c r="N3021" s="186"/>
    </row>
    <row r="3022" spans="2:14" s="188" customFormat="1" ht="15" customHeight="1">
      <c r="B3022" s="187"/>
      <c r="C3022" s="187"/>
      <c r="D3022" s="187"/>
      <c r="E3022" s="187"/>
      <c r="F3022" s="187"/>
      <c r="G3022" s="187"/>
      <c r="J3022" s="186"/>
      <c r="K3022" s="180"/>
      <c r="L3022" s="180"/>
      <c r="M3022" s="186"/>
      <c r="N3022" s="186"/>
    </row>
    <row r="3023" spans="2:14" s="188" customFormat="1" ht="15" customHeight="1">
      <c r="B3023" s="187"/>
      <c r="C3023" s="187"/>
      <c r="D3023" s="187"/>
      <c r="E3023" s="187"/>
      <c r="F3023" s="187"/>
      <c r="G3023" s="187"/>
      <c r="J3023" s="186"/>
      <c r="K3023" s="180"/>
      <c r="L3023" s="180"/>
      <c r="M3023" s="186"/>
      <c r="N3023" s="186"/>
    </row>
    <row r="3024" spans="2:14" s="188" customFormat="1" ht="15" customHeight="1">
      <c r="B3024" s="187"/>
      <c r="C3024" s="187"/>
      <c r="D3024" s="187"/>
      <c r="E3024" s="187"/>
      <c r="F3024" s="187"/>
      <c r="G3024" s="187"/>
      <c r="J3024" s="186"/>
      <c r="K3024" s="180"/>
      <c r="L3024" s="180"/>
      <c r="M3024" s="186"/>
      <c r="N3024" s="186"/>
    </row>
    <row r="3025" spans="2:14" s="188" customFormat="1" ht="15" customHeight="1">
      <c r="B3025" s="187"/>
      <c r="C3025" s="187"/>
      <c r="D3025" s="187"/>
      <c r="E3025" s="187"/>
      <c r="F3025" s="187"/>
      <c r="G3025" s="187"/>
      <c r="J3025" s="186"/>
      <c r="K3025" s="180"/>
      <c r="L3025" s="180"/>
      <c r="M3025" s="186"/>
      <c r="N3025" s="186"/>
    </row>
    <row r="3026" spans="2:14" s="188" customFormat="1" ht="15" customHeight="1">
      <c r="B3026" s="187"/>
      <c r="C3026" s="187"/>
      <c r="D3026" s="187"/>
      <c r="E3026" s="187"/>
      <c r="F3026" s="187"/>
      <c r="G3026" s="187"/>
      <c r="J3026" s="186"/>
      <c r="K3026" s="180"/>
      <c r="L3026" s="180"/>
      <c r="M3026" s="186"/>
      <c r="N3026" s="186"/>
    </row>
    <row r="3027" spans="2:14" s="188" customFormat="1" ht="15" customHeight="1">
      <c r="B3027" s="187"/>
      <c r="C3027" s="187"/>
      <c r="D3027" s="187"/>
      <c r="E3027" s="187"/>
      <c r="F3027" s="187"/>
      <c r="G3027" s="187"/>
      <c r="J3027" s="186"/>
      <c r="K3027" s="180"/>
      <c r="L3027" s="180"/>
      <c r="M3027" s="186"/>
      <c r="N3027" s="186"/>
    </row>
    <row r="3028" spans="2:14" s="188" customFormat="1" ht="15" customHeight="1">
      <c r="B3028" s="187"/>
      <c r="C3028" s="187"/>
      <c r="D3028" s="187"/>
      <c r="E3028" s="187"/>
      <c r="F3028" s="187"/>
      <c r="G3028" s="187"/>
      <c r="J3028" s="186"/>
      <c r="K3028" s="180"/>
      <c r="L3028" s="180"/>
      <c r="M3028" s="186"/>
      <c r="N3028" s="186"/>
    </row>
    <row r="3029" spans="2:14" s="188" customFormat="1" ht="15" customHeight="1">
      <c r="B3029" s="187"/>
      <c r="C3029" s="187"/>
      <c r="D3029" s="187"/>
      <c r="E3029" s="187"/>
      <c r="F3029" s="187"/>
      <c r="G3029" s="187"/>
      <c r="J3029" s="186"/>
      <c r="K3029" s="180"/>
      <c r="L3029" s="180"/>
      <c r="M3029" s="186"/>
      <c r="N3029" s="186"/>
    </row>
    <row r="3030" spans="2:14" s="188" customFormat="1" ht="15" customHeight="1">
      <c r="B3030" s="187"/>
      <c r="C3030" s="187"/>
      <c r="D3030" s="187"/>
      <c r="E3030" s="187"/>
      <c r="F3030" s="187"/>
      <c r="G3030" s="187"/>
      <c r="J3030" s="186"/>
      <c r="K3030" s="180"/>
      <c r="L3030" s="180"/>
      <c r="M3030" s="186"/>
      <c r="N3030" s="186"/>
    </row>
    <row r="3031" spans="2:14" s="188" customFormat="1" ht="15" customHeight="1">
      <c r="B3031" s="187"/>
      <c r="C3031" s="187"/>
      <c r="D3031" s="187"/>
      <c r="E3031" s="187"/>
      <c r="F3031" s="187"/>
      <c r="G3031" s="187"/>
      <c r="J3031" s="186"/>
      <c r="K3031" s="180"/>
      <c r="L3031" s="180"/>
      <c r="M3031" s="186"/>
      <c r="N3031" s="186"/>
    </row>
    <row r="3032" spans="2:14" s="188" customFormat="1" ht="15" customHeight="1">
      <c r="B3032" s="187"/>
      <c r="C3032" s="187"/>
      <c r="D3032" s="187"/>
      <c r="E3032" s="187"/>
      <c r="F3032" s="187"/>
      <c r="G3032" s="187"/>
      <c r="J3032" s="186"/>
      <c r="K3032" s="180"/>
      <c r="L3032" s="180"/>
      <c r="M3032" s="186"/>
      <c r="N3032" s="186"/>
    </row>
    <row r="3033" spans="2:14" s="188" customFormat="1" ht="15" customHeight="1">
      <c r="B3033" s="187"/>
      <c r="C3033" s="187"/>
      <c r="D3033" s="187"/>
      <c r="E3033" s="187"/>
      <c r="F3033" s="187"/>
      <c r="G3033" s="187"/>
      <c r="J3033" s="186"/>
      <c r="K3033" s="180"/>
      <c r="L3033" s="180"/>
      <c r="M3033" s="186"/>
      <c r="N3033" s="186"/>
    </row>
    <row r="3034" spans="2:14" s="188" customFormat="1" ht="15" customHeight="1">
      <c r="B3034" s="187"/>
      <c r="C3034" s="187"/>
      <c r="D3034" s="187"/>
      <c r="E3034" s="187"/>
      <c r="F3034" s="187"/>
      <c r="G3034" s="187"/>
      <c r="J3034" s="186"/>
      <c r="K3034" s="180"/>
      <c r="L3034" s="180"/>
      <c r="M3034" s="186"/>
      <c r="N3034" s="186"/>
    </row>
    <row r="3035" spans="2:14" s="188" customFormat="1" ht="15" customHeight="1">
      <c r="B3035" s="187"/>
      <c r="C3035" s="187"/>
      <c r="D3035" s="187"/>
      <c r="E3035" s="187"/>
      <c r="F3035" s="187"/>
      <c r="G3035" s="187"/>
      <c r="J3035" s="186"/>
      <c r="K3035" s="180"/>
      <c r="L3035" s="180"/>
      <c r="M3035" s="186"/>
      <c r="N3035" s="186"/>
    </row>
    <row r="3036" spans="2:14" s="188" customFormat="1" ht="15" customHeight="1">
      <c r="B3036" s="187"/>
      <c r="C3036" s="187"/>
      <c r="D3036" s="187"/>
      <c r="E3036" s="187"/>
      <c r="F3036" s="187"/>
      <c r="G3036" s="187"/>
      <c r="J3036" s="186"/>
      <c r="K3036" s="180"/>
      <c r="L3036" s="180"/>
      <c r="M3036" s="186"/>
      <c r="N3036" s="186"/>
    </row>
    <row r="3037" spans="2:14" s="188" customFormat="1" ht="15" customHeight="1">
      <c r="B3037" s="187"/>
      <c r="C3037" s="187"/>
      <c r="D3037" s="187"/>
      <c r="E3037" s="187"/>
      <c r="F3037" s="187"/>
      <c r="G3037" s="187"/>
      <c r="J3037" s="186"/>
      <c r="K3037" s="180"/>
      <c r="L3037" s="180"/>
      <c r="M3037" s="186"/>
      <c r="N3037" s="186"/>
    </row>
    <row r="3038" spans="2:14" s="188" customFormat="1" ht="15" customHeight="1">
      <c r="B3038" s="187"/>
      <c r="C3038" s="187"/>
      <c r="D3038" s="187"/>
      <c r="E3038" s="187"/>
      <c r="F3038" s="187"/>
      <c r="G3038" s="187"/>
      <c r="J3038" s="186"/>
      <c r="K3038" s="180"/>
      <c r="L3038" s="180"/>
      <c r="M3038" s="186"/>
      <c r="N3038" s="186"/>
    </row>
    <row r="3039" spans="2:14" s="188" customFormat="1" ht="15" customHeight="1">
      <c r="B3039" s="187"/>
      <c r="C3039" s="187"/>
      <c r="D3039" s="187"/>
      <c r="E3039" s="187"/>
      <c r="F3039" s="187"/>
      <c r="G3039" s="187"/>
      <c r="J3039" s="186"/>
      <c r="K3039" s="180"/>
      <c r="L3039" s="180"/>
      <c r="M3039" s="186"/>
      <c r="N3039" s="186"/>
    </row>
    <row r="3040" spans="2:14" s="188" customFormat="1" ht="15" customHeight="1">
      <c r="B3040" s="187"/>
      <c r="C3040" s="187"/>
      <c r="D3040" s="187"/>
      <c r="E3040" s="187"/>
      <c r="F3040" s="187"/>
      <c r="G3040" s="187"/>
      <c r="J3040" s="186"/>
      <c r="K3040" s="180"/>
      <c r="L3040" s="180"/>
      <c r="M3040" s="186"/>
      <c r="N3040" s="186"/>
    </row>
    <row r="3041" spans="2:14" s="188" customFormat="1" ht="15" customHeight="1">
      <c r="B3041" s="187"/>
      <c r="C3041" s="187"/>
      <c r="D3041" s="187"/>
      <c r="E3041" s="187"/>
      <c r="F3041" s="187"/>
      <c r="G3041" s="187"/>
      <c r="J3041" s="186"/>
      <c r="K3041" s="180"/>
      <c r="L3041" s="180"/>
      <c r="M3041" s="186"/>
      <c r="N3041" s="186"/>
    </row>
    <row r="3042" spans="2:14" s="188" customFormat="1" ht="15" customHeight="1">
      <c r="B3042" s="187"/>
      <c r="C3042" s="187"/>
      <c r="D3042" s="187"/>
      <c r="E3042" s="187"/>
      <c r="F3042" s="187"/>
      <c r="G3042" s="187"/>
      <c r="J3042" s="186"/>
      <c r="K3042" s="180"/>
      <c r="L3042" s="180"/>
      <c r="M3042" s="186"/>
      <c r="N3042" s="186"/>
    </row>
    <row r="3043" spans="2:14" s="188" customFormat="1" ht="15" customHeight="1">
      <c r="B3043" s="187"/>
      <c r="C3043" s="187"/>
      <c r="D3043" s="187"/>
      <c r="E3043" s="187"/>
      <c r="F3043" s="187"/>
      <c r="G3043" s="187"/>
      <c r="J3043" s="186"/>
      <c r="K3043" s="180"/>
      <c r="L3043" s="180"/>
      <c r="M3043" s="186"/>
      <c r="N3043" s="186"/>
    </row>
    <row r="3044" spans="2:14" s="188" customFormat="1" ht="15" customHeight="1">
      <c r="B3044" s="187"/>
      <c r="C3044" s="187"/>
      <c r="D3044" s="187"/>
      <c r="E3044" s="187"/>
      <c r="F3044" s="187"/>
      <c r="G3044" s="187"/>
      <c r="J3044" s="186"/>
      <c r="K3044" s="180"/>
      <c r="L3044" s="180"/>
      <c r="M3044" s="186"/>
      <c r="N3044" s="186"/>
    </row>
    <row r="3045" spans="2:14" s="188" customFormat="1" ht="15" customHeight="1">
      <c r="B3045" s="187"/>
      <c r="C3045" s="187"/>
      <c r="D3045" s="187"/>
      <c r="E3045" s="187"/>
      <c r="F3045" s="187"/>
      <c r="G3045" s="187"/>
      <c r="J3045" s="186"/>
      <c r="K3045" s="180"/>
      <c r="L3045" s="180"/>
      <c r="M3045" s="186"/>
      <c r="N3045" s="186"/>
    </row>
    <row r="3046" spans="2:14" s="188" customFormat="1" ht="15" customHeight="1">
      <c r="B3046" s="187"/>
      <c r="C3046" s="187"/>
      <c r="D3046" s="187"/>
      <c r="E3046" s="187"/>
      <c r="F3046" s="187"/>
      <c r="G3046" s="187"/>
      <c r="J3046" s="186"/>
      <c r="K3046" s="180"/>
      <c r="L3046" s="180"/>
      <c r="M3046" s="186"/>
      <c r="N3046" s="186"/>
    </row>
    <row r="3047" spans="2:14" s="188" customFormat="1" ht="15" customHeight="1">
      <c r="B3047" s="187"/>
      <c r="C3047" s="187"/>
      <c r="D3047" s="187"/>
      <c r="E3047" s="187"/>
      <c r="F3047" s="187"/>
      <c r="G3047" s="187"/>
      <c r="J3047" s="186"/>
      <c r="K3047" s="180"/>
      <c r="L3047" s="180"/>
      <c r="M3047" s="186"/>
      <c r="N3047" s="186"/>
    </row>
    <row r="3048" spans="2:14" s="188" customFormat="1" ht="15" customHeight="1">
      <c r="B3048" s="187"/>
      <c r="C3048" s="187"/>
      <c r="D3048" s="187"/>
      <c r="E3048" s="187"/>
      <c r="F3048" s="187"/>
      <c r="G3048" s="187"/>
      <c r="J3048" s="186"/>
      <c r="K3048" s="180"/>
      <c r="L3048" s="180"/>
      <c r="M3048" s="186"/>
      <c r="N3048" s="186"/>
    </row>
    <row r="3049" spans="2:14" s="188" customFormat="1" ht="15" customHeight="1">
      <c r="B3049" s="187"/>
      <c r="C3049" s="187"/>
      <c r="D3049" s="187"/>
      <c r="E3049" s="187"/>
      <c r="F3049" s="187"/>
      <c r="G3049" s="187"/>
      <c r="J3049" s="186"/>
      <c r="K3049" s="180"/>
      <c r="L3049" s="180"/>
      <c r="M3049" s="186"/>
      <c r="N3049" s="186"/>
    </row>
    <row r="3050" spans="2:14" s="188" customFormat="1" ht="15" customHeight="1">
      <c r="B3050" s="187"/>
      <c r="C3050" s="187"/>
      <c r="D3050" s="187"/>
      <c r="E3050" s="187"/>
      <c r="F3050" s="187"/>
      <c r="G3050" s="187"/>
      <c r="J3050" s="186"/>
      <c r="K3050" s="180"/>
      <c r="L3050" s="180"/>
      <c r="M3050" s="186"/>
      <c r="N3050" s="186"/>
    </row>
    <row r="3051" spans="2:14" s="188" customFormat="1" ht="15" customHeight="1">
      <c r="B3051" s="187"/>
      <c r="C3051" s="187"/>
      <c r="D3051" s="187"/>
      <c r="E3051" s="187"/>
      <c r="F3051" s="187"/>
      <c r="G3051" s="187"/>
      <c r="J3051" s="186"/>
      <c r="K3051" s="180"/>
      <c r="L3051" s="180"/>
      <c r="M3051" s="186"/>
      <c r="N3051" s="186"/>
    </row>
    <row r="3052" spans="2:14" s="188" customFormat="1" ht="15" customHeight="1">
      <c r="B3052" s="187"/>
      <c r="C3052" s="187"/>
      <c r="D3052" s="187"/>
      <c r="E3052" s="187"/>
      <c r="F3052" s="187"/>
      <c r="G3052" s="187"/>
      <c r="J3052" s="186"/>
      <c r="K3052" s="180"/>
      <c r="L3052" s="180"/>
      <c r="M3052" s="186"/>
      <c r="N3052" s="186"/>
    </row>
    <row r="3053" spans="2:14" s="188" customFormat="1" ht="15" customHeight="1">
      <c r="B3053" s="187"/>
      <c r="C3053" s="187"/>
      <c r="D3053" s="187"/>
      <c r="E3053" s="187"/>
      <c r="F3053" s="187"/>
      <c r="G3053" s="187"/>
      <c r="J3053" s="186"/>
      <c r="K3053" s="180"/>
      <c r="L3053" s="180"/>
      <c r="M3053" s="186"/>
      <c r="N3053" s="186"/>
    </row>
    <row r="3054" spans="2:14" s="188" customFormat="1" ht="15" customHeight="1">
      <c r="B3054" s="187"/>
      <c r="C3054" s="187"/>
      <c r="D3054" s="187"/>
      <c r="E3054" s="187"/>
      <c r="F3054" s="187"/>
      <c r="G3054" s="187"/>
      <c r="J3054" s="186"/>
      <c r="K3054" s="180"/>
      <c r="L3054" s="180"/>
      <c r="M3054" s="186"/>
      <c r="N3054" s="186"/>
    </row>
    <row r="3055" spans="2:14" s="188" customFormat="1" ht="15" customHeight="1">
      <c r="B3055" s="187"/>
      <c r="C3055" s="187"/>
      <c r="D3055" s="187"/>
      <c r="E3055" s="187"/>
      <c r="F3055" s="187"/>
      <c r="G3055" s="187"/>
      <c r="J3055" s="186"/>
      <c r="K3055" s="180"/>
      <c r="L3055" s="180"/>
      <c r="M3055" s="186"/>
      <c r="N3055" s="186"/>
    </row>
    <row r="3056" spans="2:14" s="188" customFormat="1" ht="15" customHeight="1">
      <c r="B3056" s="187"/>
      <c r="C3056" s="187"/>
      <c r="D3056" s="187"/>
      <c r="E3056" s="187"/>
      <c r="F3056" s="187"/>
      <c r="G3056" s="187"/>
      <c r="J3056" s="186"/>
      <c r="K3056" s="180"/>
      <c r="L3056" s="180"/>
      <c r="M3056" s="186"/>
      <c r="N3056" s="186"/>
    </row>
    <row r="3057" spans="2:14" s="188" customFormat="1" ht="15" customHeight="1">
      <c r="B3057" s="187"/>
      <c r="C3057" s="187"/>
      <c r="D3057" s="187"/>
      <c r="E3057" s="187"/>
      <c r="F3057" s="187"/>
      <c r="G3057" s="187"/>
      <c r="J3057" s="186"/>
      <c r="K3057" s="180"/>
      <c r="L3057" s="180"/>
      <c r="M3057" s="186"/>
      <c r="N3057" s="186"/>
    </row>
    <row r="3058" spans="2:14" s="188" customFormat="1" ht="15" customHeight="1">
      <c r="B3058" s="187"/>
      <c r="C3058" s="187"/>
      <c r="D3058" s="187"/>
      <c r="E3058" s="187"/>
      <c r="F3058" s="187"/>
      <c r="G3058" s="187"/>
      <c r="J3058" s="186"/>
      <c r="K3058" s="180"/>
      <c r="L3058" s="180"/>
      <c r="M3058" s="186"/>
      <c r="N3058" s="186"/>
    </row>
    <row r="3059" spans="2:14" s="188" customFormat="1" ht="15" customHeight="1">
      <c r="B3059" s="187"/>
      <c r="C3059" s="187"/>
      <c r="D3059" s="187"/>
      <c r="E3059" s="187"/>
      <c r="F3059" s="187"/>
      <c r="G3059" s="187"/>
      <c r="J3059" s="186"/>
      <c r="K3059" s="180"/>
      <c r="L3059" s="180"/>
      <c r="M3059" s="186"/>
      <c r="N3059" s="186"/>
    </row>
    <row r="3060" spans="2:14" s="188" customFormat="1" ht="15" customHeight="1">
      <c r="B3060" s="187"/>
      <c r="C3060" s="187"/>
      <c r="D3060" s="187"/>
      <c r="E3060" s="187"/>
      <c r="F3060" s="187"/>
      <c r="G3060" s="187"/>
      <c r="J3060" s="186"/>
      <c r="K3060" s="180"/>
      <c r="L3060" s="180"/>
      <c r="M3060" s="186"/>
      <c r="N3060" s="186"/>
    </row>
    <row r="3061" spans="2:14" s="188" customFormat="1" ht="15" customHeight="1">
      <c r="B3061" s="187"/>
      <c r="C3061" s="187"/>
      <c r="D3061" s="187"/>
      <c r="E3061" s="187"/>
      <c r="F3061" s="187"/>
      <c r="G3061" s="187"/>
      <c r="J3061" s="186"/>
      <c r="K3061" s="180"/>
      <c r="L3061" s="180"/>
      <c r="M3061" s="186"/>
      <c r="N3061" s="186"/>
    </row>
    <row r="3062" spans="2:14" s="188" customFormat="1" ht="15" customHeight="1">
      <c r="B3062" s="187"/>
      <c r="C3062" s="187"/>
      <c r="D3062" s="187"/>
      <c r="E3062" s="187"/>
      <c r="F3062" s="187"/>
      <c r="G3062" s="187"/>
      <c r="J3062" s="186"/>
      <c r="K3062" s="180"/>
      <c r="L3062" s="180"/>
      <c r="M3062" s="186"/>
      <c r="N3062" s="186"/>
    </row>
    <row r="3063" spans="2:14" s="188" customFormat="1" ht="15" customHeight="1">
      <c r="B3063" s="187"/>
      <c r="C3063" s="187"/>
      <c r="D3063" s="187"/>
      <c r="E3063" s="187"/>
      <c r="F3063" s="187"/>
      <c r="G3063" s="187"/>
      <c r="J3063" s="186"/>
      <c r="K3063" s="180"/>
      <c r="L3063" s="180"/>
      <c r="M3063" s="186"/>
      <c r="N3063" s="186"/>
    </row>
    <row r="3064" spans="2:14" s="188" customFormat="1" ht="15" customHeight="1">
      <c r="B3064" s="187"/>
      <c r="C3064" s="187"/>
      <c r="D3064" s="187"/>
      <c r="E3064" s="187"/>
      <c r="F3064" s="187"/>
      <c r="G3064" s="187"/>
      <c r="J3064" s="186"/>
      <c r="K3064" s="180"/>
      <c r="L3064" s="180"/>
      <c r="M3064" s="186"/>
      <c r="N3064" s="186"/>
    </row>
    <row r="3065" spans="2:14" s="188" customFormat="1" ht="15" customHeight="1">
      <c r="B3065" s="187"/>
      <c r="C3065" s="187"/>
      <c r="D3065" s="187"/>
      <c r="E3065" s="187"/>
      <c r="F3065" s="187"/>
      <c r="G3065" s="187"/>
      <c r="J3065" s="186"/>
      <c r="K3065" s="180"/>
      <c r="L3065" s="180"/>
      <c r="M3065" s="186"/>
      <c r="N3065" s="186"/>
    </row>
    <row r="3066" spans="2:14" s="188" customFormat="1" ht="15" customHeight="1">
      <c r="B3066" s="187"/>
      <c r="C3066" s="187"/>
      <c r="D3066" s="187"/>
      <c r="E3066" s="187"/>
      <c r="F3066" s="187"/>
      <c r="G3066" s="187"/>
      <c r="J3066" s="186"/>
      <c r="K3066" s="180"/>
      <c r="L3066" s="180"/>
      <c r="M3066" s="186"/>
      <c r="N3066" s="186"/>
    </row>
    <row r="3067" spans="2:14" s="188" customFormat="1" ht="15" customHeight="1">
      <c r="B3067" s="187"/>
      <c r="C3067" s="187"/>
      <c r="D3067" s="187"/>
      <c r="E3067" s="187"/>
      <c r="F3067" s="187"/>
      <c r="G3067" s="187"/>
      <c r="J3067" s="186"/>
      <c r="K3067" s="180"/>
      <c r="L3067" s="180"/>
      <c r="M3067" s="186"/>
      <c r="N3067" s="186"/>
    </row>
    <row r="3068" spans="2:14" s="188" customFormat="1" ht="15" customHeight="1">
      <c r="B3068" s="187"/>
      <c r="C3068" s="187"/>
      <c r="D3068" s="187"/>
      <c r="E3068" s="187"/>
      <c r="F3068" s="187"/>
      <c r="G3068" s="187"/>
      <c r="J3068" s="186"/>
      <c r="K3068" s="180"/>
      <c r="L3068" s="180"/>
      <c r="M3068" s="186"/>
      <c r="N3068" s="186"/>
    </row>
    <row r="3069" spans="2:14" s="188" customFormat="1" ht="15" customHeight="1">
      <c r="B3069" s="187"/>
      <c r="C3069" s="187"/>
      <c r="D3069" s="187"/>
      <c r="E3069" s="187"/>
      <c r="F3069" s="187"/>
      <c r="G3069" s="187"/>
      <c r="J3069" s="186"/>
      <c r="K3069" s="180"/>
      <c r="L3069" s="180"/>
      <c r="M3069" s="186"/>
      <c r="N3069" s="186"/>
    </row>
    <row r="3070" spans="2:14" s="188" customFormat="1" ht="15" customHeight="1">
      <c r="B3070" s="187"/>
      <c r="C3070" s="187"/>
      <c r="D3070" s="187"/>
      <c r="E3070" s="187"/>
      <c r="F3070" s="187"/>
      <c r="G3070" s="187"/>
      <c r="J3070" s="186"/>
      <c r="K3070" s="180"/>
      <c r="L3070" s="180"/>
      <c r="M3070" s="186"/>
      <c r="N3070" s="186"/>
    </row>
    <row r="3071" spans="2:14" s="188" customFormat="1" ht="15" customHeight="1">
      <c r="B3071" s="187"/>
      <c r="C3071" s="187"/>
      <c r="D3071" s="187"/>
      <c r="E3071" s="187"/>
      <c r="F3071" s="187"/>
      <c r="G3071" s="187"/>
      <c r="J3071" s="186"/>
      <c r="K3071" s="180"/>
      <c r="L3071" s="180"/>
      <c r="M3071" s="186"/>
      <c r="N3071" s="186"/>
    </row>
    <row r="3072" spans="2:14" s="188" customFormat="1" ht="15" customHeight="1">
      <c r="B3072" s="187"/>
      <c r="C3072" s="187"/>
      <c r="D3072" s="187"/>
      <c r="E3072" s="187"/>
      <c r="F3072" s="187"/>
      <c r="G3072" s="187"/>
      <c r="J3072" s="186"/>
      <c r="K3072" s="180"/>
      <c r="L3072" s="180"/>
      <c r="M3072" s="186"/>
      <c r="N3072" s="186"/>
    </row>
    <row r="3073" spans="2:14" s="188" customFormat="1" ht="15" customHeight="1">
      <c r="B3073" s="187"/>
      <c r="C3073" s="187"/>
      <c r="D3073" s="187"/>
      <c r="E3073" s="187"/>
      <c r="F3073" s="187"/>
      <c r="G3073" s="187"/>
      <c r="J3073" s="186"/>
      <c r="K3073" s="180"/>
      <c r="L3073" s="180"/>
      <c r="M3073" s="186"/>
      <c r="N3073" s="186"/>
    </row>
    <row r="3074" spans="2:14" s="188" customFormat="1" ht="15" customHeight="1">
      <c r="B3074" s="187"/>
      <c r="C3074" s="187"/>
      <c r="D3074" s="187"/>
      <c r="E3074" s="187"/>
      <c r="F3074" s="187"/>
      <c r="G3074" s="187"/>
      <c r="J3074" s="186"/>
      <c r="K3074" s="180"/>
      <c r="L3074" s="180"/>
      <c r="M3074" s="186"/>
      <c r="N3074" s="186"/>
    </row>
    <row r="3075" spans="2:14" s="188" customFormat="1" ht="15" customHeight="1">
      <c r="B3075" s="187"/>
      <c r="C3075" s="187"/>
      <c r="D3075" s="187"/>
      <c r="E3075" s="187"/>
      <c r="F3075" s="187"/>
      <c r="G3075" s="187"/>
      <c r="J3075" s="186"/>
      <c r="K3075" s="180"/>
      <c r="L3075" s="180"/>
      <c r="M3075" s="186"/>
      <c r="N3075" s="186"/>
    </row>
    <row r="3076" spans="2:14" s="188" customFormat="1" ht="15" customHeight="1">
      <c r="B3076" s="187"/>
      <c r="C3076" s="187"/>
      <c r="D3076" s="187"/>
      <c r="E3076" s="187"/>
      <c r="F3076" s="187"/>
      <c r="G3076" s="187"/>
      <c r="J3076" s="186"/>
      <c r="K3076" s="180"/>
      <c r="L3076" s="180"/>
      <c r="M3076" s="186"/>
      <c r="N3076" s="186"/>
    </row>
    <row r="3077" spans="2:14" s="188" customFormat="1" ht="15" customHeight="1">
      <c r="B3077" s="187"/>
      <c r="C3077" s="187"/>
      <c r="D3077" s="187"/>
      <c r="E3077" s="187"/>
      <c r="F3077" s="187"/>
      <c r="G3077" s="187"/>
      <c r="J3077" s="186"/>
      <c r="K3077" s="180"/>
      <c r="L3077" s="180"/>
      <c r="M3077" s="186"/>
      <c r="N3077" s="186"/>
    </row>
    <row r="3078" spans="2:14" s="188" customFormat="1" ht="15" customHeight="1">
      <c r="B3078" s="187"/>
      <c r="C3078" s="187"/>
      <c r="D3078" s="187"/>
      <c r="E3078" s="187"/>
      <c r="F3078" s="187"/>
      <c r="G3078" s="187"/>
      <c r="J3078" s="186"/>
      <c r="K3078" s="180"/>
      <c r="L3078" s="180"/>
      <c r="M3078" s="186"/>
      <c r="N3078" s="186"/>
    </row>
    <row r="3079" spans="2:14" s="188" customFormat="1" ht="15" customHeight="1">
      <c r="B3079" s="187"/>
      <c r="C3079" s="187"/>
      <c r="D3079" s="187"/>
      <c r="E3079" s="187"/>
      <c r="F3079" s="187"/>
      <c r="G3079" s="187"/>
      <c r="J3079" s="186"/>
      <c r="K3079" s="180"/>
      <c r="L3079" s="180"/>
      <c r="M3079" s="186"/>
      <c r="N3079" s="186"/>
    </row>
    <row r="3080" spans="2:14" s="188" customFormat="1" ht="15" customHeight="1">
      <c r="B3080" s="187"/>
      <c r="C3080" s="187"/>
      <c r="D3080" s="187"/>
      <c r="E3080" s="187"/>
      <c r="F3080" s="187"/>
      <c r="G3080" s="187"/>
      <c r="J3080" s="186"/>
      <c r="K3080" s="180"/>
      <c r="L3080" s="180"/>
      <c r="M3080" s="186"/>
      <c r="N3080" s="186"/>
    </row>
    <row r="3081" spans="2:14" s="188" customFormat="1" ht="15" customHeight="1">
      <c r="B3081" s="187"/>
      <c r="C3081" s="187"/>
      <c r="D3081" s="187"/>
      <c r="E3081" s="187"/>
      <c r="F3081" s="187"/>
      <c r="G3081" s="187"/>
      <c r="J3081" s="186"/>
      <c r="K3081" s="180"/>
      <c r="L3081" s="180"/>
      <c r="M3081" s="186"/>
      <c r="N3081" s="186"/>
    </row>
    <row r="3082" spans="2:14" s="188" customFormat="1" ht="15" customHeight="1">
      <c r="B3082" s="187"/>
      <c r="C3082" s="187"/>
      <c r="D3082" s="187"/>
      <c r="E3082" s="187"/>
      <c r="F3082" s="187"/>
      <c r="G3082" s="187"/>
      <c r="J3082" s="186"/>
      <c r="K3082" s="180"/>
      <c r="L3082" s="180"/>
      <c r="M3082" s="186"/>
      <c r="N3082" s="186"/>
    </row>
    <row r="3083" spans="2:14" s="188" customFormat="1" ht="15" customHeight="1">
      <c r="B3083" s="187"/>
      <c r="C3083" s="187"/>
      <c r="D3083" s="187"/>
      <c r="E3083" s="187"/>
      <c r="F3083" s="187"/>
      <c r="G3083" s="187"/>
      <c r="J3083" s="186"/>
      <c r="K3083" s="180"/>
      <c r="L3083" s="180"/>
      <c r="M3083" s="186"/>
      <c r="N3083" s="186"/>
    </row>
    <row r="3084" spans="2:14" s="188" customFormat="1" ht="15" customHeight="1">
      <c r="B3084" s="187"/>
      <c r="C3084" s="187"/>
      <c r="D3084" s="187"/>
      <c r="E3084" s="187"/>
      <c r="F3084" s="187"/>
      <c r="G3084" s="187"/>
      <c r="J3084" s="186"/>
      <c r="K3084" s="180"/>
      <c r="L3084" s="180"/>
      <c r="M3084" s="186"/>
      <c r="N3084" s="186"/>
    </row>
    <row r="3085" spans="2:14" s="188" customFormat="1" ht="15" customHeight="1">
      <c r="B3085" s="187"/>
      <c r="C3085" s="187"/>
      <c r="D3085" s="187"/>
      <c r="E3085" s="187"/>
      <c r="F3085" s="187"/>
      <c r="G3085" s="187"/>
      <c r="J3085" s="186"/>
      <c r="K3085" s="180"/>
      <c r="L3085" s="180"/>
      <c r="M3085" s="186"/>
      <c r="N3085" s="186"/>
    </row>
    <row r="3086" spans="2:14" s="188" customFormat="1" ht="15" customHeight="1">
      <c r="B3086" s="187"/>
      <c r="C3086" s="187"/>
      <c r="D3086" s="187"/>
      <c r="E3086" s="187"/>
      <c r="F3086" s="187"/>
      <c r="G3086" s="187"/>
      <c r="J3086" s="186"/>
      <c r="K3086" s="180"/>
      <c r="L3086" s="180"/>
      <c r="M3086" s="186"/>
      <c r="N3086" s="186"/>
    </row>
    <row r="3087" spans="2:14" s="188" customFormat="1" ht="15" customHeight="1">
      <c r="B3087" s="187"/>
      <c r="C3087" s="187"/>
      <c r="D3087" s="187"/>
      <c r="E3087" s="187"/>
      <c r="F3087" s="187"/>
      <c r="G3087" s="187"/>
      <c r="J3087" s="186"/>
      <c r="K3087" s="180"/>
      <c r="L3087" s="180"/>
      <c r="M3087" s="186"/>
      <c r="N3087" s="186"/>
    </row>
    <row r="3088" spans="2:14" s="188" customFormat="1" ht="15" customHeight="1">
      <c r="B3088" s="187"/>
      <c r="C3088" s="187"/>
      <c r="D3088" s="187"/>
      <c r="E3088" s="187"/>
      <c r="F3088" s="187"/>
      <c r="G3088" s="187"/>
      <c r="J3088" s="186"/>
      <c r="K3088" s="180"/>
      <c r="L3088" s="180"/>
      <c r="M3088" s="186"/>
      <c r="N3088" s="186"/>
    </row>
    <row r="3089" spans="2:14" s="188" customFormat="1" ht="15" customHeight="1">
      <c r="B3089" s="187"/>
      <c r="C3089" s="187"/>
      <c r="D3089" s="187"/>
      <c r="E3089" s="187"/>
      <c r="F3089" s="187"/>
      <c r="G3089" s="187"/>
      <c r="J3089" s="186"/>
      <c r="K3089" s="180"/>
      <c r="L3089" s="180"/>
      <c r="M3089" s="186"/>
      <c r="N3089" s="186"/>
    </row>
    <row r="3090" spans="2:14" s="188" customFormat="1" ht="15" customHeight="1">
      <c r="B3090" s="187"/>
      <c r="C3090" s="187"/>
      <c r="D3090" s="187"/>
      <c r="E3090" s="187"/>
      <c r="F3090" s="187"/>
      <c r="G3090" s="187"/>
      <c r="J3090" s="186"/>
      <c r="K3090" s="180"/>
      <c r="L3090" s="180"/>
      <c r="M3090" s="186"/>
      <c r="N3090" s="186"/>
    </row>
    <row r="3091" spans="2:14" s="188" customFormat="1" ht="15" customHeight="1">
      <c r="B3091" s="187"/>
      <c r="C3091" s="187"/>
      <c r="D3091" s="187"/>
      <c r="E3091" s="187"/>
      <c r="F3091" s="187"/>
      <c r="G3091" s="187"/>
      <c r="J3091" s="186"/>
      <c r="K3091" s="180"/>
      <c r="L3091" s="180"/>
      <c r="M3091" s="186"/>
      <c r="N3091" s="186"/>
    </row>
    <row r="3092" spans="2:14" s="188" customFormat="1" ht="15" customHeight="1">
      <c r="B3092" s="187"/>
      <c r="C3092" s="187"/>
      <c r="D3092" s="187"/>
      <c r="E3092" s="187"/>
      <c r="F3092" s="187"/>
      <c r="G3092" s="187"/>
      <c r="J3092" s="186"/>
      <c r="K3092" s="180"/>
      <c r="L3092" s="180"/>
      <c r="M3092" s="186"/>
      <c r="N3092" s="186"/>
    </row>
    <row r="3093" spans="2:14" s="188" customFormat="1" ht="15" customHeight="1">
      <c r="B3093" s="187"/>
      <c r="C3093" s="187"/>
      <c r="D3093" s="187"/>
      <c r="E3093" s="187"/>
      <c r="F3093" s="187"/>
      <c r="G3093" s="187"/>
      <c r="J3093" s="186"/>
      <c r="K3093" s="180"/>
      <c r="L3093" s="180"/>
      <c r="M3093" s="186"/>
      <c r="N3093" s="186"/>
    </row>
    <row r="3094" spans="2:14" s="188" customFormat="1" ht="15" customHeight="1">
      <c r="B3094" s="187"/>
      <c r="C3094" s="187"/>
      <c r="D3094" s="187"/>
      <c r="E3094" s="187"/>
      <c r="F3094" s="187"/>
      <c r="G3094" s="187"/>
      <c r="J3094" s="186"/>
      <c r="K3094" s="180"/>
      <c r="L3094" s="180"/>
      <c r="M3094" s="186"/>
      <c r="N3094" s="186"/>
    </row>
    <row r="3095" spans="2:14" s="188" customFormat="1" ht="15" customHeight="1">
      <c r="B3095" s="187"/>
      <c r="C3095" s="187"/>
      <c r="D3095" s="187"/>
      <c r="E3095" s="187"/>
      <c r="F3095" s="187"/>
      <c r="G3095" s="187"/>
      <c r="J3095" s="186"/>
      <c r="K3095" s="180"/>
      <c r="L3095" s="180"/>
      <c r="M3095" s="186"/>
      <c r="N3095" s="186"/>
    </row>
    <row r="3096" spans="2:14" s="188" customFormat="1" ht="15" customHeight="1">
      <c r="B3096" s="187"/>
      <c r="C3096" s="187"/>
      <c r="D3096" s="187"/>
      <c r="E3096" s="187"/>
      <c r="F3096" s="187"/>
      <c r="G3096" s="187"/>
      <c r="J3096" s="186"/>
      <c r="K3096" s="180"/>
      <c r="L3096" s="180"/>
      <c r="M3096" s="186"/>
      <c r="N3096" s="186"/>
    </row>
    <row r="3097" spans="2:14" s="188" customFormat="1" ht="15" customHeight="1">
      <c r="B3097" s="187"/>
      <c r="C3097" s="187"/>
      <c r="D3097" s="187"/>
      <c r="E3097" s="187"/>
      <c r="F3097" s="187"/>
      <c r="G3097" s="187"/>
      <c r="J3097" s="186"/>
      <c r="K3097" s="180"/>
      <c r="L3097" s="180"/>
      <c r="M3097" s="186"/>
      <c r="N3097" s="186"/>
    </row>
    <row r="3098" spans="2:14" s="188" customFormat="1" ht="15" customHeight="1">
      <c r="B3098" s="187"/>
      <c r="C3098" s="187"/>
      <c r="D3098" s="187"/>
      <c r="E3098" s="187"/>
      <c r="F3098" s="187"/>
      <c r="G3098" s="187"/>
      <c r="J3098" s="186"/>
      <c r="K3098" s="180"/>
      <c r="L3098" s="180"/>
      <c r="M3098" s="186"/>
      <c r="N3098" s="186"/>
    </row>
    <row r="3099" spans="2:14" s="188" customFormat="1" ht="15" customHeight="1">
      <c r="B3099" s="187"/>
      <c r="C3099" s="187"/>
      <c r="D3099" s="187"/>
      <c r="E3099" s="187"/>
      <c r="F3099" s="187"/>
      <c r="G3099" s="187"/>
      <c r="J3099" s="186"/>
      <c r="K3099" s="180"/>
      <c r="L3099" s="180"/>
      <c r="M3099" s="186"/>
      <c r="N3099" s="186"/>
    </row>
    <row r="3100" spans="2:14" s="188" customFormat="1" ht="15" customHeight="1">
      <c r="B3100" s="187"/>
      <c r="C3100" s="187"/>
      <c r="D3100" s="187"/>
      <c r="E3100" s="187"/>
      <c r="F3100" s="187"/>
      <c r="G3100" s="187"/>
      <c r="J3100" s="186"/>
      <c r="K3100" s="180"/>
      <c r="L3100" s="180"/>
      <c r="M3100" s="186"/>
      <c r="N3100" s="186"/>
    </row>
    <row r="3101" spans="2:14" s="188" customFormat="1" ht="15" customHeight="1">
      <c r="B3101" s="187"/>
      <c r="C3101" s="187"/>
      <c r="D3101" s="187"/>
      <c r="E3101" s="187"/>
      <c r="F3101" s="187"/>
      <c r="G3101" s="187"/>
      <c r="J3101" s="186"/>
      <c r="K3101" s="180"/>
      <c r="L3101" s="180"/>
      <c r="M3101" s="186"/>
      <c r="N3101" s="186"/>
    </row>
    <row r="3102" spans="2:14" s="188" customFormat="1" ht="15" customHeight="1">
      <c r="B3102" s="187"/>
      <c r="C3102" s="187"/>
      <c r="D3102" s="187"/>
      <c r="E3102" s="187"/>
      <c r="F3102" s="187"/>
      <c r="G3102" s="187"/>
      <c r="J3102" s="186"/>
      <c r="K3102" s="180"/>
      <c r="L3102" s="180"/>
      <c r="M3102" s="186"/>
      <c r="N3102" s="186"/>
    </row>
    <row r="3103" spans="2:14" s="188" customFormat="1" ht="15" customHeight="1">
      <c r="B3103" s="187"/>
      <c r="C3103" s="187"/>
      <c r="D3103" s="187"/>
      <c r="E3103" s="187"/>
      <c r="F3103" s="187"/>
      <c r="G3103" s="187"/>
      <c r="J3103" s="186"/>
      <c r="K3103" s="180"/>
      <c r="L3103" s="180"/>
      <c r="M3103" s="186"/>
      <c r="N3103" s="186"/>
    </row>
    <row r="3104" spans="2:14" s="188" customFormat="1" ht="15" customHeight="1">
      <c r="B3104" s="187"/>
      <c r="C3104" s="187"/>
      <c r="D3104" s="187"/>
      <c r="E3104" s="187"/>
      <c r="F3104" s="187"/>
      <c r="G3104" s="187"/>
      <c r="J3104" s="186"/>
      <c r="K3104" s="180"/>
      <c r="L3104" s="180"/>
      <c r="M3104" s="186"/>
      <c r="N3104" s="186"/>
    </row>
    <row r="3105" spans="2:14" s="188" customFormat="1" ht="15" customHeight="1">
      <c r="B3105" s="187"/>
      <c r="C3105" s="187"/>
      <c r="D3105" s="187"/>
      <c r="E3105" s="187"/>
      <c r="F3105" s="187"/>
      <c r="G3105" s="187"/>
      <c r="J3105" s="186"/>
      <c r="K3105" s="180"/>
      <c r="L3105" s="180"/>
      <c r="M3105" s="186"/>
      <c r="N3105" s="186"/>
    </row>
    <row r="3106" spans="2:14" s="188" customFormat="1" ht="15" customHeight="1">
      <c r="B3106" s="187"/>
      <c r="C3106" s="187"/>
      <c r="D3106" s="187"/>
      <c r="E3106" s="187"/>
      <c r="F3106" s="187"/>
      <c r="G3106" s="187"/>
      <c r="J3106" s="186"/>
      <c r="K3106" s="180"/>
      <c r="L3106" s="180"/>
      <c r="M3106" s="186"/>
      <c r="N3106" s="186"/>
    </row>
    <row r="3107" spans="2:14" s="188" customFormat="1" ht="15" customHeight="1">
      <c r="B3107" s="187"/>
      <c r="C3107" s="187"/>
      <c r="D3107" s="187"/>
      <c r="E3107" s="187"/>
      <c r="F3107" s="187"/>
      <c r="G3107" s="187"/>
      <c r="J3107" s="186"/>
      <c r="K3107" s="180"/>
      <c r="L3107" s="180"/>
      <c r="M3107" s="186"/>
      <c r="N3107" s="186"/>
    </row>
    <row r="3108" spans="2:14" s="188" customFormat="1" ht="15" customHeight="1">
      <c r="B3108" s="187"/>
      <c r="C3108" s="187"/>
      <c r="D3108" s="187"/>
      <c r="E3108" s="187"/>
      <c r="F3108" s="187"/>
      <c r="G3108" s="187"/>
      <c r="J3108" s="186"/>
      <c r="K3108" s="180"/>
      <c r="L3108" s="180"/>
      <c r="M3108" s="186"/>
      <c r="N3108" s="186"/>
    </row>
    <row r="3109" spans="2:14" s="188" customFormat="1" ht="15" customHeight="1">
      <c r="B3109" s="187"/>
      <c r="C3109" s="187"/>
      <c r="D3109" s="187"/>
      <c r="E3109" s="187"/>
      <c r="F3109" s="187"/>
      <c r="G3109" s="187"/>
      <c r="J3109" s="186"/>
      <c r="K3109" s="180"/>
      <c r="L3109" s="180"/>
      <c r="M3109" s="186"/>
      <c r="N3109" s="186"/>
    </row>
    <row r="3110" spans="2:14" s="188" customFormat="1" ht="15" customHeight="1">
      <c r="B3110" s="187"/>
      <c r="C3110" s="187"/>
      <c r="D3110" s="187"/>
      <c r="E3110" s="187"/>
      <c r="F3110" s="187"/>
      <c r="G3110" s="187"/>
      <c r="J3110" s="186"/>
      <c r="K3110" s="180"/>
      <c r="L3110" s="180"/>
      <c r="M3110" s="186"/>
      <c r="N3110" s="186"/>
    </row>
    <row r="3111" spans="2:14" s="188" customFormat="1" ht="15" customHeight="1">
      <c r="B3111" s="187"/>
      <c r="C3111" s="187"/>
      <c r="D3111" s="187"/>
      <c r="E3111" s="187"/>
      <c r="F3111" s="187"/>
      <c r="G3111" s="187"/>
      <c r="J3111" s="186"/>
      <c r="K3111" s="180"/>
      <c r="L3111" s="180"/>
      <c r="M3111" s="186"/>
      <c r="N3111" s="186"/>
    </row>
    <row r="3112" spans="2:14" s="188" customFormat="1" ht="15" customHeight="1">
      <c r="B3112" s="187"/>
      <c r="C3112" s="187"/>
      <c r="D3112" s="187"/>
      <c r="E3112" s="187"/>
      <c r="F3112" s="187"/>
      <c r="G3112" s="187"/>
      <c r="J3112" s="186"/>
      <c r="K3112" s="180"/>
      <c r="L3112" s="180"/>
      <c r="M3112" s="186"/>
      <c r="N3112" s="186"/>
    </row>
    <row r="3113" spans="2:14" s="188" customFormat="1" ht="15" customHeight="1">
      <c r="B3113" s="187"/>
      <c r="C3113" s="187"/>
      <c r="D3113" s="187"/>
      <c r="E3113" s="187"/>
      <c r="F3113" s="187"/>
      <c r="G3113" s="187"/>
      <c r="J3113" s="186"/>
      <c r="K3113" s="180"/>
      <c r="L3113" s="180"/>
      <c r="M3113" s="186"/>
      <c r="N3113" s="186"/>
    </row>
    <row r="3114" spans="2:14" s="188" customFormat="1" ht="15" customHeight="1">
      <c r="B3114" s="187"/>
      <c r="C3114" s="187"/>
      <c r="D3114" s="187"/>
      <c r="E3114" s="187"/>
      <c r="F3114" s="187"/>
      <c r="G3114" s="187"/>
      <c r="J3114" s="186"/>
      <c r="K3114" s="180"/>
      <c r="L3114" s="180"/>
      <c r="M3114" s="186"/>
      <c r="N3114" s="186"/>
    </row>
    <row r="3115" spans="2:14" s="188" customFormat="1" ht="15" customHeight="1">
      <c r="B3115" s="187"/>
      <c r="C3115" s="187"/>
      <c r="D3115" s="187"/>
      <c r="E3115" s="187"/>
      <c r="F3115" s="187"/>
      <c r="G3115" s="187"/>
      <c r="J3115" s="186"/>
      <c r="K3115" s="180"/>
      <c r="L3115" s="180"/>
      <c r="M3115" s="186"/>
      <c r="N3115" s="186"/>
    </row>
    <row r="3116" spans="2:14" s="188" customFormat="1" ht="15" customHeight="1">
      <c r="B3116" s="187"/>
      <c r="C3116" s="187"/>
      <c r="D3116" s="187"/>
      <c r="E3116" s="187"/>
      <c r="F3116" s="187"/>
      <c r="G3116" s="187"/>
      <c r="J3116" s="186"/>
      <c r="K3116" s="180"/>
      <c r="L3116" s="180"/>
      <c r="M3116" s="186"/>
      <c r="N3116" s="186"/>
    </row>
    <row r="3117" spans="2:14" s="188" customFormat="1" ht="15" customHeight="1">
      <c r="B3117" s="187"/>
      <c r="C3117" s="187"/>
      <c r="D3117" s="187"/>
      <c r="E3117" s="187"/>
      <c r="F3117" s="187"/>
      <c r="G3117" s="187"/>
      <c r="J3117" s="186"/>
      <c r="K3117" s="180"/>
      <c r="L3117" s="180"/>
      <c r="M3117" s="186"/>
      <c r="N3117" s="186"/>
    </row>
    <row r="3118" spans="2:14" s="188" customFormat="1" ht="15" customHeight="1">
      <c r="B3118" s="187"/>
      <c r="C3118" s="187"/>
      <c r="D3118" s="187"/>
      <c r="E3118" s="187"/>
      <c r="F3118" s="187"/>
      <c r="G3118" s="187"/>
      <c r="J3118" s="186"/>
      <c r="K3118" s="180"/>
      <c r="L3118" s="180"/>
      <c r="M3118" s="186"/>
      <c r="N3118" s="186"/>
    </row>
    <row r="3119" spans="2:14" s="188" customFormat="1" ht="15" customHeight="1">
      <c r="B3119" s="187"/>
      <c r="C3119" s="187"/>
      <c r="D3119" s="187"/>
      <c r="E3119" s="187"/>
      <c r="F3119" s="187"/>
      <c r="G3119" s="187"/>
      <c r="J3119" s="186"/>
      <c r="K3119" s="180"/>
      <c r="L3119" s="180"/>
      <c r="M3119" s="186"/>
      <c r="N3119" s="186"/>
    </row>
    <row r="3120" spans="2:14" s="188" customFormat="1" ht="15" customHeight="1">
      <c r="B3120" s="187"/>
      <c r="C3120" s="187"/>
      <c r="D3120" s="187"/>
      <c r="E3120" s="187"/>
      <c r="F3120" s="187"/>
      <c r="G3120" s="187"/>
      <c r="J3120" s="186"/>
      <c r="K3120" s="180"/>
      <c r="L3120" s="180"/>
      <c r="M3120" s="186"/>
      <c r="N3120" s="186"/>
    </row>
    <row r="3121" spans="2:14" s="188" customFormat="1" ht="15" customHeight="1">
      <c r="B3121" s="187"/>
      <c r="C3121" s="187"/>
      <c r="D3121" s="187"/>
      <c r="E3121" s="187"/>
      <c r="F3121" s="187"/>
      <c r="G3121" s="187"/>
      <c r="J3121" s="186"/>
      <c r="K3121" s="180"/>
      <c r="L3121" s="180"/>
      <c r="M3121" s="186"/>
      <c r="N3121" s="186"/>
    </row>
    <row r="3122" spans="2:14" s="188" customFormat="1" ht="15" customHeight="1">
      <c r="B3122" s="187"/>
      <c r="C3122" s="187"/>
      <c r="D3122" s="187"/>
      <c r="E3122" s="187"/>
      <c r="F3122" s="187"/>
      <c r="G3122" s="187"/>
      <c r="J3122" s="186"/>
      <c r="K3122" s="180"/>
      <c r="L3122" s="180"/>
      <c r="M3122" s="186"/>
      <c r="N3122" s="186"/>
    </row>
    <row r="3123" spans="2:14" s="188" customFormat="1" ht="15" customHeight="1">
      <c r="B3123" s="187"/>
      <c r="C3123" s="187"/>
      <c r="D3123" s="187"/>
      <c r="E3123" s="187"/>
      <c r="F3123" s="187"/>
      <c r="G3123" s="187"/>
      <c r="J3123" s="186"/>
      <c r="K3123" s="180"/>
      <c r="L3123" s="180"/>
      <c r="M3123" s="186"/>
      <c r="N3123" s="186"/>
    </row>
    <row r="3124" spans="2:14" s="188" customFormat="1" ht="15" customHeight="1">
      <c r="B3124" s="187"/>
      <c r="C3124" s="187"/>
      <c r="D3124" s="187"/>
      <c r="E3124" s="187"/>
      <c r="F3124" s="187"/>
      <c r="G3124" s="187"/>
      <c r="J3124" s="186"/>
      <c r="K3124" s="180"/>
      <c r="L3124" s="180"/>
      <c r="M3124" s="186"/>
      <c r="N3124" s="186"/>
    </row>
    <row r="3125" spans="2:14" s="188" customFormat="1" ht="15" customHeight="1">
      <c r="B3125" s="187"/>
      <c r="C3125" s="187"/>
      <c r="D3125" s="187"/>
      <c r="E3125" s="187"/>
      <c r="F3125" s="187"/>
      <c r="G3125" s="187"/>
      <c r="J3125" s="186"/>
      <c r="K3125" s="180"/>
      <c r="L3125" s="180"/>
      <c r="M3125" s="186"/>
      <c r="N3125" s="186"/>
    </row>
    <row r="3126" spans="2:14" s="188" customFormat="1" ht="15" customHeight="1">
      <c r="B3126" s="187"/>
      <c r="C3126" s="187"/>
      <c r="D3126" s="187"/>
      <c r="E3126" s="187"/>
      <c r="F3126" s="187"/>
      <c r="G3126" s="187"/>
      <c r="J3126" s="186"/>
      <c r="K3126" s="180"/>
      <c r="L3126" s="180"/>
      <c r="M3126" s="186"/>
      <c r="N3126" s="186"/>
    </row>
    <row r="3127" spans="2:14" s="188" customFormat="1" ht="15" customHeight="1">
      <c r="B3127" s="187"/>
      <c r="C3127" s="187"/>
      <c r="D3127" s="187"/>
      <c r="E3127" s="187"/>
      <c r="F3127" s="187"/>
      <c r="G3127" s="187"/>
      <c r="J3127" s="186"/>
      <c r="K3127" s="180"/>
      <c r="L3127" s="180"/>
      <c r="M3127" s="186"/>
      <c r="N3127" s="186"/>
    </row>
    <row r="3128" spans="2:14" s="188" customFormat="1" ht="15" customHeight="1">
      <c r="B3128" s="187"/>
      <c r="C3128" s="187"/>
      <c r="D3128" s="187"/>
      <c r="E3128" s="187"/>
      <c r="F3128" s="187"/>
      <c r="G3128" s="187"/>
      <c r="J3128" s="186"/>
      <c r="K3128" s="180"/>
      <c r="L3128" s="180"/>
      <c r="M3128" s="186"/>
      <c r="N3128" s="186"/>
    </row>
    <row r="3129" spans="2:14" s="188" customFormat="1" ht="15" customHeight="1">
      <c r="B3129" s="187"/>
      <c r="C3129" s="187"/>
      <c r="D3129" s="187"/>
      <c r="E3129" s="187"/>
      <c r="F3129" s="187"/>
      <c r="G3129" s="187"/>
      <c r="J3129" s="186"/>
      <c r="K3129" s="180"/>
      <c r="L3129" s="180"/>
      <c r="M3129" s="186"/>
      <c r="N3129" s="186"/>
    </row>
    <row r="3130" spans="2:14" s="188" customFormat="1" ht="15" customHeight="1">
      <c r="B3130" s="187"/>
      <c r="C3130" s="187"/>
      <c r="D3130" s="187"/>
      <c r="E3130" s="187"/>
      <c r="F3130" s="187"/>
      <c r="G3130" s="187"/>
      <c r="J3130" s="186"/>
      <c r="K3130" s="180"/>
      <c r="L3130" s="180"/>
      <c r="M3130" s="186"/>
      <c r="N3130" s="186"/>
    </row>
    <row r="3131" spans="2:14" s="188" customFormat="1" ht="15" customHeight="1">
      <c r="B3131" s="187"/>
      <c r="C3131" s="187"/>
      <c r="D3131" s="187"/>
      <c r="E3131" s="187"/>
      <c r="F3131" s="187"/>
      <c r="G3131" s="187"/>
      <c r="J3131" s="186"/>
      <c r="K3131" s="180"/>
      <c r="L3131" s="180"/>
      <c r="M3131" s="186"/>
      <c r="N3131" s="186"/>
    </row>
    <row r="3132" spans="2:14" s="188" customFormat="1" ht="15" customHeight="1">
      <c r="B3132" s="187"/>
      <c r="C3132" s="187"/>
      <c r="D3132" s="187"/>
      <c r="E3132" s="187"/>
      <c r="F3132" s="187"/>
      <c r="G3132" s="187"/>
      <c r="J3132" s="186"/>
      <c r="K3132" s="180"/>
      <c r="L3132" s="180"/>
      <c r="M3132" s="186"/>
      <c r="N3132" s="186"/>
    </row>
    <row r="3133" spans="2:14" s="188" customFormat="1" ht="15" customHeight="1">
      <c r="B3133" s="187"/>
      <c r="C3133" s="187"/>
      <c r="D3133" s="187"/>
      <c r="E3133" s="187"/>
      <c r="F3133" s="187"/>
      <c r="G3133" s="187"/>
      <c r="J3133" s="186"/>
      <c r="K3133" s="180"/>
      <c r="L3133" s="180"/>
      <c r="M3133" s="186"/>
      <c r="N3133" s="186"/>
    </row>
    <row r="3134" spans="2:14" s="188" customFormat="1" ht="15" customHeight="1">
      <c r="B3134" s="187"/>
      <c r="C3134" s="187"/>
      <c r="D3134" s="187"/>
      <c r="E3134" s="187"/>
      <c r="F3134" s="187"/>
      <c r="G3134" s="187"/>
      <c r="J3134" s="186"/>
      <c r="K3134" s="180"/>
      <c r="L3134" s="180"/>
      <c r="M3134" s="186"/>
      <c r="N3134" s="186"/>
    </row>
    <row r="3135" spans="2:14" s="188" customFormat="1" ht="15" customHeight="1">
      <c r="B3135" s="187"/>
      <c r="C3135" s="187"/>
      <c r="D3135" s="187"/>
      <c r="E3135" s="187"/>
      <c r="F3135" s="187"/>
      <c r="G3135" s="187"/>
      <c r="J3135" s="186"/>
      <c r="K3135" s="180"/>
      <c r="L3135" s="180"/>
      <c r="M3135" s="186"/>
      <c r="N3135" s="186"/>
    </row>
    <row r="3136" spans="2:14" s="188" customFormat="1" ht="15" customHeight="1">
      <c r="B3136" s="187"/>
      <c r="C3136" s="187"/>
      <c r="D3136" s="187"/>
      <c r="E3136" s="187"/>
      <c r="F3136" s="187"/>
      <c r="G3136" s="187"/>
      <c r="J3136" s="186"/>
      <c r="K3136" s="180"/>
      <c r="L3136" s="180"/>
      <c r="M3136" s="186"/>
      <c r="N3136" s="186"/>
    </row>
    <row r="3137" spans="2:14" s="188" customFormat="1" ht="15" customHeight="1">
      <c r="B3137" s="187"/>
      <c r="C3137" s="187"/>
      <c r="D3137" s="187"/>
      <c r="E3137" s="187"/>
      <c r="F3137" s="187"/>
      <c r="G3137" s="187"/>
      <c r="J3137" s="186"/>
      <c r="K3137" s="180"/>
      <c r="L3137" s="180"/>
      <c r="M3137" s="186"/>
      <c r="N3137" s="186"/>
    </row>
    <row r="3138" spans="2:14" s="188" customFormat="1" ht="15" customHeight="1">
      <c r="B3138" s="187"/>
      <c r="C3138" s="187"/>
      <c r="D3138" s="187"/>
      <c r="E3138" s="187"/>
      <c r="F3138" s="187"/>
      <c r="G3138" s="187"/>
      <c r="J3138" s="186"/>
      <c r="K3138" s="180"/>
      <c r="L3138" s="180"/>
      <c r="M3138" s="186"/>
      <c r="N3138" s="186"/>
    </row>
    <row r="3139" spans="2:14" s="188" customFormat="1" ht="15" customHeight="1">
      <c r="B3139" s="187"/>
      <c r="C3139" s="187"/>
      <c r="D3139" s="187"/>
      <c r="E3139" s="187"/>
      <c r="F3139" s="187"/>
      <c r="G3139" s="187"/>
      <c r="J3139" s="186"/>
      <c r="K3139" s="180"/>
      <c r="L3139" s="180"/>
      <c r="M3139" s="186"/>
      <c r="N3139" s="186"/>
    </row>
    <row r="3140" spans="2:14" s="188" customFormat="1" ht="15" customHeight="1">
      <c r="B3140" s="187"/>
      <c r="C3140" s="187"/>
      <c r="D3140" s="187"/>
      <c r="E3140" s="187"/>
      <c r="F3140" s="187"/>
      <c r="G3140" s="187"/>
      <c r="J3140" s="186"/>
      <c r="K3140" s="180"/>
      <c r="L3140" s="180"/>
      <c r="M3140" s="186"/>
      <c r="N3140" s="186"/>
    </row>
    <row r="3141" spans="2:14" s="188" customFormat="1" ht="15" customHeight="1">
      <c r="B3141" s="187"/>
      <c r="C3141" s="187"/>
      <c r="D3141" s="187"/>
      <c r="E3141" s="187"/>
      <c r="F3141" s="187"/>
      <c r="G3141" s="187"/>
      <c r="J3141" s="186"/>
      <c r="K3141" s="180"/>
      <c r="L3141" s="180"/>
      <c r="M3141" s="186"/>
      <c r="N3141" s="186"/>
    </row>
    <row r="3142" spans="2:14" s="188" customFormat="1" ht="15" customHeight="1">
      <c r="B3142" s="187"/>
      <c r="C3142" s="187"/>
      <c r="D3142" s="187"/>
      <c r="E3142" s="187"/>
      <c r="F3142" s="187"/>
      <c r="G3142" s="187"/>
      <c r="J3142" s="186"/>
      <c r="K3142" s="180"/>
      <c r="L3142" s="180"/>
      <c r="M3142" s="186"/>
      <c r="N3142" s="186"/>
    </row>
    <row r="3143" spans="2:14" s="188" customFormat="1" ht="15" customHeight="1">
      <c r="B3143" s="187"/>
      <c r="C3143" s="187"/>
      <c r="D3143" s="187"/>
      <c r="E3143" s="187"/>
      <c r="F3143" s="187"/>
      <c r="G3143" s="187"/>
      <c r="J3143" s="186"/>
      <c r="K3143" s="180"/>
      <c r="L3143" s="180"/>
      <c r="M3143" s="186"/>
      <c r="N3143" s="186"/>
    </row>
    <row r="3144" spans="2:14" s="188" customFormat="1" ht="15" customHeight="1">
      <c r="B3144" s="187"/>
      <c r="C3144" s="187"/>
      <c r="D3144" s="187"/>
      <c r="E3144" s="187"/>
      <c r="F3144" s="187"/>
      <c r="G3144" s="187"/>
      <c r="J3144" s="186"/>
      <c r="K3144" s="180"/>
      <c r="L3144" s="180"/>
      <c r="M3144" s="186"/>
      <c r="N3144" s="186"/>
    </row>
    <row r="3145" spans="2:14" s="188" customFormat="1" ht="15" customHeight="1">
      <c r="B3145" s="187"/>
      <c r="C3145" s="187"/>
      <c r="D3145" s="187"/>
      <c r="E3145" s="187"/>
      <c r="F3145" s="187"/>
      <c r="G3145" s="187"/>
      <c r="J3145" s="186"/>
      <c r="K3145" s="180"/>
      <c r="L3145" s="180"/>
      <c r="M3145" s="186"/>
      <c r="N3145" s="186"/>
    </row>
    <row r="3146" spans="2:14" s="188" customFormat="1" ht="15" customHeight="1">
      <c r="B3146" s="187"/>
      <c r="C3146" s="187"/>
      <c r="D3146" s="187"/>
      <c r="E3146" s="187"/>
      <c r="F3146" s="187"/>
      <c r="G3146" s="187"/>
      <c r="J3146" s="186"/>
      <c r="K3146" s="180"/>
      <c r="L3146" s="180"/>
      <c r="M3146" s="186"/>
      <c r="N3146" s="186"/>
    </row>
    <row r="3147" spans="2:14" s="188" customFormat="1" ht="15" customHeight="1">
      <c r="B3147" s="187"/>
      <c r="C3147" s="187"/>
      <c r="D3147" s="187"/>
      <c r="E3147" s="187"/>
      <c r="F3147" s="187"/>
      <c r="G3147" s="187"/>
      <c r="J3147" s="186"/>
      <c r="K3147" s="180"/>
      <c r="L3147" s="180"/>
      <c r="M3147" s="186"/>
      <c r="N3147" s="186"/>
    </row>
    <row r="3148" spans="2:14" s="188" customFormat="1" ht="15" customHeight="1">
      <c r="B3148" s="187"/>
      <c r="C3148" s="187"/>
      <c r="D3148" s="187"/>
      <c r="E3148" s="187"/>
      <c r="F3148" s="187"/>
      <c r="G3148" s="187"/>
      <c r="J3148" s="186"/>
      <c r="K3148" s="180"/>
      <c r="L3148" s="180"/>
      <c r="M3148" s="186"/>
      <c r="N3148" s="186"/>
    </row>
    <row r="3149" spans="2:14" s="188" customFormat="1" ht="15" customHeight="1">
      <c r="B3149" s="187"/>
      <c r="C3149" s="187"/>
      <c r="D3149" s="187"/>
      <c r="E3149" s="187"/>
      <c r="F3149" s="187"/>
      <c r="G3149" s="187"/>
      <c r="J3149" s="186"/>
      <c r="K3149" s="180"/>
      <c r="L3149" s="180"/>
      <c r="M3149" s="186"/>
      <c r="N3149" s="186"/>
    </row>
    <row r="3150" spans="2:14" s="188" customFormat="1" ht="15" customHeight="1">
      <c r="B3150" s="187"/>
      <c r="C3150" s="187"/>
      <c r="D3150" s="187"/>
      <c r="E3150" s="187"/>
      <c r="F3150" s="187"/>
      <c r="G3150" s="187"/>
      <c r="J3150" s="186"/>
      <c r="K3150" s="180"/>
      <c r="L3150" s="180"/>
      <c r="M3150" s="186"/>
      <c r="N3150" s="186"/>
    </row>
    <row r="3151" spans="2:14" s="188" customFormat="1" ht="15" customHeight="1">
      <c r="B3151" s="187"/>
      <c r="C3151" s="187"/>
      <c r="D3151" s="187"/>
      <c r="E3151" s="187"/>
      <c r="F3151" s="187"/>
      <c r="G3151" s="187"/>
      <c r="J3151" s="186"/>
      <c r="K3151" s="180"/>
      <c r="L3151" s="180"/>
      <c r="M3151" s="186"/>
      <c r="N3151" s="186"/>
    </row>
    <row r="3152" spans="2:14" s="188" customFormat="1" ht="15" customHeight="1">
      <c r="B3152" s="187"/>
      <c r="C3152" s="187"/>
      <c r="D3152" s="187"/>
      <c r="E3152" s="187"/>
      <c r="F3152" s="187"/>
      <c r="G3152" s="187"/>
      <c r="J3152" s="186"/>
      <c r="K3152" s="180"/>
      <c r="L3152" s="180"/>
      <c r="M3152" s="186"/>
      <c r="N3152" s="186"/>
    </row>
    <row r="3153" spans="2:14" s="188" customFormat="1" ht="15" customHeight="1">
      <c r="B3153" s="187"/>
      <c r="C3153" s="187"/>
      <c r="D3153" s="187"/>
      <c r="E3153" s="187"/>
      <c r="F3153" s="187"/>
      <c r="G3153" s="187"/>
      <c r="J3153" s="186"/>
      <c r="K3153" s="180"/>
      <c r="L3153" s="180"/>
      <c r="M3153" s="186"/>
      <c r="N3153" s="186"/>
    </row>
    <row r="3154" spans="2:14" s="188" customFormat="1" ht="15" customHeight="1">
      <c r="B3154" s="187"/>
      <c r="C3154" s="187"/>
      <c r="D3154" s="187"/>
      <c r="E3154" s="187"/>
      <c r="F3154" s="187"/>
      <c r="G3154" s="187"/>
      <c r="J3154" s="186"/>
      <c r="K3154" s="180"/>
      <c r="L3154" s="180"/>
      <c r="M3154" s="186"/>
      <c r="N3154" s="186"/>
    </row>
    <row r="3155" spans="2:14" s="188" customFormat="1" ht="15" customHeight="1">
      <c r="B3155" s="187"/>
      <c r="C3155" s="187"/>
      <c r="D3155" s="187"/>
      <c r="E3155" s="187"/>
      <c r="F3155" s="187"/>
      <c r="G3155" s="187"/>
      <c r="J3155" s="186"/>
      <c r="K3155" s="180"/>
      <c r="L3155" s="180"/>
      <c r="M3155" s="186"/>
      <c r="N3155" s="186"/>
    </row>
    <row r="3156" spans="2:14" s="188" customFormat="1" ht="15" customHeight="1">
      <c r="B3156" s="187"/>
      <c r="C3156" s="187"/>
      <c r="D3156" s="187"/>
      <c r="E3156" s="187"/>
      <c r="F3156" s="187"/>
      <c r="G3156" s="187"/>
      <c r="J3156" s="186"/>
      <c r="K3156" s="180"/>
      <c r="L3156" s="180"/>
      <c r="M3156" s="186"/>
      <c r="N3156" s="186"/>
    </row>
    <row r="3157" spans="2:14" s="188" customFormat="1" ht="15" customHeight="1">
      <c r="B3157" s="187"/>
      <c r="C3157" s="187"/>
      <c r="D3157" s="187"/>
      <c r="E3157" s="187"/>
      <c r="F3157" s="187"/>
      <c r="G3157" s="187"/>
      <c r="J3157" s="186"/>
      <c r="K3157" s="180"/>
      <c r="L3157" s="180"/>
      <c r="M3157" s="186"/>
      <c r="N3157" s="186"/>
    </row>
    <row r="3158" spans="2:14" s="188" customFormat="1" ht="15" customHeight="1">
      <c r="B3158" s="187"/>
      <c r="C3158" s="187"/>
      <c r="D3158" s="187"/>
      <c r="E3158" s="187"/>
      <c r="F3158" s="187"/>
      <c r="G3158" s="187"/>
      <c r="J3158" s="186"/>
      <c r="K3158" s="180"/>
      <c r="L3158" s="180"/>
      <c r="M3158" s="186"/>
      <c r="N3158" s="186"/>
    </row>
    <row r="3159" spans="2:14" s="188" customFormat="1" ht="15" customHeight="1">
      <c r="B3159" s="187"/>
      <c r="C3159" s="187"/>
      <c r="D3159" s="187"/>
      <c r="E3159" s="187"/>
      <c r="F3159" s="187"/>
      <c r="G3159" s="187"/>
      <c r="J3159" s="186"/>
      <c r="K3159" s="180"/>
      <c r="L3159" s="180"/>
      <c r="M3159" s="186"/>
      <c r="N3159" s="186"/>
    </row>
    <row r="3160" spans="2:14" s="188" customFormat="1" ht="15" customHeight="1">
      <c r="B3160" s="187"/>
      <c r="C3160" s="187"/>
      <c r="D3160" s="187"/>
      <c r="E3160" s="187"/>
      <c r="F3160" s="187"/>
      <c r="G3160" s="187"/>
      <c r="J3160" s="186"/>
      <c r="K3160" s="180"/>
      <c r="L3160" s="180"/>
      <c r="M3160" s="186"/>
      <c r="N3160" s="186"/>
    </row>
    <row r="3161" spans="2:14" s="188" customFormat="1" ht="15" customHeight="1">
      <c r="B3161" s="187"/>
      <c r="C3161" s="187"/>
      <c r="D3161" s="187"/>
      <c r="E3161" s="187"/>
      <c r="F3161" s="187"/>
      <c r="G3161" s="187"/>
      <c r="J3161" s="186"/>
      <c r="K3161" s="180"/>
      <c r="L3161" s="180"/>
      <c r="M3161" s="186"/>
      <c r="N3161" s="186"/>
    </row>
    <row r="3162" spans="2:14" s="188" customFormat="1" ht="15" customHeight="1">
      <c r="B3162" s="187"/>
      <c r="C3162" s="187"/>
      <c r="D3162" s="187"/>
      <c r="E3162" s="187"/>
      <c r="F3162" s="187"/>
      <c r="G3162" s="187"/>
      <c r="J3162" s="186"/>
      <c r="K3162" s="180"/>
      <c r="L3162" s="180"/>
      <c r="M3162" s="186"/>
      <c r="N3162" s="186"/>
    </row>
    <row r="3163" spans="2:14" s="188" customFormat="1" ht="15" customHeight="1">
      <c r="B3163" s="187"/>
      <c r="C3163" s="187"/>
      <c r="D3163" s="187"/>
      <c r="E3163" s="187"/>
      <c r="F3163" s="187"/>
      <c r="G3163" s="187"/>
      <c r="J3163" s="186"/>
      <c r="K3163" s="180"/>
      <c r="L3163" s="180"/>
      <c r="M3163" s="186"/>
      <c r="N3163" s="186"/>
    </row>
    <row r="3164" spans="2:14" s="188" customFormat="1" ht="15" customHeight="1">
      <c r="B3164" s="187"/>
      <c r="C3164" s="187"/>
      <c r="D3164" s="187"/>
      <c r="E3164" s="187"/>
      <c r="F3164" s="187"/>
      <c r="G3164" s="187"/>
      <c r="J3164" s="186"/>
      <c r="K3164" s="180"/>
      <c r="L3164" s="180"/>
      <c r="M3164" s="186"/>
      <c r="N3164" s="186"/>
    </row>
    <row r="3165" spans="2:14" s="188" customFormat="1" ht="15" customHeight="1">
      <c r="B3165" s="187"/>
      <c r="C3165" s="187"/>
      <c r="D3165" s="187"/>
      <c r="E3165" s="187"/>
      <c r="F3165" s="187"/>
      <c r="G3165" s="187"/>
      <c r="J3165" s="186"/>
      <c r="K3165" s="180"/>
      <c r="L3165" s="180"/>
      <c r="M3165" s="186"/>
      <c r="N3165" s="186"/>
    </row>
    <row r="3166" spans="2:14" s="188" customFormat="1" ht="15" customHeight="1">
      <c r="B3166" s="187"/>
      <c r="C3166" s="187"/>
      <c r="D3166" s="187"/>
      <c r="E3166" s="187"/>
      <c r="F3166" s="187"/>
      <c r="G3166" s="187"/>
      <c r="J3166" s="186"/>
      <c r="K3166" s="180"/>
      <c r="L3166" s="180"/>
      <c r="M3166" s="186"/>
      <c r="N3166" s="186"/>
    </row>
    <row r="3167" spans="2:14" s="188" customFormat="1" ht="15" customHeight="1">
      <c r="B3167" s="187"/>
      <c r="C3167" s="187"/>
      <c r="D3167" s="187"/>
      <c r="E3167" s="187"/>
      <c r="F3167" s="187"/>
      <c r="G3167" s="187"/>
      <c r="J3167" s="186"/>
      <c r="K3167" s="180"/>
      <c r="L3167" s="180"/>
      <c r="M3167" s="186"/>
      <c r="N3167" s="186"/>
    </row>
    <row r="3168" spans="2:14" s="188" customFormat="1" ht="15" customHeight="1">
      <c r="B3168" s="187"/>
      <c r="C3168" s="187"/>
      <c r="D3168" s="187"/>
      <c r="E3168" s="187"/>
      <c r="F3168" s="187"/>
      <c r="G3168" s="187"/>
      <c r="J3168" s="186"/>
      <c r="K3168" s="180"/>
      <c r="L3168" s="180"/>
      <c r="M3168" s="186"/>
      <c r="N3168" s="186"/>
    </row>
    <row r="3169" spans="2:14" s="188" customFormat="1" ht="15" customHeight="1">
      <c r="B3169" s="187"/>
      <c r="C3169" s="187"/>
      <c r="D3169" s="187"/>
      <c r="E3169" s="187"/>
      <c r="F3169" s="187"/>
      <c r="G3169" s="187"/>
      <c r="J3169" s="186"/>
      <c r="K3169" s="180"/>
      <c r="L3169" s="180"/>
      <c r="M3169" s="186"/>
      <c r="N3169" s="186"/>
    </row>
    <row r="3170" spans="2:14" s="188" customFormat="1" ht="15" customHeight="1">
      <c r="B3170" s="187"/>
      <c r="C3170" s="187"/>
      <c r="D3170" s="187"/>
      <c r="E3170" s="187"/>
      <c r="F3170" s="187"/>
      <c r="G3170" s="187"/>
      <c r="J3170" s="186"/>
      <c r="K3170" s="180"/>
      <c r="L3170" s="180"/>
      <c r="M3170" s="186"/>
      <c r="N3170" s="186"/>
    </row>
    <row r="3171" spans="2:14" s="188" customFormat="1" ht="15" customHeight="1">
      <c r="B3171" s="187"/>
      <c r="C3171" s="187"/>
      <c r="D3171" s="187"/>
      <c r="E3171" s="187"/>
      <c r="F3171" s="187"/>
      <c r="G3171" s="187"/>
      <c r="J3171" s="186"/>
      <c r="K3171" s="180"/>
      <c r="L3171" s="180"/>
      <c r="M3171" s="186"/>
      <c r="N3171" s="186"/>
    </row>
    <row r="3172" spans="2:14" s="188" customFormat="1" ht="15" customHeight="1">
      <c r="B3172" s="187"/>
      <c r="C3172" s="187"/>
      <c r="D3172" s="187"/>
      <c r="E3172" s="187"/>
      <c r="F3172" s="187"/>
      <c r="G3172" s="187"/>
      <c r="J3172" s="186"/>
      <c r="K3172" s="180"/>
      <c r="L3172" s="180"/>
      <c r="M3172" s="186"/>
      <c r="N3172" s="186"/>
    </row>
    <row r="3173" spans="2:14" s="188" customFormat="1" ht="15" customHeight="1">
      <c r="B3173" s="187"/>
      <c r="C3173" s="187"/>
      <c r="D3173" s="187"/>
      <c r="E3173" s="187"/>
      <c r="F3173" s="187"/>
      <c r="G3173" s="187"/>
      <c r="J3173" s="186"/>
      <c r="K3173" s="180"/>
      <c r="L3173" s="180"/>
      <c r="M3173" s="186"/>
      <c r="N3173" s="186"/>
    </row>
    <row r="3174" spans="2:14" s="188" customFormat="1" ht="15" customHeight="1">
      <c r="B3174" s="187"/>
      <c r="C3174" s="187"/>
      <c r="D3174" s="187"/>
      <c r="E3174" s="187"/>
      <c r="F3174" s="187"/>
      <c r="G3174" s="187"/>
      <c r="J3174" s="186"/>
      <c r="K3174" s="180"/>
      <c r="L3174" s="180"/>
      <c r="M3174" s="186"/>
      <c r="N3174" s="186"/>
    </row>
    <row r="3175" spans="2:14" s="188" customFormat="1" ht="15" customHeight="1">
      <c r="B3175" s="187"/>
      <c r="C3175" s="187"/>
      <c r="D3175" s="187"/>
      <c r="E3175" s="187"/>
      <c r="F3175" s="187"/>
      <c r="G3175" s="187"/>
      <c r="J3175" s="186"/>
      <c r="K3175" s="180"/>
      <c r="L3175" s="180"/>
      <c r="M3175" s="186"/>
      <c r="N3175" s="186"/>
    </row>
    <row r="3176" spans="2:14" s="188" customFormat="1" ht="15" customHeight="1">
      <c r="B3176" s="187"/>
      <c r="C3176" s="187"/>
      <c r="D3176" s="187"/>
      <c r="E3176" s="187"/>
      <c r="F3176" s="187"/>
      <c r="G3176" s="187"/>
      <c r="J3176" s="186"/>
      <c r="K3176" s="180"/>
      <c r="L3176" s="180"/>
      <c r="M3176" s="186"/>
      <c r="N3176" s="186"/>
    </row>
    <row r="3177" spans="2:14" s="188" customFormat="1" ht="15" customHeight="1">
      <c r="B3177" s="187"/>
      <c r="C3177" s="187"/>
      <c r="D3177" s="187"/>
      <c r="E3177" s="187"/>
      <c r="F3177" s="187"/>
      <c r="G3177" s="187"/>
      <c r="J3177" s="186"/>
      <c r="K3177" s="180"/>
      <c r="L3177" s="180"/>
      <c r="M3177" s="186"/>
      <c r="N3177" s="186"/>
    </row>
    <row r="3178" spans="2:14" s="188" customFormat="1" ht="15" customHeight="1">
      <c r="B3178" s="187"/>
      <c r="C3178" s="187"/>
      <c r="D3178" s="187"/>
      <c r="E3178" s="187"/>
      <c r="F3178" s="187"/>
      <c r="G3178" s="187"/>
      <c r="J3178" s="186"/>
      <c r="K3178" s="180"/>
      <c r="L3178" s="180"/>
      <c r="M3178" s="186"/>
      <c r="N3178" s="186"/>
    </row>
    <row r="3179" spans="2:14" s="188" customFormat="1" ht="15" customHeight="1">
      <c r="B3179" s="187"/>
      <c r="C3179" s="187"/>
      <c r="D3179" s="187"/>
      <c r="E3179" s="187"/>
      <c r="F3179" s="187"/>
      <c r="G3179" s="187"/>
      <c r="J3179" s="186"/>
      <c r="K3179" s="180"/>
      <c r="L3179" s="180"/>
      <c r="M3179" s="186"/>
      <c r="N3179" s="186"/>
    </row>
    <row r="3180" spans="2:14" s="188" customFormat="1" ht="15" customHeight="1">
      <c r="B3180" s="187"/>
      <c r="C3180" s="187"/>
      <c r="D3180" s="187"/>
      <c r="E3180" s="187"/>
      <c r="F3180" s="187"/>
      <c r="G3180" s="187"/>
      <c r="J3180" s="186"/>
      <c r="K3180" s="180"/>
      <c r="L3180" s="180"/>
      <c r="M3180" s="186"/>
      <c r="N3180" s="186"/>
    </row>
    <row r="3181" spans="2:14" s="188" customFormat="1" ht="15" customHeight="1">
      <c r="B3181" s="187"/>
      <c r="C3181" s="187"/>
      <c r="D3181" s="187"/>
      <c r="E3181" s="187"/>
      <c r="F3181" s="187"/>
      <c r="G3181" s="187"/>
      <c r="J3181" s="186"/>
      <c r="K3181" s="180"/>
      <c r="L3181" s="180"/>
      <c r="M3181" s="186"/>
      <c r="N3181" s="186"/>
    </row>
    <row r="3182" spans="2:14" s="188" customFormat="1" ht="15" customHeight="1">
      <c r="B3182" s="187"/>
      <c r="C3182" s="187"/>
      <c r="D3182" s="187"/>
      <c r="E3182" s="187"/>
      <c r="F3182" s="187"/>
      <c r="G3182" s="187"/>
      <c r="J3182" s="186"/>
      <c r="K3182" s="180"/>
      <c r="L3182" s="180"/>
      <c r="M3182" s="186"/>
      <c r="N3182" s="186"/>
    </row>
    <row r="3183" spans="2:14" s="188" customFormat="1" ht="15" customHeight="1">
      <c r="B3183" s="187"/>
      <c r="C3183" s="187"/>
      <c r="D3183" s="187"/>
      <c r="E3183" s="187"/>
      <c r="F3183" s="187"/>
      <c r="G3183" s="187"/>
      <c r="J3183" s="186"/>
      <c r="K3183" s="180"/>
      <c r="L3183" s="180"/>
      <c r="M3183" s="186"/>
      <c r="N3183" s="186"/>
    </row>
    <row r="3184" spans="2:14" s="188" customFormat="1" ht="15" customHeight="1">
      <c r="B3184" s="187"/>
      <c r="C3184" s="187"/>
      <c r="D3184" s="187"/>
      <c r="E3184" s="187"/>
      <c r="F3184" s="187"/>
      <c r="G3184" s="187"/>
      <c r="J3184" s="186"/>
      <c r="K3184" s="180"/>
      <c r="L3184" s="180"/>
      <c r="M3184" s="186"/>
      <c r="N3184" s="186"/>
    </row>
    <row r="3185" spans="2:14" s="188" customFormat="1" ht="15" customHeight="1">
      <c r="B3185" s="187"/>
      <c r="C3185" s="187"/>
      <c r="D3185" s="187"/>
      <c r="E3185" s="187"/>
      <c r="F3185" s="187"/>
      <c r="G3185" s="187"/>
      <c r="J3185" s="186"/>
      <c r="K3185" s="180"/>
      <c r="L3185" s="180"/>
      <c r="M3185" s="186"/>
      <c r="N3185" s="186"/>
    </row>
    <row r="3186" spans="2:14" s="188" customFormat="1" ht="15" customHeight="1">
      <c r="B3186" s="187"/>
      <c r="C3186" s="187"/>
      <c r="D3186" s="187"/>
      <c r="E3186" s="187"/>
      <c r="F3186" s="187"/>
      <c r="G3186" s="187"/>
      <c r="J3186" s="186"/>
      <c r="K3186" s="180"/>
      <c r="L3186" s="180"/>
      <c r="M3186" s="186"/>
      <c r="N3186" s="186"/>
    </row>
    <row r="3187" spans="2:14" s="188" customFormat="1" ht="15" customHeight="1">
      <c r="B3187" s="187"/>
      <c r="C3187" s="187"/>
      <c r="D3187" s="187"/>
      <c r="E3187" s="187"/>
      <c r="F3187" s="187"/>
      <c r="G3187" s="187"/>
      <c r="J3187" s="186"/>
      <c r="K3187" s="180"/>
      <c r="L3187" s="180"/>
      <c r="M3187" s="186"/>
      <c r="N3187" s="186"/>
    </row>
    <row r="3188" spans="2:14" s="188" customFormat="1" ht="15" customHeight="1">
      <c r="B3188" s="187"/>
      <c r="C3188" s="187"/>
      <c r="D3188" s="187"/>
      <c r="E3188" s="187"/>
      <c r="F3188" s="187"/>
      <c r="G3188" s="187"/>
      <c r="J3188" s="186"/>
      <c r="K3188" s="180"/>
      <c r="L3188" s="180"/>
      <c r="M3188" s="186"/>
      <c r="N3188" s="186"/>
    </row>
    <row r="3189" spans="2:14" s="188" customFormat="1" ht="15" customHeight="1">
      <c r="B3189" s="187"/>
      <c r="C3189" s="187"/>
      <c r="D3189" s="187"/>
      <c r="E3189" s="187"/>
      <c r="F3189" s="187"/>
      <c r="G3189" s="187"/>
      <c r="J3189" s="186"/>
      <c r="K3189" s="180"/>
      <c r="L3189" s="180"/>
      <c r="M3189" s="186"/>
      <c r="N3189" s="186"/>
    </row>
    <row r="3190" spans="2:14" s="188" customFormat="1" ht="15" customHeight="1">
      <c r="B3190" s="187"/>
      <c r="C3190" s="187"/>
      <c r="D3190" s="187"/>
      <c r="E3190" s="187"/>
      <c r="F3190" s="187"/>
      <c r="G3190" s="187"/>
      <c r="J3190" s="186"/>
      <c r="K3190" s="180"/>
      <c r="L3190" s="180"/>
      <c r="M3190" s="186"/>
      <c r="N3190" s="186"/>
    </row>
    <row r="3191" spans="2:14" s="188" customFormat="1" ht="15" customHeight="1">
      <c r="B3191" s="187"/>
      <c r="C3191" s="187"/>
      <c r="D3191" s="187"/>
      <c r="E3191" s="187"/>
      <c r="F3191" s="187"/>
      <c r="G3191" s="187"/>
      <c r="J3191" s="186"/>
      <c r="K3191" s="180"/>
      <c r="L3191" s="180"/>
      <c r="M3191" s="186"/>
      <c r="N3191" s="186"/>
    </row>
    <row r="3192" spans="2:14" s="188" customFormat="1" ht="15" customHeight="1">
      <c r="B3192" s="187"/>
      <c r="C3192" s="187"/>
      <c r="D3192" s="187"/>
      <c r="E3192" s="187"/>
      <c r="F3192" s="187"/>
      <c r="G3192" s="187"/>
      <c r="J3192" s="186"/>
      <c r="K3192" s="180"/>
      <c r="L3192" s="180"/>
      <c r="M3192" s="186"/>
      <c r="N3192" s="186"/>
    </row>
    <row r="3193" spans="2:14" s="188" customFormat="1" ht="15" customHeight="1">
      <c r="B3193" s="187"/>
      <c r="C3193" s="187"/>
      <c r="D3193" s="187"/>
      <c r="E3193" s="187"/>
      <c r="F3193" s="187"/>
      <c r="G3193" s="187"/>
      <c r="J3193" s="186"/>
      <c r="K3193" s="180"/>
      <c r="L3193" s="180"/>
      <c r="M3193" s="186"/>
      <c r="N3193" s="186"/>
    </row>
    <row r="3194" spans="2:14" s="188" customFormat="1" ht="15" customHeight="1">
      <c r="B3194" s="187"/>
      <c r="C3194" s="187"/>
      <c r="D3194" s="187"/>
      <c r="E3194" s="187"/>
      <c r="F3194" s="187"/>
      <c r="G3194" s="187"/>
      <c r="J3194" s="186"/>
      <c r="K3194" s="180"/>
      <c r="L3194" s="180"/>
      <c r="M3194" s="186"/>
      <c r="N3194" s="186"/>
    </row>
    <row r="3195" spans="2:14" s="188" customFormat="1" ht="15" customHeight="1">
      <c r="B3195" s="187"/>
      <c r="C3195" s="187"/>
      <c r="D3195" s="187"/>
      <c r="E3195" s="187"/>
      <c r="F3195" s="187"/>
      <c r="G3195" s="187"/>
      <c r="J3195" s="186"/>
      <c r="K3195" s="180"/>
      <c r="L3195" s="180"/>
      <c r="M3195" s="186"/>
      <c r="N3195" s="186"/>
    </row>
    <row r="3196" spans="2:14" s="188" customFormat="1" ht="15" customHeight="1">
      <c r="B3196" s="187"/>
      <c r="C3196" s="187"/>
      <c r="D3196" s="187"/>
      <c r="E3196" s="187"/>
      <c r="F3196" s="187"/>
      <c r="G3196" s="187"/>
      <c r="J3196" s="186"/>
      <c r="K3196" s="180"/>
      <c r="L3196" s="180"/>
      <c r="M3196" s="186"/>
      <c r="N3196" s="186"/>
    </row>
    <row r="3197" spans="2:14" s="188" customFormat="1" ht="15" customHeight="1">
      <c r="B3197" s="187"/>
      <c r="C3197" s="187"/>
      <c r="D3197" s="187"/>
      <c r="E3197" s="187"/>
      <c r="F3197" s="187"/>
      <c r="G3197" s="187"/>
      <c r="J3197" s="186"/>
      <c r="K3197" s="180"/>
      <c r="L3197" s="180"/>
      <c r="M3197" s="186"/>
      <c r="N3197" s="186"/>
    </row>
    <row r="3198" spans="2:14" s="188" customFormat="1" ht="15" customHeight="1">
      <c r="B3198" s="187"/>
      <c r="C3198" s="187"/>
      <c r="D3198" s="187"/>
      <c r="E3198" s="187"/>
      <c r="F3198" s="187"/>
      <c r="G3198" s="187"/>
      <c r="J3198" s="186"/>
      <c r="K3198" s="180"/>
      <c r="L3198" s="180"/>
      <c r="M3198" s="186"/>
      <c r="N3198" s="186"/>
    </row>
    <row r="3199" spans="2:14" s="188" customFormat="1" ht="15" customHeight="1">
      <c r="B3199" s="187"/>
      <c r="C3199" s="187"/>
      <c r="D3199" s="187"/>
      <c r="E3199" s="187"/>
      <c r="F3199" s="187"/>
      <c r="G3199" s="187"/>
      <c r="J3199" s="186"/>
      <c r="K3199" s="180"/>
      <c r="L3199" s="180"/>
      <c r="M3199" s="186"/>
      <c r="N3199" s="186"/>
    </row>
    <row r="3200" spans="2:14" s="188" customFormat="1" ht="15" customHeight="1">
      <c r="B3200" s="187"/>
      <c r="C3200" s="187"/>
      <c r="D3200" s="187"/>
      <c r="E3200" s="187"/>
      <c r="F3200" s="187"/>
      <c r="G3200" s="187"/>
      <c r="J3200" s="186"/>
      <c r="K3200" s="180"/>
      <c r="L3200" s="180"/>
      <c r="M3200" s="186"/>
      <c r="N3200" s="186"/>
    </row>
    <row r="3201" spans="2:14" s="188" customFormat="1" ht="15" customHeight="1">
      <c r="B3201" s="187"/>
      <c r="C3201" s="187"/>
      <c r="D3201" s="187"/>
      <c r="E3201" s="187"/>
      <c r="F3201" s="187"/>
      <c r="G3201" s="187"/>
      <c r="J3201" s="186"/>
      <c r="K3201" s="180"/>
      <c r="L3201" s="180"/>
      <c r="M3201" s="186"/>
      <c r="N3201" s="186"/>
    </row>
    <row r="3202" spans="2:14" s="188" customFormat="1" ht="15" customHeight="1">
      <c r="B3202" s="187"/>
      <c r="C3202" s="187"/>
      <c r="D3202" s="187"/>
      <c r="E3202" s="187"/>
      <c r="F3202" s="187"/>
      <c r="G3202" s="187"/>
      <c r="J3202" s="186"/>
      <c r="K3202" s="180"/>
      <c r="L3202" s="180"/>
      <c r="M3202" s="186"/>
      <c r="N3202" s="186"/>
    </row>
    <row r="3203" spans="2:14" s="188" customFormat="1" ht="15" customHeight="1">
      <c r="B3203" s="187"/>
      <c r="C3203" s="187"/>
      <c r="D3203" s="187"/>
      <c r="E3203" s="187"/>
      <c r="F3203" s="187"/>
      <c r="G3203" s="187"/>
      <c r="J3203" s="186"/>
      <c r="K3203" s="180"/>
      <c r="L3203" s="180"/>
      <c r="M3203" s="186"/>
      <c r="N3203" s="186"/>
    </row>
    <row r="3204" spans="2:14" s="188" customFormat="1" ht="15" customHeight="1">
      <c r="B3204" s="187"/>
      <c r="C3204" s="187"/>
      <c r="D3204" s="187"/>
      <c r="E3204" s="187"/>
      <c r="F3204" s="187"/>
      <c r="G3204" s="187"/>
      <c r="J3204" s="186"/>
      <c r="K3204" s="180"/>
      <c r="L3204" s="180"/>
      <c r="M3204" s="186"/>
      <c r="N3204" s="186"/>
    </row>
    <row r="3205" spans="2:14" s="188" customFormat="1" ht="15" customHeight="1">
      <c r="B3205" s="187"/>
      <c r="C3205" s="187"/>
      <c r="D3205" s="187"/>
      <c r="E3205" s="187"/>
      <c r="F3205" s="187"/>
      <c r="G3205" s="187"/>
      <c r="J3205" s="186"/>
      <c r="K3205" s="180"/>
      <c r="L3205" s="180"/>
      <c r="M3205" s="186"/>
      <c r="N3205" s="186"/>
    </row>
    <row r="3206" spans="2:14" s="188" customFormat="1" ht="15" customHeight="1">
      <c r="B3206" s="187"/>
      <c r="C3206" s="187"/>
      <c r="D3206" s="187"/>
      <c r="E3206" s="187"/>
      <c r="F3206" s="187"/>
      <c r="G3206" s="187"/>
      <c r="J3206" s="186"/>
      <c r="K3206" s="180"/>
      <c r="L3206" s="180"/>
      <c r="M3206" s="186"/>
      <c r="N3206" s="186"/>
    </row>
    <row r="3207" spans="2:14" s="188" customFormat="1" ht="15" customHeight="1">
      <c r="B3207" s="187"/>
      <c r="C3207" s="187"/>
      <c r="D3207" s="187"/>
      <c r="E3207" s="187"/>
      <c r="F3207" s="187"/>
      <c r="G3207" s="187"/>
      <c r="J3207" s="186"/>
      <c r="K3207" s="180"/>
      <c r="L3207" s="180"/>
      <c r="M3207" s="186"/>
      <c r="N3207" s="186"/>
    </row>
    <row r="3208" spans="2:14" s="188" customFormat="1" ht="15" customHeight="1">
      <c r="B3208" s="187"/>
      <c r="C3208" s="187"/>
      <c r="D3208" s="187"/>
      <c r="E3208" s="187"/>
      <c r="F3208" s="187"/>
      <c r="G3208" s="187"/>
      <c r="J3208" s="186"/>
      <c r="K3208" s="180"/>
      <c r="L3208" s="180"/>
      <c r="M3208" s="186"/>
      <c r="N3208" s="186"/>
    </row>
    <row r="3209" spans="2:14" s="188" customFormat="1" ht="15" customHeight="1">
      <c r="B3209" s="187"/>
      <c r="C3209" s="187"/>
      <c r="D3209" s="187"/>
      <c r="E3209" s="187"/>
      <c r="F3209" s="187"/>
      <c r="G3209" s="187"/>
      <c r="J3209" s="186"/>
      <c r="K3209" s="180"/>
      <c r="L3209" s="180"/>
      <c r="M3209" s="186"/>
      <c r="N3209" s="186"/>
    </row>
    <row r="3210" spans="2:14" s="188" customFormat="1" ht="15" customHeight="1">
      <c r="B3210" s="187"/>
      <c r="C3210" s="187"/>
      <c r="D3210" s="187"/>
      <c r="E3210" s="187"/>
      <c r="F3210" s="187"/>
      <c r="G3210" s="187"/>
      <c r="J3210" s="186"/>
      <c r="K3210" s="180"/>
      <c r="L3210" s="180"/>
      <c r="M3210" s="186"/>
      <c r="N3210" s="186"/>
    </row>
    <row r="3211" spans="2:14" s="188" customFormat="1" ht="15" customHeight="1">
      <c r="B3211" s="187"/>
      <c r="C3211" s="187"/>
      <c r="D3211" s="187"/>
      <c r="E3211" s="187"/>
      <c r="F3211" s="187"/>
      <c r="G3211" s="187"/>
      <c r="J3211" s="186"/>
      <c r="K3211" s="180"/>
      <c r="L3211" s="180"/>
      <c r="M3211" s="186"/>
      <c r="N3211" s="186"/>
    </row>
    <row r="3212" spans="2:14" s="188" customFormat="1" ht="15" customHeight="1">
      <c r="B3212" s="187"/>
      <c r="C3212" s="187"/>
      <c r="D3212" s="187"/>
      <c r="E3212" s="187"/>
      <c r="F3212" s="187"/>
      <c r="G3212" s="187"/>
      <c r="J3212" s="186"/>
      <c r="K3212" s="180"/>
      <c r="L3212" s="180"/>
      <c r="M3212" s="186"/>
      <c r="N3212" s="186"/>
    </row>
    <row r="3213" spans="2:14" s="188" customFormat="1" ht="15" customHeight="1">
      <c r="B3213" s="187"/>
      <c r="C3213" s="187"/>
      <c r="D3213" s="187"/>
      <c r="E3213" s="187"/>
      <c r="F3213" s="187"/>
      <c r="G3213" s="187"/>
      <c r="J3213" s="186"/>
      <c r="K3213" s="180"/>
      <c r="L3213" s="180"/>
      <c r="M3213" s="186"/>
      <c r="N3213" s="186"/>
    </row>
    <row r="3214" spans="2:14" s="188" customFormat="1" ht="15" customHeight="1">
      <c r="B3214" s="187"/>
      <c r="C3214" s="187"/>
      <c r="D3214" s="187"/>
      <c r="E3214" s="187"/>
      <c r="F3214" s="187"/>
      <c r="G3214" s="187"/>
      <c r="J3214" s="186"/>
      <c r="K3214" s="180"/>
      <c r="L3214" s="180"/>
      <c r="M3214" s="186"/>
      <c r="N3214" s="186"/>
    </row>
    <row r="3215" spans="2:14" s="188" customFormat="1" ht="15" customHeight="1">
      <c r="B3215" s="187"/>
      <c r="C3215" s="187"/>
      <c r="D3215" s="187"/>
      <c r="E3215" s="187"/>
      <c r="F3215" s="187"/>
      <c r="G3215" s="187"/>
      <c r="J3215" s="186"/>
      <c r="K3215" s="180"/>
      <c r="L3215" s="180"/>
      <c r="M3215" s="186"/>
      <c r="N3215" s="186"/>
    </row>
    <row r="3216" spans="2:14" s="188" customFormat="1" ht="15" customHeight="1">
      <c r="B3216" s="187"/>
      <c r="C3216" s="187"/>
      <c r="D3216" s="187"/>
      <c r="E3216" s="187"/>
      <c r="F3216" s="187"/>
      <c r="G3216" s="187"/>
      <c r="J3216" s="186"/>
      <c r="K3216" s="180"/>
      <c r="L3216" s="180"/>
      <c r="M3216" s="186"/>
      <c r="N3216" s="186"/>
    </row>
    <row r="3217" spans="2:14" s="188" customFormat="1" ht="15" customHeight="1">
      <c r="B3217" s="187"/>
      <c r="C3217" s="187"/>
      <c r="D3217" s="187"/>
      <c r="E3217" s="187"/>
      <c r="F3217" s="187"/>
      <c r="G3217" s="187"/>
      <c r="J3217" s="186"/>
      <c r="K3217" s="180"/>
      <c r="L3217" s="180"/>
      <c r="M3217" s="186"/>
      <c r="N3217" s="186"/>
    </row>
    <row r="3218" spans="2:14" s="188" customFormat="1" ht="15" customHeight="1">
      <c r="B3218" s="187"/>
      <c r="C3218" s="187"/>
      <c r="D3218" s="187"/>
      <c r="E3218" s="187"/>
      <c r="F3218" s="187"/>
      <c r="G3218" s="187"/>
      <c r="J3218" s="186"/>
      <c r="K3218" s="180"/>
      <c r="L3218" s="180"/>
      <c r="M3218" s="186"/>
      <c r="N3218" s="186"/>
    </row>
    <row r="3219" spans="2:14" s="188" customFormat="1" ht="15" customHeight="1">
      <c r="B3219" s="187"/>
      <c r="C3219" s="187"/>
      <c r="D3219" s="187"/>
      <c r="E3219" s="187"/>
      <c r="F3219" s="187"/>
      <c r="G3219" s="187"/>
      <c r="J3219" s="186"/>
      <c r="K3219" s="180"/>
      <c r="L3219" s="180"/>
      <c r="M3219" s="186"/>
      <c r="N3219" s="186"/>
    </row>
    <row r="3220" spans="2:14" s="188" customFormat="1" ht="15" customHeight="1">
      <c r="B3220" s="187"/>
      <c r="C3220" s="187"/>
      <c r="D3220" s="187"/>
      <c r="E3220" s="187"/>
      <c r="F3220" s="187"/>
      <c r="G3220" s="187"/>
      <c r="J3220" s="186"/>
      <c r="K3220" s="180"/>
      <c r="L3220" s="180"/>
      <c r="M3220" s="186"/>
      <c r="N3220" s="186"/>
    </row>
    <row r="3221" spans="2:14" s="188" customFormat="1" ht="15" customHeight="1">
      <c r="B3221" s="187"/>
      <c r="C3221" s="187"/>
      <c r="D3221" s="187"/>
      <c r="E3221" s="187"/>
      <c r="F3221" s="187"/>
      <c r="G3221" s="187"/>
      <c r="J3221" s="186"/>
      <c r="K3221" s="180"/>
      <c r="L3221" s="180"/>
      <c r="M3221" s="186"/>
      <c r="N3221" s="186"/>
    </row>
    <row r="3222" spans="2:14" s="188" customFormat="1" ht="15" customHeight="1">
      <c r="B3222" s="187"/>
      <c r="C3222" s="187"/>
      <c r="D3222" s="187"/>
      <c r="E3222" s="187"/>
      <c r="F3222" s="187"/>
      <c r="G3222" s="187"/>
      <c r="J3222" s="186"/>
      <c r="K3222" s="180"/>
      <c r="L3222" s="180"/>
      <c r="M3222" s="186"/>
      <c r="N3222" s="186"/>
    </row>
    <row r="3223" spans="2:14" s="188" customFormat="1" ht="15" customHeight="1">
      <c r="B3223" s="187"/>
      <c r="C3223" s="187"/>
      <c r="D3223" s="187"/>
      <c r="E3223" s="187"/>
      <c r="F3223" s="187"/>
      <c r="G3223" s="187"/>
      <c r="J3223" s="186"/>
      <c r="K3223" s="180"/>
      <c r="L3223" s="180"/>
      <c r="M3223" s="186"/>
      <c r="N3223" s="186"/>
    </row>
    <row r="3224" spans="2:14" s="188" customFormat="1" ht="15" customHeight="1">
      <c r="B3224" s="187"/>
      <c r="C3224" s="187"/>
      <c r="D3224" s="187"/>
      <c r="E3224" s="187"/>
      <c r="F3224" s="187"/>
      <c r="G3224" s="187"/>
      <c r="J3224" s="186"/>
      <c r="K3224" s="180"/>
      <c r="L3224" s="180"/>
      <c r="M3224" s="186"/>
      <c r="N3224" s="186"/>
    </row>
    <row r="3225" spans="2:14" s="188" customFormat="1" ht="15" customHeight="1">
      <c r="B3225" s="187"/>
      <c r="C3225" s="187"/>
      <c r="D3225" s="187"/>
      <c r="E3225" s="187"/>
      <c r="F3225" s="187"/>
      <c r="G3225" s="187"/>
      <c r="J3225" s="186"/>
      <c r="K3225" s="180"/>
      <c r="L3225" s="180"/>
      <c r="M3225" s="186"/>
      <c r="N3225" s="186"/>
    </row>
    <row r="3226" spans="2:14" s="188" customFormat="1" ht="15" customHeight="1">
      <c r="B3226" s="187"/>
      <c r="C3226" s="187"/>
      <c r="D3226" s="187"/>
      <c r="E3226" s="187"/>
      <c r="F3226" s="187"/>
      <c r="G3226" s="187"/>
      <c r="J3226" s="186"/>
      <c r="K3226" s="180"/>
      <c r="L3226" s="180"/>
      <c r="M3226" s="186"/>
      <c r="N3226" s="186"/>
    </row>
    <row r="3227" spans="2:14" s="188" customFormat="1" ht="15" customHeight="1">
      <c r="B3227" s="187"/>
      <c r="C3227" s="187"/>
      <c r="D3227" s="187"/>
      <c r="E3227" s="187"/>
      <c r="F3227" s="187"/>
      <c r="G3227" s="187"/>
      <c r="J3227" s="186"/>
      <c r="K3227" s="180"/>
      <c r="L3227" s="180"/>
      <c r="M3227" s="186"/>
      <c r="N3227" s="186"/>
    </row>
    <row r="3228" spans="2:14" s="188" customFormat="1" ht="15" customHeight="1">
      <c r="B3228" s="187"/>
      <c r="C3228" s="187"/>
      <c r="D3228" s="187"/>
      <c r="E3228" s="187"/>
      <c r="F3228" s="187"/>
      <c r="G3228" s="187"/>
      <c r="J3228" s="186"/>
      <c r="K3228" s="180"/>
      <c r="L3228" s="180"/>
      <c r="M3228" s="186"/>
      <c r="N3228" s="186"/>
    </row>
    <row r="3229" spans="2:14" s="188" customFormat="1" ht="15" customHeight="1">
      <c r="B3229" s="187"/>
      <c r="C3229" s="187"/>
      <c r="D3229" s="187"/>
      <c r="E3229" s="187"/>
      <c r="F3229" s="187"/>
      <c r="G3229" s="187"/>
      <c r="J3229" s="186"/>
      <c r="K3229" s="180"/>
      <c r="L3229" s="180"/>
      <c r="M3229" s="186"/>
      <c r="N3229" s="186"/>
    </row>
    <row r="3230" spans="2:14" s="188" customFormat="1" ht="15" customHeight="1">
      <c r="B3230" s="187"/>
      <c r="C3230" s="187"/>
      <c r="D3230" s="187"/>
      <c r="E3230" s="187"/>
      <c r="F3230" s="187"/>
      <c r="G3230" s="187"/>
      <c r="J3230" s="186"/>
      <c r="K3230" s="180"/>
      <c r="L3230" s="180"/>
      <c r="M3230" s="186"/>
      <c r="N3230" s="186"/>
    </row>
    <row r="3231" spans="2:14" s="188" customFormat="1" ht="15" customHeight="1">
      <c r="B3231" s="187"/>
      <c r="C3231" s="187"/>
      <c r="D3231" s="187"/>
      <c r="E3231" s="187"/>
      <c r="F3231" s="187"/>
      <c r="G3231" s="187"/>
      <c r="J3231" s="186"/>
      <c r="K3231" s="180"/>
      <c r="L3231" s="180"/>
      <c r="M3231" s="186"/>
      <c r="N3231" s="186"/>
    </row>
    <row r="3232" spans="2:14" s="188" customFormat="1" ht="15" customHeight="1">
      <c r="B3232" s="187"/>
      <c r="C3232" s="187"/>
      <c r="D3232" s="187"/>
      <c r="E3232" s="187"/>
      <c r="F3232" s="187"/>
      <c r="G3232" s="187"/>
      <c r="J3232" s="186"/>
      <c r="K3232" s="180"/>
      <c r="L3232" s="180"/>
      <c r="M3232" s="186"/>
      <c r="N3232" s="186"/>
    </row>
    <row r="3233" spans="2:14" s="188" customFormat="1" ht="15" customHeight="1">
      <c r="B3233" s="187"/>
      <c r="C3233" s="187"/>
      <c r="D3233" s="187"/>
      <c r="E3233" s="187"/>
      <c r="F3233" s="187"/>
      <c r="G3233" s="187"/>
      <c r="J3233" s="186"/>
      <c r="K3233" s="180"/>
      <c r="L3233" s="180"/>
      <c r="M3233" s="186"/>
      <c r="N3233" s="186"/>
    </row>
    <row r="3234" spans="2:14" s="188" customFormat="1" ht="15" customHeight="1">
      <c r="B3234" s="187"/>
      <c r="C3234" s="187"/>
      <c r="D3234" s="187"/>
      <c r="E3234" s="187"/>
      <c r="F3234" s="187"/>
      <c r="G3234" s="187"/>
      <c r="J3234" s="186"/>
      <c r="K3234" s="180"/>
      <c r="L3234" s="180"/>
      <c r="M3234" s="186"/>
      <c r="N3234" s="186"/>
    </row>
    <row r="3235" spans="2:14" s="188" customFormat="1" ht="15" customHeight="1">
      <c r="B3235" s="187"/>
      <c r="C3235" s="187"/>
      <c r="D3235" s="187"/>
      <c r="E3235" s="187"/>
      <c r="F3235" s="187"/>
      <c r="G3235" s="187"/>
      <c r="J3235" s="186"/>
      <c r="K3235" s="180"/>
      <c r="L3235" s="180"/>
      <c r="M3235" s="186"/>
      <c r="N3235" s="186"/>
    </row>
    <row r="3236" spans="2:14" s="188" customFormat="1" ht="15" customHeight="1">
      <c r="B3236" s="187"/>
      <c r="C3236" s="187"/>
      <c r="D3236" s="187"/>
      <c r="E3236" s="187"/>
      <c r="F3236" s="187"/>
      <c r="G3236" s="187"/>
      <c r="J3236" s="186"/>
      <c r="K3236" s="180"/>
      <c r="L3236" s="180"/>
      <c r="M3236" s="186"/>
      <c r="N3236" s="186"/>
    </row>
    <row r="3237" spans="2:14" s="188" customFormat="1" ht="15" customHeight="1">
      <c r="B3237" s="187"/>
      <c r="C3237" s="187"/>
      <c r="D3237" s="187"/>
      <c r="E3237" s="187"/>
      <c r="F3237" s="187"/>
      <c r="G3237" s="187"/>
      <c r="J3237" s="186"/>
      <c r="K3237" s="180"/>
      <c r="L3237" s="180"/>
      <c r="M3237" s="186"/>
      <c r="N3237" s="186"/>
    </row>
    <row r="3238" spans="2:14" s="188" customFormat="1" ht="15" customHeight="1">
      <c r="B3238" s="187"/>
      <c r="C3238" s="187"/>
      <c r="D3238" s="187"/>
      <c r="E3238" s="187"/>
      <c r="F3238" s="187"/>
      <c r="G3238" s="187"/>
      <c r="J3238" s="186"/>
      <c r="K3238" s="180"/>
      <c r="L3238" s="180"/>
      <c r="M3238" s="186"/>
      <c r="N3238" s="186"/>
    </row>
    <row r="3239" spans="2:14" s="188" customFormat="1" ht="15" customHeight="1">
      <c r="B3239" s="187"/>
      <c r="C3239" s="187"/>
      <c r="D3239" s="187"/>
      <c r="E3239" s="187"/>
      <c r="F3239" s="187"/>
      <c r="G3239" s="187"/>
      <c r="J3239" s="186"/>
      <c r="K3239" s="180"/>
      <c r="L3239" s="180"/>
      <c r="M3239" s="186"/>
      <c r="N3239" s="186"/>
    </row>
    <row r="3240" spans="2:14" s="188" customFormat="1" ht="15" customHeight="1">
      <c r="B3240" s="187"/>
      <c r="C3240" s="187"/>
      <c r="D3240" s="187"/>
      <c r="E3240" s="187"/>
      <c r="F3240" s="187"/>
      <c r="G3240" s="187"/>
      <c r="J3240" s="186"/>
      <c r="K3240" s="180"/>
      <c r="L3240" s="180"/>
      <c r="M3240" s="186"/>
      <c r="N3240" s="186"/>
    </row>
    <row r="3241" spans="2:14" s="188" customFormat="1" ht="15" customHeight="1">
      <c r="B3241" s="187"/>
      <c r="C3241" s="187"/>
      <c r="D3241" s="187"/>
      <c r="E3241" s="187"/>
      <c r="F3241" s="187"/>
      <c r="G3241" s="187"/>
      <c r="J3241" s="186"/>
      <c r="K3241" s="180"/>
      <c r="L3241" s="180"/>
      <c r="M3241" s="186"/>
      <c r="N3241" s="186"/>
    </row>
    <row r="3242" spans="2:14" s="188" customFormat="1" ht="15" customHeight="1">
      <c r="B3242" s="187"/>
      <c r="C3242" s="187"/>
      <c r="D3242" s="187"/>
      <c r="E3242" s="187"/>
      <c r="F3242" s="187"/>
      <c r="G3242" s="187"/>
      <c r="J3242" s="186"/>
      <c r="K3242" s="180"/>
      <c r="L3242" s="180"/>
      <c r="M3242" s="186"/>
      <c r="N3242" s="186"/>
    </row>
    <row r="3243" spans="2:14" s="188" customFormat="1" ht="15" customHeight="1">
      <c r="B3243" s="187"/>
      <c r="C3243" s="187"/>
      <c r="D3243" s="187"/>
      <c r="E3243" s="187"/>
      <c r="F3243" s="187"/>
      <c r="G3243" s="187"/>
      <c r="J3243" s="186"/>
      <c r="K3243" s="180"/>
      <c r="L3243" s="180"/>
      <c r="M3243" s="186"/>
      <c r="N3243" s="186"/>
    </row>
    <row r="3244" spans="2:14" s="188" customFormat="1" ht="15" customHeight="1">
      <c r="B3244" s="187"/>
      <c r="C3244" s="187"/>
      <c r="D3244" s="187"/>
      <c r="E3244" s="187"/>
      <c r="F3244" s="187"/>
      <c r="G3244" s="187"/>
      <c r="J3244" s="186"/>
      <c r="K3244" s="180"/>
      <c r="L3244" s="180"/>
      <c r="M3244" s="186"/>
      <c r="N3244" s="186"/>
    </row>
    <row r="3245" spans="2:14" s="188" customFormat="1" ht="15" customHeight="1">
      <c r="B3245" s="187"/>
      <c r="C3245" s="187"/>
      <c r="D3245" s="187"/>
      <c r="E3245" s="187"/>
      <c r="F3245" s="187"/>
      <c r="G3245" s="187"/>
      <c r="J3245" s="186"/>
      <c r="K3245" s="180"/>
      <c r="L3245" s="180"/>
      <c r="M3245" s="186"/>
      <c r="N3245" s="186"/>
    </row>
    <row r="3246" spans="2:14" s="188" customFormat="1" ht="15" customHeight="1">
      <c r="B3246" s="187"/>
      <c r="C3246" s="187"/>
      <c r="D3246" s="187"/>
      <c r="E3246" s="187"/>
      <c r="F3246" s="187"/>
      <c r="G3246" s="187"/>
      <c r="J3246" s="186"/>
      <c r="K3246" s="180"/>
      <c r="L3246" s="180"/>
      <c r="M3246" s="186"/>
      <c r="N3246" s="186"/>
    </row>
    <row r="3247" spans="2:14" s="188" customFormat="1" ht="15" customHeight="1">
      <c r="B3247" s="187"/>
      <c r="C3247" s="187"/>
      <c r="D3247" s="187"/>
      <c r="E3247" s="187"/>
      <c r="F3247" s="187"/>
      <c r="G3247" s="187"/>
      <c r="J3247" s="186"/>
      <c r="K3247" s="180"/>
      <c r="L3247" s="180"/>
      <c r="M3247" s="186"/>
      <c r="N3247" s="186"/>
    </row>
    <row r="3248" spans="2:14" s="188" customFormat="1" ht="15" customHeight="1">
      <c r="B3248" s="187"/>
      <c r="C3248" s="187"/>
      <c r="D3248" s="187"/>
      <c r="E3248" s="187"/>
      <c r="F3248" s="187"/>
      <c r="G3248" s="187"/>
      <c r="J3248" s="186"/>
      <c r="K3248" s="180"/>
      <c r="L3248" s="180"/>
      <c r="M3248" s="186"/>
      <c r="N3248" s="186"/>
    </row>
    <row r="3249" spans="2:14" s="188" customFormat="1" ht="15" customHeight="1">
      <c r="B3249" s="187"/>
      <c r="C3249" s="187"/>
      <c r="D3249" s="187"/>
      <c r="E3249" s="187"/>
      <c r="F3249" s="187"/>
      <c r="G3249" s="187"/>
      <c r="J3249" s="186"/>
      <c r="K3249" s="180"/>
      <c r="L3249" s="180"/>
      <c r="M3249" s="186"/>
      <c r="N3249" s="186"/>
    </row>
    <row r="3250" spans="2:14" s="188" customFormat="1" ht="15" customHeight="1">
      <c r="B3250" s="187"/>
      <c r="C3250" s="187"/>
      <c r="D3250" s="187"/>
      <c r="E3250" s="187"/>
      <c r="F3250" s="187"/>
      <c r="G3250" s="187"/>
      <c r="J3250" s="186"/>
      <c r="K3250" s="180"/>
      <c r="L3250" s="180"/>
      <c r="M3250" s="186"/>
      <c r="N3250" s="186"/>
    </row>
    <row r="3251" spans="2:14" s="188" customFormat="1" ht="15" customHeight="1">
      <c r="B3251" s="187"/>
      <c r="C3251" s="187"/>
      <c r="D3251" s="187"/>
      <c r="E3251" s="187"/>
      <c r="F3251" s="187"/>
      <c r="G3251" s="187"/>
      <c r="J3251" s="186"/>
      <c r="K3251" s="180"/>
      <c r="L3251" s="180"/>
      <c r="M3251" s="186"/>
      <c r="N3251" s="186"/>
    </row>
    <row r="3252" spans="2:14" s="188" customFormat="1" ht="15" customHeight="1">
      <c r="B3252" s="187"/>
      <c r="C3252" s="187"/>
      <c r="D3252" s="187"/>
      <c r="E3252" s="187"/>
      <c r="F3252" s="187"/>
      <c r="G3252" s="187"/>
      <c r="J3252" s="186"/>
      <c r="K3252" s="180"/>
      <c r="L3252" s="180"/>
      <c r="M3252" s="186"/>
      <c r="N3252" s="186"/>
    </row>
    <row r="3253" spans="2:14" s="188" customFormat="1" ht="15" customHeight="1">
      <c r="B3253" s="187"/>
      <c r="C3253" s="187"/>
      <c r="D3253" s="187"/>
      <c r="E3253" s="187"/>
      <c r="F3253" s="187"/>
      <c r="G3253" s="187"/>
      <c r="J3253" s="186"/>
      <c r="K3253" s="180"/>
      <c r="L3253" s="180"/>
      <c r="M3253" s="186"/>
      <c r="N3253" s="186"/>
    </row>
    <row r="3254" spans="2:14" s="188" customFormat="1" ht="15" customHeight="1">
      <c r="B3254" s="187"/>
      <c r="C3254" s="187"/>
      <c r="D3254" s="187"/>
      <c r="E3254" s="187"/>
      <c r="F3254" s="187"/>
      <c r="G3254" s="187"/>
      <c r="J3254" s="186"/>
      <c r="K3254" s="180"/>
      <c r="L3254" s="180"/>
      <c r="M3254" s="186"/>
      <c r="N3254" s="186"/>
    </row>
    <row r="3255" spans="2:14" s="188" customFormat="1" ht="15" customHeight="1">
      <c r="B3255" s="187"/>
      <c r="C3255" s="187"/>
      <c r="D3255" s="187"/>
      <c r="E3255" s="187"/>
      <c r="F3255" s="187"/>
      <c r="G3255" s="187"/>
      <c r="J3255" s="186"/>
      <c r="K3255" s="180"/>
      <c r="L3255" s="180"/>
      <c r="M3255" s="186"/>
      <c r="N3255" s="186"/>
    </row>
    <row r="3256" spans="2:14" s="188" customFormat="1" ht="15" customHeight="1">
      <c r="B3256" s="187"/>
      <c r="C3256" s="187"/>
      <c r="D3256" s="187"/>
      <c r="E3256" s="187"/>
      <c r="F3256" s="187"/>
      <c r="G3256" s="187"/>
      <c r="J3256" s="186"/>
      <c r="K3256" s="180"/>
      <c r="L3256" s="180"/>
      <c r="M3256" s="186"/>
      <c r="N3256" s="186"/>
    </row>
    <row r="3257" spans="2:14" s="188" customFormat="1" ht="15" customHeight="1">
      <c r="B3257" s="187"/>
      <c r="C3257" s="187"/>
      <c r="D3257" s="187"/>
      <c r="E3257" s="187"/>
      <c r="F3257" s="187"/>
      <c r="G3257" s="187"/>
      <c r="J3257" s="186"/>
      <c r="K3257" s="180"/>
      <c r="L3257" s="180"/>
      <c r="M3257" s="186"/>
      <c r="N3257" s="186"/>
    </row>
    <row r="3258" spans="2:14" s="188" customFormat="1" ht="15" customHeight="1">
      <c r="B3258" s="187"/>
      <c r="C3258" s="187"/>
      <c r="D3258" s="187"/>
      <c r="E3258" s="187"/>
      <c r="F3258" s="187"/>
      <c r="G3258" s="187"/>
      <c r="J3258" s="186"/>
      <c r="K3258" s="180"/>
      <c r="L3258" s="180"/>
      <c r="M3258" s="186"/>
      <c r="N3258" s="186"/>
    </row>
    <row r="3259" spans="2:14" s="188" customFormat="1" ht="15" customHeight="1">
      <c r="B3259" s="187"/>
      <c r="C3259" s="187"/>
      <c r="D3259" s="187"/>
      <c r="E3259" s="187"/>
      <c r="F3259" s="187"/>
      <c r="G3259" s="187"/>
      <c r="J3259" s="186"/>
      <c r="K3259" s="180"/>
      <c r="L3259" s="180"/>
      <c r="M3259" s="186"/>
      <c r="N3259" s="186"/>
    </row>
    <row r="3260" spans="2:14" s="188" customFormat="1" ht="15" customHeight="1">
      <c r="B3260" s="187"/>
      <c r="C3260" s="187"/>
      <c r="D3260" s="187"/>
      <c r="E3260" s="187"/>
      <c r="F3260" s="187"/>
      <c r="G3260" s="187"/>
      <c r="J3260" s="186"/>
      <c r="K3260" s="180"/>
      <c r="L3260" s="180"/>
      <c r="M3260" s="186"/>
      <c r="N3260" s="186"/>
    </row>
    <row r="3261" spans="2:14" s="188" customFormat="1" ht="15" customHeight="1">
      <c r="B3261" s="187"/>
      <c r="C3261" s="187"/>
      <c r="D3261" s="187"/>
      <c r="E3261" s="187"/>
      <c r="F3261" s="187"/>
      <c r="G3261" s="187"/>
      <c r="J3261" s="186"/>
      <c r="K3261" s="180"/>
      <c r="L3261" s="180"/>
      <c r="M3261" s="186"/>
      <c r="N3261" s="186"/>
    </row>
    <row r="3262" spans="2:14" s="188" customFormat="1" ht="15" customHeight="1">
      <c r="B3262" s="187"/>
      <c r="C3262" s="187"/>
      <c r="D3262" s="187"/>
      <c r="E3262" s="187"/>
      <c r="F3262" s="187"/>
      <c r="G3262" s="187"/>
      <c r="J3262" s="186"/>
      <c r="K3262" s="180"/>
      <c r="L3262" s="180"/>
      <c r="M3262" s="186"/>
      <c r="N3262" s="186"/>
    </row>
    <row r="3263" spans="2:14" s="188" customFormat="1" ht="15" customHeight="1">
      <c r="B3263" s="187"/>
      <c r="C3263" s="187"/>
      <c r="D3263" s="187"/>
      <c r="E3263" s="187"/>
      <c r="F3263" s="187"/>
      <c r="G3263" s="187"/>
      <c r="J3263" s="186"/>
      <c r="K3263" s="180"/>
      <c r="L3263" s="180"/>
      <c r="M3263" s="186"/>
      <c r="N3263" s="186"/>
    </row>
    <row r="3264" spans="2:14" s="188" customFormat="1" ht="15" customHeight="1">
      <c r="B3264" s="187"/>
      <c r="C3264" s="187"/>
      <c r="D3264" s="187"/>
      <c r="E3264" s="187"/>
      <c r="F3264" s="187"/>
      <c r="G3264" s="187"/>
      <c r="J3264" s="186"/>
      <c r="K3264" s="180"/>
      <c r="L3264" s="180"/>
      <c r="M3264" s="186"/>
      <c r="N3264" s="186"/>
    </row>
    <row r="3265" spans="2:14" s="188" customFormat="1" ht="15" customHeight="1">
      <c r="B3265" s="187"/>
      <c r="C3265" s="187"/>
      <c r="D3265" s="187"/>
      <c r="E3265" s="187"/>
      <c r="F3265" s="187"/>
      <c r="G3265" s="187"/>
      <c r="J3265" s="186"/>
      <c r="K3265" s="180"/>
      <c r="L3265" s="180"/>
      <c r="M3265" s="186"/>
      <c r="N3265" s="186"/>
    </row>
    <row r="3266" spans="2:14" s="188" customFormat="1" ht="15" customHeight="1">
      <c r="B3266" s="187"/>
      <c r="C3266" s="187"/>
      <c r="D3266" s="187"/>
      <c r="E3266" s="187"/>
      <c r="F3266" s="187"/>
      <c r="G3266" s="187"/>
      <c r="J3266" s="186"/>
      <c r="K3266" s="180"/>
      <c r="L3266" s="180"/>
      <c r="M3266" s="186"/>
      <c r="N3266" s="186"/>
    </row>
    <row r="3267" spans="2:14" s="188" customFormat="1" ht="15" customHeight="1">
      <c r="B3267" s="187"/>
      <c r="C3267" s="187"/>
      <c r="D3267" s="187"/>
      <c r="E3267" s="187"/>
      <c r="F3267" s="187"/>
      <c r="G3267" s="187"/>
      <c r="J3267" s="186"/>
      <c r="K3267" s="180"/>
      <c r="L3267" s="180"/>
      <c r="M3267" s="186"/>
      <c r="N3267" s="186"/>
    </row>
    <row r="3268" spans="2:14" s="188" customFormat="1" ht="15" customHeight="1">
      <c r="B3268" s="187"/>
      <c r="C3268" s="187"/>
      <c r="D3268" s="187"/>
      <c r="E3268" s="187"/>
      <c r="F3268" s="187"/>
      <c r="G3268" s="187"/>
      <c r="J3268" s="186"/>
      <c r="K3268" s="180"/>
      <c r="L3268" s="180"/>
      <c r="M3268" s="186"/>
      <c r="N3268" s="186"/>
    </row>
    <row r="3269" spans="2:14" s="188" customFormat="1" ht="15" customHeight="1">
      <c r="B3269" s="187"/>
      <c r="C3269" s="187"/>
      <c r="D3269" s="187"/>
      <c r="E3269" s="187"/>
      <c r="F3269" s="187"/>
      <c r="G3269" s="187"/>
      <c r="J3269" s="186"/>
      <c r="K3269" s="180"/>
      <c r="L3269" s="180"/>
      <c r="M3269" s="186"/>
      <c r="N3269" s="186"/>
    </row>
    <row r="3270" spans="2:14" s="188" customFormat="1" ht="15" customHeight="1">
      <c r="B3270" s="187"/>
      <c r="C3270" s="187"/>
      <c r="D3270" s="187"/>
      <c r="E3270" s="187"/>
      <c r="F3270" s="187"/>
      <c r="G3270" s="187"/>
      <c r="J3270" s="186"/>
      <c r="K3270" s="180"/>
      <c r="L3270" s="180"/>
      <c r="M3270" s="186"/>
      <c r="N3270" s="186"/>
    </row>
    <row r="3271" spans="2:14" s="188" customFormat="1" ht="15" customHeight="1">
      <c r="B3271" s="187"/>
      <c r="C3271" s="187"/>
      <c r="D3271" s="187"/>
      <c r="E3271" s="187"/>
      <c r="F3271" s="187"/>
      <c r="G3271" s="187"/>
      <c r="J3271" s="186"/>
      <c r="K3271" s="180"/>
      <c r="L3271" s="180"/>
      <c r="M3271" s="186"/>
      <c r="N3271" s="186"/>
    </row>
    <row r="3272" spans="2:14" s="188" customFormat="1" ht="15" customHeight="1">
      <c r="B3272" s="187"/>
      <c r="C3272" s="187"/>
      <c r="D3272" s="187"/>
      <c r="E3272" s="187"/>
      <c r="F3272" s="187"/>
      <c r="G3272" s="187"/>
      <c r="J3272" s="186"/>
      <c r="K3272" s="180"/>
      <c r="L3272" s="180"/>
      <c r="M3272" s="186"/>
      <c r="N3272" s="186"/>
    </row>
    <row r="3273" spans="2:14" s="188" customFormat="1" ht="15" customHeight="1">
      <c r="B3273" s="187"/>
      <c r="C3273" s="187"/>
      <c r="D3273" s="187"/>
      <c r="E3273" s="187"/>
      <c r="F3273" s="187"/>
      <c r="G3273" s="187"/>
      <c r="J3273" s="186"/>
      <c r="K3273" s="180"/>
      <c r="L3273" s="180"/>
      <c r="M3273" s="186"/>
      <c r="N3273" s="186"/>
    </row>
    <row r="3274" spans="2:14" s="188" customFormat="1" ht="15" customHeight="1">
      <c r="B3274" s="187"/>
      <c r="C3274" s="187"/>
      <c r="D3274" s="187"/>
      <c r="E3274" s="187"/>
      <c r="F3274" s="187"/>
      <c r="G3274" s="187"/>
      <c r="J3274" s="186"/>
      <c r="K3274" s="180"/>
      <c r="L3274" s="180"/>
      <c r="M3274" s="186"/>
      <c r="N3274" s="186"/>
    </row>
    <row r="3275" spans="2:14" s="188" customFormat="1" ht="15" customHeight="1">
      <c r="B3275" s="187"/>
      <c r="C3275" s="187"/>
      <c r="D3275" s="187"/>
      <c r="E3275" s="187"/>
      <c r="F3275" s="187"/>
      <c r="G3275" s="187"/>
      <c r="J3275" s="186"/>
      <c r="K3275" s="180"/>
      <c r="L3275" s="180"/>
      <c r="M3275" s="186"/>
      <c r="N3275" s="186"/>
    </row>
    <row r="3276" spans="2:14" s="188" customFormat="1" ht="15" customHeight="1">
      <c r="B3276" s="187"/>
      <c r="C3276" s="187"/>
      <c r="D3276" s="187"/>
      <c r="E3276" s="187"/>
      <c r="F3276" s="187"/>
      <c r="G3276" s="187"/>
      <c r="J3276" s="186"/>
      <c r="K3276" s="180"/>
      <c r="L3276" s="180"/>
      <c r="M3276" s="186"/>
      <c r="N3276" s="186"/>
    </row>
    <row r="3277" spans="2:14" s="188" customFormat="1" ht="15" customHeight="1">
      <c r="B3277" s="187"/>
      <c r="C3277" s="187"/>
      <c r="D3277" s="187"/>
      <c r="E3277" s="187"/>
      <c r="F3277" s="187"/>
      <c r="G3277" s="187"/>
      <c r="J3277" s="186"/>
      <c r="K3277" s="180"/>
      <c r="L3277" s="180"/>
      <c r="M3277" s="186"/>
      <c r="N3277" s="186"/>
    </row>
    <row r="3278" spans="2:14" s="188" customFormat="1" ht="15" customHeight="1">
      <c r="B3278" s="187"/>
      <c r="C3278" s="187"/>
      <c r="D3278" s="187"/>
      <c r="E3278" s="187"/>
      <c r="F3278" s="187"/>
      <c r="G3278" s="187"/>
      <c r="J3278" s="186"/>
      <c r="K3278" s="180"/>
      <c r="L3278" s="180"/>
      <c r="M3278" s="186"/>
      <c r="N3278" s="186"/>
    </row>
    <row r="3279" spans="2:14" s="188" customFormat="1" ht="15" customHeight="1">
      <c r="B3279" s="187"/>
      <c r="C3279" s="187"/>
      <c r="D3279" s="187"/>
      <c r="E3279" s="187"/>
      <c r="F3279" s="187"/>
      <c r="G3279" s="187"/>
      <c r="J3279" s="186"/>
      <c r="K3279" s="180"/>
      <c r="L3279" s="180"/>
      <c r="M3279" s="186"/>
      <c r="N3279" s="186"/>
    </row>
    <row r="3280" spans="2:14" s="188" customFormat="1" ht="15" customHeight="1">
      <c r="B3280" s="187"/>
      <c r="C3280" s="187"/>
      <c r="D3280" s="187"/>
      <c r="E3280" s="187"/>
      <c r="F3280" s="187"/>
      <c r="G3280" s="187"/>
      <c r="J3280" s="186"/>
      <c r="K3280" s="180"/>
      <c r="L3280" s="180"/>
      <c r="M3280" s="186"/>
      <c r="N3280" s="186"/>
    </row>
    <row r="3281" spans="2:14" s="188" customFormat="1" ht="15" customHeight="1">
      <c r="B3281" s="187"/>
      <c r="C3281" s="187"/>
      <c r="D3281" s="187"/>
      <c r="E3281" s="187"/>
      <c r="F3281" s="187"/>
      <c r="G3281" s="187"/>
      <c r="J3281" s="186"/>
      <c r="K3281" s="180"/>
      <c r="L3281" s="180"/>
      <c r="M3281" s="186"/>
      <c r="N3281" s="186"/>
    </row>
    <row r="3282" spans="2:14" s="188" customFormat="1" ht="15" customHeight="1">
      <c r="B3282" s="187"/>
      <c r="C3282" s="187"/>
      <c r="D3282" s="187"/>
      <c r="E3282" s="187"/>
      <c r="F3282" s="187"/>
      <c r="G3282" s="187"/>
      <c r="J3282" s="186"/>
      <c r="K3282" s="180"/>
      <c r="L3282" s="180"/>
      <c r="M3282" s="186"/>
      <c r="N3282" s="186"/>
    </row>
    <row r="3283" spans="2:14" s="188" customFormat="1" ht="15" customHeight="1">
      <c r="B3283" s="187"/>
      <c r="C3283" s="187"/>
      <c r="D3283" s="187"/>
      <c r="E3283" s="187"/>
      <c r="F3283" s="187"/>
      <c r="G3283" s="187"/>
      <c r="J3283" s="186"/>
      <c r="K3283" s="180"/>
      <c r="L3283" s="180"/>
      <c r="M3283" s="186"/>
      <c r="N3283" s="186"/>
    </row>
    <row r="3284" spans="2:14" s="188" customFormat="1" ht="15" customHeight="1">
      <c r="B3284" s="187"/>
      <c r="C3284" s="187"/>
      <c r="D3284" s="187"/>
      <c r="E3284" s="187"/>
      <c r="F3284" s="187"/>
      <c r="G3284" s="187"/>
      <c r="J3284" s="186"/>
      <c r="K3284" s="180"/>
      <c r="L3284" s="180"/>
      <c r="M3284" s="186"/>
      <c r="N3284" s="186"/>
    </row>
    <row r="3285" spans="2:14" s="188" customFormat="1" ht="15" customHeight="1">
      <c r="B3285" s="187"/>
      <c r="C3285" s="187"/>
      <c r="D3285" s="187"/>
      <c r="E3285" s="187"/>
      <c r="F3285" s="187"/>
      <c r="G3285" s="187"/>
      <c r="J3285" s="186"/>
      <c r="K3285" s="180"/>
      <c r="L3285" s="180"/>
      <c r="M3285" s="186"/>
      <c r="N3285" s="186"/>
    </row>
    <row r="3286" spans="2:14" s="188" customFormat="1" ht="15" customHeight="1">
      <c r="B3286" s="187"/>
      <c r="C3286" s="187"/>
      <c r="D3286" s="187"/>
      <c r="E3286" s="187"/>
      <c r="F3286" s="187"/>
      <c r="G3286" s="187"/>
      <c r="J3286" s="186"/>
      <c r="K3286" s="180"/>
      <c r="L3286" s="180"/>
      <c r="M3286" s="186"/>
      <c r="N3286" s="186"/>
    </row>
    <row r="3287" spans="2:14" s="188" customFormat="1" ht="15" customHeight="1">
      <c r="B3287" s="187"/>
      <c r="C3287" s="187"/>
      <c r="D3287" s="187"/>
      <c r="E3287" s="187"/>
      <c r="F3287" s="187"/>
      <c r="G3287" s="187"/>
      <c r="J3287" s="186"/>
      <c r="K3287" s="180"/>
      <c r="L3287" s="180"/>
      <c r="M3287" s="186"/>
      <c r="N3287" s="186"/>
    </row>
    <row r="3288" spans="2:14" s="188" customFormat="1" ht="15" customHeight="1">
      <c r="B3288" s="187"/>
      <c r="C3288" s="187"/>
      <c r="D3288" s="187"/>
      <c r="E3288" s="187"/>
      <c r="F3288" s="187"/>
      <c r="G3288" s="187"/>
      <c r="J3288" s="186"/>
      <c r="K3288" s="180"/>
      <c r="L3288" s="180"/>
      <c r="M3288" s="186"/>
      <c r="N3288" s="186"/>
    </row>
    <row r="3289" spans="2:14" s="188" customFormat="1" ht="15" customHeight="1">
      <c r="B3289" s="187"/>
      <c r="C3289" s="187"/>
      <c r="D3289" s="187"/>
      <c r="E3289" s="187"/>
      <c r="F3289" s="187"/>
      <c r="G3289" s="187"/>
      <c r="J3289" s="186"/>
      <c r="K3289" s="180"/>
      <c r="L3289" s="180"/>
      <c r="M3289" s="186"/>
      <c r="N3289" s="186"/>
    </row>
    <row r="3290" spans="2:14" s="188" customFormat="1" ht="15" customHeight="1">
      <c r="B3290" s="187"/>
      <c r="C3290" s="187"/>
      <c r="D3290" s="187"/>
      <c r="E3290" s="187"/>
      <c r="F3290" s="187"/>
      <c r="G3290" s="187"/>
      <c r="J3290" s="186"/>
      <c r="K3290" s="180"/>
      <c r="L3290" s="180"/>
      <c r="M3290" s="186"/>
      <c r="N3290" s="186"/>
    </row>
    <row r="3291" spans="2:14" s="188" customFormat="1" ht="15" customHeight="1">
      <c r="B3291" s="187"/>
      <c r="C3291" s="187"/>
      <c r="D3291" s="187"/>
      <c r="E3291" s="187"/>
      <c r="F3291" s="187"/>
      <c r="G3291" s="187"/>
      <c r="J3291" s="186"/>
      <c r="K3291" s="180"/>
      <c r="L3291" s="180"/>
      <c r="M3291" s="186"/>
      <c r="N3291" s="186"/>
    </row>
    <row r="3292" spans="2:14" s="188" customFormat="1" ht="15" customHeight="1">
      <c r="B3292" s="187"/>
      <c r="C3292" s="187"/>
      <c r="D3292" s="187"/>
      <c r="E3292" s="187"/>
      <c r="F3292" s="187"/>
      <c r="G3292" s="187"/>
      <c r="J3292" s="186"/>
      <c r="K3292" s="180"/>
      <c r="L3292" s="180"/>
      <c r="M3292" s="186"/>
      <c r="N3292" s="186"/>
    </row>
    <row r="3293" spans="2:14" s="188" customFormat="1" ht="15" customHeight="1">
      <c r="B3293" s="187"/>
      <c r="C3293" s="187"/>
      <c r="D3293" s="187"/>
      <c r="E3293" s="187"/>
      <c r="F3293" s="187"/>
      <c r="G3293" s="187"/>
      <c r="J3293" s="186"/>
      <c r="K3293" s="180"/>
      <c r="L3293" s="180"/>
      <c r="M3293" s="186"/>
      <c r="N3293" s="186"/>
    </row>
    <row r="3294" spans="2:14" s="188" customFormat="1" ht="15" customHeight="1">
      <c r="B3294" s="187"/>
      <c r="C3294" s="187"/>
      <c r="D3294" s="187"/>
      <c r="E3294" s="187"/>
      <c r="F3294" s="187"/>
      <c r="G3294" s="187"/>
      <c r="J3294" s="186"/>
      <c r="K3294" s="180"/>
      <c r="L3294" s="180"/>
      <c r="M3294" s="186"/>
      <c r="N3294" s="186"/>
    </row>
    <row r="3295" spans="2:14" s="188" customFormat="1" ht="15" customHeight="1">
      <c r="B3295" s="187"/>
      <c r="C3295" s="187"/>
      <c r="D3295" s="187"/>
      <c r="E3295" s="187"/>
      <c r="F3295" s="187"/>
      <c r="G3295" s="187"/>
      <c r="J3295" s="186"/>
      <c r="K3295" s="180"/>
      <c r="L3295" s="180"/>
      <c r="M3295" s="186"/>
      <c r="N3295" s="186"/>
    </row>
    <row r="3296" spans="2:14" s="188" customFormat="1" ht="15" customHeight="1">
      <c r="B3296" s="187"/>
      <c r="C3296" s="187"/>
      <c r="D3296" s="187"/>
      <c r="E3296" s="187"/>
      <c r="F3296" s="187"/>
      <c r="G3296" s="187"/>
      <c r="J3296" s="186"/>
      <c r="K3296" s="180"/>
      <c r="L3296" s="180"/>
      <c r="M3296" s="186"/>
      <c r="N3296" s="186"/>
    </row>
    <row r="3297" spans="2:14" s="188" customFormat="1" ht="15" customHeight="1">
      <c r="B3297" s="187"/>
      <c r="C3297" s="187"/>
      <c r="D3297" s="187"/>
      <c r="E3297" s="187"/>
      <c r="F3297" s="187"/>
      <c r="G3297" s="187"/>
      <c r="J3297" s="186"/>
      <c r="K3297" s="180"/>
      <c r="L3297" s="180"/>
      <c r="M3297" s="186"/>
      <c r="N3297" s="186"/>
    </row>
    <row r="3298" spans="2:14" s="188" customFormat="1" ht="15" customHeight="1">
      <c r="B3298" s="187"/>
      <c r="C3298" s="187"/>
      <c r="D3298" s="187"/>
      <c r="E3298" s="187"/>
      <c r="F3298" s="187"/>
      <c r="G3298" s="187"/>
      <c r="J3298" s="186"/>
      <c r="K3298" s="180"/>
      <c r="L3298" s="180"/>
      <c r="M3298" s="186"/>
      <c r="N3298" s="186"/>
    </row>
    <row r="3299" spans="2:14" s="188" customFormat="1" ht="15" customHeight="1">
      <c r="B3299" s="187"/>
      <c r="C3299" s="187"/>
      <c r="D3299" s="187"/>
      <c r="E3299" s="187"/>
      <c r="F3299" s="187"/>
      <c r="G3299" s="187"/>
      <c r="J3299" s="186"/>
      <c r="K3299" s="180"/>
      <c r="L3299" s="180"/>
      <c r="M3299" s="186"/>
      <c r="N3299" s="186"/>
    </row>
    <row r="3300" spans="2:14" s="188" customFormat="1" ht="15" customHeight="1">
      <c r="B3300" s="187"/>
      <c r="C3300" s="187"/>
      <c r="D3300" s="187"/>
      <c r="E3300" s="187"/>
      <c r="F3300" s="187"/>
      <c r="G3300" s="187"/>
      <c r="J3300" s="186"/>
      <c r="K3300" s="180"/>
      <c r="L3300" s="180"/>
      <c r="M3300" s="186"/>
      <c r="N3300" s="186"/>
    </row>
    <row r="3301" spans="2:14" s="188" customFormat="1" ht="15" customHeight="1">
      <c r="B3301" s="187"/>
      <c r="C3301" s="187"/>
      <c r="D3301" s="187"/>
      <c r="E3301" s="187"/>
      <c r="F3301" s="187"/>
      <c r="G3301" s="187"/>
      <c r="J3301" s="186"/>
      <c r="K3301" s="180"/>
      <c r="L3301" s="180"/>
      <c r="M3301" s="186"/>
      <c r="N3301" s="186"/>
    </row>
    <row r="3302" spans="2:14" s="188" customFormat="1" ht="15" customHeight="1">
      <c r="B3302" s="187"/>
      <c r="C3302" s="187"/>
      <c r="D3302" s="187"/>
      <c r="E3302" s="187"/>
      <c r="F3302" s="187"/>
      <c r="G3302" s="187"/>
      <c r="J3302" s="186"/>
      <c r="K3302" s="180"/>
      <c r="L3302" s="180"/>
      <c r="M3302" s="186"/>
      <c r="N3302" s="186"/>
    </row>
    <row r="3303" spans="2:14" s="188" customFormat="1" ht="15" customHeight="1">
      <c r="B3303" s="187"/>
      <c r="C3303" s="187"/>
      <c r="D3303" s="187"/>
      <c r="E3303" s="187"/>
      <c r="F3303" s="187"/>
      <c r="G3303" s="187"/>
      <c r="J3303" s="186"/>
      <c r="K3303" s="180"/>
      <c r="L3303" s="180"/>
      <c r="M3303" s="186"/>
      <c r="N3303" s="186"/>
    </row>
    <row r="3304" spans="2:14" s="188" customFormat="1" ht="15" customHeight="1">
      <c r="B3304" s="187"/>
      <c r="C3304" s="187"/>
      <c r="D3304" s="187"/>
      <c r="E3304" s="187"/>
      <c r="F3304" s="187"/>
      <c r="G3304" s="187"/>
      <c r="J3304" s="186"/>
      <c r="K3304" s="180"/>
      <c r="L3304" s="180"/>
      <c r="M3304" s="186"/>
      <c r="N3304" s="186"/>
    </row>
    <row r="3305" spans="2:14" s="188" customFormat="1" ht="15" customHeight="1">
      <c r="B3305" s="187"/>
      <c r="C3305" s="187"/>
      <c r="D3305" s="187"/>
      <c r="E3305" s="187"/>
      <c r="F3305" s="187"/>
      <c r="G3305" s="187"/>
      <c r="J3305" s="186"/>
      <c r="K3305" s="180"/>
      <c r="L3305" s="180"/>
      <c r="M3305" s="186"/>
      <c r="N3305" s="186"/>
    </row>
    <row r="3306" spans="2:14" s="188" customFormat="1" ht="15" customHeight="1">
      <c r="B3306" s="187"/>
      <c r="C3306" s="187"/>
      <c r="D3306" s="187"/>
      <c r="E3306" s="187"/>
      <c r="F3306" s="187"/>
      <c r="G3306" s="187"/>
      <c r="J3306" s="186"/>
      <c r="K3306" s="180"/>
      <c r="L3306" s="180"/>
      <c r="M3306" s="186"/>
      <c r="N3306" s="186"/>
    </row>
    <row r="3307" spans="2:14" s="188" customFormat="1" ht="15" customHeight="1">
      <c r="B3307" s="187"/>
      <c r="C3307" s="187"/>
      <c r="D3307" s="187"/>
      <c r="E3307" s="187"/>
      <c r="F3307" s="187"/>
      <c r="G3307" s="187"/>
      <c r="J3307" s="186"/>
      <c r="K3307" s="180"/>
      <c r="L3307" s="180"/>
      <c r="M3307" s="186"/>
      <c r="N3307" s="186"/>
    </row>
    <row r="3308" spans="2:14" s="188" customFormat="1" ht="15" customHeight="1">
      <c r="B3308" s="187"/>
      <c r="C3308" s="187"/>
      <c r="D3308" s="187"/>
      <c r="E3308" s="187"/>
      <c r="F3308" s="187"/>
      <c r="G3308" s="187"/>
      <c r="J3308" s="186"/>
      <c r="K3308" s="180"/>
      <c r="L3308" s="180"/>
      <c r="M3308" s="186"/>
      <c r="N3308" s="186"/>
    </row>
    <row r="3309" spans="2:14" s="188" customFormat="1" ht="15" customHeight="1">
      <c r="B3309" s="187"/>
      <c r="C3309" s="187"/>
      <c r="D3309" s="187"/>
      <c r="E3309" s="187"/>
      <c r="F3309" s="187"/>
      <c r="G3309" s="187"/>
      <c r="J3309" s="186"/>
      <c r="K3309" s="180"/>
      <c r="L3309" s="180"/>
      <c r="M3309" s="186"/>
      <c r="N3309" s="186"/>
    </row>
    <row r="3310" spans="2:14" s="188" customFormat="1" ht="15" customHeight="1">
      <c r="B3310" s="187"/>
      <c r="C3310" s="187"/>
      <c r="D3310" s="187"/>
      <c r="E3310" s="187"/>
      <c r="F3310" s="187"/>
      <c r="G3310" s="187"/>
      <c r="J3310" s="186"/>
      <c r="K3310" s="180"/>
      <c r="L3310" s="180"/>
      <c r="M3310" s="186"/>
      <c r="N3310" s="186"/>
    </row>
    <row r="3311" spans="2:14" s="188" customFormat="1" ht="15" customHeight="1">
      <c r="B3311" s="187"/>
      <c r="C3311" s="187"/>
      <c r="D3311" s="187"/>
      <c r="E3311" s="187"/>
      <c r="F3311" s="187"/>
      <c r="G3311" s="187"/>
      <c r="J3311" s="186"/>
      <c r="K3311" s="180"/>
      <c r="L3311" s="180"/>
      <c r="M3311" s="186"/>
      <c r="N3311" s="186"/>
    </row>
    <row r="3312" spans="2:14" s="188" customFormat="1" ht="15" customHeight="1">
      <c r="B3312" s="187"/>
      <c r="C3312" s="187"/>
      <c r="D3312" s="187"/>
      <c r="E3312" s="187"/>
      <c r="F3312" s="187"/>
      <c r="G3312" s="187"/>
      <c r="J3312" s="186"/>
      <c r="K3312" s="180"/>
      <c r="L3312" s="180"/>
      <c r="M3312" s="186"/>
      <c r="N3312" s="186"/>
    </row>
    <row r="3313" spans="2:14" s="188" customFormat="1" ht="15" customHeight="1">
      <c r="B3313" s="187"/>
      <c r="C3313" s="187"/>
      <c r="D3313" s="187"/>
      <c r="E3313" s="187"/>
      <c r="F3313" s="187"/>
      <c r="G3313" s="187"/>
      <c r="J3313" s="186"/>
      <c r="K3313" s="180"/>
      <c r="L3313" s="180"/>
      <c r="M3313" s="186"/>
      <c r="N3313" s="186"/>
    </row>
    <row r="3314" spans="2:14" s="188" customFormat="1" ht="15" customHeight="1">
      <c r="B3314" s="187"/>
      <c r="C3314" s="187"/>
      <c r="D3314" s="187"/>
      <c r="E3314" s="187"/>
      <c r="F3314" s="187"/>
      <c r="G3314" s="187"/>
      <c r="J3314" s="186"/>
      <c r="K3314" s="180"/>
      <c r="L3314" s="180"/>
      <c r="M3314" s="186"/>
      <c r="N3314" s="186"/>
    </row>
    <row r="3315" spans="2:14" s="188" customFormat="1" ht="15" customHeight="1">
      <c r="B3315" s="187"/>
      <c r="C3315" s="187"/>
      <c r="D3315" s="187"/>
      <c r="E3315" s="187"/>
      <c r="F3315" s="187"/>
      <c r="G3315" s="187"/>
      <c r="J3315" s="186"/>
      <c r="K3315" s="180"/>
      <c r="L3315" s="180"/>
      <c r="M3315" s="186"/>
      <c r="N3315" s="186"/>
    </row>
    <row r="3316" spans="2:14" s="188" customFormat="1" ht="15" customHeight="1">
      <c r="B3316" s="187"/>
      <c r="C3316" s="187"/>
      <c r="D3316" s="187"/>
      <c r="E3316" s="187"/>
      <c r="F3316" s="187"/>
      <c r="G3316" s="187"/>
      <c r="J3316" s="186"/>
      <c r="K3316" s="180"/>
      <c r="L3316" s="180"/>
      <c r="M3316" s="186"/>
      <c r="N3316" s="186"/>
    </row>
    <row r="3317" spans="2:14" s="188" customFormat="1" ht="15" customHeight="1">
      <c r="B3317" s="187"/>
      <c r="C3317" s="187"/>
      <c r="D3317" s="187"/>
      <c r="E3317" s="187"/>
      <c r="F3317" s="187"/>
      <c r="G3317" s="187"/>
      <c r="J3317" s="186"/>
      <c r="K3317" s="180"/>
      <c r="L3317" s="180"/>
      <c r="M3317" s="186"/>
      <c r="N3317" s="186"/>
    </row>
    <row r="3318" spans="2:14" s="188" customFormat="1" ht="15" customHeight="1">
      <c r="B3318" s="187"/>
      <c r="C3318" s="187"/>
      <c r="D3318" s="187"/>
      <c r="E3318" s="187"/>
      <c r="F3318" s="187"/>
      <c r="G3318" s="187"/>
      <c r="J3318" s="186"/>
      <c r="K3318" s="180"/>
      <c r="L3318" s="180"/>
      <c r="M3318" s="186"/>
      <c r="N3318" s="186"/>
    </row>
    <row r="3319" spans="2:14" s="188" customFormat="1" ht="15" customHeight="1">
      <c r="B3319" s="187"/>
      <c r="C3319" s="187"/>
      <c r="D3319" s="187"/>
      <c r="E3319" s="187"/>
      <c r="F3319" s="187"/>
      <c r="G3319" s="187"/>
      <c r="J3319" s="186"/>
      <c r="K3319" s="180"/>
      <c r="L3319" s="180"/>
      <c r="M3319" s="186"/>
      <c r="N3319" s="186"/>
    </row>
    <row r="3320" spans="2:14" s="188" customFormat="1" ht="15" customHeight="1">
      <c r="B3320" s="187"/>
      <c r="C3320" s="187"/>
      <c r="D3320" s="187"/>
      <c r="E3320" s="187"/>
      <c r="F3320" s="187"/>
      <c r="G3320" s="187"/>
      <c r="J3320" s="186"/>
      <c r="K3320" s="180"/>
      <c r="L3320" s="180"/>
      <c r="M3320" s="186"/>
      <c r="N3320" s="186"/>
    </row>
    <row r="3321" spans="2:14" s="188" customFormat="1" ht="15" customHeight="1">
      <c r="B3321" s="187"/>
      <c r="C3321" s="187"/>
      <c r="D3321" s="187"/>
      <c r="E3321" s="187"/>
      <c r="F3321" s="187"/>
      <c r="G3321" s="187"/>
      <c r="J3321" s="186"/>
      <c r="K3321" s="180"/>
      <c r="L3321" s="180"/>
      <c r="M3321" s="186"/>
      <c r="N3321" s="186"/>
    </row>
    <row r="3322" spans="2:14" s="188" customFormat="1" ht="15" customHeight="1">
      <c r="B3322" s="187"/>
      <c r="C3322" s="187"/>
      <c r="D3322" s="187"/>
      <c r="E3322" s="187"/>
      <c r="F3322" s="187"/>
      <c r="G3322" s="187"/>
      <c r="J3322" s="186"/>
      <c r="K3322" s="180"/>
      <c r="L3322" s="180"/>
      <c r="M3322" s="186"/>
      <c r="N3322" s="186"/>
    </row>
    <row r="3323" spans="2:14" s="188" customFormat="1" ht="15" customHeight="1">
      <c r="B3323" s="187"/>
      <c r="C3323" s="187"/>
      <c r="D3323" s="187"/>
      <c r="E3323" s="187"/>
      <c r="F3323" s="187"/>
      <c r="G3323" s="187"/>
      <c r="J3323" s="186"/>
      <c r="K3323" s="180"/>
      <c r="L3323" s="180"/>
      <c r="M3323" s="186"/>
      <c r="N3323" s="186"/>
    </row>
    <row r="3324" spans="2:14" s="188" customFormat="1" ht="15" customHeight="1">
      <c r="B3324" s="187"/>
      <c r="C3324" s="187"/>
      <c r="D3324" s="187"/>
      <c r="E3324" s="187"/>
      <c r="F3324" s="187"/>
      <c r="G3324" s="187"/>
      <c r="J3324" s="186"/>
      <c r="K3324" s="180"/>
      <c r="L3324" s="180"/>
      <c r="M3324" s="186"/>
      <c r="N3324" s="186"/>
    </row>
    <row r="3325" spans="2:14" s="188" customFormat="1" ht="15" customHeight="1">
      <c r="B3325" s="187"/>
      <c r="C3325" s="187"/>
      <c r="D3325" s="187"/>
      <c r="E3325" s="187"/>
      <c r="F3325" s="187"/>
      <c r="G3325" s="187"/>
      <c r="J3325" s="186"/>
      <c r="K3325" s="180"/>
      <c r="L3325" s="180"/>
      <c r="M3325" s="186"/>
      <c r="N3325" s="186"/>
    </row>
    <row r="3326" spans="2:14" s="188" customFormat="1" ht="15" customHeight="1">
      <c r="B3326" s="187"/>
      <c r="C3326" s="187"/>
      <c r="D3326" s="187"/>
      <c r="E3326" s="187"/>
      <c r="F3326" s="187"/>
      <c r="G3326" s="187"/>
      <c r="J3326" s="186"/>
      <c r="K3326" s="180"/>
      <c r="L3326" s="180"/>
      <c r="M3326" s="186"/>
      <c r="N3326" s="186"/>
    </row>
    <row r="3327" spans="2:14" s="188" customFormat="1" ht="15" customHeight="1">
      <c r="B3327" s="187"/>
      <c r="C3327" s="187"/>
      <c r="D3327" s="187"/>
      <c r="E3327" s="187"/>
      <c r="F3327" s="187"/>
      <c r="G3327" s="187"/>
      <c r="J3327" s="186"/>
      <c r="K3327" s="180"/>
      <c r="L3327" s="180"/>
      <c r="M3327" s="186"/>
      <c r="N3327" s="186"/>
    </row>
    <row r="3328" spans="2:14" s="188" customFormat="1" ht="15" customHeight="1">
      <c r="B3328" s="187"/>
      <c r="C3328" s="187"/>
      <c r="D3328" s="187"/>
      <c r="E3328" s="187"/>
      <c r="F3328" s="187"/>
      <c r="G3328" s="187"/>
      <c r="J3328" s="186"/>
      <c r="K3328" s="180"/>
      <c r="L3328" s="180"/>
      <c r="M3328" s="186"/>
      <c r="N3328" s="186"/>
    </row>
    <row r="3329" spans="2:14" s="188" customFormat="1" ht="15" customHeight="1">
      <c r="B3329" s="187"/>
      <c r="C3329" s="187"/>
      <c r="D3329" s="187"/>
      <c r="E3329" s="187"/>
      <c r="F3329" s="187"/>
      <c r="G3329" s="187"/>
      <c r="J3329" s="186"/>
      <c r="K3329" s="180"/>
      <c r="L3329" s="180"/>
      <c r="M3329" s="186"/>
      <c r="N3329" s="186"/>
    </row>
    <row r="3330" spans="2:14" s="188" customFormat="1" ht="15" customHeight="1">
      <c r="B3330" s="187"/>
      <c r="C3330" s="187"/>
      <c r="D3330" s="187"/>
      <c r="E3330" s="187"/>
      <c r="F3330" s="187"/>
      <c r="G3330" s="187"/>
      <c r="J3330" s="186"/>
      <c r="K3330" s="180"/>
      <c r="L3330" s="180"/>
      <c r="M3330" s="186"/>
      <c r="N3330" s="186"/>
    </row>
    <row r="3331" spans="2:14" s="188" customFormat="1" ht="15" customHeight="1">
      <c r="B3331" s="187"/>
      <c r="C3331" s="187"/>
      <c r="D3331" s="187"/>
      <c r="E3331" s="187"/>
      <c r="F3331" s="187"/>
      <c r="G3331" s="187"/>
      <c r="J3331" s="186"/>
      <c r="K3331" s="180"/>
      <c r="L3331" s="180"/>
      <c r="M3331" s="186"/>
      <c r="N3331" s="186"/>
    </row>
    <row r="3332" spans="2:14" s="188" customFormat="1" ht="15" customHeight="1">
      <c r="B3332" s="187"/>
      <c r="C3332" s="187"/>
      <c r="D3332" s="187"/>
      <c r="E3332" s="187"/>
      <c r="F3332" s="187"/>
      <c r="G3332" s="187"/>
      <c r="J3332" s="186"/>
      <c r="K3332" s="180"/>
      <c r="L3332" s="180"/>
      <c r="M3332" s="186"/>
      <c r="N3332" s="186"/>
    </row>
    <row r="3333" spans="2:14" s="188" customFormat="1" ht="15" customHeight="1">
      <c r="B3333" s="187"/>
      <c r="C3333" s="187"/>
      <c r="D3333" s="187"/>
      <c r="E3333" s="187"/>
      <c r="F3333" s="187"/>
      <c r="G3333" s="187"/>
      <c r="J3333" s="186"/>
      <c r="K3333" s="180"/>
      <c r="L3333" s="180"/>
      <c r="M3333" s="186"/>
      <c r="N3333" s="186"/>
    </row>
    <row r="3334" spans="2:14" s="188" customFormat="1" ht="15" customHeight="1">
      <c r="B3334" s="187"/>
      <c r="C3334" s="187"/>
      <c r="D3334" s="187"/>
      <c r="E3334" s="187"/>
      <c r="F3334" s="187"/>
      <c r="G3334" s="187"/>
      <c r="J3334" s="186"/>
      <c r="K3334" s="180"/>
      <c r="L3334" s="180"/>
      <c r="M3334" s="186"/>
      <c r="N3334" s="186"/>
    </row>
    <row r="3335" spans="2:14" s="188" customFormat="1" ht="15" customHeight="1">
      <c r="B3335" s="187"/>
      <c r="C3335" s="187"/>
      <c r="D3335" s="187"/>
      <c r="E3335" s="187"/>
      <c r="F3335" s="187"/>
      <c r="G3335" s="187"/>
      <c r="J3335" s="186"/>
      <c r="K3335" s="180"/>
      <c r="L3335" s="180"/>
      <c r="M3335" s="186"/>
      <c r="N3335" s="186"/>
    </row>
    <row r="3336" spans="2:14" s="188" customFormat="1" ht="15" customHeight="1">
      <c r="B3336" s="187"/>
      <c r="C3336" s="187"/>
      <c r="D3336" s="187"/>
      <c r="E3336" s="187"/>
      <c r="F3336" s="187"/>
      <c r="G3336" s="187"/>
      <c r="J3336" s="186"/>
      <c r="K3336" s="180"/>
      <c r="L3336" s="180"/>
      <c r="M3336" s="186"/>
      <c r="N3336" s="186"/>
    </row>
    <row r="3337" spans="2:14" s="188" customFormat="1" ht="15" customHeight="1">
      <c r="B3337" s="187"/>
      <c r="C3337" s="187"/>
      <c r="D3337" s="187"/>
      <c r="E3337" s="187"/>
      <c r="F3337" s="187"/>
      <c r="G3337" s="187"/>
      <c r="J3337" s="186"/>
      <c r="K3337" s="180"/>
      <c r="L3337" s="180"/>
      <c r="M3337" s="186"/>
      <c r="N3337" s="186"/>
    </row>
    <row r="3338" spans="2:14" s="188" customFormat="1" ht="15" customHeight="1">
      <c r="B3338" s="187"/>
      <c r="C3338" s="187"/>
      <c r="D3338" s="187"/>
      <c r="E3338" s="187"/>
      <c r="F3338" s="187"/>
      <c r="G3338" s="187"/>
      <c r="J3338" s="186"/>
      <c r="K3338" s="180"/>
      <c r="L3338" s="180"/>
      <c r="M3338" s="186"/>
      <c r="N3338" s="186"/>
    </row>
    <row r="3339" spans="2:14" s="188" customFormat="1" ht="15" customHeight="1">
      <c r="B3339" s="187"/>
      <c r="C3339" s="187"/>
      <c r="D3339" s="187"/>
      <c r="E3339" s="187"/>
      <c r="F3339" s="187"/>
      <c r="G3339" s="187"/>
      <c r="J3339" s="186"/>
      <c r="K3339" s="180"/>
      <c r="L3339" s="180"/>
      <c r="M3339" s="186"/>
      <c r="N3339" s="186"/>
    </row>
    <row r="3340" spans="2:14" s="188" customFormat="1" ht="15" customHeight="1">
      <c r="B3340" s="187"/>
      <c r="C3340" s="187"/>
      <c r="D3340" s="187"/>
      <c r="E3340" s="187"/>
      <c r="F3340" s="187"/>
      <c r="G3340" s="187"/>
      <c r="J3340" s="186"/>
      <c r="K3340" s="180"/>
      <c r="L3340" s="180"/>
      <c r="M3340" s="186"/>
      <c r="N3340" s="186"/>
    </row>
    <row r="3341" spans="2:14" s="188" customFormat="1" ht="15" customHeight="1">
      <c r="B3341" s="187"/>
      <c r="C3341" s="187"/>
      <c r="D3341" s="187"/>
      <c r="E3341" s="187"/>
      <c r="F3341" s="187"/>
      <c r="G3341" s="187"/>
      <c r="J3341" s="186"/>
      <c r="K3341" s="180"/>
      <c r="L3341" s="180"/>
      <c r="M3341" s="186"/>
      <c r="N3341" s="186"/>
    </row>
    <row r="3342" spans="2:14" s="188" customFormat="1" ht="15" customHeight="1">
      <c r="B3342" s="187"/>
      <c r="C3342" s="187"/>
      <c r="D3342" s="187"/>
      <c r="E3342" s="187"/>
      <c r="F3342" s="187"/>
      <c r="G3342" s="187"/>
      <c r="J3342" s="186"/>
      <c r="K3342" s="180"/>
      <c r="L3342" s="180"/>
      <c r="M3342" s="186"/>
      <c r="N3342" s="186"/>
    </row>
    <row r="3343" spans="2:14" s="188" customFormat="1" ht="15" customHeight="1">
      <c r="B3343" s="187"/>
      <c r="C3343" s="187"/>
      <c r="D3343" s="187"/>
      <c r="E3343" s="187"/>
      <c r="F3343" s="187"/>
      <c r="G3343" s="187"/>
      <c r="J3343" s="186"/>
      <c r="K3343" s="180"/>
      <c r="L3343" s="180"/>
      <c r="M3343" s="186"/>
      <c r="N3343" s="186"/>
    </row>
    <row r="3344" spans="2:14" s="188" customFormat="1" ht="15" customHeight="1">
      <c r="B3344" s="187"/>
      <c r="C3344" s="187"/>
      <c r="D3344" s="187"/>
      <c r="E3344" s="187"/>
      <c r="F3344" s="187"/>
      <c r="G3344" s="187"/>
      <c r="J3344" s="186"/>
      <c r="K3344" s="180"/>
      <c r="L3344" s="180"/>
      <c r="M3344" s="186"/>
      <c r="N3344" s="186"/>
    </row>
    <row r="3345" spans="2:14" s="188" customFormat="1" ht="15" customHeight="1">
      <c r="B3345" s="187"/>
      <c r="C3345" s="187"/>
      <c r="D3345" s="187"/>
      <c r="E3345" s="187"/>
      <c r="F3345" s="187"/>
      <c r="G3345" s="187"/>
      <c r="J3345" s="186"/>
      <c r="K3345" s="180"/>
      <c r="L3345" s="180"/>
      <c r="M3345" s="186"/>
      <c r="N3345" s="186"/>
    </row>
    <row r="3346" spans="2:14" s="188" customFormat="1" ht="15" customHeight="1">
      <c r="B3346" s="187"/>
      <c r="C3346" s="187"/>
      <c r="D3346" s="187"/>
      <c r="E3346" s="187"/>
      <c r="F3346" s="187"/>
      <c r="G3346" s="187"/>
      <c r="J3346" s="186"/>
      <c r="K3346" s="180"/>
      <c r="L3346" s="180"/>
      <c r="M3346" s="186"/>
      <c r="N3346" s="186"/>
    </row>
    <row r="3347" spans="2:14" s="188" customFormat="1" ht="15" customHeight="1">
      <c r="B3347" s="187"/>
      <c r="C3347" s="187"/>
      <c r="D3347" s="187"/>
      <c r="E3347" s="187"/>
      <c r="F3347" s="187"/>
      <c r="G3347" s="187"/>
      <c r="J3347" s="186"/>
      <c r="K3347" s="180"/>
      <c r="L3347" s="180"/>
      <c r="M3347" s="186"/>
      <c r="N3347" s="186"/>
    </row>
    <row r="3348" spans="2:14" s="188" customFormat="1" ht="15" customHeight="1">
      <c r="B3348" s="187"/>
      <c r="C3348" s="187"/>
      <c r="D3348" s="187"/>
      <c r="E3348" s="187"/>
      <c r="F3348" s="187"/>
      <c r="G3348" s="187"/>
      <c r="J3348" s="186"/>
      <c r="K3348" s="180"/>
      <c r="L3348" s="180"/>
      <c r="M3348" s="186"/>
      <c r="N3348" s="186"/>
    </row>
    <row r="3349" spans="2:14" s="188" customFormat="1" ht="15" customHeight="1">
      <c r="B3349" s="187"/>
      <c r="C3349" s="187"/>
      <c r="D3349" s="187"/>
      <c r="E3349" s="187"/>
      <c r="F3349" s="187"/>
      <c r="G3349" s="187"/>
      <c r="J3349" s="186"/>
      <c r="K3349" s="180"/>
      <c r="L3349" s="180"/>
      <c r="M3349" s="186"/>
      <c r="N3349" s="186"/>
    </row>
    <row r="3350" spans="2:14" s="188" customFormat="1" ht="15" customHeight="1">
      <c r="B3350" s="187"/>
      <c r="C3350" s="187"/>
      <c r="D3350" s="187"/>
      <c r="E3350" s="187"/>
      <c r="F3350" s="187"/>
      <c r="G3350" s="187"/>
      <c r="J3350" s="186"/>
      <c r="K3350" s="180"/>
      <c r="L3350" s="180"/>
      <c r="M3350" s="186"/>
      <c r="N3350" s="186"/>
    </row>
    <row r="3351" spans="2:14" s="188" customFormat="1" ht="15" customHeight="1">
      <c r="B3351" s="187"/>
      <c r="C3351" s="187"/>
      <c r="D3351" s="187"/>
      <c r="E3351" s="187"/>
      <c r="F3351" s="187"/>
      <c r="G3351" s="187"/>
      <c r="J3351" s="186"/>
      <c r="K3351" s="180"/>
      <c r="L3351" s="180"/>
      <c r="M3351" s="186"/>
      <c r="N3351" s="186"/>
    </row>
    <row r="3352" spans="2:14" s="188" customFormat="1" ht="15" customHeight="1">
      <c r="B3352" s="187"/>
      <c r="C3352" s="187"/>
      <c r="D3352" s="187"/>
      <c r="E3352" s="187"/>
      <c r="F3352" s="187"/>
      <c r="G3352" s="187"/>
      <c r="J3352" s="186"/>
      <c r="K3352" s="180"/>
      <c r="L3352" s="180"/>
      <c r="M3352" s="186"/>
      <c r="N3352" s="186"/>
    </row>
    <row r="3353" spans="2:14" s="188" customFormat="1" ht="15" customHeight="1">
      <c r="B3353" s="187"/>
      <c r="C3353" s="187"/>
      <c r="D3353" s="187"/>
      <c r="E3353" s="187"/>
      <c r="F3353" s="187"/>
      <c r="G3353" s="187"/>
      <c r="J3353" s="186"/>
      <c r="K3353" s="180"/>
      <c r="L3353" s="180"/>
      <c r="M3353" s="186"/>
      <c r="N3353" s="186"/>
    </row>
    <row r="3354" spans="2:14" s="188" customFormat="1" ht="15" customHeight="1">
      <c r="B3354" s="187"/>
      <c r="C3354" s="187"/>
      <c r="D3354" s="187"/>
      <c r="E3354" s="187"/>
      <c r="F3354" s="187"/>
      <c r="G3354" s="187"/>
      <c r="J3354" s="186"/>
      <c r="K3354" s="180"/>
      <c r="L3354" s="180"/>
      <c r="M3354" s="186"/>
      <c r="N3354" s="186"/>
    </row>
    <row r="3355" spans="2:14" s="188" customFormat="1" ht="15" customHeight="1">
      <c r="B3355" s="187"/>
      <c r="C3355" s="187"/>
      <c r="D3355" s="187"/>
      <c r="E3355" s="187"/>
      <c r="F3355" s="187"/>
      <c r="G3355" s="187"/>
      <c r="J3355" s="186"/>
      <c r="K3355" s="180"/>
      <c r="L3355" s="180"/>
      <c r="M3355" s="186"/>
      <c r="N3355" s="186"/>
    </row>
    <row r="3356" spans="2:14" s="188" customFormat="1" ht="15" customHeight="1">
      <c r="B3356" s="187"/>
      <c r="C3356" s="187"/>
      <c r="D3356" s="187"/>
      <c r="E3356" s="187"/>
      <c r="F3356" s="187"/>
      <c r="G3356" s="187"/>
      <c r="J3356" s="186"/>
      <c r="K3356" s="180"/>
      <c r="L3356" s="180"/>
      <c r="M3356" s="186"/>
      <c r="N3356" s="186"/>
    </row>
    <row r="3357" spans="2:14" s="188" customFormat="1" ht="15" customHeight="1">
      <c r="B3357" s="187"/>
      <c r="C3357" s="187"/>
      <c r="D3357" s="187"/>
      <c r="E3357" s="187"/>
      <c r="F3357" s="187"/>
      <c r="G3357" s="187"/>
      <c r="J3357" s="186"/>
      <c r="K3357" s="180"/>
      <c r="L3357" s="180"/>
      <c r="M3357" s="186"/>
      <c r="N3357" s="186"/>
    </row>
    <row r="3358" spans="2:14" s="188" customFormat="1" ht="15" customHeight="1">
      <c r="B3358" s="187"/>
      <c r="C3358" s="187"/>
      <c r="D3358" s="187"/>
      <c r="E3358" s="187"/>
      <c r="F3358" s="187"/>
      <c r="G3358" s="187"/>
      <c r="J3358" s="186"/>
      <c r="K3358" s="180"/>
      <c r="L3358" s="180"/>
      <c r="M3358" s="186"/>
      <c r="N3358" s="186"/>
    </row>
    <row r="3359" spans="2:14" s="188" customFormat="1" ht="15" customHeight="1">
      <c r="B3359" s="187"/>
      <c r="C3359" s="187"/>
      <c r="D3359" s="187"/>
      <c r="E3359" s="187"/>
      <c r="F3359" s="187"/>
      <c r="G3359" s="187"/>
      <c r="J3359" s="186"/>
      <c r="K3359" s="180"/>
      <c r="L3359" s="180"/>
      <c r="M3359" s="186"/>
      <c r="N3359" s="186"/>
    </row>
    <row r="3360" spans="2:14" s="188" customFormat="1" ht="15" customHeight="1">
      <c r="B3360" s="187"/>
      <c r="C3360" s="187"/>
      <c r="D3360" s="187"/>
      <c r="E3360" s="187"/>
      <c r="F3360" s="187"/>
      <c r="G3360" s="187"/>
      <c r="J3360" s="186"/>
      <c r="K3360" s="180"/>
      <c r="L3360" s="180"/>
      <c r="M3360" s="186"/>
      <c r="N3360" s="186"/>
    </row>
    <row r="3361" spans="2:14" s="188" customFormat="1" ht="15" customHeight="1">
      <c r="B3361" s="187"/>
      <c r="C3361" s="187"/>
      <c r="D3361" s="187"/>
      <c r="E3361" s="187"/>
      <c r="F3361" s="187"/>
      <c r="G3361" s="187"/>
      <c r="J3361" s="186"/>
      <c r="K3361" s="180"/>
      <c r="L3361" s="180"/>
      <c r="M3361" s="186"/>
      <c r="N3361" s="186"/>
    </row>
    <row r="3362" spans="2:14" s="188" customFormat="1" ht="15" customHeight="1">
      <c r="B3362" s="187"/>
      <c r="C3362" s="187"/>
      <c r="D3362" s="187"/>
      <c r="E3362" s="187"/>
      <c r="F3362" s="187"/>
      <c r="G3362" s="187"/>
      <c r="J3362" s="186"/>
      <c r="K3362" s="180"/>
      <c r="L3362" s="180"/>
      <c r="M3362" s="186"/>
      <c r="N3362" s="186"/>
    </row>
    <row r="3363" spans="2:14" s="188" customFormat="1" ht="15" customHeight="1">
      <c r="B3363" s="187"/>
      <c r="C3363" s="187"/>
      <c r="D3363" s="187"/>
      <c r="E3363" s="187"/>
      <c r="F3363" s="187"/>
      <c r="G3363" s="187"/>
      <c r="J3363" s="186"/>
      <c r="K3363" s="180"/>
      <c r="L3363" s="180"/>
      <c r="M3363" s="186"/>
      <c r="N3363" s="186"/>
    </row>
    <row r="3364" spans="2:14" s="188" customFormat="1" ht="15" customHeight="1">
      <c r="B3364" s="187"/>
      <c r="C3364" s="187"/>
      <c r="D3364" s="187"/>
      <c r="E3364" s="187"/>
      <c r="F3364" s="187"/>
      <c r="G3364" s="187"/>
      <c r="J3364" s="186"/>
      <c r="K3364" s="180"/>
      <c r="L3364" s="180"/>
      <c r="M3364" s="186"/>
      <c r="N3364" s="186"/>
    </row>
    <row r="3365" spans="2:14" s="188" customFormat="1" ht="15" customHeight="1">
      <c r="B3365" s="187"/>
      <c r="C3365" s="187"/>
      <c r="D3365" s="187"/>
      <c r="E3365" s="187"/>
      <c r="F3365" s="187"/>
      <c r="G3365" s="187"/>
      <c r="J3365" s="186"/>
      <c r="K3365" s="180"/>
      <c r="L3365" s="180"/>
      <c r="M3365" s="186"/>
      <c r="N3365" s="186"/>
    </row>
    <row r="3366" spans="2:14" s="188" customFormat="1" ht="15" customHeight="1">
      <c r="B3366" s="187"/>
      <c r="C3366" s="187"/>
      <c r="D3366" s="187"/>
      <c r="E3366" s="187"/>
      <c r="F3366" s="187"/>
      <c r="G3366" s="187"/>
      <c r="J3366" s="186"/>
      <c r="K3366" s="180"/>
      <c r="L3366" s="180"/>
      <c r="M3366" s="186"/>
      <c r="N3366" s="186"/>
    </row>
    <row r="3367" spans="2:14" s="188" customFormat="1" ht="15" customHeight="1">
      <c r="B3367" s="187"/>
      <c r="C3367" s="187"/>
      <c r="D3367" s="187"/>
      <c r="E3367" s="187"/>
      <c r="F3367" s="187"/>
      <c r="G3367" s="187"/>
      <c r="J3367" s="186"/>
      <c r="K3367" s="180"/>
      <c r="L3367" s="180"/>
      <c r="M3367" s="186"/>
      <c r="N3367" s="186"/>
    </row>
    <row r="3368" spans="2:14" s="188" customFormat="1" ht="15" customHeight="1">
      <c r="B3368" s="187"/>
      <c r="C3368" s="187"/>
      <c r="D3368" s="187"/>
      <c r="E3368" s="187"/>
      <c r="F3368" s="187"/>
      <c r="G3368" s="187"/>
      <c r="J3368" s="186"/>
      <c r="K3368" s="180"/>
      <c r="L3368" s="180"/>
      <c r="M3368" s="186"/>
      <c r="N3368" s="186"/>
    </row>
    <row r="3369" spans="2:14" s="188" customFormat="1" ht="15" customHeight="1">
      <c r="B3369" s="187"/>
      <c r="C3369" s="187"/>
      <c r="D3369" s="187"/>
      <c r="E3369" s="187"/>
      <c r="F3369" s="187"/>
      <c r="G3369" s="187"/>
      <c r="J3369" s="186"/>
      <c r="K3369" s="180"/>
      <c r="L3369" s="180"/>
      <c r="M3369" s="186"/>
      <c r="N3369" s="186"/>
    </row>
    <row r="3370" spans="2:14" s="188" customFormat="1" ht="15" customHeight="1">
      <c r="B3370" s="187"/>
      <c r="C3370" s="187"/>
      <c r="D3370" s="187"/>
      <c r="E3370" s="187"/>
      <c r="F3370" s="187"/>
      <c r="G3370" s="187"/>
      <c r="J3370" s="186"/>
      <c r="K3370" s="180"/>
      <c r="L3370" s="180"/>
      <c r="M3370" s="186"/>
      <c r="N3370" s="186"/>
    </row>
    <row r="3371" spans="2:14" s="188" customFormat="1" ht="15" customHeight="1">
      <c r="B3371" s="187"/>
      <c r="C3371" s="187"/>
      <c r="D3371" s="187"/>
      <c r="E3371" s="187"/>
      <c r="F3371" s="187"/>
      <c r="G3371" s="187"/>
      <c r="J3371" s="186"/>
      <c r="K3371" s="180"/>
      <c r="L3371" s="180"/>
      <c r="M3371" s="186"/>
      <c r="N3371" s="186"/>
    </row>
    <row r="3372" spans="2:14" s="188" customFormat="1" ht="15" customHeight="1">
      <c r="B3372" s="187"/>
      <c r="C3372" s="187"/>
      <c r="D3372" s="187"/>
      <c r="E3372" s="187"/>
      <c r="F3372" s="187"/>
      <c r="G3372" s="187"/>
      <c r="J3372" s="186"/>
      <c r="K3372" s="180"/>
      <c r="L3372" s="180"/>
      <c r="M3372" s="186"/>
      <c r="N3372" s="186"/>
    </row>
    <row r="3373" spans="2:14" s="188" customFormat="1" ht="15" customHeight="1">
      <c r="B3373" s="187"/>
      <c r="C3373" s="187"/>
      <c r="D3373" s="187"/>
      <c r="E3373" s="187"/>
      <c r="F3373" s="187"/>
      <c r="G3373" s="187"/>
      <c r="J3373" s="186"/>
      <c r="K3373" s="180"/>
      <c r="L3373" s="180"/>
      <c r="M3373" s="186"/>
      <c r="N3373" s="186"/>
    </row>
    <row r="3374" spans="2:14" s="188" customFormat="1" ht="15" customHeight="1">
      <c r="B3374" s="187"/>
      <c r="C3374" s="187"/>
      <c r="D3374" s="187"/>
      <c r="E3374" s="187"/>
      <c r="F3374" s="187"/>
      <c r="G3374" s="187"/>
      <c r="J3374" s="186"/>
      <c r="K3374" s="180"/>
      <c r="L3374" s="180"/>
      <c r="M3374" s="186"/>
      <c r="N3374" s="186"/>
    </row>
    <row r="3375" spans="2:14" s="188" customFormat="1" ht="15" customHeight="1">
      <c r="B3375" s="187"/>
      <c r="C3375" s="187"/>
      <c r="D3375" s="187"/>
      <c r="E3375" s="187"/>
      <c r="F3375" s="187"/>
      <c r="G3375" s="187"/>
      <c r="J3375" s="186"/>
      <c r="K3375" s="180"/>
      <c r="L3375" s="180"/>
      <c r="M3375" s="186"/>
      <c r="N3375" s="186"/>
    </row>
    <row r="3376" spans="2:14" s="188" customFormat="1" ht="15" customHeight="1">
      <c r="B3376" s="187"/>
      <c r="C3376" s="187"/>
      <c r="D3376" s="187"/>
      <c r="E3376" s="187"/>
      <c r="F3376" s="187"/>
      <c r="G3376" s="187"/>
      <c r="J3376" s="186"/>
      <c r="K3376" s="180"/>
      <c r="L3376" s="180"/>
      <c r="M3376" s="186"/>
      <c r="N3376" s="186"/>
    </row>
    <row r="3377" spans="2:14" s="188" customFormat="1" ht="15" customHeight="1">
      <c r="B3377" s="187"/>
      <c r="C3377" s="187"/>
      <c r="D3377" s="187"/>
      <c r="E3377" s="187"/>
      <c r="F3377" s="187"/>
      <c r="G3377" s="187"/>
      <c r="J3377" s="186"/>
      <c r="K3377" s="180"/>
      <c r="L3377" s="180"/>
      <c r="M3377" s="186"/>
      <c r="N3377" s="186"/>
    </row>
    <row r="3378" spans="2:14" s="188" customFormat="1" ht="15" customHeight="1">
      <c r="B3378" s="187"/>
      <c r="C3378" s="187"/>
      <c r="D3378" s="187"/>
      <c r="E3378" s="187"/>
      <c r="F3378" s="187"/>
      <c r="G3378" s="187"/>
      <c r="J3378" s="186"/>
      <c r="K3378" s="180"/>
      <c r="L3378" s="180"/>
      <c r="M3378" s="186"/>
      <c r="N3378" s="186"/>
    </row>
    <row r="3379" spans="2:14" s="188" customFormat="1" ht="15" customHeight="1">
      <c r="B3379" s="187"/>
      <c r="C3379" s="187"/>
      <c r="D3379" s="187"/>
      <c r="E3379" s="187"/>
      <c r="F3379" s="187"/>
      <c r="G3379" s="187"/>
      <c r="J3379" s="186"/>
      <c r="K3379" s="180"/>
      <c r="L3379" s="180"/>
      <c r="M3379" s="186"/>
      <c r="N3379" s="186"/>
    </row>
    <row r="3380" spans="2:14" s="188" customFormat="1" ht="15" customHeight="1">
      <c r="B3380" s="187"/>
      <c r="C3380" s="187"/>
      <c r="D3380" s="187"/>
      <c r="E3380" s="187"/>
      <c r="F3380" s="187"/>
      <c r="G3380" s="187"/>
      <c r="J3380" s="186"/>
      <c r="K3380" s="180"/>
      <c r="L3380" s="180"/>
      <c r="M3380" s="186"/>
      <c r="N3380" s="186"/>
    </row>
    <row r="3381" spans="2:14" s="188" customFormat="1" ht="15" customHeight="1">
      <c r="B3381" s="187"/>
      <c r="C3381" s="187"/>
      <c r="D3381" s="187"/>
      <c r="E3381" s="187"/>
      <c r="F3381" s="187"/>
      <c r="G3381" s="187"/>
      <c r="J3381" s="186"/>
      <c r="K3381" s="180"/>
      <c r="L3381" s="180"/>
      <c r="M3381" s="186"/>
      <c r="N3381" s="186"/>
    </row>
    <row r="3382" spans="2:14" s="188" customFormat="1" ht="15" customHeight="1">
      <c r="B3382" s="187"/>
      <c r="C3382" s="187"/>
      <c r="D3382" s="187"/>
      <c r="E3382" s="187"/>
      <c r="F3382" s="187"/>
      <c r="G3382" s="187"/>
      <c r="J3382" s="186"/>
      <c r="K3382" s="180"/>
      <c r="L3382" s="180"/>
      <c r="M3382" s="186"/>
      <c r="N3382" s="186"/>
    </row>
    <row r="3383" spans="2:14" s="188" customFormat="1" ht="15" customHeight="1">
      <c r="B3383" s="187"/>
      <c r="C3383" s="187"/>
      <c r="D3383" s="187"/>
      <c r="E3383" s="187"/>
      <c r="F3383" s="187"/>
      <c r="G3383" s="187"/>
      <c r="J3383" s="186"/>
      <c r="K3383" s="180"/>
      <c r="L3383" s="180"/>
      <c r="M3383" s="186"/>
      <c r="N3383" s="186"/>
    </row>
    <row r="3384" spans="2:14" s="188" customFormat="1" ht="15" customHeight="1">
      <c r="B3384" s="187"/>
      <c r="C3384" s="187"/>
      <c r="D3384" s="187"/>
      <c r="E3384" s="187"/>
      <c r="F3384" s="187"/>
      <c r="G3384" s="187"/>
      <c r="J3384" s="186"/>
      <c r="K3384" s="180"/>
      <c r="L3384" s="180"/>
      <c r="M3384" s="186"/>
      <c r="N3384" s="186"/>
    </row>
    <row r="3385" spans="2:14" s="188" customFormat="1" ht="15" customHeight="1">
      <c r="B3385" s="187"/>
      <c r="C3385" s="187"/>
      <c r="D3385" s="187"/>
      <c r="E3385" s="187"/>
      <c r="F3385" s="187"/>
      <c r="G3385" s="187"/>
      <c r="J3385" s="186"/>
      <c r="K3385" s="180"/>
      <c r="L3385" s="180"/>
      <c r="M3385" s="186"/>
      <c r="N3385" s="186"/>
    </row>
    <row r="3386" spans="2:14" s="188" customFormat="1" ht="15" customHeight="1">
      <c r="B3386" s="187"/>
      <c r="C3386" s="187"/>
      <c r="D3386" s="187"/>
      <c r="E3386" s="187"/>
      <c r="F3386" s="187"/>
      <c r="G3386" s="187"/>
      <c r="J3386" s="186"/>
      <c r="K3386" s="180"/>
      <c r="L3386" s="180"/>
      <c r="M3386" s="186"/>
      <c r="N3386" s="186"/>
    </row>
    <row r="3387" spans="2:14" s="188" customFormat="1" ht="15" customHeight="1">
      <c r="B3387" s="187"/>
      <c r="C3387" s="187"/>
      <c r="D3387" s="187"/>
      <c r="E3387" s="187"/>
      <c r="F3387" s="187"/>
      <c r="G3387" s="187"/>
      <c r="J3387" s="186"/>
      <c r="K3387" s="180"/>
      <c r="L3387" s="180"/>
      <c r="M3387" s="186"/>
      <c r="N3387" s="186"/>
    </row>
    <row r="3388" spans="2:14" s="188" customFormat="1" ht="15" customHeight="1">
      <c r="B3388" s="187"/>
      <c r="C3388" s="187"/>
      <c r="D3388" s="187"/>
      <c r="E3388" s="187"/>
      <c r="F3388" s="187"/>
      <c r="G3388" s="187"/>
      <c r="J3388" s="186"/>
      <c r="K3388" s="180"/>
      <c r="L3388" s="180"/>
      <c r="M3388" s="186"/>
      <c r="N3388" s="186"/>
    </row>
    <row r="3389" spans="2:14" s="188" customFormat="1" ht="15" customHeight="1">
      <c r="B3389" s="187"/>
      <c r="C3389" s="187"/>
      <c r="D3389" s="187"/>
      <c r="E3389" s="187"/>
      <c r="F3389" s="187"/>
      <c r="G3389" s="187"/>
      <c r="J3389" s="186"/>
      <c r="K3389" s="180"/>
      <c r="L3389" s="180"/>
      <c r="M3389" s="186"/>
      <c r="N3389" s="186"/>
    </row>
    <row r="3390" spans="2:14" s="188" customFormat="1" ht="15" customHeight="1">
      <c r="B3390" s="187"/>
      <c r="C3390" s="187"/>
      <c r="D3390" s="187"/>
      <c r="E3390" s="187"/>
      <c r="F3390" s="187"/>
      <c r="G3390" s="187"/>
      <c r="J3390" s="186"/>
      <c r="K3390" s="180"/>
      <c r="L3390" s="180"/>
      <c r="M3390" s="186"/>
      <c r="N3390" s="186"/>
    </row>
    <row r="3391" spans="2:14" s="188" customFormat="1" ht="15" customHeight="1">
      <c r="B3391" s="187"/>
      <c r="C3391" s="187"/>
      <c r="D3391" s="187"/>
      <c r="E3391" s="187"/>
      <c r="F3391" s="187"/>
      <c r="G3391" s="187"/>
      <c r="J3391" s="186"/>
      <c r="K3391" s="180"/>
      <c r="L3391" s="180"/>
      <c r="M3391" s="186"/>
      <c r="N3391" s="186"/>
    </row>
    <row r="3392" spans="2:14" s="188" customFormat="1" ht="15" customHeight="1">
      <c r="B3392" s="187"/>
      <c r="C3392" s="187"/>
      <c r="D3392" s="187"/>
      <c r="E3392" s="187"/>
      <c r="F3392" s="187"/>
      <c r="G3392" s="187"/>
      <c r="J3392" s="186"/>
      <c r="K3392" s="180"/>
      <c r="L3392" s="180"/>
      <c r="M3392" s="186"/>
      <c r="N3392" s="186"/>
    </row>
    <row r="3393" spans="2:14" s="188" customFormat="1" ht="15" customHeight="1">
      <c r="B3393" s="187"/>
      <c r="C3393" s="187"/>
      <c r="D3393" s="187"/>
      <c r="E3393" s="187"/>
      <c r="F3393" s="187"/>
      <c r="G3393" s="187"/>
      <c r="J3393" s="186"/>
      <c r="K3393" s="180"/>
      <c r="L3393" s="180"/>
      <c r="M3393" s="186"/>
      <c r="N3393" s="186"/>
    </row>
    <row r="3394" spans="2:14" s="188" customFormat="1" ht="15" customHeight="1">
      <c r="B3394" s="187"/>
      <c r="C3394" s="187"/>
      <c r="D3394" s="187"/>
      <c r="E3394" s="187"/>
      <c r="F3394" s="187"/>
      <c r="G3394" s="187"/>
      <c r="J3394" s="186"/>
      <c r="K3394" s="180"/>
      <c r="L3394" s="180"/>
      <c r="M3394" s="186"/>
      <c r="N3394" s="186"/>
    </row>
    <row r="3395" spans="2:14" s="188" customFormat="1" ht="15" customHeight="1">
      <c r="B3395" s="187"/>
      <c r="C3395" s="187"/>
      <c r="D3395" s="187"/>
      <c r="E3395" s="187"/>
      <c r="F3395" s="187"/>
      <c r="G3395" s="187"/>
      <c r="J3395" s="186"/>
      <c r="K3395" s="180"/>
      <c r="L3395" s="180"/>
      <c r="M3395" s="186"/>
      <c r="N3395" s="186"/>
    </row>
    <row r="3396" spans="2:14" s="188" customFormat="1" ht="15" customHeight="1">
      <c r="B3396" s="187"/>
      <c r="C3396" s="187"/>
      <c r="D3396" s="187"/>
      <c r="E3396" s="187"/>
      <c r="F3396" s="187"/>
      <c r="G3396" s="187"/>
      <c r="J3396" s="186"/>
      <c r="K3396" s="180"/>
      <c r="L3396" s="180"/>
      <c r="M3396" s="186"/>
      <c r="N3396" s="186"/>
    </row>
    <row r="3397" spans="2:14" s="188" customFormat="1" ht="15" customHeight="1">
      <c r="B3397" s="187"/>
      <c r="C3397" s="187"/>
      <c r="D3397" s="187"/>
      <c r="E3397" s="187"/>
      <c r="F3397" s="187"/>
      <c r="G3397" s="187"/>
      <c r="J3397" s="186"/>
      <c r="K3397" s="180"/>
      <c r="L3397" s="180"/>
      <c r="M3397" s="186"/>
      <c r="N3397" s="186"/>
    </row>
    <row r="3398" spans="2:14" s="188" customFormat="1" ht="15" customHeight="1">
      <c r="B3398" s="187"/>
      <c r="C3398" s="187"/>
      <c r="D3398" s="187"/>
      <c r="E3398" s="187"/>
      <c r="F3398" s="187"/>
      <c r="G3398" s="187"/>
      <c r="J3398" s="186"/>
      <c r="K3398" s="180"/>
      <c r="L3398" s="180"/>
      <c r="M3398" s="186"/>
      <c r="N3398" s="186"/>
    </row>
    <row r="3399" spans="2:14" s="188" customFormat="1" ht="15" customHeight="1">
      <c r="B3399" s="187"/>
      <c r="C3399" s="187"/>
      <c r="D3399" s="187"/>
      <c r="E3399" s="187"/>
      <c r="F3399" s="187"/>
      <c r="G3399" s="187"/>
      <c r="J3399" s="186"/>
      <c r="K3399" s="180"/>
      <c r="L3399" s="180"/>
      <c r="M3399" s="186"/>
      <c r="N3399" s="186"/>
    </row>
    <row r="3400" spans="2:14" s="188" customFormat="1" ht="15" customHeight="1">
      <c r="B3400" s="187"/>
      <c r="C3400" s="187"/>
      <c r="D3400" s="187"/>
      <c r="E3400" s="187"/>
      <c r="F3400" s="187"/>
      <c r="G3400" s="187"/>
      <c r="J3400" s="186"/>
      <c r="K3400" s="180"/>
      <c r="L3400" s="180"/>
      <c r="M3400" s="186"/>
      <c r="N3400" s="186"/>
    </row>
    <row r="3401" spans="2:14" s="188" customFormat="1" ht="15" customHeight="1">
      <c r="B3401" s="187"/>
      <c r="C3401" s="187"/>
      <c r="D3401" s="187"/>
      <c r="E3401" s="187"/>
      <c r="F3401" s="187"/>
      <c r="G3401" s="187"/>
      <c r="J3401" s="186"/>
      <c r="K3401" s="180"/>
      <c r="L3401" s="180"/>
      <c r="M3401" s="186"/>
      <c r="N3401" s="186"/>
    </row>
    <row r="3402" spans="2:14" s="188" customFormat="1" ht="15" customHeight="1">
      <c r="B3402" s="187"/>
      <c r="C3402" s="187"/>
      <c r="D3402" s="187"/>
      <c r="E3402" s="187"/>
      <c r="F3402" s="187"/>
      <c r="G3402" s="187"/>
      <c r="J3402" s="186"/>
      <c r="K3402" s="180"/>
      <c r="L3402" s="180"/>
      <c r="M3402" s="186"/>
      <c r="N3402" s="186"/>
    </row>
    <row r="3403" spans="2:14" s="188" customFormat="1" ht="15" customHeight="1">
      <c r="B3403" s="187"/>
      <c r="C3403" s="187"/>
      <c r="D3403" s="187"/>
      <c r="E3403" s="187"/>
      <c r="F3403" s="187"/>
      <c r="G3403" s="187"/>
      <c r="J3403" s="186"/>
      <c r="K3403" s="180"/>
      <c r="L3403" s="180"/>
      <c r="M3403" s="186"/>
      <c r="N3403" s="186"/>
    </row>
    <row r="3404" spans="2:14" s="188" customFormat="1" ht="15" customHeight="1">
      <c r="B3404" s="187"/>
      <c r="C3404" s="187"/>
      <c r="D3404" s="187"/>
      <c r="E3404" s="187"/>
      <c r="F3404" s="187"/>
      <c r="G3404" s="187"/>
      <c r="J3404" s="186"/>
      <c r="K3404" s="180"/>
      <c r="L3404" s="180"/>
      <c r="M3404" s="186"/>
      <c r="N3404" s="186"/>
    </row>
    <row r="3405" spans="2:14" s="188" customFormat="1" ht="15" customHeight="1">
      <c r="B3405" s="187"/>
      <c r="C3405" s="187"/>
      <c r="D3405" s="187"/>
      <c r="E3405" s="187"/>
      <c r="F3405" s="187"/>
      <c r="G3405" s="187"/>
      <c r="J3405" s="186"/>
      <c r="K3405" s="180"/>
      <c r="L3405" s="180"/>
      <c r="M3405" s="186"/>
      <c r="N3405" s="186"/>
    </row>
    <row r="3406" spans="2:14" s="188" customFormat="1" ht="15" customHeight="1">
      <c r="B3406" s="187"/>
      <c r="C3406" s="187"/>
      <c r="D3406" s="187"/>
      <c r="E3406" s="187"/>
      <c r="F3406" s="187"/>
      <c r="G3406" s="187"/>
      <c r="J3406" s="186"/>
      <c r="K3406" s="180"/>
      <c r="L3406" s="180"/>
      <c r="M3406" s="186"/>
      <c r="N3406" s="186"/>
    </row>
    <row r="3407" spans="2:14" s="188" customFormat="1" ht="15" customHeight="1">
      <c r="B3407" s="187"/>
      <c r="C3407" s="187"/>
      <c r="D3407" s="187"/>
      <c r="E3407" s="187"/>
      <c r="F3407" s="187"/>
      <c r="G3407" s="187"/>
      <c r="J3407" s="186"/>
      <c r="K3407" s="180"/>
      <c r="L3407" s="180"/>
      <c r="M3407" s="186"/>
      <c r="N3407" s="186"/>
    </row>
    <row r="3408" spans="2:14" s="188" customFormat="1" ht="15" customHeight="1">
      <c r="B3408" s="187"/>
      <c r="C3408" s="187"/>
      <c r="D3408" s="187"/>
      <c r="E3408" s="187"/>
      <c r="F3408" s="187"/>
      <c r="G3408" s="187"/>
      <c r="J3408" s="186"/>
      <c r="K3408" s="180"/>
      <c r="L3408" s="180"/>
      <c r="M3408" s="186"/>
      <c r="N3408" s="186"/>
    </row>
    <row r="3409" spans="2:14" s="188" customFormat="1" ht="15" customHeight="1">
      <c r="B3409" s="187"/>
      <c r="C3409" s="187"/>
      <c r="D3409" s="187"/>
      <c r="E3409" s="187"/>
      <c r="F3409" s="187"/>
      <c r="G3409" s="187"/>
      <c r="J3409" s="186"/>
      <c r="K3409" s="180"/>
      <c r="L3409" s="180"/>
      <c r="M3409" s="186"/>
      <c r="N3409" s="186"/>
    </row>
    <row r="3410" spans="2:14" s="188" customFormat="1" ht="15" customHeight="1">
      <c r="B3410" s="187"/>
      <c r="C3410" s="187"/>
      <c r="D3410" s="187"/>
      <c r="E3410" s="187"/>
      <c r="F3410" s="187"/>
      <c r="G3410" s="187"/>
      <c r="J3410" s="186"/>
      <c r="K3410" s="180"/>
      <c r="L3410" s="180"/>
      <c r="M3410" s="186"/>
      <c r="N3410" s="186"/>
    </row>
    <row r="3411" spans="2:14" s="188" customFormat="1" ht="15" customHeight="1">
      <c r="B3411" s="187"/>
      <c r="C3411" s="187"/>
      <c r="D3411" s="187"/>
      <c r="E3411" s="187"/>
      <c r="F3411" s="187"/>
      <c r="G3411" s="187"/>
      <c r="J3411" s="186"/>
      <c r="K3411" s="180"/>
      <c r="L3411" s="180"/>
      <c r="M3411" s="186"/>
      <c r="N3411" s="186"/>
    </row>
    <row r="3412" spans="2:14" s="188" customFormat="1" ht="15" customHeight="1">
      <c r="B3412" s="187"/>
      <c r="C3412" s="187"/>
      <c r="D3412" s="187"/>
      <c r="E3412" s="187"/>
      <c r="F3412" s="187"/>
      <c r="G3412" s="187"/>
      <c r="J3412" s="186"/>
      <c r="K3412" s="180"/>
      <c r="L3412" s="180"/>
      <c r="M3412" s="186"/>
      <c r="N3412" s="186"/>
    </row>
    <row r="3413" spans="2:14" s="188" customFormat="1" ht="15" customHeight="1">
      <c r="B3413" s="187"/>
      <c r="C3413" s="187"/>
      <c r="D3413" s="187"/>
      <c r="E3413" s="187"/>
      <c r="F3413" s="187"/>
      <c r="G3413" s="187"/>
      <c r="J3413" s="186"/>
      <c r="K3413" s="180"/>
      <c r="L3413" s="180"/>
      <c r="M3413" s="186"/>
      <c r="N3413" s="186"/>
    </row>
    <row r="3414" spans="2:14" s="188" customFormat="1" ht="15" customHeight="1">
      <c r="B3414" s="187"/>
      <c r="C3414" s="187"/>
      <c r="D3414" s="187"/>
      <c r="E3414" s="187"/>
      <c r="F3414" s="187"/>
      <c r="G3414" s="187"/>
      <c r="J3414" s="186"/>
      <c r="K3414" s="180"/>
      <c r="L3414" s="180"/>
      <c r="M3414" s="186"/>
      <c r="N3414" s="186"/>
    </row>
    <row r="3415" spans="2:14" s="188" customFormat="1" ht="15" customHeight="1">
      <c r="B3415" s="187"/>
      <c r="C3415" s="187"/>
      <c r="D3415" s="187"/>
      <c r="E3415" s="187"/>
      <c r="F3415" s="187"/>
      <c r="G3415" s="187"/>
      <c r="J3415" s="186"/>
      <c r="K3415" s="180"/>
      <c r="L3415" s="180"/>
      <c r="M3415" s="186"/>
      <c r="N3415" s="186"/>
    </row>
    <row r="3416" spans="2:14" s="188" customFormat="1" ht="15" customHeight="1">
      <c r="B3416" s="187"/>
      <c r="C3416" s="187"/>
      <c r="D3416" s="187"/>
      <c r="E3416" s="187"/>
      <c r="F3416" s="187"/>
      <c r="G3416" s="187"/>
      <c r="J3416" s="186"/>
      <c r="K3416" s="180"/>
      <c r="L3416" s="180"/>
      <c r="M3416" s="186"/>
      <c r="N3416" s="186"/>
    </row>
    <row r="3417" spans="2:14" s="188" customFormat="1" ht="15" customHeight="1">
      <c r="B3417" s="187"/>
      <c r="C3417" s="187"/>
      <c r="D3417" s="187"/>
      <c r="E3417" s="187"/>
      <c r="F3417" s="187"/>
      <c r="G3417" s="187"/>
      <c r="J3417" s="186"/>
      <c r="K3417" s="180"/>
      <c r="L3417" s="180"/>
      <c r="M3417" s="186"/>
      <c r="N3417" s="186"/>
    </row>
    <row r="3418" spans="2:14" s="188" customFormat="1" ht="15" customHeight="1">
      <c r="B3418" s="187"/>
      <c r="C3418" s="187"/>
      <c r="D3418" s="187"/>
      <c r="E3418" s="187"/>
      <c r="F3418" s="187"/>
      <c r="G3418" s="187"/>
      <c r="J3418" s="186"/>
      <c r="K3418" s="180"/>
      <c r="L3418" s="180"/>
      <c r="M3418" s="186"/>
      <c r="N3418" s="186"/>
    </row>
    <row r="3419" spans="2:14" s="188" customFormat="1" ht="15" customHeight="1">
      <c r="B3419" s="187"/>
      <c r="C3419" s="187"/>
      <c r="D3419" s="187"/>
      <c r="E3419" s="187"/>
      <c r="F3419" s="187"/>
      <c r="G3419" s="187"/>
      <c r="J3419" s="186"/>
      <c r="K3419" s="180"/>
      <c r="L3419" s="180"/>
      <c r="M3419" s="186"/>
      <c r="N3419" s="186"/>
    </row>
    <row r="3420" spans="2:14" s="188" customFormat="1" ht="15" customHeight="1">
      <c r="B3420" s="187"/>
      <c r="C3420" s="187"/>
      <c r="D3420" s="187"/>
      <c r="E3420" s="187"/>
      <c r="F3420" s="187"/>
      <c r="G3420" s="187"/>
      <c r="J3420" s="186"/>
      <c r="K3420" s="180"/>
      <c r="L3420" s="180"/>
      <c r="M3420" s="186"/>
      <c r="N3420" s="186"/>
    </row>
    <row r="3421" spans="2:14" s="188" customFormat="1" ht="15" customHeight="1">
      <c r="B3421" s="187"/>
      <c r="C3421" s="187"/>
      <c r="D3421" s="187"/>
      <c r="E3421" s="187"/>
      <c r="F3421" s="187"/>
      <c r="G3421" s="187"/>
      <c r="J3421" s="186"/>
      <c r="K3421" s="180"/>
      <c r="L3421" s="180"/>
      <c r="M3421" s="186"/>
      <c r="N3421" s="186"/>
    </row>
    <row r="3422" spans="2:14" s="188" customFormat="1" ht="15" customHeight="1">
      <c r="B3422" s="187"/>
      <c r="C3422" s="187"/>
      <c r="D3422" s="187"/>
      <c r="E3422" s="187"/>
      <c r="F3422" s="187"/>
      <c r="G3422" s="187"/>
      <c r="J3422" s="186"/>
      <c r="K3422" s="180"/>
      <c r="L3422" s="180"/>
      <c r="M3422" s="186"/>
      <c r="N3422" s="186"/>
    </row>
    <row r="3423" spans="2:14" s="188" customFormat="1" ht="15" customHeight="1">
      <c r="B3423" s="187"/>
      <c r="C3423" s="187"/>
      <c r="D3423" s="187"/>
      <c r="E3423" s="187"/>
      <c r="F3423" s="187"/>
      <c r="G3423" s="187"/>
      <c r="J3423" s="186"/>
      <c r="K3423" s="180"/>
      <c r="L3423" s="180"/>
      <c r="M3423" s="186"/>
      <c r="N3423" s="186"/>
    </row>
    <row r="3424" spans="2:14" s="188" customFormat="1" ht="15" customHeight="1">
      <c r="B3424" s="187"/>
      <c r="C3424" s="187"/>
      <c r="D3424" s="187"/>
      <c r="E3424" s="187"/>
      <c r="F3424" s="187"/>
      <c r="G3424" s="187"/>
      <c r="J3424" s="186"/>
      <c r="K3424" s="180"/>
      <c r="L3424" s="180"/>
      <c r="M3424" s="186"/>
      <c r="N3424" s="186"/>
    </row>
    <row r="3425" spans="2:14" s="188" customFormat="1" ht="15" customHeight="1">
      <c r="B3425" s="187"/>
      <c r="C3425" s="187"/>
      <c r="D3425" s="187"/>
      <c r="E3425" s="187"/>
      <c r="F3425" s="187"/>
      <c r="G3425" s="187"/>
      <c r="J3425" s="186"/>
      <c r="K3425" s="180"/>
      <c r="L3425" s="180"/>
      <c r="M3425" s="186"/>
      <c r="N3425" s="186"/>
    </row>
    <row r="3426" spans="2:14" s="188" customFormat="1" ht="15" customHeight="1">
      <c r="B3426" s="187"/>
      <c r="C3426" s="187"/>
      <c r="D3426" s="187"/>
      <c r="E3426" s="187"/>
      <c r="F3426" s="187"/>
      <c r="G3426" s="187"/>
      <c r="J3426" s="186"/>
      <c r="K3426" s="180"/>
      <c r="L3426" s="180"/>
      <c r="M3426" s="186"/>
      <c r="N3426" s="186"/>
    </row>
    <row r="3427" spans="2:14" s="188" customFormat="1" ht="15" customHeight="1">
      <c r="B3427" s="187"/>
      <c r="C3427" s="187"/>
      <c r="D3427" s="187"/>
      <c r="E3427" s="187"/>
      <c r="F3427" s="187"/>
      <c r="G3427" s="187"/>
      <c r="J3427" s="186"/>
      <c r="K3427" s="180"/>
      <c r="L3427" s="180"/>
      <c r="M3427" s="186"/>
      <c r="N3427" s="186"/>
    </row>
    <row r="3428" spans="2:14" s="188" customFormat="1" ht="15" customHeight="1">
      <c r="B3428" s="187"/>
      <c r="C3428" s="187"/>
      <c r="D3428" s="187"/>
      <c r="E3428" s="187"/>
      <c r="F3428" s="187"/>
      <c r="G3428" s="187"/>
      <c r="J3428" s="186"/>
      <c r="K3428" s="180"/>
      <c r="L3428" s="180"/>
      <c r="M3428" s="186"/>
      <c r="N3428" s="186"/>
    </row>
    <row r="3429" spans="2:14" s="188" customFormat="1" ht="15" customHeight="1">
      <c r="B3429" s="187"/>
      <c r="C3429" s="187"/>
      <c r="D3429" s="187"/>
      <c r="E3429" s="187"/>
      <c r="F3429" s="187"/>
      <c r="G3429" s="187"/>
      <c r="J3429" s="186"/>
      <c r="K3429" s="180"/>
      <c r="L3429" s="180"/>
      <c r="M3429" s="186"/>
      <c r="N3429" s="186"/>
    </row>
    <row r="3430" spans="2:14" s="188" customFormat="1" ht="15" customHeight="1">
      <c r="B3430" s="187"/>
      <c r="C3430" s="187"/>
      <c r="D3430" s="187"/>
      <c r="E3430" s="187"/>
      <c r="F3430" s="187"/>
      <c r="G3430" s="187"/>
      <c r="J3430" s="186"/>
      <c r="K3430" s="180"/>
      <c r="L3430" s="180"/>
      <c r="M3430" s="186"/>
      <c r="N3430" s="186"/>
    </row>
    <row r="3431" spans="2:14" s="188" customFormat="1" ht="15" customHeight="1">
      <c r="B3431" s="187"/>
      <c r="C3431" s="187"/>
      <c r="D3431" s="187"/>
      <c r="E3431" s="187"/>
      <c r="F3431" s="187"/>
      <c r="G3431" s="187"/>
      <c r="J3431" s="186"/>
      <c r="K3431" s="180"/>
      <c r="L3431" s="180"/>
      <c r="M3431" s="186"/>
      <c r="N3431" s="186"/>
    </row>
    <row r="3432" spans="2:14" s="188" customFormat="1" ht="15" customHeight="1">
      <c r="B3432" s="187"/>
      <c r="C3432" s="187"/>
      <c r="D3432" s="187"/>
      <c r="E3432" s="187"/>
      <c r="F3432" s="187"/>
      <c r="G3432" s="187"/>
      <c r="J3432" s="186"/>
      <c r="K3432" s="180"/>
      <c r="L3432" s="180"/>
      <c r="M3432" s="186"/>
      <c r="N3432" s="186"/>
    </row>
    <row r="3433" spans="2:14" s="188" customFormat="1" ht="15" customHeight="1">
      <c r="B3433" s="187"/>
      <c r="C3433" s="187"/>
      <c r="D3433" s="187"/>
      <c r="E3433" s="187"/>
      <c r="F3433" s="187"/>
      <c r="G3433" s="187"/>
      <c r="J3433" s="186"/>
      <c r="K3433" s="180"/>
      <c r="L3433" s="180"/>
      <c r="M3433" s="186"/>
      <c r="N3433" s="186"/>
    </row>
    <row r="3434" spans="2:14" s="188" customFormat="1" ht="15" customHeight="1">
      <c r="B3434" s="187"/>
      <c r="C3434" s="187"/>
      <c r="D3434" s="187"/>
      <c r="E3434" s="187"/>
      <c r="F3434" s="187"/>
      <c r="G3434" s="187"/>
      <c r="J3434" s="186"/>
      <c r="K3434" s="180"/>
      <c r="L3434" s="180"/>
      <c r="M3434" s="186"/>
      <c r="N3434" s="186"/>
    </row>
    <row r="3435" spans="2:14" s="188" customFormat="1" ht="15" customHeight="1">
      <c r="B3435" s="187"/>
      <c r="C3435" s="187"/>
      <c r="D3435" s="187"/>
      <c r="E3435" s="187"/>
      <c r="F3435" s="187"/>
      <c r="G3435" s="187"/>
      <c r="J3435" s="186"/>
      <c r="K3435" s="180"/>
      <c r="L3435" s="180"/>
      <c r="M3435" s="186"/>
      <c r="N3435" s="186"/>
    </row>
    <row r="3436" spans="2:14" s="188" customFormat="1" ht="15" customHeight="1">
      <c r="B3436" s="187"/>
      <c r="C3436" s="187"/>
      <c r="D3436" s="187"/>
      <c r="E3436" s="187"/>
      <c r="F3436" s="187"/>
      <c r="G3436" s="187"/>
      <c r="J3436" s="186"/>
      <c r="K3436" s="180"/>
      <c r="L3436" s="180"/>
      <c r="M3436" s="186"/>
      <c r="N3436" s="186"/>
    </row>
    <row r="3437" spans="2:14" s="188" customFormat="1" ht="15" customHeight="1">
      <c r="B3437" s="187"/>
      <c r="C3437" s="187"/>
      <c r="D3437" s="187"/>
      <c r="E3437" s="187"/>
      <c r="F3437" s="187"/>
      <c r="G3437" s="187"/>
      <c r="J3437" s="186"/>
      <c r="K3437" s="180"/>
      <c r="L3437" s="180"/>
      <c r="M3437" s="186"/>
      <c r="N3437" s="186"/>
    </row>
    <row r="3438" spans="2:14" s="188" customFormat="1" ht="15" customHeight="1">
      <c r="B3438" s="187"/>
      <c r="C3438" s="187"/>
      <c r="D3438" s="187"/>
      <c r="E3438" s="187"/>
      <c r="F3438" s="187"/>
      <c r="G3438" s="187"/>
      <c r="J3438" s="186"/>
      <c r="K3438" s="180"/>
      <c r="L3438" s="180"/>
      <c r="M3438" s="186"/>
      <c r="N3438" s="186"/>
    </row>
    <row r="3439" spans="2:14" s="188" customFormat="1" ht="15" customHeight="1">
      <c r="B3439" s="187"/>
      <c r="C3439" s="187"/>
      <c r="D3439" s="187"/>
      <c r="E3439" s="187"/>
      <c r="F3439" s="187"/>
      <c r="G3439" s="187"/>
      <c r="J3439" s="186"/>
      <c r="K3439" s="180"/>
      <c r="L3439" s="180"/>
      <c r="M3439" s="186"/>
      <c r="N3439" s="186"/>
    </row>
    <row r="3440" spans="2:14" s="188" customFormat="1" ht="15" customHeight="1">
      <c r="B3440" s="187"/>
      <c r="C3440" s="187"/>
      <c r="D3440" s="187"/>
      <c r="E3440" s="187"/>
      <c r="F3440" s="187"/>
      <c r="G3440" s="187"/>
      <c r="J3440" s="186"/>
      <c r="K3440" s="180"/>
      <c r="L3440" s="180"/>
      <c r="M3440" s="186"/>
      <c r="N3440" s="186"/>
    </row>
    <row r="3441" spans="2:14" s="188" customFormat="1" ht="15" customHeight="1">
      <c r="B3441" s="187"/>
      <c r="C3441" s="187"/>
      <c r="D3441" s="187"/>
      <c r="E3441" s="187"/>
      <c r="F3441" s="187"/>
      <c r="G3441" s="187"/>
      <c r="J3441" s="186"/>
      <c r="K3441" s="180"/>
      <c r="L3441" s="180"/>
      <c r="M3441" s="186"/>
      <c r="N3441" s="186"/>
    </row>
    <row r="3442" spans="2:14" s="188" customFormat="1" ht="15" customHeight="1">
      <c r="B3442" s="187"/>
      <c r="C3442" s="187"/>
      <c r="D3442" s="187"/>
      <c r="E3442" s="187"/>
      <c r="F3442" s="187"/>
      <c r="G3442" s="187"/>
      <c r="J3442" s="186"/>
      <c r="K3442" s="180"/>
      <c r="L3442" s="180"/>
      <c r="M3442" s="186"/>
      <c r="N3442" s="186"/>
    </row>
    <row r="3443" spans="2:14" s="188" customFormat="1" ht="15" customHeight="1">
      <c r="B3443" s="187"/>
      <c r="C3443" s="187"/>
      <c r="D3443" s="187"/>
      <c r="E3443" s="187"/>
      <c r="F3443" s="187"/>
      <c r="G3443" s="187"/>
      <c r="J3443" s="186"/>
      <c r="K3443" s="180"/>
      <c r="L3443" s="180"/>
      <c r="M3443" s="186"/>
      <c r="N3443" s="186"/>
    </row>
    <row r="3444" spans="2:14" s="188" customFormat="1" ht="15" customHeight="1">
      <c r="B3444" s="187"/>
      <c r="C3444" s="187"/>
      <c r="D3444" s="187"/>
      <c r="E3444" s="187"/>
      <c r="F3444" s="187"/>
      <c r="G3444" s="187"/>
      <c r="J3444" s="186"/>
      <c r="K3444" s="180"/>
      <c r="L3444" s="180"/>
      <c r="M3444" s="186"/>
      <c r="N3444" s="186"/>
    </row>
    <row r="3445" spans="2:14" s="188" customFormat="1" ht="15" customHeight="1">
      <c r="B3445" s="187"/>
      <c r="C3445" s="187"/>
      <c r="D3445" s="187"/>
      <c r="E3445" s="187"/>
      <c r="F3445" s="187"/>
      <c r="G3445" s="187"/>
      <c r="J3445" s="186"/>
      <c r="K3445" s="180"/>
      <c r="L3445" s="180"/>
      <c r="M3445" s="186"/>
      <c r="N3445" s="186"/>
    </row>
    <row r="3446" spans="2:14" s="188" customFormat="1" ht="15" customHeight="1">
      <c r="B3446" s="187"/>
      <c r="C3446" s="187"/>
      <c r="D3446" s="187"/>
      <c r="E3446" s="187"/>
      <c r="F3446" s="187"/>
      <c r="G3446" s="187"/>
      <c r="J3446" s="186"/>
      <c r="K3446" s="180"/>
      <c r="L3446" s="180"/>
      <c r="M3446" s="186"/>
      <c r="N3446" s="186"/>
    </row>
    <row r="3447" spans="2:14" s="188" customFormat="1" ht="15" customHeight="1">
      <c r="B3447" s="187"/>
      <c r="C3447" s="187"/>
      <c r="D3447" s="187"/>
      <c r="E3447" s="187"/>
      <c r="F3447" s="187"/>
      <c r="G3447" s="187"/>
      <c r="J3447" s="186"/>
      <c r="K3447" s="180"/>
      <c r="L3447" s="180"/>
      <c r="M3447" s="186"/>
      <c r="N3447" s="186"/>
    </row>
    <row r="3448" spans="2:14" s="188" customFormat="1" ht="15" customHeight="1">
      <c r="B3448" s="187"/>
      <c r="C3448" s="187"/>
      <c r="D3448" s="187"/>
      <c r="E3448" s="187"/>
      <c r="F3448" s="187"/>
      <c r="G3448" s="187"/>
      <c r="J3448" s="186"/>
      <c r="K3448" s="180"/>
      <c r="L3448" s="180"/>
      <c r="M3448" s="186"/>
      <c r="N3448" s="186"/>
    </row>
    <row r="3449" spans="2:14" s="188" customFormat="1" ht="15" customHeight="1">
      <c r="B3449" s="187"/>
      <c r="C3449" s="187"/>
      <c r="D3449" s="187"/>
      <c r="E3449" s="187"/>
      <c r="F3449" s="187"/>
      <c r="G3449" s="187"/>
      <c r="J3449" s="186"/>
      <c r="K3449" s="180"/>
      <c r="L3449" s="180"/>
      <c r="M3449" s="186"/>
      <c r="N3449" s="186"/>
    </row>
    <row r="3450" spans="2:14" s="188" customFormat="1" ht="15" customHeight="1">
      <c r="B3450" s="187"/>
      <c r="C3450" s="187"/>
      <c r="D3450" s="187"/>
      <c r="E3450" s="187"/>
      <c r="F3450" s="187"/>
      <c r="G3450" s="187"/>
      <c r="J3450" s="186"/>
      <c r="K3450" s="180"/>
      <c r="L3450" s="180"/>
      <c r="M3450" s="186"/>
      <c r="N3450" s="186"/>
    </row>
    <row r="3451" spans="2:14" s="188" customFormat="1" ht="15" customHeight="1">
      <c r="B3451" s="187"/>
      <c r="C3451" s="187"/>
      <c r="D3451" s="187"/>
      <c r="E3451" s="187"/>
      <c r="F3451" s="187"/>
      <c r="G3451" s="187"/>
      <c r="J3451" s="186"/>
      <c r="K3451" s="180"/>
      <c r="L3451" s="180"/>
      <c r="M3451" s="186"/>
      <c r="N3451" s="186"/>
    </row>
    <row r="3452" spans="2:14" s="188" customFormat="1" ht="15" customHeight="1">
      <c r="B3452" s="187"/>
      <c r="C3452" s="187"/>
      <c r="D3452" s="187"/>
      <c r="E3452" s="187"/>
      <c r="F3452" s="187"/>
      <c r="G3452" s="187"/>
      <c r="J3452" s="186"/>
      <c r="K3452" s="180"/>
      <c r="L3452" s="180"/>
      <c r="M3452" s="186"/>
      <c r="N3452" s="186"/>
    </row>
    <row r="3453" spans="2:14" s="188" customFormat="1" ht="15" customHeight="1">
      <c r="B3453" s="187"/>
      <c r="C3453" s="187"/>
      <c r="D3453" s="187"/>
      <c r="E3453" s="187"/>
      <c r="F3453" s="187"/>
      <c r="G3453" s="187"/>
      <c r="J3453" s="186"/>
      <c r="K3453" s="180"/>
      <c r="L3453" s="180"/>
      <c r="M3453" s="186"/>
      <c r="N3453" s="186"/>
    </row>
    <row r="3454" spans="2:14" s="188" customFormat="1" ht="15" customHeight="1">
      <c r="B3454" s="187"/>
      <c r="C3454" s="187"/>
      <c r="D3454" s="187"/>
      <c r="E3454" s="187"/>
      <c r="F3454" s="187"/>
      <c r="G3454" s="187"/>
      <c r="J3454" s="186"/>
      <c r="K3454" s="180"/>
      <c r="L3454" s="180"/>
      <c r="M3454" s="186"/>
      <c r="N3454" s="186"/>
    </row>
    <row r="3455" spans="2:14" s="188" customFormat="1" ht="15" customHeight="1">
      <c r="B3455" s="187"/>
      <c r="C3455" s="187"/>
      <c r="D3455" s="187"/>
      <c r="E3455" s="187"/>
      <c r="F3455" s="187"/>
      <c r="G3455" s="187"/>
      <c r="J3455" s="186"/>
      <c r="K3455" s="180"/>
      <c r="L3455" s="180"/>
      <c r="M3455" s="186"/>
      <c r="N3455" s="186"/>
    </row>
    <row r="3456" spans="2:14" s="188" customFormat="1" ht="15" customHeight="1">
      <c r="B3456" s="187"/>
      <c r="C3456" s="187"/>
      <c r="D3456" s="187"/>
      <c r="E3456" s="187"/>
      <c r="F3456" s="187"/>
      <c r="G3456" s="187"/>
      <c r="J3456" s="186"/>
      <c r="K3456" s="180"/>
      <c r="L3456" s="180"/>
      <c r="M3456" s="186"/>
      <c r="N3456" s="186"/>
    </row>
    <row r="3457" spans="2:14" s="188" customFormat="1" ht="15" customHeight="1">
      <c r="B3457" s="187"/>
      <c r="C3457" s="187"/>
      <c r="D3457" s="187"/>
      <c r="E3457" s="187"/>
      <c r="F3457" s="187"/>
      <c r="G3457" s="187"/>
      <c r="J3457" s="186"/>
      <c r="K3457" s="180"/>
      <c r="L3457" s="180"/>
      <c r="M3457" s="186"/>
      <c r="N3457" s="186"/>
    </row>
    <row r="3458" spans="2:14" s="188" customFormat="1" ht="15" customHeight="1">
      <c r="B3458" s="187"/>
      <c r="C3458" s="187"/>
      <c r="D3458" s="187"/>
      <c r="E3458" s="187"/>
      <c r="F3458" s="187"/>
      <c r="G3458" s="187"/>
      <c r="J3458" s="186"/>
      <c r="K3458" s="180"/>
      <c r="L3458" s="180"/>
      <c r="M3458" s="186"/>
      <c r="N3458" s="186"/>
    </row>
    <row r="3459" spans="2:14" s="188" customFormat="1" ht="15" customHeight="1">
      <c r="B3459" s="187"/>
      <c r="C3459" s="187"/>
      <c r="D3459" s="187"/>
      <c r="E3459" s="187"/>
      <c r="F3459" s="187"/>
      <c r="G3459" s="187"/>
      <c r="J3459" s="186"/>
      <c r="K3459" s="180"/>
      <c r="L3459" s="180"/>
      <c r="M3459" s="186"/>
      <c r="N3459" s="186"/>
    </row>
    <row r="3460" spans="2:14" s="188" customFormat="1" ht="15" customHeight="1">
      <c r="B3460" s="187"/>
      <c r="C3460" s="187"/>
      <c r="D3460" s="187"/>
      <c r="E3460" s="187"/>
      <c r="F3460" s="187"/>
      <c r="G3460" s="187"/>
      <c r="J3460" s="186"/>
      <c r="K3460" s="180"/>
      <c r="L3460" s="180"/>
      <c r="M3460" s="186"/>
      <c r="N3460" s="186"/>
    </row>
    <row r="3461" spans="2:14" s="188" customFormat="1" ht="15" customHeight="1">
      <c r="B3461" s="187"/>
      <c r="C3461" s="187"/>
      <c r="D3461" s="187"/>
      <c r="E3461" s="187"/>
      <c r="F3461" s="187"/>
      <c r="G3461" s="187"/>
      <c r="J3461" s="186"/>
      <c r="K3461" s="180"/>
      <c r="L3461" s="180"/>
      <c r="M3461" s="186"/>
      <c r="N3461" s="186"/>
    </row>
    <row r="3462" spans="2:14" s="188" customFormat="1" ht="15" customHeight="1">
      <c r="B3462" s="187"/>
      <c r="C3462" s="187"/>
      <c r="D3462" s="187"/>
      <c r="E3462" s="187"/>
      <c r="F3462" s="187"/>
      <c r="G3462" s="187"/>
      <c r="J3462" s="186"/>
      <c r="K3462" s="180"/>
      <c r="L3462" s="180"/>
      <c r="M3462" s="186"/>
      <c r="N3462" s="186"/>
    </row>
    <row r="3463" spans="2:14" s="188" customFormat="1" ht="15" customHeight="1">
      <c r="B3463" s="187"/>
      <c r="C3463" s="187"/>
      <c r="D3463" s="187"/>
      <c r="E3463" s="187"/>
      <c r="F3463" s="187"/>
      <c r="G3463" s="187"/>
      <c r="J3463" s="186"/>
      <c r="K3463" s="180"/>
      <c r="L3463" s="180"/>
      <c r="M3463" s="186"/>
      <c r="N3463" s="186"/>
    </row>
    <row r="3464" spans="2:14" s="188" customFormat="1" ht="15" customHeight="1">
      <c r="B3464" s="187"/>
      <c r="C3464" s="187"/>
      <c r="D3464" s="187"/>
      <c r="E3464" s="187"/>
      <c r="F3464" s="187"/>
      <c r="G3464" s="187"/>
      <c r="J3464" s="186"/>
      <c r="K3464" s="180"/>
      <c r="L3464" s="180"/>
      <c r="M3464" s="186"/>
      <c r="N3464" s="186"/>
    </row>
    <row r="3465" spans="2:14" s="188" customFormat="1" ht="15" customHeight="1">
      <c r="B3465" s="187"/>
      <c r="C3465" s="187"/>
      <c r="D3465" s="187"/>
      <c r="E3465" s="187"/>
      <c r="F3465" s="187"/>
      <c r="G3465" s="187"/>
      <c r="J3465" s="186"/>
      <c r="K3465" s="180"/>
      <c r="L3465" s="180"/>
      <c r="M3465" s="186"/>
      <c r="N3465" s="186"/>
    </row>
    <row r="3466" spans="2:14" s="188" customFormat="1" ht="15" customHeight="1">
      <c r="B3466" s="187"/>
      <c r="C3466" s="187"/>
      <c r="D3466" s="187"/>
      <c r="E3466" s="187"/>
      <c r="F3466" s="187"/>
      <c r="G3466" s="187"/>
      <c r="J3466" s="186"/>
      <c r="K3466" s="180"/>
      <c r="L3466" s="180"/>
      <c r="M3466" s="186"/>
      <c r="N3466" s="186"/>
    </row>
    <row r="3467" spans="2:14" s="188" customFormat="1" ht="15" customHeight="1">
      <c r="B3467" s="187"/>
      <c r="C3467" s="187"/>
      <c r="D3467" s="187"/>
      <c r="E3467" s="187"/>
      <c r="F3467" s="187"/>
      <c r="G3467" s="187"/>
      <c r="J3467" s="186"/>
      <c r="K3467" s="180"/>
      <c r="L3467" s="180"/>
      <c r="M3467" s="186"/>
      <c r="N3467" s="186"/>
    </row>
    <row r="3468" spans="2:14" s="188" customFormat="1" ht="15" customHeight="1">
      <c r="B3468" s="187"/>
      <c r="C3468" s="187"/>
      <c r="D3468" s="187"/>
      <c r="E3468" s="187"/>
      <c r="F3468" s="187"/>
      <c r="G3468" s="187"/>
      <c r="J3468" s="186"/>
      <c r="K3468" s="180"/>
      <c r="L3468" s="180"/>
      <c r="M3468" s="186"/>
      <c r="N3468" s="186"/>
    </row>
    <row r="3469" spans="2:14" s="188" customFormat="1" ht="15" customHeight="1">
      <c r="B3469" s="187"/>
      <c r="C3469" s="187"/>
      <c r="D3469" s="187"/>
      <c r="E3469" s="187"/>
      <c r="F3469" s="187"/>
      <c r="G3469" s="187"/>
      <c r="J3469" s="186"/>
      <c r="K3469" s="180"/>
      <c r="L3469" s="180"/>
      <c r="M3469" s="186"/>
      <c r="N3469" s="186"/>
    </row>
    <row r="3470" spans="2:14" s="188" customFormat="1" ht="15" customHeight="1">
      <c r="B3470" s="187"/>
      <c r="C3470" s="187"/>
      <c r="D3470" s="187"/>
      <c r="E3470" s="187"/>
      <c r="F3470" s="187"/>
      <c r="G3470" s="187"/>
      <c r="J3470" s="186"/>
      <c r="K3470" s="180"/>
      <c r="L3470" s="180"/>
      <c r="M3470" s="186"/>
      <c r="N3470" s="186"/>
    </row>
    <row r="3471" spans="2:14" s="188" customFormat="1" ht="15" customHeight="1">
      <c r="B3471" s="187"/>
      <c r="C3471" s="187"/>
      <c r="D3471" s="187"/>
      <c r="E3471" s="187"/>
      <c r="F3471" s="187"/>
      <c r="G3471" s="187"/>
      <c r="J3471" s="186"/>
      <c r="K3471" s="180"/>
      <c r="L3471" s="180"/>
      <c r="M3471" s="186"/>
      <c r="N3471" s="186"/>
    </row>
    <row r="3472" spans="2:14" s="188" customFormat="1" ht="15" customHeight="1">
      <c r="B3472" s="187"/>
      <c r="C3472" s="187"/>
      <c r="D3472" s="187"/>
      <c r="E3472" s="187"/>
      <c r="F3472" s="187"/>
      <c r="G3472" s="187"/>
      <c r="J3472" s="186"/>
      <c r="K3472" s="180"/>
      <c r="L3472" s="180"/>
      <c r="M3472" s="186"/>
      <c r="N3472" s="186"/>
    </row>
    <row r="3473" spans="2:14" s="188" customFormat="1" ht="15" customHeight="1">
      <c r="B3473" s="187"/>
      <c r="C3473" s="187"/>
      <c r="D3473" s="187"/>
      <c r="E3473" s="187"/>
      <c r="F3473" s="187"/>
      <c r="G3473" s="187"/>
      <c r="J3473" s="186"/>
      <c r="K3473" s="180"/>
      <c r="L3473" s="180"/>
      <c r="M3473" s="186"/>
      <c r="N3473" s="186"/>
    </row>
    <row r="3474" spans="2:14" s="188" customFormat="1" ht="15" customHeight="1">
      <c r="B3474" s="187"/>
      <c r="C3474" s="187"/>
      <c r="D3474" s="187"/>
      <c r="E3474" s="187"/>
      <c r="F3474" s="187"/>
      <c r="G3474" s="187"/>
      <c r="J3474" s="186"/>
      <c r="K3474" s="180"/>
      <c r="L3474" s="180"/>
      <c r="M3474" s="186"/>
      <c r="N3474" s="186"/>
    </row>
    <row r="3475" spans="2:14" s="188" customFormat="1" ht="15" customHeight="1">
      <c r="B3475" s="187"/>
      <c r="C3475" s="187"/>
      <c r="D3475" s="187"/>
      <c r="E3475" s="187"/>
      <c r="F3475" s="187"/>
      <c r="G3475" s="187"/>
      <c r="J3475" s="186"/>
      <c r="K3475" s="180"/>
      <c r="L3475" s="180"/>
      <c r="M3475" s="186"/>
      <c r="N3475" s="186"/>
    </row>
    <row r="3476" spans="2:14" s="188" customFormat="1" ht="15" customHeight="1">
      <c r="B3476" s="187"/>
      <c r="C3476" s="187"/>
      <c r="D3476" s="187"/>
      <c r="E3476" s="187"/>
      <c r="F3476" s="187"/>
      <c r="G3476" s="187"/>
      <c r="J3476" s="186"/>
      <c r="K3476" s="180"/>
      <c r="L3476" s="180"/>
      <c r="M3476" s="186"/>
      <c r="N3476" s="186"/>
    </row>
    <row r="3477" spans="2:14" s="188" customFormat="1" ht="15" customHeight="1">
      <c r="B3477" s="187"/>
      <c r="C3477" s="187"/>
      <c r="D3477" s="187"/>
      <c r="E3477" s="187"/>
      <c r="F3477" s="187"/>
      <c r="G3477" s="187"/>
      <c r="J3477" s="186"/>
      <c r="K3477" s="180"/>
      <c r="L3477" s="180"/>
      <c r="M3477" s="186"/>
      <c r="N3477" s="186"/>
    </row>
    <row r="3478" spans="2:14" s="188" customFormat="1" ht="15" customHeight="1">
      <c r="B3478" s="187"/>
      <c r="C3478" s="187"/>
      <c r="D3478" s="187"/>
      <c r="E3478" s="187"/>
      <c r="F3478" s="187"/>
      <c r="G3478" s="187"/>
      <c r="J3478" s="186"/>
      <c r="K3478" s="180"/>
      <c r="L3478" s="180"/>
      <c r="M3478" s="186"/>
      <c r="N3478" s="186"/>
    </row>
    <row r="3479" spans="2:14" s="188" customFormat="1" ht="15" customHeight="1">
      <c r="B3479" s="187"/>
      <c r="C3479" s="187"/>
      <c r="D3479" s="187"/>
      <c r="E3479" s="187"/>
      <c r="F3479" s="187"/>
      <c r="G3479" s="187"/>
      <c r="J3479" s="186"/>
      <c r="K3479" s="180"/>
      <c r="L3479" s="180"/>
      <c r="M3479" s="186"/>
      <c r="N3479" s="186"/>
    </row>
    <row r="3480" spans="2:14" s="188" customFormat="1" ht="15" customHeight="1">
      <c r="B3480" s="187"/>
      <c r="C3480" s="187"/>
      <c r="D3480" s="187"/>
      <c r="E3480" s="187"/>
      <c r="F3480" s="187"/>
      <c r="G3480" s="187"/>
      <c r="J3480" s="186"/>
      <c r="K3480" s="180"/>
      <c r="L3480" s="180"/>
      <c r="M3480" s="186"/>
      <c r="N3480" s="186"/>
    </row>
    <row r="3481" spans="2:14" s="188" customFormat="1" ht="15" customHeight="1">
      <c r="B3481" s="187"/>
      <c r="C3481" s="187"/>
      <c r="D3481" s="187"/>
      <c r="E3481" s="187"/>
      <c r="F3481" s="187"/>
      <c r="G3481" s="187"/>
      <c r="J3481" s="186"/>
      <c r="K3481" s="180"/>
      <c r="L3481" s="180"/>
      <c r="M3481" s="186"/>
      <c r="N3481" s="186"/>
    </row>
    <row r="3482" spans="2:14" s="188" customFormat="1" ht="15" customHeight="1">
      <c r="B3482" s="187"/>
      <c r="C3482" s="187"/>
      <c r="D3482" s="187"/>
      <c r="E3482" s="187"/>
      <c r="F3482" s="187"/>
      <c r="G3482" s="187"/>
      <c r="J3482" s="186"/>
      <c r="K3482" s="180"/>
      <c r="L3482" s="180"/>
      <c r="M3482" s="186"/>
      <c r="N3482" s="186"/>
    </row>
    <row r="3483" spans="2:14" s="188" customFormat="1" ht="15" customHeight="1">
      <c r="B3483" s="187"/>
      <c r="C3483" s="187"/>
      <c r="D3483" s="187"/>
      <c r="E3483" s="187"/>
      <c r="F3483" s="187"/>
      <c r="G3483" s="187"/>
      <c r="J3483" s="186"/>
      <c r="K3483" s="180"/>
      <c r="L3483" s="180"/>
      <c r="M3483" s="186"/>
      <c r="N3483" s="186"/>
    </row>
    <row r="3484" spans="2:14" s="188" customFormat="1" ht="15" customHeight="1">
      <c r="B3484" s="187"/>
      <c r="C3484" s="187"/>
      <c r="D3484" s="187"/>
      <c r="E3484" s="187"/>
      <c r="F3484" s="187"/>
      <c r="G3484" s="187"/>
      <c r="J3484" s="186"/>
      <c r="K3484" s="180"/>
      <c r="L3484" s="180"/>
      <c r="M3484" s="186"/>
      <c r="N3484" s="186"/>
    </row>
    <row r="3485" spans="2:14" s="188" customFormat="1" ht="15" customHeight="1">
      <c r="B3485" s="187"/>
      <c r="C3485" s="187"/>
      <c r="D3485" s="187"/>
      <c r="E3485" s="187"/>
      <c r="F3485" s="187"/>
      <c r="G3485" s="187"/>
      <c r="J3485" s="186"/>
      <c r="K3485" s="180"/>
      <c r="L3485" s="180"/>
      <c r="M3485" s="186"/>
      <c r="N3485" s="186"/>
    </row>
    <row r="3486" spans="2:14" s="188" customFormat="1" ht="15" customHeight="1">
      <c r="B3486" s="187"/>
      <c r="C3486" s="187"/>
      <c r="D3486" s="187"/>
      <c r="E3486" s="187"/>
      <c r="F3486" s="187"/>
      <c r="G3486" s="187"/>
      <c r="J3486" s="186"/>
      <c r="K3486" s="180"/>
      <c r="L3486" s="180"/>
      <c r="M3486" s="186"/>
      <c r="N3486" s="186"/>
    </row>
    <row r="3487" spans="2:14" s="188" customFormat="1" ht="15" customHeight="1">
      <c r="B3487" s="187"/>
      <c r="C3487" s="187"/>
      <c r="D3487" s="187"/>
      <c r="E3487" s="187"/>
      <c r="F3487" s="187"/>
      <c r="G3487" s="187"/>
      <c r="J3487" s="186"/>
      <c r="K3487" s="180"/>
      <c r="L3487" s="180"/>
      <c r="M3487" s="186"/>
      <c r="N3487" s="186"/>
    </row>
    <row r="3488" spans="2:14" s="188" customFormat="1" ht="15" customHeight="1">
      <c r="B3488" s="187"/>
      <c r="C3488" s="187"/>
      <c r="D3488" s="187"/>
      <c r="E3488" s="187"/>
      <c r="F3488" s="187"/>
      <c r="G3488" s="187"/>
      <c r="J3488" s="186"/>
      <c r="K3488" s="180"/>
      <c r="L3488" s="180"/>
      <c r="M3488" s="186"/>
      <c r="N3488" s="186"/>
    </row>
    <row r="3489" spans="2:14" s="188" customFormat="1" ht="15" customHeight="1">
      <c r="B3489" s="187"/>
      <c r="C3489" s="187"/>
      <c r="D3489" s="187"/>
      <c r="E3489" s="187"/>
      <c r="F3489" s="187"/>
      <c r="G3489" s="187"/>
      <c r="J3489" s="186"/>
      <c r="K3489" s="180"/>
      <c r="L3489" s="180"/>
      <c r="M3489" s="186"/>
      <c r="N3489" s="186"/>
    </row>
    <row r="3490" spans="2:14" s="188" customFormat="1" ht="15" customHeight="1">
      <c r="B3490" s="187"/>
      <c r="C3490" s="187"/>
      <c r="D3490" s="187"/>
      <c r="E3490" s="187"/>
      <c r="F3490" s="187"/>
      <c r="G3490" s="187"/>
      <c r="J3490" s="186"/>
      <c r="K3490" s="180"/>
      <c r="L3490" s="180"/>
      <c r="M3490" s="186"/>
      <c r="N3490" s="186"/>
    </row>
    <row r="3491" spans="2:14" s="188" customFormat="1" ht="15" customHeight="1">
      <c r="B3491" s="187"/>
      <c r="C3491" s="187"/>
      <c r="D3491" s="187"/>
      <c r="E3491" s="187"/>
      <c r="F3491" s="187"/>
      <c r="G3491" s="187"/>
      <c r="J3491" s="186"/>
      <c r="K3491" s="180"/>
      <c r="L3491" s="180"/>
      <c r="M3491" s="186"/>
      <c r="N3491" s="186"/>
    </row>
    <row r="3492" spans="2:14" s="188" customFormat="1" ht="15" customHeight="1">
      <c r="B3492" s="187"/>
      <c r="C3492" s="187"/>
      <c r="D3492" s="187"/>
      <c r="E3492" s="187"/>
      <c r="F3492" s="187"/>
      <c r="G3492" s="187"/>
      <c r="J3492" s="186"/>
      <c r="K3492" s="180"/>
      <c r="L3492" s="180"/>
      <c r="M3492" s="186"/>
      <c r="N3492" s="186"/>
    </row>
    <row r="3493" spans="2:14" s="188" customFormat="1" ht="15" customHeight="1">
      <c r="B3493" s="187"/>
      <c r="C3493" s="187"/>
      <c r="D3493" s="187"/>
      <c r="E3493" s="187"/>
      <c r="F3493" s="187"/>
      <c r="G3493" s="187"/>
      <c r="J3493" s="186"/>
      <c r="K3493" s="180"/>
      <c r="L3493" s="180"/>
      <c r="M3493" s="186"/>
      <c r="N3493" s="186"/>
    </row>
    <row r="3494" spans="2:14" s="188" customFormat="1" ht="15" customHeight="1">
      <c r="B3494" s="187"/>
      <c r="C3494" s="187"/>
      <c r="D3494" s="187"/>
      <c r="E3494" s="187"/>
      <c r="F3494" s="187"/>
      <c r="G3494" s="187"/>
      <c r="J3494" s="186"/>
      <c r="K3494" s="180"/>
      <c r="L3494" s="180"/>
      <c r="M3494" s="186"/>
      <c r="N3494" s="186"/>
    </row>
    <row r="3495" spans="2:14" s="188" customFormat="1" ht="15" customHeight="1">
      <c r="B3495" s="187"/>
      <c r="C3495" s="187"/>
      <c r="D3495" s="187"/>
      <c r="E3495" s="187"/>
      <c r="F3495" s="187"/>
      <c r="G3495" s="187"/>
      <c r="J3495" s="186"/>
      <c r="K3495" s="180"/>
      <c r="L3495" s="180"/>
      <c r="M3495" s="186"/>
      <c r="N3495" s="186"/>
    </row>
    <row r="3496" spans="2:14" s="188" customFormat="1" ht="15" customHeight="1">
      <c r="B3496" s="187"/>
      <c r="C3496" s="187"/>
      <c r="D3496" s="187"/>
      <c r="E3496" s="187"/>
      <c r="F3496" s="187"/>
      <c r="G3496" s="187"/>
      <c r="J3496" s="186"/>
      <c r="K3496" s="180"/>
      <c r="L3496" s="180"/>
      <c r="M3496" s="186"/>
      <c r="N3496" s="186"/>
    </row>
    <row r="3497" spans="2:14" s="188" customFormat="1" ht="15" customHeight="1">
      <c r="B3497" s="187"/>
      <c r="C3497" s="187"/>
      <c r="D3497" s="187"/>
      <c r="E3497" s="187"/>
      <c r="F3497" s="187"/>
      <c r="G3497" s="187"/>
      <c r="J3497" s="186"/>
      <c r="K3497" s="180"/>
      <c r="L3497" s="180"/>
      <c r="M3497" s="186"/>
      <c r="N3497" s="186"/>
    </row>
    <row r="3498" spans="2:14" s="188" customFormat="1" ht="15" customHeight="1">
      <c r="B3498" s="187"/>
      <c r="C3498" s="187"/>
      <c r="D3498" s="187"/>
      <c r="E3498" s="187"/>
      <c r="F3498" s="187"/>
      <c r="G3498" s="187"/>
      <c r="J3498" s="186"/>
      <c r="K3498" s="180"/>
      <c r="L3498" s="180"/>
      <c r="M3498" s="186"/>
      <c r="N3498" s="186"/>
    </row>
    <row r="3499" spans="2:14" s="188" customFormat="1" ht="15" customHeight="1">
      <c r="B3499" s="187"/>
      <c r="C3499" s="187"/>
      <c r="D3499" s="187"/>
      <c r="E3499" s="187"/>
      <c r="F3499" s="187"/>
      <c r="G3499" s="187"/>
      <c r="J3499" s="186"/>
      <c r="K3499" s="180"/>
      <c r="L3499" s="180"/>
      <c r="M3499" s="186"/>
      <c r="N3499" s="186"/>
    </row>
    <row r="3500" spans="2:14" s="188" customFormat="1" ht="15" customHeight="1">
      <c r="B3500" s="187"/>
      <c r="C3500" s="187"/>
      <c r="D3500" s="187"/>
      <c r="E3500" s="187"/>
      <c r="F3500" s="187"/>
      <c r="G3500" s="187"/>
      <c r="J3500" s="186"/>
      <c r="K3500" s="180"/>
      <c r="L3500" s="180"/>
      <c r="M3500" s="186"/>
      <c r="N3500" s="186"/>
    </row>
    <row r="3501" spans="2:14" s="188" customFormat="1" ht="15" customHeight="1">
      <c r="B3501" s="187"/>
      <c r="C3501" s="187"/>
      <c r="D3501" s="187"/>
      <c r="E3501" s="187"/>
      <c r="F3501" s="187"/>
      <c r="G3501" s="187"/>
      <c r="J3501" s="186"/>
      <c r="K3501" s="180"/>
      <c r="L3501" s="180"/>
      <c r="M3501" s="186"/>
      <c r="N3501" s="186"/>
    </row>
    <row r="3502" spans="2:14" s="188" customFormat="1" ht="15" customHeight="1">
      <c r="B3502" s="187"/>
      <c r="C3502" s="187"/>
      <c r="D3502" s="187"/>
      <c r="E3502" s="187"/>
      <c r="F3502" s="187"/>
      <c r="G3502" s="187"/>
      <c r="J3502" s="186"/>
      <c r="K3502" s="180"/>
      <c r="L3502" s="180"/>
      <c r="M3502" s="186"/>
      <c r="N3502" s="186"/>
    </row>
    <row r="3503" spans="2:14" s="188" customFormat="1" ht="15" customHeight="1">
      <c r="B3503" s="187"/>
      <c r="C3503" s="187"/>
      <c r="D3503" s="187"/>
      <c r="E3503" s="187"/>
      <c r="F3503" s="187"/>
      <c r="G3503" s="187"/>
      <c r="J3503" s="186"/>
      <c r="K3503" s="180"/>
      <c r="L3503" s="180"/>
      <c r="M3503" s="186"/>
      <c r="N3503" s="186"/>
    </row>
    <row r="3504" spans="2:14" s="188" customFormat="1" ht="15" customHeight="1">
      <c r="B3504" s="187"/>
      <c r="C3504" s="187"/>
      <c r="D3504" s="187"/>
      <c r="E3504" s="187"/>
      <c r="F3504" s="187"/>
      <c r="G3504" s="187"/>
      <c r="J3504" s="186"/>
      <c r="K3504" s="180"/>
      <c r="L3504" s="180"/>
      <c r="M3504" s="186"/>
      <c r="N3504" s="186"/>
    </row>
    <row r="3505" spans="2:14" s="188" customFormat="1" ht="15" customHeight="1">
      <c r="B3505" s="187"/>
      <c r="C3505" s="187"/>
      <c r="D3505" s="187"/>
      <c r="E3505" s="187"/>
      <c r="F3505" s="187"/>
      <c r="G3505" s="187"/>
      <c r="J3505" s="186"/>
      <c r="K3505" s="180"/>
      <c r="L3505" s="180"/>
      <c r="M3505" s="186"/>
      <c r="N3505" s="186"/>
    </row>
    <row r="3506" spans="2:14" s="188" customFormat="1" ht="15" customHeight="1">
      <c r="B3506" s="187"/>
      <c r="C3506" s="187"/>
      <c r="D3506" s="187"/>
      <c r="E3506" s="187"/>
      <c r="F3506" s="187"/>
      <c r="G3506" s="187"/>
      <c r="J3506" s="186"/>
      <c r="K3506" s="180"/>
      <c r="L3506" s="180"/>
      <c r="M3506" s="186"/>
      <c r="N3506" s="186"/>
    </row>
    <row r="3507" spans="2:14" s="188" customFormat="1" ht="15" customHeight="1">
      <c r="B3507" s="187"/>
      <c r="C3507" s="187"/>
      <c r="D3507" s="187"/>
      <c r="E3507" s="187"/>
      <c r="F3507" s="187"/>
      <c r="G3507" s="187"/>
      <c r="J3507" s="186"/>
      <c r="K3507" s="180"/>
      <c r="L3507" s="180"/>
      <c r="M3507" s="186"/>
      <c r="N3507" s="186"/>
    </row>
    <row r="3508" spans="2:14" s="188" customFormat="1" ht="15" customHeight="1">
      <c r="B3508" s="187"/>
      <c r="C3508" s="187"/>
      <c r="D3508" s="187"/>
      <c r="E3508" s="187"/>
      <c r="F3508" s="187"/>
      <c r="G3508" s="187"/>
      <c r="J3508" s="186"/>
      <c r="K3508" s="180"/>
      <c r="L3508" s="180"/>
      <c r="M3508" s="186"/>
      <c r="N3508" s="186"/>
    </row>
    <row r="3509" spans="2:14" s="188" customFormat="1" ht="15" customHeight="1">
      <c r="B3509" s="187"/>
      <c r="C3509" s="187"/>
      <c r="D3509" s="187"/>
      <c r="E3509" s="187"/>
      <c r="F3509" s="187"/>
      <c r="G3509" s="187"/>
      <c r="J3509" s="186"/>
      <c r="K3509" s="180"/>
      <c r="L3509" s="180"/>
      <c r="M3509" s="186"/>
      <c r="N3509" s="186"/>
    </row>
    <row r="3510" spans="2:14" s="188" customFormat="1" ht="15" customHeight="1">
      <c r="B3510" s="187"/>
      <c r="C3510" s="187"/>
      <c r="D3510" s="187"/>
      <c r="E3510" s="187"/>
      <c r="F3510" s="187"/>
      <c r="G3510" s="187"/>
      <c r="J3510" s="186"/>
      <c r="K3510" s="180"/>
      <c r="L3510" s="180"/>
      <c r="M3510" s="186"/>
      <c r="N3510" s="186"/>
    </row>
    <row r="3511" spans="2:14" s="188" customFormat="1" ht="15" customHeight="1">
      <c r="B3511" s="187"/>
      <c r="C3511" s="187"/>
      <c r="D3511" s="187"/>
      <c r="E3511" s="187"/>
      <c r="F3511" s="187"/>
      <c r="G3511" s="187"/>
      <c r="J3511" s="186"/>
      <c r="K3511" s="180"/>
      <c r="L3511" s="180"/>
      <c r="M3511" s="186"/>
      <c r="N3511" s="186"/>
    </row>
    <row r="3512" spans="2:14" s="188" customFormat="1" ht="15" customHeight="1">
      <c r="B3512" s="187"/>
      <c r="C3512" s="187"/>
      <c r="D3512" s="187"/>
      <c r="E3512" s="187"/>
      <c r="F3512" s="187"/>
      <c r="G3512" s="187"/>
      <c r="J3512" s="186"/>
      <c r="K3512" s="180"/>
      <c r="L3512" s="180"/>
      <c r="M3512" s="186"/>
      <c r="N3512" s="186"/>
    </row>
    <row r="3513" spans="2:14" s="188" customFormat="1" ht="15" customHeight="1">
      <c r="B3513" s="187"/>
      <c r="C3513" s="187"/>
      <c r="D3513" s="187"/>
      <c r="E3513" s="187"/>
      <c r="F3513" s="187"/>
      <c r="G3513" s="187"/>
      <c r="J3513" s="186"/>
      <c r="K3513" s="180"/>
      <c r="L3513" s="180"/>
      <c r="M3513" s="186"/>
      <c r="N3513" s="186"/>
    </row>
    <row r="3514" spans="2:14" s="188" customFormat="1" ht="15" customHeight="1">
      <c r="B3514" s="187"/>
      <c r="C3514" s="187"/>
      <c r="D3514" s="187"/>
      <c r="E3514" s="187"/>
      <c r="F3514" s="187"/>
      <c r="G3514" s="187"/>
      <c r="J3514" s="186"/>
      <c r="K3514" s="180"/>
      <c r="L3514" s="180"/>
      <c r="M3514" s="186"/>
      <c r="N3514" s="186"/>
    </row>
    <row r="3515" spans="2:14" s="188" customFormat="1" ht="15" customHeight="1">
      <c r="B3515" s="187"/>
      <c r="C3515" s="187"/>
      <c r="D3515" s="187"/>
      <c r="E3515" s="187"/>
      <c r="F3515" s="187"/>
      <c r="G3515" s="187"/>
      <c r="J3515" s="186"/>
      <c r="K3515" s="180"/>
      <c r="L3515" s="180"/>
      <c r="M3515" s="186"/>
      <c r="N3515" s="186"/>
    </row>
    <row r="3516" spans="2:14" s="188" customFormat="1" ht="15" customHeight="1">
      <c r="B3516" s="187"/>
      <c r="C3516" s="187"/>
      <c r="D3516" s="187"/>
      <c r="E3516" s="187"/>
      <c r="F3516" s="187"/>
      <c r="G3516" s="187"/>
      <c r="J3516" s="186"/>
      <c r="K3516" s="180"/>
      <c r="L3516" s="180"/>
      <c r="M3516" s="186"/>
      <c r="N3516" s="186"/>
    </row>
    <row r="3517" spans="2:14" s="188" customFormat="1" ht="15" customHeight="1">
      <c r="B3517" s="187"/>
      <c r="C3517" s="187"/>
      <c r="D3517" s="187"/>
      <c r="E3517" s="187"/>
      <c r="F3517" s="187"/>
      <c r="G3517" s="187"/>
      <c r="J3517" s="186"/>
      <c r="K3517" s="180"/>
      <c r="L3517" s="180"/>
      <c r="M3517" s="186"/>
      <c r="N3517" s="186"/>
    </row>
    <row r="3518" spans="2:14" s="188" customFormat="1" ht="15" customHeight="1">
      <c r="B3518" s="187"/>
      <c r="C3518" s="187"/>
      <c r="D3518" s="187"/>
      <c r="E3518" s="187"/>
      <c r="F3518" s="187"/>
      <c r="G3518" s="187"/>
      <c r="J3518" s="186"/>
      <c r="K3518" s="180"/>
      <c r="L3518" s="180"/>
      <c r="M3518" s="186"/>
      <c r="N3518" s="186"/>
    </row>
    <row r="3519" spans="2:14" s="188" customFormat="1" ht="15" customHeight="1">
      <c r="B3519" s="187"/>
      <c r="C3519" s="187"/>
      <c r="D3519" s="187"/>
      <c r="E3519" s="187"/>
      <c r="F3519" s="187"/>
      <c r="G3519" s="187"/>
      <c r="J3519" s="186"/>
      <c r="K3519" s="180"/>
      <c r="L3519" s="180"/>
      <c r="M3519" s="186"/>
      <c r="N3519" s="186"/>
    </row>
    <row r="3520" spans="2:14" s="188" customFormat="1" ht="15" customHeight="1">
      <c r="B3520" s="187"/>
      <c r="C3520" s="187"/>
      <c r="D3520" s="187"/>
      <c r="E3520" s="187"/>
      <c r="F3520" s="187"/>
      <c r="G3520" s="187"/>
      <c r="J3520" s="186"/>
      <c r="K3520" s="180"/>
      <c r="L3520" s="180"/>
      <c r="M3520" s="186"/>
      <c r="N3520" s="186"/>
    </row>
    <row r="3521" spans="2:14" s="188" customFormat="1" ht="15" customHeight="1">
      <c r="B3521" s="187"/>
      <c r="C3521" s="187"/>
      <c r="D3521" s="187"/>
      <c r="E3521" s="187"/>
      <c r="F3521" s="187"/>
      <c r="G3521" s="187"/>
      <c r="J3521" s="186"/>
      <c r="K3521" s="180"/>
      <c r="L3521" s="180"/>
      <c r="M3521" s="186"/>
      <c r="N3521" s="186"/>
    </row>
    <row r="3522" spans="2:14" s="188" customFormat="1" ht="15" customHeight="1">
      <c r="B3522" s="187"/>
      <c r="C3522" s="187"/>
      <c r="D3522" s="187"/>
      <c r="E3522" s="187"/>
      <c r="F3522" s="187"/>
      <c r="G3522" s="187"/>
      <c r="J3522" s="186"/>
      <c r="K3522" s="180"/>
      <c r="L3522" s="180"/>
      <c r="M3522" s="186"/>
      <c r="N3522" s="186"/>
    </row>
    <row r="3523" spans="2:14" s="188" customFormat="1" ht="15" customHeight="1">
      <c r="B3523" s="187"/>
      <c r="C3523" s="187"/>
      <c r="D3523" s="187"/>
      <c r="E3523" s="187"/>
      <c r="F3523" s="187"/>
      <c r="G3523" s="187"/>
      <c r="J3523" s="186"/>
      <c r="K3523" s="180"/>
      <c r="L3523" s="180"/>
      <c r="M3523" s="186"/>
      <c r="N3523" s="186"/>
    </row>
    <row r="3524" spans="2:14" s="188" customFormat="1" ht="15" customHeight="1">
      <c r="B3524" s="187"/>
      <c r="C3524" s="187"/>
      <c r="D3524" s="187"/>
      <c r="E3524" s="187"/>
      <c r="F3524" s="187"/>
      <c r="G3524" s="187"/>
      <c r="J3524" s="186"/>
      <c r="K3524" s="180"/>
      <c r="L3524" s="180"/>
      <c r="M3524" s="186"/>
      <c r="N3524" s="186"/>
    </row>
    <row r="3525" spans="2:14" s="188" customFormat="1" ht="15" customHeight="1">
      <c r="B3525" s="187"/>
      <c r="C3525" s="187"/>
      <c r="D3525" s="187"/>
      <c r="E3525" s="187"/>
      <c r="F3525" s="187"/>
      <c r="G3525" s="187"/>
      <c r="J3525" s="186"/>
      <c r="K3525" s="180"/>
      <c r="L3525" s="180"/>
      <c r="M3525" s="186"/>
      <c r="N3525" s="186"/>
    </row>
    <row r="3526" spans="2:14" s="188" customFormat="1" ht="15" customHeight="1">
      <c r="B3526" s="187"/>
      <c r="C3526" s="187"/>
      <c r="D3526" s="187"/>
      <c r="E3526" s="187"/>
      <c r="F3526" s="187"/>
      <c r="G3526" s="187"/>
      <c r="J3526" s="186"/>
      <c r="K3526" s="180"/>
      <c r="L3526" s="180"/>
      <c r="M3526" s="186"/>
      <c r="N3526" s="186"/>
    </row>
    <row r="3527" spans="2:14" s="188" customFormat="1" ht="15" customHeight="1">
      <c r="B3527" s="187"/>
      <c r="C3527" s="187"/>
      <c r="D3527" s="187"/>
      <c r="E3527" s="187"/>
      <c r="F3527" s="187"/>
      <c r="G3527" s="187"/>
      <c r="J3527" s="186"/>
      <c r="K3527" s="180"/>
      <c r="L3527" s="180"/>
      <c r="M3527" s="186"/>
      <c r="N3527" s="186"/>
    </row>
    <row r="3528" spans="2:14" s="188" customFormat="1" ht="15" customHeight="1">
      <c r="B3528" s="187"/>
      <c r="C3528" s="187"/>
      <c r="D3528" s="187"/>
      <c r="E3528" s="187"/>
      <c r="F3528" s="187"/>
      <c r="G3528" s="187"/>
      <c r="J3528" s="186"/>
      <c r="K3528" s="180"/>
      <c r="L3528" s="180"/>
      <c r="M3528" s="186"/>
      <c r="N3528" s="186"/>
    </row>
    <row r="3529" spans="2:14" s="188" customFormat="1" ht="15" customHeight="1">
      <c r="B3529" s="187"/>
      <c r="C3529" s="187"/>
      <c r="D3529" s="187"/>
      <c r="E3529" s="187"/>
      <c r="F3529" s="187"/>
      <c r="G3529" s="187"/>
      <c r="J3529" s="186"/>
      <c r="K3529" s="180"/>
      <c r="L3529" s="180"/>
      <c r="M3529" s="186"/>
      <c r="N3529" s="186"/>
    </row>
    <row r="3530" spans="2:14" s="188" customFormat="1" ht="15" customHeight="1">
      <c r="B3530" s="187"/>
      <c r="C3530" s="187"/>
      <c r="D3530" s="187"/>
      <c r="E3530" s="187"/>
      <c r="F3530" s="187"/>
      <c r="G3530" s="187"/>
      <c r="J3530" s="186"/>
      <c r="K3530" s="180"/>
      <c r="L3530" s="180"/>
      <c r="M3530" s="186"/>
      <c r="N3530" s="186"/>
    </row>
    <row r="3531" spans="2:14" s="188" customFormat="1" ht="15" customHeight="1">
      <c r="B3531" s="187"/>
      <c r="C3531" s="187"/>
      <c r="D3531" s="187"/>
      <c r="E3531" s="187"/>
      <c r="F3531" s="187"/>
      <c r="G3531" s="187"/>
      <c r="J3531" s="186"/>
      <c r="K3531" s="180"/>
      <c r="L3531" s="180"/>
      <c r="M3531" s="186"/>
      <c r="N3531" s="186"/>
    </row>
    <row r="3532" spans="2:14" s="188" customFormat="1" ht="15" customHeight="1">
      <c r="B3532" s="187"/>
      <c r="C3532" s="187"/>
      <c r="D3532" s="187"/>
      <c r="E3532" s="187"/>
      <c r="F3532" s="187"/>
      <c r="G3532" s="187"/>
      <c r="J3532" s="186"/>
      <c r="K3532" s="180"/>
      <c r="L3532" s="180"/>
      <c r="M3532" s="186"/>
      <c r="N3532" s="186"/>
    </row>
    <row r="3533" spans="2:14" s="188" customFormat="1" ht="15" customHeight="1">
      <c r="B3533" s="187"/>
      <c r="C3533" s="187"/>
      <c r="D3533" s="187"/>
      <c r="E3533" s="187"/>
      <c r="F3533" s="187"/>
      <c r="G3533" s="187"/>
      <c r="J3533" s="186"/>
      <c r="K3533" s="180"/>
      <c r="L3533" s="180"/>
      <c r="M3533" s="186"/>
      <c r="N3533" s="186"/>
    </row>
    <row r="3534" spans="2:14" s="188" customFormat="1" ht="15" customHeight="1">
      <c r="B3534" s="187"/>
      <c r="C3534" s="187"/>
      <c r="D3534" s="187"/>
      <c r="E3534" s="187"/>
      <c r="F3534" s="187"/>
      <c r="G3534" s="187"/>
      <c r="J3534" s="186"/>
      <c r="K3534" s="180"/>
      <c r="L3534" s="180"/>
      <c r="M3534" s="186"/>
      <c r="N3534" s="186"/>
    </row>
    <row r="3535" spans="2:14" s="188" customFormat="1" ht="15" customHeight="1">
      <c r="B3535" s="187"/>
      <c r="C3535" s="187"/>
      <c r="D3535" s="187"/>
      <c r="E3535" s="187"/>
      <c r="F3535" s="187"/>
      <c r="G3535" s="187"/>
      <c r="J3535" s="186"/>
      <c r="K3535" s="180"/>
      <c r="L3535" s="180"/>
      <c r="M3535" s="186"/>
      <c r="N3535" s="186"/>
    </row>
    <row r="3536" spans="2:14" s="188" customFormat="1" ht="15" customHeight="1">
      <c r="B3536" s="187"/>
      <c r="C3536" s="187"/>
      <c r="D3536" s="187"/>
      <c r="E3536" s="187"/>
      <c r="F3536" s="187"/>
      <c r="G3536" s="187"/>
      <c r="J3536" s="186"/>
      <c r="K3536" s="180"/>
      <c r="L3536" s="180"/>
      <c r="M3536" s="186"/>
      <c r="N3536" s="186"/>
    </row>
    <row r="3537" spans="2:14" s="188" customFormat="1" ht="15" customHeight="1">
      <c r="B3537" s="187"/>
      <c r="C3537" s="187"/>
      <c r="D3537" s="187"/>
      <c r="E3537" s="187"/>
      <c r="F3537" s="187"/>
      <c r="G3537" s="187"/>
      <c r="J3537" s="186"/>
      <c r="K3537" s="180"/>
      <c r="L3537" s="180"/>
      <c r="M3537" s="186"/>
      <c r="N3537" s="186"/>
    </row>
    <row r="3538" spans="2:14" s="188" customFormat="1" ht="15" customHeight="1">
      <c r="B3538" s="187"/>
      <c r="C3538" s="187"/>
      <c r="D3538" s="187"/>
      <c r="E3538" s="187"/>
      <c r="F3538" s="187"/>
      <c r="G3538" s="187"/>
      <c r="J3538" s="186"/>
      <c r="K3538" s="180"/>
      <c r="L3538" s="180"/>
      <c r="M3538" s="186"/>
      <c r="N3538" s="186"/>
    </row>
    <row r="3539" spans="2:14" s="188" customFormat="1" ht="15" customHeight="1">
      <c r="B3539" s="187"/>
      <c r="C3539" s="187"/>
      <c r="D3539" s="187"/>
      <c r="E3539" s="187"/>
      <c r="F3539" s="187"/>
      <c r="G3539" s="187"/>
      <c r="J3539" s="186"/>
      <c r="K3539" s="180"/>
      <c r="L3539" s="180"/>
      <c r="M3539" s="186"/>
      <c r="N3539" s="186"/>
    </row>
    <row r="3540" spans="2:14" s="188" customFormat="1" ht="15" customHeight="1">
      <c r="B3540" s="187"/>
      <c r="C3540" s="187"/>
      <c r="D3540" s="187"/>
      <c r="E3540" s="187"/>
      <c r="F3540" s="187"/>
      <c r="G3540" s="187"/>
      <c r="J3540" s="186"/>
      <c r="K3540" s="180"/>
      <c r="L3540" s="180"/>
      <c r="M3540" s="186"/>
      <c r="N3540" s="186"/>
    </row>
    <row r="3541" spans="2:14" s="188" customFormat="1" ht="15" customHeight="1">
      <c r="B3541" s="187"/>
      <c r="C3541" s="187"/>
      <c r="D3541" s="187"/>
      <c r="E3541" s="187"/>
      <c r="F3541" s="187"/>
      <c r="G3541" s="187"/>
      <c r="J3541" s="186"/>
      <c r="K3541" s="180"/>
      <c r="L3541" s="180"/>
      <c r="M3541" s="186"/>
      <c r="N3541" s="186"/>
    </row>
    <row r="3542" spans="2:14" s="188" customFormat="1" ht="15" customHeight="1">
      <c r="B3542" s="187"/>
      <c r="C3542" s="187"/>
      <c r="D3542" s="187"/>
      <c r="E3542" s="187"/>
      <c r="F3542" s="187"/>
      <c r="G3542" s="187"/>
      <c r="J3542" s="186"/>
      <c r="K3542" s="180"/>
      <c r="L3542" s="180"/>
      <c r="M3542" s="186"/>
      <c r="N3542" s="186"/>
    </row>
    <row r="3543" spans="2:14" s="188" customFormat="1" ht="15" customHeight="1">
      <c r="B3543" s="187"/>
      <c r="C3543" s="187"/>
      <c r="D3543" s="187"/>
      <c r="E3543" s="187"/>
      <c r="F3543" s="187"/>
      <c r="G3543" s="187"/>
      <c r="J3543" s="186"/>
      <c r="K3543" s="180"/>
      <c r="L3543" s="180"/>
      <c r="M3543" s="186"/>
      <c r="N3543" s="186"/>
    </row>
    <row r="3544" spans="2:14" s="188" customFormat="1" ht="15" customHeight="1">
      <c r="B3544" s="187"/>
      <c r="C3544" s="187"/>
      <c r="D3544" s="187"/>
      <c r="E3544" s="187"/>
      <c r="F3544" s="187"/>
      <c r="G3544" s="187"/>
      <c r="J3544" s="186"/>
      <c r="K3544" s="180"/>
      <c r="L3544" s="180"/>
      <c r="M3544" s="186"/>
      <c r="N3544" s="186"/>
    </row>
    <row r="3545" spans="2:14" s="188" customFormat="1" ht="15" customHeight="1">
      <c r="B3545" s="187"/>
      <c r="C3545" s="187"/>
      <c r="D3545" s="187"/>
      <c r="E3545" s="187"/>
      <c r="F3545" s="187"/>
      <c r="G3545" s="187"/>
      <c r="J3545" s="186"/>
      <c r="K3545" s="180"/>
      <c r="L3545" s="180"/>
      <c r="M3545" s="186"/>
      <c r="N3545" s="186"/>
    </row>
    <row r="3546" spans="2:14" s="188" customFormat="1" ht="15" customHeight="1">
      <c r="B3546" s="187"/>
      <c r="C3546" s="187"/>
      <c r="D3546" s="187"/>
      <c r="E3546" s="187"/>
      <c r="F3546" s="187"/>
      <c r="G3546" s="187"/>
      <c r="J3546" s="186"/>
      <c r="K3546" s="180"/>
      <c r="L3546" s="180"/>
      <c r="M3546" s="186"/>
      <c r="N3546" s="186"/>
    </row>
    <row r="3547" spans="2:14" s="188" customFormat="1" ht="15" customHeight="1">
      <c r="B3547" s="187"/>
      <c r="C3547" s="187"/>
      <c r="D3547" s="187"/>
      <c r="E3547" s="187"/>
      <c r="F3547" s="187"/>
      <c r="G3547" s="187"/>
      <c r="J3547" s="186"/>
      <c r="K3547" s="180"/>
      <c r="L3547" s="180"/>
      <c r="M3547" s="186"/>
      <c r="N3547" s="186"/>
    </row>
    <row r="3548" spans="2:14" s="188" customFormat="1" ht="15" customHeight="1">
      <c r="B3548" s="187"/>
      <c r="C3548" s="187"/>
      <c r="D3548" s="187"/>
      <c r="E3548" s="187"/>
      <c r="F3548" s="187"/>
      <c r="G3548" s="187"/>
      <c r="J3548" s="186"/>
      <c r="K3548" s="180"/>
      <c r="L3548" s="180"/>
      <c r="M3548" s="186"/>
      <c r="N3548" s="186"/>
    </row>
    <row r="3549" spans="2:14" s="188" customFormat="1" ht="15" customHeight="1">
      <c r="B3549" s="187"/>
      <c r="C3549" s="187"/>
      <c r="D3549" s="187"/>
      <c r="E3549" s="187"/>
      <c r="F3549" s="187"/>
      <c r="G3549" s="187"/>
      <c r="J3549" s="186"/>
      <c r="K3549" s="180"/>
      <c r="L3549" s="180"/>
      <c r="M3549" s="186"/>
      <c r="N3549" s="186"/>
    </row>
    <row r="3550" spans="2:14" s="188" customFormat="1" ht="15" customHeight="1">
      <c r="B3550" s="187"/>
      <c r="C3550" s="187"/>
      <c r="D3550" s="187"/>
      <c r="E3550" s="187"/>
      <c r="F3550" s="187"/>
      <c r="G3550" s="187"/>
      <c r="J3550" s="186"/>
      <c r="K3550" s="180"/>
      <c r="L3550" s="180"/>
      <c r="M3550" s="186"/>
      <c r="N3550" s="186"/>
    </row>
    <row r="3551" spans="2:14" s="188" customFormat="1" ht="15" customHeight="1">
      <c r="B3551" s="187"/>
      <c r="C3551" s="187"/>
      <c r="D3551" s="187"/>
      <c r="E3551" s="187"/>
      <c r="F3551" s="187"/>
      <c r="G3551" s="187"/>
      <c r="J3551" s="186"/>
      <c r="K3551" s="180"/>
      <c r="L3551" s="180"/>
      <c r="M3551" s="186"/>
      <c r="N3551" s="186"/>
    </row>
    <row r="3552" spans="2:14" s="188" customFormat="1" ht="15" customHeight="1">
      <c r="B3552" s="187"/>
      <c r="C3552" s="187"/>
      <c r="D3552" s="187"/>
      <c r="E3552" s="187"/>
      <c r="F3552" s="187"/>
      <c r="G3552" s="187"/>
      <c r="J3552" s="186"/>
      <c r="K3552" s="180"/>
      <c r="L3552" s="180"/>
      <c r="M3552" s="186"/>
      <c r="N3552" s="186"/>
    </row>
    <row r="3553" spans="2:14" s="188" customFormat="1" ht="15" customHeight="1">
      <c r="B3553" s="187"/>
      <c r="C3553" s="187"/>
      <c r="D3553" s="187"/>
      <c r="E3553" s="187"/>
      <c r="F3553" s="187"/>
      <c r="G3553" s="187"/>
      <c r="J3553" s="186"/>
      <c r="K3553" s="180"/>
      <c r="L3553" s="180"/>
      <c r="M3553" s="186"/>
      <c r="N3553" s="186"/>
    </row>
    <row r="3554" spans="2:14" s="188" customFormat="1" ht="15" customHeight="1">
      <c r="B3554" s="187"/>
      <c r="C3554" s="187"/>
      <c r="D3554" s="187"/>
      <c r="E3554" s="187"/>
      <c r="F3554" s="187"/>
      <c r="G3554" s="187"/>
      <c r="J3554" s="186"/>
      <c r="K3554" s="180"/>
      <c r="L3554" s="180"/>
      <c r="M3554" s="186"/>
      <c r="N3554" s="186"/>
    </row>
    <row r="3555" spans="2:14" s="188" customFormat="1" ht="15" customHeight="1">
      <c r="B3555" s="187"/>
      <c r="C3555" s="187"/>
      <c r="D3555" s="187"/>
      <c r="E3555" s="187"/>
      <c r="F3555" s="187"/>
      <c r="G3555" s="187"/>
      <c r="J3555" s="186"/>
      <c r="K3555" s="180"/>
      <c r="L3555" s="180"/>
      <c r="M3555" s="186"/>
      <c r="N3555" s="186"/>
    </row>
    <row r="3556" spans="2:14" s="188" customFormat="1" ht="15" customHeight="1">
      <c r="B3556" s="187"/>
      <c r="C3556" s="187"/>
      <c r="D3556" s="187"/>
      <c r="E3556" s="187"/>
      <c r="F3556" s="187"/>
      <c r="G3556" s="187"/>
      <c r="J3556" s="186"/>
      <c r="K3556" s="180"/>
      <c r="L3556" s="180"/>
      <c r="M3556" s="186"/>
      <c r="N3556" s="186"/>
    </row>
    <row r="3557" spans="2:14" s="188" customFormat="1" ht="15" customHeight="1">
      <c r="B3557" s="187"/>
      <c r="C3557" s="187"/>
      <c r="D3557" s="187"/>
      <c r="E3557" s="187"/>
      <c r="F3557" s="187"/>
      <c r="G3557" s="187"/>
      <c r="J3557" s="186"/>
      <c r="K3557" s="180"/>
      <c r="L3557" s="180"/>
      <c r="M3557" s="186"/>
      <c r="N3557" s="186"/>
    </row>
    <row r="3558" spans="2:14" s="188" customFormat="1" ht="15" customHeight="1">
      <c r="B3558" s="187"/>
      <c r="C3558" s="187"/>
      <c r="D3558" s="187"/>
      <c r="E3558" s="187"/>
      <c r="F3558" s="187"/>
      <c r="G3558" s="187"/>
      <c r="J3558" s="186"/>
      <c r="K3558" s="180"/>
      <c r="L3558" s="180"/>
      <c r="M3558" s="186"/>
      <c r="N3558" s="186"/>
    </row>
    <row r="3559" spans="2:14" s="188" customFormat="1" ht="15" customHeight="1">
      <c r="B3559" s="187"/>
      <c r="C3559" s="187"/>
      <c r="D3559" s="187"/>
      <c r="E3559" s="187"/>
      <c r="F3559" s="187"/>
      <c r="G3559" s="187"/>
      <c r="J3559" s="186"/>
      <c r="K3559" s="180"/>
      <c r="L3559" s="180"/>
      <c r="M3559" s="186"/>
      <c r="N3559" s="186"/>
    </row>
    <row r="3560" spans="2:14" s="188" customFormat="1" ht="15" customHeight="1">
      <c r="B3560" s="187"/>
      <c r="C3560" s="187"/>
      <c r="D3560" s="187"/>
      <c r="E3560" s="187"/>
      <c r="F3560" s="187"/>
      <c r="G3560" s="187"/>
      <c r="J3560" s="186"/>
      <c r="K3560" s="180"/>
      <c r="L3560" s="180"/>
      <c r="M3560" s="186"/>
      <c r="N3560" s="186"/>
    </row>
    <row r="3561" spans="2:14" s="188" customFormat="1" ht="15" customHeight="1">
      <c r="B3561" s="187"/>
      <c r="C3561" s="187"/>
      <c r="D3561" s="187"/>
      <c r="E3561" s="187"/>
      <c r="F3561" s="187"/>
      <c r="G3561" s="187"/>
      <c r="J3561" s="186"/>
      <c r="K3561" s="180"/>
      <c r="L3561" s="180"/>
      <c r="M3561" s="186"/>
      <c r="N3561" s="186"/>
    </row>
    <row r="3562" spans="2:14" s="188" customFormat="1" ht="15" customHeight="1">
      <c r="B3562" s="187"/>
      <c r="C3562" s="187"/>
      <c r="D3562" s="187"/>
      <c r="E3562" s="187"/>
      <c r="F3562" s="187"/>
      <c r="G3562" s="187"/>
      <c r="J3562" s="186"/>
      <c r="K3562" s="180"/>
      <c r="L3562" s="180"/>
      <c r="M3562" s="186"/>
      <c r="N3562" s="186"/>
    </row>
    <row r="3563" spans="2:14" s="188" customFormat="1" ht="15" customHeight="1">
      <c r="B3563" s="187"/>
      <c r="C3563" s="187"/>
      <c r="D3563" s="187"/>
      <c r="E3563" s="187"/>
      <c r="F3563" s="187"/>
      <c r="G3563" s="187"/>
      <c r="J3563" s="186"/>
      <c r="K3563" s="180"/>
      <c r="L3563" s="180"/>
      <c r="M3563" s="186"/>
      <c r="N3563" s="186"/>
    </row>
    <row r="3564" spans="2:14" s="188" customFormat="1" ht="15" customHeight="1">
      <c r="B3564" s="187"/>
      <c r="C3564" s="187"/>
      <c r="D3564" s="187"/>
      <c r="E3564" s="187"/>
      <c r="F3564" s="187"/>
      <c r="G3564" s="187"/>
      <c r="J3564" s="186"/>
      <c r="K3564" s="180"/>
      <c r="L3564" s="180"/>
      <c r="M3564" s="186"/>
      <c r="N3564" s="186"/>
    </row>
    <row r="3565" spans="2:14" s="188" customFormat="1" ht="15" customHeight="1">
      <c r="B3565" s="187"/>
      <c r="C3565" s="187"/>
      <c r="D3565" s="187"/>
      <c r="E3565" s="187"/>
      <c r="F3565" s="187"/>
      <c r="G3565" s="187"/>
      <c r="J3565" s="186"/>
      <c r="K3565" s="180"/>
      <c r="L3565" s="180"/>
      <c r="M3565" s="186"/>
      <c r="N3565" s="186"/>
    </row>
    <row r="3566" spans="2:14" s="188" customFormat="1" ht="15" customHeight="1">
      <c r="B3566" s="187"/>
      <c r="C3566" s="187"/>
      <c r="D3566" s="187"/>
      <c r="E3566" s="187"/>
      <c r="F3566" s="187"/>
      <c r="G3566" s="187"/>
      <c r="J3566" s="186"/>
      <c r="K3566" s="180"/>
      <c r="L3566" s="180"/>
      <c r="M3566" s="186"/>
      <c r="N3566" s="186"/>
    </row>
    <row r="3567" spans="2:14" s="188" customFormat="1" ht="15" customHeight="1">
      <c r="B3567" s="187"/>
      <c r="C3567" s="187"/>
      <c r="D3567" s="187"/>
      <c r="E3567" s="187"/>
      <c r="F3567" s="187"/>
      <c r="G3567" s="187"/>
      <c r="J3567" s="186"/>
      <c r="K3567" s="180"/>
      <c r="L3567" s="180"/>
      <c r="M3567" s="186"/>
      <c r="N3567" s="186"/>
    </row>
    <row r="3568" spans="2:14" s="188" customFormat="1" ht="15" customHeight="1">
      <c r="B3568" s="187"/>
      <c r="C3568" s="187"/>
      <c r="D3568" s="187"/>
      <c r="E3568" s="187"/>
      <c r="F3568" s="187"/>
      <c r="G3568" s="187"/>
      <c r="J3568" s="186"/>
      <c r="K3568" s="180"/>
      <c r="L3568" s="180"/>
      <c r="M3568" s="186"/>
      <c r="N3568" s="186"/>
    </row>
    <row r="3569" spans="2:14" s="188" customFormat="1" ht="15" customHeight="1">
      <c r="B3569" s="187"/>
      <c r="C3569" s="187"/>
      <c r="D3569" s="187"/>
      <c r="E3569" s="187"/>
      <c r="F3569" s="187"/>
      <c r="G3569" s="187"/>
      <c r="J3569" s="186"/>
      <c r="K3569" s="180"/>
      <c r="L3569" s="180"/>
      <c r="M3569" s="186"/>
      <c r="N3569" s="186"/>
    </row>
    <row r="3570" spans="2:14" s="188" customFormat="1" ht="15" customHeight="1">
      <c r="B3570" s="187"/>
      <c r="C3570" s="187"/>
      <c r="D3570" s="187"/>
      <c r="E3570" s="187"/>
      <c r="F3570" s="187"/>
      <c r="G3570" s="187"/>
      <c r="J3570" s="186"/>
      <c r="K3570" s="180"/>
      <c r="L3570" s="180"/>
      <c r="M3570" s="186"/>
      <c r="N3570" s="186"/>
    </row>
    <row r="3571" spans="2:14" s="188" customFormat="1" ht="15" customHeight="1">
      <c r="B3571" s="187"/>
      <c r="C3571" s="187"/>
      <c r="D3571" s="187"/>
      <c r="E3571" s="187"/>
      <c r="F3571" s="187"/>
      <c r="G3571" s="187"/>
      <c r="J3571" s="186"/>
      <c r="K3571" s="180"/>
      <c r="L3571" s="180"/>
      <c r="M3571" s="186"/>
      <c r="N3571" s="186"/>
    </row>
    <row r="3572" spans="2:14" s="188" customFormat="1" ht="15" customHeight="1">
      <c r="B3572" s="187"/>
      <c r="C3572" s="187"/>
      <c r="D3572" s="187"/>
      <c r="E3572" s="187"/>
      <c r="F3572" s="187"/>
      <c r="G3572" s="187"/>
      <c r="J3572" s="186"/>
      <c r="K3572" s="180"/>
      <c r="L3572" s="180"/>
      <c r="M3572" s="186"/>
      <c r="N3572" s="186"/>
    </row>
    <row r="3573" spans="2:14" s="188" customFormat="1" ht="15" customHeight="1">
      <c r="B3573" s="187"/>
      <c r="C3573" s="187"/>
      <c r="D3573" s="187"/>
      <c r="E3573" s="187"/>
      <c r="F3573" s="187"/>
      <c r="G3573" s="187"/>
      <c r="J3573" s="186"/>
      <c r="K3573" s="180"/>
      <c r="L3573" s="180"/>
      <c r="M3573" s="186"/>
      <c r="N3573" s="186"/>
    </row>
    <row r="3574" spans="2:14" s="188" customFormat="1" ht="15" customHeight="1">
      <c r="B3574" s="187"/>
      <c r="C3574" s="187"/>
      <c r="D3574" s="187"/>
      <c r="E3574" s="187"/>
      <c r="F3574" s="187"/>
      <c r="G3574" s="187"/>
      <c r="J3574" s="186"/>
      <c r="K3574" s="180"/>
      <c r="L3574" s="180"/>
      <c r="M3574" s="186"/>
      <c r="N3574" s="186"/>
    </row>
    <row r="3575" spans="2:14" s="188" customFormat="1" ht="15" customHeight="1">
      <c r="B3575" s="187"/>
      <c r="C3575" s="187"/>
      <c r="D3575" s="187"/>
      <c r="E3575" s="187"/>
      <c r="F3575" s="187"/>
      <c r="G3575" s="187"/>
      <c r="J3575" s="186"/>
      <c r="K3575" s="180"/>
      <c r="L3575" s="180"/>
      <c r="M3575" s="186"/>
      <c r="N3575" s="186"/>
    </row>
    <row r="3576" spans="2:14" s="188" customFormat="1" ht="15" customHeight="1">
      <c r="B3576" s="187"/>
      <c r="C3576" s="187"/>
      <c r="D3576" s="187"/>
      <c r="E3576" s="187"/>
      <c r="F3576" s="187"/>
      <c r="G3576" s="187"/>
      <c r="J3576" s="186"/>
      <c r="K3576" s="180"/>
      <c r="L3576" s="180"/>
      <c r="M3576" s="186"/>
      <c r="N3576" s="186"/>
    </row>
    <row r="3577" spans="2:14" s="188" customFormat="1" ht="15" customHeight="1">
      <c r="B3577" s="187"/>
      <c r="C3577" s="187"/>
      <c r="D3577" s="187"/>
      <c r="E3577" s="187"/>
      <c r="F3577" s="187"/>
      <c r="G3577" s="187"/>
      <c r="J3577" s="186"/>
      <c r="K3577" s="180"/>
      <c r="L3577" s="180"/>
      <c r="M3577" s="186"/>
      <c r="N3577" s="186"/>
    </row>
    <row r="3578" spans="2:14" s="188" customFormat="1" ht="15" customHeight="1">
      <c r="B3578" s="187"/>
      <c r="C3578" s="187"/>
      <c r="D3578" s="187"/>
      <c r="E3578" s="187"/>
      <c r="F3578" s="187"/>
      <c r="G3578" s="187"/>
      <c r="J3578" s="186"/>
      <c r="K3578" s="180"/>
      <c r="L3578" s="180"/>
      <c r="M3578" s="186"/>
      <c r="N3578" s="186"/>
    </row>
    <row r="3579" spans="2:14" s="188" customFormat="1" ht="15" customHeight="1">
      <c r="B3579" s="187"/>
      <c r="C3579" s="187"/>
      <c r="D3579" s="187"/>
      <c r="E3579" s="187"/>
      <c r="F3579" s="187"/>
      <c r="G3579" s="187"/>
      <c r="J3579" s="186"/>
      <c r="K3579" s="180"/>
      <c r="L3579" s="180"/>
      <c r="M3579" s="186"/>
      <c r="N3579" s="186"/>
    </row>
    <row r="3580" spans="2:14" s="188" customFormat="1" ht="15" customHeight="1">
      <c r="B3580" s="187"/>
      <c r="C3580" s="187"/>
      <c r="D3580" s="187"/>
      <c r="E3580" s="187"/>
      <c r="F3580" s="187"/>
      <c r="G3580" s="187"/>
      <c r="J3580" s="186"/>
      <c r="K3580" s="180"/>
      <c r="L3580" s="180"/>
      <c r="M3580" s="186"/>
      <c r="N3580" s="186"/>
    </row>
    <row r="3581" spans="2:14" s="188" customFormat="1" ht="15" customHeight="1">
      <c r="B3581" s="187"/>
      <c r="C3581" s="187"/>
      <c r="D3581" s="187"/>
      <c r="E3581" s="187"/>
      <c r="F3581" s="187"/>
      <c r="G3581" s="187"/>
      <c r="J3581" s="186"/>
      <c r="K3581" s="180"/>
      <c r="L3581" s="180"/>
      <c r="M3581" s="186"/>
      <c r="N3581" s="186"/>
    </row>
    <row r="3582" spans="2:14" s="188" customFormat="1" ht="15" customHeight="1">
      <c r="B3582" s="187"/>
      <c r="C3582" s="187"/>
      <c r="D3582" s="187"/>
      <c r="E3582" s="187"/>
      <c r="F3582" s="187"/>
      <c r="G3582" s="187"/>
      <c r="J3582" s="186"/>
      <c r="K3582" s="180"/>
      <c r="L3582" s="180"/>
      <c r="M3582" s="186"/>
      <c r="N3582" s="186"/>
    </row>
    <row r="3583" spans="2:14" s="188" customFormat="1" ht="15" customHeight="1">
      <c r="B3583" s="187"/>
      <c r="C3583" s="187"/>
      <c r="D3583" s="187"/>
      <c r="E3583" s="187"/>
      <c r="F3583" s="187"/>
      <c r="G3583" s="187"/>
      <c r="J3583" s="186"/>
      <c r="K3583" s="180"/>
      <c r="L3583" s="180"/>
      <c r="M3583" s="186"/>
      <c r="N3583" s="186"/>
    </row>
    <row r="3584" spans="2:14" s="188" customFormat="1" ht="15" customHeight="1">
      <c r="B3584" s="187"/>
      <c r="C3584" s="187"/>
      <c r="D3584" s="187"/>
      <c r="E3584" s="187"/>
      <c r="F3584" s="187"/>
      <c r="G3584" s="187"/>
      <c r="J3584" s="186"/>
      <c r="K3584" s="180"/>
      <c r="L3584" s="180"/>
      <c r="M3584" s="186"/>
      <c r="N3584" s="186"/>
    </row>
    <row r="3585" spans="2:14" s="188" customFormat="1" ht="15" customHeight="1">
      <c r="B3585" s="187"/>
      <c r="C3585" s="187"/>
      <c r="D3585" s="187"/>
      <c r="E3585" s="187"/>
      <c r="F3585" s="187"/>
      <c r="G3585" s="187"/>
      <c r="J3585" s="186"/>
      <c r="K3585" s="180"/>
      <c r="L3585" s="180"/>
      <c r="M3585" s="186"/>
      <c r="N3585" s="186"/>
    </row>
    <row r="3586" spans="2:14" s="188" customFormat="1" ht="15" customHeight="1">
      <c r="B3586" s="187"/>
      <c r="C3586" s="187"/>
      <c r="D3586" s="187"/>
      <c r="E3586" s="187"/>
      <c r="F3586" s="187"/>
      <c r="G3586" s="187"/>
      <c r="J3586" s="186"/>
      <c r="K3586" s="180"/>
      <c r="L3586" s="180"/>
      <c r="M3586" s="186"/>
      <c r="N3586" s="186"/>
    </row>
    <row r="3587" spans="2:14" s="188" customFormat="1" ht="15" customHeight="1">
      <c r="B3587" s="187"/>
      <c r="C3587" s="187"/>
      <c r="D3587" s="187"/>
      <c r="E3587" s="187"/>
      <c r="F3587" s="187"/>
      <c r="G3587" s="187"/>
      <c r="J3587" s="186"/>
      <c r="K3587" s="180"/>
      <c r="L3587" s="180"/>
      <c r="M3587" s="186"/>
      <c r="N3587" s="186"/>
    </row>
    <row r="3588" spans="2:14" s="188" customFormat="1" ht="15" customHeight="1">
      <c r="B3588" s="187"/>
      <c r="C3588" s="187"/>
      <c r="D3588" s="187"/>
      <c r="E3588" s="187"/>
      <c r="F3588" s="187"/>
      <c r="G3588" s="187"/>
      <c r="J3588" s="186"/>
      <c r="K3588" s="180"/>
      <c r="L3588" s="180"/>
      <c r="M3588" s="186"/>
      <c r="N3588" s="186"/>
    </row>
    <row r="3589" spans="2:14" s="188" customFormat="1" ht="15" customHeight="1">
      <c r="B3589" s="187"/>
      <c r="C3589" s="187"/>
      <c r="D3589" s="187"/>
      <c r="E3589" s="187"/>
      <c r="F3589" s="187"/>
      <c r="G3589" s="187"/>
      <c r="J3589" s="186"/>
      <c r="K3589" s="180"/>
      <c r="L3589" s="180"/>
      <c r="M3589" s="186"/>
      <c r="N3589" s="186"/>
    </row>
    <row r="3590" spans="2:14" s="188" customFormat="1" ht="15" customHeight="1">
      <c r="B3590" s="187"/>
      <c r="C3590" s="187"/>
      <c r="D3590" s="187"/>
      <c r="E3590" s="187"/>
      <c r="F3590" s="187"/>
      <c r="G3590" s="187"/>
      <c r="J3590" s="186"/>
      <c r="K3590" s="180"/>
      <c r="L3590" s="180"/>
      <c r="M3590" s="186"/>
      <c r="N3590" s="186"/>
    </row>
    <row r="3591" spans="2:14" s="188" customFormat="1" ht="15" customHeight="1">
      <c r="B3591" s="187"/>
      <c r="C3591" s="187"/>
      <c r="D3591" s="187"/>
      <c r="E3591" s="187"/>
      <c r="F3591" s="187"/>
      <c r="G3591" s="187"/>
      <c r="J3591" s="186"/>
      <c r="K3591" s="180"/>
      <c r="L3591" s="180"/>
      <c r="M3591" s="186"/>
      <c r="N3591" s="186"/>
    </row>
    <row r="3592" spans="2:14" s="188" customFormat="1" ht="15" customHeight="1">
      <c r="B3592" s="187"/>
      <c r="C3592" s="187"/>
      <c r="D3592" s="187"/>
      <c r="E3592" s="187"/>
      <c r="F3592" s="187"/>
      <c r="G3592" s="187"/>
      <c r="J3592" s="186"/>
      <c r="K3592" s="180"/>
      <c r="L3592" s="180"/>
      <c r="M3592" s="186"/>
      <c r="N3592" s="186"/>
    </row>
    <row r="3593" spans="2:14" s="188" customFormat="1" ht="15" customHeight="1">
      <c r="B3593" s="187"/>
      <c r="C3593" s="187"/>
      <c r="D3593" s="187"/>
      <c r="E3593" s="187"/>
      <c r="F3593" s="187"/>
      <c r="G3593" s="187"/>
      <c r="J3593" s="186"/>
      <c r="K3593" s="180"/>
      <c r="L3593" s="180"/>
      <c r="M3593" s="186"/>
      <c r="N3593" s="186"/>
    </row>
    <row r="3594" spans="2:14" s="188" customFormat="1" ht="15" customHeight="1">
      <c r="B3594" s="187"/>
      <c r="C3594" s="187"/>
      <c r="D3594" s="187"/>
      <c r="E3594" s="187"/>
      <c r="F3594" s="187"/>
      <c r="G3594" s="187"/>
      <c r="J3594" s="186"/>
      <c r="K3594" s="180"/>
      <c r="L3594" s="180"/>
      <c r="M3594" s="186"/>
      <c r="N3594" s="186"/>
    </row>
    <row r="3595" spans="2:14" s="188" customFormat="1" ht="15" customHeight="1">
      <c r="B3595" s="187"/>
      <c r="C3595" s="187"/>
      <c r="D3595" s="187"/>
      <c r="E3595" s="187"/>
      <c r="F3595" s="187"/>
      <c r="G3595" s="187"/>
      <c r="J3595" s="186"/>
      <c r="K3595" s="180"/>
      <c r="L3595" s="180"/>
      <c r="M3595" s="186"/>
      <c r="N3595" s="186"/>
    </row>
    <row r="3596" spans="2:14" s="188" customFormat="1" ht="15" customHeight="1">
      <c r="B3596" s="187"/>
      <c r="C3596" s="187"/>
      <c r="D3596" s="187"/>
      <c r="E3596" s="187"/>
      <c r="F3596" s="187"/>
      <c r="G3596" s="187"/>
      <c r="J3596" s="186"/>
      <c r="K3596" s="180"/>
      <c r="L3596" s="180"/>
      <c r="M3596" s="186"/>
      <c r="N3596" s="186"/>
    </row>
    <row r="3597" spans="2:14" s="188" customFormat="1" ht="15" customHeight="1">
      <c r="B3597" s="187"/>
      <c r="C3597" s="187"/>
      <c r="D3597" s="187"/>
      <c r="E3597" s="187"/>
      <c r="F3597" s="187"/>
      <c r="G3597" s="187"/>
      <c r="J3597" s="186"/>
      <c r="K3597" s="180"/>
      <c r="L3597" s="180"/>
      <c r="M3597" s="186"/>
      <c r="N3597" s="186"/>
    </row>
    <row r="3598" spans="2:14" s="188" customFormat="1" ht="15" customHeight="1">
      <c r="B3598" s="187"/>
      <c r="C3598" s="187"/>
      <c r="D3598" s="187"/>
      <c r="E3598" s="187"/>
      <c r="F3598" s="187"/>
      <c r="G3598" s="187"/>
      <c r="J3598" s="186"/>
      <c r="K3598" s="180"/>
      <c r="L3598" s="180"/>
      <c r="M3598" s="186"/>
      <c r="N3598" s="186"/>
    </row>
    <row r="3599" spans="2:14" s="188" customFormat="1" ht="15" customHeight="1">
      <c r="B3599" s="187"/>
      <c r="C3599" s="187"/>
      <c r="D3599" s="187"/>
      <c r="E3599" s="187"/>
      <c r="F3599" s="187"/>
      <c r="G3599" s="187"/>
      <c r="J3599" s="186"/>
      <c r="K3599" s="180"/>
      <c r="L3599" s="180"/>
      <c r="M3599" s="186"/>
      <c r="N3599" s="186"/>
    </row>
    <row r="3600" spans="2:14" s="188" customFormat="1" ht="15" customHeight="1">
      <c r="B3600" s="187"/>
      <c r="C3600" s="187"/>
      <c r="D3600" s="187"/>
      <c r="E3600" s="187"/>
      <c r="F3600" s="187"/>
      <c r="G3600" s="187"/>
      <c r="J3600" s="186"/>
      <c r="K3600" s="180"/>
      <c r="L3600" s="180"/>
      <c r="M3600" s="186"/>
      <c r="N3600" s="186"/>
    </row>
    <row r="3601" spans="2:14" s="188" customFormat="1" ht="15" customHeight="1">
      <c r="B3601" s="187"/>
      <c r="C3601" s="187"/>
      <c r="D3601" s="187"/>
      <c r="E3601" s="187"/>
      <c r="F3601" s="187"/>
      <c r="G3601" s="187"/>
      <c r="J3601" s="186"/>
      <c r="K3601" s="180"/>
      <c r="L3601" s="180"/>
      <c r="M3601" s="186"/>
      <c r="N3601" s="186"/>
    </row>
    <row r="3602" spans="2:14" s="188" customFormat="1" ht="15" customHeight="1">
      <c r="B3602" s="187"/>
      <c r="C3602" s="187"/>
      <c r="D3602" s="187"/>
      <c r="E3602" s="187"/>
      <c r="F3602" s="187"/>
      <c r="G3602" s="187"/>
      <c r="J3602" s="186"/>
      <c r="K3602" s="180"/>
      <c r="L3602" s="180"/>
      <c r="M3602" s="186"/>
      <c r="N3602" s="186"/>
    </row>
    <row r="3603" spans="2:14" s="188" customFormat="1" ht="15" customHeight="1">
      <c r="B3603" s="187"/>
      <c r="C3603" s="187"/>
      <c r="D3603" s="187"/>
      <c r="E3603" s="187"/>
      <c r="F3603" s="187"/>
      <c r="G3603" s="187"/>
      <c r="J3603" s="186"/>
      <c r="K3603" s="180"/>
      <c r="L3603" s="180"/>
      <c r="M3603" s="186"/>
      <c r="N3603" s="186"/>
    </row>
    <row r="3604" spans="2:14" s="188" customFormat="1" ht="15" customHeight="1">
      <c r="B3604" s="187"/>
      <c r="C3604" s="187"/>
      <c r="D3604" s="187"/>
      <c r="E3604" s="187"/>
      <c r="F3604" s="187"/>
      <c r="G3604" s="187"/>
      <c r="J3604" s="186"/>
      <c r="K3604" s="180"/>
      <c r="L3604" s="180"/>
      <c r="M3604" s="186"/>
      <c r="N3604" s="186"/>
    </row>
    <row r="3605" spans="2:14" s="188" customFormat="1" ht="15" customHeight="1">
      <c r="B3605" s="187"/>
      <c r="C3605" s="187"/>
      <c r="D3605" s="187"/>
      <c r="E3605" s="187"/>
      <c r="F3605" s="187"/>
      <c r="G3605" s="187"/>
      <c r="J3605" s="186"/>
      <c r="K3605" s="180"/>
      <c r="L3605" s="180"/>
      <c r="M3605" s="186"/>
      <c r="N3605" s="186"/>
    </row>
    <row r="3606" spans="2:14" s="188" customFormat="1" ht="15" customHeight="1">
      <c r="B3606" s="187"/>
      <c r="C3606" s="187"/>
      <c r="D3606" s="187"/>
      <c r="E3606" s="187"/>
      <c r="F3606" s="187"/>
      <c r="G3606" s="187"/>
      <c r="J3606" s="186"/>
      <c r="K3606" s="180"/>
      <c r="L3606" s="180"/>
      <c r="M3606" s="186"/>
      <c r="N3606" s="186"/>
    </row>
    <row r="3607" spans="2:14" s="188" customFormat="1" ht="15" customHeight="1">
      <c r="B3607" s="187"/>
      <c r="C3607" s="187"/>
      <c r="D3607" s="187"/>
      <c r="E3607" s="187"/>
      <c r="F3607" s="187"/>
      <c r="G3607" s="187"/>
      <c r="J3607" s="186"/>
      <c r="K3607" s="180"/>
      <c r="L3607" s="180"/>
      <c r="M3607" s="186"/>
      <c r="N3607" s="186"/>
    </row>
    <row r="3608" spans="2:14" s="188" customFormat="1" ht="15" customHeight="1">
      <c r="B3608" s="187"/>
      <c r="C3608" s="187"/>
      <c r="D3608" s="187"/>
      <c r="E3608" s="187"/>
      <c r="F3608" s="187"/>
      <c r="G3608" s="187"/>
      <c r="J3608" s="186"/>
      <c r="K3608" s="180"/>
      <c r="L3608" s="180"/>
      <c r="M3608" s="186"/>
      <c r="N3608" s="186"/>
    </row>
    <row r="3609" spans="2:14" s="188" customFormat="1" ht="15" customHeight="1">
      <c r="B3609" s="187"/>
      <c r="C3609" s="187"/>
      <c r="D3609" s="187"/>
      <c r="E3609" s="187"/>
      <c r="F3609" s="187"/>
      <c r="G3609" s="187"/>
      <c r="J3609" s="186"/>
      <c r="K3609" s="180"/>
      <c r="L3609" s="180"/>
      <c r="M3609" s="186"/>
      <c r="N3609" s="186"/>
    </row>
    <row r="3610" spans="2:14" s="188" customFormat="1" ht="15" customHeight="1">
      <c r="B3610" s="187"/>
      <c r="C3610" s="187"/>
      <c r="D3610" s="187"/>
      <c r="E3610" s="187"/>
      <c r="F3610" s="187"/>
      <c r="G3610" s="187"/>
      <c r="J3610" s="186"/>
      <c r="K3610" s="180"/>
      <c r="L3610" s="180"/>
      <c r="M3610" s="186"/>
      <c r="N3610" s="186"/>
    </row>
    <row r="3611" spans="2:14" s="188" customFormat="1" ht="15" customHeight="1">
      <c r="B3611" s="187"/>
      <c r="C3611" s="187"/>
      <c r="D3611" s="187"/>
      <c r="E3611" s="187"/>
      <c r="F3611" s="187"/>
      <c r="G3611" s="187"/>
      <c r="J3611" s="186"/>
      <c r="K3611" s="180"/>
      <c r="L3611" s="180"/>
      <c r="M3611" s="186"/>
      <c r="N3611" s="186"/>
    </row>
    <row r="3612" spans="2:14" s="188" customFormat="1" ht="15" customHeight="1">
      <c r="B3612" s="187"/>
      <c r="C3612" s="187"/>
      <c r="D3612" s="187"/>
      <c r="E3612" s="187"/>
      <c r="F3612" s="187"/>
      <c r="G3612" s="187"/>
      <c r="J3612" s="186"/>
      <c r="K3612" s="180"/>
      <c r="L3612" s="180"/>
      <c r="M3612" s="186"/>
      <c r="N3612" s="186"/>
    </row>
    <row r="3613" spans="2:14" s="188" customFormat="1" ht="15" customHeight="1">
      <c r="B3613" s="187"/>
      <c r="C3613" s="187"/>
      <c r="D3613" s="187"/>
      <c r="E3613" s="187"/>
      <c r="F3613" s="187"/>
      <c r="G3613" s="187"/>
      <c r="J3613" s="186"/>
      <c r="K3613" s="180"/>
      <c r="L3613" s="180"/>
      <c r="M3613" s="186"/>
      <c r="N3613" s="186"/>
    </row>
    <row r="3614" spans="2:14" s="188" customFormat="1" ht="15" customHeight="1">
      <c r="B3614" s="187"/>
      <c r="C3614" s="187"/>
      <c r="D3614" s="187"/>
      <c r="E3614" s="187"/>
      <c r="F3614" s="187"/>
      <c r="G3614" s="187"/>
      <c r="J3614" s="186"/>
      <c r="K3614" s="180"/>
      <c r="L3614" s="180"/>
      <c r="M3614" s="186"/>
      <c r="N3614" s="186"/>
    </row>
    <row r="3615" spans="2:14" s="188" customFormat="1" ht="15" customHeight="1">
      <c r="B3615" s="187"/>
      <c r="C3615" s="187"/>
      <c r="D3615" s="187"/>
      <c r="E3615" s="187"/>
      <c r="F3615" s="187"/>
      <c r="G3615" s="187"/>
      <c r="J3615" s="186"/>
      <c r="K3615" s="180"/>
      <c r="L3615" s="180"/>
      <c r="M3615" s="186"/>
      <c r="N3615" s="186"/>
    </row>
    <row r="3616" spans="2:14" s="188" customFormat="1" ht="15" customHeight="1">
      <c r="B3616" s="187"/>
      <c r="C3616" s="187"/>
      <c r="D3616" s="187"/>
      <c r="E3616" s="187"/>
      <c r="F3616" s="187"/>
      <c r="G3616" s="187"/>
      <c r="J3616" s="186"/>
      <c r="K3616" s="180"/>
      <c r="L3616" s="180"/>
      <c r="M3616" s="186"/>
      <c r="N3616" s="186"/>
    </row>
    <row r="3617" spans="2:14" s="188" customFormat="1" ht="15" customHeight="1">
      <c r="B3617" s="187"/>
      <c r="C3617" s="187"/>
      <c r="D3617" s="187"/>
      <c r="E3617" s="187"/>
      <c r="F3617" s="187"/>
      <c r="G3617" s="187"/>
      <c r="J3617" s="186"/>
      <c r="K3617" s="180"/>
      <c r="L3617" s="180"/>
      <c r="M3617" s="186"/>
      <c r="N3617" s="186"/>
    </row>
    <row r="3618" spans="2:14" s="188" customFormat="1" ht="15" customHeight="1">
      <c r="B3618" s="187"/>
      <c r="C3618" s="187"/>
      <c r="D3618" s="187"/>
      <c r="E3618" s="187"/>
      <c r="F3618" s="187"/>
      <c r="G3618" s="187"/>
      <c r="J3618" s="186"/>
      <c r="K3618" s="180"/>
      <c r="L3618" s="180"/>
      <c r="M3618" s="186"/>
      <c r="N3618" s="186"/>
    </row>
    <row r="3619" spans="2:14" s="188" customFormat="1" ht="15" customHeight="1">
      <c r="B3619" s="187"/>
      <c r="C3619" s="187"/>
      <c r="D3619" s="187"/>
      <c r="E3619" s="187"/>
      <c r="F3619" s="187"/>
      <c r="G3619" s="187"/>
      <c r="J3619" s="186"/>
      <c r="K3619" s="180"/>
      <c r="L3619" s="180"/>
      <c r="M3619" s="186"/>
      <c r="N3619" s="186"/>
    </row>
    <row r="3620" spans="2:14" s="188" customFormat="1" ht="15" customHeight="1">
      <c r="B3620" s="187"/>
      <c r="C3620" s="187"/>
      <c r="D3620" s="187"/>
      <c r="E3620" s="187"/>
      <c r="F3620" s="187"/>
      <c r="G3620" s="187"/>
      <c r="J3620" s="186"/>
      <c r="K3620" s="180"/>
      <c r="L3620" s="180"/>
      <c r="M3620" s="186"/>
      <c r="N3620" s="186"/>
    </row>
    <row r="3621" spans="2:14" s="188" customFormat="1" ht="15" customHeight="1">
      <c r="B3621" s="187"/>
      <c r="C3621" s="187"/>
      <c r="D3621" s="187"/>
      <c r="E3621" s="187"/>
      <c r="F3621" s="187"/>
      <c r="G3621" s="187"/>
      <c r="J3621" s="186"/>
      <c r="K3621" s="180"/>
      <c r="L3621" s="180"/>
      <c r="M3621" s="186"/>
      <c r="N3621" s="186"/>
    </row>
    <row r="3622" spans="2:14" s="188" customFormat="1" ht="15" customHeight="1">
      <c r="B3622" s="187"/>
      <c r="C3622" s="187"/>
      <c r="D3622" s="187"/>
      <c r="E3622" s="187"/>
      <c r="F3622" s="187"/>
      <c r="G3622" s="187"/>
      <c r="J3622" s="186"/>
      <c r="K3622" s="180"/>
      <c r="L3622" s="180"/>
      <c r="M3622" s="186"/>
      <c r="N3622" s="186"/>
    </row>
    <row r="3623" spans="2:14" s="188" customFormat="1" ht="15" customHeight="1">
      <c r="B3623" s="187"/>
      <c r="C3623" s="187"/>
      <c r="D3623" s="187"/>
      <c r="E3623" s="187"/>
      <c r="F3623" s="187"/>
      <c r="G3623" s="187"/>
      <c r="J3623" s="186"/>
      <c r="K3623" s="180"/>
      <c r="L3623" s="180"/>
      <c r="M3623" s="186"/>
      <c r="N3623" s="186"/>
    </row>
    <row r="3624" spans="2:14" s="188" customFormat="1" ht="15" customHeight="1">
      <c r="B3624" s="187"/>
      <c r="C3624" s="187"/>
      <c r="D3624" s="187"/>
      <c r="E3624" s="187"/>
      <c r="F3624" s="187"/>
      <c r="G3624" s="187"/>
      <c r="J3624" s="186"/>
      <c r="K3624" s="180"/>
      <c r="L3624" s="180"/>
      <c r="M3624" s="186"/>
      <c r="N3624" s="186"/>
    </row>
    <row r="3625" spans="2:14" s="188" customFormat="1" ht="15" customHeight="1">
      <c r="B3625" s="187"/>
      <c r="C3625" s="187"/>
      <c r="D3625" s="187"/>
      <c r="E3625" s="187"/>
      <c r="F3625" s="187"/>
      <c r="G3625" s="187"/>
      <c r="J3625" s="186"/>
      <c r="K3625" s="180"/>
      <c r="L3625" s="180"/>
      <c r="M3625" s="186"/>
      <c r="N3625" s="186"/>
    </row>
    <row r="3626" spans="2:14" s="188" customFormat="1" ht="15" customHeight="1">
      <c r="B3626" s="187"/>
      <c r="C3626" s="187"/>
      <c r="D3626" s="187"/>
      <c r="E3626" s="187"/>
      <c r="F3626" s="187"/>
      <c r="G3626" s="187"/>
      <c r="J3626" s="186"/>
      <c r="K3626" s="180"/>
      <c r="L3626" s="180"/>
      <c r="M3626" s="186"/>
      <c r="N3626" s="186"/>
    </row>
    <row r="3627" spans="2:14" s="188" customFormat="1" ht="15" customHeight="1">
      <c r="B3627" s="187"/>
      <c r="C3627" s="187"/>
      <c r="D3627" s="187"/>
      <c r="E3627" s="187"/>
      <c r="F3627" s="187"/>
      <c r="G3627" s="187"/>
      <c r="J3627" s="186"/>
      <c r="K3627" s="180"/>
      <c r="L3627" s="180"/>
      <c r="M3627" s="186"/>
      <c r="N3627" s="186"/>
    </row>
    <row r="3628" spans="2:14" s="188" customFormat="1" ht="15" customHeight="1">
      <c r="B3628" s="187"/>
      <c r="C3628" s="187"/>
      <c r="D3628" s="187"/>
      <c r="E3628" s="187"/>
      <c r="F3628" s="187"/>
      <c r="G3628" s="187"/>
      <c r="J3628" s="186"/>
      <c r="K3628" s="180"/>
      <c r="L3628" s="180"/>
      <c r="M3628" s="186"/>
      <c r="N3628" s="186"/>
    </row>
    <row r="3629" spans="2:14" s="188" customFormat="1" ht="15" customHeight="1">
      <c r="B3629" s="187"/>
      <c r="C3629" s="187"/>
      <c r="D3629" s="187"/>
      <c r="E3629" s="187"/>
      <c r="F3629" s="187"/>
      <c r="G3629" s="187"/>
      <c r="J3629" s="186"/>
      <c r="K3629" s="180"/>
      <c r="L3629" s="180"/>
      <c r="M3629" s="186"/>
      <c r="N3629" s="186"/>
    </row>
    <row r="3630" spans="2:14" s="188" customFormat="1" ht="15" customHeight="1">
      <c r="B3630" s="187"/>
      <c r="C3630" s="187"/>
      <c r="D3630" s="187"/>
      <c r="E3630" s="187"/>
      <c r="F3630" s="187"/>
      <c r="G3630" s="187"/>
      <c r="J3630" s="186"/>
      <c r="K3630" s="180"/>
      <c r="L3630" s="180"/>
      <c r="M3630" s="186"/>
      <c r="N3630" s="186"/>
    </row>
    <row r="3631" spans="2:14" s="188" customFormat="1" ht="15" customHeight="1">
      <c r="B3631" s="187"/>
      <c r="C3631" s="187"/>
      <c r="D3631" s="187"/>
      <c r="E3631" s="187"/>
      <c r="F3631" s="187"/>
      <c r="G3631" s="187"/>
      <c r="J3631" s="186"/>
      <c r="K3631" s="180"/>
      <c r="L3631" s="180"/>
      <c r="M3631" s="186"/>
      <c r="N3631" s="186"/>
    </row>
    <row r="3632" spans="2:14" s="188" customFormat="1" ht="15" customHeight="1">
      <c r="B3632" s="187"/>
      <c r="C3632" s="187"/>
      <c r="D3632" s="187"/>
      <c r="E3632" s="187"/>
      <c r="F3632" s="187"/>
      <c r="G3632" s="187"/>
      <c r="J3632" s="186"/>
      <c r="K3632" s="180"/>
      <c r="L3632" s="180"/>
      <c r="M3632" s="186"/>
      <c r="N3632" s="186"/>
    </row>
    <row r="3633" spans="2:14" s="188" customFormat="1" ht="15" customHeight="1">
      <c r="B3633" s="187"/>
      <c r="C3633" s="187"/>
      <c r="D3633" s="187"/>
      <c r="E3633" s="187"/>
      <c r="F3633" s="187"/>
      <c r="G3633" s="187"/>
      <c r="J3633" s="186"/>
      <c r="K3633" s="180"/>
      <c r="L3633" s="180"/>
      <c r="M3633" s="186"/>
      <c r="N3633" s="186"/>
    </row>
    <row r="3634" spans="2:14" s="188" customFormat="1" ht="15" customHeight="1">
      <c r="B3634" s="187"/>
      <c r="C3634" s="187"/>
      <c r="D3634" s="187"/>
      <c r="E3634" s="187"/>
      <c r="F3634" s="187"/>
      <c r="G3634" s="187"/>
      <c r="J3634" s="186"/>
      <c r="K3634" s="180"/>
      <c r="L3634" s="180"/>
      <c r="M3634" s="186"/>
      <c r="N3634" s="186"/>
    </row>
    <row r="3635" spans="2:14" s="188" customFormat="1" ht="15" customHeight="1">
      <c r="B3635" s="187"/>
      <c r="C3635" s="187"/>
      <c r="D3635" s="187"/>
      <c r="E3635" s="187"/>
      <c r="F3635" s="187"/>
      <c r="G3635" s="187"/>
      <c r="J3635" s="186"/>
      <c r="K3635" s="180"/>
      <c r="L3635" s="180"/>
      <c r="M3635" s="186"/>
      <c r="N3635" s="186"/>
    </row>
    <row r="3636" spans="2:14" s="188" customFormat="1" ht="15" customHeight="1">
      <c r="B3636" s="187"/>
      <c r="C3636" s="187"/>
      <c r="D3636" s="187"/>
      <c r="E3636" s="187"/>
      <c r="F3636" s="187"/>
      <c r="G3636" s="187"/>
      <c r="J3636" s="186"/>
      <c r="K3636" s="180"/>
      <c r="L3636" s="180"/>
      <c r="M3636" s="186"/>
      <c r="N3636" s="186"/>
    </row>
    <row r="3637" spans="2:14" s="188" customFormat="1" ht="15" customHeight="1">
      <c r="B3637" s="187"/>
      <c r="C3637" s="187"/>
      <c r="D3637" s="187"/>
      <c r="E3637" s="187"/>
      <c r="F3637" s="187"/>
      <c r="G3637" s="187"/>
      <c r="J3637" s="186"/>
      <c r="K3637" s="180"/>
      <c r="L3637" s="180"/>
      <c r="M3637" s="186"/>
      <c r="N3637" s="186"/>
    </row>
    <row r="3638" spans="2:14" s="188" customFormat="1" ht="15" customHeight="1">
      <c r="B3638" s="187"/>
      <c r="C3638" s="187"/>
      <c r="D3638" s="187"/>
      <c r="E3638" s="187"/>
      <c r="F3638" s="187"/>
      <c r="G3638" s="187"/>
      <c r="J3638" s="186"/>
      <c r="K3638" s="180"/>
      <c r="L3638" s="180"/>
      <c r="M3638" s="186"/>
      <c r="N3638" s="186"/>
    </row>
    <row r="3639" spans="2:14" s="188" customFormat="1" ht="15" customHeight="1">
      <c r="B3639" s="187"/>
      <c r="C3639" s="187"/>
      <c r="D3639" s="187"/>
      <c r="E3639" s="187"/>
      <c r="F3639" s="187"/>
      <c r="G3639" s="187"/>
      <c r="J3639" s="186"/>
      <c r="K3639" s="180"/>
      <c r="L3639" s="180"/>
      <c r="M3639" s="186"/>
      <c r="N3639" s="186"/>
    </row>
    <row r="3640" spans="2:14" s="188" customFormat="1" ht="15" customHeight="1">
      <c r="B3640" s="187"/>
      <c r="C3640" s="187"/>
      <c r="D3640" s="187"/>
      <c r="E3640" s="187"/>
      <c r="F3640" s="187"/>
      <c r="G3640" s="187"/>
      <c r="J3640" s="186"/>
      <c r="K3640" s="180"/>
      <c r="L3640" s="180"/>
      <c r="M3640" s="186"/>
      <c r="N3640" s="186"/>
    </row>
    <row r="3641" spans="2:14" s="188" customFormat="1" ht="15" customHeight="1">
      <c r="B3641" s="187"/>
      <c r="C3641" s="187"/>
      <c r="D3641" s="187"/>
      <c r="E3641" s="187"/>
      <c r="F3641" s="187"/>
      <c r="G3641" s="187"/>
      <c r="J3641" s="186"/>
      <c r="K3641" s="180"/>
      <c r="L3641" s="180"/>
      <c r="M3641" s="186"/>
      <c r="N3641" s="186"/>
    </row>
    <row r="3642" spans="2:14" s="188" customFormat="1" ht="15" customHeight="1">
      <c r="B3642" s="187"/>
      <c r="C3642" s="187"/>
      <c r="D3642" s="187"/>
      <c r="E3642" s="187"/>
      <c r="F3642" s="187"/>
      <c r="G3642" s="187"/>
      <c r="J3642" s="186"/>
      <c r="K3642" s="180"/>
      <c r="L3642" s="180"/>
      <c r="M3642" s="186"/>
      <c r="N3642" s="186"/>
    </row>
    <row r="3643" spans="2:14" s="188" customFormat="1" ht="15" customHeight="1">
      <c r="B3643" s="187"/>
      <c r="C3643" s="187"/>
      <c r="D3643" s="187"/>
      <c r="E3643" s="187"/>
      <c r="F3643" s="187"/>
      <c r="G3643" s="187"/>
      <c r="J3643" s="186"/>
      <c r="K3643" s="180"/>
      <c r="L3643" s="180"/>
      <c r="M3643" s="186"/>
      <c r="N3643" s="186"/>
    </row>
    <row r="3644" spans="2:14" s="188" customFormat="1" ht="15" customHeight="1">
      <c r="B3644" s="187"/>
      <c r="C3644" s="187"/>
      <c r="D3644" s="187"/>
      <c r="E3644" s="187"/>
      <c r="F3644" s="187"/>
      <c r="G3644" s="187"/>
      <c r="J3644" s="186"/>
      <c r="K3644" s="180"/>
      <c r="L3644" s="180"/>
      <c r="M3644" s="186"/>
      <c r="N3644" s="186"/>
    </row>
    <row r="3645" spans="2:14" s="188" customFormat="1" ht="15" customHeight="1">
      <c r="B3645" s="187"/>
      <c r="C3645" s="187"/>
      <c r="D3645" s="187"/>
      <c r="E3645" s="187"/>
      <c r="F3645" s="187"/>
      <c r="G3645" s="187"/>
      <c r="J3645" s="186"/>
      <c r="K3645" s="180"/>
      <c r="L3645" s="180"/>
      <c r="M3645" s="186"/>
      <c r="N3645" s="186"/>
    </row>
    <row r="3646" spans="2:14" s="188" customFormat="1" ht="15" customHeight="1">
      <c r="B3646" s="187"/>
      <c r="C3646" s="187"/>
      <c r="D3646" s="187"/>
      <c r="E3646" s="187"/>
      <c r="F3646" s="187"/>
      <c r="G3646" s="187"/>
      <c r="J3646" s="186"/>
      <c r="K3646" s="180"/>
      <c r="L3646" s="180"/>
      <c r="M3646" s="186"/>
      <c r="N3646" s="186"/>
    </row>
    <row r="3647" spans="2:14" s="188" customFormat="1" ht="15" customHeight="1">
      <c r="B3647" s="187"/>
      <c r="C3647" s="187"/>
      <c r="D3647" s="187"/>
      <c r="E3647" s="187"/>
      <c r="F3647" s="187"/>
      <c r="G3647" s="187"/>
      <c r="J3647" s="186"/>
      <c r="K3647" s="180"/>
      <c r="L3647" s="180"/>
      <c r="M3647" s="186"/>
      <c r="N3647" s="186"/>
    </row>
    <row r="3648" spans="2:14" s="188" customFormat="1" ht="15" customHeight="1">
      <c r="B3648" s="187"/>
      <c r="C3648" s="187"/>
      <c r="D3648" s="187"/>
      <c r="E3648" s="187"/>
      <c r="F3648" s="187"/>
      <c r="G3648" s="187"/>
      <c r="J3648" s="186"/>
      <c r="K3648" s="180"/>
      <c r="L3648" s="180"/>
      <c r="M3648" s="186"/>
      <c r="N3648" s="186"/>
    </row>
    <row r="3649" spans="2:14" s="188" customFormat="1" ht="15" customHeight="1">
      <c r="B3649" s="187"/>
      <c r="C3649" s="187"/>
      <c r="D3649" s="187"/>
      <c r="E3649" s="187"/>
      <c r="F3649" s="187"/>
      <c r="G3649" s="187"/>
      <c r="J3649" s="186"/>
      <c r="K3649" s="180"/>
      <c r="L3649" s="180"/>
      <c r="M3649" s="186"/>
      <c r="N3649" s="186"/>
    </row>
    <row r="3650" spans="2:14" s="188" customFormat="1" ht="15" customHeight="1">
      <c r="B3650" s="187"/>
      <c r="C3650" s="187"/>
      <c r="D3650" s="187"/>
      <c r="E3650" s="187"/>
      <c r="F3650" s="187"/>
      <c r="G3650" s="187"/>
      <c r="J3650" s="186"/>
      <c r="K3650" s="180"/>
      <c r="L3650" s="180"/>
      <c r="M3650" s="186"/>
      <c r="N3650" s="186"/>
    </row>
    <row r="3651" spans="2:14" s="188" customFormat="1" ht="15" customHeight="1">
      <c r="B3651" s="187"/>
      <c r="C3651" s="187"/>
      <c r="D3651" s="187"/>
      <c r="E3651" s="187"/>
      <c r="F3651" s="187"/>
      <c r="G3651" s="187"/>
      <c r="J3651" s="186"/>
      <c r="K3651" s="180"/>
      <c r="L3651" s="180"/>
      <c r="M3651" s="186"/>
      <c r="N3651" s="186"/>
    </row>
    <row r="3652" spans="2:14" s="188" customFormat="1" ht="15" customHeight="1">
      <c r="B3652" s="187"/>
      <c r="C3652" s="187"/>
      <c r="D3652" s="187"/>
      <c r="E3652" s="187"/>
      <c r="F3652" s="187"/>
      <c r="G3652" s="187"/>
      <c r="J3652" s="186"/>
      <c r="K3652" s="180"/>
      <c r="L3652" s="180"/>
      <c r="M3652" s="186"/>
      <c r="N3652" s="186"/>
    </row>
    <row r="3653" spans="2:14" s="188" customFormat="1" ht="15" customHeight="1">
      <c r="B3653" s="187"/>
      <c r="C3653" s="187"/>
      <c r="D3653" s="187"/>
      <c r="E3653" s="187"/>
      <c r="F3653" s="187"/>
      <c r="G3653" s="187"/>
      <c r="J3653" s="186"/>
      <c r="K3653" s="180"/>
      <c r="L3653" s="180"/>
      <c r="M3653" s="186"/>
      <c r="N3653" s="186"/>
    </row>
    <row r="3654" spans="2:14" s="188" customFormat="1" ht="15" customHeight="1">
      <c r="B3654" s="187"/>
      <c r="C3654" s="187"/>
      <c r="D3654" s="187"/>
      <c r="E3654" s="187"/>
      <c r="F3654" s="187"/>
      <c r="G3654" s="187"/>
      <c r="J3654" s="186"/>
      <c r="K3654" s="180"/>
      <c r="L3654" s="180"/>
      <c r="M3654" s="186"/>
      <c r="N3654" s="186"/>
    </row>
    <row r="3655" spans="2:14" s="188" customFormat="1" ht="15" customHeight="1">
      <c r="B3655" s="187"/>
      <c r="C3655" s="187"/>
      <c r="D3655" s="187"/>
      <c r="E3655" s="187"/>
      <c r="F3655" s="187"/>
      <c r="G3655" s="187"/>
      <c r="J3655" s="186"/>
      <c r="K3655" s="180"/>
      <c r="L3655" s="180"/>
      <c r="M3655" s="186"/>
      <c r="N3655" s="186"/>
    </row>
    <row r="3656" spans="2:14" s="188" customFormat="1" ht="15" customHeight="1">
      <c r="B3656" s="187"/>
      <c r="C3656" s="187"/>
      <c r="D3656" s="187"/>
      <c r="E3656" s="187"/>
      <c r="F3656" s="187"/>
      <c r="G3656" s="187"/>
      <c r="J3656" s="186"/>
      <c r="K3656" s="180"/>
      <c r="L3656" s="180"/>
      <c r="M3656" s="186"/>
      <c r="N3656" s="186"/>
    </row>
    <row r="3657" spans="2:14" s="188" customFormat="1" ht="15" customHeight="1">
      <c r="B3657" s="187"/>
      <c r="C3657" s="187"/>
      <c r="D3657" s="187"/>
      <c r="E3657" s="187"/>
      <c r="F3657" s="187"/>
      <c r="G3657" s="187"/>
      <c r="J3657" s="186"/>
      <c r="K3657" s="180"/>
      <c r="L3657" s="180"/>
      <c r="M3657" s="186"/>
      <c r="N3657" s="186"/>
    </row>
    <row r="3658" spans="2:14" s="188" customFormat="1" ht="15" customHeight="1">
      <c r="B3658" s="187"/>
      <c r="C3658" s="187"/>
      <c r="D3658" s="187"/>
      <c r="E3658" s="187"/>
      <c r="F3658" s="187"/>
      <c r="G3658" s="187"/>
      <c r="J3658" s="186"/>
      <c r="K3658" s="180"/>
      <c r="L3658" s="180"/>
      <c r="M3658" s="186"/>
      <c r="N3658" s="186"/>
    </row>
    <row r="3659" spans="2:14" s="188" customFormat="1" ht="15" customHeight="1">
      <c r="B3659" s="187"/>
      <c r="C3659" s="187"/>
      <c r="D3659" s="187"/>
      <c r="E3659" s="187"/>
      <c r="F3659" s="187"/>
      <c r="G3659" s="187"/>
      <c r="J3659" s="186"/>
      <c r="K3659" s="180"/>
      <c r="L3659" s="180"/>
      <c r="M3659" s="186"/>
      <c r="N3659" s="186"/>
    </row>
    <row r="3660" spans="2:14" s="188" customFormat="1" ht="15" customHeight="1">
      <c r="B3660" s="187"/>
      <c r="C3660" s="187"/>
      <c r="D3660" s="187"/>
      <c r="E3660" s="187"/>
      <c r="F3660" s="187"/>
      <c r="G3660" s="187"/>
      <c r="J3660" s="186"/>
      <c r="K3660" s="180"/>
      <c r="L3660" s="180"/>
      <c r="M3660" s="186"/>
      <c r="N3660" s="186"/>
    </row>
    <row r="3661" spans="2:14" s="188" customFormat="1" ht="15" customHeight="1">
      <c r="B3661" s="187"/>
      <c r="C3661" s="187"/>
      <c r="D3661" s="187"/>
      <c r="E3661" s="187"/>
      <c r="F3661" s="187"/>
      <c r="G3661" s="187"/>
      <c r="J3661" s="186"/>
      <c r="K3661" s="180"/>
      <c r="L3661" s="180"/>
      <c r="M3661" s="186"/>
      <c r="N3661" s="186"/>
    </row>
    <row r="3662" spans="2:14" s="188" customFormat="1" ht="15" customHeight="1">
      <c r="B3662" s="187"/>
      <c r="C3662" s="187"/>
      <c r="D3662" s="187"/>
      <c r="E3662" s="187"/>
      <c r="F3662" s="187"/>
      <c r="G3662" s="187"/>
      <c r="J3662" s="186"/>
      <c r="K3662" s="180"/>
      <c r="L3662" s="180"/>
      <c r="M3662" s="186"/>
      <c r="N3662" s="186"/>
    </row>
    <row r="3663" spans="2:14" s="188" customFormat="1" ht="15" customHeight="1">
      <c r="B3663" s="187"/>
      <c r="C3663" s="187"/>
      <c r="D3663" s="187"/>
      <c r="E3663" s="187"/>
      <c r="F3663" s="187"/>
      <c r="G3663" s="187"/>
      <c r="J3663" s="186"/>
      <c r="K3663" s="180"/>
      <c r="L3663" s="180"/>
      <c r="M3663" s="186"/>
      <c r="N3663" s="186"/>
    </row>
    <row r="3664" spans="2:14" s="188" customFormat="1" ht="15" customHeight="1">
      <c r="B3664" s="187"/>
      <c r="C3664" s="187"/>
      <c r="D3664" s="187"/>
      <c r="E3664" s="187"/>
      <c r="F3664" s="187"/>
      <c r="G3664" s="187"/>
      <c r="J3664" s="186"/>
      <c r="K3664" s="180"/>
      <c r="L3664" s="180"/>
      <c r="M3664" s="186"/>
      <c r="N3664" s="186"/>
    </row>
    <row r="3665" spans="2:14" s="188" customFormat="1" ht="15" customHeight="1">
      <c r="B3665" s="187"/>
      <c r="C3665" s="187"/>
      <c r="D3665" s="187"/>
      <c r="E3665" s="187"/>
      <c r="F3665" s="187"/>
      <c r="G3665" s="187"/>
      <c r="J3665" s="186"/>
      <c r="K3665" s="180"/>
      <c r="L3665" s="180"/>
      <c r="M3665" s="186"/>
      <c r="N3665" s="186"/>
    </row>
    <row r="3666" spans="2:14" s="188" customFormat="1" ht="15" customHeight="1">
      <c r="B3666" s="187"/>
      <c r="C3666" s="187"/>
      <c r="D3666" s="187"/>
      <c r="E3666" s="187"/>
      <c r="F3666" s="187"/>
      <c r="G3666" s="187"/>
      <c r="J3666" s="186"/>
      <c r="K3666" s="180"/>
      <c r="L3666" s="180"/>
      <c r="M3666" s="186"/>
      <c r="N3666" s="186"/>
    </row>
    <row r="3667" spans="2:14" s="188" customFormat="1" ht="15" customHeight="1">
      <c r="B3667" s="187"/>
      <c r="C3667" s="187"/>
      <c r="D3667" s="187"/>
      <c r="E3667" s="187"/>
      <c r="F3667" s="187"/>
      <c r="G3667" s="187"/>
      <c r="J3667" s="186"/>
      <c r="K3667" s="180"/>
      <c r="L3667" s="180"/>
      <c r="M3667" s="186"/>
      <c r="N3667" s="186"/>
    </row>
    <row r="3668" spans="2:14" s="188" customFormat="1" ht="15" customHeight="1">
      <c r="B3668" s="187"/>
      <c r="C3668" s="187"/>
      <c r="D3668" s="187"/>
      <c r="E3668" s="187"/>
      <c r="F3668" s="187"/>
      <c r="G3668" s="187"/>
      <c r="J3668" s="186"/>
      <c r="K3668" s="180"/>
      <c r="L3668" s="180"/>
      <c r="M3668" s="186"/>
      <c r="N3668" s="186"/>
    </row>
    <row r="3669" spans="2:14" s="188" customFormat="1" ht="15" customHeight="1">
      <c r="B3669" s="187"/>
      <c r="C3669" s="187"/>
      <c r="D3669" s="187"/>
      <c r="E3669" s="187"/>
      <c r="F3669" s="187"/>
      <c r="G3669" s="187"/>
      <c r="J3669" s="186"/>
      <c r="K3669" s="180"/>
      <c r="L3669" s="180"/>
      <c r="M3669" s="186"/>
      <c r="N3669" s="186"/>
    </row>
    <row r="3670" spans="2:14" s="188" customFormat="1" ht="15" customHeight="1">
      <c r="B3670" s="187"/>
      <c r="C3670" s="187"/>
      <c r="D3670" s="187"/>
      <c r="E3670" s="187"/>
      <c r="F3670" s="187"/>
      <c r="G3670" s="187"/>
      <c r="J3670" s="186"/>
      <c r="K3670" s="180"/>
      <c r="L3670" s="180"/>
      <c r="M3670" s="186"/>
      <c r="N3670" s="186"/>
    </row>
    <row r="3671" spans="2:14" s="188" customFormat="1" ht="15" customHeight="1">
      <c r="B3671" s="187"/>
      <c r="C3671" s="187"/>
      <c r="D3671" s="187"/>
      <c r="E3671" s="187"/>
      <c r="F3671" s="187"/>
      <c r="G3671" s="187"/>
      <c r="J3671" s="186"/>
      <c r="K3671" s="180"/>
      <c r="L3671" s="180"/>
      <c r="M3671" s="186"/>
      <c r="N3671" s="186"/>
    </row>
    <row r="3672" spans="2:14" s="188" customFormat="1" ht="15" customHeight="1">
      <c r="B3672" s="187"/>
      <c r="C3672" s="187"/>
      <c r="D3672" s="187"/>
      <c r="E3672" s="187"/>
      <c r="F3672" s="187"/>
      <c r="G3672" s="187"/>
      <c r="J3672" s="186"/>
      <c r="K3672" s="180"/>
      <c r="L3672" s="180"/>
      <c r="M3672" s="186"/>
      <c r="N3672" s="186"/>
    </row>
    <row r="3673" spans="2:14" s="188" customFormat="1" ht="15" customHeight="1">
      <c r="B3673" s="187"/>
      <c r="C3673" s="187"/>
      <c r="D3673" s="187"/>
      <c r="E3673" s="187"/>
      <c r="F3673" s="187"/>
      <c r="G3673" s="187"/>
      <c r="J3673" s="186"/>
      <c r="K3673" s="180"/>
      <c r="L3673" s="180"/>
      <c r="M3673" s="186"/>
      <c r="N3673" s="186"/>
    </row>
    <row r="3674" spans="2:14" s="188" customFormat="1" ht="15" customHeight="1">
      <c r="B3674" s="187"/>
      <c r="C3674" s="187"/>
      <c r="D3674" s="187"/>
      <c r="E3674" s="187"/>
      <c r="F3674" s="187"/>
      <c r="G3674" s="187"/>
      <c r="J3674" s="186"/>
      <c r="K3674" s="180"/>
      <c r="L3674" s="180"/>
      <c r="M3674" s="186"/>
      <c r="N3674" s="186"/>
    </row>
    <row r="3675" spans="2:14" s="188" customFormat="1" ht="15" customHeight="1">
      <c r="B3675" s="187"/>
      <c r="C3675" s="187"/>
      <c r="D3675" s="187"/>
      <c r="E3675" s="187"/>
      <c r="F3675" s="187"/>
      <c r="G3675" s="187"/>
      <c r="J3675" s="186"/>
      <c r="K3675" s="180"/>
      <c r="L3675" s="180"/>
      <c r="M3675" s="186"/>
      <c r="N3675" s="186"/>
    </row>
    <row r="3676" spans="2:14" s="188" customFormat="1" ht="15" customHeight="1">
      <c r="B3676" s="187"/>
      <c r="C3676" s="187"/>
      <c r="D3676" s="187"/>
      <c r="E3676" s="187"/>
      <c r="F3676" s="187"/>
      <c r="G3676" s="187"/>
      <c r="J3676" s="186"/>
      <c r="K3676" s="180"/>
      <c r="L3676" s="180"/>
      <c r="M3676" s="186"/>
      <c r="N3676" s="186"/>
    </row>
    <row r="3677" spans="2:14" s="188" customFormat="1" ht="15" customHeight="1">
      <c r="B3677" s="187"/>
      <c r="C3677" s="187"/>
      <c r="D3677" s="187"/>
      <c r="E3677" s="187"/>
      <c r="F3677" s="187"/>
      <c r="G3677" s="187"/>
      <c r="J3677" s="186"/>
      <c r="K3677" s="180"/>
      <c r="L3677" s="180"/>
      <c r="M3677" s="186"/>
      <c r="N3677" s="186"/>
    </row>
    <row r="3678" spans="2:14" s="188" customFormat="1" ht="15" customHeight="1">
      <c r="B3678" s="187"/>
      <c r="C3678" s="187"/>
      <c r="D3678" s="187"/>
      <c r="E3678" s="187"/>
      <c r="F3678" s="187"/>
      <c r="G3678" s="187"/>
      <c r="J3678" s="186"/>
      <c r="K3678" s="180"/>
      <c r="L3678" s="180"/>
      <c r="M3678" s="186"/>
      <c r="N3678" s="186"/>
    </row>
    <row r="3679" spans="2:14" s="188" customFormat="1" ht="15" customHeight="1">
      <c r="B3679" s="187"/>
      <c r="C3679" s="187"/>
      <c r="D3679" s="187"/>
      <c r="E3679" s="187"/>
      <c r="F3679" s="187"/>
      <c r="G3679" s="187"/>
      <c r="J3679" s="186"/>
      <c r="K3679" s="180"/>
      <c r="L3679" s="180"/>
      <c r="M3679" s="186"/>
      <c r="N3679" s="186"/>
    </row>
    <row r="3680" spans="2:14" s="188" customFormat="1" ht="15" customHeight="1">
      <c r="B3680" s="187"/>
      <c r="C3680" s="187"/>
      <c r="D3680" s="187"/>
      <c r="E3680" s="187"/>
      <c r="F3680" s="187"/>
      <c r="G3680" s="187"/>
      <c r="J3680" s="186"/>
      <c r="K3680" s="180"/>
      <c r="L3680" s="180"/>
      <c r="M3680" s="186"/>
      <c r="N3680" s="186"/>
    </row>
    <row r="3681" spans="2:14" s="188" customFormat="1" ht="15" customHeight="1">
      <c r="B3681" s="187"/>
      <c r="C3681" s="187"/>
      <c r="D3681" s="187"/>
      <c r="E3681" s="187"/>
      <c r="F3681" s="187"/>
      <c r="G3681" s="187"/>
      <c r="J3681" s="186"/>
      <c r="K3681" s="180"/>
      <c r="L3681" s="180"/>
      <c r="M3681" s="186"/>
      <c r="N3681" s="186"/>
    </row>
    <row r="3682" spans="2:14" s="188" customFormat="1" ht="15" customHeight="1">
      <c r="B3682" s="187"/>
      <c r="C3682" s="187"/>
      <c r="D3682" s="187"/>
      <c r="E3682" s="187"/>
      <c r="F3682" s="187"/>
      <c r="G3682" s="187"/>
      <c r="J3682" s="186"/>
      <c r="K3682" s="180"/>
      <c r="L3682" s="180"/>
      <c r="M3682" s="186"/>
      <c r="N3682" s="186"/>
    </row>
    <row r="3683" spans="2:14" s="188" customFormat="1" ht="15" customHeight="1">
      <c r="B3683" s="187"/>
      <c r="C3683" s="187"/>
      <c r="D3683" s="187"/>
      <c r="E3683" s="187"/>
      <c r="F3683" s="187"/>
      <c r="G3683" s="187"/>
      <c r="J3683" s="186"/>
      <c r="K3683" s="180"/>
      <c r="L3683" s="180"/>
      <c r="M3683" s="186"/>
      <c r="N3683" s="186"/>
    </row>
    <row r="3684" spans="2:14" s="188" customFormat="1" ht="15" customHeight="1">
      <c r="B3684" s="187"/>
      <c r="C3684" s="187"/>
      <c r="D3684" s="187"/>
      <c r="E3684" s="187"/>
      <c r="F3684" s="187"/>
      <c r="G3684" s="187"/>
      <c r="J3684" s="186"/>
      <c r="K3684" s="180"/>
      <c r="L3684" s="180"/>
      <c r="M3684" s="186"/>
      <c r="N3684" s="186"/>
    </row>
    <row r="3685" spans="2:14" s="188" customFormat="1" ht="15" customHeight="1">
      <c r="B3685" s="187"/>
      <c r="C3685" s="187"/>
      <c r="D3685" s="187"/>
      <c r="E3685" s="187"/>
      <c r="F3685" s="187"/>
      <c r="G3685" s="187"/>
      <c r="J3685" s="186"/>
      <c r="K3685" s="180"/>
      <c r="L3685" s="180"/>
      <c r="M3685" s="186"/>
      <c r="N3685" s="186"/>
    </row>
    <row r="3686" spans="2:14" s="188" customFormat="1" ht="15" customHeight="1">
      <c r="B3686" s="187"/>
      <c r="C3686" s="187"/>
      <c r="D3686" s="187"/>
      <c r="E3686" s="187"/>
      <c r="F3686" s="187"/>
      <c r="G3686" s="187"/>
      <c r="J3686" s="186"/>
      <c r="K3686" s="180"/>
      <c r="L3686" s="180"/>
      <c r="M3686" s="186"/>
      <c r="N3686" s="186"/>
    </row>
    <row r="3687" spans="2:14" s="188" customFormat="1" ht="15" customHeight="1">
      <c r="B3687" s="187"/>
      <c r="C3687" s="187"/>
      <c r="D3687" s="187"/>
      <c r="E3687" s="187"/>
      <c r="F3687" s="187"/>
      <c r="G3687" s="187"/>
      <c r="J3687" s="186"/>
      <c r="K3687" s="180"/>
      <c r="L3687" s="180"/>
      <c r="M3687" s="186"/>
      <c r="N3687" s="186"/>
    </row>
    <row r="3688" spans="2:14" s="188" customFormat="1" ht="15" customHeight="1">
      <c r="B3688" s="187"/>
      <c r="C3688" s="187"/>
      <c r="D3688" s="187"/>
      <c r="E3688" s="187"/>
      <c r="F3688" s="187"/>
      <c r="G3688" s="187"/>
      <c r="J3688" s="186"/>
      <c r="K3688" s="180"/>
      <c r="L3688" s="180"/>
      <c r="M3688" s="186"/>
      <c r="N3688" s="186"/>
    </row>
    <row r="3689" spans="2:14" s="188" customFormat="1" ht="15" customHeight="1">
      <c r="B3689" s="187"/>
      <c r="C3689" s="187"/>
      <c r="D3689" s="187"/>
      <c r="E3689" s="187"/>
      <c r="F3689" s="187"/>
      <c r="G3689" s="187"/>
      <c r="J3689" s="186"/>
      <c r="K3689" s="180"/>
      <c r="L3689" s="180"/>
      <c r="M3689" s="186"/>
      <c r="N3689" s="186"/>
    </row>
    <row r="3690" spans="2:14" s="188" customFormat="1" ht="15" customHeight="1">
      <c r="B3690" s="187"/>
      <c r="C3690" s="187"/>
      <c r="D3690" s="187"/>
      <c r="E3690" s="187"/>
      <c r="F3690" s="187"/>
      <c r="G3690" s="187"/>
      <c r="J3690" s="186"/>
      <c r="K3690" s="180"/>
      <c r="L3690" s="180"/>
      <c r="M3690" s="186"/>
      <c r="N3690" s="186"/>
    </row>
    <row r="3691" spans="2:14" s="188" customFormat="1" ht="15" customHeight="1">
      <c r="B3691" s="187"/>
      <c r="C3691" s="187"/>
      <c r="D3691" s="187"/>
      <c r="E3691" s="187"/>
      <c r="F3691" s="187"/>
      <c r="G3691" s="187"/>
      <c r="J3691" s="186"/>
      <c r="K3691" s="180"/>
      <c r="L3691" s="180"/>
      <c r="M3691" s="186"/>
      <c r="N3691" s="186"/>
    </row>
    <row r="3692" spans="2:14" s="188" customFormat="1" ht="15" customHeight="1">
      <c r="B3692" s="187"/>
      <c r="C3692" s="187"/>
      <c r="D3692" s="187"/>
      <c r="E3692" s="187"/>
      <c r="F3692" s="187"/>
      <c r="G3692" s="187"/>
      <c r="J3692" s="186"/>
      <c r="K3692" s="180"/>
      <c r="L3692" s="180"/>
      <c r="M3692" s="186"/>
      <c r="N3692" s="186"/>
    </row>
    <row r="3693" spans="2:14" s="188" customFormat="1" ht="15" customHeight="1">
      <c r="B3693" s="187"/>
      <c r="C3693" s="187"/>
      <c r="D3693" s="187"/>
      <c r="E3693" s="187"/>
      <c r="F3693" s="187"/>
      <c r="G3693" s="187"/>
      <c r="J3693" s="186"/>
      <c r="K3693" s="180"/>
      <c r="L3693" s="180"/>
      <c r="M3693" s="186"/>
      <c r="N3693" s="186"/>
    </row>
    <row r="3694" spans="2:14" s="188" customFormat="1" ht="15" customHeight="1">
      <c r="B3694" s="187"/>
      <c r="C3694" s="187"/>
      <c r="D3694" s="187"/>
      <c r="E3694" s="187"/>
      <c r="F3694" s="187"/>
      <c r="G3694" s="187"/>
      <c r="J3694" s="186"/>
      <c r="K3694" s="180"/>
      <c r="L3694" s="180"/>
      <c r="M3694" s="186"/>
      <c r="N3694" s="186"/>
    </row>
    <row r="3695" spans="2:14" s="188" customFormat="1" ht="15" customHeight="1">
      <c r="B3695" s="187"/>
      <c r="C3695" s="187"/>
      <c r="D3695" s="187"/>
      <c r="E3695" s="187"/>
      <c r="F3695" s="187"/>
      <c r="G3695" s="187"/>
      <c r="J3695" s="186"/>
      <c r="K3695" s="180"/>
      <c r="L3695" s="180"/>
      <c r="M3695" s="186"/>
      <c r="N3695" s="186"/>
    </row>
    <row r="3696" spans="2:14" s="188" customFormat="1" ht="15" customHeight="1">
      <c r="B3696" s="187"/>
      <c r="C3696" s="187"/>
      <c r="D3696" s="187"/>
      <c r="E3696" s="187"/>
      <c r="F3696" s="187"/>
      <c r="G3696" s="187"/>
      <c r="J3696" s="186"/>
      <c r="K3696" s="180"/>
      <c r="L3696" s="180"/>
      <c r="M3696" s="186"/>
      <c r="N3696" s="186"/>
    </row>
    <row r="3697" spans="2:16" ht="15" customHeight="1">
      <c r="B3697" s="187"/>
      <c r="C3697" s="187"/>
      <c r="D3697" s="187"/>
      <c r="E3697" s="187"/>
      <c r="F3697" s="187"/>
      <c r="G3697" s="187"/>
      <c r="J3697" s="186"/>
      <c r="K3697" s="180"/>
      <c r="L3697" s="180"/>
      <c r="M3697" s="186"/>
      <c r="N3697" s="186"/>
      <c r="O3697" s="188"/>
      <c r="P3697" s="188"/>
    </row>
  </sheetData>
  <mergeCells count="11">
    <mergeCell ref="J3:J4"/>
    <mergeCell ref="K3:K4"/>
    <mergeCell ref="L3:L4"/>
    <mergeCell ref="M3:M4"/>
    <mergeCell ref="N3:N4"/>
    <mergeCell ref="H3:I3"/>
    <mergeCell ref="B3:B4"/>
    <mergeCell ref="C3:C4"/>
    <mergeCell ref="D3:D4"/>
    <mergeCell ref="E3:E4"/>
    <mergeCell ref="F3:G3"/>
  </mergeCells>
  <phoneticPr fontId="1" type="noConversion"/>
  <printOptions horizontalCentered="1"/>
  <pageMargins left="0.39370078740157483" right="0.39370078740157483" top="0.39370078740157483" bottom="0.39370078740157483" header="0.39370078740157483" footer="0.39370078740157483"/>
  <pageSetup paperSize="9" scale="63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697"/>
  <sheetViews>
    <sheetView showZeros="0" tabSelected="1" zoomScale="80" zoomScaleNormal="80" workbookViewId="0">
      <pane xSplit="4" ySplit="6" topLeftCell="E52" activePane="bottomRight" state="frozen"/>
      <selection pane="topRight" activeCell="D1" sqref="D1"/>
      <selection pane="bottomLeft" activeCell="A9" sqref="A9"/>
      <selection pane="bottomRight" activeCell="T59" sqref="T59"/>
    </sheetView>
  </sheetViews>
  <sheetFormatPr defaultRowHeight="15" customHeight="1"/>
  <cols>
    <col min="1" max="1" width="2.25" style="187" customWidth="1"/>
    <col min="2" max="2" width="7.75" style="188" bestFit="1" customWidth="1"/>
    <col min="3" max="3" width="10.25" style="49" customWidth="1"/>
    <col min="4" max="5" width="10.25" style="188" customWidth="1"/>
    <col min="6" max="7" width="8.75" style="188" customWidth="1"/>
    <col min="8" max="9" width="10.5" style="188" customWidth="1"/>
    <col min="10" max="10" width="9.375" style="189" customWidth="1"/>
    <col min="11" max="11" width="8.75" style="190" customWidth="1"/>
    <col min="12" max="12" width="10.5" style="190" customWidth="1"/>
    <col min="13" max="13" width="13.375" style="187" customWidth="1"/>
    <col min="14" max="14" width="12.375" style="187" customWidth="1"/>
    <col min="15" max="15" width="13" style="187" bestFit="1" customWidth="1"/>
    <col min="16" max="16" width="10" style="187" bestFit="1" customWidth="1"/>
    <col min="17" max="17" width="13.75" style="187" bestFit="1" customWidth="1"/>
    <col min="18" max="18" width="15.625" style="187" bestFit="1" customWidth="1"/>
    <col min="19" max="16384" width="9" style="187"/>
  </cols>
  <sheetData>
    <row r="1" spans="2:14" customFormat="1" ht="26.25" customHeight="1">
      <c r="B1" s="30" t="s">
        <v>1402</v>
      </c>
      <c r="C1" s="5"/>
      <c r="D1" s="3"/>
      <c r="E1" s="3"/>
      <c r="F1" s="3"/>
      <c r="G1" s="3"/>
      <c r="H1" s="3"/>
      <c r="I1" s="3"/>
      <c r="K1" s="55"/>
    </row>
    <row r="2" spans="2:14" customFormat="1" ht="16.5">
      <c r="D2" s="3"/>
      <c r="E2" s="3"/>
      <c r="F2" s="3"/>
      <c r="G2" s="3"/>
      <c r="H2" s="4"/>
      <c r="I2" s="3"/>
      <c r="K2" s="55"/>
      <c r="L2" s="41">
        <f ca="1">TODAY()</f>
        <v>42157</v>
      </c>
      <c r="N2" s="187"/>
    </row>
    <row r="3" spans="2:14" ht="15" customHeight="1">
      <c r="B3" s="213" t="s">
        <v>1391</v>
      </c>
      <c r="C3" s="213" t="s">
        <v>1392</v>
      </c>
      <c r="D3" s="213" t="s">
        <v>1615</v>
      </c>
      <c r="E3" s="213" t="s">
        <v>1394</v>
      </c>
      <c r="G3" s="204" t="s">
        <v>1397</v>
      </c>
      <c r="H3" s="205"/>
      <c r="I3" s="204" t="s">
        <v>1398</v>
      </c>
      <c r="J3" s="205"/>
      <c r="K3" s="206" t="s">
        <v>776</v>
      </c>
      <c r="L3" s="206" t="s">
        <v>1389</v>
      </c>
      <c r="M3" s="206" t="s">
        <v>1390</v>
      </c>
    </row>
    <row r="4" spans="2:14" ht="15" customHeight="1">
      <c r="B4" s="214"/>
      <c r="C4" s="214"/>
      <c r="D4" s="214"/>
      <c r="E4" s="214"/>
      <c r="G4" s="191" t="s">
        <v>1395</v>
      </c>
      <c r="H4" s="191" t="s">
        <v>1396</v>
      </c>
      <c r="I4" s="191" t="s">
        <v>1395</v>
      </c>
      <c r="J4" s="191" t="s">
        <v>1396</v>
      </c>
      <c r="K4" s="207"/>
      <c r="L4" s="207"/>
      <c r="M4" s="207"/>
    </row>
    <row r="5" spans="2:14" ht="15" customHeight="1">
      <c r="B5" s="175"/>
      <c r="C5" s="12"/>
      <c r="D5" s="12"/>
      <c r="E5" s="40"/>
      <c r="F5" s="45" t="s">
        <v>17</v>
      </c>
      <c r="G5" s="175"/>
      <c r="H5" s="14"/>
      <c r="I5" s="12"/>
      <c r="J5" s="175"/>
      <c r="K5" s="12"/>
      <c r="L5" s="12"/>
      <c r="M5" s="40"/>
      <c r="N5" s="47"/>
    </row>
    <row r="6" spans="2:14" ht="15" customHeight="1">
      <c r="B6" s="8" t="s">
        <v>1372</v>
      </c>
      <c r="C6" s="8" t="s">
        <v>1612</v>
      </c>
      <c r="D6" s="8" t="s">
        <v>1374</v>
      </c>
      <c r="E6" s="8" t="s">
        <v>1483</v>
      </c>
      <c r="F6" s="9" t="s">
        <v>1383</v>
      </c>
      <c r="G6" s="10" t="s">
        <v>1384</v>
      </c>
      <c r="H6" s="10" t="s">
        <v>1385</v>
      </c>
      <c r="I6" s="10" t="s">
        <v>1386</v>
      </c>
      <c r="J6" s="10" t="s">
        <v>776</v>
      </c>
      <c r="K6" s="10" t="s">
        <v>1389</v>
      </c>
      <c r="L6" s="10" t="s">
        <v>1390</v>
      </c>
      <c r="M6" s="10" t="s">
        <v>1954</v>
      </c>
      <c r="N6" s="11" t="s">
        <v>1955</v>
      </c>
    </row>
    <row r="7" spans="2:14" ht="15" customHeight="1">
      <c r="B7" s="9" t="s">
        <v>565</v>
      </c>
      <c r="C7" s="9" t="s">
        <v>1613</v>
      </c>
      <c r="D7" s="9" t="s">
        <v>401</v>
      </c>
      <c r="E7" s="9" t="s">
        <v>223</v>
      </c>
      <c r="F7" s="63">
        <v>4</v>
      </c>
      <c r="G7" s="63">
        <v>5</v>
      </c>
      <c r="H7" s="63">
        <v>0</v>
      </c>
      <c r="I7" s="63">
        <v>0</v>
      </c>
      <c r="J7" s="182">
        <v>6000</v>
      </c>
      <c r="K7" s="63">
        <v>5998</v>
      </c>
      <c r="L7" s="63">
        <v>0</v>
      </c>
      <c r="M7" s="63">
        <v>6451740</v>
      </c>
      <c r="N7" s="63">
        <v>42600000</v>
      </c>
    </row>
    <row r="8" spans="2:14" ht="15" customHeight="1">
      <c r="B8" s="46"/>
      <c r="C8" s="46"/>
      <c r="D8" s="199" t="s">
        <v>1378</v>
      </c>
      <c r="E8" s="200"/>
      <c r="F8" s="201">
        <v>4</v>
      </c>
      <c r="G8" s="201">
        <v>5</v>
      </c>
      <c r="H8" s="201">
        <v>0</v>
      </c>
      <c r="I8" s="201">
        <v>0</v>
      </c>
      <c r="J8" s="202">
        <v>6000</v>
      </c>
      <c r="K8" s="201">
        <v>5998</v>
      </c>
      <c r="L8" s="201">
        <v>0</v>
      </c>
      <c r="M8" s="201">
        <v>6451740</v>
      </c>
      <c r="N8" s="201">
        <v>42600000</v>
      </c>
    </row>
    <row r="9" spans="2:14" ht="15" customHeight="1">
      <c r="B9" s="46"/>
      <c r="C9" s="46"/>
      <c r="D9" s="9" t="s">
        <v>1376</v>
      </c>
      <c r="E9" s="9" t="s">
        <v>446</v>
      </c>
      <c r="F9" s="63">
        <v>11</v>
      </c>
      <c r="G9" s="63">
        <v>11</v>
      </c>
      <c r="H9" s="63">
        <v>2</v>
      </c>
      <c r="I9" s="63">
        <v>2</v>
      </c>
      <c r="J9" s="182">
        <v>7300</v>
      </c>
      <c r="K9" s="63">
        <v>7300</v>
      </c>
      <c r="L9" s="63">
        <v>0</v>
      </c>
      <c r="M9" s="63">
        <v>239496000</v>
      </c>
      <c r="N9" s="63">
        <v>1015500000</v>
      </c>
    </row>
    <row r="10" spans="2:14" ht="15" customHeight="1">
      <c r="B10" s="46"/>
      <c r="C10" s="46"/>
      <c r="D10" s="199" t="s">
        <v>1379</v>
      </c>
      <c r="E10" s="200"/>
      <c r="F10" s="201">
        <v>11</v>
      </c>
      <c r="G10" s="201">
        <v>11</v>
      </c>
      <c r="H10" s="201">
        <v>2</v>
      </c>
      <c r="I10" s="201">
        <v>2</v>
      </c>
      <c r="J10" s="202">
        <v>7300</v>
      </c>
      <c r="K10" s="201">
        <v>7300</v>
      </c>
      <c r="L10" s="201">
        <v>0</v>
      </c>
      <c r="M10" s="201">
        <v>239496000</v>
      </c>
      <c r="N10" s="201">
        <v>1015500000</v>
      </c>
    </row>
    <row r="11" spans="2:14" ht="15" customHeight="1">
      <c r="B11" s="46"/>
      <c r="C11" s="46"/>
      <c r="D11" s="9" t="s">
        <v>1375</v>
      </c>
      <c r="E11" s="9" t="s">
        <v>49</v>
      </c>
      <c r="F11" s="63">
        <v>12</v>
      </c>
      <c r="G11" s="63">
        <v>15</v>
      </c>
      <c r="H11" s="63">
        <v>0</v>
      </c>
      <c r="I11" s="63">
        <v>0</v>
      </c>
      <c r="J11" s="182">
        <v>14800</v>
      </c>
      <c r="K11" s="63">
        <v>14563</v>
      </c>
      <c r="L11" s="63">
        <v>0</v>
      </c>
      <c r="M11" s="63">
        <v>88577848.799999997</v>
      </c>
      <c r="N11" s="63">
        <v>679000000</v>
      </c>
    </row>
    <row r="12" spans="2:14" ht="15" customHeight="1">
      <c r="B12" s="46"/>
      <c r="C12" s="46"/>
      <c r="D12" s="46"/>
      <c r="E12" s="62" t="s">
        <v>235</v>
      </c>
      <c r="F12" s="64">
        <v>1</v>
      </c>
      <c r="G12" s="64">
        <v>1</v>
      </c>
      <c r="H12" s="64">
        <v>0</v>
      </c>
      <c r="I12" s="64">
        <v>0</v>
      </c>
      <c r="J12" s="183">
        <v>100</v>
      </c>
      <c r="K12" s="64">
        <v>100</v>
      </c>
      <c r="L12" s="64">
        <v>0</v>
      </c>
      <c r="M12" s="64">
        <v>1726664.6</v>
      </c>
      <c r="N12" s="64">
        <v>5900000</v>
      </c>
    </row>
    <row r="13" spans="2:14" ht="15" customHeight="1">
      <c r="B13" s="46"/>
      <c r="C13" s="46"/>
      <c r="D13" s="46"/>
      <c r="E13" s="62" t="s">
        <v>254</v>
      </c>
      <c r="F13" s="64">
        <v>16</v>
      </c>
      <c r="G13" s="64">
        <v>18</v>
      </c>
      <c r="H13" s="64">
        <v>2</v>
      </c>
      <c r="I13" s="64">
        <v>2</v>
      </c>
      <c r="J13" s="183">
        <v>3724</v>
      </c>
      <c r="K13" s="64">
        <v>3778</v>
      </c>
      <c r="L13" s="64">
        <v>0</v>
      </c>
      <c r="M13" s="64">
        <v>39615699.590909094</v>
      </c>
      <c r="N13" s="64">
        <v>175744000</v>
      </c>
    </row>
    <row r="14" spans="2:14" ht="15" customHeight="1">
      <c r="B14" s="46"/>
      <c r="C14" s="46"/>
      <c r="D14" s="46"/>
      <c r="E14" s="62" t="s">
        <v>219</v>
      </c>
      <c r="F14" s="64">
        <v>2</v>
      </c>
      <c r="G14" s="64">
        <v>3</v>
      </c>
      <c r="H14" s="64">
        <v>0</v>
      </c>
      <c r="I14" s="64">
        <v>0</v>
      </c>
      <c r="J14" s="183">
        <v>864</v>
      </c>
      <c r="K14" s="64">
        <v>864</v>
      </c>
      <c r="L14" s="64">
        <v>0</v>
      </c>
      <c r="M14" s="64">
        <v>13528080.000000002</v>
      </c>
      <c r="N14" s="64">
        <v>61344000</v>
      </c>
    </row>
    <row r="15" spans="2:14" ht="15" customHeight="1">
      <c r="B15" s="46"/>
      <c r="C15" s="46"/>
      <c r="D15" s="46"/>
      <c r="E15" s="62" t="s">
        <v>107</v>
      </c>
      <c r="F15" s="64">
        <v>40</v>
      </c>
      <c r="G15" s="64">
        <v>45</v>
      </c>
      <c r="H15" s="64">
        <v>3</v>
      </c>
      <c r="I15" s="64">
        <v>3</v>
      </c>
      <c r="J15" s="183">
        <v>59874</v>
      </c>
      <c r="K15" s="64">
        <v>58534</v>
      </c>
      <c r="L15" s="64">
        <v>0</v>
      </c>
      <c r="M15" s="64">
        <v>367573964.25163639</v>
      </c>
      <c r="N15" s="64">
        <v>2625690000</v>
      </c>
    </row>
    <row r="16" spans="2:14" ht="15" customHeight="1">
      <c r="B16" s="46"/>
      <c r="C16" s="46"/>
      <c r="D16" s="46"/>
      <c r="E16" s="62" t="s">
        <v>80</v>
      </c>
      <c r="F16" s="64">
        <v>2</v>
      </c>
      <c r="G16" s="64">
        <v>2</v>
      </c>
      <c r="H16" s="64">
        <v>0</v>
      </c>
      <c r="I16" s="64">
        <v>0</v>
      </c>
      <c r="J16" s="183">
        <v>2400</v>
      </c>
      <c r="K16" s="64">
        <v>2399</v>
      </c>
      <c r="L16" s="64">
        <v>0</v>
      </c>
      <c r="M16" s="64">
        <v>14046600.000000002</v>
      </c>
      <c r="N16" s="64">
        <v>84000000</v>
      </c>
    </row>
    <row r="17" spans="2:14" ht="15" customHeight="1">
      <c r="B17" s="46"/>
      <c r="C17" s="46"/>
      <c r="D17" s="46"/>
      <c r="E17" s="62" t="s">
        <v>228</v>
      </c>
      <c r="F17" s="64">
        <v>4</v>
      </c>
      <c r="G17" s="64">
        <v>5</v>
      </c>
      <c r="H17" s="64">
        <v>0</v>
      </c>
      <c r="I17" s="64">
        <v>0</v>
      </c>
      <c r="J17" s="183">
        <v>1536</v>
      </c>
      <c r="K17" s="64">
        <v>1534</v>
      </c>
      <c r="L17" s="64">
        <v>0</v>
      </c>
      <c r="M17" s="64">
        <v>18137244</v>
      </c>
      <c r="N17" s="64">
        <v>82320000</v>
      </c>
    </row>
    <row r="18" spans="2:14" ht="15" customHeight="1">
      <c r="B18" s="46"/>
      <c r="C18" s="46"/>
      <c r="D18" s="46"/>
      <c r="E18" s="62" t="s">
        <v>210</v>
      </c>
      <c r="F18" s="64">
        <v>18</v>
      </c>
      <c r="G18" s="64">
        <v>26</v>
      </c>
      <c r="H18" s="64">
        <v>0</v>
      </c>
      <c r="I18" s="64">
        <v>0</v>
      </c>
      <c r="J18" s="183">
        <v>39230</v>
      </c>
      <c r="K18" s="64">
        <v>39271</v>
      </c>
      <c r="L18" s="64">
        <v>0</v>
      </c>
      <c r="M18" s="64">
        <v>261759174.80000001</v>
      </c>
      <c r="N18" s="64">
        <v>1747430000</v>
      </c>
    </row>
    <row r="19" spans="2:14" ht="15" customHeight="1">
      <c r="B19" s="46"/>
      <c r="C19" s="46"/>
      <c r="D19" s="46"/>
      <c r="E19" s="62" t="s">
        <v>1484</v>
      </c>
      <c r="F19" s="64">
        <v>148</v>
      </c>
      <c r="G19" s="64">
        <v>166</v>
      </c>
      <c r="H19" s="64">
        <v>10</v>
      </c>
      <c r="I19" s="64">
        <v>10</v>
      </c>
      <c r="J19" s="183">
        <v>152971</v>
      </c>
      <c r="K19" s="64">
        <v>152241</v>
      </c>
      <c r="L19" s="64">
        <v>0</v>
      </c>
      <c r="M19" s="64">
        <v>1111702279.7792726</v>
      </c>
      <c r="N19" s="64">
        <v>6944777000</v>
      </c>
    </row>
    <row r="20" spans="2:14" ht="15" customHeight="1">
      <c r="B20" s="46"/>
      <c r="C20" s="46"/>
      <c r="D20" s="46"/>
      <c r="E20" s="62" t="s">
        <v>190</v>
      </c>
      <c r="F20" s="64">
        <v>4</v>
      </c>
      <c r="G20" s="64">
        <v>4</v>
      </c>
      <c r="H20" s="64">
        <v>1</v>
      </c>
      <c r="I20" s="64">
        <v>1</v>
      </c>
      <c r="J20" s="183">
        <v>8000</v>
      </c>
      <c r="K20" s="64">
        <v>7998</v>
      </c>
      <c r="L20" s="64">
        <v>0</v>
      </c>
      <c r="M20" s="64">
        <v>59719275</v>
      </c>
      <c r="N20" s="64">
        <v>472000000</v>
      </c>
    </row>
    <row r="21" spans="2:14" ht="15" customHeight="1">
      <c r="B21" s="46"/>
      <c r="C21" s="46"/>
      <c r="D21" s="199" t="s">
        <v>1380</v>
      </c>
      <c r="E21" s="200"/>
      <c r="F21" s="201">
        <v>247</v>
      </c>
      <c r="G21" s="201">
        <v>285</v>
      </c>
      <c r="H21" s="201">
        <v>16</v>
      </c>
      <c r="I21" s="201">
        <v>16</v>
      </c>
      <c r="J21" s="202">
        <v>283499</v>
      </c>
      <c r="K21" s="201">
        <v>281282</v>
      </c>
      <c r="L21" s="201">
        <v>0</v>
      </c>
      <c r="M21" s="201">
        <v>1976386830.8218181</v>
      </c>
      <c r="N21" s="201">
        <v>12878205000</v>
      </c>
    </row>
    <row r="22" spans="2:14" ht="15" customHeight="1">
      <c r="B22" s="46"/>
      <c r="C22" s="9" t="s">
        <v>1614</v>
      </c>
      <c r="D22" s="9" t="s">
        <v>1376</v>
      </c>
      <c r="E22" s="9" t="s">
        <v>446</v>
      </c>
      <c r="F22" s="63">
        <v>7</v>
      </c>
      <c r="G22" s="63">
        <v>7</v>
      </c>
      <c r="H22" s="63">
        <v>0</v>
      </c>
      <c r="I22" s="63">
        <v>0</v>
      </c>
      <c r="J22" s="182">
        <v>4800</v>
      </c>
      <c r="K22" s="63">
        <v>4800</v>
      </c>
      <c r="L22" s="63">
        <v>0</v>
      </c>
      <c r="M22" s="63">
        <v>122296000</v>
      </c>
      <c r="N22" s="63">
        <v>511200000</v>
      </c>
    </row>
    <row r="23" spans="2:14" ht="15" customHeight="1">
      <c r="B23" s="46"/>
      <c r="C23" s="46"/>
      <c r="D23" s="46"/>
      <c r="E23" s="62" t="s">
        <v>1640</v>
      </c>
      <c r="F23" s="64">
        <v>1</v>
      </c>
      <c r="G23" s="64">
        <v>1</v>
      </c>
      <c r="H23" s="64">
        <v>0</v>
      </c>
      <c r="I23" s="64">
        <v>0</v>
      </c>
      <c r="J23" s="183">
        <v>1000</v>
      </c>
      <c r="K23" s="64">
        <v>1000</v>
      </c>
      <c r="L23" s="64">
        <v>0</v>
      </c>
      <c r="M23" s="64">
        <v>9820000</v>
      </c>
      <c r="N23" s="64">
        <v>45000000</v>
      </c>
    </row>
    <row r="24" spans="2:14" ht="15" customHeight="1">
      <c r="B24" s="46"/>
      <c r="C24" s="46"/>
      <c r="D24" s="199" t="s">
        <v>1379</v>
      </c>
      <c r="E24" s="200"/>
      <c r="F24" s="201">
        <v>8</v>
      </c>
      <c r="G24" s="201">
        <v>8</v>
      </c>
      <c r="H24" s="201">
        <v>0</v>
      </c>
      <c r="I24" s="201">
        <v>0</v>
      </c>
      <c r="J24" s="202">
        <v>5800</v>
      </c>
      <c r="K24" s="201">
        <v>5800</v>
      </c>
      <c r="L24" s="201">
        <v>0</v>
      </c>
      <c r="M24" s="201">
        <v>132116000</v>
      </c>
      <c r="N24" s="201">
        <v>556200000</v>
      </c>
    </row>
    <row r="25" spans="2:14" ht="15" customHeight="1">
      <c r="B25" s="46"/>
      <c r="C25" s="46"/>
      <c r="D25" s="9" t="s">
        <v>1375</v>
      </c>
      <c r="E25" s="9" t="s">
        <v>49</v>
      </c>
      <c r="F25" s="63">
        <v>10</v>
      </c>
      <c r="G25" s="63">
        <v>12</v>
      </c>
      <c r="H25" s="63">
        <v>0</v>
      </c>
      <c r="I25" s="63">
        <v>0</v>
      </c>
      <c r="J25" s="182">
        <v>20500</v>
      </c>
      <c r="K25" s="63">
        <v>20216</v>
      </c>
      <c r="L25" s="63">
        <v>0</v>
      </c>
      <c r="M25" s="63">
        <v>148059041</v>
      </c>
      <c r="N25" s="63">
        <v>982900000</v>
      </c>
    </row>
    <row r="26" spans="2:14" ht="15" customHeight="1">
      <c r="B26" s="46"/>
      <c r="C26" s="46"/>
      <c r="D26" s="46"/>
      <c r="E26" s="62" t="s">
        <v>107</v>
      </c>
      <c r="F26" s="64">
        <v>6</v>
      </c>
      <c r="G26" s="64">
        <v>6</v>
      </c>
      <c r="H26" s="64">
        <v>0</v>
      </c>
      <c r="I26" s="64">
        <v>0</v>
      </c>
      <c r="J26" s="183">
        <v>17200</v>
      </c>
      <c r="K26" s="64">
        <v>17167</v>
      </c>
      <c r="L26" s="64">
        <v>0</v>
      </c>
      <c r="M26" s="64">
        <v>152365100</v>
      </c>
      <c r="N26" s="64">
        <v>830800000</v>
      </c>
    </row>
    <row r="27" spans="2:14" ht="15" customHeight="1">
      <c r="B27" s="46"/>
      <c r="C27" s="46"/>
      <c r="D27" s="46"/>
      <c r="E27" s="62" t="s">
        <v>80</v>
      </c>
      <c r="F27" s="64">
        <v>1</v>
      </c>
      <c r="G27" s="64">
        <v>1</v>
      </c>
      <c r="H27" s="64">
        <v>0</v>
      </c>
      <c r="I27" s="64">
        <v>0</v>
      </c>
      <c r="J27" s="183">
        <v>1000</v>
      </c>
      <c r="K27" s="64">
        <v>1000</v>
      </c>
      <c r="L27" s="64">
        <v>0</v>
      </c>
      <c r="M27" s="64">
        <v>5679500.0000000009</v>
      </c>
      <c r="N27" s="64">
        <v>33000000</v>
      </c>
    </row>
    <row r="28" spans="2:14" ht="15" customHeight="1">
      <c r="B28" s="46"/>
      <c r="C28" s="46"/>
      <c r="D28" s="46"/>
      <c r="E28" s="62" t="s">
        <v>1484</v>
      </c>
      <c r="F28" s="64">
        <v>10</v>
      </c>
      <c r="G28" s="64">
        <v>12</v>
      </c>
      <c r="H28" s="64">
        <v>2</v>
      </c>
      <c r="I28" s="64">
        <v>2</v>
      </c>
      <c r="J28" s="183">
        <v>18300</v>
      </c>
      <c r="K28" s="64">
        <v>18310</v>
      </c>
      <c r="L28" s="64">
        <v>0</v>
      </c>
      <c r="M28" s="64">
        <v>132429463</v>
      </c>
      <c r="N28" s="64">
        <v>765300000</v>
      </c>
    </row>
    <row r="29" spans="2:14" ht="15" customHeight="1">
      <c r="B29" s="46"/>
      <c r="C29" s="46"/>
      <c r="D29" s="199" t="s">
        <v>1380</v>
      </c>
      <c r="E29" s="200"/>
      <c r="F29" s="201">
        <v>27</v>
      </c>
      <c r="G29" s="201">
        <v>31</v>
      </c>
      <c r="H29" s="201">
        <v>2</v>
      </c>
      <c r="I29" s="201">
        <v>2</v>
      </c>
      <c r="J29" s="202">
        <v>57000</v>
      </c>
      <c r="K29" s="201">
        <v>56693</v>
      </c>
      <c r="L29" s="201">
        <v>0</v>
      </c>
      <c r="M29" s="201">
        <v>438533104</v>
      </c>
      <c r="N29" s="201">
        <v>2612000000</v>
      </c>
    </row>
    <row r="30" spans="2:14" ht="15" customHeight="1">
      <c r="B30" s="9" t="s">
        <v>1399</v>
      </c>
      <c r="C30" s="12"/>
      <c r="D30" s="12"/>
      <c r="E30" s="12"/>
      <c r="F30" s="63">
        <v>297</v>
      </c>
      <c r="G30" s="63">
        <v>340</v>
      </c>
      <c r="H30" s="63">
        <v>20</v>
      </c>
      <c r="I30" s="63">
        <v>20</v>
      </c>
      <c r="J30" s="182">
        <v>359599</v>
      </c>
      <c r="K30" s="63">
        <v>357073</v>
      </c>
      <c r="L30" s="63">
        <v>0</v>
      </c>
      <c r="M30" s="63">
        <v>2792983674.8218184</v>
      </c>
      <c r="N30" s="63">
        <v>17104505000</v>
      </c>
    </row>
    <row r="31" spans="2:14" ht="15" customHeight="1">
      <c r="B31" s="9" t="s">
        <v>569</v>
      </c>
      <c r="C31" s="9" t="s">
        <v>1613</v>
      </c>
      <c r="D31" s="9" t="s">
        <v>1377</v>
      </c>
      <c r="E31" s="9" t="s">
        <v>1639</v>
      </c>
      <c r="F31" s="63">
        <v>1</v>
      </c>
      <c r="G31" s="63">
        <v>1</v>
      </c>
      <c r="H31" s="63">
        <v>0</v>
      </c>
      <c r="I31" s="63">
        <v>0</v>
      </c>
      <c r="J31" s="182">
        <v>1500</v>
      </c>
      <c r="K31" s="63">
        <v>1388</v>
      </c>
      <c r="L31" s="63">
        <v>0</v>
      </c>
      <c r="M31" s="63">
        <v>23567700</v>
      </c>
      <c r="N31" s="63">
        <v>112500000</v>
      </c>
    </row>
    <row r="32" spans="2:14" ht="15" customHeight="1">
      <c r="B32" s="46"/>
      <c r="C32" s="46"/>
      <c r="D32" s="46"/>
      <c r="E32" s="62" t="s">
        <v>421</v>
      </c>
      <c r="F32" s="64">
        <v>1</v>
      </c>
      <c r="G32" s="64">
        <v>1</v>
      </c>
      <c r="H32" s="64">
        <v>0</v>
      </c>
      <c r="I32" s="64">
        <v>0</v>
      </c>
      <c r="J32" s="183">
        <v>1000</v>
      </c>
      <c r="K32" s="64">
        <v>1048</v>
      </c>
      <c r="L32" s="64">
        <v>0</v>
      </c>
      <c r="M32" s="64">
        <v>19655000</v>
      </c>
      <c r="N32" s="64">
        <v>89000000</v>
      </c>
    </row>
    <row r="33" spans="2:14" ht="15" customHeight="1">
      <c r="B33" s="46"/>
      <c r="C33" s="46"/>
      <c r="D33" s="46"/>
      <c r="E33" s="62" t="s">
        <v>414</v>
      </c>
      <c r="F33" s="64">
        <v>5</v>
      </c>
      <c r="G33" s="64">
        <v>6</v>
      </c>
      <c r="H33" s="64">
        <v>0</v>
      </c>
      <c r="I33" s="64">
        <v>0</v>
      </c>
      <c r="J33" s="183">
        <v>6400</v>
      </c>
      <c r="K33" s="64">
        <v>6320</v>
      </c>
      <c r="L33" s="64">
        <v>0</v>
      </c>
      <c r="M33" s="64">
        <v>101900375</v>
      </c>
      <c r="N33" s="64">
        <v>491600000</v>
      </c>
    </row>
    <row r="34" spans="2:14" ht="15" customHeight="1">
      <c r="B34" s="46"/>
      <c r="C34" s="46"/>
      <c r="D34" s="199" t="s">
        <v>1381</v>
      </c>
      <c r="E34" s="200"/>
      <c r="F34" s="201">
        <v>7</v>
      </c>
      <c r="G34" s="201">
        <v>8</v>
      </c>
      <c r="H34" s="201">
        <v>0</v>
      </c>
      <c r="I34" s="201">
        <v>0</v>
      </c>
      <c r="J34" s="202">
        <v>8900</v>
      </c>
      <c r="K34" s="201">
        <v>8756</v>
      </c>
      <c r="L34" s="201">
        <v>0</v>
      </c>
      <c r="M34" s="201">
        <v>145123075</v>
      </c>
      <c r="N34" s="201">
        <v>693100000</v>
      </c>
    </row>
    <row r="35" spans="2:14" ht="15" customHeight="1">
      <c r="B35" s="46"/>
      <c r="C35" s="9" t="s">
        <v>1614</v>
      </c>
      <c r="D35" s="9" t="s">
        <v>1377</v>
      </c>
      <c r="E35" s="9" t="s">
        <v>1639</v>
      </c>
      <c r="F35" s="63">
        <v>1</v>
      </c>
      <c r="G35" s="63">
        <v>2</v>
      </c>
      <c r="H35" s="63">
        <v>0</v>
      </c>
      <c r="I35" s="63">
        <v>0</v>
      </c>
      <c r="J35" s="182">
        <v>2000</v>
      </c>
      <c r="K35" s="63">
        <v>1974</v>
      </c>
      <c r="L35" s="63">
        <v>0</v>
      </c>
      <c r="M35" s="63">
        <v>27508150</v>
      </c>
      <c r="N35" s="63">
        <v>130000000</v>
      </c>
    </row>
    <row r="36" spans="2:14" ht="15" customHeight="1">
      <c r="B36" s="46"/>
      <c r="C36" s="46"/>
      <c r="D36" s="46"/>
      <c r="E36" s="62" t="s">
        <v>414</v>
      </c>
      <c r="F36" s="64">
        <v>2</v>
      </c>
      <c r="G36" s="64">
        <v>3</v>
      </c>
      <c r="H36" s="64">
        <v>0</v>
      </c>
      <c r="I36" s="64">
        <v>0</v>
      </c>
      <c r="J36" s="183">
        <v>3600</v>
      </c>
      <c r="K36" s="64">
        <v>3453</v>
      </c>
      <c r="L36" s="64">
        <v>0</v>
      </c>
      <c r="M36" s="64">
        <v>52119000</v>
      </c>
      <c r="N36" s="64">
        <v>250800000</v>
      </c>
    </row>
    <row r="37" spans="2:14" ht="15" customHeight="1">
      <c r="B37" s="46"/>
      <c r="C37" s="46"/>
      <c r="D37" s="199" t="s">
        <v>1381</v>
      </c>
      <c r="E37" s="200"/>
      <c r="F37" s="201">
        <v>3</v>
      </c>
      <c r="G37" s="201">
        <v>5</v>
      </c>
      <c r="H37" s="201">
        <v>0</v>
      </c>
      <c r="I37" s="201">
        <v>0</v>
      </c>
      <c r="J37" s="202">
        <v>5600</v>
      </c>
      <c r="K37" s="201">
        <v>5427</v>
      </c>
      <c r="L37" s="201">
        <v>0</v>
      </c>
      <c r="M37" s="201">
        <v>79627150</v>
      </c>
      <c r="N37" s="201">
        <v>380800000</v>
      </c>
    </row>
    <row r="38" spans="2:14" ht="15" customHeight="1">
      <c r="B38" s="9" t="s">
        <v>1401</v>
      </c>
      <c r="C38" s="12"/>
      <c r="D38" s="12"/>
      <c r="E38" s="12"/>
      <c r="F38" s="63">
        <v>10</v>
      </c>
      <c r="G38" s="63">
        <v>13</v>
      </c>
      <c r="H38" s="63">
        <v>0</v>
      </c>
      <c r="I38" s="63">
        <v>0</v>
      </c>
      <c r="J38" s="182">
        <v>14500</v>
      </c>
      <c r="K38" s="63">
        <v>14183</v>
      </c>
      <c r="L38" s="63">
        <v>0</v>
      </c>
      <c r="M38" s="63">
        <v>224750225</v>
      </c>
      <c r="N38" s="63">
        <v>1073900000</v>
      </c>
    </row>
    <row r="39" spans="2:14" ht="15" customHeight="1">
      <c r="B39" s="9" t="s">
        <v>576</v>
      </c>
      <c r="C39" s="9" t="s">
        <v>1613</v>
      </c>
      <c r="D39" s="9" t="s">
        <v>1375</v>
      </c>
      <c r="E39" s="9" t="s">
        <v>49</v>
      </c>
      <c r="F39" s="63">
        <v>22</v>
      </c>
      <c r="G39" s="63">
        <v>29</v>
      </c>
      <c r="H39" s="63">
        <v>1</v>
      </c>
      <c r="I39" s="63">
        <v>1</v>
      </c>
      <c r="J39" s="182">
        <v>31000</v>
      </c>
      <c r="K39" s="63">
        <v>30870</v>
      </c>
      <c r="L39" s="63">
        <v>0</v>
      </c>
      <c r="M39" s="63">
        <v>210459331</v>
      </c>
      <c r="N39" s="63">
        <v>1454000000</v>
      </c>
    </row>
    <row r="40" spans="2:14" ht="15" customHeight="1">
      <c r="B40" s="46"/>
      <c r="C40" s="46"/>
      <c r="D40" s="46"/>
      <c r="E40" s="62" t="s">
        <v>283</v>
      </c>
      <c r="F40" s="64">
        <v>31.999999999999993</v>
      </c>
      <c r="G40" s="64">
        <v>68</v>
      </c>
      <c r="H40" s="64">
        <v>3</v>
      </c>
      <c r="I40" s="64">
        <v>4</v>
      </c>
      <c r="J40" s="183">
        <v>63800</v>
      </c>
      <c r="K40" s="64">
        <v>63709</v>
      </c>
      <c r="L40" s="64">
        <v>0</v>
      </c>
      <c r="M40" s="64">
        <v>336345587.0181818</v>
      </c>
      <c r="N40" s="64">
        <v>2342400000</v>
      </c>
    </row>
    <row r="41" spans="2:14" ht="15" customHeight="1">
      <c r="B41" s="46"/>
      <c r="C41" s="46"/>
      <c r="D41" s="46"/>
      <c r="E41" s="62" t="s">
        <v>244</v>
      </c>
      <c r="F41" s="64">
        <v>2</v>
      </c>
      <c r="G41" s="64">
        <v>3</v>
      </c>
      <c r="H41" s="64">
        <v>0</v>
      </c>
      <c r="I41" s="64">
        <v>0</v>
      </c>
      <c r="J41" s="183">
        <v>400</v>
      </c>
      <c r="K41" s="64">
        <v>400</v>
      </c>
      <c r="L41" s="64">
        <v>0</v>
      </c>
      <c r="M41" s="64">
        <v>4438053.8000000007</v>
      </c>
      <c r="N41" s="64">
        <v>19600000</v>
      </c>
    </row>
    <row r="42" spans="2:14" ht="15" customHeight="1">
      <c r="B42" s="46"/>
      <c r="C42" s="46"/>
      <c r="D42" s="46"/>
      <c r="E42" s="62" t="s">
        <v>235</v>
      </c>
      <c r="F42" s="64">
        <v>7</v>
      </c>
      <c r="G42" s="64">
        <v>8</v>
      </c>
      <c r="H42" s="64">
        <v>0</v>
      </c>
      <c r="I42" s="64">
        <v>0</v>
      </c>
      <c r="J42" s="183">
        <v>1800</v>
      </c>
      <c r="K42" s="64">
        <v>1796</v>
      </c>
      <c r="L42" s="64">
        <v>0</v>
      </c>
      <c r="M42" s="64">
        <v>16117988</v>
      </c>
      <c r="N42" s="64">
        <v>88800000</v>
      </c>
    </row>
    <row r="43" spans="2:14" ht="15" customHeight="1">
      <c r="B43" s="46"/>
      <c r="C43" s="46"/>
      <c r="D43" s="46"/>
      <c r="E43" s="62" t="s">
        <v>315</v>
      </c>
      <c r="F43" s="64">
        <v>11</v>
      </c>
      <c r="G43" s="64">
        <v>22</v>
      </c>
      <c r="H43" s="64">
        <v>0</v>
      </c>
      <c r="I43" s="64">
        <v>0</v>
      </c>
      <c r="J43" s="183">
        <v>19500</v>
      </c>
      <c r="K43" s="64">
        <v>19412</v>
      </c>
      <c r="L43" s="64">
        <v>0</v>
      </c>
      <c r="M43" s="64">
        <v>161143416</v>
      </c>
      <c r="N43" s="64">
        <v>919700000</v>
      </c>
    </row>
    <row r="44" spans="2:14" ht="15" customHeight="1">
      <c r="B44" s="46"/>
      <c r="C44" s="46"/>
      <c r="D44" s="46"/>
      <c r="E44" s="62" t="s">
        <v>324</v>
      </c>
      <c r="F44" s="64">
        <v>47</v>
      </c>
      <c r="G44" s="64">
        <v>50</v>
      </c>
      <c r="H44" s="64">
        <v>0</v>
      </c>
      <c r="I44" s="64">
        <v>0</v>
      </c>
      <c r="J44" s="183">
        <v>51100</v>
      </c>
      <c r="K44" s="64">
        <v>50492</v>
      </c>
      <c r="L44" s="64">
        <v>0</v>
      </c>
      <c r="M44" s="64">
        <v>431853090</v>
      </c>
      <c r="N44" s="64">
        <v>2895300000</v>
      </c>
    </row>
    <row r="45" spans="2:14" ht="15" customHeight="1">
      <c r="B45" s="46"/>
      <c r="C45" s="46"/>
      <c r="D45" s="46"/>
      <c r="E45" s="62" t="s">
        <v>254</v>
      </c>
      <c r="F45" s="64">
        <v>14</v>
      </c>
      <c r="G45" s="64">
        <v>18</v>
      </c>
      <c r="H45" s="64">
        <v>8</v>
      </c>
      <c r="I45" s="64">
        <v>8</v>
      </c>
      <c r="J45" s="183">
        <v>5825</v>
      </c>
      <c r="K45" s="64">
        <v>5836</v>
      </c>
      <c r="L45" s="64">
        <v>0</v>
      </c>
      <c r="M45" s="64">
        <v>60730311.418181844</v>
      </c>
      <c r="N45" s="64">
        <v>304475000</v>
      </c>
    </row>
    <row r="46" spans="2:14" ht="15" customHeight="1">
      <c r="B46" s="46"/>
      <c r="C46" s="46"/>
      <c r="D46" s="46"/>
      <c r="E46" s="62" t="s">
        <v>219</v>
      </c>
      <c r="F46" s="64">
        <v>12</v>
      </c>
      <c r="G46" s="64">
        <v>17</v>
      </c>
      <c r="H46" s="64">
        <v>1</v>
      </c>
      <c r="I46" s="64">
        <v>1</v>
      </c>
      <c r="J46" s="183">
        <v>3610</v>
      </c>
      <c r="K46" s="64">
        <v>3602</v>
      </c>
      <c r="L46" s="64">
        <v>0</v>
      </c>
      <c r="M46" s="64">
        <v>46641878.105454549</v>
      </c>
      <c r="N46" s="64">
        <v>230830000</v>
      </c>
    </row>
    <row r="47" spans="2:14" ht="15" customHeight="1">
      <c r="B47" s="46"/>
      <c r="C47" s="46"/>
      <c r="D47" s="46"/>
      <c r="E47" s="62" t="s">
        <v>107</v>
      </c>
      <c r="F47" s="64">
        <v>1</v>
      </c>
      <c r="G47" s="64">
        <v>2</v>
      </c>
      <c r="H47" s="64">
        <v>0</v>
      </c>
      <c r="I47" s="64">
        <v>0</v>
      </c>
      <c r="J47" s="183">
        <v>2400</v>
      </c>
      <c r="K47" s="64">
        <v>2391</v>
      </c>
      <c r="L47" s="64">
        <v>0</v>
      </c>
      <c r="M47" s="64">
        <v>16264200</v>
      </c>
      <c r="N47" s="64">
        <v>103200000</v>
      </c>
    </row>
    <row r="48" spans="2:14" ht="15" customHeight="1">
      <c r="B48" s="46"/>
      <c r="C48" s="46"/>
      <c r="D48" s="46"/>
      <c r="E48" s="62" t="s">
        <v>228</v>
      </c>
      <c r="F48" s="64">
        <v>5.9999999999999991</v>
      </c>
      <c r="G48" s="64">
        <v>12</v>
      </c>
      <c r="H48" s="64">
        <v>0</v>
      </c>
      <c r="I48" s="64">
        <v>0</v>
      </c>
      <c r="J48" s="183">
        <v>2790</v>
      </c>
      <c r="K48" s="64">
        <v>2789</v>
      </c>
      <c r="L48" s="64">
        <v>0</v>
      </c>
      <c r="M48" s="64">
        <v>26550613.440000005</v>
      </c>
      <c r="N48" s="64">
        <v>134310000</v>
      </c>
    </row>
    <row r="49" spans="2:14" ht="15" customHeight="1">
      <c r="B49" s="46"/>
      <c r="C49" s="46"/>
      <c r="D49" s="46"/>
      <c r="E49" s="62" t="s">
        <v>210</v>
      </c>
      <c r="F49" s="64">
        <v>14</v>
      </c>
      <c r="G49" s="64">
        <v>21</v>
      </c>
      <c r="H49" s="64">
        <v>0</v>
      </c>
      <c r="I49" s="64">
        <v>0</v>
      </c>
      <c r="J49" s="183">
        <v>19950</v>
      </c>
      <c r="K49" s="64">
        <v>19871</v>
      </c>
      <c r="L49" s="64">
        <v>0</v>
      </c>
      <c r="M49" s="64">
        <v>151193748.5</v>
      </c>
      <c r="N49" s="64">
        <v>917450000</v>
      </c>
    </row>
    <row r="50" spans="2:14" ht="15" customHeight="1">
      <c r="B50" s="46"/>
      <c r="C50" s="46"/>
      <c r="D50" s="46"/>
      <c r="E50" s="62" t="s">
        <v>1484</v>
      </c>
      <c r="F50" s="64">
        <v>18</v>
      </c>
      <c r="G50" s="64">
        <v>19</v>
      </c>
      <c r="H50" s="64">
        <v>3</v>
      </c>
      <c r="I50" s="64">
        <v>3</v>
      </c>
      <c r="J50" s="183">
        <v>21900</v>
      </c>
      <c r="K50" s="64">
        <v>21282</v>
      </c>
      <c r="L50" s="64">
        <v>0</v>
      </c>
      <c r="M50" s="64">
        <v>141970857.09090909</v>
      </c>
      <c r="N50" s="64">
        <v>1042900000</v>
      </c>
    </row>
    <row r="51" spans="2:14" ht="15" customHeight="1">
      <c r="B51" s="46"/>
      <c r="C51" s="46"/>
      <c r="D51" s="46"/>
      <c r="E51" s="62" t="s">
        <v>331</v>
      </c>
      <c r="F51" s="64">
        <v>16</v>
      </c>
      <c r="G51" s="64">
        <v>19</v>
      </c>
      <c r="H51" s="64">
        <v>1</v>
      </c>
      <c r="I51" s="64">
        <v>3</v>
      </c>
      <c r="J51" s="183">
        <v>21500</v>
      </c>
      <c r="K51" s="64">
        <v>21458</v>
      </c>
      <c r="L51" s="64">
        <v>0</v>
      </c>
      <c r="M51" s="64">
        <v>233345209</v>
      </c>
      <c r="N51" s="64">
        <v>1504500000</v>
      </c>
    </row>
    <row r="52" spans="2:14" ht="15" customHeight="1">
      <c r="B52" s="46"/>
      <c r="C52" s="46"/>
      <c r="D52" s="46"/>
      <c r="E52" s="62" t="s">
        <v>190</v>
      </c>
      <c r="F52" s="64">
        <v>2</v>
      </c>
      <c r="G52" s="64">
        <v>6</v>
      </c>
      <c r="H52" s="64">
        <v>0</v>
      </c>
      <c r="I52" s="64">
        <v>0</v>
      </c>
      <c r="J52" s="183">
        <v>6400</v>
      </c>
      <c r="K52" s="64">
        <v>6400</v>
      </c>
      <c r="L52" s="64">
        <v>0</v>
      </c>
      <c r="M52" s="64">
        <v>44382492</v>
      </c>
      <c r="N52" s="64">
        <v>348000000</v>
      </c>
    </row>
    <row r="53" spans="2:14" ht="15" customHeight="1">
      <c r="B53" s="46"/>
      <c r="C53" s="46"/>
      <c r="D53" s="199" t="s">
        <v>1380</v>
      </c>
      <c r="E53" s="200"/>
      <c r="F53" s="201">
        <v>204</v>
      </c>
      <c r="G53" s="201">
        <v>294</v>
      </c>
      <c r="H53" s="201">
        <v>17</v>
      </c>
      <c r="I53" s="201">
        <v>20</v>
      </c>
      <c r="J53" s="202">
        <v>251975</v>
      </c>
      <c r="K53" s="201">
        <v>250308</v>
      </c>
      <c r="L53" s="201">
        <v>0</v>
      </c>
      <c r="M53" s="201">
        <v>1881436775.3727272</v>
      </c>
      <c r="N53" s="201">
        <v>12305465000</v>
      </c>
    </row>
    <row r="54" spans="2:14" ht="15" customHeight="1">
      <c r="B54" s="46"/>
      <c r="C54" s="46"/>
      <c r="D54" s="9" t="s">
        <v>1377</v>
      </c>
      <c r="E54" s="9" t="s">
        <v>427</v>
      </c>
      <c r="F54" s="63">
        <v>5</v>
      </c>
      <c r="G54" s="63">
        <v>5</v>
      </c>
      <c r="H54" s="63">
        <v>0</v>
      </c>
      <c r="I54" s="63">
        <v>0</v>
      </c>
      <c r="J54" s="182">
        <v>5200</v>
      </c>
      <c r="K54" s="63">
        <v>5344</v>
      </c>
      <c r="L54" s="63">
        <v>0</v>
      </c>
      <c r="M54" s="63">
        <v>154734550</v>
      </c>
      <c r="N54" s="63">
        <v>668800000</v>
      </c>
    </row>
    <row r="55" spans="2:14" ht="15" customHeight="1">
      <c r="B55" s="46"/>
      <c r="C55" s="46"/>
      <c r="D55" s="46"/>
      <c r="E55" s="62" t="s">
        <v>74</v>
      </c>
      <c r="F55" s="64">
        <v>7</v>
      </c>
      <c r="G55" s="64">
        <v>9</v>
      </c>
      <c r="H55" s="64">
        <v>0</v>
      </c>
      <c r="I55" s="64">
        <v>0</v>
      </c>
      <c r="J55" s="183">
        <v>11600</v>
      </c>
      <c r="K55" s="64">
        <v>12311</v>
      </c>
      <c r="L55" s="64">
        <v>0</v>
      </c>
      <c r="M55" s="64">
        <v>658816000</v>
      </c>
      <c r="N55" s="64">
        <v>2756800000</v>
      </c>
    </row>
    <row r="56" spans="2:14" ht="15" customHeight="1">
      <c r="B56" s="46"/>
      <c r="C56" s="46"/>
      <c r="D56" s="46"/>
      <c r="E56" s="62" t="s">
        <v>1639</v>
      </c>
      <c r="F56" s="64">
        <v>2</v>
      </c>
      <c r="G56" s="64">
        <v>3</v>
      </c>
      <c r="H56" s="64">
        <v>0</v>
      </c>
      <c r="I56" s="64">
        <v>0</v>
      </c>
      <c r="J56" s="183">
        <v>4000</v>
      </c>
      <c r="K56" s="64">
        <v>3954</v>
      </c>
      <c r="L56" s="64">
        <v>0</v>
      </c>
      <c r="M56" s="64">
        <v>68002542.5</v>
      </c>
      <c r="N56" s="64">
        <v>316000000</v>
      </c>
    </row>
    <row r="57" spans="2:14" ht="15" customHeight="1">
      <c r="B57" s="46"/>
      <c r="C57" s="46"/>
      <c r="D57" s="46"/>
      <c r="E57" s="62" t="s">
        <v>421</v>
      </c>
      <c r="F57" s="64">
        <v>4</v>
      </c>
      <c r="G57" s="64">
        <v>5</v>
      </c>
      <c r="H57" s="64">
        <v>0</v>
      </c>
      <c r="I57" s="64">
        <v>0</v>
      </c>
      <c r="J57" s="183">
        <v>5200</v>
      </c>
      <c r="K57" s="64">
        <v>5254</v>
      </c>
      <c r="L57" s="64">
        <v>0</v>
      </c>
      <c r="M57" s="64">
        <v>116973070</v>
      </c>
      <c r="N57" s="64">
        <v>522800000</v>
      </c>
    </row>
    <row r="58" spans="2:14" ht="15" customHeight="1">
      <c r="B58" s="46"/>
      <c r="C58" s="46"/>
      <c r="D58" s="46"/>
      <c r="E58" s="62" t="s">
        <v>414</v>
      </c>
      <c r="F58" s="64">
        <v>5</v>
      </c>
      <c r="G58" s="64">
        <v>6</v>
      </c>
      <c r="H58" s="64">
        <v>0</v>
      </c>
      <c r="I58" s="64">
        <v>0</v>
      </c>
      <c r="J58" s="183">
        <v>7000</v>
      </c>
      <c r="K58" s="64">
        <v>7006</v>
      </c>
      <c r="L58" s="64">
        <v>0</v>
      </c>
      <c r="M58" s="64">
        <v>120389832.5</v>
      </c>
      <c r="N58" s="64">
        <v>573000000</v>
      </c>
    </row>
    <row r="59" spans="2:14" ht="15" customHeight="1">
      <c r="B59" s="46"/>
      <c r="C59" s="46"/>
      <c r="D59" s="199" t="s">
        <v>1381</v>
      </c>
      <c r="E59" s="200"/>
      <c r="F59" s="201">
        <v>23</v>
      </c>
      <c r="G59" s="201">
        <v>28</v>
      </c>
      <c r="H59" s="201">
        <v>0</v>
      </c>
      <c r="I59" s="201">
        <v>0</v>
      </c>
      <c r="J59" s="202">
        <v>33000</v>
      </c>
      <c r="K59" s="201">
        <v>33869</v>
      </c>
      <c r="L59" s="201">
        <v>0</v>
      </c>
      <c r="M59" s="201">
        <v>1118915995</v>
      </c>
      <c r="N59" s="201">
        <v>4837400000</v>
      </c>
    </row>
    <row r="60" spans="2:14" ht="15" customHeight="1">
      <c r="B60" s="46"/>
      <c r="C60" s="9" t="s">
        <v>1614</v>
      </c>
      <c r="D60" s="9" t="s">
        <v>401</v>
      </c>
      <c r="E60" s="9" t="s">
        <v>366</v>
      </c>
      <c r="F60" s="63">
        <v>5</v>
      </c>
      <c r="G60" s="63">
        <v>5</v>
      </c>
      <c r="H60" s="63">
        <v>0</v>
      </c>
      <c r="I60" s="63">
        <v>0</v>
      </c>
      <c r="J60" s="182">
        <v>4000</v>
      </c>
      <c r="K60" s="63">
        <v>3941</v>
      </c>
      <c r="L60" s="63">
        <v>0</v>
      </c>
      <c r="M60" s="63">
        <v>28883712</v>
      </c>
      <c r="N60" s="63">
        <v>154400000</v>
      </c>
    </row>
    <row r="61" spans="2:14" ht="15" customHeight="1">
      <c r="B61" s="46"/>
      <c r="C61" s="46"/>
      <c r="D61" s="46"/>
      <c r="E61" s="62" t="s">
        <v>339</v>
      </c>
      <c r="F61" s="64">
        <v>2</v>
      </c>
      <c r="G61" s="64">
        <v>2</v>
      </c>
      <c r="H61" s="64">
        <v>0</v>
      </c>
      <c r="I61" s="64">
        <v>0</v>
      </c>
      <c r="J61" s="183">
        <v>1600</v>
      </c>
      <c r="K61" s="64">
        <v>1600</v>
      </c>
      <c r="L61" s="64">
        <v>0</v>
      </c>
      <c r="M61" s="64">
        <v>9791657.6000000015</v>
      </c>
      <c r="N61" s="64">
        <v>72000000</v>
      </c>
    </row>
    <row r="62" spans="2:14" ht="15" customHeight="1">
      <c r="B62" s="46"/>
      <c r="C62" s="46"/>
      <c r="D62" s="199" t="s">
        <v>1378</v>
      </c>
      <c r="E62" s="200"/>
      <c r="F62" s="201">
        <v>7</v>
      </c>
      <c r="G62" s="201">
        <v>7</v>
      </c>
      <c r="H62" s="201">
        <v>0</v>
      </c>
      <c r="I62" s="201">
        <v>0</v>
      </c>
      <c r="J62" s="202">
        <v>5600</v>
      </c>
      <c r="K62" s="201">
        <v>5541</v>
      </c>
      <c r="L62" s="201">
        <v>0</v>
      </c>
      <c r="M62" s="201">
        <v>38675369.600000001</v>
      </c>
      <c r="N62" s="201">
        <v>226400000</v>
      </c>
    </row>
    <row r="63" spans="2:14" ht="15" customHeight="1">
      <c r="B63" s="46"/>
      <c r="C63" s="46"/>
      <c r="D63" s="9" t="s">
        <v>1375</v>
      </c>
      <c r="E63" s="9" t="s">
        <v>49</v>
      </c>
      <c r="F63" s="63">
        <v>8</v>
      </c>
      <c r="G63" s="63">
        <v>8</v>
      </c>
      <c r="H63" s="63">
        <v>1</v>
      </c>
      <c r="I63" s="63">
        <v>1</v>
      </c>
      <c r="J63" s="182">
        <v>10100</v>
      </c>
      <c r="K63" s="63">
        <v>10091</v>
      </c>
      <c r="L63" s="63">
        <v>0</v>
      </c>
      <c r="M63" s="63">
        <v>80907304</v>
      </c>
      <c r="N63" s="63">
        <v>473700000</v>
      </c>
    </row>
    <row r="64" spans="2:14" ht="15" customHeight="1">
      <c r="B64" s="46"/>
      <c r="C64" s="46"/>
      <c r="D64" s="46"/>
      <c r="E64" s="62" t="s">
        <v>283</v>
      </c>
      <c r="F64" s="64">
        <v>5</v>
      </c>
      <c r="G64" s="64">
        <v>9</v>
      </c>
      <c r="H64" s="64">
        <v>0</v>
      </c>
      <c r="I64" s="64">
        <v>0</v>
      </c>
      <c r="J64" s="183">
        <v>5800</v>
      </c>
      <c r="K64" s="64">
        <v>5775</v>
      </c>
      <c r="L64" s="64">
        <v>0</v>
      </c>
      <c r="M64" s="64">
        <v>33806000.000000007</v>
      </c>
      <c r="N64" s="64">
        <v>219000000</v>
      </c>
    </row>
    <row r="65" spans="2:14" ht="15" customHeight="1">
      <c r="B65" s="46"/>
      <c r="C65" s="46"/>
      <c r="D65" s="46"/>
      <c r="E65" s="62" t="s">
        <v>315</v>
      </c>
      <c r="F65" s="64">
        <v>12</v>
      </c>
      <c r="G65" s="64">
        <v>17</v>
      </c>
      <c r="H65" s="64">
        <v>2</v>
      </c>
      <c r="I65" s="64">
        <v>2</v>
      </c>
      <c r="J65" s="183">
        <v>18200</v>
      </c>
      <c r="K65" s="64">
        <v>18187</v>
      </c>
      <c r="L65" s="64">
        <v>0</v>
      </c>
      <c r="M65" s="64">
        <v>155260377</v>
      </c>
      <c r="N65" s="64">
        <v>883400000</v>
      </c>
    </row>
    <row r="66" spans="2:14" ht="15" customHeight="1">
      <c r="B66" s="46"/>
      <c r="C66" s="46"/>
      <c r="D66" s="46"/>
      <c r="E66" s="62" t="s">
        <v>324</v>
      </c>
      <c r="F66" s="64">
        <v>21</v>
      </c>
      <c r="G66" s="64">
        <v>21</v>
      </c>
      <c r="H66" s="64">
        <v>2</v>
      </c>
      <c r="I66" s="64">
        <v>2</v>
      </c>
      <c r="J66" s="183">
        <v>25630</v>
      </c>
      <c r="K66" s="64">
        <v>25246</v>
      </c>
      <c r="L66" s="64">
        <v>0</v>
      </c>
      <c r="M66" s="64">
        <v>220791437.00000003</v>
      </c>
      <c r="N66" s="64">
        <v>1368450000</v>
      </c>
    </row>
    <row r="67" spans="2:14" ht="15" customHeight="1">
      <c r="B67" s="46"/>
      <c r="C67" s="46"/>
      <c r="D67" s="46"/>
      <c r="E67" s="62" t="s">
        <v>1484</v>
      </c>
      <c r="F67" s="64">
        <v>6</v>
      </c>
      <c r="G67" s="64">
        <v>9</v>
      </c>
      <c r="H67" s="64">
        <v>0</v>
      </c>
      <c r="I67" s="64">
        <v>0</v>
      </c>
      <c r="J67" s="183">
        <v>11900</v>
      </c>
      <c r="K67" s="64">
        <v>12099</v>
      </c>
      <c r="L67" s="64">
        <v>0</v>
      </c>
      <c r="M67" s="64">
        <v>86199260</v>
      </c>
      <c r="N67" s="64">
        <v>543500000</v>
      </c>
    </row>
    <row r="68" spans="2:14" ht="15" customHeight="1">
      <c r="B68" s="46"/>
      <c r="C68" s="46"/>
      <c r="D68" s="46"/>
      <c r="E68" s="62" t="s">
        <v>331</v>
      </c>
      <c r="F68" s="64">
        <v>6</v>
      </c>
      <c r="G68" s="64">
        <v>8</v>
      </c>
      <c r="H68" s="64">
        <v>0</v>
      </c>
      <c r="I68" s="64">
        <v>0</v>
      </c>
      <c r="J68" s="183">
        <v>8600</v>
      </c>
      <c r="K68" s="64">
        <v>8588</v>
      </c>
      <c r="L68" s="64">
        <v>0</v>
      </c>
      <c r="M68" s="64">
        <v>80744376</v>
      </c>
      <c r="N68" s="64">
        <v>487400000</v>
      </c>
    </row>
    <row r="69" spans="2:14" ht="15" customHeight="1">
      <c r="B69" s="46"/>
      <c r="C69" s="46"/>
      <c r="D69" s="46"/>
      <c r="E69" s="62" t="s">
        <v>190</v>
      </c>
      <c r="F69" s="64">
        <v>1</v>
      </c>
      <c r="G69" s="64">
        <v>1</v>
      </c>
      <c r="H69" s="64">
        <v>0</v>
      </c>
      <c r="I69" s="64">
        <v>0</v>
      </c>
      <c r="J69" s="183">
        <v>1200</v>
      </c>
      <c r="K69" s="64">
        <v>1200</v>
      </c>
      <c r="L69" s="64">
        <v>0</v>
      </c>
      <c r="M69" s="64">
        <v>8232840.0000000019</v>
      </c>
      <c r="N69" s="64">
        <v>63600000</v>
      </c>
    </row>
    <row r="70" spans="2:14" ht="15" customHeight="1">
      <c r="B70" s="46"/>
      <c r="C70" s="46"/>
      <c r="D70" s="46"/>
      <c r="E70" s="62" t="s">
        <v>306</v>
      </c>
      <c r="F70" s="64">
        <v>1</v>
      </c>
      <c r="G70" s="64">
        <v>2</v>
      </c>
      <c r="H70" s="64">
        <v>0</v>
      </c>
      <c r="I70" s="64">
        <v>0</v>
      </c>
      <c r="J70" s="183">
        <v>3000</v>
      </c>
      <c r="K70" s="64">
        <v>2983</v>
      </c>
      <c r="L70" s="64">
        <v>0</v>
      </c>
      <c r="M70" s="64">
        <v>30149159.999999996</v>
      </c>
      <c r="N70" s="64">
        <v>165000000</v>
      </c>
    </row>
    <row r="71" spans="2:14" ht="15" customHeight="1">
      <c r="B71" s="46"/>
      <c r="C71" s="46"/>
      <c r="D71" s="199" t="s">
        <v>1380</v>
      </c>
      <c r="E71" s="200"/>
      <c r="F71" s="201">
        <v>60</v>
      </c>
      <c r="G71" s="201">
        <v>75</v>
      </c>
      <c r="H71" s="201">
        <v>5</v>
      </c>
      <c r="I71" s="201">
        <v>5</v>
      </c>
      <c r="J71" s="202">
        <v>84430</v>
      </c>
      <c r="K71" s="201">
        <v>84169</v>
      </c>
      <c r="L71" s="201">
        <v>0</v>
      </c>
      <c r="M71" s="201">
        <v>696090754</v>
      </c>
      <c r="N71" s="201">
        <v>4204050000</v>
      </c>
    </row>
    <row r="72" spans="2:14" ht="15" customHeight="1">
      <c r="B72" s="46"/>
      <c r="C72" s="46"/>
      <c r="D72" s="9" t="s">
        <v>1377</v>
      </c>
      <c r="E72" s="9" t="s">
        <v>427</v>
      </c>
      <c r="F72" s="63">
        <v>4</v>
      </c>
      <c r="G72" s="63">
        <v>4</v>
      </c>
      <c r="H72" s="63">
        <v>0</v>
      </c>
      <c r="I72" s="63">
        <v>0</v>
      </c>
      <c r="J72" s="182">
        <v>4000</v>
      </c>
      <c r="K72" s="63">
        <v>4194</v>
      </c>
      <c r="L72" s="63">
        <v>0</v>
      </c>
      <c r="M72" s="63">
        <v>95136500</v>
      </c>
      <c r="N72" s="63">
        <v>466000000</v>
      </c>
    </row>
    <row r="73" spans="2:14" ht="15" customHeight="1">
      <c r="B73" s="46"/>
      <c r="C73" s="46"/>
      <c r="D73" s="46"/>
      <c r="E73" s="62" t="s">
        <v>74</v>
      </c>
      <c r="F73" s="64">
        <v>3</v>
      </c>
      <c r="G73" s="64">
        <v>7</v>
      </c>
      <c r="H73" s="64">
        <v>0</v>
      </c>
      <c r="I73" s="64">
        <v>0</v>
      </c>
      <c r="J73" s="183">
        <v>9500</v>
      </c>
      <c r="K73" s="64">
        <v>10109</v>
      </c>
      <c r="L73" s="64">
        <v>0</v>
      </c>
      <c r="M73" s="64">
        <v>474519625</v>
      </c>
      <c r="N73" s="64">
        <v>1953000000</v>
      </c>
    </row>
    <row r="74" spans="2:14" ht="15" customHeight="1">
      <c r="B74" s="46"/>
      <c r="C74" s="46"/>
      <c r="D74" s="46"/>
      <c r="E74" s="62" t="s">
        <v>1639</v>
      </c>
      <c r="F74" s="64">
        <v>3</v>
      </c>
      <c r="G74" s="64">
        <v>3</v>
      </c>
      <c r="H74" s="64">
        <v>0</v>
      </c>
      <c r="I74" s="64">
        <v>0</v>
      </c>
      <c r="J74" s="183">
        <v>3200</v>
      </c>
      <c r="K74" s="64">
        <v>3235</v>
      </c>
      <c r="L74" s="64">
        <v>0</v>
      </c>
      <c r="M74" s="64">
        <v>57207565</v>
      </c>
      <c r="N74" s="64">
        <v>250800000</v>
      </c>
    </row>
    <row r="75" spans="2:14" ht="15" customHeight="1">
      <c r="B75" s="46"/>
      <c r="C75" s="46"/>
      <c r="D75" s="46"/>
      <c r="E75" s="62" t="s">
        <v>421</v>
      </c>
      <c r="F75" s="64">
        <v>4</v>
      </c>
      <c r="G75" s="64">
        <v>6</v>
      </c>
      <c r="H75" s="64">
        <v>0</v>
      </c>
      <c r="I75" s="64">
        <v>0</v>
      </c>
      <c r="J75" s="183">
        <v>6200</v>
      </c>
      <c r="K75" s="64">
        <v>6249</v>
      </c>
      <c r="L75" s="64">
        <v>0</v>
      </c>
      <c r="M75" s="64">
        <v>124591450</v>
      </c>
      <c r="N75" s="64">
        <v>573800000</v>
      </c>
    </row>
    <row r="76" spans="2:14" ht="15" customHeight="1">
      <c r="B76" s="46"/>
      <c r="C76" s="46"/>
      <c r="D76" s="46"/>
      <c r="E76" s="62" t="s">
        <v>414</v>
      </c>
      <c r="F76" s="64">
        <v>5</v>
      </c>
      <c r="G76" s="64">
        <v>7</v>
      </c>
      <c r="H76" s="64">
        <v>0</v>
      </c>
      <c r="I76" s="64">
        <v>0</v>
      </c>
      <c r="J76" s="183">
        <v>8400</v>
      </c>
      <c r="K76" s="64">
        <v>8542</v>
      </c>
      <c r="L76" s="64">
        <v>0</v>
      </c>
      <c r="M76" s="64">
        <v>133872300</v>
      </c>
      <c r="N76" s="64">
        <v>615600000</v>
      </c>
    </row>
    <row r="77" spans="2:14" ht="15" customHeight="1">
      <c r="B77" s="46"/>
      <c r="C77" s="46"/>
      <c r="D77" s="46"/>
      <c r="E77" s="62" t="s">
        <v>1641</v>
      </c>
      <c r="F77" s="64">
        <v>1</v>
      </c>
      <c r="G77" s="64">
        <v>1</v>
      </c>
      <c r="H77" s="64">
        <v>0</v>
      </c>
      <c r="I77" s="64">
        <v>0</v>
      </c>
      <c r="J77" s="183">
        <v>1000</v>
      </c>
      <c r="K77" s="64">
        <v>1078</v>
      </c>
      <c r="L77" s="64">
        <v>0</v>
      </c>
      <c r="M77" s="64">
        <v>24852500</v>
      </c>
      <c r="N77" s="64">
        <v>98000000</v>
      </c>
    </row>
    <row r="78" spans="2:14" ht="15" customHeight="1">
      <c r="B78" s="46"/>
      <c r="C78" s="46"/>
      <c r="D78" s="199" t="s">
        <v>1381</v>
      </c>
      <c r="E78" s="200"/>
      <c r="F78" s="201">
        <v>20</v>
      </c>
      <c r="G78" s="201">
        <v>28</v>
      </c>
      <c r="H78" s="201">
        <v>0</v>
      </c>
      <c r="I78" s="201">
        <v>0</v>
      </c>
      <c r="J78" s="202">
        <v>32300</v>
      </c>
      <c r="K78" s="201">
        <v>33407</v>
      </c>
      <c r="L78" s="201">
        <v>0</v>
      </c>
      <c r="M78" s="201">
        <v>910179940</v>
      </c>
      <c r="N78" s="201">
        <v>3957200000</v>
      </c>
    </row>
    <row r="79" spans="2:14" ht="15" customHeight="1">
      <c r="B79" s="9" t="s">
        <v>1400</v>
      </c>
      <c r="C79" s="12"/>
      <c r="D79" s="12"/>
      <c r="E79" s="12"/>
      <c r="F79" s="63">
        <v>314</v>
      </c>
      <c r="G79" s="63">
        <v>432</v>
      </c>
      <c r="H79" s="63">
        <v>22</v>
      </c>
      <c r="I79" s="63">
        <v>25</v>
      </c>
      <c r="J79" s="182">
        <v>407305</v>
      </c>
      <c r="K79" s="63">
        <v>407294</v>
      </c>
      <c r="L79" s="63">
        <v>0</v>
      </c>
      <c r="M79" s="63">
        <v>4645298833.9727268</v>
      </c>
      <c r="N79" s="63">
        <v>25530515000</v>
      </c>
    </row>
    <row r="80" spans="2:14" ht="15" customHeight="1">
      <c r="B80" s="9" t="s">
        <v>1486</v>
      </c>
      <c r="C80" s="9" t="s">
        <v>1486</v>
      </c>
      <c r="D80" s="9" t="s">
        <v>1486</v>
      </c>
      <c r="E80" s="9" t="s">
        <v>1486</v>
      </c>
      <c r="F80" s="63"/>
      <c r="G80" s="63"/>
      <c r="H80" s="63"/>
      <c r="I80" s="63"/>
      <c r="J80" s="182"/>
      <c r="K80" s="63"/>
      <c r="L80" s="63"/>
      <c r="M80" s="63"/>
      <c r="N80" s="63"/>
    </row>
    <row r="81" spans="2:14" ht="15" customHeight="1">
      <c r="B81" s="46"/>
      <c r="C81" s="46"/>
      <c r="D81" s="199" t="s">
        <v>1487</v>
      </c>
      <c r="E81" s="200"/>
      <c r="F81" s="201"/>
      <c r="G81" s="201"/>
      <c r="H81" s="201"/>
      <c r="I81" s="201"/>
      <c r="J81" s="202"/>
      <c r="K81" s="201"/>
      <c r="L81" s="201"/>
      <c r="M81" s="201"/>
      <c r="N81" s="201"/>
    </row>
    <row r="82" spans="2:14" ht="15" customHeight="1">
      <c r="B82" s="9" t="s">
        <v>1642</v>
      </c>
      <c r="C82" s="12"/>
      <c r="D82" s="12"/>
      <c r="E82" s="12"/>
      <c r="F82" s="63"/>
      <c r="G82" s="63"/>
      <c r="H82" s="63"/>
      <c r="I82" s="63"/>
      <c r="J82" s="182"/>
      <c r="K82" s="63"/>
      <c r="L82" s="63"/>
      <c r="M82" s="63"/>
      <c r="N82" s="63"/>
    </row>
    <row r="83" spans="2:14" ht="15" customHeight="1">
      <c r="B83" s="53" t="s">
        <v>39</v>
      </c>
      <c r="C83" s="13"/>
      <c r="D83" s="13"/>
      <c r="E83" s="54"/>
      <c r="F83" s="65">
        <v>621</v>
      </c>
      <c r="G83" s="65">
        <v>785</v>
      </c>
      <c r="H83" s="65">
        <v>42</v>
      </c>
      <c r="I83" s="65">
        <v>45</v>
      </c>
      <c r="J83" s="185">
        <v>781404</v>
      </c>
      <c r="K83" s="65">
        <v>778550</v>
      </c>
      <c r="L83" s="65">
        <v>0</v>
      </c>
      <c r="M83" s="65">
        <v>7663032733.7945461</v>
      </c>
      <c r="N83" s="65">
        <v>43708920000</v>
      </c>
    </row>
    <row r="84" spans="2:14" ht="15" customHeight="1">
      <c r="B84"/>
      <c r="C84"/>
      <c r="D84"/>
      <c r="E84"/>
      <c r="F84"/>
      <c r="G84"/>
      <c r="H84"/>
      <c r="I84"/>
      <c r="J84"/>
      <c r="K84"/>
      <c r="L84"/>
      <c r="M84"/>
      <c r="N84"/>
    </row>
    <row r="85" spans="2:14" ht="15" customHeight="1">
      <c r="B85"/>
      <c r="C85"/>
      <c r="D85"/>
      <c r="E85"/>
      <c r="F85"/>
      <c r="G85"/>
      <c r="H85"/>
      <c r="I85"/>
      <c r="J85"/>
      <c r="K85"/>
      <c r="L85"/>
      <c r="M85"/>
      <c r="N85"/>
    </row>
    <row r="86" spans="2:14" ht="15" customHeight="1">
      <c r="B86"/>
      <c r="C86"/>
      <c r="D86"/>
      <c r="E86"/>
      <c r="F86"/>
      <c r="G86"/>
      <c r="H86"/>
      <c r="I86"/>
      <c r="J86"/>
      <c r="K86"/>
      <c r="L86"/>
      <c r="M86"/>
      <c r="N86"/>
    </row>
    <row r="87" spans="2:14" ht="15" customHeight="1">
      <c r="B87"/>
      <c r="C87"/>
      <c r="D87"/>
      <c r="E87"/>
      <c r="F87"/>
      <c r="G87"/>
      <c r="H87"/>
      <c r="I87"/>
      <c r="J87"/>
      <c r="K87"/>
      <c r="L87"/>
      <c r="M87"/>
      <c r="N87"/>
    </row>
    <row r="88" spans="2:14" ht="15" customHeight="1">
      <c r="B88"/>
      <c r="C88"/>
      <c r="D88"/>
      <c r="E88"/>
      <c r="F88"/>
      <c r="G88"/>
      <c r="H88"/>
      <c r="I88"/>
      <c r="J88"/>
      <c r="K88"/>
      <c r="L88"/>
      <c r="M88"/>
      <c r="N88"/>
    </row>
    <row r="89" spans="2:14" ht="15" customHeight="1">
      <c r="B89"/>
      <c r="C89"/>
      <c r="D89"/>
      <c r="E89"/>
      <c r="F89"/>
      <c r="G89"/>
      <c r="H89"/>
      <c r="I89"/>
      <c r="J89"/>
      <c r="K89"/>
      <c r="L89"/>
      <c r="M89"/>
      <c r="N89"/>
    </row>
    <row r="90" spans="2:14" ht="15" customHeight="1">
      <c r="B90"/>
      <c r="C90"/>
      <c r="D90"/>
      <c r="E90"/>
      <c r="F90"/>
      <c r="G90"/>
      <c r="H90"/>
      <c r="I90"/>
      <c r="J90"/>
      <c r="K90"/>
      <c r="L90"/>
      <c r="M90"/>
      <c r="N90"/>
    </row>
    <row r="91" spans="2:14" ht="15" customHeight="1">
      <c r="B91"/>
      <c r="C91"/>
      <c r="D91"/>
      <c r="E91"/>
      <c r="F91"/>
      <c r="G91"/>
      <c r="H91"/>
      <c r="I91"/>
      <c r="J91"/>
      <c r="K91"/>
      <c r="L91"/>
      <c r="M91"/>
      <c r="N91"/>
    </row>
    <row r="92" spans="2:14" ht="15" customHeight="1">
      <c r="B92"/>
      <c r="C92"/>
      <c r="D92"/>
      <c r="E92"/>
      <c r="F92"/>
      <c r="G92"/>
      <c r="H92"/>
      <c r="I92"/>
      <c r="J92"/>
      <c r="K92"/>
      <c r="L92"/>
      <c r="M92"/>
      <c r="N92"/>
    </row>
    <row r="93" spans="2:14" ht="15" customHeight="1">
      <c r="B93"/>
      <c r="C93"/>
      <c r="D93"/>
      <c r="E93"/>
      <c r="F93"/>
      <c r="G93"/>
      <c r="H93"/>
      <c r="I93"/>
      <c r="J93"/>
      <c r="K93"/>
      <c r="L93"/>
      <c r="M93"/>
      <c r="N93"/>
    </row>
    <row r="94" spans="2:14" ht="15" customHeight="1">
      <c r="B94"/>
      <c r="C94"/>
      <c r="D94"/>
      <c r="E94"/>
      <c r="F94"/>
      <c r="G94"/>
      <c r="H94"/>
      <c r="I94"/>
      <c r="J94"/>
      <c r="K94"/>
      <c r="L94"/>
      <c r="M94"/>
      <c r="N94"/>
    </row>
    <row r="95" spans="2:14" ht="15" customHeight="1">
      <c r="B95"/>
      <c r="C95"/>
      <c r="D95"/>
      <c r="E95"/>
      <c r="F95"/>
      <c r="G95"/>
      <c r="H95"/>
      <c r="I95"/>
      <c r="J95"/>
      <c r="K95"/>
      <c r="L95"/>
      <c r="M95"/>
      <c r="N95"/>
    </row>
    <row r="96" spans="2:14" ht="15" customHeight="1">
      <c r="B96"/>
      <c r="C96"/>
      <c r="D96"/>
      <c r="E96"/>
      <c r="F96"/>
      <c r="G96"/>
      <c r="H96"/>
      <c r="I96"/>
      <c r="J96"/>
      <c r="K96"/>
      <c r="L96"/>
      <c r="M96"/>
      <c r="N96"/>
    </row>
    <row r="97" spans="2:14" ht="15" customHeight="1">
      <c r="B97"/>
      <c r="C97"/>
      <c r="D97"/>
      <c r="E97"/>
      <c r="F97"/>
      <c r="G97"/>
      <c r="H97"/>
      <c r="I97"/>
      <c r="J97"/>
      <c r="K97"/>
      <c r="L97"/>
      <c r="M97"/>
      <c r="N97"/>
    </row>
    <row r="98" spans="2:14" ht="15" customHeight="1">
      <c r="B98"/>
      <c r="C98"/>
      <c r="D98"/>
      <c r="E98"/>
      <c r="F98"/>
      <c r="G98"/>
      <c r="H98"/>
      <c r="I98"/>
      <c r="J98"/>
      <c r="K98"/>
      <c r="L98"/>
      <c r="M98"/>
      <c r="N98"/>
    </row>
    <row r="99" spans="2:14" ht="15" customHeight="1">
      <c r="B99"/>
      <c r="C99"/>
      <c r="D99"/>
      <c r="E99"/>
      <c r="F99"/>
      <c r="G99"/>
      <c r="H99"/>
      <c r="I99"/>
      <c r="J99"/>
      <c r="K99"/>
      <c r="L99"/>
      <c r="M99"/>
      <c r="N99"/>
    </row>
    <row r="100" spans="2:14" ht="15" customHeight="1">
      <c r="B100"/>
      <c r="C100"/>
      <c r="D100"/>
      <c r="E100"/>
      <c r="F100"/>
      <c r="G100"/>
      <c r="H100"/>
      <c r="I100"/>
      <c r="J100"/>
      <c r="K100"/>
      <c r="L100"/>
      <c r="M100"/>
      <c r="N100"/>
    </row>
    <row r="101" spans="2:14" ht="15" customHeight="1">
      <c r="B101"/>
      <c r="C101"/>
      <c r="D101"/>
      <c r="E101"/>
      <c r="F101"/>
      <c r="G101"/>
      <c r="H101"/>
      <c r="I101"/>
      <c r="J101"/>
      <c r="K101"/>
      <c r="L101"/>
      <c r="M101"/>
      <c r="N101"/>
    </row>
    <row r="102" spans="2:14" ht="15" customHeight="1">
      <c r="B102"/>
      <c r="C102"/>
      <c r="D102"/>
      <c r="E102"/>
      <c r="F102"/>
      <c r="G102"/>
      <c r="H102"/>
      <c r="I102"/>
      <c r="J102"/>
      <c r="K102"/>
      <c r="L102"/>
      <c r="M102"/>
      <c r="N102"/>
    </row>
    <row r="103" spans="2:14" ht="15" customHeight="1">
      <c r="B103"/>
      <c r="C103"/>
      <c r="D103"/>
      <c r="E103"/>
      <c r="F103"/>
      <c r="G103"/>
      <c r="H103"/>
      <c r="I103"/>
      <c r="J103"/>
      <c r="K103"/>
      <c r="L103"/>
      <c r="M103"/>
      <c r="N103"/>
    </row>
    <row r="104" spans="2:14" ht="15" customHeight="1">
      <c r="B104"/>
      <c r="C104"/>
      <c r="D104"/>
      <c r="E104"/>
      <c r="F104"/>
      <c r="G104"/>
      <c r="H104"/>
      <c r="I104"/>
      <c r="J104"/>
      <c r="K104"/>
      <c r="L104"/>
      <c r="M104"/>
      <c r="N104"/>
    </row>
    <row r="105" spans="2:14" ht="15" customHeight="1">
      <c r="B105"/>
      <c r="C105"/>
      <c r="D105"/>
      <c r="E105"/>
      <c r="F105"/>
      <c r="G105"/>
      <c r="H105"/>
      <c r="I105"/>
      <c r="J105"/>
      <c r="K105"/>
      <c r="L105"/>
      <c r="M105"/>
      <c r="N105"/>
    </row>
    <row r="106" spans="2:14" ht="15" customHeight="1">
      <c r="B106"/>
      <c r="C106"/>
      <c r="D106"/>
      <c r="E106"/>
      <c r="F106"/>
      <c r="G106"/>
      <c r="H106"/>
      <c r="I106"/>
      <c r="J106"/>
      <c r="K106"/>
      <c r="L106"/>
      <c r="M106"/>
      <c r="N106"/>
    </row>
    <row r="107" spans="2:14" ht="15" customHeight="1">
      <c r="B107"/>
      <c r="C107"/>
      <c r="D107"/>
      <c r="E107"/>
      <c r="F107"/>
      <c r="G107"/>
      <c r="H107"/>
      <c r="I107"/>
      <c r="J107"/>
      <c r="K107"/>
      <c r="L107"/>
      <c r="M107"/>
      <c r="N107"/>
    </row>
    <row r="108" spans="2:14" ht="15" customHeight="1">
      <c r="B108"/>
      <c r="C108"/>
      <c r="D108"/>
      <c r="E108"/>
      <c r="F108"/>
      <c r="G108"/>
      <c r="H108"/>
      <c r="I108"/>
      <c r="J108"/>
      <c r="K108"/>
      <c r="L108"/>
      <c r="M108"/>
      <c r="N108"/>
    </row>
    <row r="109" spans="2:14" ht="15" customHeight="1">
      <c r="B109"/>
      <c r="C109"/>
      <c r="D109"/>
      <c r="E109"/>
      <c r="F109"/>
      <c r="G109"/>
      <c r="H109"/>
      <c r="I109"/>
      <c r="J109"/>
      <c r="K109"/>
      <c r="L109"/>
      <c r="M109"/>
      <c r="N109"/>
    </row>
    <row r="110" spans="2:14" ht="15" customHeight="1">
      <c r="B110"/>
      <c r="C110"/>
      <c r="D110"/>
      <c r="E110"/>
      <c r="F110"/>
      <c r="G110"/>
      <c r="H110"/>
      <c r="I110"/>
      <c r="J110"/>
      <c r="K110"/>
      <c r="L110"/>
      <c r="M110"/>
      <c r="N110"/>
    </row>
    <row r="111" spans="2:14" ht="15" customHeight="1">
      <c r="B111"/>
      <c r="C111"/>
      <c r="D111"/>
      <c r="E111"/>
      <c r="F111"/>
      <c r="G111"/>
      <c r="H111"/>
      <c r="I111"/>
      <c r="J111"/>
      <c r="K111"/>
      <c r="L111"/>
      <c r="M111"/>
      <c r="N111"/>
    </row>
    <row r="112" spans="2:14" ht="15" customHeight="1">
      <c r="B112"/>
      <c r="C112"/>
      <c r="D112"/>
      <c r="E112"/>
      <c r="F112"/>
      <c r="G112"/>
      <c r="H112"/>
      <c r="I112"/>
      <c r="J112"/>
      <c r="K112"/>
      <c r="L112"/>
      <c r="M112"/>
      <c r="N112"/>
    </row>
    <row r="113" spans="2:14" ht="15" customHeight="1">
      <c r="B113"/>
      <c r="C113"/>
      <c r="D113"/>
      <c r="E113"/>
      <c r="F113"/>
      <c r="G113"/>
      <c r="H113"/>
      <c r="I113"/>
      <c r="J113"/>
      <c r="K113"/>
      <c r="L113"/>
      <c r="M113"/>
      <c r="N113"/>
    </row>
    <row r="114" spans="2:14" ht="15" customHeight="1">
      <c r="B114"/>
      <c r="C114"/>
      <c r="D114"/>
      <c r="E114"/>
      <c r="F114"/>
      <c r="G114"/>
      <c r="H114"/>
      <c r="I114"/>
      <c r="J114"/>
      <c r="K114"/>
      <c r="L114"/>
      <c r="M114"/>
      <c r="N114"/>
    </row>
    <row r="115" spans="2:14" ht="15" customHeight="1">
      <c r="B115"/>
      <c r="C115"/>
      <c r="D115"/>
      <c r="E115"/>
      <c r="F115"/>
      <c r="G115"/>
      <c r="H115"/>
      <c r="I115"/>
      <c r="J115"/>
      <c r="K115"/>
      <c r="L115"/>
      <c r="M115"/>
      <c r="N115"/>
    </row>
    <row r="116" spans="2:14" ht="15" customHeight="1">
      <c r="B116"/>
      <c r="C116"/>
      <c r="D116"/>
      <c r="E116"/>
      <c r="F116"/>
      <c r="G116"/>
      <c r="H116"/>
      <c r="I116"/>
      <c r="J116"/>
      <c r="K116"/>
      <c r="L116"/>
      <c r="M116"/>
      <c r="N116"/>
    </row>
    <row r="117" spans="2:14" ht="15" customHeight="1">
      <c r="B117"/>
      <c r="C117"/>
      <c r="D117"/>
      <c r="E117"/>
      <c r="F117"/>
      <c r="G117"/>
      <c r="H117"/>
      <c r="I117"/>
      <c r="J117"/>
      <c r="K117"/>
      <c r="L117"/>
      <c r="M117"/>
      <c r="N117"/>
    </row>
    <row r="118" spans="2:14" ht="15" customHeight="1">
      <c r="B118"/>
      <c r="C118"/>
      <c r="D118"/>
      <c r="E118"/>
      <c r="F118"/>
      <c r="G118"/>
      <c r="H118"/>
      <c r="I118"/>
      <c r="J118"/>
      <c r="K118"/>
      <c r="L118"/>
      <c r="M118"/>
      <c r="N118"/>
    </row>
    <row r="119" spans="2:14" ht="15" customHeight="1">
      <c r="B119"/>
      <c r="C119"/>
      <c r="D119"/>
      <c r="E119"/>
      <c r="F119"/>
      <c r="G119"/>
      <c r="H119"/>
      <c r="I119"/>
      <c r="J119"/>
      <c r="K119"/>
      <c r="L119"/>
      <c r="M119"/>
      <c r="N119"/>
    </row>
    <row r="120" spans="2:14" ht="15" customHeight="1">
      <c r="B120"/>
      <c r="C120"/>
      <c r="D120"/>
      <c r="E120"/>
      <c r="F120"/>
      <c r="G120"/>
      <c r="H120"/>
      <c r="I120"/>
      <c r="J120"/>
      <c r="K120"/>
      <c r="L120"/>
      <c r="M120"/>
      <c r="N120"/>
    </row>
    <row r="121" spans="2:14" ht="15" customHeight="1">
      <c r="B121"/>
      <c r="C121"/>
      <c r="D121"/>
      <c r="E121"/>
      <c r="F121"/>
      <c r="G121"/>
      <c r="H121"/>
      <c r="I121"/>
      <c r="J121"/>
      <c r="K121"/>
      <c r="L121"/>
      <c r="M121"/>
      <c r="N121"/>
    </row>
    <row r="122" spans="2:14" ht="15" customHeight="1">
      <c r="B122"/>
      <c r="C122"/>
      <c r="D122"/>
      <c r="E122"/>
      <c r="F122"/>
      <c r="G122"/>
      <c r="H122"/>
      <c r="I122"/>
      <c r="J122"/>
      <c r="K122"/>
      <c r="L122"/>
      <c r="M122"/>
      <c r="N122"/>
    </row>
    <row r="123" spans="2:14" ht="15" customHeight="1">
      <c r="B123"/>
      <c r="C123"/>
      <c r="D123"/>
      <c r="E123"/>
      <c r="F123"/>
      <c r="G123"/>
      <c r="H123"/>
      <c r="I123"/>
      <c r="J123"/>
      <c r="K123"/>
      <c r="L123"/>
      <c r="M123"/>
      <c r="N123"/>
    </row>
    <row r="124" spans="2:14" ht="15" customHeight="1">
      <c r="B124"/>
      <c r="C124"/>
      <c r="D124"/>
      <c r="E124"/>
      <c r="F124"/>
      <c r="G124"/>
      <c r="H124"/>
      <c r="I124"/>
      <c r="J124"/>
      <c r="K124"/>
      <c r="L124"/>
      <c r="M124"/>
      <c r="N124"/>
    </row>
    <row r="125" spans="2:14" ht="15" customHeight="1">
      <c r="B125"/>
      <c r="C125"/>
      <c r="D125"/>
      <c r="E125"/>
      <c r="F125"/>
      <c r="G125"/>
      <c r="H125"/>
      <c r="I125"/>
      <c r="J125"/>
      <c r="K125"/>
      <c r="L125"/>
      <c r="M125"/>
      <c r="N125"/>
    </row>
    <row r="126" spans="2:14" ht="15" customHeight="1">
      <c r="B126"/>
      <c r="C126"/>
      <c r="D126"/>
      <c r="E126"/>
      <c r="F126"/>
      <c r="G126"/>
      <c r="H126"/>
      <c r="I126"/>
      <c r="J126"/>
      <c r="K126"/>
      <c r="L126"/>
      <c r="M126"/>
      <c r="N126"/>
    </row>
    <row r="127" spans="2:14" ht="15" customHeight="1">
      <c r="B127"/>
      <c r="C127"/>
      <c r="D127"/>
      <c r="E127"/>
      <c r="F127"/>
      <c r="G127"/>
      <c r="H127"/>
      <c r="I127"/>
      <c r="J127"/>
      <c r="K127"/>
      <c r="L127"/>
      <c r="M127"/>
      <c r="N127"/>
    </row>
    <row r="128" spans="2:14" ht="15" customHeight="1">
      <c r="B128"/>
      <c r="C128"/>
      <c r="D128"/>
      <c r="E128"/>
      <c r="F128"/>
      <c r="G128"/>
      <c r="H128"/>
      <c r="I128"/>
      <c r="J128"/>
      <c r="K128"/>
      <c r="L128"/>
      <c r="M128"/>
      <c r="N128"/>
    </row>
    <row r="129" spans="2:14" ht="15" customHeight="1">
      <c r="B129"/>
      <c r="C129"/>
      <c r="D129"/>
      <c r="E129"/>
      <c r="F129"/>
      <c r="G129"/>
      <c r="H129"/>
      <c r="I129"/>
      <c r="J129"/>
      <c r="K129"/>
      <c r="L129"/>
      <c r="M129"/>
      <c r="N129"/>
    </row>
    <row r="130" spans="2:14" ht="15" customHeight="1">
      <c r="B130"/>
      <c r="C130"/>
      <c r="D130"/>
      <c r="E130"/>
      <c r="F130"/>
      <c r="G130"/>
      <c r="H130"/>
      <c r="I130"/>
      <c r="J130"/>
      <c r="K130"/>
      <c r="L130"/>
      <c r="M130"/>
      <c r="N130"/>
    </row>
    <row r="131" spans="2:14" ht="15" customHeight="1">
      <c r="B131"/>
      <c r="C131"/>
      <c r="D131"/>
      <c r="E131"/>
      <c r="F131"/>
      <c r="G131"/>
      <c r="H131"/>
      <c r="I131"/>
      <c r="J131"/>
      <c r="K131"/>
      <c r="L131"/>
      <c r="M131"/>
      <c r="N131"/>
    </row>
    <row r="132" spans="2:14" ht="15" customHeight="1">
      <c r="B132"/>
      <c r="C132"/>
      <c r="D132"/>
      <c r="E132"/>
      <c r="F132"/>
      <c r="G132"/>
      <c r="H132"/>
      <c r="I132"/>
      <c r="J132"/>
      <c r="K132"/>
      <c r="L132"/>
      <c r="M132"/>
      <c r="N132"/>
    </row>
    <row r="133" spans="2:14" ht="15" customHeight="1">
      <c r="B133"/>
      <c r="C133"/>
      <c r="D133"/>
      <c r="E133"/>
      <c r="F133"/>
      <c r="G133"/>
      <c r="H133"/>
      <c r="I133"/>
      <c r="J133"/>
      <c r="K133"/>
      <c r="L133"/>
      <c r="M133"/>
      <c r="N133"/>
    </row>
    <row r="134" spans="2:14" ht="15" customHeight="1">
      <c r="B134"/>
      <c r="C134"/>
      <c r="D134"/>
      <c r="E134"/>
      <c r="F134"/>
      <c r="G134"/>
      <c r="H134"/>
      <c r="I134"/>
      <c r="J134"/>
      <c r="K134"/>
      <c r="L134"/>
      <c r="M134"/>
      <c r="N134"/>
    </row>
    <row r="135" spans="2:14" ht="15" customHeight="1">
      <c r="B135"/>
      <c r="C135"/>
      <c r="D135"/>
      <c r="E135"/>
      <c r="F135"/>
      <c r="G135"/>
      <c r="H135"/>
      <c r="I135"/>
      <c r="J135"/>
      <c r="K135"/>
      <c r="L135"/>
      <c r="M135"/>
      <c r="N135"/>
    </row>
    <row r="136" spans="2:14" ht="15" customHeight="1">
      <c r="B136"/>
      <c r="C136"/>
      <c r="D136"/>
      <c r="E136"/>
      <c r="F136"/>
      <c r="G136"/>
      <c r="H136"/>
      <c r="I136"/>
      <c r="J136"/>
      <c r="K136"/>
      <c r="L136"/>
      <c r="M136"/>
      <c r="N136"/>
    </row>
    <row r="137" spans="2:14" ht="15" customHeight="1">
      <c r="B137"/>
      <c r="C137"/>
      <c r="D137"/>
      <c r="E137"/>
      <c r="F137"/>
      <c r="G137"/>
      <c r="H137"/>
      <c r="I137"/>
      <c r="J137"/>
      <c r="K137"/>
      <c r="L137"/>
      <c r="M137"/>
      <c r="N137"/>
    </row>
    <row r="138" spans="2:14" ht="15" customHeight="1">
      <c r="B138"/>
      <c r="C138"/>
      <c r="D138"/>
      <c r="E138"/>
      <c r="F138"/>
      <c r="G138"/>
      <c r="H138"/>
      <c r="I138"/>
      <c r="J138"/>
      <c r="K138"/>
      <c r="L138"/>
      <c r="M138"/>
      <c r="N138"/>
    </row>
    <row r="139" spans="2:14" ht="15" customHeight="1">
      <c r="B139"/>
      <c r="C139"/>
      <c r="D139"/>
      <c r="E139"/>
      <c r="F139"/>
      <c r="G139"/>
      <c r="H139"/>
      <c r="I139"/>
      <c r="J139"/>
      <c r="K139"/>
      <c r="L139"/>
      <c r="M139"/>
      <c r="N139"/>
    </row>
    <row r="140" spans="2:14" ht="15" customHeight="1">
      <c r="B140"/>
      <c r="C140"/>
      <c r="D140"/>
      <c r="E140"/>
      <c r="F140"/>
      <c r="G140"/>
      <c r="H140"/>
      <c r="I140"/>
      <c r="J140"/>
      <c r="K140"/>
      <c r="L140"/>
      <c r="M140"/>
      <c r="N140"/>
    </row>
    <row r="141" spans="2:14" ht="15" customHeight="1">
      <c r="B141"/>
      <c r="C141"/>
      <c r="D141"/>
      <c r="E141"/>
      <c r="F141"/>
      <c r="G141"/>
      <c r="H141"/>
      <c r="I141"/>
      <c r="J141"/>
      <c r="K141"/>
      <c r="L141"/>
      <c r="M141"/>
      <c r="N141"/>
    </row>
    <row r="142" spans="2:14" ht="15" customHeight="1">
      <c r="B142"/>
      <c r="C142"/>
      <c r="D142"/>
      <c r="E142"/>
      <c r="F142"/>
      <c r="G142"/>
      <c r="H142"/>
      <c r="I142"/>
      <c r="J142"/>
      <c r="K142"/>
      <c r="L142"/>
      <c r="M142"/>
      <c r="N142"/>
    </row>
    <row r="143" spans="2:14" ht="15" customHeight="1">
      <c r="B143"/>
      <c r="C143"/>
      <c r="D143"/>
      <c r="E143"/>
      <c r="F143"/>
      <c r="G143"/>
      <c r="H143"/>
      <c r="I143"/>
      <c r="J143"/>
      <c r="K143"/>
      <c r="L143"/>
      <c r="M143"/>
      <c r="N143"/>
    </row>
    <row r="144" spans="2:14" ht="15" customHeight="1">
      <c r="B144"/>
      <c r="C144"/>
      <c r="D144"/>
      <c r="E144"/>
      <c r="F144"/>
      <c r="G144"/>
      <c r="H144"/>
      <c r="I144"/>
      <c r="J144"/>
      <c r="K144"/>
      <c r="L144"/>
      <c r="M144"/>
      <c r="N144"/>
    </row>
    <row r="145" spans="2:14" ht="15" customHeight="1">
      <c r="B145"/>
      <c r="C145"/>
      <c r="D145"/>
      <c r="E145"/>
      <c r="F145"/>
      <c r="G145"/>
      <c r="H145"/>
      <c r="I145"/>
      <c r="J145"/>
      <c r="K145"/>
      <c r="L145"/>
      <c r="M145"/>
      <c r="N145"/>
    </row>
    <row r="146" spans="2:14" ht="15" customHeight="1">
      <c r="B146"/>
      <c r="C146"/>
      <c r="D146"/>
      <c r="E146"/>
      <c r="F146"/>
      <c r="G146"/>
      <c r="H146"/>
      <c r="I146"/>
      <c r="J146"/>
      <c r="K146"/>
      <c r="L146"/>
      <c r="M146"/>
      <c r="N146"/>
    </row>
    <row r="147" spans="2:14" ht="15" customHeight="1">
      <c r="B147"/>
      <c r="C147"/>
      <c r="D147"/>
      <c r="E147"/>
      <c r="F147"/>
      <c r="G147"/>
      <c r="H147"/>
      <c r="I147"/>
      <c r="J147"/>
      <c r="K147"/>
      <c r="L147"/>
      <c r="M147"/>
      <c r="N147"/>
    </row>
    <row r="148" spans="2:14" ht="15" customHeight="1">
      <c r="B148"/>
      <c r="C148"/>
      <c r="D148"/>
      <c r="E148"/>
      <c r="F148"/>
      <c r="G148"/>
      <c r="H148"/>
      <c r="I148"/>
      <c r="J148"/>
      <c r="K148"/>
      <c r="L148"/>
      <c r="M148"/>
      <c r="N148"/>
    </row>
    <row r="149" spans="2:14" ht="15" customHeight="1">
      <c r="B149"/>
      <c r="C149"/>
      <c r="D149"/>
      <c r="E149"/>
      <c r="F149"/>
      <c r="G149"/>
      <c r="H149"/>
      <c r="I149"/>
      <c r="J149"/>
      <c r="K149"/>
      <c r="L149"/>
      <c r="M149"/>
      <c r="N149"/>
    </row>
    <row r="150" spans="2:14" ht="15" customHeight="1">
      <c r="B150"/>
      <c r="C150"/>
      <c r="D150"/>
      <c r="E150"/>
      <c r="F150"/>
      <c r="G150"/>
      <c r="H150"/>
      <c r="I150"/>
      <c r="J150"/>
      <c r="K150"/>
      <c r="L150"/>
      <c r="M150"/>
      <c r="N150"/>
    </row>
    <row r="151" spans="2:14" ht="15" customHeight="1">
      <c r="B151"/>
      <c r="C151"/>
      <c r="D151"/>
      <c r="E151"/>
      <c r="F151"/>
      <c r="G151"/>
      <c r="H151"/>
      <c r="I151"/>
      <c r="J151"/>
      <c r="K151"/>
      <c r="L151"/>
      <c r="M151"/>
      <c r="N151"/>
    </row>
    <row r="152" spans="2:14" ht="15" customHeight="1">
      <c r="B152"/>
      <c r="C152"/>
      <c r="D152"/>
      <c r="E152"/>
      <c r="F152"/>
      <c r="G152"/>
      <c r="H152"/>
      <c r="I152"/>
      <c r="J152"/>
      <c r="K152"/>
      <c r="L152"/>
      <c r="M152"/>
      <c r="N152"/>
    </row>
    <row r="153" spans="2:14" ht="15" customHeight="1">
      <c r="B153"/>
      <c r="C153"/>
      <c r="D153"/>
      <c r="E153"/>
      <c r="F153"/>
      <c r="G153"/>
      <c r="H153"/>
      <c r="I153"/>
      <c r="J153"/>
      <c r="K153"/>
      <c r="L153"/>
      <c r="M153"/>
      <c r="N153"/>
    </row>
    <row r="154" spans="2:14" ht="15" customHeight="1">
      <c r="B154"/>
      <c r="C154"/>
      <c r="D154"/>
      <c r="E154"/>
      <c r="F154"/>
      <c r="G154"/>
      <c r="H154"/>
      <c r="I154"/>
      <c r="J154"/>
      <c r="K154"/>
      <c r="L154"/>
      <c r="M154"/>
      <c r="N154"/>
    </row>
    <row r="155" spans="2:14" ht="15" customHeight="1">
      <c r="B155"/>
      <c r="C155"/>
      <c r="D155"/>
      <c r="E155"/>
      <c r="F155"/>
      <c r="G155"/>
      <c r="H155"/>
      <c r="I155"/>
      <c r="J155"/>
      <c r="K155"/>
      <c r="L155"/>
      <c r="M155"/>
      <c r="N155"/>
    </row>
    <row r="156" spans="2:14" ht="15" customHeight="1">
      <c r="B156"/>
      <c r="C156"/>
      <c r="D156"/>
      <c r="E156"/>
      <c r="F156"/>
      <c r="G156"/>
      <c r="H156"/>
      <c r="I156"/>
      <c r="J156"/>
      <c r="K156"/>
      <c r="L156"/>
      <c r="M156"/>
      <c r="N156"/>
    </row>
    <row r="157" spans="2:14" ht="15" customHeight="1">
      <c r="B157"/>
      <c r="C157"/>
      <c r="D157"/>
      <c r="E157"/>
      <c r="F157"/>
      <c r="G157"/>
      <c r="H157"/>
      <c r="I157"/>
      <c r="J157"/>
      <c r="K157"/>
      <c r="L157"/>
      <c r="M157"/>
      <c r="N157"/>
    </row>
    <row r="158" spans="2:14" ht="15" customHeight="1">
      <c r="B158"/>
      <c r="C158"/>
      <c r="D158"/>
      <c r="E158"/>
      <c r="F158"/>
      <c r="G158"/>
      <c r="H158"/>
      <c r="I158"/>
      <c r="J158"/>
      <c r="K158"/>
      <c r="L158"/>
      <c r="M158"/>
      <c r="N158"/>
    </row>
    <row r="159" spans="2:14" ht="15" customHeight="1">
      <c r="B159"/>
      <c r="C159"/>
      <c r="D159"/>
      <c r="E159"/>
      <c r="F159"/>
      <c r="G159"/>
      <c r="H159"/>
      <c r="I159"/>
      <c r="J159"/>
      <c r="K159"/>
      <c r="L159"/>
      <c r="M159"/>
      <c r="N159"/>
    </row>
    <row r="160" spans="2:14" ht="15" customHeight="1">
      <c r="B160"/>
      <c r="C160"/>
      <c r="D160"/>
      <c r="E160"/>
      <c r="F160"/>
      <c r="G160"/>
      <c r="H160"/>
      <c r="I160"/>
      <c r="J160"/>
      <c r="K160"/>
      <c r="L160"/>
      <c r="M160"/>
      <c r="N160"/>
    </row>
    <row r="161" spans="2:14" ht="15" customHeight="1">
      <c r="B161"/>
      <c r="C161"/>
      <c r="D161"/>
      <c r="E161"/>
      <c r="F161"/>
      <c r="G161"/>
      <c r="H161"/>
      <c r="I161"/>
      <c r="J161"/>
      <c r="K161"/>
      <c r="L161"/>
      <c r="M161"/>
      <c r="N161"/>
    </row>
    <row r="162" spans="2:14" ht="15" customHeight="1">
      <c r="B162"/>
      <c r="C162"/>
      <c r="D162"/>
      <c r="E162"/>
      <c r="F162"/>
      <c r="G162"/>
      <c r="H162"/>
      <c r="I162"/>
      <c r="J162"/>
      <c r="K162"/>
      <c r="L162"/>
      <c r="M162"/>
      <c r="N162"/>
    </row>
    <row r="163" spans="2:14" ht="15" customHeight="1">
      <c r="B163"/>
      <c r="C163"/>
      <c r="D163"/>
      <c r="E163"/>
      <c r="F163"/>
      <c r="G163"/>
      <c r="H163"/>
      <c r="I163"/>
      <c r="J163"/>
      <c r="K163"/>
      <c r="L163"/>
      <c r="M163"/>
      <c r="N163"/>
    </row>
    <row r="164" spans="2:14" ht="15" customHeight="1">
      <c r="B164"/>
      <c r="C164"/>
      <c r="D164"/>
      <c r="E164"/>
      <c r="F164"/>
      <c r="G164"/>
      <c r="H164"/>
      <c r="I164"/>
      <c r="J164"/>
      <c r="K164"/>
      <c r="L164"/>
      <c r="M164"/>
      <c r="N164"/>
    </row>
    <row r="165" spans="2:14" ht="15" customHeight="1">
      <c r="B165"/>
      <c r="C165"/>
      <c r="D165"/>
      <c r="E165"/>
      <c r="F165"/>
      <c r="G165"/>
      <c r="H165"/>
      <c r="I165"/>
      <c r="J165"/>
      <c r="K165"/>
      <c r="L165"/>
      <c r="M165"/>
      <c r="N165"/>
    </row>
    <row r="166" spans="2:14" ht="15" customHeight="1">
      <c r="B166"/>
      <c r="C166"/>
      <c r="D166"/>
      <c r="E166"/>
      <c r="F166"/>
      <c r="G166"/>
      <c r="H166"/>
      <c r="I166"/>
      <c r="J166"/>
      <c r="K166"/>
      <c r="L166"/>
      <c r="M166"/>
      <c r="N166"/>
    </row>
    <row r="167" spans="2:14" ht="15" customHeight="1">
      <c r="B167"/>
      <c r="C167"/>
      <c r="D167"/>
      <c r="E167"/>
      <c r="F167"/>
      <c r="G167"/>
      <c r="H167"/>
      <c r="I167"/>
      <c r="J167"/>
      <c r="K167"/>
      <c r="L167"/>
      <c r="M167"/>
      <c r="N167"/>
    </row>
    <row r="168" spans="2:14" ht="15" customHeight="1">
      <c r="B168"/>
      <c r="C168"/>
      <c r="D168"/>
      <c r="E168"/>
      <c r="F168"/>
      <c r="G168"/>
      <c r="H168"/>
      <c r="I168"/>
      <c r="J168"/>
      <c r="K168"/>
      <c r="L168"/>
      <c r="M168"/>
      <c r="N168"/>
    </row>
    <row r="169" spans="2:14" ht="15" customHeight="1">
      <c r="B169"/>
      <c r="C169"/>
      <c r="D169"/>
      <c r="E169"/>
      <c r="F169"/>
      <c r="G169"/>
      <c r="H169"/>
      <c r="I169"/>
      <c r="J169"/>
      <c r="K169"/>
      <c r="L169"/>
      <c r="M169"/>
      <c r="N169"/>
    </row>
    <row r="170" spans="2:14" ht="15" customHeight="1">
      <c r="B170"/>
      <c r="C170"/>
      <c r="D170"/>
      <c r="E170"/>
      <c r="F170"/>
      <c r="G170"/>
      <c r="H170"/>
      <c r="I170"/>
      <c r="J170"/>
      <c r="K170"/>
      <c r="L170"/>
      <c r="M170"/>
      <c r="N170"/>
    </row>
    <row r="171" spans="2:14" ht="15" customHeight="1">
      <c r="B171"/>
      <c r="C171"/>
      <c r="D171"/>
      <c r="E171"/>
      <c r="F171"/>
      <c r="G171"/>
      <c r="H171"/>
      <c r="I171"/>
      <c r="J171"/>
      <c r="K171"/>
      <c r="L171"/>
      <c r="M171"/>
      <c r="N171"/>
    </row>
    <row r="172" spans="2:14" ht="15" customHeight="1">
      <c r="B172"/>
      <c r="C172"/>
      <c r="D172"/>
      <c r="E172"/>
      <c r="F172"/>
      <c r="G172"/>
      <c r="H172"/>
      <c r="I172"/>
      <c r="J172"/>
      <c r="K172"/>
      <c r="L172"/>
      <c r="M172"/>
      <c r="N172"/>
    </row>
    <row r="173" spans="2:14" ht="15" customHeight="1">
      <c r="B173"/>
      <c r="C173"/>
      <c r="D173"/>
      <c r="E173"/>
      <c r="F173"/>
      <c r="G173"/>
      <c r="H173"/>
      <c r="I173"/>
      <c r="J173"/>
      <c r="K173"/>
      <c r="L173"/>
      <c r="M173"/>
      <c r="N173"/>
    </row>
    <row r="174" spans="2:14" ht="15" customHeight="1">
      <c r="B174"/>
      <c r="C174"/>
      <c r="D174"/>
      <c r="E174"/>
      <c r="F174"/>
      <c r="G174"/>
      <c r="H174"/>
      <c r="I174"/>
      <c r="J174"/>
      <c r="K174"/>
      <c r="L174"/>
      <c r="M174"/>
      <c r="N174"/>
    </row>
    <row r="175" spans="2:14" ht="15" customHeight="1">
      <c r="B175"/>
      <c r="C175"/>
      <c r="D175"/>
      <c r="E175"/>
      <c r="F175"/>
      <c r="G175"/>
      <c r="H175"/>
      <c r="I175"/>
      <c r="J175"/>
      <c r="K175"/>
      <c r="L175"/>
      <c r="M175"/>
      <c r="N175"/>
    </row>
    <row r="176" spans="2:14" ht="15" customHeight="1">
      <c r="B176"/>
      <c r="C176"/>
      <c r="D176"/>
      <c r="E176"/>
      <c r="F176"/>
      <c r="G176"/>
      <c r="H176"/>
      <c r="I176"/>
      <c r="J176"/>
      <c r="K176"/>
      <c r="L176"/>
      <c r="M176"/>
      <c r="N176"/>
    </row>
    <row r="177" spans="2:14" ht="15" customHeight="1">
      <c r="B177"/>
      <c r="C177"/>
      <c r="D177"/>
      <c r="E177"/>
      <c r="F177"/>
      <c r="G177"/>
      <c r="H177"/>
      <c r="I177"/>
      <c r="J177"/>
      <c r="K177"/>
      <c r="L177"/>
      <c r="M177"/>
      <c r="N177"/>
    </row>
    <row r="178" spans="2:14" ht="15" customHeight="1">
      <c r="B178"/>
      <c r="C178"/>
      <c r="D178"/>
      <c r="E178"/>
      <c r="F178"/>
      <c r="G178"/>
      <c r="H178"/>
      <c r="I178"/>
      <c r="J178"/>
      <c r="K178"/>
      <c r="L178"/>
      <c r="M178"/>
      <c r="N178"/>
    </row>
    <row r="179" spans="2:14" ht="15" customHeight="1">
      <c r="B179"/>
      <c r="C179"/>
      <c r="D179"/>
      <c r="E179"/>
      <c r="F179"/>
      <c r="G179"/>
      <c r="H179"/>
      <c r="I179"/>
      <c r="J179"/>
      <c r="K179"/>
      <c r="L179"/>
      <c r="M179"/>
      <c r="N179"/>
    </row>
    <row r="180" spans="2:14" ht="15" customHeight="1">
      <c r="B180"/>
      <c r="C180"/>
      <c r="D180"/>
      <c r="E180"/>
      <c r="F180"/>
      <c r="G180"/>
      <c r="H180"/>
      <c r="I180"/>
      <c r="J180"/>
      <c r="K180"/>
      <c r="L180"/>
      <c r="M180"/>
      <c r="N180"/>
    </row>
    <row r="181" spans="2:14" ht="15" customHeight="1">
      <c r="B181"/>
      <c r="C181"/>
      <c r="D181"/>
      <c r="E181"/>
      <c r="F181"/>
      <c r="G181"/>
      <c r="H181"/>
      <c r="I181"/>
      <c r="J181"/>
      <c r="K181"/>
      <c r="L181"/>
      <c r="M181"/>
      <c r="N181"/>
    </row>
    <row r="182" spans="2:14" ht="15" customHeight="1">
      <c r="B182"/>
      <c r="C182"/>
      <c r="D182"/>
      <c r="E182"/>
      <c r="F182"/>
      <c r="G182"/>
      <c r="H182"/>
      <c r="I182"/>
      <c r="J182"/>
      <c r="K182"/>
      <c r="L182"/>
      <c r="M182"/>
      <c r="N182"/>
    </row>
    <row r="183" spans="2:14" ht="15" customHeight="1">
      <c r="B183"/>
      <c r="C183"/>
      <c r="D183"/>
      <c r="E183"/>
      <c r="F183"/>
      <c r="G183"/>
      <c r="H183"/>
      <c r="I183"/>
      <c r="J183"/>
      <c r="K183"/>
      <c r="L183"/>
      <c r="M183"/>
      <c r="N183"/>
    </row>
    <row r="184" spans="2:14" ht="15" customHeight="1">
      <c r="B184"/>
      <c r="C184"/>
      <c r="D184"/>
      <c r="E184"/>
      <c r="F184"/>
      <c r="G184"/>
      <c r="H184"/>
      <c r="I184"/>
      <c r="J184"/>
      <c r="K184"/>
      <c r="L184"/>
      <c r="M184"/>
      <c r="N184"/>
    </row>
    <row r="185" spans="2:14" ht="15" customHeight="1">
      <c r="B185"/>
      <c r="C185"/>
      <c r="D185"/>
      <c r="E185"/>
      <c r="F185"/>
      <c r="G185"/>
      <c r="H185"/>
      <c r="I185"/>
      <c r="J185"/>
      <c r="K185"/>
      <c r="L185"/>
      <c r="M185"/>
      <c r="N185"/>
    </row>
    <row r="186" spans="2:14" ht="15" customHeight="1">
      <c r="B186"/>
      <c r="C186"/>
      <c r="D186"/>
      <c r="E186"/>
      <c r="F186"/>
      <c r="G186"/>
      <c r="H186"/>
      <c r="I186"/>
      <c r="J186"/>
      <c r="K186"/>
      <c r="L186"/>
      <c r="M186"/>
      <c r="N186"/>
    </row>
    <row r="187" spans="2:14" ht="15" customHeight="1">
      <c r="B187"/>
      <c r="C187"/>
      <c r="D187"/>
      <c r="E187"/>
      <c r="F187"/>
      <c r="G187"/>
      <c r="H187"/>
      <c r="I187"/>
      <c r="J187"/>
      <c r="K187"/>
      <c r="L187"/>
      <c r="M187"/>
      <c r="N187"/>
    </row>
    <row r="188" spans="2:14" ht="15" customHeight="1">
      <c r="B188"/>
      <c r="C188"/>
      <c r="D188"/>
      <c r="E188"/>
      <c r="F188"/>
      <c r="G188"/>
      <c r="H188"/>
      <c r="I188"/>
      <c r="J188"/>
      <c r="K188"/>
      <c r="L188"/>
      <c r="M188"/>
      <c r="N188"/>
    </row>
    <row r="189" spans="2:14" ht="15" customHeight="1">
      <c r="B189"/>
      <c r="C189"/>
      <c r="D189"/>
      <c r="E189"/>
      <c r="F189"/>
      <c r="G189"/>
      <c r="H189"/>
      <c r="I189"/>
      <c r="J189"/>
      <c r="K189"/>
      <c r="L189"/>
      <c r="M189"/>
      <c r="N189"/>
    </row>
    <row r="190" spans="2:14" ht="15" customHeight="1">
      <c r="B190"/>
      <c r="C190"/>
      <c r="D190"/>
      <c r="E190"/>
      <c r="F190"/>
      <c r="G190"/>
      <c r="H190"/>
      <c r="I190"/>
      <c r="J190"/>
      <c r="K190"/>
      <c r="L190"/>
      <c r="M190"/>
      <c r="N190"/>
    </row>
    <row r="191" spans="2:14" ht="15" customHeight="1">
      <c r="B191"/>
      <c r="C191"/>
      <c r="D191"/>
      <c r="E191"/>
      <c r="F191"/>
      <c r="G191"/>
      <c r="H191"/>
      <c r="I191"/>
      <c r="J191"/>
      <c r="K191"/>
      <c r="L191"/>
      <c r="M191"/>
      <c r="N191"/>
    </row>
    <row r="192" spans="2:14" ht="15" customHeight="1">
      <c r="B192"/>
      <c r="C192"/>
      <c r="D192"/>
      <c r="E192"/>
      <c r="F192"/>
      <c r="G192"/>
      <c r="H192"/>
      <c r="I192"/>
      <c r="J192"/>
      <c r="K192"/>
      <c r="L192"/>
      <c r="M192"/>
      <c r="N192"/>
    </row>
    <row r="193" spans="2:14" ht="15" customHeight="1">
      <c r="B193"/>
      <c r="C193"/>
      <c r="D193"/>
      <c r="E193"/>
      <c r="F193"/>
      <c r="G193"/>
      <c r="H193"/>
      <c r="I193"/>
      <c r="J193"/>
      <c r="K193"/>
      <c r="L193"/>
      <c r="M193"/>
      <c r="N193"/>
    </row>
    <row r="194" spans="2:14" ht="15" customHeight="1">
      <c r="B194"/>
      <c r="C194"/>
      <c r="D194"/>
      <c r="E194"/>
      <c r="F194"/>
      <c r="G194"/>
      <c r="H194"/>
      <c r="I194"/>
      <c r="J194"/>
      <c r="K194"/>
      <c r="L194"/>
      <c r="M194"/>
      <c r="N194"/>
    </row>
    <row r="195" spans="2:14" ht="15" customHeight="1">
      <c r="B195"/>
      <c r="C195"/>
      <c r="D195"/>
      <c r="E195"/>
      <c r="F195"/>
      <c r="G195"/>
      <c r="H195"/>
      <c r="I195"/>
      <c r="J195"/>
      <c r="K195"/>
      <c r="L195"/>
      <c r="M195"/>
      <c r="N195"/>
    </row>
    <row r="196" spans="2:14" ht="15" customHeight="1">
      <c r="B196"/>
      <c r="C196"/>
      <c r="D196"/>
      <c r="E196"/>
      <c r="F196"/>
      <c r="G196"/>
      <c r="H196"/>
      <c r="I196"/>
      <c r="J196"/>
      <c r="K196"/>
      <c r="L196"/>
      <c r="M196"/>
      <c r="N196"/>
    </row>
    <row r="197" spans="2:14" ht="15" customHeight="1">
      <c r="B197"/>
      <c r="C197"/>
      <c r="D197"/>
      <c r="E197"/>
      <c r="F197"/>
      <c r="G197"/>
      <c r="H197"/>
      <c r="I197"/>
      <c r="J197"/>
      <c r="K197"/>
      <c r="L197"/>
      <c r="M197"/>
      <c r="N197"/>
    </row>
    <row r="198" spans="2:14" ht="15" customHeight="1">
      <c r="B198"/>
      <c r="C198"/>
      <c r="D198"/>
      <c r="E198"/>
      <c r="F198"/>
      <c r="G198"/>
      <c r="H198"/>
      <c r="I198"/>
      <c r="J198"/>
      <c r="K198"/>
      <c r="L198"/>
      <c r="M198"/>
      <c r="N198"/>
    </row>
    <row r="199" spans="2:14" ht="15" customHeight="1">
      <c r="B199"/>
      <c r="C199"/>
      <c r="D199"/>
      <c r="E199"/>
      <c r="F199"/>
      <c r="G199"/>
      <c r="H199"/>
      <c r="I199"/>
      <c r="J199"/>
      <c r="K199"/>
      <c r="L199"/>
      <c r="M199"/>
      <c r="N199"/>
    </row>
    <row r="200" spans="2:14" ht="15" customHeight="1">
      <c r="B200"/>
      <c r="C200"/>
      <c r="D200"/>
      <c r="E200"/>
      <c r="F200"/>
      <c r="G200"/>
      <c r="H200"/>
      <c r="I200"/>
      <c r="J200"/>
      <c r="K200"/>
      <c r="L200"/>
      <c r="M200"/>
      <c r="N200"/>
    </row>
    <row r="201" spans="2:14" ht="15" customHeight="1">
      <c r="B201"/>
      <c r="C201"/>
      <c r="D201"/>
      <c r="E201"/>
      <c r="F201"/>
      <c r="G201"/>
      <c r="H201"/>
      <c r="I201"/>
      <c r="J201"/>
      <c r="K201"/>
      <c r="L201"/>
      <c r="M201"/>
      <c r="N201"/>
    </row>
    <row r="202" spans="2:14" ht="15" customHeight="1">
      <c r="B202"/>
      <c r="C202"/>
      <c r="D202"/>
      <c r="E202"/>
      <c r="F202"/>
      <c r="G202"/>
      <c r="H202"/>
      <c r="I202"/>
      <c r="J202"/>
      <c r="K202"/>
      <c r="L202"/>
      <c r="M202"/>
      <c r="N202"/>
    </row>
    <row r="203" spans="2:14" ht="15" customHeight="1">
      <c r="B203"/>
      <c r="C203"/>
      <c r="D203"/>
      <c r="E203"/>
      <c r="F203"/>
      <c r="G203"/>
      <c r="H203"/>
      <c r="I203"/>
      <c r="J203"/>
      <c r="K203"/>
      <c r="L203"/>
      <c r="M203"/>
      <c r="N203"/>
    </row>
    <row r="204" spans="2:14" ht="15" customHeight="1">
      <c r="B204"/>
      <c r="C204"/>
      <c r="D204"/>
      <c r="E204"/>
      <c r="F204"/>
      <c r="G204"/>
      <c r="H204"/>
      <c r="I204"/>
      <c r="J204"/>
      <c r="K204"/>
      <c r="L204"/>
      <c r="M204"/>
      <c r="N204"/>
    </row>
    <row r="205" spans="2:14" ht="15" customHeight="1">
      <c r="B205"/>
      <c r="C205"/>
      <c r="D205"/>
      <c r="E205"/>
      <c r="F205"/>
      <c r="G205"/>
      <c r="H205"/>
      <c r="I205"/>
      <c r="J205"/>
      <c r="K205"/>
      <c r="L205"/>
      <c r="M205"/>
      <c r="N205"/>
    </row>
    <row r="206" spans="2:14" ht="15" customHeight="1">
      <c r="B206"/>
      <c r="C206"/>
      <c r="D206"/>
      <c r="E206"/>
      <c r="F206"/>
      <c r="G206"/>
      <c r="H206"/>
      <c r="I206"/>
      <c r="J206"/>
      <c r="K206"/>
      <c r="L206"/>
      <c r="M206"/>
      <c r="N206"/>
    </row>
    <row r="207" spans="2:14" ht="15" customHeight="1">
      <c r="B207"/>
      <c r="C207"/>
      <c r="D207"/>
      <c r="E207"/>
      <c r="F207"/>
      <c r="G207"/>
      <c r="H207"/>
      <c r="I207"/>
      <c r="J207"/>
      <c r="K207"/>
      <c r="L207"/>
      <c r="M207"/>
      <c r="N207"/>
    </row>
    <row r="208" spans="2:14" ht="15" customHeight="1">
      <c r="B208"/>
      <c r="C208"/>
      <c r="D208"/>
      <c r="E208"/>
      <c r="F208"/>
      <c r="G208"/>
      <c r="H208"/>
      <c r="I208"/>
      <c r="J208"/>
      <c r="K208"/>
      <c r="L208"/>
      <c r="M208"/>
      <c r="N208"/>
    </row>
    <row r="209" spans="2:14" ht="15" customHeight="1">
      <c r="B209"/>
      <c r="C209"/>
      <c r="D209"/>
      <c r="E209"/>
      <c r="F209"/>
      <c r="G209"/>
      <c r="H209"/>
      <c r="I209"/>
      <c r="J209"/>
      <c r="K209"/>
      <c r="L209"/>
      <c r="M209"/>
      <c r="N209"/>
    </row>
    <row r="210" spans="2:14" ht="15" customHeight="1">
      <c r="B210"/>
      <c r="C210"/>
      <c r="D210"/>
      <c r="E210"/>
      <c r="F210"/>
      <c r="G210"/>
      <c r="H210"/>
      <c r="I210"/>
      <c r="J210"/>
      <c r="K210"/>
      <c r="L210"/>
      <c r="M210"/>
      <c r="N210"/>
    </row>
    <row r="211" spans="2:14" ht="15" customHeight="1">
      <c r="B211"/>
      <c r="C211"/>
      <c r="D211"/>
      <c r="E211"/>
      <c r="F211"/>
      <c r="G211"/>
      <c r="H211"/>
      <c r="I211"/>
      <c r="J211"/>
      <c r="K211"/>
      <c r="L211"/>
      <c r="M211"/>
      <c r="N211"/>
    </row>
    <row r="212" spans="2:14" ht="15" customHeight="1">
      <c r="B212"/>
      <c r="C212"/>
      <c r="D212"/>
      <c r="E212"/>
      <c r="F212"/>
      <c r="G212"/>
      <c r="H212"/>
      <c r="I212"/>
      <c r="J212"/>
      <c r="K212"/>
      <c r="L212"/>
      <c r="M212"/>
      <c r="N212"/>
    </row>
    <row r="213" spans="2:14" ht="15" customHeight="1">
      <c r="B213"/>
      <c r="C213"/>
      <c r="D213"/>
      <c r="E213"/>
      <c r="F213"/>
      <c r="G213"/>
      <c r="H213"/>
      <c r="I213"/>
      <c r="J213"/>
      <c r="K213"/>
      <c r="L213"/>
      <c r="M213"/>
      <c r="N213"/>
    </row>
    <row r="214" spans="2:14" ht="15" customHeight="1">
      <c r="B214"/>
      <c r="C214"/>
      <c r="D214"/>
      <c r="E214"/>
      <c r="F214"/>
      <c r="G214"/>
      <c r="H214"/>
      <c r="I214"/>
      <c r="J214"/>
      <c r="K214"/>
      <c r="L214"/>
      <c r="M214"/>
      <c r="N214"/>
    </row>
    <row r="215" spans="2:14" ht="15" customHeight="1">
      <c r="B215"/>
      <c r="C215"/>
      <c r="D215"/>
      <c r="E215"/>
      <c r="F215"/>
      <c r="G215"/>
      <c r="H215"/>
      <c r="I215"/>
      <c r="J215"/>
      <c r="K215"/>
      <c r="L215"/>
      <c r="M215"/>
      <c r="N215"/>
    </row>
    <row r="216" spans="2:14" ht="15" customHeight="1">
      <c r="B216"/>
      <c r="C216"/>
      <c r="D216"/>
      <c r="E216"/>
      <c r="F216"/>
      <c r="G216"/>
      <c r="H216"/>
      <c r="I216"/>
      <c r="J216"/>
      <c r="K216"/>
      <c r="L216"/>
      <c r="M216"/>
      <c r="N216"/>
    </row>
    <row r="217" spans="2:14" ht="15" customHeight="1">
      <c r="B217"/>
      <c r="C217"/>
      <c r="D217"/>
      <c r="E217"/>
      <c r="F217"/>
      <c r="G217"/>
      <c r="H217"/>
      <c r="I217"/>
      <c r="J217"/>
      <c r="K217"/>
      <c r="L217"/>
      <c r="M217"/>
      <c r="N217"/>
    </row>
    <row r="218" spans="2:14" ht="15" customHeight="1">
      <c r="B218"/>
      <c r="C218"/>
      <c r="D218"/>
      <c r="E218"/>
      <c r="F218"/>
      <c r="G218"/>
      <c r="H218"/>
      <c r="I218"/>
      <c r="J218"/>
      <c r="K218"/>
      <c r="L218"/>
      <c r="M218"/>
      <c r="N218"/>
    </row>
    <row r="219" spans="2:14" ht="15" customHeight="1">
      <c r="B219"/>
      <c r="C219"/>
      <c r="D219"/>
      <c r="E219"/>
      <c r="F219"/>
      <c r="G219"/>
      <c r="H219"/>
      <c r="I219"/>
      <c r="J219"/>
      <c r="K219"/>
      <c r="L219"/>
      <c r="M219"/>
      <c r="N219"/>
    </row>
    <row r="220" spans="2:14" ht="15" customHeight="1">
      <c r="B220"/>
      <c r="C220"/>
      <c r="D220"/>
      <c r="E220"/>
      <c r="F220"/>
      <c r="G220"/>
      <c r="H220"/>
      <c r="I220"/>
      <c r="J220"/>
      <c r="K220"/>
      <c r="L220"/>
      <c r="M220"/>
      <c r="N220"/>
    </row>
    <row r="221" spans="2:14" ht="15" customHeight="1">
      <c r="B221"/>
      <c r="C221"/>
      <c r="D221"/>
      <c r="E221"/>
      <c r="F221"/>
      <c r="G221"/>
      <c r="H221"/>
      <c r="I221"/>
      <c r="J221"/>
      <c r="K221"/>
      <c r="L221"/>
      <c r="M221"/>
      <c r="N221"/>
    </row>
    <row r="222" spans="2:14" ht="15" customHeight="1">
      <c r="B222"/>
      <c r="C222"/>
      <c r="D222"/>
      <c r="E222"/>
      <c r="F222"/>
      <c r="G222"/>
      <c r="H222"/>
      <c r="I222"/>
      <c r="J222"/>
      <c r="K222"/>
      <c r="L222"/>
      <c r="M222"/>
      <c r="N222"/>
    </row>
    <row r="223" spans="2:14" ht="15" customHeight="1">
      <c r="B223"/>
      <c r="C223"/>
      <c r="D223"/>
      <c r="E223"/>
      <c r="F223"/>
      <c r="G223"/>
      <c r="H223"/>
      <c r="I223"/>
      <c r="J223"/>
      <c r="K223"/>
      <c r="L223"/>
      <c r="M223"/>
      <c r="N223"/>
    </row>
    <row r="224" spans="2:14" ht="15" customHeight="1">
      <c r="B224"/>
      <c r="C224"/>
      <c r="D224"/>
      <c r="E224"/>
      <c r="F224"/>
      <c r="G224"/>
      <c r="H224"/>
      <c r="I224"/>
      <c r="J224"/>
      <c r="K224"/>
      <c r="L224"/>
      <c r="M224"/>
      <c r="N224"/>
    </row>
    <row r="225" spans="2:14" ht="15" customHeight="1">
      <c r="B225"/>
      <c r="C225"/>
      <c r="D225"/>
      <c r="E225"/>
      <c r="F225"/>
      <c r="G225"/>
      <c r="H225"/>
      <c r="I225"/>
      <c r="J225"/>
      <c r="K225"/>
      <c r="L225"/>
      <c r="M225"/>
      <c r="N225"/>
    </row>
    <row r="226" spans="2:14" ht="15" customHeight="1">
      <c r="B226"/>
      <c r="C226"/>
      <c r="D226"/>
      <c r="E226"/>
      <c r="F226"/>
      <c r="G226"/>
      <c r="H226"/>
      <c r="I226"/>
      <c r="J226"/>
      <c r="K226"/>
      <c r="L226"/>
      <c r="M226"/>
      <c r="N226"/>
    </row>
    <row r="227" spans="2:14" ht="15" customHeight="1">
      <c r="B227"/>
      <c r="C227"/>
      <c r="D227"/>
      <c r="E227"/>
      <c r="F227"/>
      <c r="G227"/>
      <c r="H227"/>
      <c r="I227"/>
      <c r="J227"/>
      <c r="K227"/>
      <c r="L227"/>
      <c r="M227"/>
      <c r="N227"/>
    </row>
    <row r="228" spans="2:14" ht="15" customHeight="1">
      <c r="B228"/>
      <c r="C228"/>
      <c r="D228"/>
      <c r="E228"/>
      <c r="F228"/>
      <c r="G228"/>
      <c r="H228"/>
      <c r="I228"/>
      <c r="J228"/>
      <c r="K228"/>
      <c r="L228"/>
      <c r="M228"/>
      <c r="N228"/>
    </row>
    <row r="229" spans="2:14" ht="15" customHeight="1">
      <c r="B229"/>
      <c r="C229"/>
      <c r="D229"/>
      <c r="E229"/>
      <c r="F229"/>
      <c r="G229"/>
      <c r="H229"/>
      <c r="I229"/>
      <c r="J229"/>
      <c r="K229"/>
      <c r="L229"/>
      <c r="M229"/>
      <c r="N229"/>
    </row>
    <row r="230" spans="2:14" ht="15" customHeight="1">
      <c r="B230"/>
      <c r="C230"/>
      <c r="D230"/>
      <c r="E230"/>
      <c r="F230"/>
      <c r="G230"/>
      <c r="H230"/>
      <c r="I230"/>
      <c r="J230"/>
      <c r="K230"/>
      <c r="L230"/>
      <c r="M230"/>
      <c r="N230"/>
    </row>
    <row r="231" spans="2:14" ht="15" customHeight="1">
      <c r="B231"/>
      <c r="C231"/>
      <c r="D231"/>
      <c r="E231"/>
      <c r="F231"/>
      <c r="G231"/>
      <c r="H231"/>
      <c r="I231"/>
      <c r="J231"/>
      <c r="K231"/>
      <c r="L231"/>
      <c r="M231"/>
      <c r="N231"/>
    </row>
    <row r="232" spans="2:14" ht="15" customHeight="1">
      <c r="B232"/>
      <c r="C232"/>
      <c r="D232"/>
      <c r="E232"/>
      <c r="F232"/>
      <c r="G232"/>
      <c r="H232"/>
      <c r="I232"/>
      <c r="J232"/>
      <c r="K232"/>
      <c r="L232"/>
      <c r="M232"/>
      <c r="N232"/>
    </row>
    <row r="233" spans="2:14" ht="15" customHeight="1">
      <c r="B233"/>
      <c r="C233"/>
      <c r="D233"/>
      <c r="E233"/>
      <c r="F233"/>
      <c r="G233"/>
      <c r="H233"/>
      <c r="I233"/>
      <c r="J233"/>
      <c r="K233"/>
      <c r="L233"/>
      <c r="M233"/>
      <c r="N233"/>
    </row>
    <row r="234" spans="2:14" ht="15" customHeight="1">
      <c r="B234"/>
      <c r="C234"/>
      <c r="D234"/>
      <c r="E234"/>
      <c r="F234"/>
      <c r="G234"/>
      <c r="H234"/>
      <c r="I234"/>
      <c r="J234"/>
      <c r="K234"/>
      <c r="L234"/>
      <c r="M234"/>
      <c r="N234"/>
    </row>
    <row r="235" spans="2:14" ht="15" customHeight="1">
      <c r="B235"/>
      <c r="C235"/>
      <c r="D235"/>
      <c r="E235"/>
      <c r="F235"/>
      <c r="G235"/>
      <c r="H235"/>
      <c r="I235"/>
      <c r="J235"/>
      <c r="K235"/>
      <c r="L235"/>
      <c r="M235"/>
      <c r="N235"/>
    </row>
    <row r="236" spans="2:14" ht="15" customHeight="1">
      <c r="B236"/>
      <c r="C236"/>
      <c r="D236"/>
      <c r="E236"/>
      <c r="F236"/>
      <c r="G236"/>
      <c r="H236"/>
      <c r="I236"/>
      <c r="J236"/>
      <c r="K236"/>
      <c r="L236"/>
      <c r="M236"/>
      <c r="N236"/>
    </row>
    <row r="237" spans="2:14" ht="15" customHeight="1">
      <c r="B237"/>
      <c r="C237"/>
      <c r="D237"/>
      <c r="E237"/>
      <c r="F237"/>
      <c r="G237"/>
      <c r="H237"/>
      <c r="I237"/>
      <c r="J237"/>
      <c r="K237"/>
      <c r="L237"/>
      <c r="M237"/>
      <c r="N237"/>
    </row>
    <row r="238" spans="2:14" ht="15" customHeight="1">
      <c r="B238"/>
      <c r="C238"/>
      <c r="D238"/>
      <c r="E238"/>
      <c r="F238"/>
      <c r="G238"/>
      <c r="H238"/>
      <c r="I238"/>
      <c r="J238"/>
      <c r="K238"/>
      <c r="L238"/>
      <c r="M238"/>
      <c r="N238"/>
    </row>
    <row r="239" spans="2:14" ht="15" customHeight="1">
      <c r="B239"/>
      <c r="C239"/>
      <c r="D239"/>
      <c r="E239"/>
      <c r="F239"/>
      <c r="G239"/>
      <c r="H239"/>
      <c r="I239"/>
      <c r="J239"/>
      <c r="K239"/>
      <c r="L239"/>
      <c r="M239"/>
      <c r="N239"/>
    </row>
    <row r="240" spans="2:14" ht="15" customHeight="1">
      <c r="B240"/>
      <c r="C240"/>
      <c r="D240"/>
      <c r="E240"/>
      <c r="F240"/>
      <c r="G240"/>
      <c r="H240"/>
      <c r="I240"/>
      <c r="J240"/>
      <c r="K240"/>
      <c r="L240"/>
      <c r="M240"/>
      <c r="N240"/>
    </row>
    <row r="241" spans="2:14" ht="15" customHeight="1">
      <c r="B241"/>
      <c r="C241"/>
      <c r="D241"/>
      <c r="E241"/>
      <c r="F241"/>
      <c r="G241"/>
      <c r="H241"/>
      <c r="I241"/>
      <c r="J241"/>
      <c r="K241"/>
      <c r="L241"/>
      <c r="M241"/>
      <c r="N241"/>
    </row>
    <row r="242" spans="2:14" ht="15" customHeight="1">
      <c r="B242"/>
      <c r="C242"/>
      <c r="D242"/>
      <c r="E242"/>
      <c r="F242"/>
      <c r="G242"/>
      <c r="H242"/>
      <c r="I242"/>
      <c r="J242"/>
      <c r="K242"/>
      <c r="L242"/>
      <c r="M242"/>
      <c r="N242"/>
    </row>
    <row r="243" spans="2:14" ht="15" customHeight="1">
      <c r="B243"/>
      <c r="C243"/>
      <c r="D243"/>
      <c r="E243"/>
      <c r="F243"/>
      <c r="G243"/>
      <c r="H243"/>
      <c r="I243"/>
      <c r="J243"/>
      <c r="K243"/>
      <c r="L243"/>
      <c r="M243"/>
      <c r="N243"/>
    </row>
    <row r="244" spans="2:14" ht="15" customHeight="1">
      <c r="B244"/>
      <c r="C244"/>
      <c r="D244"/>
      <c r="E244"/>
      <c r="F244"/>
      <c r="G244"/>
      <c r="H244"/>
      <c r="I244"/>
      <c r="J244"/>
      <c r="K244"/>
      <c r="L244"/>
      <c r="M244"/>
      <c r="N244"/>
    </row>
    <row r="245" spans="2:14" ht="15" customHeight="1">
      <c r="B245"/>
      <c r="C245"/>
      <c r="D245"/>
      <c r="E245"/>
      <c r="F245"/>
      <c r="G245"/>
      <c r="H245"/>
      <c r="I245"/>
      <c r="J245"/>
      <c r="K245"/>
      <c r="L245"/>
      <c r="M245"/>
      <c r="N245"/>
    </row>
    <row r="246" spans="2:14" ht="15" customHeight="1">
      <c r="B246"/>
      <c r="C246"/>
      <c r="D246"/>
      <c r="E246"/>
      <c r="F246"/>
      <c r="G246"/>
      <c r="H246"/>
      <c r="I246"/>
      <c r="J246"/>
      <c r="K246"/>
      <c r="L246"/>
      <c r="M246"/>
      <c r="N246"/>
    </row>
    <row r="247" spans="2:14" ht="15" customHeight="1">
      <c r="B247"/>
      <c r="C247"/>
      <c r="D247"/>
      <c r="E247"/>
      <c r="F247"/>
      <c r="G247"/>
      <c r="H247"/>
      <c r="I247"/>
      <c r="J247"/>
      <c r="K247"/>
      <c r="L247"/>
      <c r="M247"/>
      <c r="N247"/>
    </row>
    <row r="248" spans="2:14" ht="15" customHeight="1">
      <c r="B248"/>
      <c r="C248"/>
      <c r="D248"/>
      <c r="E248"/>
      <c r="F248"/>
      <c r="G248"/>
      <c r="H248"/>
      <c r="I248"/>
      <c r="J248"/>
      <c r="K248"/>
      <c r="L248"/>
      <c r="M248"/>
      <c r="N248"/>
    </row>
    <row r="249" spans="2:14" ht="15" customHeight="1">
      <c r="B249"/>
      <c r="C249"/>
      <c r="D249"/>
      <c r="E249"/>
      <c r="F249"/>
      <c r="G249"/>
      <c r="H249"/>
      <c r="I249"/>
      <c r="J249"/>
      <c r="K249"/>
      <c r="L249"/>
      <c r="M249"/>
      <c r="N249"/>
    </row>
    <row r="250" spans="2:14" ht="15" customHeight="1">
      <c r="B250"/>
      <c r="C250"/>
      <c r="D250"/>
      <c r="E250"/>
      <c r="F250"/>
      <c r="G250"/>
      <c r="H250"/>
      <c r="I250"/>
      <c r="J250"/>
      <c r="K250"/>
      <c r="L250"/>
      <c r="M250"/>
      <c r="N250"/>
    </row>
    <row r="251" spans="2:14" ht="15" customHeight="1">
      <c r="B251"/>
      <c r="C251"/>
      <c r="D251"/>
      <c r="E251"/>
      <c r="F251"/>
      <c r="G251"/>
      <c r="H251"/>
      <c r="I251"/>
      <c r="J251"/>
      <c r="K251"/>
      <c r="L251"/>
      <c r="M251"/>
      <c r="N251"/>
    </row>
    <row r="252" spans="2:14" ht="15" customHeight="1">
      <c r="B252"/>
      <c r="C252"/>
      <c r="D252"/>
      <c r="E252"/>
      <c r="F252"/>
      <c r="G252"/>
      <c r="H252"/>
      <c r="I252"/>
      <c r="J252"/>
      <c r="K252"/>
      <c r="L252"/>
      <c r="M252"/>
      <c r="N252"/>
    </row>
    <row r="253" spans="2:14" ht="15" customHeight="1">
      <c r="B253"/>
      <c r="C253"/>
      <c r="D253"/>
      <c r="E253"/>
      <c r="F253"/>
      <c r="G253"/>
      <c r="H253"/>
      <c r="I253"/>
      <c r="J253"/>
      <c r="K253"/>
      <c r="L253"/>
      <c r="M253"/>
      <c r="N253"/>
    </row>
    <row r="254" spans="2:14" ht="15" customHeight="1">
      <c r="B254"/>
      <c r="C254"/>
      <c r="D254"/>
      <c r="E254"/>
      <c r="F254"/>
      <c r="G254"/>
      <c r="H254"/>
      <c r="I254"/>
      <c r="J254"/>
      <c r="K254"/>
      <c r="L254"/>
      <c r="M254"/>
      <c r="N254"/>
    </row>
    <row r="255" spans="2:14" ht="15" customHeight="1">
      <c r="B255"/>
      <c r="C255"/>
      <c r="D255"/>
      <c r="E255"/>
      <c r="F255"/>
      <c r="G255"/>
      <c r="H255"/>
      <c r="I255"/>
      <c r="J255"/>
      <c r="K255"/>
      <c r="L255"/>
      <c r="M255"/>
      <c r="N255"/>
    </row>
    <row r="256" spans="2:14" ht="15" customHeight="1">
      <c r="B256"/>
      <c r="C256"/>
      <c r="D256"/>
      <c r="E256"/>
      <c r="F256"/>
      <c r="G256"/>
      <c r="H256"/>
      <c r="I256"/>
      <c r="J256"/>
      <c r="K256"/>
      <c r="L256"/>
      <c r="M256"/>
      <c r="N256"/>
    </row>
    <row r="257" spans="2:14" ht="15" customHeight="1">
      <c r="B257"/>
      <c r="C257"/>
      <c r="D257"/>
      <c r="E257"/>
      <c r="F257"/>
      <c r="G257"/>
      <c r="H257"/>
      <c r="I257"/>
      <c r="J257"/>
      <c r="K257"/>
      <c r="L257"/>
      <c r="M257"/>
      <c r="N257"/>
    </row>
    <row r="258" spans="2:14" ht="15" customHeight="1">
      <c r="B258"/>
      <c r="C258"/>
      <c r="D258"/>
      <c r="E258"/>
      <c r="F258"/>
      <c r="G258"/>
      <c r="H258"/>
      <c r="I258"/>
      <c r="J258"/>
      <c r="K258"/>
      <c r="L258"/>
      <c r="M258"/>
      <c r="N258"/>
    </row>
    <row r="259" spans="2:14" ht="15" customHeight="1">
      <c r="B259"/>
      <c r="C259"/>
      <c r="D259"/>
      <c r="E259"/>
      <c r="F259"/>
      <c r="G259"/>
      <c r="H259"/>
      <c r="I259"/>
      <c r="J259"/>
      <c r="K259"/>
      <c r="L259"/>
      <c r="M259"/>
      <c r="N259"/>
    </row>
    <row r="260" spans="2:14" ht="15" customHeight="1">
      <c r="B260"/>
      <c r="C260"/>
      <c r="D260"/>
      <c r="E260"/>
      <c r="F260"/>
      <c r="G260"/>
      <c r="H260"/>
      <c r="I260"/>
      <c r="J260"/>
      <c r="K260"/>
      <c r="L260"/>
      <c r="M260"/>
      <c r="N260"/>
    </row>
    <row r="261" spans="2:14" ht="15" customHeight="1">
      <c r="B261"/>
      <c r="C261"/>
      <c r="D261"/>
      <c r="E261"/>
      <c r="F261"/>
      <c r="G261"/>
      <c r="H261"/>
      <c r="I261"/>
      <c r="J261"/>
      <c r="K261"/>
      <c r="L261"/>
      <c r="M261"/>
      <c r="N261"/>
    </row>
    <row r="262" spans="2:14" ht="15" customHeight="1">
      <c r="B262"/>
      <c r="C262"/>
      <c r="D262"/>
      <c r="E262"/>
      <c r="F262"/>
      <c r="G262"/>
      <c r="H262"/>
      <c r="I262"/>
      <c r="J262"/>
      <c r="K262"/>
      <c r="L262"/>
      <c r="M262"/>
      <c r="N262"/>
    </row>
    <row r="263" spans="2:14" ht="15" customHeight="1">
      <c r="B263"/>
      <c r="C263"/>
      <c r="D263"/>
      <c r="E263"/>
      <c r="F263"/>
      <c r="G263"/>
      <c r="H263"/>
      <c r="I263"/>
      <c r="J263"/>
      <c r="K263"/>
      <c r="L263"/>
      <c r="M263"/>
      <c r="N263"/>
    </row>
    <row r="264" spans="2:14" ht="15" customHeight="1">
      <c r="B264"/>
      <c r="C264"/>
      <c r="D264"/>
      <c r="E264"/>
      <c r="F264"/>
      <c r="G264"/>
      <c r="H264"/>
      <c r="I264"/>
      <c r="J264"/>
      <c r="K264"/>
      <c r="L264"/>
      <c r="M264"/>
      <c r="N264"/>
    </row>
    <row r="265" spans="2:14" ht="15" customHeight="1">
      <c r="B265"/>
      <c r="C265"/>
      <c r="D265"/>
      <c r="E265"/>
      <c r="F265"/>
      <c r="G265"/>
      <c r="H265"/>
      <c r="I265"/>
      <c r="J265"/>
      <c r="K265"/>
      <c r="L265"/>
      <c r="M265"/>
      <c r="N265"/>
    </row>
    <row r="266" spans="2:14" ht="15" customHeight="1">
      <c r="B266"/>
      <c r="C266"/>
      <c r="D266"/>
      <c r="E266"/>
      <c r="F266"/>
      <c r="G266"/>
      <c r="H266"/>
      <c r="I266"/>
      <c r="J266"/>
      <c r="K266"/>
      <c r="L266"/>
      <c r="M266"/>
      <c r="N266"/>
    </row>
    <row r="267" spans="2:14" ht="15" customHeight="1">
      <c r="B267"/>
      <c r="C267"/>
      <c r="D267"/>
      <c r="E267"/>
      <c r="F267"/>
      <c r="G267"/>
      <c r="H267"/>
      <c r="I267"/>
      <c r="J267"/>
      <c r="K267"/>
      <c r="L267"/>
      <c r="M267"/>
      <c r="N267"/>
    </row>
    <row r="268" spans="2:14" ht="15" customHeight="1">
      <c r="B268"/>
      <c r="C268"/>
      <c r="D268"/>
      <c r="E268"/>
      <c r="F268"/>
      <c r="G268"/>
      <c r="H268"/>
      <c r="I268"/>
      <c r="J268"/>
      <c r="K268"/>
      <c r="L268"/>
      <c r="M268"/>
      <c r="N268"/>
    </row>
    <row r="269" spans="2:14" ht="15" customHeight="1">
      <c r="B269"/>
      <c r="C269"/>
      <c r="D269"/>
      <c r="E269"/>
      <c r="F269"/>
      <c r="G269"/>
      <c r="H269"/>
      <c r="I269"/>
      <c r="J269"/>
      <c r="K269"/>
      <c r="L269"/>
      <c r="M269"/>
      <c r="N269"/>
    </row>
    <row r="270" spans="2:14" ht="15" customHeight="1">
      <c r="B270"/>
      <c r="C270"/>
      <c r="D270"/>
      <c r="E270"/>
      <c r="F270"/>
      <c r="G270"/>
      <c r="H270"/>
      <c r="I270"/>
      <c r="J270"/>
      <c r="K270"/>
      <c r="L270"/>
      <c r="M270"/>
      <c r="N270"/>
    </row>
    <row r="271" spans="2:14" ht="15" customHeight="1">
      <c r="B271"/>
      <c r="C271"/>
      <c r="D271"/>
      <c r="E271"/>
      <c r="F271"/>
      <c r="G271"/>
      <c r="H271"/>
      <c r="I271"/>
      <c r="J271"/>
      <c r="K271"/>
      <c r="L271"/>
      <c r="M271"/>
      <c r="N271"/>
    </row>
    <row r="272" spans="2:14" ht="15" customHeight="1">
      <c r="B272"/>
      <c r="C272"/>
      <c r="D272"/>
      <c r="E272"/>
      <c r="F272"/>
      <c r="G272"/>
      <c r="H272"/>
      <c r="I272"/>
      <c r="J272"/>
      <c r="K272"/>
      <c r="L272"/>
      <c r="M272"/>
      <c r="N272"/>
    </row>
    <row r="273" spans="2:14" ht="15" customHeight="1">
      <c r="B273"/>
      <c r="C273"/>
      <c r="D273"/>
      <c r="E273"/>
      <c r="F273"/>
      <c r="G273"/>
      <c r="H273"/>
      <c r="I273"/>
      <c r="J273"/>
      <c r="K273"/>
      <c r="L273"/>
      <c r="M273"/>
      <c r="N273"/>
    </row>
    <row r="274" spans="2:14" ht="15" customHeight="1">
      <c r="B274"/>
      <c r="C274"/>
      <c r="D274"/>
      <c r="E274"/>
      <c r="F274"/>
      <c r="G274"/>
      <c r="H274"/>
      <c r="I274"/>
      <c r="J274"/>
      <c r="K274"/>
      <c r="L274"/>
      <c r="M274"/>
      <c r="N274"/>
    </row>
    <row r="275" spans="2:14" ht="15" customHeight="1">
      <c r="B275"/>
      <c r="C275"/>
      <c r="D275"/>
      <c r="E275"/>
      <c r="F275"/>
      <c r="G275"/>
      <c r="H275"/>
      <c r="I275"/>
      <c r="J275"/>
      <c r="K275"/>
      <c r="L275"/>
      <c r="M275"/>
      <c r="N275"/>
    </row>
    <row r="276" spans="2:14" ht="15" customHeight="1">
      <c r="B276"/>
      <c r="C276"/>
      <c r="D276"/>
      <c r="E276"/>
      <c r="F276"/>
      <c r="G276"/>
      <c r="H276"/>
      <c r="I276"/>
      <c r="J276"/>
      <c r="K276"/>
      <c r="L276"/>
      <c r="M276"/>
      <c r="N276"/>
    </row>
    <row r="277" spans="2:14" ht="15" customHeight="1">
      <c r="B277"/>
      <c r="C277"/>
      <c r="D277"/>
      <c r="E277"/>
      <c r="F277"/>
      <c r="G277"/>
      <c r="H277"/>
      <c r="I277"/>
      <c r="J277"/>
      <c r="K277"/>
      <c r="L277"/>
      <c r="M277"/>
      <c r="N277"/>
    </row>
    <row r="278" spans="2:14" ht="15" customHeight="1">
      <c r="B278"/>
      <c r="C278"/>
      <c r="D278"/>
      <c r="E278"/>
      <c r="F278"/>
      <c r="G278"/>
      <c r="H278"/>
      <c r="I278"/>
      <c r="J278"/>
      <c r="K278"/>
      <c r="L278"/>
      <c r="M278"/>
      <c r="N278"/>
    </row>
    <row r="279" spans="2:14" ht="15" customHeight="1">
      <c r="B279"/>
      <c r="C279"/>
      <c r="D279"/>
      <c r="E279"/>
      <c r="F279"/>
      <c r="G279"/>
      <c r="H279"/>
      <c r="I279"/>
      <c r="J279"/>
      <c r="K279"/>
      <c r="L279"/>
      <c r="M279"/>
      <c r="N279"/>
    </row>
    <row r="280" spans="2:14" ht="15" customHeight="1">
      <c r="B280"/>
      <c r="C280"/>
      <c r="D280"/>
      <c r="E280"/>
      <c r="F280"/>
      <c r="G280"/>
      <c r="H280"/>
      <c r="I280"/>
      <c r="J280"/>
      <c r="K280"/>
      <c r="L280"/>
      <c r="M280"/>
      <c r="N280"/>
    </row>
    <row r="281" spans="2:14" ht="15" customHeight="1">
      <c r="B281"/>
      <c r="C281"/>
      <c r="D281"/>
      <c r="E281"/>
      <c r="F281"/>
      <c r="G281"/>
      <c r="H281"/>
      <c r="I281"/>
      <c r="J281"/>
      <c r="K281"/>
      <c r="L281"/>
      <c r="M281"/>
      <c r="N281"/>
    </row>
    <row r="282" spans="2:14" ht="15" customHeight="1">
      <c r="B282"/>
      <c r="C282"/>
      <c r="D282"/>
      <c r="E282"/>
      <c r="F282"/>
      <c r="G282"/>
      <c r="H282"/>
      <c r="I282"/>
      <c r="J282"/>
      <c r="K282"/>
      <c r="L282"/>
      <c r="M282"/>
      <c r="N282"/>
    </row>
    <row r="283" spans="2:14" ht="15" customHeight="1">
      <c r="B283"/>
      <c r="C283"/>
      <c r="D283"/>
      <c r="E283"/>
      <c r="F283"/>
      <c r="G283"/>
      <c r="H283"/>
      <c r="I283"/>
      <c r="J283"/>
      <c r="K283"/>
      <c r="L283"/>
      <c r="M283"/>
      <c r="N283"/>
    </row>
    <row r="284" spans="2:14" ht="15" customHeight="1">
      <c r="B284"/>
      <c r="C284"/>
      <c r="D284"/>
      <c r="E284"/>
      <c r="F284"/>
      <c r="G284"/>
      <c r="H284"/>
      <c r="I284"/>
      <c r="J284"/>
      <c r="K284"/>
      <c r="L284"/>
      <c r="M284"/>
      <c r="N284"/>
    </row>
    <row r="285" spans="2:14" ht="15" customHeight="1">
      <c r="B285"/>
      <c r="C285"/>
      <c r="D285"/>
      <c r="E285"/>
      <c r="F285"/>
      <c r="G285"/>
      <c r="H285"/>
      <c r="I285"/>
      <c r="J285"/>
      <c r="K285"/>
      <c r="L285"/>
      <c r="M285"/>
      <c r="N285"/>
    </row>
    <row r="286" spans="2:14" ht="15" customHeight="1">
      <c r="B286"/>
      <c r="C286"/>
      <c r="D286"/>
      <c r="E286"/>
      <c r="F286"/>
      <c r="G286"/>
      <c r="H286"/>
      <c r="I286"/>
      <c r="J286"/>
      <c r="K286"/>
      <c r="L286"/>
      <c r="M286"/>
      <c r="N286"/>
    </row>
    <row r="287" spans="2:14" ht="15" customHeight="1">
      <c r="B287"/>
      <c r="C287"/>
      <c r="D287"/>
      <c r="E287"/>
      <c r="F287"/>
      <c r="G287"/>
      <c r="H287"/>
      <c r="I287"/>
      <c r="J287"/>
      <c r="K287"/>
      <c r="L287"/>
      <c r="M287"/>
      <c r="N287"/>
    </row>
    <row r="288" spans="2:14" ht="15" customHeight="1">
      <c r="B288"/>
      <c r="C288"/>
      <c r="D288"/>
      <c r="E288"/>
      <c r="F288"/>
      <c r="G288"/>
      <c r="H288"/>
      <c r="I288"/>
      <c r="J288"/>
      <c r="K288"/>
      <c r="L288"/>
      <c r="M288"/>
      <c r="N288"/>
    </row>
    <row r="289" spans="2:14" ht="15" customHeight="1">
      <c r="B289"/>
      <c r="C289"/>
      <c r="D289"/>
      <c r="E289"/>
      <c r="F289"/>
      <c r="G289"/>
      <c r="H289"/>
      <c r="I289"/>
      <c r="J289"/>
      <c r="K289"/>
      <c r="L289"/>
      <c r="M289"/>
      <c r="N289"/>
    </row>
    <row r="290" spans="2:14" ht="15" customHeight="1">
      <c r="B290"/>
      <c r="C290"/>
      <c r="D290"/>
      <c r="E290"/>
      <c r="F290"/>
      <c r="G290"/>
      <c r="H290"/>
      <c r="I290"/>
      <c r="J290"/>
      <c r="K290"/>
      <c r="L290"/>
      <c r="M290"/>
      <c r="N290"/>
    </row>
    <row r="291" spans="2:14" ht="15" customHeight="1">
      <c r="B291"/>
      <c r="C291"/>
      <c r="D291"/>
      <c r="E291"/>
      <c r="F291"/>
      <c r="G291"/>
      <c r="H291"/>
      <c r="I291"/>
      <c r="J291"/>
      <c r="K291"/>
      <c r="L291"/>
      <c r="M291"/>
      <c r="N291"/>
    </row>
    <row r="292" spans="2:14" ht="15" customHeight="1">
      <c r="B292"/>
      <c r="C292"/>
      <c r="D292"/>
      <c r="E292"/>
      <c r="F292"/>
      <c r="G292"/>
      <c r="H292"/>
      <c r="I292"/>
      <c r="J292"/>
      <c r="K292"/>
      <c r="L292"/>
      <c r="M292"/>
      <c r="N292"/>
    </row>
    <row r="293" spans="2:14" ht="15" customHeight="1">
      <c r="B293"/>
      <c r="C293"/>
      <c r="D293"/>
      <c r="E293"/>
      <c r="F293"/>
      <c r="G293"/>
      <c r="H293"/>
      <c r="I293"/>
      <c r="J293"/>
      <c r="K293"/>
      <c r="L293"/>
      <c r="M293"/>
      <c r="N293"/>
    </row>
    <row r="294" spans="2:14" ht="15" customHeight="1">
      <c r="B294"/>
      <c r="C294"/>
      <c r="D294"/>
      <c r="E294"/>
      <c r="F294"/>
      <c r="G294"/>
      <c r="H294"/>
      <c r="I294"/>
      <c r="J294"/>
      <c r="K294"/>
      <c r="L294"/>
      <c r="M294"/>
      <c r="N294"/>
    </row>
    <row r="295" spans="2:14" ht="15" customHeight="1">
      <c r="B295"/>
      <c r="C295"/>
      <c r="D295"/>
      <c r="E295"/>
      <c r="F295"/>
      <c r="G295"/>
      <c r="H295"/>
      <c r="I295"/>
      <c r="J295"/>
      <c r="K295"/>
      <c r="L295"/>
      <c r="M295"/>
      <c r="N295"/>
    </row>
    <row r="296" spans="2:14" ht="15" customHeight="1">
      <c r="B296"/>
      <c r="C296"/>
      <c r="D296"/>
      <c r="E296"/>
      <c r="F296"/>
      <c r="G296"/>
      <c r="H296"/>
      <c r="I296"/>
      <c r="J296"/>
      <c r="K296"/>
      <c r="L296"/>
      <c r="M296"/>
      <c r="N296"/>
    </row>
    <row r="297" spans="2:14" ht="15" customHeight="1">
      <c r="B297"/>
      <c r="C297"/>
      <c r="D297"/>
      <c r="E297"/>
      <c r="F297"/>
      <c r="G297"/>
      <c r="H297"/>
      <c r="I297"/>
      <c r="J297"/>
      <c r="K297"/>
      <c r="L297"/>
      <c r="M297"/>
      <c r="N297"/>
    </row>
    <row r="298" spans="2:14" ht="15" customHeight="1">
      <c r="B298"/>
      <c r="C298"/>
      <c r="D298"/>
      <c r="E298"/>
      <c r="F298"/>
      <c r="G298"/>
      <c r="H298"/>
      <c r="I298"/>
      <c r="J298"/>
      <c r="K298"/>
      <c r="L298"/>
      <c r="M298"/>
      <c r="N298"/>
    </row>
    <row r="299" spans="2:14" ht="15" customHeight="1">
      <c r="B299"/>
      <c r="C299"/>
      <c r="D299"/>
      <c r="E299"/>
      <c r="F299"/>
      <c r="G299"/>
      <c r="H299"/>
      <c r="I299"/>
      <c r="J299"/>
      <c r="K299"/>
      <c r="L299"/>
      <c r="M299"/>
      <c r="N299"/>
    </row>
    <row r="300" spans="2:14" ht="15" customHeight="1">
      <c r="B300"/>
      <c r="C300"/>
      <c r="D300"/>
      <c r="E300"/>
      <c r="F300"/>
      <c r="G300"/>
      <c r="H300"/>
      <c r="I300"/>
      <c r="J300"/>
      <c r="K300"/>
      <c r="L300"/>
      <c r="M300"/>
      <c r="N300"/>
    </row>
    <row r="301" spans="2:14" ht="15" customHeight="1">
      <c r="B301"/>
      <c r="C301"/>
      <c r="D301"/>
      <c r="E301"/>
      <c r="F301"/>
      <c r="G301"/>
      <c r="H301"/>
      <c r="I301"/>
      <c r="J301"/>
      <c r="K301"/>
      <c r="L301"/>
      <c r="M301"/>
      <c r="N301"/>
    </row>
    <row r="302" spans="2:14" ht="15" customHeight="1">
      <c r="B302"/>
      <c r="C302"/>
      <c r="D302"/>
      <c r="E302"/>
      <c r="F302"/>
      <c r="G302"/>
      <c r="H302"/>
      <c r="I302"/>
      <c r="J302"/>
      <c r="K302"/>
      <c r="L302"/>
      <c r="M302"/>
      <c r="N302"/>
    </row>
    <row r="303" spans="2:14" ht="15" customHeight="1">
      <c r="B303"/>
      <c r="C303"/>
      <c r="D303"/>
      <c r="E303"/>
      <c r="F303"/>
      <c r="G303"/>
      <c r="H303"/>
      <c r="I303"/>
      <c r="J303"/>
      <c r="K303"/>
      <c r="L303"/>
      <c r="M303"/>
      <c r="N303"/>
    </row>
    <row r="304" spans="2:14" ht="15" customHeight="1">
      <c r="B304"/>
      <c r="C304"/>
      <c r="D304"/>
      <c r="E304"/>
      <c r="F304"/>
      <c r="G304"/>
      <c r="H304"/>
      <c r="I304"/>
      <c r="J304"/>
      <c r="K304"/>
      <c r="L304"/>
      <c r="M304"/>
      <c r="N304"/>
    </row>
    <row r="305" spans="2:14" ht="15" customHeight="1">
      <c r="B305"/>
      <c r="C305"/>
      <c r="D305"/>
      <c r="E305"/>
      <c r="F305"/>
      <c r="G305"/>
      <c r="H305"/>
      <c r="I305"/>
      <c r="J305"/>
      <c r="K305"/>
      <c r="L305"/>
      <c r="M305"/>
      <c r="N305"/>
    </row>
    <row r="306" spans="2:14" ht="15" customHeight="1">
      <c r="B306"/>
      <c r="C306"/>
      <c r="D306"/>
      <c r="E306"/>
      <c r="F306"/>
      <c r="G306"/>
      <c r="H306"/>
      <c r="I306"/>
      <c r="J306"/>
      <c r="K306"/>
      <c r="L306"/>
      <c r="M306"/>
      <c r="N306"/>
    </row>
    <row r="307" spans="2:14" ht="15" customHeight="1">
      <c r="B307"/>
      <c r="C307"/>
      <c r="D307"/>
      <c r="E307"/>
      <c r="F307"/>
      <c r="G307"/>
      <c r="H307"/>
      <c r="I307"/>
      <c r="J307"/>
      <c r="K307"/>
      <c r="L307"/>
      <c r="M307"/>
      <c r="N307"/>
    </row>
    <row r="308" spans="2:14" ht="15" customHeight="1">
      <c r="B308"/>
      <c r="C308"/>
      <c r="D308"/>
      <c r="E308"/>
      <c r="F308"/>
      <c r="G308"/>
      <c r="H308"/>
      <c r="I308"/>
      <c r="J308"/>
      <c r="K308"/>
      <c r="L308"/>
      <c r="M308"/>
      <c r="N308"/>
    </row>
    <row r="309" spans="2:14" ht="15" customHeight="1">
      <c r="B309"/>
      <c r="C309"/>
      <c r="D309"/>
      <c r="E309"/>
      <c r="F309"/>
      <c r="G309"/>
      <c r="H309"/>
      <c r="I309"/>
      <c r="J309"/>
      <c r="K309"/>
      <c r="L309"/>
      <c r="M309"/>
      <c r="N309"/>
    </row>
    <row r="310" spans="2:14" ht="15" customHeight="1">
      <c r="B310"/>
      <c r="C310"/>
      <c r="D310"/>
      <c r="E310"/>
      <c r="F310"/>
      <c r="G310"/>
      <c r="H310"/>
      <c r="I310"/>
      <c r="J310"/>
      <c r="K310"/>
      <c r="L310"/>
      <c r="M310"/>
      <c r="N310"/>
    </row>
    <row r="311" spans="2:14" ht="15" customHeight="1">
      <c r="B311"/>
      <c r="C311"/>
      <c r="D311"/>
      <c r="E311"/>
      <c r="F311"/>
      <c r="G311"/>
      <c r="H311"/>
      <c r="I311"/>
      <c r="J311"/>
      <c r="K311"/>
      <c r="L311"/>
      <c r="M311"/>
      <c r="N311"/>
    </row>
    <row r="312" spans="2:14" ht="15" customHeight="1">
      <c r="B312"/>
      <c r="C312"/>
      <c r="D312"/>
      <c r="E312"/>
      <c r="F312"/>
      <c r="G312"/>
      <c r="H312"/>
      <c r="I312"/>
      <c r="J312"/>
      <c r="K312"/>
      <c r="L312"/>
      <c r="M312"/>
      <c r="N312"/>
    </row>
    <row r="313" spans="2:14" ht="15" customHeight="1">
      <c r="B313"/>
      <c r="C313"/>
      <c r="D313"/>
      <c r="E313"/>
      <c r="F313"/>
      <c r="G313"/>
      <c r="H313"/>
      <c r="I313"/>
      <c r="J313"/>
      <c r="K313"/>
      <c r="L313"/>
      <c r="M313"/>
      <c r="N313"/>
    </row>
    <row r="314" spans="2:14" ht="15" customHeight="1">
      <c r="B314"/>
      <c r="C314"/>
      <c r="D314"/>
      <c r="E314"/>
      <c r="F314"/>
      <c r="G314"/>
      <c r="H314"/>
      <c r="I314"/>
      <c r="J314"/>
      <c r="K314"/>
      <c r="L314"/>
      <c r="M314"/>
      <c r="N314"/>
    </row>
    <row r="315" spans="2:14" ht="15" customHeight="1">
      <c r="B315"/>
      <c r="C315"/>
      <c r="D315"/>
      <c r="E315"/>
      <c r="F315"/>
      <c r="G315"/>
      <c r="H315"/>
      <c r="I315"/>
      <c r="J315"/>
      <c r="K315"/>
      <c r="L315"/>
      <c r="M315"/>
      <c r="N315"/>
    </row>
    <row r="316" spans="2:14" ht="15" customHeight="1">
      <c r="B316"/>
      <c r="C316"/>
      <c r="D316"/>
      <c r="E316"/>
      <c r="F316"/>
      <c r="G316"/>
      <c r="H316"/>
      <c r="I316"/>
      <c r="J316"/>
      <c r="K316"/>
      <c r="L316"/>
      <c r="M316"/>
      <c r="N316"/>
    </row>
    <row r="317" spans="2:14" ht="15" customHeight="1">
      <c r="B317"/>
      <c r="C317"/>
      <c r="D317"/>
      <c r="E317"/>
      <c r="F317"/>
      <c r="G317"/>
      <c r="H317"/>
      <c r="I317"/>
      <c r="J317"/>
      <c r="K317"/>
      <c r="L317"/>
      <c r="M317"/>
      <c r="N317"/>
    </row>
    <row r="318" spans="2:14" ht="15" customHeight="1">
      <c r="B318"/>
      <c r="C318"/>
      <c r="D318"/>
      <c r="E318"/>
      <c r="F318"/>
      <c r="G318"/>
      <c r="H318"/>
      <c r="I318"/>
      <c r="J318"/>
      <c r="K318"/>
      <c r="L318"/>
      <c r="M318"/>
      <c r="N318"/>
    </row>
    <row r="319" spans="2:14" ht="15" customHeight="1">
      <c r="B319"/>
      <c r="C319"/>
      <c r="D319"/>
      <c r="E319"/>
      <c r="F319"/>
      <c r="G319"/>
      <c r="H319"/>
      <c r="I319"/>
      <c r="J319"/>
      <c r="K319"/>
      <c r="L319"/>
      <c r="M319"/>
      <c r="N319"/>
    </row>
    <row r="320" spans="2:14" ht="15" customHeight="1">
      <c r="B320"/>
      <c r="C320"/>
      <c r="D320"/>
      <c r="E320"/>
      <c r="F320"/>
      <c r="G320"/>
      <c r="H320"/>
      <c r="I320"/>
      <c r="J320"/>
      <c r="K320"/>
      <c r="L320"/>
      <c r="M320"/>
      <c r="N320"/>
    </row>
    <row r="321" spans="2:14" ht="15" customHeight="1">
      <c r="B321"/>
      <c r="C321"/>
      <c r="D321"/>
      <c r="E321"/>
      <c r="F321"/>
      <c r="G321"/>
      <c r="H321"/>
      <c r="I321"/>
      <c r="J321"/>
      <c r="K321"/>
      <c r="L321"/>
      <c r="M321"/>
      <c r="N321"/>
    </row>
    <row r="322" spans="2:14" ht="15" customHeight="1">
      <c r="B322"/>
      <c r="C322"/>
      <c r="D322"/>
      <c r="E322"/>
      <c r="F322"/>
      <c r="G322"/>
      <c r="H322"/>
      <c r="I322"/>
      <c r="J322"/>
      <c r="K322"/>
      <c r="L322"/>
      <c r="M322"/>
      <c r="N322"/>
    </row>
    <row r="323" spans="2:14" ht="15" customHeight="1">
      <c r="B323"/>
      <c r="C323"/>
      <c r="D323"/>
      <c r="E323"/>
      <c r="F323"/>
      <c r="G323"/>
      <c r="H323"/>
      <c r="I323"/>
      <c r="J323"/>
      <c r="K323"/>
      <c r="L323"/>
      <c r="M323"/>
      <c r="N323"/>
    </row>
    <row r="324" spans="2:14" ht="15" customHeight="1">
      <c r="B324"/>
      <c r="C324"/>
      <c r="D324"/>
      <c r="E324"/>
      <c r="F324"/>
      <c r="G324"/>
      <c r="H324"/>
      <c r="I324"/>
      <c r="J324"/>
      <c r="K324"/>
      <c r="L324"/>
      <c r="M324"/>
      <c r="N324"/>
    </row>
    <row r="325" spans="2:14" ht="15" customHeight="1">
      <c r="B325"/>
      <c r="C325"/>
      <c r="D325"/>
      <c r="E325"/>
      <c r="F325"/>
      <c r="G325"/>
      <c r="H325"/>
      <c r="I325"/>
      <c r="J325"/>
      <c r="K325"/>
      <c r="L325"/>
      <c r="M325"/>
      <c r="N325"/>
    </row>
    <row r="326" spans="2:14" ht="15" customHeight="1">
      <c r="B326"/>
      <c r="C326"/>
      <c r="D326"/>
      <c r="E326"/>
      <c r="F326"/>
      <c r="G326"/>
      <c r="H326"/>
      <c r="I326"/>
      <c r="J326"/>
      <c r="K326"/>
      <c r="L326"/>
      <c r="M326"/>
      <c r="N326"/>
    </row>
    <row r="327" spans="2:14" ht="15" customHeight="1">
      <c r="B327"/>
      <c r="C327"/>
      <c r="D327"/>
      <c r="E327"/>
      <c r="F327"/>
      <c r="G327"/>
      <c r="H327"/>
      <c r="I327"/>
      <c r="J327"/>
      <c r="K327"/>
      <c r="L327"/>
      <c r="M327"/>
      <c r="N327"/>
    </row>
    <row r="328" spans="2:14" ht="15" customHeight="1">
      <c r="B328"/>
      <c r="C328"/>
      <c r="D328"/>
      <c r="E328"/>
      <c r="F328"/>
      <c r="G328"/>
      <c r="H328"/>
      <c r="I328"/>
      <c r="J328"/>
      <c r="K328"/>
      <c r="L328"/>
      <c r="M328"/>
      <c r="N328"/>
    </row>
    <row r="329" spans="2:14" ht="15" customHeight="1">
      <c r="B329"/>
      <c r="C329"/>
      <c r="D329"/>
      <c r="E329"/>
      <c r="F329"/>
      <c r="G329"/>
      <c r="H329"/>
      <c r="I329"/>
      <c r="J329"/>
      <c r="K329"/>
      <c r="L329"/>
      <c r="M329"/>
      <c r="N329"/>
    </row>
    <row r="330" spans="2:14" ht="15" customHeight="1">
      <c r="B330"/>
      <c r="C330"/>
      <c r="D330"/>
      <c r="E330"/>
      <c r="F330"/>
      <c r="G330"/>
      <c r="H330"/>
      <c r="I330"/>
      <c r="J330"/>
      <c r="K330"/>
      <c r="L330"/>
      <c r="M330"/>
      <c r="N330"/>
    </row>
    <row r="331" spans="2:14" ht="15" customHeight="1">
      <c r="B331"/>
      <c r="C331"/>
      <c r="D331"/>
      <c r="E331"/>
      <c r="F331"/>
      <c r="G331"/>
      <c r="H331"/>
      <c r="I331"/>
      <c r="J331"/>
      <c r="K331"/>
      <c r="L331"/>
      <c r="M331"/>
      <c r="N331"/>
    </row>
    <row r="332" spans="2:14" ht="15" customHeight="1">
      <c r="B332"/>
      <c r="C332"/>
      <c r="D332"/>
      <c r="E332"/>
      <c r="F332"/>
      <c r="G332"/>
      <c r="H332"/>
      <c r="I332"/>
      <c r="J332"/>
      <c r="K332"/>
      <c r="L332"/>
      <c r="M332"/>
      <c r="N332"/>
    </row>
    <row r="333" spans="2:14" ht="15" customHeight="1">
      <c r="B333"/>
      <c r="C333"/>
      <c r="D333"/>
      <c r="E333"/>
      <c r="F333"/>
      <c r="G333"/>
      <c r="H333"/>
      <c r="I333"/>
      <c r="J333"/>
      <c r="K333"/>
      <c r="L333"/>
      <c r="M333"/>
      <c r="N333"/>
    </row>
    <row r="334" spans="2:14" ht="15" customHeight="1">
      <c r="B334"/>
      <c r="C334"/>
      <c r="D334"/>
      <c r="E334"/>
      <c r="F334"/>
      <c r="G334"/>
      <c r="H334"/>
      <c r="I334"/>
      <c r="J334"/>
      <c r="K334"/>
      <c r="L334"/>
      <c r="M334"/>
      <c r="N334"/>
    </row>
    <row r="335" spans="2:14" ht="15" customHeight="1">
      <c r="B335"/>
      <c r="C335"/>
      <c r="D335"/>
      <c r="E335"/>
      <c r="F335"/>
      <c r="G335"/>
      <c r="H335"/>
      <c r="I335"/>
      <c r="J335"/>
      <c r="K335"/>
      <c r="L335"/>
      <c r="M335"/>
      <c r="N335"/>
    </row>
    <row r="336" spans="2:14" ht="15" customHeight="1">
      <c r="B336"/>
      <c r="C336"/>
      <c r="D336"/>
      <c r="E336"/>
      <c r="F336"/>
      <c r="G336"/>
      <c r="H336"/>
      <c r="I336"/>
      <c r="J336"/>
      <c r="K336"/>
      <c r="L336"/>
      <c r="M336"/>
      <c r="N336"/>
    </row>
    <row r="337" spans="2:14" ht="15" customHeight="1">
      <c r="B337"/>
      <c r="C337"/>
      <c r="D337"/>
      <c r="E337"/>
      <c r="F337"/>
      <c r="G337"/>
      <c r="H337"/>
      <c r="I337"/>
      <c r="J337"/>
      <c r="K337"/>
      <c r="L337"/>
      <c r="M337"/>
      <c r="N337"/>
    </row>
    <row r="338" spans="2:14" ht="15" customHeight="1">
      <c r="B338"/>
      <c r="C338"/>
      <c r="D338"/>
      <c r="E338"/>
      <c r="F338"/>
      <c r="G338"/>
      <c r="H338"/>
      <c r="I338"/>
      <c r="J338"/>
      <c r="K338"/>
      <c r="L338"/>
      <c r="M338"/>
      <c r="N338"/>
    </row>
    <row r="339" spans="2:14" ht="15" customHeight="1">
      <c r="B339"/>
      <c r="C339"/>
      <c r="D339"/>
      <c r="E339"/>
      <c r="F339"/>
      <c r="G339"/>
      <c r="H339"/>
      <c r="I339"/>
      <c r="J339"/>
      <c r="K339"/>
      <c r="L339"/>
      <c r="M339"/>
      <c r="N339"/>
    </row>
    <row r="340" spans="2:14" ht="15" customHeight="1">
      <c r="B340"/>
      <c r="C340"/>
      <c r="D340"/>
      <c r="E340"/>
      <c r="F340"/>
      <c r="G340"/>
      <c r="H340"/>
      <c r="I340"/>
      <c r="J340"/>
      <c r="K340"/>
      <c r="L340"/>
      <c r="M340"/>
      <c r="N340"/>
    </row>
    <row r="341" spans="2:14" ht="15" customHeight="1">
      <c r="B341"/>
      <c r="C341"/>
      <c r="D341"/>
      <c r="E341"/>
      <c r="F341"/>
      <c r="G341"/>
      <c r="H341"/>
      <c r="I341"/>
      <c r="J341"/>
      <c r="K341"/>
      <c r="L341"/>
      <c r="M341"/>
      <c r="N341"/>
    </row>
    <row r="342" spans="2:14" ht="15" customHeight="1">
      <c r="B342"/>
      <c r="C342"/>
      <c r="D342"/>
      <c r="E342"/>
      <c r="F342"/>
      <c r="G342"/>
      <c r="H342"/>
      <c r="I342"/>
      <c r="J342"/>
      <c r="K342"/>
      <c r="L342"/>
      <c r="M342"/>
      <c r="N342"/>
    </row>
    <row r="343" spans="2:14" ht="15" customHeight="1">
      <c r="B343"/>
      <c r="C343"/>
      <c r="D343"/>
      <c r="E343"/>
      <c r="F343"/>
      <c r="G343"/>
      <c r="H343"/>
      <c r="I343"/>
      <c r="J343"/>
      <c r="K343"/>
      <c r="L343"/>
      <c r="M343"/>
      <c r="N343"/>
    </row>
    <row r="344" spans="2:14" ht="15" customHeight="1">
      <c r="B344"/>
      <c r="C344"/>
      <c r="D344"/>
      <c r="E344"/>
      <c r="F344"/>
      <c r="G344"/>
      <c r="H344"/>
      <c r="I344"/>
      <c r="J344"/>
      <c r="K344"/>
      <c r="L344"/>
      <c r="M344"/>
      <c r="N344"/>
    </row>
    <row r="345" spans="2:14" ht="15" customHeight="1">
      <c r="B345"/>
      <c r="C345"/>
      <c r="D345"/>
      <c r="E345"/>
      <c r="F345"/>
      <c r="G345"/>
      <c r="H345"/>
      <c r="I345"/>
      <c r="J345"/>
      <c r="K345"/>
      <c r="L345"/>
      <c r="M345"/>
      <c r="N345"/>
    </row>
    <row r="346" spans="2:14" ht="15" customHeight="1">
      <c r="B346"/>
      <c r="C346"/>
      <c r="D346"/>
      <c r="E346"/>
      <c r="F346"/>
      <c r="G346"/>
      <c r="H346"/>
      <c r="I346"/>
      <c r="J346"/>
      <c r="K346"/>
      <c r="L346"/>
      <c r="M346"/>
      <c r="N346"/>
    </row>
    <row r="347" spans="2:14" ht="15" customHeight="1">
      <c r="B347"/>
      <c r="C347"/>
      <c r="D347"/>
      <c r="E347"/>
      <c r="F347"/>
      <c r="G347"/>
      <c r="H347"/>
      <c r="I347"/>
      <c r="J347"/>
      <c r="K347"/>
      <c r="L347"/>
      <c r="M347"/>
      <c r="N347"/>
    </row>
    <row r="348" spans="2:14" ht="15" customHeight="1">
      <c r="B348"/>
      <c r="C348"/>
      <c r="D348"/>
      <c r="E348"/>
      <c r="F348"/>
      <c r="G348"/>
      <c r="H348"/>
      <c r="I348"/>
      <c r="J348"/>
      <c r="K348"/>
      <c r="L348"/>
      <c r="M348"/>
      <c r="N348"/>
    </row>
    <row r="349" spans="2:14" ht="15" customHeight="1">
      <c r="B349"/>
      <c r="C349"/>
      <c r="D349"/>
      <c r="E349"/>
      <c r="F349"/>
      <c r="G349"/>
      <c r="H349"/>
      <c r="I349"/>
      <c r="J349"/>
      <c r="K349"/>
      <c r="L349"/>
      <c r="M349"/>
      <c r="N349"/>
    </row>
    <row r="350" spans="2:14" ht="15" customHeight="1">
      <c r="B350"/>
      <c r="C350"/>
      <c r="D350"/>
      <c r="E350"/>
      <c r="F350"/>
      <c r="G350"/>
      <c r="H350"/>
      <c r="I350"/>
      <c r="J350"/>
      <c r="K350"/>
      <c r="L350"/>
      <c r="M350"/>
      <c r="N350"/>
    </row>
    <row r="351" spans="2:14" ht="15" customHeight="1">
      <c r="B351"/>
      <c r="C351"/>
      <c r="D351"/>
      <c r="E351"/>
      <c r="F351"/>
      <c r="G351"/>
      <c r="H351"/>
      <c r="I351"/>
      <c r="J351"/>
      <c r="K351"/>
      <c r="L351"/>
      <c r="M351"/>
      <c r="N351"/>
    </row>
    <row r="352" spans="2:14" ht="15" customHeight="1">
      <c r="B352"/>
      <c r="C352"/>
      <c r="D352"/>
      <c r="E352"/>
      <c r="F352"/>
      <c r="G352"/>
      <c r="H352"/>
      <c r="I352"/>
      <c r="J352"/>
      <c r="K352"/>
      <c r="L352"/>
      <c r="M352"/>
      <c r="N352"/>
    </row>
    <row r="353" spans="2:14" ht="15" customHeight="1">
      <c r="B353"/>
      <c r="C353"/>
      <c r="D353"/>
      <c r="E353"/>
      <c r="F353"/>
      <c r="G353"/>
      <c r="H353"/>
      <c r="I353"/>
      <c r="J353"/>
      <c r="K353"/>
      <c r="L353"/>
      <c r="M353"/>
      <c r="N353"/>
    </row>
    <row r="354" spans="2:14" ht="15" customHeight="1">
      <c r="B354"/>
      <c r="C354"/>
      <c r="D354"/>
      <c r="E354"/>
      <c r="F354"/>
      <c r="G354"/>
      <c r="H354"/>
      <c r="I354"/>
      <c r="J354"/>
      <c r="K354"/>
      <c r="L354"/>
      <c r="M354"/>
      <c r="N354"/>
    </row>
    <row r="355" spans="2:14" ht="15" customHeight="1">
      <c r="B355"/>
      <c r="C355"/>
      <c r="D355"/>
      <c r="E355"/>
      <c r="F355"/>
      <c r="G355"/>
      <c r="H355"/>
      <c r="I355"/>
      <c r="J355"/>
      <c r="K355"/>
      <c r="L355"/>
      <c r="M355"/>
      <c r="N355"/>
    </row>
    <row r="356" spans="2:14" ht="15" customHeight="1">
      <c r="B356"/>
      <c r="C356"/>
      <c r="D356"/>
      <c r="E356"/>
      <c r="F356"/>
      <c r="G356"/>
      <c r="H356"/>
      <c r="I356"/>
      <c r="J356"/>
      <c r="K356"/>
      <c r="L356"/>
      <c r="M356"/>
      <c r="N356"/>
    </row>
    <row r="357" spans="2:14" ht="15" customHeight="1">
      <c r="B357"/>
      <c r="C357"/>
      <c r="D357"/>
      <c r="E357"/>
      <c r="F357"/>
      <c r="G357"/>
      <c r="H357"/>
      <c r="I357"/>
      <c r="J357"/>
      <c r="K357"/>
      <c r="L357"/>
      <c r="M357"/>
      <c r="N357"/>
    </row>
    <row r="358" spans="2:14" ht="15" customHeight="1">
      <c r="B358"/>
      <c r="C358"/>
      <c r="D358"/>
      <c r="E358"/>
      <c r="F358"/>
      <c r="G358"/>
      <c r="H358"/>
      <c r="I358"/>
      <c r="J358"/>
      <c r="K358"/>
      <c r="L358"/>
      <c r="M358"/>
      <c r="N358"/>
    </row>
    <row r="359" spans="2:14" ht="15" customHeight="1">
      <c r="B359"/>
      <c r="C359"/>
      <c r="D359"/>
      <c r="E359"/>
      <c r="F359"/>
      <c r="G359"/>
      <c r="H359"/>
      <c r="I359"/>
      <c r="J359"/>
      <c r="K359"/>
      <c r="L359"/>
      <c r="M359"/>
      <c r="N359"/>
    </row>
    <row r="360" spans="2:14" ht="15" customHeight="1">
      <c r="B360"/>
      <c r="C360"/>
      <c r="D360"/>
      <c r="E360"/>
      <c r="F360"/>
      <c r="G360"/>
      <c r="H360"/>
      <c r="I360"/>
      <c r="J360"/>
      <c r="K360"/>
      <c r="L360"/>
      <c r="M360"/>
      <c r="N360"/>
    </row>
    <row r="361" spans="2:14" ht="15" customHeight="1">
      <c r="B361"/>
      <c r="C361"/>
      <c r="D361"/>
      <c r="E361"/>
      <c r="F361"/>
      <c r="G361"/>
      <c r="H361"/>
      <c r="I361"/>
      <c r="J361"/>
      <c r="K361"/>
      <c r="L361"/>
      <c r="M361"/>
      <c r="N361"/>
    </row>
    <row r="362" spans="2:14" ht="15" customHeight="1">
      <c r="B362"/>
      <c r="C362"/>
      <c r="D362"/>
      <c r="E362"/>
      <c r="F362"/>
      <c r="G362"/>
      <c r="H362"/>
      <c r="I362"/>
      <c r="J362"/>
      <c r="K362"/>
      <c r="L362"/>
      <c r="M362"/>
      <c r="N362"/>
    </row>
    <row r="363" spans="2:14" ht="15" customHeight="1">
      <c r="B363"/>
      <c r="C363"/>
      <c r="D363"/>
      <c r="E363"/>
      <c r="F363"/>
      <c r="G363"/>
      <c r="H363"/>
      <c r="I363"/>
      <c r="J363"/>
      <c r="K363"/>
      <c r="L363"/>
      <c r="M363"/>
      <c r="N363"/>
    </row>
    <row r="364" spans="2:14" ht="15" customHeight="1">
      <c r="B364"/>
      <c r="C364"/>
      <c r="D364"/>
      <c r="E364"/>
      <c r="F364"/>
      <c r="G364"/>
      <c r="H364"/>
      <c r="I364"/>
      <c r="J364"/>
      <c r="K364"/>
      <c r="L364"/>
      <c r="M364"/>
      <c r="N364"/>
    </row>
    <row r="365" spans="2:14" ht="15" customHeight="1">
      <c r="B365"/>
      <c r="C365"/>
      <c r="D365"/>
      <c r="E365"/>
      <c r="F365"/>
      <c r="G365"/>
      <c r="H365"/>
      <c r="I365"/>
      <c r="J365"/>
      <c r="K365"/>
      <c r="L365"/>
      <c r="M365"/>
      <c r="N365"/>
    </row>
    <row r="366" spans="2:14" ht="15" customHeight="1">
      <c r="B366"/>
      <c r="C366"/>
      <c r="D366"/>
      <c r="E366"/>
      <c r="F366"/>
      <c r="G366"/>
      <c r="H366"/>
      <c r="I366"/>
      <c r="J366"/>
      <c r="K366"/>
      <c r="L366"/>
      <c r="M366"/>
      <c r="N366"/>
    </row>
    <row r="367" spans="2:14" ht="15" customHeight="1">
      <c r="B367"/>
      <c r="C367"/>
      <c r="D367"/>
      <c r="E367"/>
      <c r="F367"/>
      <c r="G367"/>
      <c r="H367"/>
      <c r="I367"/>
      <c r="J367"/>
      <c r="K367"/>
      <c r="L367"/>
      <c r="M367"/>
      <c r="N367"/>
    </row>
    <row r="368" spans="2:14" ht="15" customHeight="1">
      <c r="B368"/>
      <c r="C368"/>
      <c r="D368"/>
      <c r="E368"/>
      <c r="F368"/>
      <c r="G368"/>
      <c r="H368"/>
      <c r="I368"/>
      <c r="J368"/>
      <c r="K368"/>
      <c r="L368"/>
      <c r="M368"/>
      <c r="N368"/>
    </row>
    <row r="369" spans="2:14" ht="15" customHeight="1">
      <c r="B369"/>
      <c r="C369"/>
      <c r="D369"/>
      <c r="E369"/>
      <c r="F369"/>
      <c r="G369"/>
      <c r="H369"/>
      <c r="I369"/>
      <c r="J369"/>
      <c r="K369"/>
      <c r="L369"/>
      <c r="M369"/>
      <c r="N369"/>
    </row>
    <row r="370" spans="2:14" ht="15" customHeight="1">
      <c r="B370"/>
      <c r="C370"/>
      <c r="D370"/>
      <c r="E370"/>
      <c r="F370"/>
      <c r="G370"/>
      <c r="H370"/>
      <c r="I370"/>
      <c r="J370"/>
      <c r="K370"/>
      <c r="L370"/>
      <c r="M370"/>
      <c r="N370"/>
    </row>
    <row r="371" spans="2:14" ht="15" customHeight="1">
      <c r="B371"/>
      <c r="C371"/>
      <c r="D371"/>
      <c r="E371"/>
      <c r="F371"/>
      <c r="G371"/>
      <c r="H371"/>
      <c r="I371"/>
      <c r="J371"/>
      <c r="K371"/>
      <c r="L371"/>
      <c r="M371"/>
      <c r="N371"/>
    </row>
    <row r="372" spans="2:14" ht="15" customHeight="1">
      <c r="B372"/>
      <c r="C372"/>
      <c r="D372"/>
      <c r="E372"/>
      <c r="F372"/>
      <c r="G372"/>
      <c r="H372"/>
      <c r="I372"/>
      <c r="J372"/>
      <c r="K372"/>
      <c r="L372"/>
      <c r="M372"/>
      <c r="N372"/>
    </row>
    <row r="373" spans="2:14" ht="15" customHeight="1">
      <c r="B373"/>
      <c r="C373"/>
      <c r="D373"/>
      <c r="E373"/>
      <c r="F373"/>
      <c r="G373"/>
      <c r="H373"/>
      <c r="I373"/>
      <c r="J373"/>
      <c r="K373"/>
      <c r="L373"/>
      <c r="M373"/>
      <c r="N373"/>
    </row>
    <row r="374" spans="2:14" ht="15" customHeight="1">
      <c r="B374"/>
      <c r="C374"/>
      <c r="D374"/>
      <c r="E374"/>
      <c r="F374"/>
      <c r="G374"/>
      <c r="H374"/>
      <c r="I374"/>
      <c r="J374"/>
      <c r="K374"/>
      <c r="L374"/>
      <c r="M374"/>
      <c r="N374"/>
    </row>
    <row r="375" spans="2:14" ht="15" customHeight="1">
      <c r="B375"/>
      <c r="C375"/>
      <c r="D375"/>
      <c r="E375"/>
      <c r="F375"/>
      <c r="G375"/>
      <c r="H375"/>
      <c r="I375"/>
      <c r="J375"/>
      <c r="K375"/>
      <c r="L375"/>
      <c r="M375"/>
      <c r="N375"/>
    </row>
    <row r="376" spans="2:14" ht="15" customHeight="1">
      <c r="B376"/>
      <c r="C376"/>
      <c r="D376"/>
      <c r="E376"/>
      <c r="F376"/>
      <c r="G376"/>
      <c r="H376"/>
      <c r="I376"/>
      <c r="J376"/>
      <c r="K376"/>
      <c r="L376"/>
      <c r="M376"/>
      <c r="N376"/>
    </row>
    <row r="377" spans="2:14" ht="15" customHeight="1">
      <c r="B377"/>
      <c r="C377"/>
      <c r="D377"/>
      <c r="E377"/>
      <c r="F377"/>
      <c r="G377"/>
      <c r="H377"/>
      <c r="I377"/>
      <c r="J377"/>
      <c r="K377"/>
      <c r="L377"/>
      <c r="M377"/>
      <c r="N377"/>
    </row>
    <row r="378" spans="2:14" ht="15" customHeight="1">
      <c r="B378"/>
      <c r="C378"/>
      <c r="D378"/>
      <c r="E378"/>
      <c r="F378"/>
      <c r="G378"/>
      <c r="H378"/>
      <c r="I378"/>
      <c r="J378"/>
      <c r="K378"/>
      <c r="L378"/>
      <c r="M378"/>
      <c r="N378"/>
    </row>
    <row r="379" spans="2:14" ht="15" customHeight="1">
      <c r="B379"/>
      <c r="C379"/>
      <c r="D379"/>
      <c r="E379"/>
      <c r="F379"/>
      <c r="G379"/>
      <c r="H379"/>
      <c r="I379"/>
      <c r="J379"/>
      <c r="K379"/>
      <c r="L379"/>
      <c r="M379"/>
      <c r="N379"/>
    </row>
    <row r="380" spans="2:14" ht="15" customHeight="1">
      <c r="B380"/>
      <c r="C380"/>
      <c r="D380"/>
      <c r="E380"/>
      <c r="F380"/>
      <c r="G380"/>
      <c r="H380"/>
      <c r="I380"/>
      <c r="J380"/>
      <c r="K380"/>
      <c r="L380"/>
      <c r="M380"/>
      <c r="N380"/>
    </row>
    <row r="381" spans="2:14" ht="15" customHeight="1">
      <c r="B381"/>
      <c r="C381"/>
      <c r="D381"/>
      <c r="E381"/>
      <c r="F381"/>
      <c r="G381"/>
      <c r="H381"/>
      <c r="I381"/>
      <c r="J381"/>
      <c r="K381"/>
      <c r="L381"/>
      <c r="M381"/>
      <c r="N381"/>
    </row>
    <row r="382" spans="2:14" ht="15" customHeight="1">
      <c r="B382"/>
      <c r="C382"/>
      <c r="D382"/>
      <c r="E382"/>
      <c r="F382"/>
      <c r="G382"/>
      <c r="H382"/>
      <c r="I382"/>
      <c r="J382"/>
      <c r="K382"/>
      <c r="L382"/>
      <c r="M382"/>
      <c r="N382"/>
    </row>
    <row r="383" spans="2:14" ht="15" customHeight="1">
      <c r="B383"/>
      <c r="C383"/>
      <c r="D383"/>
      <c r="E383"/>
      <c r="F383"/>
      <c r="G383"/>
      <c r="H383"/>
      <c r="I383"/>
      <c r="J383"/>
      <c r="K383"/>
      <c r="L383"/>
      <c r="M383"/>
      <c r="N383"/>
    </row>
    <row r="384" spans="2:14" ht="15" customHeight="1">
      <c r="B384"/>
      <c r="C384"/>
      <c r="D384"/>
      <c r="E384"/>
      <c r="F384"/>
      <c r="G384"/>
      <c r="H384"/>
      <c r="I384"/>
      <c r="J384"/>
      <c r="K384"/>
      <c r="L384"/>
      <c r="M384"/>
      <c r="N384"/>
    </row>
    <row r="385" spans="2:14" ht="15" customHeight="1">
      <c r="B385"/>
      <c r="C385"/>
      <c r="D385"/>
      <c r="E385"/>
      <c r="F385"/>
      <c r="G385"/>
      <c r="H385"/>
      <c r="I385"/>
      <c r="J385"/>
      <c r="K385"/>
      <c r="L385"/>
      <c r="M385"/>
      <c r="N385"/>
    </row>
    <row r="386" spans="2:14" ht="15" customHeight="1">
      <c r="B386"/>
      <c r="C386"/>
      <c r="D386"/>
      <c r="E386"/>
      <c r="F386"/>
      <c r="G386"/>
      <c r="H386"/>
      <c r="I386"/>
      <c r="J386"/>
      <c r="K386"/>
      <c r="L386"/>
      <c r="M386"/>
      <c r="N386"/>
    </row>
    <row r="387" spans="2:14" ht="15" customHeight="1">
      <c r="B387"/>
      <c r="C387"/>
      <c r="D387"/>
      <c r="E387"/>
      <c r="F387"/>
      <c r="G387"/>
      <c r="H387"/>
      <c r="I387"/>
      <c r="J387"/>
      <c r="K387"/>
      <c r="L387"/>
      <c r="M387"/>
      <c r="N387"/>
    </row>
    <row r="388" spans="2:14" ht="15" customHeight="1">
      <c r="B388"/>
      <c r="C388"/>
      <c r="D388"/>
      <c r="E388"/>
      <c r="F388"/>
      <c r="G388"/>
      <c r="H388"/>
      <c r="I388"/>
      <c r="J388"/>
      <c r="K388"/>
      <c r="L388"/>
      <c r="M388"/>
      <c r="N388"/>
    </row>
    <row r="389" spans="2:14" ht="15" customHeight="1">
      <c r="B389"/>
      <c r="C389"/>
      <c r="D389"/>
      <c r="E389"/>
      <c r="F389"/>
      <c r="G389"/>
      <c r="H389"/>
      <c r="I389"/>
      <c r="J389"/>
      <c r="K389"/>
      <c r="L389"/>
      <c r="M389"/>
      <c r="N389"/>
    </row>
    <row r="390" spans="2:14" ht="15" customHeight="1">
      <c r="B390"/>
      <c r="C390"/>
      <c r="D390"/>
      <c r="E390"/>
      <c r="F390"/>
      <c r="G390"/>
      <c r="H390"/>
      <c r="I390"/>
      <c r="J390"/>
      <c r="K390"/>
      <c r="L390"/>
      <c r="M390"/>
      <c r="N390"/>
    </row>
    <row r="391" spans="2:14" ht="15" customHeight="1">
      <c r="B391"/>
      <c r="C391"/>
      <c r="D391"/>
      <c r="E391"/>
      <c r="F391"/>
      <c r="G391"/>
      <c r="H391"/>
      <c r="I391"/>
      <c r="J391"/>
      <c r="K391"/>
      <c r="L391"/>
      <c r="M391"/>
      <c r="N391"/>
    </row>
    <row r="392" spans="2:14" ht="15" customHeight="1">
      <c r="B392"/>
      <c r="C392"/>
      <c r="D392"/>
      <c r="E392"/>
      <c r="F392"/>
      <c r="G392"/>
      <c r="H392"/>
      <c r="I392"/>
      <c r="J392"/>
      <c r="K392"/>
      <c r="L392"/>
      <c r="M392"/>
      <c r="N392"/>
    </row>
    <row r="393" spans="2:14" ht="15" customHeight="1">
      <c r="B393"/>
      <c r="C393"/>
      <c r="D393"/>
      <c r="E393"/>
      <c r="F393"/>
      <c r="G393"/>
      <c r="H393"/>
      <c r="I393"/>
      <c r="J393"/>
      <c r="K393"/>
      <c r="L393"/>
      <c r="M393"/>
      <c r="N393"/>
    </row>
    <row r="394" spans="2:14" ht="15" customHeight="1">
      <c r="B394"/>
      <c r="C394"/>
      <c r="D394"/>
      <c r="E394"/>
      <c r="F394"/>
      <c r="G394"/>
      <c r="H394"/>
      <c r="I394"/>
      <c r="J394"/>
      <c r="K394"/>
      <c r="L394"/>
      <c r="M394"/>
      <c r="N394"/>
    </row>
    <row r="395" spans="2:14" ht="15" customHeight="1">
      <c r="B395"/>
      <c r="C395"/>
      <c r="D395"/>
      <c r="E395"/>
      <c r="F395"/>
      <c r="G395"/>
      <c r="H395"/>
      <c r="I395"/>
      <c r="J395"/>
      <c r="K395"/>
      <c r="L395"/>
      <c r="M395"/>
      <c r="N395"/>
    </row>
    <row r="396" spans="2:14" ht="15" customHeight="1">
      <c r="B396"/>
      <c r="C396"/>
      <c r="D396"/>
      <c r="E396"/>
      <c r="F396"/>
      <c r="G396"/>
      <c r="H396"/>
      <c r="I396"/>
      <c r="J396"/>
      <c r="K396"/>
      <c r="L396"/>
      <c r="M396"/>
      <c r="N396"/>
    </row>
    <row r="397" spans="2:14" ht="15" customHeight="1">
      <c r="B397"/>
      <c r="C397"/>
      <c r="D397"/>
      <c r="E397"/>
      <c r="F397"/>
      <c r="G397"/>
      <c r="H397"/>
      <c r="I397"/>
      <c r="J397"/>
      <c r="K397"/>
      <c r="L397"/>
      <c r="M397"/>
      <c r="N397"/>
    </row>
    <row r="398" spans="2:14" ht="15" customHeight="1">
      <c r="B398"/>
      <c r="C398"/>
      <c r="D398"/>
      <c r="E398"/>
      <c r="F398"/>
      <c r="G398"/>
      <c r="H398"/>
      <c r="I398"/>
      <c r="J398"/>
      <c r="K398"/>
      <c r="L398"/>
      <c r="M398"/>
      <c r="N398"/>
    </row>
    <row r="399" spans="2:14" ht="15" customHeight="1">
      <c r="B399"/>
      <c r="C399"/>
      <c r="D399"/>
      <c r="E399"/>
      <c r="F399"/>
      <c r="G399"/>
      <c r="H399"/>
      <c r="I399"/>
      <c r="J399"/>
      <c r="K399"/>
      <c r="L399"/>
      <c r="M399"/>
      <c r="N399"/>
    </row>
    <row r="400" spans="2:14" ht="15" customHeight="1">
      <c r="B400"/>
      <c r="C400"/>
      <c r="D400"/>
      <c r="E400"/>
      <c r="F400"/>
      <c r="G400"/>
      <c r="H400"/>
      <c r="I400"/>
      <c r="J400"/>
      <c r="K400"/>
      <c r="L400"/>
      <c r="M400"/>
      <c r="N400"/>
    </row>
    <row r="401" spans="2:14" ht="15" customHeight="1">
      <c r="B401"/>
      <c r="C401"/>
      <c r="D401"/>
      <c r="E401"/>
      <c r="F401"/>
      <c r="G401"/>
      <c r="H401"/>
      <c r="I401"/>
      <c r="J401"/>
      <c r="K401"/>
      <c r="L401"/>
      <c r="M401"/>
      <c r="N401"/>
    </row>
    <row r="402" spans="2:14" ht="15" customHeight="1">
      <c r="B402"/>
      <c r="C402"/>
      <c r="D402"/>
      <c r="E402"/>
      <c r="F402"/>
      <c r="G402"/>
      <c r="H402"/>
      <c r="I402"/>
      <c r="J402"/>
      <c r="K402"/>
      <c r="L402"/>
      <c r="M402"/>
      <c r="N402"/>
    </row>
    <row r="403" spans="2:14" ht="15" customHeight="1">
      <c r="B403"/>
      <c r="C403"/>
      <c r="D403"/>
      <c r="E403"/>
      <c r="F403"/>
      <c r="G403"/>
      <c r="H403"/>
      <c r="I403"/>
      <c r="J403"/>
      <c r="K403"/>
      <c r="L403"/>
      <c r="M403"/>
      <c r="N403"/>
    </row>
    <row r="404" spans="2:14" ht="15" customHeight="1">
      <c r="B404"/>
      <c r="C404"/>
      <c r="D404"/>
      <c r="E404"/>
      <c r="F404"/>
      <c r="G404"/>
      <c r="H404"/>
      <c r="I404"/>
      <c r="J404"/>
      <c r="K404"/>
      <c r="L404"/>
      <c r="M404"/>
      <c r="N404"/>
    </row>
    <row r="405" spans="2:14" ht="15" customHeight="1">
      <c r="B405"/>
      <c r="C405"/>
      <c r="D405"/>
      <c r="E405"/>
      <c r="F405"/>
      <c r="G405"/>
      <c r="H405"/>
      <c r="I405"/>
      <c r="J405"/>
      <c r="K405"/>
      <c r="L405"/>
      <c r="M405"/>
      <c r="N405"/>
    </row>
    <row r="406" spans="2:14" ht="15" customHeight="1">
      <c r="B406"/>
      <c r="C406"/>
      <c r="D406"/>
      <c r="E406"/>
      <c r="F406"/>
      <c r="G406"/>
      <c r="H406"/>
      <c r="I406"/>
      <c r="J406"/>
      <c r="K406"/>
      <c r="L406"/>
      <c r="M406"/>
      <c r="N406"/>
    </row>
    <row r="407" spans="2:14" ht="15" customHeight="1">
      <c r="B407"/>
      <c r="C407"/>
      <c r="D407"/>
      <c r="E407"/>
      <c r="F407"/>
      <c r="G407"/>
      <c r="H407"/>
      <c r="I407"/>
      <c r="J407"/>
      <c r="K407"/>
      <c r="L407"/>
      <c r="M407"/>
      <c r="N407"/>
    </row>
    <row r="408" spans="2:14" ht="15" customHeight="1">
      <c r="B408"/>
      <c r="C408"/>
      <c r="D408"/>
      <c r="E408"/>
      <c r="F408"/>
      <c r="G408"/>
      <c r="H408"/>
      <c r="I408"/>
      <c r="J408"/>
      <c r="K408"/>
      <c r="L408"/>
      <c r="M408"/>
      <c r="N408"/>
    </row>
    <row r="409" spans="2:14" ht="15" customHeight="1">
      <c r="B409"/>
      <c r="C409"/>
      <c r="D409"/>
      <c r="E409"/>
      <c r="F409"/>
      <c r="G409"/>
      <c r="H409"/>
      <c r="I409"/>
      <c r="J409"/>
      <c r="K409"/>
      <c r="L409"/>
      <c r="M409"/>
      <c r="N409"/>
    </row>
    <row r="410" spans="2:14" ht="15" customHeight="1">
      <c r="B410"/>
      <c r="C410"/>
      <c r="D410"/>
      <c r="E410"/>
      <c r="F410"/>
      <c r="G410"/>
      <c r="H410"/>
      <c r="I410"/>
      <c r="J410"/>
      <c r="K410"/>
      <c r="L410"/>
      <c r="M410"/>
      <c r="N410"/>
    </row>
    <row r="411" spans="2:14" ht="15" customHeight="1">
      <c r="B411"/>
      <c r="C411"/>
      <c r="D411"/>
      <c r="E411"/>
      <c r="F411"/>
      <c r="G411"/>
      <c r="H411"/>
      <c r="I411"/>
      <c r="J411"/>
      <c r="K411"/>
      <c r="L411"/>
      <c r="M411"/>
      <c r="N411"/>
    </row>
    <row r="412" spans="2:14" ht="15" customHeight="1">
      <c r="B412"/>
      <c r="C412"/>
      <c r="D412"/>
      <c r="E412"/>
      <c r="F412"/>
      <c r="G412"/>
      <c r="H412"/>
      <c r="I412"/>
      <c r="J412"/>
      <c r="K412"/>
      <c r="L412"/>
      <c r="M412"/>
      <c r="N412"/>
    </row>
    <row r="413" spans="2:14" ht="15" customHeight="1">
      <c r="B413"/>
      <c r="C413"/>
      <c r="D413"/>
      <c r="E413"/>
      <c r="F413"/>
      <c r="G413"/>
      <c r="H413"/>
      <c r="I413"/>
      <c r="J413"/>
      <c r="K413"/>
      <c r="L413"/>
      <c r="M413"/>
      <c r="N413"/>
    </row>
    <row r="414" spans="2:14" ht="15" customHeight="1">
      <c r="B414"/>
      <c r="C414"/>
      <c r="D414"/>
      <c r="E414"/>
      <c r="F414"/>
      <c r="G414"/>
      <c r="H414"/>
      <c r="I414"/>
      <c r="J414"/>
      <c r="K414"/>
      <c r="L414"/>
      <c r="M414"/>
      <c r="N414"/>
    </row>
    <row r="415" spans="2:14" ht="15" customHeight="1">
      <c r="B415"/>
      <c r="C415"/>
      <c r="D415"/>
      <c r="E415"/>
      <c r="F415"/>
      <c r="G415"/>
      <c r="H415"/>
      <c r="I415"/>
      <c r="J415"/>
      <c r="K415"/>
      <c r="L415"/>
      <c r="M415"/>
      <c r="N415"/>
    </row>
    <row r="416" spans="2:14" ht="15" customHeight="1">
      <c r="B416"/>
      <c r="C416"/>
      <c r="D416"/>
      <c r="E416"/>
      <c r="F416"/>
      <c r="G416"/>
      <c r="H416"/>
      <c r="I416"/>
      <c r="J416"/>
      <c r="K416"/>
      <c r="L416"/>
      <c r="M416"/>
      <c r="N416"/>
    </row>
    <row r="417" spans="2:14" ht="15" customHeight="1">
      <c r="B417"/>
      <c r="C417"/>
      <c r="D417"/>
      <c r="E417"/>
      <c r="F417"/>
      <c r="G417"/>
      <c r="H417"/>
      <c r="I417"/>
      <c r="J417"/>
      <c r="K417"/>
      <c r="L417"/>
      <c r="M417"/>
      <c r="N417"/>
    </row>
    <row r="418" spans="2:14" ht="15" customHeight="1">
      <c r="B418"/>
      <c r="C418"/>
      <c r="D418"/>
      <c r="E418"/>
      <c r="F418"/>
      <c r="G418"/>
      <c r="H418"/>
      <c r="I418"/>
      <c r="J418"/>
      <c r="K418"/>
      <c r="L418"/>
      <c r="M418"/>
      <c r="N418"/>
    </row>
    <row r="419" spans="2:14" ht="15" customHeight="1">
      <c r="B419"/>
      <c r="C419"/>
      <c r="D419"/>
      <c r="E419"/>
      <c r="F419"/>
      <c r="G419"/>
      <c r="H419"/>
      <c r="I419"/>
      <c r="J419"/>
      <c r="K419"/>
      <c r="L419"/>
      <c r="M419"/>
      <c r="N419"/>
    </row>
    <row r="420" spans="2:14" ht="15" customHeight="1">
      <c r="B420"/>
      <c r="C420"/>
      <c r="D420"/>
      <c r="E420"/>
      <c r="F420"/>
      <c r="G420"/>
      <c r="H420"/>
      <c r="I420"/>
      <c r="J420"/>
      <c r="K420"/>
      <c r="L420"/>
      <c r="M420"/>
      <c r="N420"/>
    </row>
    <row r="421" spans="2:14" ht="15" customHeight="1">
      <c r="B421"/>
      <c r="C421"/>
      <c r="D421"/>
      <c r="E421"/>
      <c r="F421"/>
      <c r="G421"/>
      <c r="H421"/>
      <c r="I421"/>
      <c r="J421"/>
      <c r="K421"/>
      <c r="L421"/>
      <c r="M421"/>
      <c r="N421"/>
    </row>
    <row r="422" spans="2:14" ht="15" customHeight="1">
      <c r="B422"/>
      <c r="C422"/>
      <c r="D422"/>
      <c r="E422"/>
      <c r="F422"/>
      <c r="G422"/>
      <c r="H422"/>
      <c r="I422"/>
      <c r="J422"/>
      <c r="K422"/>
      <c r="L422"/>
      <c r="M422"/>
      <c r="N422"/>
    </row>
    <row r="423" spans="2:14" ht="15" customHeight="1">
      <c r="B423"/>
      <c r="C423"/>
      <c r="D423"/>
      <c r="E423"/>
      <c r="F423"/>
      <c r="G423"/>
      <c r="H423"/>
      <c r="I423"/>
      <c r="J423"/>
      <c r="K423"/>
      <c r="L423"/>
      <c r="M423"/>
      <c r="N423"/>
    </row>
    <row r="424" spans="2:14" ht="15" customHeight="1">
      <c r="B424"/>
      <c r="C424"/>
      <c r="D424"/>
      <c r="E424"/>
      <c r="F424"/>
      <c r="G424"/>
      <c r="H424"/>
      <c r="I424"/>
      <c r="J424"/>
      <c r="K424"/>
      <c r="L424"/>
      <c r="M424"/>
      <c r="N424"/>
    </row>
    <row r="425" spans="2:14" ht="15" customHeight="1">
      <c r="B425"/>
      <c r="C425"/>
      <c r="D425"/>
      <c r="E425"/>
      <c r="F425"/>
      <c r="G425"/>
      <c r="H425"/>
      <c r="I425"/>
      <c r="J425"/>
      <c r="K425"/>
      <c r="L425"/>
      <c r="M425"/>
      <c r="N425"/>
    </row>
    <row r="426" spans="2:14" ht="15" customHeight="1">
      <c r="B426"/>
      <c r="C426"/>
      <c r="D426"/>
      <c r="E426"/>
      <c r="F426"/>
      <c r="G426"/>
      <c r="H426"/>
      <c r="I426"/>
      <c r="J426"/>
      <c r="K426"/>
      <c r="L426"/>
      <c r="M426"/>
      <c r="N426"/>
    </row>
    <row r="427" spans="2:14" ht="15" customHeight="1">
      <c r="B427"/>
      <c r="C427"/>
      <c r="D427"/>
      <c r="E427"/>
      <c r="F427"/>
      <c r="G427"/>
      <c r="H427"/>
      <c r="I427"/>
      <c r="J427"/>
      <c r="K427"/>
      <c r="L427"/>
      <c r="M427"/>
      <c r="N427"/>
    </row>
    <row r="428" spans="2:14" ht="15" customHeight="1">
      <c r="B428"/>
      <c r="C428"/>
      <c r="D428"/>
      <c r="E428"/>
      <c r="F428"/>
      <c r="G428"/>
      <c r="H428"/>
      <c r="I428"/>
      <c r="J428"/>
      <c r="K428"/>
      <c r="L428"/>
      <c r="M428"/>
      <c r="N428"/>
    </row>
    <row r="429" spans="2:14" ht="15" customHeight="1">
      <c r="B429"/>
      <c r="C429"/>
      <c r="D429"/>
      <c r="E429"/>
      <c r="F429"/>
      <c r="G429"/>
      <c r="H429"/>
      <c r="I429"/>
      <c r="J429"/>
      <c r="K429"/>
      <c r="L429"/>
      <c r="M429"/>
      <c r="N429"/>
    </row>
    <row r="430" spans="2:14" ht="15" customHeight="1">
      <c r="B430"/>
      <c r="C430"/>
      <c r="D430"/>
      <c r="E430"/>
      <c r="F430"/>
      <c r="G430"/>
      <c r="H430"/>
      <c r="I430"/>
      <c r="J430"/>
      <c r="K430"/>
      <c r="L430"/>
      <c r="M430"/>
      <c r="N430"/>
    </row>
    <row r="431" spans="2:14" ht="15" customHeight="1">
      <c r="B431"/>
      <c r="C431"/>
      <c r="D431"/>
      <c r="E431"/>
      <c r="F431"/>
      <c r="G431"/>
      <c r="H431"/>
      <c r="I431"/>
      <c r="J431"/>
      <c r="K431"/>
      <c r="L431"/>
      <c r="M431"/>
      <c r="N431"/>
    </row>
    <row r="432" spans="2:14" ht="15" customHeight="1">
      <c r="B432"/>
      <c r="C432"/>
      <c r="D432"/>
      <c r="E432"/>
      <c r="F432"/>
      <c r="G432"/>
      <c r="H432"/>
      <c r="I432"/>
      <c r="J432"/>
      <c r="K432"/>
      <c r="L432"/>
      <c r="M432"/>
      <c r="N432"/>
    </row>
    <row r="433" spans="2:14" ht="15" customHeight="1">
      <c r="B433"/>
      <c r="C433"/>
      <c r="D433"/>
      <c r="E433"/>
      <c r="F433"/>
      <c r="G433"/>
      <c r="H433"/>
      <c r="I433"/>
      <c r="J433"/>
      <c r="K433"/>
      <c r="L433"/>
      <c r="M433"/>
      <c r="N433"/>
    </row>
    <row r="434" spans="2:14" ht="15" customHeight="1">
      <c r="B434"/>
      <c r="C434"/>
      <c r="D434"/>
      <c r="E434"/>
      <c r="F434"/>
      <c r="G434"/>
      <c r="H434"/>
      <c r="I434"/>
      <c r="J434"/>
      <c r="K434"/>
      <c r="L434"/>
      <c r="M434"/>
      <c r="N434"/>
    </row>
    <row r="435" spans="2:14" ht="15" customHeight="1">
      <c r="B435"/>
      <c r="C435"/>
      <c r="D435"/>
      <c r="E435"/>
      <c r="F435"/>
      <c r="G435"/>
      <c r="H435"/>
      <c r="I435"/>
      <c r="J435"/>
      <c r="K435"/>
      <c r="L435"/>
      <c r="M435"/>
      <c r="N435"/>
    </row>
    <row r="436" spans="2:14" ht="15" customHeight="1">
      <c r="B436"/>
      <c r="C436"/>
      <c r="D436"/>
      <c r="E436"/>
      <c r="F436"/>
      <c r="G436"/>
      <c r="H436"/>
      <c r="I436"/>
      <c r="J436"/>
      <c r="K436"/>
      <c r="L436"/>
      <c r="M436"/>
      <c r="N436"/>
    </row>
    <row r="437" spans="2:14" ht="15" customHeight="1">
      <c r="B437"/>
      <c r="C437"/>
      <c r="D437"/>
      <c r="E437"/>
      <c r="F437"/>
      <c r="G437"/>
      <c r="H437"/>
      <c r="I437"/>
      <c r="J437"/>
      <c r="K437"/>
      <c r="L437"/>
      <c r="M437"/>
      <c r="N437"/>
    </row>
    <row r="438" spans="2:14" ht="15" customHeight="1">
      <c r="B438"/>
      <c r="C438"/>
      <c r="D438"/>
      <c r="E438"/>
      <c r="F438"/>
      <c r="G438"/>
      <c r="H438"/>
      <c r="I438"/>
      <c r="J438"/>
      <c r="K438"/>
      <c r="L438"/>
      <c r="M438"/>
      <c r="N438"/>
    </row>
    <row r="439" spans="2:14" ht="15" customHeight="1">
      <c r="B439"/>
      <c r="C439"/>
      <c r="D439"/>
      <c r="E439"/>
      <c r="F439"/>
      <c r="G439"/>
      <c r="H439"/>
      <c r="I439"/>
      <c r="J439"/>
      <c r="K439"/>
      <c r="L439"/>
      <c r="M439"/>
      <c r="N439"/>
    </row>
    <row r="440" spans="2:14" ht="15" customHeight="1">
      <c r="B440"/>
      <c r="C440"/>
      <c r="D440"/>
      <c r="E440"/>
      <c r="F440"/>
      <c r="G440"/>
      <c r="H440"/>
      <c r="I440"/>
      <c r="J440"/>
      <c r="K440"/>
      <c r="L440"/>
      <c r="M440"/>
      <c r="N440"/>
    </row>
    <row r="441" spans="2:14" ht="15" customHeight="1">
      <c r="B441"/>
      <c r="C441"/>
      <c r="D441"/>
      <c r="E441"/>
      <c r="F441"/>
      <c r="G441"/>
      <c r="H441"/>
      <c r="I441"/>
      <c r="J441"/>
      <c r="K441"/>
      <c r="L441"/>
      <c r="M441"/>
      <c r="N441"/>
    </row>
    <row r="442" spans="2:14" ht="15" customHeight="1">
      <c r="B442"/>
      <c r="C442"/>
      <c r="D442"/>
      <c r="E442"/>
      <c r="F442"/>
      <c r="G442"/>
      <c r="H442"/>
      <c r="I442"/>
      <c r="J442"/>
      <c r="K442"/>
      <c r="L442"/>
      <c r="M442"/>
      <c r="N442"/>
    </row>
    <row r="443" spans="2:14" ht="15" customHeight="1">
      <c r="B443"/>
      <c r="C443"/>
      <c r="D443"/>
      <c r="E443"/>
      <c r="F443"/>
      <c r="G443"/>
      <c r="H443"/>
      <c r="I443"/>
      <c r="J443"/>
      <c r="K443"/>
      <c r="L443"/>
      <c r="M443"/>
      <c r="N443"/>
    </row>
    <row r="444" spans="2:14" ht="15" customHeight="1">
      <c r="B444"/>
      <c r="C444"/>
      <c r="D444"/>
      <c r="E444"/>
      <c r="F444"/>
      <c r="G444"/>
      <c r="H444"/>
      <c r="I444"/>
      <c r="J444"/>
      <c r="K444"/>
      <c r="L444"/>
      <c r="M444"/>
      <c r="N444"/>
    </row>
    <row r="445" spans="2:14" ht="15" customHeight="1">
      <c r="B445"/>
      <c r="C445"/>
      <c r="D445"/>
      <c r="E445"/>
      <c r="F445"/>
      <c r="G445"/>
      <c r="H445"/>
      <c r="I445"/>
      <c r="J445"/>
      <c r="K445"/>
      <c r="L445"/>
      <c r="M445"/>
      <c r="N445"/>
    </row>
    <row r="446" spans="2:14" ht="15" customHeight="1">
      <c r="B446"/>
      <c r="C446"/>
      <c r="D446"/>
      <c r="E446"/>
      <c r="F446"/>
      <c r="G446"/>
      <c r="H446"/>
      <c r="I446"/>
      <c r="J446"/>
      <c r="K446"/>
      <c r="L446"/>
      <c r="M446"/>
      <c r="N446"/>
    </row>
    <row r="447" spans="2:14" ht="15" customHeight="1">
      <c r="B447"/>
      <c r="C447"/>
      <c r="D447"/>
      <c r="E447"/>
      <c r="F447"/>
      <c r="G447"/>
      <c r="H447"/>
      <c r="I447"/>
      <c r="J447"/>
      <c r="K447"/>
      <c r="L447"/>
      <c r="M447"/>
      <c r="N447"/>
    </row>
    <row r="448" spans="2:14" ht="15" customHeight="1">
      <c r="B448"/>
      <c r="C448"/>
      <c r="D448"/>
      <c r="E448"/>
      <c r="F448"/>
      <c r="G448"/>
      <c r="H448"/>
      <c r="I448"/>
      <c r="J448"/>
      <c r="K448"/>
      <c r="L448"/>
      <c r="M448"/>
      <c r="N448"/>
    </row>
    <row r="449" spans="2:14" ht="15" customHeight="1">
      <c r="B449"/>
      <c r="C449"/>
      <c r="D449"/>
      <c r="E449"/>
      <c r="F449"/>
      <c r="G449"/>
      <c r="H449"/>
      <c r="I449"/>
      <c r="J449"/>
      <c r="K449"/>
      <c r="L449"/>
      <c r="M449"/>
      <c r="N449"/>
    </row>
    <row r="450" spans="2:14" ht="15" customHeight="1">
      <c r="B450"/>
      <c r="C450"/>
      <c r="D450"/>
      <c r="E450"/>
      <c r="F450"/>
      <c r="G450"/>
      <c r="H450"/>
      <c r="I450"/>
      <c r="J450"/>
      <c r="K450"/>
      <c r="L450"/>
      <c r="M450"/>
      <c r="N450"/>
    </row>
    <row r="451" spans="2:14" ht="15" customHeight="1">
      <c r="B451"/>
      <c r="C451"/>
      <c r="D451"/>
      <c r="E451"/>
      <c r="F451"/>
      <c r="G451"/>
      <c r="H451"/>
      <c r="I451"/>
      <c r="J451"/>
      <c r="K451"/>
      <c r="L451"/>
      <c r="M451"/>
      <c r="N451"/>
    </row>
    <row r="452" spans="2:14" ht="15" customHeight="1">
      <c r="B452"/>
      <c r="C452"/>
      <c r="D452"/>
      <c r="E452"/>
      <c r="F452"/>
      <c r="G452"/>
      <c r="H452"/>
      <c r="I452"/>
      <c r="J452"/>
      <c r="K452"/>
      <c r="L452"/>
      <c r="M452"/>
      <c r="N452"/>
    </row>
    <row r="453" spans="2:14" ht="15" customHeight="1">
      <c r="B453"/>
      <c r="C453"/>
      <c r="D453"/>
      <c r="E453"/>
      <c r="F453"/>
      <c r="G453"/>
      <c r="H453"/>
      <c r="I453"/>
      <c r="J453"/>
      <c r="K453"/>
      <c r="L453"/>
      <c r="M453"/>
      <c r="N453"/>
    </row>
    <row r="454" spans="2:14" ht="15" customHeight="1">
      <c r="B454"/>
      <c r="C454"/>
      <c r="D454"/>
      <c r="E454"/>
      <c r="F454"/>
      <c r="G454"/>
      <c r="H454"/>
      <c r="I454"/>
      <c r="J454"/>
      <c r="K454"/>
      <c r="L454"/>
      <c r="M454"/>
      <c r="N454"/>
    </row>
    <row r="455" spans="2:14" ht="15" customHeight="1">
      <c r="B455"/>
      <c r="C455"/>
      <c r="D455"/>
      <c r="E455"/>
      <c r="F455"/>
      <c r="G455"/>
      <c r="H455"/>
      <c r="I455"/>
      <c r="J455"/>
      <c r="K455"/>
      <c r="L455"/>
      <c r="M455"/>
      <c r="N455"/>
    </row>
    <row r="456" spans="2:14" ht="15" customHeight="1">
      <c r="B456"/>
      <c r="C456"/>
      <c r="D456"/>
      <c r="E456"/>
      <c r="F456"/>
      <c r="G456"/>
      <c r="H456"/>
      <c r="I456"/>
      <c r="J456"/>
      <c r="K456"/>
      <c r="L456"/>
      <c r="M456"/>
      <c r="N456"/>
    </row>
    <row r="457" spans="2:14" ht="15" customHeight="1">
      <c r="B457"/>
      <c r="C457"/>
      <c r="D457"/>
      <c r="E457"/>
      <c r="F457"/>
      <c r="G457"/>
      <c r="H457"/>
      <c r="I457"/>
      <c r="J457"/>
      <c r="K457"/>
      <c r="L457"/>
      <c r="M457"/>
      <c r="N457"/>
    </row>
    <row r="458" spans="2:14" ht="15" customHeight="1">
      <c r="B458"/>
      <c r="C458"/>
      <c r="D458"/>
      <c r="E458"/>
      <c r="F458"/>
      <c r="G458"/>
      <c r="H458"/>
      <c r="I458"/>
      <c r="J458"/>
      <c r="K458"/>
      <c r="L458"/>
      <c r="M458"/>
      <c r="N458"/>
    </row>
    <row r="459" spans="2:14" ht="15" customHeight="1">
      <c r="B459"/>
      <c r="C459"/>
      <c r="D459"/>
      <c r="E459"/>
      <c r="F459"/>
      <c r="G459"/>
      <c r="H459"/>
      <c r="I459"/>
      <c r="J459"/>
      <c r="K459"/>
      <c r="L459"/>
      <c r="M459"/>
      <c r="N459"/>
    </row>
    <row r="460" spans="2:14" ht="15" customHeight="1">
      <c r="B460"/>
      <c r="C460"/>
      <c r="D460"/>
      <c r="E460"/>
      <c r="F460"/>
      <c r="G460"/>
      <c r="H460"/>
      <c r="I460"/>
      <c r="J460"/>
      <c r="K460"/>
      <c r="L460"/>
      <c r="M460"/>
      <c r="N460"/>
    </row>
    <row r="461" spans="2:14" ht="15" customHeight="1">
      <c r="B461"/>
      <c r="C461"/>
      <c r="D461"/>
      <c r="E461"/>
      <c r="F461"/>
      <c r="G461"/>
      <c r="H461"/>
      <c r="I461"/>
      <c r="J461"/>
      <c r="K461"/>
      <c r="L461"/>
      <c r="M461"/>
      <c r="N461"/>
    </row>
    <row r="462" spans="2:14" ht="15" customHeight="1">
      <c r="B462"/>
      <c r="C462"/>
      <c r="D462"/>
      <c r="E462"/>
      <c r="F462"/>
      <c r="G462"/>
      <c r="H462"/>
      <c r="I462"/>
      <c r="J462"/>
      <c r="K462"/>
      <c r="L462"/>
      <c r="M462"/>
      <c r="N462"/>
    </row>
    <row r="463" spans="2:14" ht="15" customHeight="1">
      <c r="B463"/>
      <c r="C463"/>
      <c r="D463"/>
      <c r="E463"/>
      <c r="F463"/>
      <c r="G463"/>
      <c r="H463"/>
      <c r="I463"/>
      <c r="J463"/>
      <c r="K463"/>
      <c r="L463"/>
      <c r="M463"/>
      <c r="N463"/>
    </row>
    <row r="464" spans="2:14" ht="15" customHeight="1">
      <c r="B464"/>
      <c r="C464"/>
      <c r="D464"/>
      <c r="E464"/>
      <c r="F464"/>
      <c r="G464"/>
      <c r="H464"/>
      <c r="I464"/>
      <c r="J464"/>
      <c r="K464"/>
      <c r="L464"/>
      <c r="M464"/>
      <c r="N464"/>
    </row>
    <row r="465" spans="2:14" ht="15" customHeight="1">
      <c r="B465"/>
      <c r="C465"/>
      <c r="D465"/>
      <c r="E465"/>
      <c r="F465"/>
      <c r="G465"/>
      <c r="H465"/>
      <c r="I465"/>
      <c r="J465"/>
      <c r="K465"/>
      <c r="L465"/>
      <c r="M465"/>
      <c r="N465"/>
    </row>
    <row r="466" spans="2:14" ht="15" customHeight="1">
      <c r="B466"/>
      <c r="C466"/>
      <c r="D466"/>
      <c r="E466"/>
      <c r="F466"/>
      <c r="G466"/>
      <c r="H466"/>
      <c r="I466"/>
      <c r="J466"/>
      <c r="K466"/>
      <c r="L466"/>
      <c r="M466"/>
      <c r="N466"/>
    </row>
    <row r="467" spans="2:14" ht="15" customHeight="1">
      <c r="B467"/>
      <c r="C467"/>
      <c r="D467"/>
      <c r="E467"/>
      <c r="F467"/>
      <c r="G467"/>
      <c r="H467"/>
      <c r="I467"/>
      <c r="J467"/>
      <c r="K467"/>
      <c r="L467"/>
      <c r="M467"/>
      <c r="N467"/>
    </row>
    <row r="468" spans="2:14" ht="15" customHeight="1">
      <c r="B468"/>
      <c r="C468"/>
      <c r="D468"/>
      <c r="E468"/>
      <c r="F468"/>
      <c r="G468"/>
      <c r="H468"/>
      <c r="I468"/>
      <c r="J468"/>
      <c r="K468"/>
      <c r="L468"/>
      <c r="M468"/>
      <c r="N468"/>
    </row>
    <row r="469" spans="2:14" ht="15" customHeight="1">
      <c r="B469"/>
      <c r="C469"/>
      <c r="D469"/>
      <c r="E469"/>
      <c r="F469"/>
      <c r="G469"/>
      <c r="H469"/>
      <c r="I469"/>
      <c r="J469"/>
      <c r="K469"/>
      <c r="L469"/>
      <c r="M469"/>
      <c r="N469"/>
    </row>
    <row r="470" spans="2:14" ht="15" customHeight="1">
      <c r="B470"/>
      <c r="C470"/>
      <c r="D470"/>
      <c r="E470"/>
      <c r="F470"/>
      <c r="G470"/>
      <c r="H470"/>
      <c r="I470"/>
      <c r="J470"/>
      <c r="K470"/>
      <c r="L470"/>
      <c r="M470"/>
      <c r="N470"/>
    </row>
    <row r="471" spans="2:14" ht="15" customHeight="1">
      <c r="B471"/>
      <c r="C471"/>
      <c r="D471"/>
      <c r="E471"/>
      <c r="F471"/>
      <c r="G471"/>
      <c r="H471"/>
      <c r="I471"/>
      <c r="J471"/>
      <c r="K471"/>
      <c r="L471"/>
      <c r="M471"/>
      <c r="N471"/>
    </row>
    <row r="472" spans="2:14" ht="15" customHeight="1">
      <c r="B472"/>
      <c r="C472"/>
      <c r="D472"/>
      <c r="E472"/>
      <c r="F472"/>
      <c r="G472"/>
      <c r="H472"/>
      <c r="I472"/>
      <c r="J472"/>
      <c r="K472"/>
      <c r="L472"/>
      <c r="M472"/>
      <c r="N472"/>
    </row>
    <row r="473" spans="2:14" ht="15" customHeight="1">
      <c r="B473"/>
      <c r="C473"/>
      <c r="D473"/>
      <c r="E473"/>
      <c r="F473"/>
      <c r="G473"/>
      <c r="H473"/>
      <c r="I473"/>
      <c r="J473"/>
      <c r="K473"/>
      <c r="L473"/>
      <c r="M473"/>
      <c r="N473"/>
    </row>
    <row r="474" spans="2:14" ht="15" customHeight="1">
      <c r="B474"/>
      <c r="C474"/>
      <c r="D474"/>
      <c r="E474"/>
      <c r="F474"/>
      <c r="G474"/>
      <c r="H474"/>
      <c r="I474"/>
      <c r="J474"/>
      <c r="K474"/>
      <c r="L474"/>
      <c r="M474"/>
      <c r="N474"/>
    </row>
    <row r="475" spans="2:14" ht="15" customHeight="1">
      <c r="B475"/>
      <c r="C475"/>
      <c r="D475"/>
      <c r="E475"/>
      <c r="F475"/>
      <c r="G475"/>
      <c r="H475"/>
      <c r="I475"/>
      <c r="J475"/>
      <c r="K475"/>
      <c r="L475"/>
      <c r="M475"/>
      <c r="N475"/>
    </row>
    <row r="476" spans="2:14" ht="15" customHeight="1">
      <c r="B476"/>
      <c r="C476"/>
      <c r="D476"/>
      <c r="E476"/>
      <c r="F476"/>
      <c r="G476"/>
      <c r="H476"/>
      <c r="I476"/>
      <c r="J476"/>
      <c r="K476"/>
      <c r="L476"/>
      <c r="M476"/>
      <c r="N476"/>
    </row>
    <row r="477" spans="2:14" ht="15" customHeight="1">
      <c r="B477"/>
      <c r="C477"/>
      <c r="D477"/>
      <c r="E477"/>
      <c r="F477"/>
      <c r="G477"/>
      <c r="H477"/>
      <c r="I477"/>
      <c r="J477"/>
      <c r="K477"/>
      <c r="L477"/>
      <c r="M477"/>
      <c r="N477"/>
    </row>
    <row r="478" spans="2:14" ht="15" customHeight="1">
      <c r="B478"/>
      <c r="C478"/>
      <c r="D478"/>
      <c r="E478"/>
      <c r="F478"/>
      <c r="G478"/>
      <c r="H478"/>
      <c r="I478"/>
      <c r="J478"/>
      <c r="K478"/>
      <c r="L478"/>
      <c r="M478"/>
      <c r="N478"/>
    </row>
    <row r="479" spans="2:14" ht="15" customHeight="1">
      <c r="B479"/>
      <c r="C479"/>
      <c r="D479"/>
      <c r="E479"/>
      <c r="F479"/>
      <c r="G479"/>
      <c r="H479"/>
      <c r="I479"/>
      <c r="J479"/>
      <c r="K479"/>
      <c r="L479"/>
      <c r="M479"/>
      <c r="N479"/>
    </row>
    <row r="480" spans="2:14" ht="15" customHeight="1">
      <c r="B480"/>
      <c r="C480"/>
      <c r="D480"/>
      <c r="E480"/>
      <c r="F480"/>
      <c r="G480"/>
      <c r="H480"/>
      <c r="I480"/>
      <c r="J480"/>
      <c r="K480"/>
      <c r="L480"/>
      <c r="M480"/>
      <c r="N480"/>
    </row>
    <row r="481" spans="2:14" ht="15" customHeight="1">
      <c r="B481"/>
      <c r="C481"/>
      <c r="D481"/>
      <c r="E481"/>
      <c r="F481"/>
      <c r="G481"/>
      <c r="H481"/>
      <c r="I481"/>
      <c r="J481"/>
      <c r="K481"/>
      <c r="L481"/>
      <c r="M481"/>
      <c r="N481"/>
    </row>
    <row r="482" spans="2:14" ht="15" customHeight="1">
      <c r="B482"/>
      <c r="C482"/>
      <c r="D482"/>
      <c r="E482"/>
      <c r="F482"/>
      <c r="G482"/>
      <c r="H482"/>
      <c r="I482"/>
      <c r="J482"/>
      <c r="K482"/>
      <c r="L482"/>
      <c r="M482"/>
      <c r="N482"/>
    </row>
    <row r="483" spans="2:14" ht="15" customHeight="1">
      <c r="B483"/>
      <c r="C483"/>
      <c r="D483"/>
      <c r="E483"/>
      <c r="F483"/>
      <c r="G483"/>
      <c r="H483"/>
      <c r="I483"/>
      <c r="J483"/>
      <c r="K483"/>
      <c r="L483"/>
      <c r="M483"/>
      <c r="N483"/>
    </row>
    <row r="484" spans="2:14" ht="15" customHeight="1">
      <c r="B484"/>
      <c r="C484"/>
      <c r="D484"/>
      <c r="E484"/>
      <c r="F484"/>
      <c r="G484"/>
      <c r="H484"/>
      <c r="I484"/>
      <c r="J484"/>
      <c r="K484"/>
      <c r="L484"/>
      <c r="M484"/>
      <c r="N484"/>
    </row>
    <row r="485" spans="2:14" ht="15" customHeight="1">
      <c r="B485"/>
      <c r="C485"/>
      <c r="D485"/>
      <c r="E485"/>
      <c r="F485"/>
      <c r="G485"/>
      <c r="H485"/>
      <c r="I485"/>
      <c r="J485"/>
      <c r="K485"/>
      <c r="L485"/>
      <c r="M485"/>
      <c r="N485"/>
    </row>
    <row r="486" spans="2:14" ht="15" customHeight="1">
      <c r="B486"/>
      <c r="C486"/>
      <c r="D486"/>
      <c r="E486"/>
      <c r="F486"/>
      <c r="G486"/>
      <c r="H486"/>
      <c r="I486"/>
      <c r="J486"/>
      <c r="K486"/>
      <c r="L486"/>
      <c r="M486"/>
      <c r="N486"/>
    </row>
    <row r="487" spans="2:14" ht="15" customHeight="1">
      <c r="B487"/>
      <c r="C487"/>
      <c r="D487"/>
      <c r="E487"/>
      <c r="F487"/>
      <c r="G487"/>
      <c r="H487"/>
      <c r="I487"/>
      <c r="J487"/>
      <c r="K487"/>
      <c r="L487"/>
      <c r="M487"/>
      <c r="N487"/>
    </row>
    <row r="488" spans="2:14" ht="15" customHeight="1">
      <c r="B488"/>
      <c r="C488"/>
      <c r="D488"/>
      <c r="E488"/>
      <c r="F488"/>
      <c r="G488"/>
      <c r="H488"/>
      <c r="I488"/>
      <c r="J488"/>
      <c r="K488"/>
      <c r="L488"/>
      <c r="M488"/>
      <c r="N488"/>
    </row>
    <row r="489" spans="2:14" ht="15" customHeight="1">
      <c r="B489"/>
      <c r="C489"/>
      <c r="D489"/>
      <c r="E489"/>
      <c r="F489"/>
      <c r="G489"/>
      <c r="H489"/>
      <c r="I489"/>
      <c r="J489"/>
      <c r="K489"/>
      <c r="L489"/>
      <c r="M489"/>
      <c r="N489"/>
    </row>
    <row r="490" spans="2:14" ht="15" customHeight="1">
      <c r="B490"/>
      <c r="C490"/>
      <c r="D490"/>
      <c r="E490"/>
      <c r="F490"/>
      <c r="G490"/>
      <c r="H490"/>
      <c r="I490"/>
      <c r="J490"/>
      <c r="K490"/>
      <c r="L490"/>
      <c r="M490"/>
      <c r="N490"/>
    </row>
    <row r="491" spans="2:14" ht="15" customHeight="1">
      <c r="B491"/>
      <c r="C491"/>
      <c r="D491"/>
      <c r="E491"/>
      <c r="F491"/>
      <c r="G491"/>
      <c r="H491"/>
      <c r="I491"/>
      <c r="J491"/>
      <c r="K491"/>
      <c r="L491"/>
      <c r="M491"/>
      <c r="N491"/>
    </row>
    <row r="492" spans="2:14" ht="15" customHeight="1">
      <c r="B492"/>
      <c r="C492"/>
      <c r="D492"/>
      <c r="E492"/>
      <c r="F492"/>
      <c r="G492"/>
      <c r="H492"/>
      <c r="I492"/>
      <c r="J492"/>
      <c r="K492"/>
      <c r="L492"/>
      <c r="M492"/>
      <c r="N492"/>
    </row>
    <row r="493" spans="2:14" ht="15" customHeight="1">
      <c r="B493"/>
      <c r="C493"/>
      <c r="D493"/>
      <c r="E493"/>
      <c r="F493"/>
      <c r="G493"/>
      <c r="H493"/>
      <c r="I493"/>
      <c r="J493"/>
      <c r="K493"/>
      <c r="L493"/>
      <c r="M493"/>
      <c r="N493"/>
    </row>
    <row r="494" spans="2:14" ht="15" customHeight="1">
      <c r="B494"/>
      <c r="C494"/>
      <c r="D494"/>
      <c r="E494"/>
      <c r="F494"/>
      <c r="G494"/>
      <c r="H494"/>
      <c r="I494"/>
      <c r="J494"/>
      <c r="K494"/>
      <c r="L494"/>
      <c r="M494"/>
      <c r="N494"/>
    </row>
    <row r="495" spans="2:14" ht="15" customHeight="1">
      <c r="B495"/>
      <c r="C495"/>
      <c r="D495"/>
      <c r="E495"/>
      <c r="F495"/>
      <c r="G495"/>
      <c r="H495"/>
      <c r="I495"/>
      <c r="J495"/>
      <c r="K495"/>
      <c r="L495"/>
      <c r="M495"/>
      <c r="N495"/>
    </row>
    <row r="496" spans="2:14" ht="15" customHeight="1">
      <c r="B496"/>
      <c r="C496"/>
      <c r="D496"/>
      <c r="E496"/>
      <c r="F496"/>
      <c r="G496"/>
      <c r="H496"/>
      <c r="I496"/>
      <c r="J496"/>
      <c r="K496"/>
      <c r="L496"/>
      <c r="M496"/>
      <c r="N496"/>
    </row>
    <row r="497" spans="2:14" ht="15" customHeight="1">
      <c r="B497"/>
      <c r="C497"/>
      <c r="D497"/>
      <c r="E497"/>
      <c r="F497"/>
      <c r="G497"/>
      <c r="H497"/>
      <c r="I497"/>
      <c r="J497"/>
      <c r="K497"/>
      <c r="L497"/>
      <c r="M497"/>
      <c r="N497"/>
    </row>
    <row r="498" spans="2:14" ht="15" customHeight="1">
      <c r="B498"/>
      <c r="C498"/>
      <c r="D498"/>
      <c r="E498"/>
      <c r="F498"/>
      <c r="G498"/>
      <c r="H498"/>
      <c r="I498"/>
      <c r="J498"/>
      <c r="K498"/>
      <c r="L498"/>
      <c r="M498"/>
      <c r="N498"/>
    </row>
    <row r="499" spans="2:14" ht="15" customHeight="1">
      <c r="B499"/>
      <c r="C499"/>
      <c r="D499"/>
      <c r="E499"/>
      <c r="F499"/>
      <c r="G499"/>
      <c r="H499"/>
      <c r="I499"/>
      <c r="J499"/>
      <c r="K499"/>
      <c r="L499"/>
      <c r="M499"/>
      <c r="N499"/>
    </row>
    <row r="500" spans="2:14" ht="15" customHeight="1">
      <c r="B500"/>
      <c r="C500"/>
      <c r="D500"/>
      <c r="E500"/>
      <c r="F500"/>
      <c r="G500"/>
      <c r="H500"/>
      <c r="I500"/>
      <c r="J500"/>
      <c r="K500"/>
      <c r="L500"/>
      <c r="M500"/>
      <c r="N500"/>
    </row>
    <row r="501" spans="2:14" ht="15" customHeight="1">
      <c r="B501"/>
      <c r="C501"/>
      <c r="D501"/>
      <c r="E501"/>
      <c r="F501"/>
      <c r="G501"/>
      <c r="H501"/>
      <c r="I501"/>
      <c r="J501"/>
      <c r="K501"/>
      <c r="L501"/>
      <c r="M501"/>
      <c r="N501"/>
    </row>
    <row r="502" spans="2:14" ht="15" customHeight="1">
      <c r="B502"/>
      <c r="C502"/>
      <c r="D502"/>
      <c r="E502"/>
      <c r="F502"/>
      <c r="G502"/>
      <c r="H502"/>
      <c r="I502"/>
      <c r="J502"/>
      <c r="K502"/>
      <c r="L502"/>
      <c r="M502"/>
      <c r="N502"/>
    </row>
    <row r="503" spans="2:14" ht="15" customHeight="1">
      <c r="B503"/>
      <c r="C503"/>
      <c r="D503"/>
      <c r="E503"/>
      <c r="F503"/>
      <c r="G503"/>
      <c r="H503"/>
      <c r="I503"/>
      <c r="J503"/>
      <c r="K503"/>
      <c r="L503"/>
      <c r="M503"/>
      <c r="N503"/>
    </row>
    <row r="504" spans="2:14" ht="15" customHeight="1">
      <c r="B504"/>
      <c r="C504"/>
      <c r="D504"/>
      <c r="E504"/>
      <c r="F504"/>
      <c r="G504"/>
      <c r="H504"/>
      <c r="I504"/>
      <c r="J504"/>
      <c r="K504"/>
      <c r="L504"/>
      <c r="M504"/>
      <c r="N504"/>
    </row>
    <row r="505" spans="2:14" ht="15" customHeight="1">
      <c r="B505"/>
      <c r="C505"/>
      <c r="D505"/>
      <c r="E505"/>
      <c r="F505"/>
      <c r="G505"/>
      <c r="H505"/>
      <c r="I505"/>
      <c r="J505"/>
      <c r="K505"/>
      <c r="L505"/>
      <c r="M505"/>
      <c r="N505"/>
    </row>
    <row r="506" spans="2:14" ht="15" customHeight="1">
      <c r="B506"/>
      <c r="C506"/>
      <c r="D506"/>
      <c r="E506"/>
      <c r="F506"/>
      <c r="G506"/>
      <c r="H506"/>
      <c r="I506"/>
      <c r="J506"/>
      <c r="K506"/>
      <c r="L506"/>
      <c r="M506"/>
      <c r="N506"/>
    </row>
    <row r="507" spans="2:14" ht="15" customHeight="1">
      <c r="B507"/>
      <c r="C507"/>
      <c r="D507"/>
      <c r="E507"/>
      <c r="F507"/>
      <c r="G507"/>
      <c r="H507"/>
      <c r="I507"/>
      <c r="J507"/>
      <c r="K507"/>
      <c r="L507"/>
      <c r="M507"/>
      <c r="N507"/>
    </row>
    <row r="508" spans="2:14" ht="15" customHeight="1">
      <c r="B508"/>
      <c r="C508"/>
      <c r="D508"/>
      <c r="E508"/>
      <c r="F508"/>
      <c r="G508"/>
      <c r="H508"/>
      <c r="I508"/>
      <c r="J508"/>
      <c r="K508"/>
      <c r="L508"/>
      <c r="M508"/>
      <c r="N508"/>
    </row>
    <row r="509" spans="2:14" ht="15" customHeight="1">
      <c r="B509"/>
      <c r="C509"/>
      <c r="D509"/>
      <c r="E509"/>
      <c r="F509"/>
      <c r="G509"/>
      <c r="H509"/>
      <c r="I509"/>
      <c r="J509"/>
      <c r="K509"/>
      <c r="L509"/>
      <c r="M509"/>
      <c r="N509"/>
    </row>
    <row r="510" spans="2:14" ht="15" customHeight="1">
      <c r="B510"/>
      <c r="C510"/>
      <c r="D510"/>
      <c r="E510"/>
      <c r="F510"/>
      <c r="G510"/>
      <c r="H510"/>
      <c r="I510"/>
      <c r="J510"/>
      <c r="K510"/>
      <c r="L510"/>
      <c r="M510"/>
      <c r="N510"/>
    </row>
    <row r="511" spans="2:14" ht="15" customHeight="1">
      <c r="B511"/>
      <c r="C511"/>
      <c r="D511"/>
      <c r="E511"/>
      <c r="F511"/>
      <c r="G511"/>
      <c r="H511"/>
      <c r="I511"/>
      <c r="J511"/>
      <c r="K511"/>
      <c r="L511"/>
      <c r="M511"/>
      <c r="N511"/>
    </row>
    <row r="512" spans="2:14" ht="15" customHeight="1">
      <c r="B512"/>
      <c r="C512"/>
      <c r="D512"/>
      <c r="E512"/>
      <c r="F512"/>
      <c r="G512"/>
      <c r="H512"/>
      <c r="I512"/>
      <c r="J512"/>
      <c r="K512"/>
      <c r="L512"/>
      <c r="M512"/>
      <c r="N512"/>
    </row>
    <row r="513" spans="2:14" ht="15" customHeight="1">
      <c r="B513"/>
      <c r="C513"/>
      <c r="D513"/>
      <c r="E513"/>
      <c r="F513"/>
      <c r="G513"/>
      <c r="H513"/>
      <c r="I513"/>
      <c r="J513"/>
      <c r="K513"/>
      <c r="L513"/>
      <c r="M513"/>
      <c r="N513"/>
    </row>
    <row r="514" spans="2:14" ht="15" customHeight="1">
      <c r="B514"/>
      <c r="C514"/>
      <c r="D514"/>
      <c r="E514"/>
      <c r="F514"/>
      <c r="G514"/>
      <c r="H514"/>
      <c r="I514"/>
      <c r="J514"/>
      <c r="K514"/>
      <c r="L514"/>
      <c r="M514"/>
      <c r="N514"/>
    </row>
    <row r="515" spans="2:14" ht="15" customHeight="1">
      <c r="B515"/>
      <c r="C515"/>
      <c r="D515"/>
      <c r="E515"/>
      <c r="F515"/>
      <c r="G515"/>
      <c r="H515"/>
      <c r="I515"/>
      <c r="J515"/>
      <c r="K515"/>
      <c r="L515"/>
      <c r="M515"/>
      <c r="N515"/>
    </row>
    <row r="516" spans="2:14" ht="15" customHeight="1">
      <c r="B516"/>
      <c r="C516"/>
      <c r="D516"/>
      <c r="E516"/>
      <c r="F516"/>
      <c r="G516"/>
      <c r="H516"/>
      <c r="I516"/>
      <c r="J516"/>
      <c r="K516"/>
      <c r="L516"/>
      <c r="M516"/>
      <c r="N516"/>
    </row>
    <row r="517" spans="2:14" ht="15" customHeight="1">
      <c r="B517"/>
      <c r="C517"/>
      <c r="D517"/>
      <c r="E517"/>
      <c r="F517"/>
      <c r="G517"/>
      <c r="H517"/>
      <c r="I517"/>
      <c r="J517"/>
      <c r="K517"/>
      <c r="L517"/>
      <c r="M517"/>
      <c r="N517"/>
    </row>
    <row r="518" spans="2:14" ht="15" customHeight="1">
      <c r="B518"/>
      <c r="C518"/>
      <c r="D518"/>
      <c r="E518"/>
      <c r="F518"/>
      <c r="G518"/>
      <c r="H518"/>
      <c r="I518"/>
      <c r="J518"/>
      <c r="K518"/>
      <c r="L518"/>
      <c r="M518"/>
      <c r="N518"/>
    </row>
    <row r="519" spans="2:14" ht="15" customHeight="1">
      <c r="B519"/>
      <c r="C519"/>
      <c r="D519"/>
      <c r="E519"/>
      <c r="F519"/>
      <c r="G519"/>
      <c r="H519"/>
      <c r="I519"/>
      <c r="J519"/>
      <c r="K519"/>
      <c r="L519"/>
      <c r="M519"/>
      <c r="N519"/>
    </row>
    <row r="520" spans="2:14" ht="15" customHeight="1">
      <c r="B520"/>
      <c r="C520"/>
      <c r="D520"/>
      <c r="E520"/>
      <c r="F520"/>
      <c r="G520"/>
      <c r="H520"/>
      <c r="I520"/>
      <c r="J520"/>
      <c r="K520"/>
      <c r="L520"/>
      <c r="M520"/>
      <c r="N520"/>
    </row>
    <row r="521" spans="2:14" ht="15" customHeight="1">
      <c r="B521"/>
      <c r="C521"/>
      <c r="D521"/>
      <c r="E521"/>
      <c r="F521"/>
      <c r="G521"/>
      <c r="H521"/>
      <c r="I521"/>
      <c r="J521"/>
      <c r="K521"/>
      <c r="L521"/>
      <c r="M521"/>
      <c r="N521"/>
    </row>
    <row r="522" spans="2:14" ht="15" customHeight="1">
      <c r="B522"/>
      <c r="C522"/>
      <c r="D522"/>
      <c r="E522"/>
      <c r="F522"/>
      <c r="G522"/>
      <c r="H522"/>
      <c r="I522"/>
      <c r="J522"/>
      <c r="K522"/>
      <c r="L522"/>
      <c r="M522"/>
      <c r="N522"/>
    </row>
    <row r="523" spans="2:14" ht="15" customHeight="1">
      <c r="B523"/>
      <c r="C523"/>
      <c r="D523"/>
      <c r="E523"/>
      <c r="F523"/>
      <c r="G523"/>
      <c r="H523"/>
      <c r="I523"/>
      <c r="J523"/>
      <c r="K523"/>
      <c r="L523"/>
      <c r="M523"/>
      <c r="N523"/>
    </row>
    <row r="524" spans="2:14" ht="15" customHeight="1">
      <c r="B524"/>
      <c r="C524"/>
      <c r="D524"/>
      <c r="E524"/>
      <c r="F524"/>
      <c r="G524"/>
      <c r="H524"/>
      <c r="I524"/>
      <c r="J524"/>
      <c r="K524"/>
      <c r="L524"/>
      <c r="M524"/>
      <c r="N524"/>
    </row>
    <row r="525" spans="2:14" ht="15" customHeight="1">
      <c r="B525"/>
      <c r="C525"/>
      <c r="D525"/>
      <c r="E525"/>
      <c r="F525"/>
      <c r="G525"/>
      <c r="H525"/>
      <c r="I525"/>
      <c r="J525"/>
      <c r="K525"/>
      <c r="L525"/>
      <c r="M525"/>
      <c r="N525"/>
    </row>
    <row r="526" spans="2:14" ht="15" customHeight="1">
      <c r="B526"/>
      <c r="C526"/>
      <c r="D526"/>
      <c r="E526"/>
      <c r="F526"/>
      <c r="G526"/>
      <c r="H526"/>
      <c r="I526"/>
      <c r="J526"/>
      <c r="K526"/>
      <c r="L526"/>
      <c r="M526"/>
      <c r="N526"/>
    </row>
    <row r="527" spans="2:14" ht="15" customHeight="1">
      <c r="B527"/>
      <c r="C527"/>
      <c r="D527"/>
      <c r="E527"/>
      <c r="F527"/>
      <c r="G527"/>
      <c r="H527"/>
      <c r="I527"/>
      <c r="J527"/>
      <c r="K527"/>
      <c r="L527"/>
      <c r="M527"/>
      <c r="N527"/>
    </row>
    <row r="528" spans="2:14" ht="15" customHeight="1">
      <c r="B528"/>
      <c r="C528"/>
      <c r="D528"/>
      <c r="E528"/>
      <c r="F528"/>
      <c r="G528"/>
      <c r="H528"/>
      <c r="I528"/>
      <c r="J528"/>
      <c r="K528"/>
      <c r="L528"/>
      <c r="M528"/>
      <c r="N528"/>
    </row>
    <row r="529" spans="2:14" ht="15" customHeight="1">
      <c r="B529"/>
      <c r="C529"/>
      <c r="D529"/>
      <c r="E529"/>
      <c r="F529"/>
      <c r="G529"/>
      <c r="H529"/>
      <c r="I529"/>
      <c r="J529"/>
      <c r="K529"/>
      <c r="L529"/>
      <c r="M529"/>
      <c r="N529"/>
    </row>
    <row r="530" spans="2:14" ht="15" customHeight="1">
      <c r="B530"/>
      <c r="C530"/>
      <c r="D530"/>
      <c r="E530"/>
      <c r="F530"/>
      <c r="G530"/>
      <c r="H530"/>
      <c r="I530"/>
      <c r="J530"/>
      <c r="K530"/>
      <c r="L530"/>
      <c r="M530"/>
      <c r="N530"/>
    </row>
    <row r="531" spans="2:14" ht="15" customHeight="1">
      <c r="B531"/>
      <c r="C531"/>
      <c r="D531"/>
      <c r="E531"/>
      <c r="F531"/>
      <c r="G531"/>
      <c r="H531"/>
      <c r="I531"/>
      <c r="J531"/>
      <c r="K531"/>
      <c r="L531"/>
      <c r="M531"/>
      <c r="N531"/>
    </row>
    <row r="532" spans="2:14" ht="15" customHeight="1">
      <c r="B532"/>
      <c r="C532"/>
      <c r="D532"/>
      <c r="E532"/>
      <c r="F532"/>
      <c r="G532"/>
      <c r="H532"/>
      <c r="I532"/>
      <c r="J532"/>
      <c r="K532"/>
      <c r="L532"/>
      <c r="M532"/>
      <c r="N532"/>
    </row>
    <row r="533" spans="2:14" ht="15" customHeight="1">
      <c r="B533"/>
      <c r="C533"/>
      <c r="D533"/>
      <c r="E533"/>
      <c r="F533"/>
      <c r="G533"/>
      <c r="H533"/>
      <c r="I533"/>
      <c r="J533"/>
      <c r="K533"/>
      <c r="L533"/>
      <c r="M533"/>
      <c r="N533"/>
    </row>
    <row r="534" spans="2:14" ht="15" customHeight="1">
      <c r="B534"/>
      <c r="C534"/>
      <c r="D534"/>
      <c r="E534"/>
      <c r="F534"/>
      <c r="G534"/>
      <c r="H534"/>
      <c r="I534"/>
      <c r="J534"/>
      <c r="K534"/>
      <c r="L534"/>
      <c r="M534"/>
      <c r="N534"/>
    </row>
    <row r="535" spans="2:14" ht="15" customHeight="1">
      <c r="B535"/>
      <c r="C535"/>
      <c r="D535"/>
      <c r="E535"/>
      <c r="F535"/>
      <c r="G535"/>
      <c r="H535"/>
      <c r="I535"/>
      <c r="J535"/>
      <c r="K535"/>
      <c r="L535"/>
      <c r="M535"/>
      <c r="N535"/>
    </row>
    <row r="536" spans="2:14" ht="15" customHeight="1">
      <c r="B536"/>
      <c r="C536"/>
      <c r="D536"/>
      <c r="E536"/>
      <c r="F536"/>
      <c r="G536"/>
      <c r="H536"/>
      <c r="I536"/>
      <c r="J536"/>
      <c r="K536"/>
      <c r="L536"/>
      <c r="M536"/>
      <c r="N536"/>
    </row>
    <row r="537" spans="2:14" ht="15" customHeight="1">
      <c r="B537"/>
      <c r="C537"/>
      <c r="D537"/>
      <c r="E537"/>
      <c r="F537"/>
      <c r="G537"/>
      <c r="H537"/>
      <c r="I537"/>
      <c r="J537"/>
      <c r="K537"/>
      <c r="L537"/>
      <c r="M537"/>
      <c r="N537"/>
    </row>
    <row r="538" spans="2:14" ht="15" customHeight="1">
      <c r="B538"/>
      <c r="C538"/>
      <c r="D538"/>
      <c r="E538"/>
      <c r="F538"/>
      <c r="G538"/>
      <c r="H538"/>
      <c r="I538"/>
      <c r="J538"/>
      <c r="K538"/>
      <c r="L538"/>
      <c r="M538"/>
      <c r="N538"/>
    </row>
    <row r="539" spans="2:14" ht="15" customHeight="1">
      <c r="B539"/>
      <c r="C539"/>
      <c r="D539"/>
      <c r="E539"/>
      <c r="F539"/>
      <c r="G539"/>
      <c r="H539"/>
      <c r="I539"/>
      <c r="J539"/>
      <c r="K539"/>
      <c r="L539"/>
      <c r="M539"/>
      <c r="N539"/>
    </row>
    <row r="540" spans="2:14" ht="15" customHeight="1">
      <c r="B540"/>
      <c r="C540"/>
      <c r="D540"/>
      <c r="E540"/>
      <c r="F540"/>
      <c r="G540"/>
      <c r="H540"/>
      <c r="I540"/>
      <c r="J540"/>
      <c r="K540"/>
      <c r="L540"/>
      <c r="M540"/>
      <c r="N540"/>
    </row>
    <row r="541" spans="2:14" ht="15" customHeight="1">
      <c r="B541"/>
      <c r="C541"/>
      <c r="D541"/>
      <c r="E541"/>
      <c r="F541"/>
      <c r="G541"/>
      <c r="H541"/>
      <c r="I541"/>
      <c r="J541"/>
      <c r="K541"/>
      <c r="L541"/>
      <c r="M541"/>
      <c r="N541"/>
    </row>
    <row r="542" spans="2:14" ht="15" customHeight="1">
      <c r="B542"/>
      <c r="C542"/>
      <c r="D542"/>
      <c r="E542"/>
      <c r="F542"/>
      <c r="G542"/>
      <c r="H542"/>
      <c r="I542"/>
      <c r="J542"/>
      <c r="K542"/>
      <c r="L542"/>
      <c r="M542"/>
      <c r="N542"/>
    </row>
    <row r="543" spans="2:14" ht="15" customHeight="1">
      <c r="B543"/>
      <c r="C543"/>
      <c r="D543"/>
      <c r="E543"/>
      <c r="F543"/>
      <c r="G543"/>
      <c r="H543"/>
      <c r="I543"/>
      <c r="J543"/>
      <c r="K543"/>
      <c r="L543"/>
      <c r="M543"/>
      <c r="N543"/>
    </row>
    <row r="544" spans="2:14" ht="15" customHeight="1">
      <c r="B544"/>
      <c r="C544"/>
      <c r="D544"/>
      <c r="E544"/>
      <c r="F544"/>
      <c r="G544"/>
      <c r="H544"/>
      <c r="I544"/>
      <c r="J544"/>
      <c r="K544"/>
      <c r="L544"/>
      <c r="M544"/>
      <c r="N544"/>
    </row>
    <row r="545" spans="2:14" ht="15" customHeight="1">
      <c r="B545"/>
      <c r="C545"/>
      <c r="D545"/>
      <c r="E545"/>
      <c r="F545"/>
      <c r="G545"/>
      <c r="H545"/>
      <c r="I545"/>
      <c r="J545"/>
      <c r="K545"/>
      <c r="L545"/>
      <c r="M545"/>
      <c r="N545"/>
    </row>
    <row r="546" spans="2:14" ht="15" customHeight="1">
      <c r="B546"/>
      <c r="C546"/>
      <c r="D546"/>
      <c r="E546"/>
      <c r="F546"/>
      <c r="G546"/>
      <c r="H546"/>
      <c r="I546"/>
      <c r="J546"/>
      <c r="K546"/>
      <c r="L546"/>
      <c r="M546"/>
      <c r="N546"/>
    </row>
    <row r="547" spans="2:14" ht="15" customHeight="1">
      <c r="B547"/>
      <c r="C547"/>
      <c r="D547"/>
      <c r="E547"/>
      <c r="F547"/>
      <c r="G547"/>
      <c r="H547"/>
      <c r="I547"/>
      <c r="J547"/>
      <c r="K547"/>
      <c r="L547"/>
      <c r="M547"/>
      <c r="N547"/>
    </row>
    <row r="548" spans="2:14" ht="15" customHeight="1">
      <c r="B548"/>
      <c r="C548"/>
      <c r="D548"/>
      <c r="E548"/>
      <c r="F548"/>
      <c r="G548"/>
      <c r="H548"/>
      <c r="I548"/>
      <c r="J548"/>
      <c r="K548"/>
      <c r="L548"/>
      <c r="M548"/>
      <c r="N548"/>
    </row>
    <row r="549" spans="2:14" ht="15" customHeight="1">
      <c r="B549"/>
      <c r="C549"/>
      <c r="D549"/>
      <c r="E549"/>
      <c r="F549"/>
      <c r="G549"/>
      <c r="H549"/>
      <c r="I549"/>
      <c r="J549"/>
      <c r="K549"/>
      <c r="L549"/>
      <c r="M549"/>
      <c r="N549"/>
    </row>
    <row r="550" spans="2:14" ht="15" customHeight="1">
      <c r="B550"/>
      <c r="C550"/>
      <c r="D550"/>
      <c r="E550"/>
      <c r="F550"/>
      <c r="G550"/>
      <c r="H550"/>
      <c r="I550"/>
      <c r="J550"/>
      <c r="K550"/>
      <c r="L550"/>
      <c r="M550"/>
      <c r="N550"/>
    </row>
    <row r="551" spans="2:14" ht="15" customHeight="1">
      <c r="B551"/>
      <c r="C551"/>
      <c r="D551"/>
      <c r="E551"/>
      <c r="F551"/>
      <c r="G551"/>
      <c r="H551"/>
      <c r="I551"/>
      <c r="J551"/>
      <c r="K551"/>
      <c r="L551"/>
      <c r="M551"/>
      <c r="N551"/>
    </row>
    <row r="552" spans="2:14" ht="15" customHeight="1">
      <c r="B552"/>
      <c r="C552"/>
      <c r="D552"/>
      <c r="E552"/>
      <c r="F552"/>
      <c r="G552"/>
      <c r="H552"/>
      <c r="I552"/>
      <c r="J552"/>
      <c r="K552"/>
      <c r="L552"/>
      <c r="M552"/>
      <c r="N552"/>
    </row>
    <row r="553" spans="2:14" ht="15" customHeight="1">
      <c r="B553"/>
      <c r="C553"/>
      <c r="D553"/>
      <c r="E553"/>
      <c r="F553"/>
      <c r="G553"/>
      <c r="H553"/>
      <c r="I553"/>
      <c r="J553"/>
      <c r="K553"/>
      <c r="L553"/>
      <c r="M553"/>
      <c r="N553"/>
    </row>
    <row r="554" spans="2:14" ht="15" customHeight="1">
      <c r="B554"/>
      <c r="C554"/>
      <c r="D554"/>
      <c r="E554"/>
      <c r="F554"/>
      <c r="G554"/>
      <c r="H554"/>
      <c r="I554"/>
      <c r="J554"/>
      <c r="K554"/>
      <c r="L554"/>
      <c r="M554"/>
      <c r="N554"/>
    </row>
    <row r="555" spans="2:14" ht="15" customHeight="1">
      <c r="B555"/>
      <c r="C555"/>
      <c r="D555"/>
      <c r="E555"/>
      <c r="F555"/>
      <c r="G555"/>
      <c r="H555"/>
      <c r="I555"/>
      <c r="J555"/>
      <c r="K555"/>
      <c r="L555"/>
      <c r="M555"/>
      <c r="N555"/>
    </row>
    <row r="556" spans="2:14" ht="15" customHeight="1">
      <c r="B556"/>
      <c r="C556"/>
      <c r="D556"/>
      <c r="E556"/>
      <c r="F556"/>
      <c r="G556"/>
      <c r="H556"/>
      <c r="I556"/>
      <c r="J556"/>
      <c r="K556"/>
      <c r="L556"/>
      <c r="M556"/>
      <c r="N556"/>
    </row>
    <row r="557" spans="2:14" ht="15" customHeight="1">
      <c r="B557"/>
      <c r="C557"/>
      <c r="D557"/>
      <c r="E557"/>
      <c r="F557"/>
      <c r="G557"/>
      <c r="H557"/>
      <c r="I557"/>
      <c r="J557"/>
      <c r="K557"/>
      <c r="L557"/>
      <c r="M557"/>
      <c r="N557"/>
    </row>
    <row r="558" spans="2:14" ht="15" customHeight="1">
      <c r="B558"/>
      <c r="C558"/>
      <c r="D558"/>
      <c r="E558"/>
      <c r="F558"/>
      <c r="G558"/>
      <c r="H558"/>
      <c r="I558"/>
      <c r="J558"/>
      <c r="K558"/>
      <c r="L558"/>
      <c r="M558"/>
      <c r="N558"/>
    </row>
    <row r="559" spans="2:14" ht="15" customHeight="1">
      <c r="B559"/>
      <c r="C559"/>
      <c r="D559"/>
      <c r="E559"/>
      <c r="F559"/>
      <c r="G559"/>
      <c r="H559"/>
      <c r="I559"/>
      <c r="J559"/>
      <c r="K559"/>
      <c r="L559"/>
      <c r="M559"/>
      <c r="N559"/>
    </row>
    <row r="560" spans="2:14" ht="15" customHeight="1">
      <c r="B560"/>
      <c r="C560"/>
      <c r="D560"/>
      <c r="E560"/>
      <c r="F560"/>
      <c r="G560"/>
      <c r="H560"/>
      <c r="I560"/>
      <c r="J560"/>
      <c r="K560"/>
      <c r="L560"/>
      <c r="M560"/>
      <c r="N560"/>
    </row>
    <row r="561" spans="2:14" ht="15" customHeight="1">
      <c r="B561"/>
      <c r="C561"/>
      <c r="D561"/>
      <c r="E561"/>
      <c r="F561"/>
      <c r="G561"/>
      <c r="H561"/>
      <c r="I561"/>
      <c r="J561"/>
      <c r="K561"/>
      <c r="L561"/>
      <c r="M561"/>
      <c r="N561"/>
    </row>
    <row r="562" spans="2:14" ht="15" customHeight="1">
      <c r="B562"/>
      <c r="C562"/>
      <c r="D562"/>
      <c r="E562"/>
      <c r="F562"/>
      <c r="G562"/>
      <c r="H562"/>
      <c r="I562"/>
      <c r="J562"/>
      <c r="K562"/>
      <c r="L562"/>
      <c r="M562"/>
      <c r="N562"/>
    </row>
    <row r="563" spans="2:14" ht="15" customHeight="1">
      <c r="B563"/>
      <c r="C563"/>
      <c r="D563"/>
      <c r="E563"/>
      <c r="F563"/>
      <c r="G563"/>
      <c r="H563"/>
      <c r="I563"/>
      <c r="J563"/>
      <c r="K563"/>
      <c r="L563"/>
      <c r="M563"/>
      <c r="N563"/>
    </row>
    <row r="564" spans="2:14" ht="15" customHeight="1">
      <c r="B564"/>
      <c r="C564"/>
      <c r="D564"/>
      <c r="E564"/>
      <c r="F564"/>
      <c r="G564"/>
      <c r="H564"/>
      <c r="I564"/>
      <c r="J564"/>
      <c r="K564"/>
      <c r="L564"/>
      <c r="M564"/>
      <c r="N564"/>
    </row>
    <row r="565" spans="2:14" ht="15" customHeight="1">
      <c r="B565"/>
      <c r="C565"/>
      <c r="D565"/>
      <c r="E565"/>
      <c r="F565"/>
      <c r="G565"/>
      <c r="H565"/>
      <c r="I565"/>
      <c r="J565"/>
      <c r="K565"/>
      <c r="L565"/>
      <c r="M565"/>
      <c r="N565"/>
    </row>
    <row r="566" spans="2:14" ht="15" customHeight="1">
      <c r="B566"/>
      <c r="C566"/>
      <c r="D566"/>
      <c r="E566"/>
      <c r="F566"/>
      <c r="G566"/>
      <c r="H566"/>
      <c r="I566"/>
      <c r="J566"/>
      <c r="K566"/>
      <c r="L566"/>
      <c r="M566"/>
      <c r="N566"/>
    </row>
    <row r="567" spans="2:14" ht="15" customHeight="1">
      <c r="B567"/>
      <c r="C567"/>
      <c r="D567"/>
      <c r="E567"/>
      <c r="F567"/>
      <c r="G567"/>
      <c r="H567"/>
      <c r="I567"/>
      <c r="J567"/>
      <c r="K567"/>
      <c r="L567"/>
      <c r="M567"/>
      <c r="N567"/>
    </row>
    <row r="568" spans="2:14" ht="15" customHeight="1">
      <c r="B568"/>
      <c r="C568"/>
      <c r="D568"/>
      <c r="E568"/>
      <c r="F568"/>
      <c r="G568"/>
      <c r="H568"/>
      <c r="I568"/>
      <c r="J568"/>
      <c r="K568"/>
      <c r="L568"/>
      <c r="M568"/>
      <c r="N568"/>
    </row>
    <row r="569" spans="2:14" ht="15" customHeight="1">
      <c r="B569"/>
      <c r="C569"/>
      <c r="D569"/>
      <c r="E569"/>
      <c r="F569"/>
      <c r="G569"/>
      <c r="H569"/>
      <c r="I569"/>
      <c r="J569"/>
      <c r="K569"/>
      <c r="L569"/>
      <c r="M569"/>
      <c r="N569"/>
    </row>
    <row r="570" spans="2:14" ht="15" customHeight="1">
      <c r="B570"/>
      <c r="C570"/>
      <c r="D570"/>
      <c r="E570"/>
      <c r="F570"/>
      <c r="G570"/>
      <c r="H570"/>
      <c r="I570"/>
      <c r="J570"/>
      <c r="K570"/>
      <c r="L570"/>
      <c r="M570"/>
      <c r="N570"/>
    </row>
    <row r="571" spans="2:14" ht="15" customHeight="1">
      <c r="B571"/>
      <c r="C571"/>
      <c r="D571"/>
      <c r="E571"/>
      <c r="F571"/>
      <c r="G571"/>
      <c r="H571"/>
      <c r="I571"/>
      <c r="J571"/>
      <c r="K571"/>
      <c r="L571"/>
      <c r="M571"/>
      <c r="N571"/>
    </row>
    <row r="572" spans="2:14" ht="15" customHeight="1">
      <c r="B572"/>
      <c r="C572"/>
      <c r="D572"/>
      <c r="E572"/>
      <c r="F572"/>
      <c r="G572"/>
      <c r="H572"/>
      <c r="I572"/>
      <c r="J572"/>
      <c r="K572"/>
      <c r="L572"/>
      <c r="M572"/>
      <c r="N572"/>
    </row>
    <row r="573" spans="2:14" ht="15" customHeight="1">
      <c r="B573"/>
      <c r="C573"/>
      <c r="D573"/>
      <c r="E573"/>
      <c r="F573"/>
      <c r="G573"/>
      <c r="H573"/>
      <c r="I573"/>
      <c r="J573"/>
      <c r="K573"/>
      <c r="L573"/>
      <c r="M573"/>
      <c r="N573"/>
    </row>
    <row r="574" spans="2:14" ht="15" customHeight="1">
      <c r="B574"/>
      <c r="C574"/>
      <c r="D574"/>
      <c r="E574"/>
      <c r="F574"/>
      <c r="G574"/>
      <c r="H574"/>
      <c r="I574"/>
      <c r="J574"/>
      <c r="K574"/>
      <c r="L574"/>
      <c r="M574"/>
      <c r="N574"/>
    </row>
    <row r="575" spans="2:14" ht="15" customHeight="1">
      <c r="B575"/>
      <c r="C575"/>
      <c r="D575"/>
      <c r="E575"/>
      <c r="F575"/>
      <c r="G575"/>
      <c r="H575"/>
      <c r="I575"/>
      <c r="J575"/>
      <c r="K575"/>
      <c r="L575"/>
      <c r="M575"/>
      <c r="N575"/>
    </row>
    <row r="576" spans="2:14" ht="15" customHeight="1">
      <c r="B576"/>
      <c r="C576"/>
      <c r="D576"/>
      <c r="E576"/>
      <c r="F576"/>
      <c r="G576"/>
      <c r="H576"/>
      <c r="I576"/>
      <c r="J576"/>
      <c r="K576"/>
      <c r="L576"/>
      <c r="M576"/>
      <c r="N576"/>
    </row>
    <row r="577" spans="2:14" ht="15" customHeight="1">
      <c r="B577"/>
      <c r="C577"/>
      <c r="D577"/>
      <c r="E577"/>
      <c r="F577"/>
      <c r="G577"/>
      <c r="H577"/>
      <c r="I577"/>
      <c r="J577"/>
      <c r="K577"/>
      <c r="L577"/>
      <c r="M577"/>
      <c r="N577"/>
    </row>
    <row r="578" spans="2:14" ht="15" customHeight="1">
      <c r="B578"/>
      <c r="C578"/>
      <c r="D578"/>
      <c r="E578"/>
      <c r="F578"/>
      <c r="G578"/>
      <c r="H578"/>
      <c r="I578"/>
      <c r="J578"/>
      <c r="K578"/>
      <c r="L578"/>
      <c r="M578"/>
      <c r="N578"/>
    </row>
    <row r="579" spans="2:14" ht="15" customHeight="1">
      <c r="B579"/>
      <c r="C579"/>
      <c r="D579"/>
      <c r="E579"/>
      <c r="F579"/>
      <c r="G579"/>
      <c r="H579"/>
      <c r="I579"/>
      <c r="J579"/>
      <c r="K579"/>
      <c r="L579"/>
      <c r="M579"/>
      <c r="N579"/>
    </row>
    <row r="580" spans="2:14" ht="15" customHeight="1">
      <c r="B580"/>
      <c r="C580"/>
      <c r="D580"/>
      <c r="E580"/>
      <c r="F580"/>
      <c r="G580"/>
      <c r="H580"/>
      <c r="I580"/>
      <c r="J580"/>
      <c r="K580"/>
      <c r="L580"/>
      <c r="M580"/>
      <c r="N580"/>
    </row>
    <row r="581" spans="2:14" ht="15" customHeight="1">
      <c r="B581"/>
      <c r="C581"/>
      <c r="D581"/>
      <c r="E581"/>
      <c r="F581"/>
      <c r="G581"/>
      <c r="H581"/>
      <c r="I581"/>
      <c r="J581"/>
      <c r="K581"/>
      <c r="L581"/>
      <c r="M581"/>
      <c r="N581"/>
    </row>
    <row r="582" spans="2:14" ht="15" customHeight="1">
      <c r="B582"/>
      <c r="C582"/>
      <c r="D582"/>
      <c r="E582"/>
      <c r="F582"/>
      <c r="G582"/>
      <c r="H582"/>
      <c r="I582"/>
      <c r="J582"/>
      <c r="K582"/>
      <c r="L582"/>
      <c r="M582"/>
      <c r="N582"/>
    </row>
    <row r="583" spans="2:14" ht="15" customHeight="1">
      <c r="B583"/>
      <c r="C583"/>
      <c r="D583"/>
      <c r="E583"/>
      <c r="F583"/>
      <c r="G583"/>
      <c r="H583"/>
      <c r="I583"/>
      <c r="J583"/>
      <c r="K583"/>
      <c r="L583"/>
      <c r="M583"/>
      <c r="N583"/>
    </row>
    <row r="584" spans="2:14" ht="15" customHeight="1">
      <c r="B584"/>
      <c r="C584"/>
      <c r="D584"/>
      <c r="E584"/>
      <c r="F584"/>
      <c r="G584"/>
      <c r="H584"/>
      <c r="I584"/>
      <c r="J584"/>
      <c r="K584"/>
      <c r="L584"/>
      <c r="M584"/>
      <c r="N584"/>
    </row>
    <row r="585" spans="2:14" ht="15" customHeight="1">
      <c r="B585"/>
      <c r="C585"/>
      <c r="D585"/>
      <c r="E585"/>
      <c r="F585"/>
      <c r="G585"/>
      <c r="H585"/>
      <c r="I585"/>
      <c r="J585"/>
      <c r="K585"/>
      <c r="L585"/>
      <c r="M585"/>
      <c r="N585"/>
    </row>
    <row r="586" spans="2:14" ht="15" customHeight="1">
      <c r="B586"/>
      <c r="C586"/>
      <c r="D586"/>
      <c r="E586"/>
      <c r="F586"/>
      <c r="G586"/>
      <c r="H586"/>
      <c r="I586"/>
      <c r="J586"/>
      <c r="K586"/>
      <c r="L586"/>
      <c r="M586"/>
      <c r="N586"/>
    </row>
    <row r="587" spans="2:14" ht="15" customHeight="1">
      <c r="B587"/>
      <c r="C587"/>
      <c r="D587"/>
      <c r="E587"/>
      <c r="F587"/>
      <c r="G587"/>
      <c r="H587"/>
      <c r="I587"/>
      <c r="J587"/>
      <c r="K587"/>
      <c r="L587"/>
      <c r="M587"/>
      <c r="N587"/>
    </row>
    <row r="588" spans="2:14" ht="15" customHeight="1">
      <c r="B588"/>
      <c r="C588"/>
      <c r="D588"/>
      <c r="E588"/>
      <c r="F588"/>
      <c r="G588"/>
      <c r="H588"/>
      <c r="I588"/>
      <c r="J588"/>
      <c r="K588"/>
      <c r="L588"/>
      <c r="M588"/>
      <c r="N588"/>
    </row>
    <row r="589" spans="2:14" ht="15" customHeight="1">
      <c r="B589"/>
      <c r="C589"/>
      <c r="D589"/>
      <c r="E589"/>
      <c r="F589"/>
      <c r="G589"/>
      <c r="H589"/>
      <c r="I589"/>
      <c r="J589"/>
      <c r="K589"/>
      <c r="L589"/>
      <c r="M589"/>
      <c r="N589"/>
    </row>
    <row r="590" spans="2:14" ht="15" customHeight="1">
      <c r="B590"/>
      <c r="C590"/>
      <c r="D590"/>
      <c r="E590"/>
      <c r="F590"/>
      <c r="G590"/>
      <c r="H590"/>
      <c r="I590"/>
      <c r="J590"/>
      <c r="K590"/>
      <c r="L590"/>
      <c r="M590"/>
      <c r="N590"/>
    </row>
    <row r="591" spans="2:14" ht="15" customHeight="1">
      <c r="B591"/>
      <c r="C591"/>
      <c r="D591"/>
      <c r="E591"/>
      <c r="F591"/>
      <c r="G591"/>
      <c r="H591"/>
      <c r="I591"/>
      <c r="J591"/>
      <c r="K591"/>
      <c r="L591"/>
      <c r="M591"/>
      <c r="N591"/>
    </row>
    <row r="592" spans="2:14" ht="15" customHeight="1">
      <c r="B592"/>
      <c r="C592"/>
      <c r="D592"/>
      <c r="E592"/>
      <c r="F592"/>
      <c r="G592"/>
      <c r="H592"/>
      <c r="I592"/>
      <c r="J592"/>
      <c r="K592"/>
      <c r="L592"/>
      <c r="M592"/>
      <c r="N592"/>
    </row>
    <row r="593" spans="2:14" ht="15" customHeight="1">
      <c r="B593"/>
      <c r="C593"/>
      <c r="D593"/>
      <c r="E593"/>
      <c r="F593"/>
      <c r="G593"/>
      <c r="H593"/>
      <c r="I593"/>
      <c r="J593"/>
      <c r="K593"/>
      <c r="L593"/>
      <c r="M593"/>
      <c r="N593"/>
    </row>
    <row r="594" spans="2:14" ht="15" customHeight="1">
      <c r="B594"/>
      <c r="C594"/>
      <c r="D594"/>
      <c r="E594"/>
      <c r="F594"/>
      <c r="G594"/>
      <c r="H594"/>
      <c r="I594"/>
      <c r="J594"/>
      <c r="K594"/>
      <c r="L594"/>
      <c r="M594"/>
      <c r="N594"/>
    </row>
    <row r="595" spans="2:14" ht="15" customHeight="1">
      <c r="B595"/>
      <c r="C595"/>
      <c r="D595"/>
      <c r="E595"/>
      <c r="F595"/>
      <c r="G595"/>
      <c r="H595"/>
      <c r="I595"/>
      <c r="J595"/>
      <c r="K595"/>
      <c r="L595"/>
      <c r="M595"/>
      <c r="N595"/>
    </row>
    <row r="596" spans="2:14" ht="15" customHeight="1">
      <c r="B596"/>
      <c r="C596"/>
      <c r="D596"/>
      <c r="E596"/>
      <c r="F596"/>
      <c r="G596"/>
      <c r="H596"/>
      <c r="I596"/>
      <c r="J596"/>
      <c r="K596"/>
      <c r="L596"/>
      <c r="M596"/>
      <c r="N596"/>
    </row>
    <row r="597" spans="2:14" ht="15" customHeight="1">
      <c r="B597"/>
      <c r="C597"/>
      <c r="D597"/>
      <c r="E597"/>
      <c r="F597"/>
      <c r="G597"/>
      <c r="H597"/>
      <c r="I597"/>
      <c r="J597"/>
      <c r="K597"/>
      <c r="L597"/>
      <c r="M597"/>
      <c r="N597"/>
    </row>
    <row r="598" spans="2:14" ht="15" customHeight="1">
      <c r="B598"/>
      <c r="C598"/>
      <c r="D598"/>
      <c r="E598"/>
      <c r="F598"/>
      <c r="G598"/>
      <c r="H598"/>
      <c r="I598"/>
      <c r="J598"/>
      <c r="K598"/>
      <c r="L598"/>
      <c r="M598"/>
      <c r="N598"/>
    </row>
    <row r="599" spans="2:14" ht="15" customHeight="1">
      <c r="B599"/>
      <c r="C599"/>
      <c r="D599"/>
      <c r="E599"/>
      <c r="F599"/>
      <c r="G599"/>
      <c r="H599"/>
      <c r="I599"/>
      <c r="J599"/>
      <c r="K599"/>
      <c r="L599"/>
      <c r="M599"/>
      <c r="N599"/>
    </row>
    <row r="600" spans="2:14" ht="15" customHeight="1">
      <c r="B600"/>
      <c r="C600"/>
      <c r="D600"/>
      <c r="E600"/>
      <c r="F600"/>
      <c r="G600"/>
      <c r="H600"/>
      <c r="I600"/>
      <c r="J600"/>
      <c r="K600"/>
      <c r="L600"/>
      <c r="M600"/>
      <c r="N600"/>
    </row>
    <row r="601" spans="2:14" ht="15" customHeight="1">
      <c r="B601"/>
      <c r="C601"/>
      <c r="D601"/>
      <c r="E601"/>
      <c r="F601"/>
      <c r="G601"/>
      <c r="H601"/>
      <c r="I601"/>
      <c r="J601"/>
      <c r="K601"/>
      <c r="L601"/>
      <c r="M601"/>
      <c r="N601"/>
    </row>
    <row r="602" spans="2:14" ht="15" customHeight="1">
      <c r="B602"/>
      <c r="C602"/>
      <c r="D602"/>
      <c r="E602"/>
      <c r="F602"/>
      <c r="G602"/>
      <c r="H602"/>
      <c r="I602"/>
      <c r="J602"/>
      <c r="K602"/>
      <c r="L602"/>
      <c r="M602"/>
      <c r="N602"/>
    </row>
    <row r="603" spans="2:14" ht="15" customHeight="1">
      <c r="B603"/>
      <c r="C603"/>
      <c r="D603"/>
      <c r="E603"/>
      <c r="F603"/>
      <c r="G603"/>
      <c r="H603"/>
      <c r="I603"/>
      <c r="J603"/>
      <c r="K603"/>
      <c r="L603"/>
      <c r="M603"/>
      <c r="N603"/>
    </row>
    <row r="604" spans="2:14" ht="15" customHeight="1">
      <c r="B604"/>
      <c r="C604"/>
      <c r="D604"/>
      <c r="E604"/>
      <c r="F604"/>
      <c r="G604"/>
      <c r="H604"/>
      <c r="I604"/>
      <c r="J604"/>
      <c r="K604"/>
      <c r="L604"/>
      <c r="M604"/>
      <c r="N604"/>
    </row>
    <row r="605" spans="2:14" ht="15" customHeight="1">
      <c r="B605"/>
      <c r="C605"/>
      <c r="D605"/>
      <c r="E605"/>
      <c r="F605"/>
      <c r="G605"/>
      <c r="H605"/>
      <c r="I605"/>
      <c r="J605"/>
      <c r="K605"/>
      <c r="L605"/>
      <c r="M605"/>
      <c r="N605"/>
    </row>
    <row r="606" spans="2:14" ht="15" customHeight="1">
      <c r="B606"/>
      <c r="C606"/>
      <c r="D606"/>
      <c r="E606"/>
      <c r="F606"/>
      <c r="G606"/>
      <c r="H606"/>
      <c r="I606"/>
      <c r="J606"/>
      <c r="K606"/>
      <c r="L606"/>
      <c r="M606"/>
      <c r="N606"/>
    </row>
    <row r="607" spans="2:14" ht="15" customHeight="1">
      <c r="B607"/>
      <c r="C607"/>
      <c r="D607"/>
      <c r="E607"/>
      <c r="F607"/>
      <c r="G607"/>
      <c r="H607"/>
      <c r="I607"/>
      <c r="J607"/>
      <c r="K607"/>
      <c r="L607"/>
      <c r="M607"/>
      <c r="N607"/>
    </row>
    <row r="608" spans="2:14" ht="15" customHeight="1">
      <c r="B608"/>
      <c r="C608"/>
      <c r="D608"/>
      <c r="E608"/>
      <c r="F608"/>
      <c r="G608"/>
      <c r="H608"/>
      <c r="I608"/>
      <c r="J608"/>
      <c r="K608"/>
      <c r="L608"/>
      <c r="M608"/>
      <c r="N608"/>
    </row>
    <row r="609" spans="2:14" ht="15" customHeight="1">
      <c r="B609"/>
      <c r="C609"/>
      <c r="D609"/>
      <c r="E609"/>
      <c r="F609"/>
      <c r="G609"/>
      <c r="H609"/>
      <c r="I609"/>
      <c r="J609"/>
      <c r="K609"/>
      <c r="L609"/>
      <c r="M609"/>
      <c r="N609"/>
    </row>
    <row r="610" spans="2:14" ht="15" customHeight="1">
      <c r="B610"/>
      <c r="C610"/>
      <c r="D610"/>
      <c r="E610"/>
      <c r="F610"/>
      <c r="G610"/>
      <c r="H610"/>
      <c r="I610"/>
      <c r="J610"/>
      <c r="K610"/>
      <c r="L610"/>
      <c r="M610"/>
      <c r="N610"/>
    </row>
    <row r="611" spans="2:14" ht="15" customHeight="1">
      <c r="B611"/>
      <c r="C611"/>
      <c r="D611"/>
      <c r="E611"/>
      <c r="F611"/>
      <c r="G611"/>
      <c r="H611"/>
      <c r="I611"/>
      <c r="J611"/>
      <c r="K611"/>
      <c r="L611"/>
      <c r="M611"/>
      <c r="N611"/>
    </row>
    <row r="612" spans="2:14" ht="15" customHeight="1">
      <c r="B612"/>
      <c r="C612"/>
      <c r="D612"/>
      <c r="E612"/>
      <c r="F612"/>
      <c r="G612"/>
      <c r="H612"/>
      <c r="I612"/>
      <c r="J612"/>
      <c r="K612"/>
      <c r="L612"/>
      <c r="M612"/>
      <c r="N612"/>
    </row>
    <row r="613" spans="2:14" ht="15" customHeight="1">
      <c r="B613"/>
      <c r="C613"/>
      <c r="D613"/>
      <c r="E613"/>
      <c r="F613"/>
      <c r="G613"/>
      <c r="H613"/>
      <c r="I613"/>
      <c r="J613"/>
      <c r="K613"/>
      <c r="L613"/>
      <c r="M613"/>
      <c r="N613"/>
    </row>
    <row r="614" spans="2:14" ht="15" customHeight="1">
      <c r="B614"/>
      <c r="C614"/>
      <c r="D614"/>
      <c r="E614"/>
      <c r="F614"/>
      <c r="G614"/>
      <c r="H614"/>
      <c r="I614"/>
      <c r="J614"/>
      <c r="K614"/>
      <c r="L614"/>
      <c r="M614"/>
      <c r="N614"/>
    </row>
    <row r="615" spans="2:14" ht="15" customHeight="1">
      <c r="B615"/>
      <c r="C615"/>
      <c r="D615"/>
      <c r="E615"/>
      <c r="F615"/>
      <c r="G615"/>
      <c r="H615"/>
      <c r="I615"/>
      <c r="J615"/>
      <c r="K615"/>
      <c r="L615"/>
      <c r="M615"/>
      <c r="N615"/>
    </row>
    <row r="616" spans="2:14" ht="15" customHeight="1">
      <c r="B616"/>
      <c r="C616"/>
      <c r="D616"/>
      <c r="E616"/>
      <c r="F616"/>
      <c r="G616"/>
      <c r="H616"/>
      <c r="I616"/>
      <c r="J616"/>
      <c r="K616"/>
      <c r="L616"/>
      <c r="M616"/>
      <c r="N616"/>
    </row>
    <row r="617" spans="2:14" ht="15" customHeight="1">
      <c r="B617"/>
      <c r="C617"/>
      <c r="D617"/>
      <c r="E617"/>
      <c r="F617"/>
      <c r="G617"/>
      <c r="H617"/>
      <c r="I617"/>
      <c r="J617"/>
      <c r="K617"/>
      <c r="L617"/>
      <c r="M617"/>
      <c r="N617"/>
    </row>
    <row r="618" spans="2:14" ht="15" customHeight="1">
      <c r="B618"/>
      <c r="C618"/>
      <c r="D618"/>
      <c r="E618"/>
      <c r="F618"/>
      <c r="G618"/>
      <c r="H618"/>
      <c r="I618"/>
      <c r="J618"/>
      <c r="K618"/>
      <c r="L618"/>
      <c r="M618"/>
      <c r="N618"/>
    </row>
    <row r="619" spans="2:14" ht="15" customHeight="1">
      <c r="B619"/>
      <c r="C619"/>
      <c r="D619"/>
      <c r="E619"/>
      <c r="F619"/>
      <c r="G619"/>
      <c r="H619"/>
      <c r="I619"/>
      <c r="J619"/>
      <c r="K619"/>
      <c r="L619"/>
      <c r="M619"/>
      <c r="N619"/>
    </row>
    <row r="620" spans="2:14" ht="15" customHeight="1">
      <c r="B620"/>
      <c r="C620"/>
      <c r="D620"/>
      <c r="E620"/>
      <c r="F620"/>
      <c r="G620"/>
      <c r="H620"/>
      <c r="I620"/>
      <c r="J620"/>
      <c r="K620"/>
      <c r="L620"/>
      <c r="M620"/>
      <c r="N620"/>
    </row>
    <row r="621" spans="2:14" ht="15" customHeight="1">
      <c r="B621"/>
      <c r="C621"/>
      <c r="D621"/>
      <c r="E621"/>
      <c r="F621"/>
      <c r="G621"/>
      <c r="H621"/>
      <c r="I621"/>
      <c r="J621"/>
      <c r="K621"/>
      <c r="L621"/>
      <c r="M621"/>
      <c r="N621"/>
    </row>
    <row r="622" spans="2:14" ht="15" customHeight="1">
      <c r="B622"/>
      <c r="C622"/>
      <c r="D622"/>
      <c r="E622"/>
      <c r="F622"/>
      <c r="G622"/>
      <c r="H622"/>
      <c r="I622"/>
      <c r="J622"/>
      <c r="K622"/>
      <c r="L622"/>
      <c r="M622"/>
      <c r="N622"/>
    </row>
    <row r="623" spans="2:14" ht="15" customHeight="1">
      <c r="B623"/>
      <c r="C623"/>
      <c r="D623"/>
      <c r="E623"/>
      <c r="F623"/>
      <c r="G623"/>
      <c r="H623"/>
      <c r="I623"/>
      <c r="J623"/>
      <c r="K623"/>
      <c r="L623"/>
      <c r="M623"/>
      <c r="N623"/>
    </row>
    <row r="624" spans="2:14" ht="15" customHeight="1">
      <c r="B624"/>
      <c r="C624"/>
      <c r="D624"/>
      <c r="E624"/>
      <c r="F624"/>
      <c r="G624"/>
      <c r="H624"/>
      <c r="I624"/>
      <c r="J624"/>
      <c r="K624"/>
      <c r="L624"/>
      <c r="M624"/>
      <c r="N624"/>
    </row>
    <row r="625" spans="2:14" ht="15" customHeight="1">
      <c r="B625"/>
      <c r="C625"/>
      <c r="D625"/>
      <c r="E625"/>
      <c r="F625"/>
      <c r="G625"/>
      <c r="H625"/>
      <c r="I625"/>
      <c r="J625"/>
      <c r="K625"/>
      <c r="L625"/>
      <c r="M625"/>
      <c r="N625"/>
    </row>
    <row r="626" spans="2:14" ht="15" customHeight="1">
      <c r="B626"/>
      <c r="C626"/>
      <c r="D626"/>
      <c r="E626"/>
      <c r="F626"/>
      <c r="G626"/>
      <c r="H626"/>
      <c r="I626"/>
      <c r="J626"/>
      <c r="K626"/>
      <c r="L626"/>
      <c r="M626"/>
      <c r="N626"/>
    </row>
    <row r="627" spans="2:14" ht="15" customHeight="1">
      <c r="B627"/>
      <c r="C627"/>
      <c r="D627"/>
      <c r="E627"/>
      <c r="F627"/>
      <c r="G627"/>
      <c r="H627"/>
      <c r="I627"/>
      <c r="J627"/>
      <c r="K627"/>
      <c r="L627"/>
      <c r="M627"/>
      <c r="N627"/>
    </row>
    <row r="628" spans="2:14" ht="15" customHeight="1">
      <c r="B628"/>
      <c r="C628"/>
      <c r="D628"/>
      <c r="E628"/>
      <c r="F628"/>
      <c r="G628"/>
      <c r="H628"/>
      <c r="I628"/>
      <c r="J628"/>
      <c r="K628"/>
      <c r="L628"/>
      <c r="M628"/>
      <c r="N628"/>
    </row>
    <row r="629" spans="2:14" ht="15" customHeight="1">
      <c r="B629"/>
      <c r="C629"/>
      <c r="D629"/>
      <c r="E629"/>
      <c r="F629"/>
      <c r="G629"/>
      <c r="H629"/>
      <c r="I629"/>
      <c r="J629"/>
      <c r="K629"/>
      <c r="L629"/>
      <c r="M629"/>
      <c r="N629"/>
    </row>
    <row r="630" spans="2:14" ht="15" customHeight="1">
      <c r="B630"/>
      <c r="C630"/>
      <c r="D630"/>
      <c r="E630"/>
      <c r="F630"/>
      <c r="G630"/>
      <c r="H630"/>
      <c r="I630"/>
      <c r="J630"/>
      <c r="K630"/>
      <c r="L630"/>
      <c r="M630"/>
      <c r="N630"/>
    </row>
    <row r="631" spans="2:14" ht="15" customHeight="1">
      <c r="B631"/>
      <c r="C631"/>
      <c r="D631"/>
      <c r="E631"/>
      <c r="F631"/>
      <c r="G631"/>
      <c r="H631"/>
      <c r="I631"/>
      <c r="J631"/>
      <c r="K631"/>
      <c r="L631"/>
      <c r="M631"/>
      <c r="N631"/>
    </row>
    <row r="632" spans="2:14" ht="15" customHeight="1">
      <c r="B632"/>
      <c r="C632"/>
      <c r="D632"/>
      <c r="E632"/>
      <c r="F632"/>
      <c r="G632"/>
      <c r="H632"/>
      <c r="I632"/>
      <c r="J632"/>
      <c r="K632"/>
      <c r="L632"/>
      <c r="M632"/>
      <c r="N632"/>
    </row>
    <row r="633" spans="2:14" ht="15" customHeight="1">
      <c r="B633"/>
      <c r="C633"/>
      <c r="D633"/>
      <c r="E633"/>
      <c r="F633"/>
      <c r="G633"/>
      <c r="H633"/>
      <c r="I633"/>
      <c r="J633"/>
      <c r="K633"/>
      <c r="L633"/>
      <c r="M633"/>
      <c r="N633"/>
    </row>
    <row r="634" spans="2:14" ht="15" customHeight="1">
      <c r="B634"/>
      <c r="C634"/>
      <c r="D634"/>
      <c r="E634"/>
      <c r="F634"/>
      <c r="G634"/>
      <c r="H634"/>
      <c r="I634"/>
      <c r="J634"/>
      <c r="K634"/>
      <c r="L634"/>
      <c r="M634"/>
      <c r="N634"/>
    </row>
    <row r="635" spans="2:14" ht="15" customHeight="1">
      <c r="B635"/>
      <c r="C635"/>
      <c r="D635"/>
      <c r="E635"/>
      <c r="F635"/>
      <c r="G635"/>
      <c r="H635"/>
      <c r="I635"/>
      <c r="J635"/>
      <c r="K635"/>
      <c r="L635"/>
      <c r="M635"/>
      <c r="N635"/>
    </row>
    <row r="636" spans="2:14" ht="15" customHeight="1">
      <c r="B636"/>
      <c r="C636"/>
      <c r="D636"/>
      <c r="E636"/>
      <c r="F636"/>
      <c r="G636"/>
      <c r="H636"/>
      <c r="I636"/>
      <c r="J636"/>
      <c r="K636"/>
      <c r="L636"/>
      <c r="M636"/>
      <c r="N636"/>
    </row>
    <row r="637" spans="2:14" ht="15" customHeight="1">
      <c r="B637"/>
      <c r="C637"/>
      <c r="D637"/>
      <c r="E637"/>
      <c r="F637"/>
      <c r="G637"/>
      <c r="H637"/>
      <c r="I637"/>
      <c r="J637"/>
      <c r="K637"/>
      <c r="L637"/>
      <c r="M637"/>
      <c r="N637"/>
    </row>
    <row r="638" spans="2:14" ht="15" customHeight="1">
      <c r="B638"/>
      <c r="C638"/>
      <c r="D638"/>
      <c r="E638"/>
      <c r="F638"/>
      <c r="G638"/>
      <c r="H638"/>
      <c r="I638"/>
      <c r="J638"/>
      <c r="K638"/>
      <c r="L638"/>
      <c r="M638"/>
      <c r="N638"/>
    </row>
    <row r="639" spans="2:14" ht="15" customHeight="1">
      <c r="B639"/>
      <c r="C639"/>
      <c r="D639"/>
      <c r="E639"/>
      <c r="F639"/>
      <c r="G639"/>
      <c r="H639"/>
      <c r="I639"/>
      <c r="J639"/>
      <c r="K639"/>
      <c r="L639"/>
      <c r="M639"/>
      <c r="N639"/>
    </row>
    <row r="640" spans="2:14" ht="15" customHeight="1">
      <c r="B640"/>
      <c r="C640"/>
      <c r="D640"/>
      <c r="E640"/>
      <c r="F640"/>
      <c r="G640"/>
      <c r="H640"/>
      <c r="I640"/>
      <c r="J640"/>
      <c r="K640"/>
      <c r="L640"/>
      <c r="M640"/>
      <c r="N640"/>
    </row>
    <row r="641" spans="2:14" ht="15" customHeight="1">
      <c r="B641"/>
      <c r="C641"/>
      <c r="D641"/>
      <c r="E641"/>
      <c r="F641"/>
      <c r="G641"/>
      <c r="H641"/>
      <c r="I641"/>
      <c r="J641"/>
      <c r="K641"/>
      <c r="L641"/>
      <c r="M641"/>
      <c r="N641"/>
    </row>
    <row r="642" spans="2:14" ht="15" customHeight="1">
      <c r="B642"/>
      <c r="C642"/>
      <c r="D642"/>
      <c r="E642"/>
      <c r="F642"/>
      <c r="G642"/>
      <c r="H642"/>
      <c r="I642"/>
      <c r="J642"/>
      <c r="K642"/>
      <c r="L642"/>
      <c r="M642"/>
      <c r="N642"/>
    </row>
    <row r="643" spans="2:14" ht="15" customHeight="1">
      <c r="B643"/>
      <c r="C643"/>
      <c r="D643"/>
      <c r="E643"/>
      <c r="F643"/>
      <c r="G643"/>
      <c r="H643"/>
      <c r="I643"/>
      <c r="J643"/>
      <c r="K643"/>
      <c r="L643"/>
      <c r="M643"/>
      <c r="N643"/>
    </row>
    <row r="644" spans="2:14" ht="15" customHeight="1">
      <c r="B644"/>
      <c r="C644"/>
      <c r="D644"/>
      <c r="E644"/>
      <c r="F644"/>
      <c r="G644"/>
      <c r="H644"/>
      <c r="I644"/>
      <c r="J644"/>
      <c r="K644"/>
      <c r="L644"/>
      <c r="M644"/>
      <c r="N644"/>
    </row>
    <row r="645" spans="2:14" ht="15" customHeight="1">
      <c r="B645"/>
      <c r="C645"/>
      <c r="D645"/>
      <c r="E645"/>
      <c r="F645"/>
      <c r="G645"/>
      <c r="H645"/>
      <c r="I645"/>
      <c r="J645"/>
      <c r="K645"/>
      <c r="L645"/>
      <c r="M645"/>
      <c r="N645"/>
    </row>
    <row r="646" spans="2:14" ht="15" customHeight="1">
      <c r="B646"/>
      <c r="C646"/>
      <c r="D646"/>
      <c r="E646"/>
      <c r="F646"/>
      <c r="G646"/>
      <c r="H646"/>
      <c r="I646"/>
      <c r="J646"/>
      <c r="K646"/>
      <c r="L646"/>
      <c r="M646"/>
      <c r="N646"/>
    </row>
    <row r="647" spans="2:14" ht="15" customHeight="1">
      <c r="B647"/>
      <c r="C647"/>
      <c r="D647"/>
      <c r="E647"/>
      <c r="F647"/>
      <c r="G647"/>
      <c r="H647"/>
      <c r="I647"/>
      <c r="J647"/>
      <c r="K647"/>
      <c r="L647"/>
      <c r="M647"/>
      <c r="N647"/>
    </row>
    <row r="648" spans="2:14" ht="15" customHeight="1">
      <c r="B648"/>
      <c r="C648"/>
      <c r="D648"/>
      <c r="E648"/>
      <c r="F648"/>
      <c r="G648"/>
      <c r="H648"/>
      <c r="I648"/>
      <c r="J648"/>
      <c r="K648"/>
      <c r="L648"/>
      <c r="M648"/>
      <c r="N648"/>
    </row>
    <row r="649" spans="2:14" ht="15" customHeight="1">
      <c r="B649"/>
      <c r="C649"/>
      <c r="D649"/>
      <c r="E649"/>
      <c r="F649"/>
      <c r="G649"/>
      <c r="H649"/>
      <c r="I649"/>
      <c r="J649"/>
      <c r="K649"/>
      <c r="L649"/>
      <c r="M649"/>
      <c r="N649"/>
    </row>
    <row r="650" spans="2:14" ht="15" customHeight="1">
      <c r="B650"/>
      <c r="C650"/>
      <c r="D650"/>
      <c r="E650"/>
      <c r="F650"/>
      <c r="G650"/>
      <c r="H650"/>
      <c r="I650"/>
      <c r="J650"/>
      <c r="K650"/>
      <c r="L650"/>
      <c r="M650"/>
      <c r="N650"/>
    </row>
    <row r="651" spans="2:14" ht="15" customHeight="1">
      <c r="B651"/>
      <c r="C651"/>
      <c r="D651"/>
      <c r="E651"/>
      <c r="F651"/>
      <c r="G651"/>
      <c r="H651"/>
      <c r="I651"/>
      <c r="J651"/>
      <c r="K651"/>
      <c r="L651"/>
      <c r="M651"/>
      <c r="N651"/>
    </row>
    <row r="652" spans="2:14" ht="15" customHeight="1">
      <c r="B652"/>
      <c r="C652"/>
      <c r="D652"/>
      <c r="E652"/>
      <c r="F652"/>
      <c r="G652"/>
      <c r="H652"/>
      <c r="I652"/>
      <c r="J652"/>
      <c r="K652"/>
      <c r="L652"/>
      <c r="M652"/>
      <c r="N652"/>
    </row>
    <row r="653" spans="2:14" ht="15" customHeight="1">
      <c r="B653"/>
      <c r="C653"/>
      <c r="D653"/>
      <c r="E653"/>
      <c r="F653"/>
      <c r="G653"/>
      <c r="H653"/>
      <c r="I653"/>
      <c r="J653"/>
      <c r="K653"/>
      <c r="L653"/>
      <c r="M653"/>
      <c r="N653"/>
    </row>
    <row r="654" spans="2:14" ht="15" customHeight="1">
      <c r="B654"/>
      <c r="C654"/>
      <c r="D654"/>
      <c r="E654"/>
      <c r="F654"/>
      <c r="G654"/>
      <c r="H654"/>
      <c r="I654"/>
      <c r="J654"/>
      <c r="K654"/>
      <c r="L654"/>
      <c r="M654"/>
      <c r="N654"/>
    </row>
    <row r="655" spans="2:14" ht="15" customHeight="1">
      <c r="B655"/>
      <c r="C655"/>
      <c r="D655"/>
      <c r="E655"/>
      <c r="F655"/>
      <c r="G655"/>
      <c r="H655"/>
      <c r="I655"/>
      <c r="J655"/>
      <c r="K655"/>
      <c r="L655"/>
      <c r="M655"/>
      <c r="N655"/>
    </row>
    <row r="656" spans="2:14" ht="15" customHeight="1">
      <c r="B656"/>
      <c r="C656"/>
      <c r="D656"/>
      <c r="E656"/>
      <c r="F656"/>
      <c r="G656"/>
      <c r="H656"/>
      <c r="I656"/>
      <c r="J656"/>
      <c r="K656"/>
      <c r="L656"/>
      <c r="M656"/>
      <c r="N656"/>
    </row>
    <row r="657" spans="2:14" ht="15" customHeight="1">
      <c r="B657"/>
      <c r="C657"/>
      <c r="D657"/>
      <c r="E657"/>
      <c r="F657"/>
      <c r="G657"/>
      <c r="H657"/>
      <c r="I657"/>
      <c r="J657"/>
      <c r="K657"/>
      <c r="L657"/>
      <c r="M657"/>
      <c r="N657"/>
    </row>
    <row r="658" spans="2:14" ht="15" customHeight="1">
      <c r="B658"/>
      <c r="C658"/>
      <c r="D658"/>
      <c r="E658"/>
      <c r="F658"/>
      <c r="G658"/>
      <c r="H658"/>
      <c r="I658"/>
      <c r="J658"/>
      <c r="K658"/>
      <c r="L658"/>
      <c r="M658"/>
      <c r="N658"/>
    </row>
    <row r="659" spans="2:14" ht="15" customHeight="1">
      <c r="B659"/>
      <c r="C659"/>
      <c r="D659"/>
      <c r="E659"/>
      <c r="F659"/>
      <c r="G659"/>
      <c r="H659"/>
      <c r="I659"/>
      <c r="J659"/>
      <c r="K659"/>
      <c r="L659"/>
      <c r="M659"/>
      <c r="N659"/>
    </row>
    <row r="660" spans="2:14" ht="15" customHeight="1">
      <c r="B660"/>
      <c r="C660"/>
      <c r="D660"/>
      <c r="E660"/>
      <c r="F660"/>
      <c r="G660"/>
      <c r="H660"/>
      <c r="I660"/>
      <c r="J660"/>
      <c r="K660"/>
      <c r="L660"/>
      <c r="M660"/>
      <c r="N660"/>
    </row>
    <row r="661" spans="2:14" ht="15" customHeight="1">
      <c r="B661"/>
      <c r="C661"/>
      <c r="D661"/>
      <c r="E661"/>
      <c r="F661"/>
      <c r="G661"/>
      <c r="H661"/>
      <c r="I661"/>
      <c r="J661"/>
      <c r="K661"/>
      <c r="L661"/>
      <c r="M661"/>
      <c r="N661"/>
    </row>
    <row r="662" spans="2:14" ht="15" customHeight="1">
      <c r="B662"/>
      <c r="C662"/>
      <c r="D662"/>
      <c r="E662"/>
      <c r="F662"/>
      <c r="G662"/>
      <c r="H662"/>
      <c r="I662"/>
      <c r="J662"/>
      <c r="K662"/>
      <c r="L662"/>
      <c r="M662"/>
      <c r="N662"/>
    </row>
    <row r="663" spans="2:14" ht="15" customHeight="1">
      <c r="B663"/>
      <c r="C663"/>
      <c r="D663"/>
      <c r="E663"/>
      <c r="F663"/>
      <c r="G663"/>
      <c r="H663"/>
      <c r="I663"/>
      <c r="J663"/>
      <c r="K663"/>
      <c r="L663"/>
      <c r="M663"/>
      <c r="N663"/>
    </row>
    <row r="664" spans="2:14" ht="15" customHeight="1">
      <c r="B664"/>
      <c r="C664"/>
      <c r="D664"/>
      <c r="E664"/>
      <c r="F664"/>
      <c r="G664"/>
      <c r="H664"/>
      <c r="I664"/>
      <c r="J664"/>
      <c r="K664"/>
      <c r="L664"/>
      <c r="M664"/>
      <c r="N664"/>
    </row>
    <row r="665" spans="2:14" ht="15" customHeight="1">
      <c r="B665"/>
      <c r="C665"/>
      <c r="D665"/>
      <c r="E665"/>
      <c r="F665"/>
      <c r="G665"/>
      <c r="H665"/>
      <c r="I665"/>
      <c r="J665"/>
      <c r="K665"/>
      <c r="L665"/>
      <c r="M665"/>
      <c r="N665"/>
    </row>
    <row r="666" spans="2:14" ht="15" customHeight="1">
      <c r="B666"/>
      <c r="C666"/>
      <c r="D666"/>
      <c r="E666"/>
      <c r="F666"/>
      <c r="G666"/>
      <c r="H666"/>
      <c r="I666"/>
      <c r="J666"/>
      <c r="K666"/>
      <c r="L666"/>
      <c r="M666"/>
      <c r="N666"/>
    </row>
    <row r="667" spans="2:14" ht="15" customHeight="1">
      <c r="B667"/>
      <c r="C667"/>
      <c r="D667"/>
      <c r="E667"/>
      <c r="F667"/>
      <c r="G667"/>
      <c r="H667"/>
      <c r="I667"/>
      <c r="J667"/>
      <c r="K667"/>
      <c r="L667"/>
      <c r="M667"/>
      <c r="N667"/>
    </row>
    <row r="668" spans="2:14" ht="15" customHeight="1">
      <c r="B668"/>
      <c r="C668"/>
      <c r="D668"/>
      <c r="E668"/>
      <c r="F668"/>
      <c r="G668"/>
      <c r="H668"/>
      <c r="I668"/>
      <c r="J668"/>
      <c r="K668"/>
      <c r="L668"/>
      <c r="M668"/>
      <c r="N668"/>
    </row>
    <row r="669" spans="2:14" ht="15" customHeight="1">
      <c r="B669"/>
      <c r="C669"/>
      <c r="D669"/>
      <c r="E669"/>
      <c r="F669"/>
      <c r="G669"/>
      <c r="H669"/>
      <c r="I669"/>
      <c r="J669"/>
      <c r="K669"/>
      <c r="L669"/>
      <c r="M669"/>
      <c r="N669"/>
    </row>
    <row r="670" spans="2:14" ht="15" customHeight="1">
      <c r="B670"/>
      <c r="C670"/>
      <c r="D670"/>
      <c r="E670"/>
      <c r="F670"/>
      <c r="G670"/>
      <c r="H670"/>
      <c r="I670"/>
      <c r="J670"/>
      <c r="K670"/>
      <c r="L670"/>
      <c r="M670"/>
      <c r="N670"/>
    </row>
    <row r="671" spans="2:14" ht="15" customHeight="1">
      <c r="B671"/>
      <c r="C671"/>
      <c r="D671"/>
      <c r="E671"/>
      <c r="F671"/>
      <c r="G671"/>
      <c r="H671"/>
      <c r="I671"/>
      <c r="J671"/>
      <c r="K671"/>
      <c r="L671"/>
      <c r="M671"/>
      <c r="N671"/>
    </row>
    <row r="672" spans="2:14" ht="15" customHeight="1">
      <c r="B672"/>
      <c r="C672"/>
      <c r="D672"/>
      <c r="E672"/>
      <c r="F672"/>
      <c r="G672"/>
      <c r="H672"/>
      <c r="I672"/>
      <c r="J672"/>
      <c r="K672"/>
      <c r="L672"/>
      <c r="M672"/>
      <c r="N672"/>
    </row>
    <row r="673" spans="2:14" ht="15" customHeight="1">
      <c r="B673"/>
      <c r="C673"/>
      <c r="D673"/>
      <c r="E673"/>
      <c r="F673"/>
      <c r="G673"/>
      <c r="H673"/>
      <c r="I673"/>
      <c r="J673"/>
      <c r="K673"/>
      <c r="L673"/>
      <c r="M673"/>
      <c r="N673"/>
    </row>
    <row r="674" spans="2:14" ht="15" customHeight="1">
      <c r="B674"/>
      <c r="C674"/>
      <c r="D674"/>
      <c r="E674"/>
      <c r="F674"/>
      <c r="G674"/>
      <c r="H674"/>
      <c r="I674"/>
      <c r="J674"/>
      <c r="K674"/>
      <c r="L674"/>
      <c r="M674"/>
      <c r="N674"/>
    </row>
    <row r="675" spans="2:14" ht="15" customHeight="1">
      <c r="B675"/>
      <c r="C675"/>
      <c r="D675"/>
      <c r="E675"/>
      <c r="F675"/>
      <c r="G675"/>
      <c r="H675"/>
      <c r="I675"/>
      <c r="J675"/>
      <c r="K675"/>
      <c r="L675"/>
      <c r="M675"/>
      <c r="N675"/>
    </row>
    <row r="676" spans="2:14" ht="15" customHeight="1">
      <c r="B676"/>
      <c r="C676"/>
      <c r="D676"/>
      <c r="E676"/>
      <c r="F676"/>
      <c r="G676"/>
      <c r="H676"/>
      <c r="I676"/>
      <c r="J676"/>
      <c r="K676"/>
      <c r="L676"/>
      <c r="M676"/>
      <c r="N676"/>
    </row>
    <row r="677" spans="2:14" ht="15" customHeight="1">
      <c r="B677"/>
      <c r="C677"/>
      <c r="D677"/>
      <c r="E677"/>
      <c r="F677"/>
      <c r="G677"/>
      <c r="H677"/>
      <c r="I677"/>
      <c r="J677"/>
      <c r="K677"/>
      <c r="L677"/>
      <c r="M677"/>
      <c r="N677"/>
    </row>
    <row r="678" spans="2:14" ht="15" customHeight="1">
      <c r="B678"/>
      <c r="C678"/>
      <c r="D678"/>
      <c r="E678"/>
      <c r="F678"/>
      <c r="G678"/>
      <c r="H678"/>
      <c r="I678"/>
      <c r="J678"/>
      <c r="K678"/>
      <c r="L678"/>
      <c r="M678"/>
      <c r="N678"/>
    </row>
    <row r="679" spans="2:14" ht="15" customHeight="1">
      <c r="B679"/>
      <c r="C679"/>
      <c r="D679"/>
      <c r="E679"/>
      <c r="F679"/>
      <c r="G679"/>
      <c r="H679"/>
      <c r="I679"/>
      <c r="J679"/>
      <c r="K679"/>
      <c r="L679"/>
      <c r="M679"/>
      <c r="N679"/>
    </row>
    <row r="680" spans="2:14" ht="15" customHeight="1">
      <c r="B680"/>
      <c r="C680"/>
      <c r="D680"/>
      <c r="E680"/>
      <c r="F680"/>
      <c r="G680"/>
      <c r="H680"/>
      <c r="I680"/>
      <c r="J680"/>
      <c r="K680"/>
      <c r="L680"/>
      <c r="M680"/>
      <c r="N680"/>
    </row>
    <row r="681" spans="2:14" ht="15" customHeight="1">
      <c r="B681"/>
      <c r="C681"/>
      <c r="D681"/>
      <c r="E681"/>
      <c r="F681"/>
      <c r="G681"/>
      <c r="H681"/>
      <c r="I681"/>
      <c r="J681"/>
      <c r="K681"/>
      <c r="L681"/>
      <c r="M681"/>
      <c r="N681"/>
    </row>
    <row r="682" spans="2:14" ht="15" customHeight="1">
      <c r="B682"/>
      <c r="C682"/>
      <c r="D682"/>
      <c r="E682"/>
      <c r="F682"/>
      <c r="G682"/>
      <c r="H682"/>
      <c r="I682"/>
      <c r="J682"/>
      <c r="K682"/>
      <c r="L682"/>
      <c r="M682"/>
      <c r="N682"/>
    </row>
    <row r="683" spans="2:14" ht="15" customHeight="1">
      <c r="B683"/>
      <c r="C683"/>
      <c r="D683"/>
      <c r="E683"/>
      <c r="F683"/>
      <c r="G683"/>
      <c r="H683"/>
      <c r="I683"/>
      <c r="J683"/>
      <c r="K683"/>
      <c r="L683"/>
      <c r="M683"/>
      <c r="N683"/>
    </row>
    <row r="684" spans="2:14" ht="15" customHeight="1">
      <c r="B684"/>
      <c r="C684"/>
      <c r="D684"/>
      <c r="E684"/>
      <c r="F684"/>
      <c r="G684"/>
      <c r="H684"/>
      <c r="I684"/>
      <c r="J684"/>
      <c r="K684"/>
      <c r="L684"/>
      <c r="M684"/>
      <c r="N684"/>
    </row>
    <row r="685" spans="2:14" ht="15" customHeight="1">
      <c r="B685"/>
      <c r="C685"/>
      <c r="D685"/>
      <c r="E685"/>
      <c r="F685"/>
      <c r="G685"/>
      <c r="H685"/>
      <c r="I685"/>
      <c r="J685"/>
      <c r="K685"/>
      <c r="L685"/>
      <c r="M685"/>
      <c r="N685"/>
    </row>
    <row r="686" spans="2:14" ht="15" customHeight="1">
      <c r="B686"/>
      <c r="C686"/>
      <c r="D686"/>
      <c r="E686"/>
      <c r="F686"/>
      <c r="G686"/>
      <c r="H686"/>
      <c r="I686"/>
      <c r="J686"/>
      <c r="K686"/>
      <c r="L686"/>
      <c r="M686"/>
      <c r="N686"/>
    </row>
    <row r="687" spans="2:14" ht="15" customHeight="1">
      <c r="B687" s="187"/>
      <c r="C687" s="187"/>
      <c r="D687" s="187"/>
      <c r="E687" s="187"/>
      <c r="F687" s="187"/>
      <c r="G687" s="187"/>
      <c r="H687" s="187"/>
      <c r="I687" s="187"/>
    </row>
    <row r="688" spans="2:14" ht="15" customHeight="1">
      <c r="B688" s="187"/>
      <c r="C688" s="187"/>
      <c r="D688" s="187"/>
      <c r="E688" s="187"/>
      <c r="F688" s="187"/>
      <c r="G688" s="187"/>
      <c r="H688" s="187"/>
      <c r="I688" s="187"/>
    </row>
    <row r="689" spans="2:9" ht="15" customHeight="1">
      <c r="B689" s="187"/>
      <c r="C689" s="187"/>
      <c r="D689" s="187"/>
      <c r="E689" s="187"/>
      <c r="F689" s="187"/>
      <c r="G689" s="187"/>
      <c r="H689" s="187"/>
      <c r="I689" s="187"/>
    </row>
    <row r="690" spans="2:9" ht="15" customHeight="1">
      <c r="B690" s="187"/>
      <c r="C690" s="187"/>
      <c r="D690" s="187"/>
      <c r="E690" s="187"/>
      <c r="F690" s="187"/>
      <c r="G690" s="187"/>
      <c r="H690" s="187"/>
      <c r="I690" s="187"/>
    </row>
    <row r="691" spans="2:9" ht="15" customHeight="1">
      <c r="B691" s="187"/>
      <c r="C691" s="187"/>
      <c r="D691" s="187"/>
      <c r="E691" s="187"/>
      <c r="F691" s="187"/>
      <c r="G691" s="187"/>
      <c r="H691" s="187"/>
      <c r="I691" s="187"/>
    </row>
    <row r="692" spans="2:9" ht="15" customHeight="1">
      <c r="B692" s="187"/>
      <c r="C692" s="187"/>
      <c r="D692" s="187"/>
      <c r="E692" s="187"/>
      <c r="F692" s="187"/>
      <c r="G692" s="187"/>
      <c r="H692" s="187"/>
      <c r="I692" s="187"/>
    </row>
    <row r="693" spans="2:9" ht="15" customHeight="1">
      <c r="B693" s="187"/>
      <c r="C693" s="187"/>
      <c r="D693" s="187"/>
      <c r="E693" s="187"/>
      <c r="F693" s="187"/>
      <c r="G693" s="187"/>
      <c r="H693" s="187"/>
      <c r="I693" s="187"/>
    </row>
    <row r="694" spans="2:9" ht="15" customHeight="1">
      <c r="B694" s="187"/>
      <c r="C694" s="187"/>
      <c r="D694" s="187"/>
      <c r="E694" s="187"/>
      <c r="F694" s="187"/>
      <c r="G694" s="187"/>
      <c r="H694" s="187"/>
      <c r="I694" s="187"/>
    </row>
    <row r="695" spans="2:9" ht="15" customHeight="1">
      <c r="B695" s="187"/>
      <c r="C695" s="187"/>
      <c r="D695" s="187"/>
      <c r="E695" s="187"/>
      <c r="F695" s="187"/>
      <c r="G695" s="187"/>
      <c r="H695" s="187"/>
      <c r="I695" s="187"/>
    </row>
    <row r="696" spans="2:9" ht="15" customHeight="1">
      <c r="B696" s="187"/>
      <c r="C696" s="187"/>
      <c r="D696" s="187"/>
      <c r="E696" s="187"/>
      <c r="F696" s="187"/>
      <c r="G696" s="187"/>
      <c r="H696" s="187"/>
      <c r="I696" s="187"/>
    </row>
    <row r="697" spans="2:9" ht="15" customHeight="1">
      <c r="B697" s="187"/>
      <c r="C697" s="187"/>
      <c r="D697" s="187"/>
      <c r="E697" s="187"/>
      <c r="F697" s="187"/>
      <c r="G697" s="187"/>
      <c r="H697" s="187"/>
      <c r="I697" s="187"/>
    </row>
    <row r="698" spans="2:9" ht="15" customHeight="1">
      <c r="B698" s="187"/>
      <c r="C698" s="187"/>
      <c r="D698" s="187"/>
      <c r="E698" s="187"/>
      <c r="F698" s="187"/>
      <c r="G698" s="187"/>
      <c r="H698" s="187"/>
      <c r="I698" s="187"/>
    </row>
    <row r="699" spans="2:9" ht="15" customHeight="1">
      <c r="B699" s="187"/>
      <c r="C699" s="187"/>
      <c r="D699" s="187"/>
      <c r="E699" s="187"/>
      <c r="F699" s="187"/>
      <c r="G699" s="187"/>
      <c r="H699" s="187"/>
      <c r="I699" s="187"/>
    </row>
    <row r="700" spans="2:9" ht="15" customHeight="1">
      <c r="B700" s="187"/>
      <c r="C700" s="187"/>
      <c r="D700" s="187"/>
      <c r="E700" s="187"/>
      <c r="F700" s="187"/>
      <c r="G700" s="187"/>
      <c r="H700" s="187"/>
      <c r="I700" s="187"/>
    </row>
    <row r="701" spans="2:9" ht="15" customHeight="1">
      <c r="B701" s="187"/>
      <c r="C701" s="187"/>
      <c r="D701" s="187"/>
      <c r="E701" s="187"/>
      <c r="F701" s="187"/>
      <c r="G701" s="187"/>
      <c r="H701" s="187"/>
      <c r="I701" s="187"/>
    </row>
    <row r="702" spans="2:9" ht="15" customHeight="1">
      <c r="B702" s="187"/>
      <c r="C702" s="187"/>
      <c r="D702" s="187"/>
      <c r="E702" s="187"/>
      <c r="F702" s="187"/>
      <c r="G702" s="187"/>
      <c r="H702" s="187"/>
      <c r="I702" s="187"/>
    </row>
    <row r="703" spans="2:9" ht="15" customHeight="1">
      <c r="B703" s="187"/>
      <c r="C703" s="187"/>
      <c r="D703" s="187"/>
      <c r="E703" s="187"/>
      <c r="F703" s="187"/>
      <c r="G703" s="187"/>
      <c r="H703" s="187"/>
      <c r="I703" s="187"/>
    </row>
    <row r="704" spans="2:9" ht="15" customHeight="1">
      <c r="B704" s="187"/>
      <c r="C704" s="187"/>
      <c r="D704" s="187"/>
      <c r="E704" s="187"/>
      <c r="F704" s="187"/>
      <c r="G704" s="187"/>
      <c r="H704" s="187"/>
      <c r="I704" s="187"/>
    </row>
    <row r="705" spans="2:9" ht="15" customHeight="1">
      <c r="B705" s="187"/>
      <c r="C705" s="187"/>
      <c r="D705" s="187"/>
      <c r="E705" s="187"/>
      <c r="F705" s="187"/>
      <c r="G705" s="187"/>
      <c r="H705" s="187"/>
      <c r="I705" s="187"/>
    </row>
    <row r="706" spans="2:9" ht="15" customHeight="1">
      <c r="B706" s="187"/>
      <c r="C706" s="187"/>
      <c r="D706" s="187"/>
      <c r="E706" s="187"/>
      <c r="F706" s="187"/>
      <c r="G706" s="187"/>
      <c r="H706" s="187"/>
      <c r="I706" s="187"/>
    </row>
    <row r="707" spans="2:9" ht="15" customHeight="1">
      <c r="B707" s="187"/>
      <c r="C707" s="187"/>
      <c r="D707" s="187"/>
      <c r="E707" s="187"/>
      <c r="F707" s="187"/>
      <c r="G707" s="187"/>
      <c r="H707" s="187"/>
      <c r="I707" s="187"/>
    </row>
    <row r="708" spans="2:9" ht="15" customHeight="1">
      <c r="B708" s="187"/>
      <c r="C708" s="187"/>
      <c r="D708" s="187"/>
      <c r="E708" s="187"/>
      <c r="F708" s="187"/>
      <c r="G708" s="187"/>
      <c r="H708" s="187"/>
      <c r="I708" s="187"/>
    </row>
    <row r="709" spans="2:9" ht="15" customHeight="1">
      <c r="B709" s="187"/>
      <c r="C709" s="187"/>
      <c r="D709" s="187"/>
      <c r="E709" s="187"/>
      <c r="F709" s="187"/>
      <c r="G709" s="187"/>
      <c r="H709" s="187"/>
      <c r="I709" s="187"/>
    </row>
    <row r="710" spans="2:9" ht="15" customHeight="1">
      <c r="B710" s="187"/>
      <c r="C710" s="187"/>
      <c r="D710" s="187"/>
      <c r="E710" s="187"/>
      <c r="F710" s="187"/>
      <c r="G710" s="187"/>
      <c r="H710" s="187"/>
      <c r="I710" s="187"/>
    </row>
    <row r="711" spans="2:9" ht="15" customHeight="1">
      <c r="B711" s="187"/>
      <c r="C711" s="187"/>
      <c r="D711" s="187"/>
      <c r="E711" s="187"/>
      <c r="F711" s="187"/>
      <c r="G711" s="187"/>
      <c r="H711" s="187"/>
      <c r="I711" s="187"/>
    </row>
    <row r="712" spans="2:9" ht="15" customHeight="1">
      <c r="B712" s="187"/>
      <c r="C712" s="187"/>
      <c r="D712" s="187"/>
      <c r="E712" s="187"/>
      <c r="F712" s="187"/>
      <c r="G712" s="187"/>
      <c r="H712" s="187"/>
      <c r="I712" s="187"/>
    </row>
    <row r="713" spans="2:9" ht="15" customHeight="1">
      <c r="B713" s="187"/>
      <c r="C713" s="187"/>
      <c r="D713" s="187"/>
      <c r="E713" s="187"/>
      <c r="F713" s="187"/>
      <c r="G713" s="187"/>
      <c r="H713" s="187"/>
      <c r="I713" s="187"/>
    </row>
    <row r="714" spans="2:9" ht="15" customHeight="1">
      <c r="B714" s="187"/>
      <c r="C714" s="187"/>
      <c r="D714" s="187"/>
      <c r="E714" s="187"/>
      <c r="F714" s="187"/>
      <c r="G714" s="187"/>
      <c r="H714" s="187"/>
      <c r="I714" s="187"/>
    </row>
    <row r="715" spans="2:9" ht="15" customHeight="1">
      <c r="B715" s="187"/>
      <c r="C715" s="187"/>
      <c r="D715" s="187"/>
      <c r="E715" s="187"/>
      <c r="F715" s="187"/>
      <c r="G715" s="187"/>
      <c r="H715" s="187"/>
      <c r="I715" s="187"/>
    </row>
    <row r="716" spans="2:9" ht="15" customHeight="1">
      <c r="B716" s="187"/>
      <c r="C716" s="187"/>
      <c r="D716" s="187"/>
      <c r="E716" s="187"/>
      <c r="F716" s="187"/>
      <c r="G716" s="187"/>
      <c r="H716" s="187"/>
      <c r="I716" s="187"/>
    </row>
    <row r="717" spans="2:9" ht="15" customHeight="1">
      <c r="B717" s="187"/>
      <c r="C717" s="187"/>
      <c r="D717" s="187"/>
      <c r="E717" s="187"/>
      <c r="F717" s="187"/>
      <c r="G717" s="187"/>
      <c r="H717" s="187"/>
      <c r="I717" s="187"/>
    </row>
    <row r="718" spans="2:9" ht="15" customHeight="1">
      <c r="B718" s="187"/>
      <c r="C718" s="187"/>
      <c r="D718" s="187"/>
      <c r="E718" s="187"/>
      <c r="F718" s="187"/>
      <c r="G718" s="187"/>
      <c r="H718" s="187"/>
      <c r="I718" s="187"/>
    </row>
    <row r="719" spans="2:9" ht="15" customHeight="1">
      <c r="B719" s="187"/>
      <c r="C719" s="187"/>
      <c r="D719" s="187"/>
      <c r="E719" s="187"/>
      <c r="F719" s="187"/>
      <c r="G719" s="187"/>
      <c r="H719" s="187"/>
      <c r="I719" s="187"/>
    </row>
    <row r="720" spans="2:9" ht="15" customHeight="1">
      <c r="B720" s="187"/>
      <c r="C720" s="187"/>
      <c r="D720" s="187"/>
      <c r="E720" s="187"/>
      <c r="F720" s="187"/>
      <c r="G720" s="187"/>
      <c r="H720" s="187"/>
      <c r="I720" s="187"/>
    </row>
    <row r="721" spans="2:9" ht="15" customHeight="1">
      <c r="B721" s="187"/>
      <c r="C721" s="187"/>
      <c r="D721" s="187"/>
      <c r="E721" s="187"/>
      <c r="F721" s="187"/>
      <c r="G721" s="187"/>
      <c r="H721" s="187"/>
      <c r="I721" s="187"/>
    </row>
    <row r="722" spans="2:9" ht="15" customHeight="1">
      <c r="B722" s="187"/>
      <c r="C722" s="187"/>
      <c r="D722" s="187"/>
      <c r="E722" s="187"/>
      <c r="F722" s="187"/>
      <c r="G722" s="187"/>
      <c r="H722" s="187"/>
      <c r="I722" s="187"/>
    </row>
    <row r="723" spans="2:9" ht="15" customHeight="1">
      <c r="B723" s="187"/>
      <c r="C723" s="187"/>
      <c r="D723" s="187"/>
      <c r="E723" s="187"/>
      <c r="F723" s="187"/>
      <c r="G723" s="187"/>
      <c r="H723" s="187"/>
      <c r="I723" s="187"/>
    </row>
    <row r="724" spans="2:9" ht="15" customHeight="1">
      <c r="B724" s="187"/>
      <c r="C724" s="187"/>
      <c r="D724" s="187"/>
      <c r="E724" s="187"/>
      <c r="F724" s="187"/>
      <c r="G724" s="187"/>
      <c r="H724" s="187"/>
      <c r="I724" s="187"/>
    </row>
    <row r="725" spans="2:9" ht="15" customHeight="1">
      <c r="B725" s="187"/>
      <c r="C725" s="187"/>
      <c r="D725" s="187"/>
      <c r="E725" s="187"/>
      <c r="F725" s="187"/>
      <c r="G725" s="187"/>
      <c r="H725" s="187"/>
      <c r="I725" s="187"/>
    </row>
    <row r="726" spans="2:9" ht="15" customHeight="1">
      <c r="B726" s="187"/>
      <c r="C726" s="187"/>
      <c r="D726" s="187"/>
      <c r="E726" s="187"/>
      <c r="F726" s="187"/>
      <c r="G726" s="187"/>
      <c r="H726" s="187"/>
      <c r="I726" s="187"/>
    </row>
    <row r="727" spans="2:9" ht="15" customHeight="1">
      <c r="B727" s="187"/>
      <c r="C727" s="187"/>
      <c r="D727" s="187"/>
      <c r="E727" s="187"/>
      <c r="F727" s="187"/>
      <c r="G727" s="187"/>
      <c r="H727" s="187"/>
      <c r="I727" s="187"/>
    </row>
    <row r="728" spans="2:9" ht="15" customHeight="1">
      <c r="B728" s="187"/>
      <c r="C728" s="187"/>
      <c r="D728" s="187"/>
      <c r="E728" s="187"/>
      <c r="F728" s="187"/>
      <c r="G728" s="187"/>
      <c r="H728" s="187"/>
      <c r="I728" s="187"/>
    </row>
    <row r="729" spans="2:9" ht="15" customHeight="1">
      <c r="B729" s="187"/>
      <c r="C729" s="187"/>
      <c r="D729" s="187"/>
      <c r="E729" s="187"/>
      <c r="F729" s="187"/>
      <c r="G729" s="187"/>
      <c r="H729" s="187"/>
      <c r="I729" s="187"/>
    </row>
    <row r="730" spans="2:9" ht="15" customHeight="1">
      <c r="B730" s="187"/>
      <c r="C730" s="187"/>
      <c r="D730" s="187"/>
      <c r="E730" s="187"/>
      <c r="F730" s="187"/>
      <c r="G730" s="187"/>
      <c r="H730" s="187"/>
      <c r="I730" s="187"/>
    </row>
    <row r="731" spans="2:9" ht="15" customHeight="1">
      <c r="B731" s="187"/>
      <c r="C731" s="187"/>
      <c r="D731" s="187"/>
      <c r="E731" s="187"/>
      <c r="F731" s="187"/>
      <c r="G731" s="187"/>
      <c r="H731" s="187"/>
      <c r="I731" s="187"/>
    </row>
    <row r="732" spans="2:9" ht="15" customHeight="1">
      <c r="B732" s="187"/>
      <c r="C732" s="187"/>
      <c r="D732" s="187"/>
      <c r="E732" s="187"/>
      <c r="F732" s="187"/>
      <c r="G732" s="187"/>
      <c r="H732" s="187"/>
      <c r="I732" s="187"/>
    </row>
    <row r="733" spans="2:9" ht="15" customHeight="1">
      <c r="B733" s="187"/>
      <c r="C733" s="187"/>
      <c r="D733" s="187"/>
      <c r="E733" s="187"/>
      <c r="F733" s="187"/>
      <c r="G733" s="187"/>
      <c r="H733" s="187"/>
      <c r="I733" s="187"/>
    </row>
    <row r="734" spans="2:9" ht="15" customHeight="1">
      <c r="B734" s="187"/>
      <c r="C734" s="187"/>
      <c r="D734" s="187"/>
      <c r="E734" s="187"/>
      <c r="F734" s="187"/>
      <c r="G734" s="187"/>
      <c r="H734" s="187"/>
      <c r="I734" s="187"/>
    </row>
    <row r="735" spans="2:9" ht="15" customHeight="1">
      <c r="B735" s="187"/>
      <c r="C735" s="187"/>
      <c r="D735" s="187"/>
      <c r="E735" s="187"/>
      <c r="F735" s="187"/>
      <c r="G735" s="187"/>
      <c r="H735" s="187"/>
      <c r="I735" s="187"/>
    </row>
    <row r="736" spans="2:9" ht="15" customHeight="1">
      <c r="B736" s="187"/>
      <c r="C736" s="187"/>
      <c r="D736" s="187"/>
      <c r="E736" s="187"/>
      <c r="F736" s="187"/>
      <c r="G736" s="187"/>
      <c r="H736" s="187"/>
      <c r="I736" s="187"/>
    </row>
    <row r="737" spans="2:9" ht="15" customHeight="1">
      <c r="B737" s="187"/>
      <c r="C737" s="187"/>
      <c r="D737" s="187"/>
      <c r="E737" s="187"/>
      <c r="F737" s="187"/>
      <c r="G737" s="187"/>
      <c r="H737" s="187"/>
      <c r="I737" s="187"/>
    </row>
    <row r="738" spans="2:9" ht="15" customHeight="1">
      <c r="B738" s="187"/>
      <c r="C738" s="187"/>
      <c r="D738" s="187"/>
      <c r="E738" s="187"/>
      <c r="F738" s="187"/>
      <c r="G738" s="187"/>
      <c r="H738" s="187"/>
      <c r="I738" s="187"/>
    </row>
    <row r="739" spans="2:9" ht="15" customHeight="1">
      <c r="B739" s="187"/>
      <c r="C739" s="187"/>
      <c r="D739" s="187"/>
      <c r="E739" s="187"/>
      <c r="F739" s="187"/>
      <c r="G739" s="187"/>
      <c r="H739" s="187"/>
      <c r="I739" s="187"/>
    </row>
    <row r="740" spans="2:9" ht="15" customHeight="1">
      <c r="B740" s="187"/>
      <c r="C740" s="187"/>
      <c r="D740" s="187"/>
      <c r="E740" s="187"/>
      <c r="F740" s="187"/>
      <c r="G740" s="187"/>
      <c r="H740" s="187"/>
      <c r="I740" s="187"/>
    </row>
    <row r="741" spans="2:9" ht="15" customHeight="1">
      <c r="B741" s="187"/>
      <c r="C741" s="187"/>
      <c r="D741" s="187"/>
      <c r="E741" s="187"/>
      <c r="F741" s="187"/>
      <c r="G741" s="187"/>
      <c r="H741" s="187"/>
      <c r="I741" s="187"/>
    </row>
    <row r="742" spans="2:9" ht="15" customHeight="1">
      <c r="B742" s="187"/>
      <c r="C742" s="187"/>
      <c r="D742" s="187"/>
      <c r="E742" s="187"/>
      <c r="F742" s="187"/>
      <c r="G742" s="187"/>
      <c r="H742" s="187"/>
      <c r="I742" s="187"/>
    </row>
    <row r="743" spans="2:9" ht="15" customHeight="1">
      <c r="B743" s="187"/>
      <c r="C743" s="187"/>
      <c r="D743" s="187"/>
      <c r="E743" s="187"/>
      <c r="F743" s="187"/>
      <c r="G743" s="187"/>
      <c r="H743" s="187"/>
      <c r="I743" s="187"/>
    </row>
    <row r="744" spans="2:9" ht="15" customHeight="1">
      <c r="B744" s="187"/>
      <c r="C744" s="187"/>
      <c r="D744" s="187"/>
      <c r="E744" s="187"/>
      <c r="F744" s="187"/>
      <c r="G744" s="187"/>
      <c r="H744" s="187"/>
      <c r="I744" s="187"/>
    </row>
    <row r="745" spans="2:9" ht="15" customHeight="1">
      <c r="B745" s="187"/>
      <c r="C745" s="187"/>
      <c r="D745" s="187"/>
      <c r="E745" s="187"/>
      <c r="F745" s="187"/>
      <c r="G745" s="187"/>
      <c r="H745" s="187"/>
      <c r="I745" s="187"/>
    </row>
    <row r="746" spans="2:9" ht="15" customHeight="1">
      <c r="B746" s="187"/>
      <c r="C746" s="187"/>
      <c r="D746" s="187"/>
      <c r="E746" s="187"/>
      <c r="F746" s="187"/>
      <c r="G746" s="187"/>
      <c r="H746" s="187"/>
      <c r="I746" s="187"/>
    </row>
    <row r="747" spans="2:9" ht="15" customHeight="1">
      <c r="B747" s="187"/>
      <c r="C747" s="187"/>
      <c r="D747" s="187"/>
      <c r="E747" s="187"/>
      <c r="F747" s="187"/>
      <c r="G747" s="187"/>
      <c r="H747" s="187"/>
      <c r="I747" s="187"/>
    </row>
    <row r="748" spans="2:9" ht="15" customHeight="1">
      <c r="B748" s="187"/>
      <c r="C748" s="187"/>
      <c r="D748" s="187"/>
      <c r="E748" s="187"/>
      <c r="F748" s="187"/>
      <c r="G748" s="187"/>
      <c r="H748" s="187"/>
      <c r="I748" s="187"/>
    </row>
    <row r="749" spans="2:9" ht="15" customHeight="1">
      <c r="B749" s="187"/>
      <c r="C749" s="187"/>
      <c r="D749" s="187"/>
      <c r="E749" s="187"/>
      <c r="F749" s="187"/>
      <c r="G749" s="187"/>
      <c r="H749" s="187"/>
      <c r="I749" s="187"/>
    </row>
    <row r="750" spans="2:9" ht="15" customHeight="1">
      <c r="B750" s="187"/>
      <c r="C750" s="187"/>
      <c r="D750" s="187"/>
      <c r="E750" s="187"/>
      <c r="F750" s="187"/>
      <c r="G750" s="187"/>
      <c r="H750" s="187"/>
      <c r="I750" s="187"/>
    </row>
    <row r="751" spans="2:9" ht="15" customHeight="1">
      <c r="B751" s="187"/>
      <c r="C751" s="187"/>
      <c r="D751" s="187"/>
      <c r="E751" s="187"/>
      <c r="F751" s="187"/>
      <c r="G751" s="187"/>
      <c r="H751" s="187"/>
      <c r="I751" s="187"/>
    </row>
    <row r="752" spans="2:9" ht="15" customHeight="1">
      <c r="B752" s="187"/>
      <c r="C752" s="187"/>
      <c r="D752" s="187"/>
      <c r="E752" s="187"/>
      <c r="F752" s="187"/>
      <c r="G752" s="187"/>
      <c r="H752" s="187"/>
      <c r="I752" s="187"/>
    </row>
    <row r="753" spans="2:9" ht="15" customHeight="1">
      <c r="B753" s="187"/>
      <c r="C753" s="187"/>
      <c r="D753" s="187"/>
      <c r="E753" s="187"/>
      <c r="F753" s="187"/>
      <c r="G753" s="187"/>
      <c r="H753" s="187"/>
      <c r="I753" s="187"/>
    </row>
    <row r="754" spans="2:9" ht="15" customHeight="1">
      <c r="B754" s="187"/>
      <c r="C754" s="187"/>
      <c r="D754" s="187"/>
      <c r="E754" s="187"/>
      <c r="F754" s="187"/>
      <c r="G754" s="187"/>
      <c r="H754" s="187"/>
      <c r="I754" s="187"/>
    </row>
    <row r="755" spans="2:9" ht="15" customHeight="1">
      <c r="B755" s="187"/>
      <c r="C755" s="187"/>
      <c r="D755" s="187"/>
      <c r="E755" s="187"/>
      <c r="F755" s="187"/>
      <c r="G755" s="187"/>
      <c r="H755" s="187"/>
      <c r="I755" s="187"/>
    </row>
    <row r="756" spans="2:9" ht="15" customHeight="1">
      <c r="B756" s="187"/>
      <c r="C756" s="187"/>
      <c r="D756" s="187"/>
      <c r="E756" s="187"/>
      <c r="F756" s="187"/>
      <c r="G756" s="187"/>
      <c r="H756" s="187"/>
      <c r="I756" s="187"/>
    </row>
    <row r="757" spans="2:9" ht="15" customHeight="1">
      <c r="B757" s="187"/>
      <c r="C757" s="187"/>
      <c r="D757" s="187"/>
      <c r="E757" s="187"/>
      <c r="F757" s="187"/>
      <c r="G757" s="187"/>
      <c r="H757" s="187"/>
      <c r="I757" s="187"/>
    </row>
    <row r="758" spans="2:9" ht="15" customHeight="1">
      <c r="B758" s="187"/>
      <c r="C758" s="187"/>
      <c r="D758" s="187"/>
      <c r="E758" s="187"/>
      <c r="F758" s="187"/>
      <c r="G758" s="187"/>
      <c r="H758" s="187"/>
      <c r="I758" s="187"/>
    </row>
    <row r="759" spans="2:9" ht="15" customHeight="1">
      <c r="B759" s="187"/>
      <c r="C759" s="187"/>
      <c r="D759" s="187"/>
      <c r="E759" s="187"/>
      <c r="F759" s="187"/>
      <c r="G759" s="187"/>
      <c r="H759" s="187"/>
      <c r="I759" s="187"/>
    </row>
    <row r="760" spans="2:9" ht="15" customHeight="1">
      <c r="B760" s="187"/>
      <c r="C760" s="187"/>
      <c r="D760" s="187"/>
      <c r="E760" s="187"/>
      <c r="F760" s="187"/>
      <c r="G760" s="187"/>
      <c r="H760" s="187"/>
      <c r="I760" s="187"/>
    </row>
    <row r="761" spans="2:9" ht="15" customHeight="1">
      <c r="B761" s="187"/>
      <c r="C761" s="187"/>
      <c r="D761" s="187"/>
      <c r="E761" s="187"/>
      <c r="F761" s="187"/>
      <c r="G761" s="187"/>
      <c r="H761" s="187"/>
      <c r="I761" s="187"/>
    </row>
    <row r="762" spans="2:9" ht="15" customHeight="1">
      <c r="B762" s="187"/>
      <c r="C762" s="187"/>
      <c r="D762" s="187"/>
      <c r="E762" s="187"/>
      <c r="F762" s="187"/>
      <c r="G762" s="187"/>
      <c r="H762" s="187"/>
      <c r="I762" s="187"/>
    </row>
    <row r="763" spans="2:9" ht="15" customHeight="1">
      <c r="B763" s="187"/>
      <c r="C763" s="187"/>
      <c r="D763" s="187"/>
      <c r="E763" s="187"/>
      <c r="F763" s="187"/>
      <c r="G763" s="187"/>
      <c r="H763" s="187"/>
      <c r="I763" s="187"/>
    </row>
    <row r="764" spans="2:9" ht="15" customHeight="1">
      <c r="B764" s="187"/>
      <c r="C764" s="187"/>
      <c r="D764" s="187"/>
      <c r="E764" s="187"/>
      <c r="F764" s="187"/>
      <c r="G764" s="187"/>
      <c r="H764" s="187"/>
      <c r="I764" s="187"/>
    </row>
    <row r="765" spans="2:9" ht="15" customHeight="1">
      <c r="B765" s="187"/>
      <c r="C765" s="187"/>
      <c r="D765" s="187"/>
      <c r="E765" s="187"/>
      <c r="F765" s="187"/>
      <c r="G765" s="187"/>
      <c r="H765" s="187"/>
      <c r="I765" s="187"/>
    </row>
    <row r="766" spans="2:9" ht="15" customHeight="1">
      <c r="B766" s="187"/>
      <c r="C766" s="187"/>
      <c r="D766" s="187"/>
      <c r="E766" s="187"/>
      <c r="F766" s="187"/>
      <c r="G766" s="187"/>
      <c r="H766" s="187"/>
      <c r="I766" s="187"/>
    </row>
    <row r="767" spans="2:9" ht="15" customHeight="1">
      <c r="B767" s="187"/>
      <c r="C767" s="187"/>
      <c r="D767" s="187"/>
      <c r="E767" s="187"/>
      <c r="F767" s="187"/>
      <c r="G767" s="187"/>
      <c r="H767" s="187"/>
      <c r="I767" s="187"/>
    </row>
    <row r="768" spans="2:9" ht="15" customHeight="1">
      <c r="B768" s="187"/>
      <c r="C768" s="187"/>
      <c r="D768" s="187"/>
      <c r="E768" s="187"/>
      <c r="F768" s="187"/>
      <c r="G768" s="187"/>
      <c r="H768" s="187"/>
      <c r="I768" s="187"/>
    </row>
    <row r="769" spans="2:9" ht="15" customHeight="1">
      <c r="B769" s="187"/>
      <c r="C769" s="187"/>
      <c r="D769" s="187"/>
      <c r="E769" s="187"/>
      <c r="F769" s="187"/>
      <c r="G769" s="187"/>
      <c r="H769" s="187"/>
      <c r="I769" s="187"/>
    </row>
    <row r="770" spans="2:9" ht="15" customHeight="1">
      <c r="B770" s="187"/>
      <c r="C770" s="187"/>
      <c r="D770" s="187"/>
      <c r="E770" s="187"/>
      <c r="F770" s="187"/>
      <c r="G770" s="187"/>
      <c r="H770" s="187"/>
      <c r="I770" s="187"/>
    </row>
    <row r="771" spans="2:9" ht="15" customHeight="1">
      <c r="B771" s="187"/>
      <c r="C771" s="187"/>
      <c r="D771" s="187"/>
      <c r="E771" s="187"/>
      <c r="F771" s="187"/>
      <c r="G771" s="187"/>
      <c r="H771" s="187"/>
      <c r="I771" s="187"/>
    </row>
    <row r="772" spans="2:9" ht="15" customHeight="1">
      <c r="B772" s="187"/>
      <c r="C772" s="187"/>
      <c r="D772" s="187"/>
      <c r="E772" s="187"/>
      <c r="F772" s="187"/>
      <c r="G772" s="187"/>
      <c r="H772" s="187"/>
      <c r="I772" s="187"/>
    </row>
    <row r="773" spans="2:9" ht="15" customHeight="1">
      <c r="B773" s="187"/>
      <c r="C773" s="187"/>
      <c r="D773" s="187"/>
      <c r="E773" s="187"/>
      <c r="F773" s="187"/>
      <c r="G773" s="187"/>
      <c r="H773" s="187"/>
      <c r="I773" s="187"/>
    </row>
    <row r="774" spans="2:9" ht="15" customHeight="1">
      <c r="B774" s="187"/>
      <c r="C774" s="187"/>
      <c r="D774" s="187"/>
      <c r="E774" s="187"/>
      <c r="F774" s="187"/>
      <c r="G774" s="187"/>
      <c r="H774" s="187"/>
      <c r="I774" s="187"/>
    </row>
    <row r="775" spans="2:9" ht="15" customHeight="1">
      <c r="B775" s="187"/>
      <c r="C775" s="187"/>
      <c r="D775" s="187"/>
      <c r="E775" s="187"/>
      <c r="F775" s="187"/>
      <c r="G775" s="187"/>
      <c r="H775" s="187"/>
      <c r="I775" s="187"/>
    </row>
    <row r="776" spans="2:9" ht="15" customHeight="1">
      <c r="B776" s="187"/>
      <c r="C776" s="187"/>
      <c r="D776" s="187"/>
      <c r="E776" s="187"/>
      <c r="F776" s="187"/>
      <c r="G776" s="187"/>
      <c r="H776" s="187"/>
      <c r="I776" s="187"/>
    </row>
    <row r="777" spans="2:9" ht="15" customHeight="1">
      <c r="B777" s="187"/>
      <c r="C777" s="187"/>
      <c r="D777" s="187"/>
      <c r="E777" s="187"/>
      <c r="F777" s="187"/>
      <c r="G777" s="187"/>
      <c r="H777" s="187"/>
      <c r="I777" s="187"/>
    </row>
    <row r="778" spans="2:9" ht="15" customHeight="1">
      <c r="B778" s="187"/>
      <c r="C778" s="187"/>
      <c r="D778" s="187"/>
      <c r="E778" s="187"/>
      <c r="F778" s="187"/>
      <c r="G778" s="187"/>
      <c r="H778" s="187"/>
      <c r="I778" s="187"/>
    </row>
    <row r="779" spans="2:9" ht="15" customHeight="1">
      <c r="B779" s="187"/>
      <c r="C779" s="187"/>
      <c r="D779" s="187"/>
      <c r="E779" s="187"/>
      <c r="F779" s="187"/>
      <c r="G779" s="187"/>
      <c r="H779" s="187"/>
      <c r="I779" s="187"/>
    </row>
    <row r="780" spans="2:9" ht="15" customHeight="1">
      <c r="B780" s="187"/>
      <c r="C780" s="187"/>
      <c r="D780" s="187"/>
      <c r="E780" s="187"/>
      <c r="F780" s="187"/>
      <c r="G780" s="187"/>
      <c r="H780" s="187"/>
      <c r="I780" s="187"/>
    </row>
    <row r="781" spans="2:9" ht="15" customHeight="1">
      <c r="B781" s="187"/>
      <c r="C781" s="187"/>
      <c r="D781" s="187"/>
      <c r="E781" s="187"/>
      <c r="F781" s="187"/>
      <c r="G781" s="187"/>
      <c r="H781" s="187"/>
      <c r="I781" s="187"/>
    </row>
    <row r="782" spans="2:9" ht="15" customHeight="1">
      <c r="B782" s="187"/>
      <c r="C782" s="187"/>
      <c r="D782" s="187"/>
      <c r="E782" s="187"/>
      <c r="F782" s="187"/>
      <c r="G782" s="187"/>
      <c r="H782" s="187"/>
      <c r="I782" s="187"/>
    </row>
    <row r="783" spans="2:9" ht="15" customHeight="1">
      <c r="B783" s="187"/>
      <c r="C783" s="187"/>
      <c r="D783" s="187"/>
      <c r="E783" s="187"/>
      <c r="F783" s="187"/>
      <c r="G783" s="187"/>
      <c r="H783" s="187"/>
      <c r="I783" s="187"/>
    </row>
    <row r="784" spans="2:9" ht="15" customHeight="1">
      <c r="B784" s="187"/>
      <c r="C784" s="187"/>
      <c r="D784" s="187"/>
      <c r="E784" s="187"/>
      <c r="F784" s="187"/>
      <c r="G784" s="187"/>
      <c r="H784" s="187"/>
      <c r="I784" s="187"/>
    </row>
    <row r="785" spans="2:9" ht="15" customHeight="1">
      <c r="B785" s="187"/>
      <c r="C785" s="187"/>
      <c r="D785" s="187"/>
      <c r="E785" s="187"/>
      <c r="F785" s="187"/>
      <c r="G785" s="187"/>
      <c r="H785" s="187"/>
      <c r="I785" s="187"/>
    </row>
    <row r="786" spans="2:9" ht="15" customHeight="1">
      <c r="B786" s="187"/>
      <c r="C786" s="187"/>
      <c r="D786" s="187"/>
      <c r="E786" s="187"/>
      <c r="F786" s="187"/>
      <c r="G786" s="187"/>
      <c r="H786" s="187"/>
      <c r="I786" s="187"/>
    </row>
    <row r="787" spans="2:9" ht="15" customHeight="1">
      <c r="B787" s="187"/>
      <c r="C787" s="187"/>
      <c r="D787" s="187"/>
      <c r="E787" s="187"/>
      <c r="F787" s="187"/>
      <c r="G787" s="187"/>
      <c r="H787" s="187"/>
      <c r="I787" s="187"/>
    </row>
    <row r="788" spans="2:9" ht="15" customHeight="1">
      <c r="B788" s="187"/>
      <c r="C788" s="187"/>
      <c r="D788" s="187"/>
      <c r="E788" s="187"/>
      <c r="F788" s="187"/>
      <c r="G788" s="187"/>
      <c r="H788" s="187"/>
      <c r="I788" s="187"/>
    </row>
    <row r="789" spans="2:9" ht="15" customHeight="1">
      <c r="B789" s="187"/>
      <c r="C789" s="187"/>
      <c r="D789" s="187"/>
      <c r="E789" s="187"/>
      <c r="F789" s="187"/>
      <c r="G789" s="187"/>
      <c r="H789" s="187"/>
      <c r="I789" s="187"/>
    </row>
    <row r="790" spans="2:9" ht="15" customHeight="1">
      <c r="B790" s="187"/>
      <c r="C790" s="187"/>
      <c r="D790" s="187"/>
      <c r="E790" s="187"/>
      <c r="F790" s="187"/>
      <c r="G790" s="187"/>
      <c r="H790" s="187"/>
      <c r="I790" s="187"/>
    </row>
    <row r="791" spans="2:9" ht="15" customHeight="1">
      <c r="B791" s="187"/>
      <c r="C791" s="187"/>
      <c r="D791" s="187"/>
      <c r="E791" s="187"/>
      <c r="F791" s="187"/>
      <c r="G791" s="187"/>
      <c r="H791" s="187"/>
      <c r="I791" s="187"/>
    </row>
    <row r="792" spans="2:9" ht="15" customHeight="1">
      <c r="B792" s="187"/>
      <c r="C792" s="187"/>
      <c r="D792" s="187"/>
      <c r="E792" s="187"/>
      <c r="F792" s="187"/>
      <c r="G792" s="187"/>
      <c r="H792" s="187"/>
      <c r="I792" s="187"/>
    </row>
    <row r="793" spans="2:9" ht="15" customHeight="1">
      <c r="B793" s="187"/>
      <c r="C793" s="187"/>
      <c r="D793" s="187"/>
      <c r="E793" s="187"/>
      <c r="F793" s="187"/>
      <c r="G793" s="187"/>
      <c r="H793" s="187"/>
      <c r="I793" s="187"/>
    </row>
    <row r="794" spans="2:9" ht="15" customHeight="1">
      <c r="B794" s="187"/>
      <c r="C794" s="187"/>
      <c r="D794" s="187"/>
      <c r="E794" s="187"/>
      <c r="F794" s="187"/>
      <c r="G794" s="187"/>
      <c r="H794" s="187"/>
      <c r="I794" s="187"/>
    </row>
    <row r="795" spans="2:9" ht="15" customHeight="1">
      <c r="B795" s="187"/>
      <c r="C795" s="187"/>
      <c r="D795" s="187"/>
      <c r="E795" s="187"/>
      <c r="F795" s="187"/>
      <c r="G795" s="187"/>
      <c r="H795" s="187"/>
      <c r="I795" s="187"/>
    </row>
    <row r="796" spans="2:9" ht="15" customHeight="1">
      <c r="B796" s="187"/>
      <c r="C796" s="187"/>
      <c r="D796" s="187"/>
      <c r="E796" s="187"/>
      <c r="F796" s="187"/>
      <c r="G796" s="187"/>
      <c r="H796" s="187"/>
      <c r="I796" s="187"/>
    </row>
    <row r="797" spans="2:9" ht="15" customHeight="1">
      <c r="B797" s="187"/>
      <c r="C797" s="187"/>
      <c r="D797" s="187"/>
      <c r="E797" s="187"/>
      <c r="F797" s="187"/>
      <c r="G797" s="187"/>
      <c r="H797" s="187"/>
      <c r="I797" s="187"/>
    </row>
    <row r="798" spans="2:9" ht="15" customHeight="1">
      <c r="B798" s="187"/>
      <c r="C798" s="187"/>
      <c r="D798" s="187"/>
      <c r="E798" s="187"/>
      <c r="F798" s="187"/>
      <c r="G798" s="187"/>
      <c r="H798" s="187"/>
      <c r="I798" s="187"/>
    </row>
    <row r="799" spans="2:9" ht="15" customHeight="1">
      <c r="B799" s="187"/>
      <c r="C799" s="187"/>
      <c r="D799" s="187"/>
      <c r="E799" s="187"/>
      <c r="F799" s="187"/>
      <c r="G799" s="187"/>
      <c r="H799" s="187"/>
      <c r="I799" s="187"/>
    </row>
    <row r="800" spans="2:9" ht="15" customHeight="1">
      <c r="B800" s="187"/>
      <c r="C800" s="187"/>
      <c r="D800" s="187"/>
      <c r="E800" s="187"/>
      <c r="F800" s="187"/>
      <c r="G800" s="187"/>
      <c r="H800" s="187"/>
      <c r="I800" s="187"/>
    </row>
    <row r="801" spans="2:9" ht="15" customHeight="1">
      <c r="B801" s="187"/>
      <c r="C801" s="187"/>
      <c r="D801" s="187"/>
      <c r="E801" s="187"/>
      <c r="F801" s="187"/>
      <c r="G801" s="187"/>
      <c r="H801" s="187"/>
      <c r="I801" s="187"/>
    </row>
    <row r="802" spans="2:9" ht="15" customHeight="1">
      <c r="B802" s="187"/>
      <c r="C802" s="187"/>
      <c r="D802" s="187"/>
      <c r="E802" s="187"/>
      <c r="F802" s="187"/>
      <c r="G802" s="187"/>
      <c r="H802" s="187"/>
      <c r="I802" s="187"/>
    </row>
    <row r="803" spans="2:9" ht="15" customHeight="1">
      <c r="B803" s="187"/>
      <c r="C803" s="187"/>
      <c r="D803" s="187"/>
      <c r="E803" s="187"/>
      <c r="F803" s="187"/>
      <c r="G803" s="187"/>
      <c r="H803" s="187"/>
      <c r="I803" s="187"/>
    </row>
    <row r="804" spans="2:9" ht="15" customHeight="1">
      <c r="B804" s="187"/>
      <c r="C804" s="187"/>
      <c r="D804" s="187"/>
      <c r="E804" s="187"/>
      <c r="F804" s="187"/>
      <c r="G804" s="187"/>
      <c r="H804" s="187"/>
      <c r="I804" s="187"/>
    </row>
    <row r="805" spans="2:9" ht="15" customHeight="1">
      <c r="B805" s="187"/>
      <c r="C805" s="187"/>
      <c r="D805" s="187"/>
      <c r="E805" s="187"/>
      <c r="F805" s="187"/>
      <c r="G805" s="187"/>
      <c r="H805" s="187"/>
      <c r="I805" s="187"/>
    </row>
    <row r="806" spans="2:9" ht="15" customHeight="1">
      <c r="B806" s="187"/>
      <c r="C806" s="187"/>
      <c r="D806" s="187"/>
      <c r="E806" s="187"/>
      <c r="F806" s="187"/>
      <c r="G806" s="187"/>
      <c r="H806" s="187"/>
      <c r="I806" s="187"/>
    </row>
    <row r="807" spans="2:9" ht="15" customHeight="1">
      <c r="B807" s="187"/>
      <c r="C807" s="187"/>
      <c r="D807" s="187"/>
      <c r="E807" s="187"/>
      <c r="F807" s="187"/>
      <c r="G807" s="187"/>
      <c r="H807" s="187"/>
      <c r="I807" s="187"/>
    </row>
    <row r="808" spans="2:9" ht="15" customHeight="1">
      <c r="B808" s="187"/>
      <c r="C808" s="187"/>
      <c r="D808" s="187"/>
      <c r="E808" s="187"/>
      <c r="F808" s="187"/>
      <c r="G808" s="187"/>
      <c r="H808" s="187"/>
      <c r="I808" s="187"/>
    </row>
    <row r="809" spans="2:9" ht="15" customHeight="1">
      <c r="B809" s="187"/>
      <c r="C809" s="187"/>
      <c r="D809" s="187"/>
      <c r="E809" s="187"/>
      <c r="F809" s="187"/>
      <c r="G809" s="187"/>
      <c r="H809" s="187"/>
      <c r="I809" s="187"/>
    </row>
    <row r="810" spans="2:9" ht="15" customHeight="1">
      <c r="B810" s="187"/>
      <c r="C810" s="187"/>
      <c r="D810" s="187"/>
      <c r="E810" s="187"/>
      <c r="F810" s="187"/>
      <c r="G810" s="187"/>
      <c r="H810" s="187"/>
      <c r="I810" s="187"/>
    </row>
    <row r="811" spans="2:9" ht="15" customHeight="1">
      <c r="B811" s="187"/>
      <c r="C811" s="187"/>
      <c r="D811" s="187"/>
      <c r="E811" s="187"/>
      <c r="F811" s="187"/>
      <c r="G811" s="187"/>
      <c r="H811" s="187"/>
      <c r="I811" s="187"/>
    </row>
    <row r="812" spans="2:9" ht="15" customHeight="1">
      <c r="B812" s="187"/>
      <c r="C812" s="187"/>
      <c r="D812" s="187"/>
      <c r="E812" s="187"/>
      <c r="F812" s="187"/>
      <c r="G812" s="187"/>
      <c r="H812" s="187"/>
      <c r="I812" s="187"/>
    </row>
    <row r="813" spans="2:9" ht="15" customHeight="1">
      <c r="B813" s="187"/>
      <c r="C813" s="187"/>
      <c r="D813" s="187"/>
      <c r="E813" s="187"/>
      <c r="F813" s="187"/>
      <c r="G813" s="187"/>
      <c r="H813" s="187"/>
      <c r="I813" s="187"/>
    </row>
    <row r="814" spans="2:9" ht="15" customHeight="1">
      <c r="B814" s="187"/>
      <c r="C814" s="187"/>
      <c r="D814" s="187"/>
      <c r="E814" s="187"/>
      <c r="F814" s="187"/>
      <c r="G814" s="187"/>
      <c r="H814" s="187"/>
      <c r="I814" s="187"/>
    </row>
    <row r="815" spans="2:9" ht="15" customHeight="1">
      <c r="B815" s="187"/>
      <c r="C815" s="187"/>
      <c r="D815" s="187"/>
      <c r="E815" s="187"/>
      <c r="F815" s="187"/>
      <c r="G815" s="187"/>
      <c r="H815" s="187"/>
      <c r="I815" s="187"/>
    </row>
    <row r="816" spans="2:9" ht="15" customHeight="1">
      <c r="B816" s="187"/>
      <c r="C816" s="187"/>
      <c r="D816" s="187"/>
      <c r="E816" s="187"/>
      <c r="F816" s="187"/>
      <c r="G816" s="187"/>
      <c r="H816" s="187"/>
      <c r="I816" s="187"/>
    </row>
    <row r="817" spans="2:9" ht="15" customHeight="1">
      <c r="B817" s="187"/>
      <c r="C817" s="187"/>
      <c r="D817" s="187"/>
      <c r="E817" s="187"/>
      <c r="F817" s="187"/>
      <c r="G817" s="187"/>
      <c r="H817" s="187"/>
      <c r="I817" s="187"/>
    </row>
    <row r="818" spans="2:9" ht="15" customHeight="1">
      <c r="B818" s="187"/>
      <c r="C818" s="187"/>
      <c r="D818" s="187"/>
      <c r="E818" s="187"/>
      <c r="F818" s="187"/>
      <c r="G818" s="187"/>
      <c r="H818" s="187"/>
      <c r="I818" s="187"/>
    </row>
    <row r="819" spans="2:9" ht="15" customHeight="1">
      <c r="B819" s="187"/>
      <c r="C819" s="187"/>
      <c r="D819" s="187"/>
      <c r="E819" s="187"/>
      <c r="F819" s="187"/>
      <c r="G819" s="187"/>
      <c r="H819" s="187"/>
      <c r="I819" s="187"/>
    </row>
    <row r="820" spans="2:9" ht="15" customHeight="1">
      <c r="B820" s="187"/>
      <c r="C820" s="187"/>
      <c r="D820" s="187"/>
      <c r="E820" s="187"/>
      <c r="F820" s="187"/>
      <c r="G820" s="187"/>
      <c r="H820" s="187"/>
      <c r="I820" s="187"/>
    </row>
    <row r="821" spans="2:9" ht="15" customHeight="1">
      <c r="B821" s="187"/>
      <c r="C821" s="187"/>
      <c r="D821" s="187"/>
      <c r="E821" s="187"/>
      <c r="F821" s="187"/>
      <c r="G821" s="187"/>
      <c r="H821" s="187"/>
      <c r="I821" s="187"/>
    </row>
    <row r="822" spans="2:9" ht="15" customHeight="1">
      <c r="B822" s="187"/>
      <c r="C822" s="187"/>
      <c r="D822" s="187"/>
      <c r="E822" s="187"/>
      <c r="F822" s="187"/>
      <c r="G822" s="187"/>
      <c r="H822" s="187"/>
      <c r="I822" s="187"/>
    </row>
    <row r="823" spans="2:9" ht="15" customHeight="1">
      <c r="B823" s="187"/>
      <c r="C823" s="187"/>
      <c r="D823" s="187"/>
      <c r="E823" s="187"/>
      <c r="F823" s="187"/>
      <c r="G823" s="187"/>
      <c r="H823" s="187"/>
      <c r="I823" s="187"/>
    </row>
    <row r="824" spans="2:9" ht="15" customHeight="1">
      <c r="B824" s="187"/>
      <c r="C824" s="187"/>
      <c r="D824" s="187"/>
      <c r="E824" s="187"/>
      <c r="F824" s="187"/>
      <c r="G824" s="187"/>
      <c r="H824" s="187"/>
      <c r="I824" s="187"/>
    </row>
    <row r="825" spans="2:9" ht="15" customHeight="1">
      <c r="B825" s="187"/>
      <c r="C825" s="187"/>
      <c r="D825" s="187"/>
      <c r="E825" s="187"/>
      <c r="F825" s="187"/>
      <c r="G825" s="187"/>
      <c r="H825" s="187"/>
      <c r="I825" s="187"/>
    </row>
    <row r="826" spans="2:9" ht="15" customHeight="1">
      <c r="B826" s="187"/>
      <c r="C826" s="187"/>
      <c r="D826" s="187"/>
      <c r="E826" s="187"/>
      <c r="F826" s="187"/>
      <c r="G826" s="187"/>
      <c r="H826" s="187"/>
      <c r="I826" s="187"/>
    </row>
    <row r="827" spans="2:9" ht="15" customHeight="1">
      <c r="B827" s="187"/>
      <c r="C827" s="187"/>
      <c r="D827" s="187"/>
      <c r="E827" s="187"/>
      <c r="F827" s="187"/>
      <c r="G827" s="187"/>
      <c r="H827" s="187"/>
      <c r="I827" s="187"/>
    </row>
    <row r="828" spans="2:9" ht="15" customHeight="1">
      <c r="B828" s="187"/>
      <c r="C828" s="187"/>
      <c r="D828" s="187"/>
      <c r="E828" s="187"/>
      <c r="F828" s="187"/>
      <c r="G828" s="187"/>
      <c r="H828" s="187"/>
      <c r="I828" s="187"/>
    </row>
    <row r="829" spans="2:9" ht="15" customHeight="1">
      <c r="B829" s="187"/>
      <c r="C829" s="187"/>
      <c r="D829" s="187"/>
      <c r="E829" s="187"/>
      <c r="F829" s="187"/>
      <c r="G829" s="187"/>
      <c r="H829" s="187"/>
      <c r="I829" s="187"/>
    </row>
    <row r="830" spans="2:9" ht="15" customHeight="1">
      <c r="B830" s="187"/>
      <c r="C830" s="187"/>
      <c r="D830" s="187"/>
      <c r="E830" s="187"/>
      <c r="F830" s="187"/>
      <c r="G830" s="187"/>
      <c r="H830" s="187"/>
      <c r="I830" s="187"/>
    </row>
    <row r="831" spans="2:9" ht="15" customHeight="1">
      <c r="B831" s="187"/>
      <c r="C831" s="187"/>
      <c r="D831" s="187"/>
      <c r="E831" s="187"/>
      <c r="F831" s="187"/>
      <c r="G831" s="187"/>
      <c r="H831" s="187"/>
      <c r="I831" s="187"/>
    </row>
    <row r="832" spans="2:9" ht="15" customHeight="1">
      <c r="B832" s="187"/>
      <c r="C832" s="187"/>
      <c r="D832" s="187"/>
      <c r="E832" s="187"/>
      <c r="F832" s="187"/>
      <c r="G832" s="187"/>
      <c r="H832" s="187"/>
      <c r="I832" s="187"/>
    </row>
    <row r="833" spans="2:9" ht="15" customHeight="1">
      <c r="B833" s="187"/>
      <c r="C833" s="187"/>
      <c r="D833" s="187"/>
      <c r="E833" s="187"/>
      <c r="F833" s="187"/>
      <c r="G833" s="187"/>
      <c r="H833" s="187"/>
      <c r="I833" s="187"/>
    </row>
    <row r="834" spans="2:9" ht="15" customHeight="1">
      <c r="B834" s="187"/>
      <c r="C834" s="187"/>
      <c r="D834" s="187"/>
      <c r="E834" s="187"/>
      <c r="F834" s="187"/>
      <c r="G834" s="187"/>
      <c r="H834" s="187"/>
      <c r="I834" s="187"/>
    </row>
    <row r="835" spans="2:9" ht="15" customHeight="1">
      <c r="B835" s="187"/>
      <c r="C835" s="187"/>
      <c r="D835" s="187"/>
      <c r="E835" s="187"/>
      <c r="F835" s="187"/>
      <c r="G835" s="187"/>
      <c r="H835" s="187"/>
      <c r="I835" s="187"/>
    </row>
    <row r="836" spans="2:9" ht="15" customHeight="1">
      <c r="B836" s="187"/>
      <c r="C836" s="187"/>
      <c r="D836" s="187"/>
      <c r="E836" s="187"/>
      <c r="F836" s="187"/>
      <c r="G836" s="187"/>
      <c r="H836" s="187"/>
      <c r="I836" s="187"/>
    </row>
    <row r="837" spans="2:9" ht="15" customHeight="1">
      <c r="B837" s="187"/>
      <c r="C837" s="187"/>
      <c r="D837" s="187"/>
      <c r="E837" s="187"/>
      <c r="F837" s="187"/>
      <c r="G837" s="187"/>
      <c r="H837" s="187"/>
      <c r="I837" s="187"/>
    </row>
    <row r="838" spans="2:9" ht="15" customHeight="1">
      <c r="B838" s="187"/>
      <c r="C838" s="187"/>
      <c r="D838" s="187"/>
      <c r="E838" s="187"/>
      <c r="F838" s="187"/>
      <c r="G838" s="187"/>
      <c r="H838" s="187"/>
      <c r="I838" s="187"/>
    </row>
    <row r="839" spans="2:9" ht="15" customHeight="1">
      <c r="B839" s="187"/>
      <c r="C839" s="187"/>
      <c r="D839" s="187"/>
      <c r="E839" s="187"/>
      <c r="F839" s="187"/>
      <c r="G839" s="187"/>
      <c r="H839" s="187"/>
      <c r="I839" s="187"/>
    </row>
    <row r="840" spans="2:9" ht="15" customHeight="1">
      <c r="B840" s="187"/>
      <c r="C840" s="187"/>
      <c r="D840" s="187"/>
      <c r="E840" s="187"/>
      <c r="F840" s="187"/>
      <c r="G840" s="187"/>
      <c r="H840" s="187"/>
      <c r="I840" s="187"/>
    </row>
    <row r="841" spans="2:9" ht="15" customHeight="1">
      <c r="B841" s="187"/>
      <c r="C841" s="187"/>
      <c r="D841" s="187"/>
      <c r="E841" s="187"/>
      <c r="F841" s="187"/>
      <c r="G841" s="187"/>
      <c r="H841" s="187"/>
      <c r="I841" s="187"/>
    </row>
    <row r="842" spans="2:9" ht="15" customHeight="1">
      <c r="B842" s="187"/>
      <c r="C842" s="187"/>
      <c r="D842" s="187"/>
      <c r="E842" s="187"/>
      <c r="F842" s="187"/>
      <c r="G842" s="187"/>
      <c r="H842" s="187"/>
      <c r="I842" s="187"/>
    </row>
    <row r="843" spans="2:9" ht="15" customHeight="1">
      <c r="B843" s="187"/>
      <c r="C843" s="187"/>
      <c r="D843" s="187"/>
      <c r="E843" s="187"/>
      <c r="F843" s="187"/>
      <c r="G843" s="187"/>
      <c r="H843" s="187"/>
      <c r="I843" s="187"/>
    </row>
    <row r="844" spans="2:9" ht="15" customHeight="1">
      <c r="B844" s="187"/>
      <c r="C844" s="187"/>
      <c r="D844" s="187"/>
      <c r="E844" s="187"/>
      <c r="F844" s="187"/>
      <c r="G844" s="187"/>
      <c r="H844" s="187"/>
      <c r="I844" s="187"/>
    </row>
    <row r="845" spans="2:9" ht="15" customHeight="1">
      <c r="B845" s="187"/>
      <c r="C845" s="187"/>
      <c r="D845" s="187"/>
      <c r="E845" s="187"/>
      <c r="F845" s="187"/>
      <c r="G845" s="187"/>
      <c r="H845" s="187"/>
      <c r="I845" s="187"/>
    </row>
    <row r="846" spans="2:9" ht="15" customHeight="1">
      <c r="B846" s="187"/>
      <c r="C846" s="187"/>
      <c r="D846" s="187"/>
      <c r="E846" s="187"/>
      <c r="F846" s="187"/>
      <c r="G846" s="187"/>
      <c r="H846" s="187"/>
      <c r="I846" s="187"/>
    </row>
    <row r="847" spans="2:9" ht="15" customHeight="1">
      <c r="B847" s="187"/>
      <c r="C847" s="187"/>
      <c r="D847" s="187"/>
      <c r="E847" s="187"/>
      <c r="F847" s="187"/>
      <c r="G847" s="187"/>
      <c r="H847" s="187"/>
      <c r="I847" s="187"/>
    </row>
    <row r="848" spans="2:9" ht="15" customHeight="1">
      <c r="B848" s="187"/>
      <c r="C848" s="187"/>
      <c r="D848" s="187"/>
      <c r="E848" s="187"/>
      <c r="F848" s="187"/>
      <c r="G848" s="187"/>
      <c r="H848" s="187"/>
      <c r="I848" s="187"/>
    </row>
    <row r="849" spans="2:9" ht="15" customHeight="1">
      <c r="B849" s="187"/>
      <c r="C849" s="187"/>
      <c r="D849" s="187"/>
      <c r="E849" s="187"/>
      <c r="F849" s="187"/>
      <c r="G849" s="187"/>
      <c r="H849" s="187"/>
      <c r="I849" s="187"/>
    </row>
    <row r="850" spans="2:9" ht="15" customHeight="1">
      <c r="B850" s="187"/>
      <c r="C850" s="187"/>
      <c r="D850" s="187"/>
      <c r="E850" s="187"/>
      <c r="F850" s="187"/>
      <c r="G850" s="187"/>
      <c r="H850" s="187"/>
      <c r="I850" s="187"/>
    </row>
    <row r="851" spans="2:9" ht="15" customHeight="1">
      <c r="B851" s="187"/>
      <c r="C851" s="187"/>
      <c r="D851" s="187"/>
      <c r="E851" s="187"/>
      <c r="F851" s="187"/>
      <c r="G851" s="187"/>
      <c r="H851" s="187"/>
      <c r="I851" s="187"/>
    </row>
    <row r="852" spans="2:9" ht="15" customHeight="1">
      <c r="B852" s="187"/>
      <c r="C852" s="187"/>
      <c r="D852" s="187"/>
      <c r="E852" s="187"/>
      <c r="F852" s="187"/>
      <c r="G852" s="187"/>
      <c r="H852" s="187"/>
      <c r="I852" s="187"/>
    </row>
    <row r="853" spans="2:9" ht="15" customHeight="1">
      <c r="B853" s="187"/>
      <c r="C853" s="187"/>
      <c r="D853" s="187"/>
      <c r="E853" s="187"/>
      <c r="F853" s="187"/>
      <c r="G853" s="187"/>
      <c r="H853" s="187"/>
      <c r="I853" s="187"/>
    </row>
    <row r="854" spans="2:9" ht="15" customHeight="1">
      <c r="B854" s="187"/>
      <c r="C854" s="187"/>
      <c r="D854" s="187"/>
      <c r="E854" s="187"/>
      <c r="F854" s="187"/>
      <c r="G854" s="187"/>
      <c r="H854" s="187"/>
      <c r="I854" s="187"/>
    </row>
    <row r="855" spans="2:9" ht="15" customHeight="1">
      <c r="B855" s="187"/>
      <c r="C855" s="187"/>
      <c r="D855" s="187"/>
      <c r="E855" s="187"/>
      <c r="F855" s="187"/>
      <c r="G855" s="187"/>
      <c r="H855" s="187"/>
      <c r="I855" s="187"/>
    </row>
    <row r="856" spans="2:9" ht="15" customHeight="1">
      <c r="B856" s="187"/>
      <c r="C856" s="187"/>
      <c r="D856" s="187"/>
      <c r="E856" s="187"/>
      <c r="F856" s="187"/>
      <c r="G856" s="187"/>
      <c r="H856" s="187"/>
      <c r="I856" s="187"/>
    </row>
    <row r="857" spans="2:9" ht="15" customHeight="1">
      <c r="B857" s="187"/>
      <c r="C857" s="187"/>
      <c r="D857" s="187"/>
      <c r="E857" s="187"/>
      <c r="F857" s="187"/>
      <c r="G857" s="187"/>
      <c r="H857" s="187"/>
      <c r="I857" s="187"/>
    </row>
    <row r="858" spans="2:9" ht="15" customHeight="1">
      <c r="B858" s="187"/>
      <c r="C858" s="187"/>
      <c r="D858" s="187"/>
      <c r="E858" s="187"/>
      <c r="F858" s="187"/>
      <c r="G858" s="187"/>
      <c r="H858" s="187"/>
      <c r="I858" s="187"/>
    </row>
    <row r="859" spans="2:9" ht="15" customHeight="1">
      <c r="B859" s="187"/>
      <c r="C859" s="187"/>
      <c r="D859" s="187"/>
      <c r="E859" s="187"/>
      <c r="F859" s="187"/>
      <c r="G859" s="187"/>
      <c r="H859" s="187"/>
      <c r="I859" s="187"/>
    </row>
    <row r="860" spans="2:9" ht="15" customHeight="1">
      <c r="B860" s="187"/>
      <c r="C860" s="187"/>
      <c r="D860" s="187"/>
      <c r="E860" s="187"/>
      <c r="F860" s="187"/>
      <c r="G860" s="187"/>
      <c r="H860" s="187"/>
      <c r="I860" s="187"/>
    </row>
    <row r="861" spans="2:9" ht="15" customHeight="1">
      <c r="B861" s="187"/>
      <c r="C861" s="187"/>
      <c r="D861" s="187"/>
      <c r="E861" s="187"/>
      <c r="F861" s="187"/>
      <c r="G861" s="187"/>
      <c r="H861" s="187"/>
      <c r="I861" s="187"/>
    </row>
    <row r="862" spans="2:9" ht="15" customHeight="1">
      <c r="B862" s="187"/>
      <c r="C862" s="187"/>
      <c r="D862" s="187"/>
      <c r="E862" s="187"/>
      <c r="F862" s="187"/>
      <c r="G862" s="187"/>
      <c r="H862" s="187"/>
      <c r="I862" s="187"/>
    </row>
    <row r="863" spans="2:9" ht="15" customHeight="1">
      <c r="B863" s="187"/>
      <c r="C863" s="187"/>
      <c r="D863" s="187"/>
      <c r="E863" s="187"/>
      <c r="F863" s="187"/>
      <c r="G863" s="187"/>
      <c r="H863" s="187"/>
      <c r="I863" s="187"/>
    </row>
    <row r="864" spans="2:9" ht="15" customHeight="1">
      <c r="B864" s="187"/>
      <c r="C864" s="187"/>
      <c r="D864" s="187"/>
      <c r="E864" s="187"/>
      <c r="F864" s="187"/>
      <c r="G864" s="187"/>
      <c r="H864" s="187"/>
      <c r="I864" s="187"/>
    </row>
    <row r="865" spans="2:9" ht="15" customHeight="1">
      <c r="B865" s="187"/>
      <c r="C865" s="187"/>
      <c r="D865" s="187"/>
      <c r="E865" s="187"/>
      <c r="F865" s="187"/>
      <c r="G865" s="187"/>
      <c r="H865" s="187"/>
      <c r="I865" s="187"/>
    </row>
    <row r="866" spans="2:9" ht="15" customHeight="1">
      <c r="B866" s="187"/>
      <c r="C866" s="187"/>
      <c r="D866" s="187"/>
      <c r="E866" s="187"/>
      <c r="F866" s="187"/>
      <c r="G866" s="187"/>
      <c r="H866" s="187"/>
      <c r="I866" s="187"/>
    </row>
    <row r="867" spans="2:9" ht="15" customHeight="1">
      <c r="B867" s="187"/>
      <c r="C867" s="187"/>
      <c r="D867" s="187"/>
      <c r="E867" s="187"/>
      <c r="F867" s="187"/>
      <c r="G867" s="187"/>
      <c r="H867" s="187"/>
      <c r="I867" s="187"/>
    </row>
    <row r="868" spans="2:9" ht="15" customHeight="1">
      <c r="B868" s="187"/>
      <c r="C868" s="187"/>
      <c r="D868" s="187"/>
      <c r="E868" s="187"/>
      <c r="F868" s="187"/>
      <c r="G868" s="187"/>
      <c r="H868" s="187"/>
      <c r="I868" s="187"/>
    </row>
    <row r="869" spans="2:9" ht="15" customHeight="1">
      <c r="B869" s="187"/>
      <c r="C869" s="187"/>
      <c r="D869" s="187"/>
      <c r="E869" s="187"/>
      <c r="F869" s="187"/>
      <c r="G869" s="187"/>
      <c r="H869" s="187"/>
      <c r="I869" s="187"/>
    </row>
    <row r="870" spans="2:9" ht="15" customHeight="1">
      <c r="B870" s="187"/>
      <c r="C870" s="187"/>
      <c r="D870" s="187"/>
      <c r="E870" s="187"/>
      <c r="F870" s="187"/>
      <c r="G870" s="187"/>
      <c r="H870" s="187"/>
      <c r="I870" s="187"/>
    </row>
    <row r="871" spans="2:9" ht="15" customHeight="1">
      <c r="B871" s="187"/>
      <c r="C871" s="187"/>
      <c r="D871" s="187"/>
      <c r="E871" s="187"/>
      <c r="F871" s="187"/>
      <c r="G871" s="187"/>
      <c r="H871" s="187"/>
      <c r="I871" s="187"/>
    </row>
    <row r="872" spans="2:9" ht="15" customHeight="1">
      <c r="B872" s="187"/>
      <c r="C872" s="187"/>
      <c r="D872" s="187"/>
      <c r="E872" s="187"/>
      <c r="F872" s="187"/>
      <c r="G872" s="187"/>
      <c r="H872" s="187"/>
      <c r="I872" s="187"/>
    </row>
    <row r="873" spans="2:9" ht="15" customHeight="1">
      <c r="B873" s="187"/>
      <c r="C873" s="187"/>
      <c r="D873" s="187"/>
      <c r="E873" s="187"/>
      <c r="F873" s="187"/>
      <c r="G873" s="187"/>
      <c r="H873" s="187"/>
      <c r="I873" s="187"/>
    </row>
    <row r="874" spans="2:9" ht="15" customHeight="1">
      <c r="B874" s="187"/>
      <c r="C874" s="187"/>
      <c r="D874" s="187"/>
      <c r="E874" s="187"/>
      <c r="F874" s="187"/>
      <c r="G874" s="187"/>
      <c r="H874" s="187"/>
      <c r="I874" s="187"/>
    </row>
    <row r="875" spans="2:9" ht="15" customHeight="1">
      <c r="B875" s="187"/>
      <c r="C875" s="187"/>
      <c r="D875" s="187"/>
      <c r="E875" s="187"/>
      <c r="F875" s="187"/>
      <c r="G875" s="187"/>
      <c r="H875" s="187"/>
      <c r="I875" s="187"/>
    </row>
    <row r="876" spans="2:9" ht="15" customHeight="1">
      <c r="B876" s="187"/>
      <c r="C876" s="187"/>
      <c r="D876" s="187"/>
      <c r="E876" s="187"/>
      <c r="F876" s="187"/>
      <c r="G876" s="187"/>
      <c r="H876" s="187"/>
      <c r="I876" s="187"/>
    </row>
    <row r="877" spans="2:9" ht="15" customHeight="1">
      <c r="B877" s="187"/>
      <c r="C877" s="187"/>
      <c r="D877" s="187"/>
      <c r="E877" s="187"/>
      <c r="F877" s="187"/>
      <c r="G877" s="187"/>
      <c r="H877" s="187"/>
      <c r="I877" s="187"/>
    </row>
    <row r="878" spans="2:9" ht="15" customHeight="1">
      <c r="B878" s="187"/>
      <c r="C878" s="187"/>
      <c r="D878" s="187"/>
      <c r="E878" s="187"/>
      <c r="F878" s="187"/>
      <c r="G878" s="187"/>
      <c r="H878" s="187"/>
      <c r="I878" s="187"/>
    </row>
    <row r="879" spans="2:9" ht="15" customHeight="1">
      <c r="B879" s="187"/>
      <c r="C879" s="187"/>
      <c r="D879" s="187"/>
      <c r="E879" s="187"/>
      <c r="F879" s="187"/>
      <c r="G879" s="187"/>
      <c r="H879" s="187"/>
      <c r="I879" s="187"/>
    </row>
    <row r="880" spans="2:9" ht="15" customHeight="1">
      <c r="B880" s="187"/>
      <c r="C880" s="187"/>
      <c r="D880" s="187"/>
      <c r="E880" s="187"/>
      <c r="F880" s="187"/>
      <c r="G880" s="187"/>
      <c r="H880" s="187"/>
      <c r="I880" s="187"/>
    </row>
    <row r="881" spans="2:14" ht="15" customHeight="1">
      <c r="B881" s="187"/>
      <c r="C881" s="187"/>
      <c r="D881" s="187"/>
      <c r="E881" s="187"/>
      <c r="F881" s="187"/>
      <c r="G881" s="187"/>
      <c r="H881" s="187"/>
      <c r="I881" s="187"/>
    </row>
    <row r="882" spans="2:14" ht="15" customHeight="1">
      <c r="B882" s="187"/>
      <c r="C882" s="187"/>
      <c r="D882" s="187"/>
      <c r="E882" s="187"/>
      <c r="F882" s="187"/>
      <c r="G882" s="187"/>
      <c r="H882" s="187"/>
      <c r="I882" s="187"/>
    </row>
    <row r="883" spans="2:14" ht="15" customHeight="1">
      <c r="B883" s="187"/>
      <c r="C883" s="187"/>
      <c r="D883" s="187"/>
      <c r="E883" s="187"/>
      <c r="F883" s="187"/>
      <c r="G883" s="187"/>
      <c r="H883" s="187"/>
    </row>
    <row r="884" spans="2:14" ht="15" customHeight="1">
      <c r="B884" s="187"/>
      <c r="C884" s="187"/>
      <c r="D884" s="187"/>
      <c r="E884" s="187"/>
      <c r="F884" s="187"/>
      <c r="G884" s="187"/>
      <c r="H884" s="187"/>
    </row>
    <row r="885" spans="2:14" ht="15" customHeight="1">
      <c r="B885" s="187"/>
      <c r="C885" s="187"/>
      <c r="D885" s="187"/>
      <c r="E885" s="187"/>
      <c r="F885" s="187"/>
      <c r="G885" s="187"/>
      <c r="H885" s="187"/>
    </row>
    <row r="886" spans="2:14" ht="15" customHeight="1">
      <c r="B886" s="187"/>
      <c r="C886" s="187"/>
      <c r="D886" s="187"/>
      <c r="E886" s="187"/>
      <c r="F886" s="187"/>
      <c r="G886" s="187"/>
      <c r="H886" s="187"/>
    </row>
    <row r="887" spans="2:14" ht="15" customHeight="1">
      <c r="B887" s="187"/>
      <c r="C887" s="187"/>
      <c r="D887" s="187"/>
      <c r="E887" s="187"/>
      <c r="F887" s="187"/>
      <c r="G887" s="187"/>
      <c r="H887" s="187"/>
    </row>
    <row r="888" spans="2:14" ht="15" customHeight="1">
      <c r="B888" s="187"/>
      <c r="C888" s="187"/>
      <c r="D888" s="187"/>
      <c r="E888" s="187"/>
      <c r="F888" s="187"/>
      <c r="G888" s="187"/>
      <c r="H888" s="187"/>
    </row>
    <row r="889" spans="2:14" ht="15" customHeight="1">
      <c r="B889" s="187"/>
      <c r="C889" s="187"/>
      <c r="D889" s="187"/>
      <c r="E889" s="187"/>
      <c r="F889" s="187"/>
      <c r="G889" s="187"/>
      <c r="H889" s="187"/>
    </row>
    <row r="890" spans="2:14" ht="15" customHeight="1">
      <c r="B890" s="187"/>
      <c r="C890" s="187"/>
      <c r="D890" s="187"/>
      <c r="E890" s="187"/>
      <c r="F890" s="187"/>
      <c r="G890" s="187"/>
      <c r="H890" s="187"/>
    </row>
    <row r="891" spans="2:14" ht="15" customHeight="1">
      <c r="B891" s="187"/>
      <c r="C891" s="187"/>
      <c r="D891" s="187"/>
      <c r="E891" s="187"/>
      <c r="F891" s="187"/>
      <c r="G891" s="187"/>
      <c r="H891" s="187"/>
    </row>
    <row r="892" spans="2:14" ht="15" customHeight="1">
      <c r="B892" s="187"/>
      <c r="C892" s="187"/>
      <c r="D892" s="187"/>
      <c r="E892" s="187"/>
      <c r="F892" s="187"/>
      <c r="G892" s="187"/>
      <c r="H892" s="187"/>
    </row>
    <row r="893" spans="2:14" ht="15" customHeight="1">
      <c r="B893" s="187"/>
      <c r="C893" s="187"/>
      <c r="D893" s="187"/>
      <c r="E893" s="187"/>
      <c r="F893" s="187"/>
      <c r="G893" s="187"/>
      <c r="H893" s="187"/>
    </row>
    <row r="894" spans="2:14" ht="15" customHeight="1">
      <c r="B894" s="187"/>
      <c r="C894" s="187"/>
      <c r="D894" s="187"/>
      <c r="E894" s="187"/>
      <c r="F894" s="187"/>
      <c r="G894" s="187"/>
      <c r="H894" s="187"/>
    </row>
    <row r="895" spans="2:14" s="188" customFormat="1" ht="15" customHeight="1">
      <c r="B895" s="187"/>
      <c r="C895" s="187"/>
      <c r="D895" s="187"/>
      <c r="E895" s="187"/>
      <c r="F895" s="187"/>
      <c r="G895" s="187"/>
      <c r="H895" s="187"/>
      <c r="J895" s="189"/>
      <c r="K895" s="190"/>
      <c r="L895" s="190"/>
      <c r="M895" s="187"/>
      <c r="N895" s="187"/>
    </row>
    <row r="896" spans="2:14" s="188" customFormat="1" ht="15" customHeight="1">
      <c r="B896" s="187"/>
      <c r="C896" s="187"/>
      <c r="D896" s="187"/>
      <c r="E896" s="187"/>
      <c r="F896" s="187"/>
      <c r="G896" s="187"/>
      <c r="H896" s="187"/>
      <c r="J896" s="186"/>
      <c r="K896" s="180"/>
      <c r="L896" s="180"/>
    </row>
    <row r="897" spans="2:12" s="188" customFormat="1" ht="15" customHeight="1">
      <c r="B897" s="187"/>
      <c r="C897" s="187"/>
      <c r="D897" s="187"/>
      <c r="E897" s="187"/>
      <c r="F897" s="187"/>
      <c r="G897" s="187"/>
      <c r="H897" s="187"/>
      <c r="J897" s="186"/>
      <c r="K897" s="180"/>
      <c r="L897" s="180"/>
    </row>
    <row r="898" spans="2:12" s="188" customFormat="1" ht="15" customHeight="1">
      <c r="B898" s="187"/>
      <c r="C898" s="187"/>
      <c r="D898" s="187"/>
      <c r="E898" s="187"/>
      <c r="F898" s="187"/>
      <c r="G898" s="187"/>
      <c r="H898" s="187"/>
      <c r="J898" s="186"/>
      <c r="K898" s="180"/>
      <c r="L898" s="180"/>
    </row>
    <row r="899" spans="2:12" s="188" customFormat="1" ht="15" customHeight="1">
      <c r="B899" s="187"/>
      <c r="C899" s="187"/>
      <c r="D899" s="187"/>
      <c r="E899" s="187"/>
      <c r="F899" s="187"/>
      <c r="G899" s="187"/>
      <c r="H899" s="187"/>
      <c r="J899" s="186"/>
      <c r="K899" s="180"/>
      <c r="L899" s="180"/>
    </row>
    <row r="900" spans="2:12" s="188" customFormat="1" ht="15" customHeight="1">
      <c r="B900" s="187"/>
      <c r="C900" s="187"/>
      <c r="D900" s="187"/>
      <c r="E900" s="187"/>
      <c r="F900" s="187"/>
      <c r="G900" s="187"/>
      <c r="H900" s="187"/>
      <c r="J900" s="186"/>
      <c r="K900" s="180"/>
      <c r="L900" s="180"/>
    </row>
    <row r="901" spans="2:12" s="188" customFormat="1" ht="15" customHeight="1">
      <c r="B901" s="187"/>
      <c r="C901" s="187"/>
      <c r="D901" s="187"/>
      <c r="E901" s="187"/>
      <c r="F901" s="187"/>
      <c r="G901" s="187"/>
      <c r="H901" s="187"/>
      <c r="J901" s="186"/>
      <c r="K901" s="180"/>
      <c r="L901" s="180"/>
    </row>
    <row r="902" spans="2:12" s="188" customFormat="1" ht="15" customHeight="1">
      <c r="B902" s="187"/>
      <c r="C902" s="187"/>
      <c r="D902" s="187"/>
      <c r="E902" s="187"/>
      <c r="F902" s="187"/>
      <c r="G902" s="187"/>
      <c r="H902" s="187"/>
      <c r="J902" s="186"/>
      <c r="K902" s="180"/>
      <c r="L902" s="180"/>
    </row>
    <row r="903" spans="2:12" s="188" customFormat="1" ht="15" customHeight="1">
      <c r="B903" s="187"/>
      <c r="C903" s="187"/>
      <c r="D903" s="187"/>
      <c r="E903" s="187"/>
      <c r="F903" s="187"/>
      <c r="G903" s="187"/>
      <c r="H903" s="187"/>
      <c r="J903" s="186"/>
      <c r="K903" s="180"/>
      <c r="L903" s="180"/>
    </row>
    <row r="904" spans="2:12" s="188" customFormat="1" ht="15" customHeight="1">
      <c r="B904" s="187"/>
      <c r="C904" s="187"/>
      <c r="D904" s="187"/>
      <c r="E904" s="187"/>
      <c r="F904" s="187"/>
      <c r="G904" s="187"/>
      <c r="H904" s="187"/>
      <c r="J904" s="186"/>
      <c r="K904" s="180"/>
      <c r="L904" s="180"/>
    </row>
    <row r="905" spans="2:12" s="188" customFormat="1" ht="15" customHeight="1">
      <c r="B905" s="187"/>
      <c r="C905" s="187"/>
      <c r="D905" s="187"/>
      <c r="E905" s="187"/>
      <c r="F905" s="187"/>
      <c r="G905" s="187"/>
      <c r="H905" s="187"/>
      <c r="J905" s="186"/>
      <c r="K905" s="180"/>
      <c r="L905" s="180"/>
    </row>
    <row r="906" spans="2:12" s="188" customFormat="1" ht="15" customHeight="1">
      <c r="B906" s="187"/>
      <c r="C906" s="187"/>
      <c r="D906" s="187"/>
      <c r="E906" s="187"/>
      <c r="F906" s="187"/>
      <c r="G906" s="187"/>
      <c r="H906" s="187"/>
      <c r="J906" s="186"/>
      <c r="K906" s="180"/>
      <c r="L906" s="180"/>
    </row>
    <row r="907" spans="2:12" s="188" customFormat="1" ht="15" customHeight="1">
      <c r="B907" s="187"/>
      <c r="C907" s="187"/>
      <c r="D907" s="187"/>
      <c r="E907" s="187"/>
      <c r="F907" s="187"/>
      <c r="G907" s="187"/>
      <c r="H907" s="187"/>
      <c r="J907" s="186"/>
      <c r="K907" s="180"/>
      <c r="L907" s="180"/>
    </row>
    <row r="908" spans="2:12" s="188" customFormat="1" ht="15" customHeight="1">
      <c r="B908" s="187"/>
      <c r="C908" s="187"/>
      <c r="D908" s="187"/>
      <c r="E908" s="187"/>
      <c r="F908" s="187"/>
      <c r="G908" s="187"/>
      <c r="H908" s="187"/>
      <c r="J908" s="186"/>
      <c r="K908" s="180"/>
      <c r="L908" s="180"/>
    </row>
    <row r="909" spans="2:12" s="188" customFormat="1" ht="15" customHeight="1">
      <c r="B909" s="187"/>
      <c r="C909" s="187"/>
      <c r="D909" s="187"/>
      <c r="E909" s="187"/>
      <c r="F909" s="187"/>
      <c r="G909" s="187"/>
      <c r="H909" s="187"/>
      <c r="J909" s="186"/>
      <c r="K909" s="180"/>
      <c r="L909" s="180"/>
    </row>
    <row r="910" spans="2:12" s="188" customFormat="1" ht="15" customHeight="1">
      <c r="B910" s="187"/>
      <c r="C910" s="187"/>
      <c r="D910" s="187"/>
      <c r="E910" s="187"/>
      <c r="F910" s="187"/>
      <c r="G910" s="187"/>
      <c r="H910" s="187"/>
      <c r="J910" s="186"/>
      <c r="K910" s="180"/>
      <c r="L910" s="180"/>
    </row>
    <row r="911" spans="2:12" s="188" customFormat="1" ht="15" customHeight="1">
      <c r="B911" s="187"/>
      <c r="C911" s="187"/>
      <c r="D911" s="187"/>
      <c r="E911" s="187"/>
      <c r="F911" s="187"/>
      <c r="G911" s="187"/>
      <c r="H911" s="187"/>
      <c r="J911" s="186"/>
      <c r="K911" s="180"/>
      <c r="L911" s="180"/>
    </row>
    <row r="912" spans="2:12" s="188" customFormat="1" ht="15" customHeight="1">
      <c r="B912" s="187"/>
      <c r="C912" s="187"/>
      <c r="D912" s="187"/>
      <c r="E912" s="187"/>
      <c r="F912" s="187"/>
      <c r="G912" s="187"/>
      <c r="H912" s="187"/>
      <c r="J912" s="186"/>
      <c r="K912" s="180"/>
      <c r="L912" s="180"/>
    </row>
    <row r="913" spans="2:12" s="188" customFormat="1" ht="15" customHeight="1">
      <c r="B913" s="187"/>
      <c r="C913" s="187"/>
      <c r="D913" s="187"/>
      <c r="E913" s="187"/>
      <c r="F913" s="187"/>
      <c r="G913" s="187"/>
      <c r="H913" s="187"/>
      <c r="J913" s="186"/>
      <c r="K913" s="180"/>
      <c r="L913" s="180"/>
    </row>
    <row r="914" spans="2:12" s="188" customFormat="1" ht="15" customHeight="1">
      <c r="B914" s="187"/>
      <c r="C914" s="187"/>
      <c r="D914" s="187"/>
      <c r="E914" s="187"/>
      <c r="F914" s="187"/>
      <c r="G914" s="187"/>
      <c r="H914" s="187"/>
      <c r="J914" s="186"/>
      <c r="K914" s="180"/>
      <c r="L914" s="180"/>
    </row>
    <row r="915" spans="2:12" s="188" customFormat="1" ht="15" customHeight="1">
      <c r="B915" s="187"/>
      <c r="C915" s="187"/>
      <c r="D915" s="187"/>
      <c r="E915" s="187"/>
      <c r="F915" s="187"/>
      <c r="G915" s="187"/>
      <c r="H915" s="187"/>
      <c r="J915" s="186"/>
      <c r="K915" s="180"/>
      <c r="L915" s="180"/>
    </row>
    <row r="916" spans="2:12" s="188" customFormat="1" ht="15" customHeight="1">
      <c r="B916" s="187"/>
      <c r="C916" s="187"/>
      <c r="D916" s="187"/>
      <c r="E916" s="187"/>
      <c r="F916" s="187"/>
      <c r="G916" s="187"/>
      <c r="H916" s="187"/>
      <c r="J916" s="186"/>
      <c r="K916" s="180"/>
      <c r="L916" s="180"/>
    </row>
    <row r="917" spans="2:12" s="188" customFormat="1" ht="15" customHeight="1">
      <c r="B917" s="187"/>
      <c r="C917" s="187"/>
      <c r="D917" s="187"/>
      <c r="E917" s="187"/>
      <c r="F917" s="187"/>
      <c r="G917" s="187"/>
      <c r="H917" s="187"/>
      <c r="J917" s="186"/>
      <c r="K917" s="180"/>
      <c r="L917" s="180"/>
    </row>
    <row r="918" spans="2:12" s="188" customFormat="1" ht="15" customHeight="1">
      <c r="B918" s="187"/>
      <c r="C918" s="187"/>
      <c r="D918" s="187"/>
      <c r="E918" s="187"/>
      <c r="F918" s="187"/>
      <c r="G918" s="187"/>
      <c r="H918" s="187"/>
      <c r="J918" s="186"/>
      <c r="K918" s="180"/>
      <c r="L918" s="180"/>
    </row>
    <row r="919" spans="2:12" s="188" customFormat="1" ht="15" customHeight="1">
      <c r="B919" s="187"/>
      <c r="C919" s="187"/>
      <c r="D919" s="187"/>
      <c r="E919" s="187"/>
      <c r="F919" s="187"/>
      <c r="G919" s="187"/>
      <c r="H919" s="187"/>
      <c r="J919" s="186"/>
      <c r="K919" s="180"/>
      <c r="L919" s="180"/>
    </row>
    <row r="920" spans="2:12" s="188" customFormat="1" ht="15" customHeight="1">
      <c r="B920" s="187"/>
      <c r="C920" s="187"/>
      <c r="D920" s="187"/>
      <c r="E920" s="187"/>
      <c r="F920" s="187"/>
      <c r="G920" s="187"/>
      <c r="H920" s="187"/>
      <c r="J920" s="186"/>
      <c r="K920" s="180"/>
      <c r="L920" s="180"/>
    </row>
    <row r="921" spans="2:12" s="188" customFormat="1" ht="15" customHeight="1">
      <c r="B921" s="187"/>
      <c r="C921" s="187"/>
      <c r="D921" s="187"/>
      <c r="E921" s="187"/>
      <c r="F921" s="187"/>
      <c r="G921" s="187"/>
      <c r="H921" s="187"/>
      <c r="J921" s="186"/>
      <c r="K921" s="180"/>
      <c r="L921" s="180"/>
    </row>
    <row r="922" spans="2:12" s="188" customFormat="1" ht="15" customHeight="1">
      <c r="B922" s="187"/>
      <c r="C922" s="187"/>
      <c r="D922" s="187"/>
      <c r="E922" s="187"/>
      <c r="F922" s="187"/>
      <c r="G922" s="187"/>
      <c r="H922" s="187"/>
      <c r="J922" s="186"/>
      <c r="K922" s="180"/>
      <c r="L922" s="180"/>
    </row>
    <row r="923" spans="2:12" s="188" customFormat="1" ht="15" customHeight="1">
      <c r="B923" s="187"/>
      <c r="C923" s="187"/>
      <c r="D923" s="187"/>
      <c r="E923" s="187"/>
      <c r="F923" s="187"/>
      <c r="G923" s="187"/>
      <c r="H923" s="187"/>
      <c r="J923" s="186"/>
      <c r="K923" s="180"/>
      <c r="L923" s="180"/>
    </row>
    <row r="924" spans="2:12" s="188" customFormat="1" ht="15" customHeight="1">
      <c r="B924" s="187"/>
      <c r="C924" s="187"/>
      <c r="D924" s="187"/>
      <c r="E924" s="187"/>
      <c r="F924" s="187"/>
      <c r="G924" s="187"/>
      <c r="H924" s="187"/>
      <c r="J924" s="186"/>
      <c r="K924" s="180"/>
      <c r="L924" s="180"/>
    </row>
    <row r="925" spans="2:12" s="188" customFormat="1" ht="15" customHeight="1">
      <c r="B925" s="187"/>
      <c r="C925" s="187"/>
      <c r="D925" s="187"/>
      <c r="E925" s="187"/>
      <c r="F925" s="187"/>
      <c r="G925" s="187"/>
      <c r="H925" s="187"/>
      <c r="J925" s="186"/>
      <c r="K925" s="180"/>
      <c r="L925" s="180"/>
    </row>
    <row r="926" spans="2:12" s="188" customFormat="1" ht="15" customHeight="1">
      <c r="B926" s="187"/>
      <c r="C926" s="187"/>
      <c r="D926" s="187"/>
      <c r="E926" s="187"/>
      <c r="F926" s="187"/>
      <c r="G926" s="187"/>
      <c r="H926" s="187"/>
      <c r="J926" s="186"/>
      <c r="K926" s="180"/>
      <c r="L926" s="180"/>
    </row>
    <row r="927" spans="2:12" s="188" customFormat="1" ht="15" customHeight="1">
      <c r="B927" s="187"/>
      <c r="C927" s="187"/>
      <c r="D927" s="187"/>
      <c r="E927" s="187"/>
      <c r="F927" s="187"/>
      <c r="G927" s="187"/>
      <c r="H927" s="187"/>
      <c r="J927" s="186"/>
      <c r="K927" s="180"/>
      <c r="L927" s="180"/>
    </row>
    <row r="928" spans="2:12" s="188" customFormat="1" ht="15" customHeight="1">
      <c r="B928" s="187"/>
      <c r="C928" s="187"/>
      <c r="D928" s="187"/>
      <c r="E928" s="187"/>
      <c r="F928" s="187"/>
      <c r="G928" s="187"/>
      <c r="H928" s="187"/>
      <c r="J928" s="186"/>
      <c r="K928" s="180"/>
      <c r="L928" s="180"/>
    </row>
    <row r="929" spans="2:12" s="188" customFormat="1" ht="15" customHeight="1">
      <c r="B929" s="187"/>
      <c r="C929" s="187"/>
      <c r="D929" s="187"/>
      <c r="E929" s="187"/>
      <c r="F929" s="187"/>
      <c r="G929" s="187"/>
      <c r="H929" s="187"/>
      <c r="J929" s="186"/>
      <c r="K929" s="180"/>
      <c r="L929" s="180"/>
    </row>
    <row r="930" spans="2:12" s="188" customFormat="1" ht="15" customHeight="1">
      <c r="B930" s="187"/>
      <c r="C930" s="187"/>
      <c r="D930" s="187"/>
      <c r="E930" s="187"/>
      <c r="F930" s="187"/>
      <c r="G930" s="187"/>
      <c r="H930" s="187"/>
      <c r="J930" s="186"/>
      <c r="K930" s="180"/>
      <c r="L930" s="180"/>
    </row>
    <row r="931" spans="2:12" s="188" customFormat="1" ht="15" customHeight="1">
      <c r="B931" s="187"/>
      <c r="C931" s="187"/>
      <c r="D931" s="187"/>
      <c r="E931" s="187"/>
      <c r="F931" s="187"/>
      <c r="G931" s="187"/>
      <c r="H931" s="187"/>
      <c r="J931" s="186"/>
      <c r="K931" s="180"/>
      <c r="L931" s="180"/>
    </row>
    <row r="932" spans="2:12" s="188" customFormat="1" ht="15" customHeight="1">
      <c r="B932" s="187"/>
      <c r="C932" s="187"/>
      <c r="D932" s="187"/>
      <c r="E932" s="187"/>
      <c r="F932" s="187"/>
      <c r="G932" s="187"/>
      <c r="H932" s="187"/>
      <c r="J932" s="186"/>
      <c r="K932" s="180"/>
      <c r="L932" s="180"/>
    </row>
    <row r="933" spans="2:12" s="188" customFormat="1" ht="15" customHeight="1">
      <c r="B933" s="187"/>
      <c r="C933" s="187"/>
      <c r="D933" s="187"/>
      <c r="E933" s="187"/>
      <c r="F933" s="187"/>
      <c r="G933" s="187"/>
      <c r="H933" s="187"/>
      <c r="J933" s="186"/>
      <c r="K933" s="180"/>
      <c r="L933" s="180"/>
    </row>
    <row r="934" spans="2:12" s="188" customFormat="1" ht="15" customHeight="1">
      <c r="B934" s="187"/>
      <c r="C934" s="187"/>
      <c r="D934" s="187"/>
      <c r="E934" s="187"/>
      <c r="F934" s="187"/>
      <c r="G934" s="187"/>
      <c r="H934" s="187"/>
      <c r="J934" s="186"/>
      <c r="K934" s="180"/>
      <c r="L934" s="180"/>
    </row>
    <row r="935" spans="2:12" s="188" customFormat="1" ht="15" customHeight="1">
      <c r="B935" s="187"/>
      <c r="C935" s="187"/>
      <c r="D935" s="187"/>
      <c r="E935" s="187"/>
      <c r="F935" s="187"/>
      <c r="G935" s="187"/>
      <c r="H935" s="187"/>
      <c r="J935" s="186"/>
      <c r="K935" s="180"/>
      <c r="L935" s="180"/>
    </row>
    <row r="936" spans="2:12" s="188" customFormat="1" ht="15" customHeight="1">
      <c r="B936" s="187"/>
      <c r="C936" s="187"/>
      <c r="D936" s="187"/>
      <c r="E936" s="187"/>
      <c r="F936" s="187"/>
      <c r="G936" s="187"/>
      <c r="H936" s="187"/>
      <c r="J936" s="186"/>
      <c r="K936" s="180"/>
      <c r="L936" s="180"/>
    </row>
    <row r="937" spans="2:12" s="188" customFormat="1" ht="15" customHeight="1">
      <c r="B937" s="187"/>
      <c r="C937" s="187"/>
      <c r="D937" s="187"/>
      <c r="E937" s="187"/>
      <c r="F937" s="187"/>
      <c r="G937" s="187"/>
      <c r="H937" s="187"/>
      <c r="J937" s="186"/>
      <c r="K937" s="180"/>
      <c r="L937" s="180"/>
    </row>
    <row r="938" spans="2:12" s="188" customFormat="1" ht="15" customHeight="1">
      <c r="B938" s="187"/>
      <c r="C938" s="187"/>
      <c r="D938" s="187"/>
      <c r="E938" s="187"/>
      <c r="F938" s="187"/>
      <c r="G938" s="187"/>
      <c r="H938" s="187"/>
      <c r="J938" s="186"/>
      <c r="K938" s="180"/>
      <c r="L938" s="180"/>
    </row>
    <row r="939" spans="2:12" s="188" customFormat="1" ht="15" customHeight="1">
      <c r="B939" s="187"/>
      <c r="C939" s="187"/>
      <c r="D939" s="187"/>
      <c r="E939" s="187"/>
      <c r="F939" s="187"/>
      <c r="G939" s="187"/>
      <c r="H939" s="187"/>
      <c r="J939" s="186"/>
      <c r="K939" s="180"/>
      <c r="L939" s="180"/>
    </row>
    <row r="940" spans="2:12" s="188" customFormat="1" ht="15" customHeight="1">
      <c r="B940" s="187"/>
      <c r="C940" s="187"/>
      <c r="D940" s="187"/>
      <c r="E940" s="187"/>
      <c r="F940" s="187"/>
      <c r="G940" s="187"/>
      <c r="H940" s="187"/>
      <c r="J940" s="186"/>
      <c r="K940" s="180"/>
      <c r="L940" s="180"/>
    </row>
    <row r="941" spans="2:12" s="188" customFormat="1" ht="15" customHeight="1">
      <c r="B941" s="187"/>
      <c r="C941" s="187"/>
      <c r="D941" s="187"/>
      <c r="E941" s="187"/>
      <c r="F941" s="187"/>
      <c r="G941" s="187"/>
      <c r="H941" s="187"/>
      <c r="J941" s="186"/>
      <c r="K941" s="180"/>
      <c r="L941" s="180"/>
    </row>
    <row r="942" spans="2:12" s="188" customFormat="1" ht="15" customHeight="1">
      <c r="B942" s="187"/>
      <c r="C942" s="187"/>
      <c r="D942" s="187"/>
      <c r="E942" s="187"/>
      <c r="F942" s="187"/>
      <c r="G942" s="187"/>
      <c r="H942" s="187"/>
      <c r="J942" s="186"/>
      <c r="K942" s="180"/>
      <c r="L942" s="180"/>
    </row>
    <row r="943" spans="2:12" s="188" customFormat="1" ht="15" customHeight="1">
      <c r="B943" s="187"/>
      <c r="C943" s="187"/>
      <c r="D943" s="187"/>
      <c r="E943" s="187"/>
      <c r="F943" s="187"/>
      <c r="G943" s="187"/>
      <c r="H943" s="187"/>
      <c r="J943" s="186"/>
      <c r="K943" s="180"/>
      <c r="L943" s="180"/>
    </row>
    <row r="944" spans="2:12" s="188" customFormat="1" ht="15" customHeight="1">
      <c r="B944" s="187"/>
      <c r="C944" s="187"/>
      <c r="D944" s="187"/>
      <c r="E944" s="187"/>
      <c r="F944" s="187"/>
      <c r="G944" s="187"/>
      <c r="H944" s="187"/>
      <c r="J944" s="186"/>
      <c r="K944" s="180"/>
      <c r="L944" s="180"/>
    </row>
    <row r="945" spans="2:12" s="188" customFormat="1" ht="15" customHeight="1">
      <c r="B945" s="187"/>
      <c r="C945" s="187"/>
      <c r="D945" s="187"/>
      <c r="E945" s="187"/>
      <c r="F945" s="187"/>
      <c r="G945" s="187"/>
      <c r="H945" s="187"/>
      <c r="J945" s="186"/>
      <c r="K945" s="180"/>
      <c r="L945" s="180"/>
    </row>
    <row r="946" spans="2:12" s="188" customFormat="1" ht="15" customHeight="1">
      <c r="B946" s="187"/>
      <c r="C946" s="187"/>
      <c r="D946" s="187"/>
      <c r="E946" s="187"/>
      <c r="F946" s="187"/>
      <c r="G946" s="187"/>
      <c r="H946" s="187"/>
      <c r="J946" s="186"/>
      <c r="K946" s="180"/>
      <c r="L946" s="180"/>
    </row>
    <row r="947" spans="2:12" s="188" customFormat="1" ht="15" customHeight="1">
      <c r="B947" s="187"/>
      <c r="C947" s="187"/>
      <c r="D947" s="187"/>
      <c r="E947" s="187"/>
      <c r="F947" s="187"/>
      <c r="G947" s="187"/>
      <c r="H947" s="187"/>
      <c r="J947" s="186"/>
      <c r="K947" s="180"/>
      <c r="L947" s="180"/>
    </row>
    <row r="948" spans="2:12" s="188" customFormat="1" ht="15" customHeight="1">
      <c r="B948" s="187"/>
      <c r="C948" s="187"/>
      <c r="D948" s="187"/>
      <c r="E948" s="187"/>
      <c r="F948" s="187"/>
      <c r="G948" s="187"/>
      <c r="H948" s="187"/>
      <c r="J948" s="186"/>
      <c r="K948" s="180"/>
      <c r="L948" s="180"/>
    </row>
    <row r="949" spans="2:12" s="188" customFormat="1" ht="15" customHeight="1">
      <c r="B949" s="187"/>
      <c r="C949" s="187"/>
      <c r="D949" s="187"/>
      <c r="E949" s="187"/>
      <c r="F949" s="187"/>
      <c r="G949" s="187"/>
      <c r="H949" s="187"/>
      <c r="J949" s="186"/>
      <c r="K949" s="180"/>
      <c r="L949" s="180"/>
    </row>
    <row r="950" spans="2:12" s="188" customFormat="1" ht="15" customHeight="1">
      <c r="B950" s="187"/>
      <c r="C950" s="187"/>
      <c r="D950" s="187"/>
      <c r="E950" s="187"/>
      <c r="F950" s="187"/>
      <c r="G950" s="187"/>
      <c r="H950" s="187"/>
      <c r="J950" s="186"/>
      <c r="K950" s="180"/>
      <c r="L950" s="180"/>
    </row>
    <row r="951" spans="2:12" s="188" customFormat="1" ht="15" customHeight="1">
      <c r="B951" s="187"/>
      <c r="C951" s="187"/>
      <c r="D951" s="187"/>
      <c r="E951" s="187"/>
      <c r="F951" s="187"/>
      <c r="G951" s="187"/>
      <c r="H951" s="187"/>
      <c r="J951" s="186"/>
      <c r="K951" s="180"/>
      <c r="L951" s="180"/>
    </row>
    <row r="952" spans="2:12" s="188" customFormat="1" ht="15" customHeight="1">
      <c r="B952" s="187"/>
      <c r="C952" s="187"/>
      <c r="D952" s="187"/>
      <c r="E952" s="187"/>
      <c r="F952" s="187"/>
      <c r="G952" s="187"/>
      <c r="H952" s="187"/>
      <c r="J952" s="186"/>
      <c r="K952" s="180"/>
      <c r="L952" s="180"/>
    </row>
    <row r="953" spans="2:12" s="188" customFormat="1" ht="15" customHeight="1">
      <c r="B953" s="187"/>
      <c r="C953" s="187"/>
      <c r="D953" s="187"/>
      <c r="E953" s="187"/>
      <c r="F953" s="187"/>
      <c r="G953" s="187"/>
      <c r="H953" s="187"/>
      <c r="J953" s="186"/>
      <c r="K953" s="180"/>
      <c r="L953" s="180"/>
    </row>
    <row r="954" spans="2:12" s="188" customFormat="1" ht="15" customHeight="1">
      <c r="B954" s="187"/>
      <c r="C954" s="187"/>
      <c r="D954" s="187"/>
      <c r="E954" s="187"/>
      <c r="F954" s="187"/>
      <c r="G954" s="187"/>
      <c r="H954" s="187"/>
      <c r="J954" s="186"/>
      <c r="K954" s="180"/>
      <c r="L954" s="180"/>
    </row>
    <row r="955" spans="2:12" s="188" customFormat="1" ht="15" customHeight="1">
      <c r="B955" s="187"/>
      <c r="C955" s="187"/>
      <c r="D955" s="187"/>
      <c r="E955" s="187"/>
      <c r="F955" s="187"/>
      <c r="G955" s="187"/>
      <c r="H955" s="187"/>
      <c r="J955" s="186"/>
      <c r="K955" s="180"/>
      <c r="L955" s="180"/>
    </row>
    <row r="956" spans="2:12" s="188" customFormat="1" ht="15" customHeight="1">
      <c r="B956" s="187"/>
      <c r="C956" s="187"/>
      <c r="D956" s="187"/>
      <c r="E956" s="187"/>
      <c r="F956" s="187"/>
      <c r="G956" s="187"/>
      <c r="H956" s="187"/>
      <c r="J956" s="186"/>
      <c r="K956" s="180"/>
      <c r="L956" s="180"/>
    </row>
    <row r="957" spans="2:12" s="188" customFormat="1" ht="15" customHeight="1">
      <c r="B957" s="187"/>
      <c r="C957" s="187"/>
      <c r="D957" s="187"/>
      <c r="E957" s="187"/>
      <c r="F957" s="187"/>
      <c r="G957" s="187"/>
      <c r="H957" s="187"/>
      <c r="J957" s="186"/>
      <c r="K957" s="180"/>
      <c r="L957" s="180"/>
    </row>
    <row r="958" spans="2:12" s="188" customFormat="1" ht="15" customHeight="1">
      <c r="B958" s="187"/>
      <c r="C958" s="187"/>
      <c r="D958" s="187"/>
      <c r="E958" s="187"/>
      <c r="F958" s="187"/>
      <c r="G958" s="187"/>
      <c r="H958" s="187"/>
      <c r="J958" s="186"/>
      <c r="K958" s="180"/>
      <c r="L958" s="180"/>
    </row>
    <row r="959" spans="2:12" s="188" customFormat="1" ht="15" customHeight="1">
      <c r="B959" s="187"/>
      <c r="C959" s="187"/>
      <c r="D959" s="187"/>
      <c r="E959" s="187"/>
      <c r="F959" s="187"/>
      <c r="G959" s="187"/>
      <c r="H959" s="187"/>
      <c r="J959" s="186"/>
      <c r="K959" s="180"/>
      <c r="L959" s="180"/>
    </row>
    <row r="960" spans="2:12" s="188" customFormat="1" ht="15" customHeight="1">
      <c r="B960" s="187"/>
      <c r="C960" s="187"/>
      <c r="D960" s="187"/>
      <c r="E960" s="187"/>
      <c r="F960" s="187"/>
      <c r="G960" s="187"/>
      <c r="H960" s="187"/>
      <c r="J960" s="186"/>
      <c r="K960" s="180"/>
      <c r="L960" s="180"/>
    </row>
    <row r="961" spans="2:12" s="188" customFormat="1" ht="15" customHeight="1">
      <c r="B961" s="187"/>
      <c r="C961" s="187"/>
      <c r="D961" s="187"/>
      <c r="E961" s="187"/>
      <c r="F961" s="187"/>
      <c r="G961" s="187"/>
      <c r="H961" s="187"/>
      <c r="J961" s="186"/>
      <c r="K961" s="180"/>
      <c r="L961" s="180"/>
    </row>
    <row r="962" spans="2:12" s="188" customFormat="1" ht="15" customHeight="1">
      <c r="B962" s="187"/>
      <c r="C962" s="187"/>
      <c r="D962" s="187"/>
      <c r="E962" s="187"/>
      <c r="F962" s="187"/>
      <c r="G962" s="187"/>
      <c r="H962" s="187"/>
      <c r="J962" s="186"/>
      <c r="K962" s="180"/>
      <c r="L962" s="180"/>
    </row>
    <row r="963" spans="2:12" s="188" customFormat="1" ht="15" customHeight="1">
      <c r="B963" s="187"/>
      <c r="C963" s="187"/>
      <c r="D963" s="187"/>
      <c r="E963" s="187"/>
      <c r="F963" s="187"/>
      <c r="G963" s="187"/>
      <c r="H963" s="187"/>
      <c r="J963" s="186"/>
      <c r="K963" s="180"/>
      <c r="L963" s="180"/>
    </row>
    <row r="964" spans="2:12" s="188" customFormat="1" ht="15" customHeight="1">
      <c r="B964" s="187"/>
      <c r="C964" s="187"/>
      <c r="D964" s="187"/>
      <c r="E964" s="187"/>
      <c r="F964" s="187"/>
      <c r="G964" s="187"/>
      <c r="H964" s="187"/>
      <c r="J964" s="186"/>
      <c r="K964" s="180"/>
      <c r="L964" s="180"/>
    </row>
    <row r="965" spans="2:12" s="188" customFormat="1" ht="15" customHeight="1">
      <c r="B965" s="187"/>
      <c r="C965" s="187"/>
      <c r="D965" s="187"/>
      <c r="E965" s="187"/>
      <c r="F965" s="187"/>
      <c r="G965" s="187"/>
      <c r="H965" s="187"/>
      <c r="J965" s="186"/>
      <c r="K965" s="180"/>
      <c r="L965" s="180"/>
    </row>
    <row r="966" spans="2:12" s="188" customFormat="1" ht="15" customHeight="1">
      <c r="B966" s="187"/>
      <c r="C966" s="187"/>
      <c r="D966" s="187"/>
      <c r="E966" s="187"/>
      <c r="F966" s="187"/>
      <c r="G966" s="187"/>
      <c r="H966" s="187"/>
      <c r="J966" s="186"/>
      <c r="K966" s="180"/>
      <c r="L966" s="180"/>
    </row>
    <row r="967" spans="2:12" s="188" customFormat="1" ht="15" customHeight="1">
      <c r="B967" s="187"/>
      <c r="C967" s="187"/>
      <c r="D967" s="187"/>
      <c r="E967" s="187"/>
      <c r="F967" s="187"/>
      <c r="G967" s="187"/>
      <c r="H967" s="187"/>
      <c r="J967" s="186"/>
      <c r="K967" s="180"/>
      <c r="L967" s="180"/>
    </row>
    <row r="968" spans="2:12" s="188" customFormat="1" ht="15" customHeight="1">
      <c r="B968" s="187"/>
      <c r="C968" s="187"/>
      <c r="D968" s="187"/>
      <c r="E968" s="187"/>
      <c r="F968" s="187"/>
      <c r="G968" s="187"/>
      <c r="H968" s="187"/>
      <c r="J968" s="186"/>
      <c r="K968" s="180"/>
      <c r="L968" s="180"/>
    </row>
    <row r="969" spans="2:12" s="188" customFormat="1" ht="15" customHeight="1">
      <c r="B969" s="187"/>
      <c r="C969" s="187"/>
      <c r="D969" s="187"/>
      <c r="E969" s="187"/>
      <c r="F969" s="187"/>
      <c r="G969" s="187"/>
      <c r="H969" s="187"/>
      <c r="J969" s="186"/>
      <c r="K969" s="180"/>
      <c r="L969" s="180"/>
    </row>
    <row r="970" spans="2:12" s="188" customFormat="1" ht="15" customHeight="1">
      <c r="B970" s="187"/>
      <c r="C970" s="187"/>
      <c r="D970" s="187"/>
      <c r="E970" s="187"/>
      <c r="F970" s="187"/>
      <c r="G970" s="187"/>
      <c r="H970" s="187"/>
      <c r="J970" s="186"/>
      <c r="K970" s="180"/>
      <c r="L970" s="180"/>
    </row>
    <row r="971" spans="2:12" s="188" customFormat="1" ht="15" customHeight="1">
      <c r="B971" s="187"/>
      <c r="C971" s="187"/>
      <c r="D971" s="187"/>
      <c r="E971" s="187"/>
      <c r="F971" s="187"/>
      <c r="G971" s="187"/>
      <c r="H971" s="187"/>
      <c r="J971" s="186"/>
      <c r="K971" s="180"/>
      <c r="L971" s="180"/>
    </row>
    <row r="972" spans="2:12" s="188" customFormat="1" ht="15" customHeight="1">
      <c r="B972" s="187"/>
      <c r="C972" s="187"/>
      <c r="D972" s="187"/>
      <c r="E972" s="187"/>
      <c r="F972" s="187"/>
      <c r="G972" s="187"/>
      <c r="H972" s="187"/>
      <c r="J972" s="186"/>
      <c r="K972" s="180"/>
      <c r="L972" s="180"/>
    </row>
    <row r="973" spans="2:12" s="188" customFormat="1" ht="15" customHeight="1">
      <c r="B973" s="187"/>
      <c r="C973" s="187"/>
      <c r="D973" s="187"/>
      <c r="E973" s="187"/>
      <c r="F973" s="187"/>
      <c r="G973" s="187"/>
      <c r="H973" s="187"/>
      <c r="J973" s="186"/>
      <c r="K973" s="180"/>
      <c r="L973" s="180"/>
    </row>
    <row r="974" spans="2:12" s="188" customFormat="1" ht="15" customHeight="1">
      <c r="B974" s="187"/>
      <c r="C974" s="187"/>
      <c r="D974" s="187"/>
      <c r="E974" s="187"/>
      <c r="F974" s="187"/>
      <c r="G974" s="187"/>
      <c r="H974" s="187"/>
      <c r="J974" s="186"/>
      <c r="K974" s="180"/>
      <c r="L974" s="180"/>
    </row>
    <row r="975" spans="2:12" s="188" customFormat="1" ht="15" customHeight="1">
      <c r="B975" s="187"/>
      <c r="C975" s="187"/>
      <c r="D975" s="187"/>
      <c r="E975" s="187"/>
      <c r="F975" s="187"/>
      <c r="G975" s="187"/>
      <c r="H975" s="187"/>
      <c r="J975" s="186"/>
      <c r="K975" s="180"/>
      <c r="L975" s="180"/>
    </row>
    <row r="976" spans="2:12" s="188" customFormat="1" ht="15" customHeight="1">
      <c r="B976" s="187"/>
      <c r="C976" s="187"/>
      <c r="D976" s="187"/>
      <c r="E976" s="187"/>
      <c r="F976" s="187"/>
      <c r="G976" s="187"/>
      <c r="H976" s="187"/>
      <c r="J976" s="186"/>
      <c r="K976" s="180"/>
      <c r="L976" s="180"/>
    </row>
    <row r="977" spans="2:12" s="188" customFormat="1" ht="15" customHeight="1">
      <c r="B977" s="187"/>
      <c r="C977" s="187"/>
      <c r="D977" s="187"/>
      <c r="E977" s="187"/>
      <c r="F977" s="187"/>
      <c r="G977" s="187"/>
      <c r="H977" s="187"/>
      <c r="J977" s="186"/>
      <c r="K977" s="180"/>
      <c r="L977" s="180"/>
    </row>
    <row r="978" spans="2:12" s="188" customFormat="1" ht="15" customHeight="1">
      <c r="B978" s="187"/>
      <c r="C978" s="187"/>
      <c r="D978" s="187"/>
      <c r="E978" s="187"/>
      <c r="F978" s="187"/>
      <c r="G978" s="187"/>
      <c r="H978" s="187"/>
      <c r="J978" s="186"/>
      <c r="K978" s="180"/>
      <c r="L978" s="180"/>
    </row>
    <row r="979" spans="2:12" s="188" customFormat="1" ht="15" customHeight="1">
      <c r="B979" s="187"/>
      <c r="C979" s="187"/>
      <c r="D979" s="187"/>
      <c r="E979" s="187"/>
      <c r="F979" s="187"/>
      <c r="G979" s="187"/>
      <c r="H979" s="187"/>
      <c r="J979" s="186"/>
      <c r="K979" s="180"/>
      <c r="L979" s="180"/>
    </row>
    <row r="980" spans="2:12" s="188" customFormat="1" ht="15" customHeight="1">
      <c r="B980" s="187"/>
      <c r="C980" s="187"/>
      <c r="D980" s="187"/>
      <c r="E980" s="187"/>
      <c r="F980" s="187"/>
      <c r="G980" s="187"/>
      <c r="H980" s="187"/>
      <c r="J980" s="186"/>
      <c r="K980" s="180"/>
      <c r="L980" s="180"/>
    </row>
    <row r="981" spans="2:12" s="188" customFormat="1" ht="15" customHeight="1">
      <c r="B981" s="187"/>
      <c r="C981" s="187"/>
      <c r="D981" s="187"/>
      <c r="E981" s="187"/>
      <c r="F981" s="187"/>
      <c r="G981" s="187"/>
      <c r="H981" s="187"/>
      <c r="J981" s="186"/>
      <c r="K981" s="180"/>
      <c r="L981" s="180"/>
    </row>
    <row r="982" spans="2:12" s="188" customFormat="1" ht="15" customHeight="1">
      <c r="B982" s="187"/>
      <c r="C982" s="187"/>
      <c r="D982" s="187"/>
      <c r="E982" s="187"/>
      <c r="F982" s="187"/>
      <c r="G982" s="187"/>
      <c r="H982" s="187"/>
      <c r="J982" s="186"/>
      <c r="K982" s="180"/>
      <c r="L982" s="180"/>
    </row>
    <row r="983" spans="2:12" s="188" customFormat="1" ht="15" customHeight="1">
      <c r="B983" s="187"/>
      <c r="C983" s="187"/>
      <c r="D983" s="187"/>
      <c r="E983" s="187"/>
      <c r="F983" s="187"/>
      <c r="G983" s="187"/>
      <c r="H983" s="187"/>
      <c r="J983" s="186"/>
      <c r="K983" s="180"/>
      <c r="L983" s="180"/>
    </row>
    <row r="984" spans="2:12" s="188" customFormat="1" ht="15" customHeight="1">
      <c r="B984" s="187"/>
      <c r="C984" s="187"/>
      <c r="D984" s="187"/>
      <c r="E984" s="187"/>
      <c r="F984" s="187"/>
      <c r="G984" s="187"/>
      <c r="H984" s="187"/>
      <c r="J984" s="186"/>
      <c r="K984" s="180"/>
      <c r="L984" s="180"/>
    </row>
    <row r="985" spans="2:12" s="188" customFormat="1" ht="15" customHeight="1">
      <c r="B985" s="187"/>
      <c r="C985" s="187"/>
      <c r="D985" s="187"/>
      <c r="E985" s="187"/>
      <c r="F985" s="187"/>
      <c r="G985" s="187"/>
      <c r="H985" s="187"/>
      <c r="J985" s="186"/>
      <c r="K985" s="180"/>
      <c r="L985" s="180"/>
    </row>
    <row r="986" spans="2:12" s="188" customFormat="1" ht="15" customHeight="1">
      <c r="B986" s="187"/>
      <c r="C986" s="187"/>
      <c r="D986" s="187"/>
      <c r="E986" s="187"/>
      <c r="F986" s="187"/>
      <c r="G986" s="187"/>
      <c r="H986" s="187"/>
      <c r="J986" s="186"/>
      <c r="K986" s="180"/>
      <c r="L986" s="180"/>
    </row>
    <row r="987" spans="2:12" s="188" customFormat="1" ht="15" customHeight="1">
      <c r="B987" s="187"/>
      <c r="C987" s="187"/>
      <c r="D987" s="187"/>
      <c r="E987" s="187"/>
      <c r="F987" s="187"/>
      <c r="G987" s="187"/>
      <c r="H987" s="187"/>
      <c r="J987" s="186"/>
      <c r="K987" s="180"/>
      <c r="L987" s="180"/>
    </row>
    <row r="988" spans="2:12" s="188" customFormat="1" ht="15" customHeight="1">
      <c r="B988" s="187"/>
      <c r="C988" s="187"/>
      <c r="D988" s="187"/>
      <c r="E988" s="187"/>
      <c r="F988" s="187"/>
      <c r="G988" s="187"/>
      <c r="H988" s="187"/>
      <c r="J988" s="186"/>
      <c r="K988" s="180"/>
      <c r="L988" s="180"/>
    </row>
    <row r="989" spans="2:12" s="188" customFormat="1" ht="15" customHeight="1">
      <c r="B989" s="187"/>
      <c r="C989" s="187"/>
      <c r="D989" s="187"/>
      <c r="E989" s="187"/>
      <c r="F989" s="187"/>
      <c r="G989" s="187"/>
      <c r="H989" s="187"/>
      <c r="J989" s="186"/>
      <c r="K989" s="180"/>
      <c r="L989" s="180"/>
    </row>
    <row r="990" spans="2:12" s="188" customFormat="1" ht="15" customHeight="1">
      <c r="B990" s="187"/>
      <c r="C990" s="187"/>
      <c r="D990" s="187"/>
      <c r="E990" s="187"/>
      <c r="F990" s="187"/>
      <c r="G990" s="187"/>
      <c r="H990" s="187"/>
      <c r="J990" s="186"/>
      <c r="K990" s="180"/>
      <c r="L990" s="180"/>
    </row>
    <row r="991" spans="2:12" s="188" customFormat="1" ht="15" customHeight="1">
      <c r="B991" s="187"/>
      <c r="C991" s="187"/>
      <c r="D991" s="187"/>
      <c r="E991" s="187"/>
      <c r="F991" s="187"/>
      <c r="G991" s="187"/>
      <c r="H991" s="187"/>
      <c r="J991" s="186"/>
      <c r="K991" s="180"/>
      <c r="L991" s="180"/>
    </row>
    <row r="992" spans="2:12" s="188" customFormat="1" ht="15" customHeight="1">
      <c r="B992" s="187"/>
      <c r="C992" s="187"/>
      <c r="D992" s="187"/>
      <c r="E992" s="187"/>
      <c r="F992" s="187"/>
      <c r="G992" s="187"/>
      <c r="H992" s="187"/>
      <c r="J992" s="186"/>
      <c r="K992" s="180"/>
      <c r="L992" s="180"/>
    </row>
    <row r="993" spans="2:12" s="188" customFormat="1" ht="15" customHeight="1">
      <c r="B993" s="187"/>
      <c r="C993" s="187"/>
      <c r="D993" s="187"/>
      <c r="E993" s="187"/>
      <c r="F993" s="187"/>
      <c r="G993" s="187"/>
      <c r="H993" s="187"/>
      <c r="J993" s="186"/>
      <c r="K993" s="180"/>
      <c r="L993" s="180"/>
    </row>
    <row r="994" spans="2:12" s="188" customFormat="1" ht="15" customHeight="1">
      <c r="B994" s="187"/>
      <c r="C994" s="187"/>
      <c r="D994" s="187"/>
      <c r="E994" s="187"/>
      <c r="F994" s="187"/>
      <c r="G994" s="187"/>
      <c r="H994" s="187"/>
      <c r="J994" s="186"/>
      <c r="K994" s="180"/>
      <c r="L994" s="180"/>
    </row>
    <row r="995" spans="2:12" s="188" customFormat="1" ht="15" customHeight="1">
      <c r="B995" s="187"/>
      <c r="C995" s="187"/>
      <c r="D995" s="187"/>
      <c r="E995" s="187"/>
      <c r="F995" s="187"/>
      <c r="G995" s="187"/>
      <c r="H995" s="187"/>
      <c r="J995" s="186"/>
      <c r="K995" s="180"/>
      <c r="L995" s="180"/>
    </row>
    <row r="996" spans="2:12" s="188" customFormat="1" ht="15" customHeight="1">
      <c r="B996" s="187"/>
      <c r="C996" s="187"/>
      <c r="D996" s="187"/>
      <c r="E996" s="187"/>
      <c r="F996" s="187"/>
      <c r="G996" s="187"/>
      <c r="H996" s="187"/>
      <c r="J996" s="186"/>
      <c r="K996" s="180"/>
      <c r="L996" s="180"/>
    </row>
    <row r="997" spans="2:12" s="188" customFormat="1" ht="15" customHeight="1">
      <c r="B997" s="187"/>
      <c r="C997" s="187"/>
      <c r="D997" s="187"/>
      <c r="E997" s="187"/>
      <c r="F997" s="187"/>
      <c r="G997" s="187"/>
      <c r="H997" s="187"/>
      <c r="J997" s="186"/>
      <c r="K997" s="180"/>
      <c r="L997" s="180"/>
    </row>
    <row r="998" spans="2:12" s="188" customFormat="1" ht="15" customHeight="1">
      <c r="B998" s="187"/>
      <c r="C998" s="187"/>
      <c r="D998" s="187"/>
      <c r="E998" s="187"/>
      <c r="F998" s="187"/>
      <c r="G998" s="187"/>
      <c r="H998" s="187"/>
      <c r="J998" s="186"/>
      <c r="K998" s="180"/>
      <c r="L998" s="180"/>
    </row>
    <row r="999" spans="2:12" s="188" customFormat="1" ht="15" customHeight="1">
      <c r="B999" s="187"/>
      <c r="C999" s="187"/>
      <c r="D999" s="187"/>
      <c r="E999" s="187"/>
      <c r="F999" s="187"/>
      <c r="G999" s="187"/>
      <c r="H999" s="187"/>
      <c r="J999" s="186"/>
      <c r="K999" s="180"/>
      <c r="L999" s="180"/>
    </row>
    <row r="1000" spans="2:12" s="188" customFormat="1" ht="15" customHeight="1">
      <c r="B1000" s="187"/>
      <c r="C1000" s="187"/>
      <c r="D1000" s="187"/>
      <c r="E1000" s="187"/>
      <c r="F1000" s="187"/>
      <c r="G1000" s="187"/>
      <c r="H1000" s="187"/>
      <c r="J1000" s="186"/>
      <c r="K1000" s="180"/>
      <c r="L1000" s="180"/>
    </row>
    <row r="1001" spans="2:12" s="188" customFormat="1" ht="15" customHeight="1">
      <c r="B1001" s="187"/>
      <c r="C1001" s="187"/>
      <c r="D1001" s="187"/>
      <c r="E1001" s="187"/>
      <c r="F1001" s="187"/>
      <c r="G1001" s="187"/>
      <c r="H1001" s="187"/>
      <c r="J1001" s="186"/>
      <c r="K1001" s="180"/>
      <c r="L1001" s="180"/>
    </row>
    <row r="1002" spans="2:12" s="188" customFormat="1" ht="15" customHeight="1">
      <c r="B1002" s="187"/>
      <c r="C1002" s="187"/>
      <c r="D1002" s="187"/>
      <c r="E1002" s="187"/>
      <c r="F1002" s="187"/>
      <c r="G1002" s="187"/>
      <c r="H1002" s="187"/>
      <c r="J1002" s="186"/>
      <c r="K1002" s="180"/>
      <c r="L1002" s="180"/>
    </row>
    <row r="1003" spans="2:12" s="188" customFormat="1" ht="15" customHeight="1">
      <c r="B1003" s="187"/>
      <c r="C1003" s="187"/>
      <c r="D1003" s="187"/>
      <c r="E1003" s="187"/>
      <c r="F1003" s="187"/>
      <c r="G1003" s="187"/>
      <c r="H1003" s="187"/>
      <c r="J1003" s="186"/>
      <c r="K1003" s="180"/>
      <c r="L1003" s="180"/>
    </row>
    <row r="1004" spans="2:12" s="188" customFormat="1" ht="15" customHeight="1">
      <c r="B1004" s="187"/>
      <c r="C1004" s="187"/>
      <c r="D1004" s="187"/>
      <c r="E1004" s="187"/>
      <c r="F1004" s="187"/>
      <c r="G1004" s="187"/>
      <c r="H1004" s="187"/>
      <c r="J1004" s="186"/>
      <c r="K1004" s="180"/>
      <c r="L1004" s="180"/>
    </row>
    <row r="1005" spans="2:12" s="188" customFormat="1" ht="15" customHeight="1">
      <c r="B1005" s="187"/>
      <c r="C1005" s="187"/>
      <c r="D1005" s="187"/>
      <c r="E1005" s="187"/>
      <c r="F1005" s="187"/>
      <c r="G1005" s="187"/>
      <c r="H1005" s="187"/>
      <c r="J1005" s="186"/>
      <c r="K1005" s="180"/>
      <c r="L1005" s="180"/>
    </row>
    <row r="1006" spans="2:12" s="188" customFormat="1" ht="15" customHeight="1">
      <c r="B1006" s="187"/>
      <c r="C1006" s="187"/>
      <c r="D1006" s="187"/>
      <c r="E1006" s="187"/>
      <c r="F1006" s="187"/>
      <c r="G1006" s="187"/>
      <c r="H1006" s="187"/>
      <c r="J1006" s="186"/>
      <c r="K1006" s="180"/>
      <c r="L1006" s="180"/>
    </row>
    <row r="1007" spans="2:12" s="188" customFormat="1" ht="15" customHeight="1">
      <c r="B1007" s="187"/>
      <c r="C1007" s="187"/>
      <c r="D1007" s="187"/>
      <c r="E1007" s="187"/>
      <c r="F1007" s="187"/>
      <c r="G1007" s="187"/>
      <c r="H1007" s="187"/>
      <c r="J1007" s="186"/>
      <c r="K1007" s="180"/>
      <c r="L1007" s="180"/>
    </row>
    <row r="1008" spans="2:12" s="188" customFormat="1" ht="15" customHeight="1">
      <c r="B1008" s="187"/>
      <c r="C1008" s="187"/>
      <c r="D1008" s="187"/>
      <c r="E1008" s="187"/>
      <c r="F1008" s="187"/>
      <c r="G1008" s="187"/>
      <c r="H1008" s="187"/>
      <c r="J1008" s="186"/>
      <c r="K1008" s="180"/>
      <c r="L1008" s="180"/>
    </row>
    <row r="1009" spans="2:12" s="188" customFormat="1" ht="15" customHeight="1">
      <c r="B1009" s="187"/>
      <c r="C1009" s="187"/>
      <c r="D1009" s="187"/>
      <c r="E1009" s="187"/>
      <c r="F1009" s="187"/>
      <c r="G1009" s="187"/>
      <c r="H1009" s="187"/>
      <c r="J1009" s="186"/>
      <c r="K1009" s="180"/>
      <c r="L1009" s="180"/>
    </row>
    <row r="1010" spans="2:12" s="188" customFormat="1" ht="15" customHeight="1">
      <c r="B1010" s="187"/>
      <c r="C1010" s="187"/>
      <c r="D1010" s="187"/>
      <c r="E1010" s="187"/>
      <c r="F1010" s="187"/>
      <c r="G1010" s="187"/>
      <c r="H1010" s="187"/>
      <c r="J1010" s="186"/>
      <c r="K1010" s="180"/>
      <c r="L1010" s="180"/>
    </row>
    <row r="1011" spans="2:12" s="188" customFormat="1" ht="15" customHeight="1">
      <c r="B1011" s="187"/>
      <c r="C1011" s="187"/>
      <c r="D1011" s="187"/>
      <c r="E1011" s="187"/>
      <c r="F1011" s="187"/>
      <c r="G1011" s="187"/>
      <c r="H1011" s="187"/>
      <c r="J1011" s="186"/>
      <c r="K1011" s="180"/>
      <c r="L1011" s="180"/>
    </row>
    <row r="1012" spans="2:12" s="188" customFormat="1" ht="15" customHeight="1">
      <c r="B1012" s="187"/>
      <c r="C1012" s="187"/>
      <c r="D1012" s="187"/>
      <c r="E1012" s="187"/>
      <c r="F1012" s="187"/>
      <c r="G1012" s="187"/>
      <c r="H1012" s="187"/>
      <c r="J1012" s="186"/>
      <c r="K1012" s="180"/>
      <c r="L1012" s="180"/>
    </row>
    <row r="1013" spans="2:12" s="188" customFormat="1" ht="15" customHeight="1">
      <c r="B1013" s="187"/>
      <c r="C1013" s="187"/>
      <c r="D1013" s="187"/>
      <c r="E1013" s="187"/>
      <c r="F1013" s="187"/>
      <c r="G1013" s="187"/>
      <c r="H1013" s="187"/>
      <c r="J1013" s="186"/>
      <c r="K1013" s="180"/>
      <c r="L1013" s="180"/>
    </row>
    <row r="1014" spans="2:12" s="188" customFormat="1" ht="15" customHeight="1">
      <c r="B1014" s="187"/>
      <c r="C1014" s="187"/>
      <c r="D1014" s="187"/>
      <c r="E1014" s="187"/>
      <c r="F1014" s="187"/>
      <c r="G1014" s="187"/>
      <c r="H1014" s="187"/>
      <c r="J1014" s="186"/>
      <c r="K1014" s="180"/>
      <c r="L1014" s="180"/>
    </row>
    <row r="1015" spans="2:12" s="188" customFormat="1" ht="15" customHeight="1">
      <c r="B1015" s="187"/>
      <c r="C1015" s="187"/>
      <c r="D1015" s="187"/>
      <c r="E1015" s="187"/>
      <c r="F1015" s="187"/>
      <c r="G1015" s="187"/>
      <c r="H1015" s="187"/>
      <c r="J1015" s="186"/>
      <c r="K1015" s="180"/>
      <c r="L1015" s="180"/>
    </row>
    <row r="1016" spans="2:12" s="188" customFormat="1" ht="15" customHeight="1">
      <c r="B1016" s="187"/>
      <c r="C1016" s="187"/>
      <c r="D1016" s="187"/>
      <c r="E1016" s="187"/>
      <c r="F1016" s="187"/>
      <c r="G1016" s="187"/>
      <c r="H1016" s="187"/>
      <c r="J1016" s="186"/>
      <c r="K1016" s="180"/>
      <c r="L1016" s="180"/>
    </row>
    <row r="1017" spans="2:12" s="188" customFormat="1" ht="15" customHeight="1">
      <c r="B1017" s="187"/>
      <c r="C1017" s="187"/>
      <c r="D1017" s="187"/>
      <c r="E1017" s="187"/>
      <c r="F1017" s="187"/>
      <c r="G1017" s="187"/>
      <c r="H1017" s="187"/>
      <c r="J1017" s="186"/>
      <c r="K1017" s="180"/>
      <c r="L1017" s="180"/>
    </row>
    <row r="1018" spans="2:12" s="188" customFormat="1" ht="15" customHeight="1">
      <c r="B1018" s="187"/>
      <c r="C1018" s="187"/>
      <c r="D1018" s="187"/>
      <c r="E1018" s="187"/>
      <c r="F1018" s="187"/>
      <c r="G1018" s="187"/>
      <c r="H1018" s="187"/>
      <c r="J1018" s="186"/>
      <c r="K1018" s="180"/>
      <c r="L1018" s="180"/>
    </row>
    <row r="1019" spans="2:12" s="188" customFormat="1" ht="15" customHeight="1">
      <c r="B1019" s="187"/>
      <c r="C1019" s="187"/>
      <c r="D1019" s="187"/>
      <c r="E1019" s="187"/>
      <c r="F1019" s="187"/>
      <c r="G1019" s="187"/>
      <c r="H1019" s="187"/>
      <c r="J1019" s="186"/>
      <c r="K1019" s="180"/>
      <c r="L1019" s="180"/>
    </row>
    <row r="1020" spans="2:12" s="188" customFormat="1" ht="15" customHeight="1">
      <c r="B1020" s="187"/>
      <c r="C1020" s="187"/>
      <c r="D1020" s="187"/>
      <c r="E1020" s="187"/>
      <c r="F1020" s="187"/>
      <c r="G1020" s="187"/>
      <c r="H1020" s="187"/>
      <c r="J1020" s="186"/>
      <c r="K1020" s="180"/>
      <c r="L1020" s="180"/>
    </row>
    <row r="1021" spans="2:12" s="188" customFormat="1" ht="15" customHeight="1">
      <c r="B1021" s="187"/>
      <c r="C1021" s="187"/>
      <c r="D1021" s="187"/>
      <c r="E1021" s="187"/>
      <c r="F1021" s="187"/>
      <c r="G1021" s="187"/>
      <c r="H1021" s="187"/>
      <c r="J1021" s="186"/>
      <c r="K1021" s="180"/>
      <c r="L1021" s="180"/>
    </row>
    <row r="1022" spans="2:12" s="188" customFormat="1" ht="15" customHeight="1">
      <c r="B1022" s="187"/>
      <c r="C1022" s="187"/>
      <c r="D1022" s="187"/>
      <c r="E1022" s="187"/>
      <c r="F1022" s="187"/>
      <c r="G1022" s="187"/>
      <c r="H1022" s="187"/>
      <c r="J1022" s="186"/>
      <c r="K1022" s="180"/>
      <c r="L1022" s="180"/>
    </row>
    <row r="1023" spans="2:12" s="188" customFormat="1" ht="15" customHeight="1">
      <c r="B1023" s="187"/>
      <c r="C1023" s="187"/>
      <c r="D1023" s="187"/>
      <c r="E1023" s="187"/>
      <c r="F1023" s="187"/>
      <c r="G1023" s="187"/>
      <c r="H1023" s="187"/>
      <c r="J1023" s="186"/>
      <c r="K1023" s="180"/>
      <c r="L1023" s="180"/>
    </row>
    <row r="1024" spans="2:12" s="188" customFormat="1" ht="15" customHeight="1">
      <c r="B1024" s="187"/>
      <c r="C1024" s="187"/>
      <c r="D1024" s="187"/>
      <c r="E1024" s="187"/>
      <c r="F1024" s="187"/>
      <c r="G1024" s="187"/>
      <c r="H1024" s="187"/>
      <c r="J1024" s="186"/>
      <c r="K1024" s="180"/>
      <c r="L1024" s="180"/>
    </row>
    <row r="1025" spans="2:12" s="188" customFormat="1" ht="15" customHeight="1">
      <c r="B1025" s="187"/>
      <c r="C1025" s="187"/>
      <c r="D1025" s="187"/>
      <c r="E1025" s="187"/>
      <c r="F1025" s="187"/>
      <c r="G1025" s="187"/>
      <c r="H1025" s="187"/>
      <c r="J1025" s="186"/>
      <c r="K1025" s="180"/>
      <c r="L1025" s="180"/>
    </row>
    <row r="1026" spans="2:12" s="188" customFormat="1" ht="15" customHeight="1">
      <c r="B1026" s="187"/>
      <c r="C1026" s="187"/>
      <c r="D1026" s="187"/>
      <c r="E1026" s="187"/>
      <c r="F1026" s="187"/>
      <c r="G1026" s="187"/>
      <c r="H1026" s="187"/>
      <c r="J1026" s="186"/>
      <c r="K1026" s="180"/>
      <c r="L1026" s="180"/>
    </row>
    <row r="1027" spans="2:12" s="188" customFormat="1" ht="15" customHeight="1">
      <c r="B1027" s="187"/>
      <c r="C1027" s="187"/>
      <c r="D1027" s="187"/>
      <c r="E1027" s="187"/>
      <c r="F1027" s="187"/>
      <c r="G1027" s="187"/>
      <c r="H1027" s="187"/>
      <c r="J1027" s="186"/>
      <c r="K1027" s="180"/>
      <c r="L1027" s="180"/>
    </row>
    <row r="1028" spans="2:12" s="188" customFormat="1" ht="15" customHeight="1">
      <c r="B1028" s="187"/>
      <c r="C1028" s="187"/>
      <c r="D1028" s="187"/>
      <c r="E1028" s="187"/>
      <c r="F1028" s="187"/>
      <c r="G1028" s="187"/>
      <c r="H1028" s="187"/>
      <c r="J1028" s="186"/>
      <c r="K1028" s="180"/>
      <c r="L1028" s="180"/>
    </row>
    <row r="1029" spans="2:12" s="188" customFormat="1" ht="15" customHeight="1">
      <c r="B1029" s="187"/>
      <c r="C1029" s="187"/>
      <c r="D1029" s="187"/>
      <c r="E1029" s="187"/>
      <c r="F1029" s="187"/>
      <c r="G1029" s="187"/>
      <c r="H1029" s="187"/>
      <c r="J1029" s="186"/>
      <c r="K1029" s="180"/>
      <c r="L1029" s="180"/>
    </row>
    <row r="1030" spans="2:12" s="188" customFormat="1" ht="15" customHeight="1">
      <c r="B1030" s="187"/>
      <c r="C1030" s="187"/>
      <c r="D1030" s="187"/>
      <c r="E1030" s="187"/>
      <c r="F1030" s="187"/>
      <c r="G1030" s="187"/>
      <c r="H1030" s="187"/>
      <c r="J1030" s="186"/>
      <c r="K1030" s="180"/>
      <c r="L1030" s="180"/>
    </row>
    <row r="1031" spans="2:12" s="188" customFormat="1" ht="15" customHeight="1">
      <c r="B1031" s="187"/>
      <c r="C1031" s="187"/>
      <c r="D1031" s="187"/>
      <c r="E1031" s="187"/>
      <c r="F1031" s="187"/>
      <c r="G1031" s="187"/>
      <c r="H1031" s="187"/>
      <c r="J1031" s="186"/>
      <c r="K1031" s="180"/>
      <c r="L1031" s="180"/>
    </row>
    <row r="1032" spans="2:12" s="188" customFormat="1" ht="15" customHeight="1">
      <c r="B1032" s="187"/>
      <c r="C1032" s="187"/>
      <c r="D1032" s="187"/>
      <c r="E1032" s="187"/>
      <c r="F1032" s="187"/>
      <c r="G1032" s="187"/>
      <c r="H1032" s="187"/>
      <c r="J1032" s="186"/>
      <c r="K1032" s="180"/>
      <c r="L1032" s="180"/>
    </row>
    <row r="1033" spans="2:12" s="188" customFormat="1" ht="15" customHeight="1">
      <c r="B1033" s="187"/>
      <c r="C1033" s="187"/>
      <c r="D1033" s="187"/>
      <c r="E1033" s="187"/>
      <c r="F1033" s="187"/>
      <c r="G1033" s="187"/>
      <c r="H1033" s="187"/>
      <c r="J1033" s="186"/>
      <c r="K1033" s="180"/>
      <c r="L1033" s="180"/>
    </row>
    <row r="1034" spans="2:12" s="188" customFormat="1" ht="15" customHeight="1">
      <c r="B1034" s="187"/>
      <c r="C1034" s="187"/>
      <c r="D1034" s="187"/>
      <c r="E1034" s="187"/>
      <c r="F1034" s="187"/>
      <c r="G1034" s="187"/>
      <c r="H1034" s="187"/>
      <c r="J1034" s="186"/>
      <c r="K1034" s="180"/>
      <c r="L1034" s="180"/>
    </row>
    <row r="1035" spans="2:12" s="188" customFormat="1" ht="15" customHeight="1">
      <c r="B1035" s="187"/>
      <c r="C1035" s="187"/>
      <c r="D1035" s="187"/>
      <c r="E1035" s="187"/>
      <c r="F1035" s="187"/>
      <c r="G1035" s="187"/>
      <c r="H1035" s="187"/>
      <c r="J1035" s="186"/>
      <c r="K1035" s="180"/>
      <c r="L1035" s="180"/>
    </row>
    <row r="1036" spans="2:12" s="188" customFormat="1" ht="15" customHeight="1">
      <c r="B1036" s="187"/>
      <c r="C1036" s="187"/>
      <c r="D1036" s="187"/>
      <c r="E1036" s="187"/>
      <c r="F1036" s="187"/>
      <c r="G1036" s="187"/>
      <c r="H1036" s="187"/>
      <c r="J1036" s="186"/>
      <c r="K1036" s="180"/>
      <c r="L1036" s="180"/>
    </row>
    <row r="1037" spans="2:12" s="188" customFormat="1" ht="15" customHeight="1">
      <c r="B1037" s="187"/>
      <c r="C1037" s="187"/>
      <c r="D1037" s="187"/>
      <c r="E1037" s="187"/>
      <c r="F1037" s="187"/>
      <c r="G1037" s="187"/>
      <c r="H1037" s="187"/>
      <c r="J1037" s="186"/>
      <c r="K1037" s="180"/>
      <c r="L1037" s="180"/>
    </row>
    <row r="1038" spans="2:12" s="188" customFormat="1" ht="15" customHeight="1">
      <c r="B1038" s="187"/>
      <c r="C1038" s="187"/>
      <c r="D1038" s="187"/>
      <c r="E1038" s="187"/>
      <c r="F1038" s="187"/>
      <c r="G1038" s="187"/>
      <c r="H1038" s="187"/>
      <c r="J1038" s="186"/>
      <c r="K1038" s="180"/>
      <c r="L1038" s="180"/>
    </row>
    <row r="1039" spans="2:12" s="188" customFormat="1" ht="15" customHeight="1">
      <c r="B1039" s="187"/>
      <c r="C1039" s="187"/>
      <c r="D1039" s="187"/>
      <c r="E1039" s="187"/>
      <c r="F1039" s="187"/>
      <c r="G1039" s="187"/>
      <c r="H1039" s="187"/>
      <c r="J1039" s="186"/>
      <c r="K1039" s="180"/>
      <c r="L1039" s="180"/>
    </row>
    <row r="1040" spans="2:12" s="188" customFormat="1" ht="15" customHeight="1">
      <c r="B1040" s="187"/>
      <c r="C1040" s="187"/>
      <c r="D1040" s="187"/>
      <c r="E1040" s="187"/>
      <c r="F1040" s="187"/>
      <c r="G1040" s="187"/>
      <c r="H1040" s="187"/>
      <c r="J1040" s="186"/>
      <c r="K1040" s="180"/>
      <c r="L1040" s="180"/>
    </row>
    <row r="1041" spans="2:12" s="188" customFormat="1" ht="15" customHeight="1">
      <c r="B1041" s="187"/>
      <c r="C1041" s="187"/>
      <c r="D1041" s="187"/>
      <c r="E1041" s="187"/>
      <c r="F1041" s="187"/>
      <c r="G1041" s="187"/>
      <c r="H1041" s="187"/>
      <c r="J1041" s="186"/>
      <c r="K1041" s="180"/>
      <c r="L1041" s="180"/>
    </row>
    <row r="1042" spans="2:12" s="188" customFormat="1" ht="15" customHeight="1">
      <c r="B1042" s="187"/>
      <c r="C1042" s="187"/>
      <c r="D1042" s="187"/>
      <c r="E1042" s="187"/>
      <c r="F1042" s="187"/>
      <c r="G1042" s="187"/>
      <c r="H1042" s="187"/>
      <c r="J1042" s="186"/>
      <c r="K1042" s="180"/>
      <c r="L1042" s="180"/>
    </row>
    <row r="1043" spans="2:12" s="188" customFormat="1" ht="15" customHeight="1">
      <c r="B1043" s="187"/>
      <c r="C1043" s="187"/>
      <c r="D1043" s="187"/>
      <c r="E1043" s="187"/>
      <c r="F1043" s="187"/>
      <c r="G1043" s="187"/>
      <c r="H1043" s="187"/>
      <c r="J1043" s="186"/>
      <c r="K1043" s="180"/>
      <c r="L1043" s="180"/>
    </row>
    <row r="1044" spans="2:12" s="188" customFormat="1" ht="15" customHeight="1">
      <c r="B1044" s="187"/>
      <c r="C1044" s="187"/>
      <c r="D1044" s="187"/>
      <c r="E1044" s="187"/>
      <c r="F1044" s="187"/>
      <c r="G1044" s="187"/>
      <c r="H1044" s="187"/>
      <c r="J1044" s="186"/>
      <c r="K1044" s="180"/>
      <c r="L1044" s="180"/>
    </row>
    <row r="1045" spans="2:12" s="188" customFormat="1" ht="15" customHeight="1">
      <c r="B1045" s="187"/>
      <c r="C1045" s="187"/>
      <c r="D1045" s="187"/>
      <c r="E1045" s="187"/>
      <c r="F1045" s="187"/>
      <c r="G1045" s="187"/>
      <c r="H1045" s="187"/>
      <c r="J1045" s="186"/>
      <c r="K1045" s="180"/>
      <c r="L1045" s="180"/>
    </row>
    <row r="1046" spans="2:12" s="188" customFormat="1" ht="15" customHeight="1">
      <c r="B1046" s="187"/>
      <c r="C1046" s="187"/>
      <c r="D1046" s="187"/>
      <c r="E1046" s="187"/>
      <c r="F1046" s="187"/>
      <c r="G1046" s="187"/>
      <c r="H1046" s="187"/>
      <c r="J1046" s="186"/>
      <c r="K1046" s="180"/>
      <c r="L1046" s="180"/>
    </row>
    <row r="1047" spans="2:12" s="188" customFormat="1" ht="15" customHeight="1">
      <c r="B1047" s="187"/>
      <c r="C1047" s="187"/>
      <c r="D1047" s="187"/>
      <c r="E1047" s="187"/>
      <c r="F1047" s="187"/>
      <c r="G1047" s="187"/>
      <c r="H1047" s="187"/>
      <c r="J1047" s="186"/>
      <c r="K1047" s="180"/>
      <c r="L1047" s="180"/>
    </row>
    <row r="1048" spans="2:12" s="188" customFormat="1" ht="15" customHeight="1">
      <c r="B1048" s="187"/>
      <c r="C1048" s="187"/>
      <c r="D1048" s="187"/>
      <c r="E1048" s="187"/>
      <c r="F1048" s="187"/>
      <c r="G1048" s="187"/>
      <c r="H1048" s="187"/>
      <c r="J1048" s="186"/>
      <c r="K1048" s="180"/>
      <c r="L1048" s="180"/>
    </row>
    <row r="1049" spans="2:12" s="188" customFormat="1" ht="15" customHeight="1">
      <c r="B1049" s="187"/>
      <c r="C1049" s="187"/>
      <c r="D1049" s="187"/>
      <c r="E1049" s="187"/>
      <c r="F1049" s="187"/>
      <c r="G1049" s="187"/>
      <c r="H1049" s="187"/>
      <c r="J1049" s="186"/>
      <c r="K1049" s="180"/>
      <c r="L1049" s="180"/>
    </row>
    <row r="1050" spans="2:12" s="188" customFormat="1" ht="15" customHeight="1">
      <c r="B1050" s="187"/>
      <c r="C1050" s="187"/>
      <c r="D1050" s="187"/>
      <c r="E1050" s="187"/>
      <c r="F1050" s="187"/>
      <c r="G1050" s="187"/>
      <c r="H1050" s="187"/>
      <c r="J1050" s="186"/>
      <c r="K1050" s="180"/>
      <c r="L1050" s="180"/>
    </row>
    <row r="1051" spans="2:12" s="188" customFormat="1" ht="15" customHeight="1">
      <c r="B1051" s="187"/>
      <c r="C1051" s="187"/>
      <c r="D1051" s="187"/>
      <c r="E1051" s="187"/>
      <c r="F1051" s="187"/>
      <c r="G1051" s="187"/>
      <c r="H1051" s="187"/>
      <c r="J1051" s="186"/>
      <c r="K1051" s="180"/>
      <c r="L1051" s="180"/>
    </row>
    <row r="1052" spans="2:12" s="188" customFormat="1" ht="15" customHeight="1">
      <c r="B1052" s="187"/>
      <c r="C1052" s="187"/>
      <c r="D1052" s="187"/>
      <c r="E1052" s="187"/>
      <c r="F1052" s="187"/>
      <c r="G1052" s="187"/>
      <c r="H1052" s="187"/>
      <c r="J1052" s="186"/>
      <c r="K1052" s="180"/>
      <c r="L1052" s="180"/>
    </row>
    <row r="1053" spans="2:12" s="188" customFormat="1" ht="15" customHeight="1">
      <c r="B1053" s="187"/>
      <c r="C1053" s="187"/>
      <c r="D1053" s="187"/>
      <c r="E1053" s="187"/>
      <c r="F1053" s="187"/>
      <c r="G1053" s="187"/>
      <c r="H1053" s="187"/>
      <c r="J1053" s="186"/>
      <c r="K1053" s="180"/>
      <c r="L1053" s="180"/>
    </row>
    <row r="1054" spans="2:12" s="188" customFormat="1" ht="15" customHeight="1">
      <c r="B1054" s="187"/>
      <c r="C1054" s="187"/>
      <c r="D1054" s="187"/>
      <c r="E1054" s="187"/>
      <c r="F1054" s="187"/>
      <c r="G1054" s="187"/>
      <c r="H1054" s="187"/>
      <c r="J1054" s="186"/>
      <c r="K1054" s="180"/>
      <c r="L1054" s="180"/>
    </row>
    <row r="1055" spans="2:12" s="188" customFormat="1" ht="15" customHeight="1">
      <c r="B1055" s="187"/>
      <c r="C1055" s="187"/>
      <c r="D1055" s="187"/>
      <c r="E1055" s="187"/>
      <c r="F1055" s="187"/>
      <c r="G1055" s="187"/>
      <c r="H1055" s="187"/>
      <c r="J1055" s="186"/>
      <c r="K1055" s="180"/>
      <c r="L1055" s="180"/>
    </row>
    <row r="1056" spans="2:12" s="188" customFormat="1" ht="15" customHeight="1">
      <c r="B1056" s="187"/>
      <c r="C1056" s="187"/>
      <c r="D1056" s="187"/>
      <c r="E1056" s="187"/>
      <c r="F1056" s="187"/>
      <c r="G1056" s="187"/>
      <c r="H1056" s="187"/>
      <c r="J1056" s="186"/>
      <c r="K1056" s="180"/>
      <c r="L1056" s="180"/>
    </row>
    <row r="1057" spans="2:12" s="188" customFormat="1" ht="15" customHeight="1">
      <c r="B1057" s="187"/>
      <c r="C1057" s="187"/>
      <c r="D1057" s="187"/>
      <c r="E1057" s="187"/>
      <c r="F1057" s="187"/>
      <c r="G1057" s="187"/>
      <c r="H1057" s="187"/>
      <c r="J1057" s="186"/>
      <c r="K1057" s="180"/>
      <c r="L1057" s="180"/>
    </row>
    <row r="1058" spans="2:12" s="188" customFormat="1" ht="15" customHeight="1">
      <c r="B1058" s="187"/>
      <c r="C1058" s="187"/>
      <c r="D1058" s="187"/>
      <c r="E1058" s="187"/>
      <c r="F1058" s="187"/>
      <c r="G1058" s="187"/>
      <c r="H1058" s="187"/>
      <c r="J1058" s="186"/>
      <c r="K1058" s="180"/>
      <c r="L1058" s="180"/>
    </row>
    <row r="1059" spans="2:12" s="188" customFormat="1" ht="15" customHeight="1">
      <c r="B1059" s="187"/>
      <c r="C1059" s="187"/>
      <c r="D1059" s="187"/>
      <c r="E1059" s="187"/>
      <c r="F1059" s="187"/>
      <c r="G1059" s="187"/>
      <c r="H1059" s="187"/>
      <c r="J1059" s="186"/>
      <c r="K1059" s="180"/>
      <c r="L1059" s="180"/>
    </row>
    <row r="1060" spans="2:12" s="188" customFormat="1" ht="15" customHeight="1">
      <c r="B1060" s="187"/>
      <c r="C1060" s="187"/>
      <c r="D1060" s="187"/>
      <c r="E1060" s="187"/>
      <c r="F1060" s="187"/>
      <c r="G1060" s="187"/>
      <c r="H1060" s="187"/>
      <c r="J1060" s="186"/>
      <c r="K1060" s="180"/>
      <c r="L1060" s="180"/>
    </row>
    <row r="1061" spans="2:12" s="188" customFormat="1" ht="15" customHeight="1">
      <c r="B1061" s="187"/>
      <c r="C1061" s="187"/>
      <c r="D1061" s="187"/>
      <c r="E1061" s="187"/>
      <c r="F1061" s="187"/>
      <c r="G1061" s="187"/>
      <c r="H1061" s="187"/>
      <c r="J1061" s="186"/>
      <c r="K1061" s="180"/>
      <c r="L1061" s="180"/>
    </row>
    <row r="1062" spans="2:12" s="188" customFormat="1" ht="15" customHeight="1">
      <c r="B1062" s="187"/>
      <c r="C1062" s="187"/>
      <c r="D1062" s="187"/>
      <c r="E1062" s="187"/>
      <c r="F1062" s="187"/>
      <c r="G1062" s="187"/>
      <c r="H1062" s="187"/>
      <c r="J1062" s="186"/>
      <c r="K1062" s="180"/>
      <c r="L1062" s="180"/>
    </row>
    <row r="1063" spans="2:12" s="188" customFormat="1" ht="15" customHeight="1">
      <c r="B1063" s="187"/>
      <c r="C1063" s="187"/>
      <c r="D1063" s="187"/>
      <c r="E1063" s="187"/>
      <c r="F1063" s="187"/>
      <c r="G1063" s="187"/>
      <c r="H1063" s="187"/>
      <c r="J1063" s="186"/>
      <c r="K1063" s="180"/>
      <c r="L1063" s="180"/>
    </row>
    <row r="1064" spans="2:12" s="188" customFormat="1" ht="15" customHeight="1">
      <c r="B1064" s="187"/>
      <c r="C1064" s="187"/>
      <c r="D1064" s="187"/>
      <c r="E1064" s="187"/>
      <c r="F1064" s="187"/>
      <c r="G1064" s="187"/>
      <c r="H1064" s="187"/>
      <c r="J1064" s="186"/>
      <c r="K1064" s="180"/>
      <c r="L1064" s="180"/>
    </row>
    <row r="1065" spans="2:12" s="188" customFormat="1" ht="15" customHeight="1">
      <c r="B1065" s="187"/>
      <c r="C1065" s="187"/>
      <c r="D1065" s="187"/>
      <c r="E1065" s="187"/>
      <c r="F1065" s="187"/>
      <c r="G1065" s="187"/>
      <c r="H1065" s="187"/>
      <c r="J1065" s="186"/>
      <c r="K1065" s="180"/>
      <c r="L1065" s="180"/>
    </row>
    <row r="1066" spans="2:12" s="188" customFormat="1" ht="15" customHeight="1">
      <c r="B1066" s="187"/>
      <c r="C1066" s="187"/>
      <c r="D1066" s="187"/>
      <c r="E1066" s="187"/>
      <c r="F1066" s="187"/>
      <c r="G1066" s="187"/>
      <c r="H1066" s="187"/>
      <c r="J1066" s="186"/>
      <c r="K1066" s="180"/>
      <c r="L1066" s="180"/>
    </row>
    <row r="1067" spans="2:12" s="188" customFormat="1" ht="15" customHeight="1">
      <c r="B1067" s="187"/>
      <c r="C1067" s="187"/>
      <c r="D1067" s="187"/>
      <c r="E1067" s="187"/>
      <c r="F1067" s="187"/>
      <c r="G1067" s="187"/>
      <c r="H1067" s="187"/>
      <c r="J1067" s="186"/>
      <c r="K1067" s="180"/>
      <c r="L1067" s="180"/>
    </row>
    <row r="1068" spans="2:12" s="188" customFormat="1" ht="15" customHeight="1">
      <c r="B1068" s="187"/>
      <c r="C1068" s="187"/>
      <c r="D1068" s="187"/>
      <c r="E1068" s="187"/>
      <c r="F1068" s="187"/>
      <c r="G1068" s="187"/>
      <c r="H1068" s="187"/>
      <c r="J1068" s="186"/>
      <c r="K1068" s="180"/>
      <c r="L1068" s="180"/>
    </row>
    <row r="1069" spans="2:12" s="188" customFormat="1" ht="15" customHeight="1">
      <c r="B1069" s="187"/>
      <c r="C1069" s="187"/>
      <c r="D1069" s="187"/>
      <c r="E1069" s="187"/>
      <c r="F1069" s="187"/>
      <c r="G1069" s="187"/>
      <c r="H1069" s="187"/>
      <c r="J1069" s="186"/>
      <c r="K1069" s="180"/>
      <c r="L1069" s="180"/>
    </row>
    <row r="1070" spans="2:12" s="188" customFormat="1" ht="15" customHeight="1">
      <c r="B1070" s="187"/>
      <c r="C1070" s="187"/>
      <c r="D1070" s="187"/>
      <c r="E1070" s="187"/>
      <c r="F1070" s="187"/>
      <c r="G1070" s="187"/>
      <c r="H1070" s="187"/>
      <c r="J1070" s="186"/>
      <c r="K1070" s="180"/>
      <c r="L1070" s="180"/>
    </row>
    <row r="1071" spans="2:12" s="188" customFormat="1" ht="15" customHeight="1">
      <c r="B1071" s="187"/>
      <c r="C1071" s="187"/>
      <c r="D1071" s="187"/>
      <c r="E1071" s="187"/>
      <c r="F1071" s="187"/>
      <c r="G1071" s="187"/>
      <c r="H1071" s="187"/>
      <c r="J1071" s="186"/>
      <c r="K1071" s="180"/>
      <c r="L1071" s="180"/>
    </row>
    <row r="1072" spans="2:12" s="188" customFormat="1" ht="15" customHeight="1">
      <c r="B1072" s="187"/>
      <c r="C1072" s="187"/>
      <c r="D1072" s="187"/>
      <c r="E1072" s="187"/>
      <c r="F1072" s="187"/>
      <c r="G1072" s="187"/>
      <c r="H1072" s="187"/>
      <c r="J1072" s="186"/>
      <c r="K1072" s="180"/>
      <c r="L1072" s="180"/>
    </row>
    <row r="1073" spans="2:12" s="188" customFormat="1" ht="15" customHeight="1">
      <c r="B1073" s="187"/>
      <c r="C1073" s="187"/>
      <c r="D1073" s="187"/>
      <c r="E1073" s="187"/>
      <c r="F1073" s="187"/>
      <c r="G1073" s="187"/>
      <c r="H1073" s="187"/>
      <c r="J1073" s="186"/>
      <c r="K1073" s="180"/>
      <c r="L1073" s="180"/>
    </row>
    <row r="1074" spans="2:12" s="188" customFormat="1" ht="15" customHeight="1">
      <c r="B1074" s="187"/>
      <c r="C1074" s="187"/>
      <c r="D1074" s="187"/>
      <c r="E1074" s="187"/>
      <c r="F1074" s="187"/>
      <c r="G1074" s="187"/>
      <c r="H1074" s="187"/>
      <c r="J1074" s="186"/>
      <c r="K1074" s="180"/>
      <c r="L1074" s="180"/>
    </row>
    <row r="1075" spans="2:12" s="188" customFormat="1" ht="15" customHeight="1">
      <c r="B1075" s="187"/>
      <c r="C1075" s="187"/>
      <c r="D1075" s="187"/>
      <c r="E1075" s="187"/>
      <c r="F1075" s="187"/>
      <c r="G1075" s="187"/>
      <c r="H1075" s="187"/>
      <c r="J1075" s="186"/>
      <c r="K1075" s="180"/>
      <c r="L1075" s="180"/>
    </row>
    <row r="1076" spans="2:12" s="188" customFormat="1" ht="15" customHeight="1">
      <c r="B1076" s="187"/>
      <c r="C1076" s="187"/>
      <c r="D1076" s="187"/>
      <c r="E1076" s="187"/>
      <c r="F1076" s="187"/>
      <c r="G1076" s="187"/>
      <c r="H1076" s="187"/>
      <c r="J1076" s="186"/>
      <c r="K1076" s="180"/>
      <c r="L1076" s="180"/>
    </row>
    <row r="1077" spans="2:12" s="188" customFormat="1" ht="15" customHeight="1">
      <c r="B1077" s="187"/>
      <c r="C1077" s="187"/>
      <c r="D1077" s="187"/>
      <c r="E1077" s="187"/>
      <c r="F1077" s="187"/>
      <c r="G1077" s="187"/>
      <c r="H1077" s="187"/>
      <c r="J1077" s="186"/>
      <c r="K1077" s="180"/>
      <c r="L1077" s="180"/>
    </row>
    <row r="1078" spans="2:12" s="188" customFormat="1" ht="15" customHeight="1">
      <c r="B1078" s="187"/>
      <c r="C1078" s="187"/>
      <c r="D1078" s="187"/>
      <c r="E1078" s="187"/>
      <c r="F1078" s="187"/>
      <c r="G1078" s="187"/>
      <c r="H1078" s="187"/>
      <c r="J1078" s="186"/>
      <c r="K1078" s="180"/>
      <c r="L1078" s="180"/>
    </row>
    <row r="1079" spans="2:12" s="188" customFormat="1" ht="15" customHeight="1">
      <c r="B1079" s="187"/>
      <c r="C1079" s="187"/>
      <c r="D1079" s="187"/>
      <c r="E1079" s="187"/>
      <c r="F1079" s="187"/>
      <c r="G1079" s="187"/>
      <c r="H1079" s="187"/>
      <c r="J1079" s="186"/>
      <c r="K1079" s="180"/>
      <c r="L1079" s="180"/>
    </row>
    <row r="1080" spans="2:12" s="188" customFormat="1" ht="15" customHeight="1">
      <c r="B1080" s="187"/>
      <c r="C1080" s="187"/>
      <c r="D1080" s="187"/>
      <c r="E1080" s="187"/>
      <c r="F1080" s="187"/>
      <c r="G1080" s="187"/>
      <c r="H1080" s="187"/>
      <c r="J1080" s="186"/>
      <c r="K1080" s="180"/>
      <c r="L1080" s="180"/>
    </row>
    <row r="1081" spans="2:12" s="188" customFormat="1" ht="15" customHeight="1">
      <c r="B1081" s="187"/>
      <c r="C1081" s="187"/>
      <c r="D1081" s="187"/>
      <c r="E1081" s="187"/>
      <c r="F1081" s="187"/>
      <c r="G1081" s="187"/>
      <c r="H1081" s="187"/>
      <c r="J1081" s="186"/>
      <c r="K1081" s="180"/>
      <c r="L1081" s="180"/>
    </row>
    <row r="1082" spans="2:12" s="188" customFormat="1" ht="15" customHeight="1">
      <c r="B1082" s="187"/>
      <c r="C1082" s="187"/>
      <c r="D1082" s="187"/>
      <c r="E1082" s="187"/>
      <c r="F1082" s="187"/>
      <c r="G1082" s="187"/>
      <c r="H1082" s="187"/>
      <c r="J1082" s="186"/>
      <c r="K1082" s="180"/>
      <c r="L1082" s="180"/>
    </row>
    <row r="1083" spans="2:12" s="188" customFormat="1" ht="15" customHeight="1">
      <c r="B1083" s="187"/>
      <c r="C1083" s="187"/>
      <c r="D1083" s="187"/>
      <c r="E1083" s="187"/>
      <c r="F1083" s="187"/>
      <c r="G1083" s="187"/>
      <c r="H1083" s="187"/>
      <c r="J1083" s="186"/>
      <c r="K1083" s="180"/>
      <c r="L1083" s="180"/>
    </row>
    <row r="1084" spans="2:12" s="188" customFormat="1" ht="15" customHeight="1">
      <c r="B1084" s="187"/>
      <c r="C1084" s="187"/>
      <c r="D1084" s="187"/>
      <c r="E1084" s="187"/>
      <c r="F1084" s="187"/>
      <c r="G1084" s="187"/>
      <c r="H1084" s="187"/>
      <c r="J1084" s="186"/>
      <c r="K1084" s="180"/>
      <c r="L1084" s="180"/>
    </row>
    <row r="1085" spans="2:12" s="188" customFormat="1" ht="15" customHeight="1">
      <c r="B1085" s="187"/>
      <c r="C1085" s="187"/>
      <c r="D1085" s="187"/>
      <c r="E1085" s="187"/>
      <c r="F1085" s="187"/>
      <c r="G1085" s="187"/>
      <c r="H1085" s="187"/>
      <c r="J1085" s="186"/>
      <c r="K1085" s="180"/>
      <c r="L1085" s="180"/>
    </row>
    <row r="1086" spans="2:12" s="188" customFormat="1" ht="15" customHeight="1">
      <c r="B1086" s="187"/>
      <c r="C1086" s="187"/>
      <c r="D1086" s="187"/>
      <c r="E1086" s="187"/>
      <c r="F1086" s="187"/>
      <c r="G1086" s="187"/>
      <c r="H1086" s="187"/>
      <c r="J1086" s="186"/>
      <c r="K1086" s="180"/>
      <c r="L1086" s="180"/>
    </row>
    <row r="1087" spans="2:12" s="188" customFormat="1" ht="15" customHeight="1">
      <c r="B1087" s="187"/>
      <c r="C1087" s="187"/>
      <c r="D1087" s="187"/>
      <c r="E1087" s="187"/>
      <c r="F1087" s="187"/>
      <c r="G1087" s="187"/>
      <c r="H1087" s="187"/>
      <c r="J1087" s="186"/>
      <c r="K1087" s="180"/>
      <c r="L1087" s="180"/>
    </row>
    <row r="1088" spans="2:12" s="188" customFormat="1" ht="15" customHeight="1">
      <c r="B1088" s="187"/>
      <c r="C1088" s="187"/>
      <c r="D1088" s="187"/>
      <c r="E1088" s="187"/>
      <c r="F1088" s="187"/>
      <c r="G1088" s="187"/>
      <c r="H1088" s="187"/>
      <c r="J1088" s="186"/>
      <c r="K1088" s="180"/>
      <c r="L1088" s="180"/>
    </row>
    <row r="1089" spans="2:12" s="188" customFormat="1" ht="15" customHeight="1">
      <c r="B1089" s="187"/>
      <c r="C1089" s="187"/>
      <c r="D1089" s="187"/>
      <c r="E1089" s="187"/>
      <c r="F1089" s="187"/>
      <c r="G1089" s="187"/>
      <c r="H1089" s="187"/>
      <c r="J1089" s="186"/>
      <c r="K1089" s="180"/>
      <c r="L1089" s="180"/>
    </row>
    <row r="1090" spans="2:12" s="188" customFormat="1" ht="15" customHeight="1">
      <c r="B1090" s="187"/>
      <c r="C1090" s="187"/>
      <c r="D1090" s="187"/>
      <c r="E1090" s="187"/>
      <c r="F1090" s="187"/>
      <c r="G1090" s="187"/>
      <c r="H1090" s="187"/>
      <c r="J1090" s="186"/>
      <c r="K1090" s="180"/>
      <c r="L1090" s="180"/>
    </row>
    <row r="1091" spans="2:12" s="188" customFormat="1" ht="15" customHeight="1">
      <c r="B1091" s="187"/>
      <c r="C1091" s="187"/>
      <c r="D1091" s="187"/>
      <c r="E1091" s="187"/>
      <c r="F1091" s="187"/>
      <c r="G1091" s="187"/>
      <c r="H1091" s="187"/>
      <c r="J1091" s="186"/>
      <c r="K1091" s="180"/>
      <c r="L1091" s="180"/>
    </row>
    <row r="1092" spans="2:12" s="188" customFormat="1" ht="15" customHeight="1">
      <c r="B1092" s="187"/>
      <c r="C1092" s="187"/>
      <c r="D1092" s="187"/>
      <c r="E1092" s="187"/>
      <c r="F1092" s="187"/>
      <c r="G1092" s="187"/>
      <c r="H1092" s="187"/>
      <c r="J1092" s="186"/>
      <c r="K1092" s="180"/>
      <c r="L1092" s="180"/>
    </row>
    <row r="1093" spans="2:12" s="188" customFormat="1" ht="15" customHeight="1">
      <c r="B1093" s="187"/>
      <c r="C1093" s="187"/>
      <c r="D1093" s="187"/>
      <c r="E1093" s="187"/>
      <c r="F1093" s="187"/>
      <c r="G1093" s="187"/>
      <c r="H1093" s="187"/>
      <c r="J1093" s="186"/>
      <c r="K1093" s="180"/>
      <c r="L1093" s="180"/>
    </row>
    <row r="1094" spans="2:12" s="188" customFormat="1" ht="15" customHeight="1">
      <c r="B1094" s="187"/>
      <c r="C1094" s="187"/>
      <c r="D1094" s="187"/>
      <c r="E1094" s="187"/>
      <c r="F1094" s="187"/>
      <c r="G1094" s="187"/>
      <c r="H1094" s="187"/>
      <c r="J1094" s="186"/>
      <c r="K1094" s="180"/>
      <c r="L1094" s="180"/>
    </row>
    <row r="1095" spans="2:12" s="188" customFormat="1" ht="15" customHeight="1">
      <c r="B1095" s="187"/>
      <c r="C1095" s="187"/>
      <c r="D1095" s="187"/>
      <c r="E1095" s="187"/>
      <c r="F1095" s="187"/>
      <c r="G1095" s="187"/>
      <c r="H1095" s="187"/>
      <c r="J1095" s="186"/>
      <c r="K1095" s="180"/>
      <c r="L1095" s="180"/>
    </row>
    <row r="1096" spans="2:12" s="188" customFormat="1" ht="15" customHeight="1">
      <c r="B1096" s="187"/>
      <c r="C1096" s="187"/>
      <c r="D1096" s="187"/>
      <c r="E1096" s="187"/>
      <c r="F1096" s="187"/>
      <c r="G1096" s="187"/>
      <c r="H1096" s="187"/>
      <c r="J1096" s="186"/>
      <c r="K1096" s="180"/>
      <c r="L1096" s="180"/>
    </row>
    <row r="1097" spans="2:12" s="188" customFormat="1" ht="15" customHeight="1">
      <c r="B1097" s="187"/>
      <c r="C1097" s="187"/>
      <c r="D1097" s="187"/>
      <c r="E1097" s="187"/>
      <c r="F1097" s="187"/>
      <c r="G1097" s="187"/>
      <c r="H1097" s="187"/>
      <c r="J1097" s="186"/>
      <c r="K1097" s="180"/>
      <c r="L1097" s="180"/>
    </row>
    <row r="1098" spans="2:12" s="188" customFormat="1" ht="15" customHeight="1">
      <c r="B1098" s="187"/>
      <c r="C1098" s="187"/>
      <c r="D1098" s="187"/>
      <c r="E1098" s="187"/>
      <c r="F1098" s="187"/>
      <c r="G1098" s="187"/>
      <c r="H1098" s="187"/>
      <c r="J1098" s="186"/>
      <c r="K1098" s="180"/>
      <c r="L1098" s="180"/>
    </row>
    <row r="1099" spans="2:12" s="188" customFormat="1" ht="15" customHeight="1">
      <c r="B1099" s="187"/>
      <c r="C1099" s="187"/>
      <c r="D1099" s="187"/>
      <c r="E1099" s="187"/>
      <c r="F1099" s="187"/>
      <c r="G1099" s="187"/>
      <c r="H1099" s="187"/>
      <c r="J1099" s="186"/>
      <c r="K1099" s="180"/>
      <c r="L1099" s="180"/>
    </row>
    <row r="1100" spans="2:12" s="188" customFormat="1" ht="15" customHeight="1">
      <c r="B1100" s="187"/>
      <c r="C1100" s="187"/>
      <c r="D1100" s="187"/>
      <c r="E1100" s="187"/>
      <c r="F1100" s="187"/>
      <c r="G1100" s="187"/>
      <c r="H1100" s="187"/>
      <c r="J1100" s="186"/>
      <c r="K1100" s="180"/>
      <c r="L1100" s="180"/>
    </row>
    <row r="1101" spans="2:12" s="188" customFormat="1" ht="15" customHeight="1">
      <c r="B1101" s="187"/>
      <c r="C1101" s="187"/>
      <c r="D1101" s="187"/>
      <c r="E1101" s="187"/>
      <c r="F1101" s="187"/>
      <c r="G1101" s="187"/>
      <c r="H1101" s="187"/>
      <c r="J1101" s="186"/>
      <c r="K1101" s="180"/>
      <c r="L1101" s="180"/>
    </row>
    <row r="1102" spans="2:12" s="188" customFormat="1" ht="15" customHeight="1">
      <c r="B1102" s="187"/>
      <c r="C1102" s="187"/>
      <c r="D1102" s="187"/>
      <c r="E1102" s="187"/>
      <c r="F1102" s="187"/>
      <c r="G1102" s="187"/>
      <c r="H1102" s="187"/>
      <c r="J1102" s="186"/>
      <c r="K1102" s="180"/>
      <c r="L1102" s="180"/>
    </row>
    <row r="1103" spans="2:12" s="188" customFormat="1" ht="15" customHeight="1">
      <c r="B1103" s="187"/>
      <c r="C1103" s="187"/>
      <c r="D1103" s="187"/>
      <c r="E1103" s="187"/>
      <c r="F1103" s="187"/>
      <c r="G1103" s="187"/>
      <c r="H1103" s="187"/>
      <c r="J1103" s="186"/>
      <c r="K1103" s="180"/>
      <c r="L1103" s="180"/>
    </row>
    <row r="1104" spans="2:12" s="188" customFormat="1" ht="15" customHeight="1">
      <c r="B1104" s="187"/>
      <c r="C1104" s="187"/>
      <c r="D1104" s="187"/>
      <c r="E1104" s="187"/>
      <c r="F1104" s="187"/>
      <c r="G1104" s="187"/>
      <c r="H1104" s="187"/>
      <c r="J1104" s="186"/>
      <c r="K1104" s="180"/>
      <c r="L1104" s="180"/>
    </row>
    <row r="1105" spans="2:12" s="188" customFormat="1" ht="15" customHeight="1">
      <c r="B1105" s="187"/>
      <c r="C1105" s="187"/>
      <c r="D1105" s="187"/>
      <c r="E1105" s="187"/>
      <c r="F1105" s="187"/>
      <c r="G1105" s="187"/>
      <c r="H1105" s="187"/>
      <c r="J1105" s="186"/>
      <c r="K1105" s="180"/>
      <c r="L1105" s="180"/>
    </row>
    <row r="1106" spans="2:12" s="188" customFormat="1" ht="15" customHeight="1">
      <c r="B1106" s="187"/>
      <c r="C1106" s="187"/>
      <c r="D1106" s="187"/>
      <c r="E1106" s="187"/>
      <c r="F1106" s="187"/>
      <c r="G1106" s="187"/>
      <c r="H1106" s="187"/>
      <c r="J1106" s="186"/>
      <c r="K1106" s="180"/>
      <c r="L1106" s="180"/>
    </row>
    <row r="1107" spans="2:12" s="188" customFormat="1" ht="15" customHeight="1">
      <c r="B1107" s="187"/>
      <c r="C1107" s="187"/>
      <c r="D1107" s="187"/>
      <c r="E1107" s="187"/>
      <c r="F1107" s="187"/>
      <c r="G1107" s="187"/>
      <c r="H1107" s="187"/>
      <c r="J1107" s="186"/>
      <c r="K1107" s="180"/>
      <c r="L1107" s="180"/>
    </row>
    <row r="1108" spans="2:12" s="188" customFormat="1" ht="15" customHeight="1">
      <c r="B1108" s="187"/>
      <c r="C1108" s="187"/>
      <c r="D1108" s="187"/>
      <c r="E1108" s="187"/>
      <c r="F1108" s="187"/>
      <c r="G1108" s="187"/>
      <c r="H1108" s="187"/>
      <c r="J1108" s="186"/>
      <c r="K1108" s="180"/>
      <c r="L1108" s="180"/>
    </row>
    <row r="1109" spans="2:12" s="188" customFormat="1" ht="15" customHeight="1">
      <c r="B1109" s="187"/>
      <c r="C1109" s="187"/>
      <c r="D1109" s="187"/>
      <c r="E1109" s="187"/>
      <c r="F1109" s="187"/>
      <c r="G1109" s="187"/>
      <c r="H1109" s="187"/>
      <c r="J1109" s="186"/>
      <c r="K1109" s="180"/>
      <c r="L1109" s="180"/>
    </row>
    <row r="1110" spans="2:12" s="188" customFormat="1" ht="15" customHeight="1">
      <c r="B1110" s="187"/>
      <c r="C1110" s="187"/>
      <c r="D1110" s="187"/>
      <c r="E1110" s="187"/>
      <c r="F1110" s="187"/>
      <c r="G1110" s="187"/>
      <c r="H1110" s="187"/>
      <c r="J1110" s="186"/>
      <c r="K1110" s="180"/>
      <c r="L1110" s="180"/>
    </row>
    <row r="1111" spans="2:12" s="188" customFormat="1" ht="15" customHeight="1">
      <c r="B1111" s="187"/>
      <c r="C1111" s="187"/>
      <c r="D1111" s="187"/>
      <c r="E1111" s="187"/>
      <c r="F1111" s="187"/>
      <c r="G1111" s="187"/>
      <c r="H1111" s="187"/>
      <c r="J1111" s="186"/>
      <c r="K1111" s="180"/>
      <c r="L1111" s="180"/>
    </row>
    <row r="1112" spans="2:12" s="188" customFormat="1" ht="15" customHeight="1">
      <c r="B1112" s="187"/>
      <c r="C1112" s="187"/>
      <c r="D1112" s="187"/>
      <c r="E1112" s="187"/>
      <c r="F1112" s="187"/>
      <c r="G1112" s="187"/>
      <c r="H1112" s="187"/>
      <c r="J1112" s="186"/>
      <c r="K1112" s="180"/>
      <c r="L1112" s="180"/>
    </row>
    <row r="1113" spans="2:12" s="188" customFormat="1" ht="15" customHeight="1">
      <c r="B1113" s="187"/>
      <c r="C1113" s="187"/>
      <c r="D1113" s="187"/>
      <c r="E1113" s="187"/>
      <c r="F1113" s="187"/>
      <c r="G1113" s="187"/>
      <c r="H1113" s="187"/>
      <c r="J1113" s="186"/>
      <c r="K1113" s="180"/>
      <c r="L1113" s="180"/>
    </row>
    <row r="1114" spans="2:12" s="188" customFormat="1" ht="15" customHeight="1">
      <c r="B1114" s="187"/>
      <c r="C1114" s="187"/>
      <c r="D1114" s="187"/>
      <c r="E1114" s="187"/>
      <c r="F1114" s="187"/>
      <c r="G1114" s="187"/>
      <c r="H1114" s="187"/>
      <c r="J1114" s="186"/>
      <c r="K1114" s="180"/>
      <c r="L1114" s="180"/>
    </row>
    <row r="1115" spans="2:12" s="188" customFormat="1" ht="15" customHeight="1">
      <c r="B1115" s="187"/>
      <c r="C1115" s="187"/>
      <c r="D1115" s="187"/>
      <c r="E1115" s="187"/>
      <c r="F1115" s="187"/>
      <c r="G1115" s="187"/>
      <c r="H1115" s="187"/>
      <c r="J1115" s="186"/>
      <c r="K1115" s="180"/>
      <c r="L1115" s="180"/>
    </row>
    <row r="1116" spans="2:12" s="188" customFormat="1" ht="15" customHeight="1">
      <c r="B1116" s="187"/>
      <c r="C1116" s="187"/>
      <c r="D1116" s="187"/>
      <c r="E1116" s="187"/>
      <c r="F1116" s="187"/>
      <c r="G1116" s="187"/>
      <c r="H1116" s="187"/>
      <c r="J1116" s="186"/>
      <c r="K1116" s="180"/>
      <c r="L1116" s="180"/>
    </row>
    <row r="1117" spans="2:12" s="188" customFormat="1" ht="15" customHeight="1">
      <c r="B1117" s="187"/>
      <c r="C1117" s="187"/>
      <c r="D1117" s="187"/>
      <c r="E1117" s="187"/>
      <c r="F1117" s="187"/>
      <c r="G1117" s="187"/>
      <c r="H1117" s="187"/>
      <c r="J1117" s="186"/>
      <c r="K1117" s="180"/>
      <c r="L1117" s="180"/>
    </row>
    <row r="1118" spans="2:12" s="188" customFormat="1" ht="15" customHeight="1">
      <c r="B1118" s="187"/>
      <c r="C1118" s="187"/>
      <c r="D1118" s="187"/>
      <c r="E1118" s="187"/>
      <c r="F1118" s="187"/>
      <c r="G1118" s="187"/>
      <c r="H1118" s="187"/>
      <c r="J1118" s="186"/>
      <c r="K1118" s="180"/>
      <c r="L1118" s="180"/>
    </row>
    <row r="1119" spans="2:12" s="188" customFormat="1" ht="15" customHeight="1">
      <c r="B1119" s="187"/>
      <c r="C1119" s="187"/>
      <c r="D1119" s="187"/>
      <c r="E1119" s="187"/>
      <c r="F1119" s="187"/>
      <c r="G1119" s="187"/>
      <c r="H1119" s="187"/>
      <c r="J1119" s="186"/>
      <c r="K1119" s="180"/>
      <c r="L1119" s="180"/>
    </row>
    <row r="1120" spans="2:12" s="188" customFormat="1" ht="15" customHeight="1">
      <c r="B1120" s="187"/>
      <c r="C1120" s="187"/>
      <c r="D1120" s="187"/>
      <c r="E1120" s="187"/>
      <c r="F1120" s="187"/>
      <c r="G1120" s="187"/>
      <c r="H1120" s="187"/>
      <c r="J1120" s="186"/>
      <c r="K1120" s="180"/>
      <c r="L1120" s="180"/>
    </row>
    <row r="1121" spans="2:12" s="188" customFormat="1" ht="15" customHeight="1">
      <c r="B1121" s="187"/>
      <c r="C1121" s="187"/>
      <c r="D1121" s="187"/>
      <c r="E1121" s="187"/>
      <c r="F1121" s="187"/>
      <c r="G1121" s="187"/>
      <c r="H1121" s="187"/>
      <c r="J1121" s="186"/>
      <c r="K1121" s="180"/>
      <c r="L1121" s="180"/>
    </row>
    <row r="1122" spans="2:12" s="188" customFormat="1" ht="15" customHeight="1">
      <c r="B1122" s="187"/>
      <c r="C1122" s="187"/>
      <c r="D1122" s="187"/>
      <c r="E1122" s="187"/>
      <c r="F1122" s="187"/>
      <c r="G1122" s="187"/>
      <c r="H1122" s="187"/>
      <c r="J1122" s="186"/>
      <c r="K1122" s="180"/>
      <c r="L1122" s="180"/>
    </row>
    <row r="1123" spans="2:12" s="188" customFormat="1" ht="15" customHeight="1">
      <c r="B1123" s="187"/>
      <c r="C1123" s="187"/>
      <c r="D1123" s="187"/>
      <c r="E1123" s="187"/>
      <c r="F1123" s="187"/>
      <c r="G1123" s="187"/>
      <c r="H1123" s="187"/>
      <c r="J1123" s="186"/>
      <c r="K1123" s="180"/>
      <c r="L1123" s="180"/>
    </row>
    <row r="1124" spans="2:12" s="188" customFormat="1" ht="15" customHeight="1">
      <c r="B1124" s="187"/>
      <c r="C1124" s="187"/>
      <c r="D1124" s="187"/>
      <c r="E1124" s="187"/>
      <c r="F1124" s="187"/>
      <c r="G1124" s="187"/>
      <c r="H1124" s="187"/>
      <c r="J1124" s="186"/>
      <c r="K1124" s="180"/>
      <c r="L1124" s="180"/>
    </row>
    <row r="1125" spans="2:12" s="188" customFormat="1" ht="15" customHeight="1">
      <c r="B1125" s="187"/>
      <c r="C1125" s="187"/>
      <c r="D1125" s="187"/>
      <c r="E1125" s="187"/>
      <c r="F1125" s="187"/>
      <c r="G1125" s="187"/>
      <c r="H1125" s="187"/>
      <c r="J1125" s="186"/>
      <c r="K1125" s="180"/>
      <c r="L1125" s="180"/>
    </row>
    <row r="1126" spans="2:12" s="188" customFormat="1" ht="15" customHeight="1">
      <c r="B1126" s="187"/>
      <c r="C1126" s="187"/>
      <c r="D1126" s="187"/>
      <c r="E1126" s="187"/>
      <c r="F1126" s="187"/>
      <c r="G1126" s="187"/>
      <c r="H1126" s="187"/>
      <c r="J1126" s="186"/>
      <c r="K1126" s="180"/>
      <c r="L1126" s="180"/>
    </row>
    <row r="1127" spans="2:12" s="188" customFormat="1" ht="15" customHeight="1">
      <c r="B1127" s="187"/>
      <c r="C1127" s="187"/>
      <c r="D1127" s="187"/>
      <c r="E1127" s="187"/>
      <c r="F1127" s="187"/>
      <c r="G1127" s="187"/>
      <c r="H1127" s="187"/>
      <c r="J1127" s="186"/>
      <c r="K1127" s="180"/>
      <c r="L1127" s="180"/>
    </row>
    <row r="1128" spans="2:12" s="188" customFormat="1" ht="15" customHeight="1">
      <c r="B1128" s="187"/>
      <c r="C1128" s="187"/>
      <c r="D1128" s="187"/>
      <c r="E1128" s="187"/>
      <c r="F1128" s="187"/>
      <c r="G1128" s="187"/>
      <c r="H1128" s="187"/>
      <c r="J1128" s="186"/>
      <c r="K1128" s="180"/>
      <c r="L1128" s="180"/>
    </row>
    <row r="1129" spans="2:12" s="188" customFormat="1" ht="15" customHeight="1">
      <c r="B1129" s="187"/>
      <c r="C1129" s="187"/>
      <c r="D1129" s="187"/>
      <c r="E1129" s="187"/>
      <c r="F1129" s="187"/>
      <c r="G1129" s="187"/>
      <c r="H1129" s="187"/>
      <c r="J1129" s="186"/>
      <c r="K1129" s="180"/>
      <c r="L1129" s="180"/>
    </row>
    <row r="1130" spans="2:12" s="188" customFormat="1" ht="15" customHeight="1">
      <c r="B1130" s="187"/>
      <c r="C1130" s="187"/>
      <c r="D1130" s="187"/>
      <c r="E1130" s="187"/>
      <c r="F1130" s="187"/>
      <c r="G1130" s="187"/>
      <c r="H1130" s="187"/>
      <c r="J1130" s="186"/>
      <c r="K1130" s="180"/>
      <c r="L1130" s="180"/>
    </row>
    <row r="1131" spans="2:12" s="188" customFormat="1" ht="15" customHeight="1">
      <c r="B1131" s="187"/>
      <c r="C1131" s="187"/>
      <c r="D1131" s="187"/>
      <c r="E1131" s="187"/>
      <c r="F1131" s="187"/>
      <c r="G1131" s="187"/>
      <c r="H1131" s="187"/>
      <c r="J1131" s="186"/>
      <c r="K1131" s="180"/>
      <c r="L1131" s="180"/>
    </row>
    <row r="1132" spans="2:12" s="188" customFormat="1" ht="15" customHeight="1">
      <c r="B1132" s="187"/>
      <c r="C1132" s="187"/>
      <c r="D1132" s="187"/>
      <c r="E1132" s="187"/>
      <c r="F1132" s="187"/>
      <c r="G1132" s="187"/>
      <c r="H1132" s="187"/>
      <c r="J1132" s="186"/>
      <c r="K1132" s="180"/>
      <c r="L1132" s="180"/>
    </row>
    <row r="1133" spans="2:12" s="188" customFormat="1" ht="15" customHeight="1">
      <c r="B1133" s="187"/>
      <c r="C1133" s="187"/>
      <c r="D1133" s="187"/>
      <c r="E1133" s="187"/>
      <c r="F1133" s="187"/>
      <c r="G1133" s="187"/>
      <c r="H1133" s="187"/>
      <c r="J1133" s="186"/>
      <c r="K1133" s="180"/>
      <c r="L1133" s="180"/>
    </row>
    <row r="1134" spans="2:12" s="188" customFormat="1" ht="15" customHeight="1">
      <c r="B1134" s="187"/>
      <c r="C1134" s="187"/>
      <c r="D1134" s="187"/>
      <c r="E1134" s="187"/>
      <c r="F1134" s="187"/>
      <c r="G1134" s="187"/>
      <c r="H1134" s="187"/>
      <c r="J1134" s="186"/>
      <c r="K1134" s="180"/>
      <c r="L1134" s="180"/>
    </row>
    <row r="1135" spans="2:12" s="188" customFormat="1" ht="15" customHeight="1">
      <c r="B1135" s="187"/>
      <c r="C1135" s="187"/>
      <c r="D1135" s="187"/>
      <c r="E1135" s="187"/>
      <c r="F1135" s="187"/>
      <c r="G1135" s="187"/>
      <c r="H1135" s="187"/>
      <c r="J1135" s="186"/>
      <c r="K1135" s="180"/>
      <c r="L1135" s="180"/>
    </row>
    <row r="1136" spans="2:12" s="188" customFormat="1" ht="15" customHeight="1">
      <c r="B1136" s="187"/>
      <c r="C1136" s="187"/>
      <c r="D1136" s="187"/>
      <c r="E1136" s="187"/>
      <c r="F1136" s="187"/>
      <c r="G1136" s="187"/>
      <c r="H1136" s="187"/>
      <c r="J1136" s="186"/>
      <c r="K1136" s="180"/>
      <c r="L1136" s="180"/>
    </row>
    <row r="1137" spans="2:12" s="188" customFormat="1" ht="15" customHeight="1">
      <c r="B1137" s="187"/>
      <c r="C1137" s="187"/>
      <c r="D1137" s="187"/>
      <c r="E1137" s="187"/>
      <c r="F1137" s="187"/>
      <c r="G1137" s="187"/>
      <c r="H1137" s="187"/>
      <c r="J1137" s="186"/>
      <c r="K1137" s="180"/>
      <c r="L1137" s="180"/>
    </row>
    <row r="1138" spans="2:12" s="188" customFormat="1" ht="15" customHeight="1">
      <c r="B1138" s="187"/>
      <c r="C1138" s="187"/>
      <c r="D1138" s="187"/>
      <c r="E1138" s="187"/>
      <c r="F1138" s="187"/>
      <c r="G1138" s="187"/>
      <c r="H1138" s="187"/>
      <c r="J1138" s="186"/>
      <c r="K1138" s="180"/>
      <c r="L1138" s="180"/>
    </row>
    <row r="1139" spans="2:12" s="188" customFormat="1" ht="15" customHeight="1">
      <c r="B1139" s="187"/>
      <c r="C1139" s="187"/>
      <c r="D1139" s="187"/>
      <c r="E1139" s="187"/>
      <c r="F1139" s="187"/>
      <c r="G1139" s="187"/>
      <c r="H1139" s="187"/>
      <c r="J1139" s="186"/>
      <c r="K1139" s="180"/>
      <c r="L1139" s="180"/>
    </row>
    <row r="1140" spans="2:12" s="188" customFormat="1" ht="15" customHeight="1">
      <c r="B1140" s="187"/>
      <c r="C1140" s="187"/>
      <c r="D1140" s="187"/>
      <c r="E1140" s="187"/>
      <c r="F1140" s="187"/>
      <c r="G1140" s="187"/>
      <c r="H1140" s="187"/>
      <c r="J1140" s="186"/>
      <c r="K1140" s="180"/>
      <c r="L1140" s="180"/>
    </row>
    <row r="1141" spans="2:12" s="188" customFormat="1" ht="15" customHeight="1">
      <c r="B1141" s="187"/>
      <c r="C1141" s="187"/>
      <c r="D1141" s="187"/>
      <c r="E1141" s="187"/>
      <c r="F1141" s="187"/>
      <c r="G1141" s="187"/>
      <c r="H1141" s="187"/>
      <c r="J1141" s="186"/>
      <c r="K1141" s="180"/>
      <c r="L1141" s="180"/>
    </row>
    <row r="1142" spans="2:12" s="188" customFormat="1" ht="15" customHeight="1">
      <c r="B1142" s="187"/>
      <c r="C1142" s="187"/>
      <c r="D1142" s="187"/>
      <c r="E1142" s="187"/>
      <c r="F1142" s="187"/>
      <c r="G1142" s="187"/>
      <c r="H1142" s="187"/>
      <c r="J1142" s="186"/>
      <c r="K1142" s="180"/>
      <c r="L1142" s="180"/>
    </row>
    <row r="1143" spans="2:12" s="188" customFormat="1" ht="15" customHeight="1">
      <c r="B1143" s="187"/>
      <c r="C1143" s="187"/>
      <c r="D1143" s="187"/>
      <c r="E1143" s="187"/>
      <c r="F1143" s="187"/>
      <c r="G1143" s="187"/>
      <c r="H1143" s="187"/>
      <c r="J1143" s="186"/>
      <c r="K1143" s="180"/>
      <c r="L1143" s="180"/>
    </row>
    <row r="1144" spans="2:12" s="188" customFormat="1" ht="15" customHeight="1">
      <c r="B1144" s="187"/>
      <c r="C1144" s="187"/>
      <c r="D1144" s="187"/>
      <c r="E1144" s="187"/>
      <c r="F1144" s="187"/>
      <c r="G1144" s="187"/>
      <c r="H1144" s="187"/>
      <c r="J1144" s="186"/>
      <c r="K1144" s="180"/>
      <c r="L1144" s="180"/>
    </row>
    <row r="1145" spans="2:12" s="188" customFormat="1" ht="15" customHeight="1">
      <c r="B1145" s="187"/>
      <c r="C1145" s="187"/>
      <c r="D1145" s="187"/>
      <c r="E1145" s="187"/>
      <c r="F1145" s="187"/>
      <c r="G1145" s="187"/>
      <c r="H1145" s="187"/>
      <c r="J1145" s="186"/>
      <c r="K1145" s="180"/>
      <c r="L1145" s="180"/>
    </row>
    <row r="1146" spans="2:12" s="188" customFormat="1" ht="15" customHeight="1">
      <c r="B1146" s="187"/>
      <c r="C1146" s="187"/>
      <c r="D1146" s="187"/>
      <c r="E1146" s="187"/>
      <c r="F1146" s="187"/>
      <c r="G1146" s="187"/>
      <c r="H1146" s="187"/>
      <c r="J1146" s="186"/>
      <c r="K1146" s="180"/>
      <c r="L1146" s="180"/>
    </row>
    <row r="1147" spans="2:12" s="188" customFormat="1" ht="15" customHeight="1">
      <c r="B1147" s="187"/>
      <c r="C1147" s="187"/>
      <c r="D1147" s="187"/>
      <c r="E1147" s="187"/>
      <c r="F1147" s="187"/>
      <c r="G1147" s="187"/>
      <c r="H1147" s="187"/>
      <c r="J1147" s="186"/>
      <c r="K1147" s="180"/>
      <c r="L1147" s="180"/>
    </row>
    <row r="1148" spans="2:12" s="188" customFormat="1" ht="15" customHeight="1">
      <c r="B1148" s="187"/>
      <c r="C1148" s="187"/>
      <c r="D1148" s="187"/>
      <c r="E1148" s="187"/>
      <c r="F1148" s="187"/>
      <c r="G1148" s="187"/>
      <c r="H1148" s="187"/>
      <c r="J1148" s="186"/>
      <c r="K1148" s="180"/>
      <c r="L1148" s="180"/>
    </row>
    <row r="1149" spans="2:12" s="188" customFormat="1" ht="15" customHeight="1">
      <c r="B1149" s="187"/>
      <c r="C1149" s="187"/>
      <c r="D1149" s="187"/>
      <c r="E1149" s="187"/>
      <c r="F1149" s="187"/>
      <c r="G1149" s="187"/>
      <c r="H1149" s="187"/>
      <c r="J1149" s="186"/>
      <c r="K1149" s="180"/>
      <c r="L1149" s="180"/>
    </row>
    <row r="1150" spans="2:12" s="188" customFormat="1" ht="15" customHeight="1">
      <c r="B1150" s="187"/>
      <c r="C1150" s="187"/>
      <c r="D1150" s="187"/>
      <c r="E1150" s="187"/>
      <c r="F1150" s="187"/>
      <c r="G1150" s="187"/>
      <c r="H1150" s="187"/>
      <c r="J1150" s="186"/>
      <c r="K1150" s="180"/>
      <c r="L1150" s="180"/>
    </row>
    <row r="1151" spans="2:12" s="188" customFormat="1" ht="15" customHeight="1">
      <c r="B1151" s="187"/>
      <c r="C1151" s="187"/>
      <c r="D1151" s="187"/>
      <c r="E1151" s="187"/>
      <c r="F1151" s="187"/>
      <c r="G1151" s="187"/>
      <c r="H1151" s="187"/>
      <c r="J1151" s="186"/>
      <c r="K1151" s="180"/>
      <c r="L1151" s="180"/>
    </row>
    <row r="1152" spans="2:12" s="188" customFormat="1" ht="15" customHeight="1">
      <c r="B1152" s="187"/>
      <c r="C1152" s="187"/>
      <c r="D1152" s="187"/>
      <c r="E1152" s="187"/>
      <c r="F1152" s="187"/>
      <c r="G1152" s="187"/>
      <c r="H1152" s="187"/>
      <c r="J1152" s="186"/>
      <c r="K1152" s="180"/>
      <c r="L1152" s="180"/>
    </row>
    <row r="1153" spans="2:12" s="188" customFormat="1" ht="15" customHeight="1">
      <c r="B1153" s="187"/>
      <c r="C1153" s="187"/>
      <c r="D1153" s="187"/>
      <c r="E1153" s="187"/>
      <c r="F1153" s="187"/>
      <c r="G1153" s="187"/>
      <c r="H1153" s="187"/>
      <c r="J1153" s="186"/>
      <c r="K1153" s="180"/>
      <c r="L1153" s="180"/>
    </row>
    <row r="1154" spans="2:12" s="188" customFormat="1" ht="15" customHeight="1">
      <c r="B1154" s="187"/>
      <c r="C1154" s="187"/>
      <c r="D1154" s="187"/>
      <c r="E1154" s="187"/>
      <c r="F1154" s="187"/>
      <c r="G1154" s="187"/>
      <c r="H1154" s="187"/>
      <c r="J1154" s="186"/>
      <c r="K1154" s="180"/>
      <c r="L1154" s="180"/>
    </row>
    <row r="1155" spans="2:12" s="188" customFormat="1" ht="15" customHeight="1">
      <c r="B1155" s="187"/>
      <c r="C1155" s="187"/>
      <c r="D1155" s="187"/>
      <c r="E1155" s="187"/>
      <c r="F1155" s="187"/>
      <c r="G1155" s="187"/>
      <c r="H1155" s="187"/>
      <c r="J1155" s="186"/>
      <c r="K1155" s="180"/>
      <c r="L1155" s="180"/>
    </row>
    <row r="1156" spans="2:12" s="188" customFormat="1" ht="15" customHeight="1">
      <c r="B1156" s="187"/>
      <c r="C1156" s="187"/>
      <c r="D1156" s="187"/>
      <c r="E1156" s="187"/>
      <c r="F1156" s="187"/>
      <c r="G1156" s="187"/>
      <c r="H1156" s="187"/>
      <c r="J1156" s="186"/>
      <c r="K1156" s="180"/>
      <c r="L1156" s="180"/>
    </row>
    <row r="1157" spans="2:12" s="188" customFormat="1" ht="15" customHeight="1">
      <c r="B1157" s="187"/>
      <c r="C1157" s="187"/>
      <c r="D1157" s="187"/>
      <c r="E1157" s="187"/>
      <c r="F1157" s="187"/>
      <c r="G1157" s="187"/>
      <c r="H1157" s="187"/>
      <c r="J1157" s="186"/>
      <c r="K1157" s="180"/>
      <c r="L1157" s="180"/>
    </row>
    <row r="1158" spans="2:12" s="188" customFormat="1" ht="15" customHeight="1">
      <c r="B1158" s="187"/>
      <c r="C1158" s="187"/>
      <c r="D1158" s="187"/>
      <c r="E1158" s="187"/>
      <c r="F1158" s="187"/>
      <c r="G1158" s="187"/>
      <c r="H1158" s="187"/>
      <c r="J1158" s="186"/>
      <c r="K1158" s="180"/>
      <c r="L1158" s="180"/>
    </row>
    <row r="1159" spans="2:12" s="188" customFormat="1" ht="15" customHeight="1">
      <c r="B1159" s="187"/>
      <c r="C1159" s="187"/>
      <c r="D1159" s="187"/>
      <c r="E1159" s="187"/>
      <c r="F1159" s="187"/>
      <c r="G1159" s="187"/>
      <c r="H1159" s="187"/>
      <c r="J1159" s="186"/>
      <c r="K1159" s="180"/>
      <c r="L1159" s="180"/>
    </row>
    <row r="1160" spans="2:12" s="188" customFormat="1" ht="15" customHeight="1">
      <c r="B1160" s="187"/>
      <c r="C1160" s="187"/>
      <c r="D1160" s="187"/>
      <c r="E1160" s="187"/>
      <c r="F1160" s="187"/>
      <c r="G1160" s="187"/>
      <c r="H1160" s="187"/>
      <c r="J1160" s="186"/>
      <c r="K1160" s="180"/>
      <c r="L1160" s="180"/>
    </row>
    <row r="1161" spans="2:12" s="188" customFormat="1" ht="15" customHeight="1">
      <c r="B1161" s="187"/>
      <c r="C1161" s="187"/>
      <c r="D1161" s="187"/>
      <c r="E1161" s="187"/>
      <c r="F1161" s="187"/>
      <c r="G1161" s="187"/>
      <c r="H1161" s="187"/>
      <c r="J1161" s="186"/>
      <c r="K1161" s="180"/>
      <c r="L1161" s="180"/>
    </row>
    <row r="1162" spans="2:12" s="188" customFormat="1" ht="15" customHeight="1">
      <c r="B1162" s="187"/>
      <c r="C1162" s="187"/>
      <c r="D1162" s="187"/>
      <c r="E1162" s="187"/>
      <c r="F1162" s="187"/>
      <c r="G1162" s="187"/>
      <c r="H1162" s="187"/>
      <c r="J1162" s="186"/>
      <c r="K1162" s="180"/>
      <c r="L1162" s="180"/>
    </row>
    <row r="1163" spans="2:12" s="188" customFormat="1" ht="15" customHeight="1">
      <c r="B1163" s="187"/>
      <c r="C1163" s="187"/>
      <c r="D1163" s="187"/>
      <c r="E1163" s="187"/>
      <c r="F1163" s="187"/>
      <c r="G1163" s="187"/>
      <c r="H1163" s="187"/>
      <c r="J1163" s="186"/>
      <c r="K1163" s="180"/>
      <c r="L1163" s="180"/>
    </row>
    <row r="1164" spans="2:12" s="188" customFormat="1" ht="15" customHeight="1">
      <c r="B1164" s="187"/>
      <c r="C1164" s="187"/>
      <c r="D1164" s="187"/>
      <c r="E1164" s="187"/>
      <c r="F1164" s="187"/>
      <c r="G1164" s="187"/>
      <c r="H1164" s="187"/>
      <c r="J1164" s="186"/>
      <c r="K1164" s="180"/>
      <c r="L1164" s="180"/>
    </row>
    <row r="1165" spans="2:12" s="188" customFormat="1" ht="15" customHeight="1">
      <c r="B1165" s="187"/>
      <c r="C1165" s="187"/>
      <c r="D1165" s="187"/>
      <c r="E1165" s="187"/>
      <c r="F1165" s="187"/>
      <c r="G1165" s="187"/>
      <c r="H1165" s="187"/>
      <c r="J1165" s="186"/>
      <c r="K1165" s="180"/>
      <c r="L1165" s="180"/>
    </row>
    <row r="1166" spans="2:12" s="188" customFormat="1" ht="15" customHeight="1">
      <c r="B1166" s="187"/>
      <c r="C1166" s="187"/>
      <c r="D1166" s="187"/>
      <c r="E1166" s="187"/>
      <c r="F1166" s="187"/>
      <c r="G1166" s="187"/>
      <c r="H1166" s="187"/>
      <c r="J1166" s="186"/>
      <c r="K1166" s="180"/>
      <c r="L1166" s="180"/>
    </row>
    <row r="1167" spans="2:12" s="188" customFormat="1" ht="15" customHeight="1">
      <c r="B1167" s="187"/>
      <c r="C1167" s="187"/>
      <c r="D1167" s="187"/>
      <c r="E1167" s="187"/>
      <c r="F1167" s="187"/>
      <c r="G1167" s="187"/>
      <c r="H1167" s="187"/>
      <c r="J1167" s="186"/>
      <c r="K1167" s="180"/>
      <c r="L1167" s="180"/>
    </row>
    <row r="1168" spans="2:12" s="188" customFormat="1" ht="15" customHeight="1">
      <c r="B1168" s="187"/>
      <c r="C1168" s="187"/>
      <c r="D1168" s="187"/>
      <c r="E1168" s="187"/>
      <c r="F1168" s="187"/>
      <c r="G1168" s="187"/>
      <c r="H1168" s="187"/>
      <c r="J1168" s="186"/>
      <c r="K1168" s="180"/>
      <c r="L1168" s="180"/>
    </row>
    <row r="1169" spans="2:12" s="188" customFormat="1" ht="15" customHeight="1">
      <c r="B1169" s="187"/>
      <c r="C1169" s="187"/>
      <c r="D1169" s="187"/>
      <c r="E1169" s="187"/>
      <c r="F1169" s="187"/>
      <c r="G1169" s="187"/>
      <c r="H1169" s="187"/>
      <c r="J1169" s="186"/>
      <c r="K1169" s="180"/>
      <c r="L1169" s="180"/>
    </row>
    <row r="1170" spans="2:12" s="188" customFormat="1" ht="15" customHeight="1">
      <c r="B1170" s="187"/>
      <c r="C1170" s="187"/>
      <c r="D1170" s="187"/>
      <c r="E1170" s="187"/>
      <c r="F1170" s="187"/>
      <c r="G1170" s="187"/>
      <c r="H1170" s="187"/>
      <c r="J1170" s="186"/>
      <c r="K1170" s="180"/>
      <c r="L1170" s="180"/>
    </row>
    <row r="1171" spans="2:12" s="188" customFormat="1" ht="15" customHeight="1">
      <c r="B1171" s="187"/>
      <c r="C1171" s="187"/>
      <c r="D1171" s="187"/>
      <c r="E1171" s="187"/>
      <c r="F1171" s="187"/>
      <c r="G1171" s="187"/>
      <c r="H1171" s="187"/>
      <c r="J1171" s="186"/>
      <c r="K1171" s="180"/>
      <c r="L1171" s="180"/>
    </row>
    <row r="1172" spans="2:12" s="188" customFormat="1" ht="15" customHeight="1">
      <c r="B1172" s="187"/>
      <c r="C1172" s="187"/>
      <c r="D1172" s="187"/>
      <c r="E1172" s="187"/>
      <c r="F1172" s="187"/>
      <c r="G1172" s="187"/>
      <c r="H1172" s="187"/>
      <c r="J1172" s="186"/>
      <c r="K1172" s="180"/>
      <c r="L1172" s="180"/>
    </row>
    <row r="1173" spans="2:12" s="188" customFormat="1" ht="15" customHeight="1">
      <c r="B1173" s="187"/>
      <c r="C1173" s="187"/>
      <c r="D1173" s="187"/>
      <c r="E1173" s="187"/>
      <c r="F1173" s="187"/>
      <c r="G1173" s="187"/>
      <c r="H1173" s="187"/>
      <c r="J1173" s="186"/>
      <c r="K1173" s="180"/>
      <c r="L1173" s="180"/>
    </row>
    <row r="1174" spans="2:12" s="188" customFormat="1" ht="15" customHeight="1">
      <c r="B1174" s="187"/>
      <c r="C1174" s="187"/>
      <c r="D1174" s="187"/>
      <c r="E1174" s="187"/>
      <c r="F1174" s="187"/>
      <c r="G1174" s="187"/>
      <c r="H1174" s="187"/>
      <c r="J1174" s="186"/>
      <c r="K1174" s="180"/>
      <c r="L1174" s="180"/>
    </row>
    <row r="1175" spans="2:12" s="188" customFormat="1" ht="15" customHeight="1">
      <c r="B1175" s="187"/>
      <c r="C1175" s="187"/>
      <c r="D1175" s="187"/>
      <c r="E1175" s="187"/>
      <c r="F1175" s="187"/>
      <c r="G1175" s="187"/>
      <c r="H1175" s="187"/>
      <c r="J1175" s="186"/>
      <c r="K1175" s="180"/>
      <c r="L1175" s="180"/>
    </row>
    <row r="1176" spans="2:12" s="188" customFormat="1" ht="15" customHeight="1">
      <c r="B1176" s="187"/>
      <c r="C1176" s="187"/>
      <c r="D1176" s="187"/>
      <c r="E1176" s="187"/>
      <c r="F1176" s="187"/>
      <c r="G1176" s="187"/>
      <c r="H1176" s="187"/>
      <c r="J1176" s="186"/>
      <c r="K1176" s="180"/>
      <c r="L1176" s="180"/>
    </row>
    <row r="1177" spans="2:12" s="188" customFormat="1" ht="15" customHeight="1">
      <c r="B1177" s="187"/>
      <c r="C1177" s="187"/>
      <c r="D1177" s="187"/>
      <c r="E1177" s="187"/>
      <c r="F1177" s="187"/>
      <c r="G1177" s="187"/>
      <c r="H1177" s="187"/>
      <c r="J1177" s="186"/>
      <c r="K1177" s="180"/>
      <c r="L1177" s="180"/>
    </row>
    <row r="1178" spans="2:12" s="188" customFormat="1" ht="15" customHeight="1">
      <c r="B1178" s="187"/>
      <c r="C1178" s="187"/>
      <c r="D1178" s="187"/>
      <c r="E1178" s="187"/>
      <c r="F1178" s="187"/>
      <c r="G1178" s="187"/>
      <c r="H1178" s="187"/>
      <c r="J1178" s="186"/>
      <c r="K1178" s="180"/>
      <c r="L1178" s="180"/>
    </row>
    <row r="1179" spans="2:12" s="188" customFormat="1" ht="15" customHeight="1">
      <c r="B1179" s="187"/>
      <c r="C1179" s="187"/>
      <c r="D1179" s="187"/>
      <c r="E1179" s="187"/>
      <c r="F1179" s="187"/>
      <c r="G1179" s="187"/>
      <c r="H1179" s="187"/>
      <c r="J1179" s="186"/>
      <c r="K1179" s="180"/>
      <c r="L1179" s="180"/>
    </row>
    <row r="1180" spans="2:12" s="188" customFormat="1" ht="15" customHeight="1">
      <c r="B1180" s="187"/>
      <c r="C1180" s="187"/>
      <c r="D1180" s="187"/>
      <c r="E1180" s="187"/>
      <c r="F1180" s="187"/>
      <c r="G1180" s="187"/>
      <c r="H1180" s="187"/>
      <c r="J1180" s="186"/>
      <c r="K1180" s="180"/>
      <c r="L1180" s="180"/>
    </row>
    <row r="1181" spans="2:12" s="188" customFormat="1" ht="15" customHeight="1">
      <c r="B1181" s="187"/>
      <c r="C1181" s="187"/>
      <c r="D1181" s="187"/>
      <c r="E1181" s="187"/>
      <c r="F1181" s="187"/>
      <c r="G1181" s="187"/>
      <c r="H1181" s="187"/>
      <c r="J1181" s="186"/>
      <c r="K1181" s="180"/>
      <c r="L1181" s="180"/>
    </row>
    <row r="1182" spans="2:12" s="188" customFormat="1" ht="15" customHeight="1">
      <c r="B1182" s="187"/>
      <c r="C1182" s="187"/>
      <c r="D1182" s="187"/>
      <c r="E1182" s="187"/>
      <c r="F1182" s="187"/>
      <c r="G1182" s="187"/>
      <c r="H1182" s="187"/>
      <c r="J1182" s="186"/>
      <c r="K1182" s="180"/>
      <c r="L1182" s="180"/>
    </row>
    <row r="1183" spans="2:12" s="188" customFormat="1" ht="15" customHeight="1">
      <c r="B1183" s="187"/>
      <c r="C1183" s="187"/>
      <c r="D1183" s="187"/>
      <c r="E1183" s="187"/>
      <c r="F1183" s="187"/>
      <c r="G1183" s="187"/>
      <c r="H1183" s="187"/>
      <c r="J1183" s="186"/>
      <c r="K1183" s="180"/>
      <c r="L1183" s="180"/>
    </row>
    <row r="1184" spans="2:12" s="188" customFormat="1" ht="15" customHeight="1">
      <c r="B1184" s="187"/>
      <c r="C1184" s="187"/>
      <c r="D1184" s="187"/>
      <c r="E1184" s="187"/>
      <c r="F1184" s="187"/>
      <c r="G1184" s="187"/>
      <c r="H1184" s="187"/>
      <c r="J1184" s="186"/>
      <c r="K1184" s="180"/>
      <c r="L1184" s="180"/>
    </row>
    <row r="1185" spans="2:12" s="188" customFormat="1" ht="15" customHeight="1">
      <c r="B1185" s="187"/>
      <c r="C1185" s="187"/>
      <c r="D1185" s="187"/>
      <c r="E1185" s="187"/>
      <c r="F1185" s="187"/>
      <c r="G1185" s="187"/>
      <c r="H1185" s="187"/>
      <c r="J1185" s="186"/>
      <c r="K1185" s="180"/>
      <c r="L1185" s="180"/>
    </row>
    <row r="1186" spans="2:12" s="188" customFormat="1" ht="15" customHeight="1">
      <c r="B1186" s="187"/>
      <c r="C1186" s="187"/>
      <c r="D1186" s="187"/>
      <c r="E1186" s="187"/>
      <c r="F1186" s="187"/>
      <c r="G1186" s="187"/>
      <c r="H1186" s="187"/>
      <c r="J1186" s="186"/>
      <c r="K1186" s="180"/>
      <c r="L1186" s="180"/>
    </row>
    <row r="1187" spans="2:12" s="188" customFormat="1" ht="15" customHeight="1">
      <c r="B1187" s="187"/>
      <c r="C1187" s="187"/>
      <c r="D1187" s="187"/>
      <c r="E1187" s="187"/>
      <c r="F1187" s="187"/>
      <c r="G1187" s="187"/>
      <c r="H1187" s="187"/>
      <c r="J1187" s="186"/>
      <c r="K1187" s="180"/>
      <c r="L1187" s="180"/>
    </row>
    <row r="1188" spans="2:12" s="188" customFormat="1" ht="15" customHeight="1">
      <c r="B1188" s="187"/>
      <c r="C1188" s="187"/>
      <c r="D1188" s="187"/>
      <c r="E1188" s="187"/>
      <c r="F1188" s="187"/>
      <c r="G1188" s="187"/>
      <c r="H1188" s="187"/>
      <c r="J1188" s="186"/>
      <c r="K1188" s="180"/>
      <c r="L1188" s="180"/>
    </row>
    <row r="1189" spans="2:12" s="188" customFormat="1" ht="15" customHeight="1">
      <c r="B1189" s="187"/>
      <c r="C1189" s="187"/>
      <c r="D1189" s="187"/>
      <c r="E1189" s="187"/>
      <c r="F1189" s="187"/>
      <c r="G1189" s="187"/>
      <c r="H1189" s="187"/>
      <c r="J1189" s="186"/>
      <c r="K1189" s="180"/>
      <c r="L1189" s="180"/>
    </row>
    <row r="1190" spans="2:12" s="188" customFormat="1" ht="15" customHeight="1">
      <c r="B1190" s="187"/>
      <c r="C1190" s="187"/>
      <c r="D1190" s="187"/>
      <c r="E1190" s="187"/>
      <c r="F1190" s="187"/>
      <c r="G1190" s="187"/>
      <c r="H1190" s="187"/>
      <c r="J1190" s="186"/>
      <c r="K1190" s="180"/>
      <c r="L1190" s="180"/>
    </row>
    <row r="1191" spans="2:12" s="188" customFormat="1" ht="15" customHeight="1">
      <c r="B1191" s="187"/>
      <c r="C1191" s="187"/>
      <c r="D1191" s="187"/>
      <c r="E1191" s="187"/>
      <c r="F1191" s="187"/>
      <c r="G1191" s="187"/>
      <c r="H1191" s="187"/>
      <c r="J1191" s="186"/>
      <c r="K1191" s="180"/>
      <c r="L1191" s="180"/>
    </row>
    <row r="1192" spans="2:12" s="188" customFormat="1" ht="15" customHeight="1">
      <c r="B1192" s="187"/>
      <c r="C1192" s="187"/>
      <c r="D1192" s="187"/>
      <c r="E1192" s="187"/>
      <c r="F1192" s="187"/>
      <c r="G1192" s="187"/>
      <c r="H1192" s="187"/>
      <c r="J1192" s="186"/>
      <c r="K1192" s="180"/>
      <c r="L1192" s="180"/>
    </row>
    <row r="1193" spans="2:12" s="188" customFormat="1" ht="15" customHeight="1">
      <c r="B1193" s="187"/>
      <c r="C1193" s="187"/>
      <c r="D1193" s="187"/>
      <c r="E1193" s="187"/>
      <c r="F1193" s="187"/>
      <c r="G1193" s="187"/>
      <c r="H1193" s="187"/>
      <c r="J1193" s="186"/>
      <c r="K1193" s="180"/>
      <c r="L1193" s="180"/>
    </row>
    <row r="1194" spans="2:12" s="188" customFormat="1" ht="15" customHeight="1">
      <c r="B1194" s="187"/>
      <c r="C1194" s="187"/>
      <c r="D1194" s="187"/>
      <c r="E1194" s="187"/>
      <c r="F1194" s="187"/>
      <c r="G1194" s="187"/>
      <c r="H1194" s="187"/>
      <c r="J1194" s="186"/>
      <c r="K1194" s="180"/>
      <c r="L1194" s="180"/>
    </row>
    <row r="1195" spans="2:12" s="188" customFormat="1" ht="15" customHeight="1">
      <c r="B1195" s="187"/>
      <c r="C1195" s="187"/>
      <c r="D1195" s="187"/>
      <c r="E1195" s="187"/>
      <c r="F1195" s="187"/>
      <c r="G1195" s="187"/>
      <c r="H1195" s="187"/>
      <c r="J1195" s="186"/>
      <c r="K1195" s="180"/>
      <c r="L1195" s="180"/>
    </row>
    <row r="1196" spans="2:12" s="188" customFormat="1" ht="15" customHeight="1">
      <c r="B1196" s="187"/>
      <c r="C1196" s="187"/>
      <c r="D1196" s="187"/>
      <c r="E1196" s="187"/>
      <c r="F1196" s="187"/>
      <c r="G1196" s="187"/>
      <c r="H1196" s="187"/>
      <c r="J1196" s="186"/>
      <c r="K1196" s="180"/>
      <c r="L1196" s="180"/>
    </row>
    <row r="1197" spans="2:12" s="188" customFormat="1" ht="15" customHeight="1">
      <c r="B1197" s="187"/>
      <c r="C1197" s="187"/>
      <c r="D1197" s="187"/>
      <c r="E1197" s="187"/>
      <c r="F1197" s="187"/>
      <c r="G1197" s="187"/>
      <c r="H1197" s="187"/>
      <c r="J1197" s="186"/>
      <c r="K1197" s="180"/>
      <c r="L1197" s="180"/>
    </row>
    <row r="1198" spans="2:12" s="188" customFormat="1" ht="15" customHeight="1">
      <c r="B1198" s="187"/>
      <c r="C1198" s="187"/>
      <c r="D1198" s="187"/>
      <c r="E1198" s="187"/>
      <c r="F1198" s="187"/>
      <c r="G1198" s="187"/>
      <c r="H1198" s="187"/>
      <c r="J1198" s="186"/>
      <c r="K1198" s="180"/>
      <c r="L1198" s="180"/>
    </row>
    <row r="1199" spans="2:12" s="188" customFormat="1" ht="15" customHeight="1">
      <c r="B1199" s="187"/>
      <c r="C1199" s="187"/>
      <c r="D1199" s="187"/>
      <c r="E1199" s="187"/>
      <c r="F1199" s="187"/>
      <c r="G1199" s="187"/>
      <c r="H1199" s="187"/>
      <c r="J1199" s="186"/>
      <c r="K1199" s="180"/>
      <c r="L1199" s="180"/>
    </row>
    <row r="1200" spans="2:12" s="188" customFormat="1" ht="15" customHeight="1">
      <c r="B1200" s="187"/>
      <c r="C1200" s="187"/>
      <c r="D1200" s="187"/>
      <c r="E1200" s="187"/>
      <c r="F1200" s="187"/>
      <c r="G1200" s="187"/>
      <c r="H1200" s="187"/>
      <c r="J1200" s="186"/>
      <c r="K1200" s="180"/>
      <c r="L1200" s="180"/>
    </row>
    <row r="1201" spans="2:12" s="188" customFormat="1" ht="15" customHeight="1">
      <c r="B1201" s="187"/>
      <c r="C1201" s="187"/>
      <c r="D1201" s="187"/>
      <c r="E1201" s="187"/>
      <c r="F1201" s="187"/>
      <c r="G1201" s="187"/>
      <c r="H1201" s="187"/>
      <c r="J1201" s="186"/>
      <c r="K1201" s="180"/>
      <c r="L1201" s="180"/>
    </row>
    <row r="1202" spans="2:12" s="188" customFormat="1" ht="15" customHeight="1">
      <c r="B1202" s="187"/>
      <c r="C1202" s="187"/>
      <c r="D1202" s="187"/>
      <c r="E1202" s="187"/>
      <c r="F1202" s="187"/>
      <c r="G1202" s="187"/>
      <c r="H1202" s="187"/>
      <c r="J1202" s="186"/>
      <c r="K1202" s="180"/>
      <c r="L1202" s="180"/>
    </row>
    <row r="1203" spans="2:12" s="188" customFormat="1" ht="15" customHeight="1">
      <c r="B1203" s="187"/>
      <c r="C1203" s="187"/>
      <c r="D1203" s="187"/>
      <c r="E1203" s="187"/>
      <c r="F1203" s="187"/>
      <c r="G1203" s="187"/>
      <c r="H1203" s="187"/>
      <c r="J1203" s="186"/>
      <c r="K1203" s="180"/>
      <c r="L1203" s="180"/>
    </row>
    <row r="1204" spans="2:12" s="188" customFormat="1" ht="15" customHeight="1">
      <c r="B1204" s="187"/>
      <c r="C1204" s="187"/>
      <c r="D1204" s="187"/>
      <c r="E1204" s="187"/>
      <c r="F1204" s="187"/>
      <c r="G1204" s="187"/>
      <c r="H1204" s="187"/>
      <c r="J1204" s="186"/>
      <c r="K1204" s="180"/>
      <c r="L1204" s="180"/>
    </row>
    <row r="1205" spans="2:12" s="188" customFormat="1" ht="15" customHeight="1">
      <c r="B1205" s="187"/>
      <c r="C1205" s="187"/>
      <c r="D1205" s="187"/>
      <c r="E1205" s="187"/>
      <c r="F1205" s="187"/>
      <c r="G1205" s="187"/>
      <c r="H1205" s="187"/>
      <c r="J1205" s="186"/>
      <c r="K1205" s="180"/>
      <c r="L1205" s="180"/>
    </row>
    <row r="1206" spans="2:12" s="188" customFormat="1" ht="15" customHeight="1">
      <c r="B1206" s="187"/>
      <c r="C1206" s="187"/>
      <c r="D1206" s="187"/>
      <c r="E1206" s="187"/>
      <c r="F1206" s="187"/>
      <c r="G1206" s="187"/>
      <c r="H1206" s="187"/>
      <c r="J1206" s="186"/>
      <c r="K1206" s="180"/>
      <c r="L1206" s="180"/>
    </row>
    <row r="1207" spans="2:12" s="188" customFormat="1" ht="15" customHeight="1">
      <c r="B1207" s="187"/>
      <c r="C1207" s="187"/>
      <c r="D1207" s="187"/>
      <c r="E1207" s="187"/>
      <c r="F1207" s="187"/>
      <c r="G1207" s="187"/>
      <c r="H1207" s="187"/>
      <c r="J1207" s="186"/>
      <c r="K1207" s="180"/>
      <c r="L1207" s="180"/>
    </row>
    <row r="1208" spans="2:12" s="188" customFormat="1" ht="15" customHeight="1">
      <c r="B1208" s="187"/>
      <c r="C1208" s="187"/>
      <c r="D1208" s="187"/>
      <c r="E1208" s="187"/>
      <c r="F1208" s="187"/>
      <c r="G1208" s="187"/>
      <c r="H1208" s="187"/>
      <c r="J1208" s="186"/>
      <c r="K1208" s="180"/>
      <c r="L1208" s="180"/>
    </row>
    <row r="1209" spans="2:12" s="188" customFormat="1" ht="15" customHeight="1">
      <c r="B1209" s="187"/>
      <c r="C1209" s="187"/>
      <c r="D1209" s="187"/>
      <c r="E1209" s="187"/>
      <c r="F1209" s="187"/>
      <c r="G1209" s="187"/>
      <c r="H1209" s="187"/>
      <c r="J1209" s="186"/>
      <c r="K1209" s="180"/>
      <c r="L1209" s="180"/>
    </row>
    <row r="1210" spans="2:12" s="188" customFormat="1" ht="15" customHeight="1">
      <c r="B1210" s="187"/>
      <c r="C1210" s="187"/>
      <c r="D1210" s="187"/>
      <c r="E1210" s="187"/>
      <c r="F1210" s="187"/>
      <c r="G1210" s="187"/>
      <c r="H1210" s="187"/>
      <c r="J1210" s="186"/>
      <c r="K1210" s="180"/>
      <c r="L1210" s="180"/>
    </row>
    <row r="1211" spans="2:12" s="188" customFormat="1" ht="15" customHeight="1">
      <c r="B1211" s="187"/>
      <c r="C1211" s="187"/>
      <c r="D1211" s="187"/>
      <c r="E1211" s="187"/>
      <c r="F1211" s="187"/>
      <c r="G1211" s="187"/>
      <c r="H1211" s="187"/>
      <c r="J1211" s="186"/>
      <c r="K1211" s="180"/>
      <c r="L1211" s="180"/>
    </row>
    <row r="1212" spans="2:12" s="188" customFormat="1" ht="15" customHeight="1">
      <c r="B1212" s="187"/>
      <c r="C1212" s="187"/>
      <c r="D1212" s="187"/>
      <c r="E1212" s="187"/>
      <c r="F1212" s="187"/>
      <c r="G1212" s="187"/>
      <c r="H1212" s="187"/>
      <c r="J1212" s="186"/>
      <c r="K1212" s="180"/>
      <c r="L1212" s="180"/>
    </row>
    <row r="1213" spans="2:12" s="188" customFormat="1" ht="15" customHeight="1">
      <c r="B1213" s="187"/>
      <c r="C1213" s="187"/>
      <c r="D1213" s="187"/>
      <c r="E1213" s="187"/>
      <c r="F1213" s="187"/>
      <c r="G1213" s="187"/>
      <c r="H1213" s="187"/>
      <c r="J1213" s="186"/>
      <c r="K1213" s="180"/>
      <c r="L1213" s="180"/>
    </row>
    <row r="1214" spans="2:12" s="188" customFormat="1" ht="15" customHeight="1">
      <c r="B1214" s="187"/>
      <c r="C1214" s="187"/>
      <c r="D1214" s="187"/>
      <c r="E1214" s="187"/>
      <c r="F1214" s="187"/>
      <c r="G1214" s="187"/>
      <c r="H1214" s="187"/>
      <c r="J1214" s="186"/>
      <c r="K1214" s="180"/>
      <c r="L1214" s="180"/>
    </row>
    <row r="1215" spans="2:12" s="188" customFormat="1" ht="15" customHeight="1">
      <c r="B1215" s="187"/>
      <c r="C1215" s="187"/>
      <c r="D1215" s="187"/>
      <c r="E1215" s="187"/>
      <c r="F1215" s="187"/>
      <c r="G1215" s="187"/>
      <c r="H1215" s="187"/>
      <c r="J1215" s="186"/>
      <c r="K1215" s="180"/>
      <c r="L1215" s="180"/>
    </row>
    <row r="1216" spans="2:12" s="188" customFormat="1" ht="15" customHeight="1">
      <c r="B1216" s="187"/>
      <c r="C1216" s="187"/>
      <c r="D1216" s="187"/>
      <c r="E1216" s="187"/>
      <c r="F1216" s="187"/>
      <c r="G1216" s="187"/>
      <c r="H1216" s="187"/>
      <c r="J1216" s="186"/>
      <c r="K1216" s="180"/>
      <c r="L1216" s="180"/>
    </row>
    <row r="1217" spans="2:12" s="188" customFormat="1" ht="15" customHeight="1">
      <c r="B1217" s="187"/>
      <c r="C1217" s="187"/>
      <c r="D1217" s="187"/>
      <c r="E1217" s="187"/>
      <c r="F1217" s="187"/>
      <c r="G1217" s="187"/>
      <c r="H1217" s="187"/>
      <c r="J1217" s="186"/>
      <c r="K1217" s="180"/>
      <c r="L1217" s="180"/>
    </row>
    <row r="1218" spans="2:12" s="188" customFormat="1" ht="15" customHeight="1">
      <c r="B1218" s="187"/>
      <c r="C1218" s="187"/>
      <c r="D1218" s="187"/>
      <c r="E1218" s="187"/>
      <c r="F1218" s="187"/>
      <c r="G1218" s="187"/>
      <c r="H1218" s="187"/>
      <c r="J1218" s="186"/>
      <c r="K1218" s="180"/>
      <c r="L1218" s="180"/>
    </row>
    <row r="1219" spans="2:12" s="188" customFormat="1" ht="15" customHeight="1">
      <c r="B1219" s="187"/>
      <c r="C1219" s="187"/>
      <c r="D1219" s="187"/>
      <c r="E1219" s="187"/>
      <c r="F1219" s="187"/>
      <c r="G1219" s="187"/>
      <c r="H1219" s="187"/>
      <c r="J1219" s="186"/>
      <c r="K1219" s="180"/>
      <c r="L1219" s="180"/>
    </row>
    <row r="1220" spans="2:12" s="188" customFormat="1" ht="15" customHeight="1">
      <c r="B1220" s="187"/>
      <c r="C1220" s="187"/>
      <c r="D1220" s="187"/>
      <c r="E1220" s="187"/>
      <c r="F1220" s="187"/>
      <c r="G1220" s="187"/>
      <c r="H1220" s="187"/>
      <c r="J1220" s="186"/>
      <c r="K1220" s="180"/>
      <c r="L1220" s="180"/>
    </row>
    <row r="1221" spans="2:12" s="188" customFormat="1" ht="15" customHeight="1">
      <c r="B1221" s="187"/>
      <c r="C1221" s="187"/>
      <c r="D1221" s="187"/>
      <c r="E1221" s="187"/>
      <c r="F1221" s="187"/>
      <c r="G1221" s="187"/>
      <c r="H1221" s="187"/>
      <c r="J1221" s="186"/>
      <c r="K1221" s="180"/>
      <c r="L1221" s="180"/>
    </row>
    <row r="1222" spans="2:12" s="188" customFormat="1" ht="15" customHeight="1">
      <c r="B1222" s="187"/>
      <c r="C1222" s="187"/>
      <c r="D1222" s="187"/>
      <c r="E1222" s="187"/>
      <c r="F1222" s="187"/>
      <c r="G1222" s="187"/>
      <c r="H1222" s="187"/>
      <c r="J1222" s="186"/>
      <c r="K1222" s="180"/>
      <c r="L1222" s="180"/>
    </row>
    <row r="1223" spans="2:12" s="188" customFormat="1" ht="15" customHeight="1">
      <c r="B1223" s="187"/>
      <c r="C1223" s="187"/>
      <c r="D1223" s="187"/>
      <c r="E1223" s="187"/>
      <c r="F1223" s="187"/>
      <c r="G1223" s="187"/>
      <c r="H1223" s="187"/>
      <c r="J1223" s="186"/>
      <c r="K1223" s="180"/>
      <c r="L1223" s="180"/>
    </row>
    <row r="1224" spans="2:12" s="188" customFormat="1" ht="15" customHeight="1">
      <c r="B1224" s="187"/>
      <c r="C1224" s="187"/>
      <c r="D1224" s="187"/>
      <c r="E1224" s="187"/>
      <c r="F1224" s="187"/>
      <c r="G1224" s="187"/>
      <c r="H1224" s="187"/>
      <c r="J1224" s="186"/>
      <c r="K1224" s="180"/>
      <c r="L1224" s="180"/>
    </row>
    <row r="1225" spans="2:12" s="188" customFormat="1" ht="15" customHeight="1">
      <c r="B1225" s="187"/>
      <c r="C1225" s="187"/>
      <c r="D1225" s="187"/>
      <c r="E1225" s="187"/>
      <c r="F1225" s="187"/>
      <c r="G1225" s="187"/>
      <c r="H1225" s="187"/>
      <c r="J1225" s="186"/>
      <c r="K1225" s="180"/>
      <c r="L1225" s="180"/>
    </row>
    <row r="1226" spans="2:12" s="188" customFormat="1" ht="15" customHeight="1">
      <c r="B1226" s="187"/>
      <c r="C1226" s="187"/>
      <c r="D1226" s="187"/>
      <c r="E1226" s="187"/>
      <c r="F1226" s="187"/>
      <c r="G1226" s="187"/>
      <c r="H1226" s="187"/>
      <c r="J1226" s="186"/>
      <c r="K1226" s="180"/>
      <c r="L1226" s="180"/>
    </row>
    <row r="1227" spans="2:12" s="188" customFormat="1" ht="15" customHeight="1">
      <c r="B1227" s="187"/>
      <c r="C1227" s="187"/>
      <c r="D1227" s="187"/>
      <c r="E1227" s="187"/>
      <c r="F1227" s="187"/>
      <c r="G1227" s="187"/>
      <c r="H1227" s="187"/>
      <c r="J1227" s="186"/>
      <c r="K1227" s="180"/>
      <c r="L1227" s="180"/>
    </row>
    <row r="1228" spans="2:12" s="188" customFormat="1" ht="15" customHeight="1">
      <c r="B1228" s="187"/>
      <c r="C1228" s="187"/>
      <c r="D1228" s="187"/>
      <c r="E1228" s="187"/>
      <c r="F1228" s="187"/>
      <c r="G1228" s="187"/>
      <c r="H1228" s="187"/>
      <c r="J1228" s="186"/>
      <c r="K1228" s="180"/>
      <c r="L1228" s="180"/>
    </row>
    <row r="1229" spans="2:12" s="188" customFormat="1" ht="15" customHeight="1">
      <c r="B1229" s="187"/>
      <c r="C1229" s="187"/>
      <c r="D1229" s="187"/>
      <c r="E1229" s="187"/>
      <c r="F1229" s="187"/>
      <c r="G1229" s="187"/>
      <c r="H1229" s="187"/>
      <c r="J1229" s="186"/>
      <c r="K1229" s="180"/>
      <c r="L1229" s="180"/>
    </row>
    <row r="1230" spans="2:12" s="188" customFormat="1" ht="15" customHeight="1">
      <c r="B1230" s="187"/>
      <c r="C1230" s="187"/>
      <c r="D1230" s="187"/>
      <c r="E1230" s="187"/>
      <c r="F1230" s="187"/>
      <c r="G1230" s="187"/>
      <c r="H1230" s="187"/>
      <c r="J1230" s="186"/>
      <c r="K1230" s="180"/>
      <c r="L1230" s="180"/>
    </row>
    <row r="1231" spans="2:12" s="188" customFormat="1" ht="15" customHeight="1">
      <c r="B1231" s="187"/>
      <c r="C1231" s="187"/>
      <c r="D1231" s="187"/>
      <c r="E1231" s="187"/>
      <c r="F1231" s="187"/>
      <c r="G1231" s="187"/>
      <c r="H1231" s="187"/>
      <c r="J1231" s="186"/>
      <c r="K1231" s="180"/>
      <c r="L1231" s="180"/>
    </row>
    <row r="1232" spans="2:12" s="188" customFormat="1" ht="15" customHeight="1">
      <c r="B1232" s="187"/>
      <c r="C1232" s="187"/>
      <c r="D1232" s="187"/>
      <c r="E1232" s="187"/>
      <c r="F1232" s="187"/>
      <c r="G1232" s="187"/>
      <c r="H1232" s="187"/>
      <c r="J1232" s="186"/>
      <c r="K1232" s="180"/>
      <c r="L1232" s="180"/>
    </row>
    <row r="1233" spans="2:12" s="188" customFormat="1" ht="15" customHeight="1">
      <c r="B1233" s="187"/>
      <c r="C1233" s="187"/>
      <c r="D1233" s="187"/>
      <c r="E1233" s="187"/>
      <c r="F1233" s="187"/>
      <c r="G1233" s="187"/>
      <c r="H1233" s="187"/>
      <c r="J1233" s="186"/>
      <c r="K1233" s="180"/>
      <c r="L1233" s="180"/>
    </row>
    <row r="1234" spans="2:12" s="188" customFormat="1" ht="15" customHeight="1">
      <c r="B1234" s="187"/>
      <c r="C1234" s="187"/>
      <c r="D1234" s="187"/>
      <c r="E1234" s="187"/>
      <c r="F1234" s="187"/>
      <c r="G1234" s="187"/>
      <c r="H1234" s="187"/>
      <c r="J1234" s="186"/>
      <c r="K1234" s="180"/>
      <c r="L1234" s="180"/>
    </row>
    <row r="1235" spans="2:12" s="188" customFormat="1" ht="15" customHeight="1">
      <c r="B1235" s="187"/>
      <c r="C1235" s="187"/>
      <c r="D1235" s="187"/>
      <c r="E1235" s="187"/>
      <c r="F1235" s="187"/>
      <c r="G1235" s="187"/>
      <c r="H1235" s="187"/>
      <c r="J1235" s="186"/>
      <c r="K1235" s="180"/>
      <c r="L1235" s="180"/>
    </row>
    <row r="1236" spans="2:12" s="188" customFormat="1" ht="15" customHeight="1">
      <c r="B1236" s="187"/>
      <c r="C1236" s="187"/>
      <c r="D1236" s="187"/>
      <c r="E1236" s="187"/>
      <c r="F1236" s="187"/>
      <c r="G1236" s="187"/>
      <c r="H1236" s="187"/>
      <c r="J1236" s="186"/>
      <c r="K1236" s="180"/>
      <c r="L1236" s="180"/>
    </row>
    <row r="1237" spans="2:12" s="188" customFormat="1" ht="15" customHeight="1">
      <c r="B1237" s="187"/>
      <c r="C1237" s="187"/>
      <c r="D1237" s="187"/>
      <c r="E1237" s="187"/>
      <c r="F1237" s="187"/>
      <c r="G1237" s="187"/>
      <c r="H1237" s="187"/>
      <c r="J1237" s="186"/>
      <c r="K1237" s="180"/>
      <c r="L1237" s="180"/>
    </row>
    <row r="1238" spans="2:12" s="188" customFormat="1" ht="15" customHeight="1">
      <c r="B1238" s="187"/>
      <c r="C1238" s="187"/>
      <c r="D1238" s="187"/>
      <c r="E1238" s="187"/>
      <c r="F1238" s="187"/>
      <c r="G1238" s="187"/>
      <c r="H1238" s="187"/>
      <c r="J1238" s="186"/>
      <c r="K1238" s="180"/>
      <c r="L1238" s="180"/>
    </row>
    <row r="1239" spans="2:12" s="188" customFormat="1" ht="15" customHeight="1">
      <c r="B1239" s="187"/>
      <c r="C1239" s="187"/>
      <c r="D1239" s="187"/>
      <c r="E1239" s="187"/>
      <c r="F1239" s="187"/>
      <c r="G1239" s="187"/>
      <c r="H1239" s="187"/>
      <c r="J1239" s="186"/>
      <c r="K1239" s="180"/>
      <c r="L1239" s="180"/>
    </row>
    <row r="1240" spans="2:12" s="188" customFormat="1" ht="15" customHeight="1">
      <c r="B1240" s="187"/>
      <c r="C1240" s="187"/>
      <c r="D1240" s="187"/>
      <c r="E1240" s="187"/>
      <c r="F1240" s="187"/>
      <c r="G1240" s="187"/>
      <c r="H1240" s="187"/>
      <c r="J1240" s="186"/>
      <c r="K1240" s="180"/>
      <c r="L1240" s="180"/>
    </row>
    <row r="1241" spans="2:12" s="188" customFormat="1" ht="15" customHeight="1">
      <c r="B1241" s="187"/>
      <c r="C1241" s="187"/>
      <c r="D1241" s="187"/>
      <c r="E1241" s="187"/>
      <c r="F1241" s="187"/>
      <c r="G1241" s="187"/>
      <c r="H1241" s="187"/>
      <c r="J1241" s="186"/>
      <c r="K1241" s="180"/>
      <c r="L1241" s="180"/>
    </row>
    <row r="1242" spans="2:12" s="188" customFormat="1" ht="15" customHeight="1">
      <c r="B1242" s="187"/>
      <c r="C1242" s="187"/>
      <c r="D1242" s="187"/>
      <c r="E1242" s="187"/>
      <c r="F1242" s="187"/>
      <c r="G1242" s="187"/>
      <c r="H1242" s="187"/>
      <c r="J1242" s="186"/>
      <c r="K1242" s="180"/>
      <c r="L1242" s="180"/>
    </row>
    <row r="1243" spans="2:12" s="188" customFormat="1" ht="15" customHeight="1">
      <c r="B1243" s="187"/>
      <c r="C1243" s="187"/>
      <c r="D1243" s="187"/>
      <c r="E1243" s="187"/>
      <c r="F1243" s="187"/>
      <c r="G1243" s="187"/>
      <c r="H1243" s="187"/>
      <c r="J1243" s="186"/>
      <c r="K1243" s="180"/>
      <c r="L1243" s="180"/>
    </row>
    <row r="1244" spans="2:12" s="188" customFormat="1" ht="15" customHeight="1">
      <c r="B1244" s="187"/>
      <c r="C1244" s="187"/>
      <c r="D1244" s="187"/>
      <c r="E1244" s="187"/>
      <c r="F1244" s="187"/>
      <c r="G1244" s="187"/>
      <c r="H1244" s="187"/>
      <c r="J1244" s="186"/>
      <c r="K1244" s="180"/>
      <c r="L1244" s="180"/>
    </row>
    <row r="1245" spans="2:12" s="188" customFormat="1" ht="15" customHeight="1">
      <c r="B1245" s="187"/>
      <c r="C1245" s="187"/>
      <c r="D1245" s="187"/>
      <c r="E1245" s="187"/>
      <c r="F1245" s="187"/>
      <c r="G1245" s="187"/>
      <c r="H1245" s="187"/>
      <c r="J1245" s="186"/>
      <c r="K1245" s="180"/>
      <c r="L1245" s="180"/>
    </row>
    <row r="1246" spans="2:12" s="188" customFormat="1" ht="15" customHeight="1">
      <c r="B1246" s="187"/>
      <c r="C1246" s="187"/>
      <c r="D1246" s="187"/>
      <c r="E1246" s="187"/>
      <c r="F1246" s="187"/>
      <c r="G1246" s="187"/>
      <c r="H1246" s="187"/>
      <c r="J1246" s="186"/>
      <c r="K1246" s="180"/>
      <c r="L1246" s="180"/>
    </row>
    <row r="1247" spans="2:12" s="188" customFormat="1" ht="15" customHeight="1">
      <c r="B1247" s="187"/>
      <c r="C1247" s="187"/>
      <c r="D1247" s="187"/>
      <c r="E1247" s="187"/>
      <c r="F1247" s="187"/>
      <c r="G1247" s="187"/>
      <c r="H1247" s="187"/>
      <c r="J1247" s="186"/>
      <c r="K1247" s="180"/>
      <c r="L1247" s="180"/>
    </row>
    <row r="1248" spans="2:12" s="188" customFormat="1" ht="15" customHeight="1">
      <c r="B1248" s="187"/>
      <c r="C1248" s="187"/>
      <c r="D1248" s="187"/>
      <c r="E1248" s="187"/>
      <c r="F1248" s="187"/>
      <c r="G1248" s="187"/>
      <c r="H1248" s="187"/>
      <c r="J1248" s="186"/>
      <c r="K1248" s="180"/>
      <c r="L1248" s="180"/>
    </row>
    <row r="1249" spans="2:12" s="188" customFormat="1" ht="15" customHeight="1">
      <c r="B1249" s="187"/>
      <c r="C1249" s="187"/>
      <c r="D1249" s="187"/>
      <c r="E1249" s="187"/>
      <c r="F1249" s="187"/>
      <c r="G1249" s="187"/>
      <c r="H1249" s="187"/>
      <c r="J1249" s="186"/>
      <c r="K1249" s="180"/>
      <c r="L1249" s="180"/>
    </row>
    <row r="1250" spans="2:12" s="188" customFormat="1" ht="15" customHeight="1">
      <c r="B1250" s="187"/>
      <c r="C1250" s="187"/>
      <c r="D1250" s="187"/>
      <c r="E1250" s="187"/>
      <c r="F1250" s="187"/>
      <c r="G1250" s="187"/>
      <c r="H1250" s="187"/>
      <c r="J1250" s="186"/>
      <c r="K1250" s="180"/>
      <c r="L1250" s="180"/>
    </row>
    <row r="1251" spans="2:12" s="188" customFormat="1" ht="15" customHeight="1">
      <c r="B1251" s="187"/>
      <c r="C1251" s="187"/>
      <c r="D1251" s="187"/>
      <c r="E1251" s="187"/>
      <c r="F1251" s="187"/>
      <c r="G1251" s="187"/>
      <c r="H1251" s="187"/>
      <c r="J1251" s="186"/>
      <c r="K1251" s="180"/>
      <c r="L1251" s="180"/>
    </row>
    <row r="1252" spans="2:12" s="188" customFormat="1" ht="15" customHeight="1">
      <c r="B1252" s="187"/>
      <c r="C1252" s="187"/>
      <c r="D1252" s="187"/>
      <c r="E1252" s="187"/>
      <c r="F1252" s="187"/>
      <c r="G1252" s="187"/>
      <c r="H1252" s="187"/>
      <c r="J1252" s="186"/>
      <c r="K1252" s="180"/>
      <c r="L1252" s="180"/>
    </row>
    <row r="1253" spans="2:12" s="188" customFormat="1" ht="15" customHeight="1">
      <c r="B1253" s="187"/>
      <c r="C1253" s="187"/>
      <c r="D1253" s="187"/>
      <c r="E1253" s="187"/>
      <c r="F1253" s="187"/>
      <c r="G1253" s="187"/>
      <c r="H1253" s="187"/>
      <c r="J1253" s="186"/>
      <c r="K1253" s="180"/>
      <c r="L1253" s="180"/>
    </row>
    <row r="1254" spans="2:12" s="188" customFormat="1" ht="15" customHeight="1">
      <c r="B1254" s="187"/>
      <c r="C1254" s="187"/>
      <c r="D1254" s="187"/>
      <c r="E1254" s="187"/>
      <c r="F1254" s="187"/>
      <c r="G1254" s="187"/>
      <c r="H1254" s="187"/>
      <c r="J1254" s="186"/>
      <c r="K1254" s="180"/>
      <c r="L1254" s="180"/>
    </row>
    <row r="1255" spans="2:12" s="188" customFormat="1" ht="15" customHeight="1">
      <c r="B1255" s="187"/>
      <c r="C1255" s="187"/>
      <c r="D1255" s="187"/>
      <c r="E1255" s="187"/>
      <c r="F1255" s="187"/>
      <c r="G1255" s="187"/>
      <c r="H1255" s="187"/>
      <c r="J1255" s="186"/>
      <c r="K1255" s="180"/>
      <c r="L1255" s="180"/>
    </row>
    <row r="1256" spans="2:12" s="188" customFormat="1" ht="15" customHeight="1">
      <c r="B1256" s="187"/>
      <c r="C1256" s="187"/>
      <c r="D1256" s="187"/>
      <c r="E1256" s="187"/>
      <c r="F1256" s="187"/>
      <c r="G1256" s="187"/>
      <c r="H1256" s="187"/>
      <c r="J1256" s="186"/>
      <c r="K1256" s="180"/>
      <c r="L1256" s="180"/>
    </row>
    <row r="1257" spans="2:12" s="188" customFormat="1" ht="15" customHeight="1">
      <c r="B1257" s="187"/>
      <c r="C1257" s="187"/>
      <c r="D1257" s="187"/>
      <c r="E1257" s="187"/>
      <c r="F1257" s="187"/>
      <c r="G1257" s="187"/>
      <c r="H1257" s="187"/>
      <c r="J1257" s="186"/>
      <c r="K1257" s="180"/>
      <c r="L1257" s="180"/>
    </row>
    <row r="1258" spans="2:12" s="188" customFormat="1" ht="15" customHeight="1">
      <c r="B1258" s="187"/>
      <c r="C1258" s="187"/>
      <c r="D1258" s="187"/>
      <c r="E1258" s="187"/>
      <c r="F1258" s="187"/>
      <c r="G1258" s="187"/>
      <c r="H1258" s="187"/>
      <c r="J1258" s="186"/>
      <c r="K1258" s="180"/>
      <c r="L1258" s="180"/>
    </row>
    <row r="1259" spans="2:12" s="188" customFormat="1" ht="15" customHeight="1">
      <c r="B1259" s="187"/>
      <c r="C1259" s="187"/>
      <c r="D1259" s="187"/>
      <c r="E1259" s="187"/>
      <c r="F1259" s="187"/>
      <c r="G1259" s="187"/>
      <c r="H1259" s="187"/>
      <c r="J1259" s="186"/>
      <c r="K1259" s="180"/>
      <c r="L1259" s="180"/>
    </row>
    <row r="1260" spans="2:12" s="188" customFormat="1" ht="15" customHeight="1">
      <c r="B1260" s="187"/>
      <c r="C1260" s="187"/>
      <c r="D1260" s="187"/>
      <c r="E1260" s="187"/>
      <c r="F1260" s="187"/>
      <c r="G1260" s="187"/>
      <c r="H1260" s="187"/>
      <c r="J1260" s="186"/>
      <c r="K1260" s="180"/>
      <c r="L1260" s="180"/>
    </row>
    <row r="1261" spans="2:12" s="188" customFormat="1" ht="15" customHeight="1">
      <c r="B1261" s="187"/>
      <c r="C1261" s="187"/>
      <c r="D1261" s="187"/>
      <c r="E1261" s="187"/>
      <c r="F1261" s="187"/>
      <c r="G1261" s="187"/>
      <c r="H1261" s="187"/>
      <c r="J1261" s="186"/>
      <c r="K1261" s="180"/>
      <c r="L1261" s="180"/>
    </row>
    <row r="1262" spans="2:12" s="188" customFormat="1" ht="15" customHeight="1">
      <c r="B1262" s="187"/>
      <c r="C1262" s="187"/>
      <c r="D1262" s="187"/>
      <c r="E1262" s="187"/>
      <c r="F1262" s="187"/>
      <c r="G1262" s="187"/>
      <c r="H1262" s="187"/>
      <c r="J1262" s="186"/>
      <c r="K1262" s="180"/>
      <c r="L1262" s="180"/>
    </row>
    <row r="1263" spans="2:12" s="188" customFormat="1" ht="15" customHeight="1">
      <c r="B1263" s="187"/>
      <c r="C1263" s="187"/>
      <c r="D1263" s="187"/>
      <c r="E1263" s="187"/>
      <c r="F1263" s="187"/>
      <c r="G1263" s="187"/>
      <c r="H1263" s="187"/>
      <c r="J1263" s="186"/>
      <c r="K1263" s="180"/>
      <c r="L1263" s="180"/>
    </row>
    <row r="1264" spans="2:12" s="188" customFormat="1" ht="15" customHeight="1">
      <c r="B1264" s="187"/>
      <c r="C1264" s="187"/>
      <c r="D1264" s="187"/>
      <c r="E1264" s="187"/>
      <c r="F1264" s="187"/>
      <c r="G1264" s="187"/>
      <c r="H1264" s="187"/>
      <c r="J1264" s="186"/>
      <c r="K1264" s="180"/>
      <c r="L1264" s="180"/>
    </row>
    <row r="1265" spans="2:12" s="188" customFormat="1" ht="15" customHeight="1">
      <c r="B1265" s="187"/>
      <c r="C1265" s="187"/>
      <c r="D1265" s="187"/>
      <c r="E1265" s="187"/>
      <c r="F1265" s="187"/>
      <c r="G1265" s="187"/>
      <c r="H1265" s="187"/>
      <c r="J1265" s="186"/>
      <c r="K1265" s="180"/>
      <c r="L1265" s="180"/>
    </row>
    <row r="1266" spans="2:12" s="188" customFormat="1" ht="15" customHeight="1">
      <c r="B1266" s="187"/>
      <c r="C1266" s="187"/>
      <c r="D1266" s="187"/>
      <c r="E1266" s="187"/>
      <c r="F1266" s="187"/>
      <c r="G1266" s="187"/>
      <c r="H1266" s="187"/>
      <c r="J1266" s="186"/>
      <c r="K1266" s="180"/>
      <c r="L1266" s="180"/>
    </row>
    <row r="1267" spans="2:12" s="188" customFormat="1" ht="15" customHeight="1">
      <c r="B1267" s="187"/>
      <c r="C1267" s="187"/>
      <c r="D1267" s="187"/>
      <c r="E1267" s="187"/>
      <c r="F1267" s="187"/>
      <c r="G1267" s="187"/>
      <c r="H1267" s="187"/>
      <c r="J1267" s="186"/>
      <c r="K1267" s="180"/>
      <c r="L1267" s="180"/>
    </row>
    <row r="1268" spans="2:12" s="188" customFormat="1" ht="15" customHeight="1">
      <c r="B1268" s="187"/>
      <c r="C1268" s="187"/>
      <c r="D1268" s="187"/>
      <c r="E1268" s="187"/>
      <c r="F1268" s="187"/>
      <c r="G1268" s="187"/>
      <c r="H1268" s="187"/>
      <c r="J1268" s="186"/>
      <c r="K1268" s="180"/>
      <c r="L1268" s="180"/>
    </row>
    <row r="1269" spans="2:12" s="188" customFormat="1" ht="15" customHeight="1">
      <c r="B1269" s="187"/>
      <c r="C1269" s="187"/>
      <c r="D1269" s="187"/>
      <c r="E1269" s="187"/>
      <c r="F1269" s="187"/>
      <c r="G1269" s="187"/>
      <c r="H1269" s="187"/>
      <c r="J1269" s="186"/>
      <c r="K1269" s="180"/>
      <c r="L1269" s="180"/>
    </row>
    <row r="1270" spans="2:12" s="188" customFormat="1" ht="15" customHeight="1">
      <c r="B1270" s="187"/>
      <c r="C1270" s="187"/>
      <c r="D1270" s="187"/>
      <c r="E1270" s="187"/>
      <c r="F1270" s="187"/>
      <c r="G1270" s="187"/>
      <c r="H1270" s="187"/>
      <c r="J1270" s="186"/>
      <c r="K1270" s="180"/>
      <c r="L1270" s="180"/>
    </row>
    <row r="1271" spans="2:12" s="188" customFormat="1" ht="15" customHeight="1">
      <c r="B1271" s="187"/>
      <c r="C1271" s="187"/>
      <c r="D1271" s="187"/>
      <c r="E1271" s="187"/>
      <c r="F1271" s="187"/>
      <c r="G1271" s="187"/>
      <c r="H1271" s="187"/>
      <c r="J1271" s="186"/>
      <c r="K1271" s="180"/>
      <c r="L1271" s="180"/>
    </row>
    <row r="1272" spans="2:12" s="188" customFormat="1" ht="15" customHeight="1">
      <c r="B1272" s="187"/>
      <c r="C1272" s="187"/>
      <c r="D1272" s="187"/>
      <c r="E1272" s="187"/>
      <c r="F1272" s="187"/>
      <c r="G1272" s="187"/>
      <c r="H1272" s="187"/>
      <c r="J1272" s="186"/>
      <c r="K1272" s="180"/>
      <c r="L1272" s="180"/>
    </row>
    <row r="1273" spans="2:12" s="188" customFormat="1" ht="15" customHeight="1">
      <c r="B1273" s="187"/>
      <c r="C1273" s="187"/>
      <c r="D1273" s="187"/>
      <c r="E1273" s="187"/>
      <c r="F1273" s="187"/>
      <c r="G1273" s="187"/>
      <c r="H1273" s="187"/>
      <c r="J1273" s="186"/>
      <c r="K1273" s="180"/>
      <c r="L1273" s="180"/>
    </row>
    <row r="1274" spans="2:12" s="188" customFormat="1" ht="15" customHeight="1">
      <c r="B1274" s="187"/>
      <c r="C1274" s="187"/>
      <c r="D1274" s="187"/>
      <c r="E1274" s="187"/>
      <c r="F1274" s="187"/>
      <c r="G1274" s="187"/>
      <c r="H1274" s="187"/>
      <c r="J1274" s="186"/>
      <c r="K1274" s="180"/>
      <c r="L1274" s="180"/>
    </row>
    <row r="1275" spans="2:12" s="188" customFormat="1" ht="15" customHeight="1">
      <c r="B1275" s="187"/>
      <c r="C1275" s="187"/>
      <c r="D1275" s="187"/>
      <c r="E1275" s="187"/>
      <c r="F1275" s="187"/>
      <c r="G1275" s="187"/>
      <c r="H1275" s="187"/>
      <c r="J1275" s="186"/>
      <c r="K1275" s="180"/>
      <c r="L1275" s="180"/>
    </row>
    <row r="1276" spans="2:12" s="188" customFormat="1" ht="15" customHeight="1">
      <c r="B1276" s="187"/>
      <c r="C1276" s="187"/>
      <c r="D1276" s="187"/>
      <c r="E1276" s="187"/>
      <c r="F1276" s="187"/>
      <c r="G1276" s="187"/>
      <c r="H1276" s="187"/>
      <c r="J1276" s="186"/>
      <c r="K1276" s="180"/>
      <c r="L1276" s="180"/>
    </row>
    <row r="1277" spans="2:12" s="188" customFormat="1" ht="15" customHeight="1">
      <c r="B1277" s="187"/>
      <c r="C1277" s="187"/>
      <c r="D1277" s="187"/>
      <c r="E1277" s="187"/>
      <c r="F1277" s="187"/>
      <c r="G1277" s="187"/>
      <c r="H1277" s="187"/>
      <c r="J1277" s="186"/>
      <c r="K1277" s="180"/>
      <c r="L1277" s="180"/>
    </row>
    <row r="1278" spans="2:12" s="188" customFormat="1" ht="15" customHeight="1">
      <c r="B1278" s="187"/>
      <c r="C1278" s="187"/>
      <c r="D1278" s="187"/>
      <c r="E1278" s="187"/>
      <c r="F1278" s="187"/>
      <c r="G1278" s="187"/>
      <c r="H1278" s="187"/>
      <c r="J1278" s="186"/>
      <c r="K1278" s="180"/>
      <c r="L1278" s="180"/>
    </row>
    <row r="1279" spans="2:12" s="188" customFormat="1" ht="15" customHeight="1">
      <c r="B1279" s="187"/>
      <c r="C1279" s="187"/>
      <c r="D1279" s="187"/>
      <c r="E1279" s="187"/>
      <c r="F1279" s="187"/>
      <c r="G1279" s="187"/>
      <c r="H1279" s="187"/>
      <c r="J1279" s="186"/>
      <c r="K1279" s="180"/>
      <c r="L1279" s="180"/>
    </row>
    <row r="1280" spans="2:12" s="188" customFormat="1" ht="15" customHeight="1">
      <c r="B1280" s="187"/>
      <c r="C1280" s="187"/>
      <c r="D1280" s="187"/>
      <c r="E1280" s="187"/>
      <c r="F1280" s="187"/>
      <c r="G1280" s="187"/>
      <c r="H1280" s="187"/>
      <c r="J1280" s="186"/>
      <c r="K1280" s="180"/>
      <c r="L1280" s="180"/>
    </row>
    <row r="1281" spans="2:12" s="188" customFormat="1" ht="15" customHeight="1">
      <c r="B1281" s="187"/>
      <c r="C1281" s="187"/>
      <c r="D1281" s="187"/>
      <c r="E1281" s="187"/>
      <c r="F1281" s="187"/>
      <c r="G1281" s="187"/>
      <c r="H1281" s="187"/>
      <c r="J1281" s="186"/>
      <c r="K1281" s="180"/>
      <c r="L1281" s="180"/>
    </row>
    <row r="1282" spans="2:12" s="188" customFormat="1" ht="15" customHeight="1">
      <c r="B1282" s="187"/>
      <c r="C1282" s="187"/>
      <c r="D1282" s="187"/>
      <c r="E1282" s="187"/>
      <c r="F1282" s="187"/>
      <c r="G1282" s="187"/>
      <c r="H1282" s="187"/>
      <c r="J1282" s="186"/>
      <c r="K1282" s="180"/>
      <c r="L1282" s="180"/>
    </row>
    <row r="1283" spans="2:12" s="188" customFormat="1" ht="15" customHeight="1">
      <c r="B1283" s="187"/>
      <c r="C1283" s="187"/>
      <c r="D1283" s="187"/>
      <c r="E1283" s="187"/>
      <c r="F1283" s="187"/>
      <c r="G1283" s="187"/>
      <c r="H1283" s="187"/>
      <c r="J1283" s="186"/>
      <c r="K1283" s="180"/>
      <c r="L1283" s="180"/>
    </row>
    <row r="1284" spans="2:12" s="188" customFormat="1" ht="15" customHeight="1">
      <c r="B1284" s="187"/>
      <c r="C1284" s="187"/>
      <c r="D1284" s="187"/>
      <c r="E1284" s="187"/>
      <c r="F1284" s="187"/>
      <c r="G1284" s="187"/>
      <c r="H1284" s="187"/>
      <c r="J1284" s="186"/>
      <c r="K1284" s="180"/>
      <c r="L1284" s="180"/>
    </row>
    <row r="1285" spans="2:12" s="188" customFormat="1" ht="15" customHeight="1">
      <c r="B1285" s="187"/>
      <c r="C1285" s="187"/>
      <c r="D1285" s="187"/>
      <c r="E1285" s="187"/>
      <c r="F1285" s="187"/>
      <c r="G1285" s="187"/>
      <c r="H1285" s="187"/>
      <c r="J1285" s="186"/>
      <c r="K1285" s="180"/>
      <c r="L1285" s="180"/>
    </row>
    <row r="1286" spans="2:12" s="188" customFormat="1" ht="15" customHeight="1">
      <c r="B1286" s="187"/>
      <c r="C1286" s="187"/>
      <c r="D1286" s="187"/>
      <c r="E1286" s="187"/>
      <c r="F1286" s="187"/>
      <c r="G1286" s="187"/>
      <c r="H1286" s="187"/>
      <c r="J1286" s="186"/>
      <c r="K1286" s="180"/>
      <c r="L1286" s="180"/>
    </row>
    <row r="1287" spans="2:12" s="188" customFormat="1" ht="15" customHeight="1">
      <c r="B1287" s="187"/>
      <c r="C1287" s="187"/>
      <c r="D1287" s="187"/>
      <c r="E1287" s="187"/>
      <c r="F1287" s="187"/>
      <c r="G1287" s="187"/>
      <c r="H1287" s="187"/>
      <c r="J1287" s="186"/>
      <c r="K1287" s="180"/>
      <c r="L1287" s="180"/>
    </row>
    <row r="1288" spans="2:12" s="188" customFormat="1" ht="15" customHeight="1">
      <c r="B1288" s="187"/>
      <c r="C1288" s="187"/>
      <c r="D1288" s="187"/>
      <c r="E1288" s="187"/>
      <c r="F1288" s="187"/>
      <c r="G1288" s="187"/>
      <c r="H1288" s="187"/>
      <c r="J1288" s="186"/>
      <c r="K1288" s="180"/>
      <c r="L1288" s="180"/>
    </row>
    <row r="1289" spans="2:12" s="188" customFormat="1" ht="15" customHeight="1">
      <c r="B1289" s="187"/>
      <c r="C1289" s="187"/>
      <c r="D1289" s="187"/>
      <c r="E1289" s="187"/>
      <c r="F1289" s="187"/>
      <c r="G1289" s="187"/>
      <c r="H1289" s="187"/>
      <c r="J1289" s="186"/>
      <c r="K1289" s="180"/>
      <c r="L1289" s="180"/>
    </row>
    <row r="1290" spans="2:12" s="188" customFormat="1" ht="15" customHeight="1">
      <c r="B1290" s="187"/>
      <c r="C1290" s="187"/>
      <c r="D1290" s="187"/>
      <c r="E1290" s="187"/>
      <c r="F1290" s="187"/>
      <c r="G1290" s="187"/>
      <c r="H1290" s="187"/>
      <c r="J1290" s="186"/>
      <c r="K1290" s="180"/>
      <c r="L1290" s="180"/>
    </row>
    <row r="1291" spans="2:12" s="188" customFormat="1" ht="15" customHeight="1">
      <c r="B1291" s="187"/>
      <c r="C1291" s="187"/>
      <c r="D1291" s="187"/>
      <c r="E1291" s="187"/>
      <c r="F1291" s="187"/>
      <c r="G1291" s="187"/>
      <c r="H1291" s="187"/>
      <c r="J1291" s="186"/>
      <c r="K1291" s="180"/>
      <c r="L1291" s="180"/>
    </row>
    <row r="1292" spans="2:12" s="188" customFormat="1" ht="15" customHeight="1">
      <c r="B1292" s="187"/>
      <c r="C1292" s="187"/>
      <c r="D1292" s="187"/>
      <c r="E1292" s="187"/>
      <c r="F1292" s="187"/>
      <c r="G1292" s="187"/>
      <c r="H1292" s="187"/>
      <c r="J1292" s="186"/>
      <c r="K1292" s="180"/>
      <c r="L1292" s="180"/>
    </row>
    <row r="1293" spans="2:12" s="188" customFormat="1" ht="15" customHeight="1">
      <c r="B1293" s="187"/>
      <c r="C1293" s="187"/>
      <c r="D1293" s="187"/>
      <c r="E1293" s="187"/>
      <c r="F1293" s="187"/>
      <c r="G1293" s="187"/>
      <c r="H1293" s="187"/>
      <c r="J1293" s="186"/>
      <c r="K1293" s="180"/>
      <c r="L1293" s="180"/>
    </row>
    <row r="1294" spans="2:12" s="188" customFormat="1" ht="15" customHeight="1">
      <c r="B1294" s="187"/>
      <c r="C1294" s="187"/>
      <c r="D1294" s="187"/>
      <c r="E1294" s="187"/>
      <c r="F1294" s="187"/>
      <c r="G1294" s="187"/>
      <c r="H1294" s="187"/>
      <c r="J1294" s="186"/>
      <c r="K1294" s="180"/>
      <c r="L1294" s="180"/>
    </row>
    <row r="1295" spans="2:12" s="188" customFormat="1" ht="15" customHeight="1">
      <c r="B1295" s="187"/>
      <c r="C1295" s="187"/>
      <c r="D1295" s="187"/>
      <c r="E1295" s="187"/>
      <c r="F1295" s="187"/>
      <c r="G1295" s="187"/>
      <c r="H1295" s="187"/>
      <c r="J1295" s="186"/>
      <c r="K1295" s="180"/>
      <c r="L1295" s="180"/>
    </row>
    <row r="1296" spans="2:12" s="188" customFormat="1" ht="15" customHeight="1">
      <c r="B1296" s="187"/>
      <c r="C1296" s="187"/>
      <c r="D1296" s="187"/>
      <c r="E1296" s="187"/>
      <c r="F1296" s="187"/>
      <c r="G1296" s="187"/>
      <c r="H1296" s="187"/>
      <c r="J1296" s="186"/>
      <c r="K1296" s="180"/>
      <c r="L1296" s="180"/>
    </row>
    <row r="1297" spans="2:12" s="188" customFormat="1" ht="15" customHeight="1">
      <c r="B1297" s="187"/>
      <c r="C1297" s="187"/>
      <c r="D1297" s="187"/>
      <c r="E1297" s="187"/>
      <c r="F1297" s="187"/>
      <c r="G1297" s="187"/>
      <c r="H1297" s="187"/>
      <c r="J1297" s="186"/>
      <c r="K1297" s="180"/>
      <c r="L1297" s="180"/>
    </row>
    <row r="1298" spans="2:12" s="188" customFormat="1" ht="15" customHeight="1">
      <c r="B1298" s="187"/>
      <c r="C1298" s="187"/>
      <c r="D1298" s="187"/>
      <c r="E1298" s="187"/>
      <c r="F1298" s="187"/>
      <c r="G1298" s="187"/>
      <c r="H1298" s="187"/>
      <c r="J1298" s="186"/>
      <c r="K1298" s="180"/>
      <c r="L1298" s="180"/>
    </row>
    <row r="1299" spans="2:12" s="188" customFormat="1" ht="15" customHeight="1">
      <c r="B1299" s="187"/>
      <c r="C1299" s="187"/>
      <c r="D1299" s="187"/>
      <c r="E1299" s="187"/>
      <c r="F1299" s="187"/>
      <c r="G1299" s="187"/>
      <c r="H1299" s="187"/>
      <c r="J1299" s="186"/>
      <c r="K1299" s="180"/>
      <c r="L1299" s="180"/>
    </row>
    <row r="1300" spans="2:12" s="188" customFormat="1" ht="15" customHeight="1">
      <c r="B1300" s="187"/>
      <c r="C1300" s="187"/>
      <c r="D1300" s="187"/>
      <c r="E1300" s="187"/>
      <c r="F1300" s="187"/>
      <c r="G1300" s="187"/>
      <c r="H1300" s="187"/>
      <c r="J1300" s="186"/>
      <c r="K1300" s="180"/>
      <c r="L1300" s="180"/>
    </row>
    <row r="1301" spans="2:12" s="188" customFormat="1" ht="15" customHeight="1">
      <c r="B1301" s="187"/>
      <c r="C1301" s="187"/>
      <c r="D1301" s="187"/>
      <c r="E1301" s="187"/>
      <c r="F1301" s="187"/>
      <c r="G1301" s="187"/>
      <c r="H1301" s="187"/>
      <c r="J1301" s="186"/>
      <c r="K1301" s="180"/>
      <c r="L1301" s="180"/>
    </row>
    <row r="1302" spans="2:12" s="188" customFormat="1" ht="15" customHeight="1">
      <c r="B1302" s="187"/>
      <c r="C1302" s="187"/>
      <c r="D1302" s="187"/>
      <c r="E1302" s="187"/>
      <c r="F1302" s="187"/>
      <c r="G1302" s="187"/>
      <c r="H1302" s="187"/>
      <c r="J1302" s="186"/>
      <c r="K1302" s="180"/>
      <c r="L1302" s="180"/>
    </row>
    <row r="1303" spans="2:12" s="188" customFormat="1" ht="15" customHeight="1">
      <c r="B1303" s="187"/>
      <c r="C1303" s="187"/>
      <c r="D1303" s="187"/>
      <c r="E1303" s="187"/>
      <c r="F1303" s="187"/>
      <c r="G1303" s="187"/>
      <c r="H1303" s="187"/>
      <c r="J1303" s="186"/>
      <c r="K1303" s="180"/>
      <c r="L1303" s="180"/>
    </row>
    <row r="1304" spans="2:12" s="188" customFormat="1" ht="15" customHeight="1">
      <c r="B1304" s="187"/>
      <c r="C1304" s="187"/>
      <c r="D1304" s="187"/>
      <c r="E1304" s="187"/>
      <c r="F1304" s="187"/>
      <c r="G1304" s="187"/>
      <c r="H1304" s="187"/>
      <c r="J1304" s="186"/>
      <c r="K1304" s="180"/>
      <c r="L1304" s="180"/>
    </row>
    <row r="1305" spans="2:12" s="188" customFormat="1" ht="15" customHeight="1">
      <c r="B1305" s="187"/>
      <c r="C1305" s="187"/>
      <c r="D1305" s="187"/>
      <c r="E1305" s="187"/>
      <c r="F1305" s="187"/>
      <c r="G1305" s="187"/>
      <c r="H1305" s="187"/>
      <c r="J1305" s="186"/>
      <c r="K1305" s="180"/>
      <c r="L1305" s="180"/>
    </row>
    <row r="1306" spans="2:12" s="188" customFormat="1" ht="15" customHeight="1">
      <c r="B1306" s="187"/>
      <c r="C1306" s="187"/>
      <c r="D1306" s="187"/>
      <c r="E1306" s="187"/>
      <c r="F1306" s="187"/>
      <c r="G1306" s="187"/>
      <c r="H1306" s="187"/>
      <c r="J1306" s="186"/>
      <c r="K1306" s="180"/>
      <c r="L1306" s="180"/>
    </row>
    <row r="1307" spans="2:12" s="188" customFormat="1" ht="15" customHeight="1">
      <c r="B1307" s="187"/>
      <c r="C1307" s="187"/>
      <c r="D1307" s="187"/>
      <c r="E1307" s="187"/>
      <c r="F1307" s="187"/>
      <c r="G1307" s="187"/>
      <c r="H1307" s="187"/>
      <c r="J1307" s="186"/>
      <c r="K1307" s="180"/>
      <c r="L1307" s="180"/>
    </row>
    <row r="1308" spans="2:12" s="188" customFormat="1" ht="15" customHeight="1">
      <c r="B1308" s="187"/>
      <c r="C1308" s="187"/>
      <c r="D1308" s="187"/>
      <c r="E1308" s="187"/>
      <c r="F1308" s="187"/>
      <c r="G1308" s="187"/>
      <c r="H1308" s="187"/>
      <c r="J1308" s="186"/>
      <c r="K1308" s="180"/>
      <c r="L1308" s="180"/>
    </row>
    <row r="1309" spans="2:12" s="188" customFormat="1" ht="15" customHeight="1">
      <c r="B1309" s="187"/>
      <c r="C1309" s="187"/>
      <c r="D1309" s="187"/>
      <c r="E1309" s="187"/>
      <c r="F1309" s="187"/>
      <c r="G1309" s="187"/>
      <c r="H1309" s="187"/>
      <c r="J1309" s="186"/>
      <c r="K1309" s="180"/>
      <c r="L1309" s="180"/>
    </row>
    <row r="1310" spans="2:12" s="188" customFormat="1" ht="15" customHeight="1">
      <c r="B1310" s="187"/>
      <c r="C1310" s="187"/>
      <c r="D1310" s="187"/>
      <c r="E1310" s="187"/>
      <c r="F1310" s="187"/>
      <c r="G1310" s="187"/>
      <c r="H1310" s="187"/>
      <c r="J1310" s="186"/>
      <c r="K1310" s="180"/>
      <c r="L1310" s="180"/>
    </row>
    <row r="1311" spans="2:12" s="188" customFormat="1" ht="15" customHeight="1">
      <c r="B1311" s="187"/>
      <c r="C1311" s="187"/>
      <c r="D1311" s="187"/>
      <c r="E1311" s="187"/>
      <c r="F1311" s="187"/>
      <c r="G1311" s="187"/>
      <c r="H1311" s="187"/>
      <c r="J1311" s="186"/>
      <c r="K1311" s="180"/>
      <c r="L1311" s="180"/>
    </row>
    <row r="1312" spans="2:12" s="188" customFormat="1" ht="15" customHeight="1">
      <c r="B1312" s="187"/>
      <c r="C1312" s="187"/>
      <c r="D1312" s="187"/>
      <c r="E1312" s="187"/>
      <c r="F1312" s="187"/>
      <c r="G1312" s="187"/>
      <c r="H1312" s="187"/>
      <c r="J1312" s="186"/>
      <c r="K1312" s="180"/>
      <c r="L1312" s="180"/>
    </row>
    <row r="1313" spans="2:12" s="188" customFormat="1" ht="15" customHeight="1">
      <c r="B1313" s="187"/>
      <c r="C1313" s="187"/>
      <c r="D1313" s="187"/>
      <c r="E1313" s="187"/>
      <c r="F1313" s="187"/>
      <c r="G1313" s="187"/>
      <c r="H1313" s="187"/>
      <c r="J1313" s="186"/>
      <c r="K1313" s="180"/>
      <c r="L1313" s="180"/>
    </row>
    <row r="1314" spans="2:12" s="188" customFormat="1" ht="15" customHeight="1">
      <c r="B1314" s="187"/>
      <c r="C1314" s="187"/>
      <c r="D1314" s="187"/>
      <c r="E1314" s="187"/>
      <c r="F1314" s="187"/>
      <c r="G1314" s="187"/>
      <c r="H1314" s="187"/>
      <c r="J1314" s="186"/>
      <c r="K1314" s="180"/>
      <c r="L1314" s="180"/>
    </row>
    <row r="1315" spans="2:12" s="188" customFormat="1" ht="15" customHeight="1">
      <c r="B1315" s="187"/>
      <c r="C1315" s="187"/>
      <c r="D1315" s="187"/>
      <c r="E1315" s="187"/>
      <c r="F1315" s="187"/>
      <c r="G1315" s="187"/>
      <c r="H1315" s="187"/>
      <c r="J1315" s="186"/>
      <c r="K1315" s="180"/>
      <c r="L1315" s="180"/>
    </row>
    <row r="1316" spans="2:12" s="188" customFormat="1" ht="15" customHeight="1">
      <c r="B1316" s="187"/>
      <c r="C1316" s="187"/>
      <c r="D1316" s="187"/>
      <c r="E1316" s="187"/>
      <c r="F1316" s="187"/>
      <c r="G1316" s="187"/>
      <c r="H1316" s="187"/>
      <c r="J1316" s="186"/>
      <c r="K1316" s="180"/>
      <c r="L1316" s="180"/>
    </row>
    <row r="1317" spans="2:12" s="188" customFormat="1" ht="15" customHeight="1">
      <c r="B1317" s="187"/>
      <c r="C1317" s="187"/>
      <c r="D1317" s="187"/>
      <c r="E1317" s="187"/>
      <c r="F1317" s="187"/>
      <c r="G1317" s="187"/>
      <c r="H1317" s="187"/>
      <c r="J1317" s="186"/>
      <c r="K1317" s="180"/>
      <c r="L1317" s="180"/>
    </row>
    <row r="1318" spans="2:12" s="188" customFormat="1" ht="15" customHeight="1">
      <c r="B1318" s="187"/>
      <c r="C1318" s="187"/>
      <c r="D1318" s="187"/>
      <c r="E1318" s="187"/>
      <c r="F1318" s="187"/>
      <c r="G1318" s="187"/>
      <c r="H1318" s="187"/>
      <c r="J1318" s="186"/>
      <c r="K1318" s="180"/>
      <c r="L1318" s="180"/>
    </row>
    <row r="1319" spans="2:12" s="188" customFormat="1" ht="15" customHeight="1">
      <c r="B1319" s="187"/>
      <c r="C1319" s="187"/>
      <c r="D1319" s="187"/>
      <c r="E1319" s="187"/>
      <c r="F1319" s="187"/>
      <c r="G1319" s="187"/>
      <c r="H1319" s="187"/>
      <c r="J1319" s="186"/>
      <c r="K1319" s="180"/>
      <c r="L1319" s="180"/>
    </row>
    <row r="1320" spans="2:12" s="188" customFormat="1" ht="15" customHeight="1">
      <c r="B1320" s="187"/>
      <c r="C1320" s="187"/>
      <c r="D1320" s="187"/>
      <c r="E1320" s="187"/>
      <c r="F1320" s="187"/>
      <c r="G1320" s="187"/>
      <c r="H1320" s="187"/>
      <c r="J1320" s="186"/>
      <c r="K1320" s="180"/>
      <c r="L1320" s="180"/>
    </row>
    <row r="1321" spans="2:12" s="188" customFormat="1" ht="15" customHeight="1">
      <c r="B1321" s="187"/>
      <c r="C1321" s="187"/>
      <c r="D1321" s="187"/>
      <c r="E1321" s="187"/>
      <c r="F1321" s="187"/>
      <c r="G1321" s="187"/>
      <c r="H1321" s="187"/>
      <c r="J1321" s="186"/>
      <c r="K1321" s="180"/>
      <c r="L1321" s="180"/>
    </row>
    <row r="1322" spans="2:12" s="188" customFormat="1" ht="15" customHeight="1">
      <c r="B1322" s="187"/>
      <c r="C1322" s="187"/>
      <c r="D1322" s="187"/>
      <c r="E1322" s="187"/>
      <c r="F1322" s="187"/>
      <c r="G1322" s="187"/>
      <c r="H1322" s="187"/>
      <c r="J1322" s="186"/>
      <c r="K1322" s="180"/>
      <c r="L1322" s="180"/>
    </row>
    <row r="1323" spans="2:12" s="188" customFormat="1" ht="15" customHeight="1">
      <c r="B1323" s="187"/>
      <c r="C1323" s="187"/>
      <c r="D1323" s="187"/>
      <c r="E1323" s="187"/>
      <c r="F1323" s="187"/>
      <c r="G1323" s="187"/>
      <c r="H1323" s="187"/>
      <c r="J1323" s="186"/>
      <c r="K1323" s="180"/>
      <c r="L1323" s="180"/>
    </row>
    <row r="1324" spans="2:12" s="188" customFormat="1" ht="15" customHeight="1">
      <c r="B1324" s="187"/>
      <c r="C1324" s="187"/>
      <c r="D1324" s="187"/>
      <c r="E1324" s="187"/>
      <c r="F1324" s="187"/>
      <c r="G1324" s="187"/>
      <c r="H1324" s="187"/>
      <c r="J1324" s="186"/>
      <c r="K1324" s="180"/>
      <c r="L1324" s="180"/>
    </row>
    <row r="1325" spans="2:12" s="188" customFormat="1" ht="15" customHeight="1">
      <c r="B1325" s="187"/>
      <c r="C1325" s="187"/>
      <c r="D1325" s="187"/>
      <c r="E1325" s="187"/>
      <c r="F1325" s="187"/>
      <c r="G1325" s="187"/>
      <c r="H1325" s="187"/>
      <c r="J1325" s="186"/>
      <c r="K1325" s="180"/>
      <c r="L1325" s="180"/>
    </row>
    <row r="1326" spans="2:12" s="188" customFormat="1" ht="15" customHeight="1">
      <c r="B1326" s="187"/>
      <c r="C1326" s="187"/>
      <c r="D1326" s="187"/>
      <c r="E1326" s="187"/>
      <c r="F1326" s="187"/>
      <c r="G1326" s="187"/>
      <c r="H1326" s="187"/>
      <c r="J1326" s="186"/>
      <c r="K1326" s="180"/>
      <c r="L1326" s="180"/>
    </row>
    <row r="1327" spans="2:12" s="188" customFormat="1" ht="15" customHeight="1">
      <c r="B1327" s="187"/>
      <c r="C1327" s="187"/>
      <c r="D1327" s="187"/>
      <c r="E1327" s="187"/>
      <c r="F1327" s="187"/>
      <c r="G1327" s="187"/>
      <c r="H1327" s="187"/>
      <c r="J1327" s="186"/>
      <c r="K1327" s="180"/>
      <c r="L1327" s="180"/>
    </row>
    <row r="1328" spans="2:12" s="188" customFormat="1" ht="15" customHeight="1">
      <c r="B1328" s="187"/>
      <c r="C1328" s="187"/>
      <c r="D1328" s="187"/>
      <c r="E1328" s="187"/>
      <c r="F1328" s="187"/>
      <c r="G1328" s="187"/>
      <c r="H1328" s="187"/>
      <c r="J1328" s="186"/>
      <c r="K1328" s="180"/>
      <c r="L1328" s="180"/>
    </row>
    <row r="1329" spans="2:12" s="188" customFormat="1" ht="15" customHeight="1">
      <c r="B1329" s="187"/>
      <c r="C1329" s="187"/>
      <c r="D1329" s="187"/>
      <c r="E1329" s="187"/>
      <c r="F1329" s="187"/>
      <c r="G1329" s="187"/>
      <c r="H1329" s="187"/>
      <c r="J1329" s="186"/>
      <c r="K1329" s="180"/>
      <c r="L1329" s="180"/>
    </row>
    <row r="1330" spans="2:12" s="188" customFormat="1" ht="15" customHeight="1">
      <c r="B1330" s="187"/>
      <c r="C1330" s="187"/>
      <c r="D1330" s="187"/>
      <c r="E1330" s="187"/>
      <c r="F1330" s="187"/>
      <c r="G1330" s="187"/>
      <c r="H1330" s="187"/>
      <c r="J1330" s="186"/>
      <c r="K1330" s="180"/>
      <c r="L1330" s="180"/>
    </row>
    <row r="1331" spans="2:12" s="188" customFormat="1" ht="15" customHeight="1">
      <c r="B1331" s="187"/>
      <c r="C1331" s="187"/>
      <c r="D1331" s="187"/>
      <c r="E1331" s="187"/>
      <c r="F1331" s="187"/>
      <c r="G1331" s="187"/>
      <c r="H1331" s="187"/>
      <c r="J1331" s="186"/>
      <c r="K1331" s="180"/>
      <c r="L1331" s="180"/>
    </row>
    <row r="1332" spans="2:12" s="188" customFormat="1" ht="15" customHeight="1">
      <c r="B1332" s="187"/>
      <c r="C1332" s="187"/>
      <c r="D1332" s="187"/>
      <c r="E1332" s="187"/>
      <c r="F1332" s="187"/>
      <c r="G1332" s="187"/>
      <c r="H1332" s="187"/>
      <c r="J1332" s="186"/>
      <c r="K1332" s="180"/>
      <c r="L1332" s="180"/>
    </row>
    <row r="1333" spans="2:12" s="188" customFormat="1" ht="15" customHeight="1">
      <c r="B1333" s="187"/>
      <c r="C1333" s="187"/>
      <c r="D1333" s="187"/>
      <c r="E1333" s="187"/>
      <c r="F1333" s="187"/>
      <c r="G1333" s="187"/>
      <c r="H1333" s="187"/>
      <c r="J1333" s="186"/>
      <c r="K1333" s="180"/>
      <c r="L1333" s="180"/>
    </row>
    <row r="1334" spans="2:12" s="188" customFormat="1" ht="15" customHeight="1">
      <c r="B1334" s="187"/>
      <c r="C1334" s="187"/>
      <c r="D1334" s="187"/>
      <c r="E1334" s="187"/>
      <c r="F1334" s="187"/>
      <c r="G1334" s="187"/>
      <c r="H1334" s="187"/>
      <c r="J1334" s="186"/>
      <c r="K1334" s="180"/>
      <c r="L1334" s="180"/>
    </row>
    <row r="1335" spans="2:12" s="188" customFormat="1" ht="15" customHeight="1">
      <c r="B1335" s="187"/>
      <c r="C1335" s="187"/>
      <c r="D1335" s="187"/>
      <c r="E1335" s="187"/>
      <c r="F1335" s="187"/>
      <c r="G1335" s="187"/>
      <c r="H1335" s="187"/>
      <c r="J1335" s="186"/>
      <c r="K1335" s="180"/>
      <c r="L1335" s="180"/>
    </row>
    <row r="1336" spans="2:12" s="188" customFormat="1" ht="15" customHeight="1">
      <c r="B1336" s="187"/>
      <c r="C1336" s="187"/>
      <c r="D1336" s="187"/>
      <c r="E1336" s="187"/>
      <c r="F1336" s="187"/>
      <c r="G1336" s="187"/>
      <c r="H1336" s="187"/>
      <c r="J1336" s="186"/>
      <c r="K1336" s="180"/>
      <c r="L1336" s="180"/>
    </row>
    <row r="1337" spans="2:12" s="188" customFormat="1" ht="15" customHeight="1">
      <c r="B1337" s="187"/>
      <c r="C1337" s="187"/>
      <c r="D1337" s="187"/>
      <c r="E1337" s="187"/>
      <c r="F1337" s="187"/>
      <c r="G1337" s="187"/>
      <c r="H1337" s="187"/>
      <c r="J1337" s="186"/>
      <c r="K1337" s="180"/>
      <c r="L1337" s="180"/>
    </row>
    <row r="1338" spans="2:12" s="188" customFormat="1" ht="15" customHeight="1">
      <c r="B1338" s="187"/>
      <c r="C1338" s="187"/>
      <c r="D1338" s="187"/>
      <c r="E1338" s="187"/>
      <c r="F1338" s="187"/>
      <c r="G1338" s="187"/>
      <c r="H1338" s="187"/>
      <c r="J1338" s="186"/>
      <c r="K1338" s="180"/>
      <c r="L1338" s="180"/>
    </row>
    <row r="1339" spans="2:12" s="188" customFormat="1" ht="15" customHeight="1">
      <c r="B1339" s="187"/>
      <c r="C1339" s="187"/>
      <c r="D1339" s="187"/>
      <c r="E1339" s="187"/>
      <c r="F1339" s="187"/>
      <c r="G1339" s="187"/>
      <c r="H1339" s="187"/>
      <c r="J1339" s="186"/>
      <c r="K1339" s="180"/>
      <c r="L1339" s="180"/>
    </row>
    <row r="1340" spans="2:12" s="188" customFormat="1" ht="15" customHeight="1">
      <c r="B1340" s="187"/>
      <c r="C1340" s="187"/>
      <c r="D1340" s="187"/>
      <c r="E1340" s="187"/>
      <c r="F1340" s="187"/>
      <c r="G1340" s="187"/>
      <c r="H1340" s="187"/>
      <c r="J1340" s="186"/>
      <c r="K1340" s="180"/>
      <c r="L1340" s="180"/>
    </row>
    <row r="1341" spans="2:12" s="188" customFormat="1" ht="15" customHeight="1">
      <c r="B1341" s="187"/>
      <c r="C1341" s="187"/>
      <c r="D1341" s="187"/>
      <c r="E1341" s="187"/>
      <c r="F1341" s="187"/>
      <c r="G1341" s="187"/>
      <c r="H1341" s="187"/>
      <c r="J1341" s="186"/>
      <c r="K1341" s="180"/>
      <c r="L1341" s="180"/>
    </row>
    <row r="1342" spans="2:12" s="188" customFormat="1" ht="15" customHeight="1">
      <c r="B1342" s="187"/>
      <c r="C1342" s="187"/>
      <c r="D1342" s="187"/>
      <c r="E1342" s="187"/>
      <c r="F1342" s="187"/>
      <c r="G1342" s="187"/>
      <c r="H1342" s="187"/>
      <c r="J1342" s="186"/>
      <c r="K1342" s="180"/>
      <c r="L1342" s="180"/>
    </row>
    <row r="1343" spans="2:12" s="188" customFormat="1" ht="15" customHeight="1">
      <c r="B1343" s="187"/>
      <c r="C1343" s="187"/>
      <c r="D1343" s="187"/>
      <c r="E1343" s="187"/>
      <c r="F1343" s="187"/>
      <c r="G1343" s="187"/>
      <c r="H1343" s="187"/>
      <c r="J1343" s="186"/>
      <c r="K1343" s="180"/>
      <c r="L1343" s="180"/>
    </row>
    <row r="1344" spans="2:12" s="188" customFormat="1" ht="15" customHeight="1">
      <c r="B1344" s="187"/>
      <c r="C1344" s="187"/>
      <c r="D1344" s="187"/>
      <c r="E1344" s="187"/>
      <c r="F1344" s="187"/>
      <c r="G1344" s="187"/>
      <c r="H1344" s="187"/>
      <c r="J1344" s="186"/>
      <c r="K1344" s="180"/>
      <c r="L1344" s="180"/>
    </row>
    <row r="1345" spans="2:12" s="188" customFormat="1" ht="15" customHeight="1">
      <c r="B1345" s="187"/>
      <c r="C1345" s="187"/>
      <c r="D1345" s="187"/>
      <c r="E1345" s="187"/>
      <c r="F1345" s="187"/>
      <c r="G1345" s="187"/>
      <c r="H1345" s="187"/>
      <c r="J1345" s="186"/>
      <c r="K1345" s="180"/>
      <c r="L1345" s="180"/>
    </row>
    <row r="1346" spans="2:12" s="188" customFormat="1" ht="15" customHeight="1">
      <c r="B1346" s="187"/>
      <c r="C1346" s="187"/>
      <c r="D1346" s="187"/>
      <c r="E1346" s="187"/>
      <c r="F1346" s="187"/>
      <c r="G1346" s="187"/>
      <c r="H1346" s="187"/>
      <c r="J1346" s="186"/>
      <c r="K1346" s="180"/>
      <c r="L1346" s="180"/>
    </row>
    <row r="1347" spans="2:12" s="188" customFormat="1" ht="15" customHeight="1">
      <c r="B1347" s="187"/>
      <c r="C1347" s="187"/>
      <c r="D1347" s="187"/>
      <c r="E1347" s="187"/>
      <c r="F1347" s="187"/>
      <c r="G1347" s="187"/>
      <c r="H1347" s="187"/>
      <c r="J1347" s="186"/>
      <c r="K1347" s="180"/>
      <c r="L1347" s="180"/>
    </row>
    <row r="1348" spans="2:12" s="188" customFormat="1" ht="15" customHeight="1">
      <c r="B1348" s="187"/>
      <c r="C1348" s="187"/>
      <c r="D1348" s="187"/>
      <c r="E1348" s="187"/>
      <c r="F1348" s="187"/>
      <c r="G1348" s="187"/>
      <c r="H1348" s="187"/>
      <c r="J1348" s="186"/>
      <c r="K1348" s="180"/>
      <c r="L1348" s="180"/>
    </row>
    <row r="1349" spans="2:12" s="188" customFormat="1" ht="15" customHeight="1">
      <c r="B1349" s="187"/>
      <c r="C1349" s="187"/>
      <c r="D1349" s="187"/>
      <c r="E1349" s="187"/>
      <c r="F1349" s="187"/>
      <c r="G1349" s="187"/>
      <c r="H1349" s="187"/>
      <c r="J1349" s="186"/>
      <c r="K1349" s="180"/>
      <c r="L1349" s="180"/>
    </row>
    <row r="1350" spans="2:12" s="188" customFormat="1" ht="15" customHeight="1">
      <c r="B1350" s="187"/>
      <c r="C1350" s="187"/>
      <c r="D1350" s="187"/>
      <c r="E1350" s="187"/>
      <c r="F1350" s="187"/>
      <c r="G1350" s="187"/>
      <c r="H1350" s="187"/>
      <c r="J1350" s="186"/>
      <c r="K1350" s="180"/>
      <c r="L1350" s="180"/>
    </row>
    <row r="1351" spans="2:12" s="188" customFormat="1" ht="15" customHeight="1">
      <c r="B1351" s="187"/>
      <c r="C1351" s="187"/>
      <c r="D1351" s="187"/>
      <c r="E1351" s="187"/>
      <c r="F1351" s="187"/>
      <c r="G1351" s="187"/>
      <c r="H1351" s="187"/>
      <c r="J1351" s="186"/>
      <c r="K1351" s="180"/>
      <c r="L1351" s="180"/>
    </row>
    <row r="1352" spans="2:12" s="188" customFormat="1" ht="15" customHeight="1">
      <c r="B1352" s="187"/>
      <c r="C1352" s="187"/>
      <c r="D1352" s="187"/>
      <c r="E1352" s="187"/>
      <c r="F1352" s="187"/>
      <c r="G1352" s="187"/>
      <c r="H1352" s="187"/>
      <c r="J1352" s="186"/>
      <c r="K1352" s="180"/>
      <c r="L1352" s="180"/>
    </row>
    <row r="1353" spans="2:12" s="188" customFormat="1" ht="15" customHeight="1">
      <c r="B1353" s="187"/>
      <c r="C1353" s="187"/>
      <c r="D1353" s="187"/>
      <c r="E1353" s="187"/>
      <c r="F1353" s="187"/>
      <c r="G1353" s="187"/>
      <c r="H1353" s="187"/>
      <c r="J1353" s="186"/>
      <c r="K1353" s="180"/>
      <c r="L1353" s="180"/>
    </row>
    <row r="1354" spans="2:12" s="188" customFormat="1" ht="15" customHeight="1">
      <c r="B1354" s="187"/>
      <c r="C1354" s="187"/>
      <c r="D1354" s="187"/>
      <c r="E1354" s="187"/>
      <c r="F1354" s="187"/>
      <c r="G1354" s="187"/>
      <c r="H1354" s="187"/>
      <c r="J1354" s="186"/>
      <c r="K1354" s="180"/>
      <c r="L1354" s="180"/>
    </row>
    <row r="1355" spans="2:12" s="188" customFormat="1" ht="15" customHeight="1">
      <c r="B1355" s="187"/>
      <c r="C1355" s="187"/>
      <c r="D1355" s="187"/>
      <c r="E1355" s="187"/>
      <c r="F1355" s="187"/>
      <c r="G1355" s="187"/>
      <c r="H1355" s="187"/>
      <c r="J1355" s="186"/>
      <c r="K1355" s="180"/>
      <c r="L1355" s="180"/>
    </row>
    <row r="1356" spans="2:12" s="188" customFormat="1" ht="15" customHeight="1">
      <c r="B1356" s="187"/>
      <c r="C1356" s="187"/>
      <c r="D1356" s="187"/>
      <c r="E1356" s="187"/>
      <c r="F1356" s="187"/>
      <c r="G1356" s="187"/>
      <c r="H1356" s="187"/>
      <c r="J1356" s="186"/>
      <c r="K1356" s="180"/>
      <c r="L1356" s="180"/>
    </row>
    <row r="1357" spans="2:12" s="188" customFormat="1" ht="15" customHeight="1">
      <c r="B1357" s="187"/>
      <c r="C1357" s="187"/>
      <c r="D1357" s="187"/>
      <c r="E1357" s="187"/>
      <c r="F1357" s="187"/>
      <c r="G1357" s="187"/>
      <c r="H1357" s="187"/>
      <c r="J1357" s="186"/>
      <c r="K1357" s="180"/>
      <c r="L1357" s="180"/>
    </row>
    <row r="1358" spans="2:12" s="188" customFormat="1" ht="15" customHeight="1">
      <c r="B1358" s="187"/>
      <c r="C1358" s="187"/>
      <c r="D1358" s="187"/>
      <c r="E1358" s="187"/>
      <c r="F1358" s="187"/>
      <c r="G1358" s="187"/>
      <c r="H1358" s="187"/>
      <c r="J1358" s="186"/>
      <c r="K1358" s="180"/>
      <c r="L1358" s="180"/>
    </row>
    <row r="1359" spans="2:12" s="188" customFormat="1" ht="15" customHeight="1">
      <c r="B1359" s="187"/>
      <c r="C1359" s="187"/>
      <c r="D1359" s="187"/>
      <c r="E1359" s="187"/>
      <c r="F1359" s="187"/>
      <c r="G1359" s="187"/>
      <c r="H1359" s="187"/>
      <c r="J1359" s="186"/>
      <c r="K1359" s="180"/>
      <c r="L1359" s="180"/>
    </row>
    <row r="1360" spans="2:12" s="188" customFormat="1" ht="15" customHeight="1">
      <c r="B1360" s="187"/>
      <c r="C1360" s="187"/>
      <c r="D1360" s="187"/>
      <c r="E1360" s="187"/>
      <c r="F1360" s="187"/>
      <c r="G1360" s="187"/>
      <c r="H1360" s="187"/>
      <c r="J1360" s="186"/>
      <c r="K1360" s="180"/>
      <c r="L1360" s="180"/>
    </row>
    <row r="1361" spans="2:12" s="188" customFormat="1" ht="15" customHeight="1">
      <c r="B1361" s="187"/>
      <c r="C1361" s="187"/>
      <c r="D1361" s="187"/>
      <c r="E1361" s="187"/>
      <c r="F1361" s="187"/>
      <c r="G1361" s="187"/>
      <c r="H1361" s="187"/>
      <c r="J1361" s="186"/>
      <c r="K1361" s="180"/>
      <c r="L1361" s="180"/>
    </row>
    <row r="1362" spans="2:12" s="188" customFormat="1" ht="15" customHeight="1">
      <c r="B1362" s="187"/>
      <c r="C1362" s="187"/>
      <c r="D1362" s="187"/>
      <c r="E1362" s="187"/>
      <c r="F1362" s="187"/>
      <c r="G1362" s="187"/>
      <c r="H1362" s="187"/>
      <c r="J1362" s="186"/>
      <c r="K1362" s="180"/>
      <c r="L1362" s="180"/>
    </row>
    <row r="1363" spans="2:12" s="188" customFormat="1" ht="15" customHeight="1">
      <c r="B1363" s="187"/>
      <c r="C1363" s="187"/>
      <c r="D1363" s="187"/>
      <c r="E1363" s="187"/>
      <c r="F1363" s="187"/>
      <c r="G1363" s="187"/>
      <c r="H1363" s="187"/>
      <c r="J1363" s="186"/>
      <c r="K1363" s="180"/>
      <c r="L1363" s="180"/>
    </row>
    <row r="1364" spans="2:12" s="188" customFormat="1" ht="15" customHeight="1">
      <c r="B1364" s="187"/>
      <c r="C1364" s="187"/>
      <c r="D1364" s="187"/>
      <c r="E1364" s="187"/>
      <c r="F1364" s="187"/>
      <c r="G1364" s="187"/>
      <c r="H1364" s="187"/>
      <c r="J1364" s="186"/>
      <c r="K1364" s="180"/>
      <c r="L1364" s="180"/>
    </row>
    <row r="1365" spans="2:12" s="188" customFormat="1" ht="15" customHeight="1">
      <c r="B1365" s="187"/>
      <c r="C1365" s="187"/>
      <c r="D1365" s="187"/>
      <c r="E1365" s="187"/>
      <c r="F1365" s="187"/>
      <c r="G1365" s="187"/>
      <c r="H1365" s="187"/>
      <c r="J1365" s="186"/>
      <c r="K1365" s="180"/>
      <c r="L1365" s="180"/>
    </row>
    <row r="1366" spans="2:12" s="188" customFormat="1" ht="15" customHeight="1">
      <c r="B1366" s="187"/>
      <c r="C1366" s="187"/>
      <c r="D1366" s="187"/>
      <c r="E1366" s="187"/>
      <c r="F1366" s="187"/>
      <c r="G1366" s="187"/>
      <c r="H1366" s="187"/>
      <c r="J1366" s="186"/>
      <c r="K1366" s="180"/>
      <c r="L1366" s="180"/>
    </row>
    <row r="1367" spans="2:12" s="188" customFormat="1" ht="15" customHeight="1">
      <c r="B1367" s="187"/>
      <c r="C1367" s="187"/>
      <c r="D1367" s="187"/>
      <c r="E1367" s="187"/>
      <c r="F1367" s="187"/>
      <c r="G1367" s="187"/>
      <c r="H1367" s="187"/>
      <c r="J1367" s="186"/>
      <c r="K1367" s="180"/>
      <c r="L1367" s="180"/>
    </row>
    <row r="1368" spans="2:12" s="188" customFormat="1" ht="15" customHeight="1">
      <c r="B1368" s="187"/>
      <c r="C1368" s="187"/>
      <c r="D1368" s="187"/>
      <c r="E1368" s="187"/>
      <c r="F1368" s="187"/>
      <c r="G1368" s="187"/>
      <c r="H1368" s="187"/>
      <c r="J1368" s="186"/>
      <c r="K1368" s="180"/>
      <c r="L1368" s="180"/>
    </row>
    <row r="1369" spans="2:12" s="188" customFormat="1" ht="15" customHeight="1">
      <c r="B1369" s="187"/>
      <c r="C1369" s="187"/>
      <c r="D1369" s="187"/>
      <c r="E1369" s="187"/>
      <c r="F1369" s="187"/>
      <c r="G1369" s="187"/>
      <c r="H1369" s="187"/>
      <c r="J1369" s="186"/>
      <c r="K1369" s="180"/>
      <c r="L1369" s="180"/>
    </row>
    <row r="1370" spans="2:12" s="188" customFormat="1" ht="15" customHeight="1">
      <c r="B1370" s="187"/>
      <c r="C1370" s="187"/>
      <c r="D1370" s="187"/>
      <c r="E1370" s="187"/>
      <c r="F1370" s="187"/>
      <c r="G1370" s="187"/>
      <c r="H1370" s="187"/>
      <c r="J1370" s="186"/>
      <c r="K1370" s="180"/>
      <c r="L1370" s="180"/>
    </row>
    <row r="1371" spans="2:12" s="188" customFormat="1" ht="15" customHeight="1">
      <c r="B1371" s="187"/>
      <c r="C1371" s="187"/>
      <c r="D1371" s="187"/>
      <c r="E1371" s="187"/>
      <c r="F1371" s="187"/>
      <c r="G1371" s="187"/>
      <c r="H1371" s="187"/>
      <c r="J1371" s="186"/>
      <c r="K1371" s="180"/>
      <c r="L1371" s="180"/>
    </row>
    <row r="1372" spans="2:12" s="188" customFormat="1" ht="15" customHeight="1">
      <c r="B1372" s="187"/>
      <c r="C1372" s="187"/>
      <c r="D1372" s="187"/>
      <c r="E1372" s="187"/>
      <c r="F1372" s="187"/>
      <c r="G1372" s="187"/>
      <c r="H1372" s="187"/>
      <c r="J1372" s="186"/>
      <c r="K1372" s="180"/>
      <c r="L1372" s="180"/>
    </row>
    <row r="1373" spans="2:12" s="188" customFormat="1" ht="15" customHeight="1">
      <c r="B1373" s="187"/>
      <c r="C1373" s="187"/>
      <c r="D1373" s="187"/>
      <c r="E1373" s="187"/>
      <c r="F1373" s="187"/>
      <c r="G1373" s="187"/>
      <c r="H1373" s="187"/>
      <c r="J1373" s="186"/>
      <c r="K1373" s="180"/>
      <c r="L1373" s="180"/>
    </row>
    <row r="1374" spans="2:12" s="188" customFormat="1" ht="15" customHeight="1">
      <c r="B1374" s="187"/>
      <c r="C1374" s="187"/>
      <c r="D1374" s="187"/>
      <c r="E1374" s="187"/>
      <c r="F1374" s="187"/>
      <c r="G1374" s="187"/>
      <c r="H1374" s="187"/>
      <c r="J1374" s="186"/>
      <c r="K1374" s="180"/>
      <c r="L1374" s="180"/>
    </row>
    <row r="1375" spans="2:12" s="188" customFormat="1" ht="15" customHeight="1">
      <c r="B1375" s="187"/>
      <c r="C1375" s="187"/>
      <c r="D1375" s="187"/>
      <c r="E1375" s="187"/>
      <c r="F1375" s="187"/>
      <c r="G1375" s="187"/>
      <c r="H1375" s="187"/>
      <c r="J1375" s="186"/>
      <c r="K1375" s="180"/>
      <c r="L1375" s="180"/>
    </row>
    <row r="1376" spans="2:12" s="188" customFormat="1" ht="15" customHeight="1">
      <c r="B1376" s="187"/>
      <c r="C1376" s="187"/>
      <c r="D1376" s="187"/>
      <c r="E1376" s="187"/>
      <c r="F1376" s="187"/>
      <c r="G1376" s="187"/>
      <c r="H1376" s="187"/>
      <c r="J1376" s="186"/>
      <c r="K1376" s="180"/>
      <c r="L1376" s="180"/>
    </row>
    <row r="1377" spans="2:14" s="188" customFormat="1" ht="15" customHeight="1">
      <c r="B1377" s="187"/>
      <c r="C1377" s="187"/>
      <c r="D1377" s="187"/>
      <c r="E1377" s="187"/>
      <c r="F1377" s="187"/>
      <c r="G1377" s="187"/>
      <c r="H1377" s="187"/>
      <c r="J1377" s="186"/>
      <c r="K1377" s="180"/>
      <c r="L1377" s="180"/>
    </row>
    <row r="1378" spans="2:14" s="188" customFormat="1" ht="15" customHeight="1">
      <c r="B1378" s="187"/>
      <c r="C1378" s="187"/>
      <c r="D1378" s="187"/>
      <c r="E1378" s="187"/>
      <c r="F1378" s="187"/>
      <c r="G1378" s="187"/>
      <c r="H1378" s="187"/>
      <c r="J1378" s="186"/>
      <c r="K1378" s="180"/>
      <c r="L1378" s="180"/>
    </row>
    <row r="1379" spans="2:14" s="188" customFormat="1" ht="15" customHeight="1">
      <c r="B1379" s="187"/>
      <c r="C1379" s="187"/>
      <c r="D1379" s="187"/>
      <c r="E1379" s="187"/>
      <c r="F1379" s="187"/>
      <c r="G1379" s="187"/>
      <c r="H1379" s="187"/>
      <c r="J1379" s="186"/>
      <c r="K1379" s="180"/>
      <c r="L1379" s="180"/>
    </row>
    <row r="1380" spans="2:14" s="188" customFormat="1" ht="15" customHeight="1">
      <c r="B1380" s="187"/>
      <c r="C1380" s="187"/>
      <c r="D1380" s="187"/>
      <c r="E1380" s="187"/>
      <c r="F1380" s="187"/>
      <c r="G1380" s="187"/>
      <c r="H1380" s="187"/>
      <c r="J1380" s="186"/>
      <c r="K1380" s="180"/>
      <c r="L1380" s="180"/>
    </row>
    <row r="1381" spans="2:14" s="188" customFormat="1" ht="15" customHeight="1">
      <c r="B1381" s="187"/>
      <c r="C1381" s="187"/>
      <c r="D1381" s="187"/>
      <c r="E1381" s="187"/>
      <c r="F1381" s="187"/>
      <c r="G1381" s="187"/>
      <c r="H1381" s="187"/>
      <c r="J1381" s="186"/>
      <c r="K1381" s="180"/>
      <c r="L1381" s="180"/>
    </row>
    <row r="1382" spans="2:14" s="188" customFormat="1" ht="15" customHeight="1">
      <c r="B1382" s="187"/>
      <c r="C1382" s="187"/>
      <c r="D1382" s="187"/>
      <c r="E1382" s="187"/>
      <c r="F1382" s="187"/>
      <c r="G1382" s="187"/>
      <c r="H1382" s="187"/>
      <c r="J1382" s="186"/>
      <c r="K1382" s="180"/>
      <c r="L1382" s="180"/>
    </row>
    <row r="1383" spans="2:14" s="188" customFormat="1" ht="15" customHeight="1">
      <c r="B1383" s="187"/>
      <c r="C1383" s="187"/>
      <c r="D1383" s="187"/>
      <c r="E1383" s="187"/>
      <c r="F1383" s="187"/>
      <c r="G1383" s="187"/>
      <c r="H1383" s="187"/>
      <c r="J1383" s="186"/>
      <c r="K1383" s="180"/>
      <c r="L1383" s="180"/>
    </row>
    <row r="1384" spans="2:14" s="188" customFormat="1" ht="15" customHeight="1">
      <c r="B1384" s="187"/>
      <c r="C1384" s="187"/>
      <c r="D1384" s="187"/>
      <c r="E1384" s="187"/>
      <c r="F1384" s="187"/>
      <c r="G1384" s="187"/>
      <c r="H1384" s="187"/>
      <c r="J1384" s="186"/>
      <c r="K1384" s="180"/>
      <c r="L1384" s="180"/>
    </row>
    <row r="1385" spans="2:14" s="188" customFormat="1" ht="15" customHeight="1">
      <c r="B1385" s="187"/>
      <c r="C1385" s="187"/>
      <c r="D1385" s="187"/>
      <c r="E1385" s="187"/>
      <c r="F1385" s="187"/>
      <c r="G1385" s="187"/>
      <c r="H1385" s="187"/>
      <c r="J1385" s="186"/>
      <c r="K1385" s="180"/>
      <c r="L1385" s="180"/>
    </row>
    <row r="1386" spans="2:14" s="188" customFormat="1" ht="15" customHeight="1">
      <c r="B1386" s="187"/>
      <c r="C1386" s="187"/>
      <c r="D1386" s="187"/>
      <c r="E1386" s="187"/>
      <c r="F1386" s="187"/>
      <c r="G1386" s="187"/>
      <c r="H1386" s="187"/>
      <c r="J1386" s="186"/>
      <c r="K1386" s="180"/>
      <c r="L1386" s="180"/>
    </row>
    <row r="1387" spans="2:14" s="188" customFormat="1" ht="15" customHeight="1">
      <c r="B1387" s="187"/>
      <c r="C1387" s="187"/>
      <c r="D1387" s="187"/>
      <c r="E1387" s="187"/>
      <c r="F1387" s="187"/>
      <c r="G1387" s="187"/>
      <c r="H1387" s="187"/>
      <c r="J1387" s="186"/>
      <c r="K1387" s="180"/>
      <c r="L1387" s="180"/>
    </row>
    <row r="1388" spans="2:14" s="188" customFormat="1" ht="15" customHeight="1">
      <c r="B1388" s="187"/>
      <c r="C1388" s="187"/>
      <c r="D1388" s="187"/>
      <c r="E1388" s="187"/>
      <c r="F1388" s="187"/>
      <c r="G1388" s="187"/>
      <c r="H1388" s="187"/>
      <c r="J1388" s="186"/>
      <c r="K1388" s="180"/>
      <c r="L1388" s="180"/>
    </row>
    <row r="1389" spans="2:14" s="188" customFormat="1" ht="15" customHeight="1">
      <c r="B1389" s="187"/>
      <c r="C1389" s="187"/>
      <c r="D1389" s="187"/>
      <c r="E1389" s="187"/>
      <c r="F1389" s="187"/>
      <c r="G1389" s="187"/>
      <c r="H1389" s="187"/>
      <c r="J1389" s="186"/>
      <c r="K1389" s="180"/>
      <c r="L1389" s="180"/>
    </row>
    <row r="1390" spans="2:14" s="188" customFormat="1" ht="15" customHeight="1">
      <c r="B1390" s="187"/>
      <c r="C1390" s="187"/>
      <c r="D1390" s="187"/>
      <c r="E1390" s="187"/>
      <c r="F1390" s="187"/>
      <c r="G1390" s="187"/>
      <c r="H1390" s="187"/>
      <c r="J1390" s="186"/>
      <c r="K1390" s="180"/>
      <c r="L1390" s="180"/>
    </row>
    <row r="1391" spans="2:14" ht="15" customHeight="1">
      <c r="B1391" s="187"/>
      <c r="C1391" s="187"/>
      <c r="D1391" s="187"/>
      <c r="E1391" s="187"/>
      <c r="F1391" s="187"/>
      <c r="G1391" s="187"/>
      <c r="H1391" s="187"/>
      <c r="J1391" s="186"/>
      <c r="K1391" s="180"/>
      <c r="L1391" s="180"/>
      <c r="M1391" s="188"/>
      <c r="N1391" s="188"/>
    </row>
    <row r="1392" spans="2:14" ht="15" customHeight="1">
      <c r="B1392" s="187"/>
      <c r="C1392" s="187"/>
      <c r="D1392" s="187"/>
      <c r="E1392" s="187"/>
      <c r="F1392" s="187"/>
      <c r="G1392" s="187"/>
      <c r="H1392" s="187"/>
      <c r="J1392" s="186"/>
      <c r="K1392" s="180"/>
      <c r="L1392" s="180"/>
      <c r="M1392" s="188"/>
      <c r="N1392" s="188"/>
    </row>
    <row r="1393" spans="2:14" ht="15" customHeight="1">
      <c r="B1393" s="187"/>
      <c r="C1393" s="187"/>
      <c r="D1393" s="187"/>
      <c r="E1393" s="187"/>
      <c r="F1393" s="187"/>
      <c r="G1393" s="187"/>
      <c r="H1393" s="187"/>
      <c r="J1393" s="186"/>
      <c r="K1393" s="180"/>
      <c r="L1393" s="180"/>
      <c r="M1393" s="188"/>
      <c r="N1393" s="188"/>
    </row>
    <row r="1394" spans="2:14" s="188" customFormat="1" ht="15" customHeight="1">
      <c r="B1394" s="187"/>
      <c r="C1394" s="187"/>
      <c r="D1394" s="187"/>
      <c r="E1394" s="187"/>
      <c r="F1394" s="187"/>
      <c r="G1394" s="187"/>
      <c r="H1394" s="187"/>
      <c r="J1394" s="186"/>
      <c r="K1394" s="180"/>
      <c r="L1394" s="180"/>
    </row>
    <row r="1395" spans="2:14" s="188" customFormat="1" ht="15" customHeight="1">
      <c r="B1395" s="187"/>
      <c r="C1395" s="187"/>
      <c r="D1395" s="187"/>
      <c r="E1395" s="187"/>
      <c r="F1395" s="187"/>
      <c r="G1395" s="187"/>
      <c r="H1395" s="187"/>
      <c r="J1395" s="186"/>
      <c r="K1395" s="180"/>
      <c r="L1395" s="180"/>
    </row>
    <row r="1396" spans="2:14" s="188" customFormat="1" ht="15" customHeight="1">
      <c r="B1396" s="187"/>
      <c r="C1396" s="187"/>
      <c r="D1396" s="187"/>
      <c r="E1396" s="187"/>
      <c r="F1396" s="187"/>
      <c r="G1396" s="187"/>
      <c r="H1396" s="187"/>
      <c r="J1396" s="186"/>
      <c r="K1396" s="180"/>
      <c r="L1396" s="180"/>
    </row>
    <row r="1397" spans="2:14" s="188" customFormat="1" ht="15" customHeight="1">
      <c r="B1397" s="187"/>
      <c r="C1397" s="187"/>
      <c r="D1397" s="187"/>
      <c r="E1397" s="187"/>
      <c r="F1397" s="187"/>
      <c r="G1397" s="187"/>
      <c r="H1397" s="187"/>
      <c r="J1397" s="186"/>
      <c r="K1397" s="180"/>
      <c r="L1397" s="180"/>
    </row>
    <row r="1398" spans="2:14" s="188" customFormat="1" ht="15" customHeight="1">
      <c r="B1398" s="187"/>
      <c r="C1398" s="187"/>
      <c r="D1398" s="187"/>
      <c r="E1398" s="187"/>
      <c r="F1398" s="187"/>
      <c r="G1398" s="187"/>
      <c r="H1398" s="187"/>
      <c r="J1398" s="186"/>
      <c r="K1398" s="180"/>
      <c r="L1398" s="180"/>
    </row>
    <row r="1399" spans="2:14" s="188" customFormat="1" ht="15" customHeight="1">
      <c r="B1399" s="187"/>
      <c r="C1399" s="187"/>
      <c r="D1399" s="187"/>
      <c r="E1399" s="187"/>
      <c r="F1399" s="187"/>
      <c r="G1399" s="187"/>
      <c r="H1399" s="187"/>
      <c r="J1399" s="186"/>
      <c r="K1399" s="180"/>
      <c r="L1399" s="180"/>
    </row>
    <row r="1400" spans="2:14" s="188" customFormat="1" ht="15" customHeight="1">
      <c r="B1400" s="187"/>
      <c r="C1400" s="187"/>
      <c r="D1400" s="187"/>
      <c r="E1400" s="187"/>
      <c r="F1400" s="187"/>
      <c r="G1400" s="187"/>
      <c r="H1400" s="187"/>
      <c r="J1400" s="186"/>
      <c r="K1400" s="180"/>
      <c r="L1400" s="180"/>
    </row>
    <row r="1401" spans="2:14" s="188" customFormat="1" ht="15" customHeight="1">
      <c r="B1401" s="187"/>
      <c r="C1401" s="187"/>
      <c r="D1401" s="187"/>
      <c r="E1401" s="187"/>
      <c r="F1401" s="187"/>
      <c r="G1401" s="187"/>
      <c r="H1401" s="187"/>
      <c r="J1401" s="186"/>
      <c r="K1401" s="180"/>
      <c r="L1401" s="180"/>
    </row>
    <row r="1402" spans="2:14" s="188" customFormat="1" ht="15" customHeight="1">
      <c r="B1402" s="187"/>
      <c r="C1402" s="187"/>
      <c r="D1402" s="187"/>
      <c r="E1402" s="187"/>
      <c r="F1402" s="187"/>
      <c r="G1402" s="187"/>
      <c r="H1402" s="187"/>
      <c r="J1402" s="186"/>
      <c r="K1402" s="180"/>
      <c r="L1402" s="180"/>
    </row>
    <row r="1403" spans="2:14" s="188" customFormat="1" ht="15" customHeight="1">
      <c r="B1403" s="187"/>
      <c r="C1403" s="187"/>
      <c r="D1403" s="187"/>
      <c r="E1403" s="187"/>
      <c r="F1403" s="187"/>
      <c r="G1403" s="187"/>
      <c r="H1403" s="187"/>
      <c r="J1403" s="186"/>
      <c r="K1403" s="180"/>
      <c r="L1403" s="180"/>
    </row>
    <row r="1404" spans="2:14" s="188" customFormat="1" ht="15" customHeight="1">
      <c r="B1404" s="187"/>
      <c r="C1404" s="187"/>
      <c r="D1404" s="187"/>
      <c r="E1404" s="187"/>
      <c r="F1404" s="187"/>
      <c r="G1404" s="187"/>
      <c r="H1404" s="187"/>
      <c r="J1404" s="186"/>
      <c r="K1404" s="180"/>
      <c r="L1404" s="180"/>
    </row>
    <row r="1405" spans="2:14" s="188" customFormat="1" ht="15" customHeight="1">
      <c r="B1405" s="187"/>
      <c r="C1405" s="187"/>
      <c r="D1405" s="187"/>
      <c r="E1405" s="187"/>
      <c r="F1405" s="187"/>
      <c r="G1405" s="187"/>
      <c r="H1405" s="187"/>
      <c r="J1405" s="186"/>
      <c r="K1405" s="180"/>
      <c r="L1405" s="180"/>
    </row>
    <row r="1406" spans="2:14" s="188" customFormat="1" ht="15" customHeight="1">
      <c r="B1406" s="187"/>
      <c r="C1406" s="187"/>
      <c r="D1406" s="187"/>
      <c r="E1406" s="187"/>
      <c r="F1406" s="187"/>
      <c r="G1406" s="187"/>
      <c r="H1406" s="187"/>
      <c r="J1406" s="186"/>
      <c r="K1406" s="180"/>
      <c r="L1406" s="180"/>
    </row>
    <row r="1407" spans="2:14" s="188" customFormat="1" ht="15" customHeight="1">
      <c r="B1407" s="187"/>
      <c r="C1407" s="187"/>
      <c r="D1407" s="187"/>
      <c r="E1407" s="187"/>
      <c r="F1407" s="187"/>
      <c r="G1407" s="187"/>
      <c r="H1407" s="187"/>
      <c r="J1407" s="186"/>
      <c r="K1407" s="180"/>
      <c r="L1407" s="180"/>
    </row>
    <row r="1408" spans="2:14" s="188" customFormat="1" ht="15" customHeight="1">
      <c r="B1408" s="187"/>
      <c r="C1408" s="187"/>
      <c r="D1408" s="187"/>
      <c r="E1408" s="187"/>
      <c r="F1408" s="187"/>
      <c r="G1408" s="187"/>
      <c r="H1408" s="187"/>
      <c r="J1408" s="186"/>
      <c r="K1408" s="180"/>
      <c r="L1408" s="180"/>
    </row>
    <row r="1409" spans="2:12" s="188" customFormat="1" ht="15" customHeight="1">
      <c r="B1409" s="187"/>
      <c r="C1409" s="187"/>
      <c r="D1409" s="187"/>
      <c r="E1409" s="187"/>
      <c r="F1409" s="187"/>
      <c r="G1409" s="187"/>
      <c r="H1409" s="187"/>
      <c r="J1409" s="186"/>
      <c r="K1409" s="180"/>
      <c r="L1409" s="180"/>
    </row>
    <row r="1410" spans="2:12" s="188" customFormat="1" ht="15" customHeight="1">
      <c r="B1410" s="187"/>
      <c r="C1410" s="187"/>
      <c r="D1410" s="187"/>
      <c r="E1410" s="187"/>
      <c r="F1410" s="187"/>
      <c r="G1410" s="187"/>
      <c r="H1410" s="187"/>
      <c r="J1410" s="186"/>
      <c r="K1410" s="180"/>
      <c r="L1410" s="180"/>
    </row>
    <row r="1411" spans="2:12" s="188" customFormat="1" ht="15" customHeight="1">
      <c r="B1411" s="187"/>
      <c r="C1411" s="187"/>
      <c r="D1411" s="187"/>
      <c r="E1411" s="187"/>
      <c r="F1411" s="187"/>
      <c r="G1411" s="187"/>
      <c r="H1411" s="187"/>
      <c r="J1411" s="186"/>
      <c r="K1411" s="180"/>
      <c r="L1411" s="180"/>
    </row>
    <row r="1412" spans="2:12" s="188" customFormat="1" ht="15" customHeight="1">
      <c r="B1412" s="187"/>
      <c r="C1412" s="187"/>
      <c r="D1412" s="187"/>
      <c r="E1412" s="187"/>
      <c r="F1412" s="187"/>
      <c r="G1412" s="187"/>
      <c r="H1412" s="187"/>
      <c r="J1412" s="186"/>
      <c r="K1412" s="180"/>
      <c r="L1412" s="180"/>
    </row>
    <row r="1413" spans="2:12" s="188" customFormat="1" ht="15" customHeight="1">
      <c r="B1413" s="187"/>
      <c r="C1413" s="187"/>
      <c r="D1413" s="187"/>
      <c r="E1413" s="187"/>
      <c r="F1413" s="187"/>
      <c r="G1413" s="187"/>
      <c r="H1413" s="187"/>
      <c r="J1413" s="186"/>
      <c r="K1413" s="180"/>
      <c r="L1413" s="180"/>
    </row>
    <row r="1414" spans="2:12" s="188" customFormat="1" ht="15" customHeight="1">
      <c r="B1414" s="187"/>
      <c r="C1414" s="187"/>
      <c r="D1414" s="187"/>
      <c r="E1414" s="187"/>
      <c r="F1414" s="187"/>
      <c r="G1414" s="187"/>
      <c r="H1414" s="187"/>
      <c r="J1414" s="186"/>
      <c r="K1414" s="180"/>
      <c r="L1414" s="180"/>
    </row>
    <row r="1415" spans="2:12" s="188" customFormat="1" ht="15" customHeight="1">
      <c r="B1415" s="187"/>
      <c r="C1415" s="187"/>
      <c r="D1415" s="187"/>
      <c r="E1415" s="187"/>
      <c r="F1415" s="187"/>
      <c r="G1415" s="187"/>
      <c r="H1415" s="187"/>
      <c r="J1415" s="186"/>
      <c r="K1415" s="180"/>
      <c r="L1415" s="180"/>
    </row>
    <row r="1416" spans="2:12" s="188" customFormat="1" ht="15" customHeight="1">
      <c r="B1416" s="187"/>
      <c r="C1416" s="187"/>
      <c r="D1416" s="187"/>
      <c r="E1416" s="187"/>
      <c r="F1416" s="187"/>
      <c r="G1416" s="187"/>
      <c r="H1416" s="187"/>
      <c r="J1416" s="186"/>
      <c r="K1416" s="180"/>
      <c r="L1416" s="180"/>
    </row>
    <row r="1417" spans="2:12" s="188" customFormat="1" ht="15" customHeight="1">
      <c r="B1417" s="187"/>
      <c r="C1417" s="187"/>
      <c r="D1417" s="187"/>
      <c r="E1417" s="187"/>
      <c r="F1417" s="187"/>
      <c r="G1417" s="187"/>
      <c r="H1417" s="187"/>
      <c r="J1417" s="186"/>
      <c r="K1417" s="180"/>
      <c r="L1417" s="180"/>
    </row>
    <row r="1418" spans="2:12" s="188" customFormat="1" ht="15" customHeight="1">
      <c r="B1418" s="187"/>
      <c r="C1418" s="187"/>
      <c r="D1418" s="187"/>
      <c r="E1418" s="187"/>
      <c r="F1418" s="187"/>
      <c r="G1418" s="187"/>
      <c r="H1418" s="187"/>
      <c r="J1418" s="186"/>
      <c r="K1418" s="180"/>
      <c r="L1418" s="180"/>
    </row>
    <row r="1419" spans="2:12" s="188" customFormat="1" ht="15" customHeight="1">
      <c r="B1419" s="187"/>
      <c r="C1419" s="187"/>
      <c r="D1419" s="187"/>
      <c r="E1419" s="187"/>
      <c r="F1419" s="187"/>
      <c r="G1419" s="187"/>
      <c r="H1419" s="187"/>
      <c r="J1419" s="186"/>
      <c r="K1419" s="180"/>
      <c r="L1419" s="180"/>
    </row>
    <row r="1420" spans="2:12" s="188" customFormat="1" ht="15" customHeight="1">
      <c r="B1420" s="187"/>
      <c r="C1420" s="187"/>
      <c r="D1420" s="187"/>
      <c r="E1420" s="187"/>
      <c r="F1420" s="187"/>
      <c r="G1420" s="187"/>
      <c r="H1420" s="187"/>
      <c r="J1420" s="186"/>
      <c r="K1420" s="180"/>
      <c r="L1420" s="180"/>
    </row>
    <row r="1421" spans="2:12" s="188" customFormat="1" ht="15" customHeight="1">
      <c r="B1421" s="187"/>
      <c r="C1421" s="187"/>
      <c r="D1421" s="187"/>
      <c r="E1421" s="187"/>
      <c r="F1421" s="187"/>
      <c r="G1421" s="187"/>
      <c r="H1421" s="187"/>
      <c r="J1421" s="186"/>
      <c r="K1421" s="180"/>
      <c r="L1421" s="180"/>
    </row>
    <row r="1422" spans="2:12" s="188" customFormat="1" ht="15" customHeight="1">
      <c r="B1422" s="187"/>
      <c r="C1422" s="187"/>
      <c r="D1422" s="187"/>
      <c r="E1422" s="187"/>
      <c r="F1422" s="187"/>
      <c r="G1422" s="187"/>
      <c r="H1422" s="187"/>
      <c r="J1422" s="186"/>
      <c r="K1422" s="180"/>
      <c r="L1422" s="180"/>
    </row>
    <row r="1423" spans="2:12" s="188" customFormat="1" ht="15" customHeight="1">
      <c r="B1423" s="187"/>
      <c r="C1423" s="187"/>
      <c r="D1423" s="187"/>
      <c r="E1423" s="187"/>
      <c r="F1423" s="187"/>
      <c r="G1423" s="187"/>
      <c r="H1423" s="187"/>
      <c r="J1423" s="186"/>
      <c r="K1423" s="180"/>
      <c r="L1423" s="180"/>
    </row>
    <row r="1424" spans="2:12" s="188" customFormat="1" ht="15" customHeight="1">
      <c r="B1424" s="187"/>
      <c r="C1424" s="187"/>
      <c r="D1424" s="187"/>
      <c r="E1424" s="187"/>
      <c r="F1424" s="187"/>
      <c r="G1424" s="187"/>
      <c r="H1424" s="187"/>
      <c r="J1424" s="186"/>
      <c r="K1424" s="180"/>
      <c r="L1424" s="180"/>
    </row>
    <row r="1425" spans="2:12" s="188" customFormat="1" ht="15" customHeight="1">
      <c r="B1425" s="187"/>
      <c r="C1425" s="187"/>
      <c r="D1425" s="187"/>
      <c r="E1425" s="187"/>
      <c r="F1425" s="187"/>
      <c r="G1425" s="187"/>
      <c r="H1425" s="187"/>
      <c r="J1425" s="186"/>
      <c r="K1425" s="180"/>
      <c r="L1425" s="180"/>
    </row>
    <row r="1426" spans="2:12" s="188" customFormat="1" ht="15" customHeight="1">
      <c r="B1426" s="187"/>
      <c r="C1426" s="187"/>
      <c r="D1426" s="187"/>
      <c r="E1426" s="187"/>
      <c r="F1426" s="187"/>
      <c r="G1426" s="187"/>
      <c r="H1426" s="187"/>
      <c r="J1426" s="186"/>
      <c r="K1426" s="180"/>
      <c r="L1426" s="180"/>
    </row>
    <row r="1427" spans="2:12" s="188" customFormat="1" ht="15" customHeight="1">
      <c r="B1427" s="187"/>
      <c r="C1427" s="187"/>
      <c r="D1427" s="187"/>
      <c r="E1427" s="187"/>
      <c r="F1427" s="187"/>
      <c r="G1427" s="187"/>
      <c r="H1427" s="187"/>
      <c r="J1427" s="186"/>
      <c r="K1427" s="180"/>
      <c r="L1427" s="180"/>
    </row>
    <row r="1428" spans="2:12" s="188" customFormat="1" ht="15" customHeight="1">
      <c r="B1428" s="187"/>
      <c r="C1428" s="187"/>
      <c r="D1428" s="187"/>
      <c r="E1428" s="187"/>
      <c r="F1428" s="187"/>
      <c r="G1428" s="187"/>
      <c r="H1428" s="187"/>
      <c r="J1428" s="186"/>
      <c r="K1428" s="180"/>
      <c r="L1428" s="180"/>
    </row>
    <row r="1429" spans="2:12" s="188" customFormat="1" ht="15" customHeight="1">
      <c r="B1429" s="187"/>
      <c r="C1429" s="187"/>
      <c r="D1429" s="187"/>
      <c r="E1429" s="187"/>
      <c r="F1429" s="187"/>
      <c r="G1429" s="187"/>
      <c r="H1429" s="187"/>
      <c r="J1429" s="186"/>
      <c r="K1429" s="180"/>
      <c r="L1429" s="180"/>
    </row>
    <row r="1430" spans="2:12" s="188" customFormat="1" ht="15" customHeight="1">
      <c r="B1430" s="187"/>
      <c r="C1430" s="187"/>
      <c r="D1430" s="187"/>
      <c r="E1430" s="187"/>
      <c r="F1430" s="187"/>
      <c r="G1430" s="187"/>
      <c r="H1430" s="187"/>
      <c r="J1430" s="186"/>
      <c r="K1430" s="180"/>
      <c r="L1430" s="180"/>
    </row>
    <row r="1431" spans="2:12" s="188" customFormat="1" ht="15" customHeight="1">
      <c r="B1431" s="187"/>
      <c r="C1431" s="187"/>
      <c r="D1431" s="187"/>
      <c r="E1431" s="187"/>
      <c r="F1431" s="187"/>
      <c r="G1431" s="187"/>
      <c r="H1431" s="187"/>
      <c r="J1431" s="186"/>
      <c r="K1431" s="180"/>
      <c r="L1431" s="180"/>
    </row>
    <row r="1432" spans="2:12" s="188" customFormat="1" ht="15" customHeight="1">
      <c r="B1432" s="187"/>
      <c r="C1432" s="187"/>
      <c r="D1432" s="187"/>
      <c r="E1432" s="187"/>
      <c r="F1432" s="187"/>
      <c r="G1432" s="187"/>
      <c r="H1432" s="187"/>
      <c r="J1432" s="186"/>
      <c r="K1432" s="180"/>
      <c r="L1432" s="180"/>
    </row>
    <row r="1433" spans="2:12" s="188" customFormat="1" ht="15" customHeight="1">
      <c r="B1433" s="187"/>
      <c r="C1433" s="187"/>
      <c r="D1433" s="187"/>
      <c r="E1433" s="187"/>
      <c r="F1433" s="187"/>
      <c r="G1433" s="187"/>
      <c r="H1433" s="187"/>
      <c r="J1433" s="186"/>
      <c r="K1433" s="180"/>
      <c r="L1433" s="180"/>
    </row>
    <row r="1434" spans="2:12" s="188" customFormat="1" ht="15" customHeight="1">
      <c r="B1434" s="187"/>
      <c r="C1434" s="187"/>
      <c r="D1434" s="187"/>
      <c r="E1434" s="187"/>
      <c r="F1434" s="187"/>
      <c r="G1434" s="187"/>
      <c r="H1434" s="187"/>
      <c r="J1434" s="186"/>
      <c r="K1434" s="180"/>
      <c r="L1434" s="180"/>
    </row>
    <row r="1435" spans="2:12" s="188" customFormat="1" ht="15" customHeight="1">
      <c r="B1435" s="187"/>
      <c r="C1435" s="187"/>
      <c r="D1435" s="187"/>
      <c r="E1435" s="187"/>
      <c r="F1435" s="187"/>
      <c r="G1435" s="187"/>
      <c r="H1435" s="187"/>
      <c r="J1435" s="186"/>
      <c r="K1435" s="180"/>
      <c r="L1435" s="180"/>
    </row>
    <row r="1436" spans="2:12" s="188" customFormat="1" ht="15" customHeight="1">
      <c r="B1436" s="187"/>
      <c r="C1436" s="187"/>
      <c r="D1436" s="187"/>
      <c r="E1436" s="187"/>
      <c r="F1436" s="187"/>
      <c r="G1436" s="187"/>
      <c r="H1436" s="187"/>
      <c r="J1436" s="186"/>
      <c r="K1436" s="180"/>
      <c r="L1436" s="180"/>
    </row>
    <row r="1437" spans="2:12" s="188" customFormat="1" ht="15" customHeight="1">
      <c r="B1437" s="187"/>
      <c r="C1437" s="187"/>
      <c r="D1437" s="187"/>
      <c r="E1437" s="187"/>
      <c r="F1437" s="187"/>
      <c r="G1437" s="187"/>
      <c r="H1437" s="187"/>
      <c r="J1437" s="186"/>
      <c r="K1437" s="180"/>
      <c r="L1437" s="180"/>
    </row>
    <row r="1438" spans="2:12" s="188" customFormat="1" ht="15" customHeight="1">
      <c r="B1438" s="187"/>
      <c r="C1438" s="187"/>
      <c r="D1438" s="187"/>
      <c r="E1438" s="187"/>
      <c r="F1438" s="187"/>
      <c r="G1438" s="187"/>
      <c r="H1438" s="187"/>
      <c r="J1438" s="186"/>
      <c r="K1438" s="180"/>
      <c r="L1438" s="180"/>
    </row>
    <row r="1439" spans="2:12" s="188" customFormat="1" ht="15" customHeight="1">
      <c r="B1439" s="187"/>
      <c r="C1439" s="187"/>
      <c r="D1439" s="187"/>
      <c r="E1439" s="187"/>
      <c r="F1439" s="187"/>
      <c r="G1439" s="187"/>
      <c r="H1439" s="187"/>
      <c r="J1439" s="186"/>
      <c r="K1439" s="180"/>
      <c r="L1439" s="180"/>
    </row>
    <row r="1440" spans="2:12" s="188" customFormat="1" ht="15" customHeight="1">
      <c r="B1440" s="187"/>
      <c r="C1440" s="187"/>
      <c r="D1440" s="187"/>
      <c r="E1440" s="187"/>
      <c r="F1440" s="187"/>
      <c r="G1440" s="187"/>
      <c r="H1440" s="187"/>
      <c r="J1440" s="186"/>
      <c r="K1440" s="180"/>
      <c r="L1440" s="180"/>
    </row>
    <row r="1441" spans="2:12" s="188" customFormat="1" ht="15" customHeight="1">
      <c r="B1441" s="187"/>
      <c r="C1441" s="187"/>
      <c r="D1441" s="187"/>
      <c r="E1441" s="187"/>
      <c r="F1441" s="187"/>
      <c r="G1441" s="187"/>
      <c r="H1441" s="187"/>
      <c r="J1441" s="186"/>
      <c r="K1441" s="180"/>
      <c r="L1441" s="180"/>
    </row>
    <row r="1442" spans="2:12" s="188" customFormat="1" ht="15" customHeight="1">
      <c r="B1442" s="187"/>
      <c r="C1442" s="187"/>
      <c r="D1442" s="187"/>
      <c r="E1442" s="187"/>
      <c r="F1442" s="187"/>
      <c r="G1442" s="187"/>
      <c r="H1442" s="187"/>
      <c r="J1442" s="186"/>
      <c r="K1442" s="180"/>
      <c r="L1442" s="180"/>
    </row>
    <row r="1443" spans="2:12" s="188" customFormat="1" ht="15" customHeight="1">
      <c r="B1443" s="187"/>
      <c r="C1443" s="187"/>
      <c r="D1443" s="187"/>
      <c r="E1443" s="187"/>
      <c r="F1443" s="187"/>
      <c r="G1443" s="187"/>
      <c r="H1443" s="187"/>
      <c r="J1443" s="186"/>
      <c r="K1443" s="180"/>
      <c r="L1443" s="180"/>
    </row>
    <row r="1444" spans="2:12" s="188" customFormat="1" ht="15" customHeight="1">
      <c r="B1444" s="187"/>
      <c r="C1444" s="187"/>
      <c r="D1444" s="187"/>
      <c r="E1444" s="187"/>
      <c r="F1444" s="187"/>
      <c r="G1444" s="187"/>
      <c r="H1444" s="187"/>
      <c r="J1444" s="186"/>
      <c r="K1444" s="180"/>
      <c r="L1444" s="180"/>
    </row>
    <row r="1445" spans="2:12" s="188" customFormat="1" ht="15" customHeight="1">
      <c r="B1445" s="187"/>
      <c r="C1445" s="187"/>
      <c r="D1445" s="187"/>
      <c r="E1445" s="187"/>
      <c r="F1445" s="187"/>
      <c r="G1445" s="187"/>
      <c r="H1445" s="187"/>
      <c r="J1445" s="186"/>
      <c r="K1445" s="180"/>
      <c r="L1445" s="180"/>
    </row>
    <row r="1446" spans="2:12" s="188" customFormat="1" ht="15" customHeight="1">
      <c r="B1446" s="187"/>
      <c r="C1446" s="187"/>
      <c r="D1446" s="187"/>
      <c r="E1446" s="187"/>
      <c r="F1446" s="187"/>
      <c r="G1446" s="187"/>
      <c r="H1446" s="187"/>
      <c r="J1446" s="186"/>
      <c r="K1446" s="180"/>
      <c r="L1446" s="180"/>
    </row>
    <row r="1447" spans="2:12" s="188" customFormat="1" ht="15" customHeight="1">
      <c r="B1447" s="187"/>
      <c r="C1447" s="187"/>
      <c r="D1447" s="187"/>
      <c r="E1447" s="187"/>
      <c r="F1447" s="187"/>
      <c r="G1447" s="187"/>
      <c r="H1447" s="187"/>
      <c r="J1447" s="186"/>
      <c r="K1447" s="180"/>
      <c r="L1447" s="180"/>
    </row>
    <row r="1448" spans="2:12" s="188" customFormat="1" ht="15" customHeight="1">
      <c r="B1448" s="187"/>
      <c r="C1448" s="187"/>
      <c r="D1448" s="187"/>
      <c r="E1448" s="187"/>
      <c r="F1448" s="187"/>
      <c r="G1448" s="187"/>
      <c r="H1448" s="187"/>
      <c r="J1448" s="186"/>
      <c r="K1448" s="180"/>
      <c r="L1448" s="180"/>
    </row>
    <row r="1449" spans="2:12" s="188" customFormat="1" ht="15" customHeight="1">
      <c r="B1449" s="187"/>
      <c r="C1449" s="187"/>
      <c r="D1449" s="187"/>
      <c r="E1449" s="187"/>
      <c r="F1449" s="187"/>
      <c r="G1449" s="187"/>
      <c r="H1449" s="187"/>
      <c r="J1449" s="186"/>
      <c r="K1449" s="180"/>
      <c r="L1449" s="180"/>
    </row>
    <row r="1450" spans="2:12" s="188" customFormat="1" ht="15" customHeight="1">
      <c r="B1450" s="187"/>
      <c r="C1450" s="187"/>
      <c r="D1450" s="187"/>
      <c r="E1450" s="187"/>
      <c r="F1450" s="187"/>
      <c r="G1450" s="187"/>
      <c r="H1450" s="187"/>
      <c r="J1450" s="186"/>
      <c r="K1450" s="180"/>
      <c r="L1450" s="180"/>
    </row>
    <row r="1451" spans="2:12" s="188" customFormat="1" ht="15" customHeight="1">
      <c r="B1451" s="187"/>
      <c r="C1451" s="187"/>
      <c r="D1451" s="187"/>
      <c r="E1451" s="187"/>
      <c r="F1451" s="187"/>
      <c r="G1451" s="187"/>
      <c r="H1451" s="187"/>
      <c r="J1451" s="186"/>
      <c r="K1451" s="180"/>
      <c r="L1451" s="180"/>
    </row>
    <row r="1452" spans="2:12" s="188" customFormat="1" ht="15" customHeight="1">
      <c r="B1452" s="187"/>
      <c r="C1452" s="187"/>
      <c r="D1452" s="187"/>
      <c r="E1452" s="187"/>
      <c r="F1452" s="187"/>
      <c r="G1452" s="187"/>
      <c r="H1452" s="187"/>
      <c r="J1452" s="186"/>
      <c r="K1452" s="180"/>
      <c r="L1452" s="180"/>
    </row>
    <row r="1453" spans="2:12" s="188" customFormat="1" ht="15" customHeight="1">
      <c r="B1453" s="187"/>
      <c r="C1453" s="187"/>
      <c r="D1453" s="187"/>
      <c r="E1453" s="187"/>
      <c r="F1453" s="187"/>
      <c r="G1453" s="187"/>
      <c r="H1453" s="187"/>
      <c r="J1453" s="186"/>
      <c r="K1453" s="180"/>
      <c r="L1453" s="180"/>
    </row>
    <row r="1454" spans="2:12" s="188" customFormat="1" ht="15" customHeight="1">
      <c r="B1454" s="187"/>
      <c r="C1454" s="187"/>
      <c r="D1454" s="187"/>
      <c r="E1454" s="187"/>
      <c r="F1454" s="187"/>
      <c r="G1454" s="187"/>
      <c r="H1454" s="187"/>
      <c r="J1454" s="186"/>
      <c r="K1454" s="180"/>
      <c r="L1454" s="180"/>
    </row>
    <row r="1455" spans="2:12" s="188" customFormat="1" ht="15" customHeight="1">
      <c r="B1455" s="187"/>
      <c r="C1455" s="187"/>
      <c r="D1455" s="187"/>
      <c r="E1455" s="187"/>
      <c r="F1455" s="187"/>
      <c r="G1455" s="187"/>
      <c r="H1455" s="187"/>
      <c r="J1455" s="186"/>
      <c r="K1455" s="180"/>
      <c r="L1455" s="180"/>
    </row>
    <row r="1456" spans="2:12" s="188" customFormat="1" ht="15" customHeight="1">
      <c r="B1456" s="187"/>
      <c r="C1456" s="187"/>
      <c r="D1456" s="187"/>
      <c r="E1456" s="187"/>
      <c r="F1456" s="187"/>
      <c r="G1456" s="187"/>
      <c r="H1456" s="187"/>
      <c r="J1456" s="186"/>
      <c r="K1456" s="180"/>
      <c r="L1456" s="180"/>
    </row>
    <row r="1457" spans="2:12" s="188" customFormat="1" ht="15" customHeight="1">
      <c r="B1457" s="187"/>
      <c r="C1457" s="187"/>
      <c r="D1457" s="187"/>
      <c r="E1457" s="187"/>
      <c r="F1457" s="187"/>
      <c r="G1457" s="187"/>
      <c r="H1457" s="187"/>
      <c r="J1457" s="186"/>
      <c r="K1457" s="180"/>
      <c r="L1457" s="180"/>
    </row>
    <row r="1458" spans="2:12" s="188" customFormat="1" ht="15" customHeight="1">
      <c r="B1458" s="187"/>
      <c r="C1458" s="187"/>
      <c r="D1458" s="187"/>
      <c r="E1458" s="187"/>
      <c r="F1458" s="187"/>
      <c r="G1458" s="187"/>
      <c r="H1458" s="187"/>
      <c r="J1458" s="186"/>
      <c r="K1458" s="180"/>
      <c r="L1458" s="180"/>
    </row>
    <row r="1459" spans="2:12" s="188" customFormat="1" ht="15" customHeight="1">
      <c r="B1459" s="187"/>
      <c r="C1459" s="187"/>
      <c r="D1459" s="187"/>
      <c r="E1459" s="187"/>
      <c r="F1459" s="187"/>
      <c r="G1459" s="187"/>
      <c r="H1459" s="187"/>
      <c r="J1459" s="186"/>
      <c r="K1459" s="180"/>
      <c r="L1459" s="180"/>
    </row>
    <row r="1460" spans="2:12" s="188" customFormat="1" ht="15" customHeight="1">
      <c r="B1460" s="187"/>
      <c r="C1460" s="187"/>
      <c r="D1460" s="187"/>
      <c r="E1460" s="187"/>
      <c r="F1460" s="187"/>
      <c r="G1460" s="187"/>
      <c r="H1460" s="187"/>
      <c r="J1460" s="186"/>
      <c r="K1460" s="180"/>
      <c r="L1460" s="180"/>
    </row>
    <row r="1461" spans="2:12" s="188" customFormat="1" ht="15" customHeight="1">
      <c r="B1461" s="187"/>
      <c r="C1461" s="187"/>
      <c r="D1461" s="187"/>
      <c r="E1461" s="187"/>
      <c r="F1461" s="187"/>
      <c r="G1461" s="187"/>
      <c r="H1461" s="187"/>
      <c r="J1461" s="186"/>
      <c r="K1461" s="180"/>
      <c r="L1461" s="180"/>
    </row>
    <row r="1462" spans="2:12" s="188" customFormat="1" ht="15" customHeight="1">
      <c r="B1462" s="187"/>
      <c r="C1462" s="187"/>
      <c r="D1462" s="187"/>
      <c r="E1462" s="187"/>
      <c r="F1462" s="187"/>
      <c r="G1462" s="187"/>
      <c r="H1462" s="187"/>
      <c r="J1462" s="186"/>
      <c r="K1462" s="180"/>
      <c r="L1462" s="180"/>
    </row>
    <row r="1463" spans="2:12" s="188" customFormat="1" ht="15" customHeight="1">
      <c r="B1463" s="187"/>
      <c r="C1463" s="187"/>
      <c r="D1463" s="187"/>
      <c r="E1463" s="187"/>
      <c r="F1463" s="187"/>
      <c r="G1463" s="187"/>
      <c r="H1463" s="187"/>
      <c r="J1463" s="186"/>
      <c r="K1463" s="180"/>
      <c r="L1463" s="180"/>
    </row>
    <row r="1464" spans="2:12" s="188" customFormat="1" ht="15" customHeight="1">
      <c r="B1464" s="187"/>
      <c r="C1464" s="187"/>
      <c r="D1464" s="187"/>
      <c r="E1464" s="187"/>
      <c r="F1464" s="187"/>
      <c r="G1464" s="187"/>
      <c r="H1464" s="187"/>
      <c r="J1464" s="186"/>
      <c r="K1464" s="180"/>
      <c r="L1464" s="180"/>
    </row>
    <row r="1465" spans="2:12" s="188" customFormat="1" ht="15" customHeight="1">
      <c r="B1465" s="187"/>
      <c r="C1465" s="187"/>
      <c r="D1465" s="187"/>
      <c r="E1465" s="187"/>
      <c r="F1465" s="187"/>
      <c r="G1465" s="187"/>
      <c r="H1465" s="187"/>
      <c r="J1465" s="186"/>
      <c r="K1465" s="180"/>
      <c r="L1465" s="180"/>
    </row>
    <row r="1466" spans="2:12" s="188" customFormat="1" ht="15" customHeight="1">
      <c r="B1466" s="187"/>
      <c r="C1466" s="187"/>
      <c r="D1466" s="187"/>
      <c r="E1466" s="187"/>
      <c r="F1466" s="187"/>
      <c r="G1466" s="187"/>
      <c r="H1466" s="187"/>
      <c r="J1466" s="186"/>
      <c r="K1466" s="180"/>
      <c r="L1466" s="180"/>
    </row>
    <row r="1467" spans="2:12" s="188" customFormat="1" ht="15" customHeight="1">
      <c r="B1467" s="187"/>
      <c r="C1467" s="187"/>
      <c r="D1467" s="187"/>
      <c r="E1467" s="187"/>
      <c r="F1467" s="187"/>
      <c r="G1467" s="187"/>
      <c r="H1467" s="187"/>
      <c r="J1467" s="186"/>
      <c r="K1467" s="180"/>
      <c r="L1467" s="180"/>
    </row>
    <row r="1468" spans="2:12" s="188" customFormat="1" ht="15" customHeight="1">
      <c r="B1468" s="187"/>
      <c r="C1468" s="187"/>
      <c r="D1468" s="187"/>
      <c r="E1468" s="187"/>
      <c r="F1468" s="187"/>
      <c r="G1468" s="187"/>
      <c r="H1468" s="187"/>
      <c r="J1468" s="186"/>
      <c r="K1468" s="180"/>
      <c r="L1468" s="180"/>
    </row>
    <row r="1469" spans="2:12" s="188" customFormat="1" ht="15" customHeight="1">
      <c r="B1469" s="187"/>
      <c r="C1469" s="187"/>
      <c r="D1469" s="187"/>
      <c r="E1469" s="187"/>
      <c r="F1469" s="187"/>
      <c r="G1469" s="187"/>
      <c r="H1469" s="187"/>
      <c r="J1469" s="186"/>
      <c r="K1469" s="180"/>
      <c r="L1469" s="180"/>
    </row>
    <row r="1470" spans="2:12" s="188" customFormat="1" ht="15" customHeight="1">
      <c r="B1470" s="187"/>
      <c r="C1470" s="187"/>
      <c r="D1470" s="187"/>
      <c r="E1470" s="187"/>
      <c r="F1470" s="187"/>
      <c r="G1470" s="187"/>
      <c r="H1470" s="187"/>
      <c r="J1470" s="186"/>
      <c r="K1470" s="180"/>
      <c r="L1470" s="180"/>
    </row>
    <row r="1471" spans="2:12" s="188" customFormat="1" ht="15" customHeight="1">
      <c r="B1471" s="187"/>
      <c r="C1471" s="187"/>
      <c r="D1471" s="187"/>
      <c r="E1471" s="187"/>
      <c r="F1471" s="187"/>
      <c r="G1471" s="187"/>
      <c r="H1471" s="187"/>
      <c r="J1471" s="186"/>
      <c r="K1471" s="180"/>
      <c r="L1471" s="180"/>
    </row>
    <row r="1472" spans="2:12" s="188" customFormat="1" ht="15" customHeight="1">
      <c r="B1472" s="187"/>
      <c r="C1472" s="187"/>
      <c r="D1472" s="187"/>
      <c r="E1472" s="187"/>
      <c r="F1472" s="187"/>
      <c r="G1472" s="187"/>
      <c r="H1472" s="187"/>
      <c r="J1472" s="186"/>
      <c r="K1472" s="180"/>
      <c r="L1472" s="180"/>
    </row>
    <row r="1473" spans="2:12" s="188" customFormat="1" ht="15" customHeight="1">
      <c r="B1473" s="187"/>
      <c r="C1473" s="187"/>
      <c r="D1473" s="187"/>
      <c r="E1473" s="187"/>
      <c r="F1473" s="187"/>
      <c r="G1473" s="187"/>
      <c r="H1473" s="187"/>
      <c r="J1473" s="186"/>
      <c r="K1473" s="180"/>
      <c r="L1473" s="180"/>
    </row>
    <row r="1474" spans="2:12" s="188" customFormat="1" ht="15" customHeight="1">
      <c r="B1474" s="187"/>
      <c r="C1474" s="187"/>
      <c r="D1474" s="187"/>
      <c r="E1474" s="187"/>
      <c r="F1474" s="187"/>
      <c r="G1474" s="187"/>
      <c r="H1474" s="187"/>
      <c r="J1474" s="186"/>
      <c r="K1474" s="180"/>
      <c r="L1474" s="180"/>
    </row>
    <row r="1475" spans="2:12" s="188" customFormat="1" ht="15" customHeight="1">
      <c r="B1475" s="187"/>
      <c r="C1475" s="187"/>
      <c r="D1475" s="187"/>
      <c r="E1475" s="187"/>
      <c r="F1475" s="187"/>
      <c r="G1475" s="187"/>
      <c r="H1475" s="187"/>
      <c r="J1475" s="186"/>
      <c r="K1475" s="180"/>
      <c r="L1475" s="180"/>
    </row>
    <row r="1476" spans="2:12" s="188" customFormat="1" ht="15" customHeight="1">
      <c r="B1476" s="187"/>
      <c r="C1476" s="187"/>
      <c r="D1476" s="187"/>
      <c r="E1476" s="187"/>
      <c r="F1476" s="187"/>
      <c r="G1476" s="187"/>
      <c r="H1476" s="187"/>
      <c r="J1476" s="186"/>
      <c r="K1476" s="180"/>
      <c r="L1476" s="180"/>
    </row>
    <row r="1477" spans="2:12" s="188" customFormat="1" ht="15" customHeight="1">
      <c r="B1477" s="187"/>
      <c r="C1477" s="187"/>
      <c r="D1477" s="187"/>
      <c r="E1477" s="187"/>
      <c r="F1477" s="187"/>
      <c r="G1477" s="187"/>
      <c r="H1477" s="187"/>
      <c r="J1477" s="186"/>
      <c r="K1477" s="180"/>
      <c r="L1477" s="180"/>
    </row>
    <row r="1478" spans="2:12" s="188" customFormat="1" ht="15" customHeight="1">
      <c r="B1478" s="187"/>
      <c r="C1478" s="187"/>
      <c r="D1478" s="187"/>
      <c r="E1478" s="187"/>
      <c r="F1478" s="187"/>
      <c r="G1478" s="187"/>
      <c r="H1478" s="187"/>
      <c r="J1478" s="186"/>
      <c r="K1478" s="180"/>
      <c r="L1478" s="180"/>
    </row>
    <row r="1479" spans="2:12" s="188" customFormat="1" ht="15" customHeight="1">
      <c r="B1479" s="187"/>
      <c r="C1479" s="187"/>
      <c r="D1479" s="187"/>
      <c r="E1479" s="187"/>
      <c r="F1479" s="187"/>
      <c r="G1479" s="187"/>
      <c r="H1479" s="187"/>
      <c r="J1479" s="186"/>
      <c r="K1479" s="180"/>
      <c r="L1479" s="180"/>
    </row>
    <row r="1480" spans="2:12" s="188" customFormat="1" ht="15" customHeight="1">
      <c r="B1480" s="187"/>
      <c r="C1480" s="187"/>
      <c r="D1480" s="187"/>
      <c r="E1480" s="187"/>
      <c r="F1480" s="187"/>
      <c r="G1480" s="187"/>
      <c r="H1480" s="187"/>
      <c r="J1480" s="186"/>
      <c r="K1480" s="180"/>
      <c r="L1480" s="180"/>
    </row>
    <row r="1481" spans="2:12" s="188" customFormat="1" ht="15" customHeight="1">
      <c r="B1481" s="187"/>
      <c r="C1481" s="187"/>
      <c r="D1481" s="187"/>
      <c r="E1481" s="187"/>
      <c r="F1481" s="187"/>
      <c r="G1481" s="187"/>
      <c r="H1481" s="187"/>
      <c r="J1481" s="186"/>
      <c r="K1481" s="180"/>
      <c r="L1481" s="180"/>
    </row>
    <row r="1482" spans="2:12" s="188" customFormat="1" ht="15" customHeight="1">
      <c r="B1482" s="187"/>
      <c r="C1482" s="187"/>
      <c r="D1482" s="187"/>
      <c r="E1482" s="187"/>
      <c r="F1482" s="187"/>
      <c r="G1482" s="187"/>
      <c r="H1482" s="187"/>
      <c r="J1482" s="186"/>
      <c r="K1482" s="180"/>
      <c r="L1482" s="180"/>
    </row>
    <row r="1483" spans="2:12" s="188" customFormat="1" ht="15" customHeight="1">
      <c r="B1483" s="187"/>
      <c r="C1483" s="187"/>
      <c r="D1483" s="187"/>
      <c r="E1483" s="187"/>
      <c r="F1483" s="187"/>
      <c r="G1483" s="187"/>
      <c r="H1483" s="187"/>
      <c r="J1483" s="186"/>
      <c r="K1483" s="180"/>
      <c r="L1483" s="180"/>
    </row>
    <row r="1484" spans="2:12" s="188" customFormat="1" ht="15" customHeight="1">
      <c r="B1484" s="187"/>
      <c r="C1484" s="187"/>
      <c r="D1484" s="187"/>
      <c r="E1484" s="187"/>
      <c r="F1484" s="187"/>
      <c r="G1484" s="187"/>
      <c r="H1484" s="187"/>
      <c r="J1484" s="186"/>
      <c r="K1484" s="180"/>
      <c r="L1484" s="180"/>
    </row>
    <row r="1485" spans="2:12" s="188" customFormat="1" ht="15" customHeight="1">
      <c r="B1485" s="187"/>
      <c r="C1485" s="187"/>
      <c r="D1485" s="187"/>
      <c r="E1485" s="187"/>
      <c r="F1485" s="187"/>
      <c r="G1485" s="187"/>
      <c r="H1485" s="187"/>
      <c r="J1485" s="186"/>
      <c r="K1485" s="180"/>
      <c r="L1485" s="180"/>
    </row>
    <row r="1486" spans="2:12" s="188" customFormat="1" ht="15" customHeight="1">
      <c r="B1486" s="187"/>
      <c r="C1486" s="187"/>
      <c r="D1486" s="187"/>
      <c r="E1486" s="187"/>
      <c r="F1486" s="187"/>
      <c r="G1486" s="187"/>
      <c r="H1486" s="187"/>
      <c r="J1486" s="186"/>
      <c r="K1486" s="180"/>
      <c r="L1486" s="180"/>
    </row>
    <row r="1487" spans="2:12" s="188" customFormat="1" ht="15" customHeight="1">
      <c r="B1487" s="187"/>
      <c r="C1487" s="187"/>
      <c r="D1487" s="187"/>
      <c r="E1487" s="187"/>
      <c r="F1487" s="187"/>
      <c r="G1487" s="187"/>
      <c r="H1487" s="187"/>
      <c r="J1487" s="186"/>
      <c r="K1487" s="180"/>
      <c r="L1487" s="180"/>
    </row>
    <row r="1488" spans="2:12" s="188" customFormat="1" ht="15" customHeight="1">
      <c r="B1488" s="187"/>
      <c r="C1488" s="187"/>
      <c r="D1488" s="187"/>
      <c r="E1488" s="187"/>
      <c r="F1488" s="187"/>
      <c r="G1488" s="187"/>
      <c r="H1488" s="187"/>
      <c r="J1488" s="186"/>
      <c r="K1488" s="180"/>
      <c r="L1488" s="180"/>
    </row>
    <row r="1489" spans="2:12" s="188" customFormat="1" ht="15" customHeight="1">
      <c r="B1489" s="187"/>
      <c r="C1489" s="187"/>
      <c r="D1489" s="187"/>
      <c r="E1489" s="187"/>
      <c r="F1489" s="187"/>
      <c r="G1489" s="187"/>
      <c r="H1489" s="187"/>
      <c r="J1489" s="186"/>
      <c r="K1489" s="180"/>
      <c r="L1489" s="180"/>
    </row>
    <row r="1490" spans="2:12" s="188" customFormat="1" ht="15" customHeight="1">
      <c r="B1490" s="187"/>
      <c r="C1490" s="187"/>
      <c r="D1490" s="187"/>
      <c r="E1490" s="187"/>
      <c r="F1490" s="187"/>
      <c r="G1490" s="187"/>
      <c r="H1490" s="187"/>
      <c r="J1490" s="186"/>
      <c r="K1490" s="180"/>
      <c r="L1490" s="180"/>
    </row>
    <row r="1491" spans="2:12" s="188" customFormat="1" ht="15" customHeight="1">
      <c r="B1491" s="187"/>
      <c r="C1491" s="187"/>
      <c r="D1491" s="187"/>
      <c r="E1491" s="187"/>
      <c r="F1491" s="187"/>
      <c r="G1491" s="187"/>
      <c r="H1491" s="187"/>
      <c r="J1491" s="186"/>
      <c r="K1491" s="180"/>
      <c r="L1491" s="180"/>
    </row>
    <row r="1492" spans="2:12" s="188" customFormat="1" ht="15" customHeight="1">
      <c r="B1492" s="187"/>
      <c r="C1492" s="187"/>
      <c r="D1492" s="187"/>
      <c r="E1492" s="187"/>
      <c r="F1492" s="187"/>
      <c r="G1492" s="187"/>
      <c r="H1492" s="187"/>
      <c r="J1492" s="186"/>
      <c r="K1492" s="180"/>
      <c r="L1492" s="180"/>
    </row>
    <row r="1493" spans="2:12" s="188" customFormat="1" ht="15" customHeight="1">
      <c r="B1493" s="187"/>
      <c r="C1493" s="187"/>
      <c r="D1493" s="187"/>
      <c r="E1493" s="187"/>
      <c r="F1493" s="187"/>
      <c r="G1493" s="187"/>
      <c r="H1493" s="187"/>
      <c r="J1493" s="186"/>
      <c r="K1493" s="180"/>
      <c r="L1493" s="180"/>
    </row>
    <row r="1494" spans="2:12" s="188" customFormat="1" ht="15" customHeight="1">
      <c r="B1494" s="187"/>
      <c r="C1494" s="187"/>
      <c r="D1494" s="187"/>
      <c r="E1494" s="187"/>
      <c r="F1494" s="187"/>
      <c r="G1494" s="187"/>
      <c r="H1494" s="187"/>
      <c r="J1494" s="186"/>
      <c r="K1494" s="180"/>
      <c r="L1494" s="180"/>
    </row>
    <row r="1495" spans="2:12" s="188" customFormat="1" ht="15" customHeight="1">
      <c r="B1495" s="187"/>
      <c r="C1495" s="187"/>
      <c r="D1495" s="187"/>
      <c r="E1495" s="187"/>
      <c r="F1495" s="187"/>
      <c r="G1495" s="187"/>
      <c r="H1495" s="187"/>
      <c r="J1495" s="186"/>
      <c r="K1495" s="180"/>
      <c r="L1495" s="180"/>
    </row>
    <row r="1496" spans="2:12" s="188" customFormat="1" ht="15" customHeight="1">
      <c r="B1496" s="187"/>
      <c r="C1496" s="187"/>
      <c r="D1496" s="187"/>
      <c r="E1496" s="187"/>
      <c r="F1496" s="187"/>
      <c r="G1496" s="187"/>
      <c r="H1496" s="187"/>
      <c r="J1496" s="186"/>
      <c r="K1496" s="180"/>
      <c r="L1496" s="180"/>
    </row>
    <row r="1497" spans="2:12" s="188" customFormat="1" ht="15" customHeight="1">
      <c r="B1497" s="187"/>
      <c r="C1497" s="187"/>
      <c r="D1497" s="187"/>
      <c r="E1497" s="187"/>
      <c r="F1497" s="187"/>
      <c r="G1497" s="187"/>
      <c r="H1497" s="187"/>
      <c r="J1497" s="186"/>
      <c r="K1497" s="180"/>
      <c r="L1497" s="180"/>
    </row>
    <row r="1498" spans="2:12" s="188" customFormat="1" ht="15" customHeight="1">
      <c r="B1498" s="187"/>
      <c r="C1498" s="187"/>
      <c r="D1498" s="187"/>
      <c r="E1498" s="187"/>
      <c r="F1498" s="187"/>
      <c r="G1498" s="187"/>
      <c r="H1498" s="187"/>
      <c r="J1498" s="186"/>
      <c r="K1498" s="180"/>
      <c r="L1498" s="180"/>
    </row>
    <row r="1499" spans="2:12" s="188" customFormat="1" ht="15" customHeight="1">
      <c r="B1499" s="187"/>
      <c r="C1499" s="187"/>
      <c r="D1499" s="187"/>
      <c r="E1499" s="187"/>
      <c r="F1499" s="187"/>
      <c r="G1499" s="187"/>
      <c r="H1499" s="187"/>
      <c r="J1499" s="186"/>
      <c r="K1499" s="180"/>
      <c r="L1499" s="180"/>
    </row>
    <row r="1500" spans="2:12" s="188" customFormat="1" ht="15" customHeight="1">
      <c r="B1500" s="187"/>
      <c r="C1500" s="187"/>
      <c r="D1500" s="187"/>
      <c r="E1500" s="187"/>
      <c r="F1500" s="187"/>
      <c r="G1500" s="187"/>
      <c r="H1500" s="187"/>
      <c r="J1500" s="186"/>
      <c r="K1500" s="180"/>
      <c r="L1500" s="180"/>
    </row>
    <row r="1501" spans="2:12" s="188" customFormat="1" ht="15" customHeight="1">
      <c r="B1501" s="187"/>
      <c r="C1501" s="187"/>
      <c r="D1501" s="187"/>
      <c r="E1501" s="187"/>
      <c r="F1501" s="187"/>
      <c r="G1501" s="187"/>
      <c r="H1501" s="187"/>
      <c r="J1501" s="186"/>
      <c r="K1501" s="180"/>
      <c r="L1501" s="180"/>
    </row>
    <row r="1502" spans="2:12" s="188" customFormat="1" ht="15" customHeight="1">
      <c r="B1502" s="187"/>
      <c r="C1502" s="187"/>
      <c r="D1502" s="187"/>
      <c r="E1502" s="187"/>
      <c r="F1502" s="187"/>
      <c r="G1502" s="187"/>
      <c r="H1502" s="187"/>
      <c r="J1502" s="186"/>
      <c r="K1502" s="180"/>
      <c r="L1502" s="180"/>
    </row>
    <row r="1503" spans="2:12" s="188" customFormat="1" ht="15" customHeight="1">
      <c r="B1503" s="187"/>
      <c r="C1503" s="187"/>
      <c r="D1503" s="187"/>
      <c r="E1503" s="187"/>
      <c r="F1503" s="187"/>
      <c r="G1503" s="187"/>
      <c r="H1503" s="187"/>
      <c r="J1503" s="186"/>
      <c r="K1503" s="180"/>
      <c r="L1503" s="180"/>
    </row>
    <row r="1504" spans="2:12" s="188" customFormat="1" ht="15" customHeight="1">
      <c r="B1504" s="187"/>
      <c r="C1504" s="187"/>
      <c r="D1504" s="187"/>
      <c r="E1504" s="187"/>
      <c r="F1504" s="187"/>
      <c r="G1504" s="187"/>
      <c r="H1504" s="187"/>
      <c r="J1504" s="186"/>
      <c r="K1504" s="180"/>
      <c r="L1504" s="180"/>
    </row>
    <row r="1505" spans="2:12" s="188" customFormat="1" ht="15" customHeight="1">
      <c r="B1505" s="187"/>
      <c r="C1505" s="187"/>
      <c r="D1505" s="187"/>
      <c r="E1505" s="187"/>
      <c r="F1505" s="187"/>
      <c r="G1505" s="187"/>
      <c r="H1505" s="187"/>
      <c r="J1505" s="186"/>
      <c r="K1505" s="180"/>
      <c r="L1505" s="180"/>
    </row>
    <row r="1506" spans="2:12" s="188" customFormat="1" ht="15" customHeight="1">
      <c r="B1506" s="187"/>
      <c r="C1506" s="187"/>
      <c r="D1506" s="187"/>
      <c r="E1506" s="187"/>
      <c r="F1506" s="187"/>
      <c r="G1506" s="187"/>
      <c r="H1506" s="187"/>
      <c r="J1506" s="186"/>
      <c r="K1506" s="180"/>
      <c r="L1506" s="180"/>
    </row>
    <row r="1507" spans="2:12" s="188" customFormat="1" ht="15" customHeight="1">
      <c r="B1507" s="187"/>
      <c r="C1507" s="187"/>
      <c r="D1507" s="187"/>
      <c r="E1507" s="187"/>
      <c r="F1507" s="187"/>
      <c r="G1507" s="187"/>
      <c r="H1507" s="187"/>
      <c r="J1507" s="186"/>
      <c r="K1507" s="180"/>
      <c r="L1507" s="180"/>
    </row>
    <row r="1508" spans="2:12" s="188" customFormat="1" ht="15" customHeight="1">
      <c r="B1508" s="187"/>
      <c r="C1508" s="187"/>
      <c r="D1508" s="187"/>
      <c r="E1508" s="187"/>
      <c r="F1508" s="187"/>
      <c r="G1508" s="187"/>
      <c r="H1508" s="187"/>
      <c r="J1508" s="186"/>
      <c r="K1508" s="180"/>
      <c r="L1508" s="180"/>
    </row>
    <row r="1509" spans="2:12" s="188" customFormat="1" ht="15" customHeight="1">
      <c r="B1509" s="187"/>
      <c r="C1509" s="187"/>
      <c r="D1509" s="187"/>
      <c r="E1509" s="187"/>
      <c r="F1509" s="187"/>
      <c r="G1509" s="187"/>
      <c r="H1509" s="187"/>
      <c r="J1509" s="186"/>
      <c r="K1509" s="180"/>
      <c r="L1509" s="180"/>
    </row>
    <row r="1510" spans="2:12" s="188" customFormat="1" ht="15" customHeight="1">
      <c r="B1510" s="187"/>
      <c r="C1510" s="187"/>
      <c r="D1510" s="187"/>
      <c r="E1510" s="187"/>
      <c r="F1510" s="187"/>
      <c r="G1510" s="187"/>
      <c r="H1510" s="187"/>
      <c r="J1510" s="186"/>
      <c r="K1510" s="180"/>
      <c r="L1510" s="180"/>
    </row>
    <row r="1511" spans="2:12" s="188" customFormat="1" ht="15" customHeight="1">
      <c r="B1511" s="187"/>
      <c r="C1511" s="187"/>
      <c r="D1511" s="187"/>
      <c r="E1511" s="187"/>
      <c r="F1511" s="187"/>
      <c r="G1511" s="187"/>
      <c r="H1511" s="187"/>
      <c r="J1511" s="186"/>
      <c r="K1511" s="180"/>
      <c r="L1511" s="180"/>
    </row>
    <row r="1512" spans="2:12" s="188" customFormat="1" ht="15" customHeight="1">
      <c r="B1512" s="187"/>
      <c r="C1512" s="187"/>
      <c r="D1512" s="187"/>
      <c r="E1512" s="187"/>
      <c r="F1512" s="187"/>
      <c r="G1512" s="187"/>
      <c r="H1512" s="187"/>
      <c r="J1512" s="186"/>
      <c r="K1512" s="180"/>
      <c r="L1512" s="180"/>
    </row>
    <row r="1513" spans="2:12" s="188" customFormat="1" ht="15" customHeight="1">
      <c r="B1513" s="187"/>
      <c r="C1513" s="187"/>
      <c r="D1513" s="187"/>
      <c r="E1513" s="187"/>
      <c r="F1513" s="187"/>
      <c r="G1513" s="187"/>
      <c r="H1513" s="187"/>
      <c r="J1513" s="186"/>
      <c r="K1513" s="180"/>
      <c r="L1513" s="180"/>
    </row>
    <row r="1514" spans="2:12" s="188" customFormat="1" ht="15" customHeight="1">
      <c r="B1514" s="187"/>
      <c r="C1514" s="187"/>
      <c r="D1514" s="187"/>
      <c r="E1514" s="187"/>
      <c r="F1514" s="187"/>
      <c r="G1514" s="187"/>
      <c r="H1514" s="187"/>
      <c r="J1514" s="186"/>
      <c r="K1514" s="180"/>
      <c r="L1514" s="180"/>
    </row>
    <row r="1515" spans="2:12" s="188" customFormat="1" ht="15" customHeight="1">
      <c r="B1515" s="187"/>
      <c r="C1515" s="187"/>
      <c r="D1515" s="187"/>
      <c r="E1515" s="187"/>
      <c r="F1515" s="187"/>
      <c r="G1515" s="187"/>
      <c r="H1515" s="187"/>
      <c r="J1515" s="186"/>
      <c r="K1515" s="180"/>
      <c r="L1515" s="180"/>
    </row>
    <row r="1516" spans="2:12" s="188" customFormat="1" ht="15" customHeight="1">
      <c r="B1516" s="187"/>
      <c r="C1516" s="187"/>
      <c r="D1516" s="187"/>
      <c r="E1516" s="187"/>
      <c r="F1516" s="187"/>
      <c r="G1516" s="187"/>
      <c r="H1516" s="187"/>
      <c r="J1516" s="186"/>
      <c r="K1516" s="180"/>
      <c r="L1516" s="180"/>
    </row>
    <row r="1517" spans="2:12" s="188" customFormat="1" ht="15" customHeight="1">
      <c r="B1517" s="187"/>
      <c r="C1517" s="187"/>
      <c r="D1517" s="187"/>
      <c r="E1517" s="187"/>
      <c r="F1517" s="187"/>
      <c r="G1517" s="187"/>
      <c r="H1517" s="187"/>
      <c r="J1517" s="186"/>
      <c r="K1517" s="180"/>
      <c r="L1517" s="180"/>
    </row>
    <row r="1518" spans="2:12" s="188" customFormat="1" ht="15" customHeight="1">
      <c r="B1518" s="187"/>
      <c r="C1518" s="187"/>
      <c r="D1518" s="187"/>
      <c r="E1518" s="187"/>
      <c r="F1518" s="187"/>
      <c r="G1518" s="187"/>
      <c r="H1518" s="187"/>
      <c r="J1518" s="186"/>
      <c r="K1518" s="180"/>
      <c r="L1518" s="180"/>
    </row>
    <row r="1519" spans="2:12" s="188" customFormat="1" ht="15" customHeight="1">
      <c r="B1519" s="187"/>
      <c r="C1519" s="187"/>
      <c r="D1519" s="187"/>
      <c r="E1519" s="187"/>
      <c r="F1519" s="187"/>
      <c r="G1519" s="187"/>
      <c r="H1519" s="187"/>
      <c r="J1519" s="186"/>
      <c r="K1519" s="180"/>
      <c r="L1519" s="180"/>
    </row>
    <row r="1520" spans="2:12" s="188" customFormat="1" ht="15" customHeight="1">
      <c r="B1520" s="187"/>
      <c r="C1520" s="187"/>
      <c r="D1520" s="187"/>
      <c r="E1520" s="187"/>
      <c r="F1520" s="187"/>
      <c r="G1520" s="187"/>
      <c r="H1520" s="187"/>
      <c r="J1520" s="186"/>
      <c r="K1520" s="180"/>
      <c r="L1520" s="180"/>
    </row>
    <row r="1521" spans="2:12" s="188" customFormat="1" ht="15" customHeight="1">
      <c r="B1521" s="187"/>
      <c r="C1521" s="187"/>
      <c r="D1521" s="187"/>
      <c r="E1521" s="187"/>
      <c r="F1521" s="187"/>
      <c r="G1521" s="187"/>
      <c r="H1521" s="187"/>
      <c r="J1521" s="186"/>
      <c r="K1521" s="180"/>
      <c r="L1521" s="180"/>
    </row>
    <row r="1522" spans="2:12" s="188" customFormat="1" ht="15" customHeight="1">
      <c r="B1522" s="187"/>
      <c r="C1522" s="187"/>
      <c r="D1522" s="187"/>
      <c r="E1522" s="187"/>
      <c r="F1522" s="187"/>
      <c r="G1522" s="187"/>
      <c r="H1522" s="187"/>
      <c r="J1522" s="186"/>
      <c r="K1522" s="180"/>
      <c r="L1522" s="180"/>
    </row>
    <row r="1523" spans="2:12" s="188" customFormat="1" ht="15" customHeight="1">
      <c r="B1523" s="187"/>
      <c r="C1523" s="187"/>
      <c r="D1523" s="187"/>
      <c r="E1523" s="187"/>
      <c r="F1523" s="187"/>
      <c r="G1523" s="187"/>
      <c r="H1523" s="187"/>
      <c r="J1523" s="186"/>
      <c r="K1523" s="180"/>
      <c r="L1523" s="180"/>
    </row>
    <row r="1524" spans="2:12" s="188" customFormat="1" ht="15" customHeight="1">
      <c r="B1524" s="187"/>
      <c r="C1524" s="187"/>
      <c r="D1524" s="187"/>
      <c r="E1524" s="187"/>
      <c r="F1524" s="187"/>
      <c r="G1524" s="187"/>
      <c r="H1524" s="187"/>
      <c r="J1524" s="186"/>
      <c r="K1524" s="180"/>
      <c r="L1524" s="180"/>
    </row>
    <row r="1525" spans="2:12" s="188" customFormat="1" ht="15" customHeight="1">
      <c r="B1525" s="187"/>
      <c r="C1525" s="187"/>
      <c r="D1525" s="187"/>
      <c r="E1525" s="187"/>
      <c r="F1525" s="187"/>
      <c r="G1525" s="187"/>
      <c r="H1525" s="187"/>
      <c r="J1525" s="186"/>
      <c r="K1525" s="180"/>
      <c r="L1525" s="180"/>
    </row>
    <row r="1526" spans="2:12" s="188" customFormat="1" ht="15" customHeight="1">
      <c r="B1526" s="187"/>
      <c r="C1526" s="187"/>
      <c r="D1526" s="187"/>
      <c r="E1526" s="187"/>
      <c r="F1526" s="187"/>
      <c r="G1526" s="187"/>
      <c r="H1526" s="187"/>
      <c r="J1526" s="186"/>
      <c r="K1526" s="180"/>
      <c r="L1526" s="180"/>
    </row>
    <row r="1527" spans="2:12" s="188" customFormat="1" ht="15" customHeight="1">
      <c r="B1527" s="187"/>
      <c r="C1527" s="187"/>
      <c r="D1527" s="187"/>
      <c r="E1527" s="187"/>
      <c r="F1527" s="187"/>
      <c r="G1527" s="187"/>
      <c r="H1527" s="187"/>
      <c r="J1527" s="186"/>
      <c r="K1527" s="180"/>
      <c r="L1527" s="180"/>
    </row>
    <row r="1528" spans="2:12" s="188" customFormat="1" ht="15" customHeight="1">
      <c r="B1528" s="187"/>
      <c r="C1528" s="187"/>
      <c r="D1528" s="187"/>
      <c r="E1528" s="187"/>
      <c r="F1528" s="187"/>
      <c r="G1528" s="187"/>
      <c r="H1528" s="187"/>
      <c r="J1528" s="186"/>
      <c r="K1528" s="180"/>
      <c r="L1528" s="180"/>
    </row>
    <row r="1529" spans="2:12" s="188" customFormat="1" ht="15" customHeight="1">
      <c r="B1529" s="187"/>
      <c r="C1529" s="187"/>
      <c r="D1529" s="187"/>
      <c r="E1529" s="187"/>
      <c r="F1529" s="187"/>
      <c r="G1529" s="187"/>
      <c r="H1529" s="187"/>
      <c r="J1529" s="186"/>
      <c r="K1529" s="180"/>
      <c r="L1529" s="180"/>
    </row>
    <row r="1530" spans="2:12" s="188" customFormat="1" ht="15" customHeight="1">
      <c r="B1530" s="187"/>
      <c r="C1530" s="187"/>
      <c r="D1530" s="187"/>
      <c r="E1530" s="187"/>
      <c r="F1530" s="187"/>
      <c r="G1530" s="187"/>
      <c r="H1530" s="187"/>
      <c r="J1530" s="186"/>
      <c r="K1530" s="180"/>
      <c r="L1530" s="180"/>
    </row>
    <row r="1531" spans="2:12" s="188" customFormat="1" ht="15" customHeight="1">
      <c r="B1531" s="187"/>
      <c r="C1531" s="187"/>
      <c r="D1531" s="187"/>
      <c r="E1531" s="187"/>
      <c r="F1531" s="187"/>
      <c r="G1531" s="187"/>
      <c r="H1531" s="187"/>
      <c r="J1531" s="186"/>
      <c r="K1531" s="180"/>
      <c r="L1531" s="180"/>
    </row>
    <row r="1532" spans="2:12" s="188" customFormat="1" ht="15" customHeight="1">
      <c r="B1532" s="187"/>
      <c r="C1532" s="187"/>
      <c r="D1532" s="187"/>
      <c r="E1532" s="187"/>
      <c r="F1532" s="187"/>
      <c r="G1532" s="187"/>
      <c r="H1532" s="187"/>
      <c r="J1532" s="186"/>
      <c r="K1532" s="180"/>
      <c r="L1532" s="180"/>
    </row>
    <row r="1533" spans="2:12" s="188" customFormat="1" ht="15" customHeight="1">
      <c r="B1533" s="187"/>
      <c r="C1533" s="187"/>
      <c r="D1533" s="187"/>
      <c r="E1533" s="187"/>
      <c r="F1533" s="187"/>
      <c r="G1533" s="187"/>
      <c r="H1533" s="187"/>
      <c r="J1533" s="186"/>
      <c r="K1533" s="180"/>
      <c r="L1533" s="180"/>
    </row>
    <row r="1534" spans="2:12" s="188" customFormat="1" ht="15" customHeight="1">
      <c r="B1534" s="187"/>
      <c r="C1534" s="187"/>
      <c r="D1534" s="187"/>
      <c r="E1534" s="187"/>
      <c r="F1534" s="187"/>
      <c r="G1534" s="187"/>
      <c r="H1534" s="187"/>
      <c r="J1534" s="186"/>
      <c r="K1534" s="180"/>
      <c r="L1534" s="180"/>
    </row>
    <row r="1535" spans="2:12" s="188" customFormat="1" ht="15" customHeight="1">
      <c r="B1535" s="187"/>
      <c r="C1535" s="187"/>
      <c r="D1535" s="187"/>
      <c r="E1535" s="187"/>
      <c r="F1535" s="187"/>
      <c r="G1535" s="187"/>
      <c r="H1535" s="187"/>
      <c r="J1535" s="186"/>
      <c r="K1535" s="180"/>
      <c r="L1535" s="180"/>
    </row>
    <row r="1536" spans="2:12" s="188" customFormat="1" ht="15" customHeight="1">
      <c r="B1536" s="187"/>
      <c r="C1536" s="187"/>
      <c r="D1536" s="187"/>
      <c r="E1536" s="187"/>
      <c r="F1536" s="187"/>
      <c r="G1536" s="187"/>
      <c r="H1536" s="187"/>
      <c r="J1536" s="186"/>
      <c r="K1536" s="180"/>
      <c r="L1536" s="180"/>
    </row>
    <row r="1537" spans="2:12" s="188" customFormat="1" ht="15" customHeight="1">
      <c r="B1537" s="187"/>
      <c r="C1537" s="187"/>
      <c r="D1537" s="187"/>
      <c r="E1537" s="187"/>
      <c r="F1537" s="187"/>
      <c r="G1537" s="187"/>
      <c r="H1537" s="187"/>
      <c r="J1537" s="186"/>
      <c r="K1537" s="180"/>
      <c r="L1537" s="180"/>
    </row>
    <row r="1538" spans="2:12" s="188" customFormat="1" ht="15" customHeight="1">
      <c r="B1538" s="187"/>
      <c r="C1538" s="187"/>
      <c r="D1538" s="187"/>
      <c r="E1538" s="187"/>
      <c r="F1538" s="187"/>
      <c r="G1538" s="187"/>
      <c r="H1538" s="187"/>
      <c r="J1538" s="186"/>
      <c r="K1538" s="180"/>
      <c r="L1538" s="180"/>
    </row>
    <row r="1539" spans="2:12" s="188" customFormat="1" ht="15" customHeight="1">
      <c r="B1539" s="187"/>
      <c r="C1539" s="187"/>
      <c r="D1539" s="187"/>
      <c r="E1539" s="187"/>
      <c r="F1539" s="187"/>
      <c r="G1539" s="187"/>
      <c r="H1539" s="187"/>
      <c r="J1539" s="186"/>
      <c r="K1539" s="180"/>
      <c r="L1539" s="180"/>
    </row>
    <row r="1540" spans="2:12" s="188" customFormat="1" ht="15" customHeight="1">
      <c r="B1540" s="187"/>
      <c r="C1540" s="187"/>
      <c r="D1540" s="187"/>
      <c r="E1540" s="187"/>
      <c r="F1540" s="187"/>
      <c r="G1540" s="187"/>
      <c r="H1540" s="187"/>
      <c r="J1540" s="186"/>
      <c r="K1540" s="180"/>
      <c r="L1540" s="180"/>
    </row>
    <row r="1541" spans="2:12" s="188" customFormat="1" ht="15" customHeight="1">
      <c r="B1541" s="187"/>
      <c r="C1541" s="187"/>
      <c r="D1541" s="187"/>
      <c r="E1541" s="187"/>
      <c r="F1541" s="187"/>
      <c r="G1541" s="187"/>
      <c r="H1541" s="187"/>
      <c r="J1541" s="186"/>
      <c r="K1541" s="180"/>
      <c r="L1541" s="180"/>
    </row>
    <row r="1542" spans="2:12" s="188" customFormat="1" ht="15" customHeight="1">
      <c r="B1542" s="187"/>
      <c r="C1542" s="187"/>
      <c r="D1542" s="187"/>
      <c r="E1542" s="187"/>
      <c r="F1542" s="187"/>
      <c r="G1542" s="187"/>
      <c r="H1542" s="187"/>
      <c r="J1542" s="186"/>
      <c r="K1542" s="180"/>
      <c r="L1542" s="180"/>
    </row>
    <row r="1543" spans="2:12" s="188" customFormat="1" ht="15" customHeight="1">
      <c r="B1543" s="187"/>
      <c r="C1543" s="187"/>
      <c r="D1543" s="187"/>
      <c r="E1543" s="187"/>
      <c r="F1543" s="187"/>
      <c r="G1543" s="187"/>
      <c r="H1543" s="187"/>
      <c r="J1543" s="186"/>
      <c r="K1543" s="180"/>
      <c r="L1543" s="180"/>
    </row>
    <row r="1544" spans="2:12" s="188" customFormat="1" ht="15" customHeight="1">
      <c r="B1544" s="187"/>
      <c r="C1544" s="187"/>
      <c r="D1544" s="187"/>
      <c r="E1544" s="187"/>
      <c r="F1544" s="187"/>
      <c r="G1544" s="187"/>
      <c r="H1544" s="187"/>
      <c r="J1544" s="186"/>
      <c r="K1544" s="180"/>
      <c r="L1544" s="180"/>
    </row>
    <row r="1545" spans="2:12" s="188" customFormat="1" ht="15" customHeight="1">
      <c r="B1545" s="187"/>
      <c r="C1545" s="187"/>
      <c r="D1545" s="187"/>
      <c r="E1545" s="187"/>
      <c r="F1545" s="187"/>
      <c r="G1545" s="187"/>
      <c r="H1545" s="187"/>
      <c r="J1545" s="186"/>
      <c r="K1545" s="180"/>
      <c r="L1545" s="180"/>
    </row>
    <row r="1546" spans="2:12" s="188" customFormat="1" ht="15" customHeight="1">
      <c r="B1546" s="187"/>
      <c r="C1546" s="187"/>
      <c r="D1546" s="187"/>
      <c r="E1546" s="187"/>
      <c r="F1546" s="187"/>
      <c r="G1546" s="187"/>
      <c r="H1546" s="187"/>
      <c r="J1546" s="186"/>
      <c r="K1546" s="180"/>
      <c r="L1546" s="180"/>
    </row>
    <row r="1547" spans="2:12" s="188" customFormat="1" ht="15" customHeight="1">
      <c r="B1547" s="187"/>
      <c r="C1547" s="187"/>
      <c r="D1547" s="187"/>
      <c r="E1547" s="187"/>
      <c r="F1547" s="187"/>
      <c r="G1547" s="187"/>
      <c r="H1547" s="187"/>
      <c r="J1547" s="186"/>
      <c r="K1547" s="180"/>
      <c r="L1547" s="180"/>
    </row>
    <row r="1548" spans="2:12" s="188" customFormat="1" ht="15" customHeight="1">
      <c r="B1548" s="187"/>
      <c r="C1548" s="187"/>
      <c r="D1548" s="187"/>
      <c r="E1548" s="187"/>
      <c r="F1548" s="187"/>
      <c r="G1548" s="187"/>
      <c r="H1548" s="187"/>
      <c r="J1548" s="186"/>
      <c r="K1548" s="180"/>
      <c r="L1548" s="180"/>
    </row>
    <row r="1549" spans="2:12" s="188" customFormat="1" ht="15" customHeight="1">
      <c r="B1549" s="187"/>
      <c r="C1549" s="187"/>
      <c r="D1549" s="187"/>
      <c r="E1549" s="187"/>
      <c r="F1549" s="187"/>
      <c r="G1549" s="187"/>
      <c r="H1549" s="187"/>
      <c r="J1549" s="186"/>
      <c r="K1549" s="180"/>
      <c r="L1549" s="180"/>
    </row>
    <row r="1550" spans="2:12" s="188" customFormat="1" ht="15" customHeight="1">
      <c r="B1550" s="187"/>
      <c r="C1550" s="187"/>
      <c r="D1550" s="187"/>
      <c r="E1550" s="187"/>
      <c r="F1550" s="187"/>
      <c r="G1550" s="187"/>
      <c r="H1550" s="187"/>
      <c r="J1550" s="186"/>
      <c r="K1550" s="180"/>
      <c r="L1550" s="180"/>
    </row>
    <row r="1551" spans="2:12" s="188" customFormat="1" ht="15" customHeight="1">
      <c r="B1551" s="187"/>
      <c r="C1551" s="187"/>
      <c r="D1551" s="187"/>
      <c r="E1551" s="187"/>
      <c r="F1551" s="187"/>
      <c r="G1551" s="187"/>
      <c r="H1551" s="187"/>
      <c r="J1551" s="186"/>
      <c r="K1551" s="180"/>
      <c r="L1551" s="180"/>
    </row>
    <row r="1552" spans="2:12" s="188" customFormat="1" ht="15" customHeight="1">
      <c r="B1552" s="187"/>
      <c r="C1552" s="187"/>
      <c r="D1552" s="187"/>
      <c r="E1552" s="187"/>
      <c r="F1552" s="187"/>
      <c r="G1552" s="187"/>
      <c r="H1552" s="187"/>
      <c r="J1552" s="186"/>
      <c r="K1552" s="180"/>
      <c r="L1552" s="180"/>
    </row>
    <row r="1553" spans="2:12" s="188" customFormat="1" ht="15" customHeight="1">
      <c r="B1553" s="187"/>
      <c r="C1553" s="187"/>
      <c r="D1553" s="187"/>
      <c r="E1553" s="187"/>
      <c r="F1553" s="187"/>
      <c r="G1553" s="187"/>
      <c r="H1553" s="187"/>
      <c r="J1553" s="186"/>
      <c r="K1553" s="180"/>
      <c r="L1553" s="180"/>
    </row>
    <row r="1554" spans="2:12" s="188" customFormat="1" ht="15" customHeight="1">
      <c r="B1554" s="187"/>
      <c r="C1554" s="187"/>
      <c r="D1554" s="187"/>
      <c r="E1554" s="187"/>
      <c r="F1554" s="187"/>
      <c r="G1554" s="187"/>
      <c r="H1554" s="187"/>
      <c r="J1554" s="186"/>
      <c r="K1554" s="180"/>
      <c r="L1554" s="180"/>
    </row>
    <row r="1555" spans="2:12" s="188" customFormat="1" ht="15" customHeight="1">
      <c r="B1555" s="187"/>
      <c r="C1555" s="187"/>
      <c r="D1555" s="187"/>
      <c r="E1555" s="187"/>
      <c r="F1555" s="187"/>
      <c r="G1555" s="187"/>
      <c r="H1555" s="187"/>
      <c r="J1555" s="186"/>
      <c r="K1555" s="180"/>
      <c r="L1555" s="180"/>
    </row>
    <row r="1556" spans="2:12" s="188" customFormat="1" ht="15" customHeight="1">
      <c r="B1556" s="187"/>
      <c r="C1556" s="187"/>
      <c r="D1556" s="187"/>
      <c r="E1556" s="187"/>
      <c r="F1556" s="187"/>
      <c r="G1556" s="187"/>
      <c r="H1556" s="187"/>
      <c r="J1556" s="186"/>
      <c r="K1556" s="180"/>
      <c r="L1556" s="180"/>
    </row>
    <row r="1557" spans="2:12" s="188" customFormat="1" ht="15" customHeight="1">
      <c r="B1557" s="187"/>
      <c r="C1557" s="187"/>
      <c r="D1557" s="187"/>
      <c r="E1557" s="187"/>
      <c r="F1557" s="187"/>
      <c r="G1557" s="187"/>
      <c r="H1557" s="187"/>
      <c r="J1557" s="186"/>
      <c r="K1557" s="180"/>
      <c r="L1557" s="180"/>
    </row>
    <row r="1558" spans="2:12" s="188" customFormat="1" ht="15" customHeight="1">
      <c r="B1558" s="187"/>
      <c r="C1558" s="187"/>
      <c r="D1558" s="187"/>
      <c r="E1558" s="187"/>
      <c r="F1558" s="187"/>
      <c r="G1558" s="187"/>
      <c r="H1558" s="187"/>
      <c r="J1558" s="186"/>
      <c r="K1558" s="180"/>
      <c r="L1558" s="180"/>
    </row>
    <row r="1559" spans="2:12" s="188" customFormat="1" ht="15" customHeight="1">
      <c r="B1559" s="187"/>
      <c r="C1559" s="187"/>
      <c r="D1559" s="187"/>
      <c r="E1559" s="187"/>
      <c r="F1559" s="187"/>
      <c r="G1559" s="187"/>
      <c r="H1559" s="187"/>
      <c r="J1559" s="186"/>
      <c r="K1559" s="180"/>
      <c r="L1559" s="180"/>
    </row>
    <row r="1560" spans="2:12" s="188" customFormat="1" ht="15" customHeight="1">
      <c r="B1560" s="187"/>
      <c r="C1560" s="187"/>
      <c r="D1560" s="187"/>
      <c r="E1560" s="187"/>
      <c r="F1560" s="187"/>
      <c r="G1560" s="187"/>
      <c r="H1560" s="187"/>
      <c r="J1560" s="186"/>
      <c r="K1560" s="180"/>
      <c r="L1560" s="180"/>
    </row>
    <row r="1561" spans="2:12" s="188" customFormat="1" ht="15" customHeight="1">
      <c r="B1561" s="187"/>
      <c r="C1561" s="187"/>
      <c r="D1561" s="187"/>
      <c r="E1561" s="187"/>
      <c r="F1561" s="187"/>
      <c r="G1561" s="187"/>
      <c r="H1561" s="187"/>
      <c r="J1561" s="186"/>
      <c r="K1561" s="180"/>
      <c r="L1561" s="180"/>
    </row>
    <row r="1562" spans="2:12" s="188" customFormat="1" ht="15" customHeight="1">
      <c r="B1562" s="187"/>
      <c r="C1562" s="187"/>
      <c r="D1562" s="187"/>
      <c r="E1562" s="187"/>
      <c r="F1562" s="187"/>
      <c r="G1562" s="187"/>
      <c r="H1562" s="187"/>
      <c r="J1562" s="186"/>
      <c r="K1562" s="180"/>
      <c r="L1562" s="180"/>
    </row>
    <row r="1563" spans="2:12" s="188" customFormat="1" ht="15" customHeight="1">
      <c r="B1563" s="187"/>
      <c r="C1563" s="187"/>
      <c r="D1563" s="187"/>
      <c r="E1563" s="187"/>
      <c r="F1563" s="187"/>
      <c r="G1563" s="187"/>
      <c r="H1563" s="187"/>
      <c r="J1563" s="186"/>
      <c r="K1563" s="180"/>
      <c r="L1563" s="180"/>
    </row>
    <row r="1564" spans="2:12" s="188" customFormat="1" ht="15" customHeight="1">
      <c r="B1564" s="187"/>
      <c r="C1564" s="187"/>
      <c r="D1564" s="187"/>
      <c r="E1564" s="187"/>
      <c r="F1564" s="187"/>
      <c r="G1564" s="187"/>
      <c r="H1564" s="187"/>
      <c r="J1564" s="186"/>
      <c r="K1564" s="180"/>
      <c r="L1564" s="180"/>
    </row>
    <row r="1565" spans="2:12" s="188" customFormat="1" ht="15" customHeight="1">
      <c r="B1565" s="187"/>
      <c r="C1565" s="187"/>
      <c r="D1565" s="187"/>
      <c r="E1565" s="187"/>
      <c r="F1565" s="187"/>
      <c r="G1565" s="187"/>
      <c r="H1565" s="187"/>
      <c r="J1565" s="186"/>
      <c r="K1565" s="180"/>
      <c r="L1565" s="180"/>
    </row>
    <row r="1566" spans="2:12" s="188" customFormat="1" ht="15" customHeight="1">
      <c r="B1566" s="187"/>
      <c r="C1566" s="187"/>
      <c r="D1566" s="187"/>
      <c r="E1566" s="187"/>
      <c r="F1566" s="187"/>
      <c r="G1566" s="187"/>
      <c r="H1566" s="187"/>
      <c r="J1566" s="186"/>
      <c r="K1566" s="180"/>
      <c r="L1566" s="180"/>
    </row>
    <row r="1567" spans="2:12" s="188" customFormat="1" ht="15" customHeight="1">
      <c r="B1567" s="187"/>
      <c r="C1567" s="187"/>
      <c r="D1567" s="187"/>
      <c r="E1567" s="187"/>
      <c r="F1567" s="187"/>
      <c r="G1567" s="187"/>
      <c r="H1567" s="187"/>
      <c r="J1567" s="186"/>
      <c r="K1567" s="180"/>
      <c r="L1567" s="180"/>
    </row>
    <row r="1568" spans="2:12" s="188" customFormat="1" ht="15" customHeight="1">
      <c r="B1568" s="187"/>
      <c r="C1568" s="187"/>
      <c r="D1568" s="187"/>
      <c r="E1568" s="187"/>
      <c r="F1568" s="187"/>
      <c r="G1568" s="187"/>
      <c r="H1568" s="187"/>
      <c r="J1568" s="186"/>
      <c r="K1568" s="180"/>
      <c r="L1568" s="180"/>
    </row>
    <row r="1569" spans="2:12" s="188" customFormat="1" ht="15" customHeight="1">
      <c r="B1569" s="187"/>
      <c r="C1569" s="187"/>
      <c r="D1569" s="187"/>
      <c r="E1569" s="187"/>
      <c r="F1569" s="187"/>
      <c r="G1569" s="187"/>
      <c r="H1569" s="187"/>
      <c r="J1569" s="186"/>
      <c r="K1569" s="180"/>
      <c r="L1569" s="180"/>
    </row>
    <row r="1570" spans="2:12" s="188" customFormat="1" ht="15" customHeight="1">
      <c r="B1570" s="187"/>
      <c r="C1570" s="187"/>
      <c r="D1570" s="187"/>
      <c r="E1570" s="187"/>
      <c r="F1570" s="187"/>
      <c r="G1570" s="187"/>
      <c r="H1570" s="187"/>
      <c r="J1570" s="186"/>
      <c r="K1570" s="180"/>
      <c r="L1570" s="180"/>
    </row>
    <row r="1571" spans="2:12" s="188" customFormat="1" ht="15" customHeight="1">
      <c r="B1571" s="187"/>
      <c r="C1571" s="187"/>
      <c r="D1571" s="187"/>
      <c r="E1571" s="187"/>
      <c r="F1571" s="187"/>
      <c r="G1571" s="187"/>
      <c r="H1571" s="187"/>
      <c r="J1571" s="186"/>
      <c r="K1571" s="180"/>
      <c r="L1571" s="180"/>
    </row>
    <row r="1572" spans="2:12" s="188" customFormat="1" ht="15" customHeight="1">
      <c r="B1572" s="187"/>
      <c r="C1572" s="187"/>
      <c r="D1572" s="187"/>
      <c r="E1572" s="187"/>
      <c r="F1572" s="187"/>
      <c r="G1572" s="187"/>
      <c r="H1572" s="187"/>
      <c r="J1572" s="186"/>
      <c r="K1572" s="180"/>
      <c r="L1572" s="180"/>
    </row>
    <row r="1573" spans="2:12" s="188" customFormat="1" ht="15" customHeight="1">
      <c r="B1573" s="187"/>
      <c r="C1573" s="187"/>
      <c r="D1573" s="187"/>
      <c r="E1573" s="187"/>
      <c r="F1573" s="187"/>
      <c r="G1573" s="187"/>
      <c r="H1573" s="187"/>
      <c r="J1573" s="186"/>
      <c r="K1573" s="180"/>
      <c r="L1573" s="180"/>
    </row>
    <row r="1574" spans="2:12" s="188" customFormat="1" ht="15" customHeight="1">
      <c r="B1574" s="187"/>
      <c r="C1574" s="187"/>
      <c r="D1574" s="187"/>
      <c r="E1574" s="187"/>
      <c r="F1574" s="187"/>
      <c r="G1574" s="187"/>
      <c r="H1574" s="187"/>
      <c r="J1574" s="186"/>
      <c r="K1574" s="180"/>
      <c r="L1574" s="180"/>
    </row>
    <row r="1575" spans="2:12" s="188" customFormat="1" ht="15" customHeight="1">
      <c r="B1575" s="187"/>
      <c r="C1575" s="187"/>
      <c r="D1575" s="187"/>
      <c r="E1575" s="187"/>
      <c r="F1575" s="187"/>
      <c r="G1575" s="187"/>
      <c r="H1575" s="187"/>
      <c r="J1575" s="186"/>
      <c r="K1575" s="180"/>
      <c r="L1575" s="180"/>
    </row>
    <row r="1576" spans="2:12" s="188" customFormat="1" ht="15" customHeight="1">
      <c r="B1576" s="187"/>
      <c r="C1576" s="187"/>
      <c r="D1576" s="187"/>
      <c r="E1576" s="187"/>
      <c r="F1576" s="187"/>
      <c r="G1576" s="187"/>
      <c r="H1576" s="187"/>
      <c r="J1576" s="186"/>
      <c r="K1576" s="180"/>
      <c r="L1576" s="180"/>
    </row>
    <row r="1577" spans="2:12" s="188" customFormat="1" ht="15" customHeight="1">
      <c r="B1577" s="187"/>
      <c r="C1577" s="187"/>
      <c r="D1577" s="187"/>
      <c r="E1577" s="187"/>
      <c r="F1577" s="187"/>
      <c r="G1577" s="187"/>
      <c r="H1577" s="187"/>
      <c r="J1577" s="186"/>
      <c r="K1577" s="180"/>
      <c r="L1577" s="180"/>
    </row>
    <row r="1578" spans="2:12" s="188" customFormat="1" ht="15" customHeight="1">
      <c r="B1578" s="187"/>
      <c r="C1578" s="187"/>
      <c r="D1578" s="187"/>
      <c r="E1578" s="187"/>
      <c r="F1578" s="187"/>
      <c r="G1578" s="187"/>
      <c r="H1578" s="187"/>
      <c r="J1578" s="186"/>
      <c r="K1578" s="180"/>
      <c r="L1578" s="180"/>
    </row>
    <row r="1579" spans="2:12" s="188" customFormat="1" ht="15" customHeight="1">
      <c r="B1579" s="187"/>
      <c r="C1579" s="187"/>
      <c r="D1579" s="187"/>
      <c r="E1579" s="187"/>
      <c r="F1579" s="187"/>
      <c r="G1579" s="187"/>
      <c r="H1579" s="187"/>
      <c r="J1579" s="186"/>
      <c r="K1579" s="180"/>
      <c r="L1579" s="180"/>
    </row>
    <row r="1580" spans="2:12" s="188" customFormat="1" ht="15" customHeight="1">
      <c r="B1580" s="187"/>
      <c r="C1580" s="187"/>
      <c r="D1580" s="187"/>
      <c r="E1580" s="187"/>
      <c r="F1580" s="187"/>
      <c r="G1580" s="187"/>
      <c r="H1580" s="187"/>
      <c r="J1580" s="186"/>
      <c r="K1580" s="180"/>
      <c r="L1580" s="180"/>
    </row>
    <row r="1581" spans="2:12" s="188" customFormat="1" ht="15" customHeight="1">
      <c r="B1581" s="187"/>
      <c r="C1581" s="187"/>
      <c r="D1581" s="187"/>
      <c r="E1581" s="187"/>
      <c r="F1581" s="187"/>
      <c r="G1581" s="187"/>
      <c r="H1581" s="187"/>
      <c r="J1581" s="186"/>
      <c r="K1581" s="180"/>
      <c r="L1581" s="180"/>
    </row>
    <row r="1582" spans="2:12" s="188" customFormat="1" ht="15" customHeight="1">
      <c r="B1582" s="187"/>
      <c r="C1582" s="187"/>
      <c r="D1582" s="187"/>
      <c r="E1582" s="187"/>
      <c r="F1582" s="187"/>
      <c r="G1582" s="187"/>
      <c r="H1582" s="187"/>
      <c r="J1582" s="186"/>
      <c r="K1582" s="180"/>
      <c r="L1582" s="180"/>
    </row>
    <row r="1583" spans="2:12" s="188" customFormat="1" ht="15" customHeight="1">
      <c r="B1583" s="187"/>
      <c r="C1583" s="187"/>
      <c r="D1583" s="187"/>
      <c r="E1583" s="187"/>
      <c r="F1583" s="187"/>
      <c r="G1583" s="187"/>
      <c r="H1583" s="187"/>
      <c r="J1583" s="186"/>
      <c r="K1583" s="180"/>
      <c r="L1583" s="180"/>
    </row>
    <row r="1584" spans="2:12" s="188" customFormat="1" ht="15" customHeight="1">
      <c r="B1584" s="187"/>
      <c r="C1584" s="187"/>
      <c r="D1584" s="187"/>
      <c r="E1584" s="187"/>
      <c r="F1584" s="187"/>
      <c r="G1584" s="187"/>
      <c r="H1584" s="187"/>
      <c r="J1584" s="186"/>
      <c r="K1584" s="180"/>
      <c r="L1584" s="180"/>
    </row>
    <row r="1585" spans="2:12" s="188" customFormat="1" ht="15" customHeight="1">
      <c r="B1585" s="187"/>
      <c r="C1585" s="187"/>
      <c r="D1585" s="187"/>
      <c r="E1585" s="187"/>
      <c r="F1585" s="187"/>
      <c r="G1585" s="187"/>
      <c r="H1585" s="187"/>
      <c r="J1585" s="186"/>
      <c r="K1585" s="180"/>
      <c r="L1585" s="180"/>
    </row>
    <row r="1586" spans="2:12" s="188" customFormat="1" ht="15" customHeight="1">
      <c r="B1586" s="187"/>
      <c r="C1586" s="187"/>
      <c r="D1586" s="187"/>
      <c r="E1586" s="187"/>
      <c r="F1586" s="187"/>
      <c r="G1586" s="187"/>
      <c r="H1586" s="187"/>
      <c r="J1586" s="186"/>
      <c r="K1586" s="180"/>
      <c r="L1586" s="180"/>
    </row>
    <row r="1587" spans="2:12" s="188" customFormat="1" ht="15" customHeight="1">
      <c r="B1587" s="187"/>
      <c r="C1587" s="187"/>
      <c r="D1587" s="187"/>
      <c r="E1587" s="187"/>
      <c r="F1587" s="187"/>
      <c r="G1587" s="187"/>
      <c r="H1587" s="187"/>
      <c r="J1587" s="186"/>
      <c r="K1587" s="180"/>
      <c r="L1587" s="180"/>
    </row>
    <row r="1588" spans="2:12" s="188" customFormat="1" ht="15" customHeight="1">
      <c r="B1588" s="187"/>
      <c r="C1588" s="187"/>
      <c r="D1588" s="187"/>
      <c r="E1588" s="187"/>
      <c r="F1588" s="187"/>
      <c r="G1588" s="187"/>
      <c r="H1588" s="187"/>
      <c r="J1588" s="186"/>
      <c r="K1588" s="180"/>
      <c r="L1588" s="180"/>
    </row>
    <row r="1589" spans="2:12" s="188" customFormat="1" ht="15" customHeight="1">
      <c r="B1589" s="187"/>
      <c r="C1589" s="187"/>
      <c r="D1589" s="187"/>
      <c r="E1589" s="187"/>
      <c r="F1589" s="187"/>
      <c r="G1589" s="187"/>
      <c r="H1589" s="187"/>
      <c r="J1589" s="186"/>
      <c r="K1589" s="180"/>
      <c r="L1589" s="180"/>
    </row>
    <row r="1590" spans="2:12" s="188" customFormat="1" ht="15" customHeight="1">
      <c r="B1590" s="187"/>
      <c r="C1590" s="187"/>
      <c r="D1590" s="187"/>
      <c r="E1590" s="187"/>
      <c r="F1590" s="187"/>
      <c r="G1590" s="187"/>
      <c r="H1590" s="187"/>
      <c r="J1590" s="186"/>
      <c r="K1590" s="180"/>
      <c r="L1590" s="180"/>
    </row>
    <row r="1591" spans="2:12" s="188" customFormat="1" ht="15" customHeight="1">
      <c r="B1591" s="187"/>
      <c r="C1591" s="187"/>
      <c r="D1591" s="187"/>
      <c r="E1591" s="187"/>
      <c r="F1591" s="187"/>
      <c r="G1591" s="187"/>
      <c r="H1591" s="187"/>
      <c r="J1591" s="186"/>
      <c r="K1591" s="180"/>
      <c r="L1591" s="180"/>
    </row>
    <row r="1592" spans="2:12" s="188" customFormat="1" ht="15" customHeight="1">
      <c r="B1592" s="187"/>
      <c r="C1592" s="187"/>
      <c r="D1592" s="187"/>
      <c r="E1592" s="187"/>
      <c r="F1592" s="187"/>
      <c r="G1592" s="187"/>
      <c r="H1592" s="187"/>
      <c r="J1592" s="186"/>
      <c r="K1592" s="180"/>
      <c r="L1592" s="180"/>
    </row>
    <row r="1593" spans="2:12" s="188" customFormat="1" ht="15" customHeight="1">
      <c r="B1593" s="187"/>
      <c r="C1593" s="187"/>
      <c r="D1593" s="187"/>
      <c r="E1593" s="187"/>
      <c r="F1593" s="187"/>
      <c r="G1593" s="187"/>
      <c r="H1593" s="187"/>
      <c r="J1593" s="186"/>
      <c r="K1593" s="180"/>
      <c r="L1593" s="180"/>
    </row>
    <row r="1594" spans="2:12" s="188" customFormat="1" ht="15" customHeight="1">
      <c r="B1594" s="187"/>
      <c r="C1594" s="187"/>
      <c r="D1594" s="187"/>
      <c r="E1594" s="187"/>
      <c r="F1594" s="187"/>
      <c r="G1594" s="187"/>
      <c r="H1594" s="187"/>
      <c r="J1594" s="186"/>
      <c r="K1594" s="180"/>
      <c r="L1594" s="180"/>
    </row>
    <row r="1595" spans="2:12" s="188" customFormat="1" ht="15" customHeight="1">
      <c r="B1595" s="187"/>
      <c r="C1595" s="187"/>
      <c r="D1595" s="187"/>
      <c r="E1595" s="187"/>
      <c r="F1595" s="187"/>
      <c r="G1595" s="187"/>
      <c r="H1595" s="187"/>
      <c r="J1595" s="186"/>
      <c r="K1595" s="180"/>
      <c r="L1595" s="180"/>
    </row>
    <row r="1596" spans="2:12" s="188" customFormat="1" ht="15" customHeight="1">
      <c r="B1596" s="187"/>
      <c r="C1596" s="187"/>
      <c r="D1596" s="187"/>
      <c r="E1596" s="187"/>
      <c r="F1596" s="187"/>
      <c r="G1596" s="187"/>
      <c r="H1596" s="187"/>
      <c r="J1596" s="186"/>
      <c r="K1596" s="180"/>
      <c r="L1596" s="180"/>
    </row>
    <row r="1597" spans="2:12" s="188" customFormat="1" ht="15" customHeight="1">
      <c r="B1597" s="187"/>
      <c r="C1597" s="187"/>
      <c r="D1597" s="187"/>
      <c r="E1597" s="187"/>
      <c r="F1597" s="187"/>
      <c r="G1597" s="187"/>
      <c r="H1597" s="187"/>
      <c r="J1597" s="186"/>
      <c r="K1597" s="180"/>
      <c r="L1597" s="180"/>
    </row>
    <row r="1598" spans="2:12" s="188" customFormat="1" ht="15" customHeight="1">
      <c r="B1598" s="187"/>
      <c r="C1598" s="187"/>
      <c r="D1598" s="187"/>
      <c r="E1598" s="187"/>
      <c r="F1598" s="187"/>
      <c r="G1598" s="187"/>
      <c r="H1598" s="187"/>
      <c r="J1598" s="186"/>
      <c r="K1598" s="180"/>
      <c r="L1598" s="180"/>
    </row>
    <row r="1599" spans="2:12" s="188" customFormat="1" ht="15" customHeight="1">
      <c r="B1599" s="187"/>
      <c r="C1599" s="187"/>
      <c r="D1599" s="187"/>
      <c r="E1599" s="187"/>
      <c r="F1599" s="187"/>
      <c r="G1599" s="187"/>
      <c r="H1599" s="187"/>
      <c r="J1599" s="186"/>
      <c r="K1599" s="180"/>
      <c r="L1599" s="180"/>
    </row>
    <row r="1600" spans="2:12" s="188" customFormat="1" ht="15" customHeight="1">
      <c r="B1600" s="187"/>
      <c r="C1600" s="187"/>
      <c r="D1600" s="187"/>
      <c r="E1600" s="187"/>
      <c r="F1600" s="187"/>
      <c r="G1600" s="187"/>
      <c r="H1600" s="187"/>
      <c r="J1600" s="186"/>
      <c r="K1600" s="180"/>
      <c r="L1600" s="180"/>
    </row>
    <row r="1601" spans="2:12" s="188" customFormat="1" ht="15" customHeight="1">
      <c r="B1601" s="187"/>
      <c r="C1601" s="187"/>
      <c r="D1601" s="187"/>
      <c r="E1601" s="187"/>
      <c r="F1601" s="187"/>
      <c r="G1601" s="187"/>
      <c r="H1601" s="187"/>
      <c r="J1601" s="186"/>
      <c r="K1601" s="180"/>
      <c r="L1601" s="180"/>
    </row>
    <row r="1602" spans="2:12" s="188" customFormat="1" ht="15" customHeight="1">
      <c r="B1602" s="187"/>
      <c r="C1602" s="187"/>
      <c r="D1602" s="187"/>
      <c r="E1602" s="187"/>
      <c r="F1602" s="187"/>
      <c r="G1602" s="187"/>
      <c r="H1602" s="187"/>
      <c r="J1602" s="186"/>
      <c r="K1602" s="180"/>
      <c r="L1602" s="180"/>
    </row>
    <row r="1603" spans="2:12" s="188" customFormat="1" ht="15" customHeight="1">
      <c r="B1603" s="187"/>
      <c r="C1603" s="187"/>
      <c r="D1603" s="187"/>
      <c r="E1603" s="187"/>
      <c r="F1603" s="187"/>
      <c r="G1603" s="187"/>
      <c r="H1603" s="187"/>
      <c r="J1603" s="186"/>
      <c r="K1603" s="180"/>
      <c r="L1603" s="180"/>
    </row>
    <row r="1604" spans="2:12" s="188" customFormat="1" ht="15" customHeight="1">
      <c r="B1604" s="187"/>
      <c r="C1604" s="187"/>
      <c r="D1604" s="187"/>
      <c r="E1604" s="187"/>
      <c r="F1604" s="187"/>
      <c r="G1604" s="187"/>
      <c r="H1604" s="187"/>
      <c r="J1604" s="186"/>
      <c r="K1604" s="180"/>
      <c r="L1604" s="180"/>
    </row>
    <row r="1605" spans="2:12" s="188" customFormat="1" ht="15" customHeight="1">
      <c r="B1605" s="187"/>
      <c r="C1605" s="187"/>
      <c r="D1605" s="187"/>
      <c r="E1605" s="187"/>
      <c r="F1605" s="187"/>
      <c r="G1605" s="187"/>
      <c r="H1605" s="187"/>
      <c r="J1605" s="186"/>
      <c r="K1605" s="180"/>
      <c r="L1605" s="180"/>
    </row>
    <row r="1606" spans="2:12" s="188" customFormat="1" ht="15" customHeight="1">
      <c r="B1606" s="187"/>
      <c r="C1606" s="187"/>
      <c r="D1606" s="187"/>
      <c r="E1606" s="187"/>
      <c r="F1606" s="187"/>
      <c r="G1606" s="187"/>
      <c r="H1606" s="187"/>
      <c r="J1606" s="186"/>
      <c r="K1606" s="180"/>
      <c r="L1606" s="180"/>
    </row>
    <row r="1607" spans="2:12" s="188" customFormat="1" ht="15" customHeight="1">
      <c r="B1607" s="187"/>
      <c r="C1607" s="187"/>
      <c r="D1607" s="187"/>
      <c r="E1607" s="187"/>
      <c r="F1607" s="187"/>
      <c r="G1607" s="187"/>
      <c r="H1607" s="187"/>
      <c r="J1607" s="186"/>
      <c r="K1607" s="180"/>
      <c r="L1607" s="180"/>
    </row>
    <row r="1608" spans="2:12" s="188" customFormat="1" ht="15" customHeight="1">
      <c r="B1608" s="187"/>
      <c r="C1608" s="187"/>
      <c r="D1608" s="187"/>
      <c r="E1608" s="187"/>
      <c r="F1608" s="187"/>
      <c r="G1608" s="187"/>
      <c r="H1608" s="187"/>
      <c r="J1608" s="186"/>
      <c r="K1608" s="180"/>
      <c r="L1608" s="180"/>
    </row>
    <row r="1609" spans="2:12" s="188" customFormat="1" ht="15" customHeight="1">
      <c r="B1609" s="187"/>
      <c r="C1609" s="187"/>
      <c r="D1609" s="187"/>
      <c r="E1609" s="187"/>
      <c r="F1609" s="187"/>
      <c r="G1609" s="187"/>
      <c r="H1609" s="187"/>
      <c r="J1609" s="186"/>
      <c r="K1609" s="180"/>
      <c r="L1609" s="180"/>
    </row>
    <row r="1610" spans="2:12" s="188" customFormat="1" ht="15" customHeight="1">
      <c r="B1610" s="187"/>
      <c r="C1610" s="187"/>
      <c r="D1610" s="187"/>
      <c r="E1610" s="187"/>
      <c r="F1610" s="187"/>
      <c r="G1610" s="187"/>
      <c r="H1610" s="187"/>
      <c r="J1610" s="186"/>
      <c r="K1610" s="180"/>
      <c r="L1610" s="180"/>
    </row>
    <row r="1611" spans="2:12" s="188" customFormat="1" ht="15" customHeight="1">
      <c r="B1611" s="187"/>
      <c r="C1611" s="187"/>
      <c r="D1611" s="187"/>
      <c r="E1611" s="187"/>
      <c r="F1611" s="187"/>
      <c r="G1611" s="187"/>
      <c r="H1611" s="187"/>
      <c r="J1611" s="186"/>
      <c r="K1611" s="180"/>
      <c r="L1611" s="180"/>
    </row>
    <row r="1612" spans="2:12" s="188" customFormat="1" ht="15" customHeight="1">
      <c r="B1612" s="187"/>
      <c r="C1612" s="187"/>
      <c r="D1612" s="187"/>
      <c r="E1612" s="187"/>
      <c r="F1612" s="187"/>
      <c r="G1612" s="187"/>
      <c r="H1612" s="187"/>
      <c r="J1612" s="186"/>
      <c r="K1612" s="180"/>
      <c r="L1612" s="180"/>
    </row>
    <row r="1613" spans="2:12" s="188" customFormat="1" ht="15" customHeight="1">
      <c r="B1613" s="187"/>
      <c r="C1613" s="187"/>
      <c r="D1613" s="187"/>
      <c r="E1613" s="187"/>
      <c r="F1613" s="187"/>
      <c r="G1613" s="187"/>
      <c r="H1613" s="187"/>
      <c r="J1613" s="186"/>
      <c r="K1613" s="180"/>
      <c r="L1613" s="180"/>
    </row>
    <row r="1614" spans="2:12" s="188" customFormat="1" ht="15" customHeight="1">
      <c r="B1614" s="187"/>
      <c r="C1614" s="187"/>
      <c r="D1614" s="187"/>
      <c r="E1614" s="187"/>
      <c r="F1614" s="187"/>
      <c r="G1614" s="187"/>
      <c r="H1614" s="187"/>
      <c r="J1614" s="186"/>
      <c r="K1614" s="180"/>
      <c r="L1614" s="180"/>
    </row>
    <row r="1615" spans="2:12" s="188" customFormat="1" ht="15" customHeight="1">
      <c r="B1615" s="187"/>
      <c r="C1615" s="187"/>
      <c r="D1615" s="187"/>
      <c r="E1615" s="187"/>
      <c r="F1615" s="187"/>
      <c r="G1615" s="187"/>
      <c r="H1615" s="187"/>
      <c r="J1615" s="186"/>
      <c r="K1615" s="180"/>
      <c r="L1615" s="180"/>
    </row>
    <row r="1616" spans="2:12" s="188" customFormat="1" ht="15" customHeight="1">
      <c r="B1616" s="187"/>
      <c r="C1616" s="187"/>
      <c r="D1616" s="187"/>
      <c r="E1616" s="187"/>
      <c r="F1616" s="187"/>
      <c r="G1616" s="187"/>
      <c r="H1616" s="187"/>
      <c r="J1616" s="186"/>
      <c r="K1616" s="180"/>
      <c r="L1616" s="180"/>
    </row>
    <row r="1617" spans="2:12" s="188" customFormat="1" ht="15" customHeight="1">
      <c r="B1617" s="187"/>
      <c r="C1617" s="187"/>
      <c r="D1617" s="187"/>
      <c r="E1617" s="187"/>
      <c r="F1617" s="187"/>
      <c r="G1617" s="187"/>
      <c r="H1617" s="187"/>
      <c r="J1617" s="186"/>
      <c r="K1617" s="180"/>
      <c r="L1617" s="180"/>
    </row>
    <row r="1618" spans="2:12" s="188" customFormat="1" ht="15" customHeight="1">
      <c r="B1618" s="187"/>
      <c r="C1618" s="187"/>
      <c r="D1618" s="187"/>
      <c r="E1618" s="187"/>
      <c r="F1618" s="187"/>
      <c r="G1618" s="187"/>
      <c r="H1618" s="187"/>
      <c r="J1618" s="186"/>
      <c r="K1618" s="180"/>
      <c r="L1618" s="180"/>
    </row>
    <row r="1619" spans="2:12" s="188" customFormat="1" ht="15" customHeight="1">
      <c r="B1619" s="187"/>
      <c r="C1619" s="187"/>
      <c r="D1619" s="187"/>
      <c r="E1619" s="187"/>
      <c r="F1619" s="187"/>
      <c r="G1619" s="187"/>
      <c r="H1619" s="187"/>
      <c r="J1619" s="186"/>
      <c r="K1619" s="180"/>
      <c r="L1619" s="180"/>
    </row>
    <row r="1620" spans="2:12" s="188" customFormat="1" ht="15" customHeight="1">
      <c r="B1620" s="187"/>
      <c r="C1620" s="187"/>
      <c r="D1620" s="187"/>
      <c r="E1620" s="187"/>
      <c r="F1620" s="187"/>
      <c r="G1620" s="187"/>
      <c r="H1620" s="187"/>
      <c r="J1620" s="186"/>
      <c r="K1620" s="180"/>
      <c r="L1620" s="180"/>
    </row>
    <row r="1621" spans="2:12" s="188" customFormat="1" ht="15" customHeight="1">
      <c r="B1621" s="187"/>
      <c r="C1621" s="187"/>
      <c r="D1621" s="187"/>
      <c r="E1621" s="187"/>
      <c r="F1621" s="187"/>
      <c r="G1621" s="187"/>
      <c r="H1621" s="187"/>
      <c r="J1621" s="186"/>
      <c r="K1621" s="180"/>
      <c r="L1621" s="180"/>
    </row>
    <row r="1622" spans="2:12" s="188" customFormat="1" ht="15" customHeight="1">
      <c r="B1622" s="187"/>
      <c r="C1622" s="187"/>
      <c r="D1622" s="187"/>
      <c r="E1622" s="187"/>
      <c r="F1622" s="187"/>
      <c r="G1622" s="187"/>
      <c r="H1622" s="187"/>
      <c r="J1622" s="186"/>
      <c r="K1622" s="180"/>
      <c r="L1622" s="180"/>
    </row>
    <row r="1623" spans="2:12" s="188" customFormat="1" ht="15" customHeight="1">
      <c r="B1623" s="187"/>
      <c r="C1623" s="187"/>
      <c r="D1623" s="187"/>
      <c r="E1623" s="187"/>
      <c r="F1623" s="187"/>
      <c r="G1623" s="187"/>
      <c r="H1623" s="187"/>
      <c r="J1623" s="186"/>
      <c r="K1623" s="180"/>
      <c r="L1623" s="180"/>
    </row>
    <row r="1624" spans="2:12" s="188" customFormat="1" ht="15" customHeight="1">
      <c r="B1624" s="187"/>
      <c r="C1624" s="187"/>
      <c r="D1624" s="187"/>
      <c r="E1624" s="187"/>
      <c r="F1624" s="187"/>
      <c r="G1624" s="187"/>
      <c r="H1624" s="187"/>
      <c r="J1624" s="186"/>
      <c r="K1624" s="180"/>
      <c r="L1624" s="180"/>
    </row>
    <row r="1625" spans="2:12" s="188" customFormat="1" ht="15" customHeight="1">
      <c r="B1625" s="187"/>
      <c r="C1625" s="187"/>
      <c r="D1625" s="187"/>
      <c r="E1625" s="187"/>
      <c r="F1625" s="187"/>
      <c r="G1625" s="187"/>
      <c r="H1625" s="187"/>
      <c r="J1625" s="186"/>
      <c r="K1625" s="180"/>
      <c r="L1625" s="180"/>
    </row>
    <row r="1626" spans="2:12" s="188" customFormat="1" ht="15" customHeight="1">
      <c r="B1626" s="187"/>
      <c r="C1626" s="187"/>
      <c r="D1626" s="187"/>
      <c r="E1626" s="187"/>
      <c r="F1626" s="187"/>
      <c r="G1626" s="187"/>
      <c r="H1626" s="187"/>
      <c r="J1626" s="186"/>
      <c r="K1626" s="180"/>
      <c r="L1626" s="180"/>
    </row>
    <row r="1627" spans="2:12" s="188" customFormat="1" ht="15" customHeight="1">
      <c r="B1627" s="187"/>
      <c r="C1627" s="187"/>
      <c r="D1627" s="187"/>
      <c r="E1627" s="187"/>
      <c r="F1627" s="187"/>
      <c r="G1627" s="187"/>
      <c r="H1627" s="187"/>
      <c r="J1627" s="186"/>
      <c r="K1627" s="180"/>
      <c r="L1627" s="180"/>
    </row>
    <row r="1628" spans="2:12" s="188" customFormat="1" ht="15" customHeight="1">
      <c r="B1628" s="187"/>
      <c r="C1628" s="187"/>
      <c r="D1628" s="187"/>
      <c r="E1628" s="187"/>
      <c r="F1628" s="187"/>
      <c r="G1628" s="187"/>
      <c r="H1628" s="187"/>
      <c r="J1628" s="186"/>
      <c r="K1628" s="180"/>
      <c r="L1628" s="180"/>
    </row>
    <row r="1629" spans="2:12" s="188" customFormat="1" ht="15" customHeight="1">
      <c r="B1629" s="187"/>
      <c r="C1629" s="187"/>
      <c r="D1629" s="187"/>
      <c r="E1629" s="187"/>
      <c r="F1629" s="187"/>
      <c r="G1629" s="187"/>
      <c r="H1629" s="187"/>
      <c r="J1629" s="186"/>
      <c r="K1629" s="180"/>
      <c r="L1629" s="180"/>
    </row>
    <row r="1630" spans="2:12" s="188" customFormat="1" ht="15" customHeight="1">
      <c r="B1630" s="187"/>
      <c r="C1630" s="187"/>
      <c r="D1630" s="187"/>
      <c r="E1630" s="187"/>
      <c r="F1630" s="187"/>
      <c r="G1630" s="187"/>
      <c r="H1630" s="187"/>
      <c r="J1630" s="186"/>
      <c r="K1630" s="180"/>
      <c r="L1630" s="180"/>
    </row>
    <row r="1631" spans="2:12" s="188" customFormat="1" ht="15" customHeight="1">
      <c r="B1631" s="187"/>
      <c r="C1631" s="187"/>
      <c r="D1631" s="187"/>
      <c r="E1631" s="187"/>
      <c r="F1631" s="187"/>
      <c r="G1631" s="187"/>
      <c r="H1631" s="187"/>
      <c r="J1631" s="186"/>
      <c r="K1631" s="180"/>
      <c r="L1631" s="180"/>
    </row>
    <row r="1632" spans="2:12" s="188" customFormat="1" ht="15" customHeight="1">
      <c r="B1632" s="187"/>
      <c r="C1632" s="187"/>
      <c r="D1632" s="187"/>
      <c r="E1632" s="187"/>
      <c r="F1632" s="187"/>
      <c r="G1632" s="187"/>
      <c r="H1632" s="187"/>
      <c r="J1632" s="186"/>
      <c r="K1632" s="180"/>
      <c r="L1632" s="180"/>
    </row>
    <row r="1633" spans="2:12" s="188" customFormat="1" ht="15" customHeight="1">
      <c r="B1633" s="187"/>
      <c r="C1633" s="187"/>
      <c r="D1633" s="187"/>
      <c r="E1633" s="187"/>
      <c r="F1633" s="187"/>
      <c r="G1633" s="187"/>
      <c r="H1633" s="187"/>
      <c r="J1633" s="186"/>
      <c r="K1633" s="180"/>
      <c r="L1633" s="180"/>
    </row>
    <row r="1634" spans="2:12" s="188" customFormat="1" ht="15" customHeight="1">
      <c r="B1634" s="187"/>
      <c r="C1634" s="187"/>
      <c r="D1634" s="187"/>
      <c r="E1634" s="187"/>
      <c r="F1634" s="187"/>
      <c r="G1634" s="187"/>
      <c r="H1634" s="187"/>
      <c r="J1634" s="186"/>
      <c r="K1634" s="180"/>
      <c r="L1634" s="180"/>
    </row>
    <row r="1635" spans="2:12" s="188" customFormat="1" ht="15" customHeight="1">
      <c r="B1635" s="187"/>
      <c r="C1635" s="187"/>
      <c r="D1635" s="187"/>
      <c r="E1635" s="187"/>
      <c r="F1635" s="187"/>
      <c r="G1635" s="187"/>
      <c r="H1635" s="187"/>
      <c r="J1635" s="186"/>
      <c r="K1635" s="180"/>
      <c r="L1635" s="180"/>
    </row>
    <row r="1636" spans="2:12" s="188" customFormat="1" ht="15" customHeight="1">
      <c r="B1636" s="187"/>
      <c r="C1636" s="187"/>
      <c r="D1636" s="187"/>
      <c r="E1636" s="187"/>
      <c r="F1636" s="187"/>
      <c r="G1636" s="187"/>
      <c r="H1636" s="187"/>
      <c r="J1636" s="186"/>
      <c r="K1636" s="180"/>
      <c r="L1636" s="180"/>
    </row>
    <row r="1637" spans="2:12" s="188" customFormat="1" ht="15" customHeight="1">
      <c r="B1637" s="187"/>
      <c r="C1637" s="187"/>
      <c r="D1637" s="187"/>
      <c r="E1637" s="187"/>
      <c r="F1637" s="187"/>
      <c r="G1637" s="187"/>
      <c r="H1637" s="187"/>
      <c r="J1637" s="186"/>
      <c r="K1637" s="180"/>
      <c r="L1637" s="180"/>
    </row>
    <row r="1638" spans="2:12" s="188" customFormat="1" ht="15" customHeight="1">
      <c r="B1638" s="187"/>
      <c r="C1638" s="187"/>
      <c r="D1638" s="187"/>
      <c r="E1638" s="187"/>
      <c r="F1638" s="187"/>
      <c r="G1638" s="187"/>
      <c r="H1638" s="187"/>
      <c r="J1638" s="186"/>
      <c r="K1638" s="180"/>
      <c r="L1638" s="180"/>
    </row>
    <row r="1639" spans="2:12" s="188" customFormat="1" ht="15" customHeight="1">
      <c r="B1639" s="187"/>
      <c r="C1639" s="187"/>
      <c r="D1639" s="187"/>
      <c r="E1639" s="187"/>
      <c r="F1639" s="187"/>
      <c r="G1639" s="187"/>
      <c r="H1639" s="187"/>
      <c r="J1639" s="186"/>
      <c r="K1639" s="180"/>
      <c r="L1639" s="180"/>
    </row>
    <row r="1640" spans="2:12" s="188" customFormat="1" ht="15" customHeight="1">
      <c r="B1640" s="187"/>
      <c r="C1640" s="187"/>
      <c r="D1640" s="187"/>
      <c r="E1640" s="187"/>
      <c r="F1640" s="187"/>
      <c r="G1640" s="187"/>
      <c r="H1640" s="187"/>
      <c r="J1640" s="186"/>
      <c r="K1640" s="180"/>
      <c r="L1640" s="180"/>
    </row>
    <row r="1641" spans="2:12" s="188" customFormat="1" ht="15" customHeight="1">
      <c r="B1641" s="187"/>
      <c r="C1641" s="187"/>
      <c r="D1641" s="187"/>
      <c r="E1641" s="187"/>
      <c r="F1641" s="187"/>
      <c r="G1641" s="187"/>
      <c r="H1641" s="187"/>
      <c r="J1641" s="186"/>
      <c r="K1641" s="180"/>
      <c r="L1641" s="180"/>
    </row>
    <row r="1642" spans="2:12" s="188" customFormat="1" ht="15" customHeight="1">
      <c r="B1642" s="187"/>
      <c r="C1642" s="187"/>
      <c r="D1642" s="187"/>
      <c r="E1642" s="187"/>
      <c r="F1642" s="187"/>
      <c r="G1642" s="187"/>
      <c r="H1642" s="187"/>
      <c r="J1642" s="186"/>
      <c r="K1642" s="180"/>
      <c r="L1642" s="180"/>
    </row>
    <row r="1643" spans="2:12" s="188" customFormat="1" ht="15" customHeight="1">
      <c r="B1643" s="187"/>
      <c r="C1643" s="187"/>
      <c r="D1643" s="187"/>
      <c r="E1643" s="187"/>
      <c r="F1643" s="187"/>
      <c r="G1643" s="187"/>
      <c r="H1643" s="187"/>
      <c r="J1643" s="186"/>
      <c r="K1643" s="180"/>
      <c r="L1643" s="180"/>
    </row>
    <row r="1644" spans="2:12" s="188" customFormat="1" ht="15" customHeight="1">
      <c r="B1644" s="187"/>
      <c r="C1644" s="187"/>
      <c r="D1644" s="187"/>
      <c r="E1644" s="187"/>
      <c r="F1644" s="187"/>
      <c r="G1644" s="187"/>
      <c r="H1644" s="187"/>
      <c r="J1644" s="186"/>
      <c r="K1644" s="180"/>
      <c r="L1644" s="180"/>
    </row>
    <row r="1645" spans="2:12" s="188" customFormat="1" ht="15" customHeight="1">
      <c r="B1645" s="187"/>
      <c r="C1645" s="187"/>
      <c r="D1645" s="187"/>
      <c r="E1645" s="187"/>
      <c r="F1645" s="187"/>
      <c r="G1645" s="187"/>
      <c r="H1645" s="187"/>
      <c r="J1645" s="186"/>
      <c r="K1645" s="180"/>
      <c r="L1645" s="180"/>
    </row>
    <row r="1646" spans="2:12" s="188" customFormat="1" ht="15" customHeight="1">
      <c r="B1646" s="187"/>
      <c r="C1646" s="187"/>
      <c r="D1646" s="187"/>
      <c r="E1646" s="187"/>
      <c r="F1646" s="187"/>
      <c r="G1646" s="187"/>
      <c r="H1646" s="187"/>
      <c r="J1646" s="186"/>
      <c r="K1646" s="180"/>
      <c r="L1646" s="180"/>
    </row>
    <row r="1647" spans="2:12" s="188" customFormat="1" ht="15" customHeight="1">
      <c r="B1647" s="187"/>
      <c r="C1647" s="187"/>
      <c r="D1647" s="187"/>
      <c r="E1647" s="187"/>
      <c r="F1647" s="187"/>
      <c r="G1647" s="187"/>
      <c r="H1647" s="187"/>
      <c r="J1647" s="186"/>
      <c r="K1647" s="180"/>
      <c r="L1647" s="180"/>
    </row>
    <row r="1648" spans="2:12" s="188" customFormat="1" ht="15" customHeight="1">
      <c r="B1648" s="187"/>
      <c r="C1648" s="187"/>
      <c r="D1648" s="187"/>
      <c r="E1648" s="187"/>
      <c r="F1648" s="187"/>
      <c r="G1648" s="187"/>
      <c r="H1648" s="187"/>
      <c r="J1648" s="186"/>
      <c r="K1648" s="180"/>
      <c r="L1648" s="180"/>
    </row>
    <row r="1649" spans="2:12" s="188" customFormat="1" ht="15" customHeight="1">
      <c r="B1649" s="187"/>
      <c r="C1649" s="187"/>
      <c r="D1649" s="187"/>
      <c r="E1649" s="187"/>
      <c r="F1649" s="187"/>
      <c r="G1649" s="187"/>
      <c r="H1649" s="187"/>
      <c r="J1649" s="186"/>
      <c r="K1649" s="180"/>
      <c r="L1649" s="180"/>
    </row>
    <row r="1650" spans="2:12" s="188" customFormat="1" ht="15" customHeight="1">
      <c r="B1650" s="187"/>
      <c r="C1650" s="187"/>
      <c r="D1650" s="187"/>
      <c r="E1650" s="187"/>
      <c r="F1650" s="187"/>
      <c r="G1650" s="187"/>
      <c r="H1650" s="187"/>
      <c r="J1650" s="186"/>
      <c r="K1650" s="180"/>
      <c r="L1650" s="180"/>
    </row>
    <row r="1651" spans="2:12" s="188" customFormat="1" ht="15" customHeight="1">
      <c r="B1651" s="187"/>
      <c r="C1651" s="187"/>
      <c r="D1651" s="187"/>
      <c r="E1651" s="187"/>
      <c r="F1651" s="187"/>
      <c r="G1651" s="187"/>
      <c r="H1651" s="187"/>
      <c r="J1651" s="186"/>
      <c r="K1651" s="180"/>
      <c r="L1651" s="180"/>
    </row>
    <row r="1652" spans="2:12" s="188" customFormat="1" ht="15" customHeight="1">
      <c r="B1652" s="187"/>
      <c r="C1652" s="187"/>
      <c r="D1652" s="187"/>
      <c r="E1652" s="187"/>
      <c r="F1652" s="187"/>
      <c r="G1652" s="187"/>
      <c r="H1652" s="187"/>
      <c r="J1652" s="186"/>
      <c r="K1652" s="180"/>
      <c r="L1652" s="180"/>
    </row>
    <row r="1653" spans="2:12" s="188" customFormat="1" ht="15" customHeight="1">
      <c r="B1653" s="187"/>
      <c r="C1653" s="187"/>
      <c r="D1653" s="187"/>
      <c r="E1653" s="187"/>
      <c r="F1653" s="187"/>
      <c r="G1653" s="187"/>
      <c r="H1653" s="187"/>
      <c r="J1653" s="186"/>
      <c r="K1653" s="180"/>
      <c r="L1653" s="180"/>
    </row>
    <row r="1654" spans="2:12" s="188" customFormat="1" ht="15" customHeight="1">
      <c r="B1654" s="187"/>
      <c r="C1654" s="187"/>
      <c r="D1654" s="187"/>
      <c r="E1654" s="187"/>
      <c r="F1654" s="187"/>
      <c r="G1654" s="187"/>
      <c r="H1654" s="187"/>
      <c r="J1654" s="186"/>
      <c r="K1654" s="180"/>
      <c r="L1654" s="180"/>
    </row>
    <row r="1655" spans="2:12" s="188" customFormat="1" ht="15" customHeight="1">
      <c r="B1655" s="187"/>
      <c r="C1655" s="187"/>
      <c r="D1655" s="187"/>
      <c r="E1655" s="187"/>
      <c r="F1655" s="187"/>
      <c r="G1655" s="187"/>
      <c r="H1655" s="187"/>
      <c r="J1655" s="186"/>
      <c r="K1655" s="180"/>
      <c r="L1655" s="180"/>
    </row>
    <row r="1656" spans="2:12" s="188" customFormat="1" ht="15" customHeight="1">
      <c r="B1656" s="187"/>
      <c r="C1656" s="187"/>
      <c r="D1656" s="187"/>
      <c r="E1656" s="187"/>
      <c r="F1656" s="187"/>
      <c r="G1656" s="187"/>
      <c r="H1656" s="187"/>
      <c r="J1656" s="186"/>
      <c r="K1656" s="180"/>
      <c r="L1656" s="180"/>
    </row>
    <row r="1657" spans="2:12" s="188" customFormat="1" ht="15" customHeight="1">
      <c r="B1657" s="187"/>
      <c r="C1657" s="187"/>
      <c r="D1657" s="187"/>
      <c r="E1657" s="187"/>
      <c r="F1657" s="187"/>
      <c r="G1657" s="187"/>
      <c r="H1657" s="187"/>
      <c r="J1657" s="186"/>
      <c r="K1657" s="180"/>
      <c r="L1657" s="180"/>
    </row>
    <row r="1658" spans="2:12" s="188" customFormat="1" ht="15" customHeight="1">
      <c r="B1658" s="187"/>
      <c r="C1658" s="187"/>
      <c r="D1658" s="187"/>
      <c r="E1658" s="187"/>
      <c r="F1658" s="187"/>
      <c r="G1658" s="187"/>
      <c r="H1658" s="187"/>
      <c r="J1658" s="186"/>
      <c r="K1658" s="180"/>
      <c r="L1658" s="180"/>
    </row>
    <row r="1659" spans="2:12" s="188" customFormat="1" ht="15" customHeight="1">
      <c r="B1659" s="187"/>
      <c r="C1659" s="187"/>
      <c r="D1659" s="187"/>
      <c r="E1659" s="187"/>
      <c r="F1659" s="187"/>
      <c r="G1659" s="187"/>
      <c r="H1659" s="187"/>
      <c r="J1659" s="186"/>
      <c r="K1659" s="180"/>
      <c r="L1659" s="180"/>
    </row>
    <row r="1660" spans="2:12" s="188" customFormat="1" ht="15" customHeight="1">
      <c r="B1660" s="187"/>
      <c r="C1660" s="187"/>
      <c r="D1660" s="187"/>
      <c r="E1660" s="187"/>
      <c r="F1660" s="187"/>
      <c r="G1660" s="187"/>
      <c r="H1660" s="187"/>
      <c r="J1660" s="186"/>
      <c r="K1660" s="180"/>
      <c r="L1660" s="180"/>
    </row>
    <row r="1661" spans="2:12" s="188" customFormat="1" ht="15" customHeight="1">
      <c r="B1661" s="187"/>
      <c r="C1661" s="187"/>
      <c r="D1661" s="187"/>
      <c r="E1661" s="187"/>
      <c r="F1661" s="187"/>
      <c r="G1661" s="187"/>
      <c r="H1661" s="187"/>
      <c r="J1661" s="186"/>
      <c r="K1661" s="180"/>
      <c r="L1661" s="180"/>
    </row>
    <row r="1662" spans="2:12" s="188" customFormat="1" ht="15" customHeight="1">
      <c r="B1662" s="187"/>
      <c r="C1662" s="187"/>
      <c r="D1662" s="187"/>
      <c r="E1662" s="187"/>
      <c r="F1662" s="187"/>
      <c r="G1662" s="187"/>
      <c r="H1662" s="187"/>
      <c r="J1662" s="186"/>
      <c r="K1662" s="180"/>
      <c r="L1662" s="180"/>
    </row>
    <row r="1663" spans="2:12" s="188" customFormat="1" ht="15" customHeight="1">
      <c r="B1663" s="187"/>
      <c r="C1663" s="187"/>
      <c r="D1663" s="187"/>
      <c r="E1663" s="187"/>
      <c r="F1663" s="187"/>
      <c r="G1663" s="187"/>
      <c r="H1663" s="187"/>
      <c r="J1663" s="186"/>
      <c r="K1663" s="180"/>
      <c r="L1663" s="180"/>
    </row>
    <row r="1664" spans="2:12" s="188" customFormat="1" ht="15" customHeight="1">
      <c r="B1664" s="187"/>
      <c r="C1664" s="187"/>
      <c r="D1664" s="187"/>
      <c r="E1664" s="187"/>
      <c r="F1664" s="187"/>
      <c r="G1664" s="187"/>
      <c r="H1664" s="187"/>
      <c r="J1664" s="186"/>
      <c r="K1664" s="180"/>
      <c r="L1664" s="180"/>
    </row>
    <row r="1665" spans="2:12" s="188" customFormat="1" ht="15" customHeight="1">
      <c r="B1665" s="187"/>
      <c r="C1665" s="187"/>
      <c r="D1665" s="187"/>
      <c r="E1665" s="187"/>
      <c r="F1665" s="187"/>
      <c r="G1665" s="187"/>
      <c r="H1665" s="187"/>
      <c r="J1665" s="186"/>
      <c r="K1665" s="180"/>
      <c r="L1665" s="180"/>
    </row>
    <row r="1666" spans="2:12" s="188" customFormat="1" ht="15" customHeight="1">
      <c r="B1666" s="187"/>
      <c r="C1666" s="187"/>
      <c r="D1666" s="187"/>
      <c r="E1666" s="187"/>
      <c r="F1666" s="187"/>
      <c r="G1666" s="187"/>
      <c r="H1666" s="187"/>
      <c r="J1666" s="186"/>
      <c r="K1666" s="180"/>
      <c r="L1666" s="180"/>
    </row>
    <row r="1667" spans="2:12" s="188" customFormat="1" ht="15" customHeight="1">
      <c r="B1667" s="187"/>
      <c r="C1667" s="187"/>
      <c r="D1667" s="187"/>
      <c r="E1667" s="187"/>
      <c r="F1667" s="187"/>
      <c r="G1667" s="187"/>
      <c r="H1667" s="187"/>
      <c r="J1667" s="186"/>
      <c r="K1667" s="180"/>
      <c r="L1667" s="180"/>
    </row>
    <row r="1668" spans="2:12" s="188" customFormat="1" ht="15" customHeight="1">
      <c r="B1668" s="187"/>
      <c r="C1668" s="187"/>
      <c r="D1668" s="187"/>
      <c r="E1668" s="187"/>
      <c r="F1668" s="187"/>
      <c r="G1668" s="187"/>
      <c r="H1668" s="187"/>
      <c r="J1668" s="186"/>
      <c r="K1668" s="180"/>
      <c r="L1668" s="180"/>
    </row>
    <row r="1669" spans="2:12" s="188" customFormat="1" ht="15" customHeight="1">
      <c r="B1669" s="187"/>
      <c r="C1669" s="187"/>
      <c r="D1669" s="187"/>
      <c r="E1669" s="187"/>
      <c r="F1669" s="187"/>
      <c r="G1669" s="187"/>
      <c r="H1669" s="187"/>
      <c r="J1669" s="186"/>
      <c r="K1669" s="180"/>
      <c r="L1669" s="180"/>
    </row>
    <row r="1670" spans="2:12" s="188" customFormat="1" ht="15" customHeight="1">
      <c r="B1670" s="187"/>
      <c r="C1670" s="187"/>
      <c r="D1670" s="187"/>
      <c r="E1670" s="187"/>
      <c r="F1670" s="187"/>
      <c r="G1670" s="187"/>
      <c r="H1670" s="187"/>
      <c r="J1670" s="186"/>
      <c r="K1670" s="180"/>
      <c r="L1670" s="180"/>
    </row>
    <row r="1671" spans="2:12" s="188" customFormat="1" ht="15" customHeight="1">
      <c r="B1671" s="187"/>
      <c r="C1671" s="187"/>
      <c r="D1671" s="187"/>
      <c r="E1671" s="187"/>
      <c r="F1671" s="187"/>
      <c r="G1671" s="187"/>
      <c r="H1671" s="187"/>
      <c r="J1671" s="186"/>
      <c r="K1671" s="180"/>
      <c r="L1671" s="180"/>
    </row>
    <row r="1672" spans="2:12" s="188" customFormat="1" ht="15" customHeight="1">
      <c r="B1672" s="187"/>
      <c r="C1672" s="187"/>
      <c r="D1672" s="187"/>
      <c r="E1672" s="187"/>
      <c r="F1672" s="187"/>
      <c r="G1672" s="187"/>
      <c r="H1672" s="187"/>
      <c r="J1672" s="186"/>
      <c r="K1672" s="180"/>
      <c r="L1672" s="180"/>
    </row>
    <row r="1673" spans="2:12" s="188" customFormat="1" ht="15" customHeight="1">
      <c r="B1673" s="187"/>
      <c r="C1673" s="187"/>
      <c r="D1673" s="187"/>
      <c r="E1673" s="187"/>
      <c r="F1673" s="187"/>
      <c r="G1673" s="187"/>
      <c r="H1673" s="187"/>
      <c r="J1673" s="186"/>
      <c r="K1673" s="180"/>
      <c r="L1673" s="180"/>
    </row>
    <row r="1674" spans="2:12" s="188" customFormat="1" ht="15" customHeight="1">
      <c r="B1674" s="187"/>
      <c r="C1674" s="187"/>
      <c r="D1674" s="187"/>
      <c r="E1674" s="187"/>
      <c r="F1674" s="187"/>
      <c r="G1674" s="187"/>
      <c r="H1674" s="187"/>
      <c r="J1674" s="186"/>
      <c r="K1674" s="180"/>
      <c r="L1674" s="180"/>
    </row>
    <row r="1675" spans="2:12" s="188" customFormat="1" ht="15" customHeight="1">
      <c r="B1675" s="187"/>
      <c r="C1675" s="187"/>
      <c r="D1675" s="187"/>
      <c r="E1675" s="187"/>
      <c r="F1675" s="187"/>
      <c r="G1675" s="187"/>
      <c r="H1675" s="187"/>
      <c r="J1675" s="186"/>
      <c r="K1675" s="180"/>
      <c r="L1675" s="180"/>
    </row>
    <row r="1676" spans="2:12" s="188" customFormat="1" ht="15" customHeight="1">
      <c r="B1676" s="187"/>
      <c r="C1676" s="187"/>
      <c r="D1676" s="187"/>
      <c r="E1676" s="187"/>
      <c r="F1676" s="187"/>
      <c r="G1676" s="187"/>
      <c r="H1676" s="187"/>
      <c r="J1676" s="186"/>
      <c r="K1676" s="180"/>
      <c r="L1676" s="180"/>
    </row>
    <row r="1677" spans="2:12" s="188" customFormat="1" ht="15" customHeight="1">
      <c r="B1677" s="187"/>
      <c r="C1677" s="187"/>
      <c r="D1677" s="187"/>
      <c r="E1677" s="187"/>
      <c r="F1677" s="187"/>
      <c r="G1677" s="187"/>
      <c r="H1677" s="187"/>
      <c r="J1677" s="186"/>
      <c r="K1677" s="180"/>
      <c r="L1677" s="180"/>
    </row>
    <row r="1678" spans="2:12" s="188" customFormat="1" ht="15" customHeight="1">
      <c r="B1678" s="187"/>
      <c r="C1678" s="187"/>
      <c r="D1678" s="187"/>
      <c r="E1678" s="187"/>
      <c r="F1678" s="187"/>
      <c r="G1678" s="187"/>
      <c r="H1678" s="187"/>
      <c r="J1678" s="186"/>
      <c r="K1678" s="180"/>
      <c r="L1678" s="180"/>
    </row>
    <row r="1679" spans="2:12" s="188" customFormat="1" ht="15" customHeight="1">
      <c r="B1679" s="187"/>
      <c r="C1679" s="187"/>
      <c r="D1679" s="187"/>
      <c r="E1679" s="187"/>
      <c r="F1679" s="187"/>
      <c r="G1679" s="187"/>
      <c r="H1679" s="187"/>
      <c r="J1679" s="186"/>
      <c r="K1679" s="180"/>
      <c r="L1679" s="180"/>
    </row>
    <row r="1680" spans="2:12" s="188" customFormat="1" ht="15" customHeight="1">
      <c r="B1680" s="187"/>
      <c r="C1680" s="187"/>
      <c r="D1680" s="187"/>
      <c r="E1680" s="187"/>
      <c r="F1680" s="187"/>
      <c r="G1680" s="187"/>
      <c r="H1680" s="187"/>
      <c r="J1680" s="186"/>
      <c r="K1680" s="180"/>
      <c r="L1680" s="180"/>
    </row>
    <row r="1681" spans="2:12" s="188" customFormat="1" ht="15" customHeight="1">
      <c r="B1681" s="187"/>
      <c r="C1681" s="187"/>
      <c r="D1681" s="187"/>
      <c r="E1681" s="187"/>
      <c r="F1681" s="187"/>
      <c r="G1681" s="187"/>
      <c r="H1681" s="187"/>
      <c r="J1681" s="186"/>
      <c r="K1681" s="180"/>
      <c r="L1681" s="180"/>
    </row>
    <row r="1682" spans="2:12" s="188" customFormat="1" ht="15" customHeight="1">
      <c r="B1682" s="187"/>
      <c r="C1682" s="187"/>
      <c r="D1682" s="187"/>
      <c r="E1682" s="187"/>
      <c r="F1682" s="187"/>
      <c r="G1682" s="187"/>
      <c r="H1682" s="187"/>
      <c r="J1682" s="186"/>
      <c r="K1682" s="180"/>
      <c r="L1682" s="180"/>
    </row>
    <row r="1683" spans="2:12" s="188" customFormat="1" ht="15" customHeight="1">
      <c r="B1683" s="187"/>
      <c r="C1683" s="187"/>
      <c r="D1683" s="187"/>
      <c r="E1683" s="187"/>
      <c r="F1683" s="187"/>
      <c r="G1683" s="187"/>
      <c r="H1683" s="187"/>
      <c r="J1683" s="186"/>
      <c r="K1683" s="180"/>
      <c r="L1683" s="180"/>
    </row>
    <row r="1684" spans="2:12" s="188" customFormat="1" ht="15" customHeight="1">
      <c r="B1684" s="187"/>
      <c r="C1684" s="187"/>
      <c r="D1684" s="187"/>
      <c r="E1684" s="187"/>
      <c r="F1684" s="187"/>
      <c r="G1684" s="187"/>
      <c r="H1684" s="187"/>
      <c r="J1684" s="186"/>
      <c r="K1684" s="180"/>
      <c r="L1684" s="180"/>
    </row>
    <row r="1685" spans="2:12" s="188" customFormat="1" ht="15" customHeight="1">
      <c r="B1685" s="187"/>
      <c r="C1685" s="187"/>
      <c r="D1685" s="187"/>
      <c r="E1685" s="187"/>
      <c r="F1685" s="187"/>
      <c r="G1685" s="187"/>
      <c r="H1685" s="187"/>
      <c r="J1685" s="186"/>
      <c r="K1685" s="180"/>
      <c r="L1685" s="180"/>
    </row>
    <row r="1686" spans="2:12" s="188" customFormat="1" ht="15" customHeight="1">
      <c r="B1686" s="187"/>
      <c r="C1686" s="187"/>
      <c r="D1686" s="187"/>
      <c r="E1686" s="187"/>
      <c r="F1686" s="187"/>
      <c r="G1686" s="187"/>
      <c r="H1686" s="187"/>
      <c r="J1686" s="186"/>
      <c r="K1686" s="180"/>
      <c r="L1686" s="180"/>
    </row>
    <row r="1687" spans="2:12" s="188" customFormat="1" ht="15" customHeight="1">
      <c r="B1687" s="187"/>
      <c r="C1687" s="187"/>
      <c r="D1687" s="187"/>
      <c r="E1687" s="187"/>
      <c r="F1687" s="187"/>
      <c r="G1687" s="187"/>
      <c r="H1687" s="187"/>
      <c r="J1687" s="186"/>
      <c r="K1687" s="180"/>
      <c r="L1687" s="180"/>
    </row>
    <row r="1688" spans="2:12" s="188" customFormat="1" ht="15" customHeight="1">
      <c r="B1688" s="187"/>
      <c r="C1688" s="187"/>
      <c r="D1688" s="187"/>
      <c r="E1688" s="187"/>
      <c r="F1688" s="187"/>
      <c r="G1688" s="187"/>
      <c r="H1688" s="187"/>
      <c r="J1688" s="186"/>
      <c r="K1688" s="180"/>
      <c r="L1688" s="180"/>
    </row>
    <row r="1689" spans="2:12" s="188" customFormat="1" ht="15" customHeight="1">
      <c r="B1689" s="187"/>
      <c r="C1689" s="187"/>
      <c r="D1689" s="187"/>
      <c r="E1689" s="187"/>
      <c r="F1689" s="187"/>
      <c r="G1689" s="187"/>
      <c r="H1689" s="187"/>
      <c r="J1689" s="186"/>
      <c r="K1689" s="180"/>
      <c r="L1689" s="180"/>
    </row>
    <row r="1690" spans="2:12" s="188" customFormat="1" ht="15" customHeight="1">
      <c r="B1690" s="187"/>
      <c r="C1690" s="187"/>
      <c r="D1690" s="187"/>
      <c r="E1690" s="187"/>
      <c r="F1690" s="187"/>
      <c r="G1690" s="187"/>
      <c r="H1690" s="187"/>
      <c r="J1690" s="186"/>
      <c r="K1690" s="180"/>
      <c r="L1690" s="180"/>
    </row>
    <row r="1691" spans="2:12" s="188" customFormat="1" ht="15" customHeight="1">
      <c r="B1691" s="187"/>
      <c r="C1691" s="187"/>
      <c r="D1691" s="187"/>
      <c r="E1691" s="187"/>
      <c r="F1691" s="187"/>
      <c r="G1691" s="187"/>
      <c r="H1691" s="187"/>
      <c r="J1691" s="186"/>
      <c r="K1691" s="180"/>
      <c r="L1691" s="180"/>
    </row>
    <row r="1692" spans="2:12" s="188" customFormat="1" ht="15" customHeight="1">
      <c r="B1692" s="187"/>
      <c r="C1692" s="187"/>
      <c r="D1692" s="187"/>
      <c r="E1692" s="187"/>
      <c r="F1692" s="187"/>
      <c r="G1692" s="187"/>
      <c r="H1692" s="187"/>
      <c r="J1692" s="186"/>
      <c r="K1692" s="180"/>
      <c r="L1692" s="180"/>
    </row>
    <row r="1693" spans="2:12" s="188" customFormat="1" ht="15" customHeight="1">
      <c r="B1693" s="187"/>
      <c r="C1693" s="187"/>
      <c r="D1693" s="187"/>
      <c r="E1693" s="187"/>
      <c r="F1693" s="187"/>
      <c r="G1693" s="187"/>
      <c r="H1693" s="187"/>
      <c r="J1693" s="186"/>
      <c r="K1693" s="180"/>
      <c r="L1693" s="180"/>
    </row>
    <row r="1694" spans="2:12" s="188" customFormat="1" ht="15" customHeight="1">
      <c r="B1694" s="187"/>
      <c r="C1694" s="187"/>
      <c r="D1694" s="187"/>
      <c r="E1694" s="187"/>
      <c r="F1694" s="187"/>
      <c r="G1694" s="187"/>
      <c r="H1694" s="187"/>
      <c r="J1694" s="186"/>
      <c r="K1694" s="180"/>
      <c r="L1694" s="180"/>
    </row>
    <row r="1695" spans="2:12" s="188" customFormat="1" ht="15" customHeight="1">
      <c r="B1695" s="187"/>
      <c r="C1695" s="187"/>
      <c r="D1695" s="187"/>
      <c r="E1695" s="187"/>
      <c r="F1695" s="187"/>
      <c r="G1695" s="187"/>
      <c r="H1695" s="187"/>
      <c r="J1695" s="186"/>
      <c r="K1695" s="180"/>
      <c r="L1695" s="180"/>
    </row>
    <row r="1696" spans="2:12" s="188" customFormat="1" ht="15" customHeight="1">
      <c r="B1696" s="187"/>
      <c r="C1696" s="187"/>
      <c r="D1696" s="187"/>
      <c r="E1696" s="187"/>
      <c r="F1696" s="187"/>
      <c r="G1696" s="187"/>
      <c r="H1696" s="187"/>
      <c r="J1696" s="186"/>
      <c r="K1696" s="180"/>
      <c r="L1696" s="180"/>
    </row>
    <row r="1697" spans="2:12" s="188" customFormat="1" ht="15" customHeight="1">
      <c r="B1697" s="187"/>
      <c r="C1697" s="187"/>
      <c r="D1697" s="187"/>
      <c r="E1697" s="187"/>
      <c r="F1697" s="187"/>
      <c r="G1697" s="187"/>
      <c r="H1697" s="187"/>
      <c r="J1697" s="186"/>
      <c r="K1697" s="180"/>
      <c r="L1697" s="180"/>
    </row>
    <row r="1698" spans="2:12" s="188" customFormat="1" ht="15" customHeight="1">
      <c r="B1698" s="187"/>
      <c r="C1698" s="187"/>
      <c r="D1698" s="187"/>
      <c r="E1698" s="187"/>
      <c r="F1698" s="187"/>
      <c r="G1698" s="187"/>
      <c r="H1698" s="187"/>
      <c r="J1698" s="186"/>
      <c r="K1698" s="180"/>
      <c r="L1698" s="180"/>
    </row>
    <row r="1699" spans="2:12" s="188" customFormat="1" ht="15" customHeight="1">
      <c r="B1699" s="187"/>
      <c r="C1699" s="187"/>
      <c r="D1699" s="187"/>
      <c r="E1699" s="187"/>
      <c r="F1699" s="187"/>
      <c r="G1699" s="187"/>
      <c r="H1699" s="187"/>
      <c r="J1699" s="186"/>
      <c r="K1699" s="180"/>
      <c r="L1699" s="180"/>
    </row>
    <row r="1700" spans="2:12" s="188" customFormat="1" ht="15" customHeight="1">
      <c r="B1700" s="187"/>
      <c r="C1700" s="187"/>
      <c r="D1700" s="187"/>
      <c r="E1700" s="187"/>
      <c r="F1700" s="187"/>
      <c r="G1700" s="187"/>
      <c r="H1700" s="187"/>
      <c r="J1700" s="186"/>
      <c r="K1700" s="180"/>
      <c r="L1700" s="180"/>
    </row>
    <row r="1701" spans="2:12" s="188" customFormat="1" ht="15" customHeight="1">
      <c r="B1701" s="187"/>
      <c r="C1701" s="187"/>
      <c r="D1701" s="187"/>
      <c r="E1701" s="187"/>
      <c r="F1701" s="187"/>
      <c r="G1701" s="187"/>
      <c r="H1701" s="187"/>
      <c r="J1701" s="186"/>
      <c r="K1701" s="180"/>
      <c r="L1701" s="180"/>
    </row>
    <row r="1702" spans="2:12" s="188" customFormat="1" ht="15" customHeight="1">
      <c r="B1702" s="187"/>
      <c r="C1702" s="187"/>
      <c r="D1702" s="187"/>
      <c r="E1702" s="187"/>
      <c r="F1702" s="187"/>
      <c r="G1702" s="187"/>
      <c r="H1702" s="187"/>
      <c r="J1702" s="186"/>
      <c r="K1702" s="180"/>
      <c r="L1702" s="180"/>
    </row>
    <row r="1703" spans="2:12" s="188" customFormat="1" ht="15" customHeight="1">
      <c r="B1703" s="187"/>
      <c r="C1703" s="187"/>
      <c r="D1703" s="187"/>
      <c r="E1703" s="187"/>
      <c r="F1703" s="187"/>
      <c r="G1703" s="187"/>
      <c r="H1703" s="187"/>
      <c r="J1703" s="186"/>
      <c r="K1703" s="180"/>
      <c r="L1703" s="180"/>
    </row>
    <row r="1704" spans="2:12" s="188" customFormat="1" ht="15" customHeight="1">
      <c r="B1704" s="187"/>
      <c r="C1704" s="187"/>
      <c r="D1704" s="187"/>
      <c r="E1704" s="187"/>
      <c r="F1704" s="187"/>
      <c r="G1704" s="187"/>
      <c r="H1704" s="187"/>
      <c r="J1704" s="186"/>
      <c r="K1704" s="180"/>
      <c r="L1704" s="180"/>
    </row>
    <row r="1705" spans="2:12" s="188" customFormat="1" ht="15" customHeight="1">
      <c r="B1705" s="187"/>
      <c r="C1705" s="187"/>
      <c r="D1705" s="187"/>
      <c r="E1705" s="187"/>
      <c r="F1705" s="187"/>
      <c r="G1705" s="187"/>
      <c r="H1705" s="187"/>
      <c r="J1705" s="186"/>
      <c r="K1705" s="180"/>
      <c r="L1705" s="180"/>
    </row>
    <row r="1706" spans="2:12" s="188" customFormat="1" ht="15" customHeight="1">
      <c r="B1706" s="187"/>
      <c r="C1706" s="187"/>
      <c r="D1706" s="187"/>
      <c r="E1706" s="187"/>
      <c r="F1706" s="187"/>
      <c r="G1706" s="187"/>
      <c r="H1706" s="187"/>
      <c r="J1706" s="186"/>
      <c r="K1706" s="180"/>
      <c r="L1706" s="180"/>
    </row>
    <row r="1707" spans="2:12" s="188" customFormat="1" ht="15" customHeight="1">
      <c r="B1707" s="187"/>
      <c r="C1707" s="187"/>
      <c r="D1707" s="187"/>
      <c r="E1707" s="187"/>
      <c r="F1707" s="187"/>
      <c r="G1707" s="187"/>
      <c r="H1707" s="187"/>
      <c r="J1707" s="186"/>
      <c r="K1707" s="180"/>
      <c r="L1707" s="180"/>
    </row>
    <row r="1708" spans="2:12" s="188" customFormat="1" ht="15" customHeight="1">
      <c r="B1708" s="187"/>
      <c r="C1708" s="187"/>
      <c r="D1708" s="187"/>
      <c r="E1708" s="187"/>
      <c r="F1708" s="187"/>
      <c r="G1708" s="187"/>
      <c r="H1708" s="187"/>
      <c r="J1708" s="186"/>
      <c r="K1708" s="180"/>
      <c r="L1708" s="180"/>
    </row>
    <row r="1709" spans="2:12" s="188" customFormat="1" ht="15" customHeight="1">
      <c r="B1709" s="187"/>
      <c r="C1709" s="187"/>
      <c r="D1709" s="187"/>
      <c r="E1709" s="187"/>
      <c r="F1709" s="187"/>
      <c r="G1709" s="187"/>
      <c r="H1709" s="187"/>
      <c r="J1709" s="186"/>
      <c r="K1709" s="180"/>
      <c r="L1709" s="180"/>
    </row>
    <row r="1710" spans="2:12" s="188" customFormat="1" ht="15" customHeight="1">
      <c r="B1710" s="187"/>
      <c r="C1710" s="187"/>
      <c r="D1710" s="187"/>
      <c r="E1710" s="187"/>
      <c r="F1710" s="187"/>
      <c r="G1710" s="187"/>
      <c r="H1710" s="187"/>
      <c r="J1710" s="186"/>
      <c r="K1710" s="180"/>
      <c r="L1710" s="180"/>
    </row>
    <row r="1711" spans="2:12" s="188" customFormat="1" ht="15" customHeight="1">
      <c r="B1711" s="187"/>
      <c r="C1711" s="187"/>
      <c r="D1711" s="187"/>
      <c r="E1711" s="187"/>
      <c r="F1711" s="187"/>
      <c r="G1711" s="187"/>
      <c r="H1711" s="187"/>
      <c r="J1711" s="186"/>
      <c r="K1711" s="180"/>
      <c r="L1711" s="180"/>
    </row>
    <row r="1712" spans="2:12" s="188" customFormat="1" ht="15" customHeight="1">
      <c r="B1712" s="187"/>
      <c r="C1712" s="187"/>
      <c r="D1712" s="187"/>
      <c r="E1712" s="187"/>
      <c r="F1712" s="187"/>
      <c r="G1712" s="187"/>
      <c r="H1712" s="187"/>
      <c r="J1712" s="186"/>
      <c r="K1712" s="180"/>
      <c r="L1712" s="180"/>
    </row>
    <row r="1713" spans="2:12" s="188" customFormat="1" ht="15" customHeight="1">
      <c r="B1713" s="187"/>
      <c r="C1713" s="187"/>
      <c r="D1713" s="187"/>
      <c r="E1713" s="187"/>
      <c r="F1713" s="187"/>
      <c r="G1713" s="187"/>
      <c r="H1713" s="187"/>
      <c r="J1713" s="186"/>
      <c r="K1713" s="180"/>
      <c r="L1713" s="180"/>
    </row>
    <row r="1714" spans="2:12" s="188" customFormat="1" ht="15" customHeight="1">
      <c r="B1714" s="187"/>
      <c r="C1714" s="187"/>
      <c r="D1714" s="187"/>
      <c r="E1714" s="187"/>
      <c r="F1714" s="187"/>
      <c r="G1714" s="187"/>
      <c r="H1714" s="187"/>
      <c r="J1714" s="186"/>
      <c r="K1714" s="180"/>
      <c r="L1714" s="180"/>
    </row>
    <row r="1715" spans="2:12" s="188" customFormat="1" ht="15" customHeight="1">
      <c r="B1715" s="187"/>
      <c r="C1715" s="187"/>
      <c r="D1715" s="187"/>
      <c r="E1715" s="187"/>
      <c r="F1715" s="187"/>
      <c r="G1715" s="187"/>
      <c r="H1715" s="187"/>
      <c r="J1715" s="186"/>
      <c r="K1715" s="180"/>
      <c r="L1715" s="180"/>
    </row>
    <row r="1716" spans="2:12" s="188" customFormat="1" ht="15" customHeight="1">
      <c r="B1716" s="187"/>
      <c r="C1716" s="187"/>
      <c r="D1716" s="187"/>
      <c r="E1716" s="187"/>
      <c r="F1716" s="187"/>
      <c r="G1716" s="187"/>
      <c r="H1716" s="187"/>
      <c r="J1716" s="186"/>
      <c r="K1716" s="180"/>
      <c r="L1716" s="180"/>
    </row>
    <row r="1717" spans="2:12" s="188" customFormat="1" ht="15" customHeight="1">
      <c r="B1717" s="187"/>
      <c r="C1717" s="187"/>
      <c r="D1717" s="187"/>
      <c r="E1717" s="187"/>
      <c r="F1717" s="187"/>
      <c r="G1717" s="187"/>
      <c r="H1717" s="187"/>
      <c r="J1717" s="186"/>
      <c r="K1717" s="180"/>
      <c r="L1717" s="180"/>
    </row>
    <row r="1718" spans="2:12" s="188" customFormat="1" ht="15" customHeight="1">
      <c r="B1718" s="187"/>
      <c r="C1718" s="187"/>
      <c r="D1718" s="187"/>
      <c r="E1718" s="187"/>
      <c r="F1718" s="187"/>
      <c r="G1718" s="187"/>
      <c r="H1718" s="187"/>
      <c r="J1718" s="186"/>
      <c r="K1718" s="180"/>
      <c r="L1718" s="180"/>
    </row>
    <row r="1719" spans="2:12" s="188" customFormat="1" ht="15" customHeight="1">
      <c r="B1719" s="187"/>
      <c r="C1719" s="187"/>
      <c r="D1719" s="187"/>
      <c r="E1719" s="187"/>
      <c r="F1719" s="187"/>
      <c r="G1719" s="187"/>
      <c r="H1719" s="187"/>
      <c r="J1719" s="186"/>
      <c r="K1719" s="180"/>
      <c r="L1719" s="180"/>
    </row>
    <row r="1720" spans="2:12" s="188" customFormat="1" ht="15" customHeight="1">
      <c r="B1720" s="187"/>
      <c r="C1720" s="187"/>
      <c r="D1720" s="187"/>
      <c r="E1720" s="187"/>
      <c r="F1720" s="187"/>
      <c r="G1720" s="187"/>
      <c r="H1720" s="187"/>
      <c r="J1720" s="186"/>
      <c r="K1720" s="180"/>
      <c r="L1720" s="180"/>
    </row>
    <row r="1721" spans="2:12" s="188" customFormat="1" ht="15" customHeight="1">
      <c r="B1721" s="187"/>
      <c r="C1721" s="187"/>
      <c r="D1721" s="187"/>
      <c r="E1721" s="187"/>
      <c r="F1721" s="187"/>
      <c r="G1721" s="187"/>
      <c r="H1721" s="187"/>
      <c r="J1721" s="186"/>
      <c r="K1721" s="180"/>
      <c r="L1721" s="180"/>
    </row>
    <row r="1722" spans="2:12" s="188" customFormat="1" ht="15" customHeight="1">
      <c r="B1722" s="187"/>
      <c r="C1722" s="187"/>
      <c r="D1722" s="187"/>
      <c r="E1722" s="187"/>
      <c r="F1722" s="187"/>
      <c r="G1722" s="187"/>
      <c r="H1722" s="187"/>
      <c r="J1722" s="186"/>
      <c r="K1722" s="180"/>
      <c r="L1722" s="180"/>
    </row>
    <row r="1723" spans="2:12" s="188" customFormat="1" ht="15" customHeight="1">
      <c r="B1723" s="187"/>
      <c r="C1723" s="187"/>
      <c r="D1723" s="187"/>
      <c r="E1723" s="187"/>
      <c r="F1723" s="187"/>
      <c r="G1723" s="187"/>
      <c r="H1723" s="187"/>
      <c r="J1723" s="186"/>
      <c r="K1723" s="180"/>
      <c r="L1723" s="180"/>
    </row>
    <row r="1724" spans="2:12" s="188" customFormat="1" ht="15" customHeight="1">
      <c r="B1724" s="187"/>
      <c r="C1724" s="187"/>
      <c r="D1724" s="187"/>
      <c r="E1724" s="187"/>
      <c r="F1724" s="187"/>
      <c r="G1724" s="187"/>
      <c r="H1724" s="187"/>
      <c r="J1724" s="186"/>
      <c r="K1724" s="180"/>
      <c r="L1724" s="180"/>
    </row>
    <row r="1725" spans="2:12" s="188" customFormat="1" ht="15" customHeight="1">
      <c r="B1725" s="187"/>
      <c r="C1725" s="187"/>
      <c r="D1725" s="187"/>
      <c r="E1725" s="187"/>
      <c r="F1725" s="187"/>
      <c r="G1725" s="187"/>
      <c r="H1725" s="187"/>
      <c r="J1725" s="186"/>
      <c r="K1725" s="180"/>
      <c r="L1725" s="180"/>
    </row>
    <row r="1726" spans="2:12" s="188" customFormat="1" ht="15" customHeight="1">
      <c r="B1726" s="187"/>
      <c r="C1726" s="187"/>
      <c r="D1726" s="187"/>
      <c r="E1726" s="187"/>
      <c r="F1726" s="187"/>
      <c r="G1726" s="187"/>
      <c r="H1726" s="187"/>
      <c r="J1726" s="186"/>
      <c r="K1726" s="180"/>
      <c r="L1726" s="180"/>
    </row>
    <row r="1727" spans="2:12" s="188" customFormat="1" ht="15" customHeight="1">
      <c r="B1727" s="187"/>
      <c r="C1727" s="187"/>
      <c r="D1727" s="187"/>
      <c r="E1727" s="187"/>
      <c r="F1727" s="187"/>
      <c r="G1727" s="187"/>
      <c r="H1727" s="187"/>
      <c r="J1727" s="186"/>
      <c r="K1727" s="180"/>
      <c r="L1727" s="180"/>
    </row>
    <row r="1728" spans="2:12" s="188" customFormat="1" ht="15" customHeight="1">
      <c r="B1728" s="187"/>
      <c r="C1728" s="187"/>
      <c r="D1728" s="187"/>
      <c r="E1728" s="187"/>
      <c r="F1728" s="187"/>
      <c r="G1728" s="187"/>
      <c r="H1728" s="187"/>
      <c r="J1728" s="186"/>
      <c r="K1728" s="180"/>
      <c r="L1728" s="180"/>
    </row>
    <row r="1729" spans="2:12" s="188" customFormat="1" ht="15" customHeight="1">
      <c r="B1729" s="187"/>
      <c r="C1729" s="187"/>
      <c r="D1729" s="187"/>
      <c r="E1729" s="187"/>
      <c r="F1729" s="187"/>
      <c r="G1729" s="187"/>
      <c r="H1729" s="187"/>
      <c r="J1729" s="186"/>
      <c r="K1729" s="180"/>
      <c r="L1729" s="180"/>
    </row>
    <row r="1730" spans="2:12" s="188" customFormat="1" ht="15" customHeight="1">
      <c r="B1730" s="187"/>
      <c r="C1730" s="187"/>
      <c r="D1730" s="187"/>
      <c r="E1730" s="187"/>
      <c r="F1730" s="187"/>
      <c r="G1730" s="187"/>
      <c r="H1730" s="187"/>
      <c r="J1730" s="186"/>
      <c r="K1730" s="180"/>
      <c r="L1730" s="180"/>
    </row>
    <row r="1731" spans="2:12" s="188" customFormat="1" ht="15" customHeight="1">
      <c r="B1731" s="187"/>
      <c r="C1731" s="187"/>
      <c r="D1731" s="187"/>
      <c r="E1731" s="187"/>
      <c r="F1731" s="187"/>
      <c r="G1731" s="187"/>
      <c r="H1731" s="187"/>
      <c r="J1731" s="186"/>
      <c r="K1731" s="180"/>
      <c r="L1731" s="180"/>
    </row>
    <row r="1732" spans="2:12" s="188" customFormat="1" ht="15" customHeight="1">
      <c r="B1732" s="187"/>
      <c r="C1732" s="187"/>
      <c r="D1732" s="187"/>
      <c r="E1732" s="187"/>
      <c r="F1732" s="187"/>
      <c r="G1732" s="187"/>
      <c r="H1732" s="187"/>
      <c r="J1732" s="186"/>
      <c r="K1732" s="180"/>
      <c r="L1732" s="180"/>
    </row>
    <row r="1733" spans="2:12" s="188" customFormat="1" ht="15" customHeight="1">
      <c r="B1733" s="187"/>
      <c r="C1733" s="187"/>
      <c r="D1733" s="187"/>
      <c r="E1733" s="187"/>
      <c r="F1733" s="187"/>
      <c r="G1733" s="187"/>
      <c r="H1733" s="187"/>
      <c r="J1733" s="186"/>
      <c r="K1733" s="180"/>
      <c r="L1733" s="180"/>
    </row>
    <row r="1734" spans="2:12" s="188" customFormat="1" ht="15" customHeight="1">
      <c r="B1734" s="187"/>
      <c r="C1734" s="187"/>
      <c r="D1734" s="187"/>
      <c r="E1734" s="187"/>
      <c r="F1734" s="187"/>
      <c r="G1734" s="187"/>
      <c r="H1734" s="187"/>
      <c r="J1734" s="186"/>
      <c r="K1734" s="180"/>
      <c r="L1734" s="180"/>
    </row>
    <row r="1735" spans="2:12" s="188" customFormat="1" ht="15" customHeight="1">
      <c r="B1735" s="187"/>
      <c r="C1735" s="187"/>
      <c r="D1735" s="187"/>
      <c r="E1735" s="187"/>
      <c r="F1735" s="187"/>
      <c r="G1735" s="187"/>
      <c r="H1735" s="187"/>
      <c r="J1735" s="186"/>
      <c r="K1735" s="180"/>
      <c r="L1735" s="180"/>
    </row>
    <row r="1736" spans="2:12" s="188" customFormat="1" ht="15" customHeight="1">
      <c r="B1736" s="187"/>
      <c r="C1736" s="187"/>
      <c r="D1736" s="187"/>
      <c r="E1736" s="187"/>
      <c r="F1736" s="187"/>
      <c r="G1736" s="187"/>
      <c r="H1736" s="187"/>
      <c r="J1736" s="186"/>
      <c r="K1736" s="180"/>
      <c r="L1736" s="180"/>
    </row>
    <row r="1737" spans="2:12" s="188" customFormat="1" ht="15" customHeight="1">
      <c r="B1737" s="187"/>
      <c r="C1737" s="187"/>
      <c r="D1737" s="187"/>
      <c r="E1737" s="187"/>
      <c r="F1737" s="187"/>
      <c r="G1737" s="187"/>
      <c r="H1737" s="187"/>
      <c r="J1737" s="186"/>
      <c r="K1737" s="180"/>
      <c r="L1737" s="180"/>
    </row>
    <row r="1738" spans="2:12" s="188" customFormat="1" ht="15" customHeight="1">
      <c r="B1738" s="187"/>
      <c r="C1738" s="187"/>
      <c r="D1738" s="187"/>
      <c r="E1738" s="187"/>
      <c r="F1738" s="187"/>
      <c r="G1738" s="187"/>
      <c r="H1738" s="187"/>
      <c r="J1738" s="186"/>
      <c r="K1738" s="180"/>
      <c r="L1738" s="180"/>
    </row>
    <row r="1739" spans="2:12" s="188" customFormat="1" ht="15" customHeight="1">
      <c r="B1739" s="187"/>
      <c r="C1739" s="187"/>
      <c r="D1739" s="187"/>
      <c r="E1739" s="187"/>
      <c r="F1739" s="187"/>
      <c r="G1739" s="187"/>
      <c r="H1739" s="187"/>
      <c r="J1739" s="186"/>
      <c r="K1739" s="180"/>
      <c r="L1739" s="180"/>
    </row>
    <row r="1740" spans="2:12" s="188" customFormat="1" ht="15" customHeight="1">
      <c r="B1740" s="187"/>
      <c r="C1740" s="187"/>
      <c r="D1740" s="187"/>
      <c r="E1740" s="187"/>
      <c r="F1740" s="187"/>
      <c r="G1740" s="187"/>
      <c r="H1740" s="187"/>
      <c r="J1740" s="186"/>
      <c r="K1740" s="180"/>
      <c r="L1740" s="180"/>
    </row>
    <row r="1741" spans="2:12" s="188" customFormat="1" ht="15" customHeight="1">
      <c r="B1741" s="187"/>
      <c r="C1741" s="187"/>
      <c r="D1741" s="187"/>
      <c r="E1741" s="187"/>
      <c r="F1741" s="187"/>
      <c r="G1741" s="187"/>
      <c r="H1741" s="187"/>
      <c r="J1741" s="186"/>
      <c r="K1741" s="180"/>
      <c r="L1741" s="180"/>
    </row>
    <row r="1742" spans="2:12" s="188" customFormat="1" ht="15" customHeight="1">
      <c r="B1742" s="187"/>
      <c r="C1742" s="187"/>
      <c r="D1742" s="187"/>
      <c r="E1742" s="187"/>
      <c r="F1742" s="187"/>
      <c r="G1742" s="187"/>
      <c r="H1742" s="187"/>
      <c r="J1742" s="186"/>
      <c r="K1742" s="180"/>
      <c r="L1742" s="180"/>
    </row>
    <row r="1743" spans="2:12" s="188" customFormat="1" ht="15" customHeight="1">
      <c r="B1743" s="187"/>
      <c r="C1743" s="187"/>
      <c r="D1743" s="187"/>
      <c r="E1743" s="187"/>
      <c r="F1743" s="187"/>
      <c r="G1743" s="187"/>
      <c r="H1743" s="187"/>
      <c r="J1743" s="186"/>
      <c r="K1743" s="180"/>
      <c r="L1743" s="180"/>
    </row>
    <row r="1744" spans="2:12" s="188" customFormat="1" ht="15" customHeight="1">
      <c r="B1744" s="187"/>
      <c r="C1744" s="187"/>
      <c r="D1744" s="187"/>
      <c r="E1744" s="187"/>
      <c r="F1744" s="187"/>
      <c r="G1744" s="187"/>
      <c r="H1744" s="187"/>
      <c r="J1744" s="186"/>
      <c r="K1744" s="180"/>
      <c r="L1744" s="180"/>
    </row>
    <row r="1745" spans="2:12" s="188" customFormat="1" ht="15" customHeight="1">
      <c r="B1745" s="187"/>
      <c r="C1745" s="187"/>
      <c r="D1745" s="187"/>
      <c r="E1745" s="187"/>
      <c r="F1745" s="187"/>
      <c r="G1745" s="187"/>
      <c r="H1745" s="187"/>
      <c r="J1745" s="186"/>
      <c r="K1745" s="180"/>
      <c r="L1745" s="180"/>
    </row>
    <row r="1746" spans="2:12" s="188" customFormat="1" ht="15" customHeight="1">
      <c r="B1746" s="187"/>
      <c r="C1746" s="187"/>
      <c r="D1746" s="187"/>
      <c r="E1746" s="187"/>
      <c r="F1746" s="187"/>
      <c r="G1746" s="187"/>
      <c r="H1746" s="187"/>
      <c r="J1746" s="186"/>
      <c r="K1746" s="180"/>
      <c r="L1746" s="180"/>
    </row>
    <row r="1747" spans="2:12" s="188" customFormat="1" ht="15" customHeight="1">
      <c r="B1747" s="187"/>
      <c r="C1747" s="187"/>
      <c r="D1747" s="187"/>
      <c r="E1747" s="187"/>
      <c r="F1747" s="187"/>
      <c r="G1747" s="187"/>
      <c r="H1747" s="187"/>
      <c r="J1747" s="186"/>
      <c r="K1747" s="180"/>
      <c r="L1747" s="180"/>
    </row>
    <row r="1748" spans="2:12" s="188" customFormat="1" ht="15" customHeight="1">
      <c r="B1748" s="187"/>
      <c r="C1748" s="187"/>
      <c r="D1748" s="187"/>
      <c r="E1748" s="187"/>
      <c r="F1748" s="187"/>
      <c r="G1748" s="187"/>
      <c r="H1748" s="187"/>
      <c r="J1748" s="186"/>
      <c r="K1748" s="180"/>
      <c r="L1748" s="180"/>
    </row>
    <row r="1749" spans="2:12" s="188" customFormat="1" ht="15" customHeight="1">
      <c r="B1749" s="187"/>
      <c r="C1749" s="187"/>
      <c r="D1749" s="187"/>
      <c r="E1749" s="187"/>
      <c r="F1749" s="187"/>
      <c r="G1749" s="187"/>
      <c r="H1749" s="187"/>
      <c r="J1749" s="186"/>
      <c r="K1749" s="180"/>
      <c r="L1749" s="180"/>
    </row>
    <row r="1750" spans="2:12" s="188" customFormat="1" ht="15" customHeight="1">
      <c r="B1750" s="187"/>
      <c r="C1750" s="187"/>
      <c r="D1750" s="187"/>
      <c r="E1750" s="187"/>
      <c r="F1750" s="187"/>
      <c r="G1750" s="187"/>
      <c r="H1750" s="187"/>
      <c r="J1750" s="186"/>
      <c r="K1750" s="180"/>
      <c r="L1750" s="180"/>
    </row>
    <row r="1751" spans="2:12" s="188" customFormat="1" ht="15" customHeight="1">
      <c r="B1751" s="187"/>
      <c r="C1751" s="187"/>
      <c r="D1751" s="187"/>
      <c r="E1751" s="187"/>
      <c r="F1751" s="187"/>
      <c r="G1751" s="187"/>
      <c r="H1751" s="187"/>
      <c r="J1751" s="186"/>
      <c r="K1751" s="180"/>
      <c r="L1751" s="180"/>
    </row>
    <row r="1752" spans="2:12" s="188" customFormat="1" ht="15" customHeight="1">
      <c r="B1752" s="187"/>
      <c r="C1752" s="187"/>
      <c r="D1752" s="187"/>
      <c r="E1752" s="187"/>
      <c r="F1752" s="187"/>
      <c r="G1752" s="187"/>
      <c r="H1752" s="187"/>
      <c r="J1752" s="186"/>
      <c r="K1752" s="180"/>
      <c r="L1752" s="180"/>
    </row>
    <row r="1753" spans="2:12" s="188" customFormat="1" ht="15" customHeight="1">
      <c r="B1753" s="187"/>
      <c r="C1753" s="187"/>
      <c r="D1753" s="187"/>
      <c r="E1753" s="187"/>
      <c r="F1753" s="187"/>
      <c r="G1753" s="187"/>
      <c r="H1753" s="187"/>
      <c r="J1753" s="186"/>
      <c r="K1753" s="180"/>
      <c r="L1753" s="180"/>
    </row>
    <row r="1754" spans="2:12" s="188" customFormat="1" ht="15" customHeight="1">
      <c r="B1754" s="187"/>
      <c r="C1754" s="187"/>
      <c r="D1754" s="187"/>
      <c r="E1754" s="187"/>
      <c r="F1754" s="187"/>
      <c r="G1754" s="187"/>
      <c r="H1754" s="187"/>
      <c r="J1754" s="186"/>
      <c r="K1754" s="180"/>
      <c r="L1754" s="180"/>
    </row>
    <row r="1755" spans="2:12" s="188" customFormat="1" ht="15" customHeight="1">
      <c r="B1755" s="187"/>
      <c r="C1755" s="187"/>
      <c r="D1755" s="187"/>
      <c r="E1755" s="187"/>
      <c r="F1755" s="187"/>
      <c r="G1755" s="187"/>
      <c r="H1755" s="187"/>
      <c r="J1755" s="186"/>
      <c r="K1755" s="180"/>
      <c r="L1755" s="180"/>
    </row>
    <row r="1756" spans="2:12" s="188" customFormat="1" ht="15" customHeight="1">
      <c r="B1756" s="187"/>
      <c r="C1756" s="187"/>
      <c r="D1756" s="187"/>
      <c r="E1756" s="187"/>
      <c r="F1756" s="187"/>
      <c r="G1756" s="187"/>
      <c r="H1756" s="187"/>
      <c r="J1756" s="186"/>
      <c r="K1756" s="180"/>
      <c r="L1756" s="180"/>
    </row>
    <row r="1757" spans="2:12" s="188" customFormat="1" ht="15" customHeight="1">
      <c r="B1757" s="187"/>
      <c r="C1757" s="187"/>
      <c r="D1757" s="187"/>
      <c r="E1757" s="187"/>
      <c r="F1757" s="187"/>
      <c r="G1757" s="187"/>
      <c r="H1757" s="187"/>
      <c r="J1757" s="186"/>
      <c r="K1757" s="180"/>
      <c r="L1757" s="180"/>
    </row>
    <row r="1758" spans="2:12" s="188" customFormat="1" ht="15" customHeight="1">
      <c r="B1758" s="187"/>
      <c r="C1758" s="187"/>
      <c r="D1758" s="187"/>
      <c r="E1758" s="187"/>
      <c r="F1758" s="187"/>
      <c r="G1758" s="187"/>
      <c r="H1758" s="187"/>
      <c r="J1758" s="186"/>
      <c r="K1758" s="180"/>
      <c r="L1758" s="180"/>
    </row>
    <row r="1759" spans="2:12" s="188" customFormat="1" ht="15" customHeight="1">
      <c r="B1759" s="187"/>
      <c r="C1759" s="187"/>
      <c r="D1759" s="187"/>
      <c r="E1759" s="187"/>
      <c r="F1759" s="187"/>
      <c r="G1759" s="187"/>
      <c r="H1759" s="187"/>
      <c r="J1759" s="186"/>
      <c r="K1759" s="180"/>
      <c r="L1759" s="180"/>
    </row>
    <row r="1760" spans="2:12" s="188" customFormat="1" ht="15" customHeight="1">
      <c r="B1760" s="187"/>
      <c r="C1760" s="187"/>
      <c r="D1760" s="187"/>
      <c r="E1760" s="187"/>
      <c r="F1760" s="187"/>
      <c r="G1760" s="187"/>
      <c r="H1760" s="187"/>
      <c r="J1760" s="186"/>
      <c r="K1760" s="180"/>
      <c r="L1760" s="180"/>
    </row>
    <row r="1761" spans="2:12" s="188" customFormat="1" ht="15" customHeight="1">
      <c r="B1761" s="187"/>
      <c r="C1761" s="187"/>
      <c r="D1761" s="187"/>
      <c r="E1761" s="187"/>
      <c r="F1761" s="187"/>
      <c r="G1761" s="187"/>
      <c r="H1761" s="187"/>
      <c r="J1761" s="186"/>
      <c r="K1761" s="180"/>
      <c r="L1761" s="180"/>
    </row>
    <row r="1762" spans="2:12" s="188" customFormat="1" ht="15" customHeight="1">
      <c r="B1762" s="187"/>
      <c r="C1762" s="187"/>
      <c r="D1762" s="187"/>
      <c r="E1762" s="187"/>
      <c r="F1762" s="187"/>
      <c r="G1762" s="187"/>
      <c r="H1762" s="187"/>
      <c r="J1762" s="186"/>
      <c r="K1762" s="180"/>
      <c r="L1762" s="180"/>
    </row>
    <row r="1763" spans="2:12" s="188" customFormat="1" ht="15" customHeight="1">
      <c r="B1763" s="187"/>
      <c r="C1763" s="187"/>
      <c r="D1763" s="187"/>
      <c r="E1763" s="187"/>
      <c r="F1763" s="187"/>
      <c r="G1763" s="187"/>
      <c r="H1763" s="187"/>
      <c r="J1763" s="186"/>
      <c r="K1763" s="180"/>
      <c r="L1763" s="180"/>
    </row>
    <row r="1764" spans="2:12" s="188" customFormat="1" ht="15" customHeight="1">
      <c r="B1764" s="187"/>
      <c r="C1764" s="187"/>
      <c r="D1764" s="187"/>
      <c r="E1764" s="187"/>
      <c r="F1764" s="187"/>
      <c r="G1764" s="187"/>
      <c r="H1764" s="187"/>
      <c r="J1764" s="186"/>
      <c r="K1764" s="180"/>
      <c r="L1764" s="180"/>
    </row>
    <row r="1765" spans="2:12" s="188" customFormat="1" ht="15" customHeight="1">
      <c r="B1765" s="187"/>
      <c r="C1765" s="187"/>
      <c r="D1765" s="187"/>
      <c r="E1765" s="187"/>
      <c r="F1765" s="187"/>
      <c r="G1765" s="187"/>
      <c r="H1765" s="187"/>
      <c r="J1765" s="186"/>
      <c r="K1765" s="180"/>
      <c r="L1765" s="180"/>
    </row>
    <row r="1766" spans="2:12" s="188" customFormat="1" ht="15" customHeight="1">
      <c r="B1766" s="187"/>
      <c r="C1766" s="187"/>
      <c r="D1766" s="187"/>
      <c r="E1766" s="187"/>
      <c r="F1766" s="187"/>
      <c r="G1766" s="187"/>
      <c r="H1766" s="187"/>
      <c r="J1766" s="186"/>
      <c r="K1766" s="180"/>
      <c r="L1766" s="180"/>
    </row>
    <row r="1767" spans="2:12" s="188" customFormat="1" ht="15" customHeight="1">
      <c r="B1767" s="187"/>
      <c r="C1767" s="187"/>
      <c r="D1767" s="187"/>
      <c r="E1767" s="187"/>
      <c r="F1767" s="187"/>
      <c r="G1767" s="187"/>
      <c r="H1767" s="187"/>
      <c r="J1767" s="186"/>
      <c r="K1767" s="180"/>
      <c r="L1767" s="180"/>
    </row>
    <row r="1768" spans="2:12" s="188" customFormat="1" ht="15" customHeight="1">
      <c r="B1768" s="187"/>
      <c r="C1768" s="187"/>
      <c r="D1768" s="187"/>
      <c r="E1768" s="187"/>
      <c r="F1768" s="187"/>
      <c r="G1768" s="187"/>
      <c r="H1768" s="187"/>
      <c r="J1768" s="186"/>
      <c r="K1768" s="180"/>
      <c r="L1768" s="180"/>
    </row>
    <row r="1769" spans="2:12" s="188" customFormat="1" ht="15" customHeight="1">
      <c r="B1769" s="187"/>
      <c r="C1769" s="187"/>
      <c r="D1769" s="187"/>
      <c r="E1769" s="187"/>
      <c r="F1769" s="187"/>
      <c r="G1769" s="187"/>
      <c r="H1769" s="187"/>
      <c r="J1769" s="186"/>
      <c r="K1769" s="180"/>
      <c r="L1769" s="180"/>
    </row>
    <row r="1770" spans="2:12" s="188" customFormat="1" ht="15" customHeight="1">
      <c r="B1770" s="187"/>
      <c r="C1770" s="187"/>
      <c r="D1770" s="187"/>
      <c r="E1770" s="187"/>
      <c r="F1770" s="187"/>
      <c r="G1770" s="187"/>
      <c r="H1770" s="187"/>
      <c r="J1770" s="186"/>
      <c r="K1770" s="180"/>
      <c r="L1770" s="180"/>
    </row>
    <row r="1771" spans="2:12" s="188" customFormat="1" ht="15" customHeight="1">
      <c r="B1771" s="187"/>
      <c r="C1771" s="187"/>
      <c r="D1771" s="187"/>
      <c r="E1771" s="187"/>
      <c r="F1771" s="187"/>
      <c r="G1771" s="187"/>
      <c r="H1771" s="187"/>
      <c r="J1771" s="186"/>
      <c r="K1771" s="180"/>
      <c r="L1771" s="180"/>
    </row>
    <row r="1772" spans="2:12" s="188" customFormat="1" ht="15" customHeight="1">
      <c r="B1772" s="187"/>
      <c r="C1772" s="187"/>
      <c r="D1772" s="187"/>
      <c r="E1772" s="187"/>
      <c r="F1772" s="187"/>
      <c r="G1772" s="187"/>
      <c r="H1772" s="187"/>
      <c r="J1772" s="186"/>
      <c r="K1772" s="180"/>
      <c r="L1772" s="180"/>
    </row>
    <row r="1773" spans="2:12" s="188" customFormat="1" ht="15" customHeight="1">
      <c r="B1773" s="187"/>
      <c r="C1773" s="187"/>
      <c r="D1773" s="187"/>
      <c r="E1773" s="187"/>
      <c r="F1773" s="187"/>
      <c r="G1773" s="187"/>
      <c r="H1773" s="187"/>
      <c r="J1773" s="186"/>
      <c r="K1773" s="180"/>
      <c r="L1773" s="180"/>
    </row>
    <row r="1774" spans="2:12" s="188" customFormat="1" ht="15" customHeight="1">
      <c r="B1774" s="187"/>
      <c r="C1774" s="187"/>
      <c r="D1774" s="187"/>
      <c r="E1774" s="187"/>
      <c r="F1774" s="187"/>
      <c r="G1774" s="187"/>
      <c r="H1774" s="187"/>
      <c r="J1774" s="186"/>
      <c r="K1774" s="180"/>
      <c r="L1774" s="180"/>
    </row>
    <row r="1775" spans="2:12" s="188" customFormat="1" ht="15" customHeight="1">
      <c r="B1775" s="187"/>
      <c r="C1775" s="187"/>
      <c r="D1775" s="187"/>
      <c r="E1775" s="187"/>
      <c r="F1775" s="187"/>
      <c r="G1775" s="187"/>
      <c r="H1775" s="187"/>
      <c r="J1775" s="186"/>
      <c r="K1775" s="180"/>
      <c r="L1775" s="180"/>
    </row>
    <row r="1776" spans="2:12" s="188" customFormat="1" ht="15" customHeight="1">
      <c r="B1776" s="187"/>
      <c r="C1776" s="187"/>
      <c r="D1776" s="187"/>
      <c r="E1776" s="187"/>
      <c r="F1776" s="187"/>
      <c r="G1776" s="187"/>
      <c r="H1776" s="187"/>
      <c r="J1776" s="186"/>
      <c r="K1776" s="180"/>
      <c r="L1776" s="180"/>
    </row>
    <row r="1777" spans="2:12" s="188" customFormat="1" ht="15" customHeight="1">
      <c r="B1777" s="187"/>
      <c r="C1777" s="187"/>
      <c r="D1777" s="187"/>
      <c r="E1777" s="187"/>
      <c r="F1777" s="187"/>
      <c r="G1777" s="187"/>
      <c r="H1777" s="187"/>
      <c r="J1777" s="186"/>
      <c r="K1777" s="180"/>
      <c r="L1777" s="180"/>
    </row>
    <row r="1778" spans="2:12" s="188" customFormat="1" ht="15" customHeight="1">
      <c r="B1778" s="187"/>
      <c r="C1778" s="187"/>
      <c r="D1778" s="187"/>
      <c r="E1778" s="187"/>
      <c r="F1778" s="187"/>
      <c r="G1778" s="187"/>
      <c r="H1778" s="187"/>
      <c r="J1778" s="186"/>
      <c r="K1778" s="180"/>
      <c r="L1778" s="180"/>
    </row>
    <row r="1779" spans="2:12" s="188" customFormat="1" ht="15" customHeight="1">
      <c r="B1779" s="187"/>
      <c r="C1779" s="187"/>
      <c r="D1779" s="187"/>
      <c r="E1779" s="187"/>
      <c r="F1779" s="187"/>
      <c r="G1779" s="187"/>
      <c r="H1779" s="187"/>
      <c r="J1779" s="186"/>
      <c r="K1779" s="180"/>
      <c r="L1779" s="180"/>
    </row>
    <row r="1780" spans="2:12" s="188" customFormat="1" ht="15" customHeight="1">
      <c r="B1780" s="187"/>
      <c r="C1780" s="187"/>
      <c r="D1780" s="187"/>
      <c r="E1780" s="187"/>
      <c r="F1780" s="187"/>
      <c r="G1780" s="187"/>
      <c r="H1780" s="187"/>
      <c r="J1780" s="186"/>
      <c r="K1780" s="180"/>
      <c r="L1780" s="180"/>
    </row>
    <row r="1781" spans="2:12" s="188" customFormat="1" ht="15" customHeight="1">
      <c r="B1781" s="187"/>
      <c r="C1781" s="187"/>
      <c r="D1781" s="187"/>
      <c r="E1781" s="187"/>
      <c r="F1781" s="187"/>
      <c r="G1781" s="187"/>
      <c r="H1781" s="187"/>
      <c r="J1781" s="186"/>
      <c r="K1781" s="180"/>
      <c r="L1781" s="180"/>
    </row>
    <row r="1782" spans="2:12" s="188" customFormat="1" ht="15" customHeight="1">
      <c r="B1782" s="187"/>
      <c r="C1782" s="187"/>
      <c r="D1782" s="187"/>
      <c r="E1782" s="187"/>
      <c r="F1782" s="187"/>
      <c r="G1782" s="187"/>
      <c r="H1782" s="187"/>
      <c r="J1782" s="186"/>
      <c r="K1782" s="180"/>
      <c r="L1782" s="180"/>
    </row>
    <row r="1783" spans="2:12" s="188" customFormat="1" ht="15" customHeight="1">
      <c r="B1783" s="187"/>
      <c r="C1783" s="187"/>
      <c r="D1783" s="187"/>
      <c r="E1783" s="187"/>
      <c r="F1783" s="187"/>
      <c r="G1783" s="187"/>
      <c r="H1783" s="187"/>
      <c r="J1783" s="186"/>
      <c r="K1783" s="180"/>
      <c r="L1783" s="180"/>
    </row>
    <row r="1784" spans="2:12" s="188" customFormat="1" ht="15" customHeight="1">
      <c r="B1784" s="187"/>
      <c r="C1784" s="187"/>
      <c r="D1784" s="187"/>
      <c r="E1784" s="187"/>
      <c r="F1784" s="187"/>
      <c r="G1784" s="187"/>
      <c r="H1784" s="187"/>
      <c r="J1784" s="186"/>
      <c r="K1784" s="180"/>
      <c r="L1784" s="180"/>
    </row>
    <row r="1785" spans="2:12" s="188" customFormat="1" ht="15" customHeight="1">
      <c r="B1785" s="187"/>
      <c r="C1785" s="187"/>
      <c r="D1785" s="187"/>
      <c r="E1785" s="187"/>
      <c r="F1785" s="187"/>
      <c r="G1785" s="187"/>
      <c r="H1785" s="187"/>
      <c r="J1785" s="186"/>
      <c r="K1785" s="180"/>
      <c r="L1785" s="180"/>
    </row>
    <row r="1786" spans="2:12" s="188" customFormat="1" ht="15" customHeight="1">
      <c r="B1786" s="187"/>
      <c r="C1786" s="187"/>
      <c r="D1786" s="187"/>
      <c r="E1786" s="187"/>
      <c r="F1786" s="187"/>
      <c r="G1786" s="187"/>
      <c r="H1786" s="187"/>
      <c r="J1786" s="186"/>
      <c r="K1786" s="180"/>
      <c r="L1786" s="180"/>
    </row>
    <row r="1787" spans="2:12" s="188" customFormat="1" ht="15" customHeight="1">
      <c r="B1787" s="187"/>
      <c r="C1787" s="187"/>
      <c r="D1787" s="187"/>
      <c r="E1787" s="187"/>
      <c r="F1787" s="187"/>
      <c r="G1787" s="187"/>
      <c r="H1787" s="187"/>
      <c r="J1787" s="186"/>
      <c r="K1787" s="180"/>
      <c r="L1787" s="180"/>
    </row>
    <row r="1788" spans="2:12" s="188" customFormat="1" ht="15" customHeight="1">
      <c r="B1788" s="187"/>
      <c r="C1788" s="187"/>
      <c r="D1788" s="187"/>
      <c r="E1788" s="187"/>
      <c r="F1788" s="187"/>
      <c r="G1788" s="187"/>
      <c r="H1788" s="187"/>
      <c r="J1788" s="186"/>
      <c r="K1788" s="180"/>
      <c r="L1788" s="180"/>
    </row>
    <row r="1789" spans="2:12" s="188" customFormat="1" ht="15" customHeight="1">
      <c r="B1789" s="187"/>
      <c r="C1789" s="187"/>
      <c r="D1789" s="187"/>
      <c r="E1789" s="187"/>
      <c r="F1789" s="187"/>
      <c r="G1789" s="187"/>
      <c r="H1789" s="187"/>
      <c r="J1789" s="186"/>
      <c r="K1789" s="180"/>
      <c r="L1789" s="180"/>
    </row>
    <row r="1790" spans="2:12" s="188" customFormat="1" ht="15" customHeight="1">
      <c r="B1790" s="187"/>
      <c r="C1790" s="187"/>
      <c r="D1790" s="187"/>
      <c r="E1790" s="187"/>
      <c r="F1790" s="187"/>
      <c r="G1790" s="187"/>
      <c r="H1790" s="187"/>
      <c r="J1790" s="186"/>
      <c r="K1790" s="180"/>
      <c r="L1790" s="180"/>
    </row>
    <row r="1791" spans="2:12" s="188" customFormat="1" ht="15" customHeight="1">
      <c r="B1791" s="187"/>
      <c r="C1791" s="187"/>
      <c r="D1791" s="187"/>
      <c r="E1791" s="187"/>
      <c r="F1791" s="187"/>
      <c r="G1791" s="187"/>
      <c r="H1791" s="187"/>
      <c r="J1791" s="186"/>
      <c r="K1791" s="180"/>
      <c r="L1791" s="180"/>
    </row>
    <row r="1792" spans="2:12" s="188" customFormat="1" ht="15" customHeight="1">
      <c r="B1792" s="187"/>
      <c r="C1792" s="187"/>
      <c r="D1792" s="187"/>
      <c r="E1792" s="187"/>
      <c r="F1792" s="187"/>
      <c r="G1792" s="187"/>
      <c r="H1792" s="187"/>
      <c r="J1792" s="186"/>
      <c r="K1792" s="180"/>
      <c r="L1792" s="180"/>
    </row>
    <row r="1793" spans="2:12" s="188" customFormat="1" ht="15" customHeight="1">
      <c r="B1793" s="187"/>
      <c r="C1793" s="187"/>
      <c r="D1793" s="187"/>
      <c r="E1793" s="187"/>
      <c r="F1793" s="187"/>
      <c r="G1793" s="187"/>
      <c r="H1793" s="187"/>
      <c r="J1793" s="186"/>
      <c r="K1793" s="180"/>
      <c r="L1793" s="180"/>
    </row>
    <row r="1794" spans="2:12" s="188" customFormat="1" ht="15" customHeight="1">
      <c r="B1794" s="187"/>
      <c r="C1794" s="187"/>
      <c r="D1794" s="187"/>
      <c r="E1794" s="187"/>
      <c r="F1794" s="187"/>
      <c r="G1794" s="187"/>
      <c r="H1794" s="187"/>
      <c r="J1794" s="186"/>
      <c r="K1794" s="180"/>
      <c r="L1794" s="180"/>
    </row>
    <row r="1795" spans="2:12" s="188" customFormat="1" ht="15" customHeight="1">
      <c r="B1795" s="187"/>
      <c r="C1795" s="187"/>
      <c r="D1795" s="187"/>
      <c r="E1795" s="187"/>
      <c r="F1795" s="187"/>
      <c r="G1795" s="187"/>
      <c r="H1795" s="187"/>
      <c r="J1795" s="186"/>
      <c r="K1795" s="180"/>
      <c r="L1795" s="180"/>
    </row>
    <row r="1796" spans="2:12" s="188" customFormat="1" ht="15" customHeight="1">
      <c r="B1796" s="187"/>
      <c r="C1796" s="187"/>
      <c r="D1796" s="187"/>
      <c r="E1796" s="187"/>
      <c r="F1796" s="187"/>
      <c r="G1796" s="187"/>
      <c r="H1796" s="187"/>
      <c r="J1796" s="186"/>
      <c r="K1796" s="180"/>
      <c r="L1796" s="180"/>
    </row>
    <row r="1797" spans="2:12" s="188" customFormat="1" ht="15" customHeight="1">
      <c r="B1797" s="187"/>
      <c r="C1797" s="187"/>
      <c r="D1797" s="187"/>
      <c r="E1797" s="187"/>
      <c r="F1797" s="187"/>
      <c r="G1797" s="187"/>
      <c r="H1797" s="187"/>
      <c r="J1797" s="186"/>
      <c r="K1797" s="180"/>
      <c r="L1797" s="180"/>
    </row>
    <row r="1798" spans="2:12" s="188" customFormat="1" ht="15" customHeight="1">
      <c r="B1798" s="187"/>
      <c r="C1798" s="187"/>
      <c r="D1798" s="187"/>
      <c r="E1798" s="187"/>
      <c r="F1798" s="187"/>
      <c r="G1798" s="187"/>
      <c r="H1798" s="187"/>
      <c r="J1798" s="186"/>
      <c r="K1798" s="180"/>
      <c r="L1798" s="180"/>
    </row>
    <row r="1799" spans="2:12" s="188" customFormat="1" ht="15" customHeight="1">
      <c r="B1799" s="187"/>
      <c r="C1799" s="187"/>
      <c r="D1799" s="187"/>
      <c r="E1799" s="187"/>
      <c r="F1799" s="187"/>
      <c r="G1799" s="187"/>
      <c r="H1799" s="187"/>
      <c r="J1799" s="186"/>
      <c r="K1799" s="180"/>
      <c r="L1799" s="180"/>
    </row>
    <row r="1800" spans="2:12" s="188" customFormat="1" ht="15" customHeight="1">
      <c r="B1800" s="187"/>
      <c r="C1800" s="187"/>
      <c r="D1800" s="187"/>
      <c r="E1800" s="187"/>
      <c r="F1800" s="187"/>
      <c r="G1800" s="187"/>
      <c r="H1800" s="187"/>
      <c r="J1800" s="186"/>
      <c r="K1800" s="180"/>
      <c r="L1800" s="180"/>
    </row>
    <row r="1801" spans="2:12" s="188" customFormat="1" ht="15" customHeight="1">
      <c r="B1801" s="187"/>
      <c r="C1801" s="187"/>
      <c r="D1801" s="187"/>
      <c r="E1801" s="187"/>
      <c r="F1801" s="187"/>
      <c r="G1801" s="187"/>
      <c r="H1801" s="187"/>
      <c r="J1801" s="186"/>
      <c r="K1801" s="180"/>
      <c r="L1801" s="180"/>
    </row>
    <row r="1802" spans="2:12" s="188" customFormat="1" ht="15" customHeight="1">
      <c r="B1802" s="187"/>
      <c r="C1802" s="187"/>
      <c r="D1802" s="187"/>
      <c r="E1802" s="187"/>
      <c r="F1802" s="187"/>
      <c r="G1802" s="187"/>
      <c r="H1802" s="187"/>
      <c r="J1802" s="186"/>
      <c r="K1802" s="180"/>
      <c r="L1802" s="180"/>
    </row>
    <row r="1803" spans="2:12" s="188" customFormat="1" ht="15" customHeight="1">
      <c r="B1803" s="187"/>
      <c r="C1803" s="187"/>
      <c r="D1803" s="187"/>
      <c r="E1803" s="187"/>
      <c r="F1803" s="187"/>
      <c r="G1803" s="187"/>
      <c r="H1803" s="187"/>
      <c r="J1803" s="186"/>
      <c r="K1803" s="180"/>
      <c r="L1803" s="180"/>
    </row>
    <row r="1804" spans="2:12" s="188" customFormat="1" ht="15" customHeight="1">
      <c r="B1804" s="187"/>
      <c r="C1804" s="187"/>
      <c r="D1804" s="187"/>
      <c r="E1804" s="187"/>
      <c r="F1804" s="187"/>
      <c r="G1804" s="187"/>
      <c r="H1804" s="187"/>
      <c r="J1804" s="186"/>
      <c r="K1804" s="180"/>
      <c r="L1804" s="180"/>
    </row>
    <row r="1805" spans="2:12" s="188" customFormat="1" ht="15" customHeight="1">
      <c r="B1805" s="187"/>
      <c r="C1805" s="187"/>
      <c r="D1805" s="187"/>
      <c r="E1805" s="187"/>
      <c r="F1805" s="187"/>
      <c r="G1805" s="187"/>
      <c r="H1805" s="187"/>
      <c r="J1805" s="186"/>
      <c r="K1805" s="180"/>
      <c r="L1805" s="180"/>
    </row>
    <row r="1806" spans="2:12" s="188" customFormat="1" ht="15" customHeight="1">
      <c r="B1806" s="187"/>
      <c r="C1806" s="187"/>
      <c r="D1806" s="187"/>
      <c r="E1806" s="187"/>
      <c r="F1806" s="187"/>
      <c r="G1806" s="187"/>
      <c r="H1806" s="187"/>
      <c r="J1806" s="186"/>
      <c r="K1806" s="180"/>
      <c r="L1806" s="180"/>
    </row>
    <row r="1807" spans="2:12" s="188" customFormat="1" ht="15" customHeight="1">
      <c r="B1807" s="187"/>
      <c r="C1807" s="187"/>
      <c r="D1807" s="187"/>
      <c r="E1807" s="187"/>
      <c r="F1807" s="187"/>
      <c r="G1807" s="187"/>
      <c r="H1807" s="187"/>
      <c r="J1807" s="186"/>
      <c r="K1807" s="180"/>
      <c r="L1807" s="180"/>
    </row>
    <row r="1808" spans="2:12" s="188" customFormat="1" ht="15" customHeight="1">
      <c r="B1808" s="187"/>
      <c r="C1808" s="187"/>
      <c r="D1808" s="187"/>
      <c r="E1808" s="187"/>
      <c r="F1808" s="187"/>
      <c r="G1808" s="187"/>
      <c r="H1808" s="187"/>
      <c r="J1808" s="186"/>
      <c r="K1808" s="180"/>
      <c r="L1808" s="180"/>
    </row>
    <row r="1809" spans="2:12" s="188" customFormat="1" ht="15" customHeight="1">
      <c r="B1809" s="187"/>
      <c r="C1809" s="187"/>
      <c r="D1809" s="187"/>
      <c r="E1809" s="187"/>
      <c r="F1809" s="187"/>
      <c r="G1809" s="187"/>
      <c r="H1809" s="187"/>
      <c r="J1809" s="186"/>
      <c r="K1809" s="180"/>
      <c r="L1809" s="180"/>
    </row>
    <row r="1810" spans="2:12" s="188" customFormat="1" ht="15" customHeight="1">
      <c r="B1810" s="187"/>
      <c r="C1810" s="187"/>
      <c r="D1810" s="187"/>
      <c r="E1810" s="187"/>
      <c r="F1810" s="187"/>
      <c r="G1810" s="187"/>
      <c r="H1810" s="187"/>
      <c r="J1810" s="186"/>
      <c r="K1810" s="180"/>
      <c r="L1810" s="180"/>
    </row>
    <row r="1811" spans="2:12" s="188" customFormat="1" ht="15" customHeight="1">
      <c r="B1811" s="187"/>
      <c r="C1811" s="187"/>
      <c r="D1811" s="187"/>
      <c r="E1811" s="187"/>
      <c r="F1811" s="187"/>
      <c r="G1811" s="187"/>
      <c r="H1811" s="187"/>
      <c r="J1811" s="186"/>
      <c r="K1811" s="180"/>
      <c r="L1811" s="180"/>
    </row>
    <row r="1812" spans="2:12" s="188" customFormat="1" ht="15" customHeight="1">
      <c r="B1812" s="187"/>
      <c r="C1812" s="187"/>
      <c r="D1812" s="187"/>
      <c r="E1812" s="187"/>
      <c r="F1812" s="187"/>
      <c r="G1812" s="187"/>
      <c r="H1812" s="187"/>
      <c r="J1812" s="186"/>
      <c r="K1812" s="180"/>
      <c r="L1812" s="180"/>
    </row>
    <row r="1813" spans="2:12" s="188" customFormat="1" ht="15" customHeight="1">
      <c r="B1813" s="187"/>
      <c r="C1813" s="187"/>
      <c r="D1813" s="187"/>
      <c r="E1813" s="187"/>
      <c r="F1813" s="187"/>
      <c r="G1813" s="187"/>
      <c r="H1813" s="187"/>
      <c r="J1813" s="186"/>
      <c r="K1813" s="180"/>
      <c r="L1813" s="180"/>
    </row>
    <row r="1814" spans="2:12" s="188" customFormat="1" ht="15" customHeight="1">
      <c r="B1814" s="187"/>
      <c r="C1814" s="187"/>
      <c r="D1814" s="187"/>
      <c r="E1814" s="187"/>
      <c r="F1814" s="187"/>
      <c r="G1814" s="187"/>
      <c r="H1814" s="187"/>
      <c r="J1814" s="186"/>
      <c r="K1814" s="180"/>
      <c r="L1814" s="180"/>
    </row>
    <row r="1815" spans="2:12" s="188" customFormat="1" ht="15" customHeight="1">
      <c r="B1815" s="187"/>
      <c r="C1815" s="187"/>
      <c r="D1815" s="187"/>
      <c r="E1815" s="187"/>
      <c r="F1815" s="187"/>
      <c r="G1815" s="187"/>
      <c r="H1815" s="187"/>
      <c r="J1815" s="186"/>
      <c r="K1815" s="180"/>
      <c r="L1815" s="180"/>
    </row>
    <row r="1816" spans="2:12" s="188" customFormat="1" ht="15" customHeight="1">
      <c r="B1816" s="187"/>
      <c r="C1816" s="187"/>
      <c r="D1816" s="187"/>
      <c r="E1816" s="187"/>
      <c r="F1816" s="187"/>
      <c r="G1816" s="187"/>
      <c r="H1816" s="187"/>
      <c r="J1816" s="186"/>
      <c r="K1816" s="180"/>
      <c r="L1816" s="180"/>
    </row>
    <row r="1817" spans="2:12" s="188" customFormat="1" ht="15" customHeight="1">
      <c r="B1817" s="187"/>
      <c r="C1817" s="187"/>
      <c r="D1817" s="187"/>
      <c r="E1817" s="187"/>
      <c r="F1817" s="187"/>
      <c r="G1817" s="187"/>
      <c r="H1817" s="187"/>
      <c r="J1817" s="186"/>
      <c r="K1817" s="180"/>
      <c r="L1817" s="180"/>
    </row>
    <row r="1818" spans="2:12" s="188" customFormat="1" ht="15" customHeight="1">
      <c r="B1818" s="187"/>
      <c r="C1818" s="187"/>
      <c r="D1818" s="187"/>
      <c r="E1818" s="187"/>
      <c r="F1818" s="187"/>
      <c r="G1818" s="187"/>
      <c r="H1818" s="187"/>
      <c r="J1818" s="186"/>
      <c r="K1818" s="180"/>
      <c r="L1818" s="180"/>
    </row>
    <row r="1819" spans="2:12" s="188" customFormat="1" ht="15" customHeight="1">
      <c r="B1819" s="187"/>
      <c r="C1819" s="187"/>
      <c r="D1819" s="187"/>
      <c r="E1819" s="187"/>
      <c r="F1819" s="187"/>
      <c r="G1819" s="187"/>
      <c r="H1819" s="187"/>
      <c r="J1819" s="186"/>
      <c r="K1819" s="180"/>
      <c r="L1819" s="180"/>
    </row>
    <row r="1820" spans="2:12" s="188" customFormat="1" ht="15" customHeight="1">
      <c r="B1820" s="187"/>
      <c r="C1820" s="187"/>
      <c r="D1820" s="187"/>
      <c r="E1820" s="187"/>
      <c r="F1820" s="187"/>
      <c r="G1820" s="187"/>
      <c r="H1820" s="187"/>
      <c r="J1820" s="186"/>
      <c r="K1820" s="180"/>
      <c r="L1820" s="180"/>
    </row>
    <row r="1821" spans="2:12" s="188" customFormat="1" ht="15" customHeight="1">
      <c r="B1821" s="187"/>
      <c r="C1821" s="187"/>
      <c r="D1821" s="187"/>
      <c r="E1821" s="187"/>
      <c r="F1821" s="187"/>
      <c r="G1821" s="187"/>
      <c r="H1821" s="187"/>
      <c r="J1821" s="186"/>
      <c r="K1821" s="180"/>
      <c r="L1821" s="180"/>
    </row>
    <row r="1822" spans="2:12" s="188" customFormat="1" ht="15" customHeight="1">
      <c r="B1822" s="187"/>
      <c r="C1822" s="187"/>
      <c r="D1822" s="187"/>
      <c r="E1822" s="187"/>
      <c r="F1822" s="187"/>
      <c r="G1822" s="187"/>
      <c r="H1822" s="187"/>
      <c r="J1822" s="186"/>
      <c r="K1822" s="180"/>
      <c r="L1822" s="180"/>
    </row>
    <row r="1823" spans="2:12" s="188" customFormat="1" ht="15" customHeight="1">
      <c r="B1823" s="187"/>
      <c r="C1823" s="187"/>
      <c r="D1823" s="187"/>
      <c r="E1823" s="187"/>
      <c r="F1823" s="187"/>
      <c r="G1823" s="187"/>
      <c r="H1823" s="187"/>
      <c r="J1823" s="186"/>
      <c r="K1823" s="180"/>
      <c r="L1823" s="180"/>
    </row>
    <row r="1824" spans="2:12" s="188" customFormat="1" ht="15" customHeight="1">
      <c r="B1824" s="187"/>
      <c r="C1824" s="187"/>
      <c r="D1824" s="187"/>
      <c r="E1824" s="187"/>
      <c r="F1824" s="187"/>
      <c r="G1824" s="187"/>
      <c r="H1824" s="187"/>
      <c r="J1824" s="186"/>
      <c r="K1824" s="180"/>
      <c r="L1824" s="180"/>
    </row>
    <row r="1825" spans="2:12" s="188" customFormat="1" ht="15" customHeight="1">
      <c r="B1825" s="187"/>
      <c r="C1825" s="187"/>
      <c r="D1825" s="187"/>
      <c r="E1825" s="187"/>
      <c r="F1825" s="187"/>
      <c r="G1825" s="187"/>
      <c r="H1825" s="187"/>
      <c r="J1825" s="186"/>
      <c r="K1825" s="180"/>
      <c r="L1825" s="180"/>
    </row>
    <row r="1826" spans="2:12" s="188" customFormat="1" ht="15" customHeight="1">
      <c r="B1826" s="187"/>
      <c r="C1826" s="187"/>
      <c r="D1826" s="187"/>
      <c r="E1826" s="187"/>
      <c r="F1826" s="187"/>
      <c r="G1826" s="187"/>
      <c r="H1826" s="187"/>
      <c r="J1826" s="186"/>
      <c r="K1826" s="180"/>
      <c r="L1826" s="180"/>
    </row>
    <row r="1827" spans="2:12" s="188" customFormat="1" ht="15" customHeight="1">
      <c r="B1827" s="187"/>
      <c r="C1827" s="187"/>
      <c r="D1827" s="187"/>
      <c r="E1827" s="187"/>
      <c r="F1827" s="187"/>
      <c r="G1827" s="187"/>
      <c r="H1827" s="187"/>
      <c r="J1827" s="186"/>
      <c r="K1827" s="180"/>
      <c r="L1827" s="180"/>
    </row>
    <row r="1828" spans="2:12" s="188" customFormat="1" ht="15" customHeight="1">
      <c r="B1828" s="187"/>
      <c r="C1828" s="187"/>
      <c r="D1828" s="187"/>
      <c r="E1828" s="187"/>
      <c r="F1828" s="187"/>
      <c r="G1828" s="187"/>
      <c r="H1828" s="187"/>
      <c r="J1828" s="186"/>
      <c r="K1828" s="180"/>
      <c r="L1828" s="180"/>
    </row>
    <row r="1829" spans="2:12" s="188" customFormat="1" ht="15" customHeight="1">
      <c r="B1829" s="187"/>
      <c r="C1829" s="187"/>
      <c r="D1829" s="187"/>
      <c r="E1829" s="187"/>
      <c r="F1829" s="187"/>
      <c r="G1829" s="187"/>
      <c r="H1829" s="187"/>
      <c r="J1829" s="186"/>
      <c r="K1829" s="180"/>
      <c r="L1829" s="180"/>
    </row>
    <row r="1830" spans="2:12" s="188" customFormat="1" ht="15" customHeight="1">
      <c r="B1830" s="187"/>
      <c r="C1830" s="187"/>
      <c r="D1830" s="187"/>
      <c r="E1830" s="187"/>
      <c r="F1830" s="187"/>
      <c r="G1830" s="187"/>
      <c r="H1830" s="187"/>
      <c r="J1830" s="186"/>
      <c r="K1830" s="180"/>
      <c r="L1830" s="180"/>
    </row>
    <row r="1831" spans="2:12" s="188" customFormat="1" ht="15" customHeight="1">
      <c r="B1831" s="187"/>
      <c r="C1831" s="187"/>
      <c r="D1831" s="187"/>
      <c r="E1831" s="187"/>
      <c r="F1831" s="187"/>
      <c r="G1831" s="187"/>
      <c r="H1831" s="187"/>
      <c r="J1831" s="186"/>
      <c r="K1831" s="180"/>
      <c r="L1831" s="180"/>
    </row>
    <row r="1832" spans="2:12" s="188" customFormat="1" ht="15" customHeight="1">
      <c r="B1832" s="187"/>
      <c r="C1832" s="187"/>
      <c r="D1832" s="187"/>
      <c r="E1832" s="187"/>
      <c r="F1832" s="187"/>
      <c r="G1832" s="187"/>
      <c r="H1832" s="187"/>
      <c r="J1832" s="186"/>
      <c r="K1832" s="180"/>
      <c r="L1832" s="180"/>
    </row>
    <row r="1833" spans="2:12" s="188" customFormat="1" ht="15" customHeight="1">
      <c r="B1833" s="187"/>
      <c r="C1833" s="187"/>
      <c r="D1833" s="187"/>
      <c r="E1833" s="187"/>
      <c r="F1833" s="187"/>
      <c r="G1833" s="187"/>
      <c r="H1833" s="187"/>
      <c r="J1833" s="186"/>
      <c r="K1833" s="180"/>
      <c r="L1833" s="180"/>
    </row>
    <row r="1834" spans="2:12" s="188" customFormat="1" ht="15" customHeight="1">
      <c r="B1834" s="187"/>
      <c r="C1834" s="187"/>
      <c r="D1834" s="187"/>
      <c r="E1834" s="187"/>
      <c r="F1834" s="187"/>
      <c r="G1834" s="187"/>
      <c r="H1834" s="187"/>
      <c r="J1834" s="186"/>
      <c r="K1834" s="180"/>
      <c r="L1834" s="180"/>
    </row>
    <row r="1835" spans="2:12" s="188" customFormat="1" ht="15" customHeight="1">
      <c r="B1835" s="187"/>
      <c r="C1835" s="187"/>
      <c r="D1835" s="187"/>
      <c r="E1835" s="187"/>
      <c r="F1835" s="187"/>
      <c r="G1835" s="187"/>
      <c r="H1835" s="187"/>
      <c r="J1835" s="186"/>
      <c r="K1835" s="180"/>
      <c r="L1835" s="180"/>
    </row>
    <row r="1836" spans="2:12" s="188" customFormat="1" ht="15" customHeight="1">
      <c r="B1836" s="187"/>
      <c r="C1836" s="187"/>
      <c r="D1836" s="187"/>
      <c r="E1836" s="187"/>
      <c r="F1836" s="187"/>
      <c r="G1836" s="187"/>
      <c r="H1836" s="187"/>
      <c r="J1836" s="186"/>
      <c r="K1836" s="180"/>
      <c r="L1836" s="180"/>
    </row>
    <row r="1837" spans="2:12" s="188" customFormat="1" ht="15" customHeight="1">
      <c r="B1837" s="187"/>
      <c r="C1837" s="187"/>
      <c r="D1837" s="187"/>
      <c r="E1837" s="187"/>
      <c r="F1837" s="187"/>
      <c r="G1837" s="187"/>
      <c r="H1837" s="187"/>
      <c r="J1837" s="186"/>
      <c r="K1837" s="180"/>
      <c r="L1837" s="180"/>
    </row>
    <row r="1838" spans="2:12" s="188" customFormat="1" ht="15" customHeight="1">
      <c r="B1838" s="187"/>
      <c r="C1838" s="187"/>
      <c r="D1838" s="187"/>
      <c r="E1838" s="187"/>
      <c r="F1838" s="187"/>
      <c r="G1838" s="187"/>
      <c r="H1838" s="187"/>
      <c r="J1838" s="186"/>
      <c r="K1838" s="180"/>
      <c r="L1838" s="180"/>
    </row>
    <row r="1839" spans="2:12" s="188" customFormat="1" ht="15" customHeight="1">
      <c r="B1839" s="187"/>
      <c r="C1839" s="187"/>
      <c r="D1839" s="187"/>
      <c r="E1839" s="187"/>
      <c r="F1839" s="187"/>
      <c r="G1839" s="187"/>
      <c r="H1839" s="187"/>
      <c r="J1839" s="186"/>
      <c r="K1839" s="180"/>
      <c r="L1839" s="180"/>
    </row>
    <row r="1840" spans="2:12" s="188" customFormat="1" ht="15" customHeight="1">
      <c r="B1840" s="187"/>
      <c r="C1840" s="187"/>
      <c r="D1840" s="187"/>
      <c r="E1840" s="187"/>
      <c r="F1840" s="187"/>
      <c r="G1840" s="187"/>
      <c r="H1840" s="187"/>
      <c r="J1840" s="186"/>
      <c r="K1840" s="180"/>
      <c r="L1840" s="180"/>
    </row>
    <row r="1841" spans="2:12" s="188" customFormat="1" ht="15" customHeight="1">
      <c r="B1841" s="187"/>
      <c r="C1841" s="187"/>
      <c r="D1841" s="187"/>
      <c r="E1841" s="187"/>
      <c r="F1841" s="187"/>
      <c r="G1841" s="187"/>
      <c r="H1841" s="187"/>
      <c r="J1841" s="186"/>
      <c r="K1841" s="180"/>
      <c r="L1841" s="180"/>
    </row>
    <row r="1842" spans="2:12" s="188" customFormat="1" ht="15" customHeight="1">
      <c r="B1842" s="187"/>
      <c r="C1842" s="187"/>
      <c r="D1842" s="187"/>
      <c r="E1842" s="187"/>
      <c r="F1842" s="187"/>
      <c r="G1842" s="187"/>
      <c r="H1842" s="187"/>
      <c r="J1842" s="186"/>
      <c r="K1842" s="180"/>
      <c r="L1842" s="180"/>
    </row>
    <row r="1843" spans="2:12" s="188" customFormat="1" ht="15" customHeight="1">
      <c r="B1843" s="187"/>
      <c r="C1843" s="187"/>
      <c r="D1843" s="187"/>
      <c r="E1843" s="187"/>
      <c r="F1843" s="187"/>
      <c r="G1843" s="187"/>
      <c r="H1843" s="187"/>
      <c r="J1843" s="186"/>
      <c r="K1843" s="180"/>
      <c r="L1843" s="180"/>
    </row>
    <row r="1844" spans="2:12" s="188" customFormat="1" ht="15" customHeight="1">
      <c r="B1844" s="187"/>
      <c r="C1844" s="187"/>
      <c r="D1844" s="187"/>
      <c r="E1844" s="187"/>
      <c r="F1844" s="187"/>
      <c r="G1844" s="187"/>
      <c r="H1844" s="187"/>
      <c r="J1844" s="186"/>
      <c r="K1844" s="180"/>
      <c r="L1844" s="180"/>
    </row>
    <row r="1845" spans="2:12" s="188" customFormat="1" ht="15" customHeight="1">
      <c r="B1845" s="187"/>
      <c r="C1845" s="187"/>
      <c r="D1845" s="187"/>
      <c r="E1845" s="187"/>
      <c r="F1845" s="187"/>
      <c r="G1845" s="187"/>
      <c r="H1845" s="187"/>
      <c r="J1845" s="186"/>
      <c r="K1845" s="180"/>
      <c r="L1845" s="180"/>
    </row>
    <row r="1846" spans="2:12" s="188" customFormat="1" ht="15" customHeight="1">
      <c r="B1846" s="187"/>
      <c r="C1846" s="187"/>
      <c r="D1846" s="187"/>
      <c r="E1846" s="187"/>
      <c r="F1846" s="187"/>
      <c r="G1846" s="187"/>
      <c r="H1846" s="187"/>
      <c r="J1846" s="186"/>
      <c r="K1846" s="180"/>
      <c r="L1846" s="180"/>
    </row>
    <row r="1847" spans="2:12" s="188" customFormat="1" ht="15" customHeight="1">
      <c r="B1847" s="187"/>
      <c r="C1847" s="187"/>
      <c r="D1847" s="187"/>
      <c r="E1847" s="187"/>
      <c r="F1847" s="187"/>
      <c r="G1847" s="187"/>
      <c r="H1847" s="187"/>
      <c r="J1847" s="186"/>
      <c r="K1847" s="180"/>
      <c r="L1847" s="180"/>
    </row>
    <row r="1848" spans="2:12" s="188" customFormat="1" ht="15" customHeight="1">
      <c r="B1848" s="187"/>
      <c r="C1848" s="187"/>
      <c r="D1848" s="187"/>
      <c r="E1848" s="187"/>
      <c r="F1848" s="187"/>
      <c r="G1848" s="187"/>
      <c r="H1848" s="187"/>
      <c r="J1848" s="186"/>
      <c r="K1848" s="180"/>
      <c r="L1848" s="180"/>
    </row>
    <row r="1849" spans="2:12" s="188" customFormat="1" ht="15" customHeight="1">
      <c r="B1849" s="187"/>
      <c r="C1849" s="187"/>
      <c r="D1849" s="187"/>
      <c r="E1849" s="187"/>
      <c r="F1849" s="187"/>
      <c r="G1849" s="187"/>
      <c r="H1849" s="187"/>
      <c r="J1849" s="186"/>
      <c r="K1849" s="180"/>
      <c r="L1849" s="180"/>
    </row>
    <row r="1850" spans="2:12" s="188" customFormat="1" ht="15" customHeight="1">
      <c r="B1850" s="187"/>
      <c r="C1850" s="187"/>
      <c r="D1850" s="187"/>
      <c r="E1850" s="187"/>
      <c r="F1850" s="187"/>
      <c r="G1850" s="187"/>
      <c r="H1850" s="187"/>
      <c r="J1850" s="186"/>
      <c r="K1850" s="180"/>
      <c r="L1850" s="180"/>
    </row>
    <row r="1851" spans="2:12" s="188" customFormat="1" ht="15" customHeight="1">
      <c r="B1851" s="187"/>
      <c r="C1851" s="187"/>
      <c r="D1851" s="187"/>
      <c r="E1851" s="187"/>
      <c r="F1851" s="187"/>
      <c r="G1851" s="187"/>
      <c r="H1851" s="187"/>
      <c r="J1851" s="186"/>
      <c r="K1851" s="180"/>
      <c r="L1851" s="180"/>
    </row>
    <row r="1852" spans="2:12" s="188" customFormat="1" ht="15" customHeight="1">
      <c r="B1852" s="187"/>
      <c r="C1852" s="187"/>
      <c r="D1852" s="187"/>
      <c r="E1852" s="187"/>
      <c r="F1852" s="187"/>
      <c r="G1852" s="187"/>
      <c r="H1852" s="187"/>
      <c r="J1852" s="186"/>
      <c r="K1852" s="180"/>
      <c r="L1852" s="180"/>
    </row>
    <row r="1853" spans="2:12" s="188" customFormat="1" ht="15" customHeight="1">
      <c r="B1853" s="187"/>
      <c r="C1853" s="187"/>
      <c r="D1853" s="187"/>
      <c r="E1853" s="187"/>
      <c r="F1853" s="187"/>
      <c r="G1853" s="187"/>
      <c r="J1853" s="186"/>
      <c r="K1853" s="180"/>
      <c r="L1853" s="180"/>
    </row>
    <row r="1854" spans="2:12" s="188" customFormat="1" ht="15" customHeight="1">
      <c r="B1854" s="187"/>
      <c r="C1854" s="187"/>
      <c r="D1854" s="187"/>
      <c r="E1854" s="187"/>
      <c r="F1854" s="187"/>
      <c r="G1854" s="187"/>
      <c r="J1854" s="186"/>
      <c r="K1854" s="180"/>
      <c r="L1854" s="180"/>
    </row>
    <row r="1855" spans="2:12" s="188" customFormat="1" ht="15" customHeight="1">
      <c r="B1855" s="187"/>
      <c r="C1855" s="187"/>
      <c r="D1855" s="187"/>
      <c r="E1855" s="187"/>
      <c r="F1855" s="187"/>
      <c r="G1855" s="187"/>
      <c r="J1855" s="186"/>
      <c r="K1855" s="180"/>
      <c r="L1855" s="180"/>
    </row>
    <row r="1856" spans="2:12" s="188" customFormat="1" ht="15" customHeight="1">
      <c r="B1856" s="187"/>
      <c r="C1856" s="187"/>
      <c r="D1856" s="187"/>
      <c r="E1856" s="187"/>
      <c r="F1856" s="187"/>
      <c r="G1856" s="187"/>
      <c r="J1856" s="186"/>
      <c r="K1856" s="180"/>
      <c r="L1856" s="180"/>
    </row>
    <row r="1857" spans="2:12" s="188" customFormat="1" ht="15" customHeight="1">
      <c r="B1857" s="187"/>
      <c r="C1857" s="187"/>
      <c r="D1857" s="187"/>
      <c r="E1857" s="187"/>
      <c r="F1857" s="187"/>
      <c r="G1857" s="187"/>
      <c r="J1857" s="186"/>
      <c r="K1857" s="180"/>
      <c r="L1857" s="180"/>
    </row>
    <row r="1858" spans="2:12" s="188" customFormat="1" ht="15" customHeight="1">
      <c r="B1858" s="187"/>
      <c r="C1858" s="187"/>
      <c r="D1858" s="187"/>
      <c r="E1858" s="187"/>
      <c r="F1858" s="187"/>
      <c r="G1858" s="187"/>
      <c r="J1858" s="186"/>
      <c r="K1858" s="180"/>
      <c r="L1858" s="180"/>
    </row>
    <row r="1859" spans="2:12" s="188" customFormat="1" ht="15" customHeight="1">
      <c r="B1859" s="187"/>
      <c r="C1859" s="187"/>
      <c r="D1859" s="187"/>
      <c r="E1859" s="187"/>
      <c r="F1859" s="187"/>
      <c r="G1859" s="187"/>
      <c r="J1859" s="186"/>
      <c r="K1859" s="180"/>
      <c r="L1859" s="180"/>
    </row>
    <row r="1860" spans="2:12" s="188" customFormat="1" ht="15" customHeight="1">
      <c r="B1860" s="187"/>
      <c r="C1860" s="187"/>
      <c r="D1860" s="187"/>
      <c r="E1860" s="187"/>
      <c r="F1860" s="187"/>
      <c r="G1860" s="187"/>
      <c r="J1860" s="186"/>
      <c r="K1860" s="180"/>
      <c r="L1860" s="180"/>
    </row>
    <row r="1861" spans="2:12" s="188" customFormat="1" ht="15" customHeight="1">
      <c r="B1861" s="187"/>
      <c r="C1861" s="187"/>
      <c r="D1861" s="187"/>
      <c r="E1861" s="187"/>
      <c r="F1861" s="187"/>
      <c r="G1861" s="187"/>
      <c r="J1861" s="186"/>
      <c r="K1861" s="180"/>
      <c r="L1861" s="180"/>
    </row>
    <row r="1862" spans="2:12" s="188" customFormat="1" ht="15" customHeight="1">
      <c r="B1862" s="187"/>
      <c r="C1862" s="187"/>
      <c r="D1862" s="187"/>
      <c r="E1862" s="187"/>
      <c r="F1862" s="187"/>
      <c r="G1862" s="187"/>
      <c r="J1862" s="186"/>
      <c r="K1862" s="180"/>
      <c r="L1862" s="180"/>
    </row>
    <row r="1863" spans="2:12" s="188" customFormat="1" ht="15" customHeight="1">
      <c r="B1863" s="187"/>
      <c r="C1863" s="187"/>
      <c r="D1863" s="187"/>
      <c r="E1863" s="187"/>
      <c r="F1863" s="187"/>
      <c r="G1863" s="187"/>
      <c r="J1863" s="186"/>
      <c r="K1863" s="180"/>
      <c r="L1863" s="180"/>
    </row>
    <row r="1864" spans="2:12" s="188" customFormat="1" ht="15" customHeight="1">
      <c r="B1864" s="187"/>
      <c r="C1864" s="187"/>
      <c r="D1864" s="187"/>
      <c r="E1864" s="187"/>
      <c r="F1864" s="187"/>
      <c r="G1864" s="187"/>
      <c r="J1864" s="186"/>
      <c r="K1864" s="180"/>
      <c r="L1864" s="180"/>
    </row>
    <row r="1865" spans="2:12" s="188" customFormat="1" ht="15" customHeight="1">
      <c r="B1865" s="187"/>
      <c r="C1865" s="187"/>
      <c r="D1865" s="187"/>
      <c r="E1865" s="187"/>
      <c r="F1865" s="187"/>
      <c r="G1865" s="187"/>
      <c r="J1865" s="186"/>
      <c r="K1865" s="180"/>
      <c r="L1865" s="180"/>
    </row>
    <row r="1866" spans="2:12" s="188" customFormat="1" ht="15" customHeight="1">
      <c r="B1866" s="187"/>
      <c r="C1866" s="187"/>
      <c r="D1866" s="187"/>
      <c r="E1866" s="187"/>
      <c r="F1866" s="187"/>
      <c r="G1866" s="187"/>
      <c r="J1866" s="186"/>
      <c r="K1866" s="180"/>
      <c r="L1866" s="180"/>
    </row>
    <row r="1867" spans="2:12" s="188" customFormat="1" ht="15" customHeight="1">
      <c r="B1867" s="187"/>
      <c r="C1867" s="187"/>
      <c r="D1867" s="187"/>
      <c r="E1867" s="187"/>
      <c r="F1867" s="187"/>
      <c r="G1867" s="187"/>
      <c r="J1867" s="186"/>
      <c r="K1867" s="180"/>
      <c r="L1867" s="180"/>
    </row>
    <row r="1868" spans="2:12" s="188" customFormat="1" ht="15" customHeight="1">
      <c r="B1868" s="187"/>
      <c r="C1868" s="187"/>
      <c r="D1868" s="187"/>
      <c r="E1868" s="187"/>
      <c r="F1868" s="187"/>
      <c r="G1868" s="187"/>
      <c r="J1868" s="186"/>
      <c r="K1868" s="180"/>
      <c r="L1868" s="180"/>
    </row>
    <row r="1869" spans="2:12" s="188" customFormat="1" ht="15" customHeight="1">
      <c r="B1869" s="187"/>
      <c r="C1869" s="187"/>
      <c r="D1869" s="187"/>
      <c r="E1869" s="187"/>
      <c r="F1869" s="187"/>
      <c r="G1869" s="187"/>
      <c r="J1869" s="186"/>
      <c r="K1869" s="180"/>
      <c r="L1869" s="180"/>
    </row>
    <row r="1870" spans="2:12" s="188" customFormat="1" ht="15" customHeight="1">
      <c r="B1870" s="187"/>
      <c r="C1870" s="187"/>
      <c r="D1870" s="187"/>
      <c r="E1870" s="187"/>
      <c r="F1870" s="187"/>
      <c r="G1870" s="187"/>
      <c r="J1870" s="186"/>
      <c r="K1870" s="180"/>
      <c r="L1870" s="180"/>
    </row>
    <row r="1871" spans="2:12" s="188" customFormat="1" ht="15" customHeight="1">
      <c r="B1871" s="187"/>
      <c r="C1871" s="187"/>
      <c r="D1871" s="187"/>
      <c r="E1871" s="187"/>
      <c r="F1871" s="187"/>
      <c r="G1871" s="187"/>
      <c r="J1871" s="186"/>
      <c r="K1871" s="180"/>
      <c r="L1871" s="180"/>
    </row>
    <row r="1872" spans="2:12" s="188" customFormat="1" ht="15" customHeight="1">
      <c r="B1872" s="187"/>
      <c r="C1872" s="187"/>
      <c r="D1872" s="187"/>
      <c r="E1872" s="187"/>
      <c r="F1872" s="187"/>
      <c r="G1872" s="187"/>
      <c r="J1872" s="186"/>
      <c r="K1872" s="180"/>
      <c r="L1872" s="180"/>
    </row>
    <row r="1873" spans="2:12" s="188" customFormat="1" ht="15" customHeight="1">
      <c r="B1873" s="187"/>
      <c r="C1873" s="187"/>
      <c r="D1873" s="187"/>
      <c r="E1873" s="187"/>
      <c r="F1873" s="187"/>
      <c r="G1873" s="187"/>
      <c r="J1873" s="186"/>
      <c r="K1873" s="180"/>
      <c r="L1873" s="180"/>
    </row>
    <row r="1874" spans="2:12" s="188" customFormat="1" ht="15" customHeight="1">
      <c r="B1874" s="187"/>
      <c r="C1874" s="187"/>
      <c r="D1874" s="187"/>
      <c r="E1874" s="187"/>
      <c r="F1874" s="187"/>
      <c r="G1874" s="187"/>
      <c r="J1874" s="186"/>
      <c r="K1874" s="180"/>
      <c r="L1874" s="180"/>
    </row>
    <row r="1875" spans="2:12" s="188" customFormat="1" ht="15" customHeight="1">
      <c r="B1875" s="187"/>
      <c r="C1875" s="187"/>
      <c r="D1875" s="187"/>
      <c r="E1875" s="187"/>
      <c r="F1875" s="187"/>
      <c r="G1875" s="187"/>
      <c r="J1875" s="186"/>
      <c r="K1875" s="180"/>
      <c r="L1875" s="180"/>
    </row>
    <row r="1876" spans="2:12" s="188" customFormat="1" ht="15" customHeight="1">
      <c r="B1876" s="187"/>
      <c r="C1876" s="187"/>
      <c r="D1876" s="187"/>
      <c r="E1876" s="187"/>
      <c r="F1876" s="187"/>
      <c r="G1876" s="187"/>
      <c r="J1876" s="186"/>
      <c r="K1876" s="180"/>
      <c r="L1876" s="180"/>
    </row>
    <row r="1877" spans="2:12" s="188" customFormat="1" ht="15" customHeight="1">
      <c r="B1877" s="187"/>
      <c r="C1877" s="187"/>
      <c r="D1877" s="187"/>
      <c r="E1877" s="187"/>
      <c r="F1877" s="187"/>
      <c r="G1877" s="187"/>
      <c r="J1877" s="186"/>
      <c r="K1877" s="180"/>
      <c r="L1877" s="180"/>
    </row>
    <row r="1878" spans="2:12" s="188" customFormat="1" ht="15" customHeight="1">
      <c r="B1878" s="187"/>
      <c r="C1878" s="187"/>
      <c r="D1878" s="187"/>
      <c r="E1878" s="187"/>
      <c r="F1878" s="187"/>
      <c r="G1878" s="187"/>
      <c r="J1878" s="186"/>
      <c r="K1878" s="180"/>
      <c r="L1878" s="180"/>
    </row>
    <row r="1879" spans="2:12" s="188" customFormat="1" ht="15" customHeight="1">
      <c r="B1879" s="187"/>
      <c r="C1879" s="187"/>
      <c r="D1879" s="187"/>
      <c r="E1879" s="187"/>
      <c r="F1879" s="187"/>
      <c r="G1879" s="187"/>
      <c r="J1879" s="186"/>
      <c r="K1879" s="180"/>
      <c r="L1879" s="180"/>
    </row>
    <row r="1880" spans="2:12" s="188" customFormat="1" ht="15" customHeight="1">
      <c r="B1880" s="187"/>
      <c r="C1880" s="187"/>
      <c r="D1880" s="187"/>
      <c r="E1880" s="187"/>
      <c r="F1880" s="187"/>
      <c r="G1880" s="187"/>
      <c r="J1880" s="186"/>
      <c r="K1880" s="180"/>
      <c r="L1880" s="180"/>
    </row>
    <row r="1881" spans="2:12" s="188" customFormat="1" ht="15" customHeight="1">
      <c r="B1881" s="187"/>
      <c r="C1881" s="187"/>
      <c r="D1881" s="187"/>
      <c r="E1881" s="187"/>
      <c r="F1881" s="187"/>
      <c r="G1881" s="187"/>
      <c r="J1881" s="186"/>
      <c r="K1881" s="180"/>
      <c r="L1881" s="180"/>
    </row>
    <row r="1882" spans="2:12" s="188" customFormat="1" ht="15" customHeight="1">
      <c r="B1882" s="187"/>
      <c r="C1882" s="187"/>
      <c r="D1882" s="187"/>
      <c r="E1882" s="187"/>
      <c r="F1882" s="187"/>
      <c r="G1882" s="187"/>
      <c r="J1882" s="186"/>
      <c r="K1882" s="180"/>
      <c r="L1882" s="180"/>
    </row>
    <row r="1883" spans="2:12" s="188" customFormat="1" ht="15" customHeight="1">
      <c r="B1883" s="187"/>
      <c r="C1883" s="187"/>
      <c r="D1883" s="187"/>
      <c r="E1883" s="187"/>
      <c r="F1883" s="187"/>
      <c r="G1883" s="187"/>
      <c r="J1883" s="186"/>
      <c r="K1883" s="180"/>
      <c r="L1883" s="180"/>
    </row>
    <row r="1884" spans="2:12" s="188" customFormat="1" ht="15" customHeight="1">
      <c r="B1884" s="187"/>
      <c r="C1884" s="187"/>
      <c r="D1884" s="187"/>
      <c r="E1884" s="187"/>
      <c r="F1884" s="187"/>
      <c r="G1884" s="187"/>
      <c r="J1884" s="186"/>
      <c r="K1884" s="180"/>
      <c r="L1884" s="180"/>
    </row>
    <row r="1885" spans="2:12" s="188" customFormat="1" ht="15" customHeight="1">
      <c r="B1885" s="187"/>
      <c r="C1885" s="187"/>
      <c r="D1885" s="187"/>
      <c r="E1885" s="187"/>
      <c r="F1885" s="187"/>
      <c r="G1885" s="187"/>
      <c r="J1885" s="186"/>
      <c r="K1885" s="180"/>
      <c r="L1885" s="180"/>
    </row>
    <row r="1886" spans="2:12" s="188" customFormat="1" ht="15" customHeight="1">
      <c r="B1886" s="187"/>
      <c r="C1886" s="187"/>
      <c r="D1886" s="187"/>
      <c r="E1886" s="187"/>
      <c r="F1886" s="187"/>
      <c r="G1886" s="187"/>
      <c r="J1886" s="186"/>
      <c r="K1886" s="180"/>
      <c r="L1886" s="180"/>
    </row>
    <row r="1887" spans="2:12" s="188" customFormat="1" ht="15" customHeight="1">
      <c r="B1887" s="187"/>
      <c r="C1887" s="187"/>
      <c r="D1887" s="187"/>
      <c r="E1887" s="187"/>
      <c r="F1887" s="187"/>
      <c r="G1887" s="187"/>
      <c r="J1887" s="186"/>
      <c r="K1887" s="180"/>
      <c r="L1887" s="180"/>
    </row>
    <row r="1888" spans="2:12" s="188" customFormat="1" ht="15" customHeight="1">
      <c r="B1888" s="187"/>
      <c r="C1888" s="187"/>
      <c r="D1888" s="187"/>
      <c r="E1888" s="187"/>
      <c r="F1888" s="187"/>
      <c r="G1888" s="187"/>
      <c r="J1888" s="186"/>
      <c r="K1888" s="180"/>
      <c r="L1888" s="180"/>
    </row>
    <row r="1889" spans="2:12" s="188" customFormat="1" ht="15" customHeight="1">
      <c r="B1889" s="187"/>
      <c r="C1889" s="187"/>
      <c r="D1889" s="187"/>
      <c r="E1889" s="187"/>
      <c r="F1889" s="187"/>
      <c r="G1889" s="187"/>
      <c r="J1889" s="186"/>
      <c r="K1889" s="180"/>
      <c r="L1889" s="180"/>
    </row>
    <row r="1890" spans="2:12" s="188" customFormat="1" ht="15" customHeight="1">
      <c r="B1890" s="187"/>
      <c r="C1890" s="187"/>
      <c r="D1890" s="187"/>
      <c r="E1890" s="187"/>
      <c r="F1890" s="187"/>
      <c r="G1890" s="187"/>
      <c r="J1890" s="186"/>
      <c r="K1890" s="180"/>
      <c r="L1890" s="180"/>
    </row>
    <row r="1891" spans="2:12" s="188" customFormat="1" ht="15" customHeight="1">
      <c r="B1891" s="187"/>
      <c r="C1891" s="187"/>
      <c r="D1891" s="187"/>
      <c r="E1891" s="187"/>
      <c r="F1891" s="187"/>
      <c r="G1891" s="187"/>
      <c r="J1891" s="186"/>
      <c r="K1891" s="180"/>
      <c r="L1891" s="180"/>
    </row>
    <row r="1892" spans="2:12" s="188" customFormat="1" ht="15" customHeight="1">
      <c r="B1892" s="187"/>
      <c r="C1892" s="187"/>
      <c r="D1892" s="187"/>
      <c r="E1892" s="187"/>
      <c r="F1892" s="187"/>
      <c r="G1892" s="187"/>
      <c r="J1892" s="186"/>
      <c r="K1892" s="180"/>
      <c r="L1892" s="180"/>
    </row>
    <row r="1893" spans="2:12" s="188" customFormat="1" ht="15" customHeight="1">
      <c r="B1893" s="187"/>
      <c r="C1893" s="187"/>
      <c r="D1893" s="187"/>
      <c r="E1893" s="187"/>
      <c r="F1893" s="187"/>
      <c r="G1893" s="187"/>
      <c r="J1893" s="186"/>
      <c r="K1893" s="180"/>
      <c r="L1893" s="180"/>
    </row>
    <row r="1894" spans="2:12" s="188" customFormat="1" ht="15" customHeight="1">
      <c r="B1894" s="187"/>
      <c r="C1894" s="187"/>
      <c r="D1894" s="187"/>
      <c r="E1894" s="187"/>
      <c r="F1894" s="187"/>
      <c r="G1894" s="187"/>
      <c r="J1894" s="186"/>
      <c r="K1894" s="180"/>
      <c r="L1894" s="180"/>
    </row>
    <row r="1895" spans="2:12" s="188" customFormat="1" ht="15" customHeight="1">
      <c r="B1895" s="187"/>
      <c r="C1895" s="187"/>
      <c r="D1895" s="187"/>
      <c r="E1895" s="187"/>
      <c r="F1895" s="187"/>
      <c r="G1895" s="187"/>
      <c r="J1895" s="186"/>
      <c r="K1895" s="180"/>
      <c r="L1895" s="180"/>
    </row>
    <row r="1896" spans="2:12" s="188" customFormat="1" ht="15" customHeight="1">
      <c r="B1896" s="187"/>
      <c r="C1896" s="187"/>
      <c r="D1896" s="187"/>
      <c r="E1896" s="187"/>
      <c r="F1896" s="187"/>
      <c r="G1896" s="187"/>
      <c r="J1896" s="186"/>
      <c r="K1896" s="180"/>
      <c r="L1896" s="180"/>
    </row>
    <row r="1897" spans="2:12" s="188" customFormat="1" ht="15" customHeight="1">
      <c r="B1897" s="187"/>
      <c r="C1897" s="187"/>
      <c r="D1897" s="187"/>
      <c r="E1897" s="187"/>
      <c r="F1897" s="187"/>
      <c r="G1897" s="187"/>
      <c r="J1897" s="186"/>
      <c r="K1897" s="180"/>
      <c r="L1897" s="180"/>
    </row>
    <row r="1898" spans="2:12" s="188" customFormat="1" ht="15" customHeight="1">
      <c r="B1898" s="187"/>
      <c r="C1898" s="187"/>
      <c r="D1898" s="187"/>
      <c r="E1898" s="187"/>
      <c r="F1898" s="187"/>
      <c r="G1898" s="187"/>
      <c r="J1898" s="186"/>
      <c r="K1898" s="180"/>
      <c r="L1898" s="180"/>
    </row>
    <row r="1899" spans="2:12" s="188" customFormat="1" ht="15" customHeight="1">
      <c r="B1899" s="187"/>
      <c r="C1899" s="187"/>
      <c r="D1899" s="187"/>
      <c r="E1899" s="187"/>
      <c r="F1899" s="187"/>
      <c r="G1899" s="187"/>
      <c r="J1899" s="186"/>
      <c r="K1899" s="180"/>
      <c r="L1899" s="180"/>
    </row>
    <row r="1900" spans="2:12" s="188" customFormat="1" ht="15" customHeight="1">
      <c r="B1900" s="187"/>
      <c r="C1900" s="187"/>
      <c r="D1900" s="187"/>
      <c r="E1900" s="187"/>
      <c r="F1900" s="187"/>
      <c r="G1900" s="187"/>
      <c r="J1900" s="186"/>
      <c r="K1900" s="180"/>
      <c r="L1900" s="180"/>
    </row>
    <row r="1901" spans="2:12" s="188" customFormat="1" ht="15" customHeight="1">
      <c r="B1901" s="187"/>
      <c r="C1901" s="187"/>
      <c r="D1901" s="187"/>
      <c r="E1901" s="187"/>
      <c r="F1901" s="187"/>
      <c r="G1901" s="187"/>
      <c r="J1901" s="186"/>
      <c r="K1901" s="180"/>
      <c r="L1901" s="180"/>
    </row>
    <row r="1902" spans="2:12" s="188" customFormat="1" ht="15" customHeight="1">
      <c r="B1902" s="187"/>
      <c r="C1902" s="187"/>
      <c r="D1902" s="187"/>
      <c r="E1902" s="187"/>
      <c r="F1902" s="187"/>
      <c r="G1902" s="187"/>
      <c r="J1902" s="186"/>
      <c r="K1902" s="180"/>
      <c r="L1902" s="180"/>
    </row>
    <row r="1903" spans="2:12" s="188" customFormat="1" ht="15" customHeight="1">
      <c r="B1903" s="187"/>
      <c r="C1903" s="187"/>
      <c r="D1903" s="187"/>
      <c r="E1903" s="187"/>
      <c r="F1903" s="187"/>
      <c r="G1903" s="187"/>
      <c r="J1903" s="186"/>
      <c r="K1903" s="180"/>
      <c r="L1903" s="180"/>
    </row>
    <row r="1904" spans="2:12" s="188" customFormat="1" ht="15" customHeight="1">
      <c r="B1904" s="187"/>
      <c r="C1904" s="187"/>
      <c r="D1904" s="187"/>
      <c r="E1904" s="187"/>
      <c r="F1904" s="187"/>
      <c r="G1904" s="187"/>
      <c r="J1904" s="186"/>
      <c r="K1904" s="180"/>
      <c r="L1904" s="180"/>
    </row>
    <row r="1905" spans="2:12" s="188" customFormat="1" ht="15" customHeight="1">
      <c r="B1905" s="187"/>
      <c r="C1905" s="187"/>
      <c r="D1905" s="187"/>
      <c r="E1905" s="187"/>
      <c r="F1905" s="187"/>
      <c r="G1905" s="187"/>
      <c r="J1905" s="186"/>
      <c r="K1905" s="180"/>
      <c r="L1905" s="180"/>
    </row>
    <row r="1906" spans="2:12" s="188" customFormat="1" ht="15" customHeight="1">
      <c r="B1906" s="187"/>
      <c r="C1906" s="187"/>
      <c r="D1906" s="187"/>
      <c r="E1906" s="187"/>
      <c r="F1906" s="187"/>
      <c r="G1906" s="187"/>
      <c r="J1906" s="186"/>
      <c r="K1906" s="180"/>
      <c r="L1906" s="180"/>
    </row>
    <row r="1907" spans="2:12" s="188" customFormat="1" ht="15" customHeight="1">
      <c r="B1907" s="187"/>
      <c r="C1907" s="187"/>
      <c r="D1907" s="187"/>
      <c r="E1907" s="187"/>
      <c r="F1907" s="187"/>
      <c r="G1907" s="187"/>
      <c r="J1907" s="186"/>
      <c r="K1907" s="180"/>
      <c r="L1907" s="180"/>
    </row>
    <row r="1908" spans="2:12" s="188" customFormat="1" ht="15" customHeight="1">
      <c r="B1908" s="187"/>
      <c r="C1908" s="187"/>
      <c r="D1908" s="187"/>
      <c r="E1908" s="187"/>
      <c r="F1908" s="187"/>
      <c r="G1908" s="187"/>
      <c r="J1908" s="186"/>
      <c r="K1908" s="180"/>
      <c r="L1908" s="180"/>
    </row>
    <row r="1909" spans="2:12" s="188" customFormat="1" ht="15" customHeight="1">
      <c r="B1909" s="187"/>
      <c r="C1909" s="187"/>
      <c r="D1909" s="187"/>
      <c r="E1909" s="187"/>
      <c r="F1909" s="187"/>
      <c r="G1909" s="187"/>
      <c r="J1909" s="186"/>
      <c r="K1909" s="180"/>
      <c r="L1909" s="180"/>
    </row>
    <row r="1910" spans="2:12" s="188" customFormat="1" ht="15" customHeight="1">
      <c r="B1910" s="187"/>
      <c r="C1910" s="187"/>
      <c r="D1910" s="187"/>
      <c r="E1910" s="187"/>
      <c r="F1910" s="187"/>
      <c r="G1910" s="187"/>
      <c r="J1910" s="186"/>
      <c r="K1910" s="180"/>
      <c r="L1910" s="180"/>
    </row>
    <row r="1911" spans="2:12" s="188" customFormat="1" ht="15" customHeight="1">
      <c r="B1911" s="187"/>
      <c r="C1911" s="187"/>
      <c r="D1911" s="187"/>
      <c r="E1911" s="187"/>
      <c r="F1911" s="187"/>
      <c r="G1911" s="187"/>
      <c r="J1911" s="186"/>
      <c r="K1911" s="180"/>
      <c r="L1911" s="180"/>
    </row>
    <row r="1912" spans="2:12" s="188" customFormat="1" ht="15" customHeight="1">
      <c r="B1912" s="187"/>
      <c r="C1912" s="187"/>
      <c r="D1912" s="187"/>
      <c r="E1912" s="187"/>
      <c r="F1912" s="187"/>
      <c r="G1912" s="187"/>
      <c r="J1912" s="186"/>
      <c r="K1912" s="180"/>
      <c r="L1912" s="180"/>
    </row>
    <row r="1913" spans="2:12" s="188" customFormat="1" ht="15" customHeight="1">
      <c r="B1913" s="187"/>
      <c r="C1913" s="187"/>
      <c r="D1913" s="187"/>
      <c r="E1913" s="187"/>
      <c r="F1913" s="187"/>
      <c r="G1913" s="187"/>
      <c r="J1913" s="186"/>
      <c r="K1913" s="180"/>
      <c r="L1913" s="180"/>
    </row>
    <row r="1914" spans="2:12" s="188" customFormat="1" ht="15" customHeight="1">
      <c r="B1914" s="187"/>
      <c r="C1914" s="187"/>
      <c r="D1914" s="187"/>
      <c r="E1914" s="187"/>
      <c r="F1914" s="187"/>
      <c r="G1914" s="187"/>
      <c r="J1914" s="186"/>
      <c r="K1914" s="180"/>
      <c r="L1914" s="180"/>
    </row>
    <row r="1915" spans="2:12" s="188" customFormat="1" ht="15" customHeight="1">
      <c r="B1915" s="187"/>
      <c r="C1915" s="187"/>
      <c r="D1915" s="187"/>
      <c r="E1915" s="187"/>
      <c r="F1915" s="187"/>
      <c r="G1915" s="187"/>
      <c r="J1915" s="186"/>
      <c r="K1915" s="180"/>
      <c r="L1915" s="180"/>
    </row>
    <row r="1916" spans="2:12" s="188" customFormat="1" ht="15" customHeight="1">
      <c r="B1916" s="187"/>
      <c r="C1916" s="187"/>
      <c r="D1916" s="187"/>
      <c r="E1916" s="187"/>
      <c r="F1916" s="187"/>
      <c r="G1916" s="187"/>
      <c r="J1916" s="186"/>
      <c r="K1916" s="180"/>
      <c r="L1916" s="180"/>
    </row>
    <row r="1917" spans="2:12" s="188" customFormat="1" ht="15" customHeight="1">
      <c r="B1917" s="187"/>
      <c r="C1917" s="187"/>
      <c r="D1917" s="187"/>
      <c r="E1917" s="187"/>
      <c r="F1917" s="187"/>
      <c r="G1917" s="187"/>
      <c r="J1917" s="186"/>
      <c r="K1917" s="180"/>
      <c r="L1917" s="180"/>
    </row>
    <row r="1918" spans="2:12" s="188" customFormat="1" ht="15" customHeight="1">
      <c r="B1918" s="187"/>
      <c r="C1918" s="187"/>
      <c r="D1918" s="187"/>
      <c r="E1918" s="187"/>
      <c r="F1918" s="187"/>
      <c r="G1918" s="187"/>
      <c r="J1918" s="186"/>
      <c r="K1918" s="180"/>
      <c r="L1918" s="180"/>
    </row>
    <row r="1919" spans="2:12" s="188" customFormat="1" ht="15" customHeight="1">
      <c r="B1919" s="187"/>
      <c r="C1919" s="187"/>
      <c r="D1919" s="187"/>
      <c r="E1919" s="187"/>
      <c r="F1919" s="187"/>
      <c r="G1919" s="187"/>
      <c r="J1919" s="186"/>
      <c r="K1919" s="180"/>
      <c r="L1919" s="180"/>
    </row>
    <row r="1920" spans="2:12" s="188" customFormat="1" ht="15" customHeight="1">
      <c r="B1920" s="187"/>
      <c r="C1920" s="187"/>
      <c r="D1920" s="187"/>
      <c r="E1920" s="187"/>
      <c r="F1920" s="187"/>
      <c r="G1920" s="187"/>
      <c r="J1920" s="186"/>
      <c r="K1920" s="180"/>
      <c r="L1920" s="180"/>
    </row>
    <row r="1921" spans="2:12" s="188" customFormat="1" ht="15" customHeight="1">
      <c r="B1921" s="187"/>
      <c r="C1921" s="187"/>
      <c r="D1921" s="187"/>
      <c r="E1921" s="187"/>
      <c r="F1921" s="187"/>
      <c r="G1921" s="187"/>
      <c r="J1921" s="186"/>
      <c r="K1921" s="180"/>
      <c r="L1921" s="180"/>
    </row>
    <row r="1922" spans="2:12" s="188" customFormat="1" ht="15" customHeight="1">
      <c r="B1922" s="187"/>
      <c r="C1922" s="187"/>
      <c r="D1922" s="187"/>
      <c r="E1922" s="187"/>
      <c r="F1922" s="187"/>
      <c r="G1922" s="187"/>
      <c r="J1922" s="186"/>
      <c r="K1922" s="180"/>
      <c r="L1922" s="180"/>
    </row>
    <row r="1923" spans="2:12" s="188" customFormat="1" ht="15" customHeight="1">
      <c r="B1923" s="187"/>
      <c r="C1923" s="187"/>
      <c r="D1923" s="187"/>
      <c r="E1923" s="187"/>
      <c r="F1923" s="187"/>
      <c r="G1923" s="187"/>
      <c r="J1923" s="186"/>
      <c r="K1923" s="180"/>
      <c r="L1923" s="180"/>
    </row>
    <row r="1924" spans="2:12" s="188" customFormat="1" ht="15" customHeight="1">
      <c r="B1924" s="187"/>
      <c r="C1924" s="187"/>
      <c r="D1924" s="187"/>
      <c r="E1924" s="187"/>
      <c r="F1924" s="187"/>
      <c r="G1924" s="187"/>
      <c r="J1924" s="186"/>
      <c r="K1924" s="180"/>
      <c r="L1924" s="180"/>
    </row>
    <row r="1925" spans="2:12" s="188" customFormat="1" ht="15" customHeight="1">
      <c r="B1925" s="187"/>
      <c r="C1925" s="187"/>
      <c r="D1925" s="187"/>
      <c r="E1925" s="187"/>
      <c r="F1925" s="187"/>
      <c r="G1925" s="187"/>
      <c r="J1925" s="186"/>
      <c r="K1925" s="180"/>
      <c r="L1925" s="180"/>
    </row>
    <row r="1926" spans="2:12" s="188" customFormat="1" ht="15" customHeight="1">
      <c r="B1926" s="187"/>
      <c r="C1926" s="187"/>
      <c r="D1926" s="187"/>
      <c r="E1926" s="187"/>
      <c r="F1926" s="187"/>
      <c r="G1926" s="187"/>
      <c r="J1926" s="186"/>
      <c r="K1926" s="180"/>
      <c r="L1926" s="180"/>
    </row>
    <row r="1927" spans="2:12" s="188" customFormat="1" ht="15" customHeight="1">
      <c r="B1927" s="187"/>
      <c r="C1927" s="187"/>
      <c r="D1927" s="187"/>
      <c r="E1927" s="187"/>
      <c r="F1927" s="187"/>
      <c r="G1927" s="187"/>
      <c r="J1927" s="186"/>
      <c r="K1927" s="180"/>
      <c r="L1927" s="180"/>
    </row>
    <row r="1928" spans="2:12" s="188" customFormat="1" ht="15" customHeight="1">
      <c r="B1928" s="187"/>
      <c r="C1928" s="187"/>
      <c r="D1928" s="187"/>
      <c r="E1928" s="187"/>
      <c r="F1928" s="187"/>
      <c r="G1928" s="187"/>
      <c r="J1928" s="186"/>
      <c r="K1928" s="180"/>
      <c r="L1928" s="180"/>
    </row>
    <row r="1929" spans="2:12" s="188" customFormat="1" ht="15" customHeight="1">
      <c r="B1929" s="187"/>
      <c r="C1929" s="187"/>
      <c r="D1929" s="187"/>
      <c r="E1929" s="187"/>
      <c r="F1929" s="187"/>
      <c r="G1929" s="187"/>
      <c r="J1929" s="186"/>
      <c r="K1929" s="180"/>
      <c r="L1929" s="180"/>
    </row>
    <row r="1930" spans="2:12" s="188" customFormat="1" ht="15" customHeight="1">
      <c r="B1930" s="187"/>
      <c r="C1930" s="187"/>
      <c r="D1930" s="187"/>
      <c r="E1930" s="187"/>
      <c r="F1930" s="187"/>
      <c r="G1930" s="187"/>
      <c r="J1930" s="186"/>
      <c r="K1930" s="180"/>
      <c r="L1930" s="180"/>
    </row>
    <row r="1931" spans="2:12" s="188" customFormat="1" ht="15" customHeight="1">
      <c r="B1931" s="187"/>
      <c r="C1931" s="187"/>
      <c r="D1931" s="187"/>
      <c r="E1931" s="187"/>
      <c r="F1931" s="187"/>
      <c r="G1931" s="187"/>
      <c r="J1931" s="186"/>
      <c r="K1931" s="180"/>
      <c r="L1931" s="180"/>
    </row>
    <row r="1932" spans="2:12" s="188" customFormat="1" ht="15" customHeight="1">
      <c r="B1932" s="187"/>
      <c r="C1932" s="187"/>
      <c r="D1932" s="187"/>
      <c r="E1932" s="187"/>
      <c r="F1932" s="187"/>
      <c r="G1932" s="187"/>
      <c r="J1932" s="186"/>
      <c r="K1932" s="180"/>
      <c r="L1932" s="180"/>
    </row>
    <row r="1933" spans="2:12" s="188" customFormat="1" ht="15" customHeight="1">
      <c r="B1933" s="187"/>
      <c r="C1933" s="187"/>
      <c r="D1933" s="187"/>
      <c r="E1933" s="187"/>
      <c r="F1933" s="187"/>
      <c r="G1933" s="187"/>
      <c r="J1933" s="186"/>
      <c r="K1933" s="180"/>
      <c r="L1933" s="180"/>
    </row>
    <row r="1934" spans="2:12" s="188" customFormat="1" ht="15" customHeight="1">
      <c r="B1934" s="187"/>
      <c r="C1934" s="187"/>
      <c r="D1934" s="187"/>
      <c r="E1934" s="187"/>
      <c r="F1934" s="187"/>
      <c r="G1934" s="187"/>
      <c r="J1934" s="186"/>
      <c r="K1934" s="180"/>
      <c r="L1934" s="180"/>
    </row>
    <row r="1935" spans="2:12" s="188" customFormat="1" ht="15" customHeight="1">
      <c r="B1935" s="187"/>
      <c r="C1935" s="187"/>
      <c r="D1935" s="187"/>
      <c r="E1935" s="187"/>
      <c r="F1935" s="187"/>
      <c r="G1935" s="187"/>
      <c r="J1935" s="186"/>
      <c r="K1935" s="180"/>
      <c r="L1935" s="180"/>
    </row>
    <row r="1936" spans="2:12" s="188" customFormat="1" ht="15" customHeight="1">
      <c r="B1936" s="187"/>
      <c r="C1936" s="187"/>
      <c r="D1936" s="187"/>
      <c r="E1936" s="187"/>
      <c r="F1936" s="187"/>
      <c r="G1936" s="187"/>
      <c r="J1936" s="186"/>
      <c r="K1936" s="180"/>
      <c r="L1936" s="180"/>
    </row>
    <row r="1937" spans="2:12" s="188" customFormat="1" ht="15" customHeight="1">
      <c r="B1937" s="187"/>
      <c r="C1937" s="187"/>
      <c r="D1937" s="187"/>
      <c r="E1937" s="187"/>
      <c r="F1937" s="187"/>
      <c r="G1937" s="187"/>
      <c r="J1937" s="186"/>
      <c r="K1937" s="180"/>
      <c r="L1937" s="180"/>
    </row>
    <row r="1938" spans="2:12" s="188" customFormat="1" ht="15" customHeight="1">
      <c r="B1938" s="187"/>
      <c r="C1938" s="187"/>
      <c r="D1938" s="187"/>
      <c r="E1938" s="187"/>
      <c r="F1938" s="187"/>
      <c r="G1938" s="187"/>
      <c r="J1938" s="186"/>
      <c r="K1938" s="180"/>
      <c r="L1938" s="180"/>
    </row>
    <row r="1939" spans="2:12" s="188" customFormat="1" ht="15" customHeight="1">
      <c r="B1939" s="187"/>
      <c r="C1939" s="187"/>
      <c r="D1939" s="187"/>
      <c r="E1939" s="187"/>
      <c r="F1939" s="187"/>
      <c r="G1939" s="187"/>
      <c r="J1939" s="186"/>
      <c r="K1939" s="180"/>
      <c r="L1939" s="180"/>
    </row>
    <row r="1940" spans="2:12" s="188" customFormat="1" ht="15" customHeight="1">
      <c r="B1940" s="187"/>
      <c r="C1940" s="187"/>
      <c r="D1940" s="187"/>
      <c r="E1940" s="187"/>
      <c r="F1940" s="187"/>
      <c r="G1940" s="187"/>
      <c r="J1940" s="186"/>
      <c r="K1940" s="180"/>
      <c r="L1940" s="180"/>
    </row>
    <row r="1941" spans="2:12" s="188" customFormat="1" ht="15" customHeight="1">
      <c r="B1941" s="187"/>
      <c r="C1941" s="187"/>
      <c r="D1941" s="187"/>
      <c r="E1941" s="187"/>
      <c r="F1941" s="187"/>
      <c r="G1941" s="187"/>
      <c r="J1941" s="186"/>
      <c r="K1941" s="180"/>
      <c r="L1941" s="180"/>
    </row>
    <row r="1942" spans="2:12" s="188" customFormat="1" ht="15" customHeight="1">
      <c r="B1942" s="187"/>
      <c r="C1942" s="187"/>
      <c r="D1942" s="187"/>
      <c r="E1942" s="187"/>
      <c r="F1942" s="187"/>
      <c r="G1942" s="187"/>
      <c r="J1942" s="186"/>
      <c r="K1942" s="180"/>
      <c r="L1942" s="180"/>
    </row>
    <row r="1943" spans="2:12" s="188" customFormat="1" ht="15" customHeight="1">
      <c r="B1943" s="187"/>
      <c r="C1943" s="187"/>
      <c r="D1943" s="187"/>
      <c r="E1943" s="187"/>
      <c r="F1943" s="187"/>
      <c r="G1943" s="187"/>
      <c r="J1943" s="186"/>
      <c r="K1943" s="180"/>
      <c r="L1943" s="180"/>
    </row>
    <row r="1944" spans="2:12" s="188" customFormat="1" ht="15" customHeight="1">
      <c r="B1944" s="187"/>
      <c r="C1944" s="187"/>
      <c r="D1944" s="187"/>
      <c r="E1944" s="187"/>
      <c r="F1944" s="187"/>
      <c r="G1944" s="187"/>
      <c r="J1944" s="186"/>
      <c r="K1944" s="180"/>
      <c r="L1944" s="180"/>
    </row>
    <row r="1945" spans="2:12" s="188" customFormat="1" ht="15" customHeight="1">
      <c r="B1945" s="187"/>
      <c r="C1945" s="187"/>
      <c r="D1945" s="187"/>
      <c r="E1945" s="187"/>
      <c r="F1945" s="187"/>
      <c r="G1945" s="187"/>
      <c r="J1945" s="186"/>
      <c r="K1945" s="180"/>
      <c r="L1945" s="180"/>
    </row>
    <row r="1946" spans="2:12" s="188" customFormat="1" ht="15" customHeight="1">
      <c r="B1946" s="187"/>
      <c r="C1946" s="187"/>
      <c r="D1946" s="187"/>
      <c r="E1946" s="187"/>
      <c r="F1946" s="187"/>
      <c r="G1946" s="187"/>
      <c r="J1946" s="186"/>
      <c r="K1946" s="180"/>
      <c r="L1946" s="180"/>
    </row>
    <row r="1947" spans="2:12" s="188" customFormat="1" ht="15" customHeight="1">
      <c r="B1947" s="187"/>
      <c r="C1947" s="187"/>
      <c r="D1947" s="187"/>
      <c r="E1947" s="187"/>
      <c r="F1947" s="187"/>
      <c r="G1947" s="187"/>
      <c r="J1947" s="186"/>
      <c r="K1947" s="180"/>
      <c r="L1947" s="180"/>
    </row>
    <row r="1948" spans="2:12" s="188" customFormat="1" ht="15" customHeight="1">
      <c r="B1948" s="187"/>
      <c r="C1948" s="187"/>
      <c r="D1948" s="187"/>
      <c r="E1948" s="187"/>
      <c r="F1948" s="187"/>
      <c r="G1948" s="187"/>
      <c r="J1948" s="186"/>
      <c r="K1948" s="180"/>
      <c r="L1948" s="180"/>
    </row>
    <row r="1949" spans="2:12" s="188" customFormat="1" ht="15" customHeight="1">
      <c r="B1949" s="187"/>
      <c r="C1949" s="187"/>
      <c r="D1949" s="187"/>
      <c r="E1949" s="187"/>
      <c r="F1949" s="187"/>
      <c r="G1949" s="187"/>
      <c r="J1949" s="186"/>
      <c r="K1949" s="180"/>
      <c r="L1949" s="180"/>
    </row>
    <row r="1950" spans="2:12" s="188" customFormat="1" ht="15" customHeight="1">
      <c r="B1950" s="187"/>
      <c r="C1950" s="187"/>
      <c r="D1950" s="187"/>
      <c r="E1950" s="187"/>
      <c r="F1950" s="187"/>
      <c r="G1950" s="187"/>
      <c r="J1950" s="186"/>
      <c r="K1950" s="180"/>
      <c r="L1950" s="180"/>
    </row>
    <row r="1951" spans="2:12" s="188" customFormat="1" ht="15" customHeight="1">
      <c r="B1951" s="187"/>
      <c r="C1951" s="187"/>
      <c r="D1951" s="187"/>
      <c r="E1951" s="187"/>
      <c r="F1951" s="187"/>
      <c r="G1951" s="187"/>
      <c r="J1951" s="186"/>
      <c r="K1951" s="180"/>
      <c r="L1951" s="180"/>
    </row>
    <row r="1952" spans="2:12" s="188" customFormat="1" ht="15" customHeight="1">
      <c r="B1952" s="187"/>
      <c r="C1952" s="187"/>
      <c r="D1952" s="187"/>
      <c r="E1952" s="187"/>
      <c r="F1952" s="187"/>
      <c r="G1952" s="187"/>
      <c r="J1952" s="186"/>
      <c r="K1952" s="180"/>
      <c r="L1952" s="180"/>
    </row>
    <row r="1953" spans="2:12" s="188" customFormat="1" ht="15" customHeight="1">
      <c r="B1953" s="187"/>
      <c r="C1953" s="187"/>
      <c r="D1953" s="187"/>
      <c r="E1953" s="187"/>
      <c r="F1953" s="187"/>
      <c r="G1953" s="187"/>
      <c r="J1953" s="186"/>
      <c r="K1953" s="180"/>
      <c r="L1953" s="180"/>
    </row>
    <row r="1954" spans="2:12" s="188" customFormat="1" ht="15" customHeight="1">
      <c r="B1954" s="187"/>
      <c r="C1954" s="187"/>
      <c r="D1954" s="187"/>
      <c r="E1954" s="187"/>
      <c r="F1954" s="187"/>
      <c r="G1954" s="187"/>
      <c r="J1954" s="186"/>
      <c r="K1954" s="180"/>
      <c r="L1954" s="180"/>
    </row>
    <row r="1955" spans="2:12" s="188" customFormat="1" ht="15" customHeight="1">
      <c r="B1955" s="187"/>
      <c r="C1955" s="187"/>
      <c r="D1955" s="187"/>
      <c r="E1955" s="187"/>
      <c r="F1955" s="187"/>
      <c r="G1955" s="187"/>
      <c r="J1955" s="186"/>
      <c r="K1955" s="180"/>
      <c r="L1955" s="180"/>
    </row>
    <row r="1956" spans="2:12" s="188" customFormat="1" ht="15" customHeight="1">
      <c r="B1956" s="187"/>
      <c r="C1956" s="187"/>
      <c r="D1956" s="187"/>
      <c r="E1956" s="187"/>
      <c r="F1956" s="187"/>
      <c r="G1956" s="187"/>
      <c r="J1956" s="186"/>
      <c r="K1956" s="180"/>
      <c r="L1956" s="180"/>
    </row>
    <row r="1957" spans="2:12" s="188" customFormat="1" ht="15" customHeight="1">
      <c r="B1957" s="187"/>
      <c r="C1957" s="187"/>
      <c r="D1957" s="187"/>
      <c r="E1957" s="187"/>
      <c r="F1957" s="187"/>
      <c r="G1957" s="187"/>
      <c r="J1957" s="186"/>
      <c r="K1957" s="180"/>
      <c r="L1957" s="180"/>
    </row>
    <row r="1958" spans="2:12" s="188" customFormat="1" ht="15" customHeight="1">
      <c r="B1958" s="187"/>
      <c r="C1958" s="187"/>
      <c r="D1958" s="187"/>
      <c r="E1958" s="187"/>
      <c r="F1958" s="187"/>
      <c r="G1958" s="187"/>
      <c r="J1958" s="186"/>
      <c r="K1958" s="180"/>
      <c r="L1958" s="180"/>
    </row>
    <row r="1959" spans="2:12" s="188" customFormat="1" ht="15" customHeight="1">
      <c r="B1959" s="187"/>
      <c r="C1959" s="187"/>
      <c r="D1959" s="187"/>
      <c r="E1959" s="187"/>
      <c r="F1959" s="187"/>
      <c r="G1959" s="187"/>
      <c r="J1959" s="186"/>
      <c r="K1959" s="180"/>
      <c r="L1959" s="180"/>
    </row>
    <row r="1960" spans="2:12" s="188" customFormat="1" ht="15" customHeight="1">
      <c r="B1960" s="187"/>
      <c r="C1960" s="187"/>
      <c r="D1960" s="187"/>
      <c r="E1960" s="187"/>
      <c r="F1960" s="187"/>
      <c r="G1960" s="187"/>
      <c r="J1960" s="186"/>
      <c r="K1960" s="180"/>
      <c r="L1960" s="180"/>
    </row>
    <row r="1961" spans="2:12" s="188" customFormat="1" ht="15" customHeight="1">
      <c r="B1961" s="187"/>
      <c r="C1961" s="187"/>
      <c r="D1961" s="187"/>
      <c r="E1961" s="187"/>
      <c r="F1961" s="187"/>
      <c r="G1961" s="187"/>
      <c r="J1961" s="186"/>
      <c r="K1961" s="180"/>
      <c r="L1961" s="180"/>
    </row>
    <row r="1962" spans="2:12" s="188" customFormat="1" ht="15" customHeight="1">
      <c r="B1962" s="187"/>
      <c r="C1962" s="187"/>
      <c r="D1962" s="187"/>
      <c r="E1962" s="187"/>
      <c r="F1962" s="187"/>
      <c r="G1962" s="187"/>
      <c r="J1962" s="186"/>
      <c r="K1962" s="180"/>
      <c r="L1962" s="180"/>
    </row>
    <row r="1963" spans="2:12" s="188" customFormat="1" ht="15" customHeight="1">
      <c r="B1963" s="187"/>
      <c r="C1963" s="187"/>
      <c r="D1963" s="187"/>
      <c r="E1963" s="187"/>
      <c r="F1963" s="187"/>
      <c r="G1963" s="187"/>
      <c r="J1963" s="186"/>
      <c r="K1963" s="180"/>
      <c r="L1963" s="180"/>
    </row>
    <row r="1964" spans="2:12" s="188" customFormat="1" ht="15" customHeight="1">
      <c r="B1964" s="187"/>
      <c r="C1964" s="187"/>
      <c r="D1964" s="187"/>
      <c r="E1964" s="187"/>
      <c r="F1964" s="187"/>
      <c r="G1964" s="187"/>
      <c r="J1964" s="186"/>
      <c r="K1964" s="180"/>
      <c r="L1964" s="180"/>
    </row>
    <row r="1965" spans="2:12" s="188" customFormat="1" ht="15" customHeight="1">
      <c r="B1965" s="187"/>
      <c r="C1965" s="187"/>
      <c r="D1965" s="187"/>
      <c r="E1965" s="187"/>
      <c r="F1965" s="187"/>
      <c r="G1965" s="187"/>
      <c r="J1965" s="186"/>
      <c r="K1965" s="180"/>
      <c r="L1965" s="180"/>
    </row>
    <row r="1966" spans="2:12" s="188" customFormat="1" ht="15" customHeight="1">
      <c r="B1966" s="187"/>
      <c r="C1966" s="187"/>
      <c r="D1966" s="187"/>
      <c r="E1966" s="187"/>
      <c r="F1966" s="187"/>
      <c r="G1966" s="187"/>
      <c r="J1966" s="186"/>
      <c r="K1966" s="180"/>
      <c r="L1966" s="180"/>
    </row>
    <row r="1967" spans="2:12" s="188" customFormat="1" ht="15" customHeight="1">
      <c r="B1967" s="187"/>
      <c r="C1967" s="187"/>
      <c r="D1967" s="187"/>
      <c r="E1967" s="187"/>
      <c r="F1967" s="187"/>
      <c r="G1967" s="187"/>
      <c r="J1967" s="186"/>
      <c r="K1967" s="180"/>
      <c r="L1967" s="180"/>
    </row>
    <row r="1968" spans="2:12" s="188" customFormat="1" ht="15" customHeight="1">
      <c r="B1968" s="187"/>
      <c r="C1968" s="187"/>
      <c r="D1968" s="187"/>
      <c r="E1968" s="187"/>
      <c r="F1968" s="187"/>
      <c r="G1968" s="187"/>
      <c r="J1968" s="186"/>
      <c r="K1968" s="180"/>
      <c r="L1968" s="180"/>
    </row>
    <row r="1969" spans="2:12" s="188" customFormat="1" ht="15" customHeight="1">
      <c r="B1969" s="187"/>
      <c r="C1969" s="187"/>
      <c r="D1969" s="187"/>
      <c r="E1969" s="187"/>
      <c r="F1969" s="187"/>
      <c r="G1969" s="187"/>
      <c r="J1969" s="186"/>
      <c r="K1969" s="180"/>
      <c r="L1969" s="180"/>
    </row>
    <row r="1970" spans="2:12" s="188" customFormat="1" ht="15" customHeight="1">
      <c r="B1970" s="187"/>
      <c r="C1970" s="187"/>
      <c r="D1970" s="187"/>
      <c r="E1970" s="187"/>
      <c r="F1970" s="187"/>
      <c r="G1970" s="187"/>
      <c r="J1970" s="186"/>
      <c r="K1970" s="180"/>
      <c r="L1970" s="180"/>
    </row>
    <row r="1971" spans="2:12" s="188" customFormat="1" ht="15" customHeight="1">
      <c r="B1971" s="187"/>
      <c r="C1971" s="187"/>
      <c r="D1971" s="187"/>
      <c r="E1971" s="187"/>
      <c r="F1971" s="187"/>
      <c r="G1971" s="187"/>
      <c r="J1971" s="186"/>
      <c r="K1971" s="180"/>
      <c r="L1971" s="180"/>
    </row>
    <row r="1972" spans="2:12" s="188" customFormat="1" ht="15" customHeight="1">
      <c r="B1972" s="187"/>
      <c r="C1972" s="187"/>
      <c r="D1972" s="187"/>
      <c r="E1972" s="187"/>
      <c r="F1972" s="187"/>
      <c r="G1972" s="187"/>
      <c r="J1972" s="186"/>
      <c r="K1972" s="180"/>
      <c r="L1972" s="180"/>
    </row>
    <row r="1973" spans="2:12" s="188" customFormat="1" ht="15" customHeight="1">
      <c r="B1973" s="187"/>
      <c r="C1973" s="187"/>
      <c r="D1973" s="187"/>
      <c r="E1973" s="187"/>
      <c r="F1973" s="187"/>
      <c r="G1973" s="187"/>
      <c r="J1973" s="186"/>
      <c r="K1973" s="180"/>
      <c r="L1973" s="180"/>
    </row>
    <row r="1974" spans="2:12" s="188" customFormat="1" ht="15" customHeight="1">
      <c r="B1974" s="187"/>
      <c r="C1974" s="187"/>
      <c r="D1974" s="187"/>
      <c r="E1974" s="187"/>
      <c r="F1974" s="187"/>
      <c r="G1974" s="187"/>
      <c r="J1974" s="186"/>
      <c r="K1974" s="180"/>
      <c r="L1974" s="180"/>
    </row>
    <row r="1975" spans="2:12" s="188" customFormat="1" ht="15" customHeight="1">
      <c r="B1975" s="187"/>
      <c r="C1975" s="187"/>
      <c r="D1975" s="187"/>
      <c r="E1975" s="187"/>
      <c r="F1975" s="187"/>
      <c r="G1975" s="187"/>
      <c r="J1975" s="186"/>
      <c r="K1975" s="180"/>
      <c r="L1975" s="180"/>
    </row>
    <row r="1976" spans="2:12" s="188" customFormat="1" ht="15" customHeight="1">
      <c r="B1976" s="187"/>
      <c r="C1976" s="187"/>
      <c r="D1976" s="187"/>
      <c r="E1976" s="187"/>
      <c r="F1976" s="187"/>
      <c r="G1976" s="187"/>
      <c r="J1976" s="186"/>
      <c r="K1976" s="180"/>
      <c r="L1976" s="180"/>
    </row>
    <row r="1977" spans="2:12" s="188" customFormat="1" ht="15" customHeight="1">
      <c r="B1977" s="187"/>
      <c r="C1977" s="187"/>
      <c r="D1977" s="187"/>
      <c r="E1977" s="187"/>
      <c r="F1977" s="187"/>
      <c r="G1977" s="187"/>
      <c r="J1977" s="186"/>
      <c r="K1977" s="180"/>
      <c r="L1977" s="180"/>
    </row>
    <row r="1978" spans="2:12" s="188" customFormat="1" ht="15" customHeight="1">
      <c r="B1978" s="187"/>
      <c r="C1978" s="187"/>
      <c r="D1978" s="187"/>
      <c r="E1978" s="187"/>
      <c r="F1978" s="187"/>
      <c r="G1978" s="187"/>
      <c r="J1978" s="186"/>
      <c r="K1978" s="180"/>
      <c r="L1978" s="180"/>
    </row>
    <row r="1979" spans="2:12" s="188" customFormat="1" ht="15" customHeight="1">
      <c r="B1979" s="187"/>
      <c r="C1979" s="187"/>
      <c r="D1979" s="187"/>
      <c r="E1979" s="187"/>
      <c r="F1979" s="187"/>
      <c r="G1979" s="187"/>
      <c r="J1979" s="186"/>
      <c r="K1979" s="180"/>
      <c r="L1979" s="180"/>
    </row>
    <row r="1980" spans="2:12" s="188" customFormat="1" ht="15" customHeight="1">
      <c r="B1980" s="187"/>
      <c r="C1980" s="187"/>
      <c r="D1980" s="187"/>
      <c r="E1980" s="187"/>
      <c r="F1980" s="187"/>
      <c r="G1980" s="187"/>
      <c r="J1980" s="186"/>
      <c r="K1980" s="180"/>
      <c r="L1980" s="180"/>
    </row>
    <row r="1981" spans="2:12" s="188" customFormat="1" ht="15" customHeight="1">
      <c r="B1981" s="187"/>
      <c r="C1981" s="187"/>
      <c r="D1981" s="187"/>
      <c r="E1981" s="187"/>
      <c r="F1981" s="187"/>
      <c r="G1981" s="187"/>
      <c r="J1981" s="186"/>
      <c r="K1981" s="180"/>
      <c r="L1981" s="180"/>
    </row>
    <row r="1982" spans="2:12" s="188" customFormat="1" ht="15" customHeight="1">
      <c r="B1982" s="187"/>
      <c r="C1982" s="187"/>
      <c r="D1982" s="187"/>
      <c r="E1982" s="187"/>
      <c r="F1982" s="187"/>
      <c r="G1982" s="187"/>
      <c r="J1982" s="186"/>
      <c r="K1982" s="180"/>
      <c r="L1982" s="180"/>
    </row>
    <row r="1983" spans="2:12" s="188" customFormat="1" ht="15" customHeight="1">
      <c r="B1983" s="187"/>
      <c r="C1983" s="187"/>
      <c r="D1983" s="187"/>
      <c r="E1983" s="187"/>
      <c r="F1983" s="187"/>
      <c r="G1983" s="187"/>
      <c r="J1983" s="186"/>
      <c r="K1983" s="180"/>
      <c r="L1983" s="180"/>
    </row>
    <row r="1984" spans="2:12" s="188" customFormat="1" ht="15" customHeight="1">
      <c r="B1984" s="187"/>
      <c r="C1984" s="187"/>
      <c r="D1984" s="187"/>
      <c r="E1984" s="187"/>
      <c r="F1984" s="187"/>
      <c r="G1984" s="187"/>
      <c r="J1984" s="186"/>
      <c r="K1984" s="180"/>
      <c r="L1984" s="180"/>
    </row>
    <row r="1985" spans="2:12" s="188" customFormat="1" ht="15" customHeight="1">
      <c r="B1985" s="187"/>
      <c r="C1985" s="187"/>
      <c r="D1985" s="187"/>
      <c r="E1985" s="187"/>
      <c r="F1985" s="187"/>
      <c r="G1985" s="187"/>
      <c r="J1985" s="186"/>
      <c r="K1985" s="180"/>
      <c r="L1985" s="180"/>
    </row>
    <row r="1986" spans="2:12" s="188" customFormat="1" ht="15" customHeight="1">
      <c r="B1986" s="187"/>
      <c r="C1986" s="187"/>
      <c r="D1986" s="187"/>
      <c r="E1986" s="187"/>
      <c r="F1986" s="187"/>
      <c r="G1986" s="187"/>
      <c r="J1986" s="186"/>
      <c r="K1986" s="180"/>
      <c r="L1986" s="180"/>
    </row>
    <row r="1987" spans="2:12" s="188" customFormat="1" ht="15" customHeight="1">
      <c r="B1987" s="187"/>
      <c r="C1987" s="187"/>
      <c r="D1987" s="187"/>
      <c r="E1987" s="187"/>
      <c r="F1987" s="187"/>
      <c r="G1987" s="187"/>
      <c r="J1987" s="186"/>
      <c r="K1987" s="180"/>
      <c r="L1987" s="180"/>
    </row>
    <row r="1988" spans="2:12" s="188" customFormat="1" ht="15" customHeight="1">
      <c r="B1988" s="187"/>
      <c r="C1988" s="187"/>
      <c r="D1988" s="187"/>
      <c r="E1988" s="187"/>
      <c r="F1988" s="187"/>
      <c r="G1988" s="187"/>
      <c r="J1988" s="186"/>
      <c r="K1988" s="180"/>
      <c r="L1988" s="180"/>
    </row>
    <row r="1989" spans="2:12" s="188" customFormat="1" ht="15" customHeight="1">
      <c r="B1989" s="187"/>
      <c r="C1989" s="187"/>
      <c r="D1989" s="187"/>
      <c r="E1989" s="187"/>
      <c r="F1989" s="187"/>
      <c r="G1989" s="187"/>
      <c r="J1989" s="186"/>
      <c r="K1989" s="180"/>
      <c r="L1989" s="180"/>
    </row>
    <row r="1990" spans="2:12" s="188" customFormat="1" ht="15" customHeight="1">
      <c r="B1990" s="187"/>
      <c r="C1990" s="187"/>
      <c r="D1990" s="187"/>
      <c r="E1990" s="187"/>
      <c r="F1990" s="187"/>
      <c r="G1990" s="187"/>
      <c r="J1990" s="186"/>
      <c r="K1990" s="180"/>
      <c r="L1990" s="180"/>
    </row>
    <row r="1991" spans="2:12" s="188" customFormat="1" ht="15" customHeight="1">
      <c r="B1991" s="187"/>
      <c r="C1991" s="187"/>
      <c r="D1991" s="187"/>
      <c r="E1991" s="187"/>
      <c r="F1991" s="187"/>
      <c r="G1991" s="187"/>
      <c r="J1991" s="186"/>
      <c r="K1991" s="180"/>
      <c r="L1991" s="180"/>
    </row>
    <row r="1992" spans="2:12" s="188" customFormat="1" ht="15" customHeight="1">
      <c r="B1992" s="187"/>
      <c r="C1992" s="187"/>
      <c r="D1992" s="187"/>
      <c r="E1992" s="187"/>
      <c r="F1992" s="187"/>
      <c r="G1992" s="187"/>
      <c r="J1992" s="186"/>
      <c r="K1992" s="180"/>
      <c r="L1992" s="180"/>
    </row>
    <row r="1993" spans="2:12" s="188" customFormat="1" ht="15" customHeight="1">
      <c r="B1993" s="187"/>
      <c r="C1993" s="187"/>
      <c r="D1993" s="187"/>
      <c r="E1993" s="187"/>
      <c r="F1993" s="187"/>
      <c r="G1993" s="187"/>
      <c r="J1993" s="186"/>
      <c r="K1993" s="180"/>
      <c r="L1993" s="180"/>
    </row>
    <row r="1994" spans="2:12" s="188" customFormat="1" ht="15" customHeight="1">
      <c r="B1994" s="187"/>
      <c r="C1994" s="187"/>
      <c r="D1994" s="187"/>
      <c r="E1994" s="187"/>
      <c r="F1994" s="187"/>
      <c r="G1994" s="187"/>
      <c r="J1994" s="186"/>
      <c r="K1994" s="180"/>
      <c r="L1994" s="180"/>
    </row>
    <row r="1995" spans="2:12" s="188" customFormat="1" ht="15" customHeight="1">
      <c r="B1995" s="187"/>
      <c r="C1995" s="187"/>
      <c r="D1995" s="187"/>
      <c r="E1995" s="187"/>
      <c r="F1995" s="187"/>
      <c r="G1995" s="187"/>
      <c r="J1995" s="186"/>
      <c r="K1995" s="180"/>
      <c r="L1995" s="180"/>
    </row>
    <row r="1996" spans="2:12" s="188" customFormat="1" ht="15" customHeight="1">
      <c r="B1996" s="187"/>
      <c r="C1996" s="187"/>
      <c r="D1996" s="187"/>
      <c r="E1996" s="187"/>
      <c r="F1996" s="187"/>
      <c r="G1996" s="187"/>
      <c r="J1996" s="186"/>
      <c r="K1996" s="180"/>
      <c r="L1996" s="180"/>
    </row>
    <row r="1997" spans="2:12" s="188" customFormat="1" ht="15" customHeight="1">
      <c r="B1997" s="187"/>
      <c r="C1997" s="187"/>
      <c r="D1997" s="187"/>
      <c r="E1997" s="187"/>
      <c r="F1997" s="187"/>
      <c r="G1997" s="187"/>
      <c r="J1997" s="186"/>
      <c r="K1997" s="180"/>
      <c r="L1997" s="180"/>
    </row>
    <row r="1998" spans="2:12" s="188" customFormat="1" ht="15" customHeight="1">
      <c r="B1998" s="187"/>
      <c r="C1998" s="187"/>
      <c r="D1998" s="187"/>
      <c r="E1998" s="187"/>
      <c r="F1998" s="187"/>
      <c r="G1998" s="187"/>
      <c r="J1998" s="186"/>
      <c r="K1998" s="180"/>
      <c r="L1998" s="180"/>
    </row>
    <row r="1999" spans="2:12" s="188" customFormat="1" ht="15" customHeight="1">
      <c r="B1999" s="187"/>
      <c r="C1999" s="187"/>
      <c r="D1999" s="187"/>
      <c r="E1999" s="187"/>
      <c r="F1999" s="187"/>
      <c r="G1999" s="187"/>
      <c r="J1999" s="186"/>
      <c r="K1999" s="180"/>
      <c r="L1999" s="180"/>
    </row>
    <row r="2000" spans="2:12" s="188" customFormat="1" ht="15" customHeight="1">
      <c r="B2000" s="187"/>
      <c r="C2000" s="187"/>
      <c r="D2000" s="187"/>
      <c r="E2000" s="187"/>
      <c r="F2000" s="187"/>
      <c r="G2000" s="187"/>
      <c r="J2000" s="186"/>
      <c r="K2000" s="180"/>
      <c r="L2000" s="180"/>
    </row>
    <row r="2001" spans="2:12" s="188" customFormat="1" ht="15" customHeight="1">
      <c r="B2001" s="187"/>
      <c r="C2001" s="187"/>
      <c r="D2001" s="187"/>
      <c r="E2001" s="187"/>
      <c r="F2001" s="187"/>
      <c r="G2001" s="187"/>
      <c r="J2001" s="186"/>
      <c r="K2001" s="180"/>
      <c r="L2001" s="180"/>
    </row>
    <row r="2002" spans="2:12" s="188" customFormat="1" ht="15" customHeight="1">
      <c r="B2002" s="187"/>
      <c r="C2002" s="187"/>
      <c r="D2002" s="187"/>
      <c r="E2002" s="187"/>
      <c r="F2002" s="187"/>
      <c r="G2002" s="187"/>
      <c r="J2002" s="186"/>
      <c r="K2002" s="180"/>
      <c r="L2002" s="180"/>
    </row>
    <row r="2003" spans="2:12" s="188" customFormat="1" ht="15" customHeight="1">
      <c r="B2003" s="187"/>
      <c r="C2003" s="187"/>
      <c r="D2003" s="187"/>
      <c r="E2003" s="187"/>
      <c r="F2003" s="187"/>
      <c r="G2003" s="187"/>
      <c r="J2003" s="186"/>
      <c r="K2003" s="180"/>
      <c r="L2003" s="180"/>
    </row>
    <row r="2004" spans="2:12" s="188" customFormat="1" ht="15" customHeight="1">
      <c r="B2004" s="187"/>
      <c r="C2004" s="187"/>
      <c r="D2004" s="187"/>
      <c r="E2004" s="187"/>
      <c r="F2004" s="187"/>
      <c r="G2004" s="187"/>
      <c r="J2004" s="186"/>
      <c r="K2004" s="180"/>
      <c r="L2004" s="180"/>
    </row>
    <row r="2005" spans="2:12" s="188" customFormat="1" ht="15" customHeight="1">
      <c r="B2005" s="187"/>
      <c r="C2005" s="187"/>
      <c r="D2005" s="187"/>
      <c r="E2005" s="187"/>
      <c r="F2005" s="187"/>
      <c r="G2005" s="187"/>
      <c r="J2005" s="186"/>
      <c r="K2005" s="180"/>
      <c r="L2005" s="180"/>
    </row>
    <row r="2006" spans="2:12" s="188" customFormat="1" ht="15" customHeight="1">
      <c r="B2006" s="187"/>
      <c r="C2006" s="187"/>
      <c r="D2006" s="187"/>
      <c r="E2006" s="187"/>
      <c r="F2006" s="187"/>
      <c r="G2006" s="187"/>
      <c r="J2006" s="186"/>
      <c r="K2006" s="180"/>
      <c r="L2006" s="180"/>
    </row>
    <row r="2007" spans="2:12" s="188" customFormat="1" ht="15" customHeight="1">
      <c r="B2007" s="187"/>
      <c r="C2007" s="187"/>
      <c r="D2007" s="187"/>
      <c r="E2007" s="187"/>
      <c r="F2007" s="187"/>
      <c r="G2007" s="187"/>
      <c r="J2007" s="186"/>
      <c r="K2007" s="180"/>
      <c r="L2007" s="180"/>
    </row>
    <row r="2008" spans="2:12" s="188" customFormat="1" ht="15" customHeight="1">
      <c r="B2008" s="187"/>
      <c r="C2008" s="187"/>
      <c r="D2008" s="187"/>
      <c r="E2008" s="187"/>
      <c r="F2008" s="187"/>
      <c r="G2008" s="187"/>
      <c r="J2008" s="186"/>
      <c r="K2008" s="180"/>
      <c r="L2008" s="180"/>
    </row>
    <row r="2009" spans="2:12" s="188" customFormat="1" ht="15" customHeight="1">
      <c r="B2009" s="187"/>
      <c r="C2009" s="187"/>
      <c r="D2009" s="187"/>
      <c r="E2009" s="187"/>
      <c r="F2009" s="187"/>
      <c r="G2009" s="187"/>
      <c r="J2009" s="186"/>
      <c r="K2009" s="180"/>
      <c r="L2009" s="180"/>
    </row>
    <row r="2010" spans="2:12" s="188" customFormat="1" ht="15" customHeight="1">
      <c r="B2010" s="187"/>
      <c r="C2010" s="187"/>
      <c r="D2010" s="187"/>
      <c r="E2010" s="187"/>
      <c r="F2010" s="187"/>
      <c r="G2010" s="187"/>
      <c r="J2010" s="186"/>
      <c r="K2010" s="180"/>
      <c r="L2010" s="180"/>
    </row>
    <row r="2011" spans="2:12" s="188" customFormat="1" ht="15" customHeight="1">
      <c r="B2011" s="187"/>
      <c r="C2011" s="187"/>
      <c r="D2011" s="187"/>
      <c r="E2011" s="187"/>
      <c r="F2011" s="187"/>
      <c r="G2011" s="187"/>
      <c r="J2011" s="186"/>
      <c r="K2011" s="180"/>
      <c r="L2011" s="180"/>
    </row>
    <row r="2012" spans="2:12" s="188" customFormat="1" ht="15" customHeight="1">
      <c r="B2012" s="187"/>
      <c r="C2012" s="187"/>
      <c r="D2012" s="187"/>
      <c r="E2012" s="187"/>
      <c r="F2012" s="187"/>
      <c r="G2012" s="187"/>
      <c r="J2012" s="186"/>
      <c r="K2012" s="180"/>
      <c r="L2012" s="180"/>
    </row>
    <row r="2013" spans="2:12" s="188" customFormat="1" ht="15" customHeight="1">
      <c r="B2013" s="187"/>
      <c r="C2013" s="187"/>
      <c r="D2013" s="187"/>
      <c r="E2013" s="187"/>
      <c r="F2013" s="187"/>
      <c r="G2013" s="187"/>
      <c r="J2013" s="186"/>
      <c r="K2013" s="180"/>
      <c r="L2013" s="180"/>
    </row>
    <row r="2014" spans="2:12" s="188" customFormat="1" ht="15" customHeight="1">
      <c r="B2014" s="187"/>
      <c r="C2014" s="187"/>
      <c r="D2014" s="187"/>
      <c r="E2014" s="187"/>
      <c r="F2014" s="187"/>
      <c r="G2014" s="187"/>
      <c r="J2014" s="186"/>
      <c r="K2014" s="180"/>
      <c r="L2014" s="180"/>
    </row>
    <row r="2015" spans="2:12" s="188" customFormat="1" ht="15" customHeight="1">
      <c r="B2015" s="187"/>
      <c r="C2015" s="187"/>
      <c r="D2015" s="187"/>
      <c r="E2015" s="187"/>
      <c r="F2015" s="187"/>
      <c r="G2015" s="187"/>
      <c r="J2015" s="186"/>
      <c r="K2015" s="180"/>
      <c r="L2015" s="180"/>
    </row>
    <row r="2016" spans="2:12" s="188" customFormat="1" ht="15" customHeight="1">
      <c r="B2016" s="187"/>
      <c r="C2016" s="187"/>
      <c r="D2016" s="187"/>
      <c r="E2016" s="187"/>
      <c r="F2016" s="187"/>
      <c r="G2016" s="187"/>
      <c r="J2016" s="186"/>
      <c r="K2016" s="180"/>
      <c r="L2016" s="180"/>
    </row>
    <row r="2017" spans="2:12" s="188" customFormat="1" ht="15" customHeight="1">
      <c r="B2017" s="187"/>
      <c r="C2017" s="187"/>
      <c r="D2017" s="187"/>
      <c r="E2017" s="187"/>
      <c r="F2017" s="187"/>
      <c r="G2017" s="187"/>
      <c r="J2017" s="186"/>
      <c r="K2017" s="180"/>
      <c r="L2017" s="180"/>
    </row>
    <row r="2018" spans="2:12" s="188" customFormat="1" ht="15" customHeight="1">
      <c r="B2018" s="187"/>
      <c r="C2018" s="187"/>
      <c r="D2018" s="187"/>
      <c r="E2018" s="187"/>
      <c r="F2018" s="187"/>
      <c r="G2018" s="187"/>
      <c r="J2018" s="186"/>
      <c r="K2018" s="180"/>
      <c r="L2018" s="180"/>
    </row>
    <row r="2019" spans="2:12" s="188" customFormat="1" ht="15" customHeight="1">
      <c r="B2019" s="187"/>
      <c r="C2019" s="187"/>
      <c r="D2019" s="187"/>
      <c r="E2019" s="187"/>
      <c r="F2019" s="187"/>
      <c r="G2019" s="187"/>
      <c r="J2019" s="186"/>
      <c r="K2019" s="180"/>
      <c r="L2019" s="180"/>
    </row>
    <row r="2020" spans="2:12" s="188" customFormat="1" ht="15" customHeight="1">
      <c r="B2020" s="187"/>
      <c r="C2020" s="187"/>
      <c r="D2020" s="187"/>
      <c r="E2020" s="187"/>
      <c r="F2020" s="187"/>
      <c r="G2020" s="187"/>
      <c r="J2020" s="186"/>
      <c r="K2020" s="180"/>
      <c r="L2020" s="180"/>
    </row>
    <row r="2021" spans="2:12" s="188" customFormat="1" ht="15" customHeight="1">
      <c r="B2021" s="187"/>
      <c r="C2021" s="187"/>
      <c r="D2021" s="187"/>
      <c r="E2021" s="187"/>
      <c r="F2021" s="187"/>
      <c r="G2021" s="187"/>
      <c r="J2021" s="186"/>
      <c r="K2021" s="180"/>
      <c r="L2021" s="180"/>
    </row>
    <row r="2022" spans="2:12" s="188" customFormat="1" ht="15" customHeight="1">
      <c r="B2022" s="187"/>
      <c r="C2022" s="187"/>
      <c r="D2022" s="187"/>
      <c r="E2022" s="187"/>
      <c r="F2022" s="187"/>
      <c r="G2022" s="187"/>
      <c r="J2022" s="186"/>
      <c r="K2022" s="180"/>
      <c r="L2022" s="180"/>
    </row>
    <row r="2023" spans="2:12" s="188" customFormat="1" ht="15" customHeight="1">
      <c r="B2023" s="187"/>
      <c r="C2023" s="187"/>
      <c r="D2023" s="187"/>
      <c r="E2023" s="187"/>
      <c r="F2023" s="187"/>
      <c r="G2023" s="187"/>
      <c r="J2023" s="186"/>
      <c r="K2023" s="180"/>
      <c r="L2023" s="180"/>
    </row>
    <row r="2024" spans="2:12" s="188" customFormat="1" ht="15" customHeight="1">
      <c r="B2024" s="187"/>
      <c r="C2024" s="187"/>
      <c r="D2024" s="187"/>
      <c r="E2024" s="187"/>
      <c r="F2024" s="187"/>
      <c r="G2024" s="187"/>
      <c r="J2024" s="186"/>
      <c r="K2024" s="180"/>
      <c r="L2024" s="180"/>
    </row>
    <row r="2025" spans="2:12" s="188" customFormat="1" ht="15" customHeight="1">
      <c r="B2025" s="187"/>
      <c r="C2025" s="187"/>
      <c r="D2025" s="187"/>
      <c r="E2025" s="187"/>
      <c r="F2025" s="187"/>
      <c r="G2025" s="187"/>
      <c r="J2025" s="186"/>
      <c r="K2025" s="180"/>
      <c r="L2025" s="180"/>
    </row>
    <row r="2026" spans="2:12" s="188" customFormat="1" ht="15" customHeight="1">
      <c r="B2026" s="187"/>
      <c r="C2026" s="187"/>
      <c r="D2026" s="187"/>
      <c r="E2026" s="187"/>
      <c r="F2026" s="187"/>
      <c r="G2026" s="187"/>
      <c r="J2026" s="186"/>
      <c r="K2026" s="180"/>
      <c r="L2026" s="180"/>
    </row>
    <row r="2027" spans="2:12" s="188" customFormat="1" ht="15" customHeight="1">
      <c r="B2027" s="187"/>
      <c r="C2027" s="187"/>
      <c r="D2027" s="187"/>
      <c r="E2027" s="187"/>
      <c r="F2027" s="187"/>
      <c r="G2027" s="187"/>
      <c r="J2027" s="186"/>
      <c r="K2027" s="180"/>
      <c r="L2027" s="180"/>
    </row>
    <row r="2028" spans="2:12" s="188" customFormat="1" ht="15" customHeight="1">
      <c r="B2028" s="187"/>
      <c r="C2028" s="187"/>
      <c r="D2028" s="187"/>
      <c r="E2028" s="187"/>
      <c r="F2028" s="187"/>
      <c r="G2028" s="187"/>
      <c r="J2028" s="186"/>
      <c r="K2028" s="180"/>
      <c r="L2028" s="180"/>
    </row>
    <row r="2029" spans="2:12" s="188" customFormat="1" ht="15" customHeight="1">
      <c r="B2029" s="187"/>
      <c r="C2029" s="187"/>
      <c r="D2029" s="187"/>
      <c r="E2029" s="187"/>
      <c r="F2029" s="187"/>
      <c r="G2029" s="187"/>
      <c r="J2029" s="186"/>
      <c r="K2029" s="180"/>
      <c r="L2029" s="180"/>
    </row>
    <row r="2030" spans="2:12" s="188" customFormat="1" ht="15" customHeight="1">
      <c r="B2030" s="187"/>
      <c r="C2030" s="187"/>
      <c r="D2030" s="187"/>
      <c r="E2030" s="187"/>
      <c r="F2030" s="187"/>
      <c r="G2030" s="187"/>
      <c r="J2030" s="186"/>
      <c r="K2030" s="180"/>
      <c r="L2030" s="180"/>
    </row>
    <row r="2031" spans="2:12" s="188" customFormat="1" ht="15" customHeight="1">
      <c r="B2031" s="187"/>
      <c r="C2031" s="187"/>
      <c r="D2031" s="187"/>
      <c r="E2031" s="187"/>
      <c r="F2031" s="187"/>
      <c r="G2031" s="187"/>
      <c r="J2031" s="186"/>
      <c r="K2031" s="180"/>
      <c r="L2031" s="180"/>
    </row>
    <row r="2032" spans="2:12" s="188" customFormat="1" ht="15" customHeight="1">
      <c r="B2032" s="187"/>
      <c r="C2032" s="187"/>
      <c r="D2032" s="187"/>
      <c r="E2032" s="187"/>
      <c r="F2032" s="187"/>
      <c r="G2032" s="187"/>
      <c r="J2032" s="186"/>
      <c r="K2032" s="180"/>
      <c r="L2032" s="180"/>
    </row>
    <row r="2033" spans="2:12" s="188" customFormat="1" ht="15" customHeight="1">
      <c r="B2033" s="187"/>
      <c r="C2033" s="187"/>
      <c r="D2033" s="187"/>
      <c r="E2033" s="187"/>
      <c r="F2033" s="187"/>
      <c r="G2033" s="187"/>
      <c r="J2033" s="186"/>
      <c r="K2033" s="180"/>
      <c r="L2033" s="180"/>
    </row>
    <row r="2034" spans="2:12" s="188" customFormat="1" ht="15" customHeight="1">
      <c r="B2034" s="187"/>
      <c r="C2034" s="187"/>
      <c r="D2034" s="187"/>
      <c r="E2034" s="187"/>
      <c r="F2034" s="187"/>
      <c r="G2034" s="187"/>
      <c r="J2034" s="186"/>
      <c r="K2034" s="180"/>
      <c r="L2034" s="180"/>
    </row>
    <row r="2035" spans="2:12" s="188" customFormat="1" ht="15" customHeight="1">
      <c r="B2035" s="187"/>
      <c r="C2035" s="187"/>
      <c r="D2035" s="187"/>
      <c r="E2035" s="187"/>
      <c r="F2035" s="187"/>
      <c r="G2035" s="187"/>
      <c r="J2035" s="186"/>
      <c r="K2035" s="180"/>
      <c r="L2035" s="180"/>
    </row>
    <row r="2036" spans="2:12" s="188" customFormat="1" ht="15" customHeight="1">
      <c r="B2036" s="187"/>
      <c r="C2036" s="187"/>
      <c r="D2036" s="187"/>
      <c r="E2036" s="187"/>
      <c r="F2036" s="187"/>
      <c r="G2036" s="187"/>
      <c r="J2036" s="186"/>
      <c r="K2036" s="180"/>
      <c r="L2036" s="180"/>
    </row>
    <row r="2037" spans="2:12" s="188" customFormat="1" ht="15" customHeight="1">
      <c r="B2037" s="187"/>
      <c r="C2037" s="187"/>
      <c r="D2037" s="187"/>
      <c r="E2037" s="187"/>
      <c r="F2037" s="187"/>
      <c r="G2037" s="187"/>
      <c r="J2037" s="186"/>
      <c r="K2037" s="180"/>
      <c r="L2037" s="180"/>
    </row>
    <row r="2038" spans="2:12" s="188" customFormat="1" ht="15" customHeight="1">
      <c r="B2038" s="187"/>
      <c r="C2038" s="187"/>
      <c r="D2038" s="187"/>
      <c r="E2038" s="187"/>
      <c r="F2038" s="187"/>
      <c r="G2038" s="187"/>
      <c r="J2038" s="186"/>
      <c r="K2038" s="180"/>
      <c r="L2038" s="180"/>
    </row>
    <row r="2039" spans="2:12" s="188" customFormat="1" ht="15" customHeight="1">
      <c r="B2039" s="187"/>
      <c r="C2039" s="187"/>
      <c r="D2039" s="187"/>
      <c r="E2039" s="187"/>
      <c r="F2039" s="187"/>
      <c r="G2039" s="187"/>
      <c r="J2039" s="186"/>
      <c r="K2039" s="180"/>
      <c r="L2039" s="180"/>
    </row>
    <row r="2040" spans="2:12" s="188" customFormat="1" ht="15" customHeight="1">
      <c r="B2040" s="187"/>
      <c r="C2040" s="187"/>
      <c r="D2040" s="187"/>
      <c r="E2040" s="187"/>
      <c r="F2040" s="187"/>
      <c r="G2040" s="187"/>
      <c r="J2040" s="186"/>
      <c r="K2040" s="180"/>
      <c r="L2040" s="180"/>
    </row>
    <row r="2041" spans="2:12" s="188" customFormat="1" ht="15" customHeight="1">
      <c r="B2041" s="187"/>
      <c r="C2041" s="187"/>
      <c r="D2041" s="187"/>
      <c r="E2041" s="187"/>
      <c r="F2041" s="187"/>
      <c r="G2041" s="187"/>
      <c r="J2041" s="186"/>
      <c r="K2041" s="180"/>
      <c r="L2041" s="180"/>
    </row>
    <row r="2042" spans="2:12" s="188" customFormat="1" ht="15" customHeight="1">
      <c r="B2042" s="187"/>
      <c r="C2042" s="187"/>
      <c r="D2042" s="187"/>
      <c r="E2042" s="187"/>
      <c r="F2042" s="187"/>
      <c r="G2042" s="187"/>
      <c r="J2042" s="186"/>
      <c r="K2042" s="180"/>
      <c r="L2042" s="180"/>
    </row>
    <row r="2043" spans="2:12" s="188" customFormat="1" ht="15" customHeight="1">
      <c r="B2043" s="187"/>
      <c r="C2043" s="187"/>
      <c r="D2043" s="187"/>
      <c r="E2043" s="187"/>
      <c r="F2043" s="187"/>
      <c r="G2043" s="187"/>
      <c r="J2043" s="186"/>
      <c r="K2043" s="180"/>
      <c r="L2043" s="180"/>
    </row>
    <row r="2044" spans="2:12" s="188" customFormat="1" ht="15" customHeight="1">
      <c r="B2044" s="187"/>
      <c r="C2044" s="187"/>
      <c r="D2044" s="187"/>
      <c r="E2044" s="187"/>
      <c r="F2044" s="187"/>
      <c r="G2044" s="187"/>
      <c r="J2044" s="186"/>
      <c r="K2044" s="180"/>
      <c r="L2044" s="180"/>
    </row>
    <row r="2045" spans="2:12" s="188" customFormat="1" ht="15" customHeight="1">
      <c r="B2045" s="187"/>
      <c r="C2045" s="187"/>
      <c r="D2045" s="187"/>
      <c r="E2045" s="187"/>
      <c r="F2045" s="187"/>
      <c r="G2045" s="187"/>
      <c r="J2045" s="186"/>
      <c r="K2045" s="180"/>
      <c r="L2045" s="180"/>
    </row>
    <row r="2046" spans="2:12" s="188" customFormat="1" ht="15" customHeight="1">
      <c r="B2046" s="187"/>
      <c r="C2046" s="187"/>
      <c r="D2046" s="187"/>
      <c r="E2046" s="187"/>
      <c r="F2046" s="187"/>
      <c r="G2046" s="187"/>
      <c r="J2046" s="186"/>
      <c r="K2046" s="180"/>
      <c r="L2046" s="180"/>
    </row>
    <row r="2047" spans="2:12" s="188" customFormat="1" ht="15" customHeight="1">
      <c r="B2047" s="187"/>
      <c r="C2047" s="187"/>
      <c r="D2047" s="187"/>
      <c r="E2047" s="187"/>
      <c r="F2047" s="187"/>
      <c r="G2047" s="187"/>
      <c r="J2047" s="186"/>
      <c r="K2047" s="180"/>
      <c r="L2047" s="180"/>
    </row>
    <row r="2048" spans="2:12" s="188" customFormat="1" ht="15" customHeight="1">
      <c r="B2048" s="187"/>
      <c r="C2048" s="187"/>
      <c r="D2048" s="187"/>
      <c r="E2048" s="187"/>
      <c r="F2048" s="187"/>
      <c r="G2048" s="187"/>
      <c r="J2048" s="186"/>
      <c r="K2048" s="180"/>
      <c r="L2048" s="180"/>
    </row>
    <row r="2049" spans="2:12" s="188" customFormat="1" ht="15" customHeight="1">
      <c r="B2049" s="187"/>
      <c r="C2049" s="187"/>
      <c r="D2049" s="187"/>
      <c r="E2049" s="187"/>
      <c r="F2049" s="187"/>
      <c r="G2049" s="187"/>
      <c r="J2049" s="186"/>
      <c r="K2049" s="180"/>
      <c r="L2049" s="180"/>
    </row>
    <row r="2050" spans="2:12" s="188" customFormat="1" ht="15" customHeight="1">
      <c r="B2050" s="187"/>
      <c r="C2050" s="187"/>
      <c r="D2050" s="187"/>
      <c r="E2050" s="187"/>
      <c r="F2050" s="187"/>
      <c r="G2050" s="187"/>
      <c r="J2050" s="186"/>
      <c r="K2050" s="180"/>
      <c r="L2050" s="180"/>
    </row>
    <row r="2051" spans="2:12" s="188" customFormat="1" ht="15" customHeight="1">
      <c r="B2051" s="187"/>
      <c r="C2051" s="187"/>
      <c r="D2051" s="187"/>
      <c r="E2051" s="187"/>
      <c r="F2051" s="187"/>
      <c r="G2051" s="187"/>
      <c r="J2051" s="186"/>
      <c r="K2051" s="180"/>
      <c r="L2051" s="180"/>
    </row>
    <row r="2052" spans="2:12" s="188" customFormat="1" ht="15" customHeight="1">
      <c r="B2052" s="187"/>
      <c r="C2052" s="187"/>
      <c r="D2052" s="187"/>
      <c r="E2052" s="187"/>
      <c r="F2052" s="187"/>
      <c r="G2052" s="187"/>
      <c r="J2052" s="186"/>
      <c r="K2052" s="180"/>
      <c r="L2052" s="180"/>
    </row>
    <row r="2053" spans="2:12" s="188" customFormat="1" ht="15" customHeight="1">
      <c r="B2053" s="187"/>
      <c r="C2053" s="187"/>
      <c r="D2053" s="187"/>
      <c r="E2053" s="187"/>
      <c r="F2053" s="187"/>
      <c r="G2053" s="187"/>
      <c r="J2053" s="186"/>
      <c r="K2053" s="180"/>
      <c r="L2053" s="180"/>
    </row>
    <row r="2054" spans="2:12" s="188" customFormat="1" ht="15" customHeight="1">
      <c r="B2054" s="187"/>
      <c r="C2054" s="187"/>
      <c r="D2054" s="187"/>
      <c r="E2054" s="187"/>
      <c r="F2054" s="187"/>
      <c r="G2054" s="187"/>
      <c r="J2054" s="186"/>
      <c r="K2054" s="180"/>
      <c r="L2054" s="180"/>
    </row>
    <row r="2055" spans="2:12" s="188" customFormat="1" ht="15" customHeight="1">
      <c r="B2055" s="187"/>
      <c r="C2055" s="187"/>
      <c r="D2055" s="187"/>
      <c r="E2055" s="187"/>
      <c r="F2055" s="187"/>
      <c r="G2055" s="187"/>
      <c r="J2055" s="186"/>
      <c r="K2055" s="180"/>
      <c r="L2055" s="180"/>
    </row>
    <row r="2056" spans="2:12" s="188" customFormat="1" ht="15" customHeight="1">
      <c r="B2056" s="187"/>
      <c r="C2056" s="187"/>
      <c r="D2056" s="187"/>
      <c r="E2056" s="187"/>
      <c r="F2056" s="187"/>
      <c r="G2056" s="187"/>
      <c r="J2056" s="186"/>
      <c r="K2056" s="180"/>
      <c r="L2056" s="180"/>
    </row>
    <row r="2057" spans="2:12" s="188" customFormat="1" ht="15" customHeight="1">
      <c r="B2057" s="187"/>
      <c r="C2057" s="187"/>
      <c r="D2057" s="187"/>
      <c r="E2057" s="187"/>
      <c r="F2057" s="187"/>
      <c r="G2057" s="187"/>
      <c r="J2057" s="186"/>
      <c r="K2057" s="180"/>
      <c r="L2057" s="180"/>
    </row>
    <row r="2058" spans="2:12" s="188" customFormat="1" ht="15" customHeight="1">
      <c r="B2058" s="187"/>
      <c r="C2058" s="187"/>
      <c r="D2058" s="187"/>
      <c r="E2058" s="187"/>
      <c r="F2058" s="187"/>
      <c r="G2058" s="187"/>
      <c r="J2058" s="186"/>
      <c r="K2058" s="180"/>
      <c r="L2058" s="180"/>
    </row>
    <row r="2059" spans="2:12" s="188" customFormat="1" ht="15" customHeight="1">
      <c r="B2059" s="187"/>
      <c r="C2059" s="187"/>
      <c r="D2059" s="187"/>
      <c r="E2059" s="187"/>
      <c r="F2059" s="187"/>
      <c r="G2059" s="187"/>
      <c r="J2059" s="186"/>
      <c r="K2059" s="180"/>
      <c r="L2059" s="180"/>
    </row>
    <row r="2060" spans="2:12" s="188" customFormat="1" ht="15" customHeight="1">
      <c r="B2060" s="187"/>
      <c r="C2060" s="187"/>
      <c r="D2060" s="187"/>
      <c r="E2060" s="187"/>
      <c r="F2060" s="187"/>
      <c r="G2060" s="187"/>
      <c r="J2060" s="186"/>
      <c r="K2060" s="180"/>
      <c r="L2060" s="180"/>
    </row>
    <row r="2061" spans="2:12" s="188" customFormat="1" ht="15" customHeight="1">
      <c r="B2061" s="187"/>
      <c r="C2061" s="187"/>
      <c r="D2061" s="187"/>
      <c r="E2061" s="187"/>
      <c r="F2061" s="187"/>
      <c r="G2061" s="187"/>
      <c r="J2061" s="186"/>
      <c r="K2061" s="180"/>
      <c r="L2061" s="180"/>
    </row>
    <row r="2062" spans="2:12" s="188" customFormat="1" ht="15" customHeight="1">
      <c r="B2062" s="187"/>
      <c r="C2062" s="187"/>
      <c r="D2062" s="187"/>
      <c r="E2062" s="187"/>
      <c r="F2062" s="187"/>
      <c r="G2062" s="187"/>
      <c r="J2062" s="186"/>
      <c r="K2062" s="180"/>
      <c r="L2062" s="180"/>
    </row>
    <row r="2063" spans="2:12" s="188" customFormat="1" ht="15" customHeight="1">
      <c r="B2063" s="187"/>
      <c r="C2063" s="187"/>
      <c r="D2063" s="187"/>
      <c r="E2063" s="187"/>
      <c r="F2063" s="187"/>
      <c r="G2063" s="187"/>
      <c r="J2063" s="186"/>
      <c r="K2063" s="180"/>
      <c r="L2063" s="180"/>
    </row>
    <row r="2064" spans="2:12" s="188" customFormat="1" ht="15" customHeight="1">
      <c r="B2064" s="187"/>
      <c r="C2064" s="187"/>
      <c r="D2064" s="187"/>
      <c r="E2064" s="187"/>
      <c r="F2064" s="187"/>
      <c r="G2064" s="187"/>
      <c r="J2064" s="186"/>
      <c r="K2064" s="180"/>
      <c r="L2064" s="180"/>
    </row>
    <row r="2065" spans="2:12" s="188" customFormat="1" ht="15" customHeight="1">
      <c r="B2065" s="187"/>
      <c r="C2065" s="187"/>
      <c r="D2065" s="187"/>
      <c r="E2065" s="187"/>
      <c r="F2065" s="187"/>
      <c r="G2065" s="187"/>
      <c r="J2065" s="186"/>
      <c r="K2065" s="180"/>
      <c r="L2065" s="180"/>
    </row>
    <row r="2066" spans="2:12" s="188" customFormat="1" ht="15" customHeight="1">
      <c r="B2066" s="187"/>
      <c r="C2066" s="187"/>
      <c r="D2066" s="187"/>
      <c r="E2066" s="187"/>
      <c r="F2066" s="187"/>
      <c r="G2066" s="187"/>
      <c r="J2066" s="186"/>
      <c r="K2066" s="180"/>
      <c r="L2066" s="180"/>
    </row>
    <row r="2067" spans="2:12" s="188" customFormat="1" ht="15" customHeight="1">
      <c r="B2067" s="187"/>
      <c r="C2067" s="187"/>
      <c r="D2067" s="187"/>
      <c r="E2067" s="187"/>
      <c r="F2067" s="187"/>
      <c r="G2067" s="187"/>
      <c r="J2067" s="186"/>
      <c r="K2067" s="180"/>
      <c r="L2067" s="180"/>
    </row>
    <row r="2068" spans="2:12" s="188" customFormat="1" ht="15" customHeight="1">
      <c r="B2068" s="187"/>
      <c r="C2068" s="187"/>
      <c r="D2068" s="187"/>
      <c r="E2068" s="187"/>
      <c r="F2068" s="187"/>
      <c r="G2068" s="187"/>
      <c r="J2068" s="186"/>
      <c r="K2068" s="180"/>
      <c r="L2068" s="180"/>
    </row>
    <row r="2069" spans="2:12" s="188" customFormat="1" ht="15" customHeight="1">
      <c r="B2069" s="187"/>
      <c r="C2069" s="187"/>
      <c r="D2069" s="187"/>
      <c r="E2069" s="187"/>
      <c r="F2069" s="187"/>
      <c r="G2069" s="187"/>
      <c r="J2069" s="186"/>
      <c r="K2069" s="180"/>
      <c r="L2069" s="180"/>
    </row>
    <row r="2070" spans="2:12" s="188" customFormat="1" ht="15" customHeight="1">
      <c r="B2070" s="187"/>
      <c r="C2070" s="187"/>
      <c r="D2070" s="187"/>
      <c r="E2070" s="187"/>
      <c r="F2070" s="187"/>
      <c r="G2070" s="187"/>
      <c r="J2070" s="186"/>
      <c r="K2070" s="180"/>
      <c r="L2070" s="180"/>
    </row>
    <row r="2071" spans="2:12" s="188" customFormat="1" ht="15" customHeight="1">
      <c r="B2071" s="187"/>
      <c r="C2071" s="187"/>
      <c r="D2071" s="187"/>
      <c r="E2071" s="187"/>
      <c r="F2071" s="187"/>
      <c r="G2071" s="187"/>
      <c r="J2071" s="186"/>
      <c r="K2071" s="180"/>
      <c r="L2071" s="180"/>
    </row>
    <row r="2072" spans="2:12" s="188" customFormat="1" ht="15" customHeight="1">
      <c r="B2072" s="187"/>
      <c r="C2072" s="187"/>
      <c r="D2072" s="187"/>
      <c r="E2072" s="187"/>
      <c r="F2072" s="187"/>
      <c r="G2072" s="187"/>
      <c r="J2072" s="186"/>
      <c r="K2072" s="180"/>
      <c r="L2072" s="180"/>
    </row>
    <row r="2073" spans="2:12" s="188" customFormat="1" ht="15" customHeight="1">
      <c r="B2073" s="187"/>
      <c r="C2073" s="187"/>
      <c r="D2073" s="187"/>
      <c r="E2073" s="187"/>
      <c r="F2073" s="187"/>
      <c r="G2073" s="187"/>
      <c r="J2073" s="186"/>
      <c r="K2073" s="180"/>
      <c r="L2073" s="180"/>
    </row>
    <row r="2074" spans="2:12" s="188" customFormat="1" ht="15" customHeight="1">
      <c r="B2074" s="187"/>
      <c r="C2074" s="187"/>
      <c r="D2074" s="187"/>
      <c r="E2074" s="187"/>
      <c r="F2074" s="187"/>
      <c r="G2074" s="187"/>
      <c r="J2074" s="186"/>
      <c r="K2074" s="180"/>
      <c r="L2074" s="180"/>
    </row>
    <row r="2075" spans="2:12" s="188" customFormat="1" ht="15" customHeight="1">
      <c r="B2075" s="187"/>
      <c r="C2075" s="187"/>
      <c r="D2075" s="187"/>
      <c r="E2075" s="187"/>
      <c r="F2075" s="187"/>
      <c r="G2075" s="187"/>
      <c r="J2075" s="186"/>
      <c r="K2075" s="180"/>
      <c r="L2075" s="180"/>
    </row>
    <row r="2076" spans="2:12" s="188" customFormat="1" ht="15" customHeight="1">
      <c r="B2076" s="187"/>
      <c r="C2076" s="187"/>
      <c r="D2076" s="187"/>
      <c r="E2076" s="187"/>
      <c r="F2076" s="187"/>
      <c r="G2076" s="187"/>
      <c r="J2076" s="186"/>
      <c r="K2076" s="180"/>
      <c r="L2076" s="180"/>
    </row>
    <row r="2077" spans="2:12" s="188" customFormat="1" ht="15" customHeight="1">
      <c r="B2077" s="187"/>
      <c r="C2077" s="187"/>
      <c r="D2077" s="187"/>
      <c r="E2077" s="187"/>
      <c r="F2077" s="187"/>
      <c r="G2077" s="187"/>
      <c r="J2077" s="186"/>
      <c r="K2077" s="180"/>
      <c r="L2077" s="180"/>
    </row>
    <row r="2078" spans="2:12" s="188" customFormat="1" ht="15" customHeight="1">
      <c r="B2078" s="187"/>
      <c r="C2078" s="187"/>
      <c r="D2078" s="187"/>
      <c r="E2078" s="187"/>
      <c r="F2078" s="187"/>
      <c r="G2078" s="187"/>
      <c r="J2078" s="186"/>
      <c r="K2078" s="180"/>
      <c r="L2078" s="180"/>
    </row>
    <row r="2079" spans="2:12" s="188" customFormat="1" ht="15" customHeight="1">
      <c r="B2079" s="187"/>
      <c r="C2079" s="187"/>
      <c r="D2079" s="187"/>
      <c r="E2079" s="187"/>
      <c r="F2079" s="187"/>
      <c r="G2079" s="187"/>
      <c r="J2079" s="186"/>
      <c r="K2079" s="180"/>
      <c r="L2079" s="180"/>
    </row>
    <row r="2080" spans="2:12" s="188" customFormat="1" ht="15" customHeight="1">
      <c r="B2080" s="187"/>
      <c r="C2080" s="187"/>
      <c r="D2080" s="187"/>
      <c r="E2080" s="187"/>
      <c r="F2080" s="187"/>
      <c r="G2080" s="187"/>
      <c r="J2080" s="186"/>
      <c r="K2080" s="180"/>
      <c r="L2080" s="180"/>
    </row>
    <row r="2081" spans="2:12" s="188" customFormat="1" ht="15" customHeight="1">
      <c r="B2081" s="187"/>
      <c r="C2081" s="187"/>
      <c r="D2081" s="187"/>
      <c r="E2081" s="187"/>
      <c r="F2081" s="187"/>
      <c r="G2081" s="187"/>
      <c r="J2081" s="186"/>
      <c r="K2081" s="180"/>
      <c r="L2081" s="180"/>
    </row>
    <row r="2082" spans="2:12" s="188" customFormat="1" ht="15" customHeight="1">
      <c r="B2082" s="187"/>
      <c r="C2082" s="187"/>
      <c r="D2082" s="187"/>
      <c r="E2082" s="187"/>
      <c r="F2082" s="187"/>
      <c r="G2082" s="187"/>
      <c r="J2082" s="186"/>
      <c r="K2082" s="180"/>
      <c r="L2082" s="180"/>
    </row>
    <row r="2083" spans="2:12" s="188" customFormat="1" ht="15" customHeight="1">
      <c r="B2083" s="187"/>
      <c r="C2083" s="187"/>
      <c r="D2083" s="187"/>
      <c r="E2083" s="187"/>
      <c r="F2083" s="187"/>
      <c r="G2083" s="187"/>
      <c r="J2083" s="186"/>
      <c r="K2083" s="180"/>
      <c r="L2083" s="180"/>
    </row>
    <row r="2084" spans="2:12" s="188" customFormat="1" ht="15" customHeight="1">
      <c r="B2084" s="187"/>
      <c r="C2084" s="187"/>
      <c r="D2084" s="187"/>
      <c r="E2084" s="187"/>
      <c r="F2084" s="187"/>
      <c r="G2084" s="187"/>
      <c r="J2084" s="186"/>
      <c r="K2084" s="180"/>
      <c r="L2084" s="180"/>
    </row>
    <row r="2085" spans="2:12" s="188" customFormat="1" ht="15" customHeight="1">
      <c r="B2085" s="187"/>
      <c r="C2085" s="187"/>
      <c r="D2085" s="187"/>
      <c r="E2085" s="187"/>
      <c r="F2085" s="187"/>
      <c r="G2085" s="187"/>
      <c r="J2085" s="186"/>
      <c r="K2085" s="180"/>
      <c r="L2085" s="180"/>
    </row>
    <row r="2086" spans="2:12" s="188" customFormat="1" ht="15" customHeight="1">
      <c r="B2086" s="187"/>
      <c r="C2086" s="187"/>
      <c r="D2086" s="187"/>
      <c r="E2086" s="187"/>
      <c r="F2086" s="187"/>
      <c r="G2086" s="187"/>
      <c r="J2086" s="186"/>
      <c r="K2086" s="180"/>
      <c r="L2086" s="180"/>
    </row>
    <row r="2087" spans="2:12" s="188" customFormat="1" ht="15" customHeight="1">
      <c r="B2087" s="187"/>
      <c r="C2087" s="187"/>
      <c r="D2087" s="187"/>
      <c r="E2087" s="187"/>
      <c r="F2087" s="187"/>
      <c r="G2087" s="187"/>
      <c r="J2087" s="186"/>
      <c r="K2087" s="180"/>
      <c r="L2087" s="180"/>
    </row>
    <row r="2088" spans="2:12" s="188" customFormat="1" ht="15" customHeight="1">
      <c r="B2088" s="187"/>
      <c r="C2088" s="187"/>
      <c r="D2088" s="187"/>
      <c r="E2088" s="187"/>
      <c r="F2088" s="187"/>
      <c r="G2088" s="187"/>
      <c r="J2088" s="186"/>
      <c r="K2088" s="180"/>
      <c r="L2088" s="180"/>
    </row>
    <row r="2089" spans="2:12" s="188" customFormat="1" ht="15" customHeight="1">
      <c r="B2089" s="187"/>
      <c r="C2089" s="187"/>
      <c r="D2089" s="187"/>
      <c r="E2089" s="187"/>
      <c r="F2089" s="187"/>
      <c r="G2089" s="187"/>
      <c r="J2089" s="186"/>
      <c r="K2089" s="180"/>
      <c r="L2089" s="180"/>
    </row>
    <row r="2090" spans="2:12" s="188" customFormat="1" ht="15" customHeight="1">
      <c r="B2090" s="187"/>
      <c r="C2090" s="187"/>
      <c r="D2090" s="187"/>
      <c r="E2090" s="187"/>
      <c r="F2090" s="187"/>
      <c r="G2090" s="187"/>
      <c r="J2090" s="186"/>
      <c r="K2090" s="180"/>
      <c r="L2090" s="180"/>
    </row>
    <row r="2091" spans="2:12" s="188" customFormat="1" ht="15" customHeight="1">
      <c r="B2091" s="187"/>
      <c r="C2091" s="187"/>
      <c r="D2091" s="187"/>
      <c r="E2091" s="187"/>
      <c r="F2091" s="187"/>
      <c r="G2091" s="187"/>
      <c r="J2091" s="186"/>
      <c r="K2091" s="180"/>
      <c r="L2091" s="180"/>
    </row>
    <row r="2092" spans="2:12" s="188" customFormat="1" ht="15" customHeight="1">
      <c r="B2092" s="187"/>
      <c r="C2092" s="187"/>
      <c r="D2092" s="187"/>
      <c r="E2092" s="187"/>
      <c r="F2092" s="187"/>
      <c r="G2092" s="187"/>
      <c r="J2092" s="186"/>
      <c r="K2092" s="180"/>
      <c r="L2092" s="180"/>
    </row>
    <row r="2093" spans="2:12" s="188" customFormat="1" ht="15" customHeight="1">
      <c r="B2093" s="187"/>
      <c r="C2093" s="187"/>
      <c r="D2093" s="187"/>
      <c r="E2093" s="187"/>
      <c r="F2093" s="187"/>
      <c r="G2093" s="187"/>
      <c r="J2093" s="186"/>
      <c r="K2093" s="180"/>
      <c r="L2093" s="180"/>
    </row>
    <row r="2094" spans="2:12" s="188" customFormat="1" ht="15" customHeight="1">
      <c r="B2094" s="187"/>
      <c r="C2094" s="187"/>
      <c r="D2094" s="187"/>
      <c r="E2094" s="187"/>
      <c r="F2094" s="187"/>
      <c r="G2094" s="187"/>
      <c r="J2094" s="186"/>
      <c r="K2094" s="180"/>
      <c r="L2094" s="180"/>
    </row>
    <row r="2095" spans="2:12" s="188" customFormat="1" ht="15" customHeight="1">
      <c r="B2095" s="187"/>
      <c r="C2095" s="187"/>
      <c r="D2095" s="187"/>
      <c r="E2095" s="187"/>
      <c r="F2095" s="187"/>
      <c r="G2095" s="187"/>
      <c r="J2095" s="186"/>
      <c r="K2095" s="180"/>
      <c r="L2095" s="180"/>
    </row>
    <row r="2096" spans="2:12" s="188" customFormat="1" ht="15" customHeight="1">
      <c r="B2096" s="187"/>
      <c r="C2096" s="187"/>
      <c r="D2096" s="187"/>
      <c r="E2096" s="187"/>
      <c r="F2096" s="187"/>
      <c r="G2096" s="187"/>
      <c r="J2096" s="186"/>
      <c r="K2096" s="180"/>
      <c r="L2096" s="180"/>
    </row>
    <row r="2097" spans="2:12" s="188" customFormat="1" ht="15" customHeight="1">
      <c r="B2097" s="187"/>
      <c r="C2097" s="187"/>
      <c r="D2097" s="187"/>
      <c r="E2097" s="187"/>
      <c r="F2097" s="187"/>
      <c r="G2097" s="187"/>
      <c r="J2097" s="186"/>
      <c r="K2097" s="180"/>
      <c r="L2097" s="180"/>
    </row>
    <row r="2098" spans="2:12" s="188" customFormat="1" ht="15" customHeight="1">
      <c r="B2098" s="187"/>
      <c r="C2098" s="187"/>
      <c r="D2098" s="187"/>
      <c r="E2098" s="187"/>
      <c r="F2098" s="187"/>
      <c r="G2098" s="187"/>
      <c r="J2098" s="186"/>
      <c r="K2098" s="180"/>
      <c r="L2098" s="180"/>
    </row>
    <row r="2099" spans="2:12" s="188" customFormat="1" ht="15" customHeight="1">
      <c r="B2099" s="187"/>
      <c r="C2099" s="187"/>
      <c r="D2099" s="187"/>
      <c r="E2099" s="187"/>
      <c r="F2099" s="187"/>
      <c r="G2099" s="187"/>
      <c r="J2099" s="186"/>
      <c r="K2099" s="180"/>
      <c r="L2099" s="180"/>
    </row>
    <row r="2100" spans="2:12" s="188" customFormat="1" ht="15" customHeight="1">
      <c r="B2100" s="187"/>
      <c r="C2100" s="187"/>
      <c r="D2100" s="187"/>
      <c r="E2100" s="187"/>
      <c r="F2100" s="187"/>
      <c r="G2100" s="187"/>
      <c r="J2100" s="186"/>
      <c r="K2100" s="180"/>
      <c r="L2100" s="180"/>
    </row>
    <row r="2101" spans="2:12" s="188" customFormat="1" ht="15" customHeight="1">
      <c r="B2101" s="187"/>
      <c r="C2101" s="187"/>
      <c r="D2101" s="187"/>
      <c r="E2101" s="187"/>
      <c r="F2101" s="187"/>
      <c r="G2101" s="187"/>
      <c r="J2101" s="186"/>
      <c r="K2101" s="180"/>
      <c r="L2101" s="180"/>
    </row>
    <row r="2102" spans="2:12" s="188" customFormat="1" ht="15" customHeight="1">
      <c r="B2102" s="187"/>
      <c r="C2102" s="187"/>
      <c r="D2102" s="187"/>
      <c r="E2102" s="187"/>
      <c r="F2102" s="187"/>
      <c r="G2102" s="187"/>
      <c r="J2102" s="186"/>
      <c r="K2102" s="180"/>
      <c r="L2102" s="180"/>
    </row>
    <row r="2103" spans="2:12" s="188" customFormat="1" ht="15" customHeight="1">
      <c r="B2103" s="187"/>
      <c r="C2103" s="187"/>
      <c r="D2103" s="187"/>
      <c r="E2103" s="187"/>
      <c r="F2103" s="187"/>
      <c r="G2103" s="187"/>
      <c r="J2103" s="186"/>
      <c r="K2103" s="180"/>
      <c r="L2103" s="180"/>
    </row>
    <row r="2104" spans="2:12" s="188" customFormat="1" ht="15" customHeight="1">
      <c r="B2104" s="187"/>
      <c r="C2104" s="187"/>
      <c r="D2104" s="187"/>
      <c r="E2104" s="187"/>
      <c r="F2104" s="187"/>
      <c r="G2104" s="187"/>
      <c r="J2104" s="186"/>
      <c r="K2104" s="180"/>
      <c r="L2104" s="180"/>
    </row>
    <row r="2105" spans="2:12" s="188" customFormat="1" ht="15" customHeight="1">
      <c r="B2105" s="187"/>
      <c r="C2105" s="187"/>
      <c r="D2105" s="187"/>
      <c r="E2105" s="187"/>
      <c r="F2105" s="187"/>
      <c r="G2105" s="187"/>
      <c r="J2105" s="186"/>
      <c r="K2105" s="180"/>
      <c r="L2105" s="180"/>
    </row>
    <row r="2106" spans="2:12" s="188" customFormat="1" ht="15" customHeight="1">
      <c r="B2106" s="187"/>
      <c r="C2106" s="187"/>
      <c r="D2106" s="187"/>
      <c r="E2106" s="187"/>
      <c r="F2106" s="187"/>
      <c r="G2106" s="187"/>
      <c r="J2106" s="186"/>
      <c r="K2106" s="180"/>
      <c r="L2106" s="180"/>
    </row>
    <row r="2107" spans="2:12" s="188" customFormat="1" ht="15" customHeight="1">
      <c r="B2107" s="187"/>
      <c r="C2107" s="187"/>
      <c r="D2107" s="187"/>
      <c r="E2107" s="187"/>
      <c r="F2107" s="187"/>
      <c r="G2107" s="187"/>
      <c r="J2107" s="186"/>
      <c r="K2107" s="180"/>
      <c r="L2107" s="180"/>
    </row>
    <row r="2108" spans="2:12" s="188" customFormat="1" ht="15" customHeight="1">
      <c r="B2108" s="187"/>
      <c r="C2108" s="187"/>
      <c r="D2108" s="187"/>
      <c r="E2108" s="187"/>
      <c r="F2108" s="187"/>
      <c r="G2108" s="187"/>
      <c r="J2108" s="186"/>
      <c r="K2108" s="180"/>
      <c r="L2108" s="180"/>
    </row>
    <row r="2109" spans="2:12" s="188" customFormat="1" ht="15" customHeight="1">
      <c r="B2109" s="187"/>
      <c r="C2109" s="187"/>
      <c r="D2109" s="187"/>
      <c r="E2109" s="187"/>
      <c r="F2109" s="187"/>
      <c r="G2109" s="187"/>
      <c r="J2109" s="186"/>
      <c r="K2109" s="180"/>
      <c r="L2109" s="180"/>
    </row>
    <row r="2110" spans="2:12" s="188" customFormat="1" ht="15" customHeight="1">
      <c r="B2110" s="187"/>
      <c r="C2110" s="187"/>
      <c r="D2110" s="187"/>
      <c r="E2110" s="187"/>
      <c r="F2110" s="187"/>
      <c r="G2110" s="187"/>
      <c r="J2110" s="186"/>
      <c r="K2110" s="180"/>
      <c r="L2110" s="180"/>
    </row>
    <row r="2111" spans="2:12" s="188" customFormat="1" ht="15" customHeight="1">
      <c r="B2111" s="187"/>
      <c r="C2111" s="187"/>
      <c r="D2111" s="187"/>
      <c r="E2111" s="187"/>
      <c r="F2111" s="187"/>
      <c r="G2111" s="187"/>
      <c r="J2111" s="186"/>
      <c r="K2111" s="180"/>
      <c r="L2111" s="180"/>
    </row>
    <row r="2112" spans="2:12" s="188" customFormat="1" ht="15" customHeight="1">
      <c r="B2112" s="187"/>
      <c r="C2112" s="187"/>
      <c r="D2112" s="187"/>
      <c r="E2112" s="187"/>
      <c r="F2112" s="187"/>
      <c r="G2112" s="187"/>
      <c r="J2112" s="186"/>
      <c r="K2112" s="180"/>
      <c r="L2112" s="180"/>
    </row>
    <row r="2113" spans="2:12" s="188" customFormat="1" ht="15" customHeight="1">
      <c r="B2113" s="187"/>
      <c r="C2113" s="187"/>
      <c r="D2113" s="187"/>
      <c r="E2113" s="187"/>
      <c r="F2113" s="187"/>
      <c r="G2113" s="187"/>
      <c r="J2113" s="186"/>
      <c r="K2113" s="180"/>
      <c r="L2113" s="180"/>
    </row>
    <row r="2114" spans="2:12" s="188" customFormat="1" ht="15" customHeight="1">
      <c r="B2114" s="187"/>
      <c r="C2114" s="187"/>
      <c r="D2114" s="187"/>
      <c r="E2114" s="187"/>
      <c r="F2114" s="187"/>
      <c r="G2114" s="187"/>
      <c r="J2114" s="186"/>
      <c r="K2114" s="180"/>
      <c r="L2114" s="180"/>
    </row>
    <row r="2115" spans="2:12" s="188" customFormat="1" ht="15" customHeight="1">
      <c r="B2115" s="187"/>
      <c r="C2115" s="187"/>
      <c r="D2115" s="187"/>
      <c r="E2115" s="187"/>
      <c r="F2115" s="187"/>
      <c r="G2115" s="187"/>
      <c r="J2115" s="186"/>
      <c r="K2115" s="180"/>
      <c r="L2115" s="180"/>
    </row>
    <row r="2116" spans="2:12" s="188" customFormat="1" ht="15" customHeight="1">
      <c r="B2116" s="187"/>
      <c r="C2116" s="187"/>
      <c r="D2116" s="187"/>
      <c r="E2116" s="187"/>
      <c r="F2116" s="187"/>
      <c r="G2116" s="187"/>
      <c r="J2116" s="186"/>
      <c r="K2116" s="180"/>
      <c r="L2116" s="180"/>
    </row>
    <row r="2117" spans="2:12" s="188" customFormat="1" ht="15" customHeight="1">
      <c r="B2117" s="187"/>
      <c r="C2117" s="187"/>
      <c r="D2117" s="187"/>
      <c r="E2117" s="187"/>
      <c r="F2117" s="187"/>
      <c r="G2117" s="187"/>
      <c r="J2117" s="186"/>
      <c r="K2117" s="180"/>
      <c r="L2117" s="180"/>
    </row>
    <row r="2118" spans="2:12" s="188" customFormat="1" ht="15" customHeight="1">
      <c r="B2118" s="187"/>
      <c r="C2118" s="187"/>
      <c r="D2118" s="187"/>
      <c r="E2118" s="187"/>
      <c r="F2118" s="187"/>
      <c r="G2118" s="187"/>
      <c r="J2118" s="186"/>
      <c r="K2118" s="180"/>
      <c r="L2118" s="180"/>
    </row>
    <row r="2119" spans="2:12" s="188" customFormat="1" ht="15" customHeight="1">
      <c r="B2119" s="187"/>
      <c r="C2119" s="187"/>
      <c r="D2119" s="187"/>
      <c r="E2119" s="187"/>
      <c r="F2119" s="187"/>
      <c r="G2119" s="187"/>
      <c r="J2119" s="186"/>
      <c r="K2119" s="180"/>
      <c r="L2119" s="180"/>
    </row>
    <row r="2120" spans="2:12" s="188" customFormat="1" ht="15" customHeight="1">
      <c r="B2120" s="187"/>
      <c r="C2120" s="187"/>
      <c r="D2120" s="187"/>
      <c r="E2120" s="187"/>
      <c r="F2120" s="187"/>
      <c r="G2120" s="187"/>
      <c r="J2120" s="186"/>
      <c r="K2120" s="180"/>
      <c r="L2120" s="180"/>
    </row>
    <row r="2121" spans="2:12" s="188" customFormat="1" ht="15" customHeight="1">
      <c r="B2121" s="187"/>
      <c r="C2121" s="187"/>
      <c r="D2121" s="187"/>
      <c r="E2121" s="187"/>
      <c r="F2121" s="187"/>
      <c r="G2121" s="187"/>
      <c r="J2121" s="186"/>
      <c r="K2121" s="180"/>
      <c r="L2121" s="180"/>
    </row>
    <row r="2122" spans="2:12" s="188" customFormat="1" ht="15" customHeight="1">
      <c r="B2122" s="187"/>
      <c r="C2122" s="187"/>
      <c r="D2122" s="187"/>
      <c r="E2122" s="187"/>
      <c r="F2122" s="187"/>
      <c r="G2122" s="187"/>
      <c r="J2122" s="186"/>
      <c r="K2122" s="180"/>
      <c r="L2122" s="180"/>
    </row>
    <row r="2123" spans="2:12" s="188" customFormat="1" ht="15" customHeight="1">
      <c r="B2123" s="187"/>
      <c r="C2123" s="187"/>
      <c r="D2123" s="187"/>
      <c r="E2123" s="187"/>
      <c r="F2123" s="187"/>
      <c r="G2123" s="187"/>
      <c r="J2123" s="186"/>
      <c r="K2123" s="180"/>
      <c r="L2123" s="180"/>
    </row>
    <row r="2124" spans="2:12" s="188" customFormat="1" ht="15" customHeight="1">
      <c r="B2124" s="187"/>
      <c r="C2124" s="187"/>
      <c r="D2124" s="187"/>
      <c r="E2124" s="187"/>
      <c r="F2124" s="187"/>
      <c r="G2124" s="187"/>
      <c r="J2124" s="186"/>
      <c r="K2124" s="180"/>
      <c r="L2124" s="180"/>
    </row>
    <row r="2125" spans="2:12" s="188" customFormat="1" ht="15" customHeight="1">
      <c r="B2125" s="187"/>
      <c r="C2125" s="187"/>
      <c r="D2125" s="187"/>
      <c r="E2125" s="187"/>
      <c r="F2125" s="187"/>
      <c r="G2125" s="187"/>
      <c r="J2125" s="186"/>
      <c r="K2125" s="180"/>
      <c r="L2125" s="180"/>
    </row>
    <row r="2126" spans="2:12" s="188" customFormat="1" ht="15" customHeight="1">
      <c r="B2126" s="187"/>
      <c r="C2126" s="187"/>
      <c r="D2126" s="187"/>
      <c r="E2126" s="187"/>
      <c r="F2126" s="187"/>
      <c r="G2126" s="187"/>
      <c r="J2126" s="186"/>
      <c r="K2126" s="180"/>
      <c r="L2126" s="180"/>
    </row>
    <row r="2127" spans="2:12" s="188" customFormat="1" ht="15" customHeight="1">
      <c r="B2127" s="187"/>
      <c r="C2127" s="187"/>
      <c r="D2127" s="187"/>
      <c r="E2127" s="187"/>
      <c r="F2127" s="187"/>
      <c r="G2127" s="187"/>
      <c r="J2127" s="186"/>
      <c r="K2127" s="180"/>
      <c r="L2127" s="180"/>
    </row>
    <row r="2128" spans="2:12" s="188" customFormat="1" ht="15" customHeight="1">
      <c r="B2128" s="187"/>
      <c r="C2128" s="187"/>
      <c r="D2128" s="187"/>
      <c r="E2128" s="187"/>
      <c r="F2128" s="187"/>
      <c r="G2128" s="187"/>
      <c r="J2128" s="186"/>
      <c r="K2128" s="180"/>
      <c r="L2128" s="180"/>
    </row>
    <row r="2129" spans="2:12" s="188" customFormat="1" ht="15" customHeight="1">
      <c r="B2129" s="187"/>
      <c r="C2129" s="187"/>
      <c r="D2129" s="187"/>
      <c r="E2129" s="187"/>
      <c r="F2129" s="187"/>
      <c r="G2129" s="187"/>
      <c r="J2129" s="186"/>
      <c r="K2129" s="180"/>
      <c r="L2129" s="180"/>
    </row>
    <row r="2130" spans="2:12" s="188" customFormat="1" ht="15" customHeight="1">
      <c r="B2130" s="187"/>
      <c r="C2130" s="187"/>
      <c r="D2130" s="187"/>
      <c r="E2130" s="187"/>
      <c r="F2130" s="187"/>
      <c r="G2130" s="187"/>
      <c r="J2130" s="186"/>
      <c r="K2130" s="180"/>
      <c r="L2130" s="180"/>
    </row>
    <row r="2131" spans="2:12" s="188" customFormat="1" ht="15" customHeight="1">
      <c r="B2131" s="187"/>
      <c r="C2131" s="187"/>
      <c r="D2131" s="187"/>
      <c r="E2131" s="187"/>
      <c r="F2131" s="187"/>
      <c r="G2131" s="187"/>
      <c r="J2131" s="186"/>
      <c r="K2131" s="180"/>
      <c r="L2131" s="180"/>
    </row>
    <row r="2132" spans="2:12" s="188" customFormat="1" ht="15" customHeight="1">
      <c r="B2132" s="187"/>
      <c r="C2132" s="187"/>
      <c r="D2132" s="187"/>
      <c r="E2132" s="187"/>
      <c r="F2132" s="187"/>
      <c r="G2132" s="187"/>
      <c r="J2132" s="186"/>
      <c r="K2132" s="180"/>
      <c r="L2132" s="180"/>
    </row>
    <row r="2133" spans="2:12" s="188" customFormat="1" ht="15" customHeight="1">
      <c r="B2133" s="187"/>
      <c r="C2133" s="187"/>
      <c r="D2133" s="187"/>
      <c r="E2133" s="187"/>
      <c r="F2133" s="187"/>
      <c r="G2133" s="187"/>
      <c r="J2133" s="186"/>
      <c r="K2133" s="180"/>
      <c r="L2133" s="180"/>
    </row>
    <row r="2134" spans="2:12" s="188" customFormat="1" ht="15" customHeight="1">
      <c r="B2134" s="187"/>
      <c r="C2134" s="187"/>
      <c r="D2134" s="187"/>
      <c r="E2134" s="187"/>
      <c r="F2134" s="187"/>
      <c r="G2134" s="187"/>
      <c r="J2134" s="186"/>
      <c r="K2134" s="180"/>
      <c r="L2134" s="180"/>
    </row>
    <row r="2135" spans="2:12" s="188" customFormat="1" ht="15" customHeight="1">
      <c r="B2135" s="187"/>
      <c r="C2135" s="187"/>
      <c r="D2135" s="187"/>
      <c r="E2135" s="187"/>
      <c r="F2135" s="187"/>
      <c r="G2135" s="187"/>
      <c r="J2135" s="186"/>
      <c r="K2135" s="180"/>
      <c r="L2135" s="180"/>
    </row>
    <row r="2136" spans="2:12" s="188" customFormat="1" ht="15" customHeight="1">
      <c r="B2136" s="187"/>
      <c r="C2136" s="187"/>
      <c r="D2136" s="187"/>
      <c r="E2136" s="187"/>
      <c r="F2136" s="187"/>
      <c r="G2136" s="187"/>
      <c r="J2136" s="186"/>
      <c r="K2136" s="180"/>
      <c r="L2136" s="180"/>
    </row>
    <row r="2137" spans="2:12" s="188" customFormat="1" ht="15" customHeight="1">
      <c r="B2137" s="187"/>
      <c r="C2137" s="187"/>
      <c r="D2137" s="187"/>
      <c r="E2137" s="187"/>
      <c r="F2137" s="187"/>
      <c r="G2137" s="187"/>
      <c r="J2137" s="186"/>
      <c r="K2137" s="180"/>
      <c r="L2137" s="180"/>
    </row>
    <row r="2138" spans="2:12" s="188" customFormat="1" ht="15" customHeight="1">
      <c r="B2138" s="187"/>
      <c r="C2138" s="187"/>
      <c r="D2138" s="187"/>
      <c r="E2138" s="187"/>
      <c r="F2138" s="187"/>
      <c r="G2138" s="187"/>
      <c r="J2138" s="186"/>
      <c r="K2138" s="180"/>
      <c r="L2138" s="180"/>
    </row>
    <row r="2139" spans="2:12" s="188" customFormat="1" ht="15" customHeight="1">
      <c r="B2139" s="187"/>
      <c r="C2139" s="187"/>
      <c r="D2139" s="187"/>
      <c r="E2139" s="187"/>
      <c r="F2139" s="187"/>
      <c r="G2139" s="187"/>
      <c r="J2139" s="186"/>
      <c r="K2139" s="180"/>
      <c r="L2139" s="180"/>
    </row>
    <row r="2140" spans="2:12" s="188" customFormat="1" ht="15" customHeight="1">
      <c r="B2140" s="187"/>
      <c r="C2140" s="187"/>
      <c r="D2140" s="187"/>
      <c r="E2140" s="187"/>
      <c r="F2140" s="187"/>
      <c r="G2140" s="187"/>
      <c r="J2140" s="186"/>
      <c r="K2140" s="180"/>
      <c r="L2140" s="180"/>
    </row>
    <row r="2141" spans="2:12" s="188" customFormat="1" ht="15" customHeight="1">
      <c r="B2141" s="187"/>
      <c r="C2141" s="187"/>
      <c r="D2141" s="187"/>
      <c r="E2141" s="187"/>
      <c r="F2141" s="187"/>
      <c r="G2141" s="187"/>
      <c r="J2141" s="186"/>
      <c r="K2141" s="180"/>
      <c r="L2141" s="180"/>
    </row>
    <row r="2142" spans="2:12" s="188" customFormat="1" ht="15" customHeight="1">
      <c r="B2142" s="187"/>
      <c r="C2142" s="187"/>
      <c r="D2142" s="187"/>
      <c r="E2142" s="187"/>
      <c r="F2142" s="187"/>
      <c r="G2142" s="187"/>
      <c r="J2142" s="186"/>
      <c r="K2142" s="180"/>
      <c r="L2142" s="180"/>
    </row>
    <row r="2143" spans="2:12" s="188" customFormat="1" ht="15" customHeight="1">
      <c r="B2143" s="187"/>
      <c r="C2143" s="187"/>
      <c r="D2143" s="187"/>
      <c r="E2143" s="187"/>
      <c r="F2143" s="187"/>
      <c r="G2143" s="187"/>
      <c r="J2143" s="186"/>
      <c r="K2143" s="180"/>
      <c r="L2143" s="180"/>
    </row>
    <row r="2144" spans="2:12" s="188" customFormat="1" ht="15" customHeight="1">
      <c r="B2144" s="187"/>
      <c r="C2144" s="187"/>
      <c r="D2144" s="187"/>
      <c r="E2144" s="187"/>
      <c r="F2144" s="187"/>
      <c r="G2144" s="187"/>
      <c r="J2144" s="186"/>
      <c r="K2144" s="180"/>
      <c r="L2144" s="180"/>
    </row>
    <row r="2145" spans="2:12" s="188" customFormat="1" ht="15" customHeight="1">
      <c r="B2145" s="187"/>
      <c r="C2145" s="187"/>
      <c r="D2145" s="187"/>
      <c r="E2145" s="187"/>
      <c r="F2145" s="187"/>
      <c r="G2145" s="187"/>
      <c r="J2145" s="186"/>
      <c r="K2145" s="180"/>
      <c r="L2145" s="180"/>
    </row>
    <row r="2146" spans="2:12" s="188" customFormat="1" ht="15" customHeight="1">
      <c r="B2146" s="187"/>
      <c r="C2146" s="187"/>
      <c r="D2146" s="187"/>
      <c r="E2146" s="187"/>
      <c r="F2146" s="187"/>
      <c r="G2146" s="187"/>
      <c r="J2146" s="186"/>
      <c r="K2146" s="180"/>
      <c r="L2146" s="180"/>
    </row>
    <row r="2147" spans="2:12" s="188" customFormat="1" ht="15" customHeight="1">
      <c r="B2147" s="187"/>
      <c r="C2147" s="187"/>
      <c r="D2147" s="187"/>
      <c r="E2147" s="187"/>
      <c r="F2147" s="187"/>
      <c r="G2147" s="187"/>
      <c r="J2147" s="186"/>
      <c r="K2147" s="180"/>
      <c r="L2147" s="180"/>
    </row>
    <row r="2148" spans="2:12" s="188" customFormat="1" ht="15" customHeight="1">
      <c r="B2148" s="187"/>
      <c r="C2148" s="187"/>
      <c r="D2148" s="187"/>
      <c r="E2148" s="187"/>
      <c r="F2148" s="187"/>
      <c r="G2148" s="187"/>
      <c r="J2148" s="186"/>
      <c r="K2148" s="180"/>
      <c r="L2148" s="180"/>
    </row>
    <row r="2149" spans="2:12" s="188" customFormat="1" ht="15" customHeight="1">
      <c r="B2149" s="187"/>
      <c r="C2149" s="187"/>
      <c r="D2149" s="187"/>
      <c r="E2149" s="187"/>
      <c r="F2149" s="187"/>
      <c r="G2149" s="187"/>
      <c r="J2149" s="186"/>
      <c r="K2149" s="180"/>
      <c r="L2149" s="180"/>
    </row>
    <row r="2150" spans="2:12" s="188" customFormat="1" ht="15" customHeight="1">
      <c r="B2150" s="187"/>
      <c r="C2150" s="187"/>
      <c r="D2150" s="187"/>
      <c r="E2150" s="187"/>
      <c r="F2150" s="187"/>
      <c r="G2150" s="187"/>
      <c r="J2150" s="186"/>
      <c r="K2150" s="180"/>
      <c r="L2150" s="180"/>
    </row>
    <row r="2151" spans="2:12" s="188" customFormat="1" ht="15" customHeight="1">
      <c r="B2151" s="187"/>
      <c r="C2151" s="187"/>
      <c r="D2151" s="187"/>
      <c r="E2151" s="187"/>
      <c r="F2151" s="187"/>
      <c r="G2151" s="187"/>
      <c r="J2151" s="186"/>
      <c r="K2151" s="180"/>
      <c r="L2151" s="180"/>
    </row>
    <row r="2152" spans="2:12" s="188" customFormat="1" ht="15" customHeight="1">
      <c r="B2152" s="187"/>
      <c r="C2152" s="187"/>
      <c r="D2152" s="187"/>
      <c r="E2152" s="187"/>
      <c r="F2152" s="187"/>
      <c r="G2152" s="187"/>
      <c r="J2152" s="186"/>
      <c r="K2152" s="180"/>
      <c r="L2152" s="180"/>
    </row>
    <row r="2153" spans="2:12" s="188" customFormat="1" ht="15" customHeight="1">
      <c r="B2153" s="187"/>
      <c r="C2153" s="187"/>
      <c r="D2153" s="187"/>
      <c r="E2153" s="187"/>
      <c r="F2153" s="187"/>
      <c r="G2153" s="187"/>
      <c r="J2153" s="186"/>
      <c r="K2153" s="180"/>
      <c r="L2153" s="180"/>
    </row>
    <row r="2154" spans="2:12" s="188" customFormat="1" ht="15" customHeight="1">
      <c r="B2154" s="187"/>
      <c r="C2154" s="187"/>
      <c r="D2154" s="187"/>
      <c r="E2154" s="187"/>
      <c r="F2154" s="187"/>
      <c r="G2154" s="187"/>
      <c r="J2154" s="186"/>
      <c r="K2154" s="180"/>
      <c r="L2154" s="180"/>
    </row>
    <row r="2155" spans="2:12" s="188" customFormat="1" ht="15" customHeight="1">
      <c r="B2155" s="187"/>
      <c r="C2155" s="187"/>
      <c r="D2155" s="187"/>
      <c r="E2155" s="187"/>
      <c r="F2155" s="187"/>
      <c r="G2155" s="187"/>
      <c r="J2155" s="186"/>
      <c r="K2155" s="180"/>
      <c r="L2155" s="180"/>
    </row>
    <row r="2156" spans="2:12" s="188" customFormat="1" ht="15" customHeight="1">
      <c r="B2156" s="187"/>
      <c r="C2156" s="187"/>
      <c r="D2156" s="187"/>
      <c r="E2156" s="187"/>
      <c r="F2156" s="187"/>
      <c r="G2156" s="187"/>
      <c r="J2156" s="186"/>
      <c r="K2156" s="180"/>
      <c r="L2156" s="180"/>
    </row>
    <row r="2157" spans="2:12" s="188" customFormat="1" ht="15" customHeight="1">
      <c r="B2157" s="187"/>
      <c r="C2157" s="187"/>
      <c r="D2157" s="187"/>
      <c r="E2157" s="187"/>
      <c r="F2157" s="187"/>
      <c r="G2157" s="187"/>
      <c r="J2157" s="186"/>
      <c r="K2157" s="180"/>
      <c r="L2157" s="180"/>
    </row>
    <row r="2158" spans="2:12" s="188" customFormat="1" ht="15" customHeight="1">
      <c r="B2158" s="187"/>
      <c r="C2158" s="187"/>
      <c r="D2158" s="187"/>
      <c r="E2158" s="187"/>
      <c r="F2158" s="187"/>
      <c r="G2158" s="187"/>
      <c r="J2158" s="186"/>
      <c r="K2158" s="180"/>
      <c r="L2158" s="180"/>
    </row>
    <row r="2159" spans="2:12" s="188" customFormat="1" ht="15" customHeight="1">
      <c r="B2159" s="187"/>
      <c r="C2159" s="187"/>
      <c r="D2159" s="187"/>
      <c r="E2159" s="187"/>
      <c r="F2159" s="187"/>
      <c r="G2159" s="187"/>
      <c r="J2159" s="186"/>
      <c r="K2159" s="180"/>
      <c r="L2159" s="180"/>
    </row>
    <row r="2160" spans="2:12" s="188" customFormat="1" ht="15" customHeight="1">
      <c r="B2160" s="187"/>
      <c r="C2160" s="187"/>
      <c r="D2160" s="187"/>
      <c r="E2160" s="187"/>
      <c r="F2160" s="187"/>
      <c r="G2160" s="187"/>
      <c r="J2160" s="186"/>
      <c r="K2160" s="180"/>
      <c r="L2160" s="180"/>
    </row>
    <row r="2161" spans="2:12" s="188" customFormat="1" ht="15" customHeight="1">
      <c r="B2161" s="187"/>
      <c r="C2161" s="187"/>
      <c r="D2161" s="187"/>
      <c r="E2161" s="187"/>
      <c r="F2161" s="187"/>
      <c r="G2161" s="187"/>
      <c r="J2161" s="186"/>
      <c r="K2161" s="180"/>
      <c r="L2161" s="180"/>
    </row>
    <row r="2162" spans="2:12" s="188" customFormat="1" ht="15" customHeight="1">
      <c r="B2162" s="187"/>
      <c r="C2162" s="187"/>
      <c r="D2162" s="187"/>
      <c r="E2162" s="187"/>
      <c r="F2162" s="187"/>
      <c r="G2162" s="187"/>
      <c r="J2162" s="186"/>
      <c r="K2162" s="180"/>
      <c r="L2162" s="180"/>
    </row>
    <row r="2163" spans="2:12" s="188" customFormat="1" ht="15" customHeight="1">
      <c r="B2163" s="187"/>
      <c r="C2163" s="187"/>
      <c r="D2163" s="187"/>
      <c r="E2163" s="187"/>
      <c r="F2163" s="187"/>
      <c r="G2163" s="187"/>
      <c r="J2163" s="186"/>
      <c r="K2163" s="180"/>
      <c r="L2163" s="180"/>
    </row>
    <row r="2164" spans="2:12" s="188" customFormat="1" ht="15" customHeight="1">
      <c r="B2164" s="187"/>
      <c r="C2164" s="187"/>
      <c r="D2164" s="187"/>
      <c r="E2164" s="187"/>
      <c r="F2164" s="187"/>
      <c r="G2164" s="187"/>
      <c r="J2164" s="186"/>
      <c r="K2164" s="180"/>
      <c r="L2164" s="180"/>
    </row>
    <row r="2165" spans="2:12" s="188" customFormat="1" ht="15" customHeight="1">
      <c r="B2165" s="187"/>
      <c r="C2165" s="187"/>
      <c r="D2165" s="187"/>
      <c r="E2165" s="187"/>
      <c r="F2165" s="187"/>
      <c r="G2165" s="187"/>
      <c r="J2165" s="186"/>
      <c r="K2165" s="180"/>
      <c r="L2165" s="180"/>
    </row>
    <row r="2166" spans="2:12" s="188" customFormat="1" ht="15" customHeight="1">
      <c r="B2166" s="187"/>
      <c r="C2166" s="187"/>
      <c r="D2166" s="187"/>
      <c r="E2166" s="187"/>
      <c r="F2166" s="187"/>
      <c r="G2166" s="187"/>
      <c r="J2166" s="186"/>
      <c r="K2166" s="180"/>
      <c r="L2166" s="180"/>
    </row>
    <row r="2167" spans="2:12" s="188" customFormat="1" ht="15" customHeight="1">
      <c r="B2167" s="187"/>
      <c r="C2167" s="187"/>
      <c r="D2167" s="187"/>
      <c r="E2167" s="187"/>
      <c r="F2167" s="187"/>
      <c r="G2167" s="187"/>
      <c r="J2167" s="186"/>
      <c r="K2167" s="180"/>
      <c r="L2167" s="180"/>
    </row>
    <row r="2168" spans="2:12" s="188" customFormat="1" ht="15" customHeight="1">
      <c r="B2168" s="187"/>
      <c r="C2168" s="187"/>
      <c r="D2168" s="187"/>
      <c r="E2168" s="187"/>
      <c r="F2168" s="187"/>
      <c r="G2168" s="187"/>
      <c r="J2168" s="186"/>
      <c r="K2168" s="180"/>
      <c r="L2168" s="180"/>
    </row>
    <row r="2169" spans="2:12" s="188" customFormat="1" ht="15" customHeight="1">
      <c r="B2169" s="187"/>
      <c r="C2169" s="187"/>
      <c r="D2169" s="187"/>
      <c r="E2169" s="187"/>
      <c r="F2169" s="187"/>
      <c r="G2169" s="187"/>
      <c r="J2169" s="186"/>
      <c r="K2169" s="180"/>
      <c r="L2169" s="180"/>
    </row>
    <row r="2170" spans="2:12" s="188" customFormat="1" ht="15" customHeight="1">
      <c r="B2170" s="187"/>
      <c r="C2170" s="187"/>
      <c r="D2170" s="187"/>
      <c r="E2170" s="187"/>
      <c r="F2170" s="187"/>
      <c r="G2170" s="187"/>
      <c r="J2170" s="186"/>
      <c r="K2170" s="180"/>
      <c r="L2170" s="180"/>
    </row>
    <row r="2171" spans="2:12" s="188" customFormat="1" ht="15" customHeight="1">
      <c r="B2171" s="187"/>
      <c r="C2171" s="187"/>
      <c r="D2171" s="187"/>
      <c r="E2171" s="187"/>
      <c r="F2171" s="187"/>
      <c r="G2171" s="187"/>
      <c r="J2171" s="186"/>
      <c r="K2171" s="180"/>
      <c r="L2171" s="180"/>
    </row>
    <row r="2172" spans="2:12" s="188" customFormat="1" ht="15" customHeight="1">
      <c r="B2172" s="187"/>
      <c r="C2172" s="187"/>
      <c r="D2172" s="187"/>
      <c r="E2172" s="187"/>
      <c r="F2172" s="187"/>
      <c r="G2172" s="187"/>
      <c r="J2172" s="186"/>
      <c r="K2172" s="180"/>
      <c r="L2172" s="180"/>
    </row>
    <row r="2173" spans="2:12" s="188" customFormat="1" ht="15" customHeight="1">
      <c r="B2173" s="187"/>
      <c r="C2173" s="187"/>
      <c r="D2173" s="187"/>
      <c r="E2173" s="187"/>
      <c r="F2173" s="187"/>
      <c r="G2173" s="187"/>
      <c r="J2173" s="186"/>
      <c r="K2173" s="180"/>
      <c r="L2173" s="180"/>
    </row>
    <row r="2174" spans="2:12" s="188" customFormat="1" ht="15" customHeight="1">
      <c r="B2174" s="187"/>
      <c r="C2174" s="187"/>
      <c r="D2174" s="187"/>
      <c r="E2174" s="187"/>
      <c r="F2174" s="187"/>
      <c r="G2174" s="187"/>
      <c r="J2174" s="186"/>
      <c r="K2174" s="180"/>
      <c r="L2174" s="180"/>
    </row>
    <row r="2175" spans="2:12" s="188" customFormat="1" ht="15" customHeight="1">
      <c r="B2175" s="187"/>
      <c r="C2175" s="187"/>
      <c r="D2175" s="187"/>
      <c r="E2175" s="187"/>
      <c r="F2175" s="187"/>
      <c r="G2175" s="187"/>
      <c r="J2175" s="186"/>
      <c r="K2175" s="180"/>
      <c r="L2175" s="180"/>
    </row>
    <row r="2176" spans="2:12" s="188" customFormat="1" ht="15" customHeight="1">
      <c r="B2176" s="187"/>
      <c r="C2176" s="187"/>
      <c r="D2176" s="187"/>
      <c r="E2176" s="187"/>
      <c r="F2176" s="187"/>
      <c r="G2176" s="187"/>
      <c r="J2176" s="186"/>
      <c r="K2176" s="180"/>
      <c r="L2176" s="180"/>
    </row>
    <row r="2177" spans="2:12" s="188" customFormat="1" ht="15" customHeight="1">
      <c r="B2177" s="187"/>
      <c r="C2177" s="187"/>
      <c r="D2177" s="187"/>
      <c r="E2177" s="187"/>
      <c r="F2177" s="187"/>
      <c r="G2177" s="187"/>
      <c r="J2177" s="186"/>
      <c r="K2177" s="180"/>
      <c r="L2177" s="180"/>
    </row>
    <row r="2178" spans="2:12" s="188" customFormat="1" ht="15" customHeight="1">
      <c r="B2178" s="187"/>
      <c r="C2178" s="187"/>
      <c r="D2178" s="187"/>
      <c r="E2178" s="187"/>
      <c r="F2178" s="187"/>
      <c r="G2178" s="187"/>
      <c r="J2178" s="186"/>
      <c r="K2178" s="180"/>
      <c r="L2178" s="180"/>
    </row>
    <row r="2179" spans="2:12" s="188" customFormat="1" ht="15" customHeight="1">
      <c r="B2179" s="187"/>
      <c r="C2179" s="187"/>
      <c r="D2179" s="187"/>
      <c r="E2179" s="187"/>
      <c r="F2179" s="187"/>
      <c r="G2179" s="187"/>
      <c r="J2179" s="186"/>
      <c r="K2179" s="180"/>
      <c r="L2179" s="180"/>
    </row>
    <row r="2180" spans="2:12" s="188" customFormat="1" ht="15" customHeight="1">
      <c r="B2180" s="187"/>
      <c r="C2180" s="187"/>
      <c r="D2180" s="187"/>
      <c r="E2180" s="187"/>
      <c r="F2180" s="187"/>
      <c r="G2180" s="187"/>
      <c r="J2180" s="186"/>
      <c r="K2180" s="180"/>
      <c r="L2180" s="180"/>
    </row>
    <row r="2181" spans="2:12" s="188" customFormat="1" ht="15" customHeight="1">
      <c r="B2181" s="187"/>
      <c r="C2181" s="187"/>
      <c r="D2181" s="187"/>
      <c r="E2181" s="187"/>
      <c r="F2181" s="187"/>
      <c r="G2181" s="187"/>
      <c r="J2181" s="186"/>
      <c r="K2181" s="180"/>
      <c r="L2181" s="180"/>
    </row>
    <row r="2182" spans="2:12" s="188" customFormat="1" ht="15" customHeight="1">
      <c r="B2182" s="187"/>
      <c r="C2182" s="187"/>
      <c r="D2182" s="187"/>
      <c r="E2182" s="187"/>
      <c r="F2182" s="187"/>
      <c r="G2182" s="187"/>
      <c r="J2182" s="186"/>
      <c r="K2182" s="180"/>
      <c r="L2182" s="180"/>
    </row>
    <row r="2183" spans="2:12" s="188" customFormat="1" ht="15" customHeight="1">
      <c r="B2183" s="187"/>
      <c r="C2183" s="187"/>
      <c r="D2183" s="187"/>
      <c r="E2183" s="187"/>
      <c r="F2183" s="187"/>
      <c r="G2183" s="187"/>
      <c r="J2183" s="186"/>
      <c r="K2183" s="180"/>
      <c r="L2183" s="180"/>
    </row>
    <row r="2184" spans="2:12" s="188" customFormat="1" ht="15" customHeight="1">
      <c r="B2184" s="187"/>
      <c r="C2184" s="187"/>
      <c r="D2184" s="187"/>
      <c r="E2184" s="187"/>
      <c r="F2184" s="187"/>
      <c r="G2184" s="187"/>
      <c r="J2184" s="186"/>
      <c r="K2184" s="180"/>
      <c r="L2184" s="180"/>
    </row>
    <row r="2185" spans="2:12" s="188" customFormat="1" ht="15" customHeight="1">
      <c r="B2185" s="187"/>
      <c r="C2185" s="187"/>
      <c r="D2185" s="187"/>
      <c r="E2185" s="187"/>
      <c r="F2185" s="187"/>
      <c r="G2185" s="187"/>
      <c r="J2185" s="186"/>
      <c r="K2185" s="180"/>
      <c r="L2185" s="180"/>
    </row>
    <row r="2186" spans="2:12" s="188" customFormat="1" ht="15" customHeight="1">
      <c r="B2186" s="187"/>
      <c r="C2186" s="187"/>
      <c r="D2186" s="187"/>
      <c r="E2186" s="187"/>
      <c r="F2186" s="187"/>
      <c r="G2186" s="187"/>
      <c r="J2186" s="186"/>
      <c r="K2186" s="180"/>
      <c r="L2186" s="180"/>
    </row>
    <row r="2187" spans="2:12" s="188" customFormat="1" ht="15" customHeight="1">
      <c r="B2187" s="187"/>
      <c r="C2187" s="187"/>
      <c r="D2187" s="187"/>
      <c r="E2187" s="187"/>
      <c r="F2187" s="187"/>
      <c r="G2187" s="187"/>
      <c r="J2187" s="186"/>
      <c r="K2187" s="180"/>
      <c r="L2187" s="180"/>
    </row>
    <row r="2188" spans="2:12" s="188" customFormat="1" ht="15" customHeight="1">
      <c r="B2188" s="187"/>
      <c r="C2188" s="187"/>
      <c r="D2188" s="187"/>
      <c r="E2188" s="187"/>
      <c r="F2188" s="187"/>
      <c r="G2188" s="187"/>
      <c r="J2188" s="186"/>
      <c r="K2188" s="180"/>
      <c r="L2188" s="180"/>
    </row>
    <row r="2189" spans="2:12" s="188" customFormat="1" ht="15" customHeight="1">
      <c r="B2189" s="187"/>
      <c r="C2189" s="187"/>
      <c r="D2189" s="187"/>
      <c r="E2189" s="187"/>
      <c r="F2189" s="187"/>
      <c r="G2189" s="187"/>
      <c r="J2189" s="186"/>
      <c r="K2189" s="180"/>
      <c r="L2189" s="180"/>
    </row>
    <row r="2190" spans="2:12" s="188" customFormat="1" ht="15" customHeight="1">
      <c r="B2190" s="187"/>
      <c r="C2190" s="187"/>
      <c r="D2190" s="187"/>
      <c r="E2190" s="187"/>
      <c r="F2190" s="187"/>
      <c r="G2190" s="187"/>
      <c r="J2190" s="186"/>
      <c r="K2190" s="180"/>
      <c r="L2190" s="180"/>
    </row>
    <row r="2191" spans="2:12" s="188" customFormat="1" ht="15" customHeight="1">
      <c r="B2191" s="187"/>
      <c r="C2191" s="187"/>
      <c r="D2191" s="187"/>
      <c r="E2191" s="187"/>
      <c r="F2191" s="187"/>
      <c r="G2191" s="187"/>
      <c r="J2191" s="186"/>
      <c r="K2191" s="180"/>
      <c r="L2191" s="180"/>
    </row>
    <row r="2192" spans="2:12" s="188" customFormat="1" ht="15" customHeight="1">
      <c r="B2192" s="187"/>
      <c r="C2192" s="187"/>
      <c r="D2192" s="187"/>
      <c r="E2192" s="187"/>
      <c r="F2192" s="187"/>
      <c r="G2192" s="187"/>
      <c r="J2192" s="186"/>
      <c r="K2192" s="180"/>
      <c r="L2192" s="180"/>
    </row>
    <row r="2193" spans="2:12" s="188" customFormat="1" ht="15" customHeight="1">
      <c r="B2193" s="187"/>
      <c r="C2193" s="187"/>
      <c r="D2193" s="187"/>
      <c r="E2193" s="187"/>
      <c r="F2193" s="187"/>
      <c r="G2193" s="187"/>
      <c r="J2193" s="186"/>
      <c r="K2193" s="180"/>
      <c r="L2193" s="180"/>
    </row>
    <row r="2194" spans="2:12" s="188" customFormat="1" ht="15" customHeight="1">
      <c r="B2194" s="187"/>
      <c r="C2194" s="187"/>
      <c r="D2194" s="187"/>
      <c r="E2194" s="187"/>
      <c r="F2194" s="187"/>
      <c r="G2194" s="187"/>
      <c r="J2194" s="186"/>
      <c r="K2194" s="180"/>
      <c r="L2194" s="180"/>
    </row>
    <row r="2195" spans="2:12" s="188" customFormat="1" ht="15" customHeight="1">
      <c r="B2195" s="187"/>
      <c r="C2195" s="187"/>
      <c r="D2195" s="187"/>
      <c r="E2195" s="187"/>
      <c r="F2195" s="187"/>
      <c r="G2195" s="187"/>
      <c r="J2195" s="186"/>
      <c r="K2195" s="180"/>
      <c r="L2195" s="180"/>
    </row>
    <row r="2196" spans="2:12" s="188" customFormat="1" ht="15" customHeight="1">
      <c r="B2196" s="187"/>
      <c r="C2196" s="187"/>
      <c r="D2196" s="187"/>
      <c r="E2196" s="187"/>
      <c r="F2196" s="187"/>
      <c r="G2196" s="187"/>
      <c r="J2196" s="186"/>
      <c r="K2196" s="180"/>
      <c r="L2196" s="180"/>
    </row>
    <row r="2197" spans="2:12" s="188" customFormat="1" ht="15" customHeight="1">
      <c r="B2197" s="187"/>
      <c r="C2197" s="187"/>
      <c r="D2197" s="187"/>
      <c r="E2197" s="187"/>
      <c r="F2197" s="187"/>
      <c r="G2197" s="187"/>
      <c r="J2197" s="186"/>
      <c r="K2197" s="180"/>
      <c r="L2197" s="180"/>
    </row>
    <row r="2198" spans="2:12" s="188" customFormat="1" ht="15" customHeight="1">
      <c r="B2198" s="187"/>
      <c r="C2198" s="187"/>
      <c r="D2198" s="187"/>
      <c r="E2198" s="187"/>
      <c r="F2198" s="187"/>
      <c r="G2198" s="187"/>
      <c r="J2198" s="186"/>
      <c r="K2198" s="180"/>
      <c r="L2198" s="180"/>
    </row>
    <row r="2199" spans="2:12" s="188" customFormat="1" ht="15" customHeight="1">
      <c r="B2199" s="187"/>
      <c r="C2199" s="187"/>
      <c r="D2199" s="187"/>
      <c r="E2199" s="187"/>
      <c r="F2199" s="187"/>
      <c r="G2199" s="187"/>
      <c r="J2199" s="186"/>
      <c r="K2199" s="180"/>
      <c r="L2199" s="180"/>
    </row>
    <row r="2200" spans="2:12" s="188" customFormat="1" ht="15" customHeight="1">
      <c r="B2200" s="187"/>
      <c r="C2200" s="187"/>
      <c r="D2200" s="187"/>
      <c r="E2200" s="187"/>
      <c r="F2200" s="187"/>
      <c r="G2200" s="187"/>
      <c r="J2200" s="186"/>
      <c r="K2200" s="180"/>
      <c r="L2200" s="180"/>
    </row>
    <row r="2201" spans="2:12" s="188" customFormat="1" ht="15" customHeight="1">
      <c r="B2201" s="187"/>
      <c r="C2201" s="187"/>
      <c r="D2201" s="187"/>
      <c r="E2201" s="187"/>
      <c r="F2201" s="187"/>
      <c r="G2201" s="187"/>
      <c r="J2201" s="186"/>
      <c r="K2201" s="180"/>
      <c r="L2201" s="180"/>
    </row>
    <row r="2202" spans="2:12" s="188" customFormat="1" ht="15" customHeight="1">
      <c r="B2202" s="187"/>
      <c r="C2202" s="187"/>
      <c r="D2202" s="187"/>
      <c r="E2202" s="187"/>
      <c r="F2202" s="187"/>
      <c r="G2202" s="187"/>
      <c r="J2202" s="186"/>
      <c r="K2202" s="180"/>
      <c r="L2202" s="180"/>
    </row>
    <row r="2203" spans="2:12" s="188" customFormat="1" ht="15" customHeight="1">
      <c r="B2203" s="187"/>
      <c r="C2203" s="187"/>
      <c r="D2203" s="187"/>
      <c r="E2203" s="187"/>
      <c r="F2203" s="187"/>
      <c r="G2203" s="187"/>
      <c r="J2203" s="186"/>
      <c r="K2203" s="180"/>
      <c r="L2203" s="180"/>
    </row>
    <row r="2204" spans="2:12" s="188" customFormat="1" ht="15" customHeight="1">
      <c r="B2204" s="187"/>
      <c r="C2204" s="187"/>
      <c r="D2204" s="187"/>
      <c r="E2204" s="187"/>
      <c r="F2204" s="187"/>
      <c r="G2204" s="187"/>
      <c r="J2204" s="186"/>
      <c r="K2204" s="180"/>
      <c r="L2204" s="180"/>
    </row>
    <row r="2205" spans="2:12" s="188" customFormat="1" ht="15" customHeight="1">
      <c r="B2205" s="187"/>
      <c r="C2205" s="187"/>
      <c r="D2205" s="187"/>
      <c r="E2205" s="187"/>
      <c r="F2205" s="187"/>
      <c r="G2205" s="187"/>
      <c r="J2205" s="186"/>
      <c r="K2205" s="180"/>
      <c r="L2205" s="180"/>
    </row>
    <row r="2206" spans="2:12" s="188" customFormat="1" ht="15" customHeight="1">
      <c r="B2206" s="187"/>
      <c r="C2206" s="187"/>
      <c r="D2206" s="187"/>
      <c r="E2206" s="187"/>
      <c r="F2206" s="187"/>
      <c r="G2206" s="187"/>
      <c r="J2206" s="186"/>
      <c r="K2206" s="180"/>
      <c r="L2206" s="180"/>
    </row>
    <row r="2207" spans="2:12" s="188" customFormat="1" ht="15" customHeight="1">
      <c r="B2207" s="187"/>
      <c r="C2207" s="187"/>
      <c r="D2207" s="187"/>
      <c r="E2207" s="187"/>
      <c r="F2207" s="187"/>
      <c r="G2207" s="187"/>
      <c r="J2207" s="186"/>
      <c r="K2207" s="180"/>
      <c r="L2207" s="180"/>
    </row>
    <row r="2208" spans="2:12" s="188" customFormat="1" ht="15" customHeight="1">
      <c r="B2208" s="187"/>
      <c r="C2208" s="187"/>
      <c r="D2208" s="187"/>
      <c r="E2208" s="187"/>
      <c r="F2208" s="187"/>
      <c r="G2208" s="187"/>
      <c r="J2208" s="186"/>
      <c r="K2208" s="180"/>
      <c r="L2208" s="180"/>
    </row>
    <row r="2209" spans="2:12" s="188" customFormat="1" ht="15" customHeight="1">
      <c r="B2209" s="187"/>
      <c r="C2209" s="187"/>
      <c r="D2209" s="187"/>
      <c r="E2209" s="187"/>
      <c r="F2209" s="187"/>
      <c r="G2209" s="187"/>
      <c r="J2209" s="186"/>
      <c r="K2209" s="180"/>
      <c r="L2209" s="180"/>
    </row>
    <row r="2210" spans="2:12" s="188" customFormat="1" ht="15" customHeight="1">
      <c r="B2210" s="187"/>
      <c r="C2210" s="187"/>
      <c r="D2210" s="187"/>
      <c r="E2210" s="187"/>
      <c r="F2210" s="187"/>
      <c r="G2210" s="187"/>
      <c r="J2210" s="186"/>
      <c r="K2210" s="180"/>
      <c r="L2210" s="180"/>
    </row>
    <row r="2211" spans="2:12" s="188" customFormat="1" ht="15" customHeight="1">
      <c r="B2211" s="187"/>
      <c r="C2211" s="187"/>
      <c r="D2211" s="187"/>
      <c r="E2211" s="187"/>
      <c r="F2211" s="187"/>
      <c r="G2211" s="187"/>
      <c r="J2211" s="186"/>
      <c r="K2211" s="180"/>
      <c r="L2211" s="180"/>
    </row>
    <row r="2212" spans="2:12" s="188" customFormat="1" ht="15" customHeight="1">
      <c r="B2212" s="187"/>
      <c r="C2212" s="187"/>
      <c r="D2212" s="187"/>
      <c r="E2212" s="187"/>
      <c r="F2212" s="187"/>
      <c r="G2212" s="187"/>
      <c r="J2212" s="186"/>
      <c r="K2212" s="180"/>
      <c r="L2212" s="180"/>
    </row>
    <row r="2213" spans="2:12" s="188" customFormat="1" ht="15" customHeight="1">
      <c r="B2213" s="187"/>
      <c r="C2213" s="187"/>
      <c r="D2213" s="187"/>
      <c r="E2213" s="187"/>
      <c r="F2213" s="187"/>
      <c r="G2213" s="187"/>
      <c r="J2213" s="186"/>
      <c r="K2213" s="180"/>
      <c r="L2213" s="180"/>
    </row>
    <row r="2214" spans="2:12" s="188" customFormat="1" ht="15" customHeight="1">
      <c r="B2214" s="187"/>
      <c r="C2214" s="187"/>
      <c r="D2214" s="187"/>
      <c r="E2214" s="187"/>
      <c r="F2214" s="187"/>
      <c r="G2214" s="187"/>
      <c r="J2214" s="186"/>
      <c r="K2214" s="180"/>
      <c r="L2214" s="180"/>
    </row>
    <row r="2215" spans="2:12" s="188" customFormat="1" ht="15" customHeight="1">
      <c r="B2215" s="187"/>
      <c r="C2215" s="187"/>
      <c r="D2215" s="187"/>
      <c r="E2215" s="187"/>
      <c r="F2215" s="187"/>
      <c r="G2215" s="187"/>
      <c r="J2215" s="186"/>
      <c r="K2215" s="180"/>
      <c r="L2215" s="180"/>
    </row>
    <row r="2216" spans="2:12" s="188" customFormat="1" ht="15" customHeight="1">
      <c r="B2216" s="187"/>
      <c r="C2216" s="187"/>
      <c r="D2216" s="187"/>
      <c r="E2216" s="187"/>
      <c r="F2216" s="187"/>
      <c r="G2216" s="187"/>
      <c r="J2216" s="186"/>
      <c r="K2216" s="180"/>
      <c r="L2216" s="180"/>
    </row>
    <row r="2217" spans="2:12" s="188" customFormat="1" ht="15" customHeight="1">
      <c r="B2217" s="187"/>
      <c r="C2217" s="187"/>
      <c r="D2217" s="187"/>
      <c r="E2217" s="187"/>
      <c r="F2217" s="187"/>
      <c r="G2217" s="187"/>
      <c r="J2217" s="186"/>
      <c r="K2217" s="180"/>
      <c r="L2217" s="180"/>
    </row>
    <row r="2218" spans="2:12" s="188" customFormat="1" ht="15" customHeight="1">
      <c r="B2218" s="187"/>
      <c r="C2218" s="187"/>
      <c r="D2218" s="187"/>
      <c r="E2218" s="187"/>
      <c r="F2218" s="187"/>
      <c r="G2218" s="187"/>
      <c r="J2218" s="186"/>
      <c r="K2218" s="180"/>
      <c r="L2218" s="180"/>
    </row>
    <row r="2219" spans="2:12" s="188" customFormat="1" ht="15" customHeight="1">
      <c r="B2219" s="187"/>
      <c r="C2219" s="187"/>
      <c r="D2219" s="187"/>
      <c r="E2219" s="187"/>
      <c r="F2219" s="187"/>
      <c r="G2219" s="187"/>
      <c r="J2219" s="186"/>
      <c r="K2219" s="180"/>
      <c r="L2219" s="180"/>
    </row>
    <row r="2220" spans="2:12" s="188" customFormat="1" ht="15" customHeight="1">
      <c r="B2220" s="187"/>
      <c r="C2220" s="187"/>
      <c r="D2220" s="187"/>
      <c r="E2220" s="187"/>
      <c r="F2220" s="187"/>
      <c r="G2220" s="187"/>
      <c r="J2220" s="186"/>
      <c r="K2220" s="180"/>
      <c r="L2220" s="180"/>
    </row>
    <row r="2221" spans="2:12" s="188" customFormat="1" ht="15" customHeight="1">
      <c r="B2221" s="187"/>
      <c r="C2221" s="187"/>
      <c r="D2221" s="187"/>
      <c r="E2221" s="187"/>
      <c r="F2221" s="187"/>
      <c r="G2221" s="187"/>
      <c r="J2221" s="186"/>
      <c r="K2221" s="180"/>
      <c r="L2221" s="180"/>
    </row>
    <row r="2222" spans="2:12" s="188" customFormat="1" ht="15" customHeight="1">
      <c r="B2222" s="187"/>
      <c r="C2222" s="187"/>
      <c r="D2222" s="187"/>
      <c r="E2222" s="187"/>
      <c r="F2222" s="187"/>
      <c r="G2222" s="187"/>
      <c r="J2222" s="186"/>
      <c r="K2222" s="180"/>
      <c r="L2222" s="180"/>
    </row>
    <row r="2223" spans="2:12" s="188" customFormat="1" ht="15" customHeight="1">
      <c r="B2223" s="187"/>
      <c r="C2223" s="187"/>
      <c r="D2223" s="187"/>
      <c r="E2223" s="187"/>
      <c r="F2223" s="187"/>
      <c r="G2223" s="187"/>
      <c r="J2223" s="186"/>
      <c r="K2223" s="180"/>
      <c r="L2223" s="180"/>
    </row>
    <row r="2224" spans="2:12" s="188" customFormat="1" ht="15" customHeight="1">
      <c r="B2224" s="187"/>
      <c r="C2224" s="187"/>
      <c r="D2224" s="187"/>
      <c r="E2224" s="187"/>
      <c r="F2224" s="187"/>
      <c r="G2224" s="187"/>
      <c r="J2224" s="186"/>
      <c r="K2224" s="180"/>
      <c r="L2224" s="180"/>
    </row>
    <row r="2225" spans="2:12" s="188" customFormat="1" ht="15" customHeight="1">
      <c r="B2225" s="187"/>
      <c r="C2225" s="187"/>
      <c r="D2225" s="187"/>
      <c r="E2225" s="187"/>
      <c r="F2225" s="187"/>
      <c r="G2225" s="187"/>
      <c r="J2225" s="186"/>
      <c r="K2225" s="180"/>
      <c r="L2225" s="180"/>
    </row>
    <row r="2226" spans="2:12" s="188" customFormat="1" ht="15" customHeight="1">
      <c r="B2226" s="187"/>
      <c r="C2226" s="187"/>
      <c r="D2226" s="187"/>
      <c r="E2226" s="187"/>
      <c r="F2226" s="187"/>
      <c r="G2226" s="187"/>
      <c r="J2226" s="186"/>
      <c r="K2226" s="180"/>
      <c r="L2226" s="180"/>
    </row>
    <row r="2227" spans="2:12" s="188" customFormat="1" ht="15" customHeight="1">
      <c r="B2227" s="187"/>
      <c r="C2227" s="187"/>
      <c r="D2227" s="187"/>
      <c r="E2227" s="187"/>
      <c r="F2227" s="187"/>
      <c r="G2227" s="187"/>
      <c r="J2227" s="186"/>
      <c r="K2227" s="180"/>
      <c r="L2227" s="180"/>
    </row>
    <row r="2228" spans="2:12" s="188" customFormat="1" ht="15" customHeight="1">
      <c r="B2228" s="187"/>
      <c r="C2228" s="187"/>
      <c r="D2228" s="187"/>
      <c r="E2228" s="187"/>
      <c r="F2228" s="187"/>
      <c r="G2228" s="187"/>
      <c r="J2228" s="186"/>
      <c r="K2228" s="180"/>
      <c r="L2228" s="180"/>
    </row>
    <row r="2229" spans="2:12" s="188" customFormat="1" ht="15" customHeight="1">
      <c r="B2229" s="187"/>
      <c r="C2229" s="187"/>
      <c r="D2229" s="187"/>
      <c r="E2229" s="187"/>
      <c r="F2229" s="187"/>
      <c r="G2229" s="187"/>
      <c r="J2229" s="186"/>
      <c r="K2229" s="180"/>
      <c r="L2229" s="180"/>
    </row>
    <row r="2230" spans="2:12" s="188" customFormat="1" ht="15" customHeight="1">
      <c r="B2230" s="187"/>
      <c r="C2230" s="187"/>
      <c r="D2230" s="187"/>
      <c r="E2230" s="187"/>
      <c r="F2230" s="187"/>
      <c r="G2230" s="187"/>
      <c r="J2230" s="186"/>
      <c r="K2230" s="180"/>
      <c r="L2230" s="180"/>
    </row>
    <row r="2231" spans="2:12" s="188" customFormat="1" ht="15" customHeight="1">
      <c r="B2231" s="187"/>
      <c r="C2231" s="187"/>
      <c r="D2231" s="187"/>
      <c r="E2231" s="187"/>
      <c r="F2231" s="187"/>
      <c r="G2231" s="187"/>
      <c r="J2231" s="186"/>
      <c r="K2231" s="180"/>
      <c r="L2231" s="180"/>
    </row>
    <row r="2232" spans="2:12" s="188" customFormat="1" ht="15" customHeight="1">
      <c r="B2232" s="187"/>
      <c r="C2232" s="187"/>
      <c r="D2232" s="187"/>
      <c r="E2232" s="187"/>
      <c r="F2232" s="187"/>
      <c r="G2232" s="187"/>
      <c r="J2232" s="186"/>
      <c r="K2232" s="180"/>
      <c r="L2232" s="180"/>
    </row>
    <row r="2233" spans="2:12" s="188" customFormat="1" ht="15" customHeight="1">
      <c r="B2233" s="187"/>
      <c r="C2233" s="187"/>
      <c r="D2233" s="187"/>
      <c r="E2233" s="187"/>
      <c r="F2233" s="187"/>
      <c r="G2233" s="187"/>
      <c r="J2233" s="186"/>
      <c r="K2233" s="180"/>
      <c r="L2233" s="180"/>
    </row>
    <row r="2234" spans="2:12" s="188" customFormat="1" ht="15" customHeight="1">
      <c r="B2234" s="187"/>
      <c r="C2234" s="187"/>
      <c r="D2234" s="187"/>
      <c r="E2234" s="187"/>
      <c r="F2234" s="187"/>
      <c r="G2234" s="187"/>
      <c r="J2234" s="186"/>
      <c r="K2234" s="180"/>
      <c r="L2234" s="180"/>
    </row>
    <row r="2235" spans="2:12" s="188" customFormat="1" ht="15" customHeight="1">
      <c r="B2235" s="187"/>
      <c r="C2235" s="187"/>
      <c r="D2235" s="187"/>
      <c r="E2235" s="187"/>
      <c r="F2235" s="187"/>
      <c r="G2235" s="187"/>
      <c r="J2235" s="186"/>
      <c r="K2235" s="180"/>
      <c r="L2235" s="180"/>
    </row>
    <row r="2236" spans="2:12" s="188" customFormat="1" ht="15" customHeight="1">
      <c r="B2236" s="187"/>
      <c r="C2236" s="187"/>
      <c r="D2236" s="187"/>
      <c r="E2236" s="187"/>
      <c r="F2236" s="187"/>
      <c r="G2236" s="187"/>
      <c r="J2236" s="186"/>
      <c r="K2236" s="180"/>
      <c r="L2236" s="180"/>
    </row>
    <row r="2237" spans="2:12" s="188" customFormat="1" ht="15" customHeight="1">
      <c r="B2237" s="187"/>
      <c r="C2237" s="187"/>
      <c r="D2237" s="187"/>
      <c r="E2237" s="187"/>
      <c r="F2237" s="187"/>
      <c r="G2237" s="187"/>
      <c r="J2237" s="186"/>
      <c r="K2237" s="180"/>
      <c r="L2237" s="180"/>
    </row>
    <row r="2238" spans="2:12" s="188" customFormat="1" ht="15" customHeight="1">
      <c r="B2238" s="187"/>
      <c r="C2238" s="187"/>
      <c r="D2238" s="187"/>
      <c r="E2238" s="187"/>
      <c r="F2238" s="187"/>
      <c r="G2238" s="187"/>
      <c r="J2238" s="186"/>
      <c r="K2238" s="180"/>
      <c r="L2238" s="180"/>
    </row>
    <row r="2239" spans="2:12" s="188" customFormat="1" ht="15" customHeight="1">
      <c r="B2239" s="187"/>
      <c r="C2239" s="187"/>
      <c r="D2239" s="187"/>
      <c r="E2239" s="187"/>
      <c r="F2239" s="187"/>
      <c r="G2239" s="187"/>
      <c r="J2239" s="186"/>
      <c r="K2239" s="180"/>
      <c r="L2239" s="180"/>
    </row>
    <row r="2240" spans="2:12" s="188" customFormat="1" ht="15" customHeight="1">
      <c r="B2240" s="187"/>
      <c r="C2240" s="187"/>
      <c r="D2240" s="187"/>
      <c r="E2240" s="187"/>
      <c r="F2240" s="187"/>
      <c r="G2240" s="187"/>
      <c r="J2240" s="186"/>
      <c r="K2240" s="180"/>
      <c r="L2240" s="180"/>
    </row>
    <row r="2241" spans="2:12" s="188" customFormat="1" ht="15" customHeight="1">
      <c r="B2241" s="187"/>
      <c r="C2241" s="187"/>
      <c r="D2241" s="187"/>
      <c r="E2241" s="187"/>
      <c r="F2241" s="187"/>
      <c r="G2241" s="187"/>
      <c r="J2241" s="186"/>
      <c r="K2241" s="180"/>
      <c r="L2241" s="180"/>
    </row>
    <row r="2242" spans="2:12" s="188" customFormat="1" ht="15" customHeight="1">
      <c r="B2242" s="187"/>
      <c r="C2242" s="187"/>
      <c r="D2242" s="187"/>
      <c r="E2242" s="187"/>
      <c r="F2242" s="187"/>
      <c r="G2242" s="187"/>
      <c r="J2242" s="186"/>
      <c r="K2242" s="180"/>
      <c r="L2242" s="180"/>
    </row>
    <row r="2243" spans="2:12" s="188" customFormat="1" ht="15" customHeight="1">
      <c r="B2243" s="187"/>
      <c r="C2243" s="187"/>
      <c r="D2243" s="187"/>
      <c r="E2243" s="187"/>
      <c r="F2243" s="187"/>
      <c r="G2243" s="187"/>
      <c r="J2243" s="186"/>
      <c r="K2243" s="180"/>
      <c r="L2243" s="180"/>
    </row>
    <row r="2244" spans="2:12" s="188" customFormat="1" ht="15" customHeight="1">
      <c r="B2244" s="187"/>
      <c r="C2244" s="187"/>
      <c r="D2244" s="187"/>
      <c r="E2244" s="187"/>
      <c r="F2244" s="187"/>
      <c r="G2244" s="187"/>
      <c r="J2244" s="186"/>
      <c r="K2244" s="180"/>
      <c r="L2244" s="180"/>
    </row>
    <row r="2245" spans="2:12" s="188" customFormat="1" ht="15" customHeight="1">
      <c r="B2245" s="187"/>
      <c r="C2245" s="187"/>
      <c r="D2245" s="187"/>
      <c r="E2245" s="187"/>
      <c r="F2245" s="187"/>
      <c r="G2245" s="187"/>
      <c r="J2245" s="186"/>
      <c r="K2245" s="180"/>
      <c r="L2245" s="180"/>
    </row>
    <row r="2246" spans="2:12" s="188" customFormat="1" ht="15" customHeight="1">
      <c r="B2246" s="187"/>
      <c r="C2246" s="187"/>
      <c r="D2246" s="187"/>
      <c r="E2246" s="187"/>
      <c r="F2246" s="187"/>
      <c r="G2246" s="187"/>
      <c r="J2246" s="186"/>
      <c r="K2246" s="180"/>
      <c r="L2246" s="180"/>
    </row>
    <row r="2247" spans="2:12" s="188" customFormat="1" ht="15" customHeight="1">
      <c r="B2247" s="187"/>
      <c r="C2247" s="187"/>
      <c r="D2247" s="187"/>
      <c r="E2247" s="187"/>
      <c r="F2247" s="187"/>
      <c r="G2247" s="187"/>
      <c r="J2247" s="186"/>
      <c r="K2247" s="180"/>
      <c r="L2247" s="180"/>
    </row>
    <row r="2248" spans="2:12" s="188" customFormat="1" ht="15" customHeight="1">
      <c r="B2248" s="187"/>
      <c r="C2248" s="187"/>
      <c r="D2248" s="187"/>
      <c r="E2248" s="187"/>
      <c r="F2248" s="187"/>
      <c r="G2248" s="187"/>
      <c r="J2248" s="186"/>
      <c r="K2248" s="180"/>
      <c r="L2248" s="180"/>
    </row>
    <row r="2249" spans="2:12" s="188" customFormat="1" ht="15" customHeight="1">
      <c r="B2249" s="187"/>
      <c r="C2249" s="187"/>
      <c r="D2249" s="187"/>
      <c r="E2249" s="187"/>
      <c r="F2249" s="187"/>
      <c r="G2249" s="187"/>
      <c r="J2249" s="186"/>
      <c r="K2249" s="180"/>
      <c r="L2249" s="180"/>
    </row>
    <row r="2250" spans="2:12" s="188" customFormat="1" ht="15" customHeight="1">
      <c r="B2250" s="187"/>
      <c r="C2250" s="187"/>
      <c r="D2250" s="187"/>
      <c r="E2250" s="187"/>
      <c r="F2250" s="187"/>
      <c r="G2250" s="187"/>
      <c r="J2250" s="186"/>
      <c r="K2250" s="180"/>
      <c r="L2250" s="180"/>
    </row>
    <row r="2251" spans="2:12" s="188" customFormat="1" ht="15" customHeight="1">
      <c r="B2251" s="187"/>
      <c r="C2251" s="187"/>
      <c r="D2251" s="187"/>
      <c r="E2251" s="187"/>
      <c r="F2251" s="187"/>
      <c r="G2251" s="187"/>
      <c r="J2251" s="186"/>
      <c r="K2251" s="180"/>
      <c r="L2251" s="180"/>
    </row>
    <row r="2252" spans="2:12" s="188" customFormat="1" ht="15" customHeight="1">
      <c r="B2252" s="187"/>
      <c r="C2252" s="187"/>
      <c r="D2252" s="187"/>
      <c r="E2252" s="187"/>
      <c r="F2252" s="187"/>
      <c r="G2252" s="187"/>
      <c r="J2252" s="186"/>
      <c r="K2252" s="180"/>
      <c r="L2252" s="180"/>
    </row>
    <row r="2253" spans="2:12" s="188" customFormat="1" ht="15" customHeight="1">
      <c r="B2253" s="187"/>
      <c r="C2253" s="187"/>
      <c r="D2253" s="187"/>
      <c r="E2253" s="187"/>
      <c r="F2253" s="187"/>
      <c r="G2253" s="187"/>
      <c r="J2253" s="186"/>
      <c r="K2253" s="180"/>
      <c r="L2253" s="180"/>
    </row>
    <row r="2254" spans="2:12" s="188" customFormat="1" ht="15" customHeight="1">
      <c r="B2254" s="187"/>
      <c r="C2254" s="187"/>
      <c r="D2254" s="187"/>
      <c r="E2254" s="187"/>
      <c r="F2254" s="187"/>
      <c r="G2254" s="187"/>
      <c r="J2254" s="186"/>
      <c r="K2254" s="180"/>
      <c r="L2254" s="180"/>
    </row>
    <row r="2255" spans="2:12" s="188" customFormat="1" ht="15" customHeight="1">
      <c r="B2255" s="187"/>
      <c r="C2255" s="187"/>
      <c r="D2255" s="187"/>
      <c r="E2255" s="187"/>
      <c r="F2255" s="187"/>
      <c r="G2255" s="187"/>
      <c r="J2255" s="186"/>
      <c r="K2255" s="180"/>
      <c r="L2255" s="180"/>
    </row>
    <row r="2256" spans="2:12" s="188" customFormat="1" ht="15" customHeight="1">
      <c r="B2256" s="187"/>
      <c r="C2256" s="187"/>
      <c r="D2256" s="187"/>
      <c r="E2256" s="187"/>
      <c r="F2256" s="187"/>
      <c r="G2256" s="187"/>
      <c r="J2256" s="186"/>
      <c r="K2256" s="180"/>
      <c r="L2256" s="180"/>
    </row>
    <row r="2257" spans="2:12" s="188" customFormat="1" ht="15" customHeight="1">
      <c r="B2257" s="187"/>
      <c r="C2257" s="187"/>
      <c r="D2257" s="187"/>
      <c r="E2257" s="187"/>
      <c r="F2257" s="187"/>
      <c r="G2257" s="187"/>
      <c r="J2257" s="186"/>
      <c r="K2257" s="180"/>
      <c r="L2257" s="180"/>
    </row>
    <row r="2258" spans="2:12" s="188" customFormat="1" ht="15" customHeight="1">
      <c r="B2258" s="187"/>
      <c r="C2258" s="187"/>
      <c r="D2258" s="187"/>
      <c r="E2258" s="187"/>
      <c r="F2258" s="187"/>
      <c r="G2258" s="187"/>
      <c r="J2258" s="186"/>
      <c r="K2258" s="180"/>
      <c r="L2258" s="180"/>
    </row>
    <row r="2259" spans="2:12" s="188" customFormat="1" ht="15" customHeight="1">
      <c r="B2259" s="187"/>
      <c r="C2259" s="187"/>
      <c r="D2259" s="187"/>
      <c r="E2259" s="187"/>
      <c r="F2259" s="187"/>
      <c r="G2259" s="187"/>
      <c r="J2259" s="186"/>
      <c r="K2259" s="180"/>
      <c r="L2259" s="180"/>
    </row>
    <row r="2260" spans="2:12" s="188" customFormat="1" ht="15" customHeight="1">
      <c r="B2260" s="187"/>
      <c r="C2260" s="187"/>
      <c r="D2260" s="187"/>
      <c r="E2260" s="187"/>
      <c r="F2260" s="187"/>
      <c r="G2260" s="187"/>
      <c r="J2260" s="186"/>
      <c r="K2260" s="180"/>
      <c r="L2260" s="180"/>
    </row>
    <row r="2261" spans="2:12" s="188" customFormat="1" ht="15" customHeight="1">
      <c r="B2261" s="187"/>
      <c r="C2261" s="187"/>
      <c r="D2261" s="187"/>
      <c r="E2261" s="187"/>
      <c r="F2261" s="187"/>
      <c r="G2261" s="187"/>
      <c r="J2261" s="186"/>
      <c r="K2261" s="180"/>
      <c r="L2261" s="180"/>
    </row>
    <row r="2262" spans="2:12" s="188" customFormat="1" ht="15" customHeight="1">
      <c r="B2262" s="187"/>
      <c r="C2262" s="187"/>
      <c r="D2262" s="187"/>
      <c r="E2262" s="187"/>
      <c r="F2262" s="187"/>
      <c r="G2262" s="187"/>
      <c r="J2262" s="186"/>
      <c r="K2262" s="180"/>
      <c r="L2262" s="180"/>
    </row>
    <row r="2263" spans="2:12" s="188" customFormat="1" ht="15" customHeight="1">
      <c r="B2263" s="187"/>
      <c r="C2263" s="187"/>
      <c r="D2263" s="187"/>
      <c r="E2263" s="187"/>
      <c r="F2263" s="187"/>
      <c r="G2263" s="187"/>
      <c r="J2263" s="186"/>
      <c r="K2263" s="180"/>
      <c r="L2263" s="180"/>
    </row>
    <row r="2264" spans="2:12" s="188" customFormat="1" ht="15" customHeight="1">
      <c r="B2264" s="187"/>
      <c r="C2264" s="187"/>
      <c r="D2264" s="187"/>
      <c r="E2264" s="187"/>
      <c r="F2264" s="187"/>
      <c r="G2264" s="187"/>
      <c r="J2264" s="186"/>
      <c r="K2264" s="180"/>
      <c r="L2264" s="180"/>
    </row>
    <row r="2265" spans="2:12" s="188" customFormat="1" ht="15" customHeight="1">
      <c r="B2265" s="187"/>
      <c r="C2265" s="187"/>
      <c r="D2265" s="187"/>
      <c r="E2265" s="187"/>
      <c r="F2265" s="187"/>
      <c r="G2265" s="187"/>
      <c r="J2265" s="186"/>
      <c r="K2265" s="180"/>
      <c r="L2265" s="180"/>
    </row>
    <row r="2266" spans="2:12" s="188" customFormat="1" ht="15" customHeight="1">
      <c r="B2266" s="187"/>
      <c r="C2266" s="187"/>
      <c r="D2266" s="187"/>
      <c r="E2266" s="187"/>
      <c r="F2266" s="187"/>
      <c r="G2266" s="187"/>
      <c r="J2266" s="186"/>
      <c r="K2266" s="180"/>
      <c r="L2266" s="180"/>
    </row>
    <row r="2267" spans="2:12" s="188" customFormat="1" ht="15" customHeight="1">
      <c r="B2267" s="187"/>
      <c r="C2267" s="187"/>
      <c r="D2267" s="187"/>
      <c r="E2267" s="187"/>
      <c r="F2267" s="187"/>
      <c r="G2267" s="187"/>
      <c r="J2267" s="186"/>
      <c r="K2267" s="180"/>
      <c r="L2267" s="180"/>
    </row>
    <row r="2268" spans="2:12" s="188" customFormat="1" ht="15" customHeight="1">
      <c r="B2268" s="187"/>
      <c r="C2268" s="187"/>
      <c r="D2268" s="187"/>
      <c r="E2268" s="187"/>
      <c r="F2268" s="187"/>
      <c r="G2268" s="187"/>
      <c r="J2268" s="186"/>
      <c r="K2268" s="180"/>
      <c r="L2268" s="180"/>
    </row>
    <row r="2269" spans="2:12" s="188" customFormat="1" ht="15" customHeight="1">
      <c r="B2269" s="187"/>
      <c r="C2269" s="187"/>
      <c r="D2269" s="187"/>
      <c r="E2269" s="187"/>
      <c r="F2269" s="187"/>
      <c r="G2269" s="187"/>
      <c r="J2269" s="186"/>
      <c r="K2269" s="180"/>
      <c r="L2269" s="180"/>
    </row>
    <row r="2270" spans="2:12" s="188" customFormat="1" ht="15" customHeight="1">
      <c r="B2270" s="187"/>
      <c r="C2270" s="187"/>
      <c r="D2270" s="187"/>
      <c r="E2270" s="187"/>
      <c r="F2270" s="187"/>
      <c r="G2270" s="187"/>
      <c r="J2270" s="186"/>
      <c r="K2270" s="180"/>
      <c r="L2270" s="180"/>
    </row>
    <row r="2271" spans="2:12" s="188" customFormat="1" ht="15" customHeight="1">
      <c r="B2271" s="187"/>
      <c r="C2271" s="187"/>
      <c r="D2271" s="187"/>
      <c r="E2271" s="187"/>
      <c r="F2271" s="187"/>
      <c r="G2271" s="187"/>
      <c r="J2271" s="186"/>
      <c r="K2271" s="180"/>
      <c r="L2271" s="180"/>
    </row>
    <row r="2272" spans="2:12" s="188" customFormat="1" ht="15" customHeight="1">
      <c r="B2272" s="187"/>
      <c r="C2272" s="187"/>
      <c r="D2272" s="187"/>
      <c r="E2272" s="187"/>
      <c r="F2272" s="187"/>
      <c r="G2272" s="187"/>
      <c r="J2272" s="186"/>
      <c r="K2272" s="180"/>
      <c r="L2272" s="180"/>
    </row>
    <row r="2273" spans="2:12" s="188" customFormat="1" ht="15" customHeight="1">
      <c r="B2273" s="187"/>
      <c r="C2273" s="187"/>
      <c r="D2273" s="187"/>
      <c r="E2273" s="187"/>
      <c r="F2273" s="187"/>
      <c r="G2273" s="187"/>
      <c r="J2273" s="186"/>
      <c r="K2273" s="180"/>
      <c r="L2273" s="180"/>
    </row>
    <row r="2274" spans="2:12" s="188" customFormat="1" ht="15" customHeight="1">
      <c r="B2274" s="187"/>
      <c r="C2274" s="187"/>
      <c r="D2274" s="187"/>
      <c r="E2274" s="187"/>
      <c r="F2274" s="187"/>
      <c r="G2274" s="187"/>
      <c r="J2274" s="186"/>
      <c r="K2274" s="180"/>
      <c r="L2274" s="180"/>
    </row>
    <row r="2275" spans="2:12" s="188" customFormat="1" ht="15" customHeight="1">
      <c r="B2275" s="187"/>
      <c r="C2275" s="187"/>
      <c r="D2275" s="187"/>
      <c r="E2275" s="187"/>
      <c r="F2275" s="187"/>
      <c r="G2275" s="187"/>
      <c r="J2275" s="186"/>
      <c r="K2275" s="180"/>
      <c r="L2275" s="180"/>
    </row>
    <row r="2276" spans="2:12" s="188" customFormat="1" ht="15" customHeight="1">
      <c r="B2276" s="187"/>
      <c r="C2276" s="187"/>
      <c r="D2276" s="187"/>
      <c r="E2276" s="187"/>
      <c r="F2276" s="187"/>
      <c r="G2276" s="187"/>
      <c r="J2276" s="186"/>
      <c r="K2276" s="180"/>
      <c r="L2276" s="180"/>
    </row>
    <row r="2277" spans="2:12" s="188" customFormat="1" ht="15" customHeight="1">
      <c r="B2277" s="187"/>
      <c r="C2277" s="187"/>
      <c r="D2277" s="187"/>
      <c r="E2277" s="187"/>
      <c r="F2277" s="187"/>
      <c r="G2277" s="187"/>
      <c r="J2277" s="186"/>
      <c r="K2277" s="180"/>
      <c r="L2277" s="180"/>
    </row>
    <row r="2278" spans="2:12" s="188" customFormat="1" ht="15" customHeight="1">
      <c r="B2278" s="187"/>
      <c r="C2278" s="187"/>
      <c r="D2278" s="187"/>
      <c r="E2278" s="187"/>
      <c r="F2278" s="187"/>
      <c r="G2278" s="187"/>
      <c r="J2278" s="186"/>
      <c r="K2278" s="180"/>
      <c r="L2278" s="180"/>
    </row>
    <row r="2279" spans="2:12" s="188" customFormat="1" ht="15" customHeight="1">
      <c r="B2279" s="187"/>
      <c r="C2279" s="187"/>
      <c r="D2279" s="187"/>
      <c r="E2279" s="187"/>
      <c r="F2279" s="187"/>
      <c r="G2279" s="187"/>
      <c r="J2279" s="186"/>
      <c r="K2279" s="180"/>
      <c r="L2279" s="180"/>
    </row>
    <row r="2280" spans="2:12" s="188" customFormat="1" ht="15" customHeight="1">
      <c r="B2280" s="187"/>
      <c r="C2280" s="187"/>
      <c r="D2280" s="187"/>
      <c r="E2280" s="187"/>
      <c r="F2280" s="187"/>
      <c r="G2280" s="187"/>
      <c r="J2280" s="186"/>
      <c r="K2280" s="180"/>
      <c r="L2280" s="180"/>
    </row>
    <row r="2281" spans="2:12" s="188" customFormat="1" ht="15" customHeight="1">
      <c r="B2281" s="187"/>
      <c r="C2281" s="187"/>
      <c r="D2281" s="187"/>
      <c r="E2281" s="187"/>
      <c r="F2281" s="187"/>
      <c r="G2281" s="187"/>
      <c r="J2281" s="186"/>
      <c r="K2281" s="180"/>
      <c r="L2281" s="180"/>
    </row>
    <row r="2282" spans="2:12" s="188" customFormat="1" ht="15" customHeight="1">
      <c r="B2282" s="187"/>
      <c r="C2282" s="187"/>
      <c r="D2282" s="187"/>
      <c r="E2282" s="187"/>
      <c r="F2282" s="187"/>
      <c r="G2282" s="187"/>
      <c r="J2282" s="186"/>
      <c r="K2282" s="180"/>
      <c r="L2282" s="180"/>
    </row>
    <row r="2283" spans="2:12" s="188" customFormat="1" ht="15" customHeight="1">
      <c r="B2283" s="187"/>
      <c r="C2283" s="187"/>
      <c r="D2283" s="187"/>
      <c r="E2283" s="187"/>
      <c r="F2283" s="187"/>
      <c r="G2283" s="187"/>
      <c r="J2283" s="186"/>
      <c r="K2283" s="180"/>
      <c r="L2283" s="180"/>
    </row>
    <row r="2284" spans="2:12" s="188" customFormat="1" ht="15" customHeight="1">
      <c r="B2284" s="187"/>
      <c r="C2284" s="187"/>
      <c r="D2284" s="187"/>
      <c r="E2284" s="187"/>
      <c r="F2284" s="187"/>
      <c r="G2284" s="187"/>
      <c r="J2284" s="186"/>
      <c r="K2284" s="180"/>
      <c r="L2284" s="180"/>
    </row>
    <row r="2285" spans="2:12" s="188" customFormat="1" ht="15" customHeight="1">
      <c r="B2285" s="187"/>
      <c r="C2285" s="187"/>
      <c r="D2285" s="187"/>
      <c r="E2285" s="187"/>
      <c r="F2285" s="187"/>
      <c r="G2285" s="187"/>
      <c r="J2285" s="186"/>
      <c r="K2285" s="180"/>
      <c r="L2285" s="180"/>
    </row>
    <row r="2286" spans="2:12" s="188" customFormat="1" ht="15" customHeight="1">
      <c r="B2286" s="187"/>
      <c r="C2286" s="187"/>
      <c r="D2286" s="187"/>
      <c r="E2286" s="187"/>
      <c r="F2286" s="187"/>
      <c r="G2286" s="187"/>
      <c r="J2286" s="186"/>
      <c r="K2286" s="180"/>
      <c r="L2286" s="180"/>
    </row>
    <row r="2287" spans="2:12" s="188" customFormat="1" ht="15" customHeight="1">
      <c r="B2287" s="187"/>
      <c r="C2287" s="187"/>
      <c r="D2287" s="187"/>
      <c r="E2287" s="187"/>
      <c r="F2287" s="187"/>
      <c r="G2287" s="187"/>
      <c r="J2287" s="186"/>
      <c r="K2287" s="180"/>
      <c r="L2287" s="180"/>
    </row>
    <row r="2288" spans="2:12" s="188" customFormat="1" ht="15" customHeight="1">
      <c r="B2288" s="187"/>
      <c r="C2288" s="187"/>
      <c r="D2288" s="187"/>
      <c r="E2288" s="187"/>
      <c r="F2288" s="187"/>
      <c r="G2288" s="187"/>
      <c r="J2288" s="186"/>
      <c r="K2288" s="180"/>
      <c r="L2288" s="180"/>
    </row>
    <row r="2289" spans="2:12" s="188" customFormat="1" ht="15" customHeight="1">
      <c r="B2289" s="187"/>
      <c r="C2289" s="187"/>
      <c r="D2289" s="187"/>
      <c r="E2289" s="187"/>
      <c r="F2289" s="187"/>
      <c r="G2289" s="187"/>
      <c r="J2289" s="186"/>
      <c r="K2289" s="180"/>
      <c r="L2289" s="180"/>
    </row>
    <row r="2290" spans="2:12" s="188" customFormat="1" ht="15" customHeight="1">
      <c r="B2290" s="187"/>
      <c r="C2290" s="187"/>
      <c r="D2290" s="187"/>
      <c r="E2290" s="187"/>
      <c r="F2290" s="187"/>
      <c r="G2290" s="187"/>
      <c r="J2290" s="186"/>
      <c r="K2290" s="180"/>
      <c r="L2290" s="180"/>
    </row>
    <row r="2291" spans="2:12" s="188" customFormat="1" ht="15" customHeight="1">
      <c r="B2291" s="187"/>
      <c r="C2291" s="187"/>
      <c r="D2291" s="187"/>
      <c r="E2291" s="187"/>
      <c r="F2291" s="187"/>
      <c r="G2291" s="187"/>
      <c r="J2291" s="186"/>
      <c r="K2291" s="180"/>
      <c r="L2291" s="180"/>
    </row>
    <row r="2292" spans="2:12" s="188" customFormat="1" ht="15" customHeight="1">
      <c r="B2292" s="187"/>
      <c r="C2292" s="187"/>
      <c r="D2292" s="187"/>
      <c r="E2292" s="187"/>
      <c r="F2292" s="187"/>
      <c r="G2292" s="187"/>
      <c r="J2292" s="186"/>
      <c r="K2292" s="180"/>
      <c r="L2292" s="180"/>
    </row>
    <row r="2293" spans="2:12" s="188" customFormat="1" ht="15" customHeight="1">
      <c r="B2293" s="187"/>
      <c r="C2293" s="187"/>
      <c r="D2293" s="187"/>
      <c r="E2293" s="187"/>
      <c r="F2293" s="187"/>
      <c r="G2293" s="187"/>
      <c r="J2293" s="186"/>
      <c r="K2293" s="180"/>
      <c r="L2293" s="180"/>
    </row>
    <row r="2294" spans="2:12" s="188" customFormat="1" ht="15" customHeight="1">
      <c r="B2294" s="187"/>
      <c r="C2294" s="187"/>
      <c r="D2294" s="187"/>
      <c r="E2294" s="187"/>
      <c r="F2294" s="187"/>
      <c r="G2294" s="187"/>
      <c r="J2294" s="186"/>
      <c r="K2294" s="180"/>
      <c r="L2294" s="180"/>
    </row>
    <row r="2295" spans="2:12" s="188" customFormat="1" ht="15" customHeight="1">
      <c r="B2295" s="187"/>
      <c r="C2295" s="187"/>
      <c r="D2295" s="187"/>
      <c r="E2295" s="187"/>
      <c r="F2295" s="187"/>
      <c r="G2295" s="187"/>
      <c r="J2295" s="186"/>
      <c r="K2295" s="180"/>
      <c r="L2295" s="180"/>
    </row>
    <row r="2296" spans="2:12" s="188" customFormat="1" ht="15" customHeight="1">
      <c r="B2296" s="187"/>
      <c r="C2296" s="187"/>
      <c r="D2296" s="187"/>
      <c r="E2296" s="187"/>
      <c r="F2296" s="187"/>
      <c r="G2296" s="187"/>
      <c r="J2296" s="186"/>
      <c r="K2296" s="180"/>
      <c r="L2296" s="180"/>
    </row>
    <row r="2297" spans="2:12" s="188" customFormat="1" ht="15" customHeight="1">
      <c r="B2297" s="187"/>
      <c r="C2297" s="187"/>
      <c r="D2297" s="187"/>
      <c r="E2297" s="187"/>
      <c r="F2297" s="187"/>
      <c r="G2297" s="187"/>
      <c r="J2297" s="186"/>
      <c r="K2297" s="180"/>
      <c r="L2297" s="180"/>
    </row>
    <row r="2298" spans="2:12" s="188" customFormat="1" ht="15" customHeight="1">
      <c r="B2298" s="187"/>
      <c r="C2298" s="187"/>
      <c r="D2298" s="187"/>
      <c r="E2298" s="187"/>
      <c r="F2298" s="187"/>
      <c r="G2298" s="187"/>
      <c r="J2298" s="186"/>
      <c r="K2298" s="180"/>
      <c r="L2298" s="180"/>
    </row>
    <row r="2299" spans="2:12" s="188" customFormat="1" ht="15" customHeight="1">
      <c r="B2299" s="187"/>
      <c r="C2299" s="187"/>
      <c r="D2299" s="187"/>
      <c r="E2299" s="187"/>
      <c r="F2299" s="187"/>
      <c r="G2299" s="187"/>
      <c r="J2299" s="186"/>
      <c r="K2299" s="180"/>
      <c r="L2299" s="180"/>
    </row>
    <row r="2300" spans="2:12" s="188" customFormat="1" ht="15" customHeight="1">
      <c r="B2300" s="187"/>
      <c r="C2300" s="187"/>
      <c r="D2300" s="187"/>
      <c r="E2300" s="187"/>
      <c r="F2300" s="187"/>
      <c r="G2300" s="187"/>
      <c r="J2300" s="186"/>
      <c r="K2300" s="180"/>
      <c r="L2300" s="180"/>
    </row>
    <row r="2301" spans="2:12" s="188" customFormat="1" ht="15" customHeight="1">
      <c r="B2301" s="187"/>
      <c r="C2301" s="187"/>
      <c r="D2301" s="187"/>
      <c r="E2301" s="187"/>
      <c r="F2301" s="187"/>
      <c r="G2301" s="187"/>
      <c r="J2301" s="186"/>
      <c r="K2301" s="180"/>
      <c r="L2301" s="180"/>
    </row>
    <row r="2302" spans="2:12" s="188" customFormat="1" ht="15" customHeight="1">
      <c r="B2302" s="187"/>
      <c r="C2302" s="187"/>
      <c r="D2302" s="187"/>
      <c r="E2302" s="187"/>
      <c r="F2302" s="187"/>
      <c r="G2302" s="187"/>
      <c r="J2302" s="186"/>
      <c r="K2302" s="180"/>
      <c r="L2302" s="180"/>
    </row>
    <row r="2303" spans="2:12" s="188" customFormat="1" ht="15" customHeight="1">
      <c r="B2303" s="187"/>
      <c r="C2303" s="187"/>
      <c r="D2303" s="187"/>
      <c r="E2303" s="187"/>
      <c r="F2303" s="187"/>
      <c r="G2303" s="187"/>
      <c r="J2303" s="186"/>
      <c r="K2303" s="180"/>
      <c r="L2303" s="180"/>
    </row>
    <row r="2304" spans="2:12" s="188" customFormat="1" ht="15" customHeight="1">
      <c r="B2304" s="187"/>
      <c r="C2304" s="187"/>
      <c r="D2304" s="187"/>
      <c r="E2304" s="187"/>
      <c r="F2304" s="187"/>
      <c r="G2304" s="187"/>
      <c r="J2304" s="186"/>
      <c r="K2304" s="180"/>
      <c r="L2304" s="180"/>
    </row>
    <row r="2305" spans="2:12" s="188" customFormat="1" ht="15" customHeight="1">
      <c r="B2305" s="187"/>
      <c r="C2305" s="187"/>
      <c r="D2305" s="187"/>
      <c r="E2305" s="187"/>
      <c r="F2305" s="187"/>
      <c r="G2305" s="187"/>
      <c r="J2305" s="186"/>
      <c r="K2305" s="180"/>
      <c r="L2305" s="180"/>
    </row>
    <row r="2306" spans="2:12" s="188" customFormat="1" ht="15" customHeight="1">
      <c r="B2306" s="187"/>
      <c r="C2306" s="187"/>
      <c r="D2306" s="187"/>
      <c r="E2306" s="187"/>
      <c r="F2306" s="187"/>
      <c r="G2306" s="187"/>
      <c r="J2306" s="186"/>
      <c r="K2306" s="180"/>
      <c r="L2306" s="180"/>
    </row>
    <row r="2307" spans="2:12" s="188" customFormat="1" ht="15" customHeight="1">
      <c r="B2307" s="187"/>
      <c r="C2307" s="187"/>
      <c r="D2307" s="187"/>
      <c r="E2307" s="187"/>
      <c r="F2307" s="187"/>
      <c r="G2307" s="187"/>
      <c r="J2307" s="186"/>
      <c r="K2307" s="180"/>
      <c r="L2307" s="180"/>
    </row>
    <row r="2308" spans="2:12" s="188" customFormat="1" ht="15" customHeight="1">
      <c r="B2308" s="187"/>
      <c r="C2308" s="187"/>
      <c r="D2308" s="187"/>
      <c r="E2308" s="187"/>
      <c r="F2308" s="187"/>
      <c r="G2308" s="187"/>
      <c r="J2308" s="186"/>
      <c r="K2308" s="180"/>
      <c r="L2308" s="180"/>
    </row>
    <row r="2309" spans="2:12" s="188" customFormat="1" ht="15" customHeight="1">
      <c r="B2309" s="187"/>
      <c r="C2309" s="187"/>
      <c r="D2309" s="187"/>
      <c r="E2309" s="187"/>
      <c r="F2309" s="187"/>
      <c r="G2309" s="187"/>
      <c r="J2309" s="186"/>
      <c r="K2309" s="180"/>
      <c r="L2309" s="180"/>
    </row>
    <row r="2310" spans="2:12" s="188" customFormat="1" ht="15" customHeight="1">
      <c r="B2310" s="187"/>
      <c r="C2310" s="187"/>
      <c r="D2310" s="187"/>
      <c r="E2310" s="187"/>
      <c r="F2310" s="187"/>
      <c r="G2310" s="187"/>
      <c r="J2310" s="186"/>
      <c r="K2310" s="180"/>
      <c r="L2310" s="180"/>
    </row>
    <row r="2311" spans="2:12" s="188" customFormat="1" ht="15" customHeight="1">
      <c r="B2311" s="187"/>
      <c r="C2311" s="187"/>
      <c r="D2311" s="187"/>
      <c r="E2311" s="187"/>
      <c r="F2311" s="187"/>
      <c r="G2311" s="187"/>
      <c r="J2311" s="186"/>
      <c r="K2311" s="180"/>
      <c r="L2311" s="180"/>
    </row>
    <row r="2312" spans="2:12" s="188" customFormat="1" ht="15" customHeight="1">
      <c r="B2312" s="187"/>
      <c r="C2312" s="187"/>
      <c r="D2312" s="187"/>
      <c r="E2312" s="187"/>
      <c r="F2312" s="187"/>
      <c r="G2312" s="187"/>
      <c r="J2312" s="186"/>
      <c r="K2312" s="180"/>
      <c r="L2312" s="180"/>
    </row>
    <row r="2313" spans="2:12" s="188" customFormat="1" ht="15" customHeight="1">
      <c r="B2313" s="187"/>
      <c r="C2313" s="187"/>
      <c r="D2313" s="187"/>
      <c r="E2313" s="187"/>
      <c r="F2313" s="187"/>
      <c r="G2313" s="187"/>
      <c r="J2313" s="186"/>
      <c r="K2313" s="180"/>
      <c r="L2313" s="180"/>
    </row>
    <row r="2314" spans="2:12" s="188" customFormat="1" ht="15" customHeight="1">
      <c r="B2314" s="187"/>
      <c r="C2314" s="187"/>
      <c r="D2314" s="187"/>
      <c r="E2314" s="187"/>
      <c r="F2314" s="187"/>
      <c r="G2314" s="187"/>
      <c r="J2314" s="186"/>
      <c r="K2314" s="180"/>
      <c r="L2314" s="180"/>
    </row>
    <row r="2315" spans="2:12" s="188" customFormat="1" ht="15" customHeight="1">
      <c r="B2315" s="187"/>
      <c r="C2315" s="187"/>
      <c r="D2315" s="187"/>
      <c r="E2315" s="187"/>
      <c r="F2315" s="187"/>
      <c r="G2315" s="187"/>
      <c r="J2315" s="186"/>
      <c r="K2315" s="180"/>
      <c r="L2315" s="180"/>
    </row>
    <row r="2316" spans="2:12" s="188" customFormat="1" ht="15" customHeight="1">
      <c r="B2316" s="187"/>
      <c r="C2316" s="187"/>
      <c r="D2316" s="187"/>
      <c r="E2316" s="187"/>
      <c r="F2316" s="187"/>
      <c r="G2316" s="187"/>
      <c r="J2316" s="186"/>
      <c r="K2316" s="180"/>
      <c r="L2316" s="180"/>
    </row>
    <row r="2317" spans="2:12" s="188" customFormat="1" ht="15" customHeight="1">
      <c r="B2317" s="187"/>
      <c r="C2317" s="187"/>
      <c r="D2317" s="187"/>
      <c r="E2317" s="187"/>
      <c r="F2317" s="187"/>
      <c r="G2317" s="187"/>
      <c r="J2317" s="186"/>
      <c r="K2317" s="180"/>
      <c r="L2317" s="180"/>
    </row>
    <row r="2318" spans="2:12" s="188" customFormat="1" ht="15" customHeight="1">
      <c r="B2318" s="187"/>
      <c r="C2318" s="187"/>
      <c r="D2318" s="187"/>
      <c r="E2318" s="187"/>
      <c r="F2318" s="187"/>
      <c r="G2318" s="187"/>
      <c r="J2318" s="186"/>
      <c r="K2318" s="180"/>
      <c r="L2318" s="180"/>
    </row>
    <row r="2319" spans="2:12" s="188" customFormat="1" ht="15" customHeight="1">
      <c r="B2319" s="187"/>
      <c r="C2319" s="187"/>
      <c r="D2319" s="187"/>
      <c r="E2319" s="187"/>
      <c r="F2319" s="187"/>
      <c r="G2319" s="187"/>
      <c r="J2319" s="186"/>
      <c r="K2319" s="180"/>
      <c r="L2319" s="180"/>
    </row>
    <row r="2320" spans="2:12" s="188" customFormat="1" ht="15" customHeight="1">
      <c r="B2320" s="187"/>
      <c r="C2320" s="187"/>
      <c r="D2320" s="187"/>
      <c r="E2320" s="187"/>
      <c r="F2320" s="187"/>
      <c r="G2320" s="187"/>
      <c r="J2320" s="186"/>
      <c r="K2320" s="180"/>
      <c r="L2320" s="180"/>
    </row>
    <row r="2321" spans="2:12" s="188" customFormat="1" ht="15" customHeight="1">
      <c r="B2321" s="187"/>
      <c r="C2321" s="187"/>
      <c r="D2321" s="187"/>
      <c r="E2321" s="187"/>
      <c r="F2321" s="187"/>
      <c r="G2321" s="187"/>
      <c r="J2321" s="186"/>
      <c r="K2321" s="180"/>
      <c r="L2321" s="180"/>
    </row>
    <row r="2322" spans="2:12" s="188" customFormat="1" ht="15" customHeight="1">
      <c r="B2322" s="187"/>
      <c r="C2322" s="187"/>
      <c r="D2322" s="187"/>
      <c r="E2322" s="187"/>
      <c r="F2322" s="187"/>
      <c r="G2322" s="187"/>
      <c r="J2322" s="186"/>
      <c r="K2322" s="180"/>
      <c r="L2322" s="180"/>
    </row>
    <row r="2323" spans="2:12" s="188" customFormat="1" ht="15" customHeight="1">
      <c r="B2323" s="187"/>
      <c r="C2323" s="187"/>
      <c r="D2323" s="187"/>
      <c r="E2323" s="187"/>
      <c r="F2323" s="187"/>
      <c r="G2323" s="187"/>
      <c r="J2323" s="186"/>
      <c r="K2323" s="180"/>
      <c r="L2323" s="180"/>
    </row>
    <row r="2324" spans="2:12" s="188" customFormat="1" ht="15" customHeight="1">
      <c r="B2324" s="187"/>
      <c r="C2324" s="187"/>
      <c r="D2324" s="187"/>
      <c r="E2324" s="187"/>
      <c r="F2324" s="187"/>
      <c r="G2324" s="187"/>
      <c r="J2324" s="186"/>
      <c r="K2324" s="180"/>
      <c r="L2324" s="180"/>
    </row>
    <row r="2325" spans="2:12" s="188" customFormat="1" ht="15" customHeight="1">
      <c r="B2325" s="187"/>
      <c r="C2325" s="187"/>
      <c r="D2325" s="187"/>
      <c r="E2325" s="187"/>
      <c r="F2325" s="187"/>
      <c r="G2325" s="187"/>
      <c r="J2325" s="186"/>
      <c r="K2325" s="180"/>
      <c r="L2325" s="180"/>
    </row>
    <row r="2326" spans="2:12" s="188" customFormat="1" ht="15" customHeight="1">
      <c r="B2326" s="187"/>
      <c r="C2326" s="187"/>
      <c r="D2326" s="187"/>
      <c r="E2326" s="187"/>
      <c r="F2326" s="187"/>
      <c r="G2326" s="187"/>
      <c r="J2326" s="186"/>
      <c r="K2326" s="180"/>
      <c r="L2326" s="180"/>
    </row>
    <row r="2327" spans="2:12" s="188" customFormat="1" ht="15" customHeight="1">
      <c r="B2327" s="187"/>
      <c r="C2327" s="187"/>
      <c r="D2327" s="187"/>
      <c r="E2327" s="187"/>
      <c r="F2327" s="187"/>
      <c r="G2327" s="187"/>
      <c r="J2327" s="186"/>
      <c r="K2327" s="180"/>
      <c r="L2327" s="180"/>
    </row>
    <row r="2328" spans="2:12" s="188" customFormat="1" ht="15" customHeight="1">
      <c r="B2328" s="187"/>
      <c r="C2328" s="187"/>
      <c r="D2328" s="187"/>
      <c r="E2328" s="187"/>
      <c r="F2328" s="187"/>
      <c r="G2328" s="187"/>
      <c r="J2328" s="186"/>
      <c r="K2328" s="180"/>
      <c r="L2328" s="180"/>
    </row>
    <row r="2329" spans="2:12" s="188" customFormat="1" ht="15" customHeight="1">
      <c r="B2329" s="187"/>
      <c r="C2329" s="187"/>
      <c r="D2329" s="187"/>
      <c r="E2329" s="187"/>
      <c r="F2329" s="187"/>
      <c r="G2329" s="187"/>
      <c r="J2329" s="186"/>
      <c r="K2329" s="180"/>
      <c r="L2329" s="180"/>
    </row>
    <row r="2330" spans="2:12" s="188" customFormat="1" ht="15" customHeight="1">
      <c r="B2330" s="187"/>
      <c r="C2330" s="187"/>
      <c r="D2330" s="187"/>
      <c r="E2330" s="187"/>
      <c r="F2330" s="187"/>
      <c r="G2330" s="187"/>
      <c r="J2330" s="186"/>
      <c r="K2330" s="180"/>
      <c r="L2330" s="180"/>
    </row>
    <row r="2331" spans="2:12" s="188" customFormat="1" ht="15" customHeight="1">
      <c r="B2331" s="187"/>
      <c r="C2331" s="187"/>
      <c r="D2331" s="187"/>
      <c r="E2331" s="187"/>
      <c r="F2331" s="187"/>
      <c r="G2331" s="187"/>
      <c r="J2331" s="186"/>
      <c r="K2331" s="180"/>
      <c r="L2331" s="180"/>
    </row>
    <row r="2332" spans="2:12" s="188" customFormat="1" ht="15" customHeight="1">
      <c r="B2332" s="187"/>
      <c r="C2332" s="187"/>
      <c r="D2332" s="187"/>
      <c r="E2332" s="187"/>
      <c r="F2332" s="187"/>
      <c r="G2332" s="187"/>
      <c r="J2332" s="186"/>
      <c r="K2332" s="180"/>
      <c r="L2332" s="180"/>
    </row>
    <row r="2333" spans="2:12" s="188" customFormat="1" ht="15" customHeight="1">
      <c r="B2333" s="187"/>
      <c r="C2333" s="187"/>
      <c r="D2333" s="187"/>
      <c r="E2333" s="187"/>
      <c r="F2333" s="187"/>
      <c r="G2333" s="187"/>
      <c r="J2333" s="186"/>
      <c r="K2333" s="180"/>
      <c r="L2333" s="180"/>
    </row>
    <row r="2334" spans="2:12" s="188" customFormat="1" ht="15" customHeight="1">
      <c r="B2334" s="187"/>
      <c r="C2334" s="187"/>
      <c r="D2334" s="187"/>
      <c r="E2334" s="187"/>
      <c r="F2334" s="187"/>
      <c r="G2334" s="187"/>
      <c r="J2334" s="186"/>
      <c r="K2334" s="180"/>
      <c r="L2334" s="180"/>
    </row>
    <row r="2335" spans="2:12" s="188" customFormat="1" ht="15" customHeight="1">
      <c r="B2335" s="187"/>
      <c r="C2335" s="187"/>
      <c r="D2335" s="187"/>
      <c r="E2335" s="187"/>
      <c r="F2335" s="187"/>
      <c r="G2335" s="187"/>
      <c r="J2335" s="186"/>
      <c r="K2335" s="180"/>
      <c r="L2335" s="180"/>
    </row>
    <row r="2336" spans="2:12" s="188" customFormat="1" ht="15" customHeight="1">
      <c r="B2336" s="187"/>
      <c r="C2336" s="187"/>
      <c r="D2336" s="187"/>
      <c r="E2336" s="187"/>
      <c r="F2336" s="187"/>
      <c r="G2336" s="187"/>
      <c r="J2336" s="186"/>
      <c r="K2336" s="180"/>
      <c r="L2336" s="180"/>
    </row>
    <row r="2337" spans="2:12" s="188" customFormat="1" ht="15" customHeight="1">
      <c r="B2337" s="187"/>
      <c r="C2337" s="187"/>
      <c r="D2337" s="187"/>
      <c r="E2337" s="187"/>
      <c r="F2337" s="187"/>
      <c r="G2337" s="187"/>
      <c r="J2337" s="186"/>
      <c r="K2337" s="180"/>
      <c r="L2337" s="180"/>
    </row>
    <row r="2338" spans="2:12" s="188" customFormat="1" ht="15" customHeight="1">
      <c r="B2338" s="187"/>
      <c r="C2338" s="187"/>
      <c r="D2338" s="187"/>
      <c r="E2338" s="187"/>
      <c r="F2338" s="187"/>
      <c r="G2338" s="187"/>
      <c r="J2338" s="186"/>
      <c r="K2338" s="180"/>
      <c r="L2338" s="180"/>
    </row>
    <row r="2339" spans="2:12" s="188" customFormat="1" ht="15" customHeight="1">
      <c r="B2339" s="187"/>
      <c r="C2339" s="187"/>
      <c r="D2339" s="187"/>
      <c r="E2339" s="187"/>
      <c r="F2339" s="187"/>
      <c r="G2339" s="187"/>
      <c r="J2339" s="186"/>
      <c r="K2339" s="180"/>
      <c r="L2339" s="180"/>
    </row>
    <row r="2340" spans="2:12" s="188" customFormat="1" ht="15" customHeight="1">
      <c r="B2340" s="187"/>
      <c r="C2340" s="187"/>
      <c r="D2340" s="187"/>
      <c r="E2340" s="187"/>
      <c r="F2340" s="187"/>
      <c r="G2340" s="187"/>
      <c r="J2340" s="186"/>
      <c r="K2340" s="180"/>
      <c r="L2340" s="180"/>
    </row>
    <row r="2341" spans="2:12" s="188" customFormat="1" ht="15" customHeight="1">
      <c r="B2341" s="187"/>
      <c r="C2341" s="187"/>
      <c r="D2341" s="187"/>
      <c r="E2341" s="187"/>
      <c r="F2341" s="187"/>
      <c r="G2341" s="187"/>
      <c r="J2341" s="186"/>
      <c r="K2341" s="180"/>
      <c r="L2341" s="180"/>
    </row>
    <row r="2342" spans="2:12" s="188" customFormat="1" ht="15" customHeight="1">
      <c r="B2342" s="187"/>
      <c r="C2342" s="187"/>
      <c r="D2342" s="187"/>
      <c r="E2342" s="187"/>
      <c r="F2342" s="187"/>
      <c r="G2342" s="187"/>
      <c r="J2342" s="186"/>
      <c r="K2342" s="180"/>
      <c r="L2342" s="180"/>
    </row>
    <row r="2343" spans="2:12" s="188" customFormat="1" ht="15" customHeight="1">
      <c r="B2343" s="187"/>
      <c r="C2343" s="187"/>
      <c r="D2343" s="187"/>
      <c r="E2343" s="187"/>
      <c r="F2343" s="187"/>
      <c r="G2343" s="187"/>
      <c r="J2343" s="186"/>
      <c r="K2343" s="180"/>
      <c r="L2343" s="180"/>
    </row>
    <row r="2344" spans="2:12" s="188" customFormat="1" ht="15" customHeight="1">
      <c r="B2344" s="187"/>
      <c r="C2344" s="187"/>
      <c r="D2344" s="187"/>
      <c r="E2344" s="187"/>
      <c r="F2344" s="187"/>
      <c r="G2344" s="187"/>
      <c r="J2344" s="186"/>
      <c r="K2344" s="180"/>
      <c r="L2344" s="180"/>
    </row>
    <row r="2345" spans="2:12" s="188" customFormat="1" ht="15" customHeight="1">
      <c r="B2345" s="187"/>
      <c r="C2345" s="187"/>
      <c r="D2345" s="187"/>
      <c r="E2345" s="187"/>
      <c r="F2345" s="187"/>
      <c r="G2345" s="187"/>
      <c r="J2345" s="186"/>
      <c r="K2345" s="180"/>
      <c r="L2345" s="180"/>
    </row>
    <row r="2346" spans="2:12" s="188" customFormat="1" ht="15" customHeight="1">
      <c r="B2346" s="187"/>
      <c r="C2346" s="187"/>
      <c r="D2346" s="187"/>
      <c r="E2346" s="187"/>
      <c r="F2346" s="187"/>
      <c r="G2346" s="187"/>
      <c r="J2346" s="186"/>
      <c r="K2346" s="180"/>
      <c r="L2346" s="180"/>
    </row>
    <row r="2347" spans="2:12" s="188" customFormat="1" ht="15" customHeight="1">
      <c r="B2347" s="187"/>
      <c r="C2347" s="187"/>
      <c r="D2347" s="187"/>
      <c r="E2347" s="187"/>
      <c r="F2347" s="187"/>
      <c r="G2347" s="187"/>
      <c r="J2347" s="186"/>
      <c r="K2347" s="180"/>
      <c r="L2347" s="180"/>
    </row>
    <row r="2348" spans="2:12" s="188" customFormat="1" ht="15" customHeight="1">
      <c r="B2348" s="187"/>
      <c r="C2348" s="187"/>
      <c r="D2348" s="187"/>
      <c r="E2348" s="187"/>
      <c r="F2348" s="187"/>
      <c r="G2348" s="187"/>
      <c r="J2348" s="186"/>
      <c r="K2348" s="180"/>
      <c r="L2348" s="180"/>
    </row>
    <row r="2349" spans="2:12" s="188" customFormat="1" ht="15" customHeight="1">
      <c r="B2349" s="187"/>
      <c r="C2349" s="187"/>
      <c r="D2349" s="187"/>
      <c r="E2349" s="187"/>
      <c r="F2349" s="187"/>
      <c r="G2349" s="187"/>
      <c r="J2349" s="186"/>
      <c r="K2349" s="180"/>
      <c r="L2349" s="180"/>
    </row>
    <row r="2350" spans="2:12" s="188" customFormat="1" ht="15" customHeight="1">
      <c r="B2350" s="187"/>
      <c r="C2350" s="187"/>
      <c r="D2350" s="187"/>
      <c r="E2350" s="187"/>
      <c r="F2350" s="187"/>
      <c r="G2350" s="187"/>
      <c r="J2350" s="186"/>
      <c r="K2350" s="180"/>
      <c r="L2350" s="180"/>
    </row>
    <row r="2351" spans="2:12" s="188" customFormat="1" ht="15" customHeight="1">
      <c r="B2351" s="187"/>
      <c r="C2351" s="187"/>
      <c r="D2351" s="187"/>
      <c r="E2351" s="187"/>
      <c r="F2351" s="187"/>
      <c r="G2351" s="187"/>
      <c r="J2351" s="186"/>
      <c r="K2351" s="180"/>
      <c r="L2351" s="180"/>
    </row>
    <row r="2352" spans="2:12" s="188" customFormat="1" ht="15" customHeight="1">
      <c r="B2352" s="187"/>
      <c r="C2352" s="187"/>
      <c r="D2352" s="187"/>
      <c r="E2352" s="187"/>
      <c r="F2352" s="187"/>
      <c r="G2352" s="187"/>
      <c r="J2352" s="186"/>
      <c r="K2352" s="180"/>
      <c r="L2352" s="180"/>
    </row>
    <row r="2353" spans="2:12" s="188" customFormat="1" ht="15" customHeight="1">
      <c r="B2353" s="187"/>
      <c r="C2353" s="187"/>
      <c r="D2353" s="187"/>
      <c r="E2353" s="187"/>
      <c r="F2353" s="187"/>
      <c r="G2353" s="187"/>
      <c r="J2353" s="186"/>
      <c r="K2353" s="180"/>
      <c r="L2353" s="180"/>
    </row>
    <row r="2354" spans="2:12" s="188" customFormat="1" ht="15" customHeight="1">
      <c r="B2354" s="187"/>
      <c r="C2354" s="187"/>
      <c r="D2354" s="187"/>
      <c r="E2354" s="187"/>
      <c r="F2354" s="187"/>
      <c r="G2354" s="187"/>
      <c r="J2354" s="186"/>
      <c r="K2354" s="180"/>
      <c r="L2354" s="180"/>
    </row>
    <row r="2355" spans="2:12" s="188" customFormat="1" ht="15" customHeight="1">
      <c r="B2355" s="187"/>
      <c r="C2355" s="187"/>
      <c r="D2355" s="187"/>
      <c r="E2355" s="187"/>
      <c r="F2355" s="187"/>
      <c r="G2355" s="187"/>
      <c r="J2355" s="186"/>
      <c r="K2355" s="180"/>
      <c r="L2355" s="180"/>
    </row>
    <row r="2356" spans="2:12" s="188" customFormat="1" ht="15" customHeight="1">
      <c r="B2356" s="187"/>
      <c r="C2356" s="187"/>
      <c r="D2356" s="187"/>
      <c r="E2356" s="187"/>
      <c r="F2356" s="187"/>
      <c r="G2356" s="187"/>
      <c r="J2356" s="186"/>
      <c r="K2356" s="180"/>
      <c r="L2356" s="180"/>
    </row>
    <row r="2357" spans="2:12" s="188" customFormat="1" ht="15" customHeight="1">
      <c r="B2357" s="187"/>
      <c r="C2357" s="187"/>
      <c r="D2357" s="187"/>
      <c r="E2357" s="187"/>
      <c r="F2357" s="187"/>
      <c r="G2357" s="187"/>
      <c r="J2357" s="186"/>
      <c r="K2357" s="180"/>
      <c r="L2357" s="180"/>
    </row>
    <row r="2358" spans="2:12" s="188" customFormat="1" ht="15" customHeight="1">
      <c r="B2358" s="187"/>
      <c r="C2358" s="187"/>
      <c r="D2358" s="187"/>
      <c r="E2358" s="187"/>
      <c r="F2358" s="187"/>
      <c r="G2358" s="187"/>
      <c r="J2358" s="186"/>
      <c r="K2358" s="180"/>
      <c r="L2358" s="180"/>
    </row>
    <row r="2359" spans="2:12" s="188" customFormat="1" ht="15" customHeight="1">
      <c r="B2359" s="187"/>
      <c r="C2359" s="187"/>
      <c r="D2359" s="187"/>
      <c r="E2359" s="187"/>
      <c r="F2359" s="187"/>
      <c r="G2359" s="187"/>
      <c r="J2359" s="186"/>
      <c r="K2359" s="180"/>
      <c r="L2359" s="180"/>
    </row>
    <row r="2360" spans="2:12" s="188" customFormat="1" ht="15" customHeight="1">
      <c r="B2360" s="187"/>
      <c r="C2360" s="187"/>
      <c r="D2360" s="187"/>
      <c r="E2360" s="187"/>
      <c r="F2360" s="187"/>
      <c r="G2360" s="187"/>
      <c r="J2360" s="186"/>
      <c r="K2360" s="180"/>
      <c r="L2360" s="180"/>
    </row>
    <row r="2361" spans="2:12" s="188" customFormat="1" ht="15" customHeight="1">
      <c r="B2361" s="187"/>
      <c r="C2361" s="187"/>
      <c r="D2361" s="187"/>
      <c r="E2361" s="187"/>
      <c r="F2361" s="187"/>
      <c r="G2361" s="187"/>
      <c r="J2361" s="186"/>
      <c r="K2361" s="180"/>
      <c r="L2361" s="180"/>
    </row>
    <row r="2362" spans="2:12" s="188" customFormat="1" ht="15" customHeight="1">
      <c r="B2362" s="187"/>
      <c r="C2362" s="187"/>
      <c r="D2362" s="187"/>
      <c r="E2362" s="187"/>
      <c r="F2362" s="187"/>
      <c r="G2362" s="187"/>
      <c r="J2362" s="186"/>
      <c r="K2362" s="180"/>
      <c r="L2362" s="180"/>
    </row>
    <row r="2363" spans="2:12" s="188" customFormat="1" ht="15" customHeight="1">
      <c r="B2363" s="187"/>
      <c r="C2363" s="187"/>
      <c r="D2363" s="187"/>
      <c r="E2363" s="187"/>
      <c r="F2363" s="187"/>
      <c r="G2363" s="187"/>
      <c r="J2363" s="186"/>
      <c r="K2363" s="180"/>
      <c r="L2363" s="180"/>
    </row>
    <row r="2364" spans="2:12" s="188" customFormat="1" ht="15" customHeight="1">
      <c r="B2364" s="187"/>
      <c r="C2364" s="187"/>
      <c r="D2364" s="187"/>
      <c r="E2364" s="187"/>
      <c r="F2364" s="187"/>
      <c r="G2364" s="187"/>
      <c r="J2364" s="186"/>
      <c r="K2364" s="180"/>
      <c r="L2364" s="180"/>
    </row>
    <row r="2365" spans="2:12" s="188" customFormat="1" ht="15" customHeight="1">
      <c r="B2365" s="187"/>
      <c r="C2365" s="187"/>
      <c r="D2365" s="187"/>
      <c r="E2365" s="187"/>
      <c r="F2365" s="187"/>
      <c r="G2365" s="187"/>
      <c r="J2365" s="186"/>
      <c r="K2365" s="180"/>
      <c r="L2365" s="180"/>
    </row>
    <row r="2366" spans="2:12" s="188" customFormat="1" ht="15" customHeight="1">
      <c r="B2366" s="187"/>
      <c r="C2366" s="187"/>
      <c r="D2366" s="187"/>
      <c r="E2366" s="187"/>
      <c r="F2366" s="187"/>
      <c r="G2366" s="187"/>
      <c r="J2366" s="186"/>
      <c r="K2366" s="180"/>
      <c r="L2366" s="180"/>
    </row>
    <row r="2367" spans="2:12" s="188" customFormat="1" ht="15" customHeight="1">
      <c r="B2367" s="187"/>
      <c r="C2367" s="187"/>
      <c r="D2367" s="187"/>
      <c r="E2367" s="187"/>
      <c r="F2367" s="187"/>
      <c r="G2367" s="187"/>
      <c r="J2367" s="186"/>
      <c r="K2367" s="180"/>
      <c r="L2367" s="180"/>
    </row>
    <row r="2368" spans="2:12" s="188" customFormat="1" ht="15" customHeight="1">
      <c r="B2368" s="187"/>
      <c r="C2368" s="187"/>
      <c r="D2368" s="187"/>
      <c r="E2368" s="187"/>
      <c r="F2368" s="187"/>
      <c r="G2368" s="187"/>
      <c r="J2368" s="186"/>
      <c r="K2368" s="180"/>
      <c r="L2368" s="180"/>
    </row>
    <row r="2369" spans="2:12" s="188" customFormat="1" ht="15" customHeight="1">
      <c r="B2369" s="187"/>
      <c r="C2369" s="187"/>
      <c r="D2369" s="187"/>
      <c r="E2369" s="187"/>
      <c r="F2369" s="187"/>
      <c r="G2369" s="187"/>
      <c r="J2369" s="186"/>
      <c r="K2369" s="180"/>
      <c r="L2369" s="180"/>
    </row>
    <row r="2370" spans="2:12" s="188" customFormat="1" ht="15" customHeight="1">
      <c r="B2370" s="187"/>
      <c r="C2370" s="187"/>
      <c r="D2370" s="187"/>
      <c r="E2370" s="187"/>
      <c r="F2370" s="187"/>
      <c r="G2370" s="187"/>
      <c r="J2370" s="186"/>
      <c r="K2370" s="180"/>
      <c r="L2370" s="180"/>
    </row>
    <row r="2371" spans="2:12" s="188" customFormat="1" ht="15" customHeight="1">
      <c r="B2371" s="187"/>
      <c r="C2371" s="187"/>
      <c r="D2371" s="187"/>
      <c r="E2371" s="187"/>
      <c r="F2371" s="187"/>
      <c r="G2371" s="187"/>
      <c r="J2371" s="186"/>
      <c r="K2371" s="180"/>
      <c r="L2371" s="180"/>
    </row>
    <row r="2372" spans="2:12" s="188" customFormat="1" ht="15" customHeight="1">
      <c r="B2372" s="187"/>
      <c r="C2372" s="187"/>
      <c r="D2372" s="187"/>
      <c r="E2372" s="187"/>
      <c r="F2372" s="187"/>
      <c r="G2372" s="187"/>
      <c r="J2372" s="186"/>
      <c r="K2372" s="180"/>
      <c r="L2372" s="180"/>
    </row>
    <row r="2373" spans="2:12" s="188" customFormat="1" ht="15" customHeight="1">
      <c r="B2373" s="187"/>
      <c r="C2373" s="187"/>
      <c r="D2373" s="187"/>
      <c r="E2373" s="187"/>
      <c r="F2373" s="187"/>
      <c r="G2373" s="187"/>
      <c r="J2373" s="186"/>
      <c r="K2373" s="180"/>
      <c r="L2373" s="180"/>
    </row>
    <row r="2374" spans="2:12" s="188" customFormat="1" ht="15" customHeight="1">
      <c r="B2374" s="187"/>
      <c r="C2374" s="187"/>
      <c r="D2374" s="187"/>
      <c r="E2374" s="187"/>
      <c r="F2374" s="187"/>
      <c r="G2374" s="187"/>
      <c r="J2374" s="186"/>
      <c r="K2374" s="180"/>
      <c r="L2374" s="180"/>
    </row>
    <row r="2375" spans="2:12" s="188" customFormat="1" ht="15" customHeight="1">
      <c r="B2375" s="187"/>
      <c r="C2375" s="187"/>
      <c r="D2375" s="187"/>
      <c r="E2375" s="187"/>
      <c r="F2375" s="187"/>
      <c r="G2375" s="187"/>
      <c r="J2375" s="186"/>
      <c r="K2375" s="180"/>
      <c r="L2375" s="180"/>
    </row>
    <row r="2376" spans="2:12" s="188" customFormat="1" ht="15" customHeight="1">
      <c r="B2376" s="187"/>
      <c r="C2376" s="187"/>
      <c r="D2376" s="187"/>
      <c r="E2376" s="187"/>
      <c r="F2376" s="187"/>
      <c r="G2376" s="187"/>
      <c r="J2376" s="186"/>
      <c r="K2376" s="180"/>
      <c r="L2376" s="180"/>
    </row>
    <row r="2377" spans="2:12" s="188" customFormat="1" ht="15" customHeight="1">
      <c r="B2377" s="187"/>
      <c r="C2377" s="187"/>
      <c r="D2377" s="187"/>
      <c r="E2377" s="187"/>
      <c r="F2377" s="187"/>
      <c r="G2377" s="187"/>
      <c r="J2377" s="186"/>
      <c r="K2377" s="180"/>
      <c r="L2377" s="180"/>
    </row>
    <row r="2378" spans="2:12" s="188" customFormat="1" ht="15" customHeight="1">
      <c r="B2378" s="187"/>
      <c r="C2378" s="187"/>
      <c r="D2378" s="187"/>
      <c r="E2378" s="187"/>
      <c r="F2378" s="187"/>
      <c r="G2378" s="187"/>
      <c r="J2378" s="186"/>
      <c r="K2378" s="180"/>
      <c r="L2378" s="180"/>
    </row>
    <row r="2379" spans="2:12" s="188" customFormat="1" ht="15" customHeight="1">
      <c r="B2379" s="187"/>
      <c r="C2379" s="187"/>
      <c r="D2379" s="187"/>
      <c r="E2379" s="187"/>
      <c r="F2379" s="187"/>
      <c r="G2379" s="187"/>
      <c r="J2379" s="186"/>
      <c r="K2379" s="180"/>
      <c r="L2379" s="180"/>
    </row>
    <row r="2380" spans="2:12" s="188" customFormat="1" ht="15" customHeight="1">
      <c r="B2380" s="187"/>
      <c r="C2380" s="187"/>
      <c r="D2380" s="187"/>
      <c r="E2380" s="187"/>
      <c r="F2380" s="187"/>
      <c r="G2380" s="187"/>
      <c r="J2380" s="186"/>
      <c r="K2380" s="180"/>
      <c r="L2380" s="180"/>
    </row>
    <row r="2381" spans="2:12" s="188" customFormat="1" ht="15" customHeight="1">
      <c r="B2381" s="187"/>
      <c r="C2381" s="187"/>
      <c r="D2381" s="187"/>
      <c r="E2381" s="187"/>
      <c r="F2381" s="187"/>
      <c r="G2381" s="187"/>
      <c r="J2381" s="186"/>
      <c r="K2381" s="180"/>
      <c r="L2381" s="180"/>
    </row>
    <row r="2382" spans="2:12" s="188" customFormat="1" ht="15" customHeight="1">
      <c r="B2382" s="187"/>
      <c r="C2382" s="187"/>
      <c r="D2382" s="187"/>
      <c r="E2382" s="187"/>
      <c r="F2382" s="187"/>
      <c r="G2382" s="187"/>
      <c r="J2382" s="186"/>
      <c r="K2382" s="180"/>
      <c r="L2382" s="180"/>
    </row>
    <row r="2383" spans="2:12" s="188" customFormat="1" ht="15" customHeight="1">
      <c r="B2383" s="187"/>
      <c r="C2383" s="187"/>
      <c r="D2383" s="187"/>
      <c r="E2383" s="187"/>
      <c r="F2383" s="187"/>
      <c r="G2383" s="187"/>
      <c r="J2383" s="186"/>
      <c r="K2383" s="180"/>
      <c r="L2383" s="180"/>
    </row>
    <row r="2384" spans="2:12" s="188" customFormat="1" ht="15" customHeight="1">
      <c r="B2384" s="187"/>
      <c r="C2384" s="187"/>
      <c r="D2384" s="187"/>
      <c r="E2384" s="187"/>
      <c r="F2384" s="187"/>
      <c r="G2384" s="187"/>
      <c r="J2384" s="186"/>
      <c r="K2384" s="180"/>
      <c r="L2384" s="180"/>
    </row>
    <row r="2385" spans="2:12" s="188" customFormat="1" ht="15" customHeight="1">
      <c r="B2385" s="187"/>
      <c r="C2385" s="187"/>
      <c r="D2385" s="187"/>
      <c r="E2385" s="187"/>
      <c r="F2385" s="187"/>
      <c r="G2385" s="187"/>
      <c r="J2385" s="186"/>
      <c r="K2385" s="180"/>
      <c r="L2385" s="180"/>
    </row>
    <row r="2386" spans="2:12" s="188" customFormat="1" ht="15" customHeight="1">
      <c r="B2386" s="187"/>
      <c r="C2386" s="187"/>
      <c r="D2386" s="187"/>
      <c r="E2386" s="187"/>
      <c r="F2386" s="187"/>
      <c r="G2386" s="187"/>
      <c r="J2386" s="186"/>
      <c r="K2386" s="180"/>
      <c r="L2386" s="180"/>
    </row>
    <row r="2387" spans="2:12" s="188" customFormat="1" ht="15" customHeight="1">
      <c r="B2387" s="187"/>
      <c r="C2387" s="187"/>
      <c r="D2387" s="187"/>
      <c r="E2387" s="187"/>
      <c r="F2387" s="187"/>
      <c r="G2387" s="187"/>
      <c r="J2387" s="186"/>
      <c r="K2387" s="180"/>
      <c r="L2387" s="180"/>
    </row>
    <row r="2388" spans="2:12" s="188" customFormat="1" ht="15" customHeight="1">
      <c r="B2388" s="187"/>
      <c r="C2388" s="187"/>
      <c r="D2388" s="187"/>
      <c r="E2388" s="187"/>
      <c r="F2388" s="187"/>
      <c r="G2388" s="187"/>
      <c r="J2388" s="186"/>
      <c r="K2388" s="180"/>
      <c r="L2388" s="180"/>
    </row>
    <row r="2389" spans="2:12" s="188" customFormat="1" ht="15" customHeight="1">
      <c r="B2389" s="187"/>
      <c r="C2389" s="187"/>
      <c r="D2389" s="187"/>
      <c r="E2389" s="187"/>
      <c r="F2389" s="187"/>
      <c r="G2389" s="187"/>
      <c r="J2389" s="186"/>
      <c r="K2389" s="180"/>
      <c r="L2389" s="180"/>
    </row>
    <row r="2390" spans="2:12" s="188" customFormat="1" ht="15" customHeight="1">
      <c r="B2390" s="187"/>
      <c r="C2390" s="187"/>
      <c r="D2390" s="187"/>
      <c r="E2390" s="187"/>
      <c r="F2390" s="187"/>
      <c r="G2390" s="187"/>
      <c r="J2390" s="186"/>
      <c r="K2390" s="180"/>
      <c r="L2390" s="180"/>
    </row>
    <row r="2391" spans="2:12" s="188" customFormat="1" ht="15" customHeight="1">
      <c r="B2391" s="187"/>
      <c r="C2391" s="187"/>
      <c r="D2391" s="187"/>
      <c r="E2391" s="187"/>
      <c r="F2391" s="187"/>
      <c r="G2391" s="187"/>
      <c r="J2391" s="186"/>
      <c r="K2391" s="180"/>
      <c r="L2391" s="180"/>
    </row>
    <row r="2392" spans="2:12" s="188" customFormat="1" ht="15" customHeight="1">
      <c r="B2392" s="187"/>
      <c r="C2392" s="187"/>
      <c r="D2392" s="187"/>
      <c r="E2392" s="187"/>
      <c r="F2392" s="187"/>
      <c r="G2392" s="187"/>
      <c r="J2392" s="186"/>
      <c r="K2392" s="180"/>
      <c r="L2392" s="180"/>
    </row>
    <row r="2393" spans="2:12" s="188" customFormat="1" ht="15" customHeight="1">
      <c r="B2393" s="187"/>
      <c r="C2393" s="187"/>
      <c r="D2393" s="187"/>
      <c r="E2393" s="187"/>
      <c r="F2393" s="187"/>
      <c r="G2393" s="187"/>
      <c r="J2393" s="186"/>
      <c r="K2393" s="180"/>
      <c r="L2393" s="180"/>
    </row>
    <row r="2394" spans="2:12" s="188" customFormat="1" ht="15" customHeight="1">
      <c r="B2394" s="187"/>
      <c r="C2394" s="187"/>
      <c r="D2394" s="187"/>
      <c r="E2394" s="187"/>
      <c r="F2394" s="187"/>
      <c r="G2394" s="187"/>
      <c r="J2394" s="186"/>
      <c r="K2394" s="180"/>
      <c r="L2394" s="180"/>
    </row>
    <row r="2395" spans="2:12" s="188" customFormat="1" ht="15" customHeight="1">
      <c r="B2395" s="187"/>
      <c r="C2395" s="187"/>
      <c r="D2395" s="187"/>
      <c r="E2395" s="187"/>
      <c r="F2395" s="187"/>
      <c r="G2395" s="187"/>
      <c r="J2395" s="186"/>
      <c r="K2395" s="180"/>
      <c r="L2395" s="180"/>
    </row>
    <row r="2396" spans="2:12" s="188" customFormat="1" ht="15" customHeight="1">
      <c r="B2396" s="187"/>
      <c r="C2396" s="187"/>
      <c r="D2396" s="187"/>
      <c r="E2396" s="187"/>
      <c r="F2396" s="187"/>
      <c r="G2396" s="187"/>
      <c r="J2396" s="186"/>
      <c r="K2396" s="180"/>
      <c r="L2396" s="180"/>
    </row>
    <row r="2397" spans="2:12" s="188" customFormat="1" ht="15" customHeight="1">
      <c r="B2397" s="187"/>
      <c r="C2397" s="187"/>
      <c r="D2397" s="187"/>
      <c r="E2397" s="187"/>
      <c r="F2397" s="187"/>
      <c r="G2397" s="187"/>
      <c r="J2397" s="186"/>
      <c r="K2397" s="180"/>
      <c r="L2397" s="180"/>
    </row>
    <row r="2398" spans="2:12" s="188" customFormat="1" ht="15" customHeight="1">
      <c r="B2398" s="187"/>
      <c r="C2398" s="187"/>
      <c r="D2398" s="187"/>
      <c r="E2398" s="187"/>
      <c r="F2398" s="187"/>
      <c r="G2398" s="187"/>
      <c r="J2398" s="186"/>
      <c r="K2398" s="180"/>
      <c r="L2398" s="180"/>
    </row>
    <row r="2399" spans="2:12" s="188" customFormat="1" ht="15" customHeight="1">
      <c r="B2399" s="187"/>
      <c r="C2399" s="187"/>
      <c r="D2399" s="187"/>
      <c r="E2399" s="187"/>
      <c r="F2399" s="187"/>
      <c r="G2399" s="187"/>
      <c r="J2399" s="186"/>
      <c r="K2399" s="180"/>
      <c r="L2399" s="180"/>
    </row>
    <row r="2400" spans="2:12" s="188" customFormat="1" ht="15" customHeight="1">
      <c r="B2400" s="187"/>
      <c r="C2400" s="187"/>
      <c r="D2400" s="187"/>
      <c r="E2400" s="187"/>
      <c r="F2400" s="187"/>
      <c r="G2400" s="187"/>
      <c r="J2400" s="186"/>
      <c r="K2400" s="180"/>
      <c r="L2400" s="180"/>
    </row>
    <row r="2401" spans="2:12" s="188" customFormat="1" ht="15" customHeight="1">
      <c r="B2401" s="187"/>
      <c r="C2401" s="187"/>
      <c r="D2401" s="187"/>
      <c r="E2401" s="187"/>
      <c r="F2401" s="187"/>
      <c r="G2401" s="187"/>
      <c r="J2401" s="186"/>
      <c r="K2401" s="180"/>
      <c r="L2401" s="180"/>
    </row>
    <row r="2402" spans="2:12" s="188" customFormat="1" ht="15" customHeight="1">
      <c r="B2402" s="187"/>
      <c r="C2402" s="187"/>
      <c r="D2402" s="187"/>
      <c r="E2402" s="187"/>
      <c r="F2402" s="187"/>
      <c r="G2402" s="187"/>
      <c r="J2402" s="186"/>
      <c r="K2402" s="180"/>
      <c r="L2402" s="180"/>
    </row>
    <row r="2403" spans="2:12" s="188" customFormat="1" ht="15" customHeight="1">
      <c r="B2403" s="187"/>
      <c r="C2403" s="187"/>
      <c r="D2403" s="187"/>
      <c r="E2403" s="187"/>
      <c r="F2403" s="187"/>
      <c r="G2403" s="187"/>
      <c r="J2403" s="186"/>
      <c r="K2403" s="180"/>
      <c r="L2403" s="180"/>
    </row>
    <row r="2404" spans="2:12" s="188" customFormat="1" ht="15" customHeight="1">
      <c r="B2404" s="187"/>
      <c r="C2404" s="187"/>
      <c r="D2404" s="187"/>
      <c r="E2404" s="187"/>
      <c r="F2404" s="187"/>
      <c r="G2404" s="187"/>
      <c r="J2404" s="186"/>
      <c r="K2404" s="180"/>
      <c r="L2404" s="180"/>
    </row>
    <row r="2405" spans="2:12" s="188" customFormat="1" ht="15" customHeight="1">
      <c r="B2405" s="187"/>
      <c r="C2405" s="187"/>
      <c r="D2405" s="187"/>
      <c r="E2405" s="187"/>
      <c r="F2405" s="187"/>
      <c r="G2405" s="187"/>
      <c r="J2405" s="186"/>
      <c r="K2405" s="180"/>
      <c r="L2405" s="180"/>
    </row>
    <row r="2406" spans="2:12" s="188" customFormat="1" ht="15" customHeight="1">
      <c r="B2406" s="187"/>
      <c r="C2406" s="187"/>
      <c r="D2406" s="187"/>
      <c r="E2406" s="187"/>
      <c r="F2406" s="187"/>
      <c r="G2406" s="187"/>
      <c r="J2406" s="186"/>
      <c r="K2406" s="180"/>
      <c r="L2406" s="180"/>
    </row>
    <row r="2407" spans="2:12" s="188" customFormat="1" ht="15" customHeight="1">
      <c r="B2407" s="187"/>
      <c r="C2407" s="187"/>
      <c r="D2407" s="187"/>
      <c r="E2407" s="187"/>
      <c r="F2407" s="187"/>
      <c r="G2407" s="187"/>
      <c r="J2407" s="186"/>
      <c r="K2407" s="180"/>
      <c r="L2407" s="180"/>
    </row>
    <row r="2408" spans="2:12" s="188" customFormat="1" ht="15" customHeight="1">
      <c r="B2408" s="187"/>
      <c r="C2408" s="187"/>
      <c r="D2408" s="187"/>
      <c r="E2408" s="187"/>
      <c r="F2408" s="187"/>
      <c r="G2408" s="187"/>
      <c r="J2408" s="186"/>
      <c r="K2408" s="180"/>
      <c r="L2408" s="180"/>
    </row>
    <row r="2409" spans="2:12" s="188" customFormat="1" ht="15" customHeight="1">
      <c r="B2409" s="187"/>
      <c r="C2409" s="187"/>
      <c r="D2409" s="187"/>
      <c r="E2409" s="187"/>
      <c r="F2409" s="187"/>
      <c r="G2409" s="187"/>
      <c r="J2409" s="186"/>
      <c r="K2409" s="180"/>
      <c r="L2409" s="180"/>
    </row>
    <row r="2410" spans="2:12" s="188" customFormat="1" ht="15" customHeight="1">
      <c r="B2410" s="187"/>
      <c r="C2410" s="187"/>
      <c r="D2410" s="187"/>
      <c r="E2410" s="187"/>
      <c r="F2410" s="187"/>
      <c r="G2410" s="187"/>
      <c r="J2410" s="186"/>
      <c r="K2410" s="180"/>
      <c r="L2410" s="180"/>
    </row>
    <row r="2411" spans="2:12" s="188" customFormat="1" ht="15" customHeight="1">
      <c r="B2411" s="187"/>
      <c r="C2411" s="187"/>
      <c r="D2411" s="187"/>
      <c r="E2411" s="187"/>
      <c r="F2411" s="187"/>
      <c r="G2411" s="187"/>
      <c r="J2411" s="186"/>
      <c r="K2411" s="180"/>
      <c r="L2411" s="180"/>
    </row>
    <row r="2412" spans="2:12" s="188" customFormat="1" ht="15" customHeight="1">
      <c r="B2412" s="187"/>
      <c r="C2412" s="187"/>
      <c r="D2412" s="187"/>
      <c r="E2412" s="187"/>
      <c r="F2412" s="187"/>
      <c r="G2412" s="187"/>
      <c r="J2412" s="186"/>
      <c r="K2412" s="180"/>
      <c r="L2412" s="180"/>
    </row>
    <row r="2413" spans="2:12" s="188" customFormat="1" ht="15" customHeight="1">
      <c r="B2413" s="187"/>
      <c r="C2413" s="187"/>
      <c r="D2413" s="187"/>
      <c r="E2413" s="187"/>
      <c r="F2413" s="187"/>
      <c r="G2413" s="187"/>
      <c r="J2413" s="186"/>
      <c r="K2413" s="180"/>
      <c r="L2413" s="180"/>
    </row>
    <row r="2414" spans="2:12" s="188" customFormat="1" ht="15" customHeight="1">
      <c r="B2414" s="187"/>
      <c r="C2414" s="187"/>
      <c r="D2414" s="187"/>
      <c r="E2414" s="187"/>
      <c r="F2414" s="187"/>
      <c r="G2414" s="187"/>
      <c r="J2414" s="186"/>
      <c r="K2414" s="180"/>
      <c r="L2414" s="180"/>
    </row>
    <row r="2415" spans="2:12" s="188" customFormat="1" ht="15" customHeight="1">
      <c r="B2415" s="187"/>
      <c r="C2415" s="187"/>
      <c r="D2415" s="187"/>
      <c r="E2415" s="187"/>
      <c r="F2415" s="187"/>
      <c r="G2415" s="187"/>
      <c r="J2415" s="186"/>
      <c r="K2415" s="180"/>
      <c r="L2415" s="180"/>
    </row>
    <row r="2416" spans="2:12" s="188" customFormat="1" ht="15" customHeight="1">
      <c r="B2416" s="187"/>
      <c r="C2416" s="187"/>
      <c r="D2416" s="187"/>
      <c r="E2416" s="187"/>
      <c r="F2416" s="187"/>
      <c r="G2416" s="187"/>
      <c r="J2416" s="186"/>
      <c r="K2416" s="180"/>
      <c r="L2416" s="180"/>
    </row>
    <row r="2417" spans="2:12" s="188" customFormat="1" ht="15" customHeight="1">
      <c r="B2417" s="187"/>
      <c r="C2417" s="187"/>
      <c r="D2417" s="187"/>
      <c r="E2417" s="187"/>
      <c r="F2417" s="187"/>
      <c r="G2417" s="187"/>
      <c r="J2417" s="186"/>
      <c r="K2417" s="180"/>
      <c r="L2417" s="180"/>
    </row>
    <row r="2418" spans="2:12" s="188" customFormat="1" ht="15" customHeight="1">
      <c r="B2418" s="187"/>
      <c r="C2418" s="187"/>
      <c r="D2418" s="187"/>
      <c r="E2418" s="187"/>
      <c r="F2418" s="187"/>
      <c r="G2418" s="187"/>
      <c r="J2418" s="186"/>
      <c r="K2418" s="180"/>
      <c r="L2418" s="180"/>
    </row>
    <row r="2419" spans="2:12" s="188" customFormat="1" ht="15" customHeight="1">
      <c r="B2419" s="187"/>
      <c r="C2419" s="187"/>
      <c r="D2419" s="187"/>
      <c r="E2419" s="187"/>
      <c r="F2419" s="187"/>
      <c r="G2419" s="187"/>
      <c r="J2419" s="186"/>
      <c r="K2419" s="180"/>
      <c r="L2419" s="180"/>
    </row>
    <row r="2420" spans="2:12" s="188" customFormat="1" ht="15" customHeight="1">
      <c r="B2420" s="187"/>
      <c r="C2420" s="187"/>
      <c r="D2420" s="187"/>
      <c r="E2420" s="187"/>
      <c r="F2420" s="187"/>
      <c r="G2420" s="187"/>
      <c r="J2420" s="186"/>
      <c r="K2420" s="180"/>
      <c r="L2420" s="180"/>
    </row>
    <row r="2421" spans="2:12" s="188" customFormat="1" ht="15" customHeight="1">
      <c r="B2421" s="187"/>
      <c r="C2421" s="187"/>
      <c r="D2421" s="187"/>
      <c r="E2421" s="187"/>
      <c r="F2421" s="187"/>
      <c r="G2421" s="187"/>
      <c r="J2421" s="186"/>
      <c r="K2421" s="180"/>
      <c r="L2421" s="180"/>
    </row>
    <row r="2422" spans="2:12" s="188" customFormat="1" ht="15" customHeight="1">
      <c r="B2422" s="187"/>
      <c r="C2422" s="187"/>
      <c r="D2422" s="187"/>
      <c r="E2422" s="187"/>
      <c r="F2422" s="187"/>
      <c r="G2422" s="187"/>
      <c r="J2422" s="186"/>
      <c r="K2422" s="180"/>
      <c r="L2422" s="180"/>
    </row>
    <row r="2423" spans="2:12" s="188" customFormat="1" ht="15" customHeight="1">
      <c r="B2423" s="187"/>
      <c r="C2423" s="187"/>
      <c r="D2423" s="187"/>
      <c r="E2423" s="187"/>
      <c r="F2423" s="187"/>
      <c r="G2423" s="187"/>
      <c r="J2423" s="186"/>
      <c r="K2423" s="180"/>
      <c r="L2423" s="180"/>
    </row>
    <row r="2424" spans="2:12" s="188" customFormat="1" ht="15" customHeight="1">
      <c r="B2424" s="187"/>
      <c r="C2424" s="187"/>
      <c r="D2424" s="187"/>
      <c r="E2424" s="187"/>
      <c r="F2424" s="187"/>
      <c r="G2424" s="187"/>
      <c r="J2424" s="186"/>
      <c r="K2424" s="180"/>
      <c r="L2424" s="180"/>
    </row>
    <row r="2425" spans="2:12" s="188" customFormat="1" ht="15" customHeight="1">
      <c r="B2425" s="187"/>
      <c r="C2425" s="187"/>
      <c r="D2425" s="187"/>
      <c r="E2425" s="187"/>
      <c r="F2425" s="187"/>
      <c r="G2425" s="187"/>
      <c r="J2425" s="186"/>
      <c r="K2425" s="180"/>
      <c r="L2425" s="180"/>
    </row>
    <row r="2426" spans="2:12" s="188" customFormat="1" ht="15" customHeight="1">
      <c r="B2426" s="187"/>
      <c r="C2426" s="187"/>
      <c r="D2426" s="187"/>
      <c r="E2426" s="187"/>
      <c r="F2426" s="187"/>
      <c r="G2426" s="187"/>
      <c r="J2426" s="186"/>
      <c r="K2426" s="180"/>
      <c r="L2426" s="180"/>
    </row>
    <row r="2427" spans="2:12" s="188" customFormat="1" ht="15" customHeight="1">
      <c r="B2427" s="187"/>
      <c r="C2427" s="187"/>
      <c r="D2427" s="187"/>
      <c r="E2427" s="187"/>
      <c r="F2427" s="187"/>
      <c r="G2427" s="187"/>
      <c r="J2427" s="186"/>
      <c r="K2427" s="180"/>
      <c r="L2427" s="180"/>
    </row>
    <row r="2428" spans="2:12" s="188" customFormat="1" ht="15" customHeight="1">
      <c r="B2428" s="187"/>
      <c r="C2428" s="187"/>
      <c r="D2428" s="187"/>
      <c r="E2428" s="187"/>
      <c r="F2428" s="187"/>
      <c r="G2428" s="187"/>
      <c r="J2428" s="186"/>
      <c r="K2428" s="180"/>
      <c r="L2428" s="180"/>
    </row>
    <row r="2429" spans="2:12" s="188" customFormat="1" ht="15" customHeight="1">
      <c r="B2429" s="187"/>
      <c r="C2429" s="187"/>
      <c r="D2429" s="187"/>
      <c r="E2429" s="187"/>
      <c r="F2429" s="187"/>
      <c r="G2429" s="187"/>
      <c r="J2429" s="186"/>
      <c r="K2429" s="180"/>
      <c r="L2429" s="180"/>
    </row>
    <row r="2430" spans="2:12" s="188" customFormat="1" ht="15" customHeight="1">
      <c r="B2430" s="187"/>
      <c r="C2430" s="187"/>
      <c r="D2430" s="187"/>
      <c r="E2430" s="187"/>
      <c r="F2430" s="187"/>
      <c r="G2430" s="187"/>
      <c r="J2430" s="186"/>
      <c r="K2430" s="180"/>
      <c r="L2430" s="180"/>
    </row>
    <row r="2431" spans="2:12" s="188" customFormat="1" ht="15" customHeight="1">
      <c r="B2431" s="187"/>
      <c r="C2431" s="187"/>
      <c r="D2431" s="187"/>
      <c r="E2431" s="187"/>
      <c r="F2431" s="187"/>
      <c r="G2431" s="187"/>
      <c r="J2431" s="186"/>
      <c r="K2431" s="180"/>
      <c r="L2431" s="180"/>
    </row>
    <row r="2432" spans="2:12" s="188" customFormat="1" ht="15" customHeight="1">
      <c r="B2432" s="187"/>
      <c r="C2432" s="187"/>
      <c r="D2432" s="187"/>
      <c r="E2432" s="187"/>
      <c r="F2432" s="187"/>
      <c r="G2432" s="187"/>
      <c r="J2432" s="186"/>
      <c r="K2432" s="180"/>
      <c r="L2432" s="180"/>
    </row>
    <row r="2433" spans="2:12" s="188" customFormat="1" ht="15" customHeight="1">
      <c r="B2433" s="187"/>
      <c r="C2433" s="187"/>
      <c r="D2433" s="187"/>
      <c r="E2433" s="187"/>
      <c r="F2433" s="187"/>
      <c r="G2433" s="187"/>
      <c r="J2433" s="186"/>
      <c r="K2433" s="180"/>
      <c r="L2433" s="180"/>
    </row>
    <row r="2434" spans="2:12" s="188" customFormat="1" ht="15" customHeight="1">
      <c r="B2434" s="187"/>
      <c r="C2434" s="187"/>
      <c r="D2434" s="187"/>
      <c r="E2434" s="187"/>
      <c r="F2434" s="187"/>
      <c r="G2434" s="187"/>
      <c r="J2434" s="186"/>
      <c r="K2434" s="180"/>
      <c r="L2434" s="180"/>
    </row>
    <row r="2435" spans="2:12" s="188" customFormat="1" ht="15" customHeight="1">
      <c r="B2435" s="187"/>
      <c r="C2435" s="187"/>
      <c r="D2435" s="187"/>
      <c r="E2435" s="187"/>
      <c r="F2435" s="187"/>
      <c r="G2435" s="187"/>
      <c r="J2435" s="186"/>
      <c r="K2435" s="180"/>
      <c r="L2435" s="180"/>
    </row>
    <row r="2436" spans="2:12" s="188" customFormat="1" ht="15" customHeight="1">
      <c r="B2436" s="187"/>
      <c r="C2436" s="187"/>
      <c r="D2436" s="187"/>
      <c r="E2436" s="187"/>
      <c r="F2436" s="187"/>
      <c r="G2436" s="187"/>
      <c r="J2436" s="186"/>
      <c r="K2436" s="180"/>
      <c r="L2436" s="180"/>
    </row>
    <row r="2437" spans="2:12" s="188" customFormat="1" ht="15" customHeight="1">
      <c r="B2437" s="187"/>
      <c r="C2437" s="187"/>
      <c r="D2437" s="187"/>
      <c r="E2437" s="187"/>
      <c r="F2437" s="187"/>
      <c r="G2437" s="187"/>
      <c r="J2437" s="186"/>
      <c r="K2437" s="180"/>
      <c r="L2437" s="180"/>
    </row>
    <row r="2438" spans="2:12" s="188" customFormat="1" ht="15" customHeight="1">
      <c r="B2438" s="187"/>
      <c r="C2438" s="187"/>
      <c r="D2438" s="187"/>
      <c r="E2438" s="187"/>
      <c r="F2438" s="187"/>
      <c r="G2438" s="187"/>
      <c r="J2438" s="186"/>
      <c r="K2438" s="180"/>
      <c r="L2438" s="180"/>
    </row>
    <row r="2439" spans="2:12" s="188" customFormat="1" ht="15" customHeight="1">
      <c r="B2439" s="187"/>
      <c r="C2439" s="187"/>
      <c r="D2439" s="187"/>
      <c r="E2439" s="187"/>
      <c r="F2439" s="187"/>
      <c r="G2439" s="187"/>
      <c r="J2439" s="186"/>
      <c r="K2439" s="180"/>
      <c r="L2439" s="180"/>
    </row>
    <row r="2440" spans="2:12" s="188" customFormat="1" ht="15" customHeight="1">
      <c r="B2440" s="187"/>
      <c r="C2440" s="187"/>
      <c r="D2440" s="187"/>
      <c r="E2440" s="187"/>
      <c r="F2440" s="187"/>
      <c r="G2440" s="187"/>
      <c r="J2440" s="186"/>
      <c r="K2440" s="180"/>
      <c r="L2440" s="180"/>
    </row>
    <row r="2441" spans="2:12" s="188" customFormat="1" ht="15" customHeight="1">
      <c r="B2441" s="187"/>
      <c r="C2441" s="187"/>
      <c r="D2441" s="187"/>
      <c r="E2441" s="187"/>
      <c r="F2441" s="187"/>
      <c r="G2441" s="187"/>
      <c r="J2441" s="186"/>
      <c r="K2441" s="180"/>
      <c r="L2441" s="180"/>
    </row>
    <row r="2442" spans="2:12" s="188" customFormat="1" ht="15" customHeight="1">
      <c r="B2442" s="187"/>
      <c r="C2442" s="187"/>
      <c r="D2442" s="187"/>
      <c r="E2442" s="187"/>
      <c r="F2442" s="187"/>
      <c r="G2442" s="187"/>
      <c r="J2442" s="186"/>
      <c r="K2442" s="180"/>
      <c r="L2442" s="180"/>
    </row>
    <row r="2443" spans="2:12" s="188" customFormat="1" ht="15" customHeight="1">
      <c r="B2443" s="187"/>
      <c r="C2443" s="187"/>
      <c r="D2443" s="187"/>
      <c r="E2443" s="187"/>
      <c r="F2443" s="187"/>
      <c r="G2443" s="187"/>
      <c r="J2443" s="186"/>
      <c r="K2443" s="180"/>
      <c r="L2443" s="180"/>
    </row>
    <row r="2444" spans="2:12" s="188" customFormat="1" ht="15" customHeight="1">
      <c r="B2444" s="187"/>
      <c r="C2444" s="187"/>
      <c r="D2444" s="187"/>
      <c r="E2444" s="187"/>
      <c r="F2444" s="187"/>
      <c r="G2444" s="187"/>
      <c r="J2444" s="186"/>
      <c r="K2444" s="180"/>
      <c r="L2444" s="180"/>
    </row>
    <row r="2445" spans="2:12" s="188" customFormat="1" ht="15" customHeight="1">
      <c r="B2445" s="187"/>
      <c r="C2445" s="187"/>
      <c r="D2445" s="187"/>
      <c r="E2445" s="187"/>
      <c r="F2445" s="187"/>
      <c r="G2445" s="187"/>
      <c r="J2445" s="186"/>
      <c r="K2445" s="180"/>
      <c r="L2445" s="180"/>
    </row>
    <row r="2446" spans="2:12" s="188" customFormat="1" ht="15" customHeight="1">
      <c r="B2446" s="187"/>
      <c r="C2446" s="187"/>
      <c r="D2446" s="187"/>
      <c r="E2446" s="187"/>
      <c r="F2446" s="187"/>
      <c r="G2446" s="187"/>
      <c r="J2446" s="186"/>
      <c r="K2446" s="180"/>
      <c r="L2446" s="180"/>
    </row>
    <row r="2447" spans="2:12" s="188" customFormat="1" ht="15" customHeight="1">
      <c r="B2447" s="187"/>
      <c r="C2447" s="187"/>
      <c r="D2447" s="187"/>
      <c r="E2447" s="187"/>
      <c r="F2447" s="187"/>
      <c r="G2447" s="187"/>
      <c r="J2447" s="186"/>
      <c r="K2447" s="180"/>
      <c r="L2447" s="180"/>
    </row>
    <row r="2448" spans="2:12" s="188" customFormat="1" ht="15" customHeight="1">
      <c r="B2448" s="187"/>
      <c r="C2448" s="187"/>
      <c r="D2448" s="187"/>
      <c r="E2448" s="187"/>
      <c r="F2448" s="187"/>
      <c r="G2448" s="187"/>
      <c r="J2448" s="186"/>
      <c r="K2448" s="180"/>
      <c r="L2448" s="180"/>
    </row>
    <row r="2449" spans="2:12" s="188" customFormat="1" ht="15" customHeight="1">
      <c r="B2449" s="187"/>
      <c r="C2449" s="187"/>
      <c r="D2449" s="187"/>
      <c r="E2449" s="187"/>
      <c r="F2449" s="187"/>
      <c r="G2449" s="187"/>
      <c r="J2449" s="186"/>
      <c r="K2449" s="180"/>
      <c r="L2449" s="180"/>
    </row>
    <row r="2450" spans="2:12" s="188" customFormat="1" ht="15" customHeight="1">
      <c r="B2450" s="187"/>
      <c r="C2450" s="187"/>
      <c r="D2450" s="187"/>
      <c r="E2450" s="187"/>
      <c r="F2450" s="187"/>
      <c r="G2450" s="187"/>
      <c r="J2450" s="186"/>
      <c r="K2450" s="180"/>
      <c r="L2450" s="180"/>
    </row>
    <row r="2451" spans="2:12" s="188" customFormat="1" ht="15" customHeight="1">
      <c r="B2451" s="187"/>
      <c r="C2451" s="187"/>
      <c r="D2451" s="187"/>
      <c r="E2451" s="187"/>
      <c r="F2451" s="187"/>
      <c r="G2451" s="187"/>
      <c r="J2451" s="186"/>
      <c r="K2451" s="180"/>
      <c r="L2451" s="180"/>
    </row>
    <row r="2452" spans="2:12" s="188" customFormat="1" ht="15" customHeight="1">
      <c r="B2452" s="187"/>
      <c r="C2452" s="187"/>
      <c r="D2452" s="187"/>
      <c r="E2452" s="187"/>
      <c r="F2452" s="187"/>
      <c r="G2452" s="187"/>
      <c r="J2452" s="186"/>
      <c r="K2452" s="180"/>
      <c r="L2452" s="180"/>
    </row>
    <row r="2453" spans="2:12" s="188" customFormat="1" ht="15" customHeight="1">
      <c r="B2453" s="187"/>
      <c r="C2453" s="187"/>
      <c r="D2453" s="187"/>
      <c r="E2453" s="187"/>
      <c r="F2453" s="187"/>
      <c r="G2453" s="187"/>
      <c r="J2453" s="186"/>
      <c r="K2453" s="180"/>
      <c r="L2453" s="180"/>
    </row>
    <row r="2454" spans="2:12" s="188" customFormat="1" ht="15" customHeight="1">
      <c r="B2454" s="187"/>
      <c r="C2454" s="187"/>
      <c r="D2454" s="187"/>
      <c r="E2454" s="187"/>
      <c r="F2454" s="187"/>
      <c r="G2454" s="187"/>
      <c r="J2454" s="186"/>
      <c r="K2454" s="180"/>
      <c r="L2454" s="180"/>
    </row>
    <row r="2455" spans="2:12" s="188" customFormat="1" ht="15" customHeight="1">
      <c r="B2455" s="187"/>
      <c r="C2455" s="187"/>
      <c r="D2455" s="187"/>
      <c r="E2455" s="187"/>
      <c r="F2455" s="187"/>
      <c r="G2455" s="187"/>
      <c r="J2455" s="186"/>
      <c r="K2455" s="180"/>
      <c r="L2455" s="180"/>
    </row>
    <row r="2456" spans="2:12" s="188" customFormat="1" ht="15" customHeight="1">
      <c r="B2456" s="187"/>
      <c r="C2456" s="187"/>
      <c r="D2456" s="187"/>
      <c r="E2456" s="187"/>
      <c r="F2456" s="187"/>
      <c r="G2456" s="187"/>
      <c r="J2456" s="186"/>
      <c r="K2456" s="180"/>
      <c r="L2456" s="180"/>
    </row>
    <row r="2457" spans="2:12" s="188" customFormat="1" ht="15" customHeight="1">
      <c r="B2457" s="187"/>
      <c r="C2457" s="187"/>
      <c r="D2457" s="187"/>
      <c r="E2457" s="187"/>
      <c r="F2457" s="187"/>
      <c r="G2457" s="187"/>
      <c r="J2457" s="186"/>
      <c r="K2457" s="180"/>
      <c r="L2457" s="180"/>
    </row>
    <row r="2458" spans="2:12" s="188" customFormat="1" ht="15" customHeight="1">
      <c r="B2458" s="187"/>
      <c r="C2458" s="187"/>
      <c r="D2458" s="187"/>
      <c r="E2458" s="187"/>
      <c r="F2458" s="187"/>
      <c r="G2458" s="187"/>
      <c r="J2458" s="186"/>
      <c r="K2458" s="180"/>
      <c r="L2458" s="180"/>
    </row>
    <row r="2459" spans="2:12" s="188" customFormat="1" ht="15" customHeight="1">
      <c r="B2459" s="187"/>
      <c r="C2459" s="187"/>
      <c r="D2459" s="187"/>
      <c r="E2459" s="187"/>
      <c r="F2459" s="187"/>
      <c r="G2459" s="187"/>
      <c r="J2459" s="186"/>
      <c r="K2459" s="180"/>
      <c r="L2459" s="180"/>
    </row>
    <row r="2460" spans="2:12" s="188" customFormat="1" ht="15" customHeight="1">
      <c r="B2460" s="187"/>
      <c r="C2460" s="187"/>
      <c r="D2460" s="187"/>
      <c r="E2460" s="187"/>
      <c r="F2460" s="187"/>
      <c r="G2460" s="187"/>
      <c r="J2460" s="186"/>
      <c r="K2460" s="180"/>
      <c r="L2460" s="180"/>
    </row>
    <row r="2461" spans="2:12" s="188" customFormat="1" ht="15" customHeight="1">
      <c r="B2461" s="187"/>
      <c r="C2461" s="187"/>
      <c r="D2461" s="187"/>
      <c r="E2461" s="187"/>
      <c r="F2461" s="187"/>
      <c r="G2461" s="187"/>
      <c r="J2461" s="186"/>
      <c r="K2461" s="180"/>
      <c r="L2461" s="180"/>
    </row>
    <row r="2462" spans="2:12" s="188" customFormat="1" ht="15" customHeight="1">
      <c r="B2462" s="187"/>
      <c r="C2462" s="187"/>
      <c r="D2462" s="187"/>
      <c r="E2462" s="187"/>
      <c r="F2462" s="187"/>
      <c r="G2462" s="187"/>
      <c r="J2462" s="186"/>
      <c r="K2462" s="180"/>
      <c r="L2462" s="180"/>
    </row>
    <row r="2463" spans="2:12" s="188" customFormat="1" ht="15" customHeight="1">
      <c r="B2463" s="187"/>
      <c r="C2463" s="187"/>
      <c r="D2463" s="187"/>
      <c r="E2463" s="187"/>
      <c r="F2463" s="187"/>
      <c r="G2463" s="187"/>
      <c r="J2463" s="186"/>
      <c r="K2463" s="180"/>
      <c r="L2463" s="180"/>
    </row>
    <row r="2464" spans="2:12" s="188" customFormat="1" ht="15" customHeight="1">
      <c r="B2464" s="187"/>
      <c r="C2464" s="187"/>
      <c r="D2464" s="187"/>
      <c r="E2464" s="187"/>
      <c r="F2464" s="187"/>
      <c r="G2464" s="187"/>
      <c r="J2464" s="186"/>
      <c r="K2464" s="180"/>
      <c r="L2464" s="180"/>
    </row>
    <row r="2465" spans="2:12" s="188" customFormat="1" ht="15" customHeight="1">
      <c r="B2465" s="187"/>
      <c r="C2465" s="187"/>
      <c r="D2465" s="187"/>
      <c r="E2465" s="187"/>
      <c r="F2465" s="187"/>
      <c r="G2465" s="187"/>
      <c r="J2465" s="186"/>
      <c r="K2465" s="180"/>
      <c r="L2465" s="180"/>
    </row>
    <row r="2466" spans="2:12" s="188" customFormat="1" ht="15" customHeight="1">
      <c r="B2466" s="187"/>
      <c r="C2466" s="187"/>
      <c r="D2466" s="187"/>
      <c r="E2466" s="187"/>
      <c r="F2466" s="187"/>
      <c r="G2466" s="187"/>
      <c r="J2466" s="186"/>
      <c r="K2466" s="180"/>
      <c r="L2466" s="180"/>
    </row>
    <row r="2467" spans="2:12" s="188" customFormat="1" ht="15" customHeight="1">
      <c r="B2467" s="187"/>
      <c r="C2467" s="187"/>
      <c r="D2467" s="187"/>
      <c r="E2467" s="187"/>
      <c r="F2467" s="187"/>
      <c r="G2467" s="187"/>
      <c r="J2467" s="186"/>
      <c r="K2467" s="180"/>
      <c r="L2467" s="180"/>
    </row>
    <row r="2468" spans="2:12" s="188" customFormat="1" ht="15" customHeight="1">
      <c r="B2468" s="187"/>
      <c r="C2468" s="187"/>
      <c r="D2468" s="187"/>
      <c r="E2468" s="187"/>
      <c r="F2468" s="187"/>
      <c r="G2468" s="187"/>
      <c r="J2468" s="186"/>
      <c r="K2468" s="180"/>
      <c r="L2468" s="180"/>
    </row>
    <row r="2469" spans="2:12" s="188" customFormat="1" ht="15" customHeight="1">
      <c r="B2469" s="187"/>
      <c r="C2469" s="187"/>
      <c r="D2469" s="187"/>
      <c r="E2469" s="187"/>
      <c r="F2469" s="187"/>
      <c r="G2469" s="187"/>
      <c r="J2469" s="186"/>
      <c r="K2469" s="180"/>
      <c r="L2469" s="180"/>
    </row>
    <row r="2470" spans="2:12" s="188" customFormat="1" ht="15" customHeight="1">
      <c r="B2470" s="187"/>
      <c r="C2470" s="187"/>
      <c r="D2470" s="187"/>
      <c r="E2470" s="187"/>
      <c r="F2470" s="187"/>
      <c r="G2470" s="187"/>
      <c r="J2470" s="186"/>
      <c r="K2470" s="180"/>
      <c r="L2470" s="180"/>
    </row>
    <row r="2471" spans="2:12" s="188" customFormat="1" ht="15" customHeight="1">
      <c r="B2471" s="187"/>
      <c r="C2471" s="187"/>
      <c r="D2471" s="187"/>
      <c r="E2471" s="187"/>
      <c r="F2471" s="187"/>
      <c r="G2471" s="187"/>
      <c r="J2471" s="186"/>
      <c r="K2471" s="180"/>
      <c r="L2471" s="180"/>
    </row>
    <row r="2472" spans="2:12" s="188" customFormat="1" ht="15" customHeight="1">
      <c r="B2472" s="187"/>
      <c r="C2472" s="187"/>
      <c r="D2472" s="187"/>
      <c r="E2472" s="187"/>
      <c r="F2472" s="187"/>
      <c r="G2472" s="187"/>
      <c r="J2472" s="186"/>
      <c r="K2472" s="180"/>
      <c r="L2472" s="180"/>
    </row>
    <row r="2473" spans="2:12" s="188" customFormat="1" ht="15" customHeight="1">
      <c r="B2473" s="187"/>
      <c r="C2473" s="187"/>
      <c r="D2473" s="187"/>
      <c r="E2473" s="187"/>
      <c r="F2473" s="187"/>
      <c r="G2473" s="187"/>
      <c r="J2473" s="186"/>
      <c r="K2473" s="180"/>
      <c r="L2473" s="180"/>
    </row>
    <row r="2474" spans="2:12" s="188" customFormat="1" ht="15" customHeight="1">
      <c r="B2474" s="187"/>
      <c r="C2474" s="187"/>
      <c r="D2474" s="187"/>
      <c r="E2474" s="187"/>
      <c r="F2474" s="187"/>
      <c r="G2474" s="187"/>
      <c r="J2474" s="186"/>
      <c r="K2474" s="180"/>
      <c r="L2474" s="180"/>
    </row>
    <row r="2475" spans="2:12" s="188" customFormat="1" ht="15" customHeight="1">
      <c r="B2475" s="187"/>
      <c r="C2475" s="187"/>
      <c r="D2475" s="187"/>
      <c r="E2475" s="187"/>
      <c r="F2475" s="187"/>
      <c r="G2475" s="187"/>
      <c r="J2475" s="186"/>
      <c r="K2475" s="180"/>
      <c r="L2475" s="180"/>
    </row>
    <row r="2476" spans="2:12" s="188" customFormat="1" ht="15" customHeight="1">
      <c r="B2476" s="187"/>
      <c r="C2476" s="187"/>
      <c r="D2476" s="187"/>
      <c r="E2476" s="187"/>
      <c r="F2476" s="187"/>
      <c r="G2476" s="187"/>
      <c r="J2476" s="186"/>
      <c r="K2476" s="180"/>
      <c r="L2476" s="180"/>
    </row>
    <row r="2477" spans="2:12" s="188" customFormat="1" ht="15" customHeight="1">
      <c r="B2477" s="187"/>
      <c r="C2477" s="187"/>
      <c r="D2477" s="187"/>
      <c r="E2477" s="187"/>
      <c r="F2477" s="187"/>
      <c r="G2477" s="187"/>
      <c r="J2477" s="186"/>
      <c r="K2477" s="180"/>
      <c r="L2477" s="180"/>
    </row>
    <row r="2478" spans="2:12" s="188" customFormat="1" ht="15" customHeight="1">
      <c r="B2478" s="187"/>
      <c r="C2478" s="187"/>
      <c r="D2478" s="187"/>
      <c r="E2478" s="187"/>
      <c r="F2478" s="187"/>
      <c r="G2478" s="187"/>
      <c r="J2478" s="186"/>
      <c r="K2478" s="180"/>
      <c r="L2478" s="180"/>
    </row>
    <row r="2479" spans="2:12" s="188" customFormat="1" ht="15" customHeight="1">
      <c r="B2479" s="187"/>
      <c r="C2479" s="187"/>
      <c r="D2479" s="187"/>
      <c r="E2479" s="187"/>
      <c r="F2479" s="187"/>
      <c r="G2479" s="187"/>
      <c r="J2479" s="186"/>
      <c r="K2479" s="180"/>
      <c r="L2479" s="180"/>
    </row>
    <row r="2480" spans="2:12" s="188" customFormat="1" ht="15" customHeight="1">
      <c r="B2480" s="187"/>
      <c r="C2480" s="187"/>
      <c r="D2480" s="187"/>
      <c r="E2480" s="187"/>
      <c r="F2480" s="187"/>
      <c r="G2480" s="187"/>
      <c r="J2480" s="186"/>
      <c r="K2480" s="180"/>
      <c r="L2480" s="180"/>
    </row>
    <row r="2481" spans="2:12" s="188" customFormat="1" ht="15" customHeight="1">
      <c r="B2481" s="187"/>
      <c r="C2481" s="187"/>
      <c r="D2481" s="187"/>
      <c r="E2481" s="187"/>
      <c r="F2481" s="187"/>
      <c r="G2481" s="187"/>
      <c r="J2481" s="186"/>
      <c r="K2481" s="180"/>
      <c r="L2481" s="180"/>
    </row>
    <row r="2482" spans="2:12" s="188" customFormat="1" ht="15" customHeight="1">
      <c r="B2482" s="187"/>
      <c r="C2482" s="187"/>
      <c r="D2482" s="187"/>
      <c r="E2482" s="187"/>
      <c r="F2482" s="187"/>
      <c r="G2482" s="187"/>
      <c r="J2482" s="186"/>
      <c r="K2482" s="180"/>
      <c r="L2482" s="180"/>
    </row>
    <row r="2483" spans="2:12" s="188" customFormat="1" ht="15" customHeight="1">
      <c r="B2483" s="187"/>
      <c r="C2483" s="187"/>
      <c r="D2483" s="187"/>
      <c r="E2483" s="187"/>
      <c r="F2483" s="187"/>
      <c r="G2483" s="187"/>
      <c r="J2483" s="186"/>
      <c r="K2483" s="180"/>
      <c r="L2483" s="180"/>
    </row>
    <row r="2484" spans="2:12" s="188" customFormat="1" ht="15" customHeight="1">
      <c r="B2484" s="187"/>
      <c r="C2484" s="187"/>
      <c r="D2484" s="187"/>
      <c r="E2484" s="187"/>
      <c r="F2484" s="187"/>
      <c r="G2484" s="187"/>
      <c r="J2484" s="186"/>
      <c r="K2484" s="180"/>
      <c r="L2484" s="180"/>
    </row>
    <row r="2485" spans="2:12" s="188" customFormat="1" ht="15" customHeight="1">
      <c r="B2485" s="187"/>
      <c r="C2485" s="187"/>
      <c r="D2485" s="187"/>
      <c r="E2485" s="187"/>
      <c r="F2485" s="187"/>
      <c r="G2485" s="187"/>
      <c r="J2485" s="186"/>
      <c r="K2485" s="180"/>
      <c r="L2485" s="180"/>
    </row>
    <row r="2486" spans="2:12" s="188" customFormat="1" ht="15" customHeight="1">
      <c r="B2486" s="187"/>
      <c r="C2486" s="187"/>
      <c r="D2486" s="187"/>
      <c r="E2486" s="187"/>
      <c r="F2486" s="187"/>
      <c r="G2486" s="187"/>
      <c r="J2486" s="186"/>
      <c r="K2486" s="180"/>
      <c r="L2486" s="180"/>
    </row>
    <row r="2487" spans="2:12" s="188" customFormat="1" ht="15" customHeight="1">
      <c r="B2487" s="187"/>
      <c r="C2487" s="187"/>
      <c r="D2487" s="187"/>
      <c r="E2487" s="187"/>
      <c r="F2487" s="187"/>
      <c r="G2487" s="187"/>
      <c r="J2487" s="186"/>
      <c r="K2487" s="180"/>
      <c r="L2487" s="180"/>
    </row>
    <row r="2488" spans="2:12" s="188" customFormat="1" ht="15" customHeight="1">
      <c r="B2488" s="187"/>
      <c r="C2488" s="187"/>
      <c r="D2488" s="187"/>
      <c r="E2488" s="187"/>
      <c r="F2488" s="187"/>
      <c r="G2488" s="187"/>
      <c r="J2488" s="186"/>
      <c r="K2488" s="180"/>
      <c r="L2488" s="180"/>
    </row>
    <row r="2489" spans="2:12" s="188" customFormat="1" ht="15" customHeight="1">
      <c r="B2489" s="187"/>
      <c r="C2489" s="187"/>
      <c r="D2489" s="187"/>
      <c r="E2489" s="187"/>
      <c r="F2489" s="187"/>
      <c r="G2489" s="187"/>
      <c r="J2489" s="186"/>
      <c r="K2489" s="180"/>
      <c r="L2489" s="180"/>
    </row>
    <row r="2490" spans="2:12" s="188" customFormat="1" ht="15" customHeight="1">
      <c r="B2490" s="187"/>
      <c r="C2490" s="187"/>
      <c r="D2490" s="187"/>
      <c r="E2490" s="187"/>
      <c r="F2490" s="187"/>
      <c r="G2490" s="187"/>
      <c r="J2490" s="186"/>
      <c r="K2490" s="180"/>
      <c r="L2490" s="180"/>
    </row>
    <row r="2491" spans="2:12" s="188" customFormat="1" ht="15" customHeight="1">
      <c r="B2491" s="187"/>
      <c r="C2491" s="187"/>
      <c r="D2491" s="187"/>
      <c r="E2491" s="187"/>
      <c r="F2491" s="187"/>
      <c r="G2491" s="187"/>
      <c r="J2491" s="186"/>
      <c r="K2491" s="180"/>
      <c r="L2491" s="180"/>
    </row>
    <row r="2492" spans="2:12" s="188" customFormat="1" ht="15" customHeight="1">
      <c r="B2492" s="187"/>
      <c r="C2492" s="187"/>
      <c r="D2492" s="187"/>
      <c r="E2492" s="187"/>
      <c r="F2492" s="187"/>
      <c r="G2492" s="187"/>
      <c r="J2492" s="186"/>
      <c r="K2492" s="180"/>
      <c r="L2492" s="180"/>
    </row>
    <row r="2493" spans="2:12" s="188" customFormat="1" ht="15" customHeight="1">
      <c r="B2493" s="187"/>
      <c r="C2493" s="187"/>
      <c r="D2493" s="187"/>
      <c r="E2493" s="187"/>
      <c r="F2493" s="187"/>
      <c r="G2493" s="187"/>
      <c r="J2493" s="186"/>
      <c r="K2493" s="180"/>
      <c r="L2493" s="180"/>
    </row>
    <row r="2494" spans="2:12" s="188" customFormat="1" ht="15" customHeight="1">
      <c r="B2494" s="187"/>
      <c r="C2494" s="187"/>
      <c r="D2494" s="187"/>
      <c r="E2494" s="187"/>
      <c r="F2494" s="187"/>
      <c r="G2494" s="187"/>
      <c r="J2494" s="186"/>
      <c r="K2494" s="180"/>
      <c r="L2494" s="180"/>
    </row>
    <row r="2495" spans="2:12" s="188" customFormat="1" ht="15" customHeight="1">
      <c r="B2495" s="187"/>
      <c r="C2495" s="187"/>
      <c r="D2495" s="187"/>
      <c r="E2495" s="187"/>
      <c r="F2495" s="187"/>
      <c r="G2495" s="187"/>
      <c r="J2495" s="186"/>
      <c r="K2495" s="180"/>
      <c r="L2495" s="180"/>
    </row>
    <row r="2496" spans="2:12" s="188" customFormat="1" ht="15" customHeight="1">
      <c r="B2496" s="187"/>
      <c r="C2496" s="187"/>
      <c r="D2496" s="187"/>
      <c r="E2496" s="187"/>
      <c r="F2496" s="187"/>
      <c r="G2496" s="187"/>
      <c r="J2496" s="186"/>
      <c r="K2496" s="180"/>
      <c r="L2496" s="180"/>
    </row>
    <row r="2497" spans="2:12" s="188" customFormat="1" ht="15" customHeight="1">
      <c r="B2497" s="187"/>
      <c r="C2497" s="187"/>
      <c r="D2497" s="187"/>
      <c r="E2497" s="187"/>
      <c r="F2497" s="187"/>
      <c r="G2497" s="187"/>
      <c r="J2497" s="186"/>
      <c r="K2497" s="180"/>
      <c r="L2497" s="180"/>
    </row>
    <row r="2498" spans="2:12" s="188" customFormat="1" ht="15" customHeight="1">
      <c r="B2498" s="187"/>
      <c r="C2498" s="187"/>
      <c r="D2498" s="187"/>
      <c r="E2498" s="187"/>
      <c r="F2498" s="187"/>
      <c r="G2498" s="187"/>
      <c r="J2498" s="186"/>
      <c r="K2498" s="180"/>
      <c r="L2498" s="180"/>
    </row>
    <row r="2499" spans="2:12" s="188" customFormat="1" ht="15" customHeight="1">
      <c r="B2499" s="187"/>
      <c r="C2499" s="187"/>
      <c r="D2499" s="187"/>
      <c r="E2499" s="187"/>
      <c r="F2499" s="187"/>
      <c r="G2499" s="187"/>
      <c r="J2499" s="186"/>
      <c r="K2499" s="180"/>
      <c r="L2499" s="180"/>
    </row>
    <row r="2500" spans="2:12" s="188" customFormat="1" ht="15" customHeight="1">
      <c r="B2500" s="187"/>
      <c r="C2500" s="187"/>
      <c r="D2500" s="187"/>
      <c r="E2500" s="187"/>
      <c r="F2500" s="187"/>
      <c r="G2500" s="187"/>
      <c r="J2500" s="186"/>
      <c r="K2500" s="180"/>
      <c r="L2500" s="180"/>
    </row>
    <row r="2501" spans="2:12" s="188" customFormat="1" ht="15" customHeight="1">
      <c r="B2501" s="187"/>
      <c r="C2501" s="187"/>
      <c r="D2501" s="187"/>
      <c r="E2501" s="187"/>
      <c r="F2501" s="187"/>
      <c r="G2501" s="187"/>
      <c r="J2501" s="186"/>
      <c r="K2501" s="180"/>
      <c r="L2501" s="180"/>
    </row>
    <row r="2502" spans="2:12" s="188" customFormat="1" ht="15" customHeight="1">
      <c r="B2502" s="187"/>
      <c r="C2502" s="187"/>
      <c r="D2502" s="187"/>
      <c r="E2502" s="187"/>
      <c r="F2502" s="187"/>
      <c r="G2502" s="187"/>
      <c r="J2502" s="186"/>
      <c r="K2502" s="180"/>
      <c r="L2502" s="180"/>
    </row>
    <row r="2503" spans="2:12" s="188" customFormat="1" ht="15" customHeight="1">
      <c r="B2503" s="187"/>
      <c r="C2503" s="187"/>
      <c r="D2503" s="187"/>
      <c r="E2503" s="187"/>
      <c r="F2503" s="187"/>
      <c r="G2503" s="187"/>
      <c r="J2503" s="186"/>
      <c r="K2503" s="180"/>
      <c r="L2503" s="180"/>
    </row>
    <row r="2504" spans="2:12" s="188" customFormat="1" ht="15" customHeight="1">
      <c r="B2504" s="187"/>
      <c r="C2504" s="187"/>
      <c r="D2504" s="187"/>
      <c r="E2504" s="187"/>
      <c r="F2504" s="187"/>
      <c r="G2504" s="187"/>
      <c r="J2504" s="186"/>
      <c r="K2504" s="180"/>
      <c r="L2504" s="180"/>
    </row>
    <row r="2505" spans="2:12" s="188" customFormat="1" ht="15" customHeight="1">
      <c r="B2505" s="187"/>
      <c r="C2505" s="187"/>
      <c r="D2505" s="187"/>
      <c r="E2505" s="187"/>
      <c r="F2505" s="187"/>
      <c r="G2505" s="187"/>
      <c r="J2505" s="186"/>
      <c r="K2505" s="180"/>
      <c r="L2505" s="180"/>
    </row>
    <row r="2506" spans="2:12" s="188" customFormat="1" ht="15" customHeight="1">
      <c r="B2506" s="187"/>
      <c r="C2506" s="187"/>
      <c r="D2506" s="187"/>
      <c r="E2506" s="187"/>
      <c r="F2506" s="187"/>
      <c r="G2506" s="187"/>
      <c r="J2506" s="186"/>
      <c r="K2506" s="180"/>
      <c r="L2506" s="180"/>
    </row>
    <row r="2507" spans="2:12" s="188" customFormat="1" ht="15" customHeight="1">
      <c r="B2507" s="187"/>
      <c r="C2507" s="187"/>
      <c r="D2507" s="187"/>
      <c r="E2507" s="187"/>
      <c r="F2507" s="187"/>
      <c r="G2507" s="187"/>
      <c r="J2507" s="186"/>
      <c r="K2507" s="180"/>
      <c r="L2507" s="180"/>
    </row>
    <row r="2508" spans="2:12" s="188" customFormat="1" ht="15" customHeight="1">
      <c r="B2508" s="187"/>
      <c r="C2508" s="187"/>
      <c r="D2508" s="187"/>
      <c r="E2508" s="187"/>
      <c r="F2508" s="187"/>
      <c r="G2508" s="187"/>
      <c r="J2508" s="186"/>
      <c r="K2508" s="180"/>
      <c r="L2508" s="180"/>
    </row>
    <row r="2509" spans="2:12" s="188" customFormat="1" ht="15" customHeight="1">
      <c r="B2509" s="187"/>
      <c r="C2509" s="187"/>
      <c r="D2509" s="187"/>
      <c r="E2509" s="187"/>
      <c r="F2509" s="187"/>
      <c r="G2509" s="187"/>
      <c r="J2509" s="186"/>
      <c r="K2509" s="180"/>
      <c r="L2509" s="180"/>
    </row>
    <row r="2510" spans="2:12" s="188" customFormat="1" ht="15" customHeight="1">
      <c r="B2510" s="187"/>
      <c r="C2510" s="187"/>
      <c r="D2510" s="187"/>
      <c r="E2510" s="187"/>
      <c r="F2510" s="187"/>
      <c r="G2510" s="187"/>
      <c r="J2510" s="186"/>
      <c r="K2510" s="180"/>
      <c r="L2510" s="180"/>
    </row>
    <row r="2511" spans="2:12" s="188" customFormat="1" ht="15" customHeight="1">
      <c r="B2511" s="187"/>
      <c r="C2511" s="187"/>
      <c r="D2511" s="187"/>
      <c r="E2511" s="187"/>
      <c r="F2511" s="187"/>
      <c r="G2511" s="187"/>
      <c r="J2511" s="186"/>
      <c r="K2511" s="180"/>
      <c r="L2511" s="180"/>
    </row>
    <row r="2512" spans="2:12" s="188" customFormat="1" ht="15" customHeight="1">
      <c r="B2512" s="187"/>
      <c r="C2512" s="187"/>
      <c r="D2512" s="187"/>
      <c r="E2512" s="187"/>
      <c r="F2512" s="187"/>
      <c r="G2512" s="187"/>
      <c r="J2512" s="186"/>
      <c r="K2512" s="180"/>
      <c r="L2512" s="180"/>
    </row>
    <row r="2513" spans="2:12" s="188" customFormat="1" ht="15" customHeight="1">
      <c r="B2513" s="187"/>
      <c r="C2513" s="187"/>
      <c r="D2513" s="187"/>
      <c r="E2513" s="187"/>
      <c r="F2513" s="187"/>
      <c r="G2513" s="187"/>
      <c r="J2513" s="186"/>
      <c r="K2513" s="180"/>
      <c r="L2513" s="180"/>
    </row>
    <row r="2514" spans="2:12" s="188" customFormat="1" ht="15" customHeight="1">
      <c r="B2514" s="187"/>
      <c r="C2514" s="187"/>
      <c r="D2514" s="187"/>
      <c r="E2514" s="187"/>
      <c r="F2514" s="187"/>
      <c r="G2514" s="187"/>
      <c r="J2514" s="186"/>
      <c r="K2514" s="180"/>
      <c r="L2514" s="180"/>
    </row>
    <row r="2515" spans="2:12" s="188" customFormat="1" ht="15" customHeight="1">
      <c r="B2515" s="187"/>
      <c r="C2515" s="187"/>
      <c r="D2515" s="187"/>
      <c r="E2515" s="187"/>
      <c r="F2515" s="187"/>
      <c r="G2515" s="187"/>
      <c r="J2515" s="186"/>
      <c r="K2515" s="180"/>
      <c r="L2515" s="180"/>
    </row>
    <row r="2516" spans="2:12" s="188" customFormat="1" ht="15" customHeight="1">
      <c r="B2516" s="187"/>
      <c r="C2516" s="187"/>
      <c r="D2516" s="187"/>
      <c r="E2516" s="187"/>
      <c r="F2516" s="187"/>
      <c r="G2516" s="187"/>
      <c r="J2516" s="186"/>
      <c r="K2516" s="180"/>
      <c r="L2516" s="180"/>
    </row>
    <row r="2517" spans="2:12" s="188" customFormat="1" ht="15" customHeight="1">
      <c r="B2517" s="187"/>
      <c r="C2517" s="187"/>
      <c r="D2517" s="187"/>
      <c r="E2517" s="187"/>
      <c r="F2517" s="187"/>
      <c r="G2517" s="187"/>
      <c r="J2517" s="186"/>
      <c r="K2517" s="180"/>
      <c r="L2517" s="180"/>
    </row>
    <row r="2518" spans="2:12" s="188" customFormat="1" ht="15" customHeight="1">
      <c r="B2518" s="187"/>
      <c r="C2518" s="187"/>
      <c r="D2518" s="187"/>
      <c r="E2518" s="187"/>
      <c r="F2518" s="187"/>
      <c r="G2518" s="187"/>
      <c r="J2518" s="186"/>
      <c r="K2518" s="180"/>
      <c r="L2518" s="180"/>
    </row>
    <row r="2519" spans="2:12" s="188" customFormat="1" ht="15" customHeight="1">
      <c r="B2519" s="187"/>
      <c r="C2519" s="187"/>
      <c r="D2519" s="187"/>
      <c r="E2519" s="187"/>
      <c r="F2519" s="187"/>
      <c r="G2519" s="187"/>
      <c r="J2519" s="186"/>
      <c r="K2519" s="180"/>
      <c r="L2519" s="180"/>
    </row>
    <row r="2520" spans="2:12" s="188" customFormat="1" ht="15" customHeight="1">
      <c r="B2520" s="187"/>
      <c r="C2520" s="187"/>
      <c r="D2520" s="187"/>
      <c r="E2520" s="187"/>
      <c r="F2520" s="187"/>
      <c r="G2520" s="187"/>
      <c r="J2520" s="186"/>
      <c r="K2520" s="180"/>
      <c r="L2520" s="180"/>
    </row>
    <row r="2521" spans="2:12" s="188" customFormat="1" ht="15" customHeight="1">
      <c r="B2521" s="187"/>
      <c r="C2521" s="187"/>
      <c r="D2521" s="187"/>
      <c r="E2521" s="187"/>
      <c r="F2521" s="187"/>
      <c r="G2521" s="187"/>
      <c r="J2521" s="186"/>
      <c r="K2521" s="180"/>
      <c r="L2521" s="180"/>
    </row>
    <row r="2522" spans="2:12" s="188" customFormat="1" ht="15" customHeight="1">
      <c r="B2522" s="187"/>
      <c r="C2522" s="187"/>
      <c r="D2522" s="187"/>
      <c r="E2522" s="187"/>
      <c r="F2522" s="187"/>
      <c r="G2522" s="187"/>
      <c r="J2522" s="186"/>
      <c r="K2522" s="180"/>
      <c r="L2522" s="180"/>
    </row>
    <row r="2523" spans="2:12" s="188" customFormat="1" ht="15" customHeight="1">
      <c r="B2523" s="187"/>
      <c r="C2523" s="187"/>
      <c r="D2523" s="187"/>
      <c r="E2523" s="187"/>
      <c r="F2523" s="187"/>
      <c r="G2523" s="187"/>
      <c r="J2523" s="186"/>
      <c r="K2523" s="180"/>
      <c r="L2523" s="180"/>
    </row>
    <row r="2524" spans="2:12" s="188" customFormat="1" ht="15" customHeight="1">
      <c r="B2524" s="187"/>
      <c r="C2524" s="187"/>
      <c r="D2524" s="187"/>
      <c r="E2524" s="187"/>
      <c r="F2524" s="187"/>
      <c r="G2524" s="187"/>
      <c r="J2524" s="186"/>
      <c r="K2524" s="180"/>
      <c r="L2524" s="180"/>
    </row>
    <row r="2525" spans="2:12" s="188" customFormat="1" ht="15" customHeight="1">
      <c r="B2525" s="187"/>
      <c r="C2525" s="187"/>
      <c r="D2525" s="187"/>
      <c r="E2525" s="187"/>
      <c r="F2525" s="187"/>
      <c r="G2525" s="187"/>
      <c r="J2525" s="186"/>
      <c r="K2525" s="180"/>
      <c r="L2525" s="180"/>
    </row>
    <row r="2526" spans="2:12" s="188" customFormat="1" ht="15" customHeight="1">
      <c r="B2526" s="187"/>
      <c r="C2526" s="187"/>
      <c r="D2526" s="187"/>
      <c r="E2526" s="187"/>
      <c r="F2526" s="187"/>
      <c r="G2526" s="187"/>
      <c r="J2526" s="186"/>
      <c r="K2526" s="180"/>
      <c r="L2526" s="180"/>
    </row>
    <row r="2527" spans="2:12" s="188" customFormat="1" ht="15" customHeight="1">
      <c r="B2527" s="187"/>
      <c r="C2527" s="187"/>
      <c r="D2527" s="187"/>
      <c r="E2527" s="187"/>
      <c r="F2527" s="187"/>
      <c r="G2527" s="187"/>
      <c r="J2527" s="186"/>
      <c r="K2527" s="180"/>
      <c r="L2527" s="180"/>
    </row>
    <row r="2528" spans="2:12" s="188" customFormat="1" ht="15" customHeight="1">
      <c r="B2528" s="187"/>
      <c r="C2528" s="187"/>
      <c r="D2528" s="187"/>
      <c r="E2528" s="187"/>
      <c r="F2528" s="187"/>
      <c r="G2528" s="187"/>
      <c r="J2528" s="186"/>
      <c r="K2528" s="180"/>
      <c r="L2528" s="180"/>
    </row>
    <row r="2529" spans="2:12" s="188" customFormat="1" ht="15" customHeight="1">
      <c r="B2529" s="187"/>
      <c r="C2529" s="187"/>
      <c r="D2529" s="187"/>
      <c r="E2529" s="187"/>
      <c r="F2529" s="187"/>
      <c r="G2529" s="187"/>
      <c r="J2529" s="186"/>
      <c r="K2529" s="180"/>
      <c r="L2529" s="180"/>
    </row>
    <row r="2530" spans="2:12" s="188" customFormat="1" ht="15" customHeight="1">
      <c r="B2530" s="187"/>
      <c r="C2530" s="187"/>
      <c r="D2530" s="187"/>
      <c r="E2530" s="187"/>
      <c r="F2530" s="187"/>
      <c r="G2530" s="187"/>
      <c r="J2530" s="186"/>
      <c r="K2530" s="180"/>
      <c r="L2530" s="180"/>
    </row>
    <row r="2531" spans="2:12" s="188" customFormat="1" ht="15" customHeight="1">
      <c r="B2531" s="187"/>
      <c r="C2531" s="187"/>
      <c r="D2531" s="187"/>
      <c r="E2531" s="187"/>
      <c r="F2531" s="187"/>
      <c r="G2531" s="187"/>
      <c r="J2531" s="186"/>
      <c r="K2531" s="180"/>
      <c r="L2531" s="180"/>
    </row>
    <row r="2532" spans="2:12" s="188" customFormat="1" ht="15" customHeight="1">
      <c r="B2532" s="187"/>
      <c r="C2532" s="187"/>
      <c r="D2532" s="187"/>
      <c r="E2532" s="187"/>
      <c r="F2532" s="187"/>
      <c r="G2532" s="187"/>
      <c r="J2532" s="186"/>
      <c r="K2532" s="180"/>
      <c r="L2532" s="180"/>
    </row>
    <row r="2533" spans="2:12" s="188" customFormat="1" ht="15" customHeight="1">
      <c r="B2533" s="187"/>
      <c r="C2533" s="187"/>
      <c r="D2533" s="187"/>
      <c r="E2533" s="187"/>
      <c r="F2533" s="187"/>
      <c r="G2533" s="187"/>
      <c r="J2533" s="186"/>
      <c r="K2533" s="180"/>
      <c r="L2533" s="180"/>
    </row>
    <row r="2534" spans="2:12" s="188" customFormat="1" ht="15" customHeight="1">
      <c r="B2534" s="187"/>
      <c r="C2534" s="187"/>
      <c r="D2534" s="187"/>
      <c r="E2534" s="187"/>
      <c r="F2534" s="187"/>
      <c r="G2534" s="187"/>
      <c r="J2534" s="186"/>
      <c r="K2534" s="180"/>
      <c r="L2534" s="180"/>
    </row>
    <row r="2535" spans="2:12" s="188" customFormat="1" ht="15" customHeight="1">
      <c r="B2535" s="187"/>
      <c r="C2535" s="187"/>
      <c r="D2535" s="187"/>
      <c r="E2535" s="187"/>
      <c r="F2535" s="187"/>
      <c r="G2535" s="187"/>
      <c r="J2535" s="186"/>
      <c r="K2535" s="180"/>
      <c r="L2535" s="180"/>
    </row>
    <row r="2536" spans="2:12" s="188" customFormat="1" ht="15" customHeight="1">
      <c r="B2536" s="187"/>
      <c r="C2536" s="187"/>
      <c r="D2536" s="187"/>
      <c r="E2536" s="187"/>
      <c r="F2536" s="187"/>
      <c r="G2536" s="187"/>
      <c r="J2536" s="186"/>
      <c r="K2536" s="180"/>
      <c r="L2536" s="180"/>
    </row>
    <row r="2537" spans="2:12" s="188" customFormat="1" ht="15" customHeight="1">
      <c r="B2537" s="187"/>
      <c r="C2537" s="187"/>
      <c r="D2537" s="187"/>
      <c r="E2537" s="187"/>
      <c r="F2537" s="187"/>
      <c r="G2537" s="187"/>
      <c r="J2537" s="186"/>
      <c r="K2537" s="180"/>
      <c r="L2537" s="180"/>
    </row>
    <row r="2538" spans="2:12" s="188" customFormat="1" ht="15" customHeight="1">
      <c r="B2538" s="187"/>
      <c r="C2538" s="187"/>
      <c r="D2538" s="187"/>
      <c r="E2538" s="187"/>
      <c r="F2538" s="187"/>
      <c r="G2538" s="187"/>
      <c r="J2538" s="186"/>
      <c r="K2538" s="180"/>
      <c r="L2538" s="180"/>
    </row>
    <row r="2539" spans="2:12" s="188" customFormat="1" ht="15" customHeight="1">
      <c r="B2539" s="187"/>
      <c r="C2539" s="187"/>
      <c r="D2539" s="187"/>
      <c r="E2539" s="187"/>
      <c r="F2539" s="187"/>
      <c r="G2539" s="187"/>
      <c r="J2539" s="186"/>
      <c r="K2539" s="180"/>
      <c r="L2539" s="180"/>
    </row>
    <row r="2540" spans="2:12" s="188" customFormat="1" ht="15" customHeight="1">
      <c r="B2540" s="187"/>
      <c r="C2540" s="187"/>
      <c r="D2540" s="187"/>
      <c r="E2540" s="187"/>
      <c r="F2540" s="187"/>
      <c r="G2540" s="187"/>
      <c r="J2540" s="186"/>
      <c r="K2540" s="180"/>
      <c r="L2540" s="180"/>
    </row>
    <row r="2541" spans="2:12" s="188" customFormat="1" ht="15" customHeight="1">
      <c r="B2541" s="187"/>
      <c r="C2541" s="187"/>
      <c r="D2541" s="187"/>
      <c r="E2541" s="187"/>
      <c r="F2541" s="187"/>
      <c r="G2541" s="187"/>
      <c r="J2541" s="186"/>
      <c r="K2541" s="180"/>
      <c r="L2541" s="180"/>
    </row>
    <row r="2542" spans="2:12" s="188" customFormat="1" ht="15" customHeight="1">
      <c r="B2542" s="187"/>
      <c r="C2542" s="187"/>
      <c r="D2542" s="187"/>
      <c r="E2542" s="187"/>
      <c r="F2542" s="187"/>
      <c r="G2542" s="187"/>
      <c r="J2542" s="186"/>
      <c r="K2542" s="180"/>
      <c r="L2542" s="180"/>
    </row>
    <row r="2543" spans="2:12" s="188" customFormat="1" ht="15" customHeight="1">
      <c r="B2543" s="187"/>
      <c r="C2543" s="187"/>
      <c r="D2543" s="187"/>
      <c r="E2543" s="187"/>
      <c r="F2543" s="187"/>
      <c r="G2543" s="187"/>
      <c r="J2543" s="186"/>
      <c r="K2543" s="180"/>
      <c r="L2543" s="180"/>
    </row>
    <row r="2544" spans="2:12" s="188" customFormat="1" ht="15" customHeight="1">
      <c r="B2544" s="187"/>
      <c r="C2544" s="187"/>
      <c r="D2544" s="187"/>
      <c r="E2544" s="187"/>
      <c r="F2544" s="187"/>
      <c r="G2544" s="187"/>
      <c r="J2544" s="186"/>
      <c r="K2544" s="180"/>
      <c r="L2544" s="180"/>
    </row>
    <row r="2545" spans="2:12" s="188" customFormat="1" ht="15" customHeight="1">
      <c r="B2545" s="187"/>
      <c r="C2545" s="187"/>
      <c r="D2545" s="187"/>
      <c r="E2545" s="187"/>
      <c r="F2545" s="187"/>
      <c r="G2545" s="187"/>
      <c r="J2545" s="186"/>
      <c r="K2545" s="180"/>
      <c r="L2545" s="180"/>
    </row>
    <row r="2546" spans="2:12" s="188" customFormat="1" ht="15" customHeight="1">
      <c r="B2546" s="187"/>
      <c r="C2546" s="187"/>
      <c r="D2546" s="187"/>
      <c r="E2546" s="187"/>
      <c r="F2546" s="187"/>
      <c r="G2546" s="187"/>
      <c r="J2546" s="186"/>
      <c r="K2546" s="180"/>
      <c r="L2546" s="180"/>
    </row>
    <row r="2547" spans="2:12" s="188" customFormat="1" ht="15" customHeight="1">
      <c r="B2547" s="187"/>
      <c r="C2547" s="187"/>
      <c r="D2547" s="187"/>
      <c r="E2547" s="187"/>
      <c r="F2547" s="187"/>
      <c r="G2547" s="187"/>
      <c r="J2547" s="186"/>
      <c r="K2547" s="180"/>
      <c r="L2547" s="180"/>
    </row>
    <row r="2548" spans="2:12" s="188" customFormat="1" ht="15" customHeight="1">
      <c r="B2548" s="187"/>
      <c r="C2548" s="187"/>
      <c r="D2548" s="187"/>
      <c r="E2548" s="187"/>
      <c r="F2548" s="187"/>
      <c r="G2548" s="187"/>
      <c r="J2548" s="186"/>
      <c r="K2548" s="180"/>
      <c r="L2548" s="180"/>
    </row>
    <row r="2549" spans="2:12" s="188" customFormat="1" ht="15" customHeight="1">
      <c r="B2549" s="187"/>
      <c r="C2549" s="187"/>
      <c r="D2549" s="187"/>
      <c r="E2549" s="187"/>
      <c r="F2549" s="187"/>
      <c r="G2549" s="187"/>
      <c r="J2549" s="186"/>
      <c r="K2549" s="180"/>
      <c r="L2549" s="180"/>
    </row>
    <row r="2550" spans="2:12" s="188" customFormat="1" ht="15" customHeight="1">
      <c r="B2550" s="187"/>
      <c r="C2550" s="187"/>
      <c r="D2550" s="187"/>
      <c r="E2550" s="187"/>
      <c r="F2550" s="187"/>
      <c r="G2550" s="187"/>
      <c r="J2550" s="186"/>
      <c r="K2550" s="180"/>
      <c r="L2550" s="180"/>
    </row>
    <row r="2551" spans="2:12" s="188" customFormat="1" ht="15" customHeight="1">
      <c r="B2551" s="187"/>
      <c r="C2551" s="187"/>
      <c r="D2551" s="187"/>
      <c r="E2551" s="187"/>
      <c r="F2551" s="187"/>
      <c r="G2551" s="187"/>
      <c r="J2551" s="186"/>
      <c r="K2551" s="180"/>
      <c r="L2551" s="180"/>
    </row>
    <row r="2552" spans="2:12" s="188" customFormat="1" ht="15" customHeight="1">
      <c r="B2552" s="187"/>
      <c r="C2552" s="187"/>
      <c r="D2552" s="187"/>
      <c r="E2552" s="187"/>
      <c r="F2552" s="187"/>
      <c r="G2552" s="187"/>
      <c r="J2552" s="186"/>
      <c r="K2552" s="180"/>
      <c r="L2552" s="180"/>
    </row>
    <row r="2553" spans="2:12" s="188" customFormat="1" ht="15" customHeight="1">
      <c r="B2553" s="187"/>
      <c r="C2553" s="187"/>
      <c r="D2553" s="187"/>
      <c r="E2553" s="187"/>
      <c r="F2553" s="187"/>
      <c r="G2553" s="187"/>
      <c r="J2553" s="186"/>
      <c r="K2553" s="180"/>
      <c r="L2553" s="180"/>
    </row>
    <row r="2554" spans="2:12" s="188" customFormat="1" ht="15" customHeight="1">
      <c r="B2554" s="187"/>
      <c r="C2554" s="187"/>
      <c r="D2554" s="187"/>
      <c r="E2554" s="187"/>
      <c r="F2554" s="187"/>
      <c r="G2554" s="187"/>
      <c r="J2554" s="186"/>
      <c r="K2554" s="180"/>
      <c r="L2554" s="180"/>
    </row>
    <row r="2555" spans="2:12" s="188" customFormat="1" ht="15" customHeight="1">
      <c r="B2555" s="187"/>
      <c r="C2555" s="187"/>
      <c r="D2555" s="187"/>
      <c r="E2555" s="187"/>
      <c r="F2555" s="187"/>
      <c r="G2555" s="187"/>
      <c r="J2555" s="186"/>
      <c r="K2555" s="180"/>
      <c r="L2555" s="180"/>
    </row>
    <row r="2556" spans="2:12" s="188" customFormat="1" ht="15" customHeight="1">
      <c r="B2556" s="187"/>
      <c r="C2556" s="187"/>
      <c r="D2556" s="187"/>
      <c r="E2556" s="187"/>
      <c r="F2556" s="187"/>
      <c r="G2556" s="187"/>
      <c r="J2556" s="186"/>
      <c r="K2556" s="180"/>
      <c r="L2556" s="180"/>
    </row>
    <row r="2557" spans="2:12" s="188" customFormat="1" ht="15" customHeight="1">
      <c r="B2557" s="187"/>
      <c r="C2557" s="187"/>
      <c r="D2557" s="187"/>
      <c r="E2557" s="187"/>
      <c r="F2557" s="187"/>
      <c r="G2557" s="187"/>
      <c r="J2557" s="186"/>
      <c r="K2557" s="180"/>
      <c r="L2557" s="180"/>
    </row>
    <row r="2558" spans="2:12" s="188" customFormat="1" ht="15" customHeight="1">
      <c r="B2558" s="187"/>
      <c r="C2558" s="187"/>
      <c r="D2558" s="187"/>
      <c r="E2558" s="187"/>
      <c r="F2558" s="187"/>
      <c r="G2558" s="187"/>
      <c r="J2558" s="186"/>
      <c r="K2558" s="180"/>
      <c r="L2558" s="180"/>
    </row>
    <row r="2559" spans="2:12" s="188" customFormat="1" ht="15" customHeight="1">
      <c r="B2559" s="187"/>
      <c r="C2559" s="187"/>
      <c r="D2559" s="187"/>
      <c r="E2559" s="187"/>
      <c r="F2559" s="187"/>
      <c r="G2559" s="187"/>
      <c r="J2559" s="186"/>
      <c r="K2559" s="180"/>
      <c r="L2559" s="180"/>
    </row>
    <row r="2560" spans="2:12" s="188" customFormat="1" ht="15" customHeight="1">
      <c r="B2560" s="187"/>
      <c r="C2560" s="187"/>
      <c r="D2560" s="187"/>
      <c r="E2560" s="187"/>
      <c r="F2560" s="187"/>
      <c r="G2560" s="187"/>
      <c r="J2560" s="186"/>
      <c r="K2560" s="180"/>
      <c r="L2560" s="180"/>
    </row>
    <row r="2561" spans="2:12" s="188" customFormat="1" ht="15" customHeight="1">
      <c r="B2561" s="187"/>
      <c r="C2561" s="187"/>
      <c r="D2561" s="187"/>
      <c r="E2561" s="187"/>
      <c r="F2561" s="187"/>
      <c r="G2561" s="187"/>
      <c r="J2561" s="186"/>
      <c r="K2561" s="180"/>
      <c r="L2561" s="180"/>
    </row>
    <row r="2562" spans="2:12" s="188" customFormat="1" ht="15" customHeight="1">
      <c r="B2562" s="187"/>
      <c r="C2562" s="187"/>
      <c r="D2562" s="187"/>
      <c r="E2562" s="187"/>
      <c r="F2562" s="187"/>
      <c r="G2562" s="187"/>
      <c r="J2562" s="186"/>
      <c r="K2562" s="180"/>
      <c r="L2562" s="180"/>
    </row>
    <row r="2563" spans="2:12" s="188" customFormat="1" ht="15" customHeight="1">
      <c r="B2563" s="187"/>
      <c r="C2563" s="187"/>
      <c r="D2563" s="187"/>
      <c r="E2563" s="187"/>
      <c r="F2563" s="187"/>
      <c r="G2563" s="187"/>
      <c r="J2563" s="186"/>
      <c r="K2563" s="180"/>
      <c r="L2563" s="180"/>
    </row>
    <row r="2564" spans="2:12" s="188" customFormat="1" ht="15" customHeight="1">
      <c r="B2564" s="187"/>
      <c r="C2564" s="187"/>
      <c r="D2564" s="187"/>
      <c r="E2564" s="187"/>
      <c r="F2564" s="187"/>
      <c r="G2564" s="187"/>
      <c r="J2564" s="186"/>
      <c r="K2564" s="180"/>
      <c r="L2564" s="180"/>
    </row>
    <row r="2565" spans="2:12" s="188" customFormat="1" ht="15" customHeight="1">
      <c r="B2565" s="187"/>
      <c r="C2565" s="187"/>
      <c r="D2565" s="187"/>
      <c r="E2565" s="187"/>
      <c r="F2565" s="187"/>
      <c r="G2565" s="187"/>
      <c r="J2565" s="186"/>
      <c r="K2565" s="180"/>
      <c r="L2565" s="180"/>
    </row>
    <row r="2566" spans="2:12" s="188" customFormat="1" ht="15" customHeight="1">
      <c r="B2566" s="187"/>
      <c r="C2566" s="187"/>
      <c r="D2566" s="187"/>
      <c r="E2566" s="187"/>
      <c r="F2566" s="187"/>
      <c r="G2566" s="187"/>
      <c r="J2566" s="186"/>
      <c r="K2566" s="180"/>
      <c r="L2566" s="180"/>
    </row>
    <row r="2567" spans="2:12" s="188" customFormat="1" ht="15" customHeight="1">
      <c r="B2567" s="187"/>
      <c r="C2567" s="187"/>
      <c r="D2567" s="187"/>
      <c r="E2567" s="187"/>
      <c r="F2567" s="187"/>
      <c r="G2567" s="187"/>
      <c r="J2567" s="186"/>
      <c r="K2567" s="180"/>
      <c r="L2567" s="180"/>
    </row>
    <row r="2568" spans="2:12" s="188" customFormat="1" ht="15" customHeight="1">
      <c r="B2568" s="187"/>
      <c r="C2568" s="187"/>
      <c r="D2568" s="187"/>
      <c r="E2568" s="187"/>
      <c r="F2568" s="187"/>
      <c r="G2568" s="187"/>
      <c r="J2568" s="186"/>
      <c r="K2568" s="180"/>
      <c r="L2568" s="180"/>
    </row>
    <row r="2569" spans="2:12" s="188" customFormat="1" ht="15" customHeight="1">
      <c r="B2569" s="187"/>
      <c r="C2569" s="187"/>
      <c r="D2569" s="187"/>
      <c r="E2569" s="187"/>
      <c r="F2569" s="187"/>
      <c r="G2569" s="187"/>
      <c r="J2569" s="186"/>
      <c r="K2569" s="180"/>
      <c r="L2569" s="180"/>
    </row>
    <row r="2570" spans="2:12" s="188" customFormat="1" ht="15" customHeight="1">
      <c r="B2570" s="187"/>
      <c r="C2570" s="187"/>
      <c r="D2570" s="187"/>
      <c r="E2570" s="187"/>
      <c r="F2570" s="187"/>
      <c r="G2570" s="187"/>
      <c r="J2570" s="186"/>
      <c r="K2570" s="180"/>
      <c r="L2570" s="180"/>
    </row>
    <row r="2571" spans="2:12" s="188" customFormat="1" ht="15" customHeight="1">
      <c r="B2571" s="187"/>
      <c r="C2571" s="187"/>
      <c r="D2571" s="187"/>
      <c r="E2571" s="187"/>
      <c r="F2571" s="187"/>
      <c r="G2571" s="187"/>
      <c r="J2571" s="186"/>
      <c r="K2571" s="180"/>
      <c r="L2571" s="180"/>
    </row>
    <row r="2572" spans="2:12" s="188" customFormat="1" ht="15" customHeight="1">
      <c r="B2572" s="187"/>
      <c r="C2572" s="187"/>
      <c r="D2572" s="187"/>
      <c r="E2572" s="187"/>
      <c r="F2572" s="187"/>
      <c r="G2572" s="187"/>
      <c r="J2572" s="186"/>
      <c r="K2572" s="180"/>
      <c r="L2572" s="180"/>
    </row>
    <row r="2573" spans="2:12" s="188" customFormat="1" ht="15" customHeight="1">
      <c r="B2573" s="187"/>
      <c r="C2573" s="187"/>
      <c r="D2573" s="187"/>
      <c r="E2573" s="187"/>
      <c r="F2573" s="187"/>
      <c r="G2573" s="187"/>
      <c r="J2573" s="186"/>
      <c r="K2573" s="180"/>
      <c r="L2573" s="180"/>
    </row>
    <row r="2574" spans="2:12" s="188" customFormat="1" ht="15" customHeight="1">
      <c r="B2574" s="187"/>
      <c r="C2574" s="187"/>
      <c r="D2574" s="187"/>
      <c r="E2574" s="187"/>
      <c r="F2574" s="187"/>
      <c r="G2574" s="187"/>
      <c r="J2574" s="186"/>
      <c r="K2574" s="180"/>
      <c r="L2574" s="180"/>
    </row>
    <row r="2575" spans="2:12" s="188" customFormat="1" ht="15" customHeight="1">
      <c r="B2575" s="187"/>
      <c r="C2575" s="187"/>
      <c r="D2575" s="187"/>
      <c r="E2575" s="187"/>
      <c r="F2575" s="187"/>
      <c r="G2575" s="187"/>
      <c r="J2575" s="186"/>
      <c r="K2575" s="180"/>
      <c r="L2575" s="180"/>
    </row>
    <row r="2576" spans="2:12" s="188" customFormat="1" ht="15" customHeight="1">
      <c r="B2576" s="187"/>
      <c r="C2576" s="187"/>
      <c r="D2576" s="187"/>
      <c r="E2576" s="187"/>
      <c r="F2576" s="187"/>
      <c r="G2576" s="187"/>
      <c r="J2576" s="186"/>
      <c r="K2576" s="180"/>
      <c r="L2576" s="180"/>
    </row>
    <row r="2577" spans="2:12" s="188" customFormat="1" ht="15" customHeight="1">
      <c r="B2577" s="187"/>
      <c r="C2577" s="187"/>
      <c r="D2577" s="187"/>
      <c r="E2577" s="187"/>
      <c r="F2577" s="187"/>
      <c r="G2577" s="187"/>
      <c r="J2577" s="186"/>
      <c r="K2577" s="180"/>
      <c r="L2577" s="180"/>
    </row>
    <row r="2578" spans="2:12" s="188" customFormat="1" ht="15" customHeight="1">
      <c r="B2578" s="187"/>
      <c r="C2578" s="187"/>
      <c r="D2578" s="187"/>
      <c r="E2578" s="187"/>
      <c r="F2578" s="187"/>
      <c r="G2578" s="187"/>
      <c r="J2578" s="186"/>
      <c r="K2578" s="180"/>
      <c r="L2578" s="180"/>
    </row>
    <row r="2579" spans="2:12" s="188" customFormat="1" ht="15" customHeight="1">
      <c r="B2579" s="187"/>
      <c r="C2579" s="187"/>
      <c r="D2579" s="187"/>
      <c r="E2579" s="187"/>
      <c r="F2579" s="187"/>
      <c r="G2579" s="187"/>
      <c r="J2579" s="186"/>
      <c r="K2579" s="180"/>
      <c r="L2579" s="180"/>
    </row>
    <row r="2580" spans="2:12" s="188" customFormat="1" ht="15" customHeight="1">
      <c r="B2580" s="187"/>
      <c r="C2580" s="187"/>
      <c r="D2580" s="187"/>
      <c r="E2580" s="187"/>
      <c r="F2580" s="187"/>
      <c r="G2580" s="187"/>
      <c r="J2580" s="186"/>
      <c r="K2580" s="180"/>
      <c r="L2580" s="180"/>
    </row>
    <row r="2581" spans="2:12" s="188" customFormat="1" ht="15" customHeight="1">
      <c r="B2581" s="187"/>
      <c r="C2581" s="187"/>
      <c r="D2581" s="187"/>
      <c r="E2581" s="187"/>
      <c r="F2581" s="187"/>
      <c r="G2581" s="187"/>
      <c r="J2581" s="186"/>
      <c r="K2581" s="180"/>
      <c r="L2581" s="180"/>
    </row>
    <row r="2582" spans="2:12" s="188" customFormat="1" ht="15" customHeight="1">
      <c r="B2582" s="187"/>
      <c r="C2582" s="187"/>
      <c r="D2582" s="187"/>
      <c r="E2582" s="187"/>
      <c r="F2582" s="187"/>
      <c r="G2582" s="187"/>
      <c r="J2582" s="186"/>
      <c r="K2582" s="180"/>
      <c r="L2582" s="180"/>
    </row>
    <row r="2583" spans="2:12" s="188" customFormat="1" ht="15" customHeight="1">
      <c r="B2583" s="187"/>
      <c r="C2583" s="187"/>
      <c r="D2583" s="187"/>
      <c r="E2583" s="187"/>
      <c r="F2583" s="187"/>
      <c r="G2583" s="187"/>
      <c r="J2583" s="186"/>
      <c r="K2583" s="180"/>
      <c r="L2583" s="180"/>
    </row>
    <row r="2584" spans="2:12" s="188" customFormat="1" ht="15" customHeight="1">
      <c r="B2584" s="187"/>
      <c r="C2584" s="187"/>
      <c r="D2584" s="187"/>
      <c r="E2584" s="187"/>
      <c r="F2584" s="187"/>
      <c r="G2584" s="187"/>
      <c r="J2584" s="186"/>
      <c r="K2584" s="180"/>
      <c r="L2584" s="180"/>
    </row>
    <row r="2585" spans="2:12" s="188" customFormat="1" ht="15" customHeight="1">
      <c r="B2585" s="187"/>
      <c r="C2585" s="187"/>
      <c r="D2585" s="187"/>
      <c r="E2585" s="187"/>
      <c r="F2585" s="187"/>
      <c r="G2585" s="187"/>
      <c r="J2585" s="186"/>
      <c r="K2585" s="180"/>
      <c r="L2585" s="180"/>
    </row>
    <row r="2586" spans="2:12" s="188" customFormat="1" ht="15" customHeight="1">
      <c r="B2586" s="187"/>
      <c r="C2586" s="187"/>
      <c r="D2586" s="187"/>
      <c r="E2586" s="187"/>
      <c r="F2586" s="187"/>
      <c r="G2586" s="187"/>
      <c r="J2586" s="186"/>
      <c r="K2586" s="180"/>
      <c r="L2586" s="180"/>
    </row>
    <row r="2587" spans="2:12" s="188" customFormat="1" ht="15" customHeight="1">
      <c r="B2587" s="187"/>
      <c r="C2587" s="187"/>
      <c r="D2587" s="187"/>
      <c r="E2587" s="187"/>
      <c r="F2587" s="187"/>
      <c r="G2587" s="187"/>
      <c r="J2587" s="186"/>
      <c r="K2587" s="180"/>
      <c r="L2587" s="180"/>
    </row>
    <row r="2588" spans="2:12" s="188" customFormat="1" ht="15" customHeight="1">
      <c r="B2588" s="187"/>
      <c r="C2588" s="187"/>
      <c r="D2588" s="187"/>
      <c r="E2588" s="187"/>
      <c r="F2588" s="187"/>
      <c r="G2588" s="187"/>
      <c r="J2588" s="186"/>
      <c r="K2588" s="180"/>
      <c r="L2588" s="180"/>
    </row>
    <row r="2589" spans="2:12" s="188" customFormat="1" ht="15" customHeight="1">
      <c r="B2589" s="187"/>
      <c r="C2589" s="187"/>
      <c r="D2589" s="187"/>
      <c r="E2589" s="187"/>
      <c r="F2589" s="187"/>
      <c r="G2589" s="187"/>
      <c r="J2589" s="186"/>
      <c r="K2589" s="180"/>
      <c r="L2589" s="180"/>
    </row>
    <row r="2590" spans="2:12" s="188" customFormat="1" ht="15" customHeight="1">
      <c r="B2590" s="187"/>
      <c r="C2590" s="187"/>
      <c r="D2590" s="187"/>
      <c r="E2590" s="187"/>
      <c r="F2590" s="187"/>
      <c r="G2590" s="187"/>
      <c r="J2590" s="186"/>
      <c r="K2590" s="180"/>
      <c r="L2590" s="180"/>
    </row>
    <row r="2591" spans="2:12" s="188" customFormat="1" ht="15" customHeight="1">
      <c r="B2591" s="187"/>
      <c r="C2591" s="187"/>
      <c r="D2591" s="187"/>
      <c r="E2591" s="187"/>
      <c r="F2591" s="187"/>
      <c r="G2591" s="187"/>
      <c r="J2591" s="186"/>
      <c r="K2591" s="180"/>
      <c r="L2591" s="180"/>
    </row>
    <row r="2592" spans="2:12" s="188" customFormat="1" ht="15" customHeight="1">
      <c r="B2592" s="187"/>
      <c r="C2592" s="187"/>
      <c r="D2592" s="187"/>
      <c r="E2592" s="187"/>
      <c r="F2592" s="187"/>
      <c r="G2592" s="187"/>
      <c r="J2592" s="186"/>
      <c r="K2592" s="180"/>
      <c r="L2592" s="180"/>
    </row>
    <row r="2593" spans="2:12" s="188" customFormat="1" ht="15" customHeight="1">
      <c r="B2593" s="187"/>
      <c r="C2593" s="187"/>
      <c r="D2593" s="187"/>
      <c r="E2593" s="187"/>
      <c r="F2593" s="187"/>
      <c r="G2593" s="187"/>
      <c r="J2593" s="186"/>
      <c r="K2593" s="180"/>
      <c r="L2593" s="180"/>
    </row>
    <row r="2594" spans="2:12" s="188" customFormat="1" ht="15" customHeight="1">
      <c r="B2594" s="187"/>
      <c r="C2594" s="187"/>
      <c r="D2594" s="187"/>
      <c r="E2594" s="187"/>
      <c r="F2594" s="187"/>
      <c r="G2594" s="187"/>
      <c r="J2594" s="186"/>
      <c r="K2594" s="180"/>
      <c r="L2594" s="180"/>
    </row>
    <row r="2595" spans="2:12" s="188" customFormat="1" ht="15" customHeight="1">
      <c r="B2595" s="187"/>
      <c r="C2595" s="187"/>
      <c r="D2595" s="187"/>
      <c r="E2595" s="187"/>
      <c r="F2595" s="187"/>
      <c r="G2595" s="187"/>
      <c r="J2595" s="186"/>
      <c r="K2595" s="180"/>
      <c r="L2595" s="180"/>
    </row>
    <row r="2596" spans="2:12" s="188" customFormat="1" ht="15" customHeight="1">
      <c r="B2596" s="187"/>
      <c r="C2596" s="187"/>
      <c r="D2596" s="187"/>
      <c r="E2596" s="187"/>
      <c r="F2596" s="187"/>
      <c r="G2596" s="187"/>
      <c r="J2596" s="186"/>
      <c r="K2596" s="180"/>
      <c r="L2596" s="180"/>
    </row>
    <row r="2597" spans="2:12" s="188" customFormat="1" ht="15" customHeight="1">
      <c r="B2597" s="187"/>
      <c r="C2597" s="187"/>
      <c r="D2597" s="187"/>
      <c r="E2597" s="187"/>
      <c r="F2597" s="187"/>
      <c r="G2597" s="187"/>
      <c r="J2597" s="186"/>
      <c r="K2597" s="180"/>
      <c r="L2597" s="180"/>
    </row>
    <row r="2598" spans="2:12" s="188" customFormat="1" ht="15" customHeight="1">
      <c r="B2598" s="187"/>
      <c r="C2598" s="187"/>
      <c r="D2598" s="187"/>
      <c r="E2598" s="187"/>
      <c r="F2598" s="187"/>
      <c r="G2598" s="187"/>
      <c r="J2598" s="186"/>
      <c r="K2598" s="180"/>
      <c r="L2598" s="180"/>
    </row>
    <row r="2599" spans="2:12" s="188" customFormat="1" ht="15" customHeight="1">
      <c r="B2599" s="187"/>
      <c r="C2599" s="187"/>
      <c r="D2599" s="187"/>
      <c r="E2599" s="187"/>
      <c r="F2599" s="187"/>
      <c r="G2599" s="187"/>
      <c r="J2599" s="186"/>
      <c r="K2599" s="180"/>
      <c r="L2599" s="180"/>
    </row>
    <row r="2600" spans="2:12" s="188" customFormat="1" ht="15" customHeight="1">
      <c r="B2600" s="187"/>
      <c r="C2600" s="187"/>
      <c r="D2600" s="187"/>
      <c r="E2600" s="187"/>
      <c r="F2600" s="187"/>
      <c r="G2600" s="187"/>
      <c r="J2600" s="186"/>
      <c r="K2600" s="180"/>
      <c r="L2600" s="180"/>
    </row>
    <row r="2601" spans="2:12" s="188" customFormat="1" ht="15" customHeight="1">
      <c r="B2601" s="187"/>
      <c r="C2601" s="187"/>
      <c r="D2601" s="187"/>
      <c r="E2601" s="187"/>
      <c r="F2601" s="187"/>
      <c r="G2601" s="187"/>
      <c r="J2601" s="186"/>
      <c r="K2601" s="180"/>
      <c r="L2601" s="180"/>
    </row>
    <row r="2602" spans="2:12" s="188" customFormat="1" ht="15" customHeight="1">
      <c r="B2602" s="187"/>
      <c r="C2602" s="187"/>
      <c r="D2602" s="187"/>
      <c r="E2602" s="187"/>
      <c r="F2602" s="187"/>
      <c r="G2602" s="187"/>
      <c r="J2602" s="186"/>
      <c r="K2602" s="180"/>
      <c r="L2602" s="180"/>
    </row>
    <row r="2603" spans="2:12" s="188" customFormat="1" ht="15" customHeight="1">
      <c r="B2603" s="187"/>
      <c r="C2603" s="187"/>
      <c r="D2603" s="187"/>
      <c r="E2603" s="187"/>
      <c r="F2603" s="187"/>
      <c r="G2603" s="187"/>
      <c r="J2603" s="186"/>
      <c r="K2603" s="180"/>
      <c r="L2603" s="180"/>
    </row>
    <row r="2604" spans="2:12" s="188" customFormat="1" ht="15" customHeight="1">
      <c r="B2604" s="187"/>
      <c r="C2604" s="187"/>
      <c r="D2604" s="187"/>
      <c r="E2604" s="187"/>
      <c r="F2604" s="187"/>
      <c r="G2604" s="187"/>
      <c r="J2604" s="186"/>
      <c r="K2604" s="180"/>
      <c r="L2604" s="180"/>
    </row>
    <row r="2605" spans="2:12" s="188" customFormat="1" ht="15" customHeight="1">
      <c r="B2605" s="187"/>
      <c r="C2605" s="187"/>
      <c r="D2605" s="187"/>
      <c r="E2605" s="187"/>
      <c r="F2605" s="187"/>
      <c r="G2605" s="187"/>
      <c r="J2605" s="186"/>
      <c r="K2605" s="180"/>
      <c r="L2605" s="180"/>
    </row>
    <row r="2606" spans="2:12" s="188" customFormat="1" ht="15" customHeight="1">
      <c r="B2606" s="187"/>
      <c r="C2606" s="187"/>
      <c r="D2606" s="187"/>
      <c r="E2606" s="187"/>
      <c r="F2606" s="187"/>
      <c r="G2606" s="187"/>
      <c r="J2606" s="186"/>
      <c r="K2606" s="180"/>
      <c r="L2606" s="180"/>
    </row>
    <row r="2607" spans="2:12" s="188" customFormat="1" ht="15" customHeight="1">
      <c r="B2607" s="187"/>
      <c r="C2607" s="187"/>
      <c r="D2607" s="187"/>
      <c r="E2607" s="187"/>
      <c r="F2607" s="187"/>
      <c r="G2607" s="187"/>
      <c r="J2607" s="186"/>
      <c r="K2607" s="180"/>
      <c r="L2607" s="180"/>
    </row>
    <row r="2608" spans="2:12" s="188" customFormat="1" ht="15" customHeight="1">
      <c r="B2608" s="187"/>
      <c r="C2608" s="187"/>
      <c r="D2608" s="187"/>
      <c r="E2608" s="187"/>
      <c r="F2608" s="187"/>
      <c r="G2608" s="187"/>
      <c r="J2608" s="186"/>
      <c r="K2608" s="180"/>
      <c r="L2608" s="180"/>
    </row>
    <row r="2609" spans="2:12" s="188" customFormat="1" ht="15" customHeight="1">
      <c r="B2609" s="187"/>
      <c r="C2609" s="187"/>
      <c r="D2609" s="187"/>
      <c r="E2609" s="187"/>
      <c r="F2609" s="187"/>
      <c r="G2609" s="187"/>
      <c r="J2609" s="186"/>
      <c r="K2609" s="180"/>
      <c r="L2609" s="180"/>
    </row>
    <row r="2610" spans="2:12" s="188" customFormat="1" ht="15" customHeight="1">
      <c r="B2610" s="187"/>
      <c r="C2610" s="187"/>
      <c r="D2610" s="187"/>
      <c r="E2610" s="187"/>
      <c r="F2610" s="187"/>
      <c r="G2610" s="187"/>
      <c r="J2610" s="186"/>
      <c r="K2610" s="180"/>
      <c r="L2610" s="180"/>
    </row>
    <row r="2611" spans="2:12" s="188" customFormat="1" ht="15" customHeight="1">
      <c r="B2611" s="187"/>
      <c r="C2611" s="187"/>
      <c r="D2611" s="187"/>
      <c r="E2611" s="187"/>
      <c r="F2611" s="187"/>
      <c r="G2611" s="187"/>
      <c r="J2611" s="186"/>
      <c r="K2611" s="180"/>
      <c r="L2611" s="180"/>
    </row>
    <row r="2612" spans="2:12" s="188" customFormat="1" ht="15" customHeight="1">
      <c r="B2612" s="187"/>
      <c r="C2612" s="187"/>
      <c r="D2612" s="187"/>
      <c r="E2612" s="187"/>
      <c r="F2612" s="187"/>
      <c r="G2612" s="187"/>
      <c r="J2612" s="186"/>
      <c r="K2612" s="180"/>
      <c r="L2612" s="180"/>
    </row>
    <row r="2613" spans="2:12" s="188" customFormat="1" ht="15" customHeight="1">
      <c r="B2613" s="187"/>
      <c r="C2613" s="187"/>
      <c r="D2613" s="187"/>
      <c r="E2613" s="187"/>
      <c r="F2613" s="187"/>
      <c r="G2613" s="187"/>
      <c r="J2613" s="186"/>
      <c r="K2613" s="180"/>
      <c r="L2613" s="180"/>
    </row>
    <row r="2614" spans="2:12" s="188" customFormat="1" ht="15" customHeight="1">
      <c r="B2614" s="187"/>
      <c r="C2614" s="187"/>
      <c r="D2614" s="187"/>
      <c r="E2614" s="187"/>
      <c r="F2614" s="187"/>
      <c r="G2614" s="187"/>
      <c r="J2614" s="186"/>
      <c r="K2614" s="180"/>
      <c r="L2614" s="180"/>
    </row>
    <row r="2615" spans="2:12" s="188" customFormat="1" ht="15" customHeight="1">
      <c r="B2615" s="187"/>
      <c r="C2615" s="187"/>
      <c r="D2615" s="187"/>
      <c r="E2615" s="187"/>
      <c r="F2615" s="187"/>
      <c r="G2615" s="187"/>
      <c r="J2615" s="186"/>
      <c r="K2615" s="180"/>
      <c r="L2615" s="180"/>
    </row>
    <row r="2616" spans="2:12" s="188" customFormat="1" ht="15" customHeight="1">
      <c r="B2616" s="187"/>
      <c r="C2616" s="187"/>
      <c r="D2616" s="187"/>
      <c r="E2616" s="187"/>
      <c r="F2616" s="187"/>
      <c r="G2616" s="187"/>
      <c r="J2616" s="186"/>
      <c r="K2616" s="180"/>
      <c r="L2616" s="180"/>
    </row>
    <row r="2617" spans="2:12" s="188" customFormat="1" ht="15" customHeight="1">
      <c r="B2617" s="187"/>
      <c r="C2617" s="187"/>
      <c r="D2617" s="187"/>
      <c r="E2617" s="187"/>
      <c r="F2617" s="187"/>
      <c r="G2617" s="187"/>
      <c r="J2617" s="186"/>
      <c r="K2617" s="180"/>
      <c r="L2617" s="180"/>
    </row>
    <row r="2618" spans="2:12" s="188" customFormat="1" ht="15" customHeight="1">
      <c r="B2618" s="187"/>
      <c r="C2618" s="187"/>
      <c r="D2618" s="187"/>
      <c r="E2618" s="187"/>
      <c r="F2618" s="187"/>
      <c r="G2618" s="187"/>
      <c r="J2618" s="186"/>
      <c r="K2618" s="180"/>
      <c r="L2618" s="180"/>
    </row>
    <row r="2619" spans="2:12" s="188" customFormat="1" ht="15" customHeight="1">
      <c r="B2619" s="187"/>
      <c r="C2619" s="187"/>
      <c r="D2619" s="187"/>
      <c r="E2619" s="187"/>
      <c r="F2619" s="187"/>
      <c r="G2619" s="187"/>
      <c r="J2619" s="186"/>
      <c r="K2619" s="180"/>
      <c r="L2619" s="180"/>
    </row>
    <row r="2620" spans="2:12" s="188" customFormat="1" ht="15" customHeight="1">
      <c r="B2620" s="187"/>
      <c r="C2620" s="187"/>
      <c r="D2620" s="187"/>
      <c r="E2620" s="187"/>
      <c r="F2620" s="187"/>
      <c r="G2620" s="187"/>
      <c r="J2620" s="186"/>
      <c r="K2620" s="180"/>
      <c r="L2620" s="180"/>
    </row>
    <row r="2621" spans="2:12" s="188" customFormat="1" ht="15" customHeight="1">
      <c r="B2621" s="187"/>
      <c r="C2621" s="187"/>
      <c r="D2621" s="187"/>
      <c r="E2621" s="187"/>
      <c r="F2621" s="187"/>
      <c r="G2621" s="187"/>
      <c r="J2621" s="186"/>
      <c r="K2621" s="180"/>
      <c r="L2621" s="180"/>
    </row>
    <row r="2622" spans="2:12" s="188" customFormat="1" ht="15" customHeight="1">
      <c r="B2622" s="187"/>
      <c r="C2622" s="187"/>
      <c r="D2622" s="187"/>
      <c r="E2622" s="187"/>
      <c r="F2622" s="187"/>
      <c r="G2622" s="187"/>
      <c r="J2622" s="186"/>
      <c r="K2622" s="180"/>
      <c r="L2622" s="180"/>
    </row>
    <row r="2623" spans="2:12" s="188" customFormat="1" ht="15" customHeight="1">
      <c r="B2623" s="187"/>
      <c r="C2623" s="187"/>
      <c r="D2623" s="187"/>
      <c r="E2623" s="187"/>
      <c r="F2623" s="187"/>
      <c r="G2623" s="187"/>
      <c r="J2623" s="186"/>
      <c r="K2623" s="180"/>
      <c r="L2623" s="180"/>
    </row>
    <row r="2624" spans="2:12" s="188" customFormat="1" ht="15" customHeight="1">
      <c r="B2624" s="187"/>
      <c r="C2624" s="187"/>
      <c r="D2624" s="187"/>
      <c r="E2624" s="187"/>
      <c r="F2624" s="187"/>
      <c r="G2624" s="187"/>
      <c r="J2624" s="186"/>
      <c r="K2624" s="180"/>
      <c r="L2624" s="180"/>
    </row>
    <row r="2625" spans="2:12" s="188" customFormat="1" ht="15" customHeight="1">
      <c r="B2625" s="187"/>
      <c r="C2625" s="187"/>
      <c r="D2625" s="187"/>
      <c r="E2625" s="187"/>
      <c r="F2625" s="187"/>
      <c r="G2625" s="187"/>
      <c r="J2625" s="186"/>
      <c r="K2625" s="180"/>
      <c r="L2625" s="180"/>
    </row>
    <row r="2626" spans="2:12" s="188" customFormat="1" ht="15" customHeight="1">
      <c r="B2626" s="187"/>
      <c r="C2626" s="187"/>
      <c r="D2626" s="187"/>
      <c r="E2626" s="187"/>
      <c r="F2626" s="187"/>
      <c r="G2626" s="187"/>
      <c r="J2626" s="186"/>
      <c r="K2626" s="180"/>
      <c r="L2626" s="180"/>
    </row>
    <row r="2627" spans="2:12" s="188" customFormat="1" ht="15" customHeight="1">
      <c r="B2627" s="187"/>
      <c r="C2627" s="187"/>
      <c r="D2627" s="187"/>
      <c r="E2627" s="187"/>
      <c r="F2627" s="187"/>
      <c r="G2627" s="187"/>
      <c r="J2627" s="186"/>
      <c r="K2627" s="180"/>
      <c r="L2627" s="180"/>
    </row>
    <row r="2628" spans="2:12" s="188" customFormat="1" ht="15" customHeight="1">
      <c r="B2628" s="187"/>
      <c r="C2628" s="187"/>
      <c r="D2628" s="187"/>
      <c r="E2628" s="187"/>
      <c r="F2628" s="187"/>
      <c r="G2628" s="187"/>
      <c r="J2628" s="186"/>
      <c r="K2628" s="180"/>
      <c r="L2628" s="180"/>
    </row>
    <row r="2629" spans="2:12" s="188" customFormat="1" ht="15" customHeight="1">
      <c r="B2629" s="187"/>
      <c r="C2629" s="187"/>
      <c r="D2629" s="187"/>
      <c r="E2629" s="187"/>
      <c r="F2629" s="187"/>
      <c r="G2629" s="187"/>
      <c r="J2629" s="186"/>
      <c r="K2629" s="180"/>
      <c r="L2629" s="180"/>
    </row>
    <row r="2630" spans="2:12" s="188" customFormat="1" ht="15" customHeight="1">
      <c r="B2630" s="187"/>
      <c r="C2630" s="187"/>
      <c r="D2630" s="187"/>
      <c r="E2630" s="187"/>
      <c r="F2630" s="187"/>
      <c r="G2630" s="187"/>
      <c r="J2630" s="186"/>
      <c r="K2630" s="180"/>
      <c r="L2630" s="180"/>
    </row>
    <row r="2631" spans="2:12" s="188" customFormat="1" ht="15" customHeight="1">
      <c r="B2631" s="187"/>
      <c r="C2631" s="187"/>
      <c r="D2631" s="187"/>
      <c r="E2631" s="187"/>
      <c r="F2631" s="187"/>
      <c r="G2631" s="187"/>
      <c r="J2631" s="186"/>
      <c r="K2631" s="180"/>
      <c r="L2631" s="180"/>
    </row>
    <row r="2632" spans="2:12" s="188" customFormat="1" ht="15" customHeight="1">
      <c r="B2632" s="187"/>
      <c r="C2632" s="187"/>
      <c r="D2632" s="187"/>
      <c r="E2632" s="187"/>
      <c r="F2632" s="187"/>
      <c r="G2632" s="187"/>
      <c r="J2632" s="186"/>
      <c r="K2632" s="180"/>
      <c r="L2632" s="180"/>
    </row>
    <row r="2633" spans="2:12" s="188" customFormat="1" ht="15" customHeight="1">
      <c r="B2633" s="187"/>
      <c r="C2633" s="187"/>
      <c r="D2633" s="187"/>
      <c r="E2633" s="187"/>
      <c r="F2633" s="187"/>
      <c r="G2633" s="187"/>
      <c r="J2633" s="186"/>
      <c r="K2633" s="180"/>
      <c r="L2633" s="180"/>
    </row>
    <row r="2634" spans="2:12" s="188" customFormat="1" ht="15" customHeight="1">
      <c r="B2634" s="187"/>
      <c r="C2634" s="187"/>
      <c r="D2634" s="187"/>
      <c r="E2634" s="187"/>
      <c r="F2634" s="187"/>
      <c r="G2634" s="187"/>
      <c r="J2634" s="186"/>
      <c r="K2634" s="180"/>
      <c r="L2634" s="180"/>
    </row>
    <row r="2635" spans="2:12" s="188" customFormat="1" ht="15" customHeight="1">
      <c r="B2635" s="187"/>
      <c r="C2635" s="187"/>
      <c r="D2635" s="187"/>
      <c r="E2635" s="187"/>
      <c r="F2635" s="187"/>
      <c r="G2635" s="187"/>
      <c r="J2635" s="186"/>
      <c r="K2635" s="180"/>
      <c r="L2635" s="180"/>
    </row>
    <row r="2636" spans="2:12" s="188" customFormat="1" ht="15" customHeight="1">
      <c r="B2636" s="187"/>
      <c r="C2636" s="187"/>
      <c r="D2636" s="187"/>
      <c r="E2636" s="187"/>
      <c r="F2636" s="187"/>
      <c r="G2636" s="187"/>
      <c r="J2636" s="186"/>
      <c r="K2636" s="180"/>
      <c r="L2636" s="180"/>
    </row>
    <row r="2637" spans="2:12" s="188" customFormat="1" ht="15" customHeight="1">
      <c r="B2637" s="187"/>
      <c r="C2637" s="187"/>
      <c r="D2637" s="187"/>
      <c r="E2637" s="187"/>
      <c r="F2637" s="187"/>
      <c r="G2637" s="187"/>
      <c r="J2637" s="186"/>
      <c r="K2637" s="180"/>
      <c r="L2637" s="180"/>
    </row>
    <row r="2638" spans="2:12" s="188" customFormat="1" ht="15" customHeight="1">
      <c r="B2638" s="187"/>
      <c r="C2638" s="187"/>
      <c r="D2638" s="187"/>
      <c r="E2638" s="187"/>
      <c r="F2638" s="187"/>
      <c r="G2638" s="187"/>
      <c r="J2638" s="186"/>
      <c r="K2638" s="180"/>
      <c r="L2638" s="180"/>
    </row>
    <row r="2639" spans="2:12" s="188" customFormat="1" ht="15" customHeight="1">
      <c r="B2639" s="187"/>
      <c r="C2639" s="187"/>
      <c r="D2639" s="187"/>
      <c r="E2639" s="187"/>
      <c r="F2639" s="187"/>
      <c r="G2639" s="187"/>
      <c r="J2639" s="186"/>
      <c r="K2639" s="180"/>
      <c r="L2639" s="180"/>
    </row>
    <row r="2640" spans="2:12" s="188" customFormat="1" ht="15" customHeight="1">
      <c r="B2640" s="187"/>
      <c r="C2640" s="187"/>
      <c r="D2640" s="187"/>
      <c r="E2640" s="187"/>
      <c r="F2640" s="187"/>
      <c r="G2640" s="187"/>
      <c r="J2640" s="186"/>
      <c r="K2640" s="180"/>
      <c r="L2640" s="180"/>
    </row>
    <row r="2641" spans="2:12" s="188" customFormat="1" ht="15" customHeight="1">
      <c r="B2641" s="187"/>
      <c r="C2641" s="187"/>
      <c r="D2641" s="187"/>
      <c r="E2641" s="187"/>
      <c r="F2641" s="187"/>
      <c r="G2641" s="187"/>
      <c r="J2641" s="186"/>
      <c r="K2641" s="180"/>
      <c r="L2641" s="180"/>
    </row>
    <row r="2642" spans="2:12" s="188" customFormat="1" ht="15" customHeight="1">
      <c r="B2642" s="187"/>
      <c r="C2642" s="187"/>
      <c r="D2642" s="187"/>
      <c r="E2642" s="187"/>
      <c r="F2642" s="187"/>
      <c r="G2642" s="187"/>
      <c r="J2642" s="186"/>
      <c r="K2642" s="180"/>
      <c r="L2642" s="180"/>
    </row>
    <row r="2643" spans="2:12" s="188" customFormat="1" ht="15" customHeight="1">
      <c r="B2643" s="187"/>
      <c r="C2643" s="187"/>
      <c r="D2643" s="187"/>
      <c r="E2643" s="187"/>
      <c r="F2643" s="187"/>
      <c r="G2643" s="187"/>
      <c r="J2643" s="186"/>
      <c r="K2643" s="180"/>
      <c r="L2643" s="180"/>
    </row>
    <row r="2644" spans="2:12" s="188" customFormat="1" ht="15" customHeight="1">
      <c r="B2644" s="187"/>
      <c r="C2644" s="187"/>
      <c r="D2644" s="187"/>
      <c r="E2644" s="187"/>
      <c r="F2644" s="187"/>
      <c r="G2644" s="187"/>
      <c r="J2644" s="186"/>
      <c r="K2644" s="180"/>
      <c r="L2644" s="180"/>
    </row>
    <row r="2645" spans="2:12" s="188" customFormat="1" ht="15" customHeight="1">
      <c r="B2645" s="187"/>
      <c r="C2645" s="187"/>
      <c r="D2645" s="187"/>
      <c r="E2645" s="187"/>
      <c r="F2645" s="187"/>
      <c r="G2645" s="187"/>
      <c r="J2645" s="186"/>
      <c r="K2645" s="180"/>
      <c r="L2645" s="180"/>
    </row>
    <row r="2646" spans="2:12" s="188" customFormat="1" ht="15" customHeight="1">
      <c r="B2646" s="187"/>
      <c r="C2646" s="187"/>
      <c r="D2646" s="187"/>
      <c r="E2646" s="187"/>
      <c r="F2646" s="187"/>
      <c r="G2646" s="187"/>
      <c r="J2646" s="186"/>
      <c r="K2646" s="180"/>
      <c r="L2646" s="180"/>
    </row>
    <row r="2647" spans="2:12" s="188" customFormat="1" ht="15" customHeight="1">
      <c r="B2647" s="187"/>
      <c r="C2647" s="187"/>
      <c r="D2647" s="187"/>
      <c r="E2647" s="187"/>
      <c r="F2647" s="187"/>
      <c r="G2647" s="187"/>
      <c r="J2647" s="186"/>
      <c r="K2647" s="180"/>
      <c r="L2647" s="180"/>
    </row>
    <row r="2648" spans="2:12" s="188" customFormat="1" ht="15" customHeight="1">
      <c r="B2648" s="187"/>
      <c r="C2648" s="187"/>
      <c r="D2648" s="187"/>
      <c r="E2648" s="187"/>
      <c r="F2648" s="187"/>
      <c r="G2648" s="187"/>
      <c r="J2648" s="186"/>
      <c r="K2648" s="180"/>
      <c r="L2648" s="180"/>
    </row>
    <row r="2649" spans="2:12" s="188" customFormat="1" ht="15" customHeight="1">
      <c r="B2649" s="187"/>
      <c r="C2649" s="187"/>
      <c r="D2649" s="187"/>
      <c r="E2649" s="187"/>
      <c r="F2649" s="187"/>
      <c r="G2649" s="187"/>
      <c r="J2649" s="186"/>
      <c r="K2649" s="180"/>
      <c r="L2649" s="180"/>
    </row>
    <row r="2650" spans="2:12" s="188" customFormat="1" ht="15" customHeight="1">
      <c r="B2650" s="187"/>
      <c r="C2650" s="187"/>
      <c r="D2650" s="187"/>
      <c r="E2650" s="187"/>
      <c r="F2650" s="187"/>
      <c r="G2650" s="187"/>
      <c r="J2650" s="186"/>
      <c r="K2650" s="180"/>
      <c r="L2650" s="180"/>
    </row>
    <row r="2651" spans="2:12" s="188" customFormat="1" ht="15" customHeight="1">
      <c r="B2651" s="187"/>
      <c r="C2651" s="187"/>
      <c r="D2651" s="187"/>
      <c r="E2651" s="187"/>
      <c r="F2651" s="187"/>
      <c r="G2651" s="187"/>
      <c r="J2651" s="186"/>
      <c r="K2651" s="180"/>
      <c r="L2651" s="180"/>
    </row>
    <row r="2652" spans="2:12" s="188" customFormat="1" ht="15" customHeight="1">
      <c r="B2652" s="187"/>
      <c r="C2652" s="187"/>
      <c r="D2652" s="187"/>
      <c r="E2652" s="187"/>
      <c r="F2652" s="187"/>
      <c r="G2652" s="187"/>
      <c r="J2652" s="186"/>
      <c r="K2652" s="180"/>
      <c r="L2652" s="180"/>
    </row>
    <row r="2653" spans="2:12" s="188" customFormat="1" ht="15" customHeight="1">
      <c r="B2653" s="187"/>
      <c r="C2653" s="187"/>
      <c r="D2653" s="187"/>
      <c r="E2653" s="187"/>
      <c r="F2653" s="187"/>
      <c r="G2653" s="187"/>
      <c r="J2653" s="186"/>
      <c r="K2653" s="180"/>
      <c r="L2653" s="180"/>
    </row>
    <row r="2654" spans="2:12" s="188" customFormat="1" ht="15" customHeight="1">
      <c r="B2654" s="187"/>
      <c r="C2654" s="187"/>
      <c r="D2654" s="187"/>
      <c r="E2654" s="187"/>
      <c r="F2654" s="187"/>
      <c r="G2654" s="187"/>
      <c r="J2654" s="186"/>
      <c r="K2654" s="180"/>
      <c r="L2654" s="180"/>
    </row>
    <row r="2655" spans="2:12" s="188" customFormat="1" ht="15" customHeight="1">
      <c r="B2655" s="187"/>
      <c r="C2655" s="187"/>
      <c r="D2655" s="187"/>
      <c r="E2655" s="187"/>
      <c r="F2655" s="187"/>
      <c r="G2655" s="187"/>
      <c r="J2655" s="186"/>
      <c r="K2655" s="180"/>
      <c r="L2655" s="180"/>
    </row>
    <row r="2656" spans="2:12" s="188" customFormat="1" ht="15" customHeight="1">
      <c r="B2656" s="187"/>
      <c r="C2656" s="187"/>
      <c r="D2656" s="187"/>
      <c r="E2656" s="187"/>
      <c r="F2656" s="187"/>
      <c r="G2656" s="187"/>
      <c r="J2656" s="186"/>
      <c r="K2656" s="180"/>
      <c r="L2656" s="180"/>
    </row>
    <row r="2657" spans="2:12" s="188" customFormat="1" ht="15" customHeight="1">
      <c r="B2657" s="187"/>
      <c r="C2657" s="187"/>
      <c r="D2657" s="187"/>
      <c r="E2657" s="187"/>
      <c r="F2657" s="187"/>
      <c r="G2657" s="187"/>
      <c r="J2657" s="186"/>
      <c r="K2657" s="180"/>
      <c r="L2657" s="180"/>
    </row>
    <row r="2658" spans="2:12" s="188" customFormat="1" ht="15" customHeight="1">
      <c r="B2658" s="187"/>
      <c r="C2658" s="187"/>
      <c r="D2658" s="187"/>
      <c r="E2658" s="187"/>
      <c r="F2658" s="187"/>
      <c r="G2658" s="187"/>
      <c r="J2658" s="186"/>
      <c r="K2658" s="180"/>
      <c r="L2658" s="180"/>
    </row>
    <row r="2659" spans="2:12" s="188" customFormat="1" ht="15" customHeight="1">
      <c r="B2659" s="187"/>
      <c r="C2659" s="187"/>
      <c r="D2659" s="187"/>
      <c r="E2659" s="187"/>
      <c r="F2659" s="187"/>
      <c r="G2659" s="187"/>
      <c r="J2659" s="186"/>
      <c r="K2659" s="180"/>
      <c r="L2659" s="180"/>
    </row>
    <row r="2660" spans="2:12" s="188" customFormat="1" ht="15" customHeight="1">
      <c r="B2660" s="187"/>
      <c r="C2660" s="187"/>
      <c r="D2660" s="187"/>
      <c r="E2660" s="187"/>
      <c r="F2660" s="187"/>
      <c r="G2660" s="187"/>
      <c r="J2660" s="186"/>
      <c r="K2660" s="180"/>
      <c r="L2660" s="180"/>
    </row>
    <row r="2661" spans="2:12" s="188" customFormat="1" ht="15" customHeight="1">
      <c r="B2661" s="187"/>
      <c r="C2661" s="187"/>
      <c r="D2661" s="187"/>
      <c r="E2661" s="187"/>
      <c r="F2661" s="187"/>
      <c r="G2661" s="187"/>
      <c r="J2661" s="186"/>
      <c r="K2661" s="180"/>
      <c r="L2661" s="180"/>
    </row>
    <row r="2662" spans="2:12" s="188" customFormat="1" ht="15" customHeight="1">
      <c r="B2662" s="187"/>
      <c r="C2662" s="187"/>
      <c r="D2662" s="187"/>
      <c r="E2662" s="187"/>
      <c r="F2662" s="187"/>
      <c r="G2662" s="187"/>
      <c r="J2662" s="186"/>
      <c r="K2662" s="180"/>
      <c r="L2662" s="180"/>
    </row>
    <row r="2663" spans="2:12" s="188" customFormat="1" ht="15" customHeight="1">
      <c r="B2663" s="187"/>
      <c r="C2663" s="187"/>
      <c r="D2663" s="187"/>
      <c r="E2663" s="187"/>
      <c r="F2663" s="187"/>
      <c r="G2663" s="187"/>
      <c r="J2663" s="186"/>
      <c r="K2663" s="180"/>
      <c r="L2663" s="180"/>
    </row>
    <row r="2664" spans="2:12" s="188" customFormat="1" ht="15" customHeight="1">
      <c r="B2664" s="187"/>
      <c r="C2664" s="187"/>
      <c r="D2664" s="187"/>
      <c r="E2664" s="187"/>
      <c r="F2664" s="187"/>
      <c r="G2664" s="187"/>
      <c r="J2664" s="186"/>
      <c r="K2664" s="180"/>
      <c r="L2664" s="180"/>
    </row>
    <row r="2665" spans="2:12" s="188" customFormat="1" ht="15" customHeight="1">
      <c r="B2665" s="187"/>
      <c r="C2665" s="187"/>
      <c r="D2665" s="187"/>
      <c r="E2665" s="187"/>
      <c r="F2665" s="187"/>
      <c r="G2665" s="187"/>
      <c r="J2665" s="186"/>
      <c r="K2665" s="180"/>
      <c r="L2665" s="180"/>
    </row>
    <row r="2666" spans="2:12" s="188" customFormat="1" ht="15" customHeight="1">
      <c r="B2666" s="187"/>
      <c r="C2666" s="187"/>
      <c r="D2666" s="187"/>
      <c r="E2666" s="187"/>
      <c r="F2666" s="187"/>
      <c r="G2666" s="187"/>
      <c r="J2666" s="186"/>
      <c r="K2666" s="180"/>
      <c r="L2666" s="180"/>
    </row>
    <row r="2667" spans="2:12" s="188" customFormat="1" ht="15" customHeight="1">
      <c r="B2667" s="187"/>
      <c r="C2667" s="187"/>
      <c r="D2667" s="187"/>
      <c r="E2667" s="187"/>
      <c r="F2667" s="187"/>
      <c r="G2667" s="187"/>
      <c r="J2667" s="186"/>
      <c r="K2667" s="180"/>
      <c r="L2667" s="180"/>
    </row>
    <row r="2668" spans="2:12" s="188" customFormat="1" ht="15" customHeight="1">
      <c r="B2668" s="187"/>
      <c r="C2668" s="187"/>
      <c r="D2668" s="187"/>
      <c r="E2668" s="187"/>
      <c r="F2668" s="187"/>
      <c r="G2668" s="187"/>
      <c r="J2668" s="186"/>
      <c r="K2668" s="180"/>
      <c r="L2668" s="180"/>
    </row>
    <row r="2669" spans="2:12" s="188" customFormat="1" ht="15" customHeight="1">
      <c r="B2669" s="187"/>
      <c r="C2669" s="187"/>
      <c r="D2669" s="187"/>
      <c r="E2669" s="187"/>
      <c r="F2669" s="187"/>
      <c r="G2669" s="187"/>
      <c r="J2669" s="186"/>
      <c r="K2669" s="180"/>
      <c r="L2669" s="180"/>
    </row>
    <row r="2670" spans="2:12" s="188" customFormat="1" ht="15" customHeight="1">
      <c r="B2670" s="187"/>
      <c r="C2670" s="187"/>
      <c r="D2670" s="187"/>
      <c r="E2670" s="187"/>
      <c r="F2670" s="187"/>
      <c r="G2670" s="187"/>
      <c r="J2670" s="186"/>
      <c r="K2670" s="180"/>
      <c r="L2670" s="180"/>
    </row>
    <row r="2671" spans="2:12" s="188" customFormat="1" ht="15" customHeight="1">
      <c r="B2671" s="187"/>
      <c r="C2671" s="187"/>
      <c r="D2671" s="187"/>
      <c r="E2671" s="187"/>
      <c r="F2671" s="187"/>
      <c r="G2671" s="187"/>
      <c r="J2671" s="186"/>
      <c r="K2671" s="180"/>
      <c r="L2671" s="180"/>
    </row>
    <row r="2672" spans="2:12" s="188" customFormat="1" ht="15" customHeight="1">
      <c r="B2672" s="187"/>
      <c r="C2672" s="187"/>
      <c r="D2672" s="187"/>
      <c r="E2672" s="187"/>
      <c r="F2672" s="187"/>
      <c r="G2672" s="187"/>
      <c r="J2672" s="186"/>
      <c r="K2672" s="180"/>
      <c r="L2672" s="180"/>
    </row>
    <row r="2673" spans="2:12" s="188" customFormat="1" ht="15" customHeight="1">
      <c r="B2673" s="187"/>
      <c r="C2673" s="187"/>
      <c r="D2673" s="187"/>
      <c r="E2673" s="187"/>
      <c r="F2673" s="187"/>
      <c r="G2673" s="187"/>
      <c r="J2673" s="186"/>
      <c r="K2673" s="180"/>
      <c r="L2673" s="180"/>
    </row>
    <row r="2674" spans="2:12" s="188" customFormat="1" ht="15" customHeight="1">
      <c r="B2674" s="187"/>
      <c r="C2674" s="187"/>
      <c r="D2674" s="187"/>
      <c r="E2674" s="187"/>
      <c r="F2674" s="187"/>
      <c r="G2674" s="187"/>
      <c r="J2674" s="186"/>
      <c r="K2674" s="180"/>
      <c r="L2674" s="180"/>
    </row>
    <row r="2675" spans="2:12" s="188" customFormat="1" ht="15" customHeight="1">
      <c r="B2675" s="187"/>
      <c r="C2675" s="187"/>
      <c r="D2675" s="187"/>
      <c r="E2675" s="187"/>
      <c r="F2675" s="187"/>
      <c r="G2675" s="187"/>
      <c r="J2675" s="186"/>
      <c r="K2675" s="180"/>
      <c r="L2675" s="180"/>
    </row>
    <row r="2676" spans="2:12" s="188" customFormat="1" ht="15" customHeight="1">
      <c r="B2676" s="187"/>
      <c r="C2676" s="187"/>
      <c r="D2676" s="187"/>
      <c r="E2676" s="187"/>
      <c r="F2676" s="187"/>
      <c r="G2676" s="187"/>
      <c r="J2676" s="186"/>
      <c r="K2676" s="180"/>
      <c r="L2676" s="180"/>
    </row>
    <row r="2677" spans="2:12" s="188" customFormat="1" ht="15" customHeight="1">
      <c r="B2677" s="187"/>
      <c r="C2677" s="187"/>
      <c r="D2677" s="187"/>
      <c r="E2677" s="187"/>
      <c r="F2677" s="187"/>
      <c r="G2677" s="187"/>
      <c r="J2677" s="186"/>
      <c r="K2677" s="180"/>
      <c r="L2677" s="180"/>
    </row>
    <row r="2678" spans="2:12" s="188" customFormat="1" ht="15" customHeight="1">
      <c r="B2678" s="187"/>
      <c r="C2678" s="187"/>
      <c r="D2678" s="187"/>
      <c r="E2678" s="187"/>
      <c r="F2678" s="187"/>
      <c r="G2678" s="187"/>
      <c r="J2678" s="186"/>
      <c r="K2678" s="180"/>
      <c r="L2678" s="180"/>
    </row>
    <row r="2679" spans="2:12" s="188" customFormat="1" ht="15" customHeight="1">
      <c r="B2679" s="187"/>
      <c r="C2679" s="187"/>
      <c r="D2679" s="187"/>
      <c r="E2679" s="187"/>
      <c r="F2679" s="187"/>
      <c r="G2679" s="187"/>
      <c r="J2679" s="186"/>
      <c r="K2679" s="180"/>
      <c r="L2679" s="180"/>
    </row>
    <row r="2680" spans="2:12" s="188" customFormat="1" ht="15" customHeight="1">
      <c r="B2680" s="187"/>
      <c r="C2680" s="187"/>
      <c r="D2680" s="187"/>
      <c r="E2680" s="187"/>
      <c r="F2680" s="187"/>
      <c r="G2680" s="187"/>
      <c r="J2680" s="186"/>
      <c r="K2680" s="180"/>
      <c r="L2680" s="180"/>
    </row>
    <row r="2681" spans="2:12" s="188" customFormat="1" ht="15" customHeight="1">
      <c r="B2681" s="187"/>
      <c r="C2681" s="187"/>
      <c r="D2681" s="187"/>
      <c r="E2681" s="187"/>
      <c r="F2681" s="187"/>
      <c r="G2681" s="187"/>
      <c r="J2681" s="186"/>
      <c r="K2681" s="180"/>
      <c r="L2681" s="180"/>
    </row>
    <row r="2682" spans="2:12" s="188" customFormat="1" ht="15" customHeight="1">
      <c r="B2682" s="187"/>
      <c r="C2682" s="187"/>
      <c r="D2682" s="187"/>
      <c r="E2682" s="187"/>
      <c r="F2682" s="187"/>
      <c r="G2682" s="187"/>
      <c r="J2682" s="186"/>
      <c r="K2682" s="180"/>
      <c r="L2682" s="180"/>
    </row>
    <row r="2683" spans="2:12" s="188" customFormat="1" ht="15" customHeight="1">
      <c r="B2683" s="187"/>
      <c r="C2683" s="187"/>
      <c r="D2683" s="187"/>
      <c r="E2683" s="187"/>
      <c r="F2683" s="187"/>
      <c r="G2683" s="187"/>
      <c r="J2683" s="186"/>
      <c r="K2683" s="180"/>
      <c r="L2683" s="180"/>
    </row>
    <row r="2684" spans="2:12" s="188" customFormat="1" ht="15" customHeight="1">
      <c r="B2684" s="187"/>
      <c r="C2684" s="187"/>
      <c r="D2684" s="187"/>
      <c r="E2684" s="187"/>
      <c r="F2684" s="187"/>
      <c r="G2684" s="187"/>
      <c r="J2684" s="186"/>
      <c r="K2684" s="180"/>
      <c r="L2684" s="180"/>
    </row>
    <row r="2685" spans="2:12" s="188" customFormat="1" ht="15" customHeight="1">
      <c r="B2685" s="187"/>
      <c r="C2685" s="187"/>
      <c r="D2685" s="187"/>
      <c r="E2685" s="187"/>
      <c r="F2685" s="187"/>
      <c r="G2685" s="187"/>
      <c r="J2685" s="186"/>
      <c r="K2685" s="180"/>
      <c r="L2685" s="180"/>
    </row>
    <row r="2686" spans="2:12" s="188" customFormat="1" ht="15" customHeight="1">
      <c r="B2686" s="187"/>
      <c r="C2686" s="187"/>
      <c r="D2686" s="187"/>
      <c r="E2686" s="187"/>
      <c r="F2686" s="187"/>
      <c r="G2686" s="187"/>
      <c r="J2686" s="186"/>
      <c r="K2686" s="180"/>
      <c r="L2686" s="180"/>
    </row>
    <row r="2687" spans="2:12" s="188" customFormat="1" ht="15" customHeight="1">
      <c r="B2687" s="187"/>
      <c r="C2687" s="187"/>
      <c r="D2687" s="187"/>
      <c r="E2687" s="187"/>
      <c r="F2687" s="187"/>
      <c r="G2687" s="187"/>
      <c r="J2687" s="186"/>
      <c r="K2687" s="180"/>
      <c r="L2687" s="180"/>
    </row>
    <row r="2688" spans="2:12" s="188" customFormat="1" ht="15" customHeight="1">
      <c r="B2688" s="187"/>
      <c r="C2688" s="187"/>
      <c r="D2688" s="187"/>
      <c r="E2688" s="187"/>
      <c r="F2688" s="187"/>
      <c r="G2688" s="187"/>
      <c r="J2688" s="186"/>
      <c r="K2688" s="180"/>
      <c r="L2688" s="180"/>
    </row>
    <row r="2689" spans="2:12" s="188" customFormat="1" ht="15" customHeight="1">
      <c r="B2689" s="187"/>
      <c r="C2689" s="187"/>
      <c r="D2689" s="187"/>
      <c r="E2689" s="187"/>
      <c r="F2689" s="187"/>
      <c r="G2689" s="187"/>
      <c r="J2689" s="186"/>
      <c r="K2689" s="180"/>
      <c r="L2689" s="180"/>
    </row>
    <row r="2690" spans="2:12" s="188" customFormat="1" ht="15" customHeight="1">
      <c r="B2690" s="187"/>
      <c r="C2690" s="187"/>
      <c r="D2690" s="187"/>
      <c r="E2690" s="187"/>
      <c r="F2690" s="187"/>
      <c r="G2690" s="187"/>
      <c r="J2690" s="186"/>
      <c r="K2690" s="180"/>
      <c r="L2690" s="180"/>
    </row>
    <row r="2691" spans="2:12" s="188" customFormat="1" ht="15" customHeight="1">
      <c r="B2691" s="187"/>
      <c r="C2691" s="187"/>
      <c r="D2691" s="187"/>
      <c r="E2691" s="187"/>
      <c r="F2691" s="187"/>
      <c r="G2691" s="187"/>
      <c r="J2691" s="186"/>
      <c r="K2691" s="180"/>
      <c r="L2691" s="180"/>
    </row>
    <row r="2692" spans="2:12" s="188" customFormat="1" ht="15" customHeight="1">
      <c r="B2692" s="187"/>
      <c r="C2692" s="187"/>
      <c r="D2692" s="187"/>
      <c r="E2692" s="187"/>
      <c r="F2692" s="187"/>
      <c r="G2692" s="187"/>
      <c r="J2692" s="186"/>
      <c r="K2692" s="180"/>
      <c r="L2692" s="180"/>
    </row>
    <row r="2693" spans="2:12" s="188" customFormat="1" ht="15" customHeight="1">
      <c r="B2693" s="187"/>
      <c r="C2693" s="187"/>
      <c r="D2693" s="187"/>
      <c r="E2693" s="187"/>
      <c r="F2693" s="187"/>
      <c r="G2693" s="187"/>
      <c r="J2693" s="186"/>
      <c r="K2693" s="180"/>
      <c r="L2693" s="180"/>
    </row>
    <row r="2694" spans="2:12" s="188" customFormat="1" ht="15" customHeight="1">
      <c r="B2694" s="187"/>
      <c r="C2694" s="187"/>
      <c r="D2694" s="187"/>
      <c r="E2694" s="187"/>
      <c r="F2694" s="187"/>
      <c r="G2694" s="187"/>
      <c r="J2694" s="186"/>
      <c r="K2694" s="180"/>
      <c r="L2694" s="180"/>
    </row>
    <row r="2695" spans="2:12" s="188" customFormat="1" ht="15" customHeight="1">
      <c r="B2695" s="187"/>
      <c r="C2695" s="187"/>
      <c r="D2695" s="187"/>
      <c r="E2695" s="187"/>
      <c r="F2695" s="187"/>
      <c r="G2695" s="187"/>
      <c r="J2695" s="186"/>
      <c r="K2695" s="180"/>
      <c r="L2695" s="180"/>
    </row>
    <row r="2696" spans="2:12" s="188" customFormat="1" ht="15" customHeight="1">
      <c r="B2696" s="187"/>
      <c r="C2696" s="187"/>
      <c r="D2696" s="187"/>
      <c r="E2696" s="187"/>
      <c r="F2696" s="187"/>
      <c r="G2696" s="187"/>
      <c r="J2696" s="186"/>
      <c r="K2696" s="180"/>
      <c r="L2696" s="180"/>
    </row>
    <row r="2697" spans="2:12" s="188" customFormat="1" ht="15" customHeight="1">
      <c r="B2697" s="187"/>
      <c r="C2697" s="187"/>
      <c r="D2697" s="187"/>
      <c r="E2697" s="187"/>
      <c r="F2697" s="187"/>
      <c r="G2697" s="187"/>
      <c r="J2697" s="186"/>
      <c r="K2697" s="180"/>
      <c r="L2697" s="180"/>
    </row>
    <row r="2698" spans="2:12" s="188" customFormat="1" ht="15" customHeight="1">
      <c r="B2698" s="187"/>
      <c r="C2698" s="187"/>
      <c r="D2698" s="187"/>
      <c r="E2698" s="187"/>
      <c r="F2698" s="187"/>
      <c r="G2698" s="187"/>
      <c r="J2698" s="186"/>
      <c r="K2698" s="180"/>
      <c r="L2698" s="180"/>
    </row>
    <row r="2699" spans="2:12" s="188" customFormat="1" ht="15" customHeight="1">
      <c r="B2699" s="187"/>
      <c r="C2699" s="187"/>
      <c r="D2699" s="187"/>
      <c r="E2699" s="187"/>
      <c r="F2699" s="187"/>
      <c r="G2699" s="187"/>
      <c r="J2699" s="186"/>
      <c r="K2699" s="180"/>
      <c r="L2699" s="180"/>
    </row>
    <row r="2700" spans="2:12" s="188" customFormat="1" ht="15" customHeight="1">
      <c r="B2700" s="187"/>
      <c r="C2700" s="187"/>
      <c r="D2700" s="187"/>
      <c r="E2700" s="187"/>
      <c r="F2700" s="187"/>
      <c r="G2700" s="187"/>
      <c r="J2700" s="186"/>
      <c r="K2700" s="180"/>
      <c r="L2700" s="180"/>
    </row>
    <row r="2701" spans="2:12" s="188" customFormat="1" ht="15" customHeight="1">
      <c r="B2701" s="187"/>
      <c r="C2701" s="187"/>
      <c r="D2701" s="187"/>
      <c r="E2701" s="187"/>
      <c r="F2701" s="187"/>
      <c r="G2701" s="187"/>
      <c r="J2701" s="186"/>
      <c r="K2701" s="180"/>
      <c r="L2701" s="180"/>
    </row>
    <row r="2702" spans="2:12" s="188" customFormat="1" ht="15" customHeight="1">
      <c r="B2702" s="187"/>
      <c r="C2702" s="187"/>
      <c r="D2702" s="187"/>
      <c r="E2702" s="187"/>
      <c r="F2702" s="187"/>
      <c r="G2702" s="187"/>
      <c r="J2702" s="186"/>
      <c r="K2702" s="180"/>
      <c r="L2702" s="180"/>
    </row>
    <row r="2703" spans="2:12" s="188" customFormat="1" ht="15" customHeight="1">
      <c r="B2703" s="187"/>
      <c r="C2703" s="187"/>
      <c r="D2703" s="187"/>
      <c r="E2703" s="187"/>
      <c r="F2703" s="187"/>
      <c r="G2703" s="187"/>
      <c r="J2703" s="186"/>
      <c r="K2703" s="180"/>
      <c r="L2703" s="180"/>
    </row>
    <row r="2704" spans="2:12" s="188" customFormat="1" ht="15" customHeight="1">
      <c r="B2704" s="187"/>
      <c r="C2704" s="187"/>
      <c r="D2704" s="187"/>
      <c r="E2704" s="187"/>
      <c r="F2704" s="187"/>
      <c r="G2704" s="187"/>
      <c r="J2704" s="186"/>
      <c r="K2704" s="180"/>
      <c r="L2704" s="180"/>
    </row>
    <row r="2705" spans="2:12" s="188" customFormat="1" ht="15" customHeight="1">
      <c r="B2705" s="187"/>
      <c r="C2705" s="187"/>
      <c r="D2705" s="187"/>
      <c r="E2705" s="187"/>
      <c r="F2705" s="187"/>
      <c r="G2705" s="187"/>
      <c r="J2705" s="186"/>
      <c r="K2705" s="180"/>
      <c r="L2705" s="180"/>
    </row>
    <row r="2706" spans="2:12" s="188" customFormat="1" ht="15" customHeight="1">
      <c r="B2706" s="187"/>
      <c r="C2706" s="187"/>
      <c r="D2706" s="187"/>
      <c r="E2706" s="187"/>
      <c r="F2706" s="187"/>
      <c r="G2706" s="187"/>
      <c r="J2706" s="186"/>
      <c r="K2706" s="180"/>
      <c r="L2706" s="180"/>
    </row>
    <row r="2707" spans="2:12" s="188" customFormat="1" ht="15" customHeight="1">
      <c r="B2707" s="187"/>
      <c r="C2707" s="187"/>
      <c r="D2707" s="187"/>
      <c r="E2707" s="187"/>
      <c r="F2707" s="187"/>
      <c r="G2707" s="187"/>
      <c r="J2707" s="186"/>
      <c r="K2707" s="180"/>
      <c r="L2707" s="180"/>
    </row>
    <row r="2708" spans="2:12" s="188" customFormat="1" ht="15" customHeight="1">
      <c r="B2708" s="187"/>
      <c r="C2708" s="187"/>
      <c r="D2708" s="187"/>
      <c r="E2708" s="187"/>
      <c r="F2708" s="187"/>
      <c r="G2708" s="187"/>
      <c r="J2708" s="186"/>
      <c r="K2708" s="180"/>
      <c r="L2708" s="180"/>
    </row>
    <row r="2709" spans="2:12" s="188" customFormat="1" ht="15" customHeight="1">
      <c r="B2709" s="187"/>
      <c r="C2709" s="187"/>
      <c r="D2709" s="187"/>
      <c r="E2709" s="187"/>
      <c r="F2709" s="187"/>
      <c r="G2709" s="187"/>
      <c r="J2709" s="186"/>
      <c r="K2709" s="180"/>
      <c r="L2709" s="180"/>
    </row>
    <row r="2710" spans="2:12" s="188" customFormat="1" ht="15" customHeight="1">
      <c r="B2710" s="187"/>
      <c r="C2710" s="187"/>
      <c r="D2710" s="187"/>
      <c r="E2710" s="187"/>
      <c r="F2710" s="187"/>
      <c r="G2710" s="187"/>
      <c r="J2710" s="186"/>
      <c r="K2710" s="180"/>
      <c r="L2710" s="180"/>
    </row>
    <row r="2711" spans="2:12" s="188" customFormat="1" ht="15" customHeight="1">
      <c r="B2711" s="187"/>
      <c r="C2711" s="187"/>
      <c r="D2711" s="187"/>
      <c r="E2711" s="187"/>
      <c r="F2711" s="187"/>
      <c r="G2711" s="187"/>
      <c r="J2711" s="186"/>
      <c r="K2711" s="180"/>
      <c r="L2711" s="180"/>
    </row>
    <row r="2712" spans="2:12" s="188" customFormat="1" ht="15" customHeight="1">
      <c r="B2712" s="187"/>
      <c r="C2712" s="187"/>
      <c r="D2712" s="187"/>
      <c r="E2712" s="187"/>
      <c r="F2712" s="187"/>
      <c r="G2712" s="187"/>
      <c r="J2712" s="186"/>
      <c r="K2712" s="180"/>
      <c r="L2712" s="180"/>
    </row>
    <row r="2713" spans="2:12" s="188" customFormat="1" ht="15" customHeight="1">
      <c r="B2713" s="187"/>
      <c r="C2713" s="187"/>
      <c r="D2713" s="187"/>
      <c r="E2713" s="187"/>
      <c r="F2713" s="187"/>
      <c r="G2713" s="187"/>
      <c r="J2713" s="186"/>
      <c r="K2713" s="180"/>
      <c r="L2713" s="180"/>
    </row>
    <row r="2714" spans="2:12" s="188" customFormat="1" ht="15" customHeight="1">
      <c r="B2714" s="187"/>
      <c r="C2714" s="187"/>
      <c r="D2714" s="187"/>
      <c r="E2714" s="187"/>
      <c r="F2714" s="187"/>
      <c r="G2714" s="187"/>
      <c r="J2714" s="186"/>
      <c r="K2714" s="180"/>
      <c r="L2714" s="180"/>
    </row>
    <row r="2715" spans="2:12" s="188" customFormat="1" ht="15" customHeight="1">
      <c r="B2715" s="187"/>
      <c r="C2715" s="187"/>
      <c r="D2715" s="187"/>
      <c r="E2715" s="187"/>
      <c r="F2715" s="187"/>
      <c r="G2715" s="187"/>
      <c r="J2715" s="186"/>
      <c r="K2715" s="180"/>
      <c r="L2715" s="180"/>
    </row>
    <row r="2716" spans="2:12" s="188" customFormat="1" ht="15" customHeight="1">
      <c r="B2716" s="187"/>
      <c r="C2716" s="187"/>
      <c r="D2716" s="187"/>
      <c r="E2716" s="187"/>
      <c r="F2716" s="187"/>
      <c r="G2716" s="187"/>
      <c r="J2716" s="186"/>
      <c r="K2716" s="180"/>
      <c r="L2716" s="180"/>
    </row>
    <row r="2717" spans="2:12" s="188" customFormat="1" ht="15" customHeight="1">
      <c r="B2717" s="187"/>
      <c r="C2717" s="187"/>
      <c r="D2717" s="187"/>
      <c r="E2717" s="187"/>
      <c r="F2717" s="187"/>
      <c r="G2717" s="187"/>
      <c r="J2717" s="186"/>
      <c r="K2717" s="180"/>
      <c r="L2717" s="180"/>
    </row>
    <row r="2718" spans="2:12" s="188" customFormat="1" ht="15" customHeight="1">
      <c r="B2718" s="187"/>
      <c r="C2718" s="187"/>
      <c r="D2718" s="187"/>
      <c r="E2718" s="187"/>
      <c r="F2718" s="187"/>
      <c r="G2718" s="187"/>
      <c r="J2718" s="186"/>
      <c r="K2718" s="180"/>
      <c r="L2718" s="180"/>
    </row>
    <row r="2719" spans="2:12" s="188" customFormat="1" ht="15" customHeight="1">
      <c r="B2719" s="187"/>
      <c r="C2719" s="187"/>
      <c r="D2719" s="187"/>
      <c r="E2719" s="187"/>
      <c r="F2719" s="187"/>
      <c r="G2719" s="187"/>
      <c r="J2719" s="186"/>
      <c r="K2719" s="180"/>
      <c r="L2719" s="180"/>
    </row>
    <row r="2720" spans="2:12" s="188" customFormat="1" ht="15" customHeight="1">
      <c r="B2720" s="187"/>
      <c r="C2720" s="187"/>
      <c r="D2720" s="187"/>
      <c r="E2720" s="187"/>
      <c r="F2720" s="187"/>
      <c r="G2720" s="187"/>
      <c r="J2720" s="186"/>
      <c r="K2720" s="180"/>
      <c r="L2720" s="180"/>
    </row>
    <row r="2721" spans="2:12" s="188" customFormat="1" ht="15" customHeight="1">
      <c r="B2721" s="187"/>
      <c r="C2721" s="187"/>
      <c r="D2721" s="187"/>
      <c r="E2721" s="187"/>
      <c r="F2721" s="187"/>
      <c r="G2721" s="187"/>
      <c r="J2721" s="186"/>
      <c r="K2721" s="180"/>
      <c r="L2721" s="180"/>
    </row>
    <row r="2722" spans="2:12" s="188" customFormat="1" ht="15" customHeight="1">
      <c r="B2722" s="187"/>
      <c r="C2722" s="187"/>
      <c r="D2722" s="187"/>
      <c r="E2722" s="187"/>
      <c r="F2722" s="187"/>
      <c r="G2722" s="187"/>
      <c r="J2722" s="186"/>
      <c r="K2722" s="180"/>
      <c r="L2722" s="180"/>
    </row>
    <row r="2723" spans="2:12" s="188" customFormat="1" ht="15" customHeight="1">
      <c r="B2723" s="187"/>
      <c r="C2723" s="187"/>
      <c r="D2723" s="187"/>
      <c r="E2723" s="187"/>
      <c r="F2723" s="187"/>
      <c r="G2723" s="187"/>
      <c r="J2723" s="186"/>
      <c r="K2723" s="180"/>
      <c r="L2723" s="180"/>
    </row>
    <row r="2724" spans="2:12" s="188" customFormat="1" ht="15" customHeight="1">
      <c r="B2724" s="187"/>
      <c r="C2724" s="187"/>
      <c r="D2724" s="187"/>
      <c r="E2724" s="187"/>
      <c r="F2724" s="187"/>
      <c r="G2724" s="187"/>
      <c r="J2724" s="186"/>
      <c r="K2724" s="180"/>
      <c r="L2724" s="180"/>
    </row>
    <row r="2725" spans="2:12" s="188" customFormat="1" ht="15" customHeight="1">
      <c r="B2725" s="187"/>
      <c r="C2725" s="187"/>
      <c r="D2725" s="187"/>
      <c r="E2725" s="187"/>
      <c r="F2725" s="187"/>
      <c r="G2725" s="187"/>
      <c r="J2725" s="186"/>
      <c r="K2725" s="180"/>
      <c r="L2725" s="180"/>
    </row>
    <row r="2726" spans="2:12" s="188" customFormat="1" ht="15" customHeight="1">
      <c r="B2726" s="187"/>
      <c r="C2726" s="187"/>
      <c r="D2726" s="187"/>
      <c r="E2726" s="187"/>
      <c r="F2726" s="187"/>
      <c r="G2726" s="187"/>
      <c r="J2726" s="186"/>
      <c r="K2726" s="180"/>
      <c r="L2726" s="180"/>
    </row>
    <row r="2727" spans="2:12" s="188" customFormat="1" ht="15" customHeight="1">
      <c r="B2727" s="187"/>
      <c r="C2727" s="187"/>
      <c r="D2727" s="187"/>
      <c r="E2727" s="187"/>
      <c r="F2727" s="187"/>
      <c r="G2727" s="187"/>
      <c r="J2727" s="186"/>
      <c r="K2727" s="180"/>
      <c r="L2727" s="180"/>
    </row>
    <row r="2728" spans="2:12" s="188" customFormat="1" ht="15" customHeight="1">
      <c r="B2728" s="187"/>
      <c r="C2728" s="187"/>
      <c r="D2728" s="187"/>
      <c r="E2728" s="187"/>
      <c r="F2728" s="187"/>
      <c r="G2728" s="187"/>
      <c r="J2728" s="186"/>
      <c r="K2728" s="180"/>
      <c r="L2728" s="180"/>
    </row>
    <row r="2729" spans="2:12" s="188" customFormat="1" ht="15" customHeight="1">
      <c r="B2729" s="187"/>
      <c r="C2729" s="187"/>
      <c r="D2729" s="187"/>
      <c r="E2729" s="187"/>
      <c r="F2729" s="187"/>
      <c r="G2729" s="187"/>
      <c r="J2729" s="186"/>
      <c r="K2729" s="180"/>
      <c r="L2729" s="180"/>
    </row>
    <row r="2730" spans="2:12" s="188" customFormat="1" ht="15" customHeight="1">
      <c r="B2730" s="187"/>
      <c r="C2730" s="187"/>
      <c r="D2730" s="187"/>
      <c r="E2730" s="187"/>
      <c r="F2730" s="187"/>
      <c r="G2730" s="187"/>
      <c r="J2730" s="186"/>
      <c r="K2730" s="180"/>
      <c r="L2730" s="180"/>
    </row>
    <row r="2731" spans="2:12" s="188" customFormat="1" ht="15" customHeight="1">
      <c r="B2731" s="187"/>
      <c r="C2731" s="187"/>
      <c r="D2731" s="187"/>
      <c r="E2731" s="187"/>
      <c r="F2731" s="187"/>
      <c r="G2731" s="187"/>
      <c r="J2731" s="186"/>
      <c r="K2731" s="180"/>
      <c r="L2731" s="180"/>
    </row>
    <row r="2732" spans="2:12" s="188" customFormat="1" ht="15" customHeight="1">
      <c r="B2732" s="187"/>
      <c r="C2732" s="187"/>
      <c r="D2732" s="187"/>
      <c r="E2732" s="187"/>
      <c r="F2732" s="187"/>
      <c r="G2732" s="187"/>
      <c r="J2732" s="186"/>
      <c r="K2732" s="180"/>
      <c r="L2732" s="180"/>
    </row>
    <row r="2733" spans="2:12" s="188" customFormat="1" ht="15" customHeight="1">
      <c r="B2733" s="187"/>
      <c r="C2733" s="187"/>
      <c r="D2733" s="187"/>
      <c r="E2733" s="187"/>
      <c r="F2733" s="187"/>
      <c r="G2733" s="187"/>
      <c r="J2733" s="186"/>
      <c r="K2733" s="180"/>
      <c r="L2733" s="180"/>
    </row>
    <row r="2734" spans="2:12" s="188" customFormat="1" ht="15" customHeight="1">
      <c r="B2734" s="187"/>
      <c r="C2734" s="187"/>
      <c r="D2734" s="187"/>
      <c r="E2734" s="187"/>
      <c r="F2734" s="187"/>
      <c r="G2734" s="187"/>
      <c r="J2734" s="186"/>
      <c r="K2734" s="180"/>
      <c r="L2734" s="180"/>
    </row>
    <row r="2735" spans="2:12" s="188" customFormat="1" ht="15" customHeight="1">
      <c r="B2735" s="187"/>
      <c r="C2735" s="187"/>
      <c r="D2735" s="187"/>
      <c r="E2735" s="187"/>
      <c r="F2735" s="187"/>
      <c r="G2735" s="187"/>
      <c r="J2735" s="186"/>
      <c r="K2735" s="180"/>
      <c r="L2735" s="180"/>
    </row>
    <row r="2736" spans="2:12" s="188" customFormat="1" ht="15" customHeight="1">
      <c r="B2736" s="187"/>
      <c r="C2736" s="187"/>
      <c r="D2736" s="187"/>
      <c r="E2736" s="187"/>
      <c r="F2736" s="187"/>
      <c r="G2736" s="187"/>
      <c r="J2736" s="186"/>
      <c r="K2736" s="180"/>
      <c r="L2736" s="180"/>
    </row>
    <row r="2737" spans="2:12" s="188" customFormat="1" ht="15" customHeight="1">
      <c r="B2737" s="187"/>
      <c r="C2737" s="187"/>
      <c r="D2737" s="187"/>
      <c r="E2737" s="187"/>
      <c r="F2737" s="187"/>
      <c r="G2737" s="187"/>
      <c r="J2737" s="186"/>
      <c r="K2737" s="180"/>
      <c r="L2737" s="180"/>
    </row>
    <row r="2738" spans="2:12" s="188" customFormat="1" ht="15" customHeight="1">
      <c r="B2738" s="187"/>
      <c r="C2738" s="187"/>
      <c r="D2738" s="187"/>
      <c r="E2738" s="187"/>
      <c r="F2738" s="187"/>
      <c r="G2738" s="187"/>
      <c r="J2738" s="186"/>
      <c r="K2738" s="180"/>
      <c r="L2738" s="180"/>
    </row>
    <row r="2739" spans="2:12" s="188" customFormat="1" ht="15" customHeight="1">
      <c r="B2739" s="187"/>
      <c r="C2739" s="187"/>
      <c r="D2739" s="187"/>
      <c r="E2739" s="187"/>
      <c r="F2739" s="187"/>
      <c r="G2739" s="187"/>
      <c r="J2739" s="186"/>
      <c r="K2739" s="180"/>
      <c r="L2739" s="180"/>
    </row>
    <row r="2740" spans="2:12" s="188" customFormat="1" ht="15" customHeight="1">
      <c r="B2740" s="187"/>
      <c r="C2740" s="187"/>
      <c r="D2740" s="187"/>
      <c r="E2740" s="187"/>
      <c r="F2740" s="187"/>
      <c r="G2740" s="187"/>
      <c r="J2740" s="186"/>
      <c r="K2740" s="180"/>
      <c r="L2740" s="180"/>
    </row>
    <row r="2741" spans="2:12" s="188" customFormat="1" ht="15" customHeight="1">
      <c r="B2741" s="187"/>
      <c r="C2741" s="187"/>
      <c r="D2741" s="187"/>
      <c r="E2741" s="187"/>
      <c r="F2741" s="187"/>
      <c r="G2741" s="187"/>
      <c r="J2741" s="186"/>
      <c r="K2741" s="180"/>
      <c r="L2741" s="180"/>
    </row>
    <row r="2742" spans="2:12" s="188" customFormat="1" ht="15" customHeight="1">
      <c r="B2742" s="187"/>
      <c r="C2742" s="187"/>
      <c r="D2742" s="187"/>
      <c r="E2742" s="187"/>
      <c r="F2742" s="187"/>
      <c r="G2742" s="187"/>
      <c r="J2742" s="186"/>
      <c r="K2742" s="180"/>
      <c r="L2742" s="180"/>
    </row>
    <row r="2743" spans="2:12" s="188" customFormat="1" ht="15" customHeight="1">
      <c r="B2743" s="187"/>
      <c r="C2743" s="187"/>
      <c r="D2743" s="187"/>
      <c r="E2743" s="187"/>
      <c r="F2743" s="187"/>
      <c r="G2743" s="187"/>
      <c r="J2743" s="186"/>
      <c r="K2743" s="180"/>
      <c r="L2743" s="180"/>
    </row>
    <row r="2744" spans="2:12" s="188" customFormat="1" ht="15" customHeight="1">
      <c r="B2744" s="187"/>
      <c r="C2744" s="187"/>
      <c r="D2744" s="187"/>
      <c r="E2744" s="187"/>
      <c r="F2744" s="187"/>
      <c r="G2744" s="187"/>
      <c r="J2744" s="186"/>
      <c r="K2744" s="180"/>
      <c r="L2744" s="180"/>
    </row>
    <row r="2745" spans="2:12" s="188" customFormat="1" ht="15" customHeight="1">
      <c r="B2745" s="187"/>
      <c r="C2745" s="187"/>
      <c r="D2745" s="187"/>
      <c r="E2745" s="187"/>
      <c r="F2745" s="187"/>
      <c r="G2745" s="187"/>
      <c r="J2745" s="186"/>
      <c r="K2745" s="180"/>
      <c r="L2745" s="180"/>
    </row>
    <row r="2746" spans="2:12" s="188" customFormat="1" ht="15" customHeight="1">
      <c r="B2746" s="187"/>
      <c r="C2746" s="187"/>
      <c r="D2746" s="187"/>
      <c r="E2746" s="187"/>
      <c r="F2746" s="187"/>
      <c r="G2746" s="187"/>
      <c r="J2746" s="186"/>
      <c r="K2746" s="180"/>
      <c r="L2746" s="180"/>
    </row>
    <row r="2747" spans="2:12" s="188" customFormat="1" ht="15" customHeight="1">
      <c r="B2747" s="187"/>
      <c r="C2747" s="187"/>
      <c r="D2747" s="187"/>
      <c r="E2747" s="187"/>
      <c r="F2747" s="187"/>
      <c r="G2747" s="187"/>
      <c r="J2747" s="186"/>
      <c r="K2747" s="180"/>
      <c r="L2747" s="180"/>
    </row>
    <row r="2748" spans="2:12" s="188" customFormat="1" ht="15" customHeight="1">
      <c r="B2748" s="187"/>
      <c r="C2748" s="187"/>
      <c r="D2748" s="187"/>
      <c r="E2748" s="187"/>
      <c r="F2748" s="187"/>
      <c r="G2748" s="187"/>
      <c r="J2748" s="186"/>
      <c r="K2748" s="180"/>
      <c r="L2748" s="180"/>
    </row>
    <row r="2749" spans="2:12" s="188" customFormat="1" ht="15" customHeight="1">
      <c r="B2749" s="187"/>
      <c r="C2749" s="187"/>
      <c r="D2749" s="187"/>
      <c r="E2749" s="187"/>
      <c r="F2749" s="187"/>
      <c r="G2749" s="187"/>
      <c r="J2749" s="186"/>
      <c r="K2749" s="180"/>
      <c r="L2749" s="180"/>
    </row>
    <row r="2750" spans="2:12" s="188" customFormat="1" ht="15" customHeight="1">
      <c r="B2750" s="187"/>
      <c r="C2750" s="187"/>
      <c r="D2750" s="187"/>
      <c r="E2750" s="187"/>
      <c r="F2750" s="187"/>
      <c r="G2750" s="187"/>
      <c r="J2750" s="186"/>
      <c r="K2750" s="180"/>
      <c r="L2750" s="180"/>
    </row>
    <row r="2751" spans="2:12" s="188" customFormat="1" ht="15" customHeight="1">
      <c r="B2751" s="187"/>
      <c r="C2751" s="187"/>
      <c r="D2751" s="187"/>
      <c r="E2751" s="187"/>
      <c r="F2751" s="187"/>
      <c r="G2751" s="187"/>
      <c r="J2751" s="186"/>
      <c r="K2751" s="180"/>
      <c r="L2751" s="180"/>
    </row>
    <row r="2752" spans="2:12" s="188" customFormat="1" ht="15" customHeight="1">
      <c r="B2752" s="187"/>
      <c r="C2752" s="187"/>
      <c r="D2752" s="187"/>
      <c r="E2752" s="187"/>
      <c r="F2752" s="187"/>
      <c r="G2752" s="187"/>
      <c r="J2752" s="186"/>
      <c r="K2752" s="180"/>
      <c r="L2752" s="180"/>
    </row>
    <row r="2753" spans="2:12" s="188" customFormat="1" ht="15" customHeight="1">
      <c r="B2753" s="187"/>
      <c r="C2753" s="187"/>
      <c r="D2753" s="187"/>
      <c r="E2753" s="187"/>
      <c r="F2753" s="187"/>
      <c r="G2753" s="187"/>
      <c r="J2753" s="186"/>
      <c r="K2753" s="180"/>
      <c r="L2753" s="180"/>
    </row>
    <row r="2754" spans="2:12" s="188" customFormat="1" ht="15" customHeight="1">
      <c r="B2754" s="187"/>
      <c r="C2754" s="187"/>
      <c r="D2754" s="187"/>
      <c r="E2754" s="187"/>
      <c r="F2754" s="187"/>
      <c r="G2754" s="187"/>
      <c r="J2754" s="186"/>
      <c r="K2754" s="180"/>
      <c r="L2754" s="180"/>
    </row>
    <row r="2755" spans="2:12" s="188" customFormat="1" ht="15" customHeight="1">
      <c r="B2755" s="187"/>
      <c r="C2755" s="187"/>
      <c r="D2755" s="187"/>
      <c r="E2755" s="187"/>
      <c r="F2755" s="187"/>
      <c r="G2755" s="187"/>
      <c r="J2755" s="186"/>
      <c r="K2755" s="180"/>
      <c r="L2755" s="180"/>
    </row>
    <row r="2756" spans="2:12" s="188" customFormat="1" ht="15" customHeight="1">
      <c r="B2756" s="187"/>
      <c r="C2756" s="187"/>
      <c r="D2756" s="187"/>
      <c r="E2756" s="187"/>
      <c r="F2756" s="187"/>
      <c r="G2756" s="187"/>
      <c r="J2756" s="186"/>
      <c r="K2756" s="180"/>
      <c r="L2756" s="180"/>
    </row>
    <row r="2757" spans="2:12" s="188" customFormat="1" ht="15" customHeight="1">
      <c r="B2757" s="187"/>
      <c r="C2757" s="187"/>
      <c r="D2757" s="187"/>
      <c r="E2757" s="187"/>
      <c r="F2757" s="187"/>
      <c r="G2757" s="187"/>
      <c r="J2757" s="186"/>
      <c r="K2757" s="180"/>
      <c r="L2757" s="180"/>
    </row>
    <row r="2758" spans="2:12" s="188" customFormat="1" ht="15" customHeight="1">
      <c r="B2758" s="187"/>
      <c r="C2758" s="187"/>
      <c r="D2758" s="187"/>
      <c r="E2758" s="187"/>
      <c r="F2758" s="187"/>
      <c r="G2758" s="187"/>
      <c r="J2758" s="186"/>
      <c r="K2758" s="180"/>
      <c r="L2758" s="180"/>
    </row>
    <row r="2759" spans="2:12" s="188" customFormat="1" ht="15" customHeight="1">
      <c r="B2759" s="187"/>
      <c r="C2759" s="187"/>
      <c r="D2759" s="187"/>
      <c r="E2759" s="187"/>
      <c r="F2759" s="187"/>
      <c r="G2759" s="187"/>
      <c r="J2759" s="186"/>
      <c r="K2759" s="180"/>
      <c r="L2759" s="180"/>
    </row>
    <row r="2760" spans="2:12" s="188" customFormat="1" ht="15" customHeight="1">
      <c r="B2760" s="187"/>
      <c r="C2760" s="187"/>
      <c r="D2760" s="187"/>
      <c r="E2760" s="187"/>
      <c r="F2760" s="187"/>
      <c r="G2760" s="187"/>
      <c r="J2760" s="186"/>
      <c r="K2760" s="180"/>
      <c r="L2760" s="180"/>
    </row>
    <row r="2761" spans="2:12" s="188" customFormat="1" ht="15" customHeight="1">
      <c r="B2761" s="187"/>
      <c r="C2761" s="187"/>
      <c r="D2761" s="187"/>
      <c r="E2761" s="187"/>
      <c r="F2761" s="187"/>
      <c r="G2761" s="187"/>
      <c r="J2761" s="186"/>
      <c r="K2761" s="180"/>
      <c r="L2761" s="180"/>
    </row>
    <row r="2762" spans="2:12" s="188" customFormat="1" ht="15" customHeight="1">
      <c r="B2762" s="187"/>
      <c r="C2762" s="187"/>
      <c r="D2762" s="187"/>
      <c r="E2762" s="187"/>
      <c r="F2762" s="187"/>
      <c r="G2762" s="187"/>
      <c r="J2762" s="186"/>
      <c r="K2762" s="180"/>
      <c r="L2762" s="180"/>
    </row>
    <row r="2763" spans="2:12" s="188" customFormat="1" ht="15" customHeight="1">
      <c r="B2763" s="187"/>
      <c r="C2763" s="187"/>
      <c r="D2763" s="187"/>
      <c r="E2763" s="187"/>
      <c r="F2763" s="187"/>
      <c r="G2763" s="187"/>
      <c r="J2763" s="186"/>
      <c r="K2763" s="180"/>
      <c r="L2763" s="180"/>
    </row>
    <row r="2764" spans="2:12" s="188" customFormat="1" ht="15" customHeight="1">
      <c r="B2764" s="187"/>
      <c r="C2764" s="187"/>
      <c r="D2764" s="187"/>
      <c r="E2764" s="187"/>
      <c r="F2764" s="187"/>
      <c r="G2764" s="187"/>
      <c r="J2764" s="186"/>
      <c r="K2764" s="180"/>
      <c r="L2764" s="180"/>
    </row>
    <row r="2765" spans="2:12" s="188" customFormat="1" ht="15" customHeight="1">
      <c r="B2765" s="187"/>
      <c r="C2765" s="187"/>
      <c r="D2765" s="187"/>
      <c r="E2765" s="187"/>
      <c r="F2765" s="187"/>
      <c r="G2765" s="187"/>
      <c r="J2765" s="186"/>
      <c r="K2765" s="180"/>
      <c r="L2765" s="180"/>
    </row>
    <row r="2766" spans="2:12" s="188" customFormat="1" ht="15" customHeight="1">
      <c r="B2766" s="187"/>
      <c r="C2766" s="187"/>
      <c r="D2766" s="187"/>
      <c r="E2766" s="187"/>
      <c r="F2766" s="187"/>
      <c r="G2766" s="187"/>
      <c r="J2766" s="186"/>
      <c r="K2766" s="180"/>
      <c r="L2766" s="180"/>
    </row>
    <row r="2767" spans="2:12" s="188" customFormat="1" ht="15" customHeight="1">
      <c r="B2767" s="187"/>
      <c r="C2767" s="187"/>
      <c r="D2767" s="187"/>
      <c r="E2767" s="187"/>
      <c r="F2767" s="187"/>
      <c r="G2767" s="187"/>
      <c r="J2767" s="186"/>
      <c r="K2767" s="180"/>
      <c r="L2767" s="180"/>
    </row>
    <row r="2768" spans="2:12" s="188" customFormat="1" ht="15" customHeight="1">
      <c r="B2768" s="187"/>
      <c r="C2768" s="187"/>
      <c r="D2768" s="187"/>
      <c r="E2768" s="187"/>
      <c r="F2768" s="187"/>
      <c r="G2768" s="187"/>
      <c r="J2768" s="186"/>
      <c r="K2768" s="180"/>
      <c r="L2768" s="180"/>
    </row>
    <row r="2769" spans="2:12" s="188" customFormat="1" ht="15" customHeight="1">
      <c r="B2769" s="187"/>
      <c r="C2769" s="187"/>
      <c r="D2769" s="187"/>
      <c r="E2769" s="187"/>
      <c r="F2769" s="187"/>
      <c r="G2769" s="187"/>
      <c r="J2769" s="186"/>
      <c r="K2769" s="180"/>
      <c r="L2769" s="180"/>
    </row>
    <row r="2770" spans="2:12" s="188" customFormat="1" ht="15" customHeight="1">
      <c r="B2770" s="187"/>
      <c r="C2770" s="187"/>
      <c r="D2770" s="187"/>
      <c r="E2770" s="187"/>
      <c r="F2770" s="187"/>
      <c r="G2770" s="187"/>
      <c r="J2770" s="186"/>
      <c r="K2770" s="180"/>
      <c r="L2770" s="180"/>
    </row>
    <row r="2771" spans="2:12" s="188" customFormat="1" ht="15" customHeight="1">
      <c r="B2771" s="187"/>
      <c r="C2771" s="187"/>
      <c r="D2771" s="187"/>
      <c r="E2771" s="187"/>
      <c r="F2771" s="187"/>
      <c r="G2771" s="187"/>
      <c r="J2771" s="186"/>
      <c r="K2771" s="180"/>
      <c r="L2771" s="180"/>
    </row>
    <row r="2772" spans="2:12" s="188" customFormat="1" ht="15" customHeight="1">
      <c r="B2772" s="187"/>
      <c r="C2772" s="187"/>
      <c r="D2772" s="187"/>
      <c r="E2772" s="187"/>
      <c r="F2772" s="187"/>
      <c r="G2772" s="187"/>
      <c r="J2772" s="186"/>
      <c r="K2772" s="180"/>
      <c r="L2772" s="180"/>
    </row>
    <row r="2773" spans="2:12" s="188" customFormat="1" ht="15" customHeight="1">
      <c r="B2773" s="187"/>
      <c r="C2773" s="187"/>
      <c r="D2773" s="187"/>
      <c r="E2773" s="187"/>
      <c r="F2773" s="187"/>
      <c r="G2773" s="187"/>
      <c r="J2773" s="186"/>
      <c r="K2773" s="180"/>
      <c r="L2773" s="180"/>
    </row>
    <row r="2774" spans="2:12" s="188" customFormat="1" ht="15" customHeight="1">
      <c r="B2774" s="187"/>
      <c r="C2774" s="187"/>
      <c r="D2774" s="187"/>
      <c r="E2774" s="187"/>
      <c r="F2774" s="187"/>
      <c r="G2774" s="187"/>
      <c r="J2774" s="186"/>
      <c r="K2774" s="180"/>
      <c r="L2774" s="180"/>
    </row>
    <row r="2775" spans="2:12" s="188" customFormat="1" ht="15" customHeight="1">
      <c r="B2775" s="187"/>
      <c r="C2775" s="187"/>
      <c r="D2775" s="187"/>
      <c r="E2775" s="187"/>
      <c r="F2775" s="187"/>
      <c r="G2775" s="187"/>
      <c r="J2775" s="186"/>
      <c r="K2775" s="180"/>
      <c r="L2775" s="180"/>
    </row>
    <row r="2776" spans="2:12" s="188" customFormat="1" ht="15" customHeight="1">
      <c r="B2776" s="187"/>
      <c r="C2776" s="187"/>
      <c r="D2776" s="187"/>
      <c r="E2776" s="187"/>
      <c r="F2776" s="187"/>
      <c r="G2776" s="187"/>
      <c r="J2776" s="186"/>
      <c r="K2776" s="180"/>
      <c r="L2776" s="180"/>
    </row>
    <row r="2777" spans="2:12" s="188" customFormat="1" ht="15" customHeight="1">
      <c r="B2777" s="187"/>
      <c r="C2777" s="187"/>
      <c r="D2777" s="187"/>
      <c r="E2777" s="187"/>
      <c r="F2777" s="187"/>
      <c r="G2777" s="187"/>
      <c r="J2777" s="186"/>
      <c r="K2777" s="180"/>
      <c r="L2777" s="180"/>
    </row>
    <row r="2778" spans="2:12" s="188" customFormat="1" ht="15" customHeight="1">
      <c r="B2778" s="187"/>
      <c r="C2778" s="187"/>
      <c r="D2778" s="187"/>
      <c r="E2778" s="187"/>
      <c r="F2778" s="187"/>
      <c r="G2778" s="187"/>
      <c r="J2778" s="186"/>
      <c r="K2778" s="180"/>
      <c r="L2778" s="180"/>
    </row>
    <row r="2779" spans="2:12" s="188" customFormat="1" ht="15" customHeight="1">
      <c r="B2779" s="187"/>
      <c r="C2779" s="187"/>
      <c r="D2779" s="187"/>
      <c r="E2779" s="187"/>
      <c r="F2779" s="187"/>
      <c r="G2779" s="187"/>
      <c r="J2779" s="186"/>
      <c r="K2779" s="180"/>
      <c r="L2779" s="180"/>
    </row>
    <row r="2780" spans="2:12" s="188" customFormat="1" ht="15" customHeight="1">
      <c r="B2780" s="187"/>
      <c r="C2780" s="187"/>
      <c r="D2780" s="187"/>
      <c r="E2780" s="187"/>
      <c r="F2780" s="187"/>
      <c r="G2780" s="187"/>
      <c r="J2780" s="186"/>
      <c r="K2780" s="180"/>
      <c r="L2780" s="180"/>
    </row>
    <row r="2781" spans="2:12" s="188" customFormat="1" ht="15" customHeight="1">
      <c r="B2781" s="187"/>
      <c r="C2781" s="187"/>
      <c r="D2781" s="187"/>
      <c r="E2781" s="187"/>
      <c r="F2781" s="187"/>
      <c r="G2781" s="187"/>
      <c r="J2781" s="186"/>
      <c r="K2781" s="180"/>
      <c r="L2781" s="180"/>
    </row>
    <row r="2782" spans="2:12" s="188" customFormat="1" ht="15" customHeight="1">
      <c r="B2782" s="187"/>
      <c r="C2782" s="187"/>
      <c r="D2782" s="187"/>
      <c r="E2782" s="187"/>
      <c r="F2782" s="187"/>
      <c r="G2782" s="187"/>
      <c r="J2782" s="186"/>
      <c r="K2782" s="180"/>
      <c r="L2782" s="180"/>
    </row>
    <row r="2783" spans="2:12" s="188" customFormat="1" ht="15" customHeight="1">
      <c r="B2783" s="187"/>
      <c r="C2783" s="187"/>
      <c r="D2783" s="187"/>
      <c r="E2783" s="187"/>
      <c r="F2783" s="187"/>
      <c r="G2783" s="187"/>
      <c r="J2783" s="186"/>
      <c r="K2783" s="180"/>
      <c r="L2783" s="180"/>
    </row>
    <row r="2784" spans="2:12" s="188" customFormat="1" ht="15" customHeight="1">
      <c r="B2784" s="187"/>
      <c r="C2784" s="187"/>
      <c r="D2784" s="187"/>
      <c r="E2784" s="187"/>
      <c r="F2784" s="187"/>
      <c r="G2784" s="187"/>
      <c r="J2784" s="186"/>
      <c r="K2784" s="180"/>
      <c r="L2784" s="180"/>
    </row>
    <row r="2785" spans="2:12" s="188" customFormat="1" ht="15" customHeight="1">
      <c r="B2785" s="187"/>
      <c r="C2785" s="187"/>
      <c r="D2785" s="187"/>
      <c r="E2785" s="187"/>
      <c r="F2785" s="187"/>
      <c r="G2785" s="187"/>
      <c r="J2785" s="186"/>
      <c r="K2785" s="180"/>
      <c r="L2785" s="180"/>
    </row>
    <row r="2786" spans="2:12" s="188" customFormat="1" ht="15" customHeight="1">
      <c r="B2786" s="187"/>
      <c r="C2786" s="187"/>
      <c r="D2786" s="187"/>
      <c r="E2786" s="187"/>
      <c r="F2786" s="187"/>
      <c r="G2786" s="187"/>
      <c r="J2786" s="186"/>
      <c r="K2786" s="180"/>
      <c r="L2786" s="180"/>
    </row>
    <row r="2787" spans="2:12" s="188" customFormat="1" ht="15" customHeight="1">
      <c r="B2787" s="187"/>
      <c r="C2787" s="187"/>
      <c r="D2787" s="187"/>
      <c r="E2787" s="187"/>
      <c r="F2787" s="187"/>
      <c r="G2787" s="187"/>
      <c r="J2787" s="186"/>
      <c r="K2787" s="180"/>
      <c r="L2787" s="180"/>
    </row>
    <row r="2788" spans="2:12" s="188" customFormat="1" ht="15" customHeight="1">
      <c r="B2788" s="187"/>
      <c r="C2788" s="187"/>
      <c r="D2788" s="187"/>
      <c r="E2788" s="187"/>
      <c r="F2788" s="187"/>
      <c r="G2788" s="187"/>
      <c r="J2788" s="186"/>
      <c r="K2788" s="180"/>
      <c r="L2788" s="180"/>
    </row>
    <row r="2789" spans="2:12" s="188" customFormat="1" ht="15" customHeight="1">
      <c r="B2789" s="187"/>
      <c r="C2789" s="187"/>
      <c r="D2789" s="187"/>
      <c r="E2789" s="187"/>
      <c r="F2789" s="187"/>
      <c r="G2789" s="187"/>
      <c r="J2789" s="186"/>
      <c r="K2789" s="180"/>
      <c r="L2789" s="180"/>
    </row>
    <row r="2790" spans="2:12" s="188" customFormat="1" ht="15" customHeight="1">
      <c r="B2790" s="187"/>
      <c r="C2790" s="187"/>
      <c r="D2790" s="187"/>
      <c r="E2790" s="187"/>
      <c r="F2790" s="187"/>
      <c r="G2790" s="187"/>
      <c r="J2790" s="186"/>
      <c r="K2790" s="180"/>
      <c r="L2790" s="180"/>
    </row>
    <row r="2791" spans="2:12" s="188" customFormat="1" ht="15" customHeight="1">
      <c r="B2791" s="187"/>
      <c r="C2791" s="187"/>
      <c r="D2791" s="187"/>
      <c r="E2791" s="187"/>
      <c r="F2791" s="187"/>
      <c r="G2791" s="187"/>
      <c r="J2791" s="186"/>
      <c r="K2791" s="180"/>
      <c r="L2791" s="180"/>
    </row>
    <row r="2792" spans="2:12" s="188" customFormat="1" ht="15" customHeight="1">
      <c r="B2792" s="187"/>
      <c r="C2792" s="187"/>
      <c r="D2792" s="187"/>
      <c r="E2792" s="187"/>
      <c r="F2792" s="187"/>
      <c r="G2792" s="187"/>
      <c r="J2792" s="186"/>
      <c r="K2792" s="180"/>
      <c r="L2792" s="180"/>
    </row>
    <row r="2793" spans="2:12" s="188" customFormat="1" ht="15" customHeight="1">
      <c r="B2793" s="187"/>
      <c r="C2793" s="187"/>
      <c r="D2793" s="187"/>
      <c r="E2793" s="187"/>
      <c r="F2793" s="187"/>
      <c r="G2793" s="187"/>
      <c r="J2793" s="186"/>
      <c r="K2793" s="180"/>
      <c r="L2793" s="180"/>
    </row>
    <row r="2794" spans="2:12" s="188" customFormat="1" ht="15" customHeight="1">
      <c r="B2794" s="187"/>
      <c r="C2794" s="187"/>
      <c r="D2794" s="187"/>
      <c r="E2794" s="187"/>
      <c r="F2794" s="187"/>
      <c r="G2794" s="187"/>
      <c r="J2794" s="186"/>
      <c r="K2794" s="180"/>
      <c r="L2794" s="180"/>
    </row>
    <row r="2795" spans="2:12" s="188" customFormat="1" ht="15" customHeight="1">
      <c r="B2795" s="187"/>
      <c r="C2795" s="187"/>
      <c r="D2795" s="187"/>
      <c r="E2795" s="187"/>
      <c r="F2795" s="187"/>
      <c r="G2795" s="187"/>
      <c r="J2795" s="186"/>
      <c r="K2795" s="180"/>
      <c r="L2795" s="180"/>
    </row>
    <row r="2796" spans="2:12" s="188" customFormat="1" ht="15" customHeight="1">
      <c r="B2796" s="187"/>
      <c r="C2796" s="187"/>
      <c r="D2796" s="187"/>
      <c r="E2796" s="187"/>
      <c r="F2796" s="187"/>
      <c r="G2796" s="187"/>
      <c r="J2796" s="186"/>
      <c r="K2796" s="180"/>
      <c r="L2796" s="180"/>
    </row>
    <row r="2797" spans="2:12" s="188" customFormat="1" ht="15" customHeight="1">
      <c r="B2797" s="187"/>
      <c r="C2797" s="187"/>
      <c r="D2797" s="187"/>
      <c r="E2797" s="187"/>
      <c r="F2797" s="187"/>
      <c r="G2797" s="187"/>
      <c r="J2797" s="186"/>
      <c r="K2797" s="180"/>
      <c r="L2797" s="180"/>
    </row>
    <row r="2798" spans="2:12" s="188" customFormat="1" ht="15" customHeight="1">
      <c r="B2798" s="187"/>
      <c r="C2798" s="187"/>
      <c r="D2798" s="187"/>
      <c r="E2798" s="187"/>
      <c r="F2798" s="187"/>
      <c r="G2798" s="187"/>
      <c r="J2798" s="186"/>
      <c r="K2798" s="180"/>
      <c r="L2798" s="180"/>
    </row>
    <row r="2799" spans="2:12" s="188" customFormat="1" ht="15" customHeight="1">
      <c r="B2799" s="187"/>
      <c r="C2799" s="187"/>
      <c r="D2799" s="187"/>
      <c r="E2799" s="187"/>
      <c r="F2799" s="187"/>
      <c r="G2799" s="187"/>
      <c r="J2799" s="186"/>
      <c r="K2799" s="180"/>
      <c r="L2799" s="180"/>
    </row>
    <row r="2800" spans="2:12" s="188" customFormat="1" ht="15" customHeight="1">
      <c r="B2800" s="187"/>
      <c r="C2800" s="187"/>
      <c r="D2800" s="187"/>
      <c r="E2800" s="187"/>
      <c r="F2800" s="187"/>
      <c r="G2800" s="187"/>
      <c r="J2800" s="186"/>
      <c r="K2800" s="180"/>
      <c r="L2800" s="180"/>
    </row>
    <row r="2801" spans="2:12" s="188" customFormat="1" ht="15" customHeight="1">
      <c r="B2801" s="187"/>
      <c r="C2801" s="187"/>
      <c r="D2801" s="187"/>
      <c r="E2801" s="187"/>
      <c r="F2801" s="187"/>
      <c r="G2801" s="187"/>
      <c r="J2801" s="186"/>
      <c r="K2801" s="180"/>
      <c r="L2801" s="180"/>
    </row>
    <row r="2802" spans="2:12" s="188" customFormat="1" ht="15" customHeight="1">
      <c r="B2802" s="187"/>
      <c r="C2802" s="187"/>
      <c r="D2802" s="187"/>
      <c r="E2802" s="187"/>
      <c r="F2802" s="187"/>
      <c r="G2802" s="187"/>
      <c r="J2802" s="186"/>
      <c r="K2802" s="180"/>
      <c r="L2802" s="180"/>
    </row>
    <row r="2803" spans="2:12" s="188" customFormat="1" ht="15" customHeight="1">
      <c r="B2803" s="187"/>
      <c r="C2803" s="187"/>
      <c r="D2803" s="187"/>
      <c r="E2803" s="187"/>
      <c r="F2803" s="187"/>
      <c r="G2803" s="187"/>
      <c r="J2803" s="186"/>
      <c r="K2803" s="180"/>
      <c r="L2803" s="180"/>
    </row>
    <row r="2804" spans="2:12" s="188" customFormat="1" ht="15" customHeight="1">
      <c r="B2804" s="187"/>
      <c r="C2804" s="187"/>
      <c r="D2804" s="187"/>
      <c r="E2804" s="187"/>
      <c r="F2804" s="187"/>
      <c r="G2804" s="187"/>
      <c r="J2804" s="186"/>
      <c r="K2804" s="180"/>
      <c r="L2804" s="180"/>
    </row>
    <row r="2805" spans="2:12" s="188" customFormat="1" ht="15" customHeight="1">
      <c r="B2805" s="187"/>
      <c r="C2805" s="187"/>
      <c r="D2805" s="187"/>
      <c r="E2805" s="187"/>
      <c r="F2805" s="187"/>
      <c r="G2805" s="187"/>
      <c r="J2805" s="186"/>
      <c r="K2805" s="180"/>
      <c r="L2805" s="180"/>
    </row>
    <row r="2806" spans="2:12" s="188" customFormat="1" ht="15" customHeight="1">
      <c r="B2806" s="187"/>
      <c r="C2806" s="187"/>
      <c r="D2806" s="187"/>
      <c r="E2806" s="187"/>
      <c r="F2806" s="187"/>
      <c r="G2806" s="187"/>
      <c r="J2806" s="186"/>
      <c r="K2806" s="180"/>
      <c r="L2806" s="180"/>
    </row>
    <row r="2807" spans="2:12" s="188" customFormat="1" ht="15" customHeight="1">
      <c r="B2807" s="187"/>
      <c r="C2807" s="187"/>
      <c r="D2807" s="187"/>
      <c r="E2807" s="187"/>
      <c r="F2807" s="187"/>
      <c r="G2807" s="187"/>
      <c r="J2807" s="186"/>
      <c r="K2807" s="180"/>
      <c r="L2807" s="180"/>
    </row>
    <row r="2808" spans="2:12" s="188" customFormat="1" ht="15" customHeight="1">
      <c r="B2808" s="187"/>
      <c r="C2808" s="187"/>
      <c r="D2808" s="187"/>
      <c r="E2808" s="187"/>
      <c r="F2808" s="187"/>
      <c r="G2808" s="187"/>
      <c r="J2808" s="186"/>
      <c r="K2808" s="180"/>
      <c r="L2808" s="180"/>
    </row>
    <row r="2809" spans="2:12" s="188" customFormat="1" ht="15" customHeight="1">
      <c r="B2809" s="187"/>
      <c r="C2809" s="187"/>
      <c r="D2809" s="187"/>
      <c r="E2809" s="187"/>
      <c r="F2809" s="187"/>
      <c r="G2809" s="187"/>
      <c r="J2809" s="186"/>
      <c r="K2809" s="180"/>
      <c r="L2809" s="180"/>
    </row>
    <row r="2810" spans="2:12" s="188" customFormat="1" ht="15" customHeight="1">
      <c r="B2810" s="187"/>
      <c r="C2810" s="187"/>
      <c r="D2810" s="187"/>
      <c r="E2810" s="187"/>
      <c r="F2810" s="187"/>
      <c r="G2810" s="187"/>
      <c r="J2810" s="186"/>
      <c r="K2810" s="180"/>
      <c r="L2810" s="180"/>
    </row>
    <row r="2811" spans="2:12" s="188" customFormat="1" ht="15" customHeight="1">
      <c r="B2811" s="187"/>
      <c r="C2811" s="187"/>
      <c r="D2811" s="187"/>
      <c r="E2811" s="187"/>
      <c r="F2811" s="187"/>
      <c r="G2811" s="187"/>
      <c r="J2811" s="186"/>
      <c r="K2811" s="180"/>
      <c r="L2811" s="180"/>
    </row>
    <row r="2812" spans="2:12" s="188" customFormat="1" ht="15" customHeight="1">
      <c r="B2812" s="187"/>
      <c r="C2812" s="187"/>
      <c r="D2812" s="187"/>
      <c r="E2812" s="187"/>
      <c r="F2812" s="187"/>
      <c r="G2812" s="187"/>
      <c r="J2812" s="186"/>
      <c r="K2812" s="180"/>
      <c r="L2812" s="180"/>
    </row>
    <row r="2813" spans="2:12" s="188" customFormat="1" ht="15" customHeight="1">
      <c r="B2813" s="187"/>
      <c r="C2813" s="187"/>
      <c r="D2813" s="187"/>
      <c r="E2813" s="187"/>
      <c r="F2813" s="187"/>
      <c r="G2813" s="187"/>
      <c r="J2813" s="186"/>
      <c r="K2813" s="180"/>
      <c r="L2813" s="180"/>
    </row>
    <row r="2814" spans="2:12" s="188" customFormat="1" ht="15" customHeight="1">
      <c r="B2814" s="187"/>
      <c r="C2814" s="187"/>
      <c r="D2814" s="187"/>
      <c r="E2814" s="187"/>
      <c r="F2814" s="187"/>
      <c r="G2814" s="187"/>
      <c r="J2814" s="186"/>
      <c r="K2814" s="180"/>
      <c r="L2814" s="180"/>
    </row>
    <row r="2815" spans="2:12" s="188" customFormat="1" ht="15" customHeight="1">
      <c r="B2815" s="187"/>
      <c r="C2815" s="187"/>
      <c r="D2815" s="187"/>
      <c r="E2815" s="187"/>
      <c r="F2815" s="187"/>
      <c r="G2815" s="187"/>
      <c r="J2815" s="186"/>
      <c r="K2815" s="180"/>
      <c r="L2815" s="180"/>
    </row>
    <row r="2816" spans="2:12" s="188" customFormat="1" ht="15" customHeight="1">
      <c r="B2816" s="187"/>
      <c r="C2816" s="187"/>
      <c r="D2816" s="187"/>
      <c r="E2816" s="187"/>
      <c r="F2816" s="187"/>
      <c r="G2816" s="187"/>
      <c r="J2816" s="186"/>
      <c r="K2816" s="180"/>
      <c r="L2816" s="180"/>
    </row>
    <row r="2817" spans="2:12" s="188" customFormat="1" ht="15" customHeight="1">
      <c r="B2817" s="187"/>
      <c r="C2817" s="187"/>
      <c r="D2817" s="187"/>
      <c r="E2817" s="187"/>
      <c r="F2817" s="187"/>
      <c r="G2817" s="187"/>
      <c r="J2817" s="186"/>
      <c r="K2817" s="180"/>
      <c r="L2817" s="180"/>
    </row>
    <row r="2818" spans="2:12" s="188" customFormat="1" ht="15" customHeight="1">
      <c r="B2818" s="187"/>
      <c r="C2818" s="187"/>
      <c r="D2818" s="187"/>
      <c r="E2818" s="187"/>
      <c r="F2818" s="187"/>
      <c r="G2818" s="187"/>
      <c r="J2818" s="186"/>
      <c r="K2818" s="180"/>
      <c r="L2818" s="180"/>
    </row>
    <row r="2819" spans="2:12" s="188" customFormat="1" ht="15" customHeight="1">
      <c r="B2819" s="187"/>
      <c r="C2819" s="187"/>
      <c r="D2819" s="187"/>
      <c r="E2819" s="187"/>
      <c r="F2819" s="187"/>
      <c r="G2819" s="187"/>
      <c r="J2819" s="186"/>
      <c r="K2819" s="180"/>
      <c r="L2819" s="180"/>
    </row>
    <row r="2820" spans="2:12" s="188" customFormat="1" ht="15" customHeight="1">
      <c r="B2820" s="187"/>
      <c r="C2820" s="187"/>
      <c r="D2820" s="187"/>
      <c r="E2820" s="187"/>
      <c r="F2820" s="187"/>
      <c r="G2820" s="187"/>
      <c r="J2820" s="186"/>
      <c r="K2820" s="180"/>
      <c r="L2820" s="180"/>
    </row>
    <row r="2821" spans="2:12" s="188" customFormat="1" ht="15" customHeight="1">
      <c r="B2821" s="187"/>
      <c r="C2821" s="187"/>
      <c r="D2821" s="187"/>
      <c r="E2821" s="187"/>
      <c r="F2821" s="187"/>
      <c r="G2821" s="187"/>
      <c r="J2821" s="186"/>
      <c r="K2821" s="180"/>
      <c r="L2821" s="180"/>
    </row>
    <row r="2822" spans="2:12" s="188" customFormat="1" ht="15" customHeight="1">
      <c r="B2822" s="187"/>
      <c r="C2822" s="187"/>
      <c r="D2822" s="187"/>
      <c r="E2822" s="187"/>
      <c r="F2822" s="187"/>
      <c r="G2822" s="187"/>
      <c r="J2822" s="186"/>
      <c r="K2822" s="180"/>
      <c r="L2822" s="180"/>
    </row>
    <row r="2823" spans="2:12" s="188" customFormat="1" ht="15" customHeight="1">
      <c r="B2823" s="187"/>
      <c r="C2823" s="187"/>
      <c r="D2823" s="187"/>
      <c r="E2823" s="187"/>
      <c r="F2823" s="187"/>
      <c r="G2823" s="187"/>
      <c r="J2823" s="186"/>
      <c r="K2823" s="180"/>
      <c r="L2823" s="180"/>
    </row>
    <row r="2824" spans="2:12" s="188" customFormat="1" ht="15" customHeight="1">
      <c r="B2824" s="187"/>
      <c r="C2824" s="187"/>
      <c r="D2824" s="187"/>
      <c r="E2824" s="187"/>
      <c r="F2824" s="187"/>
      <c r="G2824" s="187"/>
      <c r="J2824" s="186"/>
      <c r="K2824" s="180"/>
      <c r="L2824" s="180"/>
    </row>
    <row r="2825" spans="2:12" s="188" customFormat="1" ht="15" customHeight="1">
      <c r="B2825" s="187"/>
      <c r="C2825" s="187"/>
      <c r="D2825" s="187"/>
      <c r="E2825" s="187"/>
      <c r="F2825" s="187"/>
      <c r="G2825" s="187"/>
      <c r="J2825" s="186"/>
      <c r="K2825" s="180"/>
      <c r="L2825" s="180"/>
    </row>
    <row r="2826" spans="2:12" s="188" customFormat="1" ht="15" customHeight="1">
      <c r="B2826" s="187"/>
      <c r="C2826" s="187"/>
      <c r="D2826" s="187"/>
      <c r="E2826" s="187"/>
      <c r="F2826" s="187"/>
      <c r="G2826" s="187"/>
      <c r="J2826" s="186"/>
      <c r="K2826" s="180"/>
      <c r="L2826" s="180"/>
    </row>
    <row r="2827" spans="2:12" s="188" customFormat="1" ht="15" customHeight="1">
      <c r="B2827" s="187"/>
      <c r="C2827" s="187"/>
      <c r="D2827" s="187"/>
      <c r="E2827" s="187"/>
      <c r="F2827" s="187"/>
      <c r="G2827" s="187"/>
      <c r="J2827" s="186"/>
      <c r="K2827" s="180"/>
      <c r="L2827" s="180"/>
    </row>
    <row r="2828" spans="2:12" s="188" customFormat="1" ht="15" customHeight="1">
      <c r="B2828" s="187"/>
      <c r="C2828" s="187"/>
      <c r="D2828" s="187"/>
      <c r="E2828" s="187"/>
      <c r="F2828" s="187"/>
      <c r="G2828" s="187"/>
      <c r="J2828" s="186"/>
      <c r="K2828" s="180"/>
      <c r="L2828" s="180"/>
    </row>
    <row r="2829" spans="2:12" s="188" customFormat="1" ht="15" customHeight="1">
      <c r="B2829" s="187"/>
      <c r="C2829" s="187"/>
      <c r="D2829" s="187"/>
      <c r="E2829" s="187"/>
      <c r="F2829" s="187"/>
      <c r="G2829" s="187"/>
      <c r="J2829" s="186"/>
      <c r="K2829" s="180"/>
      <c r="L2829" s="180"/>
    </row>
    <row r="2830" spans="2:12" s="188" customFormat="1" ht="15" customHeight="1">
      <c r="B2830" s="187"/>
      <c r="C2830" s="187"/>
      <c r="D2830" s="187"/>
      <c r="E2830" s="187"/>
      <c r="F2830" s="187"/>
      <c r="G2830" s="187"/>
      <c r="J2830" s="186"/>
      <c r="K2830" s="180"/>
      <c r="L2830" s="180"/>
    </row>
    <row r="2831" spans="2:12" s="188" customFormat="1" ht="15" customHeight="1">
      <c r="B2831" s="187"/>
      <c r="C2831" s="187"/>
      <c r="D2831" s="187"/>
      <c r="E2831" s="187"/>
      <c r="F2831" s="187"/>
      <c r="G2831" s="187"/>
      <c r="J2831" s="186"/>
      <c r="K2831" s="180"/>
      <c r="L2831" s="180"/>
    </row>
    <row r="2832" spans="2:12" s="188" customFormat="1" ht="15" customHeight="1">
      <c r="B2832" s="187"/>
      <c r="C2832" s="187"/>
      <c r="D2832" s="187"/>
      <c r="E2832" s="187"/>
      <c r="F2832" s="187"/>
      <c r="G2832" s="187"/>
      <c r="J2832" s="186"/>
      <c r="K2832" s="180"/>
      <c r="L2832" s="180"/>
    </row>
    <row r="2833" spans="2:12" s="188" customFormat="1" ht="15" customHeight="1">
      <c r="B2833" s="187"/>
      <c r="C2833" s="187"/>
      <c r="D2833" s="187"/>
      <c r="E2833" s="187"/>
      <c r="F2833" s="187"/>
      <c r="G2833" s="187"/>
      <c r="J2833" s="186"/>
      <c r="K2833" s="180"/>
      <c r="L2833" s="180"/>
    </row>
    <row r="2834" spans="2:12" s="188" customFormat="1" ht="15" customHeight="1">
      <c r="B2834" s="187"/>
      <c r="C2834" s="187"/>
      <c r="D2834" s="187"/>
      <c r="E2834" s="187"/>
      <c r="F2834" s="187"/>
      <c r="G2834" s="187"/>
      <c r="J2834" s="186"/>
      <c r="K2834" s="180"/>
      <c r="L2834" s="180"/>
    </row>
    <row r="2835" spans="2:12" s="188" customFormat="1" ht="15" customHeight="1">
      <c r="B2835" s="187"/>
      <c r="C2835" s="187"/>
      <c r="D2835" s="187"/>
      <c r="E2835" s="187"/>
      <c r="F2835" s="187"/>
      <c r="G2835" s="187"/>
      <c r="J2835" s="186"/>
      <c r="K2835" s="180"/>
      <c r="L2835" s="180"/>
    </row>
    <row r="2836" spans="2:12" s="188" customFormat="1" ht="15" customHeight="1">
      <c r="B2836" s="187"/>
      <c r="C2836" s="187"/>
      <c r="D2836" s="187"/>
      <c r="E2836" s="187"/>
      <c r="F2836" s="187"/>
      <c r="G2836" s="187"/>
      <c r="J2836" s="186"/>
      <c r="K2836" s="180"/>
      <c r="L2836" s="180"/>
    </row>
    <row r="2837" spans="2:12" s="188" customFormat="1" ht="15" customHeight="1">
      <c r="B2837" s="187"/>
      <c r="C2837" s="187"/>
      <c r="D2837" s="187"/>
      <c r="E2837" s="187"/>
      <c r="F2837" s="187"/>
      <c r="G2837" s="187"/>
      <c r="J2837" s="186"/>
      <c r="K2837" s="180"/>
      <c r="L2837" s="180"/>
    </row>
    <row r="2838" spans="2:12" s="188" customFormat="1" ht="15" customHeight="1">
      <c r="B2838" s="187"/>
      <c r="C2838" s="187"/>
      <c r="D2838" s="187"/>
      <c r="E2838" s="187"/>
      <c r="F2838" s="187"/>
      <c r="G2838" s="187"/>
      <c r="J2838" s="186"/>
      <c r="K2838" s="180"/>
      <c r="L2838" s="180"/>
    </row>
    <row r="2839" spans="2:12" s="188" customFormat="1" ht="15" customHeight="1">
      <c r="B2839" s="187"/>
      <c r="C2839" s="187"/>
      <c r="D2839" s="187"/>
      <c r="E2839" s="187"/>
      <c r="F2839" s="187"/>
      <c r="G2839" s="187"/>
      <c r="J2839" s="186"/>
      <c r="K2839" s="180"/>
      <c r="L2839" s="180"/>
    </row>
    <row r="2840" spans="2:12" s="188" customFormat="1" ht="15" customHeight="1">
      <c r="B2840" s="187"/>
      <c r="C2840" s="187"/>
      <c r="D2840" s="187"/>
      <c r="E2840" s="187"/>
      <c r="F2840" s="187"/>
      <c r="G2840" s="187"/>
      <c r="J2840" s="186"/>
      <c r="K2840" s="180"/>
      <c r="L2840" s="180"/>
    </row>
    <row r="2841" spans="2:12" s="188" customFormat="1" ht="15" customHeight="1">
      <c r="B2841" s="187"/>
      <c r="C2841" s="187"/>
      <c r="D2841" s="187"/>
      <c r="E2841" s="187"/>
      <c r="F2841" s="187"/>
      <c r="G2841" s="187"/>
      <c r="J2841" s="186"/>
      <c r="K2841" s="180"/>
      <c r="L2841" s="180"/>
    </row>
    <row r="2842" spans="2:12" s="188" customFormat="1" ht="15" customHeight="1">
      <c r="B2842" s="187"/>
      <c r="C2842" s="187"/>
      <c r="D2842" s="187"/>
      <c r="E2842" s="187"/>
      <c r="F2842" s="187"/>
      <c r="G2842" s="187"/>
      <c r="J2842" s="186"/>
      <c r="K2842" s="180"/>
      <c r="L2842" s="180"/>
    </row>
    <row r="2843" spans="2:12" s="188" customFormat="1" ht="15" customHeight="1">
      <c r="B2843" s="187"/>
      <c r="C2843" s="187"/>
      <c r="D2843" s="187"/>
      <c r="E2843" s="187"/>
      <c r="F2843" s="187"/>
      <c r="G2843" s="187"/>
      <c r="J2843" s="186"/>
      <c r="K2843" s="180"/>
      <c r="L2843" s="180"/>
    </row>
    <row r="2844" spans="2:12" s="188" customFormat="1" ht="15" customHeight="1">
      <c r="B2844" s="187"/>
      <c r="C2844" s="187"/>
      <c r="D2844" s="187"/>
      <c r="E2844" s="187"/>
      <c r="F2844" s="187"/>
      <c r="G2844" s="187"/>
      <c r="J2844" s="186"/>
      <c r="K2844" s="180"/>
      <c r="L2844" s="180"/>
    </row>
    <row r="2845" spans="2:12" s="188" customFormat="1" ht="15" customHeight="1">
      <c r="B2845" s="187"/>
      <c r="C2845" s="187"/>
      <c r="D2845" s="187"/>
      <c r="E2845" s="187"/>
      <c r="F2845" s="187"/>
      <c r="G2845" s="187"/>
      <c r="J2845" s="186"/>
      <c r="K2845" s="180"/>
      <c r="L2845" s="180"/>
    </row>
    <row r="2846" spans="2:12" s="188" customFormat="1" ht="15" customHeight="1">
      <c r="B2846" s="187"/>
      <c r="C2846" s="187"/>
      <c r="D2846" s="187"/>
      <c r="E2846" s="187"/>
      <c r="F2846" s="187"/>
      <c r="G2846" s="187"/>
      <c r="J2846" s="186"/>
      <c r="K2846" s="180"/>
      <c r="L2846" s="180"/>
    </row>
    <row r="2847" spans="2:12" s="188" customFormat="1" ht="15" customHeight="1">
      <c r="B2847" s="187"/>
      <c r="C2847" s="187"/>
      <c r="D2847" s="187"/>
      <c r="E2847" s="187"/>
      <c r="F2847" s="187"/>
      <c r="G2847" s="187"/>
      <c r="J2847" s="186"/>
      <c r="K2847" s="180"/>
      <c r="L2847" s="180"/>
    </row>
    <row r="2848" spans="2:12" s="188" customFormat="1" ht="15" customHeight="1">
      <c r="B2848" s="187"/>
      <c r="C2848" s="187"/>
      <c r="D2848" s="187"/>
      <c r="E2848" s="187"/>
      <c r="F2848" s="187"/>
      <c r="G2848" s="187"/>
      <c r="J2848" s="186"/>
      <c r="K2848" s="180"/>
      <c r="L2848" s="180"/>
    </row>
    <row r="2849" spans="2:12" s="188" customFormat="1" ht="15" customHeight="1">
      <c r="B2849" s="187"/>
      <c r="C2849" s="187"/>
      <c r="D2849" s="187"/>
      <c r="E2849" s="187"/>
      <c r="F2849" s="187"/>
      <c r="G2849" s="187"/>
      <c r="J2849" s="186"/>
      <c r="K2849" s="180"/>
      <c r="L2849" s="180"/>
    </row>
    <row r="2850" spans="2:12" s="188" customFormat="1" ht="15" customHeight="1">
      <c r="B2850" s="187"/>
      <c r="C2850" s="187"/>
      <c r="D2850" s="187"/>
      <c r="E2850" s="187"/>
      <c r="F2850" s="187"/>
      <c r="G2850" s="187"/>
      <c r="J2850" s="186"/>
      <c r="K2850" s="180"/>
      <c r="L2850" s="180"/>
    </row>
    <row r="2851" spans="2:12" s="188" customFormat="1" ht="15" customHeight="1">
      <c r="B2851" s="187"/>
      <c r="C2851" s="187"/>
      <c r="D2851" s="187"/>
      <c r="E2851" s="187"/>
      <c r="F2851" s="187"/>
      <c r="G2851" s="187"/>
      <c r="J2851" s="186"/>
      <c r="K2851" s="180"/>
      <c r="L2851" s="180"/>
    </row>
    <row r="2852" spans="2:12" s="188" customFormat="1" ht="15" customHeight="1">
      <c r="B2852" s="187"/>
      <c r="C2852" s="187"/>
      <c r="D2852" s="187"/>
      <c r="E2852" s="187"/>
      <c r="F2852" s="187"/>
      <c r="G2852" s="187"/>
      <c r="J2852" s="186"/>
      <c r="K2852" s="180"/>
      <c r="L2852" s="180"/>
    </row>
    <row r="2853" spans="2:12" s="188" customFormat="1" ht="15" customHeight="1">
      <c r="B2853" s="187"/>
      <c r="C2853" s="187"/>
      <c r="D2853" s="187"/>
      <c r="E2853" s="187"/>
      <c r="F2853" s="187"/>
      <c r="G2853" s="187"/>
      <c r="J2853" s="186"/>
      <c r="K2853" s="180"/>
      <c r="L2853" s="180"/>
    </row>
    <row r="2854" spans="2:12" s="188" customFormat="1" ht="15" customHeight="1">
      <c r="B2854" s="187"/>
      <c r="C2854" s="187"/>
      <c r="D2854" s="187"/>
      <c r="E2854" s="187"/>
      <c r="F2854" s="187"/>
      <c r="G2854" s="187"/>
      <c r="J2854" s="186"/>
      <c r="K2854" s="180"/>
      <c r="L2854" s="180"/>
    </row>
    <row r="2855" spans="2:12" s="188" customFormat="1" ht="15" customHeight="1">
      <c r="B2855" s="187"/>
      <c r="C2855" s="187"/>
      <c r="D2855" s="187"/>
      <c r="E2855" s="187"/>
      <c r="F2855" s="187"/>
      <c r="G2855" s="187"/>
      <c r="J2855" s="186"/>
      <c r="K2855" s="180"/>
      <c r="L2855" s="180"/>
    </row>
    <row r="2856" spans="2:12" s="188" customFormat="1" ht="15" customHeight="1">
      <c r="B2856" s="187"/>
      <c r="C2856" s="187"/>
      <c r="D2856" s="187"/>
      <c r="E2856" s="187"/>
      <c r="F2856" s="187"/>
      <c r="G2856" s="187"/>
      <c r="J2856" s="186"/>
      <c r="K2856" s="180"/>
      <c r="L2856" s="180"/>
    </row>
    <row r="2857" spans="2:12" s="188" customFormat="1" ht="15" customHeight="1">
      <c r="B2857" s="187"/>
      <c r="C2857" s="187"/>
      <c r="D2857" s="187"/>
      <c r="E2857" s="187"/>
      <c r="F2857" s="187"/>
      <c r="G2857" s="187"/>
      <c r="J2857" s="186"/>
      <c r="K2857" s="180"/>
      <c r="L2857" s="180"/>
    </row>
    <row r="2858" spans="2:12" s="188" customFormat="1" ht="15" customHeight="1">
      <c r="B2858" s="187"/>
      <c r="C2858" s="187"/>
      <c r="D2858" s="187"/>
      <c r="E2858" s="187"/>
      <c r="F2858" s="187"/>
      <c r="G2858" s="187"/>
      <c r="J2858" s="186"/>
      <c r="K2858" s="180"/>
      <c r="L2858" s="180"/>
    </row>
    <row r="2859" spans="2:12" s="188" customFormat="1" ht="15" customHeight="1">
      <c r="B2859" s="187"/>
      <c r="C2859" s="187"/>
      <c r="D2859" s="187"/>
      <c r="E2859" s="187"/>
      <c r="F2859" s="187"/>
      <c r="G2859" s="187"/>
      <c r="J2859" s="186"/>
      <c r="K2859" s="180"/>
      <c r="L2859" s="180"/>
    </row>
    <row r="2860" spans="2:12" s="188" customFormat="1" ht="15" customHeight="1">
      <c r="B2860" s="187"/>
      <c r="C2860" s="187"/>
      <c r="D2860" s="187"/>
      <c r="E2860" s="187"/>
      <c r="F2860" s="187"/>
      <c r="G2860" s="187"/>
      <c r="J2860" s="186"/>
      <c r="K2860" s="180"/>
      <c r="L2860" s="180"/>
    </row>
    <row r="2861" spans="2:12" s="188" customFormat="1" ht="15" customHeight="1">
      <c r="B2861" s="187"/>
      <c r="C2861" s="187"/>
      <c r="D2861" s="187"/>
      <c r="E2861" s="187"/>
      <c r="F2861" s="187"/>
      <c r="G2861" s="187"/>
      <c r="J2861" s="186"/>
      <c r="K2861" s="180"/>
      <c r="L2861" s="180"/>
    </row>
    <row r="2862" spans="2:12" s="188" customFormat="1" ht="15" customHeight="1">
      <c r="B2862" s="187"/>
      <c r="C2862" s="187"/>
      <c r="D2862" s="187"/>
      <c r="E2862" s="187"/>
      <c r="F2862" s="187"/>
      <c r="G2862" s="187"/>
      <c r="J2862" s="186"/>
      <c r="K2862" s="180"/>
      <c r="L2862" s="180"/>
    </row>
    <row r="2863" spans="2:12" s="188" customFormat="1" ht="15" customHeight="1">
      <c r="B2863" s="187"/>
      <c r="C2863" s="187"/>
      <c r="D2863" s="187"/>
      <c r="E2863" s="187"/>
      <c r="F2863" s="187"/>
      <c r="G2863" s="187"/>
      <c r="J2863" s="186"/>
      <c r="K2863" s="180"/>
      <c r="L2863" s="180"/>
    </row>
    <row r="2864" spans="2:12" s="188" customFormat="1" ht="15" customHeight="1">
      <c r="B2864" s="187"/>
      <c r="C2864" s="187"/>
      <c r="D2864" s="187"/>
      <c r="E2864" s="187"/>
      <c r="F2864" s="187"/>
      <c r="G2864" s="187"/>
      <c r="J2864" s="186"/>
      <c r="K2864" s="180"/>
      <c r="L2864" s="180"/>
    </row>
    <row r="2865" spans="2:12" s="188" customFormat="1" ht="15" customHeight="1">
      <c r="B2865" s="187"/>
      <c r="C2865" s="187"/>
      <c r="D2865" s="187"/>
      <c r="E2865" s="187"/>
      <c r="F2865" s="187"/>
      <c r="G2865" s="187"/>
      <c r="J2865" s="186"/>
      <c r="K2865" s="180"/>
      <c r="L2865" s="180"/>
    </row>
    <row r="2866" spans="2:12" s="188" customFormat="1" ht="15" customHeight="1">
      <c r="B2866" s="187"/>
      <c r="C2866" s="187"/>
      <c r="D2866" s="187"/>
      <c r="E2866" s="187"/>
      <c r="F2866" s="187"/>
      <c r="G2866" s="187"/>
      <c r="J2866" s="186"/>
      <c r="K2866" s="180"/>
      <c r="L2866" s="180"/>
    </row>
    <row r="2867" spans="2:12" s="188" customFormat="1" ht="15" customHeight="1">
      <c r="B2867" s="187"/>
      <c r="C2867" s="187"/>
      <c r="D2867" s="187"/>
      <c r="E2867" s="187"/>
      <c r="F2867" s="187"/>
      <c r="G2867" s="187"/>
      <c r="J2867" s="186"/>
      <c r="K2867" s="180"/>
      <c r="L2867" s="180"/>
    </row>
    <row r="2868" spans="2:12" s="188" customFormat="1" ht="15" customHeight="1">
      <c r="B2868" s="187"/>
      <c r="C2868" s="187"/>
      <c r="D2868" s="187"/>
      <c r="E2868" s="187"/>
      <c r="F2868" s="187"/>
      <c r="G2868" s="187"/>
      <c r="J2868" s="186"/>
      <c r="K2868" s="180"/>
      <c r="L2868" s="180"/>
    </row>
    <row r="2869" spans="2:12" s="188" customFormat="1" ht="15" customHeight="1">
      <c r="B2869" s="187"/>
      <c r="C2869" s="187"/>
      <c r="D2869" s="187"/>
      <c r="E2869" s="187"/>
      <c r="F2869" s="187"/>
      <c r="G2869" s="187"/>
      <c r="J2869" s="186"/>
      <c r="K2869" s="180"/>
      <c r="L2869" s="180"/>
    </row>
    <row r="2870" spans="2:12" s="188" customFormat="1" ht="15" customHeight="1">
      <c r="B2870" s="187"/>
      <c r="C2870" s="187"/>
      <c r="D2870" s="187"/>
      <c r="E2870" s="187"/>
      <c r="F2870" s="187"/>
      <c r="G2870" s="187"/>
      <c r="J2870" s="186"/>
      <c r="K2870" s="180"/>
      <c r="L2870" s="180"/>
    </row>
    <row r="2871" spans="2:12" s="188" customFormat="1" ht="15" customHeight="1">
      <c r="B2871" s="187"/>
      <c r="C2871" s="187"/>
      <c r="D2871" s="187"/>
      <c r="E2871" s="187"/>
      <c r="F2871" s="187"/>
      <c r="G2871" s="187"/>
      <c r="J2871" s="186"/>
      <c r="K2871" s="180"/>
      <c r="L2871" s="180"/>
    </row>
    <row r="2872" spans="2:12" s="188" customFormat="1" ht="15" customHeight="1">
      <c r="B2872" s="187"/>
      <c r="C2872" s="187"/>
      <c r="D2872" s="187"/>
      <c r="E2872" s="187"/>
      <c r="F2872" s="187"/>
      <c r="G2872" s="187"/>
      <c r="J2872" s="186"/>
      <c r="K2872" s="180"/>
      <c r="L2872" s="180"/>
    </row>
    <row r="2873" spans="2:12" s="188" customFormat="1" ht="15" customHeight="1">
      <c r="B2873" s="187"/>
      <c r="C2873" s="187"/>
      <c r="D2873" s="187"/>
      <c r="E2873" s="187"/>
      <c r="F2873" s="187"/>
      <c r="G2873" s="187"/>
      <c r="J2873" s="186"/>
      <c r="K2873" s="180"/>
      <c r="L2873" s="180"/>
    </row>
    <row r="2874" spans="2:12" s="188" customFormat="1" ht="15" customHeight="1">
      <c r="B2874" s="187"/>
      <c r="C2874" s="187"/>
      <c r="D2874" s="187"/>
      <c r="E2874" s="187"/>
      <c r="F2874" s="187"/>
      <c r="G2874" s="187"/>
      <c r="J2874" s="186"/>
      <c r="K2874" s="180"/>
      <c r="L2874" s="180"/>
    </row>
    <row r="2875" spans="2:12" s="188" customFormat="1" ht="15" customHeight="1">
      <c r="B2875" s="187"/>
      <c r="C2875" s="187"/>
      <c r="D2875" s="187"/>
      <c r="E2875" s="187"/>
      <c r="F2875" s="187"/>
      <c r="G2875" s="187"/>
      <c r="J2875" s="186"/>
      <c r="K2875" s="180"/>
      <c r="L2875" s="180"/>
    </row>
    <row r="2876" spans="2:12" s="188" customFormat="1" ht="15" customHeight="1">
      <c r="B2876" s="187"/>
      <c r="C2876" s="187"/>
      <c r="D2876" s="187"/>
      <c r="E2876" s="187"/>
      <c r="F2876" s="187"/>
      <c r="G2876" s="187"/>
      <c r="J2876" s="186"/>
      <c r="K2876" s="180"/>
      <c r="L2876" s="180"/>
    </row>
    <row r="2877" spans="2:12" s="188" customFormat="1" ht="15" customHeight="1">
      <c r="B2877" s="187"/>
      <c r="C2877" s="187"/>
      <c r="D2877" s="187"/>
      <c r="E2877" s="187"/>
      <c r="F2877" s="187"/>
      <c r="G2877" s="187"/>
      <c r="J2877" s="186"/>
      <c r="K2877" s="180"/>
      <c r="L2877" s="180"/>
    </row>
    <row r="2878" spans="2:12" s="188" customFormat="1" ht="15" customHeight="1">
      <c r="B2878" s="187"/>
      <c r="C2878" s="187"/>
      <c r="D2878" s="187"/>
      <c r="E2878" s="187"/>
      <c r="F2878" s="187"/>
      <c r="G2878" s="187"/>
      <c r="J2878" s="186"/>
      <c r="K2878" s="180"/>
      <c r="L2878" s="180"/>
    </row>
    <row r="2879" spans="2:12" s="188" customFormat="1" ht="15" customHeight="1">
      <c r="B2879" s="187"/>
      <c r="C2879" s="187"/>
      <c r="D2879" s="187"/>
      <c r="E2879" s="187"/>
      <c r="F2879" s="187"/>
      <c r="G2879" s="187"/>
      <c r="J2879" s="186"/>
      <c r="K2879" s="180"/>
      <c r="L2879" s="180"/>
    </row>
    <row r="2880" spans="2:12" s="188" customFormat="1" ht="15" customHeight="1">
      <c r="B2880" s="187"/>
      <c r="C2880" s="187"/>
      <c r="D2880" s="187"/>
      <c r="E2880" s="187"/>
      <c r="F2880" s="187"/>
      <c r="G2880" s="187"/>
      <c r="J2880" s="186"/>
      <c r="K2880" s="180"/>
      <c r="L2880" s="180"/>
    </row>
    <row r="2881" spans="2:12" s="188" customFormat="1" ht="15" customHeight="1">
      <c r="B2881" s="187"/>
      <c r="C2881" s="187"/>
      <c r="D2881" s="187"/>
      <c r="E2881" s="187"/>
      <c r="F2881" s="187"/>
      <c r="G2881" s="187"/>
      <c r="J2881" s="186"/>
      <c r="K2881" s="180"/>
      <c r="L2881" s="180"/>
    </row>
    <row r="2882" spans="2:12" s="188" customFormat="1" ht="15" customHeight="1">
      <c r="B2882" s="187"/>
      <c r="C2882" s="187"/>
      <c r="D2882" s="187"/>
      <c r="E2882" s="187"/>
      <c r="F2882" s="187"/>
      <c r="G2882" s="187"/>
      <c r="J2882" s="186"/>
      <c r="K2882" s="180"/>
      <c r="L2882" s="180"/>
    </row>
    <row r="2883" spans="2:12" s="188" customFormat="1" ht="15" customHeight="1">
      <c r="B2883" s="187"/>
      <c r="C2883" s="187"/>
      <c r="D2883" s="187"/>
      <c r="E2883" s="187"/>
      <c r="F2883" s="187"/>
      <c r="G2883" s="187"/>
      <c r="J2883" s="186"/>
      <c r="K2883" s="180"/>
      <c r="L2883" s="180"/>
    </row>
    <row r="2884" spans="2:12" s="188" customFormat="1" ht="15" customHeight="1">
      <c r="B2884" s="187"/>
      <c r="C2884" s="187"/>
      <c r="D2884" s="187"/>
      <c r="E2884" s="187"/>
      <c r="F2884" s="187"/>
      <c r="G2884" s="187"/>
      <c r="J2884" s="186"/>
      <c r="K2884" s="180"/>
      <c r="L2884" s="180"/>
    </row>
    <row r="2885" spans="2:12" s="188" customFormat="1" ht="15" customHeight="1">
      <c r="B2885" s="187"/>
      <c r="C2885" s="187"/>
      <c r="D2885" s="187"/>
      <c r="E2885" s="187"/>
      <c r="F2885" s="187"/>
      <c r="G2885" s="187"/>
      <c r="J2885" s="186"/>
      <c r="K2885" s="180"/>
      <c r="L2885" s="180"/>
    </row>
    <row r="2886" spans="2:12" s="188" customFormat="1" ht="15" customHeight="1">
      <c r="B2886" s="187"/>
      <c r="C2886" s="187"/>
      <c r="D2886" s="187"/>
      <c r="E2886" s="187"/>
      <c r="F2886" s="187"/>
      <c r="G2886" s="187"/>
      <c r="J2886" s="186"/>
      <c r="K2886" s="180"/>
      <c r="L2886" s="180"/>
    </row>
    <row r="2887" spans="2:12" s="188" customFormat="1" ht="15" customHeight="1">
      <c r="B2887" s="187"/>
      <c r="C2887" s="187"/>
      <c r="D2887" s="187"/>
      <c r="E2887" s="187"/>
      <c r="F2887" s="187"/>
      <c r="G2887" s="187"/>
      <c r="J2887" s="186"/>
      <c r="K2887" s="180"/>
      <c r="L2887" s="180"/>
    </row>
    <row r="2888" spans="2:12" s="188" customFormat="1" ht="15" customHeight="1">
      <c r="B2888" s="187"/>
      <c r="C2888" s="187"/>
      <c r="D2888" s="187"/>
      <c r="E2888" s="187"/>
      <c r="F2888" s="187"/>
      <c r="G2888" s="187"/>
      <c r="J2888" s="186"/>
      <c r="K2888" s="180"/>
      <c r="L2888" s="180"/>
    </row>
    <row r="2889" spans="2:12" s="188" customFormat="1" ht="15" customHeight="1">
      <c r="B2889" s="187"/>
      <c r="C2889" s="187"/>
      <c r="D2889" s="187"/>
      <c r="E2889" s="187"/>
      <c r="F2889" s="187"/>
      <c r="G2889" s="187"/>
      <c r="J2889" s="186"/>
      <c r="K2889" s="180"/>
      <c r="L2889" s="180"/>
    </row>
    <row r="2890" spans="2:12" s="188" customFormat="1" ht="15" customHeight="1">
      <c r="B2890" s="187"/>
      <c r="C2890" s="187"/>
      <c r="D2890" s="187"/>
      <c r="E2890" s="187"/>
      <c r="F2890" s="187"/>
      <c r="G2890" s="187"/>
      <c r="J2890" s="186"/>
      <c r="K2890" s="180"/>
      <c r="L2890" s="180"/>
    </row>
    <row r="2891" spans="2:12" s="188" customFormat="1" ht="15" customHeight="1">
      <c r="B2891" s="187"/>
      <c r="C2891" s="187"/>
      <c r="D2891" s="187"/>
      <c r="E2891" s="187"/>
      <c r="F2891" s="187"/>
      <c r="G2891" s="187"/>
      <c r="J2891" s="186"/>
      <c r="K2891" s="180"/>
      <c r="L2891" s="180"/>
    </row>
    <row r="2892" spans="2:12" s="188" customFormat="1" ht="15" customHeight="1">
      <c r="B2892" s="187"/>
      <c r="C2892" s="187"/>
      <c r="D2892" s="187"/>
      <c r="E2892" s="187"/>
      <c r="F2892" s="187"/>
      <c r="G2892" s="187"/>
      <c r="J2892" s="186"/>
      <c r="K2892" s="180"/>
      <c r="L2892" s="180"/>
    </row>
    <row r="2893" spans="2:12" s="188" customFormat="1" ht="15" customHeight="1">
      <c r="B2893" s="187"/>
      <c r="C2893" s="187"/>
      <c r="D2893" s="187"/>
      <c r="E2893" s="187"/>
      <c r="F2893" s="187"/>
      <c r="G2893" s="187"/>
      <c r="J2893" s="186"/>
      <c r="K2893" s="180"/>
      <c r="L2893" s="180"/>
    </row>
    <row r="2894" spans="2:12" s="188" customFormat="1" ht="15" customHeight="1">
      <c r="B2894" s="187"/>
      <c r="C2894" s="187"/>
      <c r="D2894" s="187"/>
      <c r="E2894" s="187"/>
      <c r="F2894" s="187"/>
      <c r="G2894" s="187"/>
      <c r="J2894" s="186"/>
      <c r="K2894" s="180"/>
      <c r="L2894" s="180"/>
    </row>
    <row r="2895" spans="2:12" s="188" customFormat="1" ht="15" customHeight="1">
      <c r="B2895" s="187"/>
      <c r="C2895" s="187"/>
      <c r="D2895" s="187"/>
      <c r="E2895" s="187"/>
      <c r="F2895" s="187"/>
      <c r="G2895" s="187"/>
      <c r="J2895" s="186"/>
      <c r="K2895" s="180"/>
      <c r="L2895" s="180"/>
    </row>
    <row r="2896" spans="2:12" s="188" customFormat="1" ht="15" customHeight="1">
      <c r="B2896" s="187"/>
      <c r="C2896" s="187"/>
      <c r="D2896" s="187"/>
      <c r="E2896" s="187"/>
      <c r="F2896" s="187"/>
      <c r="G2896" s="187"/>
      <c r="J2896" s="186"/>
      <c r="K2896" s="180"/>
      <c r="L2896" s="180"/>
    </row>
    <row r="2897" spans="2:12" s="188" customFormat="1" ht="15" customHeight="1">
      <c r="B2897" s="187"/>
      <c r="C2897" s="187"/>
      <c r="D2897" s="187"/>
      <c r="E2897" s="187"/>
      <c r="F2897" s="187"/>
      <c r="G2897" s="187"/>
      <c r="J2897" s="186"/>
      <c r="K2897" s="180"/>
      <c r="L2897" s="180"/>
    </row>
    <row r="2898" spans="2:12" s="188" customFormat="1" ht="15" customHeight="1">
      <c r="B2898" s="187"/>
      <c r="C2898" s="187"/>
      <c r="D2898" s="187"/>
      <c r="E2898" s="187"/>
      <c r="F2898" s="187"/>
      <c r="G2898" s="187"/>
      <c r="J2898" s="186"/>
      <c r="K2898" s="180"/>
      <c r="L2898" s="180"/>
    </row>
    <row r="2899" spans="2:12" s="188" customFormat="1" ht="15" customHeight="1">
      <c r="B2899" s="187"/>
      <c r="C2899" s="187"/>
      <c r="D2899" s="187"/>
      <c r="E2899" s="187"/>
      <c r="F2899" s="187"/>
      <c r="G2899" s="187"/>
      <c r="J2899" s="186"/>
      <c r="K2899" s="180"/>
      <c r="L2899" s="180"/>
    </row>
    <row r="2900" spans="2:12" s="188" customFormat="1" ht="15" customHeight="1">
      <c r="B2900" s="187"/>
      <c r="C2900" s="187"/>
      <c r="D2900" s="187"/>
      <c r="E2900" s="187"/>
      <c r="F2900" s="187"/>
      <c r="G2900" s="187"/>
      <c r="J2900" s="186"/>
      <c r="K2900" s="180"/>
      <c r="L2900" s="180"/>
    </row>
    <row r="2901" spans="2:12" s="188" customFormat="1" ht="15" customHeight="1">
      <c r="B2901" s="187"/>
      <c r="C2901" s="187"/>
      <c r="D2901" s="187"/>
      <c r="E2901" s="187"/>
      <c r="F2901" s="187"/>
      <c r="G2901" s="187"/>
      <c r="J2901" s="186"/>
      <c r="K2901" s="180"/>
      <c r="L2901" s="180"/>
    </row>
    <row r="2902" spans="2:12" s="188" customFormat="1" ht="15" customHeight="1">
      <c r="B2902" s="187"/>
      <c r="C2902" s="187"/>
      <c r="D2902" s="187"/>
      <c r="E2902" s="187"/>
      <c r="F2902" s="187"/>
      <c r="G2902" s="187"/>
      <c r="J2902" s="186"/>
      <c r="K2902" s="180"/>
      <c r="L2902" s="180"/>
    </row>
    <row r="2903" spans="2:12" s="188" customFormat="1" ht="15" customHeight="1">
      <c r="B2903" s="187"/>
      <c r="C2903" s="187"/>
      <c r="D2903" s="187"/>
      <c r="E2903" s="187"/>
      <c r="F2903" s="187"/>
      <c r="G2903" s="187"/>
      <c r="J2903" s="186"/>
      <c r="K2903" s="180"/>
      <c r="L2903" s="180"/>
    </row>
    <row r="2904" spans="2:12" s="188" customFormat="1" ht="15" customHeight="1">
      <c r="B2904" s="187"/>
      <c r="C2904" s="187"/>
      <c r="D2904" s="187"/>
      <c r="E2904" s="187"/>
      <c r="F2904" s="187"/>
      <c r="G2904" s="187"/>
      <c r="J2904" s="186"/>
      <c r="K2904" s="180"/>
      <c r="L2904" s="180"/>
    </row>
    <row r="2905" spans="2:12" s="188" customFormat="1" ht="15" customHeight="1">
      <c r="B2905" s="187"/>
      <c r="C2905" s="187"/>
      <c r="D2905" s="187"/>
      <c r="E2905" s="187"/>
      <c r="F2905" s="187"/>
      <c r="G2905" s="187"/>
      <c r="J2905" s="186"/>
      <c r="K2905" s="180"/>
      <c r="L2905" s="180"/>
    </row>
    <row r="2906" spans="2:12" s="188" customFormat="1" ht="15" customHeight="1">
      <c r="B2906" s="187"/>
      <c r="C2906" s="187"/>
      <c r="D2906" s="187"/>
      <c r="E2906" s="187"/>
      <c r="F2906" s="187"/>
      <c r="G2906" s="187"/>
      <c r="J2906" s="186"/>
      <c r="K2906" s="180"/>
      <c r="L2906" s="180"/>
    </row>
    <row r="2907" spans="2:12" s="188" customFormat="1" ht="15" customHeight="1">
      <c r="B2907" s="187"/>
      <c r="C2907" s="187"/>
      <c r="D2907" s="187"/>
      <c r="E2907" s="187"/>
      <c r="F2907" s="187"/>
      <c r="G2907" s="187"/>
      <c r="J2907" s="186"/>
      <c r="K2907" s="180"/>
      <c r="L2907" s="180"/>
    </row>
    <row r="2908" spans="2:12" s="188" customFormat="1" ht="15" customHeight="1">
      <c r="B2908" s="187"/>
      <c r="C2908" s="187"/>
      <c r="D2908" s="187"/>
      <c r="E2908" s="187"/>
      <c r="F2908" s="187"/>
      <c r="G2908" s="187"/>
      <c r="J2908" s="186"/>
      <c r="K2908" s="180"/>
      <c r="L2908" s="180"/>
    </row>
    <row r="2909" spans="2:12" s="188" customFormat="1" ht="15" customHeight="1">
      <c r="B2909" s="187"/>
      <c r="C2909" s="187"/>
      <c r="D2909" s="187"/>
      <c r="E2909" s="187"/>
      <c r="F2909" s="187"/>
      <c r="G2909" s="187"/>
      <c r="J2909" s="186"/>
      <c r="K2909" s="180"/>
      <c r="L2909" s="180"/>
    </row>
    <row r="2910" spans="2:12" s="188" customFormat="1" ht="15" customHeight="1">
      <c r="B2910" s="187"/>
      <c r="C2910" s="187"/>
      <c r="D2910" s="187"/>
      <c r="E2910" s="187"/>
      <c r="F2910" s="187"/>
      <c r="G2910" s="187"/>
      <c r="J2910" s="186"/>
      <c r="K2910" s="180"/>
      <c r="L2910" s="180"/>
    </row>
    <row r="2911" spans="2:12" s="188" customFormat="1" ht="15" customHeight="1">
      <c r="B2911" s="187"/>
      <c r="C2911" s="187"/>
      <c r="D2911" s="187"/>
      <c r="E2911" s="187"/>
      <c r="F2911" s="187"/>
      <c r="G2911" s="187"/>
      <c r="J2911" s="186"/>
      <c r="K2911" s="180"/>
      <c r="L2911" s="180"/>
    </row>
    <row r="2912" spans="2:12" s="188" customFormat="1" ht="15" customHeight="1">
      <c r="B2912" s="187"/>
      <c r="C2912" s="187"/>
      <c r="D2912" s="187"/>
      <c r="E2912" s="187"/>
      <c r="F2912" s="187"/>
      <c r="G2912" s="187"/>
      <c r="J2912" s="186"/>
      <c r="K2912" s="180"/>
      <c r="L2912" s="180"/>
    </row>
    <row r="2913" spans="2:12" s="188" customFormat="1" ht="15" customHeight="1">
      <c r="B2913" s="187"/>
      <c r="C2913" s="187"/>
      <c r="D2913" s="187"/>
      <c r="E2913" s="187"/>
      <c r="F2913" s="187"/>
      <c r="G2913" s="187"/>
      <c r="J2913" s="186"/>
      <c r="K2913" s="180"/>
      <c r="L2913" s="180"/>
    </row>
    <row r="2914" spans="2:12" s="188" customFormat="1" ht="15" customHeight="1">
      <c r="B2914" s="187"/>
      <c r="C2914" s="187"/>
      <c r="D2914" s="187"/>
      <c r="E2914" s="187"/>
      <c r="F2914" s="187"/>
      <c r="G2914" s="187"/>
      <c r="J2914" s="186"/>
      <c r="K2914" s="180"/>
      <c r="L2914" s="180"/>
    </row>
    <row r="2915" spans="2:12" s="188" customFormat="1" ht="15" customHeight="1">
      <c r="B2915" s="187"/>
      <c r="C2915" s="187"/>
      <c r="D2915" s="187"/>
      <c r="E2915" s="187"/>
      <c r="F2915" s="187"/>
      <c r="G2915" s="187"/>
      <c r="J2915" s="186"/>
      <c r="K2915" s="180"/>
      <c r="L2915" s="180"/>
    </row>
    <row r="2916" spans="2:12" s="188" customFormat="1" ht="15" customHeight="1">
      <c r="B2916" s="187"/>
      <c r="C2916" s="187"/>
      <c r="D2916" s="187"/>
      <c r="E2916" s="187"/>
      <c r="F2916" s="187"/>
      <c r="G2916" s="187"/>
      <c r="J2916" s="186"/>
      <c r="K2916" s="180"/>
      <c r="L2916" s="180"/>
    </row>
    <row r="2917" spans="2:12" s="188" customFormat="1" ht="15" customHeight="1">
      <c r="B2917" s="187"/>
      <c r="C2917" s="187"/>
      <c r="D2917" s="187"/>
      <c r="E2917" s="187"/>
      <c r="F2917" s="187"/>
      <c r="G2917" s="187"/>
      <c r="J2917" s="186"/>
      <c r="K2917" s="180"/>
      <c r="L2917" s="180"/>
    </row>
    <row r="2918" spans="2:12" s="188" customFormat="1" ht="15" customHeight="1">
      <c r="B2918" s="187"/>
      <c r="C2918" s="187"/>
      <c r="D2918" s="187"/>
      <c r="E2918" s="187"/>
      <c r="F2918" s="187"/>
      <c r="G2918" s="187"/>
      <c r="J2918" s="186"/>
      <c r="K2918" s="180"/>
      <c r="L2918" s="180"/>
    </row>
    <row r="2919" spans="2:12" s="188" customFormat="1" ht="15" customHeight="1">
      <c r="B2919" s="187"/>
      <c r="C2919" s="187"/>
      <c r="D2919" s="187"/>
      <c r="E2919" s="187"/>
      <c r="F2919" s="187"/>
      <c r="G2919" s="187"/>
      <c r="J2919" s="186"/>
      <c r="K2919" s="180"/>
      <c r="L2919" s="180"/>
    </row>
    <row r="2920" spans="2:12" s="188" customFormat="1" ht="15" customHeight="1">
      <c r="B2920" s="187"/>
      <c r="C2920" s="187"/>
      <c r="D2920" s="187"/>
      <c r="E2920" s="187"/>
      <c r="F2920" s="187"/>
      <c r="G2920" s="187"/>
      <c r="J2920" s="186"/>
      <c r="K2920" s="180"/>
      <c r="L2920" s="180"/>
    </row>
    <row r="2921" spans="2:12" s="188" customFormat="1" ht="15" customHeight="1">
      <c r="B2921" s="187"/>
      <c r="C2921" s="187"/>
      <c r="D2921" s="187"/>
      <c r="E2921" s="187"/>
      <c r="F2921" s="187"/>
      <c r="G2921" s="187"/>
      <c r="J2921" s="186"/>
      <c r="K2921" s="180"/>
      <c r="L2921" s="180"/>
    </row>
    <row r="2922" spans="2:12" s="188" customFormat="1" ht="15" customHeight="1">
      <c r="B2922" s="187"/>
      <c r="C2922" s="187"/>
      <c r="D2922" s="187"/>
      <c r="E2922" s="187"/>
      <c r="F2922" s="187"/>
      <c r="G2922" s="187"/>
      <c r="J2922" s="186"/>
      <c r="K2922" s="180"/>
      <c r="L2922" s="180"/>
    </row>
    <row r="2923" spans="2:12" s="188" customFormat="1" ht="15" customHeight="1">
      <c r="B2923" s="187"/>
      <c r="C2923" s="187"/>
      <c r="D2923" s="187"/>
      <c r="E2923" s="187"/>
      <c r="F2923" s="187"/>
      <c r="G2923" s="187"/>
      <c r="J2923" s="186"/>
      <c r="K2923" s="180"/>
      <c r="L2923" s="180"/>
    </row>
    <row r="2924" spans="2:12" s="188" customFormat="1" ht="15" customHeight="1">
      <c r="B2924" s="187"/>
      <c r="C2924" s="187"/>
      <c r="D2924" s="187"/>
      <c r="E2924" s="187"/>
      <c r="F2924" s="187"/>
      <c r="G2924" s="187"/>
      <c r="J2924" s="186"/>
      <c r="K2924" s="180"/>
      <c r="L2924" s="180"/>
    </row>
    <row r="2925" spans="2:12" s="188" customFormat="1" ht="15" customHeight="1">
      <c r="B2925" s="187"/>
      <c r="C2925" s="187"/>
      <c r="D2925" s="187"/>
      <c r="E2925" s="187"/>
      <c r="F2925" s="187"/>
      <c r="G2925" s="187"/>
      <c r="J2925" s="186"/>
      <c r="K2925" s="180"/>
      <c r="L2925" s="180"/>
    </row>
    <row r="2926" spans="2:12" s="188" customFormat="1" ht="15" customHeight="1">
      <c r="B2926" s="187"/>
      <c r="C2926" s="187"/>
      <c r="D2926" s="187"/>
      <c r="E2926" s="187"/>
      <c r="F2926" s="187"/>
      <c r="G2926" s="187"/>
      <c r="J2926" s="186"/>
      <c r="K2926" s="180"/>
      <c r="L2926" s="180"/>
    </row>
    <row r="2927" spans="2:12" s="188" customFormat="1" ht="15" customHeight="1">
      <c r="B2927" s="187"/>
      <c r="C2927" s="187"/>
      <c r="D2927" s="187"/>
      <c r="E2927" s="187"/>
      <c r="F2927" s="187"/>
      <c r="G2927" s="187"/>
      <c r="J2927" s="186"/>
      <c r="K2927" s="180"/>
      <c r="L2927" s="180"/>
    </row>
    <row r="2928" spans="2:12" s="188" customFormat="1" ht="15" customHeight="1">
      <c r="B2928" s="187"/>
      <c r="C2928" s="187"/>
      <c r="D2928" s="187"/>
      <c r="E2928" s="187"/>
      <c r="F2928" s="187"/>
      <c r="G2928" s="187"/>
      <c r="J2928" s="186"/>
      <c r="K2928" s="180"/>
      <c r="L2928" s="180"/>
    </row>
    <row r="2929" spans="2:12" s="188" customFormat="1" ht="15" customHeight="1">
      <c r="B2929" s="187"/>
      <c r="C2929" s="187"/>
      <c r="D2929" s="187"/>
      <c r="E2929" s="187"/>
      <c r="F2929" s="187"/>
      <c r="G2929" s="187"/>
      <c r="J2929" s="186"/>
      <c r="K2929" s="180"/>
      <c r="L2929" s="180"/>
    </row>
    <row r="2930" spans="2:12" s="188" customFormat="1" ht="15" customHeight="1">
      <c r="B2930" s="187"/>
      <c r="C2930" s="187"/>
      <c r="D2930" s="187"/>
      <c r="E2930" s="187"/>
      <c r="F2930" s="187"/>
      <c r="G2930" s="187"/>
      <c r="J2930" s="186"/>
      <c r="K2930" s="180"/>
      <c r="L2930" s="180"/>
    </row>
    <row r="2931" spans="2:12" s="188" customFormat="1" ht="15" customHeight="1">
      <c r="B2931" s="187"/>
      <c r="C2931" s="187"/>
      <c r="D2931" s="187"/>
      <c r="E2931" s="187"/>
      <c r="F2931" s="187"/>
      <c r="G2931" s="187"/>
      <c r="J2931" s="186"/>
      <c r="K2931" s="180"/>
      <c r="L2931" s="180"/>
    </row>
    <row r="2932" spans="2:12" s="188" customFormat="1" ht="15" customHeight="1">
      <c r="B2932" s="187"/>
      <c r="C2932" s="187"/>
      <c r="D2932" s="187"/>
      <c r="E2932" s="187"/>
      <c r="F2932" s="187"/>
      <c r="G2932" s="187"/>
      <c r="J2932" s="186"/>
      <c r="K2932" s="180"/>
      <c r="L2932" s="180"/>
    </row>
    <row r="2933" spans="2:12" s="188" customFormat="1" ht="15" customHeight="1">
      <c r="B2933" s="187"/>
      <c r="C2933" s="187"/>
      <c r="D2933" s="187"/>
      <c r="E2933" s="187"/>
      <c r="F2933" s="187"/>
      <c r="G2933" s="187"/>
      <c r="J2933" s="186"/>
      <c r="K2933" s="180"/>
      <c r="L2933" s="180"/>
    </row>
    <row r="2934" spans="2:12" s="188" customFormat="1" ht="15" customHeight="1">
      <c r="B2934" s="187"/>
      <c r="C2934" s="187"/>
      <c r="D2934" s="187"/>
      <c r="E2934" s="187"/>
      <c r="F2934" s="187"/>
      <c r="G2934" s="187"/>
      <c r="J2934" s="186"/>
      <c r="K2934" s="180"/>
      <c r="L2934" s="180"/>
    </row>
    <row r="2935" spans="2:12" s="188" customFormat="1" ht="15" customHeight="1">
      <c r="B2935" s="187"/>
      <c r="C2935" s="187"/>
      <c r="D2935" s="187"/>
      <c r="E2935" s="187"/>
      <c r="F2935" s="187"/>
      <c r="G2935" s="187"/>
      <c r="J2935" s="186"/>
      <c r="K2935" s="180"/>
      <c r="L2935" s="180"/>
    </row>
    <row r="2936" spans="2:12" s="188" customFormat="1" ht="15" customHeight="1">
      <c r="B2936" s="187"/>
      <c r="C2936" s="187"/>
      <c r="D2936" s="187"/>
      <c r="E2936" s="187"/>
      <c r="F2936" s="187"/>
      <c r="G2936" s="187"/>
      <c r="J2936" s="186"/>
      <c r="K2936" s="180"/>
      <c r="L2936" s="180"/>
    </row>
    <row r="2937" spans="2:12" s="188" customFormat="1" ht="15" customHeight="1">
      <c r="B2937" s="187"/>
      <c r="C2937" s="187"/>
      <c r="D2937" s="187"/>
      <c r="E2937" s="187"/>
      <c r="F2937" s="187"/>
      <c r="G2937" s="187"/>
      <c r="J2937" s="186"/>
      <c r="K2937" s="180"/>
      <c r="L2937" s="180"/>
    </row>
    <row r="2938" spans="2:12" s="188" customFormat="1" ht="15" customHeight="1">
      <c r="B2938" s="187"/>
      <c r="C2938" s="187"/>
      <c r="D2938" s="187"/>
      <c r="E2938" s="187"/>
      <c r="F2938" s="187"/>
      <c r="G2938" s="187"/>
      <c r="J2938" s="186"/>
      <c r="K2938" s="180"/>
      <c r="L2938" s="180"/>
    </row>
    <row r="2939" spans="2:12" s="188" customFormat="1" ht="15" customHeight="1">
      <c r="B2939" s="187"/>
      <c r="C2939" s="187"/>
      <c r="D2939" s="187"/>
      <c r="E2939" s="187"/>
      <c r="F2939" s="187"/>
      <c r="G2939" s="187"/>
      <c r="J2939" s="186"/>
      <c r="K2939" s="180"/>
      <c r="L2939" s="180"/>
    </row>
    <row r="2940" spans="2:12" s="188" customFormat="1" ht="15" customHeight="1">
      <c r="B2940" s="187"/>
      <c r="C2940" s="187"/>
      <c r="D2940" s="187"/>
      <c r="E2940" s="187"/>
      <c r="F2940" s="187"/>
      <c r="G2940" s="187"/>
      <c r="J2940" s="186"/>
      <c r="K2940" s="180"/>
      <c r="L2940" s="180"/>
    </row>
    <row r="2941" spans="2:12" s="188" customFormat="1" ht="15" customHeight="1">
      <c r="B2941" s="187"/>
      <c r="C2941" s="187"/>
      <c r="D2941" s="187"/>
      <c r="E2941" s="187"/>
      <c r="F2941" s="187"/>
      <c r="G2941" s="187"/>
      <c r="J2941" s="186"/>
      <c r="K2941" s="180"/>
      <c r="L2941" s="180"/>
    </row>
    <row r="2942" spans="2:12" s="188" customFormat="1" ht="15" customHeight="1">
      <c r="B2942" s="187"/>
      <c r="C2942" s="187"/>
      <c r="D2942" s="187"/>
      <c r="E2942" s="187"/>
      <c r="F2942" s="187"/>
      <c r="G2942" s="187"/>
      <c r="J2942" s="186"/>
      <c r="K2942" s="180"/>
      <c r="L2942" s="180"/>
    </row>
    <row r="2943" spans="2:12" s="188" customFormat="1" ht="15" customHeight="1">
      <c r="B2943" s="187"/>
      <c r="C2943" s="187"/>
      <c r="D2943" s="187"/>
      <c r="E2943" s="187"/>
      <c r="F2943" s="187"/>
      <c r="G2943" s="187"/>
      <c r="J2943" s="186"/>
      <c r="K2943" s="180"/>
      <c r="L2943" s="180"/>
    </row>
    <row r="2944" spans="2:12" s="188" customFormat="1" ht="15" customHeight="1">
      <c r="B2944" s="187"/>
      <c r="C2944" s="187"/>
      <c r="D2944" s="187"/>
      <c r="E2944" s="187"/>
      <c r="F2944" s="187"/>
      <c r="G2944" s="187"/>
      <c r="J2944" s="186"/>
      <c r="K2944" s="180"/>
      <c r="L2944" s="180"/>
    </row>
    <row r="2945" spans="2:12" s="188" customFormat="1" ht="15" customHeight="1">
      <c r="B2945" s="187"/>
      <c r="C2945" s="187"/>
      <c r="D2945" s="187"/>
      <c r="E2945" s="187"/>
      <c r="F2945" s="187"/>
      <c r="G2945" s="187"/>
      <c r="J2945" s="186"/>
      <c r="K2945" s="180"/>
      <c r="L2945" s="180"/>
    </row>
    <row r="2946" spans="2:12" s="188" customFormat="1" ht="15" customHeight="1">
      <c r="B2946" s="187"/>
      <c r="C2946" s="187"/>
      <c r="D2946" s="187"/>
      <c r="E2946" s="187"/>
      <c r="F2946" s="187"/>
      <c r="G2946" s="187"/>
      <c r="J2946" s="186"/>
      <c r="K2946" s="180"/>
      <c r="L2946" s="180"/>
    </row>
    <row r="2947" spans="2:12" s="188" customFormat="1" ht="15" customHeight="1">
      <c r="B2947" s="187"/>
      <c r="C2947" s="187"/>
      <c r="D2947" s="187"/>
      <c r="E2947" s="187"/>
      <c r="F2947" s="187"/>
      <c r="G2947" s="187"/>
      <c r="J2947" s="186"/>
      <c r="K2947" s="180"/>
      <c r="L2947" s="180"/>
    </row>
    <row r="2948" spans="2:12" s="188" customFormat="1" ht="15" customHeight="1">
      <c r="B2948" s="187"/>
      <c r="C2948" s="187"/>
      <c r="D2948" s="187"/>
      <c r="E2948" s="187"/>
      <c r="F2948" s="187"/>
      <c r="G2948" s="187"/>
      <c r="J2948" s="186"/>
      <c r="K2948" s="180"/>
      <c r="L2948" s="180"/>
    </row>
    <row r="2949" spans="2:12" s="188" customFormat="1" ht="15" customHeight="1">
      <c r="B2949" s="187"/>
      <c r="C2949" s="187"/>
      <c r="D2949" s="187"/>
      <c r="E2949" s="187"/>
      <c r="F2949" s="187"/>
      <c r="G2949" s="187"/>
      <c r="J2949" s="186"/>
      <c r="K2949" s="180"/>
      <c r="L2949" s="180"/>
    </row>
    <row r="2950" spans="2:12" s="188" customFormat="1" ht="15" customHeight="1">
      <c r="B2950" s="187"/>
      <c r="C2950" s="187"/>
      <c r="D2950" s="187"/>
      <c r="E2950" s="187"/>
      <c r="F2950" s="187"/>
      <c r="G2950" s="187"/>
      <c r="J2950" s="186"/>
      <c r="K2950" s="180"/>
      <c r="L2950" s="180"/>
    </row>
    <row r="2951" spans="2:12" s="188" customFormat="1" ht="15" customHeight="1">
      <c r="B2951" s="187"/>
      <c r="C2951" s="187"/>
      <c r="D2951" s="187"/>
      <c r="E2951" s="187"/>
      <c r="F2951" s="187"/>
      <c r="G2951" s="187"/>
      <c r="J2951" s="186"/>
      <c r="K2951" s="180"/>
      <c r="L2951" s="180"/>
    </row>
    <row r="2952" spans="2:12" s="188" customFormat="1" ht="15" customHeight="1">
      <c r="B2952" s="187"/>
      <c r="C2952" s="187"/>
      <c r="D2952" s="187"/>
      <c r="E2952" s="187"/>
      <c r="F2952" s="187"/>
      <c r="G2952" s="187"/>
      <c r="J2952" s="186"/>
      <c r="K2952" s="180"/>
      <c r="L2952" s="180"/>
    </row>
    <row r="2953" spans="2:12" s="188" customFormat="1" ht="15" customHeight="1">
      <c r="B2953" s="187"/>
      <c r="C2953" s="187"/>
      <c r="D2953" s="187"/>
      <c r="E2953" s="187"/>
      <c r="F2953" s="187"/>
      <c r="G2953" s="187"/>
      <c r="J2953" s="186"/>
      <c r="K2953" s="180"/>
      <c r="L2953" s="180"/>
    </row>
    <row r="2954" spans="2:12" s="188" customFormat="1" ht="15" customHeight="1">
      <c r="B2954" s="187"/>
      <c r="C2954" s="187"/>
      <c r="D2954" s="187"/>
      <c r="E2954" s="187"/>
      <c r="F2954" s="187"/>
      <c r="G2954" s="187"/>
      <c r="J2954" s="186"/>
      <c r="K2954" s="180"/>
      <c r="L2954" s="180"/>
    </row>
    <row r="2955" spans="2:12" s="188" customFormat="1" ht="15" customHeight="1">
      <c r="B2955" s="187"/>
      <c r="C2955" s="187"/>
      <c r="D2955" s="187"/>
      <c r="E2955" s="187"/>
      <c r="F2955" s="187"/>
      <c r="G2955" s="187"/>
      <c r="J2955" s="186"/>
      <c r="K2955" s="180"/>
      <c r="L2955" s="180"/>
    </row>
    <row r="2956" spans="2:12" s="188" customFormat="1" ht="15" customHeight="1">
      <c r="B2956" s="187"/>
      <c r="C2956" s="187"/>
      <c r="D2956" s="187"/>
      <c r="E2956" s="187"/>
      <c r="F2956" s="187"/>
      <c r="G2956" s="187"/>
      <c r="J2956" s="186"/>
      <c r="K2956" s="180"/>
      <c r="L2956" s="180"/>
    </row>
    <row r="2957" spans="2:12" s="188" customFormat="1" ht="15" customHeight="1">
      <c r="B2957" s="187"/>
      <c r="C2957" s="187"/>
      <c r="D2957" s="187"/>
      <c r="E2957" s="187"/>
      <c r="F2957" s="187"/>
      <c r="G2957" s="187"/>
      <c r="J2957" s="186"/>
      <c r="K2957" s="180"/>
      <c r="L2957" s="180"/>
    </row>
    <row r="2958" spans="2:12" s="188" customFormat="1" ht="15" customHeight="1">
      <c r="B2958" s="187"/>
      <c r="C2958" s="187"/>
      <c r="D2958" s="187"/>
      <c r="E2958" s="187"/>
      <c r="F2958" s="187"/>
      <c r="G2958" s="187"/>
      <c r="J2958" s="186"/>
      <c r="K2958" s="180"/>
      <c r="L2958" s="180"/>
    </row>
    <row r="2959" spans="2:12" s="188" customFormat="1" ht="15" customHeight="1">
      <c r="B2959" s="187"/>
      <c r="C2959" s="187"/>
      <c r="D2959" s="187"/>
      <c r="E2959" s="187"/>
      <c r="F2959" s="187"/>
      <c r="G2959" s="187"/>
      <c r="J2959" s="186"/>
      <c r="K2959" s="180"/>
      <c r="L2959" s="180"/>
    </row>
    <row r="2960" spans="2:12" s="188" customFormat="1" ht="15" customHeight="1">
      <c r="B2960" s="187"/>
      <c r="C2960" s="187"/>
      <c r="D2960" s="187"/>
      <c r="E2960" s="187"/>
      <c r="F2960" s="187"/>
      <c r="G2960" s="187"/>
      <c r="J2960" s="186"/>
      <c r="K2960" s="180"/>
      <c r="L2960" s="180"/>
    </row>
    <row r="2961" spans="2:12" s="188" customFormat="1" ht="15" customHeight="1">
      <c r="B2961" s="187"/>
      <c r="C2961" s="187"/>
      <c r="D2961" s="187"/>
      <c r="E2961" s="187"/>
      <c r="F2961" s="187"/>
      <c r="G2961" s="187"/>
      <c r="J2961" s="186"/>
      <c r="K2961" s="180"/>
      <c r="L2961" s="180"/>
    </row>
    <row r="2962" spans="2:12" s="188" customFormat="1" ht="15" customHeight="1">
      <c r="B2962" s="187"/>
      <c r="C2962" s="187"/>
      <c r="D2962" s="187"/>
      <c r="E2962" s="187"/>
      <c r="F2962" s="187"/>
      <c r="G2962" s="187"/>
      <c r="J2962" s="186"/>
      <c r="K2962" s="180"/>
      <c r="L2962" s="180"/>
    </row>
    <row r="2963" spans="2:12" s="188" customFormat="1" ht="15" customHeight="1">
      <c r="B2963" s="187"/>
      <c r="C2963" s="187"/>
      <c r="D2963" s="187"/>
      <c r="E2963" s="187"/>
      <c r="F2963" s="187"/>
      <c r="G2963" s="187"/>
      <c r="J2963" s="186"/>
      <c r="K2963" s="180"/>
      <c r="L2963" s="180"/>
    </row>
    <row r="2964" spans="2:12" s="188" customFormat="1" ht="15" customHeight="1">
      <c r="B2964" s="187"/>
      <c r="C2964" s="187"/>
      <c r="D2964" s="187"/>
      <c r="E2964" s="187"/>
      <c r="F2964" s="187"/>
      <c r="G2964" s="187"/>
      <c r="J2964" s="186"/>
      <c r="K2964" s="180"/>
      <c r="L2964" s="180"/>
    </row>
    <row r="2965" spans="2:12" s="188" customFormat="1" ht="15" customHeight="1">
      <c r="B2965" s="187"/>
      <c r="C2965" s="187"/>
      <c r="D2965" s="187"/>
      <c r="E2965" s="187"/>
      <c r="F2965" s="187"/>
      <c r="G2965" s="187"/>
      <c r="J2965" s="186"/>
      <c r="K2965" s="180"/>
      <c r="L2965" s="180"/>
    </row>
    <row r="2966" spans="2:12" s="188" customFormat="1" ht="15" customHeight="1">
      <c r="B2966" s="187"/>
      <c r="C2966" s="187"/>
      <c r="D2966" s="187"/>
      <c r="E2966" s="187"/>
      <c r="F2966" s="187"/>
      <c r="G2966" s="187"/>
      <c r="J2966" s="186"/>
      <c r="K2966" s="180"/>
      <c r="L2966" s="180"/>
    </row>
    <row r="2967" spans="2:12" s="188" customFormat="1" ht="15" customHeight="1">
      <c r="B2967" s="187"/>
      <c r="C2967" s="187"/>
      <c r="D2967" s="187"/>
      <c r="E2967" s="187"/>
      <c r="F2967" s="187"/>
      <c r="G2967" s="187"/>
      <c r="J2967" s="186"/>
      <c r="K2967" s="180"/>
      <c r="L2967" s="180"/>
    </row>
    <row r="2968" spans="2:12" s="188" customFormat="1" ht="15" customHeight="1">
      <c r="B2968" s="187"/>
      <c r="C2968" s="187"/>
      <c r="D2968" s="187"/>
      <c r="E2968" s="187"/>
      <c r="F2968" s="187"/>
      <c r="G2968" s="187"/>
      <c r="J2968" s="186"/>
      <c r="K2968" s="180"/>
      <c r="L2968" s="180"/>
    </row>
    <row r="2969" spans="2:12" s="188" customFormat="1" ht="15" customHeight="1">
      <c r="B2969" s="187"/>
      <c r="C2969" s="187"/>
      <c r="D2969" s="187"/>
      <c r="E2969" s="187"/>
      <c r="F2969" s="187"/>
      <c r="G2969" s="187"/>
      <c r="J2969" s="186"/>
      <c r="K2969" s="180"/>
      <c r="L2969" s="180"/>
    </row>
    <row r="2970" spans="2:12" s="188" customFormat="1" ht="15" customHeight="1">
      <c r="B2970" s="187"/>
      <c r="C2970" s="187"/>
      <c r="D2970" s="187"/>
      <c r="E2970" s="187"/>
      <c r="F2970" s="187"/>
      <c r="G2970" s="187"/>
      <c r="J2970" s="186"/>
      <c r="K2970" s="180"/>
      <c r="L2970" s="180"/>
    </row>
    <row r="2971" spans="2:12" s="188" customFormat="1" ht="15" customHeight="1">
      <c r="B2971" s="187"/>
      <c r="C2971" s="187"/>
      <c r="D2971" s="187"/>
      <c r="E2971" s="187"/>
      <c r="F2971" s="187"/>
      <c r="G2971" s="187"/>
      <c r="J2971" s="186"/>
      <c r="K2971" s="180"/>
      <c r="L2971" s="180"/>
    </row>
    <row r="2972" spans="2:12" s="188" customFormat="1" ht="15" customHeight="1">
      <c r="B2972" s="187"/>
      <c r="C2972" s="187"/>
      <c r="D2972" s="187"/>
      <c r="E2972" s="187"/>
      <c r="F2972" s="187"/>
      <c r="G2972" s="187"/>
      <c r="J2972" s="186"/>
      <c r="K2972" s="180"/>
      <c r="L2972" s="180"/>
    </row>
    <row r="2973" spans="2:12" s="188" customFormat="1" ht="15" customHeight="1">
      <c r="B2973" s="187"/>
      <c r="C2973" s="187"/>
      <c r="D2973" s="187"/>
      <c r="E2973" s="187"/>
      <c r="F2973" s="187"/>
      <c r="G2973" s="187"/>
      <c r="J2973" s="186"/>
      <c r="K2973" s="180"/>
      <c r="L2973" s="180"/>
    </row>
    <row r="2974" spans="2:12" s="188" customFormat="1" ht="15" customHeight="1">
      <c r="B2974" s="187"/>
      <c r="C2974" s="187"/>
      <c r="D2974" s="187"/>
      <c r="E2974" s="187"/>
      <c r="F2974" s="187"/>
      <c r="G2974" s="187"/>
      <c r="J2974" s="186"/>
      <c r="K2974" s="180"/>
      <c r="L2974" s="180"/>
    </row>
    <row r="2975" spans="2:12" s="188" customFormat="1" ht="15" customHeight="1">
      <c r="B2975" s="187"/>
      <c r="C2975" s="187"/>
      <c r="D2975" s="187"/>
      <c r="E2975" s="187"/>
      <c r="F2975" s="187"/>
      <c r="G2975" s="187"/>
      <c r="J2975" s="186"/>
      <c r="K2975" s="180"/>
      <c r="L2975" s="180"/>
    </row>
    <row r="2976" spans="2:12" s="188" customFormat="1" ht="15" customHeight="1">
      <c r="B2976" s="187"/>
      <c r="C2976" s="187"/>
      <c r="D2976" s="187"/>
      <c r="E2976" s="187"/>
      <c r="F2976" s="187"/>
      <c r="G2976" s="187"/>
      <c r="J2976" s="186"/>
      <c r="K2976" s="180"/>
      <c r="L2976" s="180"/>
    </row>
    <row r="2977" spans="2:12" s="188" customFormat="1" ht="15" customHeight="1">
      <c r="B2977" s="187"/>
      <c r="C2977" s="187"/>
      <c r="D2977" s="187"/>
      <c r="E2977" s="187"/>
      <c r="F2977" s="187"/>
      <c r="G2977" s="187"/>
      <c r="J2977" s="186"/>
      <c r="K2977" s="180"/>
      <c r="L2977" s="180"/>
    </row>
    <row r="2978" spans="2:12" s="188" customFormat="1" ht="15" customHeight="1">
      <c r="B2978" s="187"/>
      <c r="C2978" s="187"/>
      <c r="D2978" s="187"/>
      <c r="E2978" s="187"/>
      <c r="F2978" s="187"/>
      <c r="G2978" s="187"/>
      <c r="J2978" s="186"/>
      <c r="K2978" s="180"/>
      <c r="L2978" s="180"/>
    </row>
    <row r="2979" spans="2:12" s="188" customFormat="1" ht="15" customHeight="1">
      <c r="B2979" s="187"/>
      <c r="C2979" s="187"/>
      <c r="D2979" s="187"/>
      <c r="E2979" s="187"/>
      <c r="F2979" s="187"/>
      <c r="G2979" s="187"/>
      <c r="J2979" s="186"/>
      <c r="K2979" s="180"/>
      <c r="L2979" s="180"/>
    </row>
    <row r="2980" spans="2:12" s="188" customFormat="1" ht="15" customHeight="1">
      <c r="B2980" s="187"/>
      <c r="C2980" s="187"/>
      <c r="D2980" s="187"/>
      <c r="E2980" s="187"/>
      <c r="F2980" s="187"/>
      <c r="G2980" s="187"/>
      <c r="J2980" s="186"/>
      <c r="K2980" s="180"/>
      <c r="L2980" s="180"/>
    </row>
    <row r="2981" spans="2:12" s="188" customFormat="1" ht="15" customHeight="1">
      <c r="B2981" s="187"/>
      <c r="C2981" s="187"/>
      <c r="D2981" s="187"/>
      <c r="E2981" s="187"/>
      <c r="F2981" s="187"/>
      <c r="G2981" s="187"/>
      <c r="J2981" s="186"/>
      <c r="K2981" s="180"/>
      <c r="L2981" s="180"/>
    </row>
    <row r="2982" spans="2:12" s="188" customFormat="1" ht="15" customHeight="1">
      <c r="B2982" s="187"/>
      <c r="C2982" s="187"/>
      <c r="D2982" s="187"/>
      <c r="E2982" s="187"/>
      <c r="F2982" s="187"/>
      <c r="G2982" s="187"/>
      <c r="J2982" s="186"/>
      <c r="K2982" s="180"/>
      <c r="L2982" s="180"/>
    </row>
    <row r="2983" spans="2:12" s="188" customFormat="1" ht="15" customHeight="1">
      <c r="B2983" s="187"/>
      <c r="C2983" s="187"/>
      <c r="D2983" s="187"/>
      <c r="E2983" s="187"/>
      <c r="F2983" s="187"/>
      <c r="G2983" s="187"/>
      <c r="J2983" s="186"/>
      <c r="K2983" s="180"/>
      <c r="L2983" s="180"/>
    </row>
    <row r="2984" spans="2:12" s="188" customFormat="1" ht="15" customHeight="1">
      <c r="B2984" s="187"/>
      <c r="C2984" s="187"/>
      <c r="D2984" s="187"/>
      <c r="E2984" s="187"/>
      <c r="F2984" s="187"/>
      <c r="G2984" s="187"/>
      <c r="J2984" s="186"/>
      <c r="K2984" s="180"/>
      <c r="L2984" s="180"/>
    </row>
    <row r="2985" spans="2:12" s="188" customFormat="1" ht="15" customHeight="1">
      <c r="B2985" s="187"/>
      <c r="C2985" s="187"/>
      <c r="D2985" s="187"/>
      <c r="E2985" s="187"/>
      <c r="F2985" s="187"/>
      <c r="G2985" s="187"/>
      <c r="J2985" s="186"/>
      <c r="K2985" s="180"/>
      <c r="L2985" s="180"/>
    </row>
    <row r="2986" spans="2:12" s="188" customFormat="1" ht="15" customHeight="1">
      <c r="B2986" s="187"/>
      <c r="C2986" s="187"/>
      <c r="D2986" s="187"/>
      <c r="E2986" s="187"/>
      <c r="F2986" s="187"/>
      <c r="G2986" s="187"/>
      <c r="J2986" s="186"/>
      <c r="K2986" s="180"/>
      <c r="L2986" s="180"/>
    </row>
    <row r="2987" spans="2:12" s="188" customFormat="1" ht="15" customHeight="1">
      <c r="B2987" s="187"/>
      <c r="C2987" s="187"/>
      <c r="D2987" s="187"/>
      <c r="E2987" s="187"/>
      <c r="F2987" s="187"/>
      <c r="G2987" s="187"/>
      <c r="J2987" s="186"/>
      <c r="K2987" s="180"/>
      <c r="L2987" s="180"/>
    </row>
    <row r="2988" spans="2:12" s="188" customFormat="1" ht="15" customHeight="1">
      <c r="B2988" s="187"/>
      <c r="C2988" s="187"/>
      <c r="D2988" s="187"/>
      <c r="E2988" s="187"/>
      <c r="F2988" s="187"/>
      <c r="G2988" s="187"/>
      <c r="J2988" s="186"/>
      <c r="K2988" s="180"/>
      <c r="L2988" s="180"/>
    </row>
    <row r="2989" spans="2:12" s="188" customFormat="1" ht="15" customHeight="1">
      <c r="B2989" s="187"/>
      <c r="C2989" s="187"/>
      <c r="D2989" s="187"/>
      <c r="E2989" s="187"/>
      <c r="F2989" s="187"/>
      <c r="G2989" s="187"/>
      <c r="J2989" s="186"/>
      <c r="K2989" s="180"/>
      <c r="L2989" s="180"/>
    </row>
    <row r="2990" spans="2:12" s="188" customFormat="1" ht="15" customHeight="1">
      <c r="B2990" s="187"/>
      <c r="C2990" s="187"/>
      <c r="D2990" s="187"/>
      <c r="E2990" s="187"/>
      <c r="F2990" s="187"/>
      <c r="G2990" s="187"/>
      <c r="J2990" s="186"/>
      <c r="K2990" s="180"/>
      <c r="L2990" s="180"/>
    </row>
    <row r="2991" spans="2:12" s="188" customFormat="1" ht="15" customHeight="1">
      <c r="B2991" s="187"/>
      <c r="C2991" s="187"/>
      <c r="D2991" s="187"/>
      <c r="E2991" s="187"/>
      <c r="F2991" s="187"/>
      <c r="G2991" s="187"/>
      <c r="J2991" s="186"/>
      <c r="K2991" s="180"/>
      <c r="L2991" s="180"/>
    </row>
    <row r="2992" spans="2:12" s="188" customFormat="1" ht="15" customHeight="1">
      <c r="B2992" s="187"/>
      <c r="C2992" s="187"/>
      <c r="D2992" s="187"/>
      <c r="E2992" s="187"/>
      <c r="F2992" s="187"/>
      <c r="G2992" s="187"/>
      <c r="J2992" s="186"/>
      <c r="K2992" s="180"/>
      <c r="L2992" s="180"/>
    </row>
    <row r="2993" spans="2:12" s="188" customFormat="1" ht="15" customHeight="1">
      <c r="B2993" s="187"/>
      <c r="C2993" s="187"/>
      <c r="D2993" s="187"/>
      <c r="E2993" s="187"/>
      <c r="F2993" s="187"/>
      <c r="G2993" s="187"/>
      <c r="J2993" s="186"/>
      <c r="K2993" s="180"/>
      <c r="L2993" s="180"/>
    </row>
    <row r="2994" spans="2:12" s="188" customFormat="1" ht="15" customHeight="1">
      <c r="B2994" s="187"/>
      <c r="C2994" s="187"/>
      <c r="D2994" s="187"/>
      <c r="E2994" s="187"/>
      <c r="F2994" s="187"/>
      <c r="G2994" s="187"/>
      <c r="J2994" s="186"/>
      <c r="K2994" s="180"/>
      <c r="L2994" s="180"/>
    </row>
    <row r="2995" spans="2:12" s="188" customFormat="1" ht="15" customHeight="1">
      <c r="B2995" s="187"/>
      <c r="C2995" s="187"/>
      <c r="D2995" s="187"/>
      <c r="E2995" s="187"/>
      <c r="F2995" s="187"/>
      <c r="G2995" s="187"/>
      <c r="J2995" s="186"/>
      <c r="K2995" s="180"/>
      <c r="L2995" s="180"/>
    </row>
    <row r="2996" spans="2:12" s="188" customFormat="1" ht="15" customHeight="1">
      <c r="B2996" s="187"/>
      <c r="C2996" s="187"/>
      <c r="D2996" s="187"/>
      <c r="E2996" s="187"/>
      <c r="F2996" s="187"/>
      <c r="G2996" s="187"/>
      <c r="J2996" s="186"/>
      <c r="K2996" s="180"/>
      <c r="L2996" s="180"/>
    </row>
    <row r="2997" spans="2:12" s="188" customFormat="1" ht="15" customHeight="1">
      <c r="B2997" s="187"/>
      <c r="C2997" s="187"/>
      <c r="D2997" s="187"/>
      <c r="E2997" s="187"/>
      <c r="F2997" s="187"/>
      <c r="G2997" s="187"/>
      <c r="J2997" s="186"/>
      <c r="K2997" s="180"/>
      <c r="L2997" s="180"/>
    </row>
    <row r="2998" spans="2:12" s="188" customFormat="1" ht="15" customHeight="1">
      <c r="B2998" s="187"/>
      <c r="C2998" s="187"/>
      <c r="D2998" s="187"/>
      <c r="E2998" s="187"/>
      <c r="F2998" s="187"/>
      <c r="G2998" s="187"/>
      <c r="J2998" s="186"/>
      <c r="K2998" s="180"/>
      <c r="L2998" s="180"/>
    </row>
    <row r="2999" spans="2:12" s="188" customFormat="1" ht="15" customHeight="1">
      <c r="B2999" s="187"/>
      <c r="C2999" s="187"/>
      <c r="D2999" s="187"/>
      <c r="E2999" s="187"/>
      <c r="F2999" s="187"/>
      <c r="G2999" s="187"/>
      <c r="J2999" s="186"/>
      <c r="K2999" s="180"/>
      <c r="L2999" s="180"/>
    </row>
    <row r="3000" spans="2:12" s="188" customFormat="1" ht="15" customHeight="1">
      <c r="B3000" s="187"/>
      <c r="C3000" s="187"/>
      <c r="D3000" s="187"/>
      <c r="E3000" s="187"/>
      <c r="F3000" s="187"/>
      <c r="G3000" s="187"/>
      <c r="J3000" s="186"/>
      <c r="K3000" s="180"/>
      <c r="L3000" s="180"/>
    </row>
    <row r="3001" spans="2:12" s="188" customFormat="1" ht="15" customHeight="1">
      <c r="B3001" s="187"/>
      <c r="C3001" s="187"/>
      <c r="D3001" s="187"/>
      <c r="E3001" s="187"/>
      <c r="F3001" s="187"/>
      <c r="G3001" s="187"/>
      <c r="J3001" s="186"/>
      <c r="K3001" s="180"/>
      <c r="L3001" s="180"/>
    </row>
    <row r="3002" spans="2:12" s="188" customFormat="1" ht="15" customHeight="1">
      <c r="B3002" s="187"/>
      <c r="C3002" s="187"/>
      <c r="D3002" s="187"/>
      <c r="E3002" s="187"/>
      <c r="F3002" s="187"/>
      <c r="G3002" s="187"/>
      <c r="J3002" s="186"/>
      <c r="K3002" s="180"/>
      <c r="L3002" s="180"/>
    </row>
    <row r="3003" spans="2:12" s="188" customFormat="1" ht="15" customHeight="1">
      <c r="B3003" s="187"/>
      <c r="C3003" s="187"/>
      <c r="D3003" s="187"/>
      <c r="E3003" s="187"/>
      <c r="F3003" s="187"/>
      <c r="G3003" s="187"/>
      <c r="J3003" s="186"/>
      <c r="K3003" s="180"/>
      <c r="L3003" s="180"/>
    </row>
    <row r="3004" spans="2:12" s="188" customFormat="1" ht="15" customHeight="1">
      <c r="B3004" s="187"/>
      <c r="C3004" s="187"/>
      <c r="D3004" s="187"/>
      <c r="E3004" s="187"/>
      <c r="F3004" s="187"/>
      <c r="G3004" s="187"/>
      <c r="J3004" s="186"/>
      <c r="K3004" s="180"/>
      <c r="L3004" s="180"/>
    </row>
    <row r="3005" spans="2:12" s="188" customFormat="1" ht="15" customHeight="1">
      <c r="B3005" s="187"/>
      <c r="C3005" s="187"/>
      <c r="D3005" s="187"/>
      <c r="E3005" s="187"/>
      <c r="F3005" s="187"/>
      <c r="G3005" s="187"/>
      <c r="J3005" s="186"/>
      <c r="K3005" s="180"/>
      <c r="L3005" s="180"/>
    </row>
    <row r="3006" spans="2:12" s="188" customFormat="1" ht="15" customHeight="1">
      <c r="B3006" s="187"/>
      <c r="C3006" s="187"/>
      <c r="D3006" s="187"/>
      <c r="E3006" s="187"/>
      <c r="F3006" s="187"/>
      <c r="G3006" s="187"/>
      <c r="J3006" s="186"/>
      <c r="K3006" s="180"/>
      <c r="L3006" s="180"/>
    </row>
    <row r="3007" spans="2:12" s="188" customFormat="1" ht="15" customHeight="1">
      <c r="B3007" s="187"/>
      <c r="C3007" s="187"/>
      <c r="D3007" s="187"/>
      <c r="E3007" s="187"/>
      <c r="F3007" s="187"/>
      <c r="G3007" s="187"/>
      <c r="J3007" s="186"/>
      <c r="K3007" s="180"/>
      <c r="L3007" s="180"/>
    </row>
    <row r="3008" spans="2:12" s="188" customFormat="1" ht="15" customHeight="1">
      <c r="B3008" s="187"/>
      <c r="C3008" s="187"/>
      <c r="D3008" s="187"/>
      <c r="E3008" s="187"/>
      <c r="F3008" s="187"/>
      <c r="G3008" s="187"/>
      <c r="J3008" s="186"/>
      <c r="K3008" s="180"/>
      <c r="L3008" s="180"/>
    </row>
    <row r="3009" spans="2:12" s="188" customFormat="1" ht="15" customHeight="1">
      <c r="B3009" s="187"/>
      <c r="C3009" s="187"/>
      <c r="D3009" s="187"/>
      <c r="E3009" s="187"/>
      <c r="F3009" s="187"/>
      <c r="G3009" s="187"/>
      <c r="J3009" s="186"/>
      <c r="K3009" s="180"/>
      <c r="L3009" s="180"/>
    </row>
    <row r="3010" spans="2:12" s="188" customFormat="1" ht="15" customHeight="1">
      <c r="B3010" s="187"/>
      <c r="C3010" s="187"/>
      <c r="D3010" s="187"/>
      <c r="E3010" s="187"/>
      <c r="F3010" s="187"/>
      <c r="G3010" s="187"/>
      <c r="J3010" s="186"/>
      <c r="K3010" s="180"/>
      <c r="L3010" s="180"/>
    </row>
    <row r="3011" spans="2:12" s="188" customFormat="1" ht="15" customHeight="1">
      <c r="B3011" s="187"/>
      <c r="C3011" s="187"/>
      <c r="D3011" s="187"/>
      <c r="E3011" s="187"/>
      <c r="F3011" s="187"/>
      <c r="G3011" s="187"/>
      <c r="J3011" s="186"/>
      <c r="K3011" s="180"/>
      <c r="L3011" s="180"/>
    </row>
    <row r="3012" spans="2:12" s="188" customFormat="1" ht="15" customHeight="1">
      <c r="B3012" s="187"/>
      <c r="C3012" s="187"/>
      <c r="D3012" s="187"/>
      <c r="E3012" s="187"/>
      <c r="F3012" s="187"/>
      <c r="G3012" s="187"/>
      <c r="J3012" s="186"/>
      <c r="K3012" s="180"/>
      <c r="L3012" s="180"/>
    </row>
    <row r="3013" spans="2:12" s="188" customFormat="1" ht="15" customHeight="1">
      <c r="B3013" s="187"/>
      <c r="C3013" s="187"/>
      <c r="D3013" s="187"/>
      <c r="E3013" s="187"/>
      <c r="F3013" s="187"/>
      <c r="G3013" s="187"/>
      <c r="J3013" s="186"/>
      <c r="K3013" s="180"/>
      <c r="L3013" s="180"/>
    </row>
    <row r="3014" spans="2:12" s="188" customFormat="1" ht="15" customHeight="1">
      <c r="B3014" s="187"/>
      <c r="C3014" s="187"/>
      <c r="D3014" s="187"/>
      <c r="E3014" s="187"/>
      <c r="F3014" s="187"/>
      <c r="G3014" s="187"/>
      <c r="J3014" s="186"/>
      <c r="K3014" s="180"/>
      <c r="L3014" s="180"/>
    </row>
    <row r="3015" spans="2:12" s="188" customFormat="1" ht="15" customHeight="1">
      <c r="B3015" s="187"/>
      <c r="C3015" s="187"/>
      <c r="D3015" s="187"/>
      <c r="E3015" s="187"/>
      <c r="F3015" s="187"/>
      <c r="G3015" s="187"/>
      <c r="J3015" s="186"/>
      <c r="K3015" s="180"/>
      <c r="L3015" s="180"/>
    </row>
    <row r="3016" spans="2:12" s="188" customFormat="1" ht="15" customHeight="1">
      <c r="B3016" s="187"/>
      <c r="C3016" s="187"/>
      <c r="D3016" s="187"/>
      <c r="E3016" s="187"/>
      <c r="F3016" s="187"/>
      <c r="G3016" s="187"/>
      <c r="J3016" s="186"/>
      <c r="K3016" s="180"/>
      <c r="L3016" s="180"/>
    </row>
    <row r="3017" spans="2:12" s="188" customFormat="1" ht="15" customHeight="1">
      <c r="B3017" s="187"/>
      <c r="C3017" s="187"/>
      <c r="D3017" s="187"/>
      <c r="E3017" s="187"/>
      <c r="F3017" s="187"/>
      <c r="G3017" s="187"/>
      <c r="J3017" s="186"/>
      <c r="K3017" s="180"/>
      <c r="L3017" s="180"/>
    </row>
    <row r="3018" spans="2:12" s="188" customFormat="1" ht="15" customHeight="1">
      <c r="B3018" s="187"/>
      <c r="C3018" s="187"/>
      <c r="D3018" s="187"/>
      <c r="E3018" s="187"/>
      <c r="F3018" s="187"/>
      <c r="G3018" s="187"/>
      <c r="J3018" s="186"/>
      <c r="K3018" s="180"/>
      <c r="L3018" s="180"/>
    </row>
    <row r="3019" spans="2:12" s="188" customFormat="1" ht="15" customHeight="1">
      <c r="B3019" s="187"/>
      <c r="C3019" s="187"/>
      <c r="D3019" s="187"/>
      <c r="E3019" s="187"/>
      <c r="F3019" s="187"/>
      <c r="G3019" s="187"/>
      <c r="J3019" s="186"/>
      <c r="K3019" s="180"/>
      <c r="L3019" s="180"/>
    </row>
    <row r="3020" spans="2:12" s="188" customFormat="1" ht="15" customHeight="1">
      <c r="B3020" s="187"/>
      <c r="C3020" s="187"/>
      <c r="D3020" s="187"/>
      <c r="E3020" s="187"/>
      <c r="F3020" s="187"/>
      <c r="G3020" s="187"/>
      <c r="J3020" s="186"/>
      <c r="K3020" s="180"/>
      <c r="L3020" s="180"/>
    </row>
    <row r="3021" spans="2:12" s="188" customFormat="1" ht="15" customHeight="1">
      <c r="B3021" s="187"/>
      <c r="C3021" s="187"/>
      <c r="D3021" s="187"/>
      <c r="E3021" s="187"/>
      <c r="F3021" s="187"/>
      <c r="G3021" s="187"/>
      <c r="J3021" s="186"/>
      <c r="K3021" s="180"/>
      <c r="L3021" s="180"/>
    </row>
    <row r="3022" spans="2:12" s="188" customFormat="1" ht="15" customHeight="1">
      <c r="B3022" s="187"/>
      <c r="C3022" s="187"/>
      <c r="D3022" s="187"/>
      <c r="E3022" s="187"/>
      <c r="F3022" s="187"/>
      <c r="G3022" s="187"/>
      <c r="J3022" s="186"/>
      <c r="K3022" s="180"/>
      <c r="L3022" s="180"/>
    </row>
    <row r="3023" spans="2:12" s="188" customFormat="1" ht="15" customHeight="1">
      <c r="B3023" s="187"/>
      <c r="C3023" s="187"/>
      <c r="D3023" s="187"/>
      <c r="E3023" s="187"/>
      <c r="F3023" s="187"/>
      <c r="G3023" s="187"/>
      <c r="J3023" s="186"/>
      <c r="K3023" s="180"/>
      <c r="L3023" s="180"/>
    </row>
    <row r="3024" spans="2:12" s="188" customFormat="1" ht="15" customHeight="1">
      <c r="B3024" s="187"/>
      <c r="C3024" s="187"/>
      <c r="D3024" s="187"/>
      <c r="E3024" s="187"/>
      <c r="F3024" s="187"/>
      <c r="G3024" s="187"/>
      <c r="J3024" s="186"/>
      <c r="K3024" s="180"/>
      <c r="L3024" s="180"/>
    </row>
    <row r="3025" spans="2:12" s="188" customFormat="1" ht="15" customHeight="1">
      <c r="B3025" s="187"/>
      <c r="C3025" s="187"/>
      <c r="D3025" s="187"/>
      <c r="E3025" s="187"/>
      <c r="F3025" s="187"/>
      <c r="G3025" s="187"/>
      <c r="J3025" s="186"/>
      <c r="K3025" s="180"/>
      <c r="L3025" s="180"/>
    </row>
    <row r="3026" spans="2:12" s="188" customFormat="1" ht="15" customHeight="1">
      <c r="B3026" s="187"/>
      <c r="C3026" s="187"/>
      <c r="D3026" s="187"/>
      <c r="E3026" s="187"/>
      <c r="F3026" s="187"/>
      <c r="G3026" s="187"/>
      <c r="J3026" s="186"/>
      <c r="K3026" s="180"/>
      <c r="L3026" s="180"/>
    </row>
    <row r="3027" spans="2:12" s="188" customFormat="1" ht="15" customHeight="1">
      <c r="B3027" s="187"/>
      <c r="C3027" s="187"/>
      <c r="D3027" s="187"/>
      <c r="E3027" s="187"/>
      <c r="F3027" s="187"/>
      <c r="G3027" s="187"/>
      <c r="J3027" s="186"/>
      <c r="K3027" s="180"/>
      <c r="L3027" s="180"/>
    </row>
    <row r="3028" spans="2:12" s="188" customFormat="1" ht="15" customHeight="1">
      <c r="B3028" s="187"/>
      <c r="C3028" s="187"/>
      <c r="D3028" s="187"/>
      <c r="E3028" s="187"/>
      <c r="F3028" s="187"/>
      <c r="G3028" s="187"/>
      <c r="J3028" s="186"/>
      <c r="K3028" s="180"/>
      <c r="L3028" s="180"/>
    </row>
    <row r="3029" spans="2:12" s="188" customFormat="1" ht="15" customHeight="1">
      <c r="B3029" s="187"/>
      <c r="C3029" s="187"/>
      <c r="D3029" s="187"/>
      <c r="E3029" s="187"/>
      <c r="F3029" s="187"/>
      <c r="G3029" s="187"/>
      <c r="J3029" s="186"/>
      <c r="K3029" s="180"/>
      <c r="L3029" s="180"/>
    </row>
    <row r="3030" spans="2:12" s="188" customFormat="1" ht="15" customHeight="1">
      <c r="B3030" s="187"/>
      <c r="C3030" s="187"/>
      <c r="D3030" s="187"/>
      <c r="E3030" s="187"/>
      <c r="F3030" s="187"/>
      <c r="G3030" s="187"/>
      <c r="J3030" s="186"/>
      <c r="K3030" s="180"/>
      <c r="L3030" s="180"/>
    </row>
    <row r="3031" spans="2:12" s="188" customFormat="1" ht="15" customHeight="1">
      <c r="B3031" s="187"/>
      <c r="C3031" s="187"/>
      <c r="D3031" s="187"/>
      <c r="E3031" s="187"/>
      <c r="F3031" s="187"/>
      <c r="G3031" s="187"/>
      <c r="J3031" s="186"/>
      <c r="K3031" s="180"/>
      <c r="L3031" s="180"/>
    </row>
    <row r="3032" spans="2:12" s="188" customFormat="1" ht="15" customHeight="1">
      <c r="B3032" s="187"/>
      <c r="C3032" s="187"/>
      <c r="D3032" s="187"/>
      <c r="E3032" s="187"/>
      <c r="F3032" s="187"/>
      <c r="G3032" s="187"/>
      <c r="J3032" s="186"/>
      <c r="K3032" s="180"/>
      <c r="L3032" s="180"/>
    </row>
    <row r="3033" spans="2:12" s="188" customFormat="1" ht="15" customHeight="1">
      <c r="B3033" s="187"/>
      <c r="C3033" s="187"/>
      <c r="D3033" s="187"/>
      <c r="E3033" s="187"/>
      <c r="F3033" s="187"/>
      <c r="G3033" s="187"/>
      <c r="J3033" s="186"/>
      <c r="K3033" s="180"/>
      <c r="L3033" s="180"/>
    </row>
    <row r="3034" spans="2:12" s="188" customFormat="1" ht="15" customHeight="1">
      <c r="B3034" s="187"/>
      <c r="C3034" s="187"/>
      <c r="D3034" s="187"/>
      <c r="E3034" s="187"/>
      <c r="F3034" s="187"/>
      <c r="G3034" s="187"/>
      <c r="J3034" s="186"/>
      <c r="K3034" s="180"/>
      <c r="L3034" s="180"/>
    </row>
    <row r="3035" spans="2:12" s="188" customFormat="1" ht="15" customHeight="1">
      <c r="B3035" s="187"/>
      <c r="C3035" s="187"/>
      <c r="D3035" s="187"/>
      <c r="E3035" s="187"/>
      <c r="F3035" s="187"/>
      <c r="G3035" s="187"/>
      <c r="J3035" s="186"/>
      <c r="K3035" s="180"/>
      <c r="L3035" s="180"/>
    </row>
    <row r="3036" spans="2:12" s="188" customFormat="1" ht="15" customHeight="1">
      <c r="B3036" s="187"/>
      <c r="C3036" s="187"/>
      <c r="D3036" s="187"/>
      <c r="E3036" s="187"/>
      <c r="F3036" s="187"/>
      <c r="G3036" s="187"/>
      <c r="J3036" s="186"/>
      <c r="K3036" s="180"/>
      <c r="L3036" s="180"/>
    </row>
    <row r="3037" spans="2:12" s="188" customFormat="1" ht="15" customHeight="1">
      <c r="B3037" s="187"/>
      <c r="C3037" s="187"/>
      <c r="D3037" s="187"/>
      <c r="E3037" s="187"/>
      <c r="F3037" s="187"/>
      <c r="G3037" s="187"/>
      <c r="J3037" s="186"/>
      <c r="K3037" s="180"/>
      <c r="L3037" s="180"/>
    </row>
    <row r="3038" spans="2:12" s="188" customFormat="1" ht="15" customHeight="1">
      <c r="B3038" s="187"/>
      <c r="C3038" s="187"/>
      <c r="D3038" s="187"/>
      <c r="E3038" s="187"/>
      <c r="F3038" s="187"/>
      <c r="G3038" s="187"/>
      <c r="J3038" s="186"/>
      <c r="K3038" s="180"/>
      <c r="L3038" s="180"/>
    </row>
    <row r="3039" spans="2:12" s="188" customFormat="1" ht="15" customHeight="1">
      <c r="B3039" s="187"/>
      <c r="C3039" s="187"/>
      <c r="D3039" s="187"/>
      <c r="E3039" s="187"/>
      <c r="F3039" s="187"/>
      <c r="G3039" s="187"/>
      <c r="J3039" s="186"/>
      <c r="K3039" s="180"/>
      <c r="L3039" s="180"/>
    </row>
    <row r="3040" spans="2:12" s="188" customFormat="1" ht="15" customHeight="1">
      <c r="B3040" s="187"/>
      <c r="C3040" s="187"/>
      <c r="D3040" s="187"/>
      <c r="E3040" s="187"/>
      <c r="F3040" s="187"/>
      <c r="G3040" s="187"/>
      <c r="J3040" s="186"/>
      <c r="K3040" s="180"/>
      <c r="L3040" s="180"/>
    </row>
    <row r="3041" spans="2:12" s="188" customFormat="1" ht="15" customHeight="1">
      <c r="B3041" s="187"/>
      <c r="C3041" s="187"/>
      <c r="D3041" s="187"/>
      <c r="E3041" s="187"/>
      <c r="F3041" s="187"/>
      <c r="G3041" s="187"/>
      <c r="J3041" s="186"/>
      <c r="K3041" s="180"/>
      <c r="L3041" s="180"/>
    </row>
    <row r="3042" spans="2:12" s="188" customFormat="1" ht="15" customHeight="1">
      <c r="B3042" s="187"/>
      <c r="C3042" s="187"/>
      <c r="D3042" s="187"/>
      <c r="E3042" s="187"/>
      <c r="F3042" s="187"/>
      <c r="G3042" s="187"/>
      <c r="J3042" s="186"/>
      <c r="K3042" s="180"/>
      <c r="L3042" s="180"/>
    </row>
    <row r="3043" spans="2:12" s="188" customFormat="1" ht="15" customHeight="1">
      <c r="B3043" s="187"/>
      <c r="C3043" s="187"/>
      <c r="D3043" s="187"/>
      <c r="E3043" s="187"/>
      <c r="F3043" s="187"/>
      <c r="G3043" s="187"/>
      <c r="J3043" s="186"/>
      <c r="K3043" s="180"/>
      <c r="L3043" s="180"/>
    </row>
    <row r="3044" spans="2:12" s="188" customFormat="1" ht="15" customHeight="1">
      <c r="B3044" s="187"/>
      <c r="C3044" s="187"/>
      <c r="D3044" s="187"/>
      <c r="E3044" s="187"/>
      <c r="F3044" s="187"/>
      <c r="G3044" s="187"/>
      <c r="J3044" s="186"/>
      <c r="K3044" s="180"/>
      <c r="L3044" s="180"/>
    </row>
    <row r="3045" spans="2:12" s="188" customFormat="1" ht="15" customHeight="1">
      <c r="B3045" s="187"/>
      <c r="C3045" s="187"/>
      <c r="D3045" s="187"/>
      <c r="E3045" s="187"/>
      <c r="F3045" s="187"/>
      <c r="G3045" s="187"/>
      <c r="J3045" s="186"/>
      <c r="K3045" s="180"/>
      <c r="L3045" s="180"/>
    </row>
    <row r="3046" spans="2:12" s="188" customFormat="1" ht="15" customHeight="1">
      <c r="B3046" s="187"/>
      <c r="C3046" s="187"/>
      <c r="D3046" s="187"/>
      <c r="E3046" s="187"/>
      <c r="F3046" s="187"/>
      <c r="G3046" s="187"/>
      <c r="J3046" s="186"/>
      <c r="K3046" s="180"/>
      <c r="L3046" s="180"/>
    </row>
    <row r="3047" spans="2:12" s="188" customFormat="1" ht="15" customHeight="1">
      <c r="B3047" s="187"/>
      <c r="C3047" s="187"/>
      <c r="D3047" s="187"/>
      <c r="E3047" s="187"/>
      <c r="F3047" s="187"/>
      <c r="G3047" s="187"/>
      <c r="J3047" s="186"/>
      <c r="K3047" s="180"/>
      <c r="L3047" s="180"/>
    </row>
    <row r="3048" spans="2:12" s="188" customFormat="1" ht="15" customHeight="1">
      <c r="B3048" s="187"/>
      <c r="C3048" s="187"/>
      <c r="D3048" s="187"/>
      <c r="E3048" s="187"/>
      <c r="F3048" s="187"/>
      <c r="G3048" s="187"/>
      <c r="J3048" s="186"/>
      <c r="K3048" s="180"/>
      <c r="L3048" s="180"/>
    </row>
    <row r="3049" spans="2:12" s="188" customFormat="1" ht="15" customHeight="1">
      <c r="B3049" s="187"/>
      <c r="C3049" s="187"/>
      <c r="D3049" s="187"/>
      <c r="E3049" s="187"/>
      <c r="F3049" s="187"/>
      <c r="G3049" s="187"/>
      <c r="J3049" s="186"/>
      <c r="K3049" s="180"/>
      <c r="L3049" s="180"/>
    </row>
    <row r="3050" spans="2:12" s="188" customFormat="1" ht="15" customHeight="1">
      <c r="B3050" s="187"/>
      <c r="C3050" s="187"/>
      <c r="D3050" s="187"/>
      <c r="E3050" s="187"/>
      <c r="F3050" s="187"/>
      <c r="G3050" s="187"/>
      <c r="J3050" s="186"/>
      <c r="K3050" s="180"/>
      <c r="L3050" s="180"/>
    </row>
    <row r="3051" spans="2:12" s="188" customFormat="1" ht="15" customHeight="1">
      <c r="B3051" s="187"/>
      <c r="C3051" s="187"/>
      <c r="D3051" s="187"/>
      <c r="E3051" s="187"/>
      <c r="F3051" s="187"/>
      <c r="G3051" s="187"/>
      <c r="J3051" s="186"/>
      <c r="K3051" s="180"/>
      <c r="L3051" s="180"/>
    </row>
    <row r="3052" spans="2:12" s="188" customFormat="1" ht="15" customHeight="1">
      <c r="B3052" s="187"/>
      <c r="C3052" s="187"/>
      <c r="D3052" s="187"/>
      <c r="E3052" s="187"/>
      <c r="F3052" s="187"/>
      <c r="G3052" s="187"/>
      <c r="J3052" s="186"/>
      <c r="K3052" s="180"/>
      <c r="L3052" s="180"/>
    </row>
    <row r="3053" spans="2:12" s="188" customFormat="1" ht="15" customHeight="1">
      <c r="B3053" s="187"/>
      <c r="C3053" s="187"/>
      <c r="D3053" s="187"/>
      <c r="E3053" s="187"/>
      <c r="F3053" s="187"/>
      <c r="G3053" s="187"/>
      <c r="J3053" s="186"/>
      <c r="K3053" s="180"/>
      <c r="L3053" s="180"/>
    </row>
    <row r="3054" spans="2:12" s="188" customFormat="1" ht="15" customHeight="1">
      <c r="B3054" s="187"/>
      <c r="C3054" s="187"/>
      <c r="D3054" s="187"/>
      <c r="E3054" s="187"/>
      <c r="F3054" s="187"/>
      <c r="G3054" s="187"/>
      <c r="J3054" s="186"/>
      <c r="K3054" s="180"/>
      <c r="L3054" s="180"/>
    </row>
    <row r="3055" spans="2:12" s="188" customFormat="1" ht="15" customHeight="1">
      <c r="B3055" s="187"/>
      <c r="C3055" s="187"/>
      <c r="D3055" s="187"/>
      <c r="E3055" s="187"/>
      <c r="F3055" s="187"/>
      <c r="G3055" s="187"/>
      <c r="J3055" s="186"/>
      <c r="K3055" s="180"/>
      <c r="L3055" s="180"/>
    </row>
    <row r="3056" spans="2:12" s="188" customFormat="1" ht="15" customHeight="1">
      <c r="B3056" s="187"/>
      <c r="C3056" s="187"/>
      <c r="D3056" s="187"/>
      <c r="E3056" s="187"/>
      <c r="F3056" s="187"/>
      <c r="G3056" s="187"/>
      <c r="J3056" s="186"/>
      <c r="K3056" s="180"/>
      <c r="L3056" s="180"/>
    </row>
    <row r="3057" spans="2:12" s="188" customFormat="1" ht="15" customHeight="1">
      <c r="B3057" s="187"/>
      <c r="C3057" s="187"/>
      <c r="D3057" s="187"/>
      <c r="E3057" s="187"/>
      <c r="F3057" s="187"/>
      <c r="G3057" s="187"/>
      <c r="J3057" s="186"/>
      <c r="K3057" s="180"/>
      <c r="L3057" s="180"/>
    </row>
    <row r="3058" spans="2:12" s="188" customFormat="1" ht="15" customHeight="1">
      <c r="B3058" s="187"/>
      <c r="C3058" s="187"/>
      <c r="D3058" s="187"/>
      <c r="E3058" s="187"/>
      <c r="F3058" s="187"/>
      <c r="G3058" s="187"/>
      <c r="J3058" s="186"/>
      <c r="K3058" s="180"/>
      <c r="L3058" s="180"/>
    </row>
    <row r="3059" spans="2:12" s="188" customFormat="1" ht="15" customHeight="1">
      <c r="B3059" s="187"/>
      <c r="C3059" s="187"/>
      <c r="D3059" s="187"/>
      <c r="E3059" s="187"/>
      <c r="F3059" s="187"/>
      <c r="G3059" s="187"/>
      <c r="J3059" s="186"/>
      <c r="K3059" s="180"/>
      <c r="L3059" s="180"/>
    </row>
    <row r="3060" spans="2:12" s="188" customFormat="1" ht="15" customHeight="1">
      <c r="B3060" s="187"/>
      <c r="C3060" s="187"/>
      <c r="D3060" s="187"/>
      <c r="E3060" s="187"/>
      <c r="F3060" s="187"/>
      <c r="G3060" s="187"/>
      <c r="J3060" s="186"/>
      <c r="K3060" s="180"/>
      <c r="L3060" s="180"/>
    </row>
    <row r="3061" spans="2:12" s="188" customFormat="1" ht="15" customHeight="1">
      <c r="B3061" s="187"/>
      <c r="C3061" s="187"/>
      <c r="D3061" s="187"/>
      <c r="E3061" s="187"/>
      <c r="F3061" s="187"/>
      <c r="G3061" s="187"/>
      <c r="J3061" s="186"/>
      <c r="K3061" s="180"/>
      <c r="L3061" s="180"/>
    </row>
    <row r="3062" spans="2:12" s="188" customFormat="1" ht="15" customHeight="1">
      <c r="B3062" s="187"/>
      <c r="C3062" s="187"/>
      <c r="D3062" s="187"/>
      <c r="E3062" s="187"/>
      <c r="F3062" s="187"/>
      <c r="G3062" s="187"/>
      <c r="J3062" s="186"/>
      <c r="K3062" s="180"/>
      <c r="L3062" s="180"/>
    </row>
    <row r="3063" spans="2:12" s="188" customFormat="1" ht="15" customHeight="1">
      <c r="B3063" s="187"/>
      <c r="C3063" s="187"/>
      <c r="D3063" s="187"/>
      <c r="E3063" s="187"/>
      <c r="F3063" s="187"/>
      <c r="G3063" s="187"/>
      <c r="J3063" s="186"/>
      <c r="K3063" s="180"/>
      <c r="L3063" s="180"/>
    </row>
    <row r="3064" spans="2:12" s="188" customFormat="1" ht="15" customHeight="1">
      <c r="B3064" s="187"/>
      <c r="C3064" s="187"/>
      <c r="D3064" s="187"/>
      <c r="E3064" s="187"/>
      <c r="F3064" s="187"/>
      <c r="G3064" s="187"/>
      <c r="J3064" s="186"/>
      <c r="K3064" s="180"/>
      <c r="L3064" s="180"/>
    </row>
    <row r="3065" spans="2:12" s="188" customFormat="1" ht="15" customHeight="1">
      <c r="B3065" s="187"/>
      <c r="C3065" s="187"/>
      <c r="D3065" s="187"/>
      <c r="E3065" s="187"/>
      <c r="F3065" s="187"/>
      <c r="G3065" s="187"/>
      <c r="J3065" s="186"/>
      <c r="K3065" s="180"/>
      <c r="L3065" s="180"/>
    </row>
    <row r="3066" spans="2:12" s="188" customFormat="1" ht="15" customHeight="1">
      <c r="B3066" s="187"/>
      <c r="C3066" s="187"/>
      <c r="D3066" s="187"/>
      <c r="E3066" s="187"/>
      <c r="F3066" s="187"/>
      <c r="G3066" s="187"/>
      <c r="J3066" s="186"/>
      <c r="K3066" s="180"/>
      <c r="L3066" s="180"/>
    </row>
    <row r="3067" spans="2:12" s="188" customFormat="1" ht="15" customHeight="1">
      <c r="B3067" s="187"/>
      <c r="C3067" s="187"/>
      <c r="D3067" s="187"/>
      <c r="E3067" s="187"/>
      <c r="F3067" s="187"/>
      <c r="G3067" s="187"/>
      <c r="J3067" s="186"/>
      <c r="K3067" s="180"/>
      <c r="L3067" s="180"/>
    </row>
    <row r="3068" spans="2:12" s="188" customFormat="1" ht="15" customHeight="1">
      <c r="B3068" s="187"/>
      <c r="C3068" s="187"/>
      <c r="D3068" s="187"/>
      <c r="E3068" s="187"/>
      <c r="F3068" s="187"/>
      <c r="G3068" s="187"/>
      <c r="J3068" s="186"/>
      <c r="K3068" s="180"/>
      <c r="L3068" s="180"/>
    </row>
    <row r="3069" spans="2:12" s="188" customFormat="1" ht="15" customHeight="1">
      <c r="B3069" s="187"/>
      <c r="C3069" s="187"/>
      <c r="D3069" s="187"/>
      <c r="E3069" s="187"/>
      <c r="F3069" s="187"/>
      <c r="G3069" s="187"/>
      <c r="J3069" s="186"/>
      <c r="K3069" s="180"/>
      <c r="L3069" s="180"/>
    </row>
    <row r="3070" spans="2:12" s="188" customFormat="1" ht="15" customHeight="1">
      <c r="B3070" s="187"/>
      <c r="C3070" s="187"/>
      <c r="D3070" s="187"/>
      <c r="E3070" s="187"/>
      <c r="F3070" s="187"/>
      <c r="G3070" s="187"/>
      <c r="J3070" s="186"/>
      <c r="K3070" s="180"/>
      <c r="L3070" s="180"/>
    </row>
    <row r="3071" spans="2:12" s="188" customFormat="1" ht="15" customHeight="1">
      <c r="B3071" s="187"/>
      <c r="C3071" s="187"/>
      <c r="D3071" s="187"/>
      <c r="E3071" s="187"/>
      <c r="F3071" s="187"/>
      <c r="G3071" s="187"/>
      <c r="J3071" s="186"/>
      <c r="K3071" s="180"/>
      <c r="L3071" s="180"/>
    </row>
    <row r="3072" spans="2:12" s="188" customFormat="1" ht="15" customHeight="1">
      <c r="B3072" s="187"/>
      <c r="C3072" s="187"/>
      <c r="D3072" s="187"/>
      <c r="E3072" s="187"/>
      <c r="F3072" s="187"/>
      <c r="G3072" s="187"/>
      <c r="J3072" s="186"/>
      <c r="K3072" s="180"/>
      <c r="L3072" s="180"/>
    </row>
    <row r="3073" spans="2:12" s="188" customFormat="1" ht="15" customHeight="1">
      <c r="B3073" s="187"/>
      <c r="C3073" s="187"/>
      <c r="D3073" s="187"/>
      <c r="E3073" s="187"/>
      <c r="F3073" s="187"/>
      <c r="G3073" s="187"/>
      <c r="J3073" s="186"/>
      <c r="K3073" s="180"/>
      <c r="L3073" s="180"/>
    </row>
    <row r="3074" spans="2:12" s="188" customFormat="1" ht="15" customHeight="1">
      <c r="B3074" s="187"/>
      <c r="C3074" s="187"/>
      <c r="D3074" s="187"/>
      <c r="E3074" s="187"/>
      <c r="F3074" s="187"/>
      <c r="G3074" s="187"/>
      <c r="J3074" s="186"/>
      <c r="K3074" s="180"/>
      <c r="L3074" s="180"/>
    </row>
    <row r="3075" spans="2:12" s="188" customFormat="1" ht="15" customHeight="1">
      <c r="B3075" s="187"/>
      <c r="C3075" s="187"/>
      <c r="D3075" s="187"/>
      <c r="E3075" s="187"/>
      <c r="F3075" s="187"/>
      <c r="G3075" s="187"/>
      <c r="J3075" s="186"/>
      <c r="K3075" s="180"/>
      <c r="L3075" s="180"/>
    </row>
    <row r="3076" spans="2:12" s="188" customFormat="1" ht="15" customHeight="1">
      <c r="B3076" s="187"/>
      <c r="C3076" s="187"/>
      <c r="D3076" s="187"/>
      <c r="E3076" s="187"/>
      <c r="F3076" s="187"/>
      <c r="G3076" s="187"/>
      <c r="J3076" s="186"/>
      <c r="K3076" s="180"/>
      <c r="L3076" s="180"/>
    </row>
    <row r="3077" spans="2:12" s="188" customFormat="1" ht="15" customHeight="1">
      <c r="B3077" s="187"/>
      <c r="C3077" s="187"/>
      <c r="D3077" s="187"/>
      <c r="E3077" s="187"/>
      <c r="F3077" s="187"/>
      <c r="G3077" s="187"/>
      <c r="J3077" s="186"/>
      <c r="K3077" s="180"/>
      <c r="L3077" s="180"/>
    </row>
    <row r="3078" spans="2:12" s="188" customFormat="1" ht="15" customHeight="1">
      <c r="B3078" s="187"/>
      <c r="C3078" s="187"/>
      <c r="D3078" s="187"/>
      <c r="E3078" s="187"/>
      <c r="F3078" s="187"/>
      <c r="G3078" s="187"/>
      <c r="J3078" s="186"/>
      <c r="K3078" s="180"/>
      <c r="L3078" s="180"/>
    </row>
    <row r="3079" spans="2:12" s="188" customFormat="1" ht="15" customHeight="1">
      <c r="B3079" s="187"/>
      <c r="C3079" s="187"/>
      <c r="D3079" s="187"/>
      <c r="E3079" s="187"/>
      <c r="F3079" s="187"/>
      <c r="G3079" s="187"/>
      <c r="J3079" s="186"/>
      <c r="K3079" s="180"/>
      <c r="L3079" s="180"/>
    </row>
    <row r="3080" spans="2:12" s="188" customFormat="1" ht="15" customHeight="1">
      <c r="B3080" s="187"/>
      <c r="C3080" s="187"/>
      <c r="D3080" s="187"/>
      <c r="E3080" s="187"/>
      <c r="F3080" s="187"/>
      <c r="G3080" s="187"/>
      <c r="J3080" s="186"/>
      <c r="K3080" s="180"/>
      <c r="L3080" s="180"/>
    </row>
    <row r="3081" spans="2:12" s="188" customFormat="1" ht="15" customHeight="1">
      <c r="B3081" s="187"/>
      <c r="C3081" s="187"/>
      <c r="D3081" s="187"/>
      <c r="E3081" s="187"/>
      <c r="F3081" s="187"/>
      <c r="G3081" s="187"/>
      <c r="J3081" s="186"/>
      <c r="K3081" s="180"/>
      <c r="L3081" s="180"/>
    </row>
    <row r="3082" spans="2:12" s="188" customFormat="1" ht="15" customHeight="1">
      <c r="B3082" s="187"/>
      <c r="C3082" s="187"/>
      <c r="D3082" s="187"/>
      <c r="E3082" s="187"/>
      <c r="F3082" s="187"/>
      <c r="G3082" s="187"/>
      <c r="J3082" s="186"/>
      <c r="K3082" s="180"/>
      <c r="L3082" s="180"/>
    </row>
    <row r="3083" spans="2:12" s="188" customFormat="1" ht="15" customHeight="1">
      <c r="B3083" s="187"/>
      <c r="C3083" s="187"/>
      <c r="D3083" s="187"/>
      <c r="E3083" s="187"/>
      <c r="F3083" s="187"/>
      <c r="G3083" s="187"/>
      <c r="J3083" s="186"/>
      <c r="K3083" s="180"/>
      <c r="L3083" s="180"/>
    </row>
    <row r="3084" spans="2:12" s="188" customFormat="1" ht="15" customHeight="1">
      <c r="B3084" s="187"/>
      <c r="C3084" s="187"/>
      <c r="D3084" s="187"/>
      <c r="E3084" s="187"/>
      <c r="F3084" s="187"/>
      <c r="G3084" s="187"/>
      <c r="J3084" s="186"/>
      <c r="K3084" s="180"/>
      <c r="L3084" s="180"/>
    </row>
    <row r="3085" spans="2:12" s="188" customFormat="1" ht="15" customHeight="1">
      <c r="B3085" s="187"/>
      <c r="C3085" s="187"/>
      <c r="D3085" s="187"/>
      <c r="E3085" s="187"/>
      <c r="F3085" s="187"/>
      <c r="G3085" s="187"/>
      <c r="J3085" s="186"/>
      <c r="K3085" s="180"/>
      <c r="L3085" s="180"/>
    </row>
    <row r="3086" spans="2:12" s="188" customFormat="1" ht="15" customHeight="1">
      <c r="B3086" s="187"/>
      <c r="C3086" s="187"/>
      <c r="D3086" s="187"/>
      <c r="E3086" s="187"/>
      <c r="F3086" s="187"/>
      <c r="G3086" s="187"/>
      <c r="J3086" s="186"/>
      <c r="K3086" s="180"/>
      <c r="L3086" s="180"/>
    </row>
    <row r="3087" spans="2:12" s="188" customFormat="1" ht="15" customHeight="1">
      <c r="B3087" s="187"/>
      <c r="C3087" s="187"/>
      <c r="D3087" s="187"/>
      <c r="E3087" s="187"/>
      <c r="F3087" s="187"/>
      <c r="G3087" s="187"/>
      <c r="J3087" s="186"/>
      <c r="K3087" s="180"/>
      <c r="L3087" s="180"/>
    </row>
    <row r="3088" spans="2:12" s="188" customFormat="1" ht="15" customHeight="1">
      <c r="B3088" s="187"/>
      <c r="C3088" s="187"/>
      <c r="D3088" s="187"/>
      <c r="E3088" s="187"/>
      <c r="F3088" s="187"/>
      <c r="G3088" s="187"/>
      <c r="J3088" s="186"/>
      <c r="K3088" s="180"/>
      <c r="L3088" s="180"/>
    </row>
    <row r="3089" spans="2:12" s="188" customFormat="1" ht="15" customHeight="1">
      <c r="B3089" s="187"/>
      <c r="C3089" s="187"/>
      <c r="D3089" s="187"/>
      <c r="E3089" s="187"/>
      <c r="F3089" s="187"/>
      <c r="G3089" s="187"/>
      <c r="J3089" s="186"/>
      <c r="K3089" s="180"/>
      <c r="L3089" s="180"/>
    </row>
    <row r="3090" spans="2:12" s="188" customFormat="1" ht="15" customHeight="1">
      <c r="B3090" s="187"/>
      <c r="C3090" s="187"/>
      <c r="D3090" s="187"/>
      <c r="E3090" s="187"/>
      <c r="F3090" s="187"/>
      <c r="G3090" s="187"/>
      <c r="J3090" s="186"/>
      <c r="K3090" s="180"/>
      <c r="L3090" s="180"/>
    </row>
    <row r="3091" spans="2:12" s="188" customFormat="1" ht="15" customHeight="1">
      <c r="B3091" s="187"/>
      <c r="C3091" s="187"/>
      <c r="D3091" s="187"/>
      <c r="E3091" s="187"/>
      <c r="F3091" s="187"/>
      <c r="G3091" s="187"/>
      <c r="J3091" s="186"/>
      <c r="K3091" s="180"/>
      <c r="L3091" s="180"/>
    </row>
    <row r="3092" spans="2:12" s="188" customFormat="1" ht="15" customHeight="1">
      <c r="B3092" s="187"/>
      <c r="C3092" s="187"/>
      <c r="D3092" s="187"/>
      <c r="E3092" s="187"/>
      <c r="F3092" s="187"/>
      <c r="G3092" s="187"/>
      <c r="J3092" s="186"/>
      <c r="K3092" s="180"/>
      <c r="L3092" s="180"/>
    </row>
    <row r="3093" spans="2:12" s="188" customFormat="1" ht="15" customHeight="1">
      <c r="B3093" s="187"/>
      <c r="C3093" s="187"/>
      <c r="D3093" s="187"/>
      <c r="E3093" s="187"/>
      <c r="F3093" s="187"/>
      <c r="G3093" s="187"/>
      <c r="J3093" s="186"/>
      <c r="K3093" s="180"/>
      <c r="L3093" s="180"/>
    </row>
    <row r="3094" spans="2:12" s="188" customFormat="1" ht="15" customHeight="1">
      <c r="B3094" s="187"/>
      <c r="C3094" s="187"/>
      <c r="D3094" s="187"/>
      <c r="E3094" s="187"/>
      <c r="F3094" s="187"/>
      <c r="G3094" s="187"/>
      <c r="J3094" s="186"/>
      <c r="K3094" s="180"/>
      <c r="L3094" s="180"/>
    </row>
    <row r="3095" spans="2:12" s="188" customFormat="1" ht="15" customHeight="1">
      <c r="B3095" s="187"/>
      <c r="C3095" s="187"/>
      <c r="D3095" s="187"/>
      <c r="E3095" s="187"/>
      <c r="F3095" s="187"/>
      <c r="G3095" s="187"/>
      <c r="J3095" s="186"/>
      <c r="K3095" s="180"/>
      <c r="L3095" s="180"/>
    </row>
    <row r="3096" spans="2:12" s="188" customFormat="1" ht="15" customHeight="1">
      <c r="B3096" s="187"/>
      <c r="C3096" s="187"/>
      <c r="D3096" s="187"/>
      <c r="E3096" s="187"/>
      <c r="F3096" s="187"/>
      <c r="G3096" s="187"/>
      <c r="J3096" s="186"/>
      <c r="K3096" s="180"/>
      <c r="L3096" s="180"/>
    </row>
    <row r="3097" spans="2:12" s="188" customFormat="1" ht="15" customHeight="1">
      <c r="B3097" s="187"/>
      <c r="C3097" s="187"/>
      <c r="D3097" s="187"/>
      <c r="E3097" s="187"/>
      <c r="F3097" s="187"/>
      <c r="G3097" s="187"/>
      <c r="J3097" s="186"/>
      <c r="K3097" s="180"/>
      <c r="L3097" s="180"/>
    </row>
    <row r="3098" spans="2:12" s="188" customFormat="1" ht="15" customHeight="1">
      <c r="B3098" s="187"/>
      <c r="C3098" s="187"/>
      <c r="D3098" s="187"/>
      <c r="E3098" s="187"/>
      <c r="F3098" s="187"/>
      <c r="G3098" s="187"/>
      <c r="J3098" s="186"/>
      <c r="K3098" s="180"/>
      <c r="L3098" s="180"/>
    </row>
    <row r="3099" spans="2:12" s="188" customFormat="1" ht="15" customHeight="1">
      <c r="B3099" s="187"/>
      <c r="C3099" s="187"/>
      <c r="D3099" s="187"/>
      <c r="E3099" s="187"/>
      <c r="F3099" s="187"/>
      <c r="G3099" s="187"/>
      <c r="J3099" s="186"/>
      <c r="K3099" s="180"/>
      <c r="L3099" s="180"/>
    </row>
    <row r="3100" spans="2:12" s="188" customFormat="1" ht="15" customHeight="1">
      <c r="B3100" s="187"/>
      <c r="C3100" s="187"/>
      <c r="D3100" s="187"/>
      <c r="E3100" s="187"/>
      <c r="F3100" s="187"/>
      <c r="G3100" s="187"/>
      <c r="J3100" s="186"/>
      <c r="K3100" s="180"/>
      <c r="L3100" s="180"/>
    </row>
    <row r="3101" spans="2:12" s="188" customFormat="1" ht="15" customHeight="1">
      <c r="B3101" s="187"/>
      <c r="C3101" s="187"/>
      <c r="D3101" s="187"/>
      <c r="E3101" s="187"/>
      <c r="F3101" s="187"/>
      <c r="G3101" s="187"/>
      <c r="J3101" s="186"/>
      <c r="K3101" s="180"/>
      <c r="L3101" s="180"/>
    </row>
    <row r="3102" spans="2:12" s="188" customFormat="1" ht="15" customHeight="1">
      <c r="B3102" s="187"/>
      <c r="C3102" s="187"/>
      <c r="D3102" s="187"/>
      <c r="E3102" s="187"/>
      <c r="F3102" s="187"/>
      <c r="G3102" s="187"/>
      <c r="J3102" s="186"/>
      <c r="K3102" s="180"/>
      <c r="L3102" s="180"/>
    </row>
    <row r="3103" spans="2:12" s="188" customFormat="1" ht="15" customHeight="1">
      <c r="B3103" s="187"/>
      <c r="C3103" s="187"/>
      <c r="D3103" s="187"/>
      <c r="E3103" s="187"/>
      <c r="F3103" s="187"/>
      <c r="G3103" s="187"/>
      <c r="J3103" s="186"/>
      <c r="K3103" s="180"/>
      <c r="L3103" s="180"/>
    </row>
    <row r="3104" spans="2:12" s="188" customFormat="1" ht="15" customHeight="1">
      <c r="B3104" s="187"/>
      <c r="C3104" s="187"/>
      <c r="D3104" s="187"/>
      <c r="E3104" s="187"/>
      <c r="F3104" s="187"/>
      <c r="G3104" s="187"/>
      <c r="J3104" s="186"/>
      <c r="K3104" s="180"/>
      <c r="L3104" s="180"/>
    </row>
    <row r="3105" spans="2:12" s="188" customFormat="1" ht="15" customHeight="1">
      <c r="B3105" s="187"/>
      <c r="C3105" s="187"/>
      <c r="D3105" s="187"/>
      <c r="E3105" s="187"/>
      <c r="F3105" s="187"/>
      <c r="G3105" s="187"/>
      <c r="J3105" s="186"/>
      <c r="K3105" s="180"/>
      <c r="L3105" s="180"/>
    </row>
    <row r="3106" spans="2:12" s="188" customFormat="1" ht="15" customHeight="1">
      <c r="B3106" s="187"/>
      <c r="C3106" s="187"/>
      <c r="D3106" s="187"/>
      <c r="E3106" s="187"/>
      <c r="F3106" s="187"/>
      <c r="G3106" s="187"/>
      <c r="J3106" s="186"/>
      <c r="K3106" s="180"/>
      <c r="L3106" s="180"/>
    </row>
    <row r="3107" spans="2:12" s="188" customFormat="1" ht="15" customHeight="1">
      <c r="B3107" s="187"/>
      <c r="C3107" s="187"/>
      <c r="D3107" s="187"/>
      <c r="E3107" s="187"/>
      <c r="F3107" s="187"/>
      <c r="G3107" s="187"/>
      <c r="J3107" s="186"/>
      <c r="K3107" s="180"/>
      <c r="L3107" s="180"/>
    </row>
    <row r="3108" spans="2:12" s="188" customFormat="1" ht="15" customHeight="1">
      <c r="B3108" s="187"/>
      <c r="C3108" s="187"/>
      <c r="D3108" s="187"/>
      <c r="E3108" s="187"/>
      <c r="F3108" s="187"/>
      <c r="G3108" s="187"/>
      <c r="J3108" s="186"/>
      <c r="K3108" s="180"/>
      <c r="L3108" s="180"/>
    </row>
    <row r="3109" spans="2:12" s="188" customFormat="1" ht="15" customHeight="1">
      <c r="B3109" s="187"/>
      <c r="C3109" s="187"/>
      <c r="D3109" s="187"/>
      <c r="E3109" s="187"/>
      <c r="F3109" s="187"/>
      <c r="G3109" s="187"/>
      <c r="J3109" s="186"/>
      <c r="K3109" s="180"/>
      <c r="L3109" s="180"/>
    </row>
    <row r="3110" spans="2:12" s="188" customFormat="1" ht="15" customHeight="1">
      <c r="B3110" s="187"/>
      <c r="C3110" s="187"/>
      <c r="D3110" s="187"/>
      <c r="E3110" s="187"/>
      <c r="F3110" s="187"/>
      <c r="G3110" s="187"/>
      <c r="J3110" s="186"/>
      <c r="K3110" s="180"/>
      <c r="L3110" s="180"/>
    </row>
    <row r="3111" spans="2:12" s="188" customFormat="1" ht="15" customHeight="1">
      <c r="B3111" s="187"/>
      <c r="C3111" s="187"/>
      <c r="D3111" s="187"/>
      <c r="E3111" s="187"/>
      <c r="F3111" s="187"/>
      <c r="G3111" s="187"/>
      <c r="J3111" s="186"/>
      <c r="K3111" s="180"/>
      <c r="L3111" s="180"/>
    </row>
    <row r="3112" spans="2:12" s="188" customFormat="1" ht="15" customHeight="1">
      <c r="B3112" s="187"/>
      <c r="C3112" s="187"/>
      <c r="D3112" s="187"/>
      <c r="E3112" s="187"/>
      <c r="F3112" s="187"/>
      <c r="G3112" s="187"/>
      <c r="J3112" s="186"/>
      <c r="K3112" s="180"/>
      <c r="L3112" s="180"/>
    </row>
    <row r="3113" spans="2:12" s="188" customFormat="1" ht="15" customHeight="1">
      <c r="B3113" s="187"/>
      <c r="C3113" s="187"/>
      <c r="D3113" s="187"/>
      <c r="E3113" s="187"/>
      <c r="F3113" s="187"/>
      <c r="G3113" s="187"/>
      <c r="J3113" s="186"/>
      <c r="K3113" s="180"/>
      <c r="L3113" s="180"/>
    </row>
    <row r="3114" spans="2:12" s="188" customFormat="1" ht="15" customHeight="1">
      <c r="B3114" s="187"/>
      <c r="C3114" s="187"/>
      <c r="D3114" s="187"/>
      <c r="E3114" s="187"/>
      <c r="F3114" s="187"/>
      <c r="G3114" s="187"/>
      <c r="J3114" s="186"/>
      <c r="K3114" s="180"/>
      <c r="L3114" s="180"/>
    </row>
    <row r="3115" spans="2:12" s="188" customFormat="1" ht="15" customHeight="1">
      <c r="B3115" s="187"/>
      <c r="C3115" s="187"/>
      <c r="D3115" s="187"/>
      <c r="E3115" s="187"/>
      <c r="F3115" s="187"/>
      <c r="G3115" s="187"/>
      <c r="J3115" s="186"/>
      <c r="K3115" s="180"/>
      <c r="L3115" s="180"/>
    </row>
    <row r="3116" spans="2:12" s="188" customFormat="1" ht="15" customHeight="1">
      <c r="B3116" s="187"/>
      <c r="C3116" s="187"/>
      <c r="D3116" s="187"/>
      <c r="E3116" s="187"/>
      <c r="F3116" s="187"/>
      <c r="G3116" s="187"/>
      <c r="J3116" s="186"/>
      <c r="K3116" s="180"/>
      <c r="L3116" s="180"/>
    </row>
    <row r="3117" spans="2:12" s="188" customFormat="1" ht="15" customHeight="1">
      <c r="B3117" s="187"/>
      <c r="C3117" s="187"/>
      <c r="D3117" s="187"/>
      <c r="E3117" s="187"/>
      <c r="F3117" s="187"/>
      <c r="G3117" s="187"/>
      <c r="J3117" s="186"/>
      <c r="K3117" s="180"/>
      <c r="L3117" s="180"/>
    </row>
    <row r="3118" spans="2:12" s="188" customFormat="1" ht="15" customHeight="1">
      <c r="B3118" s="187"/>
      <c r="C3118" s="187"/>
      <c r="D3118" s="187"/>
      <c r="E3118" s="187"/>
      <c r="F3118" s="187"/>
      <c r="G3118" s="187"/>
      <c r="J3118" s="186"/>
      <c r="K3118" s="180"/>
      <c r="L3118" s="180"/>
    </row>
    <row r="3119" spans="2:12" s="188" customFormat="1" ht="15" customHeight="1">
      <c r="B3119" s="187"/>
      <c r="C3119" s="187"/>
      <c r="D3119" s="187"/>
      <c r="E3119" s="187"/>
      <c r="F3119" s="187"/>
      <c r="G3119" s="187"/>
      <c r="J3119" s="186"/>
      <c r="K3119" s="180"/>
      <c r="L3119" s="180"/>
    </row>
    <row r="3120" spans="2:12" s="188" customFormat="1" ht="15" customHeight="1">
      <c r="B3120" s="187"/>
      <c r="C3120" s="187"/>
      <c r="D3120" s="187"/>
      <c r="E3120" s="187"/>
      <c r="F3120" s="187"/>
      <c r="G3120" s="187"/>
      <c r="J3120" s="186"/>
      <c r="K3120" s="180"/>
      <c r="L3120" s="180"/>
    </row>
    <row r="3121" spans="2:12" s="188" customFormat="1" ht="15" customHeight="1">
      <c r="B3121" s="187"/>
      <c r="C3121" s="187"/>
      <c r="D3121" s="187"/>
      <c r="E3121" s="187"/>
      <c r="F3121" s="187"/>
      <c r="G3121" s="187"/>
      <c r="J3121" s="186"/>
      <c r="K3121" s="180"/>
      <c r="L3121" s="180"/>
    </row>
    <row r="3122" spans="2:12" s="188" customFormat="1" ht="15" customHeight="1">
      <c r="B3122" s="187"/>
      <c r="C3122" s="187"/>
      <c r="D3122" s="187"/>
      <c r="E3122" s="187"/>
      <c r="F3122" s="187"/>
      <c r="G3122" s="187"/>
      <c r="J3122" s="186"/>
      <c r="K3122" s="180"/>
      <c r="L3122" s="180"/>
    </row>
    <row r="3123" spans="2:12" s="188" customFormat="1" ht="15" customHeight="1">
      <c r="B3123" s="187"/>
      <c r="C3123" s="187"/>
      <c r="D3123" s="187"/>
      <c r="E3123" s="187"/>
      <c r="F3123" s="187"/>
      <c r="G3123" s="187"/>
      <c r="J3123" s="186"/>
      <c r="K3123" s="180"/>
      <c r="L3123" s="180"/>
    </row>
    <row r="3124" spans="2:12" s="188" customFormat="1" ht="15" customHeight="1">
      <c r="B3124" s="187"/>
      <c r="C3124" s="187"/>
      <c r="D3124" s="187"/>
      <c r="E3124" s="187"/>
      <c r="F3124" s="187"/>
      <c r="G3124" s="187"/>
      <c r="J3124" s="186"/>
      <c r="K3124" s="180"/>
      <c r="L3124" s="180"/>
    </row>
    <row r="3125" spans="2:12" s="188" customFormat="1" ht="15" customHeight="1">
      <c r="B3125" s="187"/>
      <c r="C3125" s="187"/>
      <c r="D3125" s="187"/>
      <c r="E3125" s="187"/>
      <c r="F3125" s="187"/>
      <c r="G3125" s="187"/>
      <c r="J3125" s="186"/>
      <c r="K3125" s="180"/>
      <c r="L3125" s="180"/>
    </row>
    <row r="3126" spans="2:12" s="188" customFormat="1" ht="15" customHeight="1">
      <c r="B3126" s="187"/>
      <c r="C3126" s="187"/>
      <c r="D3126" s="187"/>
      <c r="E3126" s="187"/>
      <c r="F3126" s="187"/>
      <c r="G3126" s="187"/>
      <c r="J3126" s="186"/>
      <c r="K3126" s="180"/>
      <c r="L3126" s="180"/>
    </row>
    <row r="3127" spans="2:12" s="188" customFormat="1" ht="15" customHeight="1">
      <c r="B3127" s="187"/>
      <c r="C3127" s="187"/>
      <c r="D3127" s="187"/>
      <c r="E3127" s="187"/>
      <c r="F3127" s="187"/>
      <c r="G3127" s="187"/>
      <c r="J3127" s="186"/>
      <c r="K3127" s="180"/>
      <c r="L3127" s="180"/>
    </row>
    <row r="3128" spans="2:12" s="188" customFormat="1" ht="15" customHeight="1">
      <c r="B3128" s="187"/>
      <c r="C3128" s="187"/>
      <c r="D3128" s="187"/>
      <c r="E3128" s="187"/>
      <c r="F3128" s="187"/>
      <c r="G3128" s="187"/>
      <c r="J3128" s="186"/>
      <c r="K3128" s="180"/>
      <c r="L3128" s="180"/>
    </row>
    <row r="3129" spans="2:12" s="188" customFormat="1" ht="15" customHeight="1">
      <c r="B3129" s="187"/>
      <c r="C3129" s="187"/>
      <c r="D3129" s="187"/>
      <c r="E3129" s="187"/>
      <c r="F3129" s="187"/>
      <c r="G3129" s="187"/>
      <c r="J3129" s="186"/>
      <c r="K3129" s="180"/>
      <c r="L3129" s="180"/>
    </row>
    <row r="3130" spans="2:12" s="188" customFormat="1" ht="15" customHeight="1">
      <c r="B3130" s="187"/>
      <c r="C3130" s="187"/>
      <c r="D3130" s="187"/>
      <c r="E3130" s="187"/>
      <c r="F3130" s="187"/>
      <c r="G3130" s="187"/>
      <c r="J3130" s="186"/>
      <c r="K3130" s="180"/>
      <c r="L3130" s="180"/>
    </row>
    <row r="3131" spans="2:12" s="188" customFormat="1" ht="15" customHeight="1">
      <c r="B3131" s="187"/>
      <c r="C3131" s="187"/>
      <c r="D3131" s="187"/>
      <c r="E3131" s="187"/>
      <c r="F3131" s="187"/>
      <c r="G3131" s="187"/>
      <c r="J3131" s="186"/>
      <c r="K3131" s="180"/>
      <c r="L3131" s="180"/>
    </row>
    <row r="3132" spans="2:12" s="188" customFormat="1" ht="15" customHeight="1">
      <c r="B3132" s="187"/>
      <c r="C3132" s="187"/>
      <c r="D3132" s="187"/>
      <c r="E3132" s="187"/>
      <c r="F3132" s="187"/>
      <c r="G3132" s="187"/>
      <c r="J3132" s="186"/>
      <c r="K3132" s="180"/>
      <c r="L3132" s="180"/>
    </row>
    <row r="3133" spans="2:12" s="188" customFormat="1" ht="15" customHeight="1">
      <c r="B3133" s="187"/>
      <c r="C3133" s="187"/>
      <c r="D3133" s="187"/>
      <c r="E3133" s="187"/>
      <c r="F3133" s="187"/>
      <c r="G3133" s="187"/>
      <c r="J3133" s="186"/>
      <c r="K3133" s="180"/>
      <c r="L3133" s="180"/>
    </row>
    <row r="3134" spans="2:12" s="188" customFormat="1" ht="15" customHeight="1">
      <c r="B3134" s="187"/>
      <c r="C3134" s="187"/>
      <c r="D3134" s="187"/>
      <c r="E3134" s="187"/>
      <c r="F3134" s="187"/>
      <c r="G3134" s="187"/>
      <c r="J3134" s="186"/>
      <c r="K3134" s="180"/>
      <c r="L3134" s="180"/>
    </row>
    <row r="3135" spans="2:12" s="188" customFormat="1" ht="15" customHeight="1">
      <c r="B3135" s="187"/>
      <c r="C3135" s="187"/>
      <c r="D3135" s="187"/>
      <c r="E3135" s="187"/>
      <c r="F3135" s="187"/>
      <c r="G3135" s="187"/>
      <c r="J3135" s="186"/>
      <c r="K3135" s="180"/>
      <c r="L3135" s="180"/>
    </row>
    <row r="3136" spans="2:12" s="188" customFormat="1" ht="15" customHeight="1">
      <c r="B3136" s="187"/>
      <c r="C3136" s="187"/>
      <c r="D3136" s="187"/>
      <c r="E3136" s="187"/>
      <c r="F3136" s="187"/>
      <c r="G3136" s="187"/>
      <c r="J3136" s="186"/>
      <c r="K3136" s="180"/>
      <c r="L3136" s="180"/>
    </row>
    <row r="3137" spans="2:12" s="188" customFormat="1" ht="15" customHeight="1">
      <c r="B3137" s="187"/>
      <c r="C3137" s="187"/>
      <c r="D3137" s="187"/>
      <c r="E3137" s="187"/>
      <c r="F3137" s="187"/>
      <c r="G3137" s="187"/>
      <c r="J3137" s="186"/>
      <c r="K3137" s="180"/>
      <c r="L3137" s="180"/>
    </row>
    <row r="3138" spans="2:12" s="188" customFormat="1" ht="15" customHeight="1">
      <c r="B3138" s="187"/>
      <c r="C3138" s="187"/>
      <c r="D3138" s="187"/>
      <c r="E3138" s="187"/>
      <c r="F3138" s="187"/>
      <c r="G3138" s="187"/>
      <c r="J3138" s="186"/>
      <c r="K3138" s="180"/>
      <c r="L3138" s="180"/>
    </row>
    <row r="3139" spans="2:12" s="188" customFormat="1" ht="15" customHeight="1">
      <c r="B3139" s="187"/>
      <c r="C3139" s="187"/>
      <c r="D3139" s="187"/>
      <c r="E3139" s="187"/>
      <c r="F3139" s="187"/>
      <c r="G3139" s="187"/>
      <c r="J3139" s="186"/>
      <c r="K3139" s="180"/>
      <c r="L3139" s="180"/>
    </row>
    <row r="3140" spans="2:12" s="188" customFormat="1" ht="15" customHeight="1">
      <c r="B3140" s="187"/>
      <c r="C3140" s="187"/>
      <c r="D3140" s="187"/>
      <c r="E3140" s="187"/>
      <c r="F3140" s="187"/>
      <c r="G3140" s="187"/>
      <c r="J3140" s="186"/>
      <c r="K3140" s="180"/>
      <c r="L3140" s="180"/>
    </row>
    <row r="3141" spans="2:12" s="188" customFormat="1" ht="15" customHeight="1">
      <c r="B3141" s="187"/>
      <c r="C3141" s="187"/>
      <c r="D3141" s="187"/>
      <c r="E3141" s="187"/>
      <c r="F3141" s="187"/>
      <c r="G3141" s="187"/>
      <c r="J3141" s="186"/>
      <c r="K3141" s="180"/>
      <c r="L3141" s="180"/>
    </row>
    <row r="3142" spans="2:12" s="188" customFormat="1" ht="15" customHeight="1">
      <c r="B3142" s="187"/>
      <c r="C3142" s="187"/>
      <c r="D3142" s="187"/>
      <c r="E3142" s="187"/>
      <c r="F3142" s="187"/>
      <c r="G3142" s="187"/>
      <c r="J3142" s="186"/>
      <c r="K3142" s="180"/>
      <c r="L3142" s="180"/>
    </row>
    <row r="3143" spans="2:12" s="188" customFormat="1" ht="15" customHeight="1">
      <c r="B3143" s="187"/>
      <c r="C3143" s="187"/>
      <c r="D3143" s="187"/>
      <c r="E3143" s="187"/>
      <c r="F3143" s="187"/>
      <c r="G3143" s="187"/>
      <c r="J3143" s="186"/>
      <c r="K3143" s="180"/>
      <c r="L3143" s="180"/>
    </row>
    <row r="3144" spans="2:12" s="188" customFormat="1" ht="15" customHeight="1">
      <c r="B3144" s="187"/>
      <c r="C3144" s="187"/>
      <c r="D3144" s="187"/>
      <c r="E3144" s="187"/>
      <c r="F3144" s="187"/>
      <c r="G3144" s="187"/>
      <c r="J3144" s="186"/>
      <c r="K3144" s="180"/>
      <c r="L3144" s="180"/>
    </row>
    <row r="3145" spans="2:12" s="188" customFormat="1" ht="15" customHeight="1">
      <c r="B3145" s="187"/>
      <c r="C3145" s="187"/>
      <c r="D3145" s="187"/>
      <c r="E3145" s="187"/>
      <c r="F3145" s="187"/>
      <c r="G3145" s="187"/>
      <c r="J3145" s="186"/>
      <c r="K3145" s="180"/>
      <c r="L3145" s="180"/>
    </row>
    <row r="3146" spans="2:12" s="188" customFormat="1" ht="15" customHeight="1">
      <c r="B3146" s="187"/>
      <c r="C3146" s="187"/>
      <c r="D3146" s="187"/>
      <c r="E3146" s="187"/>
      <c r="F3146" s="187"/>
      <c r="G3146" s="187"/>
      <c r="J3146" s="186"/>
      <c r="K3146" s="180"/>
      <c r="L3146" s="180"/>
    </row>
    <row r="3147" spans="2:12" s="188" customFormat="1" ht="15" customHeight="1">
      <c r="B3147" s="187"/>
      <c r="C3147" s="187"/>
      <c r="D3147" s="187"/>
      <c r="E3147" s="187"/>
      <c r="F3147" s="187"/>
      <c r="G3147" s="187"/>
      <c r="J3147" s="186"/>
      <c r="K3147" s="180"/>
      <c r="L3147" s="180"/>
    </row>
    <row r="3148" spans="2:12" s="188" customFormat="1" ht="15" customHeight="1">
      <c r="B3148" s="187"/>
      <c r="C3148" s="187"/>
      <c r="D3148" s="187"/>
      <c r="E3148" s="187"/>
      <c r="F3148" s="187"/>
      <c r="G3148" s="187"/>
      <c r="J3148" s="186"/>
      <c r="K3148" s="180"/>
      <c r="L3148" s="180"/>
    </row>
    <row r="3149" spans="2:12" s="188" customFormat="1" ht="15" customHeight="1">
      <c r="B3149" s="187"/>
      <c r="C3149" s="187"/>
      <c r="D3149" s="187"/>
      <c r="E3149" s="187"/>
      <c r="F3149" s="187"/>
      <c r="G3149" s="187"/>
      <c r="J3149" s="186"/>
      <c r="K3149" s="180"/>
      <c r="L3149" s="180"/>
    </row>
    <row r="3150" spans="2:12" s="188" customFormat="1" ht="15" customHeight="1">
      <c r="B3150" s="187"/>
      <c r="C3150" s="187"/>
      <c r="D3150" s="187"/>
      <c r="E3150" s="187"/>
      <c r="F3150" s="187"/>
      <c r="G3150" s="187"/>
      <c r="J3150" s="186"/>
      <c r="K3150" s="180"/>
      <c r="L3150" s="180"/>
    </row>
    <row r="3151" spans="2:12" s="188" customFormat="1" ht="15" customHeight="1">
      <c r="B3151" s="187"/>
      <c r="C3151" s="187"/>
      <c r="D3151" s="187"/>
      <c r="E3151" s="187"/>
      <c r="F3151" s="187"/>
      <c r="G3151" s="187"/>
      <c r="J3151" s="186"/>
      <c r="K3151" s="180"/>
      <c r="L3151" s="180"/>
    </row>
    <row r="3152" spans="2:12" s="188" customFormat="1" ht="15" customHeight="1">
      <c r="B3152" s="187"/>
      <c r="C3152" s="187"/>
      <c r="D3152" s="187"/>
      <c r="E3152" s="187"/>
      <c r="F3152" s="187"/>
      <c r="G3152" s="187"/>
      <c r="J3152" s="186"/>
      <c r="K3152" s="180"/>
      <c r="L3152" s="180"/>
    </row>
    <row r="3153" spans="2:12" s="188" customFormat="1" ht="15" customHeight="1">
      <c r="B3153" s="187"/>
      <c r="C3153" s="187"/>
      <c r="D3153" s="187"/>
      <c r="E3153" s="187"/>
      <c r="F3153" s="187"/>
      <c r="G3153" s="187"/>
      <c r="J3153" s="186"/>
      <c r="K3153" s="180"/>
      <c r="L3153" s="180"/>
    </row>
    <row r="3154" spans="2:12" s="188" customFormat="1" ht="15" customHeight="1">
      <c r="B3154" s="187"/>
      <c r="C3154" s="187"/>
      <c r="D3154" s="187"/>
      <c r="E3154" s="187"/>
      <c r="F3154" s="187"/>
      <c r="G3154" s="187"/>
      <c r="J3154" s="186"/>
      <c r="K3154" s="180"/>
      <c r="L3154" s="180"/>
    </row>
    <row r="3155" spans="2:12" s="188" customFormat="1" ht="15" customHeight="1">
      <c r="B3155" s="187"/>
      <c r="C3155" s="187"/>
      <c r="D3155" s="187"/>
      <c r="E3155" s="187"/>
      <c r="F3155" s="187"/>
      <c r="G3155" s="187"/>
      <c r="J3155" s="186"/>
      <c r="K3155" s="180"/>
      <c r="L3155" s="180"/>
    </row>
    <row r="3156" spans="2:12" s="188" customFormat="1" ht="15" customHeight="1">
      <c r="B3156" s="187"/>
      <c r="C3156" s="187"/>
      <c r="D3156" s="187"/>
      <c r="E3156" s="187"/>
      <c r="F3156" s="187"/>
      <c r="G3156" s="187"/>
      <c r="J3156" s="186"/>
      <c r="K3156" s="180"/>
      <c r="L3156" s="180"/>
    </row>
    <row r="3157" spans="2:12" s="188" customFormat="1" ht="15" customHeight="1">
      <c r="B3157" s="187"/>
      <c r="C3157" s="187"/>
      <c r="D3157" s="187"/>
      <c r="E3157" s="187"/>
      <c r="F3157" s="187"/>
      <c r="G3157" s="187"/>
      <c r="J3157" s="186"/>
      <c r="K3157" s="180"/>
      <c r="L3157" s="180"/>
    </row>
    <row r="3158" spans="2:12" s="188" customFormat="1" ht="15" customHeight="1">
      <c r="B3158" s="187"/>
      <c r="C3158" s="187"/>
      <c r="D3158" s="187"/>
      <c r="E3158" s="187"/>
      <c r="F3158" s="187"/>
      <c r="G3158" s="187"/>
      <c r="J3158" s="186"/>
      <c r="K3158" s="180"/>
      <c r="L3158" s="180"/>
    </row>
    <row r="3159" spans="2:12" s="188" customFormat="1" ht="15" customHeight="1">
      <c r="B3159" s="187"/>
      <c r="C3159" s="187"/>
      <c r="D3159" s="187"/>
      <c r="E3159" s="187"/>
      <c r="F3159" s="187"/>
      <c r="G3159" s="187"/>
      <c r="J3159" s="186"/>
      <c r="K3159" s="180"/>
      <c r="L3159" s="180"/>
    </row>
    <row r="3160" spans="2:12" s="188" customFormat="1" ht="15" customHeight="1">
      <c r="B3160" s="187"/>
      <c r="C3160" s="187"/>
      <c r="D3160" s="187"/>
      <c r="E3160" s="187"/>
      <c r="F3160" s="187"/>
      <c r="G3160" s="187"/>
      <c r="J3160" s="186"/>
      <c r="K3160" s="180"/>
      <c r="L3160" s="180"/>
    </row>
    <row r="3161" spans="2:12" s="188" customFormat="1" ht="15" customHeight="1">
      <c r="B3161" s="187"/>
      <c r="C3161" s="187"/>
      <c r="D3161" s="187"/>
      <c r="E3161" s="187"/>
      <c r="F3161" s="187"/>
      <c r="G3161" s="187"/>
      <c r="J3161" s="186"/>
      <c r="K3161" s="180"/>
      <c r="L3161" s="180"/>
    </row>
    <row r="3162" spans="2:12" s="188" customFormat="1" ht="15" customHeight="1">
      <c r="B3162" s="187"/>
      <c r="C3162" s="187"/>
      <c r="D3162" s="187"/>
      <c r="E3162" s="187"/>
      <c r="F3162" s="187"/>
      <c r="G3162" s="187"/>
      <c r="J3162" s="186"/>
      <c r="K3162" s="180"/>
      <c r="L3162" s="180"/>
    </row>
    <row r="3163" spans="2:12" s="188" customFormat="1" ht="15" customHeight="1">
      <c r="B3163" s="187"/>
      <c r="C3163" s="187"/>
      <c r="D3163" s="187"/>
      <c r="E3163" s="187"/>
      <c r="F3163" s="187"/>
      <c r="G3163" s="187"/>
      <c r="J3163" s="186"/>
      <c r="K3163" s="180"/>
      <c r="L3163" s="180"/>
    </row>
    <row r="3164" spans="2:12" s="188" customFormat="1" ht="15" customHeight="1">
      <c r="B3164" s="187"/>
      <c r="C3164" s="187"/>
      <c r="D3164" s="187"/>
      <c r="E3164" s="187"/>
      <c r="F3164" s="187"/>
      <c r="G3164" s="187"/>
      <c r="J3164" s="186"/>
      <c r="K3164" s="180"/>
      <c r="L3164" s="180"/>
    </row>
    <row r="3165" spans="2:12" s="188" customFormat="1" ht="15" customHeight="1">
      <c r="B3165" s="187"/>
      <c r="C3165" s="187"/>
      <c r="D3165" s="187"/>
      <c r="E3165" s="187"/>
      <c r="F3165" s="187"/>
      <c r="G3165" s="187"/>
      <c r="J3165" s="186"/>
      <c r="K3165" s="180"/>
      <c r="L3165" s="180"/>
    </row>
    <row r="3166" spans="2:12" s="188" customFormat="1" ht="15" customHeight="1">
      <c r="B3166" s="187"/>
      <c r="C3166" s="187"/>
      <c r="D3166" s="187"/>
      <c r="E3166" s="187"/>
      <c r="F3166" s="187"/>
      <c r="G3166" s="187"/>
      <c r="J3166" s="186"/>
      <c r="K3166" s="180"/>
      <c r="L3166" s="180"/>
    </row>
    <row r="3167" spans="2:12" s="188" customFormat="1" ht="15" customHeight="1">
      <c r="B3167" s="187"/>
      <c r="C3167" s="187"/>
      <c r="D3167" s="187"/>
      <c r="E3167" s="187"/>
      <c r="F3167" s="187"/>
      <c r="G3167" s="187"/>
      <c r="J3167" s="186"/>
      <c r="K3167" s="180"/>
      <c r="L3167" s="180"/>
    </row>
    <row r="3168" spans="2:12" s="188" customFormat="1" ht="15" customHeight="1">
      <c r="B3168" s="187"/>
      <c r="C3168" s="187"/>
      <c r="D3168" s="187"/>
      <c r="E3168" s="187"/>
      <c r="F3168" s="187"/>
      <c r="G3168" s="187"/>
      <c r="J3168" s="186"/>
      <c r="K3168" s="180"/>
      <c r="L3168" s="180"/>
    </row>
    <row r="3169" spans="2:12" s="188" customFormat="1" ht="15" customHeight="1">
      <c r="B3169" s="187"/>
      <c r="C3169" s="187"/>
      <c r="D3169" s="187"/>
      <c r="E3169" s="187"/>
      <c r="F3169" s="187"/>
      <c r="G3169" s="187"/>
      <c r="J3169" s="186"/>
      <c r="K3169" s="180"/>
      <c r="L3169" s="180"/>
    </row>
    <row r="3170" spans="2:12" s="188" customFormat="1" ht="15" customHeight="1">
      <c r="B3170" s="187"/>
      <c r="C3170" s="187"/>
      <c r="D3170" s="187"/>
      <c r="E3170" s="187"/>
      <c r="F3170" s="187"/>
      <c r="G3170" s="187"/>
      <c r="J3170" s="186"/>
      <c r="K3170" s="180"/>
      <c r="L3170" s="180"/>
    </row>
    <row r="3171" spans="2:12" s="188" customFormat="1" ht="15" customHeight="1">
      <c r="B3171" s="187"/>
      <c r="C3171" s="187"/>
      <c r="D3171" s="187"/>
      <c r="E3171" s="187"/>
      <c r="F3171" s="187"/>
      <c r="G3171" s="187"/>
      <c r="J3171" s="186"/>
      <c r="K3171" s="180"/>
      <c r="L3171" s="180"/>
    </row>
    <row r="3172" spans="2:12" s="188" customFormat="1" ht="15" customHeight="1">
      <c r="B3172" s="187"/>
      <c r="C3172" s="187"/>
      <c r="D3172" s="187"/>
      <c r="E3172" s="187"/>
      <c r="F3172" s="187"/>
      <c r="G3172" s="187"/>
      <c r="J3172" s="186"/>
      <c r="K3172" s="180"/>
      <c r="L3172" s="180"/>
    </row>
    <row r="3173" spans="2:12" s="188" customFormat="1" ht="15" customHeight="1">
      <c r="B3173" s="187"/>
      <c r="C3173" s="187"/>
      <c r="D3173" s="187"/>
      <c r="E3173" s="187"/>
      <c r="F3173" s="187"/>
      <c r="G3173" s="187"/>
      <c r="J3173" s="186"/>
      <c r="K3173" s="180"/>
      <c r="L3173" s="180"/>
    </row>
    <row r="3174" spans="2:12" s="188" customFormat="1" ht="15" customHeight="1">
      <c r="B3174" s="187"/>
      <c r="C3174" s="187"/>
      <c r="D3174" s="187"/>
      <c r="E3174" s="187"/>
      <c r="F3174" s="187"/>
      <c r="G3174" s="187"/>
      <c r="J3174" s="186"/>
      <c r="K3174" s="180"/>
      <c r="L3174" s="180"/>
    </row>
    <row r="3175" spans="2:12" s="188" customFormat="1" ht="15" customHeight="1">
      <c r="B3175" s="187"/>
      <c r="C3175" s="187"/>
      <c r="D3175" s="187"/>
      <c r="E3175" s="187"/>
      <c r="F3175" s="187"/>
      <c r="G3175" s="187"/>
      <c r="J3175" s="186"/>
      <c r="K3175" s="180"/>
      <c r="L3175" s="180"/>
    </row>
    <row r="3176" spans="2:12" s="188" customFormat="1" ht="15" customHeight="1">
      <c r="B3176" s="187"/>
      <c r="C3176" s="187"/>
      <c r="D3176" s="187"/>
      <c r="E3176" s="187"/>
      <c r="F3176" s="187"/>
      <c r="G3176" s="187"/>
      <c r="J3176" s="186"/>
      <c r="K3176" s="180"/>
      <c r="L3176" s="180"/>
    </row>
    <row r="3177" spans="2:12" s="188" customFormat="1" ht="15" customHeight="1">
      <c r="B3177" s="187"/>
      <c r="C3177" s="187"/>
      <c r="D3177" s="187"/>
      <c r="E3177" s="187"/>
      <c r="F3177" s="187"/>
      <c r="G3177" s="187"/>
      <c r="J3177" s="186"/>
      <c r="K3177" s="180"/>
      <c r="L3177" s="180"/>
    </row>
    <row r="3178" spans="2:12" s="188" customFormat="1" ht="15" customHeight="1">
      <c r="B3178" s="187"/>
      <c r="C3178" s="187"/>
      <c r="D3178" s="187"/>
      <c r="E3178" s="187"/>
      <c r="F3178" s="187"/>
      <c r="G3178" s="187"/>
      <c r="J3178" s="186"/>
      <c r="K3178" s="180"/>
      <c r="L3178" s="180"/>
    </row>
    <row r="3179" spans="2:12" s="188" customFormat="1" ht="15" customHeight="1">
      <c r="B3179" s="187"/>
      <c r="C3179" s="187"/>
      <c r="D3179" s="187"/>
      <c r="E3179" s="187"/>
      <c r="F3179" s="187"/>
      <c r="G3179" s="187"/>
      <c r="J3179" s="186"/>
      <c r="K3179" s="180"/>
      <c r="L3179" s="180"/>
    </row>
    <row r="3180" spans="2:12" s="188" customFormat="1" ht="15" customHeight="1">
      <c r="B3180" s="187"/>
      <c r="C3180" s="187"/>
      <c r="D3180" s="187"/>
      <c r="E3180" s="187"/>
      <c r="F3180" s="187"/>
      <c r="G3180" s="187"/>
      <c r="J3180" s="186"/>
      <c r="K3180" s="180"/>
      <c r="L3180" s="180"/>
    </row>
    <row r="3181" spans="2:12" s="188" customFormat="1" ht="15" customHeight="1">
      <c r="B3181" s="187"/>
      <c r="C3181" s="187"/>
      <c r="D3181" s="187"/>
      <c r="E3181" s="187"/>
      <c r="F3181" s="187"/>
      <c r="G3181" s="187"/>
      <c r="J3181" s="186"/>
      <c r="K3181" s="180"/>
      <c r="L3181" s="180"/>
    </row>
    <row r="3182" spans="2:12" s="188" customFormat="1" ht="15" customHeight="1">
      <c r="B3182" s="187"/>
      <c r="C3182" s="187"/>
      <c r="D3182" s="187"/>
      <c r="E3182" s="187"/>
      <c r="F3182" s="187"/>
      <c r="G3182" s="187"/>
      <c r="J3182" s="186"/>
      <c r="K3182" s="180"/>
      <c r="L3182" s="180"/>
    </row>
    <row r="3183" spans="2:12" s="188" customFormat="1" ht="15" customHeight="1">
      <c r="B3183" s="187"/>
      <c r="C3183" s="187"/>
      <c r="D3183" s="187"/>
      <c r="E3183" s="187"/>
      <c r="F3183" s="187"/>
      <c r="G3183" s="187"/>
      <c r="J3183" s="186"/>
      <c r="K3183" s="180"/>
      <c r="L3183" s="180"/>
    </row>
    <row r="3184" spans="2:12" s="188" customFormat="1" ht="15" customHeight="1">
      <c r="B3184" s="187"/>
      <c r="C3184" s="187"/>
      <c r="D3184" s="187"/>
      <c r="E3184" s="187"/>
      <c r="F3184" s="187"/>
      <c r="G3184" s="187"/>
      <c r="J3184" s="186"/>
      <c r="K3184" s="180"/>
      <c r="L3184" s="180"/>
    </row>
    <row r="3185" spans="2:12" s="188" customFormat="1" ht="15" customHeight="1">
      <c r="B3185" s="187"/>
      <c r="C3185" s="187"/>
      <c r="D3185" s="187"/>
      <c r="E3185" s="187"/>
      <c r="F3185" s="187"/>
      <c r="G3185" s="187"/>
      <c r="J3185" s="186"/>
      <c r="K3185" s="180"/>
      <c r="L3185" s="180"/>
    </row>
    <row r="3186" spans="2:12" s="188" customFormat="1" ht="15" customHeight="1">
      <c r="B3186" s="187"/>
      <c r="C3186" s="187"/>
      <c r="D3186" s="187"/>
      <c r="E3186" s="187"/>
      <c r="F3186" s="187"/>
      <c r="G3186" s="187"/>
      <c r="J3186" s="186"/>
      <c r="K3186" s="180"/>
      <c r="L3186" s="180"/>
    </row>
    <row r="3187" spans="2:12" s="188" customFormat="1" ht="15" customHeight="1">
      <c r="B3187" s="187"/>
      <c r="C3187" s="187"/>
      <c r="D3187" s="187"/>
      <c r="E3187" s="187"/>
      <c r="F3187" s="187"/>
      <c r="G3187" s="187"/>
      <c r="J3187" s="186"/>
      <c r="K3187" s="180"/>
      <c r="L3187" s="180"/>
    </row>
    <row r="3188" spans="2:12" s="188" customFormat="1" ht="15" customHeight="1">
      <c r="B3188" s="187"/>
      <c r="C3188" s="187"/>
      <c r="D3188" s="187"/>
      <c r="E3188" s="187"/>
      <c r="F3188" s="187"/>
      <c r="G3188" s="187"/>
      <c r="J3188" s="186"/>
      <c r="K3188" s="180"/>
      <c r="L3188" s="180"/>
    </row>
    <row r="3189" spans="2:12" s="188" customFormat="1" ht="15" customHeight="1">
      <c r="B3189" s="187"/>
      <c r="C3189" s="187"/>
      <c r="D3189" s="187"/>
      <c r="E3189" s="187"/>
      <c r="F3189" s="187"/>
      <c r="G3189" s="187"/>
      <c r="J3189" s="186"/>
      <c r="K3189" s="180"/>
      <c r="L3189" s="180"/>
    </row>
    <row r="3190" spans="2:12" s="188" customFormat="1" ht="15" customHeight="1">
      <c r="B3190" s="187"/>
      <c r="C3190" s="187"/>
      <c r="D3190" s="187"/>
      <c r="E3190" s="187"/>
      <c r="F3190" s="187"/>
      <c r="G3190" s="187"/>
      <c r="J3190" s="186"/>
      <c r="K3190" s="180"/>
      <c r="L3190" s="180"/>
    </row>
    <row r="3191" spans="2:12" s="188" customFormat="1" ht="15" customHeight="1">
      <c r="B3191" s="187"/>
      <c r="C3191" s="187"/>
      <c r="D3191" s="187"/>
      <c r="E3191" s="187"/>
      <c r="F3191" s="187"/>
      <c r="G3191" s="187"/>
      <c r="J3191" s="186"/>
      <c r="K3191" s="180"/>
      <c r="L3191" s="180"/>
    </row>
    <row r="3192" spans="2:12" s="188" customFormat="1" ht="15" customHeight="1">
      <c r="B3192" s="187"/>
      <c r="C3192" s="187"/>
      <c r="D3192" s="187"/>
      <c r="E3192" s="187"/>
      <c r="F3192" s="187"/>
      <c r="G3192" s="187"/>
      <c r="J3192" s="186"/>
      <c r="K3192" s="180"/>
      <c r="L3192" s="180"/>
    </row>
    <row r="3193" spans="2:12" s="188" customFormat="1" ht="15" customHeight="1">
      <c r="B3193" s="187"/>
      <c r="C3193" s="187"/>
      <c r="D3193" s="187"/>
      <c r="E3193" s="187"/>
      <c r="F3193" s="187"/>
      <c r="G3193" s="187"/>
      <c r="J3193" s="186"/>
      <c r="K3193" s="180"/>
      <c r="L3193" s="180"/>
    </row>
    <row r="3194" spans="2:12" s="188" customFormat="1" ht="15" customHeight="1">
      <c r="B3194" s="187"/>
      <c r="C3194" s="187"/>
      <c r="D3194" s="187"/>
      <c r="E3194" s="187"/>
      <c r="F3194" s="187"/>
      <c r="G3194" s="187"/>
      <c r="J3194" s="186"/>
      <c r="K3194" s="180"/>
      <c r="L3194" s="180"/>
    </row>
    <row r="3195" spans="2:12" s="188" customFormat="1" ht="15" customHeight="1">
      <c r="B3195" s="187"/>
      <c r="C3195" s="187"/>
      <c r="D3195" s="187"/>
      <c r="E3195" s="187"/>
      <c r="F3195" s="187"/>
      <c r="G3195" s="187"/>
      <c r="J3195" s="186"/>
      <c r="K3195" s="180"/>
      <c r="L3195" s="180"/>
    </row>
    <row r="3196" spans="2:12" s="188" customFormat="1" ht="15" customHeight="1">
      <c r="B3196" s="187"/>
      <c r="C3196" s="187"/>
      <c r="D3196" s="187"/>
      <c r="E3196" s="187"/>
      <c r="F3196" s="187"/>
      <c r="G3196" s="187"/>
      <c r="J3196" s="186"/>
      <c r="K3196" s="180"/>
      <c r="L3196" s="180"/>
    </row>
    <row r="3197" spans="2:12" s="188" customFormat="1" ht="15" customHeight="1">
      <c r="B3197" s="187"/>
      <c r="C3197" s="187"/>
      <c r="D3197" s="187"/>
      <c r="E3197" s="187"/>
      <c r="F3197" s="187"/>
      <c r="G3197" s="187"/>
      <c r="J3197" s="186"/>
      <c r="K3197" s="180"/>
      <c r="L3197" s="180"/>
    </row>
    <row r="3198" spans="2:12" s="188" customFormat="1" ht="15" customHeight="1">
      <c r="B3198" s="187"/>
      <c r="C3198" s="187"/>
      <c r="D3198" s="187"/>
      <c r="E3198" s="187"/>
      <c r="F3198" s="187"/>
      <c r="G3198" s="187"/>
      <c r="J3198" s="186"/>
      <c r="K3198" s="180"/>
      <c r="L3198" s="180"/>
    </row>
    <row r="3199" spans="2:12" s="188" customFormat="1" ht="15" customHeight="1">
      <c r="B3199" s="187"/>
      <c r="C3199" s="187"/>
      <c r="D3199" s="187"/>
      <c r="E3199" s="187"/>
      <c r="F3199" s="187"/>
      <c r="G3199" s="187"/>
      <c r="J3199" s="186"/>
      <c r="K3199" s="180"/>
      <c r="L3199" s="180"/>
    </row>
    <row r="3200" spans="2:12" s="188" customFormat="1" ht="15" customHeight="1">
      <c r="B3200" s="187"/>
      <c r="C3200" s="187"/>
      <c r="D3200" s="187"/>
      <c r="E3200" s="187"/>
      <c r="F3200" s="187"/>
      <c r="G3200" s="187"/>
      <c r="J3200" s="186"/>
      <c r="K3200" s="180"/>
      <c r="L3200" s="180"/>
    </row>
    <row r="3201" spans="2:12" s="188" customFormat="1" ht="15" customHeight="1">
      <c r="B3201" s="187"/>
      <c r="C3201" s="187"/>
      <c r="D3201" s="187"/>
      <c r="E3201" s="187"/>
      <c r="F3201" s="187"/>
      <c r="G3201" s="187"/>
      <c r="J3201" s="186"/>
      <c r="K3201" s="180"/>
      <c r="L3201" s="180"/>
    </row>
    <row r="3202" spans="2:12" s="188" customFormat="1" ht="15" customHeight="1">
      <c r="B3202" s="187"/>
      <c r="C3202" s="187"/>
      <c r="D3202" s="187"/>
      <c r="E3202" s="187"/>
      <c r="F3202" s="187"/>
      <c r="G3202" s="187"/>
      <c r="J3202" s="186"/>
      <c r="K3202" s="180"/>
      <c r="L3202" s="180"/>
    </row>
    <row r="3203" spans="2:12" s="188" customFormat="1" ht="15" customHeight="1">
      <c r="B3203" s="187"/>
      <c r="C3203" s="187"/>
      <c r="D3203" s="187"/>
      <c r="E3203" s="187"/>
      <c r="F3203" s="187"/>
      <c r="G3203" s="187"/>
      <c r="J3203" s="186"/>
      <c r="K3203" s="180"/>
      <c r="L3203" s="180"/>
    </row>
    <row r="3204" spans="2:12" s="188" customFormat="1" ht="15" customHeight="1">
      <c r="B3204" s="187"/>
      <c r="C3204" s="187"/>
      <c r="D3204" s="187"/>
      <c r="E3204" s="187"/>
      <c r="F3204" s="187"/>
      <c r="G3204" s="187"/>
      <c r="J3204" s="186"/>
      <c r="K3204" s="180"/>
      <c r="L3204" s="180"/>
    </row>
    <row r="3205" spans="2:12" s="188" customFormat="1" ht="15" customHeight="1">
      <c r="B3205" s="187"/>
      <c r="C3205" s="187"/>
      <c r="D3205" s="187"/>
      <c r="E3205" s="187"/>
      <c r="F3205" s="187"/>
      <c r="G3205" s="187"/>
      <c r="J3205" s="186"/>
      <c r="K3205" s="180"/>
      <c r="L3205" s="180"/>
    </row>
    <row r="3206" spans="2:12" s="188" customFormat="1" ht="15" customHeight="1">
      <c r="B3206" s="187"/>
      <c r="C3206" s="187"/>
      <c r="D3206" s="187"/>
      <c r="E3206" s="187"/>
      <c r="F3206" s="187"/>
      <c r="G3206" s="187"/>
      <c r="J3206" s="186"/>
      <c r="K3206" s="180"/>
      <c r="L3206" s="180"/>
    </row>
    <row r="3207" spans="2:12" s="188" customFormat="1" ht="15" customHeight="1">
      <c r="B3207" s="187"/>
      <c r="C3207" s="187"/>
      <c r="D3207" s="187"/>
      <c r="E3207" s="187"/>
      <c r="F3207" s="187"/>
      <c r="G3207" s="187"/>
      <c r="J3207" s="186"/>
      <c r="K3207" s="180"/>
      <c r="L3207" s="180"/>
    </row>
    <row r="3208" spans="2:12" s="188" customFormat="1" ht="15" customHeight="1">
      <c r="B3208" s="187"/>
      <c r="C3208" s="187"/>
      <c r="D3208" s="187"/>
      <c r="E3208" s="187"/>
      <c r="F3208" s="187"/>
      <c r="G3208" s="187"/>
      <c r="J3208" s="186"/>
      <c r="K3208" s="180"/>
      <c r="L3208" s="180"/>
    </row>
    <row r="3209" spans="2:12" s="188" customFormat="1" ht="15" customHeight="1">
      <c r="B3209" s="187"/>
      <c r="C3209" s="187"/>
      <c r="D3209" s="187"/>
      <c r="E3209" s="187"/>
      <c r="F3209" s="187"/>
      <c r="G3209" s="187"/>
      <c r="J3209" s="186"/>
      <c r="K3209" s="180"/>
      <c r="L3209" s="180"/>
    </row>
    <row r="3210" spans="2:12" s="188" customFormat="1" ht="15" customHeight="1">
      <c r="B3210" s="187"/>
      <c r="C3210" s="187"/>
      <c r="D3210" s="187"/>
      <c r="E3210" s="187"/>
      <c r="F3210" s="187"/>
      <c r="G3210" s="187"/>
      <c r="J3210" s="186"/>
      <c r="K3210" s="180"/>
      <c r="L3210" s="180"/>
    </row>
    <row r="3211" spans="2:12" s="188" customFormat="1" ht="15" customHeight="1">
      <c r="B3211" s="187"/>
      <c r="C3211" s="187"/>
      <c r="D3211" s="187"/>
      <c r="E3211" s="187"/>
      <c r="F3211" s="187"/>
      <c r="G3211" s="187"/>
      <c r="J3211" s="186"/>
      <c r="K3211" s="180"/>
      <c r="L3211" s="180"/>
    </row>
    <row r="3212" spans="2:12" s="188" customFormat="1" ht="15" customHeight="1">
      <c r="B3212" s="187"/>
      <c r="C3212" s="187"/>
      <c r="D3212" s="187"/>
      <c r="E3212" s="187"/>
      <c r="F3212" s="187"/>
      <c r="G3212" s="187"/>
      <c r="J3212" s="186"/>
      <c r="K3212" s="180"/>
      <c r="L3212" s="180"/>
    </row>
    <row r="3213" spans="2:12" s="188" customFormat="1" ht="15" customHeight="1">
      <c r="B3213" s="187"/>
      <c r="C3213" s="187"/>
      <c r="D3213" s="187"/>
      <c r="E3213" s="187"/>
      <c r="F3213" s="187"/>
      <c r="G3213" s="187"/>
      <c r="J3213" s="186"/>
      <c r="K3213" s="180"/>
      <c r="L3213" s="180"/>
    </row>
    <row r="3214" spans="2:12" s="188" customFormat="1" ht="15" customHeight="1">
      <c r="B3214" s="187"/>
      <c r="C3214" s="187"/>
      <c r="D3214" s="187"/>
      <c r="E3214" s="187"/>
      <c r="F3214" s="187"/>
      <c r="G3214" s="187"/>
      <c r="J3214" s="186"/>
      <c r="K3214" s="180"/>
      <c r="L3214" s="180"/>
    </row>
    <row r="3215" spans="2:12" s="188" customFormat="1" ht="15" customHeight="1">
      <c r="B3215" s="187"/>
      <c r="C3215" s="187"/>
      <c r="D3215" s="187"/>
      <c r="E3215" s="187"/>
      <c r="F3215" s="187"/>
      <c r="G3215" s="187"/>
      <c r="J3215" s="186"/>
      <c r="K3215" s="180"/>
      <c r="L3215" s="180"/>
    </row>
    <row r="3216" spans="2:12" s="188" customFormat="1" ht="15" customHeight="1">
      <c r="B3216" s="187"/>
      <c r="C3216" s="187"/>
      <c r="D3216" s="187"/>
      <c r="E3216" s="187"/>
      <c r="F3216" s="187"/>
      <c r="G3216" s="187"/>
      <c r="J3216" s="186"/>
      <c r="K3216" s="180"/>
      <c r="L3216" s="180"/>
    </row>
    <row r="3217" spans="2:12" s="188" customFormat="1" ht="15" customHeight="1">
      <c r="B3217" s="187"/>
      <c r="C3217" s="187"/>
      <c r="D3217" s="187"/>
      <c r="E3217" s="187"/>
      <c r="F3217" s="187"/>
      <c r="G3217" s="187"/>
      <c r="J3217" s="186"/>
      <c r="K3217" s="180"/>
      <c r="L3217" s="180"/>
    </row>
    <row r="3218" spans="2:12" s="188" customFormat="1" ht="15" customHeight="1">
      <c r="B3218" s="187"/>
      <c r="C3218" s="187"/>
      <c r="D3218" s="187"/>
      <c r="E3218" s="187"/>
      <c r="F3218" s="187"/>
      <c r="G3218" s="187"/>
      <c r="J3218" s="186"/>
      <c r="K3218" s="180"/>
      <c r="L3218" s="180"/>
    </row>
    <row r="3219" spans="2:12" s="188" customFormat="1" ht="15" customHeight="1">
      <c r="B3219" s="187"/>
      <c r="C3219" s="187"/>
      <c r="D3219" s="187"/>
      <c r="E3219" s="187"/>
      <c r="F3219" s="187"/>
      <c r="G3219" s="187"/>
      <c r="J3219" s="186"/>
      <c r="K3219" s="180"/>
      <c r="L3219" s="180"/>
    </row>
    <row r="3220" spans="2:12" s="188" customFormat="1" ht="15" customHeight="1">
      <c r="B3220" s="187"/>
      <c r="C3220" s="187"/>
      <c r="D3220" s="187"/>
      <c r="E3220" s="187"/>
      <c r="F3220" s="187"/>
      <c r="G3220" s="187"/>
      <c r="J3220" s="186"/>
      <c r="K3220" s="180"/>
      <c r="L3220" s="180"/>
    </row>
    <row r="3221" spans="2:12" s="188" customFormat="1" ht="15" customHeight="1">
      <c r="B3221" s="187"/>
      <c r="C3221" s="187"/>
      <c r="D3221" s="187"/>
      <c r="E3221" s="187"/>
      <c r="F3221" s="187"/>
      <c r="G3221" s="187"/>
      <c r="J3221" s="186"/>
      <c r="K3221" s="180"/>
      <c r="L3221" s="180"/>
    </row>
    <row r="3222" spans="2:12" s="188" customFormat="1" ht="15" customHeight="1">
      <c r="B3222" s="187"/>
      <c r="C3222" s="187"/>
      <c r="D3222" s="187"/>
      <c r="E3222" s="187"/>
      <c r="F3222" s="187"/>
      <c r="G3222" s="187"/>
      <c r="J3222" s="186"/>
      <c r="K3222" s="180"/>
      <c r="L3222" s="180"/>
    </row>
    <row r="3223" spans="2:12" s="188" customFormat="1" ht="15" customHeight="1">
      <c r="B3223" s="187"/>
      <c r="C3223" s="187"/>
      <c r="D3223" s="187"/>
      <c r="E3223" s="187"/>
      <c r="F3223" s="187"/>
      <c r="G3223" s="187"/>
      <c r="J3223" s="186"/>
      <c r="K3223" s="180"/>
      <c r="L3223" s="180"/>
    </row>
    <row r="3224" spans="2:12" s="188" customFormat="1" ht="15" customHeight="1">
      <c r="B3224" s="187"/>
      <c r="C3224" s="187"/>
      <c r="D3224" s="187"/>
      <c r="E3224" s="187"/>
      <c r="F3224" s="187"/>
      <c r="G3224" s="187"/>
      <c r="J3224" s="186"/>
      <c r="K3224" s="180"/>
      <c r="L3224" s="180"/>
    </row>
    <row r="3225" spans="2:12" s="188" customFormat="1" ht="15" customHeight="1">
      <c r="B3225" s="187"/>
      <c r="C3225" s="187"/>
      <c r="D3225" s="187"/>
      <c r="E3225" s="187"/>
      <c r="F3225" s="187"/>
      <c r="G3225" s="187"/>
      <c r="J3225" s="186"/>
      <c r="K3225" s="180"/>
      <c r="L3225" s="180"/>
    </row>
    <row r="3226" spans="2:12" s="188" customFormat="1" ht="15" customHeight="1">
      <c r="B3226" s="187"/>
      <c r="C3226" s="187"/>
      <c r="D3226" s="187"/>
      <c r="E3226" s="187"/>
      <c r="F3226" s="187"/>
      <c r="G3226" s="187"/>
      <c r="J3226" s="186"/>
      <c r="K3226" s="180"/>
      <c r="L3226" s="180"/>
    </row>
    <row r="3227" spans="2:12" s="188" customFormat="1" ht="15" customHeight="1">
      <c r="B3227" s="187"/>
      <c r="C3227" s="187"/>
      <c r="D3227" s="187"/>
      <c r="E3227" s="187"/>
      <c r="F3227" s="187"/>
      <c r="G3227" s="187"/>
      <c r="J3227" s="186"/>
      <c r="K3227" s="180"/>
      <c r="L3227" s="180"/>
    </row>
    <row r="3228" spans="2:12" s="188" customFormat="1" ht="15" customHeight="1">
      <c r="B3228" s="187"/>
      <c r="C3228" s="187"/>
      <c r="D3228" s="187"/>
      <c r="E3228" s="187"/>
      <c r="F3228" s="187"/>
      <c r="G3228" s="187"/>
      <c r="J3228" s="186"/>
      <c r="K3228" s="180"/>
      <c r="L3228" s="180"/>
    </row>
    <row r="3229" spans="2:12" s="188" customFormat="1" ht="15" customHeight="1">
      <c r="B3229" s="187"/>
      <c r="C3229" s="187"/>
      <c r="D3229" s="187"/>
      <c r="E3229" s="187"/>
      <c r="F3229" s="187"/>
      <c r="G3229" s="187"/>
      <c r="J3229" s="186"/>
      <c r="K3229" s="180"/>
      <c r="L3229" s="180"/>
    </row>
    <row r="3230" spans="2:12" s="188" customFormat="1" ht="15" customHeight="1">
      <c r="B3230" s="187"/>
      <c r="C3230" s="187"/>
      <c r="D3230" s="187"/>
      <c r="E3230" s="187"/>
      <c r="F3230" s="187"/>
      <c r="G3230" s="187"/>
      <c r="J3230" s="186"/>
      <c r="K3230" s="180"/>
      <c r="L3230" s="180"/>
    </row>
    <row r="3231" spans="2:12" s="188" customFormat="1" ht="15" customHeight="1">
      <c r="B3231" s="187"/>
      <c r="C3231" s="187"/>
      <c r="D3231" s="187"/>
      <c r="E3231" s="187"/>
      <c r="F3231" s="187"/>
      <c r="G3231" s="187"/>
      <c r="J3231" s="186"/>
      <c r="K3231" s="180"/>
      <c r="L3231" s="180"/>
    </row>
    <row r="3232" spans="2:12" s="188" customFormat="1" ht="15" customHeight="1">
      <c r="B3232" s="187"/>
      <c r="C3232" s="187"/>
      <c r="D3232" s="187"/>
      <c r="E3232" s="187"/>
      <c r="F3232" s="187"/>
      <c r="G3232" s="187"/>
      <c r="J3232" s="186"/>
      <c r="K3232" s="180"/>
      <c r="L3232" s="180"/>
    </row>
    <row r="3233" spans="2:12" s="188" customFormat="1" ht="15" customHeight="1">
      <c r="B3233" s="187"/>
      <c r="C3233" s="187"/>
      <c r="D3233" s="187"/>
      <c r="E3233" s="187"/>
      <c r="F3233" s="187"/>
      <c r="G3233" s="187"/>
      <c r="J3233" s="186"/>
      <c r="K3233" s="180"/>
      <c r="L3233" s="180"/>
    </row>
    <row r="3234" spans="2:12" s="188" customFormat="1" ht="15" customHeight="1">
      <c r="B3234" s="187"/>
      <c r="C3234" s="187"/>
      <c r="D3234" s="187"/>
      <c r="E3234" s="187"/>
      <c r="F3234" s="187"/>
      <c r="G3234" s="187"/>
      <c r="J3234" s="186"/>
      <c r="K3234" s="180"/>
      <c r="L3234" s="180"/>
    </row>
    <row r="3235" spans="2:12" s="188" customFormat="1" ht="15" customHeight="1">
      <c r="B3235" s="187"/>
      <c r="C3235" s="187"/>
      <c r="D3235" s="187"/>
      <c r="E3235" s="187"/>
      <c r="F3235" s="187"/>
      <c r="G3235" s="187"/>
      <c r="J3235" s="186"/>
      <c r="K3235" s="180"/>
      <c r="L3235" s="180"/>
    </row>
    <row r="3236" spans="2:12" s="188" customFormat="1" ht="15" customHeight="1">
      <c r="B3236" s="187"/>
      <c r="C3236" s="187"/>
      <c r="D3236" s="187"/>
      <c r="E3236" s="187"/>
      <c r="F3236" s="187"/>
      <c r="G3236" s="187"/>
      <c r="J3236" s="186"/>
      <c r="K3236" s="180"/>
      <c r="L3236" s="180"/>
    </row>
    <row r="3237" spans="2:12" s="188" customFormat="1" ht="15" customHeight="1">
      <c r="B3237" s="187"/>
      <c r="C3237" s="187"/>
      <c r="D3237" s="187"/>
      <c r="E3237" s="187"/>
      <c r="F3237" s="187"/>
      <c r="G3237" s="187"/>
      <c r="J3237" s="186"/>
      <c r="K3237" s="180"/>
      <c r="L3237" s="180"/>
    </row>
    <row r="3238" spans="2:12" s="188" customFormat="1" ht="15" customHeight="1">
      <c r="B3238" s="187"/>
      <c r="C3238" s="187"/>
      <c r="D3238" s="187"/>
      <c r="E3238" s="187"/>
      <c r="F3238" s="187"/>
      <c r="G3238" s="187"/>
      <c r="J3238" s="186"/>
      <c r="K3238" s="180"/>
      <c r="L3238" s="180"/>
    </row>
    <row r="3239" spans="2:12" s="188" customFormat="1" ht="15" customHeight="1">
      <c r="B3239" s="187"/>
      <c r="C3239" s="187"/>
      <c r="D3239" s="187"/>
      <c r="E3239" s="187"/>
      <c r="F3239" s="187"/>
      <c r="G3239" s="187"/>
      <c r="J3239" s="186"/>
      <c r="K3239" s="180"/>
      <c r="L3239" s="180"/>
    </row>
    <row r="3240" spans="2:12" s="188" customFormat="1" ht="15" customHeight="1">
      <c r="B3240" s="187"/>
      <c r="C3240" s="187"/>
      <c r="D3240" s="187"/>
      <c r="E3240" s="187"/>
      <c r="F3240" s="187"/>
      <c r="G3240" s="187"/>
      <c r="J3240" s="186"/>
      <c r="K3240" s="180"/>
      <c r="L3240" s="180"/>
    </row>
    <row r="3241" spans="2:12" s="188" customFormat="1" ht="15" customHeight="1">
      <c r="B3241" s="187"/>
      <c r="C3241" s="187"/>
      <c r="D3241" s="187"/>
      <c r="E3241" s="187"/>
      <c r="F3241" s="187"/>
      <c r="G3241" s="187"/>
      <c r="J3241" s="186"/>
      <c r="K3241" s="180"/>
      <c r="L3241" s="180"/>
    </row>
    <row r="3242" spans="2:12" s="188" customFormat="1" ht="15" customHeight="1">
      <c r="B3242" s="187"/>
      <c r="C3242" s="187"/>
      <c r="D3242" s="187"/>
      <c r="E3242" s="187"/>
      <c r="F3242" s="187"/>
      <c r="G3242" s="187"/>
      <c r="J3242" s="186"/>
      <c r="K3242" s="180"/>
      <c r="L3242" s="180"/>
    </row>
    <row r="3243" spans="2:12" s="188" customFormat="1" ht="15" customHeight="1">
      <c r="B3243" s="187"/>
      <c r="C3243" s="187"/>
      <c r="D3243" s="187"/>
      <c r="E3243" s="187"/>
      <c r="F3243" s="187"/>
      <c r="G3243" s="187"/>
      <c r="J3243" s="186"/>
      <c r="K3243" s="180"/>
      <c r="L3243" s="180"/>
    </row>
    <row r="3244" spans="2:12" s="188" customFormat="1" ht="15" customHeight="1">
      <c r="B3244" s="187"/>
      <c r="C3244" s="187"/>
      <c r="D3244" s="187"/>
      <c r="E3244" s="187"/>
      <c r="F3244" s="187"/>
      <c r="G3244" s="187"/>
      <c r="J3244" s="186"/>
      <c r="K3244" s="180"/>
      <c r="L3244" s="180"/>
    </row>
    <row r="3245" spans="2:12" s="188" customFormat="1" ht="15" customHeight="1">
      <c r="B3245" s="187"/>
      <c r="C3245" s="187"/>
      <c r="D3245" s="187"/>
      <c r="E3245" s="187"/>
      <c r="F3245" s="187"/>
      <c r="G3245" s="187"/>
      <c r="J3245" s="186"/>
      <c r="K3245" s="180"/>
      <c r="L3245" s="180"/>
    </row>
    <row r="3246" spans="2:12" s="188" customFormat="1" ht="15" customHeight="1">
      <c r="B3246" s="187"/>
      <c r="C3246" s="187"/>
      <c r="D3246" s="187"/>
      <c r="E3246" s="187"/>
      <c r="F3246" s="187"/>
      <c r="G3246" s="187"/>
      <c r="J3246" s="186"/>
      <c r="K3246" s="180"/>
      <c r="L3246" s="180"/>
    </row>
    <row r="3247" spans="2:12" s="188" customFormat="1" ht="15" customHeight="1">
      <c r="B3247" s="187"/>
      <c r="C3247" s="187"/>
      <c r="D3247" s="187"/>
      <c r="E3247" s="187"/>
      <c r="F3247" s="187"/>
      <c r="G3247" s="187"/>
      <c r="J3247" s="186"/>
      <c r="K3247" s="180"/>
      <c r="L3247" s="180"/>
    </row>
    <row r="3248" spans="2:12" s="188" customFormat="1" ht="15" customHeight="1">
      <c r="B3248" s="187"/>
      <c r="C3248" s="187"/>
      <c r="D3248" s="187"/>
      <c r="E3248" s="187"/>
      <c r="F3248" s="187"/>
      <c r="G3248" s="187"/>
      <c r="J3248" s="186"/>
      <c r="K3248" s="180"/>
      <c r="L3248" s="180"/>
    </row>
    <row r="3249" spans="2:12" s="188" customFormat="1" ht="15" customHeight="1">
      <c r="B3249" s="187"/>
      <c r="C3249" s="187"/>
      <c r="D3249" s="187"/>
      <c r="E3249" s="187"/>
      <c r="F3249" s="187"/>
      <c r="G3249" s="187"/>
      <c r="J3249" s="186"/>
      <c r="K3249" s="180"/>
      <c r="L3249" s="180"/>
    </row>
    <row r="3250" spans="2:12" s="188" customFormat="1" ht="15" customHeight="1">
      <c r="B3250" s="187"/>
      <c r="C3250" s="187"/>
      <c r="D3250" s="187"/>
      <c r="E3250" s="187"/>
      <c r="F3250" s="187"/>
      <c r="G3250" s="187"/>
      <c r="J3250" s="186"/>
      <c r="K3250" s="180"/>
      <c r="L3250" s="180"/>
    </row>
    <row r="3251" spans="2:12" s="188" customFormat="1" ht="15" customHeight="1">
      <c r="B3251" s="187"/>
      <c r="C3251" s="187"/>
      <c r="D3251" s="187"/>
      <c r="E3251" s="187"/>
      <c r="F3251" s="187"/>
      <c r="G3251" s="187"/>
      <c r="J3251" s="186"/>
      <c r="K3251" s="180"/>
      <c r="L3251" s="180"/>
    </row>
    <row r="3252" spans="2:12" s="188" customFormat="1" ht="15" customHeight="1">
      <c r="B3252" s="187"/>
      <c r="C3252" s="187"/>
      <c r="D3252" s="187"/>
      <c r="E3252" s="187"/>
      <c r="F3252" s="187"/>
      <c r="G3252" s="187"/>
      <c r="J3252" s="186"/>
      <c r="K3252" s="180"/>
      <c r="L3252" s="180"/>
    </row>
    <row r="3253" spans="2:12" s="188" customFormat="1" ht="15" customHeight="1">
      <c r="B3253" s="187"/>
      <c r="C3253" s="187"/>
      <c r="D3253" s="187"/>
      <c r="E3253" s="187"/>
      <c r="F3253" s="187"/>
      <c r="G3253" s="187"/>
      <c r="J3253" s="186"/>
      <c r="K3253" s="180"/>
      <c r="L3253" s="180"/>
    </row>
    <row r="3254" spans="2:12" s="188" customFormat="1" ht="15" customHeight="1">
      <c r="B3254" s="187"/>
      <c r="C3254" s="187"/>
      <c r="D3254" s="187"/>
      <c r="E3254" s="187"/>
      <c r="F3254" s="187"/>
      <c r="G3254" s="187"/>
      <c r="J3254" s="186"/>
      <c r="K3254" s="180"/>
      <c r="L3254" s="180"/>
    </row>
    <row r="3255" spans="2:12" s="188" customFormat="1" ht="15" customHeight="1">
      <c r="B3255" s="187"/>
      <c r="C3255" s="187"/>
      <c r="D3255" s="187"/>
      <c r="E3255" s="187"/>
      <c r="F3255" s="187"/>
      <c r="G3255" s="187"/>
      <c r="J3255" s="186"/>
      <c r="K3255" s="180"/>
      <c r="L3255" s="180"/>
    </row>
    <row r="3256" spans="2:12" s="188" customFormat="1" ht="15" customHeight="1">
      <c r="B3256" s="187"/>
      <c r="C3256" s="187"/>
      <c r="D3256" s="187"/>
      <c r="E3256" s="187"/>
      <c r="F3256" s="187"/>
      <c r="G3256" s="187"/>
      <c r="J3256" s="186"/>
      <c r="K3256" s="180"/>
      <c r="L3256" s="180"/>
    </row>
    <row r="3257" spans="2:12" s="188" customFormat="1" ht="15" customHeight="1">
      <c r="B3257" s="187"/>
      <c r="C3257" s="187"/>
      <c r="D3257" s="187"/>
      <c r="E3257" s="187"/>
      <c r="F3257" s="187"/>
      <c r="G3257" s="187"/>
      <c r="J3257" s="186"/>
      <c r="K3257" s="180"/>
      <c r="L3257" s="180"/>
    </row>
    <row r="3258" spans="2:12" s="188" customFormat="1" ht="15" customHeight="1">
      <c r="B3258" s="187"/>
      <c r="C3258" s="187"/>
      <c r="D3258" s="187"/>
      <c r="E3258" s="187"/>
      <c r="F3258" s="187"/>
      <c r="G3258" s="187"/>
      <c r="J3258" s="186"/>
      <c r="K3258" s="180"/>
      <c r="L3258" s="180"/>
    </row>
    <row r="3259" spans="2:12" s="188" customFormat="1" ht="15" customHeight="1">
      <c r="B3259" s="187"/>
      <c r="C3259" s="187"/>
      <c r="D3259" s="187"/>
      <c r="E3259" s="187"/>
      <c r="F3259" s="187"/>
      <c r="G3259" s="187"/>
      <c r="J3259" s="186"/>
      <c r="K3259" s="180"/>
      <c r="L3259" s="180"/>
    </row>
    <row r="3260" spans="2:12" s="188" customFormat="1" ht="15" customHeight="1">
      <c r="B3260" s="187"/>
      <c r="C3260" s="187"/>
      <c r="D3260" s="187"/>
      <c r="E3260" s="187"/>
      <c r="F3260" s="187"/>
      <c r="G3260" s="187"/>
      <c r="J3260" s="186"/>
      <c r="K3260" s="180"/>
      <c r="L3260" s="180"/>
    </row>
    <row r="3261" spans="2:12" s="188" customFormat="1" ht="15" customHeight="1">
      <c r="B3261" s="187"/>
      <c r="C3261" s="187"/>
      <c r="D3261" s="187"/>
      <c r="E3261" s="187"/>
      <c r="F3261" s="187"/>
      <c r="G3261" s="187"/>
      <c r="J3261" s="186"/>
      <c r="K3261" s="180"/>
      <c r="L3261" s="180"/>
    </row>
    <row r="3262" spans="2:12" s="188" customFormat="1" ht="15" customHeight="1">
      <c r="B3262" s="187"/>
      <c r="C3262" s="187"/>
      <c r="D3262" s="187"/>
      <c r="E3262" s="187"/>
      <c r="F3262" s="187"/>
      <c r="G3262" s="187"/>
      <c r="J3262" s="186"/>
      <c r="K3262" s="180"/>
      <c r="L3262" s="180"/>
    </row>
    <row r="3263" spans="2:12" s="188" customFormat="1" ht="15" customHeight="1">
      <c r="B3263" s="187"/>
      <c r="C3263" s="187"/>
      <c r="D3263" s="187"/>
      <c r="E3263" s="187"/>
      <c r="F3263" s="187"/>
      <c r="G3263" s="187"/>
      <c r="J3263" s="186"/>
      <c r="K3263" s="180"/>
      <c r="L3263" s="180"/>
    </row>
    <row r="3264" spans="2:12" s="188" customFormat="1" ht="15" customHeight="1">
      <c r="B3264" s="187"/>
      <c r="C3264" s="187"/>
      <c r="D3264" s="187"/>
      <c r="E3264" s="187"/>
      <c r="F3264" s="187"/>
      <c r="G3264" s="187"/>
      <c r="J3264" s="186"/>
      <c r="K3264" s="180"/>
      <c r="L3264" s="180"/>
    </row>
    <row r="3265" spans="2:12" s="188" customFormat="1" ht="15" customHeight="1">
      <c r="B3265" s="187"/>
      <c r="C3265" s="187"/>
      <c r="D3265" s="187"/>
      <c r="E3265" s="187"/>
      <c r="F3265" s="187"/>
      <c r="G3265" s="187"/>
      <c r="J3265" s="186"/>
      <c r="K3265" s="180"/>
      <c r="L3265" s="180"/>
    </row>
    <row r="3266" spans="2:12" s="188" customFormat="1" ht="15" customHeight="1">
      <c r="B3266" s="187"/>
      <c r="C3266" s="187"/>
      <c r="D3266" s="187"/>
      <c r="E3266" s="187"/>
      <c r="F3266" s="187"/>
      <c r="G3266" s="187"/>
      <c r="J3266" s="186"/>
      <c r="K3266" s="180"/>
      <c r="L3266" s="180"/>
    </row>
    <row r="3267" spans="2:12" s="188" customFormat="1" ht="15" customHeight="1">
      <c r="B3267" s="187"/>
      <c r="C3267" s="187"/>
      <c r="D3267" s="187"/>
      <c r="E3267" s="187"/>
      <c r="F3267" s="187"/>
      <c r="G3267" s="187"/>
      <c r="J3267" s="186"/>
      <c r="K3267" s="180"/>
      <c r="L3267" s="180"/>
    </row>
    <row r="3268" spans="2:12" s="188" customFormat="1" ht="15" customHeight="1">
      <c r="B3268" s="187"/>
      <c r="C3268" s="187"/>
      <c r="D3268" s="187"/>
      <c r="E3268" s="187"/>
      <c r="F3268" s="187"/>
      <c r="G3268" s="187"/>
      <c r="J3268" s="186"/>
      <c r="K3268" s="180"/>
      <c r="L3268" s="180"/>
    </row>
    <row r="3269" spans="2:12" s="188" customFormat="1" ht="15" customHeight="1">
      <c r="B3269" s="187"/>
      <c r="C3269" s="187"/>
      <c r="D3269" s="187"/>
      <c r="E3269" s="187"/>
      <c r="F3269" s="187"/>
      <c r="G3269" s="187"/>
      <c r="J3269" s="186"/>
      <c r="K3269" s="180"/>
      <c r="L3269" s="180"/>
    </row>
    <row r="3270" spans="2:12" s="188" customFormat="1" ht="15" customHeight="1">
      <c r="B3270" s="187"/>
      <c r="C3270" s="187"/>
      <c r="D3270" s="187"/>
      <c r="E3270" s="187"/>
      <c r="F3270" s="187"/>
      <c r="G3270" s="187"/>
      <c r="J3270" s="186"/>
      <c r="K3270" s="180"/>
      <c r="L3270" s="180"/>
    </row>
    <row r="3271" spans="2:12" s="188" customFormat="1" ht="15" customHeight="1">
      <c r="B3271" s="187"/>
      <c r="C3271" s="187"/>
      <c r="D3271" s="187"/>
      <c r="E3271" s="187"/>
      <c r="F3271" s="187"/>
      <c r="G3271" s="187"/>
      <c r="J3271" s="186"/>
      <c r="K3271" s="180"/>
      <c r="L3271" s="180"/>
    </row>
    <row r="3272" spans="2:12" s="188" customFormat="1" ht="15" customHeight="1">
      <c r="B3272" s="187"/>
      <c r="C3272" s="187"/>
      <c r="D3272" s="187"/>
      <c r="E3272" s="187"/>
      <c r="F3272" s="187"/>
      <c r="G3272" s="187"/>
      <c r="J3272" s="186"/>
      <c r="K3272" s="180"/>
      <c r="L3272" s="180"/>
    </row>
    <row r="3273" spans="2:12" s="188" customFormat="1" ht="15" customHeight="1">
      <c r="B3273" s="187"/>
      <c r="C3273" s="187"/>
      <c r="D3273" s="187"/>
      <c r="E3273" s="187"/>
      <c r="F3273" s="187"/>
      <c r="G3273" s="187"/>
      <c r="J3273" s="186"/>
      <c r="K3273" s="180"/>
      <c r="L3273" s="180"/>
    </row>
    <row r="3274" spans="2:12" s="188" customFormat="1" ht="15" customHeight="1">
      <c r="B3274" s="187"/>
      <c r="C3274" s="187"/>
      <c r="D3274" s="187"/>
      <c r="E3274" s="187"/>
      <c r="F3274" s="187"/>
      <c r="G3274" s="187"/>
      <c r="J3274" s="186"/>
      <c r="K3274" s="180"/>
      <c r="L3274" s="180"/>
    </row>
    <row r="3275" spans="2:12" s="188" customFormat="1" ht="15" customHeight="1">
      <c r="B3275" s="187"/>
      <c r="C3275" s="187"/>
      <c r="D3275" s="187"/>
      <c r="E3275" s="187"/>
      <c r="F3275" s="187"/>
      <c r="G3275" s="187"/>
      <c r="J3275" s="186"/>
      <c r="K3275" s="180"/>
      <c r="L3275" s="180"/>
    </row>
    <row r="3276" spans="2:12" s="188" customFormat="1" ht="15" customHeight="1">
      <c r="B3276" s="187"/>
      <c r="C3276" s="187"/>
      <c r="D3276" s="187"/>
      <c r="E3276" s="187"/>
      <c r="F3276" s="187"/>
      <c r="G3276" s="187"/>
      <c r="J3276" s="186"/>
      <c r="K3276" s="180"/>
      <c r="L3276" s="180"/>
    </row>
    <row r="3277" spans="2:12" s="188" customFormat="1" ht="15" customHeight="1">
      <c r="B3277" s="187"/>
      <c r="C3277" s="187"/>
      <c r="D3277" s="187"/>
      <c r="E3277" s="187"/>
      <c r="F3277" s="187"/>
      <c r="G3277" s="187"/>
      <c r="J3277" s="186"/>
      <c r="K3277" s="180"/>
      <c r="L3277" s="180"/>
    </row>
    <row r="3278" spans="2:12" s="188" customFormat="1" ht="15" customHeight="1">
      <c r="B3278" s="187"/>
      <c r="C3278" s="187"/>
      <c r="D3278" s="187"/>
      <c r="E3278" s="187"/>
      <c r="F3278" s="187"/>
      <c r="G3278" s="187"/>
      <c r="J3278" s="186"/>
      <c r="K3278" s="180"/>
      <c r="L3278" s="180"/>
    </row>
    <row r="3279" spans="2:12" s="188" customFormat="1" ht="15" customHeight="1">
      <c r="B3279" s="187"/>
      <c r="C3279" s="187"/>
      <c r="D3279" s="187"/>
      <c r="E3279" s="187"/>
      <c r="F3279" s="187"/>
      <c r="G3279" s="187"/>
      <c r="J3279" s="186"/>
      <c r="K3279" s="180"/>
      <c r="L3279" s="180"/>
    </row>
    <row r="3280" spans="2:12" s="188" customFormat="1" ht="15" customHeight="1">
      <c r="B3280" s="187"/>
      <c r="C3280" s="187"/>
      <c r="D3280" s="187"/>
      <c r="E3280" s="187"/>
      <c r="F3280" s="187"/>
      <c r="G3280" s="187"/>
      <c r="J3280" s="186"/>
      <c r="K3280" s="180"/>
      <c r="L3280" s="180"/>
    </row>
    <row r="3281" spans="2:12" s="188" customFormat="1" ht="15" customHeight="1">
      <c r="B3281" s="187"/>
      <c r="C3281" s="187"/>
      <c r="D3281" s="187"/>
      <c r="E3281" s="187"/>
      <c r="F3281" s="187"/>
      <c r="G3281" s="187"/>
      <c r="J3281" s="186"/>
      <c r="K3281" s="180"/>
      <c r="L3281" s="180"/>
    </row>
    <row r="3282" spans="2:12" s="188" customFormat="1" ht="15" customHeight="1">
      <c r="B3282" s="187"/>
      <c r="C3282" s="187"/>
      <c r="D3282" s="187"/>
      <c r="E3282" s="187"/>
      <c r="F3282" s="187"/>
      <c r="G3282" s="187"/>
      <c r="J3282" s="186"/>
      <c r="K3282" s="180"/>
      <c r="L3282" s="180"/>
    </row>
    <row r="3283" spans="2:12" s="188" customFormat="1" ht="15" customHeight="1">
      <c r="B3283" s="187"/>
      <c r="C3283" s="187"/>
      <c r="D3283" s="187"/>
      <c r="E3283" s="187"/>
      <c r="F3283" s="187"/>
      <c r="G3283" s="187"/>
      <c r="J3283" s="186"/>
      <c r="K3283" s="180"/>
      <c r="L3283" s="180"/>
    </row>
    <row r="3284" spans="2:12" s="188" customFormat="1" ht="15" customHeight="1">
      <c r="B3284" s="187"/>
      <c r="C3284" s="187"/>
      <c r="D3284" s="187"/>
      <c r="E3284" s="187"/>
      <c r="F3284" s="187"/>
      <c r="G3284" s="187"/>
      <c r="J3284" s="186"/>
      <c r="K3284" s="180"/>
      <c r="L3284" s="180"/>
    </row>
    <row r="3285" spans="2:12" s="188" customFormat="1" ht="15" customHeight="1">
      <c r="B3285" s="187"/>
      <c r="C3285" s="187"/>
      <c r="D3285" s="187"/>
      <c r="E3285" s="187"/>
      <c r="F3285" s="187"/>
      <c r="G3285" s="187"/>
      <c r="J3285" s="186"/>
      <c r="K3285" s="180"/>
      <c r="L3285" s="180"/>
    </row>
    <row r="3286" spans="2:12" s="188" customFormat="1" ht="15" customHeight="1">
      <c r="B3286" s="187"/>
      <c r="C3286" s="187"/>
      <c r="D3286" s="187"/>
      <c r="E3286" s="187"/>
      <c r="F3286" s="187"/>
      <c r="G3286" s="187"/>
      <c r="J3286" s="186"/>
      <c r="K3286" s="180"/>
      <c r="L3286" s="180"/>
    </row>
    <row r="3287" spans="2:12" s="188" customFormat="1" ht="15" customHeight="1">
      <c r="B3287" s="187"/>
      <c r="C3287" s="187"/>
      <c r="D3287" s="187"/>
      <c r="E3287" s="187"/>
      <c r="F3287" s="187"/>
      <c r="G3287" s="187"/>
      <c r="J3287" s="186"/>
      <c r="K3287" s="180"/>
      <c r="L3287" s="180"/>
    </row>
    <row r="3288" spans="2:12" s="188" customFormat="1" ht="15" customHeight="1">
      <c r="B3288" s="187"/>
      <c r="C3288" s="187"/>
      <c r="D3288" s="187"/>
      <c r="E3288" s="187"/>
      <c r="F3288" s="187"/>
      <c r="G3288" s="187"/>
      <c r="J3288" s="186"/>
      <c r="K3288" s="180"/>
      <c r="L3288" s="180"/>
    </row>
    <row r="3289" spans="2:12" s="188" customFormat="1" ht="15" customHeight="1">
      <c r="B3289" s="187"/>
      <c r="C3289" s="187"/>
      <c r="D3289" s="187"/>
      <c r="E3289" s="187"/>
      <c r="F3289" s="187"/>
      <c r="G3289" s="187"/>
      <c r="J3289" s="186"/>
      <c r="K3289" s="180"/>
      <c r="L3289" s="180"/>
    </row>
    <row r="3290" spans="2:12" s="188" customFormat="1" ht="15" customHeight="1">
      <c r="B3290" s="187"/>
      <c r="C3290" s="187"/>
      <c r="D3290" s="187"/>
      <c r="E3290" s="187"/>
      <c r="F3290" s="187"/>
      <c r="G3290" s="187"/>
      <c r="J3290" s="186"/>
      <c r="K3290" s="180"/>
      <c r="L3290" s="180"/>
    </row>
    <row r="3291" spans="2:12" s="188" customFormat="1" ht="15" customHeight="1">
      <c r="B3291" s="187"/>
      <c r="C3291" s="187"/>
      <c r="D3291" s="187"/>
      <c r="E3291" s="187"/>
      <c r="F3291" s="187"/>
      <c r="G3291" s="187"/>
      <c r="J3291" s="186"/>
      <c r="K3291" s="180"/>
      <c r="L3291" s="180"/>
    </row>
    <row r="3292" spans="2:12" s="188" customFormat="1" ht="15" customHeight="1">
      <c r="B3292" s="187"/>
      <c r="C3292" s="187"/>
      <c r="D3292" s="187"/>
      <c r="E3292" s="187"/>
      <c r="F3292" s="187"/>
      <c r="G3292" s="187"/>
      <c r="J3292" s="186"/>
      <c r="K3292" s="180"/>
      <c r="L3292" s="180"/>
    </row>
    <row r="3293" spans="2:12" s="188" customFormat="1" ht="15" customHeight="1">
      <c r="B3293" s="187"/>
      <c r="C3293" s="187"/>
      <c r="D3293" s="187"/>
      <c r="E3293" s="187"/>
      <c r="F3293" s="187"/>
      <c r="G3293" s="187"/>
      <c r="J3293" s="186"/>
      <c r="K3293" s="180"/>
      <c r="L3293" s="180"/>
    </row>
    <row r="3294" spans="2:12" s="188" customFormat="1" ht="15" customHeight="1">
      <c r="B3294" s="187"/>
      <c r="C3294" s="187"/>
      <c r="D3294" s="187"/>
      <c r="E3294" s="187"/>
      <c r="F3294" s="187"/>
      <c r="G3294" s="187"/>
      <c r="J3294" s="186"/>
      <c r="K3294" s="180"/>
      <c r="L3294" s="180"/>
    </row>
    <row r="3295" spans="2:12" s="188" customFormat="1" ht="15" customHeight="1">
      <c r="B3295" s="187"/>
      <c r="C3295" s="187"/>
      <c r="D3295" s="187"/>
      <c r="E3295" s="187"/>
      <c r="F3295" s="187"/>
      <c r="G3295" s="187"/>
      <c r="J3295" s="186"/>
      <c r="K3295" s="180"/>
      <c r="L3295" s="180"/>
    </row>
    <row r="3296" spans="2:12" s="188" customFormat="1" ht="15" customHeight="1">
      <c r="B3296" s="187"/>
      <c r="C3296" s="187"/>
      <c r="D3296" s="187"/>
      <c r="E3296" s="187"/>
      <c r="F3296" s="187"/>
      <c r="G3296" s="187"/>
      <c r="J3296" s="186"/>
      <c r="K3296" s="180"/>
      <c r="L3296" s="180"/>
    </row>
    <row r="3297" spans="2:12" s="188" customFormat="1" ht="15" customHeight="1">
      <c r="B3297" s="187"/>
      <c r="C3297" s="187"/>
      <c r="D3297" s="187"/>
      <c r="E3297" s="187"/>
      <c r="F3297" s="187"/>
      <c r="G3297" s="187"/>
      <c r="J3297" s="186"/>
      <c r="K3297" s="180"/>
      <c r="L3297" s="180"/>
    </row>
    <row r="3298" spans="2:12" s="188" customFormat="1" ht="15" customHeight="1">
      <c r="B3298" s="187"/>
      <c r="C3298" s="187"/>
      <c r="D3298" s="187"/>
      <c r="E3298" s="187"/>
      <c r="F3298" s="187"/>
      <c r="G3298" s="187"/>
      <c r="J3298" s="186"/>
      <c r="K3298" s="180"/>
      <c r="L3298" s="180"/>
    </row>
    <row r="3299" spans="2:12" s="188" customFormat="1" ht="15" customHeight="1">
      <c r="B3299" s="187"/>
      <c r="C3299" s="187"/>
      <c r="D3299" s="187"/>
      <c r="E3299" s="187"/>
      <c r="F3299" s="187"/>
      <c r="G3299" s="187"/>
      <c r="J3299" s="186"/>
      <c r="K3299" s="180"/>
      <c r="L3299" s="180"/>
    </row>
    <row r="3300" spans="2:12" s="188" customFormat="1" ht="15" customHeight="1">
      <c r="B3300" s="187"/>
      <c r="C3300" s="187"/>
      <c r="D3300" s="187"/>
      <c r="E3300" s="187"/>
      <c r="F3300" s="187"/>
      <c r="G3300" s="187"/>
      <c r="J3300" s="186"/>
      <c r="K3300" s="180"/>
      <c r="L3300" s="180"/>
    </row>
    <row r="3301" spans="2:12" s="188" customFormat="1" ht="15" customHeight="1">
      <c r="B3301" s="187"/>
      <c r="C3301" s="187"/>
      <c r="D3301" s="187"/>
      <c r="E3301" s="187"/>
      <c r="F3301" s="187"/>
      <c r="G3301" s="187"/>
      <c r="J3301" s="186"/>
      <c r="K3301" s="180"/>
      <c r="L3301" s="180"/>
    </row>
    <row r="3302" spans="2:12" s="188" customFormat="1" ht="15" customHeight="1">
      <c r="B3302" s="187"/>
      <c r="C3302" s="187"/>
      <c r="D3302" s="187"/>
      <c r="E3302" s="187"/>
      <c r="F3302" s="187"/>
      <c r="G3302" s="187"/>
      <c r="J3302" s="186"/>
      <c r="K3302" s="180"/>
      <c r="L3302" s="180"/>
    </row>
    <row r="3303" spans="2:12" s="188" customFormat="1" ht="15" customHeight="1">
      <c r="B3303" s="187"/>
      <c r="C3303" s="187"/>
      <c r="D3303" s="187"/>
      <c r="E3303" s="187"/>
      <c r="F3303" s="187"/>
      <c r="G3303" s="187"/>
      <c r="J3303" s="186"/>
      <c r="K3303" s="180"/>
      <c r="L3303" s="180"/>
    </row>
    <row r="3304" spans="2:12" s="188" customFormat="1" ht="15" customHeight="1">
      <c r="B3304" s="187"/>
      <c r="C3304" s="187"/>
      <c r="D3304" s="187"/>
      <c r="E3304" s="187"/>
      <c r="F3304" s="187"/>
      <c r="G3304" s="187"/>
      <c r="J3304" s="186"/>
      <c r="K3304" s="180"/>
      <c r="L3304" s="180"/>
    </row>
    <row r="3305" spans="2:12" s="188" customFormat="1" ht="15" customHeight="1">
      <c r="B3305" s="187"/>
      <c r="C3305" s="187"/>
      <c r="D3305" s="187"/>
      <c r="E3305" s="187"/>
      <c r="F3305" s="187"/>
      <c r="G3305" s="187"/>
      <c r="J3305" s="186"/>
      <c r="K3305" s="180"/>
      <c r="L3305" s="180"/>
    </row>
    <row r="3306" spans="2:12" s="188" customFormat="1" ht="15" customHeight="1">
      <c r="B3306" s="187"/>
      <c r="C3306" s="187"/>
      <c r="D3306" s="187"/>
      <c r="E3306" s="187"/>
      <c r="F3306" s="187"/>
      <c r="G3306" s="187"/>
      <c r="J3306" s="186"/>
      <c r="K3306" s="180"/>
      <c r="L3306" s="180"/>
    </row>
    <row r="3307" spans="2:12" s="188" customFormat="1" ht="15" customHeight="1">
      <c r="B3307" s="187"/>
      <c r="C3307" s="187"/>
      <c r="D3307" s="187"/>
      <c r="E3307" s="187"/>
      <c r="F3307" s="187"/>
      <c r="G3307" s="187"/>
      <c r="J3307" s="186"/>
      <c r="K3307" s="180"/>
      <c r="L3307" s="180"/>
    </row>
    <row r="3308" spans="2:12" s="188" customFormat="1" ht="15" customHeight="1">
      <c r="B3308" s="187"/>
      <c r="C3308" s="187"/>
      <c r="D3308" s="187"/>
      <c r="E3308" s="187"/>
      <c r="F3308" s="187"/>
      <c r="G3308" s="187"/>
      <c r="J3308" s="186"/>
      <c r="K3308" s="180"/>
      <c r="L3308" s="180"/>
    </row>
    <row r="3309" spans="2:12" s="188" customFormat="1" ht="15" customHeight="1">
      <c r="B3309" s="187"/>
      <c r="C3309" s="187"/>
      <c r="D3309" s="187"/>
      <c r="E3309" s="187"/>
      <c r="F3309" s="187"/>
      <c r="G3309" s="187"/>
      <c r="J3309" s="186"/>
      <c r="K3309" s="180"/>
      <c r="L3309" s="180"/>
    </row>
    <row r="3310" spans="2:12" s="188" customFormat="1" ht="15" customHeight="1">
      <c r="B3310" s="187"/>
      <c r="C3310" s="187"/>
      <c r="D3310" s="187"/>
      <c r="E3310" s="187"/>
      <c r="F3310" s="187"/>
      <c r="G3310" s="187"/>
      <c r="J3310" s="186"/>
      <c r="K3310" s="180"/>
      <c r="L3310" s="180"/>
    </row>
    <row r="3311" spans="2:12" s="188" customFormat="1" ht="15" customHeight="1">
      <c r="B3311" s="187"/>
      <c r="C3311" s="187"/>
      <c r="D3311" s="187"/>
      <c r="E3311" s="187"/>
      <c r="F3311" s="187"/>
      <c r="G3311" s="187"/>
      <c r="J3311" s="186"/>
      <c r="K3311" s="180"/>
      <c r="L3311" s="180"/>
    </row>
    <row r="3312" spans="2:12" s="188" customFormat="1" ht="15" customHeight="1">
      <c r="B3312" s="187"/>
      <c r="C3312" s="187"/>
      <c r="D3312" s="187"/>
      <c r="E3312" s="187"/>
      <c r="F3312" s="187"/>
      <c r="G3312" s="187"/>
      <c r="J3312" s="186"/>
      <c r="K3312" s="180"/>
      <c r="L3312" s="180"/>
    </row>
    <row r="3313" spans="2:12" s="188" customFormat="1" ht="15" customHeight="1">
      <c r="B3313" s="187"/>
      <c r="C3313" s="187"/>
      <c r="D3313" s="187"/>
      <c r="E3313" s="187"/>
      <c r="F3313" s="187"/>
      <c r="G3313" s="187"/>
      <c r="J3313" s="186"/>
      <c r="K3313" s="180"/>
      <c r="L3313" s="180"/>
    </row>
    <row r="3314" spans="2:12" s="188" customFormat="1" ht="15" customHeight="1">
      <c r="B3314" s="187"/>
      <c r="C3314" s="187"/>
      <c r="D3314" s="187"/>
      <c r="E3314" s="187"/>
      <c r="F3314" s="187"/>
      <c r="G3314" s="187"/>
      <c r="J3314" s="186"/>
      <c r="K3314" s="180"/>
      <c r="L3314" s="180"/>
    </row>
    <row r="3315" spans="2:12" s="188" customFormat="1" ht="15" customHeight="1">
      <c r="B3315" s="187"/>
      <c r="C3315" s="187"/>
      <c r="D3315" s="187"/>
      <c r="E3315" s="187"/>
      <c r="F3315" s="187"/>
      <c r="G3315" s="187"/>
      <c r="J3315" s="186"/>
      <c r="K3315" s="180"/>
      <c r="L3315" s="180"/>
    </row>
    <row r="3316" spans="2:12" s="188" customFormat="1" ht="15" customHeight="1">
      <c r="B3316" s="187"/>
      <c r="C3316" s="187"/>
      <c r="D3316" s="187"/>
      <c r="E3316" s="187"/>
      <c r="F3316" s="187"/>
      <c r="G3316" s="187"/>
      <c r="J3316" s="186"/>
      <c r="K3316" s="180"/>
      <c r="L3316" s="180"/>
    </row>
    <row r="3317" spans="2:12" s="188" customFormat="1" ht="15" customHeight="1">
      <c r="B3317" s="187"/>
      <c r="C3317" s="187"/>
      <c r="D3317" s="187"/>
      <c r="E3317" s="187"/>
      <c r="F3317" s="187"/>
      <c r="G3317" s="187"/>
      <c r="J3317" s="186"/>
      <c r="K3317" s="180"/>
      <c r="L3317" s="180"/>
    </row>
    <row r="3318" spans="2:12" s="188" customFormat="1" ht="15" customHeight="1">
      <c r="B3318" s="187"/>
      <c r="C3318" s="187"/>
      <c r="D3318" s="187"/>
      <c r="E3318" s="187"/>
      <c r="F3318" s="187"/>
      <c r="G3318" s="187"/>
      <c r="J3318" s="186"/>
      <c r="K3318" s="180"/>
      <c r="L3318" s="180"/>
    </row>
    <row r="3319" spans="2:12" s="188" customFormat="1" ht="15" customHeight="1">
      <c r="B3319" s="187"/>
      <c r="C3319" s="187"/>
      <c r="D3319" s="187"/>
      <c r="E3319" s="187"/>
      <c r="F3319" s="187"/>
      <c r="G3319" s="187"/>
      <c r="J3319" s="186"/>
      <c r="K3319" s="180"/>
      <c r="L3319" s="180"/>
    </row>
    <row r="3320" spans="2:12" s="188" customFormat="1" ht="15" customHeight="1">
      <c r="B3320" s="187"/>
      <c r="C3320" s="187"/>
      <c r="D3320" s="187"/>
      <c r="E3320" s="187"/>
      <c r="F3320" s="187"/>
      <c r="G3320" s="187"/>
      <c r="J3320" s="186"/>
      <c r="K3320" s="180"/>
      <c r="L3320" s="180"/>
    </row>
    <row r="3321" spans="2:12" s="188" customFormat="1" ht="15" customHeight="1">
      <c r="B3321" s="187"/>
      <c r="C3321" s="187"/>
      <c r="D3321" s="187"/>
      <c r="E3321" s="187"/>
      <c r="F3321" s="187"/>
      <c r="G3321" s="187"/>
      <c r="J3321" s="186"/>
      <c r="K3321" s="180"/>
      <c r="L3321" s="180"/>
    </row>
    <row r="3322" spans="2:12" s="188" customFormat="1" ht="15" customHeight="1">
      <c r="B3322" s="187"/>
      <c r="C3322" s="187"/>
      <c r="D3322" s="187"/>
      <c r="E3322" s="187"/>
      <c r="F3322" s="187"/>
      <c r="G3322" s="187"/>
      <c r="J3322" s="186"/>
      <c r="K3322" s="180"/>
      <c r="L3322" s="180"/>
    </row>
    <row r="3323" spans="2:12" s="188" customFormat="1" ht="15" customHeight="1">
      <c r="B3323" s="187"/>
      <c r="C3323" s="187"/>
      <c r="D3323" s="187"/>
      <c r="E3323" s="187"/>
      <c r="F3323" s="187"/>
      <c r="G3323" s="187"/>
      <c r="J3323" s="186"/>
      <c r="K3323" s="180"/>
      <c r="L3323" s="180"/>
    </row>
    <row r="3324" spans="2:12" s="188" customFormat="1" ht="15" customHeight="1">
      <c r="B3324" s="187"/>
      <c r="C3324" s="187"/>
      <c r="D3324" s="187"/>
      <c r="E3324" s="187"/>
      <c r="F3324" s="187"/>
      <c r="G3324" s="187"/>
      <c r="J3324" s="186"/>
      <c r="K3324" s="180"/>
      <c r="L3324" s="180"/>
    </row>
    <row r="3325" spans="2:12" s="188" customFormat="1" ht="15" customHeight="1">
      <c r="B3325" s="187"/>
      <c r="C3325" s="187"/>
      <c r="D3325" s="187"/>
      <c r="E3325" s="187"/>
      <c r="F3325" s="187"/>
      <c r="G3325" s="187"/>
      <c r="J3325" s="186"/>
      <c r="K3325" s="180"/>
      <c r="L3325" s="180"/>
    </row>
    <row r="3326" spans="2:12" s="188" customFormat="1" ht="15" customHeight="1">
      <c r="B3326" s="187"/>
      <c r="C3326" s="187"/>
      <c r="D3326" s="187"/>
      <c r="E3326" s="187"/>
      <c r="F3326" s="187"/>
      <c r="G3326" s="187"/>
      <c r="J3326" s="186"/>
      <c r="K3326" s="180"/>
      <c r="L3326" s="180"/>
    </row>
    <row r="3327" spans="2:12" s="188" customFormat="1" ht="15" customHeight="1">
      <c r="B3327" s="187"/>
      <c r="C3327" s="187"/>
      <c r="D3327" s="187"/>
      <c r="E3327" s="187"/>
      <c r="F3327" s="187"/>
      <c r="G3327" s="187"/>
      <c r="J3327" s="186"/>
      <c r="K3327" s="180"/>
      <c r="L3327" s="180"/>
    </row>
    <row r="3328" spans="2:12" s="188" customFormat="1" ht="15" customHeight="1">
      <c r="B3328" s="187"/>
      <c r="C3328" s="187"/>
      <c r="D3328" s="187"/>
      <c r="E3328" s="187"/>
      <c r="F3328" s="187"/>
      <c r="G3328" s="187"/>
      <c r="J3328" s="186"/>
      <c r="K3328" s="180"/>
      <c r="L3328" s="180"/>
    </row>
    <row r="3329" spans="2:12" s="188" customFormat="1" ht="15" customHeight="1">
      <c r="B3329" s="187"/>
      <c r="C3329" s="187"/>
      <c r="D3329" s="187"/>
      <c r="E3329" s="187"/>
      <c r="F3329" s="187"/>
      <c r="G3329" s="187"/>
      <c r="J3329" s="186"/>
      <c r="K3329" s="180"/>
      <c r="L3329" s="180"/>
    </row>
    <row r="3330" spans="2:12" s="188" customFormat="1" ht="15" customHeight="1">
      <c r="B3330" s="187"/>
      <c r="C3330" s="187"/>
      <c r="D3330" s="187"/>
      <c r="E3330" s="187"/>
      <c r="F3330" s="187"/>
      <c r="G3330" s="187"/>
      <c r="J3330" s="186"/>
      <c r="K3330" s="180"/>
      <c r="L3330" s="180"/>
    </row>
    <row r="3331" spans="2:12" s="188" customFormat="1" ht="15" customHeight="1">
      <c r="B3331" s="187"/>
      <c r="C3331" s="187"/>
      <c r="D3331" s="187"/>
      <c r="E3331" s="187"/>
      <c r="F3331" s="187"/>
      <c r="G3331" s="187"/>
      <c r="J3331" s="186"/>
      <c r="K3331" s="180"/>
      <c r="L3331" s="180"/>
    </row>
    <row r="3332" spans="2:12" s="188" customFormat="1" ht="15" customHeight="1">
      <c r="B3332" s="187"/>
      <c r="C3332" s="187"/>
      <c r="D3332" s="187"/>
      <c r="E3332" s="187"/>
      <c r="F3332" s="187"/>
      <c r="G3332" s="187"/>
      <c r="J3332" s="186"/>
      <c r="K3332" s="180"/>
      <c r="L3332" s="180"/>
    </row>
    <row r="3333" spans="2:12" s="188" customFormat="1" ht="15" customHeight="1">
      <c r="B3333" s="187"/>
      <c r="C3333" s="187"/>
      <c r="D3333" s="187"/>
      <c r="E3333" s="187"/>
      <c r="F3333" s="187"/>
      <c r="G3333" s="187"/>
      <c r="J3333" s="186"/>
      <c r="K3333" s="180"/>
      <c r="L3333" s="180"/>
    </row>
    <row r="3334" spans="2:12" s="188" customFormat="1" ht="15" customHeight="1">
      <c r="B3334" s="187"/>
      <c r="C3334" s="187"/>
      <c r="D3334" s="187"/>
      <c r="E3334" s="187"/>
      <c r="F3334" s="187"/>
      <c r="G3334" s="187"/>
      <c r="J3334" s="186"/>
      <c r="K3334" s="180"/>
      <c r="L3334" s="180"/>
    </row>
    <row r="3335" spans="2:12" s="188" customFormat="1" ht="15" customHeight="1">
      <c r="B3335" s="187"/>
      <c r="C3335" s="187"/>
      <c r="D3335" s="187"/>
      <c r="E3335" s="187"/>
      <c r="F3335" s="187"/>
      <c r="G3335" s="187"/>
      <c r="J3335" s="186"/>
      <c r="K3335" s="180"/>
      <c r="L3335" s="180"/>
    </row>
    <row r="3336" spans="2:12" s="188" customFormat="1" ht="15" customHeight="1">
      <c r="B3336" s="187"/>
      <c r="C3336" s="187"/>
      <c r="D3336" s="187"/>
      <c r="E3336" s="187"/>
      <c r="F3336" s="187"/>
      <c r="G3336" s="187"/>
      <c r="J3336" s="186"/>
      <c r="K3336" s="180"/>
      <c r="L3336" s="180"/>
    </row>
    <row r="3337" spans="2:12" s="188" customFormat="1" ht="15" customHeight="1">
      <c r="B3337" s="187"/>
      <c r="C3337" s="187"/>
      <c r="D3337" s="187"/>
      <c r="E3337" s="187"/>
      <c r="F3337" s="187"/>
      <c r="G3337" s="187"/>
      <c r="J3337" s="186"/>
      <c r="K3337" s="180"/>
      <c r="L3337" s="180"/>
    </row>
    <row r="3338" spans="2:12" s="188" customFormat="1" ht="15" customHeight="1">
      <c r="B3338" s="187"/>
      <c r="C3338" s="187"/>
      <c r="D3338" s="187"/>
      <c r="E3338" s="187"/>
      <c r="F3338" s="187"/>
      <c r="G3338" s="187"/>
      <c r="J3338" s="186"/>
      <c r="K3338" s="180"/>
      <c r="L3338" s="180"/>
    </row>
    <row r="3339" spans="2:12" s="188" customFormat="1" ht="15" customHeight="1">
      <c r="B3339" s="187"/>
      <c r="C3339" s="187"/>
      <c r="D3339" s="187"/>
      <c r="E3339" s="187"/>
      <c r="F3339" s="187"/>
      <c r="G3339" s="187"/>
      <c r="J3339" s="186"/>
      <c r="K3339" s="180"/>
      <c r="L3339" s="180"/>
    </row>
    <row r="3340" spans="2:12" s="188" customFormat="1" ht="15" customHeight="1">
      <c r="B3340" s="187"/>
      <c r="C3340" s="187"/>
      <c r="D3340" s="187"/>
      <c r="E3340" s="187"/>
      <c r="F3340" s="187"/>
      <c r="G3340" s="187"/>
      <c r="J3340" s="186"/>
      <c r="K3340" s="180"/>
      <c r="L3340" s="180"/>
    </row>
    <row r="3341" spans="2:12" s="188" customFormat="1" ht="15" customHeight="1">
      <c r="B3341" s="187"/>
      <c r="C3341" s="187"/>
      <c r="D3341" s="187"/>
      <c r="E3341" s="187"/>
      <c r="F3341" s="187"/>
      <c r="G3341" s="187"/>
      <c r="J3341" s="186"/>
      <c r="K3341" s="180"/>
      <c r="L3341" s="180"/>
    </row>
    <row r="3342" spans="2:12" s="188" customFormat="1" ht="15" customHeight="1">
      <c r="B3342" s="187"/>
      <c r="C3342" s="187"/>
      <c r="D3342" s="187"/>
      <c r="E3342" s="187"/>
      <c r="F3342" s="187"/>
      <c r="G3342" s="187"/>
      <c r="J3342" s="186"/>
      <c r="K3342" s="180"/>
      <c r="L3342" s="180"/>
    </row>
    <row r="3343" spans="2:12" s="188" customFormat="1" ht="15" customHeight="1">
      <c r="B3343" s="187"/>
      <c r="C3343" s="187"/>
      <c r="D3343" s="187"/>
      <c r="E3343" s="187"/>
      <c r="F3343" s="187"/>
      <c r="G3343" s="187"/>
      <c r="J3343" s="186"/>
      <c r="K3343" s="180"/>
      <c r="L3343" s="180"/>
    </row>
    <row r="3344" spans="2:12" s="188" customFormat="1" ht="15" customHeight="1">
      <c r="B3344" s="187"/>
      <c r="C3344" s="187"/>
      <c r="D3344" s="187"/>
      <c r="E3344" s="187"/>
      <c r="F3344" s="187"/>
      <c r="G3344" s="187"/>
      <c r="J3344" s="186"/>
      <c r="K3344" s="180"/>
      <c r="L3344" s="180"/>
    </row>
    <row r="3345" spans="2:12" s="188" customFormat="1" ht="15" customHeight="1">
      <c r="B3345" s="187"/>
      <c r="C3345" s="187"/>
      <c r="D3345" s="187"/>
      <c r="E3345" s="187"/>
      <c r="F3345" s="187"/>
      <c r="G3345" s="187"/>
      <c r="J3345" s="186"/>
      <c r="K3345" s="180"/>
      <c r="L3345" s="180"/>
    </row>
    <row r="3346" spans="2:12" s="188" customFormat="1" ht="15" customHeight="1">
      <c r="B3346" s="187"/>
      <c r="C3346" s="187"/>
      <c r="D3346" s="187"/>
      <c r="E3346" s="187"/>
      <c r="F3346" s="187"/>
      <c r="G3346" s="187"/>
      <c r="J3346" s="186"/>
      <c r="K3346" s="180"/>
      <c r="L3346" s="180"/>
    </row>
    <row r="3347" spans="2:12" s="188" customFormat="1" ht="15" customHeight="1">
      <c r="B3347" s="187"/>
      <c r="C3347" s="187"/>
      <c r="D3347" s="187"/>
      <c r="E3347" s="187"/>
      <c r="F3347" s="187"/>
      <c r="G3347" s="187"/>
      <c r="J3347" s="186"/>
      <c r="K3347" s="180"/>
      <c r="L3347" s="180"/>
    </row>
    <row r="3348" spans="2:12" s="188" customFormat="1" ht="15" customHeight="1">
      <c r="B3348" s="187"/>
      <c r="C3348" s="187"/>
      <c r="D3348" s="187"/>
      <c r="E3348" s="187"/>
      <c r="F3348" s="187"/>
      <c r="G3348" s="187"/>
      <c r="J3348" s="186"/>
      <c r="K3348" s="180"/>
      <c r="L3348" s="180"/>
    </row>
    <row r="3349" spans="2:12" s="188" customFormat="1" ht="15" customHeight="1">
      <c r="B3349" s="187"/>
      <c r="C3349" s="187"/>
      <c r="D3349" s="187"/>
      <c r="E3349" s="187"/>
      <c r="F3349" s="187"/>
      <c r="G3349" s="187"/>
      <c r="J3349" s="186"/>
      <c r="K3349" s="180"/>
      <c r="L3349" s="180"/>
    </row>
    <row r="3350" spans="2:12" s="188" customFormat="1" ht="15" customHeight="1">
      <c r="B3350" s="187"/>
      <c r="C3350" s="187"/>
      <c r="D3350" s="187"/>
      <c r="E3350" s="187"/>
      <c r="F3350" s="187"/>
      <c r="G3350" s="187"/>
      <c r="J3350" s="186"/>
      <c r="K3350" s="180"/>
      <c r="L3350" s="180"/>
    </row>
    <row r="3351" spans="2:12" s="188" customFormat="1" ht="15" customHeight="1">
      <c r="B3351" s="187"/>
      <c r="C3351" s="187"/>
      <c r="D3351" s="187"/>
      <c r="E3351" s="187"/>
      <c r="F3351" s="187"/>
      <c r="G3351" s="187"/>
      <c r="J3351" s="186"/>
      <c r="K3351" s="180"/>
      <c r="L3351" s="180"/>
    </row>
    <row r="3352" spans="2:12" s="188" customFormat="1" ht="15" customHeight="1">
      <c r="B3352" s="187"/>
      <c r="C3352" s="187"/>
      <c r="D3352" s="187"/>
      <c r="E3352" s="187"/>
      <c r="F3352" s="187"/>
      <c r="G3352" s="187"/>
      <c r="J3352" s="186"/>
      <c r="K3352" s="180"/>
      <c r="L3352" s="180"/>
    </row>
    <row r="3353" spans="2:12" s="188" customFormat="1" ht="15" customHeight="1">
      <c r="B3353" s="187"/>
      <c r="C3353" s="187"/>
      <c r="D3353" s="187"/>
      <c r="E3353" s="187"/>
      <c r="F3353" s="187"/>
      <c r="G3353" s="187"/>
      <c r="J3353" s="186"/>
      <c r="K3353" s="180"/>
      <c r="L3353" s="180"/>
    </row>
    <row r="3354" spans="2:12" s="188" customFormat="1" ht="15" customHeight="1">
      <c r="B3354" s="187"/>
      <c r="C3354" s="187"/>
      <c r="D3354" s="187"/>
      <c r="E3354" s="187"/>
      <c r="F3354" s="187"/>
      <c r="G3354" s="187"/>
      <c r="J3354" s="186"/>
      <c r="K3354" s="180"/>
      <c r="L3354" s="180"/>
    </row>
    <row r="3355" spans="2:12" s="188" customFormat="1" ht="15" customHeight="1">
      <c r="B3355" s="187"/>
      <c r="C3355" s="187"/>
      <c r="D3355" s="187"/>
      <c r="E3355" s="187"/>
      <c r="F3355" s="187"/>
      <c r="G3355" s="187"/>
      <c r="J3355" s="186"/>
      <c r="K3355" s="180"/>
      <c r="L3355" s="180"/>
    </row>
    <row r="3356" spans="2:12" s="188" customFormat="1" ht="15" customHeight="1">
      <c r="B3356" s="187"/>
      <c r="C3356" s="187"/>
      <c r="D3356" s="187"/>
      <c r="E3356" s="187"/>
      <c r="F3356" s="187"/>
      <c r="G3356" s="187"/>
      <c r="J3356" s="186"/>
      <c r="K3356" s="180"/>
      <c r="L3356" s="180"/>
    </row>
    <row r="3357" spans="2:12" s="188" customFormat="1" ht="15" customHeight="1">
      <c r="B3357" s="187"/>
      <c r="C3357" s="187"/>
      <c r="D3357" s="187"/>
      <c r="E3357" s="187"/>
      <c r="F3357" s="187"/>
      <c r="G3357" s="187"/>
      <c r="J3357" s="186"/>
      <c r="K3357" s="180"/>
      <c r="L3357" s="180"/>
    </row>
    <row r="3358" spans="2:12" s="188" customFormat="1" ht="15" customHeight="1">
      <c r="B3358" s="187"/>
      <c r="C3358" s="187"/>
      <c r="D3358" s="187"/>
      <c r="E3358" s="187"/>
      <c r="F3358" s="187"/>
      <c r="G3358" s="187"/>
      <c r="J3358" s="186"/>
      <c r="K3358" s="180"/>
      <c r="L3358" s="180"/>
    </row>
    <row r="3359" spans="2:12" s="188" customFormat="1" ht="15" customHeight="1">
      <c r="B3359" s="187"/>
      <c r="C3359" s="187"/>
      <c r="D3359" s="187"/>
      <c r="E3359" s="187"/>
      <c r="F3359" s="187"/>
      <c r="G3359" s="187"/>
      <c r="J3359" s="186"/>
      <c r="K3359" s="180"/>
      <c r="L3359" s="180"/>
    </row>
    <row r="3360" spans="2:12" s="188" customFormat="1" ht="15" customHeight="1">
      <c r="B3360" s="187"/>
      <c r="C3360" s="187"/>
      <c r="D3360" s="187"/>
      <c r="E3360" s="187"/>
      <c r="F3360" s="187"/>
      <c r="G3360" s="187"/>
      <c r="J3360" s="186"/>
      <c r="K3360" s="180"/>
      <c r="L3360" s="180"/>
    </row>
    <row r="3361" spans="2:12" s="188" customFormat="1" ht="15" customHeight="1">
      <c r="B3361" s="187"/>
      <c r="C3361" s="187"/>
      <c r="D3361" s="187"/>
      <c r="E3361" s="187"/>
      <c r="F3361" s="187"/>
      <c r="G3361" s="187"/>
      <c r="J3361" s="186"/>
      <c r="K3361" s="180"/>
      <c r="L3361" s="180"/>
    </row>
    <row r="3362" spans="2:12" s="188" customFormat="1" ht="15" customHeight="1">
      <c r="B3362" s="187"/>
      <c r="C3362" s="187"/>
      <c r="D3362" s="187"/>
      <c r="E3362" s="187"/>
      <c r="F3362" s="187"/>
      <c r="G3362" s="187"/>
      <c r="J3362" s="186"/>
      <c r="K3362" s="180"/>
      <c r="L3362" s="180"/>
    </row>
    <row r="3363" spans="2:12" s="188" customFormat="1" ht="15" customHeight="1">
      <c r="B3363" s="187"/>
      <c r="C3363" s="187"/>
      <c r="D3363" s="187"/>
      <c r="E3363" s="187"/>
      <c r="F3363" s="187"/>
      <c r="G3363" s="187"/>
      <c r="J3363" s="186"/>
      <c r="K3363" s="180"/>
      <c r="L3363" s="180"/>
    </row>
    <row r="3364" spans="2:12" s="188" customFormat="1" ht="15" customHeight="1">
      <c r="B3364" s="187"/>
      <c r="C3364" s="187"/>
      <c r="D3364" s="187"/>
      <c r="E3364" s="187"/>
      <c r="F3364" s="187"/>
      <c r="G3364" s="187"/>
      <c r="J3364" s="186"/>
      <c r="K3364" s="180"/>
      <c r="L3364" s="180"/>
    </row>
    <row r="3365" spans="2:12" s="188" customFormat="1" ht="15" customHeight="1">
      <c r="B3365" s="187"/>
      <c r="C3365" s="187"/>
      <c r="D3365" s="187"/>
      <c r="E3365" s="187"/>
      <c r="F3365" s="187"/>
      <c r="G3365" s="187"/>
      <c r="J3365" s="186"/>
      <c r="K3365" s="180"/>
      <c r="L3365" s="180"/>
    </row>
    <row r="3366" spans="2:12" s="188" customFormat="1" ht="15" customHeight="1">
      <c r="B3366" s="187"/>
      <c r="C3366" s="187"/>
      <c r="D3366" s="187"/>
      <c r="E3366" s="187"/>
      <c r="F3366" s="187"/>
      <c r="G3366" s="187"/>
      <c r="J3366" s="186"/>
      <c r="K3366" s="180"/>
      <c r="L3366" s="180"/>
    </row>
    <row r="3367" spans="2:12" s="188" customFormat="1" ht="15" customHeight="1">
      <c r="B3367" s="187"/>
      <c r="C3367" s="187"/>
      <c r="D3367" s="187"/>
      <c r="E3367" s="187"/>
      <c r="F3367" s="187"/>
      <c r="G3367" s="187"/>
      <c r="J3367" s="186"/>
      <c r="K3367" s="180"/>
      <c r="L3367" s="180"/>
    </row>
    <row r="3368" spans="2:12" s="188" customFormat="1" ht="15" customHeight="1">
      <c r="B3368" s="187"/>
      <c r="C3368" s="187"/>
      <c r="D3368" s="187"/>
      <c r="E3368" s="187"/>
      <c r="F3368" s="187"/>
      <c r="G3368" s="187"/>
      <c r="J3368" s="186"/>
      <c r="K3368" s="180"/>
      <c r="L3368" s="180"/>
    </row>
    <row r="3369" spans="2:12" s="188" customFormat="1" ht="15" customHeight="1">
      <c r="B3369" s="187"/>
      <c r="C3369" s="187"/>
      <c r="D3369" s="187"/>
      <c r="E3369" s="187"/>
      <c r="F3369" s="187"/>
      <c r="G3369" s="187"/>
      <c r="J3369" s="186"/>
      <c r="K3369" s="180"/>
      <c r="L3369" s="180"/>
    </row>
    <row r="3370" spans="2:12" s="188" customFormat="1" ht="15" customHeight="1">
      <c r="B3370" s="187"/>
      <c r="C3370" s="187"/>
      <c r="D3370" s="187"/>
      <c r="E3370" s="187"/>
      <c r="F3370" s="187"/>
      <c r="G3370" s="187"/>
      <c r="J3370" s="186"/>
      <c r="K3370" s="180"/>
      <c r="L3370" s="180"/>
    </row>
    <row r="3371" spans="2:12" s="188" customFormat="1" ht="15" customHeight="1">
      <c r="B3371" s="187"/>
      <c r="C3371" s="187"/>
      <c r="D3371" s="187"/>
      <c r="E3371" s="187"/>
      <c r="F3371" s="187"/>
      <c r="G3371" s="187"/>
      <c r="J3371" s="186"/>
      <c r="K3371" s="180"/>
      <c r="L3371" s="180"/>
    </row>
    <row r="3372" spans="2:12" s="188" customFormat="1" ht="15" customHeight="1">
      <c r="B3372" s="187"/>
      <c r="C3372" s="187"/>
      <c r="D3372" s="187"/>
      <c r="E3372" s="187"/>
      <c r="F3372" s="187"/>
      <c r="G3372" s="187"/>
      <c r="J3372" s="186"/>
      <c r="K3372" s="180"/>
      <c r="L3372" s="180"/>
    </row>
    <row r="3373" spans="2:12" s="188" customFormat="1" ht="15" customHeight="1">
      <c r="B3373" s="187"/>
      <c r="C3373" s="187"/>
      <c r="D3373" s="187"/>
      <c r="E3373" s="187"/>
      <c r="F3373" s="187"/>
      <c r="G3373" s="187"/>
      <c r="J3373" s="186"/>
      <c r="K3373" s="180"/>
      <c r="L3373" s="180"/>
    </row>
    <row r="3374" spans="2:12" s="188" customFormat="1" ht="15" customHeight="1">
      <c r="B3374" s="187"/>
      <c r="C3374" s="187"/>
      <c r="D3374" s="187"/>
      <c r="E3374" s="187"/>
      <c r="F3374" s="187"/>
      <c r="G3374" s="187"/>
      <c r="J3374" s="186"/>
      <c r="K3374" s="180"/>
      <c r="L3374" s="180"/>
    </row>
    <row r="3375" spans="2:12" s="188" customFormat="1" ht="15" customHeight="1">
      <c r="B3375" s="187"/>
      <c r="C3375" s="187"/>
      <c r="D3375" s="187"/>
      <c r="E3375" s="187"/>
      <c r="F3375" s="187"/>
      <c r="G3375" s="187"/>
      <c r="J3375" s="186"/>
      <c r="K3375" s="180"/>
      <c r="L3375" s="180"/>
    </row>
    <row r="3376" spans="2:12" s="188" customFormat="1" ht="15" customHeight="1">
      <c r="B3376" s="187"/>
      <c r="C3376" s="187"/>
      <c r="D3376" s="187"/>
      <c r="E3376" s="187"/>
      <c r="F3376" s="187"/>
      <c r="G3376" s="187"/>
      <c r="J3376" s="186"/>
      <c r="K3376" s="180"/>
      <c r="L3376" s="180"/>
    </row>
    <row r="3377" spans="2:12" s="188" customFormat="1" ht="15" customHeight="1">
      <c r="B3377" s="187"/>
      <c r="C3377" s="187"/>
      <c r="D3377" s="187"/>
      <c r="E3377" s="187"/>
      <c r="F3377" s="187"/>
      <c r="G3377" s="187"/>
      <c r="J3377" s="186"/>
      <c r="K3377" s="180"/>
      <c r="L3377" s="180"/>
    </row>
    <row r="3378" spans="2:12" s="188" customFormat="1" ht="15" customHeight="1">
      <c r="B3378" s="187"/>
      <c r="C3378" s="187"/>
      <c r="D3378" s="187"/>
      <c r="E3378" s="187"/>
      <c r="F3378" s="187"/>
      <c r="G3378" s="187"/>
      <c r="J3378" s="186"/>
      <c r="K3378" s="180"/>
      <c r="L3378" s="180"/>
    </row>
    <row r="3379" spans="2:12" s="188" customFormat="1" ht="15" customHeight="1">
      <c r="B3379" s="187"/>
      <c r="C3379" s="187"/>
      <c r="D3379" s="187"/>
      <c r="E3379" s="187"/>
      <c r="F3379" s="187"/>
      <c r="G3379" s="187"/>
      <c r="J3379" s="186"/>
      <c r="K3379" s="180"/>
      <c r="L3379" s="180"/>
    </row>
    <row r="3380" spans="2:12" s="188" customFormat="1" ht="15" customHeight="1">
      <c r="B3380" s="187"/>
      <c r="C3380" s="187"/>
      <c r="D3380" s="187"/>
      <c r="E3380" s="187"/>
      <c r="F3380" s="187"/>
      <c r="G3380" s="187"/>
      <c r="J3380" s="186"/>
      <c r="K3380" s="180"/>
      <c r="L3380" s="180"/>
    </row>
    <row r="3381" spans="2:12" s="188" customFormat="1" ht="15" customHeight="1">
      <c r="B3381" s="187"/>
      <c r="C3381" s="187"/>
      <c r="D3381" s="187"/>
      <c r="E3381" s="187"/>
      <c r="F3381" s="187"/>
      <c r="G3381" s="187"/>
      <c r="J3381" s="186"/>
      <c r="K3381" s="180"/>
      <c r="L3381" s="180"/>
    </row>
    <row r="3382" spans="2:12" s="188" customFormat="1" ht="15" customHeight="1">
      <c r="B3382" s="187"/>
      <c r="C3382" s="187"/>
      <c r="D3382" s="187"/>
      <c r="E3382" s="187"/>
      <c r="F3382" s="187"/>
      <c r="G3382" s="187"/>
      <c r="J3382" s="186"/>
      <c r="K3382" s="180"/>
      <c r="L3382" s="180"/>
    </row>
    <row r="3383" spans="2:12" s="188" customFormat="1" ht="15" customHeight="1">
      <c r="B3383" s="187"/>
      <c r="C3383" s="187"/>
      <c r="D3383" s="187"/>
      <c r="E3383" s="187"/>
      <c r="F3383" s="187"/>
      <c r="G3383" s="187"/>
      <c r="J3383" s="186"/>
      <c r="K3383" s="180"/>
      <c r="L3383" s="180"/>
    </row>
    <row r="3384" spans="2:12" s="188" customFormat="1" ht="15" customHeight="1">
      <c r="B3384" s="187"/>
      <c r="C3384" s="187"/>
      <c r="D3384" s="187"/>
      <c r="E3384" s="187"/>
      <c r="F3384" s="187"/>
      <c r="G3384" s="187"/>
      <c r="J3384" s="186"/>
      <c r="K3384" s="180"/>
      <c r="L3384" s="180"/>
    </row>
    <row r="3385" spans="2:12" s="188" customFormat="1" ht="15" customHeight="1">
      <c r="B3385" s="187"/>
      <c r="C3385" s="187"/>
      <c r="D3385" s="187"/>
      <c r="E3385" s="187"/>
      <c r="F3385" s="187"/>
      <c r="G3385" s="187"/>
      <c r="J3385" s="186"/>
      <c r="K3385" s="180"/>
      <c r="L3385" s="180"/>
    </row>
    <row r="3386" spans="2:12" s="188" customFormat="1" ht="15" customHeight="1">
      <c r="B3386" s="187"/>
      <c r="C3386" s="187"/>
      <c r="D3386" s="187"/>
      <c r="E3386" s="187"/>
      <c r="F3386" s="187"/>
      <c r="G3386" s="187"/>
      <c r="J3386" s="186"/>
      <c r="K3386" s="180"/>
      <c r="L3386" s="180"/>
    </row>
    <row r="3387" spans="2:12" s="188" customFormat="1" ht="15" customHeight="1">
      <c r="B3387" s="187"/>
      <c r="C3387" s="187"/>
      <c r="D3387" s="187"/>
      <c r="E3387" s="187"/>
      <c r="F3387" s="187"/>
      <c r="G3387" s="187"/>
      <c r="J3387" s="186"/>
      <c r="K3387" s="180"/>
      <c r="L3387" s="180"/>
    </row>
    <row r="3388" spans="2:12" s="188" customFormat="1" ht="15" customHeight="1">
      <c r="B3388" s="187"/>
      <c r="C3388" s="187"/>
      <c r="D3388" s="187"/>
      <c r="E3388" s="187"/>
      <c r="F3388" s="187"/>
      <c r="G3388" s="187"/>
      <c r="J3388" s="186"/>
      <c r="K3388" s="180"/>
      <c r="L3388" s="180"/>
    </row>
    <row r="3389" spans="2:12" s="188" customFormat="1" ht="15" customHeight="1">
      <c r="B3389" s="187"/>
      <c r="C3389" s="187"/>
      <c r="D3389" s="187"/>
      <c r="E3389" s="187"/>
      <c r="F3389" s="187"/>
      <c r="G3389" s="187"/>
      <c r="J3389" s="186"/>
      <c r="K3389" s="180"/>
      <c r="L3389" s="180"/>
    </row>
    <row r="3390" spans="2:12" s="188" customFormat="1" ht="15" customHeight="1">
      <c r="B3390" s="187"/>
      <c r="C3390" s="187"/>
      <c r="D3390" s="187"/>
      <c r="E3390" s="187"/>
      <c r="F3390" s="187"/>
      <c r="G3390" s="187"/>
      <c r="J3390" s="186"/>
      <c r="K3390" s="180"/>
      <c r="L3390" s="180"/>
    </row>
    <row r="3391" spans="2:12" s="188" customFormat="1" ht="15" customHeight="1">
      <c r="B3391" s="187"/>
      <c r="C3391" s="187"/>
      <c r="D3391" s="187"/>
      <c r="E3391" s="187"/>
      <c r="F3391" s="187"/>
      <c r="G3391" s="187"/>
      <c r="J3391" s="186"/>
      <c r="K3391" s="180"/>
      <c r="L3391" s="180"/>
    </row>
    <row r="3392" spans="2:12" s="188" customFormat="1" ht="15" customHeight="1">
      <c r="B3392" s="187"/>
      <c r="C3392" s="187"/>
      <c r="D3392" s="187"/>
      <c r="E3392" s="187"/>
      <c r="F3392" s="187"/>
      <c r="G3392" s="187"/>
      <c r="J3392" s="186"/>
      <c r="K3392" s="180"/>
      <c r="L3392" s="180"/>
    </row>
    <row r="3393" spans="2:12" s="188" customFormat="1" ht="15" customHeight="1">
      <c r="B3393" s="187"/>
      <c r="C3393" s="187"/>
      <c r="D3393" s="187"/>
      <c r="E3393" s="187"/>
      <c r="F3393" s="187"/>
      <c r="G3393" s="187"/>
      <c r="J3393" s="186"/>
      <c r="K3393" s="180"/>
      <c r="L3393" s="180"/>
    </row>
    <row r="3394" spans="2:12" s="188" customFormat="1" ht="15" customHeight="1">
      <c r="B3394" s="187"/>
      <c r="C3394" s="187"/>
      <c r="D3394" s="187"/>
      <c r="E3394" s="187"/>
      <c r="F3394" s="187"/>
      <c r="G3394" s="187"/>
      <c r="J3394" s="186"/>
      <c r="K3394" s="180"/>
      <c r="L3394" s="180"/>
    </row>
    <row r="3395" spans="2:12" s="188" customFormat="1" ht="15" customHeight="1">
      <c r="B3395" s="187"/>
      <c r="C3395" s="187"/>
      <c r="D3395" s="187"/>
      <c r="E3395" s="187"/>
      <c r="F3395" s="187"/>
      <c r="G3395" s="187"/>
      <c r="J3395" s="186"/>
      <c r="K3395" s="180"/>
      <c r="L3395" s="180"/>
    </row>
    <row r="3396" spans="2:12" s="188" customFormat="1" ht="15" customHeight="1">
      <c r="B3396" s="187"/>
      <c r="C3396" s="187"/>
      <c r="D3396" s="187"/>
      <c r="E3396" s="187"/>
      <c r="F3396" s="187"/>
      <c r="G3396" s="187"/>
      <c r="J3396" s="186"/>
      <c r="K3396" s="180"/>
      <c r="L3396" s="180"/>
    </row>
    <row r="3397" spans="2:12" s="188" customFormat="1" ht="15" customHeight="1">
      <c r="B3397" s="187"/>
      <c r="C3397" s="187"/>
      <c r="D3397" s="187"/>
      <c r="E3397" s="187"/>
      <c r="F3397" s="187"/>
      <c r="G3397" s="187"/>
      <c r="J3397" s="186"/>
      <c r="K3397" s="180"/>
      <c r="L3397" s="180"/>
    </row>
    <row r="3398" spans="2:12" s="188" customFormat="1" ht="15" customHeight="1">
      <c r="B3398" s="187"/>
      <c r="C3398" s="187"/>
      <c r="D3398" s="187"/>
      <c r="E3398" s="187"/>
      <c r="F3398" s="187"/>
      <c r="G3398" s="187"/>
      <c r="J3398" s="186"/>
      <c r="K3398" s="180"/>
      <c r="L3398" s="180"/>
    </row>
    <row r="3399" spans="2:12" s="188" customFormat="1" ht="15" customHeight="1">
      <c r="B3399" s="187"/>
      <c r="C3399" s="187"/>
      <c r="D3399" s="187"/>
      <c r="E3399" s="187"/>
      <c r="F3399" s="187"/>
      <c r="G3399" s="187"/>
      <c r="J3399" s="186"/>
      <c r="K3399" s="180"/>
      <c r="L3399" s="180"/>
    </row>
    <row r="3400" spans="2:12" s="188" customFormat="1" ht="15" customHeight="1">
      <c r="B3400" s="187"/>
      <c r="C3400" s="187"/>
      <c r="D3400" s="187"/>
      <c r="E3400" s="187"/>
      <c r="F3400" s="187"/>
      <c r="G3400" s="187"/>
      <c r="J3400" s="186"/>
      <c r="K3400" s="180"/>
      <c r="L3400" s="180"/>
    </row>
    <row r="3401" spans="2:12" s="188" customFormat="1" ht="15" customHeight="1">
      <c r="B3401" s="187"/>
      <c r="C3401" s="187"/>
      <c r="D3401" s="187"/>
      <c r="E3401" s="187"/>
      <c r="F3401" s="187"/>
      <c r="G3401" s="187"/>
      <c r="J3401" s="186"/>
      <c r="K3401" s="180"/>
      <c r="L3401" s="180"/>
    </row>
    <row r="3402" spans="2:12" s="188" customFormat="1" ht="15" customHeight="1">
      <c r="B3402" s="187"/>
      <c r="C3402" s="187"/>
      <c r="D3402" s="187"/>
      <c r="E3402" s="187"/>
      <c r="F3402" s="187"/>
      <c r="G3402" s="187"/>
      <c r="J3402" s="186"/>
      <c r="K3402" s="180"/>
      <c r="L3402" s="180"/>
    </row>
    <row r="3403" spans="2:12" s="188" customFormat="1" ht="15" customHeight="1">
      <c r="B3403" s="187"/>
      <c r="C3403" s="187"/>
      <c r="D3403" s="187"/>
      <c r="E3403" s="187"/>
      <c r="F3403" s="187"/>
      <c r="G3403" s="187"/>
      <c r="J3403" s="186"/>
      <c r="K3403" s="180"/>
      <c r="L3403" s="180"/>
    </row>
    <row r="3404" spans="2:12" s="188" customFormat="1" ht="15" customHeight="1">
      <c r="B3404" s="187"/>
      <c r="C3404" s="187"/>
      <c r="D3404" s="187"/>
      <c r="E3404" s="187"/>
      <c r="F3404" s="187"/>
      <c r="G3404" s="187"/>
      <c r="J3404" s="186"/>
      <c r="K3404" s="180"/>
      <c r="L3404" s="180"/>
    </row>
    <row r="3405" spans="2:12" s="188" customFormat="1" ht="15" customHeight="1">
      <c r="B3405" s="187"/>
      <c r="C3405" s="187"/>
      <c r="D3405" s="187"/>
      <c r="E3405" s="187"/>
      <c r="F3405" s="187"/>
      <c r="G3405" s="187"/>
      <c r="J3405" s="186"/>
      <c r="K3405" s="180"/>
      <c r="L3405" s="180"/>
    </row>
    <row r="3406" spans="2:12" s="188" customFormat="1" ht="15" customHeight="1">
      <c r="B3406" s="187"/>
      <c r="C3406" s="187"/>
      <c r="D3406" s="187"/>
      <c r="E3406" s="187"/>
      <c r="F3406" s="187"/>
      <c r="G3406" s="187"/>
      <c r="J3406" s="186"/>
      <c r="K3406" s="180"/>
      <c r="L3406" s="180"/>
    </row>
    <row r="3407" spans="2:12" s="188" customFormat="1" ht="15" customHeight="1">
      <c r="B3407" s="187"/>
      <c r="C3407" s="187"/>
      <c r="D3407" s="187"/>
      <c r="E3407" s="187"/>
      <c r="F3407" s="187"/>
      <c r="G3407" s="187"/>
      <c r="J3407" s="186"/>
      <c r="K3407" s="180"/>
      <c r="L3407" s="180"/>
    </row>
    <row r="3408" spans="2:12" s="188" customFormat="1" ht="15" customHeight="1">
      <c r="B3408" s="187"/>
      <c r="C3408" s="187"/>
      <c r="D3408" s="187"/>
      <c r="E3408" s="187"/>
      <c r="F3408" s="187"/>
      <c r="G3408" s="187"/>
      <c r="J3408" s="186"/>
      <c r="K3408" s="180"/>
      <c r="L3408" s="180"/>
    </row>
    <row r="3409" spans="2:12" s="188" customFormat="1" ht="15" customHeight="1">
      <c r="B3409" s="187"/>
      <c r="C3409" s="187"/>
      <c r="D3409" s="187"/>
      <c r="E3409" s="187"/>
      <c r="F3409" s="187"/>
      <c r="G3409" s="187"/>
      <c r="J3409" s="186"/>
      <c r="K3409" s="180"/>
      <c r="L3409" s="180"/>
    </row>
    <row r="3410" spans="2:12" s="188" customFormat="1" ht="15" customHeight="1">
      <c r="B3410" s="187"/>
      <c r="C3410" s="187"/>
      <c r="D3410" s="187"/>
      <c r="E3410" s="187"/>
      <c r="F3410" s="187"/>
      <c r="G3410" s="187"/>
      <c r="J3410" s="186"/>
      <c r="K3410" s="180"/>
      <c r="L3410" s="180"/>
    </row>
    <row r="3411" spans="2:12" s="188" customFormat="1" ht="15" customHeight="1">
      <c r="B3411" s="187"/>
      <c r="C3411" s="187"/>
      <c r="D3411" s="187"/>
      <c r="E3411" s="187"/>
      <c r="F3411" s="187"/>
      <c r="G3411" s="187"/>
      <c r="J3411" s="186"/>
      <c r="K3411" s="180"/>
      <c r="L3411" s="180"/>
    </row>
    <row r="3412" spans="2:12" s="188" customFormat="1" ht="15" customHeight="1">
      <c r="B3412" s="187"/>
      <c r="C3412" s="187"/>
      <c r="D3412" s="187"/>
      <c r="E3412" s="187"/>
      <c r="F3412" s="187"/>
      <c r="G3412" s="187"/>
      <c r="J3412" s="186"/>
      <c r="K3412" s="180"/>
      <c r="L3412" s="180"/>
    </row>
    <row r="3413" spans="2:12" s="188" customFormat="1" ht="15" customHeight="1">
      <c r="B3413" s="187"/>
      <c r="C3413" s="187"/>
      <c r="D3413" s="187"/>
      <c r="E3413" s="187"/>
      <c r="F3413" s="187"/>
      <c r="G3413" s="187"/>
      <c r="J3413" s="186"/>
      <c r="K3413" s="180"/>
      <c r="L3413" s="180"/>
    </row>
    <row r="3414" spans="2:12" s="188" customFormat="1" ht="15" customHeight="1">
      <c r="B3414" s="187"/>
      <c r="C3414" s="187"/>
      <c r="D3414" s="187"/>
      <c r="E3414" s="187"/>
      <c r="F3414" s="187"/>
      <c r="G3414" s="187"/>
      <c r="J3414" s="186"/>
      <c r="K3414" s="180"/>
      <c r="L3414" s="180"/>
    </row>
    <row r="3415" spans="2:12" s="188" customFormat="1" ht="15" customHeight="1">
      <c r="B3415" s="187"/>
      <c r="C3415" s="187"/>
      <c r="D3415" s="187"/>
      <c r="E3415" s="187"/>
      <c r="F3415" s="187"/>
      <c r="G3415" s="187"/>
      <c r="J3415" s="186"/>
      <c r="K3415" s="180"/>
      <c r="L3415" s="180"/>
    </row>
    <row r="3416" spans="2:12" s="188" customFormat="1" ht="15" customHeight="1">
      <c r="B3416" s="187"/>
      <c r="C3416" s="187"/>
      <c r="D3416" s="187"/>
      <c r="E3416" s="187"/>
      <c r="F3416" s="187"/>
      <c r="G3416" s="187"/>
      <c r="J3416" s="186"/>
      <c r="K3416" s="180"/>
      <c r="L3416" s="180"/>
    </row>
    <row r="3417" spans="2:12" s="188" customFormat="1" ht="15" customHeight="1">
      <c r="B3417" s="187"/>
      <c r="C3417" s="187"/>
      <c r="D3417" s="187"/>
      <c r="E3417" s="187"/>
      <c r="F3417" s="187"/>
      <c r="G3417" s="187"/>
      <c r="J3417" s="186"/>
      <c r="K3417" s="180"/>
      <c r="L3417" s="180"/>
    </row>
    <row r="3418" spans="2:12" s="188" customFormat="1" ht="15" customHeight="1">
      <c r="B3418" s="187"/>
      <c r="C3418" s="187"/>
      <c r="D3418" s="187"/>
      <c r="E3418" s="187"/>
      <c r="F3418" s="187"/>
      <c r="G3418" s="187"/>
      <c r="J3418" s="186"/>
      <c r="K3418" s="180"/>
      <c r="L3418" s="180"/>
    </row>
    <row r="3419" spans="2:12" s="188" customFormat="1" ht="15" customHeight="1">
      <c r="B3419" s="187"/>
      <c r="C3419" s="187"/>
      <c r="D3419" s="187"/>
      <c r="E3419" s="187"/>
      <c r="F3419" s="187"/>
      <c r="G3419" s="187"/>
      <c r="J3419" s="186"/>
      <c r="K3419" s="180"/>
      <c r="L3419" s="180"/>
    </row>
    <row r="3420" spans="2:12" s="188" customFormat="1" ht="15" customHeight="1">
      <c r="B3420" s="187"/>
      <c r="C3420" s="187"/>
      <c r="D3420" s="187"/>
      <c r="E3420" s="187"/>
      <c r="F3420" s="187"/>
      <c r="G3420" s="187"/>
      <c r="J3420" s="186"/>
      <c r="K3420" s="180"/>
      <c r="L3420" s="180"/>
    </row>
    <row r="3421" spans="2:12" s="188" customFormat="1" ht="15" customHeight="1">
      <c r="B3421" s="187"/>
      <c r="C3421" s="187"/>
      <c r="D3421" s="187"/>
      <c r="E3421" s="187"/>
      <c r="F3421" s="187"/>
      <c r="G3421" s="187"/>
      <c r="J3421" s="186"/>
      <c r="K3421" s="180"/>
      <c r="L3421" s="180"/>
    </row>
    <row r="3422" spans="2:12" s="188" customFormat="1" ht="15" customHeight="1">
      <c r="B3422" s="187"/>
      <c r="C3422" s="187"/>
      <c r="D3422" s="187"/>
      <c r="E3422" s="187"/>
      <c r="F3422" s="187"/>
      <c r="G3422" s="187"/>
      <c r="J3422" s="186"/>
      <c r="K3422" s="180"/>
      <c r="L3422" s="180"/>
    </row>
    <row r="3423" spans="2:12" s="188" customFormat="1" ht="15" customHeight="1">
      <c r="B3423" s="187"/>
      <c r="C3423" s="187"/>
      <c r="D3423" s="187"/>
      <c r="E3423" s="187"/>
      <c r="F3423" s="187"/>
      <c r="G3423" s="187"/>
      <c r="J3423" s="186"/>
      <c r="K3423" s="180"/>
      <c r="L3423" s="180"/>
    </row>
    <row r="3424" spans="2:12" s="188" customFormat="1" ht="15" customHeight="1">
      <c r="B3424" s="187"/>
      <c r="C3424" s="187"/>
      <c r="D3424" s="187"/>
      <c r="E3424" s="187"/>
      <c r="F3424" s="187"/>
      <c r="G3424" s="187"/>
      <c r="J3424" s="186"/>
      <c r="K3424" s="180"/>
      <c r="L3424" s="180"/>
    </row>
    <row r="3425" spans="2:12" s="188" customFormat="1" ht="15" customHeight="1">
      <c r="B3425" s="187"/>
      <c r="C3425" s="187"/>
      <c r="D3425" s="187"/>
      <c r="E3425" s="187"/>
      <c r="F3425" s="187"/>
      <c r="G3425" s="187"/>
      <c r="J3425" s="186"/>
      <c r="K3425" s="180"/>
      <c r="L3425" s="180"/>
    </row>
    <row r="3426" spans="2:12" s="188" customFormat="1" ht="15" customHeight="1">
      <c r="B3426" s="187"/>
      <c r="C3426" s="187"/>
      <c r="D3426" s="187"/>
      <c r="E3426" s="187"/>
      <c r="F3426" s="187"/>
      <c r="G3426" s="187"/>
      <c r="J3426" s="186"/>
      <c r="K3426" s="180"/>
      <c r="L3426" s="180"/>
    </row>
    <row r="3427" spans="2:12" s="188" customFormat="1" ht="15" customHeight="1">
      <c r="B3427" s="187"/>
      <c r="C3427" s="187"/>
      <c r="D3427" s="187"/>
      <c r="E3427" s="187"/>
      <c r="F3427" s="187"/>
      <c r="G3427" s="187"/>
      <c r="J3427" s="186"/>
      <c r="K3427" s="180"/>
      <c r="L3427" s="180"/>
    </row>
    <row r="3428" spans="2:12" s="188" customFormat="1" ht="15" customHeight="1">
      <c r="B3428" s="187"/>
      <c r="C3428" s="187"/>
      <c r="D3428" s="187"/>
      <c r="E3428" s="187"/>
      <c r="F3428" s="187"/>
      <c r="G3428" s="187"/>
      <c r="J3428" s="186"/>
      <c r="K3428" s="180"/>
      <c r="L3428" s="180"/>
    </row>
    <row r="3429" spans="2:12" s="188" customFormat="1" ht="15" customHeight="1">
      <c r="B3429" s="187"/>
      <c r="C3429" s="187"/>
      <c r="D3429" s="187"/>
      <c r="E3429" s="187"/>
      <c r="F3429" s="187"/>
      <c r="G3429" s="187"/>
      <c r="J3429" s="186"/>
      <c r="K3429" s="180"/>
      <c r="L3429" s="180"/>
    </row>
    <row r="3430" spans="2:12" s="188" customFormat="1" ht="15" customHeight="1">
      <c r="B3430" s="187"/>
      <c r="C3430" s="187"/>
      <c r="D3430" s="187"/>
      <c r="E3430" s="187"/>
      <c r="F3430" s="187"/>
      <c r="G3430" s="187"/>
      <c r="J3430" s="186"/>
      <c r="K3430" s="180"/>
      <c r="L3430" s="180"/>
    </row>
    <row r="3431" spans="2:12" s="188" customFormat="1" ht="15" customHeight="1">
      <c r="B3431" s="187"/>
      <c r="C3431" s="187"/>
      <c r="D3431" s="187"/>
      <c r="E3431" s="187"/>
      <c r="F3431" s="187"/>
      <c r="G3431" s="187"/>
      <c r="J3431" s="186"/>
      <c r="K3431" s="180"/>
      <c r="L3431" s="180"/>
    </row>
    <row r="3432" spans="2:12" s="188" customFormat="1" ht="15" customHeight="1">
      <c r="B3432" s="187"/>
      <c r="C3432" s="187"/>
      <c r="D3432" s="187"/>
      <c r="E3432" s="187"/>
      <c r="F3432" s="187"/>
      <c r="G3432" s="187"/>
      <c r="J3432" s="186"/>
      <c r="K3432" s="180"/>
      <c r="L3432" s="180"/>
    </row>
    <row r="3433" spans="2:12" s="188" customFormat="1" ht="15" customHeight="1">
      <c r="B3433" s="187"/>
      <c r="C3433" s="187"/>
      <c r="D3433" s="187"/>
      <c r="E3433" s="187"/>
      <c r="F3433" s="187"/>
      <c r="G3433" s="187"/>
      <c r="J3433" s="186"/>
      <c r="K3433" s="180"/>
      <c r="L3433" s="180"/>
    </row>
    <row r="3434" spans="2:12" s="188" customFormat="1" ht="15" customHeight="1">
      <c r="B3434" s="187"/>
      <c r="C3434" s="187"/>
      <c r="D3434" s="187"/>
      <c r="E3434" s="187"/>
      <c r="F3434" s="187"/>
      <c r="G3434" s="187"/>
      <c r="J3434" s="186"/>
      <c r="K3434" s="180"/>
      <c r="L3434" s="180"/>
    </row>
    <row r="3435" spans="2:12" s="188" customFormat="1" ht="15" customHeight="1">
      <c r="B3435" s="187"/>
      <c r="C3435" s="187"/>
      <c r="D3435" s="187"/>
      <c r="E3435" s="187"/>
      <c r="F3435" s="187"/>
      <c r="G3435" s="187"/>
      <c r="J3435" s="186"/>
      <c r="K3435" s="180"/>
      <c r="L3435" s="180"/>
    </row>
    <row r="3436" spans="2:12" s="188" customFormat="1" ht="15" customHeight="1">
      <c r="B3436" s="187"/>
      <c r="C3436" s="187"/>
      <c r="D3436" s="187"/>
      <c r="E3436" s="187"/>
      <c r="F3436" s="187"/>
      <c r="G3436" s="187"/>
      <c r="J3436" s="186"/>
      <c r="K3436" s="180"/>
      <c r="L3436" s="180"/>
    </row>
    <row r="3437" spans="2:12" s="188" customFormat="1" ht="15" customHeight="1">
      <c r="B3437" s="187"/>
      <c r="C3437" s="187"/>
      <c r="D3437" s="187"/>
      <c r="E3437" s="187"/>
      <c r="F3437" s="187"/>
      <c r="G3437" s="187"/>
      <c r="J3437" s="186"/>
      <c r="K3437" s="180"/>
      <c r="L3437" s="180"/>
    </row>
    <row r="3438" spans="2:12" s="188" customFormat="1" ht="15" customHeight="1">
      <c r="B3438" s="187"/>
      <c r="C3438" s="187"/>
      <c r="D3438" s="187"/>
      <c r="E3438" s="187"/>
      <c r="F3438" s="187"/>
      <c r="G3438" s="187"/>
      <c r="J3438" s="186"/>
      <c r="K3438" s="180"/>
      <c r="L3438" s="180"/>
    </row>
    <row r="3439" spans="2:12" s="188" customFormat="1" ht="15" customHeight="1">
      <c r="B3439" s="187"/>
      <c r="C3439" s="187"/>
      <c r="D3439" s="187"/>
      <c r="E3439" s="187"/>
      <c r="F3439" s="187"/>
      <c r="G3439" s="187"/>
      <c r="J3439" s="186"/>
      <c r="K3439" s="180"/>
      <c r="L3439" s="180"/>
    </row>
    <row r="3440" spans="2:12" s="188" customFormat="1" ht="15" customHeight="1">
      <c r="B3440" s="187"/>
      <c r="C3440" s="187"/>
      <c r="D3440" s="187"/>
      <c r="E3440" s="187"/>
      <c r="F3440" s="187"/>
      <c r="G3440" s="187"/>
      <c r="J3440" s="186"/>
      <c r="K3440" s="180"/>
      <c r="L3440" s="180"/>
    </row>
    <row r="3441" spans="2:12" s="188" customFormat="1" ht="15" customHeight="1">
      <c r="B3441" s="187"/>
      <c r="C3441" s="187"/>
      <c r="D3441" s="187"/>
      <c r="E3441" s="187"/>
      <c r="F3441" s="187"/>
      <c r="G3441" s="187"/>
      <c r="J3441" s="186"/>
      <c r="K3441" s="180"/>
      <c r="L3441" s="180"/>
    </row>
    <row r="3442" spans="2:12" s="188" customFormat="1" ht="15" customHeight="1">
      <c r="B3442" s="187"/>
      <c r="C3442" s="187"/>
      <c r="D3442" s="187"/>
      <c r="E3442" s="187"/>
      <c r="F3442" s="187"/>
      <c r="G3442" s="187"/>
      <c r="J3442" s="186"/>
      <c r="K3442" s="180"/>
      <c r="L3442" s="180"/>
    </row>
    <row r="3443" spans="2:12" s="188" customFormat="1" ht="15" customHeight="1">
      <c r="B3443" s="187"/>
      <c r="C3443" s="187"/>
      <c r="D3443" s="187"/>
      <c r="E3443" s="187"/>
      <c r="F3443" s="187"/>
      <c r="G3443" s="187"/>
      <c r="J3443" s="186"/>
      <c r="K3443" s="180"/>
      <c r="L3443" s="180"/>
    </row>
    <row r="3444" spans="2:12" s="188" customFormat="1" ht="15" customHeight="1">
      <c r="B3444" s="187"/>
      <c r="C3444" s="187"/>
      <c r="D3444" s="187"/>
      <c r="E3444" s="187"/>
      <c r="F3444" s="187"/>
      <c r="G3444" s="187"/>
      <c r="J3444" s="186"/>
      <c r="K3444" s="180"/>
      <c r="L3444" s="180"/>
    </row>
    <row r="3445" spans="2:12" s="188" customFormat="1" ht="15" customHeight="1">
      <c r="B3445" s="187"/>
      <c r="C3445" s="187"/>
      <c r="D3445" s="187"/>
      <c r="E3445" s="187"/>
      <c r="F3445" s="187"/>
      <c r="G3445" s="187"/>
      <c r="J3445" s="186"/>
      <c r="K3445" s="180"/>
      <c r="L3445" s="180"/>
    </row>
    <row r="3446" spans="2:12" s="188" customFormat="1" ht="15" customHeight="1">
      <c r="B3446" s="187"/>
      <c r="C3446" s="187"/>
      <c r="D3446" s="187"/>
      <c r="E3446" s="187"/>
      <c r="F3446" s="187"/>
      <c r="G3446" s="187"/>
      <c r="J3446" s="186"/>
      <c r="K3446" s="180"/>
      <c r="L3446" s="180"/>
    </row>
    <row r="3447" spans="2:12" s="188" customFormat="1" ht="15" customHeight="1">
      <c r="B3447" s="187"/>
      <c r="C3447" s="187"/>
      <c r="D3447" s="187"/>
      <c r="E3447" s="187"/>
      <c r="F3447" s="187"/>
      <c r="G3447" s="187"/>
      <c r="J3447" s="186"/>
      <c r="K3447" s="180"/>
      <c r="L3447" s="180"/>
    </row>
    <row r="3448" spans="2:12" s="188" customFormat="1" ht="15" customHeight="1">
      <c r="B3448" s="187"/>
      <c r="C3448" s="187"/>
      <c r="D3448" s="187"/>
      <c r="E3448" s="187"/>
      <c r="F3448" s="187"/>
      <c r="G3448" s="187"/>
      <c r="J3448" s="186"/>
      <c r="K3448" s="180"/>
      <c r="L3448" s="180"/>
    </row>
    <row r="3449" spans="2:12" s="188" customFormat="1" ht="15" customHeight="1">
      <c r="B3449" s="187"/>
      <c r="C3449" s="187"/>
      <c r="D3449" s="187"/>
      <c r="E3449" s="187"/>
      <c r="F3449" s="187"/>
      <c r="G3449" s="187"/>
      <c r="J3449" s="186"/>
      <c r="K3449" s="180"/>
      <c r="L3449" s="180"/>
    </row>
    <row r="3450" spans="2:12" s="188" customFormat="1" ht="15" customHeight="1">
      <c r="B3450" s="187"/>
      <c r="C3450" s="187"/>
      <c r="D3450" s="187"/>
      <c r="E3450" s="187"/>
      <c r="F3450" s="187"/>
      <c r="G3450" s="187"/>
      <c r="J3450" s="186"/>
      <c r="K3450" s="180"/>
      <c r="L3450" s="180"/>
    </row>
    <row r="3451" spans="2:12" s="188" customFormat="1" ht="15" customHeight="1">
      <c r="B3451" s="187"/>
      <c r="C3451" s="187"/>
      <c r="D3451" s="187"/>
      <c r="E3451" s="187"/>
      <c r="F3451" s="187"/>
      <c r="G3451" s="187"/>
      <c r="J3451" s="186"/>
      <c r="K3451" s="180"/>
      <c r="L3451" s="180"/>
    </row>
    <row r="3452" spans="2:12" s="188" customFormat="1" ht="15" customHeight="1">
      <c r="B3452" s="187"/>
      <c r="C3452" s="187"/>
      <c r="D3452" s="187"/>
      <c r="E3452" s="187"/>
      <c r="F3452" s="187"/>
      <c r="G3452" s="187"/>
      <c r="J3452" s="186"/>
      <c r="K3452" s="180"/>
      <c r="L3452" s="180"/>
    </row>
    <row r="3453" spans="2:12" s="188" customFormat="1" ht="15" customHeight="1">
      <c r="B3453" s="187"/>
      <c r="C3453" s="187"/>
      <c r="D3453" s="187"/>
      <c r="E3453" s="187"/>
      <c r="F3453" s="187"/>
      <c r="G3453" s="187"/>
      <c r="J3453" s="186"/>
      <c r="K3453" s="180"/>
      <c r="L3453" s="180"/>
    </row>
    <row r="3454" spans="2:12" s="188" customFormat="1" ht="15" customHeight="1">
      <c r="B3454" s="187"/>
      <c r="C3454" s="187"/>
      <c r="D3454" s="187"/>
      <c r="E3454" s="187"/>
      <c r="F3454" s="187"/>
      <c r="G3454" s="187"/>
      <c r="J3454" s="186"/>
      <c r="K3454" s="180"/>
      <c r="L3454" s="180"/>
    </row>
    <row r="3455" spans="2:12" s="188" customFormat="1" ht="15" customHeight="1">
      <c r="B3455" s="187"/>
      <c r="C3455" s="187"/>
      <c r="D3455" s="187"/>
      <c r="E3455" s="187"/>
      <c r="F3455" s="187"/>
      <c r="G3455" s="187"/>
      <c r="J3455" s="186"/>
      <c r="K3455" s="180"/>
      <c r="L3455" s="180"/>
    </row>
    <row r="3456" spans="2:12" s="188" customFormat="1" ht="15" customHeight="1">
      <c r="B3456" s="187"/>
      <c r="C3456" s="187"/>
      <c r="D3456" s="187"/>
      <c r="E3456" s="187"/>
      <c r="F3456" s="187"/>
      <c r="G3456" s="187"/>
      <c r="J3456" s="186"/>
      <c r="K3456" s="180"/>
      <c r="L3456" s="180"/>
    </row>
    <row r="3457" spans="2:12" s="188" customFormat="1" ht="15" customHeight="1">
      <c r="B3457" s="187"/>
      <c r="C3457" s="187"/>
      <c r="D3457" s="187"/>
      <c r="E3457" s="187"/>
      <c r="F3457" s="187"/>
      <c r="G3457" s="187"/>
      <c r="J3457" s="186"/>
      <c r="K3457" s="180"/>
      <c r="L3457" s="180"/>
    </row>
    <row r="3458" spans="2:12" s="188" customFormat="1" ht="15" customHeight="1">
      <c r="B3458" s="187"/>
      <c r="C3458" s="187"/>
      <c r="D3458" s="187"/>
      <c r="E3458" s="187"/>
      <c r="F3458" s="187"/>
      <c r="G3458" s="187"/>
      <c r="J3458" s="186"/>
      <c r="K3458" s="180"/>
      <c r="L3458" s="180"/>
    </row>
    <row r="3459" spans="2:12" s="188" customFormat="1" ht="15" customHeight="1">
      <c r="B3459" s="187"/>
      <c r="C3459" s="187"/>
      <c r="D3459" s="187"/>
      <c r="E3459" s="187"/>
      <c r="F3459" s="187"/>
      <c r="G3459" s="187"/>
      <c r="J3459" s="186"/>
      <c r="K3459" s="180"/>
      <c r="L3459" s="180"/>
    </row>
    <row r="3460" spans="2:12" s="188" customFormat="1" ht="15" customHeight="1">
      <c r="B3460" s="187"/>
      <c r="C3460" s="187"/>
      <c r="D3460" s="187"/>
      <c r="E3460" s="187"/>
      <c r="F3460" s="187"/>
      <c r="G3460" s="187"/>
      <c r="J3460" s="186"/>
      <c r="K3460" s="180"/>
      <c r="L3460" s="180"/>
    </row>
    <row r="3461" spans="2:12" s="188" customFormat="1" ht="15" customHeight="1">
      <c r="B3461" s="187"/>
      <c r="C3461" s="187"/>
      <c r="D3461" s="187"/>
      <c r="E3461" s="187"/>
      <c r="F3461" s="187"/>
      <c r="G3461" s="187"/>
      <c r="J3461" s="186"/>
      <c r="K3461" s="180"/>
      <c r="L3461" s="180"/>
    </row>
    <row r="3462" spans="2:12" s="188" customFormat="1" ht="15" customHeight="1">
      <c r="B3462" s="187"/>
      <c r="C3462" s="187"/>
      <c r="D3462" s="187"/>
      <c r="E3462" s="187"/>
      <c r="F3462" s="187"/>
      <c r="G3462" s="187"/>
      <c r="J3462" s="186"/>
      <c r="K3462" s="180"/>
      <c r="L3462" s="180"/>
    </row>
    <row r="3463" spans="2:12" s="188" customFormat="1" ht="15" customHeight="1">
      <c r="B3463" s="187"/>
      <c r="C3463" s="187"/>
      <c r="D3463" s="187"/>
      <c r="E3463" s="187"/>
      <c r="F3463" s="187"/>
      <c r="G3463" s="187"/>
      <c r="J3463" s="186"/>
      <c r="K3463" s="180"/>
      <c r="L3463" s="180"/>
    </row>
    <row r="3464" spans="2:12" s="188" customFormat="1" ht="15" customHeight="1">
      <c r="B3464" s="187"/>
      <c r="C3464" s="187"/>
      <c r="D3464" s="187"/>
      <c r="E3464" s="187"/>
      <c r="F3464" s="187"/>
      <c r="G3464" s="187"/>
      <c r="J3464" s="186"/>
      <c r="K3464" s="180"/>
      <c r="L3464" s="180"/>
    </row>
    <row r="3465" spans="2:12" s="188" customFormat="1" ht="15" customHeight="1">
      <c r="B3465" s="187"/>
      <c r="C3465" s="187"/>
      <c r="D3465" s="187"/>
      <c r="E3465" s="187"/>
      <c r="F3465" s="187"/>
      <c r="G3465" s="187"/>
      <c r="J3465" s="186"/>
      <c r="K3465" s="180"/>
      <c r="L3465" s="180"/>
    </row>
    <row r="3466" spans="2:12" s="188" customFormat="1" ht="15" customHeight="1">
      <c r="B3466" s="187"/>
      <c r="C3466" s="187"/>
      <c r="D3466" s="187"/>
      <c r="E3466" s="187"/>
      <c r="F3466" s="187"/>
      <c r="G3466" s="187"/>
      <c r="J3466" s="186"/>
      <c r="K3466" s="180"/>
      <c r="L3466" s="180"/>
    </row>
    <row r="3467" spans="2:12" s="188" customFormat="1" ht="15" customHeight="1">
      <c r="B3467" s="187"/>
      <c r="C3467" s="187"/>
      <c r="D3467" s="187"/>
      <c r="E3467" s="187"/>
      <c r="F3467" s="187"/>
      <c r="G3467" s="187"/>
      <c r="J3467" s="186"/>
      <c r="K3467" s="180"/>
      <c r="L3467" s="180"/>
    </row>
    <row r="3468" spans="2:12" s="188" customFormat="1" ht="15" customHeight="1">
      <c r="B3468" s="187"/>
      <c r="C3468" s="187"/>
      <c r="D3468" s="187"/>
      <c r="E3468" s="187"/>
      <c r="F3468" s="187"/>
      <c r="G3468" s="187"/>
      <c r="J3468" s="186"/>
      <c r="K3468" s="180"/>
      <c r="L3468" s="180"/>
    </row>
    <row r="3469" spans="2:12" s="188" customFormat="1" ht="15" customHeight="1">
      <c r="B3469" s="187"/>
      <c r="C3469" s="187"/>
      <c r="D3469" s="187"/>
      <c r="E3469" s="187"/>
      <c r="F3469" s="187"/>
      <c r="G3469" s="187"/>
      <c r="J3469" s="186"/>
      <c r="K3469" s="180"/>
      <c r="L3469" s="180"/>
    </row>
    <row r="3470" spans="2:12" s="188" customFormat="1" ht="15" customHeight="1">
      <c r="B3470" s="187"/>
      <c r="C3470" s="187"/>
      <c r="D3470" s="187"/>
      <c r="E3470" s="187"/>
      <c r="F3470" s="187"/>
      <c r="G3470" s="187"/>
      <c r="J3470" s="186"/>
      <c r="K3470" s="180"/>
      <c r="L3470" s="180"/>
    </row>
    <row r="3471" spans="2:12" s="188" customFormat="1" ht="15" customHeight="1">
      <c r="B3471" s="187"/>
      <c r="C3471" s="187"/>
      <c r="D3471" s="187"/>
      <c r="E3471" s="187"/>
      <c r="F3471" s="187"/>
      <c r="G3471" s="187"/>
      <c r="J3471" s="186"/>
      <c r="K3471" s="180"/>
      <c r="L3471" s="180"/>
    </row>
    <row r="3472" spans="2:12" s="188" customFormat="1" ht="15" customHeight="1">
      <c r="B3472" s="187"/>
      <c r="C3472" s="187"/>
      <c r="D3472" s="187"/>
      <c r="E3472" s="187"/>
      <c r="F3472" s="187"/>
      <c r="G3472" s="187"/>
      <c r="J3472" s="186"/>
      <c r="K3472" s="180"/>
      <c r="L3472" s="180"/>
    </row>
    <row r="3473" spans="2:12" s="188" customFormat="1" ht="15" customHeight="1">
      <c r="B3473" s="187"/>
      <c r="C3473" s="187"/>
      <c r="D3473" s="187"/>
      <c r="E3473" s="187"/>
      <c r="F3473" s="187"/>
      <c r="G3473" s="187"/>
      <c r="J3473" s="186"/>
      <c r="K3473" s="180"/>
      <c r="L3473" s="180"/>
    </row>
    <row r="3474" spans="2:12" s="188" customFormat="1" ht="15" customHeight="1">
      <c r="B3474" s="187"/>
      <c r="C3474" s="187"/>
      <c r="D3474" s="187"/>
      <c r="E3474" s="187"/>
      <c r="F3474" s="187"/>
      <c r="G3474" s="187"/>
      <c r="J3474" s="186"/>
      <c r="K3474" s="180"/>
      <c r="L3474" s="180"/>
    </row>
    <row r="3475" spans="2:12" s="188" customFormat="1" ht="15" customHeight="1">
      <c r="B3475" s="187"/>
      <c r="C3475" s="187"/>
      <c r="D3475" s="187"/>
      <c r="E3475" s="187"/>
      <c r="F3475" s="187"/>
      <c r="G3475" s="187"/>
      <c r="J3475" s="186"/>
      <c r="K3475" s="180"/>
      <c r="L3475" s="180"/>
    </row>
    <row r="3476" spans="2:12" s="188" customFormat="1" ht="15" customHeight="1">
      <c r="B3476" s="187"/>
      <c r="C3476" s="187"/>
      <c r="D3476" s="187"/>
      <c r="E3476" s="187"/>
      <c r="F3476" s="187"/>
      <c r="G3476" s="187"/>
      <c r="J3476" s="186"/>
      <c r="K3476" s="180"/>
      <c r="L3476" s="180"/>
    </row>
    <row r="3477" spans="2:12" s="188" customFormat="1" ht="15" customHeight="1">
      <c r="B3477" s="187"/>
      <c r="C3477" s="187"/>
      <c r="D3477" s="187"/>
      <c r="E3477" s="187"/>
      <c r="F3477" s="187"/>
      <c r="G3477" s="187"/>
      <c r="J3477" s="186"/>
      <c r="K3477" s="180"/>
      <c r="L3477" s="180"/>
    </row>
    <row r="3478" spans="2:12" s="188" customFormat="1" ht="15" customHeight="1">
      <c r="B3478" s="187"/>
      <c r="C3478" s="187"/>
      <c r="D3478" s="187"/>
      <c r="E3478" s="187"/>
      <c r="F3478" s="187"/>
      <c r="G3478" s="187"/>
      <c r="J3478" s="186"/>
      <c r="K3478" s="180"/>
      <c r="L3478" s="180"/>
    </row>
    <row r="3479" spans="2:12" s="188" customFormat="1" ht="15" customHeight="1">
      <c r="B3479" s="187"/>
      <c r="C3479" s="187"/>
      <c r="D3479" s="187"/>
      <c r="E3479" s="187"/>
      <c r="F3479" s="187"/>
      <c r="G3479" s="187"/>
      <c r="J3479" s="186"/>
      <c r="K3479" s="180"/>
      <c r="L3479" s="180"/>
    </row>
    <row r="3480" spans="2:12" s="188" customFormat="1" ht="15" customHeight="1">
      <c r="B3480" s="187"/>
      <c r="C3480" s="187"/>
      <c r="D3480" s="187"/>
      <c r="E3480" s="187"/>
      <c r="F3480" s="187"/>
      <c r="G3480" s="187"/>
      <c r="J3480" s="186"/>
      <c r="K3480" s="180"/>
      <c r="L3480" s="180"/>
    </row>
    <row r="3481" spans="2:12" s="188" customFormat="1" ht="15" customHeight="1">
      <c r="B3481" s="187"/>
      <c r="C3481" s="187"/>
      <c r="D3481" s="187"/>
      <c r="E3481" s="187"/>
      <c r="F3481" s="187"/>
      <c r="G3481" s="187"/>
      <c r="J3481" s="186"/>
      <c r="K3481" s="180"/>
      <c r="L3481" s="180"/>
    </row>
    <row r="3482" spans="2:12" s="188" customFormat="1" ht="15" customHeight="1">
      <c r="B3482" s="187"/>
      <c r="C3482" s="187"/>
      <c r="D3482" s="187"/>
      <c r="E3482" s="187"/>
      <c r="F3482" s="187"/>
      <c r="G3482" s="187"/>
      <c r="J3482" s="186"/>
      <c r="K3482" s="180"/>
      <c r="L3482" s="180"/>
    </row>
    <row r="3483" spans="2:12" s="188" customFormat="1" ht="15" customHeight="1">
      <c r="B3483" s="187"/>
      <c r="C3483" s="187"/>
      <c r="D3483" s="187"/>
      <c r="E3483" s="187"/>
      <c r="F3483" s="187"/>
      <c r="G3483" s="187"/>
      <c r="J3483" s="186"/>
      <c r="K3483" s="180"/>
      <c r="L3483" s="180"/>
    </row>
    <row r="3484" spans="2:12" s="188" customFormat="1" ht="15" customHeight="1">
      <c r="B3484" s="187"/>
      <c r="C3484" s="187"/>
      <c r="D3484" s="187"/>
      <c r="E3484" s="187"/>
      <c r="F3484" s="187"/>
      <c r="G3484" s="187"/>
      <c r="J3484" s="186"/>
      <c r="K3484" s="180"/>
      <c r="L3484" s="180"/>
    </row>
    <row r="3485" spans="2:12" s="188" customFormat="1" ht="15" customHeight="1">
      <c r="B3485" s="187"/>
      <c r="C3485" s="187"/>
      <c r="D3485" s="187"/>
      <c r="E3485" s="187"/>
      <c r="F3485" s="187"/>
      <c r="G3485" s="187"/>
      <c r="J3485" s="186"/>
      <c r="K3485" s="180"/>
      <c r="L3485" s="180"/>
    </row>
    <row r="3486" spans="2:12" s="188" customFormat="1" ht="15" customHeight="1">
      <c r="B3486" s="187"/>
      <c r="C3486" s="187"/>
      <c r="D3486" s="187"/>
      <c r="E3486" s="187"/>
      <c r="F3486" s="187"/>
      <c r="G3486" s="187"/>
      <c r="J3486" s="186"/>
      <c r="K3486" s="180"/>
      <c r="L3486" s="180"/>
    </row>
    <row r="3487" spans="2:12" s="188" customFormat="1" ht="15" customHeight="1">
      <c r="B3487" s="187"/>
      <c r="C3487" s="187"/>
      <c r="D3487" s="187"/>
      <c r="E3487" s="187"/>
      <c r="F3487" s="187"/>
      <c r="G3487" s="187"/>
      <c r="J3487" s="186"/>
      <c r="K3487" s="180"/>
      <c r="L3487" s="180"/>
    </row>
    <row r="3488" spans="2:12" s="188" customFormat="1" ht="15" customHeight="1">
      <c r="B3488" s="187"/>
      <c r="C3488" s="187"/>
      <c r="D3488" s="187"/>
      <c r="E3488" s="187"/>
      <c r="F3488" s="187"/>
      <c r="G3488" s="187"/>
      <c r="J3488" s="186"/>
      <c r="K3488" s="180"/>
      <c r="L3488" s="180"/>
    </row>
    <row r="3489" spans="2:12" s="188" customFormat="1" ht="15" customHeight="1">
      <c r="B3489" s="187"/>
      <c r="C3489" s="187"/>
      <c r="D3489" s="187"/>
      <c r="E3489" s="187"/>
      <c r="F3489" s="187"/>
      <c r="G3489" s="187"/>
      <c r="J3489" s="186"/>
      <c r="K3489" s="180"/>
      <c r="L3489" s="180"/>
    </row>
    <row r="3490" spans="2:12" s="188" customFormat="1" ht="15" customHeight="1">
      <c r="B3490" s="187"/>
      <c r="C3490" s="187"/>
      <c r="D3490" s="187"/>
      <c r="E3490" s="187"/>
      <c r="F3490" s="187"/>
      <c r="G3490" s="187"/>
      <c r="J3490" s="186"/>
      <c r="K3490" s="180"/>
      <c r="L3490" s="180"/>
    </row>
    <row r="3491" spans="2:12" s="188" customFormat="1" ht="15" customHeight="1">
      <c r="B3491" s="187"/>
      <c r="C3491" s="187"/>
      <c r="D3491" s="187"/>
      <c r="E3491" s="187"/>
      <c r="F3491" s="187"/>
      <c r="G3491" s="187"/>
      <c r="J3491" s="186"/>
      <c r="K3491" s="180"/>
      <c r="L3491" s="180"/>
    </row>
    <row r="3492" spans="2:12" s="188" customFormat="1" ht="15" customHeight="1">
      <c r="B3492" s="187"/>
      <c r="C3492" s="187"/>
      <c r="D3492" s="187"/>
      <c r="E3492" s="187"/>
      <c r="F3492" s="187"/>
      <c r="G3492" s="187"/>
      <c r="J3492" s="186"/>
      <c r="K3492" s="180"/>
      <c r="L3492" s="180"/>
    </row>
    <row r="3493" spans="2:12" s="188" customFormat="1" ht="15" customHeight="1">
      <c r="B3493" s="187"/>
      <c r="C3493" s="187"/>
      <c r="D3493" s="187"/>
      <c r="E3493" s="187"/>
      <c r="F3493" s="187"/>
      <c r="G3493" s="187"/>
      <c r="J3493" s="186"/>
      <c r="K3493" s="180"/>
      <c r="L3493" s="180"/>
    </row>
    <row r="3494" spans="2:12" s="188" customFormat="1" ht="15" customHeight="1">
      <c r="B3494" s="187"/>
      <c r="C3494" s="187"/>
      <c r="D3494" s="187"/>
      <c r="E3494" s="187"/>
      <c r="F3494" s="187"/>
      <c r="G3494" s="187"/>
      <c r="J3494" s="186"/>
      <c r="K3494" s="180"/>
      <c r="L3494" s="180"/>
    </row>
    <row r="3495" spans="2:12" s="188" customFormat="1" ht="15" customHeight="1">
      <c r="B3495" s="187"/>
      <c r="C3495" s="187"/>
      <c r="D3495" s="187"/>
      <c r="E3495" s="187"/>
      <c r="F3495" s="187"/>
      <c r="G3495" s="187"/>
      <c r="J3495" s="186"/>
      <c r="K3495" s="180"/>
      <c r="L3495" s="180"/>
    </row>
    <row r="3496" spans="2:12" s="188" customFormat="1" ht="15" customHeight="1">
      <c r="B3496" s="187"/>
      <c r="C3496" s="187"/>
      <c r="D3496" s="187"/>
      <c r="E3496" s="187"/>
      <c r="F3496" s="187"/>
      <c r="G3496" s="187"/>
      <c r="J3496" s="186"/>
      <c r="K3496" s="180"/>
      <c r="L3496" s="180"/>
    </row>
    <row r="3497" spans="2:12" s="188" customFormat="1" ht="15" customHeight="1">
      <c r="B3497" s="187"/>
      <c r="C3497" s="187"/>
      <c r="D3497" s="187"/>
      <c r="E3497" s="187"/>
      <c r="F3497" s="187"/>
      <c r="G3497" s="187"/>
      <c r="J3497" s="186"/>
      <c r="K3497" s="180"/>
      <c r="L3497" s="180"/>
    </row>
    <row r="3498" spans="2:12" s="188" customFormat="1" ht="15" customHeight="1">
      <c r="B3498" s="187"/>
      <c r="C3498" s="187"/>
      <c r="D3498" s="187"/>
      <c r="E3498" s="187"/>
      <c r="F3498" s="187"/>
      <c r="G3498" s="187"/>
      <c r="J3498" s="186"/>
      <c r="K3498" s="180"/>
      <c r="L3498" s="180"/>
    </row>
    <row r="3499" spans="2:12" s="188" customFormat="1" ht="15" customHeight="1">
      <c r="B3499" s="187"/>
      <c r="C3499" s="187"/>
      <c r="D3499" s="187"/>
      <c r="E3499" s="187"/>
      <c r="F3499" s="187"/>
      <c r="G3499" s="187"/>
      <c r="J3499" s="186"/>
      <c r="K3499" s="180"/>
      <c r="L3499" s="180"/>
    </row>
    <row r="3500" spans="2:12" s="188" customFormat="1" ht="15" customHeight="1">
      <c r="B3500" s="187"/>
      <c r="C3500" s="187"/>
      <c r="D3500" s="187"/>
      <c r="E3500" s="187"/>
      <c r="F3500" s="187"/>
      <c r="G3500" s="187"/>
      <c r="J3500" s="186"/>
      <c r="K3500" s="180"/>
      <c r="L3500" s="180"/>
    </row>
    <row r="3501" spans="2:12" s="188" customFormat="1" ht="15" customHeight="1">
      <c r="B3501" s="187"/>
      <c r="C3501" s="187"/>
      <c r="D3501" s="187"/>
      <c r="E3501" s="187"/>
      <c r="F3501" s="187"/>
      <c r="G3501" s="187"/>
      <c r="J3501" s="186"/>
      <c r="K3501" s="180"/>
      <c r="L3501" s="180"/>
    </row>
    <row r="3502" spans="2:12" s="188" customFormat="1" ht="15" customHeight="1">
      <c r="B3502" s="187"/>
      <c r="C3502" s="187"/>
      <c r="D3502" s="187"/>
      <c r="E3502" s="187"/>
      <c r="F3502" s="187"/>
      <c r="G3502" s="187"/>
      <c r="J3502" s="186"/>
      <c r="K3502" s="180"/>
      <c r="L3502" s="180"/>
    </row>
    <row r="3503" spans="2:12" s="188" customFormat="1" ht="15" customHeight="1">
      <c r="B3503" s="187"/>
      <c r="C3503" s="187"/>
      <c r="D3503" s="187"/>
      <c r="E3503" s="187"/>
      <c r="F3503" s="187"/>
      <c r="G3503" s="187"/>
      <c r="J3503" s="186"/>
      <c r="K3503" s="180"/>
      <c r="L3503" s="180"/>
    </row>
    <row r="3504" spans="2:12" s="188" customFormat="1" ht="15" customHeight="1">
      <c r="B3504" s="187"/>
      <c r="C3504" s="187"/>
      <c r="D3504" s="187"/>
      <c r="E3504" s="187"/>
      <c r="F3504" s="187"/>
      <c r="G3504" s="187"/>
      <c r="J3504" s="186"/>
      <c r="K3504" s="180"/>
      <c r="L3504" s="180"/>
    </row>
    <row r="3505" spans="2:12" s="188" customFormat="1" ht="15" customHeight="1">
      <c r="B3505" s="187"/>
      <c r="C3505" s="187"/>
      <c r="D3505" s="187"/>
      <c r="E3505" s="187"/>
      <c r="F3505" s="187"/>
      <c r="G3505" s="187"/>
      <c r="J3505" s="186"/>
      <c r="K3505" s="180"/>
      <c r="L3505" s="180"/>
    </row>
    <row r="3506" spans="2:12" s="188" customFormat="1" ht="15" customHeight="1">
      <c r="B3506" s="187"/>
      <c r="C3506" s="187"/>
      <c r="D3506" s="187"/>
      <c r="E3506" s="187"/>
      <c r="F3506" s="187"/>
      <c r="G3506" s="187"/>
      <c r="J3506" s="186"/>
      <c r="K3506" s="180"/>
      <c r="L3506" s="180"/>
    </row>
    <row r="3507" spans="2:12" s="188" customFormat="1" ht="15" customHeight="1">
      <c r="B3507" s="187"/>
      <c r="C3507" s="187"/>
      <c r="D3507" s="187"/>
      <c r="E3507" s="187"/>
      <c r="F3507" s="187"/>
      <c r="G3507" s="187"/>
      <c r="J3507" s="186"/>
      <c r="K3507" s="180"/>
      <c r="L3507" s="180"/>
    </row>
    <row r="3508" spans="2:12" s="188" customFormat="1" ht="15" customHeight="1">
      <c r="B3508" s="187"/>
      <c r="C3508" s="187"/>
      <c r="D3508" s="187"/>
      <c r="E3508" s="187"/>
      <c r="F3508" s="187"/>
      <c r="G3508" s="187"/>
      <c r="J3508" s="186"/>
      <c r="K3508" s="180"/>
      <c r="L3508" s="180"/>
    </row>
    <row r="3509" spans="2:12" s="188" customFormat="1" ht="15" customHeight="1">
      <c r="B3509" s="187"/>
      <c r="C3509" s="187"/>
      <c r="D3509" s="187"/>
      <c r="E3509" s="187"/>
      <c r="F3509" s="187"/>
      <c r="G3509" s="187"/>
      <c r="J3509" s="186"/>
      <c r="K3509" s="180"/>
      <c r="L3509" s="180"/>
    </row>
    <row r="3510" spans="2:12" s="188" customFormat="1" ht="15" customHeight="1">
      <c r="B3510" s="187"/>
      <c r="C3510" s="187"/>
      <c r="D3510" s="187"/>
      <c r="E3510" s="187"/>
      <c r="F3510" s="187"/>
      <c r="G3510" s="187"/>
      <c r="J3510" s="186"/>
      <c r="K3510" s="180"/>
      <c r="L3510" s="180"/>
    </row>
    <row r="3511" spans="2:12" s="188" customFormat="1" ht="15" customHeight="1">
      <c r="B3511" s="187"/>
      <c r="C3511" s="187"/>
      <c r="D3511" s="187"/>
      <c r="E3511" s="187"/>
      <c r="F3511" s="187"/>
      <c r="G3511" s="187"/>
      <c r="J3511" s="186"/>
      <c r="K3511" s="180"/>
      <c r="L3511" s="180"/>
    </row>
    <row r="3512" spans="2:12" s="188" customFormat="1" ht="15" customHeight="1">
      <c r="B3512" s="187"/>
      <c r="C3512" s="187"/>
      <c r="D3512" s="187"/>
      <c r="E3512" s="187"/>
      <c r="F3512" s="187"/>
      <c r="G3512" s="187"/>
      <c r="J3512" s="186"/>
      <c r="K3512" s="180"/>
      <c r="L3512" s="180"/>
    </row>
    <row r="3513" spans="2:12" s="188" customFormat="1" ht="15" customHeight="1">
      <c r="B3513" s="187"/>
      <c r="C3513" s="187"/>
      <c r="D3513" s="187"/>
      <c r="E3513" s="187"/>
      <c r="F3513" s="187"/>
      <c r="G3513" s="187"/>
      <c r="J3513" s="186"/>
      <c r="K3513" s="180"/>
      <c r="L3513" s="180"/>
    </row>
    <row r="3514" spans="2:12" s="188" customFormat="1" ht="15" customHeight="1">
      <c r="B3514" s="187"/>
      <c r="C3514" s="187"/>
      <c r="D3514" s="187"/>
      <c r="E3514" s="187"/>
      <c r="F3514" s="187"/>
      <c r="G3514" s="187"/>
      <c r="J3514" s="186"/>
      <c r="K3514" s="180"/>
      <c r="L3514" s="180"/>
    </row>
    <row r="3515" spans="2:12" s="188" customFormat="1" ht="15" customHeight="1">
      <c r="B3515" s="187"/>
      <c r="C3515" s="187"/>
      <c r="D3515" s="187"/>
      <c r="E3515" s="187"/>
      <c r="F3515" s="187"/>
      <c r="G3515" s="187"/>
      <c r="J3515" s="186"/>
      <c r="K3515" s="180"/>
      <c r="L3515" s="180"/>
    </row>
    <row r="3516" spans="2:12" s="188" customFormat="1" ht="15" customHeight="1">
      <c r="B3516" s="187"/>
      <c r="C3516" s="187"/>
      <c r="D3516" s="187"/>
      <c r="E3516" s="187"/>
      <c r="F3516" s="187"/>
      <c r="G3516" s="187"/>
      <c r="J3516" s="186"/>
      <c r="K3516" s="180"/>
      <c r="L3516" s="180"/>
    </row>
    <row r="3517" spans="2:12" s="188" customFormat="1" ht="15" customHeight="1">
      <c r="B3517" s="187"/>
      <c r="C3517" s="187"/>
      <c r="D3517" s="187"/>
      <c r="E3517" s="187"/>
      <c r="F3517" s="187"/>
      <c r="G3517" s="187"/>
      <c r="J3517" s="186"/>
      <c r="K3517" s="180"/>
      <c r="L3517" s="180"/>
    </row>
    <row r="3518" spans="2:12" s="188" customFormat="1" ht="15" customHeight="1">
      <c r="B3518" s="187"/>
      <c r="C3518" s="187"/>
      <c r="D3518" s="187"/>
      <c r="E3518" s="187"/>
      <c r="F3518" s="187"/>
      <c r="G3518" s="187"/>
      <c r="J3518" s="186"/>
      <c r="K3518" s="180"/>
      <c r="L3518" s="180"/>
    </row>
    <row r="3519" spans="2:12" s="188" customFormat="1" ht="15" customHeight="1">
      <c r="B3519" s="187"/>
      <c r="C3519" s="187"/>
      <c r="D3519" s="187"/>
      <c r="E3519" s="187"/>
      <c r="F3519" s="187"/>
      <c r="G3519" s="187"/>
      <c r="J3519" s="186"/>
      <c r="K3519" s="180"/>
      <c r="L3519" s="180"/>
    </row>
    <row r="3520" spans="2:12" s="188" customFormat="1" ht="15" customHeight="1">
      <c r="B3520" s="187"/>
      <c r="C3520" s="187"/>
      <c r="D3520" s="187"/>
      <c r="E3520" s="187"/>
      <c r="F3520" s="187"/>
      <c r="G3520" s="187"/>
      <c r="J3520" s="186"/>
      <c r="K3520" s="180"/>
      <c r="L3520" s="180"/>
    </row>
    <row r="3521" spans="2:12" s="188" customFormat="1" ht="15" customHeight="1">
      <c r="B3521" s="187"/>
      <c r="C3521" s="187"/>
      <c r="D3521" s="187"/>
      <c r="E3521" s="187"/>
      <c r="F3521" s="187"/>
      <c r="G3521" s="187"/>
      <c r="J3521" s="186"/>
      <c r="K3521" s="180"/>
      <c r="L3521" s="180"/>
    </row>
    <row r="3522" spans="2:12" s="188" customFormat="1" ht="15" customHeight="1">
      <c r="B3522" s="187"/>
      <c r="C3522" s="187"/>
      <c r="D3522" s="187"/>
      <c r="E3522" s="187"/>
      <c r="F3522" s="187"/>
      <c r="G3522" s="187"/>
      <c r="J3522" s="186"/>
      <c r="K3522" s="180"/>
      <c r="L3522" s="180"/>
    </row>
    <row r="3523" spans="2:12" s="188" customFormat="1" ht="15" customHeight="1">
      <c r="B3523" s="187"/>
      <c r="C3523" s="187"/>
      <c r="D3523" s="187"/>
      <c r="E3523" s="187"/>
      <c r="F3523" s="187"/>
      <c r="G3523" s="187"/>
      <c r="J3523" s="186"/>
      <c r="K3523" s="180"/>
      <c r="L3523" s="180"/>
    </row>
    <row r="3524" spans="2:12" s="188" customFormat="1" ht="15" customHeight="1">
      <c r="B3524" s="187"/>
      <c r="C3524" s="187"/>
      <c r="D3524" s="187"/>
      <c r="E3524" s="187"/>
      <c r="F3524" s="187"/>
      <c r="G3524" s="187"/>
      <c r="J3524" s="186"/>
      <c r="K3524" s="180"/>
      <c r="L3524" s="180"/>
    </row>
    <row r="3525" spans="2:12" s="188" customFormat="1" ht="15" customHeight="1">
      <c r="B3525" s="187"/>
      <c r="C3525" s="187"/>
      <c r="D3525" s="187"/>
      <c r="E3525" s="187"/>
      <c r="F3525" s="187"/>
      <c r="G3525" s="187"/>
      <c r="J3525" s="186"/>
      <c r="K3525" s="180"/>
      <c r="L3525" s="180"/>
    </row>
    <row r="3526" spans="2:12" s="188" customFormat="1" ht="15" customHeight="1">
      <c r="B3526" s="187"/>
      <c r="C3526" s="187"/>
      <c r="D3526" s="187"/>
      <c r="E3526" s="187"/>
      <c r="F3526" s="187"/>
      <c r="G3526" s="187"/>
      <c r="J3526" s="186"/>
      <c r="K3526" s="180"/>
      <c r="L3526" s="180"/>
    </row>
    <row r="3527" spans="2:12" s="188" customFormat="1" ht="15" customHeight="1">
      <c r="B3527" s="187"/>
      <c r="C3527" s="187"/>
      <c r="D3527" s="187"/>
      <c r="E3527" s="187"/>
      <c r="F3527" s="187"/>
      <c r="G3527" s="187"/>
      <c r="J3527" s="186"/>
      <c r="K3527" s="180"/>
      <c r="L3527" s="180"/>
    </row>
    <row r="3528" spans="2:12" s="188" customFormat="1" ht="15" customHeight="1">
      <c r="B3528" s="187"/>
      <c r="C3528" s="187"/>
      <c r="D3528" s="187"/>
      <c r="E3528" s="187"/>
      <c r="F3528" s="187"/>
      <c r="G3528" s="187"/>
      <c r="J3528" s="186"/>
      <c r="K3528" s="180"/>
      <c r="L3528" s="180"/>
    </row>
    <row r="3529" spans="2:12" s="188" customFormat="1" ht="15" customHeight="1">
      <c r="B3529" s="187"/>
      <c r="C3529" s="187"/>
      <c r="D3529" s="187"/>
      <c r="E3529" s="187"/>
      <c r="F3529" s="187"/>
      <c r="G3529" s="187"/>
      <c r="J3529" s="186"/>
      <c r="K3529" s="180"/>
      <c r="L3529" s="180"/>
    </row>
    <row r="3530" spans="2:12" s="188" customFormat="1" ht="15" customHeight="1">
      <c r="B3530" s="187"/>
      <c r="C3530" s="187"/>
      <c r="D3530" s="187"/>
      <c r="E3530" s="187"/>
      <c r="F3530" s="187"/>
      <c r="G3530" s="187"/>
      <c r="J3530" s="186"/>
      <c r="K3530" s="180"/>
      <c r="L3530" s="180"/>
    </row>
    <row r="3531" spans="2:12" s="188" customFormat="1" ht="15" customHeight="1">
      <c r="B3531" s="187"/>
      <c r="C3531" s="187"/>
      <c r="D3531" s="187"/>
      <c r="E3531" s="187"/>
      <c r="F3531" s="187"/>
      <c r="G3531" s="187"/>
      <c r="J3531" s="186"/>
      <c r="K3531" s="180"/>
      <c r="L3531" s="180"/>
    </row>
    <row r="3532" spans="2:12" s="188" customFormat="1" ht="15" customHeight="1">
      <c r="B3532" s="187"/>
      <c r="C3532" s="187"/>
      <c r="D3532" s="187"/>
      <c r="E3532" s="187"/>
      <c r="F3532" s="187"/>
      <c r="G3532" s="187"/>
      <c r="J3532" s="186"/>
      <c r="K3532" s="180"/>
      <c r="L3532" s="180"/>
    </row>
    <row r="3533" spans="2:12" s="188" customFormat="1" ht="15" customHeight="1">
      <c r="B3533" s="187"/>
      <c r="C3533" s="187"/>
      <c r="D3533" s="187"/>
      <c r="E3533" s="187"/>
      <c r="F3533" s="187"/>
      <c r="G3533" s="187"/>
      <c r="J3533" s="186"/>
      <c r="K3533" s="180"/>
      <c r="L3533" s="180"/>
    </row>
    <row r="3534" spans="2:12" s="188" customFormat="1" ht="15" customHeight="1">
      <c r="B3534" s="187"/>
      <c r="C3534" s="187"/>
      <c r="D3534" s="187"/>
      <c r="E3534" s="187"/>
      <c r="F3534" s="187"/>
      <c r="G3534" s="187"/>
      <c r="J3534" s="186"/>
      <c r="K3534" s="180"/>
      <c r="L3534" s="180"/>
    </row>
    <row r="3535" spans="2:12" s="188" customFormat="1" ht="15" customHeight="1">
      <c r="B3535" s="187"/>
      <c r="C3535" s="187"/>
      <c r="D3535" s="187"/>
      <c r="E3535" s="187"/>
      <c r="F3535" s="187"/>
      <c r="G3535" s="187"/>
      <c r="J3535" s="186"/>
      <c r="K3535" s="180"/>
      <c r="L3535" s="180"/>
    </row>
    <row r="3536" spans="2:12" s="188" customFormat="1" ht="15" customHeight="1">
      <c r="B3536" s="187"/>
      <c r="C3536" s="187"/>
      <c r="D3536" s="187"/>
      <c r="E3536" s="187"/>
      <c r="F3536" s="187"/>
      <c r="G3536" s="187"/>
      <c r="J3536" s="186"/>
      <c r="K3536" s="180"/>
      <c r="L3536" s="180"/>
    </row>
    <row r="3537" spans="2:12" s="188" customFormat="1" ht="15" customHeight="1">
      <c r="B3537" s="187"/>
      <c r="C3537" s="187"/>
      <c r="D3537" s="187"/>
      <c r="E3537" s="187"/>
      <c r="F3537" s="187"/>
      <c r="G3537" s="187"/>
      <c r="J3537" s="186"/>
      <c r="K3537" s="180"/>
      <c r="L3537" s="180"/>
    </row>
    <row r="3538" spans="2:12" s="188" customFormat="1" ht="15" customHeight="1">
      <c r="B3538" s="187"/>
      <c r="C3538" s="187"/>
      <c r="D3538" s="187"/>
      <c r="E3538" s="187"/>
      <c r="F3538" s="187"/>
      <c r="G3538" s="187"/>
      <c r="J3538" s="186"/>
      <c r="K3538" s="180"/>
      <c r="L3538" s="180"/>
    </row>
    <row r="3539" spans="2:12" s="188" customFormat="1" ht="15" customHeight="1">
      <c r="B3539" s="187"/>
      <c r="C3539" s="187"/>
      <c r="D3539" s="187"/>
      <c r="E3539" s="187"/>
      <c r="F3539" s="187"/>
      <c r="G3539" s="187"/>
      <c r="J3539" s="186"/>
      <c r="K3539" s="180"/>
      <c r="L3539" s="180"/>
    </row>
    <row r="3540" spans="2:12" s="188" customFormat="1" ht="15" customHeight="1">
      <c r="B3540" s="187"/>
      <c r="C3540" s="187"/>
      <c r="D3540" s="187"/>
      <c r="E3540" s="187"/>
      <c r="F3540" s="187"/>
      <c r="G3540" s="187"/>
      <c r="J3540" s="186"/>
      <c r="K3540" s="180"/>
      <c r="L3540" s="180"/>
    </row>
    <row r="3541" spans="2:12" s="188" customFormat="1" ht="15" customHeight="1">
      <c r="B3541" s="187"/>
      <c r="C3541" s="187"/>
      <c r="D3541" s="187"/>
      <c r="E3541" s="187"/>
      <c r="F3541" s="187"/>
      <c r="G3541" s="187"/>
      <c r="J3541" s="186"/>
      <c r="K3541" s="180"/>
      <c r="L3541" s="180"/>
    </row>
    <row r="3542" spans="2:12" s="188" customFormat="1" ht="15" customHeight="1">
      <c r="B3542" s="187"/>
      <c r="C3542" s="187"/>
      <c r="D3542" s="187"/>
      <c r="E3542" s="187"/>
      <c r="F3542" s="187"/>
      <c r="G3542" s="187"/>
      <c r="J3542" s="186"/>
      <c r="K3542" s="180"/>
      <c r="L3542" s="180"/>
    </row>
    <row r="3543" spans="2:12" s="188" customFormat="1" ht="15" customHeight="1">
      <c r="B3543" s="187"/>
      <c r="C3543" s="187"/>
      <c r="D3543" s="187"/>
      <c r="E3543" s="187"/>
      <c r="F3543" s="187"/>
      <c r="G3543" s="187"/>
      <c r="J3543" s="186"/>
      <c r="K3543" s="180"/>
      <c r="L3543" s="180"/>
    </row>
    <row r="3544" spans="2:12" s="188" customFormat="1" ht="15" customHeight="1">
      <c r="B3544" s="187"/>
      <c r="C3544" s="187"/>
      <c r="D3544" s="187"/>
      <c r="E3544" s="187"/>
      <c r="F3544" s="187"/>
      <c r="G3544" s="187"/>
      <c r="J3544" s="186"/>
      <c r="K3544" s="180"/>
      <c r="L3544" s="180"/>
    </row>
    <row r="3545" spans="2:12" s="188" customFormat="1" ht="15" customHeight="1">
      <c r="B3545" s="187"/>
      <c r="C3545" s="187"/>
      <c r="D3545" s="187"/>
      <c r="E3545" s="187"/>
      <c r="F3545" s="187"/>
      <c r="G3545" s="187"/>
      <c r="J3545" s="186"/>
      <c r="K3545" s="180"/>
      <c r="L3545" s="180"/>
    </row>
    <row r="3546" spans="2:12" s="188" customFormat="1" ht="15" customHeight="1">
      <c r="B3546" s="187"/>
      <c r="C3546" s="187"/>
      <c r="D3546" s="187"/>
      <c r="E3546" s="187"/>
      <c r="F3546" s="187"/>
      <c r="G3546" s="187"/>
      <c r="J3546" s="186"/>
      <c r="K3546" s="180"/>
      <c r="L3546" s="180"/>
    </row>
    <row r="3547" spans="2:12" s="188" customFormat="1" ht="15" customHeight="1">
      <c r="B3547" s="187"/>
      <c r="C3547" s="187"/>
      <c r="D3547" s="187"/>
      <c r="E3547" s="187"/>
      <c r="F3547" s="187"/>
      <c r="G3547" s="187"/>
      <c r="J3547" s="186"/>
      <c r="K3547" s="180"/>
      <c r="L3547" s="180"/>
    </row>
    <row r="3548" spans="2:12" s="188" customFormat="1" ht="15" customHeight="1">
      <c r="B3548" s="187"/>
      <c r="C3548" s="187"/>
      <c r="D3548" s="187"/>
      <c r="E3548" s="187"/>
      <c r="F3548" s="187"/>
      <c r="G3548" s="187"/>
      <c r="J3548" s="186"/>
      <c r="K3548" s="180"/>
      <c r="L3548" s="180"/>
    </row>
    <row r="3549" spans="2:12" s="188" customFormat="1" ht="15" customHeight="1">
      <c r="B3549" s="187"/>
      <c r="C3549" s="187"/>
      <c r="D3549" s="187"/>
      <c r="E3549" s="187"/>
      <c r="F3549" s="187"/>
      <c r="G3549" s="187"/>
      <c r="J3549" s="186"/>
      <c r="K3549" s="180"/>
      <c r="L3549" s="180"/>
    </row>
    <row r="3550" spans="2:12" s="188" customFormat="1" ht="15" customHeight="1">
      <c r="B3550" s="187"/>
      <c r="C3550" s="187"/>
      <c r="D3550" s="187"/>
      <c r="E3550" s="187"/>
      <c r="F3550" s="187"/>
      <c r="G3550" s="187"/>
      <c r="J3550" s="186"/>
      <c r="K3550" s="180"/>
      <c r="L3550" s="180"/>
    </row>
    <row r="3551" spans="2:12" s="188" customFormat="1" ht="15" customHeight="1">
      <c r="B3551" s="187"/>
      <c r="C3551" s="187"/>
      <c r="D3551" s="187"/>
      <c r="E3551" s="187"/>
      <c r="F3551" s="187"/>
      <c r="G3551" s="187"/>
      <c r="J3551" s="186"/>
      <c r="K3551" s="180"/>
      <c r="L3551" s="180"/>
    </row>
    <row r="3552" spans="2:12" s="188" customFormat="1" ht="15" customHeight="1">
      <c r="B3552" s="187"/>
      <c r="C3552" s="187"/>
      <c r="D3552" s="187"/>
      <c r="E3552" s="187"/>
      <c r="F3552" s="187"/>
      <c r="G3552" s="187"/>
      <c r="J3552" s="186"/>
      <c r="K3552" s="180"/>
      <c r="L3552" s="180"/>
    </row>
    <row r="3553" spans="2:12" s="188" customFormat="1" ht="15" customHeight="1">
      <c r="B3553" s="187"/>
      <c r="C3553" s="187"/>
      <c r="D3553" s="187"/>
      <c r="E3553" s="187"/>
      <c r="F3553" s="187"/>
      <c r="G3553" s="187"/>
      <c r="J3553" s="186"/>
      <c r="K3553" s="180"/>
      <c r="L3553" s="180"/>
    </row>
    <row r="3554" spans="2:12" s="188" customFormat="1" ht="15" customHeight="1">
      <c r="B3554" s="187"/>
      <c r="C3554" s="187"/>
      <c r="D3554" s="187"/>
      <c r="E3554" s="187"/>
      <c r="F3554" s="187"/>
      <c r="G3554" s="187"/>
      <c r="J3554" s="186"/>
      <c r="K3554" s="180"/>
      <c r="L3554" s="180"/>
    </row>
    <row r="3555" spans="2:12" s="188" customFormat="1" ht="15" customHeight="1">
      <c r="B3555" s="187"/>
      <c r="C3555" s="187"/>
      <c r="D3555" s="187"/>
      <c r="E3555" s="187"/>
      <c r="F3555" s="187"/>
      <c r="G3555" s="187"/>
      <c r="J3555" s="186"/>
      <c r="K3555" s="180"/>
      <c r="L3555" s="180"/>
    </row>
    <row r="3556" spans="2:12" s="188" customFormat="1" ht="15" customHeight="1">
      <c r="B3556" s="187"/>
      <c r="C3556" s="187"/>
      <c r="D3556" s="187"/>
      <c r="E3556" s="187"/>
      <c r="F3556" s="187"/>
      <c r="G3556" s="187"/>
      <c r="J3556" s="186"/>
      <c r="K3556" s="180"/>
      <c r="L3556" s="180"/>
    </row>
    <row r="3557" spans="2:12" s="188" customFormat="1" ht="15" customHeight="1">
      <c r="B3557" s="187"/>
      <c r="C3557" s="187"/>
      <c r="D3557" s="187"/>
      <c r="E3557" s="187"/>
      <c r="F3557" s="187"/>
      <c r="G3557" s="187"/>
      <c r="J3557" s="186"/>
      <c r="K3557" s="180"/>
      <c r="L3557" s="180"/>
    </row>
    <row r="3558" spans="2:12" s="188" customFormat="1" ht="15" customHeight="1">
      <c r="B3558" s="187"/>
      <c r="C3558" s="187"/>
      <c r="D3558" s="187"/>
      <c r="E3558" s="187"/>
      <c r="F3558" s="187"/>
      <c r="G3558" s="187"/>
      <c r="J3558" s="186"/>
      <c r="K3558" s="180"/>
      <c r="L3558" s="180"/>
    </row>
    <row r="3559" spans="2:12" s="188" customFormat="1" ht="15" customHeight="1">
      <c r="B3559" s="187"/>
      <c r="C3559" s="187"/>
      <c r="D3559" s="187"/>
      <c r="E3559" s="187"/>
      <c r="F3559" s="187"/>
      <c r="G3559" s="187"/>
      <c r="J3559" s="186"/>
      <c r="K3559" s="180"/>
      <c r="L3559" s="180"/>
    </row>
    <row r="3560" spans="2:12" s="188" customFormat="1" ht="15" customHeight="1">
      <c r="B3560" s="187"/>
      <c r="C3560" s="187"/>
      <c r="D3560" s="187"/>
      <c r="E3560" s="187"/>
      <c r="F3560" s="187"/>
      <c r="G3560" s="187"/>
      <c r="J3560" s="186"/>
      <c r="K3560" s="180"/>
      <c r="L3560" s="180"/>
    </row>
    <row r="3561" spans="2:12" s="188" customFormat="1" ht="15" customHeight="1">
      <c r="B3561" s="187"/>
      <c r="C3561" s="187"/>
      <c r="D3561" s="187"/>
      <c r="E3561" s="187"/>
      <c r="F3561" s="187"/>
      <c r="G3561" s="187"/>
      <c r="J3561" s="186"/>
      <c r="K3561" s="180"/>
      <c r="L3561" s="180"/>
    </row>
    <row r="3562" spans="2:12" s="188" customFormat="1" ht="15" customHeight="1">
      <c r="B3562" s="187"/>
      <c r="C3562" s="187"/>
      <c r="D3562" s="187"/>
      <c r="E3562" s="187"/>
      <c r="F3562" s="187"/>
      <c r="G3562" s="187"/>
      <c r="J3562" s="186"/>
      <c r="K3562" s="180"/>
      <c r="L3562" s="180"/>
    </row>
    <row r="3563" spans="2:12" s="188" customFormat="1" ht="15" customHeight="1">
      <c r="B3563" s="187"/>
      <c r="C3563" s="187"/>
      <c r="D3563" s="187"/>
      <c r="E3563" s="187"/>
      <c r="F3563" s="187"/>
      <c r="G3563" s="187"/>
      <c r="J3563" s="186"/>
      <c r="K3563" s="180"/>
      <c r="L3563" s="180"/>
    </row>
    <row r="3564" spans="2:12" s="188" customFormat="1" ht="15" customHeight="1">
      <c r="B3564" s="187"/>
      <c r="C3564" s="187"/>
      <c r="D3564" s="187"/>
      <c r="E3564" s="187"/>
      <c r="F3564" s="187"/>
      <c r="G3564" s="187"/>
      <c r="J3564" s="186"/>
      <c r="K3564" s="180"/>
      <c r="L3564" s="180"/>
    </row>
    <row r="3565" spans="2:12" s="188" customFormat="1" ht="15" customHeight="1">
      <c r="B3565" s="187"/>
      <c r="C3565" s="187"/>
      <c r="D3565" s="187"/>
      <c r="E3565" s="187"/>
      <c r="F3565" s="187"/>
      <c r="G3565" s="187"/>
      <c r="J3565" s="186"/>
      <c r="K3565" s="180"/>
      <c r="L3565" s="180"/>
    </row>
    <row r="3566" spans="2:12" s="188" customFormat="1" ht="15" customHeight="1">
      <c r="B3566" s="187"/>
      <c r="C3566" s="187"/>
      <c r="D3566" s="187"/>
      <c r="E3566" s="187"/>
      <c r="F3566" s="187"/>
      <c r="G3566" s="187"/>
      <c r="J3566" s="186"/>
      <c r="K3566" s="180"/>
      <c r="L3566" s="180"/>
    </row>
    <row r="3567" spans="2:12" s="188" customFormat="1" ht="15" customHeight="1">
      <c r="B3567" s="187"/>
      <c r="C3567" s="187"/>
      <c r="D3567" s="187"/>
      <c r="E3567" s="187"/>
      <c r="F3567" s="187"/>
      <c r="G3567" s="187"/>
      <c r="J3567" s="186"/>
      <c r="K3567" s="180"/>
      <c r="L3567" s="180"/>
    </row>
    <row r="3568" spans="2:12" s="188" customFormat="1" ht="15" customHeight="1">
      <c r="B3568" s="187"/>
      <c r="C3568" s="187"/>
      <c r="D3568" s="187"/>
      <c r="E3568" s="187"/>
      <c r="F3568" s="187"/>
      <c r="G3568" s="187"/>
      <c r="J3568" s="186"/>
      <c r="K3568" s="180"/>
      <c r="L3568" s="180"/>
    </row>
    <row r="3569" spans="2:12" s="188" customFormat="1" ht="15" customHeight="1">
      <c r="B3569" s="187"/>
      <c r="C3569" s="187"/>
      <c r="D3569" s="187"/>
      <c r="E3569" s="187"/>
      <c r="F3569" s="187"/>
      <c r="G3569" s="187"/>
      <c r="J3569" s="186"/>
      <c r="K3569" s="180"/>
      <c r="L3569" s="180"/>
    </row>
    <row r="3570" spans="2:12" s="188" customFormat="1" ht="15" customHeight="1">
      <c r="B3570" s="187"/>
      <c r="C3570" s="187"/>
      <c r="D3570" s="187"/>
      <c r="E3570" s="187"/>
      <c r="F3570" s="187"/>
      <c r="G3570" s="187"/>
      <c r="J3570" s="186"/>
      <c r="K3570" s="180"/>
      <c r="L3570" s="180"/>
    </row>
    <row r="3571" spans="2:12" s="188" customFormat="1" ht="15" customHeight="1">
      <c r="B3571" s="187"/>
      <c r="C3571" s="187"/>
      <c r="D3571" s="187"/>
      <c r="E3571" s="187"/>
      <c r="F3571" s="187"/>
      <c r="G3571" s="187"/>
      <c r="J3571" s="186"/>
      <c r="K3571" s="180"/>
      <c r="L3571" s="180"/>
    </row>
    <row r="3572" spans="2:12" s="188" customFormat="1" ht="15" customHeight="1">
      <c r="B3572" s="187"/>
      <c r="C3572" s="187"/>
      <c r="D3572" s="187"/>
      <c r="E3572" s="187"/>
      <c r="F3572" s="187"/>
      <c r="G3572" s="187"/>
      <c r="J3572" s="186"/>
      <c r="K3572" s="180"/>
      <c r="L3572" s="180"/>
    </row>
    <row r="3573" spans="2:12" s="188" customFormat="1" ht="15" customHeight="1">
      <c r="B3573" s="187"/>
      <c r="C3573" s="187"/>
      <c r="D3573" s="187"/>
      <c r="E3573" s="187"/>
      <c r="F3573" s="187"/>
      <c r="G3573" s="187"/>
      <c r="J3573" s="186"/>
      <c r="K3573" s="180"/>
      <c r="L3573" s="180"/>
    </row>
    <row r="3574" spans="2:12" s="188" customFormat="1" ht="15" customHeight="1">
      <c r="B3574" s="187"/>
      <c r="C3574" s="187"/>
      <c r="D3574" s="187"/>
      <c r="E3574" s="187"/>
      <c r="F3574" s="187"/>
      <c r="G3574" s="187"/>
      <c r="J3574" s="186"/>
      <c r="K3574" s="180"/>
      <c r="L3574" s="180"/>
    </row>
    <row r="3575" spans="2:12" s="188" customFormat="1" ht="15" customHeight="1">
      <c r="B3575" s="187"/>
      <c r="C3575" s="187"/>
      <c r="D3575" s="187"/>
      <c r="E3575" s="187"/>
      <c r="F3575" s="187"/>
      <c r="G3575" s="187"/>
      <c r="J3575" s="186"/>
      <c r="K3575" s="180"/>
      <c r="L3575" s="180"/>
    </row>
    <row r="3576" spans="2:12" s="188" customFormat="1" ht="15" customHeight="1">
      <c r="B3576" s="187"/>
      <c r="C3576" s="187"/>
      <c r="D3576" s="187"/>
      <c r="E3576" s="187"/>
      <c r="F3576" s="187"/>
      <c r="G3576" s="187"/>
      <c r="J3576" s="186"/>
      <c r="K3576" s="180"/>
      <c r="L3576" s="180"/>
    </row>
    <row r="3577" spans="2:12" s="188" customFormat="1" ht="15" customHeight="1">
      <c r="B3577" s="187"/>
      <c r="C3577" s="187"/>
      <c r="D3577" s="187"/>
      <c r="E3577" s="187"/>
      <c r="F3577" s="187"/>
      <c r="G3577" s="187"/>
      <c r="J3577" s="186"/>
      <c r="K3577" s="180"/>
      <c r="L3577" s="180"/>
    </row>
    <row r="3578" spans="2:12" s="188" customFormat="1" ht="15" customHeight="1">
      <c r="B3578" s="187"/>
      <c r="C3578" s="187"/>
      <c r="D3578" s="187"/>
      <c r="E3578" s="187"/>
      <c r="F3578" s="187"/>
      <c r="G3578" s="187"/>
      <c r="J3578" s="186"/>
      <c r="K3578" s="180"/>
      <c r="L3578" s="180"/>
    </row>
    <row r="3579" spans="2:12" s="188" customFormat="1" ht="15" customHeight="1">
      <c r="B3579" s="187"/>
      <c r="C3579" s="187"/>
      <c r="D3579" s="187"/>
      <c r="E3579" s="187"/>
      <c r="F3579" s="187"/>
      <c r="G3579" s="187"/>
      <c r="J3579" s="186"/>
      <c r="K3579" s="180"/>
      <c r="L3579" s="180"/>
    </row>
    <row r="3580" spans="2:12" s="188" customFormat="1" ht="15" customHeight="1">
      <c r="B3580" s="187"/>
      <c r="C3580" s="187"/>
      <c r="D3580" s="187"/>
      <c r="E3580" s="187"/>
      <c r="F3580" s="187"/>
      <c r="G3580" s="187"/>
      <c r="J3580" s="186"/>
      <c r="K3580" s="180"/>
      <c r="L3580" s="180"/>
    </row>
    <row r="3581" spans="2:12" s="188" customFormat="1" ht="15" customHeight="1">
      <c r="B3581" s="187"/>
      <c r="C3581" s="187"/>
      <c r="D3581" s="187"/>
      <c r="E3581" s="187"/>
      <c r="F3581" s="187"/>
      <c r="G3581" s="187"/>
      <c r="J3581" s="186"/>
      <c r="K3581" s="180"/>
      <c r="L3581" s="180"/>
    </row>
    <row r="3582" spans="2:12" s="188" customFormat="1" ht="15" customHeight="1">
      <c r="B3582" s="187"/>
      <c r="C3582" s="187"/>
      <c r="D3582" s="187"/>
      <c r="E3582" s="187"/>
      <c r="F3582" s="187"/>
      <c r="G3582" s="187"/>
      <c r="J3582" s="186"/>
      <c r="K3582" s="180"/>
      <c r="L3582" s="180"/>
    </row>
    <row r="3583" spans="2:12" s="188" customFormat="1" ht="15" customHeight="1">
      <c r="B3583" s="187"/>
      <c r="C3583" s="187"/>
      <c r="D3583" s="187"/>
      <c r="E3583" s="187"/>
      <c r="F3583" s="187"/>
      <c r="G3583" s="187"/>
      <c r="J3583" s="186"/>
      <c r="K3583" s="180"/>
      <c r="L3583" s="180"/>
    </row>
    <row r="3584" spans="2:12" s="188" customFormat="1" ht="15" customHeight="1">
      <c r="B3584" s="187"/>
      <c r="C3584" s="187"/>
      <c r="D3584" s="187"/>
      <c r="E3584" s="187"/>
      <c r="F3584" s="187"/>
      <c r="G3584" s="187"/>
      <c r="J3584" s="186"/>
      <c r="K3584" s="180"/>
      <c r="L3584" s="180"/>
    </row>
    <row r="3585" spans="2:12" s="188" customFormat="1" ht="15" customHeight="1">
      <c r="B3585" s="187"/>
      <c r="C3585" s="187"/>
      <c r="D3585" s="187"/>
      <c r="E3585" s="187"/>
      <c r="F3585" s="187"/>
      <c r="G3585" s="187"/>
      <c r="J3585" s="186"/>
      <c r="K3585" s="180"/>
      <c r="L3585" s="180"/>
    </row>
    <row r="3586" spans="2:12" s="188" customFormat="1" ht="15" customHeight="1">
      <c r="B3586" s="187"/>
      <c r="C3586" s="187"/>
      <c r="D3586" s="187"/>
      <c r="E3586" s="187"/>
      <c r="F3586" s="187"/>
      <c r="G3586" s="187"/>
      <c r="J3586" s="186"/>
      <c r="K3586" s="180"/>
      <c r="L3586" s="180"/>
    </row>
    <row r="3587" spans="2:12" s="188" customFormat="1" ht="15" customHeight="1">
      <c r="B3587" s="187"/>
      <c r="C3587" s="187"/>
      <c r="D3587" s="187"/>
      <c r="E3587" s="187"/>
      <c r="F3587" s="187"/>
      <c r="G3587" s="187"/>
      <c r="J3587" s="186"/>
      <c r="K3587" s="180"/>
      <c r="L3587" s="180"/>
    </row>
    <row r="3588" spans="2:12" s="188" customFormat="1" ht="15" customHeight="1">
      <c r="B3588" s="187"/>
      <c r="C3588" s="187"/>
      <c r="D3588" s="187"/>
      <c r="E3588" s="187"/>
      <c r="F3588" s="187"/>
      <c r="G3588" s="187"/>
      <c r="J3588" s="186"/>
      <c r="K3588" s="180"/>
      <c r="L3588" s="180"/>
    </row>
    <row r="3589" spans="2:12" s="188" customFormat="1" ht="15" customHeight="1">
      <c r="B3589" s="187"/>
      <c r="C3589" s="187"/>
      <c r="D3589" s="187"/>
      <c r="E3589" s="187"/>
      <c r="F3589" s="187"/>
      <c r="G3589" s="187"/>
      <c r="J3589" s="186"/>
      <c r="K3589" s="180"/>
      <c r="L3589" s="180"/>
    </row>
    <row r="3590" spans="2:12" s="188" customFormat="1" ht="15" customHeight="1">
      <c r="B3590" s="187"/>
      <c r="C3590" s="187"/>
      <c r="D3590" s="187"/>
      <c r="E3590" s="187"/>
      <c r="F3590" s="187"/>
      <c r="G3590" s="187"/>
      <c r="J3590" s="186"/>
      <c r="K3590" s="180"/>
      <c r="L3590" s="180"/>
    </row>
    <row r="3591" spans="2:12" s="188" customFormat="1" ht="15" customHeight="1">
      <c r="B3591" s="187"/>
      <c r="C3591" s="187"/>
      <c r="D3591" s="187"/>
      <c r="E3591" s="187"/>
      <c r="F3591" s="187"/>
      <c r="G3591" s="187"/>
      <c r="J3591" s="186"/>
      <c r="K3591" s="180"/>
      <c r="L3591" s="180"/>
    </row>
    <row r="3592" spans="2:12" s="188" customFormat="1" ht="15" customHeight="1">
      <c r="B3592" s="187"/>
      <c r="C3592" s="187"/>
      <c r="D3592" s="187"/>
      <c r="E3592" s="187"/>
      <c r="F3592" s="187"/>
      <c r="G3592" s="187"/>
      <c r="J3592" s="186"/>
      <c r="K3592" s="180"/>
      <c r="L3592" s="180"/>
    </row>
    <row r="3593" spans="2:12" s="188" customFormat="1" ht="15" customHeight="1">
      <c r="B3593" s="187"/>
      <c r="C3593" s="187"/>
      <c r="D3593" s="187"/>
      <c r="E3593" s="187"/>
      <c r="F3593" s="187"/>
      <c r="G3593" s="187"/>
      <c r="J3593" s="186"/>
      <c r="K3593" s="180"/>
      <c r="L3593" s="180"/>
    </row>
    <row r="3594" spans="2:12" s="188" customFormat="1" ht="15" customHeight="1">
      <c r="B3594" s="187"/>
      <c r="C3594" s="187"/>
      <c r="D3594" s="187"/>
      <c r="E3594" s="187"/>
      <c r="F3594" s="187"/>
      <c r="G3594" s="187"/>
      <c r="J3594" s="186"/>
      <c r="K3594" s="180"/>
      <c r="L3594" s="180"/>
    </row>
    <row r="3595" spans="2:12" s="188" customFormat="1" ht="15" customHeight="1">
      <c r="B3595" s="187"/>
      <c r="C3595" s="187"/>
      <c r="D3595" s="187"/>
      <c r="E3595" s="187"/>
      <c r="F3595" s="187"/>
      <c r="G3595" s="187"/>
      <c r="J3595" s="186"/>
      <c r="K3595" s="180"/>
      <c r="L3595" s="180"/>
    </row>
    <row r="3596" spans="2:12" s="188" customFormat="1" ht="15" customHeight="1">
      <c r="B3596" s="187"/>
      <c r="C3596" s="187"/>
      <c r="D3596" s="187"/>
      <c r="E3596" s="187"/>
      <c r="F3596" s="187"/>
      <c r="G3596" s="187"/>
      <c r="J3596" s="186"/>
      <c r="K3596" s="180"/>
      <c r="L3596" s="180"/>
    </row>
    <row r="3597" spans="2:12" s="188" customFormat="1" ht="15" customHeight="1">
      <c r="B3597" s="187"/>
      <c r="C3597" s="187"/>
      <c r="D3597" s="187"/>
      <c r="E3597" s="187"/>
      <c r="F3597" s="187"/>
      <c r="G3597" s="187"/>
      <c r="J3597" s="186"/>
      <c r="K3597" s="180"/>
      <c r="L3597" s="180"/>
    </row>
    <row r="3598" spans="2:12" s="188" customFormat="1" ht="15" customHeight="1">
      <c r="B3598" s="187"/>
      <c r="C3598" s="187"/>
      <c r="D3598" s="187"/>
      <c r="E3598" s="187"/>
      <c r="F3598" s="187"/>
      <c r="G3598" s="187"/>
      <c r="J3598" s="186"/>
      <c r="K3598" s="180"/>
      <c r="L3598" s="180"/>
    </row>
    <row r="3599" spans="2:12" s="188" customFormat="1" ht="15" customHeight="1">
      <c r="B3599" s="187"/>
      <c r="C3599" s="187"/>
      <c r="D3599" s="187"/>
      <c r="E3599" s="187"/>
      <c r="F3599" s="187"/>
      <c r="G3599" s="187"/>
      <c r="J3599" s="186"/>
      <c r="K3599" s="180"/>
      <c r="L3599" s="180"/>
    </row>
    <row r="3600" spans="2:12" s="188" customFormat="1" ht="15" customHeight="1">
      <c r="B3600" s="187"/>
      <c r="C3600" s="187"/>
      <c r="D3600" s="187"/>
      <c r="E3600" s="187"/>
      <c r="F3600" s="187"/>
      <c r="G3600" s="187"/>
      <c r="J3600" s="186"/>
      <c r="K3600" s="180"/>
      <c r="L3600" s="180"/>
    </row>
    <row r="3601" spans="2:12" s="188" customFormat="1" ht="15" customHeight="1">
      <c r="B3601" s="187"/>
      <c r="C3601" s="187"/>
      <c r="D3601" s="187"/>
      <c r="E3601" s="187"/>
      <c r="F3601" s="187"/>
      <c r="G3601" s="187"/>
      <c r="J3601" s="186"/>
      <c r="K3601" s="180"/>
      <c r="L3601" s="180"/>
    </row>
    <row r="3602" spans="2:12" s="188" customFormat="1" ht="15" customHeight="1">
      <c r="B3602" s="187"/>
      <c r="C3602" s="187"/>
      <c r="D3602" s="187"/>
      <c r="E3602" s="187"/>
      <c r="F3602" s="187"/>
      <c r="G3602" s="187"/>
      <c r="J3602" s="186"/>
      <c r="K3602" s="180"/>
      <c r="L3602" s="180"/>
    </row>
    <row r="3603" spans="2:12" s="188" customFormat="1" ht="15" customHeight="1">
      <c r="B3603" s="187"/>
      <c r="C3603" s="187"/>
      <c r="D3603" s="187"/>
      <c r="E3603" s="187"/>
      <c r="F3603" s="187"/>
      <c r="G3603" s="187"/>
      <c r="J3603" s="186"/>
      <c r="K3603" s="180"/>
      <c r="L3603" s="180"/>
    </row>
    <row r="3604" spans="2:12" s="188" customFormat="1" ht="15" customHeight="1">
      <c r="B3604" s="187"/>
      <c r="C3604" s="187"/>
      <c r="D3604" s="187"/>
      <c r="E3604" s="187"/>
      <c r="F3604" s="187"/>
      <c r="G3604" s="187"/>
      <c r="J3604" s="186"/>
      <c r="K3604" s="180"/>
      <c r="L3604" s="180"/>
    </row>
    <row r="3605" spans="2:12" s="188" customFormat="1" ht="15" customHeight="1">
      <c r="B3605" s="187"/>
      <c r="C3605" s="187"/>
      <c r="D3605" s="187"/>
      <c r="E3605" s="187"/>
      <c r="F3605" s="187"/>
      <c r="G3605" s="187"/>
      <c r="J3605" s="186"/>
      <c r="K3605" s="180"/>
      <c r="L3605" s="180"/>
    </row>
    <row r="3606" spans="2:12" s="188" customFormat="1" ht="15" customHeight="1">
      <c r="B3606" s="187"/>
      <c r="C3606" s="187"/>
      <c r="D3606" s="187"/>
      <c r="E3606" s="187"/>
      <c r="F3606" s="187"/>
      <c r="G3606" s="187"/>
      <c r="J3606" s="186"/>
      <c r="K3606" s="180"/>
      <c r="L3606" s="180"/>
    </row>
    <row r="3607" spans="2:12" s="188" customFormat="1" ht="15" customHeight="1">
      <c r="B3607" s="187"/>
      <c r="C3607" s="187"/>
      <c r="D3607" s="187"/>
      <c r="E3607" s="187"/>
      <c r="F3607" s="187"/>
      <c r="G3607" s="187"/>
      <c r="J3607" s="186"/>
      <c r="K3607" s="180"/>
      <c r="L3607" s="180"/>
    </row>
    <row r="3608" spans="2:12" s="188" customFormat="1" ht="15" customHeight="1">
      <c r="B3608" s="187"/>
      <c r="C3608" s="187"/>
      <c r="D3608" s="187"/>
      <c r="E3608" s="187"/>
      <c r="F3608" s="187"/>
      <c r="G3608" s="187"/>
      <c r="J3608" s="186"/>
      <c r="K3608" s="180"/>
      <c r="L3608" s="180"/>
    </row>
    <row r="3609" spans="2:12" s="188" customFormat="1" ht="15" customHeight="1">
      <c r="B3609" s="187"/>
      <c r="C3609" s="187"/>
      <c r="D3609" s="187"/>
      <c r="E3609" s="187"/>
      <c r="F3609" s="187"/>
      <c r="G3609" s="187"/>
      <c r="J3609" s="186"/>
      <c r="K3609" s="180"/>
      <c r="L3609" s="180"/>
    </row>
    <row r="3610" spans="2:12" s="188" customFormat="1" ht="15" customHeight="1">
      <c r="B3610" s="187"/>
      <c r="C3610" s="187"/>
      <c r="D3610" s="187"/>
      <c r="E3610" s="187"/>
      <c r="F3610" s="187"/>
      <c r="G3610" s="187"/>
      <c r="J3610" s="186"/>
      <c r="K3610" s="180"/>
      <c r="L3610" s="180"/>
    </row>
    <row r="3611" spans="2:12" s="188" customFormat="1" ht="15" customHeight="1">
      <c r="B3611" s="187"/>
      <c r="C3611" s="187"/>
      <c r="D3611" s="187"/>
      <c r="E3611" s="187"/>
      <c r="F3611" s="187"/>
      <c r="G3611" s="187"/>
      <c r="J3611" s="186"/>
      <c r="K3611" s="180"/>
      <c r="L3611" s="180"/>
    </row>
    <row r="3612" spans="2:12" s="188" customFormat="1" ht="15" customHeight="1">
      <c r="B3612" s="187"/>
      <c r="C3612" s="187"/>
      <c r="D3612" s="187"/>
      <c r="E3612" s="187"/>
      <c r="F3612" s="187"/>
      <c r="G3612" s="187"/>
      <c r="J3612" s="186"/>
      <c r="K3612" s="180"/>
      <c r="L3612" s="180"/>
    </row>
    <row r="3613" spans="2:12" s="188" customFormat="1" ht="15" customHeight="1">
      <c r="B3613" s="187"/>
      <c r="C3613" s="187"/>
      <c r="D3613" s="187"/>
      <c r="E3613" s="187"/>
      <c r="F3613" s="187"/>
      <c r="G3613" s="187"/>
      <c r="J3613" s="186"/>
      <c r="K3613" s="180"/>
      <c r="L3613" s="180"/>
    </row>
    <row r="3614" spans="2:12" s="188" customFormat="1" ht="15" customHeight="1">
      <c r="B3614" s="187"/>
      <c r="C3614" s="187"/>
      <c r="D3614" s="187"/>
      <c r="E3614" s="187"/>
      <c r="F3614" s="187"/>
      <c r="G3614" s="187"/>
      <c r="J3614" s="186"/>
      <c r="K3614" s="180"/>
      <c r="L3614" s="180"/>
    </row>
    <row r="3615" spans="2:12" s="188" customFormat="1" ht="15" customHeight="1">
      <c r="B3615" s="187"/>
      <c r="C3615" s="187"/>
      <c r="D3615" s="187"/>
      <c r="E3615" s="187"/>
      <c r="F3615" s="187"/>
      <c r="G3615" s="187"/>
      <c r="J3615" s="186"/>
      <c r="K3615" s="180"/>
      <c r="L3615" s="180"/>
    </row>
    <row r="3616" spans="2:12" s="188" customFormat="1" ht="15" customHeight="1">
      <c r="B3616" s="187"/>
      <c r="C3616" s="187"/>
      <c r="D3616" s="187"/>
      <c r="E3616" s="187"/>
      <c r="F3616" s="187"/>
      <c r="G3616" s="187"/>
      <c r="J3616" s="186"/>
      <c r="K3616" s="180"/>
      <c r="L3616" s="180"/>
    </row>
    <row r="3617" spans="2:12" s="188" customFormat="1" ht="15" customHeight="1">
      <c r="B3617" s="187"/>
      <c r="C3617" s="187"/>
      <c r="D3617" s="187"/>
      <c r="E3617" s="187"/>
      <c r="F3617" s="187"/>
      <c r="G3617" s="187"/>
      <c r="J3617" s="186"/>
      <c r="K3617" s="180"/>
      <c r="L3617" s="180"/>
    </row>
    <row r="3618" spans="2:12" s="188" customFormat="1" ht="15" customHeight="1">
      <c r="B3618" s="187"/>
      <c r="C3618" s="187"/>
      <c r="D3618" s="187"/>
      <c r="E3618" s="187"/>
      <c r="F3618" s="187"/>
      <c r="G3618" s="187"/>
      <c r="J3618" s="186"/>
      <c r="K3618" s="180"/>
      <c r="L3618" s="180"/>
    </row>
    <row r="3619" spans="2:12" s="188" customFormat="1" ht="15" customHeight="1">
      <c r="B3619" s="187"/>
      <c r="C3619" s="187"/>
      <c r="D3619" s="187"/>
      <c r="E3619" s="187"/>
      <c r="F3619" s="187"/>
      <c r="G3619" s="187"/>
      <c r="J3619" s="186"/>
      <c r="K3619" s="180"/>
      <c r="L3619" s="180"/>
    </row>
    <row r="3620" spans="2:12" s="188" customFormat="1" ht="15" customHeight="1">
      <c r="B3620" s="187"/>
      <c r="C3620" s="187"/>
      <c r="D3620" s="187"/>
      <c r="E3620" s="187"/>
      <c r="F3620" s="187"/>
      <c r="G3620" s="187"/>
      <c r="J3620" s="186"/>
      <c r="K3620" s="180"/>
      <c r="L3620" s="180"/>
    </row>
    <row r="3621" spans="2:12" s="188" customFormat="1" ht="15" customHeight="1">
      <c r="B3621" s="187"/>
      <c r="C3621" s="187"/>
      <c r="D3621" s="187"/>
      <c r="E3621" s="187"/>
      <c r="F3621" s="187"/>
      <c r="G3621" s="187"/>
      <c r="J3621" s="186"/>
      <c r="K3621" s="180"/>
      <c r="L3621" s="180"/>
    </row>
    <row r="3622" spans="2:12" s="188" customFormat="1" ht="15" customHeight="1">
      <c r="B3622" s="187"/>
      <c r="C3622" s="187"/>
      <c r="D3622" s="187"/>
      <c r="E3622" s="187"/>
      <c r="F3622" s="187"/>
      <c r="G3622" s="187"/>
      <c r="J3622" s="186"/>
      <c r="K3622" s="180"/>
      <c r="L3622" s="180"/>
    </row>
    <row r="3623" spans="2:12" s="188" customFormat="1" ht="15" customHeight="1">
      <c r="B3623" s="187"/>
      <c r="C3623" s="187"/>
      <c r="D3623" s="187"/>
      <c r="E3623" s="187"/>
      <c r="F3623" s="187"/>
      <c r="G3623" s="187"/>
      <c r="J3623" s="186"/>
      <c r="K3623" s="180"/>
      <c r="L3623" s="180"/>
    </row>
    <row r="3624" spans="2:12" s="188" customFormat="1" ht="15" customHeight="1">
      <c r="B3624" s="187"/>
      <c r="C3624" s="187"/>
      <c r="D3624" s="187"/>
      <c r="E3624" s="187"/>
      <c r="F3624" s="187"/>
      <c r="G3624" s="187"/>
      <c r="J3624" s="186"/>
      <c r="K3624" s="180"/>
      <c r="L3624" s="180"/>
    </row>
    <row r="3625" spans="2:12" s="188" customFormat="1" ht="15" customHeight="1">
      <c r="B3625" s="187"/>
      <c r="C3625" s="187"/>
      <c r="D3625" s="187"/>
      <c r="E3625" s="187"/>
      <c r="F3625" s="187"/>
      <c r="G3625" s="187"/>
      <c r="J3625" s="186"/>
      <c r="K3625" s="180"/>
      <c r="L3625" s="180"/>
    </row>
    <row r="3626" spans="2:12" s="188" customFormat="1" ht="15" customHeight="1">
      <c r="B3626" s="187"/>
      <c r="C3626" s="187"/>
      <c r="D3626" s="187"/>
      <c r="E3626" s="187"/>
      <c r="F3626" s="187"/>
      <c r="G3626" s="187"/>
      <c r="J3626" s="186"/>
      <c r="K3626" s="180"/>
      <c r="L3626" s="180"/>
    </row>
    <row r="3627" spans="2:12" s="188" customFormat="1" ht="15" customHeight="1">
      <c r="B3627" s="187"/>
      <c r="C3627" s="187"/>
      <c r="D3627" s="187"/>
      <c r="E3627" s="187"/>
      <c r="F3627" s="187"/>
      <c r="G3627" s="187"/>
      <c r="J3627" s="186"/>
      <c r="K3627" s="180"/>
      <c r="L3627" s="180"/>
    </row>
    <row r="3628" spans="2:12" s="188" customFormat="1" ht="15" customHeight="1">
      <c r="B3628" s="187"/>
      <c r="C3628" s="187"/>
      <c r="D3628" s="187"/>
      <c r="E3628" s="187"/>
      <c r="F3628" s="187"/>
      <c r="G3628" s="187"/>
      <c r="J3628" s="186"/>
      <c r="K3628" s="180"/>
      <c r="L3628" s="180"/>
    </row>
    <row r="3629" spans="2:12" s="188" customFormat="1" ht="15" customHeight="1">
      <c r="B3629" s="187"/>
      <c r="C3629" s="187"/>
      <c r="D3629" s="187"/>
      <c r="E3629" s="187"/>
      <c r="F3629" s="187"/>
      <c r="G3629" s="187"/>
      <c r="J3629" s="186"/>
      <c r="K3629" s="180"/>
      <c r="L3629" s="180"/>
    </row>
    <row r="3630" spans="2:12" s="188" customFormat="1" ht="15" customHeight="1">
      <c r="B3630" s="187"/>
      <c r="C3630" s="187"/>
      <c r="D3630" s="187"/>
      <c r="E3630" s="187"/>
      <c r="F3630" s="187"/>
      <c r="G3630" s="187"/>
      <c r="J3630" s="186"/>
      <c r="K3630" s="180"/>
      <c r="L3630" s="180"/>
    </row>
    <row r="3631" spans="2:12" s="188" customFormat="1" ht="15" customHeight="1">
      <c r="B3631" s="187"/>
      <c r="C3631" s="187"/>
      <c r="D3631" s="187"/>
      <c r="E3631" s="187"/>
      <c r="F3631" s="187"/>
      <c r="G3631" s="187"/>
      <c r="J3631" s="186"/>
      <c r="K3631" s="180"/>
      <c r="L3631" s="180"/>
    </row>
    <row r="3632" spans="2:12" s="188" customFormat="1" ht="15" customHeight="1">
      <c r="B3632" s="187"/>
      <c r="C3632" s="187"/>
      <c r="D3632" s="187"/>
      <c r="E3632" s="187"/>
      <c r="F3632" s="187"/>
      <c r="G3632" s="187"/>
      <c r="J3632" s="186"/>
      <c r="K3632" s="180"/>
      <c r="L3632" s="180"/>
    </row>
    <row r="3633" spans="2:12" s="188" customFormat="1" ht="15" customHeight="1">
      <c r="B3633" s="187"/>
      <c r="C3633" s="187"/>
      <c r="D3633" s="187"/>
      <c r="E3633" s="187"/>
      <c r="F3633" s="187"/>
      <c r="G3633" s="187"/>
      <c r="J3633" s="186"/>
      <c r="K3633" s="180"/>
      <c r="L3633" s="180"/>
    </row>
    <row r="3634" spans="2:12" s="188" customFormat="1" ht="15" customHeight="1">
      <c r="B3634" s="187"/>
      <c r="C3634" s="187"/>
      <c r="D3634" s="187"/>
      <c r="E3634" s="187"/>
      <c r="F3634" s="187"/>
      <c r="G3634" s="187"/>
      <c r="J3634" s="186"/>
      <c r="K3634" s="180"/>
      <c r="L3634" s="180"/>
    </row>
    <row r="3635" spans="2:12" s="188" customFormat="1" ht="15" customHeight="1">
      <c r="B3635" s="187"/>
      <c r="C3635" s="187"/>
      <c r="D3635" s="187"/>
      <c r="E3635" s="187"/>
      <c r="F3635" s="187"/>
      <c r="G3635" s="187"/>
      <c r="J3635" s="186"/>
      <c r="K3635" s="180"/>
      <c r="L3635" s="180"/>
    </row>
    <row r="3636" spans="2:12" s="188" customFormat="1" ht="15" customHeight="1">
      <c r="B3636" s="187"/>
      <c r="C3636" s="187"/>
      <c r="D3636" s="187"/>
      <c r="E3636" s="187"/>
      <c r="F3636" s="187"/>
      <c r="G3636" s="187"/>
      <c r="J3636" s="186"/>
      <c r="K3636" s="180"/>
      <c r="L3636" s="180"/>
    </row>
    <row r="3637" spans="2:12" s="188" customFormat="1" ht="15" customHeight="1">
      <c r="B3637" s="187"/>
      <c r="C3637" s="187"/>
      <c r="D3637" s="187"/>
      <c r="E3637" s="187"/>
      <c r="F3637" s="187"/>
      <c r="G3637" s="187"/>
      <c r="J3637" s="186"/>
      <c r="K3637" s="180"/>
      <c r="L3637" s="180"/>
    </row>
    <row r="3638" spans="2:12" s="188" customFormat="1" ht="15" customHeight="1">
      <c r="B3638" s="187"/>
      <c r="C3638" s="187"/>
      <c r="D3638" s="187"/>
      <c r="E3638" s="187"/>
      <c r="F3638" s="187"/>
      <c r="G3638" s="187"/>
      <c r="J3638" s="186"/>
      <c r="K3638" s="180"/>
      <c r="L3638" s="180"/>
    </row>
    <row r="3639" spans="2:12" s="188" customFormat="1" ht="15" customHeight="1">
      <c r="B3639" s="187"/>
      <c r="C3639" s="187"/>
      <c r="D3639" s="187"/>
      <c r="E3639" s="187"/>
      <c r="F3639" s="187"/>
      <c r="G3639" s="187"/>
      <c r="J3639" s="186"/>
      <c r="K3639" s="180"/>
      <c r="L3639" s="180"/>
    </row>
    <row r="3640" spans="2:12" s="188" customFormat="1" ht="15" customHeight="1">
      <c r="B3640" s="187"/>
      <c r="C3640" s="187"/>
      <c r="D3640" s="187"/>
      <c r="E3640" s="187"/>
      <c r="F3640" s="187"/>
      <c r="G3640" s="187"/>
      <c r="J3640" s="186"/>
      <c r="K3640" s="180"/>
      <c r="L3640" s="180"/>
    </row>
    <row r="3641" spans="2:12" s="188" customFormat="1" ht="15" customHeight="1">
      <c r="B3641" s="187"/>
      <c r="C3641" s="187"/>
      <c r="D3641" s="187"/>
      <c r="E3641" s="187"/>
      <c r="F3641" s="187"/>
      <c r="G3641" s="187"/>
      <c r="J3641" s="186"/>
      <c r="K3641" s="180"/>
      <c r="L3641" s="180"/>
    </row>
    <row r="3642" spans="2:12" s="188" customFormat="1" ht="15" customHeight="1">
      <c r="B3642" s="187"/>
      <c r="C3642" s="187"/>
      <c r="D3642" s="187"/>
      <c r="E3642" s="187"/>
      <c r="F3642" s="187"/>
      <c r="G3642" s="187"/>
      <c r="J3642" s="186"/>
      <c r="K3642" s="180"/>
      <c r="L3642" s="180"/>
    </row>
    <row r="3643" spans="2:12" s="188" customFormat="1" ht="15" customHeight="1">
      <c r="B3643" s="187"/>
      <c r="C3643" s="187"/>
      <c r="D3643" s="187"/>
      <c r="E3643" s="187"/>
      <c r="F3643" s="187"/>
      <c r="G3643" s="187"/>
      <c r="J3643" s="186"/>
      <c r="K3643" s="180"/>
      <c r="L3643" s="180"/>
    </row>
    <row r="3644" spans="2:12" s="188" customFormat="1" ht="15" customHeight="1">
      <c r="B3644" s="187"/>
      <c r="C3644" s="187"/>
      <c r="D3644" s="187"/>
      <c r="E3644" s="187"/>
      <c r="F3644" s="187"/>
      <c r="G3644" s="187"/>
      <c r="J3644" s="186"/>
      <c r="K3644" s="180"/>
      <c r="L3644" s="180"/>
    </row>
    <row r="3645" spans="2:12" s="188" customFormat="1" ht="15" customHeight="1">
      <c r="B3645" s="187"/>
      <c r="C3645" s="187"/>
      <c r="D3645" s="187"/>
      <c r="E3645" s="187"/>
      <c r="F3645" s="187"/>
      <c r="G3645" s="187"/>
      <c r="J3645" s="186"/>
      <c r="K3645" s="180"/>
      <c r="L3645" s="180"/>
    </row>
    <row r="3646" spans="2:12" s="188" customFormat="1" ht="15" customHeight="1">
      <c r="B3646" s="187"/>
      <c r="C3646" s="187"/>
      <c r="D3646" s="187"/>
      <c r="E3646" s="187"/>
      <c r="F3646" s="187"/>
      <c r="G3646" s="187"/>
      <c r="J3646" s="186"/>
      <c r="K3646" s="180"/>
      <c r="L3646" s="180"/>
    </row>
    <row r="3647" spans="2:12" s="188" customFormat="1" ht="15" customHeight="1">
      <c r="B3647" s="187"/>
      <c r="C3647" s="187"/>
      <c r="D3647" s="187"/>
      <c r="E3647" s="187"/>
      <c r="F3647" s="187"/>
      <c r="G3647" s="187"/>
      <c r="J3647" s="186"/>
      <c r="K3647" s="180"/>
      <c r="L3647" s="180"/>
    </row>
    <row r="3648" spans="2:12" s="188" customFormat="1" ht="15" customHeight="1">
      <c r="B3648" s="187"/>
      <c r="C3648" s="187"/>
      <c r="D3648" s="187"/>
      <c r="E3648" s="187"/>
      <c r="F3648" s="187"/>
      <c r="G3648" s="187"/>
      <c r="J3648" s="186"/>
      <c r="K3648" s="180"/>
      <c r="L3648" s="180"/>
    </row>
    <row r="3649" spans="2:12" s="188" customFormat="1" ht="15" customHeight="1">
      <c r="B3649" s="187"/>
      <c r="C3649" s="187"/>
      <c r="D3649" s="187"/>
      <c r="E3649" s="187"/>
      <c r="F3649" s="187"/>
      <c r="G3649" s="187"/>
      <c r="J3649" s="186"/>
      <c r="K3649" s="180"/>
      <c r="L3649" s="180"/>
    </row>
    <row r="3650" spans="2:12" s="188" customFormat="1" ht="15" customHeight="1">
      <c r="B3650" s="187"/>
      <c r="C3650" s="187"/>
      <c r="D3650" s="187"/>
      <c r="E3650" s="187"/>
      <c r="F3650" s="187"/>
      <c r="G3650" s="187"/>
      <c r="J3650" s="186"/>
      <c r="K3650" s="180"/>
      <c r="L3650" s="180"/>
    </row>
    <row r="3651" spans="2:12" s="188" customFormat="1" ht="15" customHeight="1">
      <c r="B3651" s="187"/>
      <c r="C3651" s="187"/>
      <c r="D3651" s="187"/>
      <c r="E3651" s="187"/>
      <c r="F3651" s="187"/>
      <c r="G3651" s="187"/>
      <c r="J3651" s="186"/>
      <c r="K3651" s="180"/>
      <c r="L3651" s="180"/>
    </row>
    <row r="3652" spans="2:12" s="188" customFormat="1" ht="15" customHeight="1">
      <c r="B3652" s="187"/>
      <c r="C3652" s="187"/>
      <c r="D3652" s="187"/>
      <c r="E3652" s="187"/>
      <c r="F3652" s="187"/>
      <c r="G3652" s="187"/>
      <c r="J3652" s="186"/>
      <c r="K3652" s="180"/>
      <c r="L3652" s="180"/>
    </row>
    <row r="3653" spans="2:12" s="188" customFormat="1" ht="15" customHeight="1">
      <c r="B3653" s="187"/>
      <c r="C3653" s="187"/>
      <c r="D3653" s="187"/>
      <c r="E3653" s="187"/>
      <c r="F3653" s="187"/>
      <c r="G3653" s="187"/>
      <c r="J3653" s="186"/>
      <c r="K3653" s="180"/>
      <c r="L3653" s="180"/>
    </row>
    <row r="3654" spans="2:12" s="188" customFormat="1" ht="15" customHeight="1">
      <c r="B3654" s="187"/>
      <c r="C3654" s="187"/>
      <c r="D3654" s="187"/>
      <c r="E3654" s="187"/>
      <c r="F3654" s="187"/>
      <c r="G3654" s="187"/>
      <c r="J3654" s="186"/>
      <c r="K3654" s="180"/>
      <c r="L3654" s="180"/>
    </row>
    <row r="3655" spans="2:12" s="188" customFormat="1" ht="15" customHeight="1">
      <c r="B3655" s="187"/>
      <c r="C3655" s="187"/>
      <c r="D3655" s="187"/>
      <c r="E3655" s="187"/>
      <c r="F3655" s="187"/>
      <c r="G3655" s="187"/>
      <c r="J3655" s="186"/>
      <c r="K3655" s="180"/>
      <c r="L3655" s="180"/>
    </row>
    <row r="3656" spans="2:12" s="188" customFormat="1" ht="15" customHeight="1">
      <c r="B3656" s="187"/>
      <c r="C3656" s="187"/>
      <c r="D3656" s="187"/>
      <c r="E3656" s="187"/>
      <c r="F3656" s="187"/>
      <c r="G3656" s="187"/>
      <c r="J3656" s="186"/>
      <c r="K3656" s="180"/>
      <c r="L3656" s="180"/>
    </row>
    <row r="3657" spans="2:12" s="188" customFormat="1" ht="15" customHeight="1">
      <c r="B3657" s="187"/>
      <c r="C3657" s="187"/>
      <c r="D3657" s="187"/>
      <c r="E3657" s="187"/>
      <c r="F3657" s="187"/>
      <c r="G3657" s="187"/>
      <c r="J3657" s="186"/>
      <c r="K3657" s="180"/>
      <c r="L3657" s="180"/>
    </row>
    <row r="3658" spans="2:12" s="188" customFormat="1" ht="15" customHeight="1">
      <c r="B3658" s="187"/>
      <c r="C3658" s="187"/>
      <c r="D3658" s="187"/>
      <c r="E3658" s="187"/>
      <c r="F3658" s="187"/>
      <c r="G3658" s="187"/>
      <c r="J3658" s="186"/>
      <c r="K3658" s="180"/>
      <c r="L3658" s="180"/>
    </row>
    <row r="3659" spans="2:12" s="188" customFormat="1" ht="15" customHeight="1">
      <c r="B3659" s="187"/>
      <c r="C3659" s="187"/>
      <c r="D3659" s="187"/>
      <c r="E3659" s="187"/>
      <c r="F3659" s="187"/>
      <c r="G3659" s="187"/>
      <c r="J3659" s="186"/>
      <c r="K3659" s="180"/>
      <c r="L3659" s="180"/>
    </row>
    <row r="3660" spans="2:12" s="188" customFormat="1" ht="15" customHeight="1">
      <c r="B3660" s="187"/>
      <c r="C3660" s="187"/>
      <c r="D3660" s="187"/>
      <c r="E3660" s="187"/>
      <c r="F3660" s="187"/>
      <c r="G3660" s="187"/>
      <c r="J3660" s="186"/>
      <c r="K3660" s="180"/>
      <c r="L3660" s="180"/>
    </row>
    <row r="3661" spans="2:12" s="188" customFormat="1" ht="15" customHeight="1">
      <c r="B3661" s="187"/>
      <c r="C3661" s="187"/>
      <c r="D3661" s="187"/>
      <c r="E3661" s="187"/>
      <c r="F3661" s="187"/>
      <c r="G3661" s="187"/>
      <c r="J3661" s="186"/>
      <c r="K3661" s="180"/>
      <c r="L3661" s="180"/>
    </row>
    <row r="3662" spans="2:12" s="188" customFormat="1" ht="15" customHeight="1">
      <c r="B3662" s="187"/>
      <c r="C3662" s="187"/>
      <c r="D3662" s="187"/>
      <c r="E3662" s="187"/>
      <c r="F3662" s="187"/>
      <c r="G3662" s="187"/>
      <c r="J3662" s="186"/>
      <c r="K3662" s="180"/>
      <c r="L3662" s="180"/>
    </row>
    <row r="3663" spans="2:12" s="188" customFormat="1" ht="15" customHeight="1">
      <c r="B3663" s="187"/>
      <c r="C3663" s="187"/>
      <c r="D3663" s="187"/>
      <c r="E3663" s="187"/>
      <c r="F3663" s="187"/>
      <c r="G3663" s="187"/>
      <c r="J3663" s="186"/>
      <c r="K3663" s="180"/>
      <c r="L3663" s="180"/>
    </row>
    <row r="3664" spans="2:12" s="188" customFormat="1" ht="15" customHeight="1">
      <c r="B3664" s="187"/>
      <c r="C3664" s="187"/>
      <c r="D3664" s="187"/>
      <c r="E3664" s="187"/>
      <c r="F3664" s="187"/>
      <c r="G3664" s="187"/>
      <c r="J3664" s="186"/>
      <c r="K3664" s="180"/>
      <c r="L3664" s="180"/>
    </row>
    <row r="3665" spans="2:12" s="188" customFormat="1" ht="15" customHeight="1">
      <c r="B3665" s="187"/>
      <c r="C3665" s="187"/>
      <c r="D3665" s="187"/>
      <c r="E3665" s="187"/>
      <c r="F3665" s="187"/>
      <c r="G3665" s="187"/>
      <c r="J3665" s="186"/>
      <c r="K3665" s="180"/>
      <c r="L3665" s="180"/>
    </row>
    <row r="3666" spans="2:12" s="188" customFormat="1" ht="15" customHeight="1">
      <c r="B3666" s="187"/>
      <c r="C3666" s="187"/>
      <c r="D3666" s="187"/>
      <c r="E3666" s="187"/>
      <c r="F3666" s="187"/>
      <c r="G3666" s="187"/>
      <c r="J3666" s="186"/>
      <c r="K3666" s="180"/>
      <c r="L3666" s="180"/>
    </row>
    <row r="3667" spans="2:12" s="188" customFormat="1" ht="15" customHeight="1">
      <c r="B3667" s="187"/>
      <c r="C3667" s="187"/>
      <c r="D3667" s="187"/>
      <c r="E3667" s="187"/>
      <c r="F3667" s="187"/>
      <c r="G3667" s="187"/>
      <c r="J3667" s="186"/>
      <c r="K3667" s="180"/>
      <c r="L3667" s="180"/>
    </row>
    <row r="3668" spans="2:12" s="188" customFormat="1" ht="15" customHeight="1">
      <c r="B3668" s="187"/>
      <c r="C3668" s="187"/>
      <c r="D3668" s="187"/>
      <c r="E3668" s="187"/>
      <c r="F3668" s="187"/>
      <c r="G3668" s="187"/>
      <c r="J3668" s="186"/>
      <c r="K3668" s="180"/>
      <c r="L3668" s="180"/>
    </row>
    <row r="3669" spans="2:12" s="188" customFormat="1" ht="15" customHeight="1">
      <c r="B3669" s="187"/>
      <c r="C3669" s="187"/>
      <c r="D3669" s="187"/>
      <c r="E3669" s="187"/>
      <c r="F3669" s="187"/>
      <c r="G3669" s="187"/>
      <c r="J3669" s="186"/>
      <c r="K3669" s="180"/>
      <c r="L3669" s="180"/>
    </row>
    <row r="3670" spans="2:12" s="188" customFormat="1" ht="15" customHeight="1">
      <c r="B3670" s="187"/>
      <c r="C3670" s="187"/>
      <c r="D3670" s="187"/>
      <c r="E3670" s="187"/>
      <c r="F3670" s="187"/>
      <c r="G3670" s="187"/>
      <c r="J3670" s="186"/>
      <c r="K3670" s="180"/>
      <c r="L3670" s="180"/>
    </row>
    <row r="3671" spans="2:12" s="188" customFormat="1" ht="15" customHeight="1">
      <c r="B3671" s="187"/>
      <c r="C3671" s="187"/>
      <c r="D3671" s="187"/>
      <c r="E3671" s="187"/>
      <c r="F3671" s="187"/>
      <c r="G3671" s="187"/>
      <c r="J3671" s="186"/>
      <c r="K3671" s="180"/>
      <c r="L3671" s="180"/>
    </row>
    <row r="3672" spans="2:12" s="188" customFormat="1" ht="15" customHeight="1">
      <c r="B3672" s="187"/>
      <c r="C3672" s="187"/>
      <c r="D3672" s="187"/>
      <c r="E3672" s="187"/>
      <c r="F3672" s="187"/>
      <c r="G3672" s="187"/>
      <c r="J3672" s="186"/>
      <c r="K3672" s="180"/>
      <c r="L3672" s="180"/>
    </row>
    <row r="3673" spans="2:12" s="188" customFormat="1" ht="15" customHeight="1">
      <c r="B3673" s="187"/>
      <c r="C3673" s="187"/>
      <c r="D3673" s="187"/>
      <c r="E3673" s="187"/>
      <c r="F3673" s="187"/>
      <c r="G3673" s="187"/>
      <c r="J3673" s="186"/>
      <c r="K3673" s="180"/>
      <c r="L3673" s="180"/>
    </row>
    <row r="3674" spans="2:12" s="188" customFormat="1" ht="15" customHeight="1">
      <c r="B3674" s="187"/>
      <c r="C3674" s="187"/>
      <c r="D3674" s="187"/>
      <c r="E3674" s="187"/>
      <c r="F3674" s="187"/>
      <c r="G3674" s="187"/>
      <c r="J3674" s="186"/>
      <c r="K3674" s="180"/>
      <c r="L3674" s="180"/>
    </row>
    <row r="3675" spans="2:12" s="188" customFormat="1" ht="15" customHeight="1">
      <c r="B3675" s="187"/>
      <c r="C3675" s="187"/>
      <c r="D3675" s="187"/>
      <c r="E3675" s="187"/>
      <c r="F3675" s="187"/>
      <c r="G3675" s="187"/>
      <c r="J3675" s="186"/>
      <c r="K3675" s="180"/>
      <c r="L3675" s="180"/>
    </row>
    <row r="3676" spans="2:12" s="188" customFormat="1" ht="15" customHeight="1">
      <c r="B3676" s="187"/>
      <c r="C3676" s="187"/>
      <c r="D3676" s="187"/>
      <c r="E3676" s="187"/>
      <c r="F3676" s="187"/>
      <c r="G3676" s="187"/>
      <c r="J3676" s="186"/>
      <c r="K3676" s="180"/>
      <c r="L3676" s="180"/>
    </row>
    <row r="3677" spans="2:12" s="188" customFormat="1" ht="15" customHeight="1">
      <c r="B3677" s="187"/>
      <c r="C3677" s="187"/>
      <c r="D3677" s="187"/>
      <c r="E3677" s="187"/>
      <c r="F3677" s="187"/>
      <c r="G3677" s="187"/>
      <c r="J3677" s="186"/>
      <c r="K3677" s="180"/>
      <c r="L3677" s="180"/>
    </row>
    <row r="3678" spans="2:12" s="188" customFormat="1" ht="15" customHeight="1">
      <c r="B3678" s="187"/>
      <c r="C3678" s="187"/>
      <c r="D3678" s="187"/>
      <c r="E3678" s="187"/>
      <c r="F3678" s="187"/>
      <c r="G3678" s="187"/>
      <c r="J3678" s="186"/>
      <c r="K3678" s="180"/>
      <c r="L3678" s="180"/>
    </row>
    <row r="3679" spans="2:12" s="188" customFormat="1" ht="15" customHeight="1">
      <c r="B3679" s="187"/>
      <c r="C3679" s="187"/>
      <c r="D3679" s="187"/>
      <c r="E3679" s="187"/>
      <c r="F3679" s="187"/>
      <c r="G3679" s="187"/>
      <c r="J3679" s="186"/>
      <c r="K3679" s="180"/>
      <c r="L3679" s="180"/>
    </row>
    <row r="3680" spans="2:12" s="188" customFormat="1" ht="15" customHeight="1">
      <c r="B3680" s="187"/>
      <c r="C3680" s="187"/>
      <c r="D3680" s="187"/>
      <c r="E3680" s="187"/>
      <c r="F3680" s="187"/>
      <c r="G3680" s="187"/>
      <c r="J3680" s="186"/>
      <c r="K3680" s="180"/>
      <c r="L3680" s="180"/>
    </row>
    <row r="3681" spans="2:12" s="188" customFormat="1" ht="15" customHeight="1">
      <c r="B3681" s="187"/>
      <c r="C3681" s="187"/>
      <c r="D3681" s="187"/>
      <c r="E3681" s="187"/>
      <c r="F3681" s="187"/>
      <c r="G3681" s="187"/>
      <c r="J3681" s="186"/>
      <c r="K3681" s="180"/>
      <c r="L3681" s="180"/>
    </row>
    <row r="3682" spans="2:12" s="188" customFormat="1" ht="15" customHeight="1">
      <c r="B3682" s="187"/>
      <c r="C3682" s="187"/>
      <c r="D3682" s="187"/>
      <c r="E3682" s="187"/>
      <c r="F3682" s="187"/>
      <c r="G3682" s="187"/>
      <c r="J3682" s="186"/>
      <c r="K3682" s="180"/>
      <c r="L3682" s="180"/>
    </row>
    <row r="3683" spans="2:12" s="188" customFormat="1" ht="15" customHeight="1">
      <c r="B3683" s="187"/>
      <c r="C3683" s="187"/>
      <c r="D3683" s="187"/>
      <c r="E3683" s="187"/>
      <c r="F3683" s="187"/>
      <c r="G3683" s="187"/>
      <c r="J3683" s="186"/>
      <c r="K3683" s="180"/>
      <c r="L3683" s="180"/>
    </row>
    <row r="3684" spans="2:12" s="188" customFormat="1" ht="15" customHeight="1">
      <c r="B3684" s="187"/>
      <c r="C3684" s="187"/>
      <c r="D3684" s="187"/>
      <c r="E3684" s="187"/>
      <c r="F3684" s="187"/>
      <c r="G3684" s="187"/>
      <c r="J3684" s="186"/>
      <c r="K3684" s="180"/>
      <c r="L3684" s="180"/>
    </row>
    <row r="3685" spans="2:12" s="188" customFormat="1" ht="15" customHeight="1">
      <c r="B3685" s="187"/>
      <c r="C3685" s="187"/>
      <c r="D3685" s="187"/>
      <c r="E3685" s="187"/>
      <c r="F3685" s="187"/>
      <c r="G3685" s="187"/>
      <c r="J3685" s="186"/>
      <c r="K3685" s="180"/>
      <c r="L3685" s="180"/>
    </row>
    <row r="3686" spans="2:12" s="188" customFormat="1" ht="15" customHeight="1">
      <c r="B3686" s="187"/>
      <c r="C3686" s="187"/>
      <c r="D3686" s="187"/>
      <c r="E3686" s="187"/>
      <c r="F3686" s="187"/>
      <c r="G3686" s="187"/>
      <c r="J3686" s="186"/>
      <c r="K3686" s="180"/>
      <c r="L3686" s="180"/>
    </row>
    <row r="3687" spans="2:12" s="188" customFormat="1" ht="15" customHeight="1">
      <c r="B3687" s="187"/>
      <c r="C3687" s="187"/>
      <c r="D3687" s="187"/>
      <c r="E3687" s="187"/>
      <c r="F3687" s="187"/>
      <c r="G3687" s="187"/>
      <c r="J3687" s="186"/>
      <c r="K3687" s="180"/>
      <c r="L3687" s="180"/>
    </row>
    <row r="3688" spans="2:12" s="188" customFormat="1" ht="15" customHeight="1">
      <c r="B3688" s="187"/>
      <c r="C3688" s="187"/>
      <c r="D3688" s="187"/>
      <c r="E3688" s="187"/>
      <c r="F3688" s="187"/>
      <c r="G3688" s="187"/>
      <c r="J3688" s="186"/>
      <c r="K3688" s="180"/>
      <c r="L3688" s="180"/>
    </row>
    <row r="3689" spans="2:12" s="188" customFormat="1" ht="15" customHeight="1">
      <c r="B3689" s="187"/>
      <c r="C3689" s="187"/>
      <c r="D3689" s="187"/>
      <c r="E3689" s="187"/>
      <c r="F3689" s="187"/>
      <c r="G3689" s="187"/>
      <c r="J3689" s="186"/>
      <c r="K3689" s="180"/>
      <c r="L3689" s="180"/>
    </row>
    <row r="3690" spans="2:12" s="188" customFormat="1" ht="15" customHeight="1">
      <c r="B3690" s="187"/>
      <c r="C3690" s="187"/>
      <c r="D3690" s="187"/>
      <c r="E3690" s="187"/>
      <c r="F3690" s="187"/>
      <c r="G3690" s="187"/>
      <c r="J3690" s="186"/>
      <c r="K3690" s="180"/>
      <c r="L3690" s="180"/>
    </row>
    <row r="3691" spans="2:12" s="188" customFormat="1" ht="15" customHeight="1">
      <c r="B3691" s="187"/>
      <c r="C3691" s="187"/>
      <c r="D3691" s="187"/>
      <c r="E3691" s="187"/>
      <c r="F3691" s="187"/>
      <c r="G3691" s="187"/>
      <c r="J3691" s="186"/>
      <c r="K3691" s="180"/>
      <c r="L3691" s="180"/>
    </row>
    <row r="3692" spans="2:12" s="188" customFormat="1" ht="15" customHeight="1">
      <c r="B3692" s="187"/>
      <c r="C3692" s="187"/>
      <c r="D3692" s="187"/>
      <c r="E3692" s="187"/>
      <c r="F3692" s="187"/>
      <c r="G3692" s="187"/>
      <c r="J3692" s="186"/>
      <c r="K3692" s="180"/>
      <c r="L3692" s="180"/>
    </row>
    <row r="3693" spans="2:12" s="188" customFormat="1" ht="15" customHeight="1">
      <c r="B3693" s="187"/>
      <c r="C3693" s="187"/>
      <c r="D3693" s="187"/>
      <c r="E3693" s="187"/>
      <c r="F3693" s="187"/>
      <c r="G3693" s="187"/>
      <c r="J3693" s="186"/>
      <c r="K3693" s="180"/>
      <c r="L3693" s="180"/>
    </row>
    <row r="3694" spans="2:12" s="188" customFormat="1" ht="15" customHeight="1">
      <c r="B3694" s="187"/>
      <c r="C3694" s="187"/>
      <c r="D3694" s="187"/>
      <c r="E3694" s="187"/>
      <c r="F3694" s="187"/>
      <c r="G3694" s="187"/>
      <c r="J3694" s="186"/>
      <c r="K3694" s="180"/>
      <c r="L3694" s="180"/>
    </row>
    <row r="3695" spans="2:12" s="188" customFormat="1" ht="15" customHeight="1">
      <c r="B3695" s="187"/>
      <c r="C3695" s="187"/>
      <c r="D3695" s="187"/>
      <c r="E3695" s="187"/>
      <c r="F3695" s="187"/>
      <c r="G3695" s="187"/>
      <c r="J3695" s="186"/>
      <c r="K3695" s="180"/>
      <c r="L3695" s="180"/>
    </row>
    <row r="3696" spans="2:12" s="188" customFormat="1" ht="15" customHeight="1">
      <c r="B3696" s="187"/>
      <c r="C3696" s="187"/>
      <c r="D3696" s="187"/>
      <c r="E3696" s="187"/>
      <c r="F3696" s="187"/>
      <c r="G3696" s="187"/>
      <c r="J3696" s="186"/>
      <c r="K3696" s="180"/>
      <c r="L3696" s="180"/>
    </row>
    <row r="3697" spans="2:14" ht="15" customHeight="1">
      <c r="B3697" s="187"/>
      <c r="C3697" s="187"/>
      <c r="D3697" s="187"/>
      <c r="E3697" s="187"/>
      <c r="F3697" s="187"/>
      <c r="G3697" s="187"/>
      <c r="J3697" s="186"/>
      <c r="K3697" s="180"/>
      <c r="L3697" s="180"/>
      <c r="M3697" s="188"/>
      <c r="N3697" s="188"/>
    </row>
  </sheetData>
  <mergeCells count="4">
    <mergeCell ref="B3:B4"/>
    <mergeCell ref="C3:C4"/>
    <mergeCell ref="D3:D4"/>
    <mergeCell ref="E3:E4"/>
  </mergeCells>
  <phoneticPr fontId="1" type="noConversion"/>
  <printOptions horizontalCentered="1"/>
  <pageMargins left="0.39370078740157483" right="0.39370078740157483" top="0.39370078740157483" bottom="0.39370078740157483" header="0.39370078740157483" footer="0.39370078740157483"/>
  <pageSetup paperSize="9" scale="70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이름이 지정된 범위</vt:lpstr>
      </vt:variant>
      <vt:variant>
        <vt:i4>1</vt:i4>
      </vt:variant>
    </vt:vector>
  </HeadingPairs>
  <TitlesOfParts>
    <vt:vector size="8" baseType="lpstr">
      <vt:lpstr>DB</vt:lpstr>
      <vt:lpstr>P</vt:lpstr>
      <vt:lpstr>DB2</vt:lpstr>
      <vt:lpstr>P (2)</vt:lpstr>
      <vt:lpstr>CODE</vt:lpstr>
      <vt:lpstr>P (3)</vt:lpstr>
      <vt:lpstr>P (4)</vt:lpstr>
      <vt:lpstr>'P (4)'!Print_Titles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</dc:creator>
  <cp:lastModifiedBy>rxk-1209242</cp:lastModifiedBy>
  <cp:lastPrinted>2014-12-02T02:18:03Z</cp:lastPrinted>
  <dcterms:created xsi:type="dcterms:W3CDTF">2013-05-29T01:22:42Z</dcterms:created>
  <dcterms:modified xsi:type="dcterms:W3CDTF">2015-06-02T10:14:22Z</dcterms:modified>
</cp:coreProperties>
</file>