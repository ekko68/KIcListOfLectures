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defaultThemeVersion="124226"/>
  <bookViews>
    <workbookView xWindow="0" yWindow="0" windowWidth="24240" windowHeight="11940"/>
  </bookViews>
  <sheets>
    <sheet name="Sheet2" sheetId="2" r:id="rId1"/>
  </sheets>
  <calcPr calcId="125725"/>
</workbook>
</file>

<file path=xl/calcChain.xml><?xml version="1.0" encoding="utf-8"?>
<calcChain xmlns="http://schemas.openxmlformats.org/spreadsheetml/2006/main">
  <c r="V64" i="2"/>
  <c r="V63"/>
  <c r="V62"/>
  <c r="X64"/>
  <c r="T64"/>
  <c r="R64"/>
  <c r="X63"/>
  <c r="T63"/>
  <c r="R63"/>
  <c r="X62"/>
  <c r="T62"/>
  <c r="R62"/>
  <c r="V65" l="1"/>
  <c r="W62" s="1"/>
  <c r="R65"/>
  <c r="S64" s="1"/>
  <c r="T65"/>
  <c r="U62" s="1"/>
  <c r="X65"/>
  <c r="W64" l="1"/>
  <c r="W63"/>
  <c r="S62"/>
  <c r="S63"/>
  <c r="U63"/>
  <c r="U64"/>
  <c r="Y64"/>
  <c r="Y63"/>
  <c r="Y62"/>
  <c r="W65" l="1"/>
  <c r="S65"/>
  <c r="U65"/>
  <c r="Y65"/>
</calcChain>
</file>

<file path=xl/sharedStrings.xml><?xml version="1.0" encoding="utf-8"?>
<sst xmlns="http://schemas.openxmlformats.org/spreadsheetml/2006/main" count="254" uniqueCount="148">
  <si>
    <t>1st depth</t>
    <phoneticPr fontId="2" type="noConversion"/>
  </si>
  <si>
    <t>2nd depth</t>
    <phoneticPr fontId="2" type="noConversion"/>
  </si>
  <si>
    <t>3rd depth</t>
    <phoneticPr fontId="2" type="noConversion"/>
  </si>
  <si>
    <t>4th depth</t>
    <phoneticPr fontId="2" type="noConversion"/>
  </si>
  <si>
    <t>5th depth</t>
    <phoneticPr fontId="2" type="noConversion"/>
  </si>
  <si>
    <t>연계 컨펌</t>
    <phoneticPr fontId="2" type="noConversion"/>
  </si>
  <si>
    <t>연계 항목</t>
    <phoneticPr fontId="2" type="noConversion"/>
  </si>
  <si>
    <t>컨펌 단계</t>
    <phoneticPr fontId="2" type="noConversion"/>
  </si>
  <si>
    <t>UI작업</t>
  </si>
  <si>
    <t>완료예정</t>
    <phoneticPr fontId="2" type="noConversion"/>
  </si>
  <si>
    <t>디자인</t>
  </si>
  <si>
    <t>화면명</t>
    <phoneticPr fontId="2" type="noConversion"/>
  </si>
  <si>
    <t>설명</t>
    <phoneticPr fontId="2" type="noConversion"/>
  </si>
  <si>
    <t>화면ID</t>
    <phoneticPr fontId="2" type="noConversion"/>
  </si>
  <si>
    <t>구현방식</t>
    <phoneticPr fontId="2" type="noConversion"/>
  </si>
  <si>
    <t>연계방식</t>
    <phoneticPr fontId="2" type="noConversion"/>
  </si>
  <si>
    <t>연계사이트</t>
    <phoneticPr fontId="2" type="noConversion"/>
  </si>
  <si>
    <t>사이트 메뉴</t>
    <phoneticPr fontId="2" type="noConversion"/>
  </si>
  <si>
    <t>비고</t>
    <phoneticPr fontId="2" type="noConversion"/>
  </si>
  <si>
    <t>IA변경</t>
    <phoneticPr fontId="2" type="noConversion"/>
  </si>
  <si>
    <t>O</t>
  </si>
  <si>
    <t>△</t>
    <phoneticPr fontId="2" type="noConversion"/>
  </si>
  <si>
    <t>UI작업 %</t>
  </si>
  <si>
    <t>디자인 %</t>
  </si>
  <si>
    <t>작업완료</t>
  </si>
  <si>
    <t>미작업</t>
  </si>
  <si>
    <t>수정필요</t>
  </si>
  <si>
    <t>전체</t>
  </si>
  <si>
    <t>※</t>
    <phoneticPr fontId="2" type="noConversion"/>
  </si>
  <si>
    <t>I.A. 설계서</t>
    <phoneticPr fontId="2" type="noConversion"/>
  </si>
  <si>
    <t>퍼블리싱</t>
    <phoneticPr fontId="1" type="noConversion"/>
  </si>
  <si>
    <t>개발</t>
    <phoneticPr fontId="1" type="noConversion"/>
  </si>
  <si>
    <t>타입</t>
    <phoneticPr fontId="2" type="noConversion"/>
  </si>
  <si>
    <t>퍼블리싱 %</t>
    <phoneticPr fontId="1" type="noConversion"/>
  </si>
  <si>
    <t>개발 %</t>
    <phoneticPr fontId="1" type="noConversion"/>
  </si>
  <si>
    <t>문서번호 : KIC-FN-P001</t>
    <phoneticPr fontId="1" type="noConversion"/>
  </si>
  <si>
    <t>0.0</t>
    <phoneticPr fontId="1" type="noConversion"/>
  </si>
  <si>
    <t>메인페이지</t>
    <phoneticPr fontId="1" type="noConversion"/>
  </si>
  <si>
    <t>0.1</t>
    <phoneticPr fontId="1" type="noConversion"/>
  </si>
  <si>
    <t>로그인</t>
    <phoneticPr fontId="1" type="noConversion"/>
  </si>
  <si>
    <t>0.1.1</t>
    <phoneticPr fontId="1" type="noConversion"/>
  </si>
  <si>
    <t>소셜 카카오</t>
    <phoneticPr fontId="1" type="noConversion"/>
  </si>
  <si>
    <t>소셜 페이스북</t>
    <phoneticPr fontId="1" type="noConversion"/>
  </si>
  <si>
    <t>0.1.2</t>
    <phoneticPr fontId="1" type="noConversion"/>
  </si>
  <si>
    <t>text</t>
    <phoneticPr fontId="1" type="noConversion"/>
  </si>
  <si>
    <t>html</t>
    <phoneticPr fontId="1" type="noConversion"/>
  </si>
  <si>
    <t>jsp</t>
    <phoneticPr fontId="1" type="noConversion"/>
  </si>
  <si>
    <t>api</t>
    <phoneticPr fontId="1" type="noConversion"/>
  </si>
  <si>
    <t>0.2</t>
    <phoneticPr fontId="1" type="noConversion"/>
  </si>
  <si>
    <t>1.0</t>
    <phoneticPr fontId="1" type="noConversion"/>
  </si>
  <si>
    <t>2.0</t>
    <phoneticPr fontId="1" type="noConversion"/>
  </si>
  <si>
    <t>입양하기</t>
    <phoneticPr fontId="1" type="noConversion"/>
  </si>
  <si>
    <t>3.0</t>
    <phoneticPr fontId="1" type="noConversion"/>
  </si>
  <si>
    <t>3.1</t>
    <phoneticPr fontId="1" type="noConversion"/>
  </si>
  <si>
    <t>3.2</t>
    <phoneticPr fontId="1" type="noConversion"/>
  </si>
  <si>
    <t>3.3</t>
    <phoneticPr fontId="1" type="noConversion"/>
  </si>
  <si>
    <t>일반 회원</t>
    <phoneticPr fontId="1" type="noConversion"/>
  </si>
  <si>
    <t>0.1.3</t>
    <phoneticPr fontId="1" type="noConversion"/>
  </si>
  <si>
    <t>3.1.1</t>
    <phoneticPr fontId="1" type="noConversion"/>
  </si>
  <si>
    <t>3.1.2</t>
    <phoneticPr fontId="1" type="noConversion"/>
  </si>
  <si>
    <t>댓글</t>
    <phoneticPr fontId="1" type="noConversion"/>
  </si>
  <si>
    <t>3.2.1</t>
    <phoneticPr fontId="1" type="noConversion"/>
  </si>
  <si>
    <t>3.2.2</t>
    <phoneticPr fontId="1" type="noConversion"/>
  </si>
  <si>
    <t>3.3.1</t>
    <phoneticPr fontId="1" type="noConversion"/>
  </si>
  <si>
    <t>3.3.2</t>
    <phoneticPr fontId="1" type="noConversion"/>
  </si>
  <si>
    <t>3.2.3</t>
    <phoneticPr fontId="1" type="noConversion"/>
  </si>
  <si>
    <t>동물 등록</t>
    <phoneticPr fontId="1" type="noConversion"/>
  </si>
  <si>
    <t>3.3.3</t>
    <phoneticPr fontId="1" type="noConversion"/>
  </si>
  <si>
    <t>설문지 작성</t>
    <phoneticPr fontId="1" type="noConversion"/>
  </si>
  <si>
    <t>추가정보 작성</t>
    <phoneticPr fontId="1" type="noConversion"/>
  </si>
  <si>
    <t>최초등록일 : 2017.08.07</t>
    <phoneticPr fontId="1" type="noConversion"/>
  </si>
  <si>
    <t>update : 2017.08.07</t>
    <phoneticPr fontId="1" type="noConversion"/>
  </si>
  <si>
    <t>임시보호 신청</t>
    <phoneticPr fontId="1" type="noConversion"/>
  </si>
  <si>
    <t>4.0</t>
    <phoneticPr fontId="1" type="noConversion"/>
  </si>
  <si>
    <t>관리자 페이지</t>
    <phoneticPr fontId="1" type="noConversion"/>
  </si>
  <si>
    <t>4.1</t>
    <phoneticPr fontId="1" type="noConversion"/>
  </si>
  <si>
    <t>로그인 히스토리</t>
    <phoneticPr fontId="1" type="noConversion"/>
  </si>
  <si>
    <t>4.2</t>
    <phoneticPr fontId="1" type="noConversion"/>
  </si>
  <si>
    <t>4.3</t>
    <phoneticPr fontId="1" type="noConversion"/>
  </si>
  <si>
    <t>게시글 관리</t>
    <phoneticPr fontId="1" type="noConversion"/>
  </si>
  <si>
    <t>댓글 관리</t>
    <phoneticPr fontId="1" type="noConversion"/>
  </si>
  <si>
    <t>유저 목록</t>
    <phoneticPr fontId="1" type="noConversion"/>
  </si>
  <si>
    <t>입양/분양 관리</t>
    <phoneticPr fontId="1" type="noConversion"/>
  </si>
  <si>
    <t>5.0</t>
    <phoneticPr fontId="1" type="noConversion"/>
  </si>
  <si>
    <t>5.1</t>
    <phoneticPr fontId="1" type="noConversion"/>
  </si>
  <si>
    <t>5.2</t>
    <phoneticPr fontId="1" type="noConversion"/>
  </si>
  <si>
    <t>사업자 페이지</t>
    <phoneticPr fontId="1" type="noConversion"/>
  </si>
  <si>
    <t>업체추가정보입력</t>
    <phoneticPr fontId="1" type="noConversion"/>
  </si>
  <si>
    <t>동물등록</t>
    <phoneticPr fontId="1" type="noConversion"/>
  </si>
  <si>
    <t>0.2.1</t>
    <phoneticPr fontId="1" type="noConversion"/>
  </si>
  <si>
    <t>0.2.2</t>
    <phoneticPr fontId="1" type="noConversion"/>
  </si>
  <si>
    <t>동물정보 입력</t>
    <phoneticPr fontId="1" type="noConversion"/>
  </si>
  <si>
    <t>추가정보 입력</t>
    <phoneticPr fontId="1" type="noConversion"/>
  </si>
  <si>
    <t>상세글보기</t>
    <phoneticPr fontId="1" type="noConversion"/>
  </si>
  <si>
    <t>실종신고목록</t>
    <phoneticPr fontId="1" type="noConversion"/>
  </si>
  <si>
    <t>보호신고목록</t>
    <phoneticPr fontId="1" type="noConversion"/>
  </si>
  <si>
    <t>자유게시판목록</t>
    <phoneticPr fontId="1" type="noConversion"/>
  </si>
  <si>
    <t>상세글보기</t>
    <phoneticPr fontId="1" type="noConversion"/>
  </si>
  <si>
    <t>0.3</t>
    <phoneticPr fontId="1" type="noConversion"/>
  </si>
  <si>
    <t>footer-사이트맵</t>
    <phoneticPr fontId="1" type="noConversion"/>
  </si>
  <si>
    <t>사이트 운영정책</t>
    <phoneticPr fontId="1" type="noConversion"/>
  </si>
  <si>
    <t>0.4</t>
    <phoneticPr fontId="1" type="noConversion"/>
  </si>
  <si>
    <t>정보 페이지</t>
    <phoneticPr fontId="1" type="noConversion"/>
  </si>
  <si>
    <t>실종시 대처방법</t>
    <phoneticPr fontId="1" type="noConversion"/>
  </si>
  <si>
    <t>구조시 대처방법</t>
    <phoneticPr fontId="1" type="noConversion"/>
  </si>
  <si>
    <t>반려동물 일반 상식</t>
    <phoneticPr fontId="1" type="noConversion"/>
  </si>
  <si>
    <t>6.0</t>
    <phoneticPr fontId="1" type="noConversion"/>
  </si>
  <si>
    <t>6.1</t>
    <phoneticPr fontId="1" type="noConversion"/>
  </si>
  <si>
    <t>6.2</t>
    <phoneticPr fontId="1" type="noConversion"/>
  </si>
  <si>
    <t>6.3</t>
  </si>
  <si>
    <t>6.4</t>
  </si>
  <si>
    <t>6.5</t>
  </si>
  <si>
    <t>6.6</t>
    <phoneticPr fontId="1" type="noConversion"/>
  </si>
  <si>
    <t>6.7</t>
    <phoneticPr fontId="1" type="noConversion"/>
  </si>
  <si>
    <t>6.5.1</t>
    <phoneticPr fontId="1" type="noConversion"/>
  </si>
  <si>
    <t>6.6.1</t>
    <phoneticPr fontId="1" type="noConversion"/>
  </si>
  <si>
    <t>6.7.1</t>
    <phoneticPr fontId="1" type="noConversion"/>
  </si>
  <si>
    <t>회원정보 페이지</t>
    <phoneticPr fontId="1" type="noConversion"/>
  </si>
  <si>
    <t>0.3.1</t>
    <phoneticPr fontId="1" type="noConversion"/>
  </si>
  <si>
    <t>개인정보변경</t>
    <phoneticPr fontId="1" type="noConversion"/>
  </si>
  <si>
    <t>입양/임보확인</t>
    <phoneticPr fontId="1" type="noConversion"/>
  </si>
  <si>
    <t>승인/처리중/거부</t>
    <phoneticPr fontId="1" type="noConversion"/>
  </si>
  <si>
    <t>회원가입
(개인정보수집이용동의서)</t>
    <phoneticPr fontId="1" type="noConversion"/>
  </si>
  <si>
    <t>jsp</t>
    <phoneticPr fontId="1" type="noConversion"/>
  </si>
  <si>
    <t>반려동물 입양프로젝트
DearMyPet.net</t>
    <phoneticPr fontId="2" type="noConversion"/>
  </si>
  <si>
    <t>text</t>
  </si>
  <si>
    <t>text</t>
    <phoneticPr fontId="1" type="noConversion"/>
  </si>
  <si>
    <t>html/css</t>
    <phoneticPr fontId="1" type="noConversion"/>
  </si>
  <si>
    <t>0.5</t>
    <phoneticPr fontId="1" type="noConversion"/>
  </si>
  <si>
    <t>0.6</t>
    <phoneticPr fontId="1" type="noConversion"/>
  </si>
  <si>
    <t>html/css</t>
    <phoneticPr fontId="1" type="noConversion"/>
  </si>
  <si>
    <t>jsp</t>
    <phoneticPr fontId="1" type="noConversion"/>
  </si>
  <si>
    <t>공지사항 페이지</t>
    <phoneticPr fontId="1" type="noConversion"/>
  </si>
  <si>
    <t>text</t>
    <phoneticPr fontId="1" type="noConversion"/>
  </si>
  <si>
    <t>반려동물 소개</t>
    <phoneticPr fontId="1" type="noConversion"/>
  </si>
  <si>
    <t>About us</t>
    <phoneticPr fontId="1" type="noConversion"/>
  </si>
  <si>
    <t>2.1</t>
    <phoneticPr fontId="1" type="noConversion"/>
  </si>
  <si>
    <t>2.2</t>
    <phoneticPr fontId="1" type="noConversion"/>
  </si>
  <si>
    <t>2.1.1</t>
    <phoneticPr fontId="1" type="noConversion"/>
  </si>
  <si>
    <t>2.1.2</t>
    <phoneticPr fontId="1" type="noConversion"/>
  </si>
  <si>
    <t>2.2.1</t>
    <phoneticPr fontId="1" type="noConversion"/>
  </si>
  <si>
    <t>2.2.2</t>
    <phoneticPr fontId="1" type="noConversion"/>
  </si>
  <si>
    <t>추가정보 작성</t>
    <phoneticPr fontId="1" type="noConversion"/>
  </si>
  <si>
    <t>반려동물 목록[삭제]</t>
    <phoneticPr fontId="1" type="noConversion"/>
  </si>
  <si>
    <t>반려동물 등록/수정/삭제</t>
    <phoneticPr fontId="1" type="noConversion"/>
  </si>
  <si>
    <t>보호단체 등록/수정/삭제</t>
    <phoneticPr fontId="1" type="noConversion"/>
  </si>
  <si>
    <t>보호단체 목록[삭제]</t>
    <phoneticPr fontId="1" type="noConversion"/>
  </si>
  <si>
    <t>소통 공간</t>
    <phoneticPr fontId="1" type="noConversion"/>
  </si>
</sst>
</file>

<file path=xl/styles.xml><?xml version="1.0" encoding="utf-8"?>
<styleSheet xmlns="http://schemas.openxmlformats.org/spreadsheetml/2006/main">
  <fonts count="25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trike/>
      <sz val="9"/>
      <color rgb="FFFF000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9"/>
      <color rgb="FF7030A0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B05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249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 indent="2"/>
    </xf>
    <xf numFmtId="0" fontId="0" fillId="2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left" vertical="center"/>
    </xf>
    <xf numFmtId="0" fontId="0" fillId="2" borderId="5" xfId="0" applyFont="1" applyFill="1" applyBorder="1">
      <alignment vertical="center"/>
    </xf>
    <xf numFmtId="0" fontId="9" fillId="2" borderId="5" xfId="0" applyFont="1" applyFill="1" applyBorder="1" applyAlignment="1">
      <alignment horizontal="right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top"/>
    </xf>
    <xf numFmtId="0" fontId="10" fillId="3" borderId="10" xfId="0" applyFont="1" applyFill="1" applyBorder="1" applyAlignment="1">
      <alignment horizontal="center" vertical="center"/>
    </xf>
    <xf numFmtId="0" fontId="10" fillId="4" borderId="9" xfId="2" applyFont="1" applyFill="1" applyBorder="1" applyAlignment="1">
      <alignment horizontal="center" vertical="top"/>
    </xf>
    <xf numFmtId="0" fontId="10" fillId="5" borderId="9" xfId="2" applyFont="1" applyFill="1" applyBorder="1" applyAlignment="1">
      <alignment horizontal="center" vertical="top"/>
    </xf>
    <xf numFmtId="0" fontId="10" fillId="4" borderId="9" xfId="2" applyFont="1" applyFill="1" applyBorder="1" applyAlignment="1">
      <alignment horizontal="center" vertical="center"/>
    </xf>
    <xf numFmtId="0" fontId="10" fillId="5" borderId="9" xfId="2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0" fillId="3" borderId="8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2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horizontal="left" vertical="center" indent="1"/>
    </xf>
    <xf numFmtId="0" fontId="14" fillId="2" borderId="12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 indent="1"/>
    </xf>
    <xf numFmtId="0" fontId="14" fillId="2" borderId="16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 indent="1"/>
    </xf>
    <xf numFmtId="0" fontId="14" fillId="2" borderId="14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 indent="1"/>
    </xf>
    <xf numFmtId="0" fontId="14" fillId="2" borderId="17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top" indent="1"/>
    </xf>
    <xf numFmtId="0" fontId="8" fillId="2" borderId="18" xfId="0" applyFont="1" applyFill="1" applyBorder="1" applyAlignment="1">
      <alignment horizontal="left" vertical="top" indent="1"/>
    </xf>
    <xf numFmtId="0" fontId="14" fillId="2" borderId="14" xfId="0" quotePrefix="1" applyFont="1" applyFill="1" applyBorder="1" applyAlignment="1">
      <alignment horizontal="left" vertical="center" indent="1"/>
    </xf>
    <xf numFmtId="0" fontId="14" fillId="2" borderId="11" xfId="0" applyFont="1" applyFill="1" applyBorder="1" applyAlignment="1">
      <alignment vertical="center"/>
    </xf>
    <xf numFmtId="49" fontId="14" fillId="2" borderId="14" xfId="0" applyNumberFormat="1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4" fillId="2" borderId="12" xfId="0" applyFont="1" applyFill="1" applyBorder="1">
      <alignment vertical="center"/>
    </xf>
    <xf numFmtId="0" fontId="14" fillId="2" borderId="14" xfId="0" applyFont="1" applyFill="1" applyBorder="1">
      <alignment vertical="center"/>
    </xf>
    <xf numFmtId="49" fontId="14" fillId="2" borderId="18" xfId="0" applyNumberFormat="1" applyFont="1" applyFill="1" applyBorder="1" applyAlignment="1">
      <alignment horizontal="left" vertical="center"/>
    </xf>
    <xf numFmtId="49" fontId="14" fillId="2" borderId="17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 indent="2"/>
    </xf>
    <xf numFmtId="0" fontId="9" fillId="0" borderId="0" xfId="0" applyFont="1">
      <alignment vertical="center"/>
    </xf>
    <xf numFmtId="49" fontId="15" fillId="0" borderId="0" xfId="0" applyNumberFormat="1" applyFont="1" applyFill="1" applyBorder="1" applyAlignment="1">
      <alignment horizontal="left" vertical="center"/>
    </xf>
    <xf numFmtId="0" fontId="4" fillId="3" borderId="0" xfId="2" applyFont="1" applyFill="1" applyBorder="1" applyAlignment="1">
      <alignment horizontal="center" vertical="center"/>
    </xf>
    <xf numFmtId="49" fontId="16" fillId="0" borderId="0" xfId="0" applyNumberFormat="1" applyFont="1" applyFill="1" applyBorder="1" applyAlignment="1">
      <alignment horizontal="left" vertical="center"/>
    </xf>
    <xf numFmtId="0" fontId="19" fillId="3" borderId="10" xfId="2" applyFont="1" applyFill="1" applyBorder="1" applyAlignment="1">
      <alignment horizontal="center" vertical="center"/>
    </xf>
    <xf numFmtId="0" fontId="20" fillId="3" borderId="10" xfId="2" applyFont="1" applyFill="1" applyBorder="1" applyAlignment="1">
      <alignment horizontal="center" vertical="center"/>
    </xf>
    <xf numFmtId="0" fontId="20" fillId="3" borderId="10" xfId="2" applyFont="1" applyFill="1" applyBorder="1" applyAlignment="1">
      <alignment horizontal="center" vertical="top"/>
    </xf>
    <xf numFmtId="0" fontId="4" fillId="0" borderId="0" xfId="2" applyFont="1" applyBorder="1" applyAlignment="1">
      <alignment horizontal="center" vertical="center"/>
    </xf>
    <xf numFmtId="0" fontId="21" fillId="0" borderId="0" xfId="0" applyFont="1">
      <alignment vertical="center"/>
    </xf>
    <xf numFmtId="0" fontId="5" fillId="3" borderId="12" xfId="2" applyFont="1" applyFill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9" fontId="4" fillId="0" borderId="12" xfId="2" applyNumberFormat="1" applyFont="1" applyBorder="1">
      <alignment vertical="center"/>
    </xf>
    <xf numFmtId="0" fontId="4" fillId="0" borderId="12" xfId="2" applyFont="1" applyBorder="1" applyAlignment="1">
      <alignment vertical="center"/>
    </xf>
    <xf numFmtId="0" fontId="0" fillId="0" borderId="0" xfId="0" applyBorder="1">
      <alignment vertical="center"/>
    </xf>
    <xf numFmtId="0" fontId="17" fillId="0" borderId="0" xfId="0" applyFont="1">
      <alignment vertical="center"/>
    </xf>
    <xf numFmtId="0" fontId="5" fillId="3" borderId="14" xfId="2" applyFont="1" applyFill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9" fontId="4" fillId="0" borderId="14" xfId="2" applyNumberFormat="1" applyFont="1" applyBorder="1">
      <alignment vertical="center"/>
    </xf>
    <xf numFmtId="0" fontId="4" fillId="0" borderId="14" xfId="2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9" fontId="4" fillId="0" borderId="17" xfId="2" applyNumberFormat="1" applyFont="1" applyBorder="1">
      <alignment vertical="center"/>
    </xf>
    <xf numFmtId="0" fontId="4" fillId="0" borderId="17" xfId="2" applyFont="1" applyBorder="1" applyAlignment="1">
      <alignment vertical="center"/>
    </xf>
    <xf numFmtId="0" fontId="12" fillId="0" borderId="0" xfId="2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top"/>
    </xf>
    <xf numFmtId="0" fontId="4" fillId="0" borderId="0" xfId="2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14" fillId="2" borderId="18" xfId="0" applyFont="1" applyFill="1" applyBorder="1" applyAlignment="1">
      <alignment horizontal="left" vertical="top"/>
    </xf>
    <xf numFmtId="49" fontId="14" fillId="2" borderId="14" xfId="0" applyNumberFormat="1" applyFont="1" applyFill="1" applyBorder="1" applyAlignment="1">
      <alignment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4" xfId="0" applyFont="1" applyFill="1" applyBorder="1">
      <alignment vertical="center"/>
    </xf>
    <xf numFmtId="0" fontId="3" fillId="2" borderId="14" xfId="0" applyNumberFormat="1" applyFont="1" applyFill="1" applyBorder="1" applyAlignment="1" applyProtection="1">
      <alignment horizontal="center" vertical="top"/>
    </xf>
    <xf numFmtId="0" fontId="3" fillId="2" borderId="14" xfId="0" applyFont="1" applyFill="1" applyBorder="1" applyAlignment="1">
      <alignment horizontal="center" vertical="center"/>
    </xf>
    <xf numFmtId="0" fontId="3" fillId="2" borderId="12" xfId="2" applyNumberFormat="1" applyFont="1" applyFill="1" applyBorder="1" applyAlignment="1" applyProtection="1">
      <alignment horizontal="center" vertical="top"/>
    </xf>
    <xf numFmtId="0" fontId="3" fillId="2" borderId="12" xfId="0" applyNumberFormat="1" applyFont="1" applyFill="1" applyBorder="1" applyAlignment="1" applyProtection="1">
      <alignment horizontal="center" vertical="top"/>
    </xf>
    <xf numFmtId="14" fontId="3" fillId="2" borderId="12" xfId="0" applyNumberFormat="1" applyFont="1" applyFill="1" applyBorder="1" applyAlignment="1" applyProtection="1">
      <alignment horizontal="center" vertical="top"/>
    </xf>
    <xf numFmtId="0" fontId="3" fillId="2" borderId="14" xfId="0" applyNumberFormat="1" applyFont="1" applyFill="1" applyBorder="1" applyAlignment="1" applyProtection="1">
      <alignment horizontal="center" vertical="center" wrapText="1"/>
    </xf>
    <xf numFmtId="0" fontId="3" fillId="2" borderId="18" xfId="0" applyNumberFormat="1" applyFont="1" applyFill="1" applyBorder="1" applyAlignment="1" applyProtection="1">
      <alignment horizontal="center" vertical="top"/>
    </xf>
    <xf numFmtId="14" fontId="3" fillId="2" borderId="14" xfId="0" applyNumberFormat="1" applyFont="1" applyFill="1" applyBorder="1" applyAlignment="1" applyProtection="1">
      <alignment horizontal="center" vertical="top"/>
    </xf>
    <xf numFmtId="14" fontId="3" fillId="2" borderId="16" xfId="0" applyNumberFormat="1" applyFont="1" applyFill="1" applyBorder="1" applyAlignment="1" applyProtection="1">
      <alignment horizontal="center" vertical="top"/>
    </xf>
    <xf numFmtId="0" fontId="3" fillId="2" borderId="16" xfId="0" applyNumberFormat="1" applyFont="1" applyFill="1" applyBorder="1" applyAlignment="1" applyProtection="1">
      <alignment horizontal="center" vertical="top"/>
    </xf>
    <xf numFmtId="0" fontId="3" fillId="2" borderId="14" xfId="2" applyNumberFormat="1" applyFont="1" applyFill="1" applyBorder="1" applyAlignment="1" applyProtection="1">
      <alignment horizontal="center" vertical="center"/>
    </xf>
    <xf numFmtId="0" fontId="3" fillId="0" borderId="14" xfId="0" applyNumberFormat="1" applyFont="1" applyFill="1" applyBorder="1" applyAlignment="1" applyProtection="1">
      <alignment horizontal="center" vertical="top"/>
    </xf>
    <xf numFmtId="14" fontId="3" fillId="0" borderId="14" xfId="0" applyNumberFormat="1" applyFont="1" applyFill="1" applyBorder="1" applyAlignment="1" applyProtection="1">
      <alignment horizontal="center" vertical="top"/>
    </xf>
    <xf numFmtId="0" fontId="3" fillId="2" borderId="14" xfId="2" applyNumberFormat="1" applyFont="1" applyFill="1" applyBorder="1" applyAlignment="1" applyProtection="1">
      <alignment horizontal="center" vertical="top"/>
    </xf>
    <xf numFmtId="0" fontId="3" fillId="2" borderId="18" xfId="2" applyNumberFormat="1" applyFont="1" applyFill="1" applyBorder="1" applyAlignment="1" applyProtection="1">
      <alignment horizontal="center" vertical="top"/>
    </xf>
    <xf numFmtId="14" fontId="3" fillId="2" borderId="18" xfId="0" applyNumberFormat="1" applyFont="1" applyFill="1" applyBorder="1" applyAlignment="1" applyProtection="1">
      <alignment horizontal="center" vertical="top"/>
    </xf>
    <xf numFmtId="0" fontId="3" fillId="2" borderId="12" xfId="0" applyNumberFormat="1" applyFont="1" applyFill="1" applyBorder="1" applyAlignment="1" applyProtection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top"/>
    </xf>
    <xf numFmtId="0" fontId="14" fillId="2" borderId="2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left" vertical="top"/>
    </xf>
    <xf numFmtId="0" fontId="3" fillId="2" borderId="18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top"/>
    </xf>
    <xf numFmtId="0" fontId="14" fillId="2" borderId="14" xfId="0" applyFont="1" applyFill="1" applyBorder="1" applyAlignment="1">
      <alignment horizontal="center" vertical="top"/>
    </xf>
    <xf numFmtId="0" fontId="14" fillId="2" borderId="16" xfId="0" applyFont="1" applyFill="1" applyBorder="1" applyAlignment="1">
      <alignment horizontal="center" vertical="top"/>
    </xf>
    <xf numFmtId="0" fontId="14" fillId="2" borderId="17" xfId="0" applyFont="1" applyFill="1" applyBorder="1" applyAlignment="1">
      <alignment horizontal="center" vertical="center"/>
    </xf>
    <xf numFmtId="0" fontId="14" fillId="2" borderId="0" xfId="0" applyFont="1" applyFill="1">
      <alignment vertical="center"/>
    </xf>
    <xf numFmtId="14" fontId="3" fillId="0" borderId="12" xfId="0" applyNumberFormat="1" applyFont="1" applyFill="1" applyBorder="1" applyAlignment="1" applyProtection="1">
      <alignment horizontal="center" vertical="top"/>
    </xf>
    <xf numFmtId="0" fontId="3" fillId="0" borderId="12" xfId="0" applyNumberFormat="1" applyFont="1" applyFill="1" applyBorder="1" applyAlignment="1" applyProtection="1">
      <alignment horizontal="center" vertical="top"/>
    </xf>
    <xf numFmtId="49" fontId="14" fillId="2" borderId="12" xfId="0" applyNumberFormat="1" applyFont="1" applyFill="1" applyBorder="1" applyAlignment="1">
      <alignment horizontal="left" vertical="center"/>
    </xf>
    <xf numFmtId="0" fontId="3" fillId="2" borderId="12" xfId="0" applyFont="1" applyFill="1" applyBorder="1">
      <alignment vertical="center"/>
    </xf>
    <xf numFmtId="0" fontId="14" fillId="2" borderId="12" xfId="0" applyFont="1" applyFill="1" applyBorder="1" applyAlignment="1">
      <alignment horizontal="left" vertical="top"/>
    </xf>
    <xf numFmtId="0" fontId="14" fillId="2" borderId="12" xfId="0" applyFont="1" applyFill="1" applyBorder="1" applyAlignment="1">
      <alignment horizontal="center" vertical="top"/>
    </xf>
    <xf numFmtId="0" fontId="14" fillId="2" borderId="13" xfId="0" applyFont="1" applyFill="1" applyBorder="1" applyAlignment="1">
      <alignment horizontal="left" vertical="center"/>
    </xf>
    <xf numFmtId="49" fontId="14" fillId="2" borderId="16" xfId="0" applyNumberFormat="1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left" vertical="top"/>
    </xf>
    <xf numFmtId="0" fontId="14" fillId="2" borderId="16" xfId="0" applyFont="1" applyFill="1" applyBorder="1" applyAlignment="1">
      <alignment horizontal="center" vertical="top" wrapText="1"/>
    </xf>
    <xf numFmtId="0" fontId="14" fillId="2" borderId="18" xfId="0" applyFont="1" applyFill="1" applyBorder="1" applyAlignment="1">
      <alignment horizontal="left" vertical="center" wrapText="1"/>
    </xf>
    <xf numFmtId="0" fontId="14" fillId="2" borderId="19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top"/>
    </xf>
    <xf numFmtId="0" fontId="14" fillId="2" borderId="16" xfId="0" applyFont="1" applyFill="1" applyBorder="1" applyAlignment="1">
      <alignment vertical="center"/>
    </xf>
    <xf numFmtId="0" fontId="14" fillId="2" borderId="17" xfId="0" applyFont="1" applyFill="1" applyBorder="1" applyAlignment="1">
      <alignment horizontal="center" vertical="top"/>
    </xf>
    <xf numFmtId="0" fontId="14" fillId="2" borderId="9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vertical="top"/>
    </xf>
    <xf numFmtId="0" fontId="14" fillId="2" borderId="14" xfId="0" applyFont="1" applyFill="1" applyBorder="1" applyAlignment="1">
      <alignment vertical="top"/>
    </xf>
    <xf numFmtId="0" fontId="14" fillId="2" borderId="1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center"/>
    </xf>
    <xf numFmtId="0" fontId="14" fillId="2" borderId="14" xfId="0" quotePrefix="1" applyFont="1" applyFill="1" applyBorder="1" applyAlignment="1">
      <alignment horizontal="left" vertical="center"/>
    </xf>
    <xf numFmtId="0" fontId="14" fillId="2" borderId="14" xfId="0" quotePrefix="1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4" xfId="0" quotePrefix="1" applyFont="1" applyFill="1" applyBorder="1">
      <alignment vertical="center"/>
    </xf>
    <xf numFmtId="0" fontId="3" fillId="2" borderId="17" xfId="0" applyNumberFormat="1" applyFont="1" applyFill="1" applyBorder="1" applyAlignment="1">
      <alignment vertical="center" wrapText="1"/>
    </xf>
    <xf numFmtId="0" fontId="9" fillId="2" borderId="1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center" vertical="center"/>
    </xf>
    <xf numFmtId="0" fontId="14" fillId="2" borderId="17" xfId="2" applyFont="1" applyFill="1" applyBorder="1" applyAlignment="1">
      <alignment horizontal="center" vertical="top"/>
    </xf>
    <xf numFmtId="0" fontId="3" fillId="2" borderId="18" xfId="0" applyFont="1" applyFill="1" applyBorder="1" applyAlignment="1">
      <alignment vertical="top"/>
    </xf>
    <xf numFmtId="0" fontId="14" fillId="2" borderId="18" xfId="0" applyFont="1" applyFill="1" applyBorder="1" applyAlignment="1">
      <alignment vertical="top"/>
    </xf>
    <xf numFmtId="0" fontId="14" fillId="2" borderId="11" xfId="0" applyFont="1" applyFill="1" applyBorder="1" applyAlignment="1">
      <alignment horizontal="center" vertical="top" wrapText="1"/>
    </xf>
    <xf numFmtId="0" fontId="14" fillId="2" borderId="11" xfId="0" applyFont="1" applyFill="1" applyBorder="1" applyAlignment="1">
      <alignment horizontal="center" vertical="top"/>
    </xf>
    <xf numFmtId="0" fontId="3" fillId="2" borderId="18" xfId="2" applyNumberFormat="1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8" fillId="2" borderId="12" xfId="0" applyFont="1" applyFill="1" applyBorder="1" applyAlignment="1">
      <alignment horizontal="left" vertical="top" indent="1"/>
    </xf>
    <xf numFmtId="0" fontId="3" fillId="2" borderId="12" xfId="2" applyNumberFormat="1" applyFont="1" applyFill="1" applyBorder="1" applyAlignment="1" applyProtection="1">
      <alignment horizontal="center" vertical="center"/>
    </xf>
    <xf numFmtId="0" fontId="14" fillId="2" borderId="29" xfId="0" applyFont="1" applyFill="1" applyBorder="1">
      <alignment vertical="center"/>
    </xf>
    <xf numFmtId="0" fontId="13" fillId="0" borderId="29" xfId="0" applyFont="1" applyBorder="1">
      <alignment vertical="center"/>
    </xf>
    <xf numFmtId="0" fontId="14" fillId="2" borderId="18" xfId="0" applyFont="1" applyFill="1" applyBorder="1" applyAlignment="1">
      <alignment horizontal="center" vertical="top"/>
    </xf>
    <xf numFmtId="0" fontId="8" fillId="2" borderId="18" xfId="0" applyFont="1" applyFill="1" applyBorder="1" applyAlignment="1">
      <alignment horizontal="left" vertical="center" indent="1"/>
    </xf>
    <xf numFmtId="0" fontId="12" fillId="2" borderId="17" xfId="0" applyFont="1" applyFill="1" applyBorder="1" applyAlignment="1">
      <alignment vertical="center"/>
    </xf>
    <xf numFmtId="49" fontId="14" fillId="2" borderId="17" xfId="0" applyNumberFormat="1" applyFont="1" applyFill="1" applyBorder="1" applyAlignment="1">
      <alignment vertical="center"/>
    </xf>
    <xf numFmtId="0" fontId="14" fillId="2" borderId="17" xfId="0" applyFont="1" applyFill="1" applyBorder="1" applyAlignment="1">
      <alignment vertical="center"/>
    </xf>
    <xf numFmtId="0" fontId="3" fillId="2" borderId="18" xfId="0" applyNumberFormat="1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>
      <alignment vertical="center"/>
    </xf>
    <xf numFmtId="0" fontId="14" fillId="2" borderId="36" xfId="0" applyFont="1" applyFill="1" applyBorder="1">
      <alignment vertical="center"/>
    </xf>
    <xf numFmtId="0" fontId="13" fillId="0" borderId="36" xfId="0" applyFont="1" applyBorder="1">
      <alignment vertical="center"/>
    </xf>
    <xf numFmtId="0" fontId="12" fillId="2" borderId="10" xfId="0" applyFont="1" applyFill="1" applyBorder="1" applyAlignment="1">
      <alignment vertical="center"/>
    </xf>
    <xf numFmtId="49" fontId="14" fillId="2" borderId="10" xfId="0" applyNumberFormat="1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vertical="center"/>
    </xf>
    <xf numFmtId="0" fontId="14" fillId="2" borderId="10" xfId="0" applyFont="1" applyFill="1" applyBorder="1" applyAlignment="1">
      <alignment horizontal="left" vertical="top"/>
    </xf>
    <xf numFmtId="0" fontId="14" fillId="2" borderId="10" xfId="0" applyFont="1" applyFill="1" applyBorder="1" applyAlignment="1">
      <alignment horizontal="center" vertical="top"/>
    </xf>
    <xf numFmtId="0" fontId="8" fillId="2" borderId="10" xfId="0" applyFont="1" applyFill="1" applyBorder="1" applyAlignment="1">
      <alignment horizontal="left" vertical="center" indent="1"/>
    </xf>
    <xf numFmtId="0" fontId="14" fillId="2" borderId="10" xfId="0" applyFont="1" applyFill="1" applyBorder="1" applyAlignment="1">
      <alignment horizontal="center" vertical="center"/>
    </xf>
    <xf numFmtId="0" fontId="3" fillId="2" borderId="10" xfId="0" applyNumberFormat="1" applyFont="1" applyFill="1" applyBorder="1" applyAlignment="1" applyProtection="1">
      <alignment horizontal="center" vertical="center" wrapText="1"/>
    </xf>
    <xf numFmtId="0" fontId="3" fillId="2" borderId="10" xfId="0" applyNumberFormat="1" applyFont="1" applyFill="1" applyBorder="1" applyAlignment="1" applyProtection="1">
      <alignment horizontal="center" vertical="top"/>
    </xf>
    <xf numFmtId="14" fontId="3" fillId="2" borderId="10" xfId="0" applyNumberFormat="1" applyFont="1" applyFill="1" applyBorder="1" applyAlignment="1" applyProtection="1">
      <alignment horizontal="center" vertical="top"/>
    </xf>
    <xf numFmtId="0" fontId="14" fillId="2" borderId="8" xfId="0" applyFont="1" applyFill="1" applyBorder="1" applyAlignment="1">
      <alignment horizontal="left" vertical="center"/>
    </xf>
    <xf numFmtId="0" fontId="14" fillId="2" borderId="7" xfId="0" applyFont="1" applyFill="1" applyBorder="1">
      <alignment vertical="center"/>
    </xf>
    <xf numFmtId="0" fontId="13" fillId="0" borderId="7" xfId="0" applyFont="1" applyBorder="1">
      <alignment vertical="center"/>
    </xf>
    <xf numFmtId="0" fontId="12" fillId="2" borderId="18" xfId="0" applyFont="1" applyFill="1" applyBorder="1" applyAlignment="1">
      <alignment vertical="center"/>
    </xf>
    <xf numFmtId="49" fontId="14" fillId="2" borderId="18" xfId="0" applyNumberFormat="1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4" fillId="2" borderId="37" xfId="0" applyFont="1" applyFill="1" applyBorder="1">
      <alignment vertical="center"/>
    </xf>
    <xf numFmtId="0" fontId="13" fillId="0" borderId="37" xfId="0" applyFont="1" applyBorder="1">
      <alignment vertical="center"/>
    </xf>
    <xf numFmtId="0" fontId="14" fillId="2" borderId="14" xfId="0" applyFont="1" applyFill="1" applyBorder="1" applyAlignment="1">
      <alignment vertical="center"/>
    </xf>
    <xf numFmtId="0" fontId="14" fillId="2" borderId="14" xfId="0" applyFont="1" applyFill="1" applyBorder="1" applyAlignment="1">
      <alignment horizontal="center" vertical="top" wrapText="1"/>
    </xf>
    <xf numFmtId="0" fontId="14" fillId="2" borderId="18" xfId="0" applyFont="1" applyFill="1" applyBorder="1" applyAlignment="1">
      <alignment vertical="center" wrapText="1"/>
    </xf>
    <xf numFmtId="0" fontId="14" fillId="2" borderId="11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14" xfId="0" quotePrefix="1" applyFont="1" applyFill="1" applyBorder="1" applyAlignment="1">
      <alignment horizontal="left" vertical="center"/>
    </xf>
    <xf numFmtId="0" fontId="14" fillId="2" borderId="38" xfId="0" applyFont="1" applyFill="1" applyBorder="1">
      <alignment vertical="center"/>
    </xf>
    <xf numFmtId="0" fontId="13" fillId="0" borderId="38" xfId="0" applyFont="1" applyBorder="1">
      <alignment vertical="center"/>
    </xf>
    <xf numFmtId="0" fontId="12" fillId="2" borderId="14" xfId="0" applyFont="1" applyFill="1" applyBorder="1" applyAlignment="1">
      <alignment vertical="center"/>
    </xf>
    <xf numFmtId="0" fontId="3" fillId="2" borderId="14" xfId="0" applyNumberFormat="1" applyFont="1" applyFill="1" applyBorder="1" applyAlignment="1">
      <alignment vertical="center" wrapText="1"/>
    </xf>
    <xf numFmtId="0" fontId="9" fillId="2" borderId="1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left" vertical="center"/>
    </xf>
    <xf numFmtId="0" fontId="14" fillId="2" borderId="14" xfId="2" applyFont="1" applyFill="1" applyBorder="1" applyAlignment="1">
      <alignment horizontal="center" vertical="top"/>
    </xf>
    <xf numFmtId="0" fontId="9" fillId="2" borderId="39" xfId="0" applyFont="1" applyFill="1" applyBorder="1">
      <alignment vertical="center"/>
    </xf>
    <xf numFmtId="0" fontId="0" fillId="0" borderId="39" xfId="0" applyBorder="1">
      <alignment vertical="center"/>
    </xf>
    <xf numFmtId="0" fontId="3" fillId="2" borderId="14" xfId="0" quotePrefix="1" applyNumberFormat="1" applyFont="1" applyFill="1" applyBorder="1" applyAlignment="1" applyProtection="1">
      <alignment horizontal="center" vertical="center"/>
    </xf>
    <xf numFmtId="0" fontId="3" fillId="2" borderId="14" xfId="0" applyNumberFormat="1" applyFont="1" applyFill="1" applyBorder="1" applyAlignment="1" applyProtection="1">
      <alignment horizontal="center" vertical="center"/>
    </xf>
    <xf numFmtId="0" fontId="14" fillId="2" borderId="15" xfId="0" applyFont="1" applyFill="1" applyBorder="1">
      <alignment vertical="center"/>
    </xf>
    <xf numFmtId="0" fontId="14" fillId="2" borderId="39" xfId="0" applyFont="1" applyFill="1" applyBorder="1">
      <alignment vertical="center"/>
    </xf>
    <xf numFmtId="0" fontId="13" fillId="0" borderId="39" xfId="0" applyFont="1" applyBorder="1">
      <alignment vertical="center"/>
    </xf>
    <xf numFmtId="0" fontId="9" fillId="2" borderId="37" xfId="0" applyFont="1" applyFill="1" applyBorder="1">
      <alignment vertical="center"/>
    </xf>
    <xf numFmtId="0" fontId="0" fillId="0" borderId="37" xfId="0" applyBorder="1">
      <alignment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left" vertical="center"/>
    </xf>
    <xf numFmtId="0" fontId="3" fillId="2" borderId="18" xfId="0" applyNumberFormat="1" applyFont="1" applyFill="1" applyBorder="1" applyAlignment="1">
      <alignment vertical="center" wrapText="1"/>
    </xf>
    <xf numFmtId="0" fontId="9" fillId="2" borderId="18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left" vertical="center"/>
    </xf>
    <xf numFmtId="0" fontId="14" fillId="2" borderId="18" xfId="2" applyFont="1" applyFill="1" applyBorder="1" applyAlignment="1">
      <alignment horizontal="center" vertical="top"/>
    </xf>
    <xf numFmtId="0" fontId="9" fillId="2" borderId="35" xfId="0" applyFont="1" applyFill="1" applyBorder="1">
      <alignment vertical="center"/>
    </xf>
    <xf numFmtId="0" fontId="0" fillId="0" borderId="35" xfId="0" applyBorder="1">
      <alignment vertical="center"/>
    </xf>
    <xf numFmtId="0" fontId="14" fillId="6" borderId="39" xfId="0" applyFont="1" applyFill="1" applyBorder="1">
      <alignment vertical="center"/>
    </xf>
    <xf numFmtId="0" fontId="14" fillId="2" borderId="0" xfId="0" applyFont="1" applyFill="1" applyBorder="1">
      <alignment vertical="center"/>
    </xf>
    <xf numFmtId="0" fontId="14" fillId="6" borderId="0" xfId="0" applyFont="1" applyFill="1" applyBorder="1">
      <alignment vertical="center"/>
    </xf>
    <xf numFmtId="0" fontId="14" fillId="6" borderId="36" xfId="0" applyFont="1" applyFill="1" applyBorder="1">
      <alignment vertical="center"/>
    </xf>
    <xf numFmtId="0" fontId="14" fillId="2" borderId="16" xfId="0" applyFont="1" applyFill="1" applyBorder="1" applyAlignment="1">
      <alignment horizontal="left" vertical="center" wrapText="1"/>
    </xf>
    <xf numFmtId="0" fontId="18" fillId="2" borderId="29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top"/>
    </xf>
    <xf numFmtId="0" fontId="10" fillId="3" borderId="8" xfId="0" applyFont="1" applyFill="1" applyBorder="1" applyAlignment="1">
      <alignment horizontal="center" vertical="top"/>
    </xf>
    <xf numFmtId="0" fontId="18" fillId="2" borderId="23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right" vertical="center" indent="1"/>
    </xf>
    <xf numFmtId="0" fontId="23" fillId="2" borderId="8" xfId="0" applyFont="1" applyFill="1" applyBorder="1" applyAlignment="1">
      <alignment horizontal="right" vertical="center" inden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right" vertical="center" indent="1"/>
    </xf>
    <xf numFmtId="0" fontId="24" fillId="2" borderId="3" xfId="0" applyFont="1" applyFill="1" applyBorder="1" applyAlignment="1">
      <alignment horizontal="right" vertical="center" indent="1"/>
    </xf>
    <xf numFmtId="0" fontId="22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9" fontId="3" fillId="2" borderId="12" xfId="0" applyNumberFormat="1" applyFont="1" applyFill="1" applyBorder="1" applyAlignment="1" applyProtection="1">
      <alignment horizontal="center" vertical="top"/>
    </xf>
    <xf numFmtId="9" fontId="3" fillId="2" borderId="18" xfId="0" applyNumberFormat="1" applyFont="1" applyFill="1" applyBorder="1" applyAlignment="1" applyProtection="1">
      <alignment horizontal="center" vertical="top"/>
    </xf>
    <xf numFmtId="9" fontId="3" fillId="2" borderId="10" xfId="0" applyNumberFormat="1" applyFont="1" applyFill="1" applyBorder="1" applyAlignment="1" applyProtection="1">
      <alignment horizontal="center" vertical="top"/>
    </xf>
    <xf numFmtId="9" fontId="3" fillId="2" borderId="14" xfId="0" applyNumberFormat="1" applyFont="1" applyFill="1" applyBorder="1" applyAlignment="1" applyProtection="1">
      <alignment horizontal="center" vertical="top"/>
    </xf>
  </cellXfs>
  <cellStyles count="3"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73"/>
  <sheetViews>
    <sheetView tabSelected="1" topLeftCell="B1" zoomScaleNormal="100" workbookViewId="0">
      <pane xSplit="10" ySplit="6" topLeftCell="N7" activePane="bottomRight" state="frozen"/>
      <selection activeCell="B1" sqref="B1"/>
      <selection pane="topRight" activeCell="L1" sqref="L1"/>
      <selection pane="bottomLeft" activeCell="B7" sqref="B7"/>
      <selection pane="bottomRight" activeCell="R19" sqref="R19"/>
    </sheetView>
  </sheetViews>
  <sheetFormatPr defaultRowHeight="16.5"/>
  <cols>
    <col min="1" max="1" width="3.125" customWidth="1"/>
    <col min="2" max="2" width="4.625" customWidth="1"/>
    <col min="3" max="4" width="5.625" customWidth="1"/>
    <col min="5" max="5" width="6.625" customWidth="1"/>
    <col min="6" max="6" width="7.5" customWidth="1"/>
    <col min="7" max="8" width="14.5" customWidth="1"/>
    <col min="9" max="9" width="19.75" bestFit="1" customWidth="1"/>
    <col min="10" max="11" width="14.5" hidden="1" customWidth="1"/>
    <col min="12" max="13" width="8.125" style="46" customWidth="1"/>
    <col min="14" max="14" width="16.125" style="48" customWidth="1"/>
    <col min="15" max="15" width="10.375" style="46" customWidth="1"/>
    <col min="16" max="16" width="17.25" style="47" customWidth="1"/>
    <col min="17" max="17" width="9.875" style="46" customWidth="1"/>
    <col min="18" max="18" width="7.625" style="46" customWidth="1"/>
    <col min="19" max="19" width="11.375" customWidth="1"/>
    <col min="20" max="20" width="8.125" customWidth="1"/>
    <col min="21" max="21" width="11.375" customWidth="1"/>
    <col min="22" max="22" width="8.75" customWidth="1"/>
    <col min="23" max="23" width="11.375" customWidth="1"/>
    <col min="24" max="24" width="7.375" customWidth="1"/>
    <col min="25" max="25" width="11.375" customWidth="1"/>
    <col min="26" max="26" width="16.75" customWidth="1"/>
    <col min="27" max="27" width="50" customWidth="1"/>
    <col min="28" max="28" width="16.125" style="48" customWidth="1"/>
    <col min="29" max="30" width="9" customWidth="1"/>
    <col min="31" max="31" width="15.625" customWidth="1"/>
    <col min="32" max="32" width="27.875" customWidth="1"/>
    <col min="33" max="33" width="21" style="49" customWidth="1"/>
  </cols>
  <sheetData>
    <row r="1" spans="1:34" s="1" customFormat="1" ht="34.5" customHeight="1">
      <c r="A1" s="228" t="s">
        <v>29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30"/>
    </row>
    <row r="2" spans="1:34" s="1" customFormat="1" ht="57" customHeight="1">
      <c r="A2" s="231"/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3"/>
    </row>
    <row r="3" spans="1:34" s="1" customFormat="1" ht="24" customHeight="1">
      <c r="A3" s="105"/>
      <c r="B3" s="242" t="s">
        <v>35</v>
      </c>
      <c r="C3" s="237"/>
      <c r="D3" s="237"/>
      <c r="E3" s="237"/>
      <c r="F3" s="243"/>
      <c r="G3" s="234" t="s">
        <v>70</v>
      </c>
      <c r="H3" s="235"/>
      <c r="I3" s="236" t="s">
        <v>124</v>
      </c>
      <c r="J3" s="237"/>
      <c r="K3" s="237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20"/>
    </row>
    <row r="4" spans="1:34" s="1" customFormat="1" ht="24" customHeight="1" thickBot="1">
      <c r="A4" s="104"/>
      <c r="B4" s="239"/>
      <c r="C4" s="239"/>
      <c r="D4" s="239"/>
      <c r="E4" s="239"/>
      <c r="F4" s="244"/>
      <c r="G4" s="240" t="s">
        <v>71</v>
      </c>
      <c r="H4" s="241"/>
      <c r="I4" s="238"/>
      <c r="J4" s="239"/>
      <c r="K4" s="239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2"/>
    </row>
    <row r="5" spans="1:34" s="1" customFormat="1" ht="8.25" customHeight="1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6"/>
      <c r="M5" s="101"/>
      <c r="N5" s="7"/>
      <c r="O5" s="4"/>
      <c r="P5" s="5"/>
      <c r="Q5" s="6"/>
      <c r="R5" s="6"/>
      <c r="S5" s="3"/>
      <c r="T5" s="3"/>
      <c r="U5" s="3"/>
      <c r="V5" s="3"/>
      <c r="W5" s="3"/>
      <c r="X5" s="3"/>
      <c r="Y5" s="3"/>
      <c r="Z5" s="3"/>
      <c r="AA5" s="3"/>
      <c r="AB5" s="7"/>
      <c r="AC5" s="8"/>
      <c r="AD5" s="8"/>
      <c r="AE5" s="9"/>
      <c r="AF5" s="10"/>
      <c r="AG5" s="11"/>
    </row>
    <row r="6" spans="1:34" ht="16.5" customHeight="1">
      <c r="A6" s="223"/>
      <c r="B6" s="224"/>
      <c r="C6" s="224"/>
      <c r="D6" s="224"/>
      <c r="E6" s="224"/>
      <c r="F6" s="225"/>
      <c r="G6" s="12" t="s">
        <v>0</v>
      </c>
      <c r="H6" s="13" t="s">
        <v>1</v>
      </c>
      <c r="I6" s="13" t="s">
        <v>2</v>
      </c>
      <c r="J6" s="13" t="s">
        <v>3</v>
      </c>
      <c r="K6" s="13" t="s">
        <v>4</v>
      </c>
      <c r="L6" s="226" t="s">
        <v>32</v>
      </c>
      <c r="M6" s="227"/>
      <c r="N6" s="19" t="s">
        <v>13</v>
      </c>
      <c r="O6" s="14" t="s">
        <v>5</v>
      </c>
      <c r="P6" s="14" t="s">
        <v>6</v>
      </c>
      <c r="Q6" s="99" t="s">
        <v>7</v>
      </c>
      <c r="R6" s="15" t="s">
        <v>8</v>
      </c>
      <c r="S6" s="16" t="s">
        <v>9</v>
      </c>
      <c r="T6" s="17" t="s">
        <v>10</v>
      </c>
      <c r="U6" s="18" t="s">
        <v>9</v>
      </c>
      <c r="V6" s="17" t="s">
        <v>30</v>
      </c>
      <c r="W6" s="18" t="s">
        <v>9</v>
      </c>
      <c r="X6" s="17" t="s">
        <v>31</v>
      </c>
      <c r="Y6" s="18" t="s">
        <v>9</v>
      </c>
      <c r="Z6" s="13" t="s">
        <v>11</v>
      </c>
      <c r="AA6" s="13" t="s">
        <v>12</v>
      </c>
      <c r="AB6" s="19" t="s">
        <v>13</v>
      </c>
      <c r="AC6" s="14" t="s">
        <v>14</v>
      </c>
      <c r="AD6" s="14" t="s">
        <v>15</v>
      </c>
      <c r="AE6" s="20" t="s">
        <v>16</v>
      </c>
      <c r="AF6" s="14" t="s">
        <v>17</v>
      </c>
      <c r="AG6" s="21" t="s">
        <v>18</v>
      </c>
      <c r="AH6" s="22" t="s">
        <v>19</v>
      </c>
    </row>
    <row r="7" spans="1:34" s="23" customFormat="1" ht="16.5" customHeight="1">
      <c r="A7" s="24"/>
      <c r="B7" s="116" t="s">
        <v>36</v>
      </c>
      <c r="C7" s="116"/>
      <c r="D7" s="116"/>
      <c r="E7" s="116"/>
      <c r="F7" s="116"/>
      <c r="G7" s="117" t="s">
        <v>37</v>
      </c>
      <c r="H7" s="117"/>
      <c r="I7" s="26"/>
      <c r="J7" s="118"/>
      <c r="K7" s="118"/>
      <c r="L7" s="119" t="s">
        <v>44</v>
      </c>
      <c r="M7" s="119" t="s">
        <v>45</v>
      </c>
      <c r="N7" s="25"/>
      <c r="O7" s="102"/>
      <c r="P7" s="26"/>
      <c r="Q7" s="83"/>
      <c r="R7" s="245">
        <v>0.5</v>
      </c>
      <c r="S7" s="85"/>
      <c r="T7" s="84"/>
      <c r="U7" s="85"/>
      <c r="V7" s="84"/>
      <c r="W7" s="85"/>
      <c r="X7" s="84"/>
      <c r="Y7" s="85"/>
      <c r="Z7" s="26"/>
      <c r="AA7" s="26"/>
      <c r="AB7" s="25"/>
      <c r="AC7" s="102"/>
      <c r="AD7" s="102"/>
      <c r="AE7" s="120"/>
      <c r="AF7" s="26"/>
      <c r="AG7" s="26"/>
      <c r="AH7" s="113"/>
    </row>
    <row r="8" spans="1:34" s="23" customFormat="1" ht="16.5" customHeight="1">
      <c r="A8" s="24"/>
      <c r="B8" s="121"/>
      <c r="C8" s="121" t="s">
        <v>38</v>
      </c>
      <c r="D8" s="121"/>
      <c r="E8" s="121"/>
      <c r="F8" s="121"/>
      <c r="G8" s="28"/>
      <c r="H8" s="28" t="s">
        <v>39</v>
      </c>
      <c r="I8" s="28"/>
      <c r="J8" s="122"/>
      <c r="K8" s="122"/>
      <c r="L8" s="123" t="s">
        <v>44</v>
      </c>
      <c r="M8" s="111" t="s">
        <v>46</v>
      </c>
      <c r="N8" s="27"/>
      <c r="O8" s="103"/>
      <c r="P8" s="28"/>
      <c r="Q8" s="86"/>
      <c r="R8" s="246">
        <v>1</v>
      </c>
      <c r="S8" s="88"/>
      <c r="T8" s="87"/>
      <c r="U8" s="89"/>
      <c r="V8" s="90"/>
      <c r="W8" s="89"/>
      <c r="X8" s="90"/>
      <c r="Y8" s="89"/>
      <c r="Z8" s="40"/>
      <c r="AA8" s="124"/>
      <c r="AB8" s="27"/>
      <c r="AC8" s="103"/>
      <c r="AD8" s="103"/>
      <c r="AE8" s="125"/>
      <c r="AF8" s="28"/>
      <c r="AG8" s="28"/>
      <c r="AH8" s="113"/>
    </row>
    <row r="9" spans="1:34" s="23" customFormat="1" ht="16.5" customHeight="1">
      <c r="A9" s="24"/>
      <c r="B9" s="37"/>
      <c r="C9" s="37"/>
      <c r="D9" s="37" t="s">
        <v>40</v>
      </c>
      <c r="E9" s="37"/>
      <c r="F9" s="37"/>
      <c r="G9" s="28"/>
      <c r="H9" s="28"/>
      <c r="I9" s="28" t="s">
        <v>41</v>
      </c>
      <c r="J9" s="122"/>
      <c r="K9" s="122"/>
      <c r="L9" s="123" t="s">
        <v>44</v>
      </c>
      <c r="M9" s="111" t="s">
        <v>47</v>
      </c>
      <c r="N9" s="29"/>
      <c r="O9" s="38"/>
      <c r="P9" s="30"/>
      <c r="Q9" s="86"/>
      <c r="R9" s="81"/>
      <c r="S9" s="88"/>
      <c r="T9" s="81"/>
      <c r="U9" s="88"/>
      <c r="V9" s="81"/>
      <c r="W9" s="88"/>
      <c r="X9" s="81"/>
      <c r="Y9" s="88"/>
      <c r="Z9" s="30"/>
      <c r="AA9" s="30"/>
      <c r="AB9" s="29"/>
      <c r="AC9" s="38"/>
      <c r="AD9" s="38"/>
      <c r="AE9" s="39"/>
      <c r="AF9" s="30"/>
      <c r="AG9" s="30"/>
      <c r="AH9" s="113"/>
    </row>
    <row r="10" spans="1:34" s="23" customFormat="1" ht="16.5" customHeight="1">
      <c r="A10" s="24"/>
      <c r="B10" s="37"/>
      <c r="C10" s="37"/>
      <c r="D10" s="37" t="s">
        <v>43</v>
      </c>
      <c r="E10" s="37"/>
      <c r="F10" s="37"/>
      <c r="G10" s="28"/>
      <c r="H10" s="28"/>
      <c r="I10" s="28" t="s">
        <v>42</v>
      </c>
      <c r="J10" s="126"/>
      <c r="K10" s="126"/>
      <c r="L10" s="110" t="s">
        <v>44</v>
      </c>
      <c r="M10" s="110" t="s">
        <v>47</v>
      </c>
      <c r="N10" s="29"/>
      <c r="O10" s="38"/>
      <c r="P10" s="30"/>
      <c r="Q10" s="86"/>
      <c r="R10" s="81"/>
      <c r="S10" s="88"/>
      <c r="T10" s="81"/>
      <c r="U10" s="88"/>
      <c r="V10" s="81"/>
      <c r="W10" s="88"/>
      <c r="X10" s="81"/>
      <c r="Y10" s="88"/>
      <c r="Z10" s="30"/>
      <c r="AA10" s="30"/>
      <c r="AB10" s="29"/>
      <c r="AC10" s="38"/>
      <c r="AD10" s="38"/>
      <c r="AE10" s="39"/>
      <c r="AF10" s="30"/>
      <c r="AG10" s="30"/>
      <c r="AH10" s="113"/>
    </row>
    <row r="11" spans="1:34" s="23" customFormat="1" ht="16.5" customHeight="1">
      <c r="A11" s="24"/>
      <c r="B11" s="37"/>
      <c r="C11" s="37"/>
      <c r="D11" s="37" t="s">
        <v>57</v>
      </c>
      <c r="E11" s="37"/>
      <c r="F11" s="37"/>
      <c r="G11" s="28"/>
      <c r="H11" s="28"/>
      <c r="I11" s="28" t="s">
        <v>56</v>
      </c>
      <c r="J11" s="126"/>
      <c r="K11" s="126"/>
      <c r="L11" s="110" t="s">
        <v>125</v>
      </c>
      <c r="M11" s="111" t="s">
        <v>46</v>
      </c>
      <c r="N11" s="29"/>
      <c r="O11" s="38"/>
      <c r="P11" s="30"/>
      <c r="Q11" s="86"/>
      <c r="R11" s="81"/>
      <c r="S11" s="88"/>
      <c r="T11" s="81"/>
      <c r="U11" s="88"/>
      <c r="V11" s="81"/>
      <c r="W11" s="88"/>
      <c r="X11" s="81"/>
      <c r="Y11" s="88"/>
      <c r="Z11" s="30"/>
      <c r="AA11" s="30"/>
      <c r="AB11" s="29"/>
      <c r="AC11" s="38"/>
      <c r="AD11" s="38"/>
      <c r="AE11" s="39"/>
      <c r="AF11" s="30"/>
      <c r="AG11" s="30"/>
      <c r="AH11" s="113"/>
    </row>
    <row r="12" spans="1:34" s="23" customFormat="1" ht="36">
      <c r="A12" s="24"/>
      <c r="B12" s="44"/>
      <c r="C12" s="44" t="s">
        <v>48</v>
      </c>
      <c r="D12" s="44"/>
      <c r="E12" s="44"/>
      <c r="F12" s="44"/>
      <c r="G12" s="28"/>
      <c r="H12" s="218" t="s">
        <v>122</v>
      </c>
      <c r="I12" s="28"/>
      <c r="J12" s="77"/>
      <c r="K12" s="77"/>
      <c r="L12" s="155" t="s">
        <v>125</v>
      </c>
      <c r="M12" s="110" t="s">
        <v>123</v>
      </c>
      <c r="N12" s="156"/>
      <c r="O12" s="132"/>
      <c r="P12" s="40"/>
      <c r="Q12" s="160"/>
      <c r="R12" s="246">
        <v>0.7</v>
      </c>
      <c r="S12" s="96"/>
      <c r="T12" s="87"/>
      <c r="U12" s="96"/>
      <c r="V12" s="87"/>
      <c r="W12" s="96"/>
      <c r="X12" s="87"/>
      <c r="Y12" s="96"/>
      <c r="Z12" s="40"/>
      <c r="AA12" s="40"/>
      <c r="AB12" s="156"/>
      <c r="AC12" s="132"/>
      <c r="AD12" s="132"/>
      <c r="AE12" s="41"/>
      <c r="AF12" s="40"/>
      <c r="AG12" s="40"/>
      <c r="AH12" s="113"/>
    </row>
    <row r="13" spans="1:34" s="23" customFormat="1" ht="16.5" customHeight="1">
      <c r="A13" s="24"/>
      <c r="B13" s="44"/>
      <c r="C13" s="44"/>
      <c r="D13" s="44" t="s">
        <v>89</v>
      </c>
      <c r="E13" s="44"/>
      <c r="F13" s="44"/>
      <c r="G13" s="28"/>
      <c r="H13" s="28"/>
      <c r="I13" s="28" t="s">
        <v>92</v>
      </c>
      <c r="J13" s="77"/>
      <c r="K13" s="77"/>
      <c r="L13" s="155" t="s">
        <v>125</v>
      </c>
      <c r="M13" s="110" t="s">
        <v>123</v>
      </c>
      <c r="N13" s="156"/>
      <c r="O13" s="132"/>
      <c r="P13" s="40"/>
      <c r="Q13" s="160"/>
      <c r="R13" s="87"/>
      <c r="S13" s="96"/>
      <c r="T13" s="87"/>
      <c r="U13" s="96"/>
      <c r="V13" s="87"/>
      <c r="W13" s="96"/>
      <c r="X13" s="87"/>
      <c r="Y13" s="96"/>
      <c r="Z13" s="40"/>
      <c r="AA13" s="40"/>
      <c r="AB13" s="156"/>
      <c r="AC13" s="132"/>
      <c r="AD13" s="132"/>
      <c r="AE13" s="41"/>
      <c r="AF13" s="40"/>
      <c r="AG13" s="40"/>
      <c r="AH13" s="113"/>
    </row>
    <row r="14" spans="1:34" s="23" customFormat="1" ht="16.5" customHeight="1">
      <c r="A14" s="24"/>
      <c r="B14" s="44"/>
      <c r="C14" s="44"/>
      <c r="D14" s="44" t="s">
        <v>90</v>
      </c>
      <c r="E14" s="44"/>
      <c r="F14" s="44"/>
      <c r="G14" s="28"/>
      <c r="H14" s="28"/>
      <c r="I14" s="28" t="s">
        <v>91</v>
      </c>
      <c r="J14" s="77"/>
      <c r="K14" s="77"/>
      <c r="L14" s="155" t="s">
        <v>125</v>
      </c>
      <c r="M14" s="155" t="s">
        <v>123</v>
      </c>
      <c r="N14" s="156"/>
      <c r="O14" s="132"/>
      <c r="P14" s="40"/>
      <c r="Q14" s="160"/>
      <c r="R14" s="87"/>
      <c r="S14" s="96"/>
      <c r="T14" s="87"/>
      <c r="U14" s="96"/>
      <c r="V14" s="87"/>
      <c r="W14" s="96"/>
      <c r="X14" s="87"/>
      <c r="Y14" s="96"/>
      <c r="Z14" s="40"/>
      <c r="AA14" s="40"/>
      <c r="AB14" s="156"/>
      <c r="AC14" s="132"/>
      <c r="AD14" s="132"/>
      <c r="AE14" s="41"/>
      <c r="AF14" s="40"/>
      <c r="AG14" s="40"/>
      <c r="AH14" s="113"/>
    </row>
    <row r="15" spans="1:34" s="23" customFormat="1" ht="16.5" customHeight="1">
      <c r="A15" s="24"/>
      <c r="B15" s="44"/>
      <c r="C15" s="44" t="s">
        <v>98</v>
      </c>
      <c r="D15" s="44"/>
      <c r="E15" s="44"/>
      <c r="F15" s="44"/>
      <c r="G15" s="28"/>
      <c r="H15" s="28" t="s">
        <v>117</v>
      </c>
      <c r="I15" s="28"/>
      <c r="J15" s="77"/>
      <c r="K15" s="77"/>
      <c r="L15" s="155" t="s">
        <v>125</v>
      </c>
      <c r="M15" s="155" t="s">
        <v>123</v>
      </c>
      <c r="N15" s="156"/>
      <c r="O15" s="132"/>
      <c r="P15" s="40"/>
      <c r="Q15" s="160"/>
      <c r="R15" s="87"/>
      <c r="S15" s="96"/>
      <c r="T15" s="87"/>
      <c r="U15" s="96"/>
      <c r="V15" s="87"/>
      <c r="W15" s="96"/>
      <c r="X15" s="87"/>
      <c r="Y15" s="96"/>
      <c r="Z15" s="40"/>
      <c r="AA15" s="40"/>
      <c r="AB15" s="156"/>
      <c r="AC15" s="132"/>
      <c r="AD15" s="132"/>
      <c r="AE15" s="41"/>
      <c r="AF15" s="40"/>
      <c r="AG15" s="40"/>
      <c r="AH15" s="113"/>
    </row>
    <row r="16" spans="1:34" s="23" customFormat="1" ht="16.5" customHeight="1">
      <c r="A16" s="24"/>
      <c r="B16" s="44"/>
      <c r="C16" s="44"/>
      <c r="D16" s="44" t="s">
        <v>118</v>
      </c>
      <c r="E16" s="44"/>
      <c r="F16" s="44"/>
      <c r="G16" s="28"/>
      <c r="H16" s="28"/>
      <c r="I16" s="28" t="s">
        <v>119</v>
      </c>
      <c r="J16" s="77"/>
      <c r="K16" s="77"/>
      <c r="L16" s="155" t="s">
        <v>125</v>
      </c>
      <c r="M16" s="155" t="s">
        <v>123</v>
      </c>
      <c r="N16" s="156"/>
      <c r="O16" s="132"/>
      <c r="P16" s="40"/>
      <c r="Q16" s="160"/>
      <c r="R16" s="87"/>
      <c r="S16" s="96"/>
      <c r="T16" s="87"/>
      <c r="U16" s="96"/>
      <c r="V16" s="87"/>
      <c r="W16" s="96"/>
      <c r="X16" s="87"/>
      <c r="Y16" s="96"/>
      <c r="Z16" s="40"/>
      <c r="AA16" s="40"/>
      <c r="AB16" s="156"/>
      <c r="AC16" s="132"/>
      <c r="AD16" s="132"/>
      <c r="AE16" s="41"/>
      <c r="AF16" s="40"/>
      <c r="AG16" s="40"/>
      <c r="AH16" s="113"/>
    </row>
    <row r="17" spans="1:34" s="23" customFormat="1" ht="16.5" customHeight="1">
      <c r="A17" s="24"/>
      <c r="B17" s="44"/>
      <c r="C17" s="44"/>
      <c r="D17" s="44"/>
      <c r="E17" s="44"/>
      <c r="F17" s="44"/>
      <c r="G17" s="28"/>
      <c r="H17" s="28"/>
      <c r="I17" s="28" t="s">
        <v>120</v>
      </c>
      <c r="J17" s="77"/>
      <c r="K17" s="77"/>
      <c r="L17" s="155" t="s">
        <v>125</v>
      </c>
      <c r="M17" s="155" t="s">
        <v>123</v>
      </c>
      <c r="N17" s="156"/>
      <c r="O17" s="132"/>
      <c r="P17" s="40"/>
      <c r="Q17" s="160"/>
      <c r="R17" s="87"/>
      <c r="S17" s="96"/>
      <c r="T17" s="87"/>
      <c r="U17" s="96"/>
      <c r="V17" s="87"/>
      <c r="W17" s="96"/>
      <c r="X17" s="87"/>
      <c r="Y17" s="96"/>
      <c r="Z17" s="40"/>
      <c r="AA17" s="40"/>
      <c r="AB17" s="156"/>
      <c r="AC17" s="132"/>
      <c r="AD17" s="132"/>
      <c r="AE17" s="41"/>
      <c r="AF17" s="40"/>
      <c r="AG17" s="40"/>
      <c r="AH17" s="113"/>
    </row>
    <row r="18" spans="1:34" s="23" customFormat="1" ht="16.5" customHeight="1">
      <c r="A18" s="24"/>
      <c r="B18" s="44"/>
      <c r="C18" s="44" t="s">
        <v>101</v>
      </c>
      <c r="D18" s="44"/>
      <c r="E18" s="44"/>
      <c r="F18" s="44"/>
      <c r="G18" s="28"/>
      <c r="H18" s="28" t="s">
        <v>132</v>
      </c>
      <c r="I18" s="28"/>
      <c r="J18" s="77"/>
      <c r="K18" s="77"/>
      <c r="L18" s="155" t="s">
        <v>126</v>
      </c>
      <c r="M18" s="155" t="s">
        <v>127</v>
      </c>
      <c r="N18" s="156"/>
      <c r="O18" s="132"/>
      <c r="P18" s="40"/>
      <c r="Q18" s="160"/>
      <c r="R18" s="246">
        <v>0</v>
      </c>
      <c r="S18" s="96"/>
      <c r="T18" s="87"/>
      <c r="U18" s="96"/>
      <c r="V18" s="87"/>
      <c r="W18" s="96"/>
      <c r="X18" s="87"/>
      <c r="Y18" s="96"/>
      <c r="Z18" s="40"/>
      <c r="AA18" s="40"/>
      <c r="AB18" s="156"/>
      <c r="AC18" s="132"/>
      <c r="AD18" s="132"/>
      <c r="AE18" s="41"/>
      <c r="AF18" s="40"/>
      <c r="AG18" s="40"/>
      <c r="AH18" s="113"/>
    </row>
    <row r="19" spans="1:34" s="23" customFormat="1" ht="16.5" customHeight="1">
      <c r="A19" s="24"/>
      <c r="B19" s="44"/>
      <c r="C19" s="44" t="s">
        <v>128</v>
      </c>
      <c r="D19" s="44"/>
      <c r="E19" s="44"/>
      <c r="F19" s="44"/>
      <c r="G19" s="28"/>
      <c r="H19" s="28" t="s">
        <v>99</v>
      </c>
      <c r="I19" s="28"/>
      <c r="J19" s="77"/>
      <c r="K19" s="77"/>
      <c r="L19" s="155" t="s">
        <v>133</v>
      </c>
      <c r="M19" s="155" t="s">
        <v>123</v>
      </c>
      <c r="N19" s="156"/>
      <c r="O19" s="132"/>
      <c r="P19" s="40"/>
      <c r="Q19" s="160"/>
      <c r="R19" s="246">
        <v>0</v>
      </c>
      <c r="S19" s="96"/>
      <c r="T19" s="87"/>
      <c r="U19" s="96"/>
      <c r="V19" s="87"/>
      <c r="W19" s="96"/>
      <c r="X19" s="87"/>
      <c r="Y19" s="96"/>
      <c r="Z19" s="40"/>
      <c r="AA19" s="40"/>
      <c r="AB19" s="156"/>
      <c r="AC19" s="132"/>
      <c r="AD19" s="132"/>
      <c r="AE19" s="41"/>
      <c r="AF19" s="40"/>
      <c r="AG19" s="40"/>
      <c r="AH19" s="113"/>
    </row>
    <row r="20" spans="1:34" s="23" customFormat="1" ht="16.5" customHeight="1">
      <c r="A20" s="24"/>
      <c r="B20" s="44"/>
      <c r="C20" s="44" t="s">
        <v>129</v>
      </c>
      <c r="D20" s="44"/>
      <c r="E20" s="44"/>
      <c r="F20" s="44"/>
      <c r="G20" s="28"/>
      <c r="H20" s="28" t="s">
        <v>100</v>
      </c>
      <c r="I20" s="28"/>
      <c r="J20" s="77"/>
      <c r="K20" s="77"/>
      <c r="L20" s="155" t="s">
        <v>125</v>
      </c>
      <c r="M20" s="128" t="s">
        <v>46</v>
      </c>
      <c r="N20" s="156"/>
      <c r="O20" s="132"/>
      <c r="P20" s="40"/>
      <c r="Q20" s="160"/>
      <c r="R20" s="246">
        <v>0</v>
      </c>
      <c r="S20" s="96"/>
      <c r="T20" s="87"/>
      <c r="U20" s="96"/>
      <c r="V20" s="87"/>
      <c r="W20" s="96"/>
      <c r="X20" s="87"/>
      <c r="Y20" s="96"/>
      <c r="Z20" s="40"/>
      <c r="AA20" s="40"/>
      <c r="AB20" s="156"/>
      <c r="AC20" s="132"/>
      <c r="AD20" s="132"/>
      <c r="AE20" s="41"/>
      <c r="AF20" s="40"/>
      <c r="AG20" s="40"/>
      <c r="AH20" s="113"/>
    </row>
    <row r="21" spans="1:34" s="177" customFormat="1" ht="16.5" customHeight="1">
      <c r="A21" s="164"/>
      <c r="B21" s="165" t="s">
        <v>49</v>
      </c>
      <c r="C21" s="165"/>
      <c r="D21" s="165"/>
      <c r="E21" s="165"/>
      <c r="F21" s="165"/>
      <c r="G21" s="166" t="s">
        <v>135</v>
      </c>
      <c r="H21" s="167"/>
      <c r="I21" s="166"/>
      <c r="J21" s="168"/>
      <c r="K21" s="168"/>
      <c r="L21" s="169" t="s">
        <v>125</v>
      </c>
      <c r="M21" s="169" t="s">
        <v>130</v>
      </c>
      <c r="N21" s="170"/>
      <c r="O21" s="171"/>
      <c r="P21" s="166"/>
      <c r="Q21" s="172"/>
      <c r="R21" s="247">
        <v>0.9</v>
      </c>
      <c r="S21" s="174"/>
      <c r="T21" s="173"/>
      <c r="U21" s="174"/>
      <c r="V21" s="173"/>
      <c r="W21" s="174"/>
      <c r="X21" s="173"/>
      <c r="Y21" s="174"/>
      <c r="Z21" s="166"/>
      <c r="AA21" s="166"/>
      <c r="AB21" s="170"/>
      <c r="AC21" s="171"/>
      <c r="AD21" s="171"/>
      <c r="AE21" s="175"/>
      <c r="AF21" s="166"/>
      <c r="AG21" s="166"/>
      <c r="AH21" s="176"/>
    </row>
    <row r="22" spans="1:34" s="163" customFormat="1" ht="16.5" customHeight="1">
      <c r="A22" s="161"/>
      <c r="B22" s="116" t="s">
        <v>50</v>
      </c>
      <c r="C22" s="116"/>
      <c r="D22" s="116"/>
      <c r="E22" s="116"/>
      <c r="F22" s="116"/>
      <c r="G22" s="134" t="s">
        <v>134</v>
      </c>
      <c r="H22" s="117"/>
      <c r="I22" s="134"/>
      <c r="J22" s="133"/>
      <c r="K22" s="118"/>
      <c r="L22" s="119" t="s">
        <v>125</v>
      </c>
      <c r="M22" s="119" t="s">
        <v>131</v>
      </c>
      <c r="N22" s="25"/>
      <c r="O22" s="102"/>
      <c r="P22" s="26"/>
      <c r="Q22" s="152"/>
      <c r="R22" s="84"/>
      <c r="S22" s="85"/>
      <c r="T22" s="84"/>
      <c r="U22" s="85"/>
      <c r="V22" s="84"/>
      <c r="W22" s="85"/>
      <c r="X22" s="84"/>
      <c r="Y22" s="85"/>
      <c r="Z22" s="26"/>
      <c r="AA22" s="26"/>
      <c r="AB22" s="25"/>
      <c r="AC22" s="102"/>
      <c r="AD22" s="102"/>
      <c r="AE22" s="120"/>
      <c r="AF22" s="26"/>
      <c r="AG22" s="26"/>
      <c r="AH22" s="162"/>
    </row>
    <row r="23" spans="1:34" s="182" customFormat="1" ht="16.5" customHeight="1">
      <c r="A23" s="178"/>
      <c r="B23" s="37"/>
      <c r="C23" s="37" t="s">
        <v>136</v>
      </c>
      <c r="D23" s="37"/>
      <c r="E23" s="37"/>
      <c r="F23" s="37"/>
      <c r="G23" s="183"/>
      <c r="H23" s="130" t="s">
        <v>51</v>
      </c>
      <c r="I23" s="130"/>
      <c r="J23" s="130"/>
      <c r="K23" s="131"/>
      <c r="L23" s="184" t="s">
        <v>125</v>
      </c>
      <c r="M23" s="110" t="s">
        <v>46</v>
      </c>
      <c r="N23" s="33"/>
      <c r="O23" s="38"/>
      <c r="P23" s="30"/>
      <c r="Q23" s="91"/>
      <c r="R23" s="81"/>
      <c r="S23" s="88"/>
      <c r="T23" s="81"/>
      <c r="U23" s="88"/>
      <c r="V23" s="81"/>
      <c r="W23" s="88"/>
      <c r="X23" s="81"/>
      <c r="Y23" s="88"/>
      <c r="Z23" s="180"/>
      <c r="AA23" s="185"/>
      <c r="AB23" s="33"/>
      <c r="AC23" s="38"/>
      <c r="AD23" s="38"/>
      <c r="AE23" s="39"/>
      <c r="AF23" s="30"/>
      <c r="AG23" s="30"/>
      <c r="AH23" s="181"/>
    </row>
    <row r="24" spans="1:34" s="23" customFormat="1" ht="16.5" customHeight="1">
      <c r="A24" s="24"/>
      <c r="B24" s="37"/>
      <c r="C24" s="37"/>
      <c r="D24" s="37" t="s">
        <v>138</v>
      </c>
      <c r="E24" s="37"/>
      <c r="F24" s="37"/>
      <c r="G24" s="127"/>
      <c r="H24" s="130"/>
      <c r="I24" s="130" t="s">
        <v>142</v>
      </c>
      <c r="J24" s="130"/>
      <c r="K24" s="131"/>
      <c r="L24" s="123" t="s">
        <v>125</v>
      </c>
      <c r="M24" s="111" t="s">
        <v>123</v>
      </c>
      <c r="N24" s="33"/>
      <c r="O24" s="38"/>
      <c r="P24" s="30"/>
      <c r="Q24" s="91"/>
      <c r="R24" s="81"/>
      <c r="S24" s="88"/>
      <c r="T24" s="81"/>
      <c r="U24" s="88"/>
      <c r="V24" s="81"/>
      <c r="W24" s="88"/>
      <c r="X24" s="81"/>
      <c r="Y24" s="88"/>
      <c r="Z24" s="36"/>
      <c r="AA24" s="186"/>
      <c r="AB24" s="33"/>
      <c r="AC24" s="103"/>
      <c r="AD24" s="103"/>
      <c r="AE24" s="39"/>
      <c r="AF24" s="30"/>
      <c r="AG24" s="30"/>
      <c r="AH24" s="113"/>
    </row>
    <row r="25" spans="1:34" s="23" customFormat="1" ht="16.5" customHeight="1">
      <c r="A25" s="24"/>
      <c r="B25" s="37"/>
      <c r="C25" s="37"/>
      <c r="D25" s="37" t="s">
        <v>139</v>
      </c>
      <c r="E25" s="37"/>
      <c r="F25" s="37"/>
      <c r="G25" s="127"/>
      <c r="H25" s="130"/>
      <c r="I25" s="130" t="s">
        <v>68</v>
      </c>
      <c r="J25" s="130"/>
      <c r="K25" s="131"/>
      <c r="L25" s="123" t="s">
        <v>125</v>
      </c>
      <c r="M25" s="111" t="s">
        <v>123</v>
      </c>
      <c r="N25" s="33"/>
      <c r="O25" s="38"/>
      <c r="P25" s="30"/>
      <c r="Q25" s="91"/>
      <c r="R25" s="81"/>
      <c r="S25" s="88"/>
      <c r="T25" s="81"/>
      <c r="U25" s="88"/>
      <c r="V25" s="81"/>
      <c r="W25" s="88"/>
      <c r="X25" s="81"/>
      <c r="Y25" s="88"/>
      <c r="Z25" s="36"/>
      <c r="AA25" s="186"/>
      <c r="AB25" s="33"/>
      <c r="AC25" s="103"/>
      <c r="AD25" s="103"/>
      <c r="AE25" s="39"/>
      <c r="AF25" s="30"/>
      <c r="AG25" s="30"/>
      <c r="AH25" s="113"/>
    </row>
    <row r="26" spans="1:34" s="23" customFormat="1" ht="16.5" customHeight="1">
      <c r="A26" s="24"/>
      <c r="B26" s="37"/>
      <c r="C26" s="37" t="s">
        <v>137</v>
      </c>
      <c r="D26" s="37"/>
      <c r="E26" s="37"/>
      <c r="F26" s="37"/>
      <c r="G26" s="127"/>
      <c r="H26" s="130" t="s">
        <v>72</v>
      </c>
      <c r="I26" s="130"/>
      <c r="J26" s="130"/>
      <c r="K26" s="131"/>
      <c r="L26" s="123" t="s">
        <v>125</v>
      </c>
      <c r="M26" s="111" t="s">
        <v>123</v>
      </c>
      <c r="N26" s="33"/>
      <c r="O26" s="38"/>
      <c r="P26" s="30"/>
      <c r="Q26" s="91"/>
      <c r="R26" s="81"/>
      <c r="S26" s="88"/>
      <c r="T26" s="81"/>
      <c r="U26" s="88"/>
      <c r="V26" s="81"/>
      <c r="W26" s="88"/>
      <c r="X26" s="81"/>
      <c r="Y26" s="88"/>
      <c r="Z26" s="36"/>
      <c r="AA26" s="186"/>
      <c r="AB26" s="33"/>
      <c r="AC26" s="103"/>
      <c r="AD26" s="103"/>
      <c r="AE26" s="39"/>
      <c r="AF26" s="30"/>
      <c r="AG26" s="30"/>
      <c r="AH26" s="113"/>
    </row>
    <row r="27" spans="1:34" s="23" customFormat="1" ht="16.5" customHeight="1">
      <c r="A27" s="24"/>
      <c r="B27" s="37"/>
      <c r="C27" s="37"/>
      <c r="D27" s="37" t="s">
        <v>140</v>
      </c>
      <c r="E27" s="37"/>
      <c r="F27" s="37"/>
      <c r="G27" s="127"/>
      <c r="H27" s="130"/>
      <c r="I27" s="130" t="s">
        <v>69</v>
      </c>
      <c r="J27" s="130"/>
      <c r="K27" s="131"/>
      <c r="L27" s="123" t="s">
        <v>125</v>
      </c>
      <c r="M27" s="111" t="s">
        <v>123</v>
      </c>
      <c r="N27" s="33"/>
      <c r="O27" s="38"/>
      <c r="P27" s="30"/>
      <c r="Q27" s="91"/>
      <c r="R27" s="81"/>
      <c r="S27" s="88"/>
      <c r="T27" s="81"/>
      <c r="U27" s="88"/>
      <c r="V27" s="81"/>
      <c r="W27" s="88"/>
      <c r="X27" s="81"/>
      <c r="Y27" s="88"/>
      <c r="Z27" s="36"/>
      <c r="AA27" s="186"/>
      <c r="AB27" s="33"/>
      <c r="AC27" s="103"/>
      <c r="AD27" s="103"/>
      <c r="AE27" s="39"/>
      <c r="AF27" s="30"/>
      <c r="AG27" s="30"/>
      <c r="AH27" s="113"/>
    </row>
    <row r="28" spans="1:34" s="23" customFormat="1" ht="16.5" customHeight="1">
      <c r="A28" s="24"/>
      <c r="B28" s="44"/>
      <c r="C28" s="44"/>
      <c r="D28" s="44" t="s">
        <v>141</v>
      </c>
      <c r="E28" s="44"/>
      <c r="F28" s="44"/>
      <c r="G28" s="36"/>
      <c r="H28" s="144"/>
      <c r="I28" s="144" t="s">
        <v>68</v>
      </c>
      <c r="J28" s="144"/>
      <c r="K28" s="145"/>
      <c r="L28" s="146" t="s">
        <v>125</v>
      </c>
      <c r="M28" s="147" t="s">
        <v>123</v>
      </c>
      <c r="N28" s="34"/>
      <c r="O28" s="132"/>
      <c r="P28" s="40"/>
      <c r="Q28" s="148"/>
      <c r="R28" s="87"/>
      <c r="S28" s="96"/>
      <c r="T28" s="87"/>
      <c r="U28" s="96"/>
      <c r="V28" s="87"/>
      <c r="W28" s="96"/>
      <c r="X28" s="87"/>
      <c r="Y28" s="96"/>
      <c r="Z28" s="36"/>
      <c r="AA28" s="186"/>
      <c r="AB28" s="34"/>
      <c r="AC28" s="137"/>
      <c r="AD28" s="137"/>
      <c r="AE28" s="41"/>
      <c r="AF28" s="40"/>
      <c r="AG28" s="40"/>
      <c r="AH28" s="113"/>
    </row>
    <row r="29" spans="1:34" s="154" customFormat="1" ht="16.5" customHeight="1">
      <c r="A29" s="149"/>
      <c r="B29" s="116" t="s">
        <v>52</v>
      </c>
      <c r="C29" s="116"/>
      <c r="D29" s="116"/>
      <c r="E29" s="116"/>
      <c r="F29" s="116"/>
      <c r="G29" s="150" t="s">
        <v>147</v>
      </c>
      <c r="H29" s="133"/>
      <c r="I29" s="133"/>
      <c r="J29" s="133"/>
      <c r="K29" s="118"/>
      <c r="L29" s="119" t="s">
        <v>125</v>
      </c>
      <c r="M29" s="119" t="s">
        <v>123</v>
      </c>
      <c r="N29" s="151"/>
      <c r="O29" s="102"/>
      <c r="P29" s="26"/>
      <c r="Q29" s="152"/>
      <c r="R29" s="84"/>
      <c r="S29" s="85"/>
      <c r="T29" s="84"/>
      <c r="U29" s="85"/>
      <c r="V29" s="84"/>
      <c r="W29" s="85"/>
      <c r="X29" s="84"/>
      <c r="Y29" s="85"/>
      <c r="Z29" s="36"/>
      <c r="AA29" s="186"/>
      <c r="AB29" s="151"/>
      <c r="AC29" s="102"/>
      <c r="AD29" s="102"/>
      <c r="AE29" s="120"/>
      <c r="AF29" s="26"/>
      <c r="AG29" s="26"/>
      <c r="AH29" s="153"/>
    </row>
    <row r="30" spans="1:34" s="23" customFormat="1" ht="16.5" customHeight="1">
      <c r="A30" s="24"/>
      <c r="B30" s="37"/>
      <c r="C30" s="37" t="s">
        <v>53</v>
      </c>
      <c r="D30" s="44"/>
      <c r="E30" s="37"/>
      <c r="F30" s="37"/>
      <c r="G30" s="127"/>
      <c r="H30" s="130" t="s">
        <v>96</v>
      </c>
      <c r="I30" s="108"/>
      <c r="J30" s="108"/>
      <c r="K30" s="40"/>
      <c r="L30" s="110" t="s">
        <v>125</v>
      </c>
      <c r="M30" s="110" t="s">
        <v>123</v>
      </c>
      <c r="N30" s="33"/>
      <c r="O30" s="38"/>
      <c r="P30" s="30"/>
      <c r="Q30" s="91"/>
      <c r="R30" s="92"/>
      <c r="S30" s="93"/>
      <c r="T30" s="92"/>
      <c r="U30" s="93"/>
      <c r="V30" s="92"/>
      <c r="W30" s="88"/>
      <c r="X30" s="92"/>
      <c r="Y30" s="88"/>
      <c r="Z30" s="36"/>
      <c r="AA30" s="186"/>
      <c r="AB30" s="33"/>
      <c r="AC30" s="38"/>
      <c r="AD30" s="38"/>
      <c r="AE30" s="41"/>
      <c r="AF30" s="40"/>
      <c r="AG30" s="30"/>
      <c r="AH30" s="113"/>
    </row>
    <row r="31" spans="1:34" s="23" customFormat="1" ht="16.5" customHeight="1">
      <c r="A31" s="24"/>
      <c r="B31" s="37"/>
      <c r="C31" s="37"/>
      <c r="D31" s="44" t="s">
        <v>58</v>
      </c>
      <c r="E31" s="37"/>
      <c r="F31" s="37"/>
      <c r="G31" s="127"/>
      <c r="H31" s="130"/>
      <c r="I31" s="108" t="s">
        <v>97</v>
      </c>
      <c r="J31" s="108"/>
      <c r="K31" s="40"/>
      <c r="L31" s="110" t="s">
        <v>125</v>
      </c>
      <c r="M31" s="110" t="s">
        <v>123</v>
      </c>
      <c r="N31" s="34"/>
      <c r="O31" s="38"/>
      <c r="P31" s="30"/>
      <c r="Q31" s="91"/>
      <c r="R31" s="92"/>
      <c r="S31" s="93"/>
      <c r="T31" s="92"/>
      <c r="U31" s="93"/>
      <c r="V31" s="92"/>
      <c r="W31" s="88"/>
      <c r="X31" s="92"/>
      <c r="Y31" s="88"/>
      <c r="Z31" s="36"/>
      <c r="AA31" s="186"/>
      <c r="AB31" s="34"/>
      <c r="AC31" s="38"/>
      <c r="AD31" s="38"/>
      <c r="AE31" s="41"/>
      <c r="AF31" s="40"/>
      <c r="AG31" s="30"/>
      <c r="AH31" s="113"/>
    </row>
    <row r="32" spans="1:34" s="23" customFormat="1" ht="16.5" customHeight="1">
      <c r="A32" s="24"/>
      <c r="B32" s="37"/>
      <c r="C32" s="37"/>
      <c r="D32" s="44" t="s">
        <v>59</v>
      </c>
      <c r="E32" s="37"/>
      <c r="F32" s="37"/>
      <c r="G32" s="127"/>
      <c r="H32" s="130"/>
      <c r="I32" s="108" t="s">
        <v>60</v>
      </c>
      <c r="J32" s="108"/>
      <c r="K32" s="40"/>
      <c r="L32" s="110" t="s">
        <v>125</v>
      </c>
      <c r="M32" s="110" t="s">
        <v>123</v>
      </c>
      <c r="N32" s="34"/>
      <c r="O32" s="38"/>
      <c r="P32" s="30"/>
      <c r="Q32" s="91"/>
      <c r="R32" s="92"/>
      <c r="S32" s="93"/>
      <c r="T32" s="92"/>
      <c r="U32" s="93"/>
      <c r="V32" s="92"/>
      <c r="W32" s="88"/>
      <c r="X32" s="92"/>
      <c r="Y32" s="88"/>
      <c r="Z32" s="36"/>
      <c r="AA32" s="186"/>
      <c r="AB32" s="34"/>
      <c r="AC32" s="38"/>
      <c r="AD32" s="38"/>
      <c r="AE32" s="41"/>
      <c r="AF32" s="40"/>
      <c r="AG32" s="30"/>
      <c r="AH32" s="113"/>
    </row>
    <row r="33" spans="1:34" s="23" customFormat="1" ht="16.5" customHeight="1">
      <c r="A33" s="24"/>
      <c r="B33" s="37"/>
      <c r="C33" s="37" t="s">
        <v>54</v>
      </c>
      <c r="D33" s="44"/>
      <c r="E33" s="37"/>
      <c r="F33" s="37"/>
      <c r="G33" s="127"/>
      <c r="H33" s="107" t="s">
        <v>95</v>
      </c>
      <c r="I33" s="109"/>
      <c r="J33" s="109"/>
      <c r="K33" s="77"/>
      <c r="L33" s="110" t="s">
        <v>125</v>
      </c>
      <c r="M33" s="110" t="s">
        <v>123</v>
      </c>
      <c r="N33" s="34"/>
      <c r="O33" s="38"/>
      <c r="P33" s="30"/>
      <c r="Q33" s="91"/>
      <c r="R33" s="81"/>
      <c r="S33" s="88"/>
      <c r="T33" s="81"/>
      <c r="U33" s="88"/>
      <c r="V33" s="81"/>
      <c r="W33" s="88"/>
      <c r="X33" s="81"/>
      <c r="Y33" s="88"/>
      <c r="Z33" s="36"/>
      <c r="AA33" s="186"/>
      <c r="AB33" s="34"/>
      <c r="AC33" s="38"/>
      <c r="AD33" s="38"/>
      <c r="AE33" s="41"/>
      <c r="AF33" s="40"/>
      <c r="AG33" s="30"/>
      <c r="AH33" s="113"/>
    </row>
    <row r="34" spans="1:34" s="23" customFormat="1" ht="16.5" customHeight="1">
      <c r="A34" s="24"/>
      <c r="B34" s="37"/>
      <c r="C34" s="37"/>
      <c r="D34" s="44" t="s">
        <v>61</v>
      </c>
      <c r="E34" s="37"/>
      <c r="F34" s="37"/>
      <c r="G34" s="127"/>
      <c r="H34" s="130"/>
      <c r="I34" s="108" t="s">
        <v>93</v>
      </c>
      <c r="J34" s="109"/>
      <c r="K34" s="77"/>
      <c r="L34" s="111" t="s">
        <v>125</v>
      </c>
      <c r="M34" s="111" t="s">
        <v>123</v>
      </c>
      <c r="N34" s="34"/>
      <c r="O34" s="38"/>
      <c r="P34" s="30"/>
      <c r="Q34" s="91"/>
      <c r="R34" s="81"/>
      <c r="S34" s="88"/>
      <c r="T34" s="81"/>
      <c r="U34" s="88"/>
      <c r="V34" s="81"/>
      <c r="W34" s="88"/>
      <c r="X34" s="81"/>
      <c r="Y34" s="88"/>
      <c r="Z34" s="36"/>
      <c r="AA34" s="186"/>
      <c r="AB34" s="34"/>
      <c r="AC34" s="38"/>
      <c r="AD34" s="38"/>
      <c r="AE34" s="41"/>
      <c r="AF34" s="40"/>
      <c r="AG34" s="30"/>
      <c r="AH34" s="113"/>
    </row>
    <row r="35" spans="1:34" s="23" customFormat="1" ht="16.5" customHeight="1">
      <c r="A35" s="24"/>
      <c r="B35" s="37"/>
      <c r="C35" s="37"/>
      <c r="D35" s="44" t="s">
        <v>62</v>
      </c>
      <c r="E35" s="37"/>
      <c r="F35" s="37"/>
      <c r="G35" s="127"/>
      <c r="H35" s="130"/>
      <c r="I35" s="108" t="s">
        <v>60</v>
      </c>
      <c r="J35" s="109"/>
      <c r="K35" s="77"/>
      <c r="L35" s="111" t="s">
        <v>125</v>
      </c>
      <c r="M35" s="111" t="s">
        <v>123</v>
      </c>
      <c r="N35" s="34"/>
      <c r="O35" s="38"/>
      <c r="P35" s="30"/>
      <c r="Q35" s="91"/>
      <c r="R35" s="81"/>
      <c r="S35" s="88"/>
      <c r="T35" s="81"/>
      <c r="U35" s="88"/>
      <c r="V35" s="81"/>
      <c r="W35" s="88"/>
      <c r="X35" s="81"/>
      <c r="Y35" s="88"/>
      <c r="Z35" s="36"/>
      <c r="AA35" s="186"/>
      <c r="AB35" s="34"/>
      <c r="AC35" s="38"/>
      <c r="AD35" s="38"/>
      <c r="AE35" s="41"/>
      <c r="AF35" s="40"/>
      <c r="AG35" s="30"/>
      <c r="AH35" s="113"/>
    </row>
    <row r="36" spans="1:34" s="23" customFormat="1" ht="16.5" customHeight="1">
      <c r="A36" s="24"/>
      <c r="B36" s="37"/>
      <c r="C36" s="37"/>
      <c r="D36" s="44" t="s">
        <v>65</v>
      </c>
      <c r="E36" s="44"/>
      <c r="F36" s="44"/>
      <c r="G36" s="127"/>
      <c r="H36" s="130"/>
      <c r="I36" s="108" t="s">
        <v>66</v>
      </c>
      <c r="J36" s="109"/>
      <c r="K36" s="77"/>
      <c r="L36" s="111" t="s">
        <v>125</v>
      </c>
      <c r="M36" s="111" t="s">
        <v>46</v>
      </c>
      <c r="N36" s="34"/>
      <c r="O36" s="38"/>
      <c r="P36" s="30"/>
      <c r="Q36" s="91"/>
      <c r="R36" s="81"/>
      <c r="S36" s="88"/>
      <c r="T36" s="81"/>
      <c r="U36" s="88"/>
      <c r="V36" s="81"/>
      <c r="W36" s="88"/>
      <c r="X36" s="81"/>
      <c r="Y36" s="88"/>
      <c r="Z36" s="36"/>
      <c r="AA36" s="186"/>
      <c r="AB36" s="34"/>
      <c r="AC36" s="38"/>
      <c r="AD36" s="38"/>
      <c r="AE36" s="41"/>
      <c r="AF36" s="40"/>
      <c r="AG36" s="30"/>
      <c r="AH36" s="113"/>
    </row>
    <row r="37" spans="1:34" s="23" customFormat="1" ht="16.5" customHeight="1">
      <c r="A37" s="24"/>
      <c r="B37" s="37"/>
      <c r="C37" s="37" t="s">
        <v>55</v>
      </c>
      <c r="D37" s="37"/>
      <c r="E37" s="44"/>
      <c r="F37" s="44"/>
      <c r="G37" s="127"/>
      <c r="H37" s="130" t="s">
        <v>94</v>
      </c>
      <c r="I37" s="109"/>
      <c r="J37" s="109"/>
      <c r="K37" s="77"/>
      <c r="L37" s="123" t="s">
        <v>125</v>
      </c>
      <c r="M37" s="111" t="s">
        <v>123</v>
      </c>
      <c r="N37" s="33"/>
      <c r="O37" s="38"/>
      <c r="P37" s="30"/>
      <c r="Q37" s="94"/>
      <c r="R37" s="81"/>
      <c r="S37" s="88"/>
      <c r="T37" s="81"/>
      <c r="U37" s="88"/>
      <c r="V37" s="81"/>
      <c r="W37" s="88"/>
      <c r="X37" s="81"/>
      <c r="Y37" s="88"/>
      <c r="Z37" s="127"/>
      <c r="AA37" s="187"/>
      <c r="AB37" s="33"/>
      <c r="AC37" s="38"/>
      <c r="AD37" s="38"/>
      <c r="AE37" s="39"/>
      <c r="AF37" s="30"/>
      <c r="AG37" s="30"/>
      <c r="AH37" s="113"/>
    </row>
    <row r="38" spans="1:34" s="23" customFormat="1" ht="16.5" customHeight="1">
      <c r="A38" s="24"/>
      <c r="B38" s="37"/>
      <c r="C38" s="37"/>
      <c r="D38" s="44" t="s">
        <v>63</v>
      </c>
      <c r="E38" s="37"/>
      <c r="F38" s="37"/>
      <c r="G38" s="127"/>
      <c r="H38" s="130"/>
      <c r="I38" s="108" t="s">
        <v>93</v>
      </c>
      <c r="J38" s="109"/>
      <c r="K38" s="77"/>
      <c r="L38" s="123" t="s">
        <v>125</v>
      </c>
      <c r="M38" s="111" t="s">
        <v>123</v>
      </c>
      <c r="N38" s="34"/>
      <c r="O38" s="132"/>
      <c r="P38" s="40"/>
      <c r="Q38" s="95"/>
      <c r="R38" s="87"/>
      <c r="S38" s="96"/>
      <c r="T38" s="87"/>
      <c r="U38" s="96"/>
      <c r="V38" s="87"/>
      <c r="W38" s="96"/>
      <c r="X38" s="87"/>
      <c r="Y38" s="96"/>
      <c r="Z38" s="30"/>
      <c r="AA38" s="30"/>
      <c r="AB38" s="34"/>
      <c r="AC38" s="38"/>
      <c r="AD38" s="38"/>
      <c r="AE38" s="41"/>
      <c r="AF38" s="40"/>
      <c r="AG38" s="40"/>
      <c r="AH38" s="113"/>
    </row>
    <row r="39" spans="1:34" s="23" customFormat="1" ht="16.5" customHeight="1">
      <c r="A39" s="24"/>
      <c r="B39" s="37"/>
      <c r="C39" s="37"/>
      <c r="D39" s="44" t="s">
        <v>64</v>
      </c>
      <c r="E39" s="37"/>
      <c r="F39" s="37"/>
      <c r="G39" s="127"/>
      <c r="H39" s="130"/>
      <c r="I39" s="108" t="s">
        <v>60</v>
      </c>
      <c r="J39" s="109"/>
      <c r="K39" s="77"/>
      <c r="L39" s="110" t="s">
        <v>125</v>
      </c>
      <c r="M39" s="110" t="s">
        <v>123</v>
      </c>
      <c r="N39" s="34"/>
      <c r="O39" s="132"/>
      <c r="P39" s="40"/>
      <c r="Q39" s="95"/>
      <c r="R39" s="87"/>
      <c r="S39" s="96"/>
      <c r="T39" s="87"/>
      <c r="U39" s="96"/>
      <c r="V39" s="87"/>
      <c r="W39" s="96"/>
      <c r="X39" s="87"/>
      <c r="Y39" s="96"/>
      <c r="Z39" s="30"/>
      <c r="AA39" s="30"/>
      <c r="AB39" s="34"/>
      <c r="AC39" s="38"/>
      <c r="AD39" s="38"/>
      <c r="AE39" s="41"/>
      <c r="AF39" s="40"/>
      <c r="AG39" s="40"/>
      <c r="AH39" s="113"/>
    </row>
    <row r="40" spans="1:34" s="216" customFormat="1" ht="16.5" customHeight="1">
      <c r="A40" s="36"/>
      <c r="B40" s="44"/>
      <c r="C40" s="44"/>
      <c r="D40" s="44" t="s">
        <v>67</v>
      </c>
      <c r="E40" s="44"/>
      <c r="F40" s="44"/>
      <c r="G40" s="109"/>
      <c r="H40" s="109"/>
      <c r="I40" s="108" t="s">
        <v>66</v>
      </c>
      <c r="J40" s="109"/>
      <c r="K40" s="77"/>
      <c r="L40" s="155" t="s">
        <v>125</v>
      </c>
      <c r="M40" s="147" t="s">
        <v>46</v>
      </c>
      <c r="N40" s="34"/>
      <c r="O40" s="132"/>
      <c r="P40" s="40"/>
      <c r="Q40" s="95"/>
      <c r="R40" s="87"/>
      <c r="S40" s="87"/>
      <c r="T40" s="87"/>
      <c r="U40" s="87"/>
      <c r="V40" s="87"/>
      <c r="W40" s="96"/>
      <c r="X40" s="87"/>
      <c r="Y40" s="96"/>
      <c r="Z40" s="40"/>
      <c r="AA40" s="40"/>
      <c r="AB40" s="34"/>
      <c r="AC40" s="132"/>
      <c r="AD40" s="132"/>
      <c r="AE40" s="41"/>
      <c r="AF40" s="40"/>
      <c r="AG40" s="40"/>
      <c r="AH40" s="215"/>
    </row>
    <row r="41" spans="1:34" s="217" customFormat="1" ht="16.5" customHeight="1">
      <c r="A41" s="150"/>
      <c r="B41" s="116" t="s">
        <v>73</v>
      </c>
      <c r="C41" s="116"/>
      <c r="D41" s="116"/>
      <c r="E41" s="116"/>
      <c r="F41" s="116"/>
      <c r="G41" s="133" t="s">
        <v>102</v>
      </c>
      <c r="H41" s="133"/>
      <c r="I41" s="134"/>
      <c r="J41" s="133"/>
      <c r="K41" s="118"/>
      <c r="L41" s="119" t="s">
        <v>125</v>
      </c>
      <c r="M41" s="119" t="s">
        <v>127</v>
      </c>
      <c r="N41" s="151"/>
      <c r="O41" s="102"/>
      <c r="P41" s="26"/>
      <c r="Q41" s="83"/>
      <c r="R41" s="245">
        <v>0.5</v>
      </c>
      <c r="S41" s="84"/>
      <c r="T41" s="84"/>
      <c r="U41" s="84"/>
      <c r="V41" s="84"/>
      <c r="W41" s="85"/>
      <c r="X41" s="84"/>
      <c r="Y41" s="85"/>
      <c r="Z41" s="26"/>
      <c r="AA41" s="26"/>
      <c r="AB41" s="151"/>
      <c r="AC41" s="102"/>
      <c r="AD41" s="102"/>
      <c r="AE41" s="120"/>
      <c r="AF41" s="26"/>
      <c r="AG41" s="26"/>
      <c r="AH41" s="162"/>
    </row>
    <row r="42" spans="1:34" s="214" customFormat="1" ht="16.5" customHeight="1">
      <c r="A42" s="183"/>
      <c r="B42" s="37"/>
      <c r="C42" s="37" t="s">
        <v>75</v>
      </c>
      <c r="D42" s="37"/>
      <c r="E42" s="37"/>
      <c r="F42" s="37"/>
      <c r="G42" s="107"/>
      <c r="H42" s="107" t="s">
        <v>103</v>
      </c>
      <c r="I42" s="79"/>
      <c r="J42" s="107"/>
      <c r="K42" s="126"/>
      <c r="L42" s="110" t="s">
        <v>125</v>
      </c>
      <c r="M42" s="110" t="s">
        <v>127</v>
      </c>
      <c r="N42" s="33"/>
      <c r="O42" s="38"/>
      <c r="P42" s="30"/>
      <c r="Q42" s="94"/>
      <c r="R42" s="248">
        <v>0.5</v>
      </c>
      <c r="S42" s="81"/>
      <c r="T42" s="81"/>
      <c r="U42" s="81"/>
      <c r="V42" s="81"/>
      <c r="W42" s="88"/>
      <c r="X42" s="81"/>
      <c r="Y42" s="88"/>
      <c r="Z42" s="30"/>
      <c r="AA42" s="30"/>
      <c r="AB42" s="33"/>
      <c r="AC42" s="38"/>
      <c r="AD42" s="38"/>
      <c r="AE42" s="39"/>
      <c r="AF42" s="30"/>
      <c r="AG42" s="30"/>
      <c r="AH42" s="202"/>
    </row>
    <row r="43" spans="1:34" s="214" customFormat="1" ht="16.5" customHeight="1">
      <c r="A43" s="183"/>
      <c r="B43" s="37"/>
      <c r="C43" s="37" t="s">
        <v>77</v>
      </c>
      <c r="D43" s="37"/>
      <c r="E43" s="37"/>
      <c r="F43" s="37"/>
      <c r="G43" s="107"/>
      <c r="H43" s="107" t="s">
        <v>104</v>
      </c>
      <c r="I43" s="79"/>
      <c r="J43" s="107"/>
      <c r="K43" s="126"/>
      <c r="L43" s="110" t="s">
        <v>125</v>
      </c>
      <c r="M43" s="110" t="s">
        <v>127</v>
      </c>
      <c r="N43" s="33"/>
      <c r="O43" s="38"/>
      <c r="P43" s="30"/>
      <c r="Q43" s="94"/>
      <c r="R43" s="248">
        <v>0.5</v>
      </c>
      <c r="S43" s="81"/>
      <c r="T43" s="81"/>
      <c r="U43" s="81"/>
      <c r="V43" s="81"/>
      <c r="W43" s="88"/>
      <c r="X43" s="81"/>
      <c r="Y43" s="88"/>
      <c r="Z43" s="30"/>
      <c r="AA43" s="30"/>
      <c r="AB43" s="33"/>
      <c r="AC43" s="38"/>
      <c r="AD43" s="38"/>
      <c r="AE43" s="39"/>
      <c r="AF43" s="30"/>
      <c r="AG43" s="30"/>
      <c r="AH43" s="202"/>
    </row>
    <row r="44" spans="1:34" s="214" customFormat="1" ht="16.5" customHeight="1">
      <c r="A44" s="183"/>
      <c r="B44" s="37"/>
      <c r="C44" s="37" t="s">
        <v>78</v>
      </c>
      <c r="D44" s="37"/>
      <c r="E44" s="37"/>
      <c r="F44" s="37"/>
      <c r="G44" s="107"/>
      <c r="H44" s="107" t="s">
        <v>105</v>
      </c>
      <c r="I44" s="79"/>
      <c r="J44" s="107"/>
      <c r="K44" s="126"/>
      <c r="L44" s="110" t="s">
        <v>125</v>
      </c>
      <c r="M44" s="128" t="s">
        <v>127</v>
      </c>
      <c r="N44" s="33"/>
      <c r="O44" s="38"/>
      <c r="P44" s="30"/>
      <c r="Q44" s="94"/>
      <c r="R44" s="248">
        <v>0.5</v>
      </c>
      <c r="S44" s="81"/>
      <c r="T44" s="81"/>
      <c r="U44" s="81"/>
      <c r="V44" s="81"/>
      <c r="W44" s="88"/>
      <c r="X44" s="81"/>
      <c r="Y44" s="88"/>
      <c r="Z44" s="30"/>
      <c r="AA44" s="30"/>
      <c r="AB44" s="33"/>
      <c r="AC44" s="38"/>
      <c r="AD44" s="38"/>
      <c r="AE44" s="39"/>
      <c r="AF44" s="30"/>
      <c r="AG44" s="30"/>
      <c r="AH44" s="202"/>
    </row>
    <row r="45" spans="1:34" s="23" customFormat="1" ht="16.5" customHeight="1">
      <c r="A45" s="24"/>
      <c r="B45" s="116" t="s">
        <v>83</v>
      </c>
      <c r="C45" s="116"/>
      <c r="D45" s="116"/>
      <c r="E45" s="116"/>
      <c r="F45" s="116"/>
      <c r="G45" s="133" t="s">
        <v>86</v>
      </c>
      <c r="H45" s="133"/>
      <c r="I45" s="134"/>
      <c r="J45" s="134"/>
      <c r="K45" s="26"/>
      <c r="L45" s="102" t="s">
        <v>125</v>
      </c>
      <c r="M45" s="111" t="s">
        <v>46</v>
      </c>
      <c r="N45" s="25"/>
      <c r="O45" s="102"/>
      <c r="P45" s="26"/>
      <c r="Q45" s="97"/>
      <c r="R45" s="94"/>
      <c r="S45" s="85"/>
      <c r="T45" s="84"/>
      <c r="U45" s="85"/>
      <c r="V45" s="84"/>
      <c r="W45" s="85"/>
      <c r="X45" s="84"/>
      <c r="Y45" s="85"/>
      <c r="Z45" s="26"/>
      <c r="AA45" s="26"/>
      <c r="AB45" s="25"/>
      <c r="AC45" s="102"/>
      <c r="AD45" s="102"/>
      <c r="AE45" s="120"/>
      <c r="AF45" s="26"/>
      <c r="AG45" s="26"/>
      <c r="AH45" s="113"/>
    </row>
    <row r="46" spans="1:34" s="23" customFormat="1" ht="16.5" customHeight="1">
      <c r="A46" s="24"/>
      <c r="B46" s="37"/>
      <c r="C46" s="37" t="s">
        <v>84</v>
      </c>
      <c r="D46" s="37"/>
      <c r="E46" s="37"/>
      <c r="F46" s="37"/>
      <c r="G46" s="127"/>
      <c r="H46" s="130" t="s">
        <v>87</v>
      </c>
      <c r="I46" s="79"/>
      <c r="J46" s="79"/>
      <c r="K46" s="30"/>
      <c r="L46" s="38" t="s">
        <v>125</v>
      </c>
      <c r="M46" s="111" t="s">
        <v>46</v>
      </c>
      <c r="N46" s="35"/>
      <c r="O46" s="30"/>
      <c r="P46" s="30"/>
      <c r="Q46" s="38"/>
      <c r="R46" s="38"/>
      <c r="S46" s="38"/>
      <c r="T46" s="38"/>
      <c r="U46" s="38"/>
      <c r="V46" s="38"/>
      <c r="W46" s="38"/>
      <c r="X46" s="38"/>
      <c r="Y46" s="38"/>
      <c r="Z46" s="135"/>
      <c r="AA46" s="135"/>
      <c r="AB46" s="35"/>
      <c r="AC46" s="38"/>
      <c r="AD46" s="136"/>
      <c r="AE46" s="39"/>
      <c r="AF46" s="30"/>
      <c r="AG46" s="30"/>
      <c r="AH46" s="113"/>
    </row>
    <row r="47" spans="1:34" s="23" customFormat="1" ht="16.5" customHeight="1">
      <c r="A47" s="24"/>
      <c r="B47" s="37"/>
      <c r="C47" s="37" t="s">
        <v>85</v>
      </c>
      <c r="D47" s="37"/>
      <c r="E47" s="37"/>
      <c r="F47" s="37"/>
      <c r="G47" s="127"/>
      <c r="H47" s="107" t="s">
        <v>88</v>
      </c>
      <c r="I47" s="79"/>
      <c r="J47" s="79"/>
      <c r="K47" s="30"/>
      <c r="L47" s="38" t="s">
        <v>125</v>
      </c>
      <c r="M47" s="147" t="s">
        <v>46</v>
      </c>
      <c r="N47" s="29"/>
      <c r="O47" s="81"/>
      <c r="P47" s="30"/>
      <c r="Q47" s="82"/>
      <c r="R47" s="92"/>
      <c r="S47" s="93"/>
      <c r="T47" s="92"/>
      <c r="U47" s="93"/>
      <c r="V47" s="92"/>
      <c r="W47" s="93"/>
      <c r="X47" s="92"/>
      <c r="Y47" s="93"/>
      <c r="Z47" s="30"/>
      <c r="AA47" s="30"/>
      <c r="AB47" s="29"/>
      <c r="AC47" s="38"/>
      <c r="AD47" s="38"/>
      <c r="AE47" s="39"/>
      <c r="AF47" s="30"/>
      <c r="AG47" s="30"/>
      <c r="AH47" s="113"/>
    </row>
    <row r="48" spans="1:34" s="154" customFormat="1" ht="16.5" customHeight="1">
      <c r="A48" s="149"/>
      <c r="B48" s="116" t="s">
        <v>106</v>
      </c>
      <c r="C48" s="116"/>
      <c r="D48" s="116"/>
      <c r="E48" s="116"/>
      <c r="F48" s="116"/>
      <c r="G48" s="133" t="s">
        <v>74</v>
      </c>
      <c r="H48" s="133"/>
      <c r="I48" s="134"/>
      <c r="J48" s="117"/>
      <c r="K48" s="42"/>
      <c r="L48" s="102" t="s">
        <v>125</v>
      </c>
      <c r="M48" s="119" t="s">
        <v>46</v>
      </c>
      <c r="N48" s="25"/>
      <c r="O48" s="102"/>
      <c r="P48" s="26"/>
      <c r="Q48" s="98"/>
      <c r="R48" s="115"/>
      <c r="S48" s="114"/>
      <c r="T48" s="114"/>
      <c r="U48" s="114"/>
      <c r="V48" s="114"/>
      <c r="W48" s="114"/>
      <c r="X48" s="114"/>
      <c r="Y48" s="114"/>
      <c r="Z48" s="42"/>
      <c r="AA48" s="42"/>
      <c r="AB48" s="25"/>
      <c r="AC48" s="102"/>
      <c r="AD48" s="206"/>
      <c r="AE48" s="207"/>
      <c r="AF48" s="129"/>
      <c r="AG48" s="129"/>
      <c r="AH48" s="153"/>
    </row>
    <row r="49" spans="1:34" s="23" customFormat="1" ht="16.5" customHeight="1">
      <c r="A49" s="24"/>
      <c r="B49" s="37"/>
      <c r="C49" s="37" t="s">
        <v>107</v>
      </c>
      <c r="D49" s="37"/>
      <c r="E49" s="37"/>
      <c r="F49" s="37"/>
      <c r="G49" s="127"/>
      <c r="H49" s="130" t="s">
        <v>76</v>
      </c>
      <c r="I49" s="79"/>
      <c r="J49" s="80"/>
      <c r="K49" s="43"/>
      <c r="L49" s="38" t="s">
        <v>125</v>
      </c>
      <c r="M49" s="110" t="s">
        <v>46</v>
      </c>
      <c r="N49" s="29"/>
      <c r="O49" s="38"/>
      <c r="P49" s="30"/>
      <c r="Q49" s="82"/>
      <c r="R49" s="92"/>
      <c r="S49" s="93"/>
      <c r="T49" s="93"/>
      <c r="U49" s="93"/>
      <c r="V49" s="93"/>
      <c r="W49" s="93"/>
      <c r="X49" s="93"/>
      <c r="Y49" s="93"/>
      <c r="Z49" s="43"/>
      <c r="AA49" s="43"/>
      <c r="AB49" s="29"/>
      <c r="AC49" s="38"/>
      <c r="AD49" s="132"/>
      <c r="AE49" s="41"/>
      <c r="AF49" s="40"/>
      <c r="AG49" s="40"/>
      <c r="AH49" s="113"/>
    </row>
    <row r="50" spans="1:34" s="191" customFormat="1" ht="16.5" customHeight="1">
      <c r="A50" s="106"/>
      <c r="B50" s="37"/>
      <c r="C50" s="37" t="s">
        <v>108</v>
      </c>
      <c r="D50" s="37"/>
      <c r="E50" s="37"/>
      <c r="F50" s="37"/>
      <c r="G50" s="127"/>
      <c r="H50" s="107" t="s">
        <v>79</v>
      </c>
      <c r="I50" s="79"/>
      <c r="J50" s="80"/>
      <c r="K50" s="43"/>
      <c r="L50" s="38" t="s">
        <v>125</v>
      </c>
      <c r="M50" s="110" t="s">
        <v>46</v>
      </c>
      <c r="N50" s="29"/>
      <c r="O50" s="38"/>
      <c r="P50" s="30"/>
      <c r="Q50" s="82"/>
      <c r="R50" s="92"/>
      <c r="S50" s="93"/>
      <c r="T50" s="93"/>
      <c r="U50" s="93"/>
      <c r="V50" s="93"/>
      <c r="W50" s="93"/>
      <c r="X50" s="93"/>
      <c r="Y50" s="93"/>
      <c r="Z50" s="43"/>
      <c r="AA50" s="138"/>
      <c r="AB50" s="29"/>
      <c r="AC50" s="38"/>
      <c r="AD50" s="38"/>
      <c r="AE50" s="39"/>
      <c r="AF50" s="30"/>
      <c r="AG50" s="38"/>
      <c r="AH50" s="190"/>
    </row>
    <row r="51" spans="1:34" s="203" customFormat="1" ht="16.5" customHeight="1">
      <c r="A51" s="192"/>
      <c r="B51" s="44"/>
      <c r="C51" s="37" t="s">
        <v>109</v>
      </c>
      <c r="D51" s="44"/>
      <c r="E51" s="44"/>
      <c r="F51" s="44"/>
      <c r="G51" s="36"/>
      <c r="H51" s="144" t="s">
        <v>80</v>
      </c>
      <c r="I51" s="108"/>
      <c r="J51" s="79"/>
      <c r="K51" s="30"/>
      <c r="L51" s="82" t="s">
        <v>125</v>
      </c>
      <c r="M51" s="110" t="s">
        <v>46</v>
      </c>
      <c r="N51" s="189"/>
      <c r="O51" s="30"/>
      <c r="P51" s="30"/>
      <c r="Q51" s="82"/>
      <c r="R51" s="199"/>
      <c r="S51" s="200"/>
      <c r="T51" s="200"/>
      <c r="U51" s="200"/>
      <c r="V51" s="200"/>
      <c r="W51" s="200"/>
      <c r="X51" s="200"/>
      <c r="Y51" s="200"/>
      <c r="Z51" s="189"/>
      <c r="AA51" s="189"/>
      <c r="AB51" s="189"/>
      <c r="AC51" s="135"/>
      <c r="AD51" s="135"/>
      <c r="AE51" s="201"/>
      <c r="AF51" s="43"/>
      <c r="AG51" s="43"/>
      <c r="AH51" s="202"/>
    </row>
    <row r="52" spans="1:34" s="198" customFormat="1" ht="16.5" customHeight="1">
      <c r="A52" s="192"/>
      <c r="B52" s="37"/>
      <c r="C52" s="37" t="s">
        <v>110</v>
      </c>
      <c r="D52" s="37"/>
      <c r="E52" s="37"/>
      <c r="F52" s="78"/>
      <c r="G52" s="107"/>
      <c r="H52" s="107" t="s">
        <v>81</v>
      </c>
      <c r="I52" s="79"/>
      <c r="J52" s="30"/>
      <c r="K52" s="30"/>
      <c r="L52" s="38" t="s">
        <v>125</v>
      </c>
      <c r="M52" s="110" t="s">
        <v>46</v>
      </c>
      <c r="N52" s="29"/>
      <c r="O52" s="194"/>
      <c r="P52" s="195"/>
      <c r="Q52" s="82"/>
      <c r="R52" s="196"/>
      <c r="S52" s="196"/>
      <c r="T52" s="38"/>
      <c r="U52" s="38"/>
      <c r="V52" s="38"/>
      <c r="W52" s="38"/>
      <c r="X52" s="38"/>
      <c r="Y52" s="38"/>
      <c r="Z52" s="30"/>
      <c r="AA52" s="30"/>
      <c r="AB52" s="29"/>
      <c r="AC52" s="38"/>
      <c r="AD52" s="38"/>
      <c r="AE52" s="39"/>
      <c r="AF52" s="30"/>
      <c r="AG52" s="30"/>
      <c r="AH52" s="197"/>
    </row>
    <row r="53" spans="1:34" s="203" customFormat="1" ht="16.5" customHeight="1">
      <c r="A53" s="192"/>
      <c r="B53" s="44"/>
      <c r="C53" s="37" t="s">
        <v>111</v>
      </c>
      <c r="D53" s="44"/>
      <c r="E53" s="37"/>
      <c r="F53" s="78"/>
      <c r="G53" s="127"/>
      <c r="H53" s="130" t="s">
        <v>82</v>
      </c>
      <c r="I53" s="79"/>
      <c r="J53" s="79"/>
      <c r="K53" s="30"/>
      <c r="L53" s="82" t="s">
        <v>125</v>
      </c>
      <c r="M53" s="110" t="s">
        <v>46</v>
      </c>
      <c r="N53" s="189"/>
      <c r="O53" s="30"/>
      <c r="P53" s="30"/>
      <c r="Q53" s="82"/>
      <c r="R53" s="199"/>
      <c r="S53" s="200"/>
      <c r="T53" s="200"/>
      <c r="U53" s="200"/>
      <c r="V53" s="200"/>
      <c r="W53" s="200"/>
      <c r="X53" s="200"/>
      <c r="Y53" s="200"/>
      <c r="Z53" s="189"/>
      <c r="AA53" s="189"/>
      <c r="AB53" s="189"/>
      <c r="AC53" s="135"/>
      <c r="AD53" s="135"/>
      <c r="AE53" s="201"/>
      <c r="AF53" s="43"/>
      <c r="AG53" s="43"/>
      <c r="AH53" s="202"/>
    </row>
    <row r="54" spans="1:34" s="198" customFormat="1" ht="16.5" customHeight="1">
      <c r="A54" s="192"/>
      <c r="B54" s="44"/>
      <c r="C54" s="44"/>
      <c r="D54" s="44" t="s">
        <v>114</v>
      </c>
      <c r="E54" s="37"/>
      <c r="F54" s="78"/>
      <c r="G54" s="127"/>
      <c r="H54" s="130"/>
      <c r="I54" s="79" t="s">
        <v>121</v>
      </c>
      <c r="J54" s="30"/>
      <c r="K54" s="30"/>
      <c r="L54" s="38" t="s">
        <v>125</v>
      </c>
      <c r="M54" s="110" t="s">
        <v>46</v>
      </c>
      <c r="N54" s="29"/>
      <c r="O54" s="194"/>
      <c r="P54" s="195"/>
      <c r="Q54" s="82"/>
      <c r="R54" s="196"/>
      <c r="S54" s="196"/>
      <c r="T54" s="38"/>
      <c r="U54" s="38"/>
      <c r="V54" s="38"/>
      <c r="W54" s="38"/>
      <c r="X54" s="38"/>
      <c r="Y54" s="38"/>
      <c r="Z54" s="30"/>
      <c r="AA54" s="30"/>
      <c r="AB54" s="29"/>
      <c r="AC54" s="38"/>
      <c r="AD54" s="38"/>
      <c r="AE54" s="39"/>
      <c r="AF54" s="30"/>
      <c r="AG54" s="30"/>
      <c r="AH54" s="197"/>
    </row>
    <row r="55" spans="1:34" s="198" customFormat="1" ht="16.5" customHeight="1">
      <c r="A55" s="192"/>
      <c r="B55" s="78"/>
      <c r="C55" s="37" t="s">
        <v>112</v>
      </c>
      <c r="D55" s="37"/>
      <c r="E55" s="37"/>
      <c r="F55" s="37"/>
      <c r="G55" s="183"/>
      <c r="H55" s="30" t="s">
        <v>143</v>
      </c>
      <c r="I55" s="193"/>
      <c r="J55" s="30"/>
      <c r="K55" s="30"/>
      <c r="L55" s="38" t="s">
        <v>125</v>
      </c>
      <c r="M55" s="110" t="s">
        <v>46</v>
      </c>
      <c r="N55" s="29"/>
      <c r="O55" s="194"/>
      <c r="P55" s="195"/>
      <c r="Q55" s="82"/>
      <c r="R55" s="196"/>
      <c r="S55" s="196"/>
      <c r="T55" s="38"/>
      <c r="U55" s="38"/>
      <c r="V55" s="38"/>
      <c r="W55" s="38"/>
      <c r="X55" s="38"/>
      <c r="Y55" s="38"/>
      <c r="Z55" s="30"/>
      <c r="AA55" s="30"/>
      <c r="AB55" s="29"/>
      <c r="AC55" s="38"/>
      <c r="AD55" s="38"/>
      <c r="AE55" s="39"/>
      <c r="AF55" s="30"/>
      <c r="AG55" s="30"/>
      <c r="AH55" s="197"/>
    </row>
    <row r="56" spans="1:34" s="205" customFormat="1" ht="16.5" customHeight="1">
      <c r="A56" s="178"/>
      <c r="B56" s="179"/>
      <c r="C56" s="44"/>
      <c r="D56" s="44" t="s">
        <v>115</v>
      </c>
      <c r="E56" s="44"/>
      <c r="F56" s="44"/>
      <c r="G56" s="180"/>
      <c r="H56" s="40"/>
      <c r="I56" s="208" t="s">
        <v>144</v>
      </c>
      <c r="J56" s="40"/>
      <c r="K56" s="40"/>
      <c r="L56" s="132" t="s">
        <v>125</v>
      </c>
      <c r="M56" s="110" t="s">
        <v>46</v>
      </c>
      <c r="N56" s="156"/>
      <c r="O56" s="209"/>
      <c r="P56" s="210"/>
      <c r="Q56" s="188"/>
      <c r="R56" s="211"/>
      <c r="S56" s="211"/>
      <c r="T56" s="132"/>
      <c r="U56" s="132"/>
      <c r="V56" s="132"/>
      <c r="W56" s="132"/>
      <c r="X56" s="132"/>
      <c r="Y56" s="132"/>
      <c r="Z56" s="40"/>
      <c r="AA56" s="40"/>
      <c r="AB56" s="156"/>
      <c r="AC56" s="132"/>
      <c r="AD56" s="132"/>
      <c r="AE56" s="41"/>
      <c r="AF56" s="40"/>
      <c r="AG56" s="40"/>
      <c r="AH56" s="204"/>
    </row>
    <row r="57" spans="1:34" s="205" customFormat="1" ht="16.5" customHeight="1">
      <c r="A57" s="178"/>
      <c r="B57" s="179"/>
      <c r="C57" s="44" t="s">
        <v>113</v>
      </c>
      <c r="D57" s="44"/>
      <c r="E57" s="44"/>
      <c r="F57" s="44"/>
      <c r="G57" s="180"/>
      <c r="H57" s="40" t="s">
        <v>146</v>
      </c>
      <c r="I57" s="208"/>
      <c r="J57" s="40"/>
      <c r="K57" s="40"/>
      <c r="L57" s="132" t="s">
        <v>125</v>
      </c>
      <c r="M57" s="110" t="s">
        <v>46</v>
      </c>
      <c r="N57" s="156"/>
      <c r="O57" s="209"/>
      <c r="P57" s="210"/>
      <c r="Q57" s="188"/>
      <c r="R57" s="211"/>
      <c r="S57" s="211"/>
      <c r="T57" s="132"/>
      <c r="U57" s="132"/>
      <c r="V57" s="132"/>
      <c r="W57" s="132"/>
      <c r="X57" s="132"/>
      <c r="Y57" s="132"/>
      <c r="Z57" s="40"/>
      <c r="AA57" s="40"/>
      <c r="AB57" s="156"/>
      <c r="AC57" s="132"/>
      <c r="AD57" s="132"/>
      <c r="AE57" s="41"/>
      <c r="AF57" s="40"/>
      <c r="AG57" s="40"/>
      <c r="AH57" s="204"/>
    </row>
    <row r="58" spans="1:34" s="213" customFormat="1" ht="16.5" customHeight="1">
      <c r="A58" s="157"/>
      <c r="B58" s="158"/>
      <c r="C58" s="45"/>
      <c r="D58" s="45" t="s">
        <v>116</v>
      </c>
      <c r="E58" s="45"/>
      <c r="F58" s="45"/>
      <c r="G58" s="159"/>
      <c r="H58" s="32"/>
      <c r="I58" s="139" t="s">
        <v>145</v>
      </c>
      <c r="J58" s="32"/>
      <c r="K58" s="32"/>
      <c r="L58" s="112" t="s">
        <v>125</v>
      </c>
      <c r="M58" s="128" t="s">
        <v>46</v>
      </c>
      <c r="N58" s="31"/>
      <c r="O58" s="140"/>
      <c r="P58" s="141"/>
      <c r="Q58" s="142"/>
      <c r="R58" s="143"/>
      <c r="S58" s="143"/>
      <c r="T58" s="112"/>
      <c r="U58" s="112"/>
      <c r="V58" s="112"/>
      <c r="W58" s="112"/>
      <c r="X58" s="112"/>
      <c r="Y58" s="112"/>
      <c r="Z58" s="32"/>
      <c r="AA58" s="32"/>
      <c r="AB58" s="31"/>
      <c r="AC58" s="112"/>
      <c r="AD58" s="112"/>
      <c r="AE58" s="100"/>
      <c r="AF58" s="32"/>
      <c r="AG58" s="32"/>
      <c r="AH58" s="212"/>
    </row>
    <row r="60" spans="1:34">
      <c r="C60" s="50"/>
      <c r="R60" s="51"/>
      <c r="S60" s="51"/>
      <c r="T60" s="51"/>
      <c r="U60" s="51"/>
      <c r="V60" s="51"/>
      <c r="W60" s="51"/>
      <c r="X60" s="51"/>
      <c r="Y60" s="51"/>
      <c r="Z60" s="51"/>
    </row>
    <row r="61" spans="1:34">
      <c r="C61" s="52"/>
      <c r="Q61" s="53"/>
      <c r="R61" s="54" t="s">
        <v>8</v>
      </c>
      <c r="S61" s="55" t="s">
        <v>22</v>
      </c>
      <c r="T61" s="54" t="s">
        <v>10</v>
      </c>
      <c r="U61" s="54" t="s">
        <v>23</v>
      </c>
      <c r="V61" s="54" t="s">
        <v>30</v>
      </c>
      <c r="W61" s="54" t="s">
        <v>33</v>
      </c>
      <c r="X61" s="54" t="s">
        <v>31</v>
      </c>
      <c r="Y61" s="54" t="s">
        <v>34</v>
      </c>
      <c r="Z61" s="56"/>
    </row>
    <row r="62" spans="1:34">
      <c r="C62" s="57"/>
      <c r="Q62" s="58" t="s">
        <v>24</v>
      </c>
      <c r="R62" s="59">
        <f>COUNTIF(R7:R51,"O")</f>
        <v>0</v>
      </c>
      <c r="S62" s="60">
        <f>R62/R$65</f>
        <v>0</v>
      </c>
      <c r="T62" s="61">
        <f>COUNTIF(T7:T51,"O")</f>
        <v>0</v>
      </c>
      <c r="U62" s="60">
        <f>T62/T$65</f>
        <v>0</v>
      </c>
      <c r="V62" s="61">
        <f>COUNTIF(V7:V51,"O")</f>
        <v>0</v>
      </c>
      <c r="W62" s="60">
        <f>V62/V$65</f>
        <v>0</v>
      </c>
      <c r="X62" s="61">
        <f>COUNTIF(X7:X51,"O")</f>
        <v>0</v>
      </c>
      <c r="Y62" s="60">
        <f>X62/X$65</f>
        <v>0</v>
      </c>
      <c r="Z62" s="62"/>
    </row>
    <row r="63" spans="1:34">
      <c r="C63" s="63"/>
      <c r="Q63" s="64" t="s">
        <v>25</v>
      </c>
      <c r="R63" s="65">
        <f>COUNTBLANK(R7:R51)</f>
        <v>34</v>
      </c>
      <c r="S63" s="66">
        <f>R63/R$65</f>
        <v>1</v>
      </c>
      <c r="T63" s="67">
        <f>COUNTBLANK(T7:T51)</f>
        <v>45</v>
      </c>
      <c r="U63" s="66">
        <f>T63/T$65</f>
        <v>1</v>
      </c>
      <c r="V63" s="67">
        <f>COUNTBLANK(V7:V51)</f>
        <v>45</v>
      </c>
      <c r="W63" s="66">
        <f>V63/V$65</f>
        <v>1</v>
      </c>
      <c r="X63" s="67">
        <f>COUNTBLANK(X7:X51)</f>
        <v>45</v>
      </c>
      <c r="Y63" s="66">
        <f>X63/X$65</f>
        <v>1</v>
      </c>
      <c r="Z63" s="68"/>
    </row>
    <row r="64" spans="1:34">
      <c r="Q64" s="64" t="s">
        <v>26</v>
      </c>
      <c r="R64" s="65">
        <f>COUNTIF(R7:R51,"△")</f>
        <v>0</v>
      </c>
      <c r="S64" s="66">
        <f>R64/R$65</f>
        <v>0</v>
      </c>
      <c r="T64" s="67">
        <f>COUNTIF(T7:T51,"△")</f>
        <v>0</v>
      </c>
      <c r="U64" s="66">
        <f>T64/T$65</f>
        <v>0</v>
      </c>
      <c r="V64" s="67">
        <f>COUNTIF(V7:V51,"△")</f>
        <v>0</v>
      </c>
      <c r="W64" s="66">
        <f>V64/V$65</f>
        <v>0</v>
      </c>
      <c r="X64" s="67">
        <f>COUNTIF(X7:X51,"△")</f>
        <v>0</v>
      </c>
      <c r="Y64" s="66">
        <f>X64/X$65</f>
        <v>0</v>
      </c>
      <c r="Z64" s="56"/>
    </row>
    <row r="65" spans="17:26">
      <c r="Q65" s="69" t="s">
        <v>27</v>
      </c>
      <c r="R65" s="70">
        <f t="shared" ref="R65:Y65" si="0">SUM(R62:R64)</f>
        <v>34</v>
      </c>
      <c r="S65" s="71">
        <f t="shared" si="0"/>
        <v>1</v>
      </c>
      <c r="T65" s="72">
        <f t="shared" si="0"/>
        <v>45</v>
      </c>
      <c r="U65" s="71">
        <f t="shared" si="0"/>
        <v>1</v>
      </c>
      <c r="V65" s="72">
        <f t="shared" ref="V65:W65" si="1">SUM(V62:V64)</f>
        <v>45</v>
      </c>
      <c r="W65" s="71">
        <f t="shared" si="1"/>
        <v>1</v>
      </c>
      <c r="X65" s="72">
        <f t="shared" si="0"/>
        <v>45</v>
      </c>
      <c r="Y65" s="71">
        <f t="shared" si="0"/>
        <v>1</v>
      </c>
      <c r="Z65" s="62"/>
    </row>
    <row r="66" spans="17:26">
      <c r="R66" s="73" t="s">
        <v>20</v>
      </c>
      <c r="S66" s="74" t="s">
        <v>21</v>
      </c>
      <c r="T66" s="68" t="s">
        <v>28</v>
      </c>
      <c r="U66" s="68"/>
      <c r="V66" s="68"/>
      <c r="W66" s="68"/>
      <c r="X66" s="68"/>
      <c r="Y66" s="68"/>
      <c r="Z66" s="68"/>
    </row>
    <row r="67" spans="17:26">
      <c r="R67" s="56"/>
      <c r="S67" s="75"/>
      <c r="T67" s="75"/>
      <c r="U67" s="75"/>
      <c r="V67" s="75"/>
      <c r="W67" s="75"/>
      <c r="X67" s="75"/>
      <c r="Y67" s="75"/>
      <c r="Z67" s="56"/>
    </row>
    <row r="73" spans="17:26">
      <c r="R73" s="76"/>
    </row>
  </sheetData>
  <mergeCells count="8">
    <mergeCell ref="L3:AG4"/>
    <mergeCell ref="A6:F6"/>
    <mergeCell ref="L6:M6"/>
    <mergeCell ref="A1:AG2"/>
    <mergeCell ref="G3:H3"/>
    <mergeCell ref="I3:K4"/>
    <mergeCell ref="G4:H4"/>
    <mergeCell ref="B3:F4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kitcoop</cp:lastModifiedBy>
  <dcterms:created xsi:type="dcterms:W3CDTF">2014-01-08T20:29:10Z</dcterms:created>
  <dcterms:modified xsi:type="dcterms:W3CDTF">2017-09-18T08:27:20Z</dcterms:modified>
</cp:coreProperties>
</file>